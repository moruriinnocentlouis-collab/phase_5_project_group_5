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3/PRIME-TIME- 7591/Accounts Approval/"/>
    </mc:Choice>
  </mc:AlternateContent>
  <xr:revisionPtr revIDLastSave="274" documentId="13_ncr:1_{64E499B5-D62B-43C8-A464-FA5709BBD010}" xr6:coauthVersionLast="47" xr6:coauthVersionMax="47" xr10:uidLastSave="{5CDA5966-1005-436C-BC60-10EB4690510B}"/>
  <bookViews>
    <workbookView xWindow="-108" yWindow="-108" windowWidth="23256" windowHeight="12456" tabRatio="646" firstSheet="2" activeTab="1" xr2:uid="{00000000-000D-0000-FFFF-FFFF00000000}"/>
  </bookViews>
  <sheets>
    <sheet name="Evolutive SFP" sheetId="1" r:id="rId1"/>
    <sheet name="Evolutitve SCI" sheetId="2" r:id="rId2"/>
    <sheet name="Financials" sheetId="5" r:id="rId3"/>
    <sheet name="CAELS" sheetId="3" r:id="rId4"/>
    <sheet name="FORM 4" sheetId="4" r:id="rId5"/>
    <sheet name="Performance Tool" sheetId="7" r:id="rId6"/>
    <sheet name="Sectoral Lending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7" i="2" l="1"/>
  <c r="AU35" i="2"/>
  <c r="AU33" i="2"/>
  <c r="AU29" i="2"/>
  <c r="AU23" i="2"/>
  <c r="AU19" i="2"/>
  <c r="AU20" i="2"/>
  <c r="AU12" i="2"/>
  <c r="AU7" i="2"/>
  <c r="AT7" i="2"/>
  <c r="AU4" i="2"/>
  <c r="AU3" i="2" s="1"/>
  <c r="AU49" i="1"/>
  <c r="AU48" i="1"/>
  <c r="AU47" i="1"/>
  <c r="AU37" i="1"/>
  <c r="AU30" i="1"/>
  <c r="AU26" i="1"/>
  <c r="AU20" i="1"/>
  <c r="AU16" i="1"/>
  <c r="AU13" i="1"/>
  <c r="AU8" i="1"/>
  <c r="AU4" i="1"/>
  <c r="AT23" i="2"/>
  <c r="AT20" i="2"/>
  <c r="AT12" i="2"/>
  <c r="AT4" i="2"/>
  <c r="AT3" i="2"/>
  <c r="AT19" i="2" s="1"/>
  <c r="AT29" i="2" s="1"/>
  <c r="AT33" i="2" s="1"/>
  <c r="AT35" i="2" s="1"/>
  <c r="AT37" i="2" s="1"/>
  <c r="AT49" i="1"/>
  <c r="AT48" i="1"/>
  <c r="AT47" i="1"/>
  <c r="AT37" i="1"/>
  <c r="AT30" i="1"/>
  <c r="AT26" i="1"/>
  <c r="AT20" i="1"/>
  <c r="AT16" i="1"/>
  <c r="AT13" i="1"/>
  <c r="AT8" i="1"/>
  <c r="AT4" i="1"/>
  <c r="AS23" i="2"/>
  <c r="AS20" i="2"/>
  <c r="AS12" i="2"/>
  <c r="AS7" i="2"/>
  <c r="AS3" i="2"/>
  <c r="AS19" i="2" s="1"/>
  <c r="AS29" i="2" s="1"/>
  <c r="AS33" i="2" s="1"/>
  <c r="AS35" i="2" s="1"/>
  <c r="AS37" i="2" s="1"/>
  <c r="AS4" i="2"/>
  <c r="AS48" i="1"/>
  <c r="AS47" i="1"/>
  <c r="AS37" i="1"/>
  <c r="AS30" i="1"/>
  <c r="AS26" i="1"/>
  <c r="AS20" i="1"/>
  <c r="AS16" i="1"/>
  <c r="AS13" i="1"/>
  <c r="AS8" i="1"/>
  <c r="AS4" i="1"/>
  <c r="AR37" i="2"/>
  <c r="AR35" i="2"/>
  <c r="AR33" i="2"/>
  <c r="AR30" i="2"/>
  <c r="AR29" i="2"/>
  <c r="AR23" i="2"/>
  <c r="AR20" i="2"/>
  <c r="AR19" i="2"/>
  <c r="AR12" i="2"/>
  <c r="AR7" i="2"/>
  <c r="AR4" i="2"/>
  <c r="AR3" i="2"/>
  <c r="AR48" i="1"/>
  <c r="AR47" i="1"/>
  <c r="AR37" i="1"/>
  <c r="AR30" i="1"/>
  <c r="AR26" i="1"/>
  <c r="AR20" i="1"/>
  <c r="AR16" i="1"/>
  <c r="AR13" i="1"/>
  <c r="AR8" i="1"/>
  <c r="AR4" i="1"/>
  <c r="AT3" i="3"/>
  <c r="AU3" i="3"/>
  <c r="AU4" i="3" s="1"/>
  <c r="AV3" i="3"/>
  <c r="AW3" i="3"/>
  <c r="AW6" i="3" s="1"/>
  <c r="AX3" i="3"/>
  <c r="AX5" i="3" s="1"/>
  <c r="AY3" i="3"/>
  <c r="AY6" i="3" s="1"/>
  <c r="AZ3" i="3"/>
  <c r="AZ6" i="3" s="1"/>
  <c r="AT4" i="3"/>
  <c r="AV4" i="3"/>
  <c r="AX4" i="3"/>
  <c r="AZ4" i="3"/>
  <c r="AT5" i="3"/>
  <c r="AU5" i="3"/>
  <c r="AV5" i="3"/>
  <c r="AT6" i="3"/>
  <c r="AU6" i="3"/>
  <c r="AV6" i="3"/>
  <c r="AX6" i="3"/>
  <c r="AT9" i="3"/>
  <c r="AU9" i="3"/>
  <c r="AV9" i="3"/>
  <c r="AW9" i="3"/>
  <c r="AX9" i="3"/>
  <c r="AY9" i="3"/>
  <c r="AZ9" i="3"/>
  <c r="AT10" i="3"/>
  <c r="AU10" i="3"/>
  <c r="AV10" i="3"/>
  <c r="AW10" i="3"/>
  <c r="AX10" i="3"/>
  <c r="AY10" i="3"/>
  <c r="AZ10" i="3"/>
  <c r="AT11" i="3"/>
  <c r="AU11" i="3"/>
  <c r="AV11" i="3"/>
  <c r="AW11" i="3"/>
  <c r="AX11" i="3"/>
  <c r="AY11" i="3"/>
  <c r="AZ11" i="3"/>
  <c r="AT12" i="3"/>
  <c r="AU12" i="3"/>
  <c r="AV12" i="3"/>
  <c r="AW12" i="3"/>
  <c r="AX12" i="3"/>
  <c r="AY12" i="3"/>
  <c r="AZ12" i="3"/>
  <c r="AT13" i="3"/>
  <c r="AU13" i="3"/>
  <c r="AV13" i="3"/>
  <c r="AW13" i="3"/>
  <c r="AX13" i="3"/>
  <c r="AY13" i="3"/>
  <c r="AZ13" i="3"/>
  <c r="AT14" i="3"/>
  <c r="AU14" i="3"/>
  <c r="AV14" i="3"/>
  <c r="AW14" i="3"/>
  <c r="AX14" i="3"/>
  <c r="AY14" i="3"/>
  <c r="AZ14" i="3"/>
  <c r="AT15" i="3"/>
  <c r="AU15" i="3"/>
  <c r="AV15" i="3"/>
  <c r="AW15" i="3"/>
  <c r="AX15" i="3"/>
  <c r="AY15" i="3"/>
  <c r="AZ15" i="3"/>
  <c r="AT16" i="3"/>
  <c r="AU16" i="3"/>
  <c r="AV16" i="3"/>
  <c r="AW16" i="3"/>
  <c r="AX16" i="3"/>
  <c r="AY16" i="3"/>
  <c r="AZ16" i="3"/>
  <c r="AT17" i="3"/>
  <c r="AU17" i="3"/>
  <c r="AV17" i="3"/>
  <c r="AW17" i="3"/>
  <c r="AX17" i="3"/>
  <c r="AY17" i="3"/>
  <c r="AZ17" i="3"/>
  <c r="AT18" i="3"/>
  <c r="AU18" i="3"/>
  <c r="AV18" i="3"/>
  <c r="AW18" i="3"/>
  <c r="AX18" i="3"/>
  <c r="AY18" i="3"/>
  <c r="AZ18" i="3"/>
  <c r="AT19" i="3"/>
  <c r="AU19" i="3"/>
  <c r="AV19" i="3"/>
  <c r="AW19" i="3"/>
  <c r="AX19" i="3"/>
  <c r="AY19" i="3"/>
  <c r="AZ19" i="3"/>
  <c r="AT20" i="3"/>
  <c r="AU20" i="3"/>
  <c r="AV20" i="3"/>
  <c r="AW20" i="3"/>
  <c r="AX20" i="3"/>
  <c r="AY20" i="3"/>
  <c r="AZ20" i="3"/>
  <c r="AT21" i="3"/>
  <c r="AU21" i="3"/>
  <c r="AV21" i="3"/>
  <c r="AW21" i="3"/>
  <c r="AX21" i="3"/>
  <c r="AY21" i="3"/>
  <c r="AZ21" i="3"/>
  <c r="AT22" i="3"/>
  <c r="AU22" i="3"/>
  <c r="AV22" i="3"/>
  <c r="AW22" i="3"/>
  <c r="AX22" i="3"/>
  <c r="AY22" i="3"/>
  <c r="AZ22" i="3"/>
  <c r="AT23" i="3"/>
  <c r="AU23" i="3"/>
  <c r="AV23" i="3"/>
  <c r="AW23" i="3"/>
  <c r="AX23" i="3"/>
  <c r="AY23" i="3"/>
  <c r="AZ23" i="3"/>
  <c r="AR3" i="3"/>
  <c r="AS3" i="3"/>
  <c r="AR19" i="3"/>
  <c r="AS4" i="5"/>
  <c r="AT4" i="5"/>
  <c r="AU4" i="5"/>
  <c r="AV4" i="5"/>
  <c r="AW4" i="5"/>
  <c r="AX4" i="5"/>
  <c r="AY4" i="5"/>
  <c r="AS5" i="5"/>
  <c r="AT5" i="5"/>
  <c r="AV25" i="3" s="1"/>
  <c r="AU5" i="5"/>
  <c r="AW25" i="3" s="1"/>
  <c r="AV5" i="5"/>
  <c r="AX25" i="3" s="1"/>
  <c r="AW5" i="5"/>
  <c r="AY25" i="3" s="1"/>
  <c r="AX5" i="5"/>
  <c r="AZ25" i="3" s="1"/>
  <c r="AY5" i="5"/>
  <c r="AQ6" i="5"/>
  <c r="AR6" i="5"/>
  <c r="AT26" i="3" s="1"/>
  <c r="AS6" i="5"/>
  <c r="AU26" i="3" s="1"/>
  <c r="AT6" i="5"/>
  <c r="AV26" i="3" s="1"/>
  <c r="AU6" i="5"/>
  <c r="AW26" i="3" s="1"/>
  <c r="AV6" i="5"/>
  <c r="AX26" i="3" s="1"/>
  <c r="AW6" i="5"/>
  <c r="AY26" i="3" s="1"/>
  <c r="AX6" i="5"/>
  <c r="AZ26" i="3" s="1"/>
  <c r="AY6" i="5"/>
  <c r="AQ7" i="5"/>
  <c r="AR7" i="5"/>
  <c r="AT27" i="3" s="1"/>
  <c r="AS7" i="5"/>
  <c r="AU27" i="3" s="1"/>
  <c r="AT7" i="5"/>
  <c r="AV27" i="3" s="1"/>
  <c r="AU7" i="5"/>
  <c r="AW27" i="3" s="1"/>
  <c r="AV7" i="5"/>
  <c r="AX27" i="3" s="1"/>
  <c r="AW7" i="5"/>
  <c r="AY27" i="3" s="1"/>
  <c r="AX7" i="5"/>
  <c r="AZ27" i="3" s="1"/>
  <c r="AY7" i="5"/>
  <c r="AQ8" i="5"/>
  <c r="AR8" i="5"/>
  <c r="AS8" i="5"/>
  <c r="AT8" i="5"/>
  <c r="AU8" i="5"/>
  <c r="AV8" i="5"/>
  <c r="AW8" i="5"/>
  <c r="AX8" i="5"/>
  <c r="AY8" i="5"/>
  <c r="AQ15" i="5"/>
  <c r="AR15" i="5"/>
  <c r="AS15" i="5"/>
  <c r="AT15" i="5"/>
  <c r="AU15" i="5"/>
  <c r="AV15" i="5"/>
  <c r="AW15" i="5"/>
  <c r="AX15" i="5"/>
  <c r="AY15" i="5"/>
  <c r="AQ17" i="5"/>
  <c r="AR17" i="5"/>
  <c r="AS17" i="5"/>
  <c r="AT17" i="5"/>
  <c r="AU17" i="5"/>
  <c r="AV17" i="5"/>
  <c r="AW17" i="5"/>
  <c r="AX17" i="5"/>
  <c r="AY17" i="5"/>
  <c r="AQ18" i="5"/>
  <c r="AR18" i="5"/>
  <c r="AS18" i="5"/>
  <c r="AT18" i="5"/>
  <c r="AU18" i="5"/>
  <c r="AV18" i="5"/>
  <c r="AW18" i="5"/>
  <c r="AX18" i="5"/>
  <c r="AY18" i="5"/>
  <c r="AQ19" i="5"/>
  <c r="AR19" i="5"/>
  <c r="AS19" i="5"/>
  <c r="AT19" i="5"/>
  <c r="AU19" i="5"/>
  <c r="AV19" i="5"/>
  <c r="AW19" i="5"/>
  <c r="AX19" i="5"/>
  <c r="AY19" i="5"/>
  <c r="AQ20" i="5"/>
  <c r="AR20" i="5"/>
  <c r="AS20" i="5"/>
  <c r="AT20" i="5"/>
  <c r="AU20" i="5"/>
  <c r="AV20" i="5"/>
  <c r="AW20" i="5"/>
  <c r="AX20" i="5"/>
  <c r="AY20" i="5"/>
  <c r="AQ22" i="5"/>
  <c r="AR22" i="5"/>
  <c r="AS22" i="5"/>
  <c r="AT22" i="5"/>
  <c r="AU22" i="5"/>
  <c r="AV22" i="5"/>
  <c r="AW22" i="5"/>
  <c r="AX22" i="5"/>
  <c r="AY22" i="5"/>
  <c r="AQ26" i="5"/>
  <c r="AR26" i="5"/>
  <c r="AS26" i="5"/>
  <c r="AT26" i="5"/>
  <c r="AU26" i="5"/>
  <c r="AV26" i="5"/>
  <c r="AW26" i="5"/>
  <c r="AX26" i="5"/>
  <c r="AY26" i="5"/>
  <c r="AQ27" i="5"/>
  <c r="AR27" i="5"/>
  <c r="AS27" i="5"/>
  <c r="AT27" i="5"/>
  <c r="AT25" i="5" s="1"/>
  <c r="AU27" i="5"/>
  <c r="AV27" i="5"/>
  <c r="AW27" i="5"/>
  <c r="AX27" i="5"/>
  <c r="AY27" i="5"/>
  <c r="AS30" i="5"/>
  <c r="AT30" i="5"/>
  <c r="AU30" i="5"/>
  <c r="AV30" i="5"/>
  <c r="AW30" i="5"/>
  <c r="AX30" i="5"/>
  <c r="AY30" i="5"/>
  <c r="AQ31" i="5"/>
  <c r="AR31" i="5"/>
  <c r="AT28" i="3" s="1"/>
  <c r="AS31" i="5"/>
  <c r="AU28" i="3" s="1"/>
  <c r="AT31" i="5"/>
  <c r="AV28" i="3" s="1"/>
  <c r="AU31" i="5"/>
  <c r="AW28" i="3" s="1"/>
  <c r="AV31" i="5"/>
  <c r="AX28" i="3" s="1"/>
  <c r="AW31" i="5"/>
  <c r="AY28" i="3" s="1"/>
  <c r="AX31" i="5"/>
  <c r="AZ28" i="3" s="1"/>
  <c r="AY31" i="5"/>
  <c r="AQ32" i="5"/>
  <c r="AR32" i="5"/>
  <c r="AS32" i="5"/>
  <c r="AT32" i="5"/>
  <c r="AU32" i="5"/>
  <c r="AV32" i="5"/>
  <c r="AW32" i="5"/>
  <c r="AX32" i="5"/>
  <c r="AY32" i="5"/>
  <c r="AS34" i="5"/>
  <c r="AT34" i="5"/>
  <c r="AU34" i="5"/>
  <c r="AV34" i="5"/>
  <c r="AW34" i="5"/>
  <c r="AX34" i="5"/>
  <c r="AY34" i="5"/>
  <c r="AQ35" i="5"/>
  <c r="AR35" i="5"/>
  <c r="V37" i="7" s="1"/>
  <c r="AS35" i="5"/>
  <c r="AT35" i="5"/>
  <c r="AU35" i="5"/>
  <c r="AV35" i="5"/>
  <c r="AW35" i="5"/>
  <c r="AX35" i="5"/>
  <c r="AY35" i="5"/>
  <c r="AQ38" i="5"/>
  <c r="AR38" i="5"/>
  <c r="AS38" i="5"/>
  <c r="AT38" i="5"/>
  <c r="AU38" i="5"/>
  <c r="AV38" i="5"/>
  <c r="AW38" i="5"/>
  <c r="AX38" i="5"/>
  <c r="AY38" i="5"/>
  <c r="AS39" i="5"/>
  <c r="AT39" i="5"/>
  <c r="AU39" i="5"/>
  <c r="AV39" i="5"/>
  <c r="AW39" i="5"/>
  <c r="AX39" i="5"/>
  <c r="AY39" i="5"/>
  <c r="AQ40" i="5"/>
  <c r="AR40" i="5"/>
  <c r="AS40" i="5"/>
  <c r="AT40" i="5"/>
  <c r="AU40" i="5"/>
  <c r="AV40" i="5"/>
  <c r="AW40" i="5"/>
  <c r="AX40" i="5"/>
  <c r="AY40" i="5"/>
  <c r="AQ44" i="5"/>
  <c r="AR44" i="5"/>
  <c r="AS44" i="5"/>
  <c r="AT44" i="5"/>
  <c r="AU44" i="5"/>
  <c r="AV44" i="5"/>
  <c r="AW44" i="5"/>
  <c r="AX44" i="5"/>
  <c r="AY44" i="5"/>
  <c r="AQ45" i="5"/>
  <c r="AR45" i="5"/>
  <c r="AS45" i="5"/>
  <c r="AT45" i="5"/>
  <c r="AU45" i="5"/>
  <c r="AV45" i="5"/>
  <c r="AW45" i="5"/>
  <c r="AX45" i="5"/>
  <c r="AY45" i="5"/>
  <c r="AQ46" i="5"/>
  <c r="AR46" i="5"/>
  <c r="AS46" i="5"/>
  <c r="AT46" i="5"/>
  <c r="AU46" i="5"/>
  <c r="AV46" i="5"/>
  <c r="AW46" i="5"/>
  <c r="AX46" i="5"/>
  <c r="AY46" i="5"/>
  <c r="AS47" i="5"/>
  <c r="AT47" i="5"/>
  <c r="AU47" i="5"/>
  <c r="AV47" i="5"/>
  <c r="AW47" i="5"/>
  <c r="AX47" i="5"/>
  <c r="AY47" i="5"/>
  <c r="T32" i="7"/>
  <c r="U32" i="7"/>
  <c r="V32" i="7"/>
  <c r="U37" i="7"/>
  <c r="U38" i="7"/>
  <c r="V38" i="7"/>
  <c r="T41" i="7"/>
  <c r="U41" i="7"/>
  <c r="V41" i="7"/>
  <c r="T42" i="7"/>
  <c r="U42" i="7"/>
  <c r="V42" i="7"/>
  <c r="T46" i="7"/>
  <c r="U46" i="7"/>
  <c r="V46" i="7"/>
  <c r="AQ30" i="2"/>
  <c r="AQ20" i="2"/>
  <c r="AQ23" i="2"/>
  <c r="AQ12" i="2"/>
  <c r="V49" i="7" s="1"/>
  <c r="AQ7" i="2"/>
  <c r="AR39" i="5" s="1"/>
  <c r="AQ4" i="2"/>
  <c r="V48" i="7" s="1"/>
  <c r="V15" i="7" s="1"/>
  <c r="AQ3" i="2"/>
  <c r="AQ47" i="1"/>
  <c r="AQ30" i="1"/>
  <c r="AQ20" i="1"/>
  <c r="AQ16" i="1"/>
  <c r="AR34" i="5" s="1"/>
  <c r="V36" i="7" s="1"/>
  <c r="AQ13" i="1"/>
  <c r="AR30" i="5" s="1"/>
  <c r="AQ8" i="1"/>
  <c r="AQ4" i="1"/>
  <c r="AK43" i="1"/>
  <c r="AM43" i="1"/>
  <c r="AO3" i="3" s="1"/>
  <c r="AN43" i="1"/>
  <c r="AP3" i="3" s="1"/>
  <c r="AO43" i="1"/>
  <c r="AQ3" i="3" s="1"/>
  <c r="W29" i="7"/>
  <c r="W31" i="7"/>
  <c r="W32" i="7"/>
  <c r="W36" i="7"/>
  <c r="W37" i="7"/>
  <c r="W38" i="7"/>
  <c r="W40" i="7"/>
  <c r="W41" i="7"/>
  <c r="W42" i="7"/>
  <c r="W44" i="7"/>
  <c r="W45" i="7"/>
  <c r="W46" i="7"/>
  <c r="W47" i="7"/>
  <c r="W48" i="7"/>
  <c r="W49" i="7"/>
  <c r="W50" i="7"/>
  <c r="AN6" i="5"/>
  <c r="AO6" i="5"/>
  <c r="AQ26" i="3" s="1"/>
  <c r="AP6" i="5"/>
  <c r="AR26" i="3" s="1"/>
  <c r="AN7" i="5"/>
  <c r="AO7" i="5"/>
  <c r="AQ27" i="3" s="1"/>
  <c r="AP7" i="5"/>
  <c r="AR27" i="3" s="1"/>
  <c r="AN8" i="5"/>
  <c r="AO8" i="5"/>
  <c r="AP8" i="5"/>
  <c r="AN15" i="5"/>
  <c r="AO15" i="5"/>
  <c r="AP15" i="5"/>
  <c r="AN17" i="5"/>
  <c r="AO17" i="5"/>
  <c r="AP17" i="5"/>
  <c r="AN18" i="5"/>
  <c r="AO18" i="5"/>
  <c r="AP18" i="5"/>
  <c r="AN19" i="5"/>
  <c r="AO19" i="5"/>
  <c r="AP19" i="5"/>
  <c r="AN20" i="5"/>
  <c r="AO20" i="5"/>
  <c r="AP20" i="5"/>
  <c r="AN22" i="5"/>
  <c r="AO22" i="5"/>
  <c r="AP22" i="5"/>
  <c r="AN26" i="5"/>
  <c r="AO26" i="5"/>
  <c r="AP26" i="5"/>
  <c r="AN27" i="5"/>
  <c r="AO27" i="5"/>
  <c r="AP27" i="5"/>
  <c r="T38" i="7" s="1"/>
  <c r="AN31" i="5"/>
  <c r="AO31" i="5"/>
  <c r="AQ28" i="3" s="1"/>
  <c r="AP31" i="5"/>
  <c r="AR28" i="3" s="1"/>
  <c r="AN32" i="5"/>
  <c r="AO32" i="5"/>
  <c r="AP32" i="5"/>
  <c r="AN35" i="5"/>
  <c r="AO35" i="5"/>
  <c r="AP35" i="5"/>
  <c r="T37" i="7" s="1"/>
  <c r="AN38" i="5"/>
  <c r="AO38" i="5"/>
  <c r="AP38" i="5"/>
  <c r="AN40" i="5"/>
  <c r="AO40" i="5"/>
  <c r="AP40" i="5"/>
  <c r="AN44" i="5"/>
  <c r="AO44" i="5"/>
  <c r="AP44" i="5"/>
  <c r="AN45" i="5"/>
  <c r="AO45" i="5"/>
  <c r="AP45" i="5"/>
  <c r="AN46" i="5"/>
  <c r="AO46" i="5"/>
  <c r="AP46" i="5"/>
  <c r="AM30" i="2"/>
  <c r="AN30" i="2"/>
  <c r="AO30" i="2"/>
  <c r="AP30" i="2"/>
  <c r="AM23" i="2"/>
  <c r="AN23" i="2"/>
  <c r="AO23" i="2"/>
  <c r="AP23" i="2"/>
  <c r="AM20" i="2"/>
  <c r="AN20" i="2"/>
  <c r="AO20" i="2"/>
  <c r="AP20" i="2"/>
  <c r="AM12" i="2"/>
  <c r="AM39" i="2" s="1"/>
  <c r="AN12" i="2"/>
  <c r="S49" i="7" s="1"/>
  <c r="AO12" i="2"/>
  <c r="T49" i="7" s="1"/>
  <c r="AP12" i="2"/>
  <c r="U49" i="7" s="1"/>
  <c r="AM7" i="2"/>
  <c r="AN7" i="2"/>
  <c r="AO39" i="5" s="1"/>
  <c r="AO7" i="2"/>
  <c r="AP39" i="5" s="1"/>
  <c r="AP7" i="2"/>
  <c r="AQ39" i="5" s="1"/>
  <c r="AM4" i="2"/>
  <c r="AN4" i="2"/>
  <c r="AO4" i="2"/>
  <c r="T48" i="7" s="1"/>
  <c r="T15" i="7" s="1"/>
  <c r="AP4" i="2"/>
  <c r="U48" i="7" s="1"/>
  <c r="U15" i="7" s="1"/>
  <c r="AM47" i="1"/>
  <c r="AN47" i="1"/>
  <c r="AO47" i="1"/>
  <c r="AP47" i="1"/>
  <c r="AM30" i="1"/>
  <c r="AN30" i="1"/>
  <c r="AO30" i="1"/>
  <c r="AP30" i="1"/>
  <c r="AM20" i="1"/>
  <c r="AN20" i="1"/>
  <c r="AO20" i="1"/>
  <c r="AP20" i="1"/>
  <c r="AM16" i="1"/>
  <c r="AN34" i="5" s="1"/>
  <c r="AN16" i="1"/>
  <c r="AO34" i="5" s="1"/>
  <c r="S36" i="7" s="1"/>
  <c r="AO16" i="1"/>
  <c r="AP34" i="5" s="1"/>
  <c r="T36" i="7" s="1"/>
  <c r="AP16" i="1"/>
  <c r="AQ34" i="5" s="1"/>
  <c r="U36" i="7" s="1"/>
  <c r="AM13" i="1"/>
  <c r="AN30" i="5" s="1"/>
  <c r="AN13" i="1"/>
  <c r="AO30" i="5" s="1"/>
  <c r="AO13" i="1"/>
  <c r="AP30" i="5" s="1"/>
  <c r="AP13" i="1"/>
  <c r="AQ30" i="5" s="1"/>
  <c r="AM8" i="1"/>
  <c r="AN8" i="1"/>
  <c r="AO8" i="1"/>
  <c r="AP8" i="1"/>
  <c r="AM4" i="1"/>
  <c r="AN4" i="1"/>
  <c r="AO4" i="1"/>
  <c r="AP4" i="1"/>
  <c r="P35" i="7"/>
  <c r="M35" i="7"/>
  <c r="J35" i="7"/>
  <c r="G35" i="7"/>
  <c r="D35" i="7"/>
  <c r="C35" i="7"/>
  <c r="Q35" i="7"/>
  <c r="AL41" i="1"/>
  <c r="AL43" i="1"/>
  <c r="AL27" i="1"/>
  <c r="AL25" i="1"/>
  <c r="AL11" i="1"/>
  <c r="Q32" i="7"/>
  <c r="R32" i="7"/>
  <c r="S32" i="7"/>
  <c r="R36" i="7"/>
  <c r="R37" i="7"/>
  <c r="S37" i="7"/>
  <c r="R38" i="7"/>
  <c r="S38" i="7"/>
  <c r="R40" i="7"/>
  <c r="S40" i="7"/>
  <c r="Q41" i="7"/>
  <c r="R41" i="7"/>
  <c r="S41" i="7"/>
  <c r="Q42" i="7"/>
  <c r="R42" i="7"/>
  <c r="S42" i="7"/>
  <c r="R46" i="7"/>
  <c r="S46" i="7"/>
  <c r="R47" i="7"/>
  <c r="S47" i="7"/>
  <c r="R48" i="7"/>
  <c r="R49" i="7"/>
  <c r="AL7" i="1"/>
  <c r="AL6" i="2"/>
  <c r="AL11" i="2" s="1"/>
  <c r="AL13" i="2"/>
  <c r="Q46" i="7" s="1"/>
  <c r="AL6" i="1"/>
  <c r="AL28" i="2"/>
  <c r="AL27" i="2"/>
  <c r="S10" i="7" l="1"/>
  <c r="T43" i="7"/>
  <c r="AR12" i="3"/>
  <c r="AR13" i="3"/>
  <c r="U40" i="7"/>
  <c r="AQ12" i="3"/>
  <c r="AQ13" i="3"/>
  <c r="T40" i="7"/>
  <c r="AP12" i="3"/>
  <c r="AP13" i="3"/>
  <c r="AO12" i="3"/>
  <c r="AO13" i="3"/>
  <c r="AP37" i="1"/>
  <c r="AP48" i="1" s="1"/>
  <c r="AR5" i="3"/>
  <c r="AR18" i="3"/>
  <c r="AQ5" i="5"/>
  <c r="AQ18" i="3"/>
  <c r="AP18" i="3"/>
  <c r="AO18" i="3"/>
  <c r="AQ47" i="5"/>
  <c r="U47" i="7"/>
  <c r="T47" i="7"/>
  <c r="AO47" i="5"/>
  <c r="AN47" i="5"/>
  <c r="AQ5" i="3"/>
  <c r="AQ19" i="3"/>
  <c r="AP5" i="3"/>
  <c r="AP19" i="3"/>
  <c r="AO5" i="3"/>
  <c r="AO19" i="3"/>
  <c r="AS12" i="3"/>
  <c r="AS13" i="3"/>
  <c r="V40" i="7"/>
  <c r="AQ26" i="1"/>
  <c r="AS18" i="3"/>
  <c r="AS21" i="3"/>
  <c r="AR5" i="5"/>
  <c r="AQ37" i="1"/>
  <c r="AQ48" i="1"/>
  <c r="V44" i="7"/>
  <c r="V16" i="7" s="1"/>
  <c r="AQ19" i="2"/>
  <c r="AS10" i="3"/>
  <c r="AR47" i="5"/>
  <c r="V47" i="7"/>
  <c r="V18" i="7" s="1"/>
  <c r="V27" i="7"/>
  <c r="V20" i="7"/>
  <c r="W43" i="7"/>
  <c r="V10" i="7"/>
  <c r="U10" i="7"/>
  <c r="T10" i="7"/>
  <c r="AX43" i="5"/>
  <c r="AY43" i="5"/>
  <c r="AW43" i="5"/>
  <c r="AV43" i="5"/>
  <c r="AU43" i="5"/>
  <c r="AT43" i="5"/>
  <c r="AS43" i="5"/>
  <c r="AR43" i="5"/>
  <c r="AQ43" i="5"/>
  <c r="AT37" i="5"/>
  <c r="AY37" i="5"/>
  <c r="AX37" i="5"/>
  <c r="AW37" i="5"/>
  <c r="AV37" i="5"/>
  <c r="AU37" i="5"/>
  <c r="AS37" i="5"/>
  <c r="AR37" i="5"/>
  <c r="AQ37" i="5"/>
  <c r="AS28" i="3"/>
  <c r="AY25" i="5"/>
  <c r="AX25" i="5"/>
  <c r="AW25" i="5"/>
  <c r="AV25" i="5"/>
  <c r="AU25" i="5"/>
  <c r="AS25" i="5"/>
  <c r="W39" i="7" s="1"/>
  <c r="AR25" i="5"/>
  <c r="V39" i="7" s="1"/>
  <c r="AQ25" i="5"/>
  <c r="U39" i="7" s="1"/>
  <c r="AS14" i="5"/>
  <c r="AS11" i="5" s="1"/>
  <c r="AY14" i="5"/>
  <c r="AY11" i="5" s="1"/>
  <c r="AY12" i="5" s="1"/>
  <c r="AX14" i="5"/>
  <c r="AX11" i="5" s="1"/>
  <c r="AW14" i="5"/>
  <c r="AW11" i="5" s="1"/>
  <c r="AV14" i="5"/>
  <c r="AV11" i="5" s="1"/>
  <c r="AU14" i="5"/>
  <c r="AU11" i="5" s="1"/>
  <c r="AT14" i="5"/>
  <c r="AT11" i="5" s="1"/>
  <c r="AR14" i="5"/>
  <c r="AR11" i="5" s="1"/>
  <c r="AQ14" i="5"/>
  <c r="AQ11" i="5" s="1"/>
  <c r="AS27" i="3"/>
  <c r="AS26" i="3"/>
  <c r="AU25" i="3"/>
  <c r="AS4" i="3"/>
  <c r="AZ5" i="3"/>
  <c r="AY4" i="3"/>
  <c r="AY5" i="3"/>
  <c r="AW4" i="3"/>
  <c r="AW5" i="3"/>
  <c r="AS5" i="3"/>
  <c r="AS6" i="3"/>
  <c r="AS19" i="3"/>
  <c r="AS12" i="5"/>
  <c r="W34" i="7" s="1"/>
  <c r="W33" i="7"/>
  <c r="AR12" i="5"/>
  <c r="V34" i="7" s="1"/>
  <c r="V33" i="7"/>
  <c r="U33" i="7"/>
  <c r="T20" i="7"/>
  <c r="V43" i="7"/>
  <c r="U43" i="7"/>
  <c r="AP39" i="2"/>
  <c r="AP3" i="2"/>
  <c r="U44" i="7" s="1"/>
  <c r="R10" i="7"/>
  <c r="Q10" i="7"/>
  <c r="AP26" i="1"/>
  <c r="AO37" i="1"/>
  <c r="AO48" i="1" s="1"/>
  <c r="AP5" i="5"/>
  <c r="AN37" i="1"/>
  <c r="AO5" i="5"/>
  <c r="AN5" i="5"/>
  <c r="AM37" i="1"/>
  <c r="AO3" i="2"/>
  <c r="T44" i="7" s="1"/>
  <c r="AM3" i="2"/>
  <c r="AN39" i="5"/>
  <c r="AO39" i="2"/>
  <c r="AP47" i="5"/>
  <c r="AO43" i="5"/>
  <c r="AN43" i="5"/>
  <c r="AP43" i="5"/>
  <c r="AP37" i="5"/>
  <c r="AO37" i="5"/>
  <c r="AN37" i="5"/>
  <c r="AP25" i="5"/>
  <c r="T39" i="7" s="1"/>
  <c r="AO25" i="5"/>
  <c r="S39" i="7" s="1"/>
  <c r="AN25" i="5"/>
  <c r="R39" i="7" s="1"/>
  <c r="AP14" i="5"/>
  <c r="AP11" i="5" s="1"/>
  <c r="AO14" i="5"/>
  <c r="AO11" i="5" s="1"/>
  <c r="AN14" i="5"/>
  <c r="AN11" i="5" s="1"/>
  <c r="S33" i="7"/>
  <c r="AO12" i="5"/>
  <c r="S34" i="7" s="1"/>
  <c r="R33" i="7"/>
  <c r="AN12" i="5"/>
  <c r="R34" i="7" s="1"/>
  <c r="AN39" i="2"/>
  <c r="AO19" i="2"/>
  <c r="AM19" i="2"/>
  <c r="R45" i="7"/>
  <c r="AN48" i="1"/>
  <c r="AM48" i="1"/>
  <c r="R20" i="7"/>
  <c r="S20" i="7"/>
  <c r="S43" i="7"/>
  <c r="R15" i="7"/>
  <c r="AM26" i="1"/>
  <c r="AO26" i="1"/>
  <c r="AN26" i="1"/>
  <c r="R44" i="7"/>
  <c r="R27" i="7" s="1"/>
  <c r="AN3" i="2"/>
  <c r="S48" i="7"/>
  <c r="S15" i="7" s="1"/>
  <c r="R43" i="7"/>
  <c r="AL12" i="2"/>
  <c r="AB25" i="4"/>
  <c r="AB16" i="4"/>
  <c r="AB24" i="4" s="1"/>
  <c r="AA16" i="4"/>
  <c r="AD15" i="4"/>
  <c r="AD14" i="4"/>
  <c r="AD13" i="4"/>
  <c r="AD12" i="4"/>
  <c r="AD11" i="4"/>
  <c r="AL3" i="3"/>
  <c r="AL19" i="3" s="1"/>
  <c r="AM3" i="3"/>
  <c r="AM19" i="3" s="1"/>
  <c r="AN3" i="3"/>
  <c r="AN19" i="3" s="1"/>
  <c r="AM6" i="5"/>
  <c r="AM7" i="5"/>
  <c r="AM8" i="5"/>
  <c r="AM15" i="5"/>
  <c r="AM17" i="5"/>
  <c r="AM18" i="5"/>
  <c r="AM19" i="5"/>
  <c r="AM20" i="5"/>
  <c r="AM22" i="5"/>
  <c r="AM26" i="5"/>
  <c r="AM27" i="5"/>
  <c r="Q38" i="7" s="1"/>
  <c r="AM31" i="5"/>
  <c r="AM32" i="5"/>
  <c r="AM35" i="5"/>
  <c r="Q37" i="7" s="1"/>
  <c r="AM38" i="5"/>
  <c r="AM40" i="5"/>
  <c r="AM45" i="5"/>
  <c r="AM46" i="5"/>
  <c r="AL4" i="2"/>
  <c r="Q48" i="7" s="1"/>
  <c r="Q15" i="7" s="1"/>
  <c r="AL7" i="2"/>
  <c r="AM39" i="5" s="1"/>
  <c r="AL20" i="2"/>
  <c r="AL23" i="2"/>
  <c r="AL30" i="2"/>
  <c r="AL8" i="1"/>
  <c r="AL13" i="1"/>
  <c r="AM30" i="5" s="1"/>
  <c r="AL16" i="1"/>
  <c r="AL20" i="1"/>
  <c r="AM34" i="5" s="1"/>
  <c r="Q36" i="7" s="1"/>
  <c r="AL30" i="1"/>
  <c r="AN18" i="3" s="1"/>
  <c r="AL47" i="1"/>
  <c r="AL4" i="1"/>
  <c r="R19" i="4"/>
  <c r="R20" i="4"/>
  <c r="R21" i="4"/>
  <c r="R22" i="4"/>
  <c r="R18" i="4"/>
  <c r="R23" i="4" s="1"/>
  <c r="P25" i="4"/>
  <c r="O23" i="4"/>
  <c r="P23" i="4"/>
  <c r="Z19" i="5"/>
  <c r="Z15" i="5"/>
  <c r="Z17" i="5"/>
  <c r="F32" i="7"/>
  <c r="G32" i="7"/>
  <c r="H32" i="7"/>
  <c r="I32" i="7"/>
  <c r="J32" i="7"/>
  <c r="K32" i="7"/>
  <c r="L32" i="7"/>
  <c r="M32" i="7"/>
  <c r="N32" i="7"/>
  <c r="O32" i="7"/>
  <c r="P32" i="7"/>
  <c r="F41" i="7"/>
  <c r="G41" i="7"/>
  <c r="H41" i="7"/>
  <c r="I41" i="7"/>
  <c r="J41" i="7"/>
  <c r="K41" i="7"/>
  <c r="L41" i="7"/>
  <c r="M41" i="7"/>
  <c r="N41" i="7"/>
  <c r="O41" i="7"/>
  <c r="P41" i="7"/>
  <c r="F42" i="7"/>
  <c r="G42" i="7"/>
  <c r="H42" i="7"/>
  <c r="I42" i="7"/>
  <c r="J42" i="7"/>
  <c r="K42" i="7"/>
  <c r="L42" i="7"/>
  <c r="M42" i="7"/>
  <c r="N42" i="7"/>
  <c r="O42" i="7"/>
  <c r="P42" i="7"/>
  <c r="H43" i="7"/>
  <c r="I43" i="7"/>
  <c r="F46" i="7"/>
  <c r="G46" i="7"/>
  <c r="H46" i="7"/>
  <c r="I46" i="7"/>
  <c r="J46" i="7"/>
  <c r="K46" i="7"/>
  <c r="L46" i="7"/>
  <c r="M46" i="7"/>
  <c r="N46" i="7"/>
  <c r="O46" i="7"/>
  <c r="P46" i="7"/>
  <c r="D32" i="7"/>
  <c r="D41" i="7"/>
  <c r="D42" i="7"/>
  <c r="E46" i="7"/>
  <c r="E42" i="7"/>
  <c r="E41" i="7"/>
  <c r="E32" i="7"/>
  <c r="D110" i="9"/>
  <c r="E110" i="9"/>
  <c r="F110" i="9"/>
  <c r="C27" i="7"/>
  <c r="C26" i="7"/>
  <c r="C25" i="7"/>
  <c r="C24" i="7"/>
  <c r="C22" i="7"/>
  <c r="C21" i="7"/>
  <c r="C20" i="7"/>
  <c r="C18" i="7"/>
  <c r="C17" i="7"/>
  <c r="C16" i="7"/>
  <c r="C15" i="7"/>
  <c r="C13" i="7"/>
  <c r="C12" i="7"/>
  <c r="C11" i="7"/>
  <c r="C10" i="7"/>
  <c r="C8" i="7"/>
  <c r="C7" i="7"/>
  <c r="C6" i="7"/>
  <c r="AP28" i="3" l="1"/>
  <c r="AP27" i="3"/>
  <c r="AP26" i="3"/>
  <c r="AO4" i="5"/>
  <c r="S29" i="7" s="1"/>
  <c r="AP11" i="3"/>
  <c r="AP14" i="3"/>
  <c r="AP20" i="3"/>
  <c r="AP22" i="3"/>
  <c r="AP23" i="3"/>
  <c r="AP15" i="3"/>
  <c r="AP16" i="3"/>
  <c r="AP17" i="3"/>
  <c r="AP21" i="3"/>
  <c r="AP4" i="3"/>
  <c r="AP6" i="3"/>
  <c r="AP4" i="5"/>
  <c r="T29" i="7" s="1"/>
  <c r="AQ11" i="3"/>
  <c r="AQ14" i="3"/>
  <c r="AQ20" i="3"/>
  <c r="AQ22" i="3"/>
  <c r="AQ23" i="3"/>
  <c r="AQ15" i="3"/>
  <c r="AQ16" i="3"/>
  <c r="AQ17" i="3"/>
  <c r="AQ21" i="3"/>
  <c r="AQ4" i="3"/>
  <c r="AQ6" i="3"/>
  <c r="AN4" i="5"/>
  <c r="R29" i="7" s="1"/>
  <c r="AO11" i="3"/>
  <c r="AO14" i="3"/>
  <c r="AO20" i="3"/>
  <c r="AO22" i="3"/>
  <c r="AO23" i="3"/>
  <c r="AO15" i="3"/>
  <c r="AO16" i="3"/>
  <c r="AO17" i="3"/>
  <c r="AO21" i="3"/>
  <c r="AO4" i="3"/>
  <c r="AO6" i="3"/>
  <c r="AM50" i="1"/>
  <c r="AN50" i="1"/>
  <c r="AM29" i="2"/>
  <c r="AM33" i="2" s="1"/>
  <c r="AM35" i="2" s="1"/>
  <c r="AM37" i="2" s="1"/>
  <c r="AO10" i="3"/>
  <c r="T45" i="7"/>
  <c r="AQ10" i="3"/>
  <c r="AQ29" i="3"/>
  <c r="AR29" i="3"/>
  <c r="T33" i="7"/>
  <c r="T27" i="7"/>
  <c r="T16" i="7"/>
  <c r="R31" i="7"/>
  <c r="S31" i="7"/>
  <c r="AQ25" i="3"/>
  <c r="AR25" i="3"/>
  <c r="T31" i="7"/>
  <c r="AO50" i="1"/>
  <c r="AP50" i="1"/>
  <c r="AR11" i="3"/>
  <c r="AR14" i="3"/>
  <c r="AR20" i="3"/>
  <c r="AR22" i="3"/>
  <c r="AR23" i="3"/>
  <c r="AQ4" i="5"/>
  <c r="U29" i="7" s="1"/>
  <c r="AR15" i="3"/>
  <c r="AR16" i="3"/>
  <c r="AR17" i="3"/>
  <c r="AR21" i="3"/>
  <c r="AR4" i="3"/>
  <c r="AR6" i="3"/>
  <c r="U16" i="7"/>
  <c r="U27" i="7"/>
  <c r="AQ12" i="5"/>
  <c r="U34" i="7" s="1"/>
  <c r="U8" i="7" s="1"/>
  <c r="AS29" i="3"/>
  <c r="AT29" i="3"/>
  <c r="AT12" i="5"/>
  <c r="AV29" i="3"/>
  <c r="AU12" i="5"/>
  <c r="AW29" i="3"/>
  <c r="AV12" i="5"/>
  <c r="AX29" i="3"/>
  <c r="AW12" i="5"/>
  <c r="AY29" i="3"/>
  <c r="AX12" i="5"/>
  <c r="AZ29" i="3"/>
  <c r="AU29" i="3"/>
  <c r="V45" i="7"/>
  <c r="AQ29" i="2"/>
  <c r="AQ33" i="2" s="1"/>
  <c r="AQ35" i="2" s="1"/>
  <c r="AQ37" i="2" s="1"/>
  <c r="AT25" i="3"/>
  <c r="V31" i="7"/>
  <c r="AS11" i="3"/>
  <c r="AS14" i="3"/>
  <c r="AS20" i="3"/>
  <c r="AS22" i="3"/>
  <c r="AS23" i="3"/>
  <c r="AR4" i="5"/>
  <c r="V29" i="7" s="1"/>
  <c r="AS15" i="3"/>
  <c r="AS16" i="3"/>
  <c r="AS17" i="3"/>
  <c r="V22" i="7"/>
  <c r="T18" i="7"/>
  <c r="U18" i="7"/>
  <c r="AS25" i="3"/>
  <c r="U31" i="7"/>
  <c r="U22" i="7"/>
  <c r="U20" i="7"/>
  <c r="V6" i="7"/>
  <c r="V7" i="7"/>
  <c r="U6" i="7"/>
  <c r="U13" i="7"/>
  <c r="U7" i="7"/>
  <c r="V13" i="7"/>
  <c r="AP19" i="2"/>
  <c r="E10" i="7"/>
  <c r="D10" i="7"/>
  <c r="P10" i="7"/>
  <c r="Q43" i="7"/>
  <c r="O43" i="7"/>
  <c r="O10" i="7"/>
  <c r="N43" i="7"/>
  <c r="N10" i="7"/>
  <c r="M10" i="7"/>
  <c r="L10" i="7"/>
  <c r="K43" i="7"/>
  <c r="K10" i="7"/>
  <c r="J43" i="7"/>
  <c r="J10" i="7"/>
  <c r="I10" i="7"/>
  <c r="H10" i="7"/>
  <c r="G43" i="7"/>
  <c r="G10" i="7"/>
  <c r="F10" i="7"/>
  <c r="AN12" i="3"/>
  <c r="Q40" i="7"/>
  <c r="AM47" i="5"/>
  <c r="Q47" i="7"/>
  <c r="Q49" i="7"/>
  <c r="S21" i="7"/>
  <c r="S11" i="7"/>
  <c r="S24" i="7"/>
  <c r="R21" i="7"/>
  <c r="R11" i="7"/>
  <c r="R24" i="7"/>
  <c r="AO29" i="2"/>
  <c r="AO33" i="2" s="1"/>
  <c r="AO35" i="2" s="1"/>
  <c r="AO37" i="2" s="1"/>
  <c r="R8" i="7"/>
  <c r="S8" i="7"/>
  <c r="AP12" i="5"/>
  <c r="T34" i="7" s="1"/>
  <c r="T8" i="7" s="1"/>
  <c r="R13" i="7"/>
  <c r="R6" i="7"/>
  <c r="R7" i="7"/>
  <c r="S6" i="7"/>
  <c r="S7" i="7"/>
  <c r="S13" i="7"/>
  <c r="S44" i="7"/>
  <c r="S16" i="7" s="1"/>
  <c r="AN19" i="2"/>
  <c r="AP10" i="3" s="1"/>
  <c r="R18" i="7"/>
  <c r="R16" i="7"/>
  <c r="AL37" i="1"/>
  <c r="AL48" i="1" s="1"/>
  <c r="AM5" i="5"/>
  <c r="AM25" i="5"/>
  <c r="Q39" i="7" s="1"/>
  <c r="AB26" i="4"/>
  <c r="AM14" i="5"/>
  <c r="AM11" i="5" s="1"/>
  <c r="AN5" i="3"/>
  <c r="AD16" i="4"/>
  <c r="AD24" i="4" s="1"/>
  <c r="P43" i="7"/>
  <c r="AL26" i="1"/>
  <c r="AN15" i="3" s="1"/>
  <c r="AN13" i="3"/>
  <c r="AL39" i="2"/>
  <c r="AM44" i="5"/>
  <c r="AM43" i="5" s="1"/>
  <c r="AM37" i="5"/>
  <c r="AL3" i="2"/>
  <c r="E43" i="7"/>
  <c r="M43" i="7"/>
  <c r="F43" i="7"/>
  <c r="L43" i="7"/>
  <c r="D43" i="7"/>
  <c r="AI4" i="2"/>
  <c r="N48" i="7" s="1"/>
  <c r="N15" i="7" s="1"/>
  <c r="AJ4" i="2"/>
  <c r="O48" i="7" s="1"/>
  <c r="O15" i="7" s="1"/>
  <c r="AK4" i="2"/>
  <c r="AI7" i="2"/>
  <c r="AJ7" i="2"/>
  <c r="AJ3" i="2" s="1"/>
  <c r="AK7" i="2"/>
  <c r="AL39" i="5" s="1"/>
  <c r="AI12" i="2"/>
  <c r="AJ12" i="2"/>
  <c r="AK12" i="2"/>
  <c r="AI20" i="2"/>
  <c r="AJ20" i="2"/>
  <c r="AK20" i="2"/>
  <c r="AI23" i="2"/>
  <c r="N47" i="7" s="1"/>
  <c r="AJ23" i="2"/>
  <c r="AK23" i="2"/>
  <c r="AI30" i="2"/>
  <c r="AJ30" i="2"/>
  <c r="AK30" i="2"/>
  <c r="AB4" i="2"/>
  <c r="AC4" i="2"/>
  <c r="AD4" i="2"/>
  <c r="I48" i="7" s="1"/>
  <c r="I15" i="7" s="1"/>
  <c r="AE4" i="2"/>
  <c r="J48" i="7" s="1"/>
  <c r="J15" i="7" s="1"/>
  <c r="AF4" i="2"/>
  <c r="AG4" i="2"/>
  <c r="AH4" i="2"/>
  <c r="M48" i="7" s="1"/>
  <c r="M15" i="7" s="1"/>
  <c r="AB7" i="2"/>
  <c r="AC7" i="2"/>
  <c r="AD7" i="2"/>
  <c r="AE39" i="5" s="1"/>
  <c r="AE7" i="2"/>
  <c r="AF7" i="2"/>
  <c r="AG39" i="5" s="1"/>
  <c r="AG7" i="2"/>
  <c r="AH39" i="5" s="1"/>
  <c r="AH7" i="2"/>
  <c r="AB12" i="2"/>
  <c r="AC12" i="2"/>
  <c r="AD12" i="2"/>
  <c r="AE12" i="2"/>
  <c r="AF12" i="2"/>
  <c r="AG12" i="2"/>
  <c r="AH12" i="2"/>
  <c r="AB20" i="2"/>
  <c r="AC20" i="2"/>
  <c r="AD20" i="2"/>
  <c r="AE20" i="2"/>
  <c r="AF20" i="2"/>
  <c r="AG20" i="2"/>
  <c r="AH20" i="2"/>
  <c r="AB23" i="2"/>
  <c r="AC23" i="2"/>
  <c r="H47" i="7" s="1"/>
  <c r="AD23" i="2"/>
  <c r="I47" i="7" s="1"/>
  <c r="AE23" i="2"/>
  <c r="J47" i="7" s="1"/>
  <c r="AF23" i="2"/>
  <c r="K47" i="7" s="1"/>
  <c r="AG23" i="2"/>
  <c r="L47" i="7" s="1"/>
  <c r="AH23" i="2"/>
  <c r="M47" i="7" s="1"/>
  <c r="AB30" i="2"/>
  <c r="AC30" i="2"/>
  <c r="AD30" i="2"/>
  <c r="AE30" i="2"/>
  <c r="AF30" i="2"/>
  <c r="AG30" i="2"/>
  <c r="AH30" i="2"/>
  <c r="X25" i="4"/>
  <c r="X16" i="4"/>
  <c r="X24" i="4" s="1"/>
  <c r="W16" i="4"/>
  <c r="Z15" i="4"/>
  <c r="Z14" i="4"/>
  <c r="Z13" i="4"/>
  <c r="Z12" i="4"/>
  <c r="Z11" i="4"/>
  <c r="T25" i="4"/>
  <c r="T16" i="4"/>
  <c r="T24" i="4" s="1"/>
  <c r="S16" i="4"/>
  <c r="V15" i="4"/>
  <c r="V14" i="4"/>
  <c r="V13" i="4"/>
  <c r="V12" i="4"/>
  <c r="V11" i="4"/>
  <c r="P16" i="4"/>
  <c r="P24" i="4" s="1"/>
  <c r="O16" i="4"/>
  <c r="O24" i="4" s="1"/>
  <c r="R15" i="4"/>
  <c r="R14" i="4"/>
  <c r="R13" i="4"/>
  <c r="R12" i="4"/>
  <c r="R11" i="4"/>
  <c r="L25" i="4"/>
  <c r="L16" i="4"/>
  <c r="L24" i="4" s="1"/>
  <c r="K16" i="4"/>
  <c r="N15" i="4"/>
  <c r="N14" i="4"/>
  <c r="N13" i="4"/>
  <c r="N12" i="4"/>
  <c r="N11" i="4"/>
  <c r="AK6" i="5"/>
  <c r="AL6" i="5"/>
  <c r="AK7" i="5"/>
  <c r="AL7" i="5"/>
  <c r="AK8" i="5"/>
  <c r="AL8" i="5"/>
  <c r="AK15" i="5"/>
  <c r="AL15" i="5"/>
  <c r="AK17" i="5"/>
  <c r="AL17" i="5"/>
  <c r="AK18" i="5"/>
  <c r="AL18" i="5"/>
  <c r="AK19" i="5"/>
  <c r="AL19" i="5"/>
  <c r="AK20" i="5"/>
  <c r="AL20" i="5"/>
  <c r="AK22" i="5"/>
  <c r="AL22" i="5"/>
  <c r="AK26" i="5"/>
  <c r="AL26" i="5"/>
  <c r="AK27" i="5"/>
  <c r="O38" i="7" s="1"/>
  <c r="AL27" i="5"/>
  <c r="AK31" i="5"/>
  <c r="AL31" i="5"/>
  <c r="AK32" i="5"/>
  <c r="AL32" i="5"/>
  <c r="AK35" i="5"/>
  <c r="O37" i="7" s="1"/>
  <c r="AL35" i="5"/>
  <c r="P37" i="7" s="1"/>
  <c r="AK38" i="5"/>
  <c r="AL38" i="5"/>
  <c r="AK39" i="5"/>
  <c r="AK40" i="5"/>
  <c r="AL40" i="5"/>
  <c r="AK44" i="5"/>
  <c r="AL44" i="5"/>
  <c r="AK45" i="5"/>
  <c r="AL45" i="5"/>
  <c r="AK46" i="5"/>
  <c r="AL46" i="5"/>
  <c r="AK47" i="5"/>
  <c r="AL47" i="5"/>
  <c r="AA6" i="5"/>
  <c r="AB6" i="5"/>
  <c r="AD26" i="3" s="1"/>
  <c r="AC6" i="5"/>
  <c r="AE26" i="3" s="1"/>
  <c r="AD6" i="5"/>
  <c r="AE6" i="5"/>
  <c r="AF6" i="5"/>
  <c r="AG6" i="5"/>
  <c r="AH6" i="5"/>
  <c r="AJ26" i="3" s="1"/>
  <c r="AI6" i="5"/>
  <c r="AJ6" i="5"/>
  <c r="AL26" i="3" s="1"/>
  <c r="AA7" i="5"/>
  <c r="AB7" i="5"/>
  <c r="AC7" i="5"/>
  <c r="AD7" i="5"/>
  <c r="AE7" i="5"/>
  <c r="AF7" i="5"/>
  <c r="AH27" i="3" s="1"/>
  <c r="AG7" i="5"/>
  <c r="AH7" i="5"/>
  <c r="AI7" i="5"/>
  <c r="AK27" i="3" s="1"/>
  <c r="AJ7" i="5"/>
  <c r="AA8" i="5"/>
  <c r="AB8" i="5"/>
  <c r="AC8" i="5"/>
  <c r="AD8" i="5"/>
  <c r="AE8" i="5"/>
  <c r="AF8" i="5"/>
  <c r="AG8" i="5"/>
  <c r="AH8" i="5"/>
  <c r="AI8" i="5"/>
  <c r="AJ8" i="5"/>
  <c r="AA15" i="5"/>
  <c r="AB15" i="5"/>
  <c r="AC15" i="5"/>
  <c r="AD15" i="5"/>
  <c r="AE15" i="5"/>
  <c r="AF15" i="5"/>
  <c r="AG15" i="5"/>
  <c r="AH15" i="5"/>
  <c r="AI15" i="5"/>
  <c r="AJ15" i="5"/>
  <c r="AA17" i="5"/>
  <c r="AB17" i="5"/>
  <c r="AC17" i="5"/>
  <c r="AD17" i="5"/>
  <c r="AE17" i="5"/>
  <c r="AF17" i="5"/>
  <c r="AG17" i="5"/>
  <c r="AH17" i="5"/>
  <c r="AI17" i="5"/>
  <c r="AJ17" i="5"/>
  <c r="AA18" i="5"/>
  <c r="AB18" i="5"/>
  <c r="AC18" i="5"/>
  <c r="AD18" i="5"/>
  <c r="AE18" i="5"/>
  <c r="AF18" i="5"/>
  <c r="AG18" i="5"/>
  <c r="AH18" i="5"/>
  <c r="AI18" i="5"/>
  <c r="AJ18" i="5"/>
  <c r="AA19" i="5"/>
  <c r="AB19" i="5"/>
  <c r="AC19" i="5"/>
  <c r="AD19" i="5"/>
  <c r="AE19" i="5"/>
  <c r="AF19" i="5"/>
  <c r="AG19" i="5"/>
  <c r="AH19" i="5"/>
  <c r="AI19" i="5"/>
  <c r="AJ19" i="5"/>
  <c r="AA20" i="5"/>
  <c r="AB20" i="5"/>
  <c r="AC20" i="5"/>
  <c r="AD20" i="5"/>
  <c r="AE20" i="5"/>
  <c r="AF20" i="5"/>
  <c r="AG20" i="5"/>
  <c r="AH20" i="5"/>
  <c r="AI20" i="5"/>
  <c r="AJ20" i="5"/>
  <c r="AA22" i="5"/>
  <c r="AB22" i="5"/>
  <c r="AC22" i="5"/>
  <c r="AD22" i="5"/>
  <c r="AE22" i="5"/>
  <c r="AF22" i="5"/>
  <c r="AG22" i="5"/>
  <c r="AH22" i="5"/>
  <c r="AI22" i="5"/>
  <c r="AJ22" i="5"/>
  <c r="AA26" i="5"/>
  <c r="AB26" i="5"/>
  <c r="AC26" i="5"/>
  <c r="AD26" i="5"/>
  <c r="AE26" i="5"/>
  <c r="AF26" i="5"/>
  <c r="AG26" i="5"/>
  <c r="AH26" i="5"/>
  <c r="AI26" i="5"/>
  <c r="AJ26" i="5"/>
  <c r="AA27" i="5"/>
  <c r="E38" i="7" s="1"/>
  <c r="AB27" i="5"/>
  <c r="F38" i="7" s="1"/>
  <c r="AC27" i="5"/>
  <c r="G38" i="7" s="1"/>
  <c r="AD27" i="5"/>
  <c r="H38" i="7" s="1"/>
  <c r="AE27" i="5"/>
  <c r="I38" i="7" s="1"/>
  <c r="AF27" i="5"/>
  <c r="J38" i="7" s="1"/>
  <c r="AG27" i="5"/>
  <c r="K38" i="7" s="1"/>
  <c r="AH27" i="5"/>
  <c r="L38" i="7" s="1"/>
  <c r="AI27" i="5"/>
  <c r="M38" i="7" s="1"/>
  <c r="AJ27" i="5"/>
  <c r="N38" i="7" s="1"/>
  <c r="AA31" i="5"/>
  <c r="AB31" i="5"/>
  <c r="AD28" i="3" s="1"/>
  <c r="AC31" i="5"/>
  <c r="AD31" i="5"/>
  <c r="AF28" i="3" s="1"/>
  <c r="AE31" i="5"/>
  <c r="AG28" i="3" s="1"/>
  <c r="AF31" i="5"/>
  <c r="AG31" i="5"/>
  <c r="AH31" i="5"/>
  <c r="AJ28" i="3" s="1"/>
  <c r="AI31" i="5"/>
  <c r="AJ31" i="5"/>
  <c r="AL28" i="3" s="1"/>
  <c r="AA32" i="5"/>
  <c r="AB32" i="5"/>
  <c r="AC32" i="5"/>
  <c r="AD32" i="5"/>
  <c r="AE32" i="5"/>
  <c r="AF32" i="5"/>
  <c r="AG32" i="5"/>
  <c r="AH32" i="5"/>
  <c r="AI32" i="5"/>
  <c r="AJ32" i="5"/>
  <c r="AA35" i="5"/>
  <c r="E37" i="7" s="1"/>
  <c r="AB35" i="5"/>
  <c r="F37" i="7" s="1"/>
  <c r="AC35" i="5"/>
  <c r="G37" i="7" s="1"/>
  <c r="AD35" i="5"/>
  <c r="H37" i="7" s="1"/>
  <c r="AE35" i="5"/>
  <c r="I37" i="7" s="1"/>
  <c r="AF35" i="5"/>
  <c r="J37" i="7" s="1"/>
  <c r="AG35" i="5"/>
  <c r="K37" i="7" s="1"/>
  <c r="AH35" i="5"/>
  <c r="L37" i="7" s="1"/>
  <c r="AI35" i="5"/>
  <c r="M37" i="7" s="1"/>
  <c r="AJ35" i="5"/>
  <c r="N37" i="7" s="1"/>
  <c r="AA38" i="5"/>
  <c r="AB38" i="5"/>
  <c r="AC38" i="5"/>
  <c r="AD38" i="5"/>
  <c r="AE38" i="5"/>
  <c r="AF38" i="5"/>
  <c r="AG38" i="5"/>
  <c r="AH38" i="5"/>
  <c r="AI38" i="5"/>
  <c r="AJ38" i="5"/>
  <c r="AC39" i="5"/>
  <c r="AD39" i="5"/>
  <c r="AF39" i="5"/>
  <c r="AI39" i="5"/>
  <c r="AA40" i="5"/>
  <c r="AB40" i="5"/>
  <c r="AC40" i="5"/>
  <c r="AD40" i="5"/>
  <c r="AE40" i="5"/>
  <c r="AF40" i="5"/>
  <c r="AG40" i="5"/>
  <c r="AH40" i="5"/>
  <c r="AI40" i="5"/>
  <c r="AJ40" i="5"/>
  <c r="AA44" i="5"/>
  <c r="AB44" i="5"/>
  <c r="AC44" i="5"/>
  <c r="AD44" i="5"/>
  <c r="AE44" i="5"/>
  <c r="AF44" i="5"/>
  <c r="AG44" i="5"/>
  <c r="AH44" i="5"/>
  <c r="AI44" i="5"/>
  <c r="AJ44" i="5"/>
  <c r="AA45" i="5"/>
  <c r="AB45" i="5"/>
  <c r="AC45" i="5"/>
  <c r="AD45" i="5"/>
  <c r="AE45" i="5"/>
  <c r="AF45" i="5"/>
  <c r="AG45" i="5"/>
  <c r="AH45" i="5"/>
  <c r="AI45" i="5"/>
  <c r="AJ45" i="5"/>
  <c r="AA46" i="5"/>
  <c r="AB46" i="5"/>
  <c r="AC46" i="5"/>
  <c r="AD46" i="5"/>
  <c r="AE46" i="5"/>
  <c r="AF46" i="5"/>
  <c r="AG46" i="5"/>
  <c r="AH46" i="5"/>
  <c r="AI46" i="5"/>
  <c r="AJ46" i="5"/>
  <c r="AD47" i="5"/>
  <c r="AE47" i="5"/>
  <c r="AH47" i="5"/>
  <c r="AJ47" i="5"/>
  <c r="AB3" i="3"/>
  <c r="AB19" i="3" s="1"/>
  <c r="AC3" i="3"/>
  <c r="AC19" i="3" s="1"/>
  <c r="AD3" i="3"/>
  <c r="AD19" i="3" s="1"/>
  <c r="AE3" i="3"/>
  <c r="AE19" i="3" s="1"/>
  <c r="AF3" i="3"/>
  <c r="AF19" i="3" s="1"/>
  <c r="AG3" i="3"/>
  <c r="AG19" i="3" s="1"/>
  <c r="AH3" i="3"/>
  <c r="AH19" i="3" s="1"/>
  <c r="AI3" i="3"/>
  <c r="AJ3" i="3"/>
  <c r="AJ19" i="3" s="1"/>
  <c r="AK3" i="3"/>
  <c r="AK19" i="3" s="1"/>
  <c r="AG26" i="3"/>
  <c r="AH26" i="3"/>
  <c r="AE27" i="3"/>
  <c r="AF27" i="3"/>
  <c r="AG27" i="3"/>
  <c r="AI28" i="3"/>
  <c r="Z30" i="2"/>
  <c r="AA30" i="2"/>
  <c r="Z23" i="2"/>
  <c r="AA23" i="2"/>
  <c r="Z20" i="2"/>
  <c r="AA20" i="2"/>
  <c r="Z12" i="2"/>
  <c r="AA12" i="2"/>
  <c r="Z7" i="2"/>
  <c r="AA39" i="5" s="1"/>
  <c r="AA7" i="2"/>
  <c r="AB39" i="5" s="1"/>
  <c r="Z4" i="2"/>
  <c r="E48" i="7" s="1"/>
  <c r="E15" i="7" s="1"/>
  <c r="AA4" i="2"/>
  <c r="F48" i="7" s="1"/>
  <c r="F15" i="7" s="1"/>
  <c r="AB4" i="1"/>
  <c r="AC4" i="1"/>
  <c r="AD4" i="1"/>
  <c r="I40" i="7" s="1"/>
  <c r="AE4" i="1"/>
  <c r="J40" i="7" s="1"/>
  <c r="AF4" i="1"/>
  <c r="K40" i="7" s="1"/>
  <c r="AG4" i="1"/>
  <c r="AH4" i="1"/>
  <c r="M40" i="7" s="1"/>
  <c r="AI4" i="1"/>
  <c r="AJ4" i="1"/>
  <c r="AK4" i="1"/>
  <c r="AB8" i="1"/>
  <c r="AC8" i="1"/>
  <c r="AD8" i="1"/>
  <c r="AE8" i="1"/>
  <c r="AF8" i="1"/>
  <c r="AG8" i="1"/>
  <c r="AH8" i="1"/>
  <c r="AI8" i="1"/>
  <c r="AJ8" i="1"/>
  <c r="AK8" i="1"/>
  <c r="AB13" i="1"/>
  <c r="AC30" i="5" s="1"/>
  <c r="AC13" i="1"/>
  <c r="AD30" i="5" s="1"/>
  <c r="AD13" i="1"/>
  <c r="AE30" i="5" s="1"/>
  <c r="AE13" i="1"/>
  <c r="AF30" i="5" s="1"/>
  <c r="AF13" i="1"/>
  <c r="AG30" i="5" s="1"/>
  <c r="AG13" i="1"/>
  <c r="AH30" i="5" s="1"/>
  <c r="AH13" i="1"/>
  <c r="AI30" i="5" s="1"/>
  <c r="AI13" i="1"/>
  <c r="AJ30" i="5" s="1"/>
  <c r="AJ13" i="1"/>
  <c r="AK30" i="5" s="1"/>
  <c r="AK13" i="1"/>
  <c r="AL30" i="5" s="1"/>
  <c r="AB16" i="1"/>
  <c r="AC16" i="1"/>
  <c r="AD16" i="1"/>
  <c r="AE16" i="1"/>
  <c r="AF16" i="1"/>
  <c r="AG16" i="1"/>
  <c r="AH16" i="1"/>
  <c r="AI16" i="1"/>
  <c r="AJ16" i="1"/>
  <c r="AK16" i="1"/>
  <c r="AB20" i="1"/>
  <c r="AC20" i="1"/>
  <c r="AD20" i="1"/>
  <c r="AE20" i="1"/>
  <c r="AF20" i="1"/>
  <c r="AG34" i="5" s="1"/>
  <c r="K36" i="7" s="1"/>
  <c r="AG20" i="1"/>
  <c r="AH34" i="5" s="1"/>
  <c r="L36" i="7" s="1"/>
  <c r="AH20" i="1"/>
  <c r="AI20" i="1"/>
  <c r="AJ20" i="1"/>
  <c r="AK20" i="1"/>
  <c r="AB30" i="1"/>
  <c r="AC30" i="1"/>
  <c r="AD30" i="1"/>
  <c r="AE30" i="1"/>
  <c r="AE37" i="1" s="1"/>
  <c r="AF30" i="1"/>
  <c r="AG5" i="5" s="1"/>
  <c r="AG30" i="1"/>
  <c r="AH30" i="1"/>
  <c r="AI30" i="1"/>
  <c r="AJ30" i="1"/>
  <c r="AK30" i="1"/>
  <c r="AM5" i="3" s="1"/>
  <c r="AB37" i="1"/>
  <c r="AC37" i="1"/>
  <c r="AJ37" i="1"/>
  <c r="AK37" i="1"/>
  <c r="AB47" i="1"/>
  <c r="AC47" i="1"/>
  <c r="AD47" i="1"/>
  <c r="AE47" i="1"/>
  <c r="AF47" i="1"/>
  <c r="AG47" i="1"/>
  <c r="AH47" i="1"/>
  <c r="AI47" i="1"/>
  <c r="AJ47" i="1"/>
  <c r="AK47" i="1"/>
  <c r="Z47" i="1"/>
  <c r="AA47" i="1"/>
  <c r="Z30" i="1"/>
  <c r="AA30" i="1"/>
  <c r="Z20" i="1"/>
  <c r="AA20" i="1"/>
  <c r="Z16" i="1"/>
  <c r="AA16" i="1"/>
  <c r="Z13" i="1"/>
  <c r="AA30" i="5" s="1"/>
  <c r="AA13" i="1"/>
  <c r="AB30" i="5" s="1"/>
  <c r="Z8" i="1"/>
  <c r="AA8" i="1"/>
  <c r="Z4" i="1"/>
  <c r="E40" i="7" s="1"/>
  <c r="AA4" i="1"/>
  <c r="F40" i="7" s="1"/>
  <c r="Y28" i="2"/>
  <c r="Y13" i="2"/>
  <c r="D46" i="7" s="1"/>
  <c r="Y27" i="2"/>
  <c r="D22" i="5"/>
  <c r="D21" i="5" s="1"/>
  <c r="E22" i="5"/>
  <c r="E21" i="5" s="1"/>
  <c r="F22" i="5"/>
  <c r="F21" i="5" s="1"/>
  <c r="G22" i="5"/>
  <c r="G21" i="5" s="1"/>
  <c r="H22" i="5"/>
  <c r="H21" i="5" s="1"/>
  <c r="I22" i="5"/>
  <c r="I21" i="5" s="1"/>
  <c r="J22" i="5"/>
  <c r="J21" i="5" s="1"/>
  <c r="K22" i="5"/>
  <c r="K21" i="5" s="1"/>
  <c r="L22" i="5"/>
  <c r="L21" i="5" s="1"/>
  <c r="M22" i="5"/>
  <c r="M21" i="5" s="1"/>
  <c r="N22" i="5"/>
  <c r="N21" i="5" s="1"/>
  <c r="O22" i="5"/>
  <c r="O21" i="5" s="1"/>
  <c r="P22" i="5"/>
  <c r="P21" i="5" s="1"/>
  <c r="Q22" i="5"/>
  <c r="Q21" i="5" s="1"/>
  <c r="R22" i="5"/>
  <c r="R21" i="5" s="1"/>
  <c r="S22" i="5"/>
  <c r="S21" i="5" s="1"/>
  <c r="T22" i="5"/>
  <c r="T21" i="5" s="1"/>
  <c r="U22" i="5"/>
  <c r="U21" i="5" s="1"/>
  <c r="V22" i="5"/>
  <c r="V21" i="5" s="1"/>
  <c r="W22" i="5"/>
  <c r="W21" i="5" s="1"/>
  <c r="X22" i="5"/>
  <c r="X21" i="5" s="1"/>
  <c r="Y22" i="5"/>
  <c r="Y21" i="5" s="1"/>
  <c r="Z22" i="5"/>
  <c r="Y41" i="1"/>
  <c r="Y25" i="1"/>
  <c r="Y11" i="2"/>
  <c r="Q6" i="5"/>
  <c r="R6" i="5"/>
  <c r="S6" i="5"/>
  <c r="T6" i="5"/>
  <c r="U6" i="5"/>
  <c r="V6" i="5"/>
  <c r="W6" i="5"/>
  <c r="X6" i="5"/>
  <c r="Y6" i="5"/>
  <c r="Z6" i="5"/>
  <c r="Q7" i="5"/>
  <c r="R7" i="5"/>
  <c r="S7" i="5"/>
  <c r="T7" i="5"/>
  <c r="U7" i="5"/>
  <c r="V7" i="5"/>
  <c r="W7" i="5"/>
  <c r="Y27" i="3" s="1"/>
  <c r="X7" i="5"/>
  <c r="Z27" i="3" s="1"/>
  <c r="Y7" i="5"/>
  <c r="Z7" i="5"/>
  <c r="AB27" i="3" s="1"/>
  <c r="Q8" i="5"/>
  <c r="R8" i="5"/>
  <c r="S8" i="5"/>
  <c r="T8" i="5"/>
  <c r="U8" i="5"/>
  <c r="V8" i="5"/>
  <c r="W8" i="5"/>
  <c r="X8" i="5"/>
  <c r="Y8" i="5"/>
  <c r="Z8" i="5"/>
  <c r="Q15" i="5"/>
  <c r="R15" i="5"/>
  <c r="S15" i="5"/>
  <c r="T15" i="5"/>
  <c r="U15" i="5"/>
  <c r="V15" i="5"/>
  <c r="W15" i="5"/>
  <c r="X15" i="5"/>
  <c r="Y15" i="5"/>
  <c r="Q17" i="5"/>
  <c r="R17" i="5"/>
  <c r="S17" i="5"/>
  <c r="T17" i="5"/>
  <c r="U17" i="5"/>
  <c r="V17" i="5"/>
  <c r="W17" i="5"/>
  <c r="X17" i="5"/>
  <c r="Y17" i="5"/>
  <c r="Q18" i="5"/>
  <c r="R18" i="5"/>
  <c r="S18" i="5"/>
  <c r="T18" i="5"/>
  <c r="U18" i="5"/>
  <c r="V18" i="5"/>
  <c r="W18" i="5"/>
  <c r="X18" i="5"/>
  <c r="Y18" i="5"/>
  <c r="Z18" i="5"/>
  <c r="Q19" i="5"/>
  <c r="R19" i="5"/>
  <c r="S19" i="5"/>
  <c r="T19" i="5"/>
  <c r="U19" i="5"/>
  <c r="V19" i="5"/>
  <c r="W19" i="5"/>
  <c r="X19" i="5"/>
  <c r="Y19" i="5"/>
  <c r="Q20" i="5"/>
  <c r="R20" i="5"/>
  <c r="S20" i="5"/>
  <c r="T20" i="5"/>
  <c r="U20" i="5"/>
  <c r="V20" i="5"/>
  <c r="W20" i="5"/>
  <c r="X20" i="5"/>
  <c r="Y20" i="5"/>
  <c r="Q26" i="5"/>
  <c r="R26" i="5"/>
  <c r="S26" i="5"/>
  <c r="T26" i="5"/>
  <c r="U26" i="5"/>
  <c r="V26" i="5"/>
  <c r="W26" i="5"/>
  <c r="X26" i="5"/>
  <c r="Y26" i="5"/>
  <c r="Z26" i="5"/>
  <c r="Q27" i="5"/>
  <c r="R27" i="5"/>
  <c r="S27" i="5"/>
  <c r="T27" i="5"/>
  <c r="U27" i="5"/>
  <c r="V27" i="5"/>
  <c r="W27" i="5"/>
  <c r="X27" i="5"/>
  <c r="Y27" i="5"/>
  <c r="Z27" i="5"/>
  <c r="D38" i="7" s="1"/>
  <c r="Q31" i="5"/>
  <c r="R31" i="5"/>
  <c r="T28" i="3" s="1"/>
  <c r="S31" i="5"/>
  <c r="T31" i="5"/>
  <c r="U31" i="5"/>
  <c r="V31" i="5"/>
  <c r="W31" i="5"/>
  <c r="X31" i="5"/>
  <c r="Y31" i="5"/>
  <c r="AA28" i="3" s="1"/>
  <c r="Z31" i="5"/>
  <c r="AB28" i="3" s="1"/>
  <c r="Q32" i="5"/>
  <c r="R32" i="5"/>
  <c r="S32" i="5"/>
  <c r="T32" i="5"/>
  <c r="U32" i="5"/>
  <c r="V32" i="5"/>
  <c r="W32" i="5"/>
  <c r="X32" i="5"/>
  <c r="Y32" i="5"/>
  <c r="Z32" i="5"/>
  <c r="Q35" i="5"/>
  <c r="R35" i="5"/>
  <c r="S35" i="5"/>
  <c r="T35" i="5"/>
  <c r="U35" i="5"/>
  <c r="V35" i="5"/>
  <c r="W35" i="5"/>
  <c r="X35" i="5"/>
  <c r="Y35" i="5"/>
  <c r="Z35" i="5"/>
  <c r="D37" i="7" s="1"/>
  <c r="Q38" i="5"/>
  <c r="R38" i="5"/>
  <c r="S38" i="5"/>
  <c r="T38" i="5"/>
  <c r="U38" i="5"/>
  <c r="V38" i="5"/>
  <c r="W38" i="5"/>
  <c r="X38" i="5"/>
  <c r="Y38" i="5"/>
  <c r="Z38" i="5"/>
  <c r="Q40" i="5"/>
  <c r="R40" i="5"/>
  <c r="S40" i="5"/>
  <c r="T40" i="5"/>
  <c r="U40" i="5"/>
  <c r="V40" i="5"/>
  <c r="W40" i="5"/>
  <c r="X40" i="5"/>
  <c r="Y40" i="5"/>
  <c r="Z40" i="5"/>
  <c r="Q44" i="5"/>
  <c r="R44" i="5"/>
  <c r="S44" i="5"/>
  <c r="T44" i="5"/>
  <c r="U44" i="5"/>
  <c r="V44" i="5"/>
  <c r="W44" i="5"/>
  <c r="X44" i="5"/>
  <c r="Y44" i="5"/>
  <c r="Z44" i="5"/>
  <c r="Q45" i="5"/>
  <c r="R45" i="5"/>
  <c r="S45" i="5"/>
  <c r="T45" i="5"/>
  <c r="U45" i="5"/>
  <c r="V45" i="5"/>
  <c r="W45" i="5"/>
  <c r="X45" i="5"/>
  <c r="Y45" i="5"/>
  <c r="Z45" i="5"/>
  <c r="Q46" i="5"/>
  <c r="R46" i="5"/>
  <c r="S46" i="5"/>
  <c r="T46" i="5"/>
  <c r="U46" i="5"/>
  <c r="V46" i="5"/>
  <c r="W46" i="5"/>
  <c r="X46" i="5"/>
  <c r="Y46" i="5"/>
  <c r="Z46" i="5"/>
  <c r="AA26" i="3"/>
  <c r="AA27" i="3"/>
  <c r="V3" i="3"/>
  <c r="V19" i="3" s="1"/>
  <c r="W3" i="3"/>
  <c r="W19" i="3" s="1"/>
  <c r="X3" i="3"/>
  <c r="Y3" i="3"/>
  <c r="Y19" i="3" s="1"/>
  <c r="Z3" i="3"/>
  <c r="X19" i="3"/>
  <c r="Z19" i="3"/>
  <c r="V26" i="3"/>
  <c r="W26" i="3"/>
  <c r="X26" i="3"/>
  <c r="Y26" i="3"/>
  <c r="Z26" i="3"/>
  <c r="V27" i="3"/>
  <c r="W27" i="3"/>
  <c r="X27" i="3"/>
  <c r="V28" i="3"/>
  <c r="W28" i="3"/>
  <c r="X28" i="3"/>
  <c r="Y28" i="3"/>
  <c r="Z28" i="3"/>
  <c r="Y23" i="2"/>
  <c r="D47" i="7" s="1"/>
  <c r="H25" i="4"/>
  <c r="E12" i="4"/>
  <c r="E13" i="4"/>
  <c r="E14" i="4"/>
  <c r="E15" i="4"/>
  <c r="E11" i="4"/>
  <c r="C16" i="4"/>
  <c r="J12" i="4"/>
  <c r="J13" i="4"/>
  <c r="J14" i="4"/>
  <c r="J15" i="4"/>
  <c r="J11" i="4"/>
  <c r="J16" i="4" s="1"/>
  <c r="H16" i="4"/>
  <c r="G16" i="4"/>
  <c r="B16" i="4"/>
  <c r="Y43" i="1"/>
  <c r="U8" i="1"/>
  <c r="V8" i="1"/>
  <c r="W8" i="1"/>
  <c r="X8" i="1"/>
  <c r="Y8" i="1"/>
  <c r="Y4" i="1"/>
  <c r="Y13" i="1"/>
  <c r="Z30" i="5" s="1"/>
  <c r="Y16" i="1"/>
  <c r="Y20" i="1"/>
  <c r="Y30" i="1"/>
  <c r="Y37" i="1"/>
  <c r="Y47" i="1"/>
  <c r="Y48" i="1" s="1"/>
  <c r="Y4" i="2"/>
  <c r="D48" i="7" s="1"/>
  <c r="D15" i="7" s="1"/>
  <c r="Y7" i="2"/>
  <c r="Z39" i="5" s="1"/>
  <c r="Y12" i="2"/>
  <c r="D49" i="7" s="1"/>
  <c r="Y20" i="2"/>
  <c r="Y30" i="2"/>
  <c r="Y39" i="2"/>
  <c r="P30" i="2"/>
  <c r="Q30" i="2"/>
  <c r="R30" i="2"/>
  <c r="S30" i="2"/>
  <c r="T30" i="2"/>
  <c r="P23" i="2"/>
  <c r="Q47" i="5" s="1"/>
  <c r="Q23" i="2"/>
  <c r="R47" i="5" s="1"/>
  <c r="R23" i="2"/>
  <c r="S47" i="5" s="1"/>
  <c r="S23" i="2"/>
  <c r="T47" i="5" s="1"/>
  <c r="T23" i="2"/>
  <c r="P20" i="2"/>
  <c r="Q20" i="2"/>
  <c r="R20" i="2"/>
  <c r="S20" i="2"/>
  <c r="T20" i="2"/>
  <c r="P12" i="2"/>
  <c r="P39" i="2" s="1"/>
  <c r="Q12" i="2"/>
  <c r="R12" i="2"/>
  <c r="S12" i="2"/>
  <c r="T12" i="2"/>
  <c r="P7" i="2"/>
  <c r="Q39" i="5" s="1"/>
  <c r="Q7" i="2"/>
  <c r="R39" i="5" s="1"/>
  <c r="R7" i="2"/>
  <c r="S39" i="5" s="1"/>
  <c r="S7" i="2"/>
  <c r="T39" i="5" s="1"/>
  <c r="T7" i="2"/>
  <c r="U39" i="5" s="1"/>
  <c r="U7" i="2"/>
  <c r="V39" i="5" s="1"/>
  <c r="P30" i="1"/>
  <c r="Q30" i="1"/>
  <c r="R30" i="1"/>
  <c r="S30" i="1"/>
  <c r="T30" i="1"/>
  <c r="P20" i="1"/>
  <c r="Q20" i="1"/>
  <c r="R20" i="1"/>
  <c r="S20" i="1"/>
  <c r="T20" i="1"/>
  <c r="P16" i="1"/>
  <c r="Q16" i="1"/>
  <c r="R34" i="5" s="1"/>
  <c r="R16" i="1"/>
  <c r="S34" i="5" s="1"/>
  <c r="S16" i="1"/>
  <c r="T34" i="5" s="1"/>
  <c r="T16" i="1"/>
  <c r="U34" i="5" s="1"/>
  <c r="P13" i="1"/>
  <c r="Q30" i="5" s="1"/>
  <c r="Q13" i="1"/>
  <c r="R30" i="5" s="1"/>
  <c r="R13" i="1"/>
  <c r="S30" i="5" s="1"/>
  <c r="S13" i="1"/>
  <c r="T30" i="5" s="1"/>
  <c r="T13" i="1"/>
  <c r="U30" i="5" s="1"/>
  <c r="P8" i="1"/>
  <c r="Q8" i="1"/>
  <c r="R8" i="1"/>
  <c r="S8" i="1"/>
  <c r="T8" i="1"/>
  <c r="N6" i="5"/>
  <c r="O6" i="5"/>
  <c r="Q26" i="3" s="1"/>
  <c r="P6" i="5"/>
  <c r="R26" i="3" s="1"/>
  <c r="N7" i="5"/>
  <c r="O7" i="5"/>
  <c r="P7" i="5"/>
  <c r="S27" i="3" s="1"/>
  <c r="N8" i="5"/>
  <c r="O8" i="5"/>
  <c r="P8" i="5"/>
  <c r="N15" i="5"/>
  <c r="O15" i="5"/>
  <c r="P15" i="5"/>
  <c r="N17" i="5"/>
  <c r="O17" i="5"/>
  <c r="P17" i="5"/>
  <c r="N18" i="5"/>
  <c r="O18" i="5"/>
  <c r="P18" i="5"/>
  <c r="N19" i="5"/>
  <c r="O19" i="5"/>
  <c r="P19" i="5"/>
  <c r="N20" i="5"/>
  <c r="O20" i="5"/>
  <c r="P20" i="5"/>
  <c r="N26" i="5"/>
  <c r="O26" i="5"/>
  <c r="P26" i="5"/>
  <c r="N27" i="5"/>
  <c r="O27" i="5"/>
  <c r="P27" i="5"/>
  <c r="N31" i="5"/>
  <c r="O31" i="5"/>
  <c r="P31" i="5"/>
  <c r="N32" i="5"/>
  <c r="O32" i="5"/>
  <c r="P32" i="5"/>
  <c r="N35" i="5"/>
  <c r="O35" i="5"/>
  <c r="P35" i="5"/>
  <c r="N38" i="5"/>
  <c r="O38" i="5"/>
  <c r="P38" i="5"/>
  <c r="N40" i="5"/>
  <c r="O40" i="5"/>
  <c r="P40" i="5"/>
  <c r="N44" i="5"/>
  <c r="O44" i="5"/>
  <c r="P44" i="5"/>
  <c r="N45" i="5"/>
  <c r="O45" i="5"/>
  <c r="P45" i="5"/>
  <c r="N46" i="5"/>
  <c r="O46" i="5"/>
  <c r="P46" i="5"/>
  <c r="O3" i="3"/>
  <c r="P3" i="3"/>
  <c r="P19" i="3" s="1"/>
  <c r="Q3" i="3"/>
  <c r="Q19" i="3" s="1"/>
  <c r="R3" i="3"/>
  <c r="S3" i="3"/>
  <c r="T3" i="3"/>
  <c r="T19" i="3" s="1"/>
  <c r="U3" i="3"/>
  <c r="U5" i="3" s="1"/>
  <c r="U19" i="3"/>
  <c r="S19" i="3"/>
  <c r="Q27" i="3"/>
  <c r="R27" i="3"/>
  <c r="U27" i="3"/>
  <c r="Q28" i="3"/>
  <c r="R28" i="3"/>
  <c r="M30" i="2"/>
  <c r="N30" i="2"/>
  <c r="O30" i="2"/>
  <c r="U30" i="2"/>
  <c r="V30" i="2"/>
  <c r="W30" i="2"/>
  <c r="X30" i="2"/>
  <c r="M23" i="2"/>
  <c r="N23" i="2"/>
  <c r="O23" i="2"/>
  <c r="U23" i="2"/>
  <c r="V23" i="2"/>
  <c r="W23" i="2"/>
  <c r="X23" i="2"/>
  <c r="M20" i="2"/>
  <c r="N20" i="2"/>
  <c r="O20" i="2"/>
  <c r="U20" i="2"/>
  <c r="V20" i="2"/>
  <c r="W20" i="2"/>
  <c r="X20" i="2"/>
  <c r="M12" i="2"/>
  <c r="M39" i="2"/>
  <c r="N12" i="2"/>
  <c r="N39" i="2"/>
  <c r="O12" i="2"/>
  <c r="S39" i="2"/>
  <c r="T39" i="2"/>
  <c r="U12" i="2"/>
  <c r="U39" i="2" s="1"/>
  <c r="V12" i="2"/>
  <c r="W12" i="2"/>
  <c r="W39" i="2" s="1"/>
  <c r="X12" i="2"/>
  <c r="M7" i="2"/>
  <c r="N39" i="5" s="1"/>
  <c r="N7" i="2"/>
  <c r="O39" i="5" s="1"/>
  <c r="O7" i="2"/>
  <c r="P39" i="5" s="1"/>
  <c r="V7" i="2"/>
  <c r="W39" i="5" s="1"/>
  <c r="W7" i="2"/>
  <c r="X39" i="5" s="1"/>
  <c r="X7" i="2"/>
  <c r="Y39" i="5" s="1"/>
  <c r="N4" i="2"/>
  <c r="N3" i="2"/>
  <c r="N19" i="2"/>
  <c r="N29" i="2" s="1"/>
  <c r="N33" i="2" s="1"/>
  <c r="N35" i="2" s="1"/>
  <c r="N37" i="2" s="1"/>
  <c r="O4" i="2"/>
  <c r="O3" i="2"/>
  <c r="O19" i="2" s="1"/>
  <c r="O29" i="2" s="1"/>
  <c r="O33" i="2" s="1"/>
  <c r="O35" i="2" s="1"/>
  <c r="O37" i="2" s="1"/>
  <c r="P4" i="2"/>
  <c r="Q4" i="2"/>
  <c r="R4" i="2"/>
  <c r="S4" i="2"/>
  <c r="T4" i="2"/>
  <c r="T3" i="2" s="1"/>
  <c r="T19" i="2" s="1"/>
  <c r="U4" i="2"/>
  <c r="U3" i="2" s="1"/>
  <c r="U19" i="2" s="1"/>
  <c r="U29" i="2" s="1"/>
  <c r="V4" i="2"/>
  <c r="V3" i="2"/>
  <c r="V19" i="2" s="1"/>
  <c r="V29" i="2" s="1"/>
  <c r="V33" i="2" s="1"/>
  <c r="V35" i="2" s="1"/>
  <c r="V37" i="2" s="1"/>
  <c r="W4" i="2"/>
  <c r="W3" i="2" s="1"/>
  <c r="W19" i="2" s="1"/>
  <c r="W29" i="2" s="1"/>
  <c r="W33" i="2" s="1"/>
  <c r="W35" i="2" s="1"/>
  <c r="W37" i="2" s="1"/>
  <c r="X4" i="2"/>
  <c r="M4" i="2"/>
  <c r="M3" i="2"/>
  <c r="M47" i="1"/>
  <c r="N47" i="1"/>
  <c r="O47" i="1"/>
  <c r="P47" i="1"/>
  <c r="Q47" i="1"/>
  <c r="R47" i="1"/>
  <c r="S47" i="1"/>
  <c r="T47" i="1"/>
  <c r="U47" i="1"/>
  <c r="V47" i="1"/>
  <c r="W47" i="1"/>
  <c r="X47" i="1"/>
  <c r="M30" i="1"/>
  <c r="N30" i="1"/>
  <c r="O30" i="1"/>
  <c r="U30" i="1"/>
  <c r="V30" i="1"/>
  <c r="W30" i="1"/>
  <c r="X30" i="1"/>
  <c r="M20" i="1"/>
  <c r="N20" i="1"/>
  <c r="O20" i="1"/>
  <c r="U20" i="1"/>
  <c r="V20" i="1"/>
  <c r="W20" i="1"/>
  <c r="X20" i="1"/>
  <c r="M16" i="1"/>
  <c r="N34" i="5" s="1"/>
  <c r="N16" i="1"/>
  <c r="O34" i="5" s="1"/>
  <c r="O16" i="1"/>
  <c r="P34" i="5" s="1"/>
  <c r="U16" i="1"/>
  <c r="V34" i="5" s="1"/>
  <c r="V16" i="1"/>
  <c r="W16" i="1"/>
  <c r="X34" i="5" s="1"/>
  <c r="X16" i="1"/>
  <c r="M13" i="1"/>
  <c r="N30" i="5" s="1"/>
  <c r="N13" i="1"/>
  <c r="O30" i="5" s="1"/>
  <c r="O13" i="1"/>
  <c r="P30" i="5" s="1"/>
  <c r="U13" i="1"/>
  <c r="V30" i="5" s="1"/>
  <c r="V13" i="1"/>
  <c r="W30" i="5" s="1"/>
  <c r="W13" i="1"/>
  <c r="X30" i="5" s="1"/>
  <c r="X13" i="1"/>
  <c r="Y30" i="5" s="1"/>
  <c r="M8" i="1"/>
  <c r="N8" i="1"/>
  <c r="O8" i="1"/>
  <c r="M4" i="1"/>
  <c r="N4" i="1"/>
  <c r="O4" i="1"/>
  <c r="P4" i="1"/>
  <c r="Q4" i="1"/>
  <c r="R4" i="1"/>
  <c r="S4" i="1"/>
  <c r="T4" i="1"/>
  <c r="U4" i="1"/>
  <c r="V4" i="1"/>
  <c r="W4" i="1"/>
  <c r="X4" i="1"/>
  <c r="D15" i="5"/>
  <c r="E15" i="5"/>
  <c r="F15" i="5"/>
  <c r="G15" i="5"/>
  <c r="H15" i="5"/>
  <c r="I15" i="5"/>
  <c r="J15" i="5"/>
  <c r="K15" i="5"/>
  <c r="L15" i="5"/>
  <c r="M15" i="5"/>
  <c r="D17" i="5"/>
  <c r="E17" i="5"/>
  <c r="F17" i="5"/>
  <c r="G17" i="5"/>
  <c r="H17" i="5"/>
  <c r="I17" i="5"/>
  <c r="J17" i="5"/>
  <c r="K17" i="5"/>
  <c r="L17" i="5"/>
  <c r="M17" i="5"/>
  <c r="D18" i="5"/>
  <c r="E18" i="5"/>
  <c r="F18" i="5"/>
  <c r="G18" i="5"/>
  <c r="H18" i="5"/>
  <c r="I18" i="5"/>
  <c r="J18" i="5"/>
  <c r="K18" i="5"/>
  <c r="L18" i="5"/>
  <c r="M18" i="5"/>
  <c r="D19" i="5"/>
  <c r="E19" i="5"/>
  <c r="F19" i="5"/>
  <c r="G19" i="5"/>
  <c r="H19" i="5"/>
  <c r="I19" i="5"/>
  <c r="J19" i="5"/>
  <c r="K19" i="5"/>
  <c r="L19" i="5"/>
  <c r="M19" i="5"/>
  <c r="D20" i="5"/>
  <c r="E20" i="5"/>
  <c r="F20" i="5"/>
  <c r="G20" i="5"/>
  <c r="H20" i="5"/>
  <c r="I20" i="5"/>
  <c r="J20" i="5"/>
  <c r="K20" i="5"/>
  <c r="L20" i="5"/>
  <c r="D26" i="5"/>
  <c r="E26" i="5"/>
  <c r="F26" i="5"/>
  <c r="G26" i="5"/>
  <c r="H26" i="5"/>
  <c r="I26" i="5"/>
  <c r="J26" i="5"/>
  <c r="K26" i="5"/>
  <c r="L26" i="5"/>
  <c r="M26" i="5"/>
  <c r="D27" i="5"/>
  <c r="E27" i="5"/>
  <c r="F27" i="5"/>
  <c r="G27" i="5"/>
  <c r="G25" i="5" s="1"/>
  <c r="H27" i="5"/>
  <c r="H25" i="5" s="1"/>
  <c r="I27" i="5"/>
  <c r="I25" i="5" s="1"/>
  <c r="J27" i="5"/>
  <c r="J25" i="5" s="1"/>
  <c r="K27" i="5"/>
  <c r="L27" i="5"/>
  <c r="M27" i="5"/>
  <c r="D31" i="5"/>
  <c r="E31" i="5"/>
  <c r="G28" i="3"/>
  <c r="F31" i="5"/>
  <c r="H28" i="3"/>
  <c r="G31" i="5"/>
  <c r="H31" i="5"/>
  <c r="I31" i="5"/>
  <c r="J31" i="5"/>
  <c r="K31" i="5"/>
  <c r="M28" i="3"/>
  <c r="L31" i="5"/>
  <c r="M31" i="5"/>
  <c r="F38" i="5"/>
  <c r="G38" i="5"/>
  <c r="H38" i="5"/>
  <c r="I38" i="5"/>
  <c r="J38" i="5"/>
  <c r="K38" i="5"/>
  <c r="L38" i="5"/>
  <c r="M38" i="5"/>
  <c r="F40" i="5"/>
  <c r="G40" i="5"/>
  <c r="H40" i="5"/>
  <c r="I40" i="5"/>
  <c r="J40" i="5"/>
  <c r="K40" i="5"/>
  <c r="L40" i="5"/>
  <c r="M40" i="5"/>
  <c r="F44" i="5"/>
  <c r="G44" i="5"/>
  <c r="H44" i="5"/>
  <c r="I44" i="5"/>
  <c r="J44" i="5"/>
  <c r="K44" i="5"/>
  <c r="L44" i="5"/>
  <c r="M44" i="5"/>
  <c r="F45" i="5"/>
  <c r="G45" i="5"/>
  <c r="H45" i="5"/>
  <c r="I45" i="5"/>
  <c r="J45" i="5"/>
  <c r="K45" i="5"/>
  <c r="L45" i="5"/>
  <c r="M45" i="5"/>
  <c r="F46" i="5"/>
  <c r="G46" i="5"/>
  <c r="H46" i="5"/>
  <c r="I46" i="5"/>
  <c r="J46" i="5"/>
  <c r="K46" i="5"/>
  <c r="L46" i="5"/>
  <c r="M46" i="5"/>
  <c r="D38" i="5"/>
  <c r="E38" i="5"/>
  <c r="D40" i="5"/>
  <c r="E40" i="5"/>
  <c r="D44" i="5"/>
  <c r="E44" i="5"/>
  <c r="D45" i="5"/>
  <c r="E45" i="5"/>
  <c r="D46" i="5"/>
  <c r="E46" i="5"/>
  <c r="E3" i="3"/>
  <c r="F3" i="3"/>
  <c r="F19" i="3" s="1"/>
  <c r="G3" i="3"/>
  <c r="H3" i="3"/>
  <c r="H19" i="3" s="1"/>
  <c r="I3" i="3"/>
  <c r="I19" i="3" s="1"/>
  <c r="J3" i="3"/>
  <c r="J19" i="3" s="1"/>
  <c r="K3" i="3"/>
  <c r="K19" i="3" s="1"/>
  <c r="L3" i="3"/>
  <c r="M3" i="3"/>
  <c r="M19" i="3" s="1"/>
  <c r="E19" i="3"/>
  <c r="G19" i="3"/>
  <c r="K28" i="3"/>
  <c r="L28" i="3"/>
  <c r="D6" i="5"/>
  <c r="E6" i="5"/>
  <c r="F6" i="5"/>
  <c r="H26" i="3" s="1"/>
  <c r="G6" i="5"/>
  <c r="I26" i="3" s="1"/>
  <c r="H6" i="5"/>
  <c r="I6" i="5"/>
  <c r="K26" i="3" s="1"/>
  <c r="J6" i="5"/>
  <c r="L26" i="3" s="1"/>
  <c r="K6" i="5"/>
  <c r="M26" i="3" s="1"/>
  <c r="L6" i="5"/>
  <c r="N26" i="3" s="1"/>
  <c r="M6" i="5"/>
  <c r="D7" i="5"/>
  <c r="E7" i="5"/>
  <c r="G27" i="3" s="1"/>
  <c r="F7" i="5"/>
  <c r="G7" i="5"/>
  <c r="I27" i="3" s="1"/>
  <c r="H7" i="5"/>
  <c r="J27" i="3" s="1"/>
  <c r="I7" i="5"/>
  <c r="K27" i="3" s="1"/>
  <c r="J7" i="5"/>
  <c r="L27" i="3" s="1"/>
  <c r="K7" i="5"/>
  <c r="L7" i="5"/>
  <c r="N27" i="3" s="1"/>
  <c r="M7" i="5"/>
  <c r="D8" i="5"/>
  <c r="E8" i="5"/>
  <c r="F8" i="5"/>
  <c r="G8" i="5"/>
  <c r="H8" i="5"/>
  <c r="I8" i="5"/>
  <c r="J8" i="5"/>
  <c r="K8" i="5"/>
  <c r="L8" i="5"/>
  <c r="M8" i="5"/>
  <c r="D32" i="5"/>
  <c r="E32" i="5"/>
  <c r="F32" i="5"/>
  <c r="G32" i="5"/>
  <c r="H32" i="5"/>
  <c r="I32" i="5"/>
  <c r="J32" i="5"/>
  <c r="K32" i="5"/>
  <c r="L32" i="5"/>
  <c r="M32" i="5"/>
  <c r="D35" i="5"/>
  <c r="E35" i="5"/>
  <c r="F35" i="5"/>
  <c r="G35" i="5"/>
  <c r="H35" i="5"/>
  <c r="I35" i="5"/>
  <c r="J35" i="5"/>
  <c r="K35" i="5"/>
  <c r="L35" i="5"/>
  <c r="M35" i="5"/>
  <c r="C35" i="5"/>
  <c r="C32" i="5"/>
  <c r="C31" i="5"/>
  <c r="C27" i="5"/>
  <c r="C26" i="5"/>
  <c r="C22" i="5"/>
  <c r="C19" i="5"/>
  <c r="C17" i="5"/>
  <c r="C15" i="5"/>
  <c r="C8" i="5"/>
  <c r="C7" i="5"/>
  <c r="C6" i="5"/>
  <c r="L19" i="3"/>
  <c r="L30" i="2"/>
  <c r="L23" i="2"/>
  <c r="M47" i="5" s="1"/>
  <c r="L20" i="2"/>
  <c r="L12" i="2"/>
  <c r="L7" i="2"/>
  <c r="M39" i="5" s="1"/>
  <c r="L4" i="2"/>
  <c r="L30" i="1"/>
  <c r="L20" i="1"/>
  <c r="L16" i="1"/>
  <c r="M34" i="5" s="1"/>
  <c r="L13" i="1"/>
  <c r="M30" i="5" s="1"/>
  <c r="L8" i="1"/>
  <c r="L4" i="1"/>
  <c r="L43" i="1"/>
  <c r="B20" i="1"/>
  <c r="B16" i="1"/>
  <c r="C34" i="5" s="1"/>
  <c r="B13" i="1"/>
  <c r="B8" i="1"/>
  <c r="B4" i="1"/>
  <c r="D12" i="3" s="1"/>
  <c r="B43" i="1"/>
  <c r="C20" i="5" s="1"/>
  <c r="B41" i="1"/>
  <c r="C18" i="5" s="1"/>
  <c r="D3" i="3"/>
  <c r="D19" i="3" s="1"/>
  <c r="B30" i="1"/>
  <c r="C5" i="5" s="1"/>
  <c r="B30" i="2"/>
  <c r="B23" i="2"/>
  <c r="B20" i="2"/>
  <c r="B12" i="2"/>
  <c r="B7" i="2"/>
  <c r="B4" i="2"/>
  <c r="B3" i="2" s="1"/>
  <c r="B19" i="2" s="1"/>
  <c r="B29" i="2" s="1"/>
  <c r="B33" i="2" s="1"/>
  <c r="B35" i="2" s="1"/>
  <c r="B37" i="2" s="1"/>
  <c r="C30" i="2"/>
  <c r="D30" i="2"/>
  <c r="E30" i="2"/>
  <c r="F30" i="2"/>
  <c r="G30" i="2"/>
  <c r="H30" i="2"/>
  <c r="I30" i="2"/>
  <c r="J30" i="2"/>
  <c r="K30" i="2"/>
  <c r="C23" i="2"/>
  <c r="D47" i="5" s="1"/>
  <c r="D23" i="2"/>
  <c r="E47" i="5" s="1"/>
  <c r="E23" i="2"/>
  <c r="F47" i="5" s="1"/>
  <c r="F23" i="2"/>
  <c r="G47" i="5" s="1"/>
  <c r="G23" i="2"/>
  <c r="H47" i="5" s="1"/>
  <c r="H23" i="2"/>
  <c r="I47" i="5" s="1"/>
  <c r="I23" i="2"/>
  <c r="J47" i="5" s="1"/>
  <c r="J23" i="2"/>
  <c r="K47" i="5" s="1"/>
  <c r="K23" i="2"/>
  <c r="L47" i="5" s="1"/>
  <c r="C20" i="2"/>
  <c r="D20" i="2"/>
  <c r="E20" i="2"/>
  <c r="F20" i="2"/>
  <c r="G20" i="2"/>
  <c r="H20" i="2"/>
  <c r="I20" i="2"/>
  <c r="J20" i="2"/>
  <c r="K20" i="2"/>
  <c r="C12" i="2"/>
  <c r="C39" i="2" s="1"/>
  <c r="E32" i="3" s="1"/>
  <c r="D12" i="2"/>
  <c r="D39" i="2" s="1"/>
  <c r="F32" i="3" s="1"/>
  <c r="E12" i="2"/>
  <c r="F12" i="2"/>
  <c r="G12" i="2"/>
  <c r="G39" i="2"/>
  <c r="I32" i="3" s="1"/>
  <c r="H12" i="2"/>
  <c r="H39" i="2"/>
  <c r="J32" i="3" s="1"/>
  <c r="I12" i="2"/>
  <c r="I39" i="2" s="1"/>
  <c r="K32" i="3" s="1"/>
  <c r="J12" i="2"/>
  <c r="J39" i="2"/>
  <c r="L32" i="3"/>
  <c r="K12" i="2"/>
  <c r="C7" i="2"/>
  <c r="D39" i="5" s="1"/>
  <c r="D7" i="2"/>
  <c r="E39" i="5" s="1"/>
  <c r="E37" i="5" s="1"/>
  <c r="E7" i="2"/>
  <c r="F39" i="5" s="1"/>
  <c r="F7" i="2"/>
  <c r="G39" i="5" s="1"/>
  <c r="G37" i="5" s="1"/>
  <c r="G7" i="2"/>
  <c r="H39" i="5" s="1"/>
  <c r="H37" i="5" s="1"/>
  <c r="H7" i="2"/>
  <c r="I39" i="5" s="1"/>
  <c r="I37" i="5" s="1"/>
  <c r="K30" i="3" s="1"/>
  <c r="I7" i="2"/>
  <c r="J39" i="5" s="1"/>
  <c r="J37" i="5" s="1"/>
  <c r="L30" i="3" s="1"/>
  <c r="J7" i="2"/>
  <c r="K39" i="5" s="1"/>
  <c r="K7" i="2"/>
  <c r="L39" i="5" s="1"/>
  <c r="L37" i="5" s="1"/>
  <c r="C4" i="2"/>
  <c r="C3" i="2" s="1"/>
  <c r="C19" i="2" s="1"/>
  <c r="C29" i="2" s="1"/>
  <c r="C33" i="2" s="1"/>
  <c r="C35" i="2" s="1"/>
  <c r="C37" i="2" s="1"/>
  <c r="D4" i="2"/>
  <c r="E4" i="2"/>
  <c r="E3" i="2" s="1"/>
  <c r="E19" i="2" s="1"/>
  <c r="F4" i="2"/>
  <c r="G4" i="2"/>
  <c r="H4" i="2"/>
  <c r="I4" i="2"/>
  <c r="I3" i="2" s="1"/>
  <c r="I19" i="2" s="1"/>
  <c r="J4" i="2"/>
  <c r="J3" i="2"/>
  <c r="J19" i="2"/>
  <c r="J29" i="2" s="1"/>
  <c r="J33" i="2" s="1"/>
  <c r="J35" i="2" s="1"/>
  <c r="J37" i="2" s="1"/>
  <c r="K4" i="2"/>
  <c r="K3" i="2" s="1"/>
  <c r="K19" i="2" s="1"/>
  <c r="C47" i="1"/>
  <c r="D47" i="1"/>
  <c r="E47" i="1"/>
  <c r="F47" i="1"/>
  <c r="G47" i="1"/>
  <c r="H47" i="1"/>
  <c r="I47" i="1"/>
  <c r="J47" i="1"/>
  <c r="K47" i="1"/>
  <c r="C30" i="1"/>
  <c r="C37" i="1"/>
  <c r="D30" i="1"/>
  <c r="D37" i="1"/>
  <c r="D48" i="1" s="1"/>
  <c r="E30" i="1"/>
  <c r="E37" i="1"/>
  <c r="E48" i="1" s="1"/>
  <c r="F30" i="1"/>
  <c r="F37" i="1"/>
  <c r="G30" i="1"/>
  <c r="G37" i="1"/>
  <c r="H30" i="1"/>
  <c r="H37" i="1" s="1"/>
  <c r="H48" i="1" s="1"/>
  <c r="I30" i="1"/>
  <c r="I37" i="1"/>
  <c r="I48" i="1" s="1"/>
  <c r="J30" i="1"/>
  <c r="J37" i="1"/>
  <c r="K30" i="1"/>
  <c r="K37" i="1"/>
  <c r="C20" i="1"/>
  <c r="D20" i="1"/>
  <c r="E20" i="1"/>
  <c r="F20" i="1"/>
  <c r="G20" i="1"/>
  <c r="H20" i="1"/>
  <c r="I20" i="1"/>
  <c r="J20" i="1"/>
  <c r="K20" i="1"/>
  <c r="C16" i="1"/>
  <c r="D34" i="5" s="1"/>
  <c r="D16" i="1"/>
  <c r="E34" i="5" s="1"/>
  <c r="E16" i="1"/>
  <c r="F16" i="1"/>
  <c r="G34" i="5" s="1"/>
  <c r="G16" i="1"/>
  <c r="H34" i="5" s="1"/>
  <c r="H16" i="1"/>
  <c r="I34" i="5" s="1"/>
  <c r="I16" i="1"/>
  <c r="J34" i="5" s="1"/>
  <c r="J16" i="1"/>
  <c r="K16" i="1"/>
  <c r="L34" i="5" s="1"/>
  <c r="C13" i="1"/>
  <c r="D30" i="5" s="1"/>
  <c r="D13" i="1"/>
  <c r="E30" i="5" s="1"/>
  <c r="E13" i="1"/>
  <c r="F30" i="5" s="1"/>
  <c r="F13" i="1"/>
  <c r="G30" i="5" s="1"/>
  <c r="G13" i="1"/>
  <c r="H30" i="5" s="1"/>
  <c r="H13" i="1"/>
  <c r="I30" i="5" s="1"/>
  <c r="I13" i="1"/>
  <c r="J30" i="5" s="1"/>
  <c r="J13" i="1"/>
  <c r="K30" i="5" s="1"/>
  <c r="K13" i="1"/>
  <c r="L30" i="5" s="1"/>
  <c r="C8" i="1"/>
  <c r="D8" i="1"/>
  <c r="E8" i="1"/>
  <c r="F8" i="1"/>
  <c r="G8" i="1"/>
  <c r="H8" i="1"/>
  <c r="I8" i="1"/>
  <c r="J8" i="1"/>
  <c r="K8" i="1"/>
  <c r="C4" i="1"/>
  <c r="D4" i="1"/>
  <c r="E4" i="1"/>
  <c r="F4" i="1"/>
  <c r="G4" i="1"/>
  <c r="H4" i="1"/>
  <c r="I4" i="1"/>
  <c r="I26" i="1" s="1"/>
  <c r="J4" i="1"/>
  <c r="K4" i="1"/>
  <c r="C26" i="4"/>
  <c r="C27" i="4" s="1"/>
  <c r="C39" i="5"/>
  <c r="B47" i="5"/>
  <c r="B39" i="5"/>
  <c r="B34" i="5"/>
  <c r="B30" i="5"/>
  <c r="B22" i="5"/>
  <c r="B21" i="5"/>
  <c r="B20" i="5"/>
  <c r="B17" i="5"/>
  <c r="C21" i="5"/>
  <c r="B46" i="5"/>
  <c r="B45" i="5"/>
  <c r="B44" i="5"/>
  <c r="B43" i="5" s="1"/>
  <c r="B40" i="5"/>
  <c r="B38" i="5"/>
  <c r="B37" i="5" s="1"/>
  <c r="B35" i="5"/>
  <c r="B32" i="5"/>
  <c r="B31" i="5"/>
  <c r="B28" i="5"/>
  <c r="B27" i="5"/>
  <c r="B26" i="5"/>
  <c r="B19" i="5"/>
  <c r="B18" i="5"/>
  <c r="B15" i="5"/>
  <c r="B8" i="5"/>
  <c r="B6" i="5"/>
  <c r="B7" i="5"/>
  <c r="C45" i="5"/>
  <c r="C46" i="5"/>
  <c r="C44" i="5"/>
  <c r="C40" i="5"/>
  <c r="C38" i="5"/>
  <c r="C37" i="5"/>
  <c r="B39" i="2"/>
  <c r="D32" i="3" s="1"/>
  <c r="L3" i="2"/>
  <c r="B47" i="1"/>
  <c r="D18" i="3"/>
  <c r="D26" i="1"/>
  <c r="F48" i="1"/>
  <c r="F26" i="1"/>
  <c r="H26" i="1"/>
  <c r="G26" i="1"/>
  <c r="G48" i="1"/>
  <c r="J26" i="1"/>
  <c r="C25" i="5"/>
  <c r="B14" i="5"/>
  <c r="D3" i="2"/>
  <c r="G3" i="2"/>
  <c r="G19" i="2" s="1"/>
  <c r="N28" i="3"/>
  <c r="J30" i="3"/>
  <c r="T27" i="3"/>
  <c r="R19" i="3"/>
  <c r="O19" i="3"/>
  <c r="O39" i="2"/>
  <c r="M19" i="2"/>
  <c r="M29" i="2" s="1"/>
  <c r="M33" i="2" s="1"/>
  <c r="M35" i="2" s="1"/>
  <c r="M37" i="2" s="1"/>
  <c r="Q3" i="2"/>
  <c r="Q19" i="2" s="1"/>
  <c r="X3" i="2"/>
  <c r="X19" i="2" s="1"/>
  <c r="X29" i="2" s="1"/>
  <c r="P3" i="2"/>
  <c r="P19" i="2" s="1"/>
  <c r="P29" i="2" s="1"/>
  <c r="P33" i="2" s="1"/>
  <c r="P35" i="2" s="1"/>
  <c r="P37" i="2" s="1"/>
  <c r="AN28" i="3" l="1"/>
  <c r="AO28" i="3"/>
  <c r="AN27" i="3"/>
  <c r="AO27" i="3"/>
  <c r="AN26" i="3"/>
  <c r="AO26" i="3"/>
  <c r="AP29" i="3"/>
  <c r="Q31" i="7"/>
  <c r="Q26" i="7" s="1"/>
  <c r="AP25" i="3"/>
  <c r="AQ9" i="3"/>
  <c r="T50" i="7"/>
  <c r="U45" i="7"/>
  <c r="AR10" i="3"/>
  <c r="U12" i="7"/>
  <c r="U25" i="7"/>
  <c r="U26" i="7"/>
  <c r="W30" i="7"/>
  <c r="V11" i="7"/>
  <c r="V21" i="7"/>
  <c r="V24" i="7"/>
  <c r="V8" i="7"/>
  <c r="V12" i="7"/>
  <c r="V25" i="7"/>
  <c r="V26" i="7"/>
  <c r="AS9" i="3"/>
  <c r="V50" i="7"/>
  <c r="U11" i="7"/>
  <c r="U21" i="7"/>
  <c r="U24" i="7"/>
  <c r="V30" i="7"/>
  <c r="T12" i="7"/>
  <c r="T25" i="7"/>
  <c r="T26" i="7"/>
  <c r="S12" i="7"/>
  <c r="S25" i="7"/>
  <c r="S26" i="7"/>
  <c r="R12" i="7"/>
  <c r="R25" i="7"/>
  <c r="R26" i="7"/>
  <c r="T6" i="7"/>
  <c r="T13" i="7"/>
  <c r="R50" i="7"/>
  <c r="AO9" i="3"/>
  <c r="R22" i="7"/>
  <c r="S30" i="7"/>
  <c r="T7" i="7"/>
  <c r="U30" i="7"/>
  <c r="T21" i="7"/>
  <c r="T24" i="7"/>
  <c r="T11" i="7"/>
  <c r="T22" i="7"/>
  <c r="T30" i="7"/>
  <c r="S22" i="7"/>
  <c r="AP29" i="2"/>
  <c r="AP33" i="2" s="1"/>
  <c r="AP35" i="2" s="1"/>
  <c r="AP37" i="2" s="1"/>
  <c r="G50" i="1"/>
  <c r="B25" i="5"/>
  <c r="B11" i="5" s="1"/>
  <c r="B12" i="5" s="1"/>
  <c r="E26" i="1"/>
  <c r="I50" i="1"/>
  <c r="H50" i="1"/>
  <c r="E50" i="1"/>
  <c r="D50" i="1"/>
  <c r="K48" i="1"/>
  <c r="J48" i="1"/>
  <c r="J50" i="1" s="1"/>
  <c r="C48" i="1"/>
  <c r="L19" i="2"/>
  <c r="C14" i="5"/>
  <c r="C11" i="5" s="1"/>
  <c r="C12" i="5" s="1"/>
  <c r="J28" i="3"/>
  <c r="H14" i="5"/>
  <c r="H11" i="5" s="1"/>
  <c r="H12" i="5" s="1"/>
  <c r="L14" i="5"/>
  <c r="L11" i="5" s="1"/>
  <c r="L12" i="5" s="1"/>
  <c r="D14" i="5"/>
  <c r="D11" i="5" s="1"/>
  <c r="F14" i="5"/>
  <c r="F11" i="5" s="1"/>
  <c r="F12" i="5" s="1"/>
  <c r="O26" i="1"/>
  <c r="P14" i="5"/>
  <c r="P11" i="5" s="1"/>
  <c r="Y26" i="1"/>
  <c r="D29" i="7" s="1"/>
  <c r="S28" i="3"/>
  <c r="U26" i="3"/>
  <c r="S26" i="3"/>
  <c r="F20" i="7"/>
  <c r="E20" i="7"/>
  <c r="AJ48" i="1"/>
  <c r="M20" i="7"/>
  <c r="K20" i="7"/>
  <c r="J20" i="7"/>
  <c r="I20" i="7"/>
  <c r="AM27" i="3"/>
  <c r="AK39" i="2"/>
  <c r="AJ39" i="2"/>
  <c r="AL19" i="2"/>
  <c r="Q45" i="7" s="1"/>
  <c r="Q44" i="7"/>
  <c r="Q27" i="7" s="1"/>
  <c r="Q25" i="7"/>
  <c r="Q12" i="7"/>
  <c r="Q16" i="7"/>
  <c r="Q18" i="7"/>
  <c r="Q20" i="7"/>
  <c r="S27" i="7"/>
  <c r="S18" i="7"/>
  <c r="AN29" i="2"/>
  <c r="AN33" i="2" s="1"/>
  <c r="AN35" i="2" s="1"/>
  <c r="AN37" i="2" s="1"/>
  <c r="S45" i="7"/>
  <c r="AM12" i="5"/>
  <c r="Q34" i="7" s="1"/>
  <c r="Q33" i="7"/>
  <c r="I10" i="3"/>
  <c r="G29" i="2"/>
  <c r="G33" i="2" s="1"/>
  <c r="G35" i="2" s="1"/>
  <c r="G37" i="2" s="1"/>
  <c r="I9" i="3" s="1"/>
  <c r="K29" i="2"/>
  <c r="K33" i="2" s="1"/>
  <c r="K35" i="2" s="1"/>
  <c r="K37" i="2" s="1"/>
  <c r="M10" i="3"/>
  <c r="G10" i="3"/>
  <c r="E29" i="2"/>
  <c r="E33" i="2" s="1"/>
  <c r="E35" i="2" s="1"/>
  <c r="E37" i="2" s="1"/>
  <c r="G9" i="3" s="1"/>
  <c r="D10" i="3"/>
  <c r="F29" i="3"/>
  <c r="D12" i="5"/>
  <c r="K10" i="3"/>
  <c r="I29" i="2"/>
  <c r="I33" i="2" s="1"/>
  <c r="I35" i="2" s="1"/>
  <c r="I37" i="2" s="1"/>
  <c r="K9" i="3" s="1"/>
  <c r="N10" i="3"/>
  <c r="L29" i="2"/>
  <c r="L33" i="2" s="1"/>
  <c r="L35" i="2" s="1"/>
  <c r="L37" i="2" s="1"/>
  <c r="E30" i="3"/>
  <c r="Y50" i="1"/>
  <c r="L10" i="3"/>
  <c r="F34" i="5"/>
  <c r="K37" i="5"/>
  <c r="K39" i="2"/>
  <c r="M32" i="3" s="1"/>
  <c r="C47" i="5"/>
  <c r="C43" i="5" s="1"/>
  <c r="L39" i="2"/>
  <c r="N32" i="3" s="1"/>
  <c r="H27" i="3"/>
  <c r="J26" i="3"/>
  <c r="L25" i="5"/>
  <c r="D25" i="5"/>
  <c r="U28" i="3"/>
  <c r="E16" i="4"/>
  <c r="AB26" i="1"/>
  <c r="AD6" i="3" s="1"/>
  <c r="O40" i="7"/>
  <c r="AL13" i="3"/>
  <c r="AL12" i="3"/>
  <c r="AL27" i="3"/>
  <c r="I28" i="3"/>
  <c r="Q29" i="2"/>
  <c r="Q33" i="2" s="1"/>
  <c r="Q35" i="2" s="1"/>
  <c r="Q37" i="2" s="1"/>
  <c r="E10" i="3"/>
  <c r="B5" i="5"/>
  <c r="K34" i="5"/>
  <c r="D13" i="3"/>
  <c r="M27" i="3"/>
  <c r="G26" i="3"/>
  <c r="Y34" i="5"/>
  <c r="U33" i="2"/>
  <c r="U35" i="2" s="1"/>
  <c r="U37" i="2" s="1"/>
  <c r="O37" i="5"/>
  <c r="R39" i="2"/>
  <c r="P47" i="7"/>
  <c r="F39" i="2"/>
  <c r="H32" i="3" s="1"/>
  <c r="T29" i="2"/>
  <c r="T33" i="2" s="1"/>
  <c r="T35" i="2" s="1"/>
  <c r="T37" i="2" s="1"/>
  <c r="N37" i="5"/>
  <c r="Q39" i="2"/>
  <c r="Q34" i="5"/>
  <c r="AM26" i="3"/>
  <c r="V16" i="4"/>
  <c r="V24" i="4" s="1"/>
  <c r="Z16" i="4"/>
  <c r="Z24" i="4" s="1"/>
  <c r="O47" i="7"/>
  <c r="R3" i="2"/>
  <c r="R19" i="2" s="1"/>
  <c r="R29" i="2" s="1"/>
  <c r="R33" i="2" s="1"/>
  <c r="R35" i="2" s="1"/>
  <c r="R37" i="2" s="1"/>
  <c r="H3" i="2"/>
  <c r="H19" i="2" s="1"/>
  <c r="F37" i="5"/>
  <c r="W34" i="5"/>
  <c r="S3" i="2"/>
  <c r="S19" i="2" s="1"/>
  <c r="S29" i="2" s="1"/>
  <c r="S33" i="2" s="1"/>
  <c r="S35" i="2" s="1"/>
  <c r="S37" i="2" s="1"/>
  <c r="X39" i="2"/>
  <c r="T26" i="3"/>
  <c r="AL5" i="5"/>
  <c r="AO25" i="3" s="1"/>
  <c r="AM18" i="3"/>
  <c r="F49" i="7"/>
  <c r="X33" i="2"/>
  <c r="X35" i="2" s="1"/>
  <c r="X37" i="2" s="1"/>
  <c r="F3" i="2"/>
  <c r="F19" i="2" s="1"/>
  <c r="K26" i="1"/>
  <c r="K50" i="1" s="1"/>
  <c r="D5" i="3"/>
  <c r="B37" i="1"/>
  <c r="B48" i="1" s="1"/>
  <c r="M37" i="5"/>
  <c r="AK5" i="5"/>
  <c r="AL18" i="3"/>
  <c r="AD26" i="1"/>
  <c r="AF11" i="3" s="1"/>
  <c r="E49" i="7"/>
  <c r="AH28" i="3"/>
  <c r="AM28" i="3"/>
  <c r="AI3" i="2"/>
  <c r="D19" i="2"/>
  <c r="C26" i="1"/>
  <c r="C50" i="1" s="1"/>
  <c r="D37" i="5"/>
  <c r="E39" i="2"/>
  <c r="G32" i="3" s="1"/>
  <c r="M26" i="1"/>
  <c r="O9" i="3" s="1"/>
  <c r="V39" i="2"/>
  <c r="AK48" i="1"/>
  <c r="AK26" i="1"/>
  <c r="P40" i="7"/>
  <c r="AM12" i="3"/>
  <c r="AM13" i="3"/>
  <c r="AM15" i="3"/>
  <c r="AL5" i="3"/>
  <c r="AN17" i="3"/>
  <c r="AL50" i="1"/>
  <c r="AN16" i="3"/>
  <c r="AN14" i="3"/>
  <c r="AM4" i="5"/>
  <c r="Q29" i="7" s="1"/>
  <c r="AN22" i="3"/>
  <c r="AN4" i="3"/>
  <c r="AN23" i="3"/>
  <c r="AN20" i="3"/>
  <c r="AN11" i="3"/>
  <c r="AN6" i="3"/>
  <c r="AN21" i="3"/>
  <c r="AL29" i="2"/>
  <c r="AL33" i="2" s="1"/>
  <c r="AL35" i="2" s="1"/>
  <c r="AL37" i="2" s="1"/>
  <c r="AN10" i="3"/>
  <c r="Z12" i="3"/>
  <c r="Z13" i="3"/>
  <c r="Y12" i="3"/>
  <c r="Y13" i="3"/>
  <c r="X12" i="3"/>
  <c r="X13" i="3"/>
  <c r="W12" i="3"/>
  <c r="W13" i="3"/>
  <c r="V12" i="3"/>
  <c r="V13" i="3"/>
  <c r="X37" i="1"/>
  <c r="X48" i="1" s="1"/>
  <c r="Y5" i="5"/>
  <c r="Z5" i="3"/>
  <c r="Z18" i="3"/>
  <c r="X5" i="5"/>
  <c r="Y5" i="3"/>
  <c r="Y18" i="3"/>
  <c r="W5" i="5"/>
  <c r="X5" i="3"/>
  <c r="X18" i="3"/>
  <c r="V5" i="5"/>
  <c r="W5" i="3"/>
  <c r="W18" i="3"/>
  <c r="Y47" i="5"/>
  <c r="Z10" i="3"/>
  <c r="X47" i="5"/>
  <c r="X43" i="5" s="1"/>
  <c r="Y10" i="3"/>
  <c r="W47" i="5"/>
  <c r="X10" i="3"/>
  <c r="V47" i="5"/>
  <c r="W10" i="3"/>
  <c r="T26" i="1"/>
  <c r="S26" i="1"/>
  <c r="T4" i="5" s="1"/>
  <c r="R26" i="1"/>
  <c r="S4" i="5" s="1"/>
  <c r="Q26" i="1"/>
  <c r="R4" i="5" s="1"/>
  <c r="P26" i="1"/>
  <c r="Q4" i="5" s="1"/>
  <c r="U5" i="5"/>
  <c r="V5" i="3"/>
  <c r="V18" i="3"/>
  <c r="V21" i="3"/>
  <c r="T37" i="1"/>
  <c r="T48" i="1" s="1"/>
  <c r="T50" i="1" s="1"/>
  <c r="T5" i="5"/>
  <c r="S37" i="1"/>
  <c r="S5" i="5"/>
  <c r="R37" i="1"/>
  <c r="R5" i="5"/>
  <c r="Q37" i="1"/>
  <c r="Q5" i="5"/>
  <c r="P37" i="1"/>
  <c r="P48" i="1" s="1"/>
  <c r="P50" i="1" s="1"/>
  <c r="U47" i="5"/>
  <c r="U43" i="5" s="1"/>
  <c r="V10" i="3"/>
  <c r="Z5" i="5"/>
  <c r="AA18" i="3"/>
  <c r="D30" i="7"/>
  <c r="D40" i="7"/>
  <c r="AA12" i="3"/>
  <c r="AA13" i="3"/>
  <c r="Z20" i="5"/>
  <c r="AA3" i="3"/>
  <c r="H26" i="4"/>
  <c r="AB26" i="3"/>
  <c r="AC26" i="3"/>
  <c r="AC18" i="3"/>
  <c r="AA37" i="1"/>
  <c r="AB18" i="3"/>
  <c r="Z37" i="1"/>
  <c r="AI37" i="1"/>
  <c r="AI48" i="1" s="1"/>
  <c r="AJ5" i="5"/>
  <c r="AK5" i="3"/>
  <c r="AK18" i="3"/>
  <c r="AH37" i="1"/>
  <c r="AH48" i="1" s="1"/>
  <c r="AI5" i="5"/>
  <c r="M31" i="7" s="1"/>
  <c r="AG37" i="1"/>
  <c r="AH5" i="5"/>
  <c r="L31" i="7" s="1"/>
  <c r="AI18" i="3"/>
  <c r="AD37" i="1"/>
  <c r="AE5" i="5"/>
  <c r="AE18" i="3"/>
  <c r="AD5" i="5"/>
  <c r="AD18" i="3"/>
  <c r="AC5" i="5"/>
  <c r="G31" i="7" s="1"/>
  <c r="AI26" i="1"/>
  <c r="AK15" i="3" s="1"/>
  <c r="AK17" i="3"/>
  <c r="AL34" i="5"/>
  <c r="P36" i="7" s="1"/>
  <c r="AJ26" i="1"/>
  <c r="AK34" i="5"/>
  <c r="O36" i="7" s="1"/>
  <c r="AJ34" i="5"/>
  <c r="N36" i="7" s="1"/>
  <c r="AI34" i="5"/>
  <c r="M36" i="7" s="1"/>
  <c r="AE34" i="5"/>
  <c r="I36" i="7" s="1"/>
  <c r="AD34" i="5"/>
  <c r="H36" i="7" s="1"/>
  <c r="N40" i="7"/>
  <c r="AK12" i="3"/>
  <c r="AK13" i="3"/>
  <c r="L40" i="7"/>
  <c r="AI12" i="3"/>
  <c r="AE12" i="3"/>
  <c r="H40" i="7"/>
  <c r="AD12" i="3"/>
  <c r="G40" i="7"/>
  <c r="AB47" i="5"/>
  <c r="AB43" i="5" s="1"/>
  <c r="F47" i="7"/>
  <c r="AA47" i="5"/>
  <c r="E47" i="7"/>
  <c r="AE5" i="3"/>
  <c r="AJ43" i="5"/>
  <c r="AC28" i="3"/>
  <c r="AJ25" i="5"/>
  <c r="N39" i="7" s="1"/>
  <c r="AI25" i="5"/>
  <c r="M39" i="7" s="1"/>
  <c r="M26" i="7" s="1"/>
  <c r="AH25" i="5"/>
  <c r="L39" i="7" s="1"/>
  <c r="L26" i="7" s="1"/>
  <c r="AG25" i="5"/>
  <c r="K39" i="7" s="1"/>
  <c r="AF25" i="5"/>
  <c r="J39" i="7" s="1"/>
  <c r="AE25" i="5"/>
  <c r="I39" i="7" s="1"/>
  <c r="AJ14" i="5"/>
  <c r="AJ11" i="5" s="1"/>
  <c r="AH14" i="5"/>
  <c r="AG14" i="5"/>
  <c r="AC27" i="3"/>
  <c r="AI26" i="3"/>
  <c r="AF26" i="3"/>
  <c r="AK37" i="5"/>
  <c r="AL25" i="5"/>
  <c r="P39" i="7" s="1"/>
  <c r="P38" i="7"/>
  <c r="AK25" i="5"/>
  <c r="O39" i="7" s="1"/>
  <c r="AL14" i="5"/>
  <c r="AL11" i="5" s="1"/>
  <c r="AO29" i="3" s="1"/>
  <c r="AK14" i="5"/>
  <c r="AK11" i="5" s="1"/>
  <c r="T26" i="4"/>
  <c r="X26" i="4"/>
  <c r="AB39" i="2"/>
  <c r="G47" i="7"/>
  <c r="L49" i="7"/>
  <c r="J49" i="7"/>
  <c r="I49" i="7"/>
  <c r="H49" i="7"/>
  <c r="G49" i="7"/>
  <c r="AE37" i="5"/>
  <c r="AC3" i="2"/>
  <c r="H44" i="7" s="1"/>
  <c r="H48" i="7"/>
  <c r="H15" i="7" s="1"/>
  <c r="AB3" i="2"/>
  <c r="G44" i="7" s="1"/>
  <c r="G27" i="7" s="1"/>
  <c r="G48" i="7"/>
  <c r="G15" i="7" s="1"/>
  <c r="P49" i="7"/>
  <c r="O49" i="7"/>
  <c r="AI39" i="2"/>
  <c r="N49" i="7"/>
  <c r="AL37" i="5"/>
  <c r="AJ19" i="2"/>
  <c r="AL10" i="3" s="1"/>
  <c r="O44" i="7"/>
  <c r="O27" i="7" s="1"/>
  <c r="AI19" i="2"/>
  <c r="N45" i="7" s="1"/>
  <c r="N44" i="7"/>
  <c r="AK3" i="2"/>
  <c r="P48" i="7"/>
  <c r="P15" i="7" s="1"/>
  <c r="P26" i="4"/>
  <c r="R16" i="4"/>
  <c r="R24" i="4" s="1"/>
  <c r="AI47" i="5"/>
  <c r="AI43" i="5" s="1"/>
  <c r="AH39" i="2"/>
  <c r="M49" i="7"/>
  <c r="AH3" i="2"/>
  <c r="M44" i="7" s="1"/>
  <c r="AI14" i="5"/>
  <c r="AI11" i="5" s="1"/>
  <c r="AJ18" i="3"/>
  <c r="AJ5" i="3"/>
  <c r="AJ13" i="3"/>
  <c r="AJ12" i="3"/>
  <c r="AH26" i="1"/>
  <c r="AJ15" i="3" s="1"/>
  <c r="AG39" i="2"/>
  <c r="AH43" i="5"/>
  <c r="AG3" i="2"/>
  <c r="L44" i="7" s="1"/>
  <c r="L48" i="7"/>
  <c r="L15" i="7" s="1"/>
  <c r="AH37" i="5"/>
  <c r="AG48" i="1"/>
  <c r="AI5" i="3"/>
  <c r="AK25" i="3"/>
  <c r="AJ27" i="3"/>
  <c r="AI19" i="3"/>
  <c r="AH11" i="5"/>
  <c r="L33" i="7" s="1"/>
  <c r="AI13" i="3"/>
  <c r="AG26" i="1"/>
  <c r="K49" i="7"/>
  <c r="AF39" i="2"/>
  <c r="AG37" i="5"/>
  <c r="AF3" i="2"/>
  <c r="K48" i="7"/>
  <c r="K15" i="7" s="1"/>
  <c r="K31" i="7"/>
  <c r="AJ25" i="3"/>
  <c r="AH18" i="3"/>
  <c r="AF37" i="1"/>
  <c r="AF48" i="1" s="1"/>
  <c r="AF26" i="1"/>
  <c r="AH6" i="3" s="1"/>
  <c r="AG11" i="5"/>
  <c r="K33" i="7" s="1"/>
  <c r="AH5" i="3"/>
  <c r="AH12" i="3"/>
  <c r="AH13" i="3"/>
  <c r="AD39" i="2"/>
  <c r="AC39" i="2"/>
  <c r="AA39" i="2"/>
  <c r="Z39" i="2"/>
  <c r="AA43" i="5"/>
  <c r="AE39" i="2"/>
  <c r="AE43" i="5"/>
  <c r="AD3" i="2"/>
  <c r="AE3" i="2"/>
  <c r="AK10" i="3"/>
  <c r="AI29" i="2"/>
  <c r="AI33" i="2" s="1"/>
  <c r="AI35" i="2" s="1"/>
  <c r="AI37" i="2" s="1"/>
  <c r="AL43" i="5"/>
  <c r="AK43" i="5"/>
  <c r="AJ39" i="5"/>
  <c r="AJ37" i="5" s="1"/>
  <c r="AC19" i="2"/>
  <c r="AB19" i="2"/>
  <c r="AI37" i="5"/>
  <c r="AD43" i="5"/>
  <c r="AG47" i="5"/>
  <c r="AG43" i="5" s="1"/>
  <c r="AF47" i="5"/>
  <c r="AF43" i="5" s="1"/>
  <c r="AC47" i="5"/>
  <c r="AC43" i="5" s="1"/>
  <c r="AA3" i="2"/>
  <c r="AC37" i="5"/>
  <c r="AB37" i="5"/>
  <c r="AA37" i="5"/>
  <c r="AD37" i="5"/>
  <c r="AF37" i="5"/>
  <c r="AB48" i="1"/>
  <c r="AB50" i="1" s="1"/>
  <c r="AE14" i="5"/>
  <c r="AE11" i="5" s="1"/>
  <c r="AB14" i="5"/>
  <c r="AB11" i="5" s="1"/>
  <c r="F33" i="7" s="1"/>
  <c r="AD14" i="5"/>
  <c r="AA14" i="5"/>
  <c r="AA11" i="5" s="1"/>
  <c r="AC5" i="3"/>
  <c r="Z48" i="1"/>
  <c r="AC14" i="5"/>
  <c r="AF14" i="5"/>
  <c r="AF11" i="5" s="1"/>
  <c r="AA48" i="1"/>
  <c r="AD27" i="3"/>
  <c r="AG18" i="3"/>
  <c r="AF5" i="3"/>
  <c r="AF18" i="3"/>
  <c r="AD48" i="1"/>
  <c r="AD50" i="1" s="1"/>
  <c r="AD5" i="3"/>
  <c r="AB5" i="5"/>
  <c r="F31" i="7" s="1"/>
  <c r="AC48" i="1"/>
  <c r="AA5" i="5"/>
  <c r="AB5" i="3"/>
  <c r="AF5" i="5"/>
  <c r="J31" i="7" s="1"/>
  <c r="AC34" i="5"/>
  <c r="G36" i="7" s="1"/>
  <c r="AB34" i="5"/>
  <c r="F36" i="7" s="1"/>
  <c r="AA34" i="5"/>
  <c r="E36" i="7" s="1"/>
  <c r="AF34" i="5"/>
  <c r="J36" i="7" s="1"/>
  <c r="AE26" i="1"/>
  <c r="AF4" i="5" s="1"/>
  <c r="J29" i="7" s="1"/>
  <c r="AE28" i="3"/>
  <c r="AC26" i="1"/>
  <c r="AE16" i="3" s="1"/>
  <c r="AC25" i="5"/>
  <c r="G39" i="7" s="1"/>
  <c r="G26" i="7" s="1"/>
  <c r="AF15" i="3"/>
  <c r="AC13" i="3"/>
  <c r="AG5" i="3"/>
  <c r="AB25" i="5"/>
  <c r="F39" i="7" s="1"/>
  <c r="F26" i="7" s="1"/>
  <c r="AB13" i="3"/>
  <c r="AA25" i="5"/>
  <c r="E39" i="7" s="1"/>
  <c r="AC11" i="5"/>
  <c r="G33" i="7" s="1"/>
  <c r="AD25" i="5"/>
  <c r="H39" i="7" s="1"/>
  <c r="AD11" i="5"/>
  <c r="H33" i="7" s="1"/>
  <c r="AE4" i="5"/>
  <c r="I29" i="7" s="1"/>
  <c r="AF14" i="3"/>
  <c r="AB12" i="3"/>
  <c r="AA26" i="1"/>
  <c r="AC15" i="3" s="1"/>
  <c r="AG13" i="3"/>
  <c r="AD4" i="3"/>
  <c r="AD22" i="3"/>
  <c r="AF17" i="3"/>
  <c r="AD14" i="3"/>
  <c r="AE13" i="3"/>
  <c r="AG12" i="3"/>
  <c r="AC12" i="3"/>
  <c r="AF22" i="3"/>
  <c r="AD11" i="3"/>
  <c r="AF4" i="3"/>
  <c r="AC4" i="5"/>
  <c r="G29" i="7" s="1"/>
  <c r="Z26" i="1"/>
  <c r="AF21" i="3"/>
  <c r="AF13" i="3"/>
  <c r="AD21" i="3"/>
  <c r="AF20" i="3"/>
  <c r="AD17" i="3"/>
  <c r="AF16" i="3"/>
  <c r="AD13" i="3"/>
  <c r="AF12" i="3"/>
  <c r="AF6" i="3"/>
  <c r="AD23" i="3"/>
  <c r="AD15" i="3"/>
  <c r="AF23" i="3"/>
  <c r="AD20" i="3"/>
  <c r="AD16" i="3"/>
  <c r="N16" i="4"/>
  <c r="N24" i="4" s="1"/>
  <c r="L26" i="4"/>
  <c r="AI27" i="3"/>
  <c r="AK26" i="3"/>
  <c r="AK28" i="3"/>
  <c r="Z3" i="2"/>
  <c r="AJ50" i="1"/>
  <c r="AE48" i="1"/>
  <c r="AK50" i="1"/>
  <c r="Z47" i="5"/>
  <c r="Z4" i="5"/>
  <c r="AA4" i="3"/>
  <c r="AA6" i="3"/>
  <c r="AA11" i="3"/>
  <c r="AA14" i="3"/>
  <c r="AA15" i="3"/>
  <c r="AA20" i="3"/>
  <c r="AA21" i="3"/>
  <c r="AA22" i="3"/>
  <c r="AA23" i="3"/>
  <c r="Z34" i="5"/>
  <c r="D36" i="7" s="1"/>
  <c r="D11" i="7" s="1"/>
  <c r="AA16" i="3"/>
  <c r="AA17" i="3"/>
  <c r="Z43" i="5"/>
  <c r="Y43" i="5"/>
  <c r="W43" i="5"/>
  <c r="V43" i="5"/>
  <c r="T43" i="5"/>
  <c r="S43" i="5"/>
  <c r="R43" i="5"/>
  <c r="Q43" i="5"/>
  <c r="Z37" i="5"/>
  <c r="Y37" i="5"/>
  <c r="X37" i="5"/>
  <c r="W37" i="5"/>
  <c r="V37" i="5"/>
  <c r="U37" i="5"/>
  <c r="T37" i="5"/>
  <c r="S37" i="5"/>
  <c r="R37" i="5"/>
  <c r="Q37" i="5"/>
  <c r="Z25" i="5"/>
  <c r="D39" i="7" s="1"/>
  <c r="Y25" i="5"/>
  <c r="X25" i="5"/>
  <c r="W25" i="5"/>
  <c r="V25" i="5"/>
  <c r="U25" i="5"/>
  <c r="T25" i="5"/>
  <c r="S25" i="5"/>
  <c r="R25" i="5"/>
  <c r="Q25" i="5"/>
  <c r="Z14" i="5"/>
  <c r="Y14" i="5"/>
  <c r="Y11" i="5" s="1"/>
  <c r="X14" i="5"/>
  <c r="X11" i="5" s="1"/>
  <c r="W14" i="5"/>
  <c r="W11" i="5" s="1"/>
  <c r="V14" i="5"/>
  <c r="V11" i="5" s="1"/>
  <c r="U14" i="5"/>
  <c r="U11" i="5" s="1"/>
  <c r="T14" i="5"/>
  <c r="T11" i="5" s="1"/>
  <c r="S14" i="5"/>
  <c r="S11" i="5" s="1"/>
  <c r="S12" i="5" s="1"/>
  <c r="R14" i="5"/>
  <c r="R11" i="5" s="1"/>
  <c r="R12" i="5" s="1"/>
  <c r="Q14" i="5"/>
  <c r="Q11" i="5" s="1"/>
  <c r="Y3" i="2"/>
  <c r="P4" i="5"/>
  <c r="Q4" i="3"/>
  <c r="Q6" i="3"/>
  <c r="Q11" i="3"/>
  <c r="Q14" i="3"/>
  <c r="Q20" i="3"/>
  <c r="Q22" i="3"/>
  <c r="Q23" i="3"/>
  <c r="Q9" i="3"/>
  <c r="E29" i="3"/>
  <c r="L4" i="3"/>
  <c r="L11" i="3"/>
  <c r="L14" i="3"/>
  <c r="L20" i="3"/>
  <c r="L22" i="3"/>
  <c r="L23" i="3"/>
  <c r="K4" i="5"/>
  <c r="L6" i="3"/>
  <c r="L9" i="3"/>
  <c r="K4" i="3"/>
  <c r="K11" i="3"/>
  <c r="K14" i="3"/>
  <c r="K20" i="3"/>
  <c r="K22" i="3"/>
  <c r="K23" i="3"/>
  <c r="J4" i="5"/>
  <c r="K6" i="3"/>
  <c r="E4" i="3"/>
  <c r="E6" i="3"/>
  <c r="E11" i="3"/>
  <c r="E14" i="3"/>
  <c r="E20" i="3"/>
  <c r="E22" i="3"/>
  <c r="E23" i="3"/>
  <c r="D4" i="5"/>
  <c r="E9" i="3"/>
  <c r="M4" i="3"/>
  <c r="M6" i="3"/>
  <c r="M11" i="3"/>
  <c r="M14" i="3"/>
  <c r="M20" i="3"/>
  <c r="M22" i="3"/>
  <c r="M23" i="3"/>
  <c r="L4" i="5"/>
  <c r="G4" i="3"/>
  <c r="G6" i="3"/>
  <c r="G11" i="3"/>
  <c r="G14" i="3"/>
  <c r="G20" i="3"/>
  <c r="G22" i="3"/>
  <c r="G23" i="3"/>
  <c r="F4" i="5"/>
  <c r="I4" i="3"/>
  <c r="I6" i="3"/>
  <c r="I11" i="3"/>
  <c r="I14" i="3"/>
  <c r="I20" i="3"/>
  <c r="I22" i="3"/>
  <c r="I23" i="3"/>
  <c r="H4" i="5"/>
  <c r="J4" i="3"/>
  <c r="J6" i="3"/>
  <c r="J11" i="3"/>
  <c r="J14" i="3"/>
  <c r="J20" i="3"/>
  <c r="J22" i="3"/>
  <c r="J23" i="3"/>
  <c r="I4" i="5"/>
  <c r="H4" i="3"/>
  <c r="H6" i="3"/>
  <c r="H11" i="3"/>
  <c r="H14" i="3"/>
  <c r="H20" i="3"/>
  <c r="H22" i="3"/>
  <c r="H23" i="3"/>
  <c r="G4" i="5"/>
  <c r="F50" i="1"/>
  <c r="F4" i="3"/>
  <c r="F6" i="3"/>
  <c r="F11" i="3"/>
  <c r="F14" i="3"/>
  <c r="F20" i="3"/>
  <c r="F22" i="3"/>
  <c r="F23" i="3"/>
  <c r="E4" i="5"/>
  <c r="M12" i="3"/>
  <c r="M13" i="3"/>
  <c r="M15" i="3"/>
  <c r="L12" i="3"/>
  <c r="L13" i="3"/>
  <c r="L15" i="3"/>
  <c r="K12" i="3"/>
  <c r="K13" i="3"/>
  <c r="K15" i="3"/>
  <c r="J12" i="3"/>
  <c r="J13" i="3"/>
  <c r="J15" i="3"/>
  <c r="I12" i="3"/>
  <c r="I13" i="3"/>
  <c r="I15" i="3"/>
  <c r="H12" i="3"/>
  <c r="H13" i="3"/>
  <c r="H15" i="3"/>
  <c r="G12" i="3"/>
  <c r="G13" i="3"/>
  <c r="G15" i="3"/>
  <c r="F12" i="3"/>
  <c r="F13" i="3"/>
  <c r="F15" i="3"/>
  <c r="E12" i="3"/>
  <c r="E13" i="3"/>
  <c r="E15" i="3"/>
  <c r="M16" i="3"/>
  <c r="M17" i="3"/>
  <c r="L16" i="3"/>
  <c r="L17" i="3"/>
  <c r="K16" i="3"/>
  <c r="K17" i="3"/>
  <c r="J16" i="3"/>
  <c r="J17" i="3"/>
  <c r="I16" i="3"/>
  <c r="I17" i="3"/>
  <c r="H16" i="3"/>
  <c r="H17" i="3"/>
  <c r="G16" i="3"/>
  <c r="G17" i="3"/>
  <c r="F16" i="3"/>
  <c r="F17" i="3"/>
  <c r="E16" i="3"/>
  <c r="E17" i="3"/>
  <c r="M5" i="3"/>
  <c r="M18" i="3"/>
  <c r="M21" i="3"/>
  <c r="L5" i="5"/>
  <c r="L18" i="3"/>
  <c r="L21" i="3"/>
  <c r="K5" i="5"/>
  <c r="L5" i="3"/>
  <c r="K18" i="3"/>
  <c r="K21" i="3"/>
  <c r="J5" i="5"/>
  <c r="K5" i="3"/>
  <c r="J18" i="3"/>
  <c r="J21" i="3"/>
  <c r="I5" i="5"/>
  <c r="J5" i="3"/>
  <c r="I5" i="3"/>
  <c r="I18" i="3"/>
  <c r="I21" i="3"/>
  <c r="H5" i="5"/>
  <c r="H5" i="3"/>
  <c r="H18" i="3"/>
  <c r="H21" i="3"/>
  <c r="G5" i="5"/>
  <c r="G5" i="3"/>
  <c r="G18" i="3"/>
  <c r="G21" i="3"/>
  <c r="F5" i="5"/>
  <c r="F5" i="3"/>
  <c r="F18" i="3"/>
  <c r="F21" i="3"/>
  <c r="E5" i="5"/>
  <c r="E5" i="3"/>
  <c r="E18" i="3"/>
  <c r="E21" i="3"/>
  <c r="D5" i="5"/>
  <c r="F25" i="3" s="1"/>
  <c r="E25" i="3"/>
  <c r="C30" i="5"/>
  <c r="B26" i="1"/>
  <c r="M20" i="5"/>
  <c r="N3" i="3"/>
  <c r="L47" i="1"/>
  <c r="N12" i="3"/>
  <c r="N13" i="3"/>
  <c r="L26" i="1"/>
  <c r="N21" i="3" s="1"/>
  <c r="N18" i="3"/>
  <c r="M5" i="5"/>
  <c r="L37" i="1"/>
  <c r="E26" i="3"/>
  <c r="E27" i="3"/>
  <c r="E28" i="3"/>
  <c r="F28" i="3"/>
  <c r="O27" i="3"/>
  <c r="P27" i="3"/>
  <c r="F27" i="3"/>
  <c r="O26" i="3"/>
  <c r="P26" i="3"/>
  <c r="F26" i="3"/>
  <c r="E43" i="5"/>
  <c r="D43" i="5"/>
  <c r="M43" i="5"/>
  <c r="L43" i="5"/>
  <c r="K43" i="5"/>
  <c r="J43" i="5"/>
  <c r="I43" i="5"/>
  <c r="H43" i="5"/>
  <c r="G43" i="5"/>
  <c r="F43" i="5"/>
  <c r="O28" i="3"/>
  <c r="P28" i="3"/>
  <c r="M25" i="5"/>
  <c r="K25" i="5"/>
  <c r="F25" i="5"/>
  <c r="E25" i="5"/>
  <c r="K14" i="5"/>
  <c r="K11" i="5" s="1"/>
  <c r="M14" i="5"/>
  <c r="M11" i="5" s="1"/>
  <c r="E14" i="5"/>
  <c r="E11" i="5" s="1"/>
  <c r="J14" i="5"/>
  <c r="J11" i="5" s="1"/>
  <c r="I14" i="5"/>
  <c r="I11" i="5" s="1"/>
  <c r="G14" i="5"/>
  <c r="G11" i="5" s="1"/>
  <c r="U12" i="3"/>
  <c r="U13" i="3"/>
  <c r="T12" i="3"/>
  <c r="T13" i="3"/>
  <c r="S12" i="3"/>
  <c r="S13" i="3"/>
  <c r="R12" i="3"/>
  <c r="R13" i="3"/>
  <c r="Q12" i="3"/>
  <c r="Q13" i="3"/>
  <c r="Q15" i="3"/>
  <c r="P12" i="3"/>
  <c r="P13" i="3"/>
  <c r="N4" i="5"/>
  <c r="O6" i="3"/>
  <c r="O4" i="3"/>
  <c r="O11" i="3"/>
  <c r="O14" i="3"/>
  <c r="O20" i="3"/>
  <c r="O22" i="3"/>
  <c r="O23" i="3"/>
  <c r="O12" i="3"/>
  <c r="O13" i="3"/>
  <c r="O15" i="3"/>
  <c r="N26" i="1"/>
  <c r="P16" i="3" s="1"/>
  <c r="X26" i="1"/>
  <c r="W26" i="1"/>
  <c r="V26" i="1"/>
  <c r="U26" i="1"/>
  <c r="Q16" i="3"/>
  <c r="Q17" i="3"/>
  <c r="P17" i="3"/>
  <c r="O16" i="3"/>
  <c r="O17" i="3"/>
  <c r="X50" i="1"/>
  <c r="W37" i="1"/>
  <c r="W48" i="1" s="1"/>
  <c r="V37" i="1"/>
  <c r="V48" i="1" s="1"/>
  <c r="U37" i="1"/>
  <c r="U48" i="1" s="1"/>
  <c r="U50" i="1" s="1"/>
  <c r="U18" i="3"/>
  <c r="S48" i="1"/>
  <c r="S50" i="1" s="1"/>
  <c r="T5" i="3"/>
  <c r="T18" i="3"/>
  <c r="R48" i="1"/>
  <c r="S5" i="3"/>
  <c r="S18" i="3"/>
  <c r="S21" i="3"/>
  <c r="Q48" i="1"/>
  <c r="Q50" i="1" s="1"/>
  <c r="R5" i="3"/>
  <c r="R18" i="3"/>
  <c r="R21" i="3"/>
  <c r="P5" i="5"/>
  <c r="Q5" i="3"/>
  <c r="Q18" i="3"/>
  <c r="Q21" i="3"/>
  <c r="O37" i="1"/>
  <c r="O48" i="1" s="1"/>
  <c r="O50" i="1" s="1"/>
  <c r="O5" i="5"/>
  <c r="P5" i="3"/>
  <c r="P18" i="3"/>
  <c r="N37" i="1"/>
  <c r="N48" i="1" s="1"/>
  <c r="N50" i="1" s="1"/>
  <c r="N5" i="5"/>
  <c r="P25" i="3" s="1"/>
  <c r="O5" i="3"/>
  <c r="O18" i="3"/>
  <c r="O21" i="3"/>
  <c r="M37" i="1"/>
  <c r="M48" i="1" s="1"/>
  <c r="M50" i="1" s="1"/>
  <c r="U10" i="3"/>
  <c r="T10" i="3"/>
  <c r="S10" i="3"/>
  <c r="R10" i="3"/>
  <c r="P47" i="5"/>
  <c r="P43" i="5" s="1"/>
  <c r="Q10" i="3"/>
  <c r="O47" i="5"/>
  <c r="P10" i="3"/>
  <c r="N47" i="5"/>
  <c r="O10" i="3"/>
  <c r="O43" i="5"/>
  <c r="N43" i="5"/>
  <c r="P37" i="5"/>
  <c r="P25" i="5"/>
  <c r="O25" i="5"/>
  <c r="N25" i="5"/>
  <c r="P12" i="5"/>
  <c r="O14" i="5"/>
  <c r="O11" i="5" s="1"/>
  <c r="N14" i="5"/>
  <c r="N11" i="5" s="1"/>
  <c r="S50" i="7" l="1"/>
  <c r="S17" i="7" s="1"/>
  <c r="AP9" i="3"/>
  <c r="AR9" i="3"/>
  <c r="U50" i="7"/>
  <c r="U17" i="7"/>
  <c r="V17" i="7"/>
  <c r="T17" i="7"/>
  <c r="G21" i="7"/>
  <c r="G24" i="7"/>
  <c r="I21" i="7"/>
  <c r="I24" i="7"/>
  <c r="I22" i="7"/>
  <c r="H6" i="7"/>
  <c r="H13" i="7"/>
  <c r="G6" i="7"/>
  <c r="G7" i="7"/>
  <c r="G13" i="7"/>
  <c r="J21" i="7"/>
  <c r="J24" i="7"/>
  <c r="J22" i="7"/>
  <c r="J11" i="7"/>
  <c r="G11" i="7"/>
  <c r="J25" i="7"/>
  <c r="J12" i="7"/>
  <c r="F25" i="7"/>
  <c r="F12" i="7"/>
  <c r="F6" i="7"/>
  <c r="F13" i="7"/>
  <c r="K6" i="7"/>
  <c r="K13" i="7"/>
  <c r="K25" i="7"/>
  <c r="K12" i="7"/>
  <c r="L6" i="7"/>
  <c r="L13" i="7"/>
  <c r="L27" i="7"/>
  <c r="L18" i="7"/>
  <c r="M27" i="7"/>
  <c r="M18" i="7"/>
  <c r="M16" i="7"/>
  <c r="N27" i="7"/>
  <c r="N18" i="7"/>
  <c r="N16" i="7"/>
  <c r="O16" i="7"/>
  <c r="H27" i="7"/>
  <c r="H18" i="7"/>
  <c r="G16" i="7"/>
  <c r="H16" i="7"/>
  <c r="L16" i="7"/>
  <c r="G18" i="7"/>
  <c r="AN29" i="3"/>
  <c r="AL29" i="3"/>
  <c r="J26" i="7"/>
  <c r="K26" i="7"/>
  <c r="G20" i="7"/>
  <c r="G22" i="7"/>
  <c r="H20" i="7"/>
  <c r="L20" i="7"/>
  <c r="N20" i="7"/>
  <c r="I11" i="7"/>
  <c r="G25" i="7"/>
  <c r="G12" i="7"/>
  <c r="L25" i="7"/>
  <c r="L12" i="7"/>
  <c r="M25" i="7"/>
  <c r="M12" i="7"/>
  <c r="D20" i="7"/>
  <c r="D22" i="7"/>
  <c r="AN9" i="3"/>
  <c r="Q50" i="7"/>
  <c r="Q21" i="7"/>
  <c r="Q24" i="7"/>
  <c r="Q11" i="7"/>
  <c r="Q22" i="7"/>
  <c r="P20" i="7"/>
  <c r="O18" i="7"/>
  <c r="O20" i="7"/>
  <c r="Q6" i="7"/>
  <c r="Q7" i="7"/>
  <c r="Q13" i="7"/>
  <c r="Q8" i="7"/>
  <c r="D21" i="7"/>
  <c r="D24" i="7"/>
  <c r="R30" i="7"/>
  <c r="R17" i="7" s="1"/>
  <c r="E33" i="7"/>
  <c r="AA12" i="5"/>
  <c r="E34" i="7" s="1"/>
  <c r="W50" i="1"/>
  <c r="AK4" i="5"/>
  <c r="O29" i="7" s="1"/>
  <c r="AL20" i="3"/>
  <c r="AL11" i="3"/>
  <c r="AL14" i="3"/>
  <c r="AL22" i="3"/>
  <c r="AL23" i="3"/>
  <c r="AL6" i="3"/>
  <c r="AL4" i="3"/>
  <c r="AL4" i="5"/>
  <c r="P29" i="7" s="1"/>
  <c r="AM23" i="3"/>
  <c r="AM11" i="3"/>
  <c r="AM20" i="3"/>
  <c r="AM14" i="3"/>
  <c r="AM22" i="3"/>
  <c r="AM4" i="3"/>
  <c r="AM6" i="3"/>
  <c r="AL17" i="3"/>
  <c r="U21" i="3"/>
  <c r="AM29" i="3"/>
  <c r="AK16" i="3"/>
  <c r="AL15" i="3"/>
  <c r="N31" i="7"/>
  <c r="AL25" i="3"/>
  <c r="H10" i="3"/>
  <c r="F29" i="2"/>
  <c r="F33" i="2" s="1"/>
  <c r="F35" i="2" s="1"/>
  <c r="F37" i="2" s="1"/>
  <c r="H9" i="3" s="1"/>
  <c r="M9" i="3"/>
  <c r="P31" i="7"/>
  <c r="AN25" i="3"/>
  <c r="M30" i="3"/>
  <c r="N30" i="3"/>
  <c r="P21" i="3"/>
  <c r="G30" i="3"/>
  <c r="F30" i="3"/>
  <c r="AL21" i="3"/>
  <c r="U9" i="3"/>
  <c r="R50" i="1"/>
  <c r="O25" i="3"/>
  <c r="AM17" i="3"/>
  <c r="I30" i="3"/>
  <c r="H30" i="3"/>
  <c r="T21" i="3"/>
  <c r="V50" i="1"/>
  <c r="AM16" i="3"/>
  <c r="D29" i="2"/>
  <c r="D33" i="2" s="1"/>
  <c r="D35" i="2" s="1"/>
  <c r="D37" i="2" s="1"/>
  <c r="F9" i="3" s="1"/>
  <c r="F10" i="3"/>
  <c r="O31" i="7"/>
  <c r="AM25" i="3"/>
  <c r="AM21" i="3"/>
  <c r="H29" i="2"/>
  <c r="H33" i="2" s="1"/>
  <c r="H35" i="2" s="1"/>
  <c r="H37" i="2" s="1"/>
  <c r="J9" i="3" s="1"/>
  <c r="J10" i="3"/>
  <c r="AL16" i="3"/>
  <c r="V4" i="5"/>
  <c r="W4" i="3"/>
  <c r="W6" i="3"/>
  <c r="W11" i="3"/>
  <c r="W14" i="3"/>
  <c r="W20" i="3"/>
  <c r="W22" i="3"/>
  <c r="W23" i="3"/>
  <c r="W15" i="3"/>
  <c r="W16" i="3"/>
  <c r="W17" i="3"/>
  <c r="W21" i="3"/>
  <c r="W9" i="3"/>
  <c r="W4" i="5"/>
  <c r="X4" i="3"/>
  <c r="X6" i="3"/>
  <c r="X11" i="3"/>
  <c r="X14" i="3"/>
  <c r="X20" i="3"/>
  <c r="X22" i="3"/>
  <c r="X23" i="3"/>
  <c r="X15" i="3"/>
  <c r="X16" i="3"/>
  <c r="X17" i="3"/>
  <c r="X21" i="3"/>
  <c r="X9" i="3"/>
  <c r="X4" i="5"/>
  <c r="Y4" i="3"/>
  <c r="Y6" i="3"/>
  <c r="Y11" i="3"/>
  <c r="Y14" i="3"/>
  <c r="Y20" i="3"/>
  <c r="Y22" i="3"/>
  <c r="Y23" i="3"/>
  <c r="Y15" i="3"/>
  <c r="Y16" i="3"/>
  <c r="Y17" i="3"/>
  <c r="Y21" i="3"/>
  <c r="Y9" i="3"/>
  <c r="Y4" i="5"/>
  <c r="Z4" i="3"/>
  <c r="Z6" i="3"/>
  <c r="Z11" i="3"/>
  <c r="Z14" i="3"/>
  <c r="Z20" i="3"/>
  <c r="Z22" i="3"/>
  <c r="Z23" i="3"/>
  <c r="Z9" i="3"/>
  <c r="Z15" i="3"/>
  <c r="Z16" i="3"/>
  <c r="Z17" i="3"/>
  <c r="Z21" i="3"/>
  <c r="Y19" i="2"/>
  <c r="D45" i="7" s="1"/>
  <c r="D44" i="7"/>
  <c r="Z19" i="2"/>
  <c r="E45" i="7" s="1"/>
  <c r="E44" i="7"/>
  <c r="J30" i="7"/>
  <c r="AE12" i="5"/>
  <c r="I34" i="7" s="1"/>
  <c r="I8" i="7" s="1"/>
  <c r="I33" i="7"/>
  <c r="AC25" i="3"/>
  <c r="E31" i="7"/>
  <c r="AF12" i="5"/>
  <c r="J34" i="7" s="1"/>
  <c r="J8" i="7" s="1"/>
  <c r="J33" i="7"/>
  <c r="AA19" i="2"/>
  <c r="F45" i="7" s="1"/>
  <c r="F44" i="7"/>
  <c r="AB29" i="2"/>
  <c r="AB33" i="2" s="1"/>
  <c r="AB35" i="2" s="1"/>
  <c r="AB37" i="2" s="1"/>
  <c r="G45" i="7"/>
  <c r="AE10" i="3"/>
  <c r="H45" i="7"/>
  <c r="AK9" i="3"/>
  <c r="N50" i="7"/>
  <c r="AE19" i="2"/>
  <c r="J44" i="7"/>
  <c r="AD19" i="2"/>
  <c r="I44" i="7"/>
  <c r="AK19" i="2"/>
  <c r="AM10" i="3" s="1"/>
  <c r="P44" i="7"/>
  <c r="AJ29" i="2"/>
  <c r="AJ33" i="2" s="1"/>
  <c r="AJ35" i="2" s="1"/>
  <c r="AJ37" i="2" s="1"/>
  <c r="O45" i="7"/>
  <c r="AK12" i="5"/>
  <c r="O34" i="7" s="1"/>
  <c r="O8" i="7" s="1"/>
  <c r="O33" i="7"/>
  <c r="AL12" i="5"/>
  <c r="P34" i="7" s="1"/>
  <c r="P8" i="7" s="1"/>
  <c r="P33" i="7"/>
  <c r="AJ12" i="5"/>
  <c r="N34" i="7" s="1"/>
  <c r="N33" i="7"/>
  <c r="AJ4" i="5"/>
  <c r="N29" i="7" s="1"/>
  <c r="AK4" i="3"/>
  <c r="AK6" i="3"/>
  <c r="AK11" i="3"/>
  <c r="AK14" i="3"/>
  <c r="AK20" i="3"/>
  <c r="AK22" i="3"/>
  <c r="AK23" i="3"/>
  <c r="AK21" i="3"/>
  <c r="H31" i="7"/>
  <c r="AF25" i="3"/>
  <c r="I31" i="7"/>
  <c r="AG25" i="3"/>
  <c r="AI50" i="1"/>
  <c r="AA5" i="3"/>
  <c r="AA19" i="3"/>
  <c r="D31" i="7"/>
  <c r="AB25" i="3"/>
  <c r="V25" i="3"/>
  <c r="W25" i="3"/>
  <c r="U4" i="5"/>
  <c r="V4" i="3"/>
  <c r="V6" i="3"/>
  <c r="V11" i="3"/>
  <c r="V14" i="3"/>
  <c r="V20" i="3"/>
  <c r="V22" i="3"/>
  <c r="V23" i="3"/>
  <c r="V15" i="3"/>
  <c r="V9" i="3"/>
  <c r="V16" i="3"/>
  <c r="V17" i="3"/>
  <c r="X25" i="3"/>
  <c r="Y25" i="3"/>
  <c r="Z25" i="3"/>
  <c r="AA25" i="3"/>
  <c r="AH19" i="2"/>
  <c r="M33" i="7"/>
  <c r="AI12" i="5"/>
  <c r="M34" i="7" s="1"/>
  <c r="AH50" i="1"/>
  <c r="AJ4" i="3"/>
  <c r="AI4" i="5"/>
  <c r="M29" i="7" s="1"/>
  <c r="AJ14" i="3"/>
  <c r="AJ16" i="3"/>
  <c r="AJ6" i="3"/>
  <c r="AJ20" i="3"/>
  <c r="AJ11" i="3"/>
  <c r="AJ17" i="3"/>
  <c r="AJ21" i="3"/>
  <c r="AJ22" i="3"/>
  <c r="AJ23" i="3"/>
  <c r="AG19" i="2"/>
  <c r="AG50" i="1"/>
  <c r="AH12" i="5"/>
  <c r="L34" i="7" s="1"/>
  <c r="AK29" i="3"/>
  <c r="AI4" i="3"/>
  <c r="AI17" i="3"/>
  <c r="AI20" i="3"/>
  <c r="AI6" i="3"/>
  <c r="AI14" i="3"/>
  <c r="AI21" i="3"/>
  <c r="AI11" i="3"/>
  <c r="AI22" i="3"/>
  <c r="AH4" i="5"/>
  <c r="L29" i="7" s="1"/>
  <c r="AI23" i="3"/>
  <c r="AI16" i="3"/>
  <c r="AI15" i="3"/>
  <c r="AF19" i="2"/>
  <c r="K44" i="7"/>
  <c r="AH11" i="3"/>
  <c r="AH14" i="3"/>
  <c r="AH17" i="3"/>
  <c r="AH4" i="3"/>
  <c r="AH23" i="3"/>
  <c r="AH21" i="3"/>
  <c r="AH20" i="3"/>
  <c r="AH15" i="3"/>
  <c r="AH16" i="3"/>
  <c r="AF50" i="1"/>
  <c r="AH22" i="3"/>
  <c r="AG4" i="5"/>
  <c r="K29" i="7" s="1"/>
  <c r="AG12" i="5"/>
  <c r="K34" i="7" s="1"/>
  <c r="K8" i="7" s="1"/>
  <c r="AJ29" i="3"/>
  <c r="AI29" i="3"/>
  <c r="Z11" i="5"/>
  <c r="Z12" i="5" s="1"/>
  <c r="D34" i="7" s="1"/>
  <c r="D8" i="7" s="1"/>
  <c r="AC29" i="3"/>
  <c r="AC29" i="2"/>
  <c r="AC33" i="2" s="1"/>
  <c r="AC35" i="2" s="1"/>
  <c r="AC37" i="2" s="1"/>
  <c r="AD10" i="3"/>
  <c r="Z29" i="2"/>
  <c r="Z33" i="2" s="1"/>
  <c r="Z35" i="2" s="1"/>
  <c r="Z37" i="2" s="1"/>
  <c r="AC10" i="3"/>
  <c r="AD29" i="3"/>
  <c r="AB12" i="5"/>
  <c r="F34" i="7" s="1"/>
  <c r="AF29" i="3"/>
  <c r="AG29" i="3"/>
  <c r="AE29" i="3"/>
  <c r="AC12" i="5"/>
  <c r="G34" i="7" s="1"/>
  <c r="G8" i="7" s="1"/>
  <c r="AH29" i="3"/>
  <c r="AD25" i="3"/>
  <c r="AE25" i="3"/>
  <c r="AH25" i="3"/>
  <c r="AI25" i="3"/>
  <c r="AE20" i="3"/>
  <c r="AE14" i="3"/>
  <c r="AE17" i="3"/>
  <c r="AE4" i="3"/>
  <c r="AE22" i="3"/>
  <c r="AE21" i="3"/>
  <c r="AG11" i="3"/>
  <c r="AG4" i="3"/>
  <c r="AG16" i="3"/>
  <c r="AE50" i="1"/>
  <c r="AG23" i="3"/>
  <c r="AG20" i="3"/>
  <c r="AG21" i="3"/>
  <c r="AG15" i="3"/>
  <c r="AG17" i="3"/>
  <c r="AG6" i="3"/>
  <c r="AG14" i="3"/>
  <c r="AG22" i="3"/>
  <c r="AC50" i="1"/>
  <c r="AD12" i="5"/>
  <c r="H34" i="7" s="1"/>
  <c r="AE6" i="3"/>
  <c r="AD4" i="5"/>
  <c r="H29" i="7" s="1"/>
  <c r="AE23" i="3"/>
  <c r="AE11" i="3"/>
  <c r="AE15" i="3"/>
  <c r="AB17" i="3"/>
  <c r="AB21" i="3"/>
  <c r="AB6" i="3"/>
  <c r="AB14" i="3"/>
  <c r="AB22" i="3"/>
  <c r="AB23" i="3"/>
  <c r="Z50" i="1"/>
  <c r="AB16" i="3"/>
  <c r="AA4" i="5"/>
  <c r="E29" i="7" s="1"/>
  <c r="AB4" i="3"/>
  <c r="AB11" i="3"/>
  <c r="AB20" i="3"/>
  <c r="AA50" i="1"/>
  <c r="AC17" i="3"/>
  <c r="AC21" i="3"/>
  <c r="AC11" i="3"/>
  <c r="AC23" i="3"/>
  <c r="AB4" i="5"/>
  <c r="F29" i="7" s="1"/>
  <c r="AC4" i="3"/>
  <c r="AC16" i="3"/>
  <c r="AC20" i="3"/>
  <c r="AC14" i="3"/>
  <c r="AC22" i="3"/>
  <c r="AC6" i="3"/>
  <c r="AB15" i="3"/>
  <c r="Y29" i="2"/>
  <c r="Y33" i="2" s="1"/>
  <c r="Y35" i="2" s="1"/>
  <c r="Y37" i="2" s="1"/>
  <c r="AA10" i="3"/>
  <c r="Q12" i="5"/>
  <c r="S29" i="3"/>
  <c r="T12" i="5"/>
  <c r="V29" i="3"/>
  <c r="U12" i="5"/>
  <c r="W29" i="3"/>
  <c r="V12" i="5"/>
  <c r="X29" i="3"/>
  <c r="W12" i="5"/>
  <c r="Y29" i="3"/>
  <c r="X12" i="5"/>
  <c r="Z29" i="3"/>
  <c r="Y12" i="5"/>
  <c r="AA29" i="3"/>
  <c r="U29" i="3"/>
  <c r="T29" i="3"/>
  <c r="N12" i="5"/>
  <c r="P29" i="3"/>
  <c r="R29" i="3"/>
  <c r="Q29" i="3"/>
  <c r="O12" i="5"/>
  <c r="Q25" i="3"/>
  <c r="R25" i="3"/>
  <c r="S25" i="3"/>
  <c r="T25" i="3"/>
  <c r="U25" i="3"/>
  <c r="R4" i="3"/>
  <c r="R11" i="3"/>
  <c r="R14" i="3"/>
  <c r="R20" i="3"/>
  <c r="R22" i="3"/>
  <c r="R23" i="3"/>
  <c r="R6" i="3"/>
  <c r="R9" i="3"/>
  <c r="R15" i="3"/>
  <c r="R16" i="3"/>
  <c r="R17" i="3"/>
  <c r="S4" i="3"/>
  <c r="S6" i="3"/>
  <c r="S11" i="3"/>
  <c r="S14" i="3"/>
  <c r="S20" i="3"/>
  <c r="S22" i="3"/>
  <c r="S23" i="3"/>
  <c r="S9" i="3"/>
  <c r="S15" i="3"/>
  <c r="S16" i="3"/>
  <c r="S17" i="3"/>
  <c r="T4" i="3"/>
  <c r="T6" i="3"/>
  <c r="T11" i="3"/>
  <c r="T14" i="3"/>
  <c r="T20" i="3"/>
  <c r="T22" i="3"/>
  <c r="T23" i="3"/>
  <c r="T9" i="3"/>
  <c r="T15" i="3"/>
  <c r="T16" i="3"/>
  <c r="T17" i="3"/>
  <c r="U6" i="3"/>
  <c r="U11" i="3"/>
  <c r="U14" i="3"/>
  <c r="U20" i="3"/>
  <c r="U22" i="3"/>
  <c r="U23" i="3"/>
  <c r="U4" i="3"/>
  <c r="U15" i="3"/>
  <c r="U16" i="3"/>
  <c r="U17" i="3"/>
  <c r="O4" i="5"/>
  <c r="P4" i="3"/>
  <c r="P6" i="3"/>
  <c r="P11" i="3"/>
  <c r="P14" i="3"/>
  <c r="P20" i="3"/>
  <c r="P22" i="3"/>
  <c r="P23" i="3"/>
  <c r="P9" i="3"/>
  <c r="P15" i="3"/>
  <c r="G12" i="5"/>
  <c r="I29" i="3"/>
  <c r="J29" i="3"/>
  <c r="I12" i="5"/>
  <c r="K29" i="3"/>
  <c r="L29" i="3"/>
  <c r="J12" i="5"/>
  <c r="G29" i="3"/>
  <c r="E12" i="5"/>
  <c r="H29" i="3"/>
  <c r="O29" i="3"/>
  <c r="M12" i="5"/>
  <c r="K12" i="5"/>
  <c r="M29" i="3"/>
  <c r="N29" i="3"/>
  <c r="N11" i="3"/>
  <c r="N14" i="3"/>
  <c r="N20" i="3"/>
  <c r="N22" i="3"/>
  <c r="N23" i="3"/>
  <c r="M4" i="5"/>
  <c r="N9" i="3"/>
  <c r="N15" i="3"/>
  <c r="N16" i="3"/>
  <c r="N17" i="3"/>
  <c r="L48" i="1"/>
  <c r="L50" i="1" s="1"/>
  <c r="N4" i="3"/>
  <c r="N5" i="3"/>
  <c r="N6" i="3"/>
  <c r="N19" i="3"/>
  <c r="C4" i="5"/>
  <c r="D9" i="3"/>
  <c r="D17" i="3"/>
  <c r="D6" i="3"/>
  <c r="D11" i="3"/>
  <c r="D16" i="3"/>
  <c r="B4" i="5"/>
  <c r="D14" i="3"/>
  <c r="D4" i="3"/>
  <c r="D20" i="3"/>
  <c r="D21" i="3"/>
  <c r="D22" i="3"/>
  <c r="D23" i="3"/>
  <c r="D15" i="3"/>
  <c r="B50" i="1"/>
  <c r="G25" i="3"/>
  <c r="H25" i="3"/>
  <c r="I25" i="3"/>
  <c r="J25" i="3"/>
  <c r="K25" i="3"/>
  <c r="L25" i="3"/>
  <c r="M25" i="3"/>
  <c r="N25" i="3"/>
  <c r="F21" i="7" l="1"/>
  <c r="F24" i="7"/>
  <c r="F22" i="7"/>
  <c r="F11" i="7"/>
  <c r="F7" i="7"/>
  <c r="E30" i="7"/>
  <c r="E24" i="7"/>
  <c r="E21" i="7"/>
  <c r="E22" i="7"/>
  <c r="E11" i="7"/>
  <c r="H21" i="7"/>
  <c r="H24" i="7"/>
  <c r="H7" i="7"/>
  <c r="H22" i="7"/>
  <c r="H11" i="7"/>
  <c r="H8" i="7"/>
  <c r="F8" i="7"/>
  <c r="K30" i="7"/>
  <c r="K21" i="7"/>
  <c r="K24" i="7"/>
  <c r="K11" i="7"/>
  <c r="K22" i="7"/>
  <c r="K7" i="7"/>
  <c r="K27" i="7"/>
  <c r="K18" i="7"/>
  <c r="K16" i="7"/>
  <c r="L21" i="7"/>
  <c r="L24" i="7"/>
  <c r="L11" i="7"/>
  <c r="L7" i="7"/>
  <c r="L22" i="7"/>
  <c r="L8" i="7"/>
  <c r="M21" i="7"/>
  <c r="M24" i="7"/>
  <c r="M22" i="7"/>
  <c r="M11" i="7"/>
  <c r="M8" i="7"/>
  <c r="M6" i="7"/>
  <c r="M7" i="7"/>
  <c r="M13" i="7"/>
  <c r="D25" i="7"/>
  <c r="D12" i="7"/>
  <c r="D26" i="7"/>
  <c r="I25" i="7"/>
  <c r="I12" i="7"/>
  <c r="I26" i="7"/>
  <c r="H25" i="7"/>
  <c r="H12" i="7"/>
  <c r="H26" i="7"/>
  <c r="O30" i="7"/>
  <c r="N21" i="7"/>
  <c r="N24" i="7"/>
  <c r="N22" i="7"/>
  <c r="N11" i="7"/>
  <c r="N6" i="7"/>
  <c r="N7" i="7"/>
  <c r="N13" i="7"/>
  <c r="N8" i="7"/>
  <c r="P6" i="7"/>
  <c r="P7" i="7"/>
  <c r="P13" i="7"/>
  <c r="O6" i="7"/>
  <c r="O7" i="7"/>
  <c r="O13" i="7"/>
  <c r="P27" i="7"/>
  <c r="P16" i="7"/>
  <c r="P18" i="7"/>
  <c r="I27" i="7"/>
  <c r="I18" i="7"/>
  <c r="I16" i="7"/>
  <c r="J27" i="7"/>
  <c r="J18" i="7"/>
  <c r="J16" i="7"/>
  <c r="F27" i="7"/>
  <c r="F18" i="7"/>
  <c r="F16" i="7"/>
  <c r="J6" i="7"/>
  <c r="J7" i="7"/>
  <c r="J13" i="7"/>
  <c r="E25" i="7"/>
  <c r="E12" i="7"/>
  <c r="E26" i="7"/>
  <c r="I6" i="7"/>
  <c r="I7" i="7"/>
  <c r="I13" i="7"/>
  <c r="E27" i="7"/>
  <c r="E18" i="7"/>
  <c r="E16" i="7"/>
  <c r="D16" i="7"/>
  <c r="D18" i="7"/>
  <c r="D27" i="7"/>
  <c r="O25" i="7"/>
  <c r="O12" i="7"/>
  <c r="O26" i="7"/>
  <c r="P25" i="7"/>
  <c r="P12" i="7"/>
  <c r="P26" i="7"/>
  <c r="N25" i="7"/>
  <c r="N12" i="7"/>
  <c r="N26" i="7"/>
  <c r="P21" i="7"/>
  <c r="P24" i="7"/>
  <c r="P11" i="7"/>
  <c r="P22" i="7"/>
  <c r="Q30" i="7"/>
  <c r="O21" i="7"/>
  <c r="O24" i="7"/>
  <c r="O11" i="7"/>
  <c r="O22" i="7"/>
  <c r="E8" i="7"/>
  <c r="E6" i="7"/>
  <c r="E7" i="7"/>
  <c r="E13" i="7"/>
  <c r="Q17" i="7"/>
  <c r="P30" i="7"/>
  <c r="O50" i="7"/>
  <c r="O17" i="7" s="1"/>
  <c r="AL9" i="3"/>
  <c r="AB10" i="3"/>
  <c r="AA29" i="2"/>
  <c r="AA33" i="2" s="1"/>
  <c r="AA35" i="2" s="1"/>
  <c r="AA37" i="2" s="1"/>
  <c r="AA9" i="3"/>
  <c r="D50" i="7"/>
  <c r="D17" i="7" s="1"/>
  <c r="F30" i="7"/>
  <c r="G30" i="7"/>
  <c r="I30" i="7"/>
  <c r="H30" i="7"/>
  <c r="AC9" i="3"/>
  <c r="F50" i="7"/>
  <c r="F17" i="7" s="1"/>
  <c r="AB9" i="3"/>
  <c r="E50" i="7"/>
  <c r="E17" i="7" s="1"/>
  <c r="AE9" i="3"/>
  <c r="H50" i="7"/>
  <c r="H17" i="7" s="1"/>
  <c r="AK29" i="2"/>
  <c r="AK33" i="2" s="1"/>
  <c r="AK35" i="2" s="1"/>
  <c r="AK37" i="2" s="1"/>
  <c r="P45" i="7"/>
  <c r="AD29" i="2"/>
  <c r="AD33" i="2" s="1"/>
  <c r="AD35" i="2" s="1"/>
  <c r="AD37" i="2" s="1"/>
  <c r="I45" i="7"/>
  <c r="AF10" i="3"/>
  <c r="AG10" i="3"/>
  <c r="J45" i="7"/>
  <c r="AE29" i="2"/>
  <c r="AE33" i="2" s="1"/>
  <c r="AE35" i="2" s="1"/>
  <c r="AE37" i="2" s="1"/>
  <c r="AD9" i="3"/>
  <c r="G50" i="7"/>
  <c r="G17" i="7" s="1"/>
  <c r="AJ10" i="3"/>
  <c r="M45" i="7"/>
  <c r="AH29" i="2"/>
  <c r="AH33" i="2" s="1"/>
  <c r="AH35" i="2" s="1"/>
  <c r="AH37" i="2" s="1"/>
  <c r="N30" i="7"/>
  <c r="N17" i="7" s="1"/>
  <c r="L45" i="7"/>
  <c r="AG29" i="2"/>
  <c r="AG33" i="2" s="1"/>
  <c r="AG35" i="2" s="1"/>
  <c r="AG37" i="2" s="1"/>
  <c r="AI10" i="3"/>
  <c r="M30" i="7"/>
  <c r="L30" i="7"/>
  <c r="K45" i="7"/>
  <c r="AH10" i="3"/>
  <c r="AF29" i="2"/>
  <c r="AF33" i="2" s="1"/>
  <c r="AF35" i="2" s="1"/>
  <c r="AF37" i="2" s="1"/>
  <c r="D33" i="7"/>
  <c r="AB29" i="3"/>
  <c r="D6" i="7" l="1"/>
  <c r="D7" i="7"/>
  <c r="D13" i="7"/>
  <c r="P50" i="7"/>
  <c r="P17" i="7" s="1"/>
  <c r="AM9" i="3"/>
  <c r="J50" i="7"/>
  <c r="J17" i="7" s="1"/>
  <c r="AG9" i="3"/>
  <c r="AF9" i="3"/>
  <c r="I50" i="7"/>
  <c r="I17" i="7" s="1"/>
  <c r="AJ9" i="3"/>
  <c r="M50" i="7"/>
  <c r="M17" i="7" s="1"/>
  <c r="L50" i="7"/>
  <c r="L17" i="7" s="1"/>
  <c r="AI9" i="3"/>
  <c r="K50" i="7"/>
  <c r="K17" i="7" s="1"/>
  <c r="AH9" i="3"/>
</calcChain>
</file>

<file path=xl/sharedStrings.xml><?xml version="1.0" encoding="utf-8"?>
<sst xmlns="http://schemas.openxmlformats.org/spreadsheetml/2006/main" count="446" uniqueCount="362">
  <si>
    <t>2019 Audited</t>
  </si>
  <si>
    <t>2020 Audited</t>
  </si>
  <si>
    <t>Audited 2021</t>
  </si>
  <si>
    <t>Audit 2022</t>
  </si>
  <si>
    <t>Cash &amp; cash Equivalent</t>
  </si>
  <si>
    <t>Cash In Hand</t>
  </si>
  <si>
    <t>Cash at Bank</t>
  </si>
  <si>
    <t>Prepayment and Sundry</t>
  </si>
  <si>
    <t>Financial Investment</t>
  </si>
  <si>
    <t>Government Security</t>
  </si>
  <si>
    <t>Other Securities</t>
  </si>
  <si>
    <t>Balances with Other Saccos</t>
  </si>
  <si>
    <t>Investment In Companies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</si>
  <si>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</si>
  <si>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</si>
  <si>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</si>
  <si>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</si>
  <si>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</si>
  <si>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</si>
  <si>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</si>
  <si>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</si>
  <si>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</si>
  <si>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</si>
  <si>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</si>
  <si>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</si>
  <si>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</si>
  <si>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</si>
  <si>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</si>
  <si>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</si>
  <si>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</si>
  <si>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</si>
  <si>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</si>
  <si>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</si>
  <si>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</si>
  <si>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</si>
  <si>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</si>
  <si>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</si>
  <si>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</si>
  <si>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</si>
  <si>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</si>
  <si>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</si>
  <si>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</si>
  <si>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</si>
  <si>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</si>
  <si>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</si>
  <si>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</si>
  <si>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</si>
  <si>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</si>
  <si>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</si>
  <si>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</si>
  <si>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</si>
  <si>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</si>
  <si>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</si>
  <si>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</si>
  <si>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</si>
  <si>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</si>
  <si>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</si>
  <si>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</si>
  <si>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</si>
  <si>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</si>
  <si>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</si>
  <si>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</si>
  <si>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</si>
  <si>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</si>
  <si>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</si>
  <si>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</si>
  <si>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</si>
  <si>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</si>
  <si>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</si>
  <si>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</si>
  <si>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</si>
  <si>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</si>
  <si>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</si>
  <si>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</si>
  <si>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</si>
  <si>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</si>
  <si>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</si>
  <si>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</si>
  <si>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</si>
  <si>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</si>
  <si>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</si>
  <si>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</si>
  <si>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</si>
  <si>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</si>
  <si>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Total Expenses</t>
  </si>
  <si>
    <t>PTIMETIME</t>
  </si>
  <si>
    <t>Year</t>
  </si>
  <si>
    <t>2012 Audited</t>
  </si>
  <si>
    <t xml:space="preserve">2019 Audited </t>
  </si>
  <si>
    <t>Audited 2020</t>
  </si>
  <si>
    <t>Membership</t>
  </si>
  <si>
    <t>Total Deposits</t>
  </si>
  <si>
    <t>Deposits-Members(BOSA)</t>
  </si>
  <si>
    <t>Deposits-Customers(FOSA)</t>
  </si>
  <si>
    <t>External Borrowing</t>
  </si>
  <si>
    <t>Share capital and Reserves</t>
  </si>
  <si>
    <t>Core Capital</t>
  </si>
  <si>
    <t>Institutional  Capital</t>
  </si>
  <si>
    <t>Total Capital</t>
  </si>
  <si>
    <t>Members Share Capital</t>
  </si>
  <si>
    <t>Entrance Fees</t>
  </si>
  <si>
    <t>Retained Earnings</t>
  </si>
  <si>
    <t>Appropriation Account</t>
  </si>
  <si>
    <t>Capital Reserves</t>
  </si>
  <si>
    <t>Supplementary Capital &amp; reserves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</si>
  <si>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</si>
  <si>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</si>
  <si>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</si>
  <si>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</si>
  <si>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</si>
  <si>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</si>
  <si>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</si>
  <si>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</si>
  <si>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Non-Earning Assets</t>
  </si>
  <si>
    <t>Turnover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</si>
  <si>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</si>
  <si>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</si>
  <si>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</si>
  <si>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</si>
  <si>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</si>
  <si>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</si>
  <si>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</si>
  <si>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</si>
  <si>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</si>
  <si>
    <t>PRIMETIME</t>
  </si>
  <si>
    <t>CAPITAL ADEQUACY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</si>
  <si>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</si>
  <si>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</si>
  <si>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</si>
  <si>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</si>
  <si>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</si>
  <si>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</si>
  <si>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</si>
  <si>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</si>
  <si>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</si>
  <si>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</si>
  <si>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</si>
  <si>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</si>
  <si>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</si>
  <si>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</si>
  <si>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</si>
  <si>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</si>
  <si>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</si>
  <si>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</si>
  <si>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</si>
  <si>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</si>
  <si>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</si>
  <si>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</si>
  <si>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</si>
  <si>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</si>
  <si>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</si>
  <si>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</si>
  <si>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</si>
  <si>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</si>
  <si>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</si>
  <si>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</si>
  <si>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</si>
  <si>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</si>
  <si>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</si>
  <si>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</si>
  <si>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BOSA Deposits</t>
  </si>
  <si>
    <t>FOSA Deposits</t>
  </si>
  <si>
    <t>Total Loans &amp; advances</t>
  </si>
  <si>
    <t>Core capital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</si>
  <si>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</si>
  <si>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</si>
  <si>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</si>
  <si>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</si>
  <si>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</si>
  <si>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</si>
  <si>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</si>
  <si>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</si>
  <si>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</si>
  <si>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</si>
  <si>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FORM 4 SASRA2/004</t>
  </si>
  <si>
    <t>RISK CLASSIFICATION OF ASSETS AND PROVISIONING</t>
  </si>
  <si>
    <t>SACCO SOCIETY CS NUMBER</t>
  </si>
  <si>
    <t>6403</t>
  </si>
  <si>
    <t xml:space="preserve">FINANCIAL YEAR </t>
  </si>
  <si>
    <t xml:space="preserve">                                                            PORTFOLIO AGEING REPORT</t>
  </si>
  <si>
    <t>Audited 2022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</si>
  <si>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</si>
  <si>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</si>
  <si>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</si>
  <si>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</si>
  <si>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</si>
  <si>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</si>
  <si>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</si>
  <si>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</si>
  <si>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</si>
  <si>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</si>
  <si>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</si>
  <si>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</si>
  <si>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</si>
  <si>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NPL</t>
  </si>
  <si>
    <t>npl</t>
  </si>
  <si>
    <t>PRIME-TIME SACCO SOCIETY LIMITED</t>
  </si>
  <si>
    <t>PERFORMANCE AND COMPLIANCE REPORT AS AT :  31st December , 2022</t>
  </si>
  <si>
    <t>Prudential Standard</t>
  </si>
  <si>
    <t>Audited</t>
  </si>
  <si>
    <t>A. CAPITAL  ADEQUACY</t>
  </si>
  <si>
    <t xml:space="preserve">Core Capital </t>
  </si>
  <si>
    <t>≥10M</t>
  </si>
  <si>
    <t>Core Capital/Total Assets</t>
  </si>
  <si>
    <t>≥10%</t>
  </si>
  <si>
    <t>Institutional Capital/Total Assets</t>
  </si>
  <si>
    <t>≥8%</t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</si>
  <si>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</si>
  <si>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</si>
  <si>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</si>
  <si>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</si>
  <si>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</si>
  <si>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</si>
  <si>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</si>
  <si>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</si>
  <si>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</si>
  <si>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</si>
  <si>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</si>
  <si>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</si>
  <si>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</si>
  <si>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</si>
  <si>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</si>
  <si>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</si>
  <si>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</si>
  <si>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</si>
  <si>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</si>
  <si>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</si>
  <si>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</si>
  <si>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</si>
  <si>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</si>
  <si>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</si>
  <si>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</si>
  <si>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</si>
  <si>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Average Assets</t>
  </si>
  <si>
    <t>Gross Loans</t>
  </si>
  <si>
    <t>Institutional Capital</t>
  </si>
  <si>
    <t>Non-performing Loans</t>
  </si>
  <si>
    <t>Equity Investments</t>
  </si>
  <si>
    <t>Financial Investments</t>
  </si>
  <si>
    <t>Liquid Assets</t>
  </si>
  <si>
    <t>Short-term Liabilities)</t>
  </si>
  <si>
    <t>Average Gross Loans</t>
  </si>
  <si>
    <t>Total Income</t>
  </si>
  <si>
    <t>Net Financial Income/Loss</t>
  </si>
  <si>
    <t>Dividends+Interest on Deposits</t>
  </si>
  <si>
    <t>Operating Expenses</t>
  </si>
  <si>
    <t>Interest on Loan portfolio+Fees&amp;Commission on Loan</t>
  </si>
  <si>
    <t>Net Income</t>
  </si>
  <si>
    <t>G. AREAS OF IMPROVEMENT/REGULATORY CONCERNS</t>
  </si>
  <si>
    <t>DISCLAIMER: This report is prepared based on information submitted by the Sacco as at the stated date and may change upon verification by the Authority.</t>
  </si>
  <si>
    <t>FORM 4B:</t>
  </si>
  <si>
    <t>PRIME-TIME SACCO</t>
  </si>
  <si>
    <t xml:space="preserve"> SECTORAL LENDING RETURN</t>
  </si>
  <si>
    <t>Sacco Society CS Number:</t>
  </si>
  <si>
    <t>Financial Year:</t>
  </si>
  <si>
    <t>SASRA/GG/2/2019  : SECTORAL CLASSIFICATION OF CREDIT FINANCING BY DT-SACCOS</t>
  </si>
  <si>
    <t>LOANS &amp;</t>
  </si>
  <si>
    <t>Code</t>
  </si>
  <si>
    <t>ECONOMIC SECTORS</t>
  </si>
  <si>
    <t>ADVANCES</t>
  </si>
  <si>
    <t>Refinancing</t>
  </si>
  <si>
    <t>AGRICULTURE</t>
  </si>
  <si>
    <t>1100   Crop Farming</t>
  </si>
  <si>
    <t xml:space="preserve">           1110  Tea</t>
  </si>
  <si>
    <t xml:space="preserve">           1120   Coffee</t>
  </si>
  <si>
    <t xml:space="preserve">           1130   Sugarcane</t>
  </si>
  <si>
    <t xml:space="preserve">           1140   Others, cotton, sisal etc</t>
  </si>
  <si>
    <t xml:space="preserve">           1150   Cereals such as maize, wheat, sorghum. Millet etc</t>
  </si>
  <si>
    <t xml:space="preserve">           1160   Legumes such as beans, peas, snow peas, cow peas, french beans etc</t>
  </si>
  <si>
    <t xml:space="preserve">           1170   Horticulture crops such as vegetables, fruits, flowers</t>
  </si>
  <si>
    <t xml:space="preserve">           1180   Roots &amp; tubers such as Irish potatoes, sweet potatoes and cassava</t>
  </si>
  <si>
    <t>1200   Animal Production</t>
  </si>
  <si>
    <t xml:space="preserve">           1210   Dairy farming</t>
  </si>
  <si>
    <t xml:space="preserve">           1220   Beef Production</t>
  </si>
  <si>
    <t xml:space="preserve">           1230   Poultry Farming</t>
  </si>
  <si>
    <t xml:space="preserve">           1240   Bee keeping</t>
  </si>
  <si>
    <t xml:space="preserve">           1250   Rabbit Farming</t>
  </si>
  <si>
    <t xml:space="preserve">           1260   Sheep and Goat Rearing</t>
  </si>
  <si>
    <t xml:space="preserve">           1270   Pig Farming</t>
  </si>
  <si>
    <t xml:space="preserve">           1280   Others</t>
  </si>
  <si>
    <t>1300   Agricultural supporting services</t>
  </si>
  <si>
    <t xml:space="preserve">           1310   Agricultural machinery such as truck, tractors and other farm tools</t>
  </si>
  <si>
    <t xml:space="preserve">           1320   Water, Irrigation and supporting services</t>
  </si>
  <si>
    <t xml:space="preserve">           1330   Veterinary and related services</t>
  </si>
  <si>
    <t>1400   Agribusiness</t>
  </si>
  <si>
    <t xml:space="preserve">           1410   Agricultural equipment and accessories</t>
  </si>
  <si>
    <t xml:space="preserve">           1420   Dealers in agro-chemicals, seeds and other farm inputs</t>
  </si>
  <si>
    <t xml:space="preserve">           1430   Distribution of farm produce</t>
  </si>
  <si>
    <t>1500   Forestry and Logging</t>
  </si>
  <si>
    <t xml:space="preserve">           1510   Agro-forestry</t>
  </si>
  <si>
    <t>TRADE</t>
  </si>
  <si>
    <t>2100   Wholesale and Retail</t>
  </si>
  <si>
    <t xml:space="preserve">           2110   Wholesale</t>
  </si>
  <si>
    <t xml:space="preserve">           2120   Retail</t>
  </si>
  <si>
    <t>2200   Transport</t>
  </si>
  <si>
    <t xml:space="preserve">           2210   Public service transport</t>
  </si>
  <si>
    <t xml:space="preserve">           2220   Purchase of motorvehicle accessories</t>
  </si>
  <si>
    <t xml:space="preserve">           2230   Transportation of goods</t>
  </si>
  <si>
    <t>2300   Hospitality</t>
  </si>
  <si>
    <t xml:space="preserve">           2310   Accomodation, restaurants, conference facilities, event planning &amp; outside                               catering, theme parks (wedding and others)</t>
  </si>
  <si>
    <t xml:space="preserve">           2320   Schools and kindergartens</t>
  </si>
  <si>
    <t xml:space="preserve">           2330   Medical clinics and equipment</t>
  </si>
  <si>
    <t>2400   Foreign Trade</t>
  </si>
  <si>
    <t xml:space="preserve">           2410   Import</t>
  </si>
  <si>
    <t xml:space="preserve">           2420   Export</t>
  </si>
  <si>
    <t>MANUFACTURING AND SERVICING INDUSTRIES</t>
  </si>
  <si>
    <t>3100   Cottage Industry</t>
  </si>
  <si>
    <t xml:space="preserve">           3110   Jua kali Industry</t>
  </si>
  <si>
    <t xml:space="preserve">           3120   Small scale Agricultural Produce processing</t>
  </si>
  <si>
    <t xml:space="preserve">           3130   Dressmaking Industry</t>
  </si>
  <si>
    <t xml:space="preserve">           3140   Leather tanning</t>
  </si>
  <si>
    <t xml:space="preserve">           3150   Carving and handcrafts</t>
  </si>
  <si>
    <t>3200   Servicing Industry</t>
  </si>
  <si>
    <t xml:space="preserve">           3210   Motorvehicle repairs</t>
  </si>
  <si>
    <t xml:space="preserve">           3220   Professional services such as Barber shops</t>
  </si>
  <si>
    <t xml:space="preserve">           3230   Working capital for learning institutions, churches &amp; business enterprises</t>
  </si>
  <si>
    <t xml:space="preserve">           3240   Promotion of local tourism</t>
  </si>
  <si>
    <t>3300   Information, Communication and Technology</t>
  </si>
  <si>
    <t xml:space="preserve">           3310   Computer services and Internet</t>
  </si>
  <si>
    <t xml:space="preserve">           3320   Computer software and hardware</t>
  </si>
  <si>
    <t xml:space="preserve">           3330   Telecommunication Equipment</t>
  </si>
  <si>
    <t xml:space="preserve">EDUCATION </t>
  </si>
  <si>
    <t>4100   Education and related services</t>
  </si>
  <si>
    <t xml:space="preserve">            4110   School fees for primary and secondary schools including shopping and accomodation</t>
  </si>
  <si>
    <t xml:space="preserve">            4120   College fees, University fees, training fees, seminar fees</t>
  </si>
  <si>
    <t xml:space="preserve">            4130   Research and scientific activities etc</t>
  </si>
  <si>
    <t>HUMAN HEALTH</t>
  </si>
  <si>
    <t>5100   Human health and related services</t>
  </si>
  <si>
    <t xml:space="preserve">           5110   Medical Bills, purchase of medicine</t>
  </si>
  <si>
    <t xml:space="preserve">           5120   Maternity Bills and expenses</t>
  </si>
  <si>
    <t>LAND AND HOUSING</t>
  </si>
  <si>
    <t>6100   Land</t>
  </si>
  <si>
    <t xml:space="preserve">           6110   Purchase of plots</t>
  </si>
  <si>
    <t xml:space="preserve">           6120   Land purchase services such as surveying and valuation</t>
  </si>
  <si>
    <t>6200   Housing</t>
  </si>
  <si>
    <t xml:space="preserve">           6210   Construction of multiple residential buildings</t>
  </si>
  <si>
    <t xml:space="preserve">           6220   Construction of commercial buildings</t>
  </si>
  <si>
    <t xml:space="preserve">           6230   Construction of single residential dwelling units</t>
  </si>
  <si>
    <t xml:space="preserve">           6240   Renoivations of the buildings</t>
  </si>
  <si>
    <t>FINANCE, INVESTMENTS AND INSURANCE</t>
  </si>
  <si>
    <t>7100   Microfinance</t>
  </si>
  <si>
    <t xml:space="preserve">           7110   Payment to microfinance loans</t>
  </si>
  <si>
    <t>7200   Commercial Banks</t>
  </si>
  <si>
    <t xml:space="preserve">           7210   Payment to Commercial bank loans</t>
  </si>
  <si>
    <t>7300   Mortgage Finance</t>
  </si>
  <si>
    <t xml:space="preserve">           7310   Purchase of residential property/payments to mortgage loans in other financial institutions</t>
  </si>
  <si>
    <t>7400   Insurance</t>
  </si>
  <si>
    <t xml:space="preserve">           7410   Payment to insurance policies</t>
  </si>
  <si>
    <t>7500   Investments</t>
  </si>
  <si>
    <t xml:space="preserve">           7510   Buying of Sacco shares</t>
  </si>
  <si>
    <t xml:space="preserve">           7520   purchase of quote shares, unquoted shares, treasury bills &amp; bonds, commercial papers, unit trusts and other quoted public funds</t>
  </si>
  <si>
    <t xml:space="preserve">           7530   Paying personal debtsto non-registered institutions</t>
  </si>
  <si>
    <t>CONSUMPTION AND SOCIAL SERVICES</t>
  </si>
  <si>
    <t>8100   Utilities</t>
  </si>
  <si>
    <t xml:space="preserve">           8110   Expenses incurred relating to car and electronic repairs, bills like electricity, sewer, water, telephone, decoder, personal debts to family members and friends etc.</t>
  </si>
  <si>
    <t>8200   Utilities</t>
  </si>
  <si>
    <t xml:space="preserve">           8210   Household necessities like food, beverages and basic household products.</t>
  </si>
  <si>
    <t>8300   Consumer Durables</t>
  </si>
  <si>
    <t xml:space="preserve">           8310   Goods that do not wear out quickly like automobiles(cars), books, household(home appliances, consumer electronics, furniture, tools etc) sports equipment, jewellery, toys etc</t>
  </si>
  <si>
    <t>8400   Social and communal expenses</t>
  </si>
  <si>
    <t xml:space="preserve">           8410   Burial expenses, wedding expenses, rites of passage expenses.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</si>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</sst>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[$-10409]#,##0.00;\-\ #,##0.00"/>
    <numFmt numFmtId="165" formatCode="[$-10409]0.00;\-\ 0.00"/>
    <numFmt numFmtId="166" formatCode="_(* #,##0.00_);_(* \(#,##0.00\);_(* \-??_);_(@_)"/>
    <numFmt numFmtId="167" formatCode="d/mmm/yy"/>
    <numFmt numFmtId="168" formatCode="\£#,##0;&quot;-£&quot;#,##0"/>
    <numFmt numFmtId="169" formatCode="_-* #,##0.00_-;\-* #,##0.00_-;_-* \-??_-;_-@_-"/>
    <numFmt numFmtId="170" formatCode="_(* #,##0_);_(* \(#,##0\);_(* &quot;-&quot;??_);_(@_)"/>
    <numFmt numFmtId="171" formatCode="0.0%"/>
  </numFmts>
  <fonts count="55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9"/>
      <color indexed="1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u/>
      <sz val="11.95"/>
      <name val="Times New Roman"/>
      <family val="1"/>
    </font>
    <font>
      <b/>
      <u/>
      <sz val="10"/>
      <color indexed="1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u/>
      <sz val="11.95"/>
      <color indexed="9"/>
      <name val="Times New Roman"/>
      <family val="1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.5"/>
      <color rgb="FF000000"/>
      <name val="Cambria"/>
      <family val="1"/>
      <scheme val="major"/>
    </font>
    <font>
      <sz val="11"/>
      <name val="Cambria"/>
      <family val="1"/>
      <scheme val="major"/>
    </font>
    <font>
      <i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2"/>
      <name val="Times New Roman"/>
      <family val="1"/>
    </font>
    <font>
      <sz val="8"/>
      <name val="Calibri"/>
      <family val="2"/>
      <scheme val="minor"/>
    </font>
    <font>
      <b/>
      <sz val="11"/>
      <name val="Book Antiqua"/>
      <family val="1"/>
    </font>
    <font>
      <sz val="11"/>
      <name val="Book Antiqu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9"/>
      <color rgb="FFFF0000"/>
      <name val="Cambria"/>
      <family val="1"/>
    </font>
    <font>
      <sz val="9"/>
      <name val="Cambria"/>
      <family val="1"/>
    </font>
    <font>
      <b/>
      <sz val="9"/>
      <name val="Cambria"/>
      <family val="1"/>
    </font>
    <font>
      <b/>
      <sz val="9"/>
      <color rgb="FFFF0000"/>
      <name val="Cambria"/>
      <family val="1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</borders>
  <cellStyleXfs count="429">
    <xf numFmtId="0" fontId="0" fillId="0" borderId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2" applyNumberFormat="0" applyAlignment="0" applyProtection="0"/>
    <xf numFmtId="43" fontId="25" fillId="0" borderId="0" applyFont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7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8" fontId="1" fillId="0" borderId="0" applyFill="0" applyBorder="0" applyAlignment="0" applyProtection="0"/>
    <xf numFmtId="166" fontId="1" fillId="0" borderId="0" applyFill="0" applyBorder="0" applyAlignment="0" applyProtection="0"/>
    <xf numFmtId="169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43" fontId="1" fillId="0" borderId="0" applyFill="0" applyBorder="0" applyAlignment="0" applyProtection="0"/>
    <xf numFmtId="166" fontId="1" fillId="0" borderId="0" applyFill="0" applyBorder="0" applyAlignment="0" applyProtection="0"/>
    <xf numFmtId="43" fontId="18" fillId="0" borderId="0" applyFont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9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0" fontId="12" fillId="6" borderId="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7" borderId="3" applyNumberFormat="0" applyAlignment="0" applyProtection="0"/>
    <xf numFmtId="9" fontId="2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8">
    <xf numFmtId="0" fontId="0" fillId="0" borderId="0" xfId="0"/>
    <xf numFmtId="0" fontId="0" fillId="0" borderId="5" xfId="0" applyBorder="1"/>
    <xf numFmtId="0" fontId="27" fillId="0" borderId="5" xfId="0" applyFont="1" applyBorder="1" applyAlignment="1">
      <alignment horizontal="left" vertical="top" wrapText="1"/>
    </xf>
    <xf numFmtId="17" fontId="26" fillId="0" borderId="0" xfId="0" applyNumberFormat="1" applyFont="1"/>
    <xf numFmtId="164" fontId="0" fillId="0" borderId="0" xfId="0" applyNumberFormat="1"/>
    <xf numFmtId="0" fontId="27" fillId="0" borderId="5" xfId="0" applyFont="1" applyBorder="1" applyAlignment="1">
      <alignment horizontal="center" vertical="center" wrapText="1"/>
    </xf>
    <xf numFmtId="9" fontId="25" fillId="0" borderId="5" xfId="422" applyFont="1" applyBorder="1"/>
    <xf numFmtId="0" fontId="26" fillId="0" borderId="0" xfId="0" applyFont="1"/>
    <xf numFmtId="43" fontId="0" fillId="0" borderId="0" xfId="0" applyNumberFormat="1"/>
    <xf numFmtId="0" fontId="27" fillId="0" borderId="5" xfId="0" applyFont="1" applyBorder="1" applyAlignment="1">
      <alignment vertical="top" wrapText="1"/>
    </xf>
    <xf numFmtId="0" fontId="28" fillId="0" borderId="5" xfId="240" applyFont="1" applyBorder="1"/>
    <xf numFmtId="0" fontId="29" fillId="0" borderId="5" xfId="240" applyFont="1" applyBorder="1"/>
    <xf numFmtId="0" fontId="0" fillId="0" borderId="6" xfId="0" applyBorder="1"/>
    <xf numFmtId="0" fontId="28" fillId="0" borderId="6" xfId="240" applyFont="1" applyBorder="1"/>
    <xf numFmtId="0" fontId="30" fillId="0" borderId="7" xfId="240" applyFont="1" applyBorder="1"/>
    <xf numFmtId="0" fontId="0" fillId="0" borderId="8" xfId="0" applyBorder="1"/>
    <xf numFmtId="0" fontId="19" fillId="11" borderId="5" xfId="0" applyFont="1" applyFill="1" applyBorder="1" applyAlignment="1" applyProtection="1">
      <alignment horizontal="center" vertical="top" readingOrder="1"/>
      <protection locked="0"/>
    </xf>
    <xf numFmtId="0" fontId="19" fillId="11" borderId="5" xfId="0" applyFont="1" applyFill="1" applyBorder="1" applyAlignment="1" applyProtection="1">
      <alignment vertical="top" readingOrder="1"/>
      <protection locked="0"/>
    </xf>
    <xf numFmtId="170" fontId="0" fillId="0" borderId="5" xfId="0" applyNumberFormat="1" applyBorder="1"/>
    <xf numFmtId="170" fontId="26" fillId="0" borderId="5" xfId="0" applyNumberFormat="1" applyFont="1" applyBorder="1"/>
    <xf numFmtId="0" fontId="26" fillId="0" borderId="5" xfId="0" applyFont="1" applyBorder="1"/>
    <xf numFmtId="17" fontId="26" fillId="0" borderId="5" xfId="0" applyNumberFormat="1" applyFont="1" applyBorder="1"/>
    <xf numFmtId="0" fontId="5" fillId="0" borderId="0" xfId="0" applyFont="1" applyAlignment="1" applyProtection="1">
      <alignment vertical="top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0" fontId="19" fillId="11" borderId="0" xfId="0" applyFont="1" applyFill="1" applyAlignment="1" applyProtection="1">
      <alignment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43" fontId="7" fillId="0" borderId="0" xfId="27" applyFont="1" applyBorder="1" applyAlignment="1" applyProtection="1">
      <alignment vertical="top" wrapText="1" readingOrder="1"/>
      <protection locked="0"/>
    </xf>
    <xf numFmtId="43" fontId="8" fillId="0" borderId="0" xfId="27" applyFont="1" applyBorder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8" borderId="0" xfId="0" applyFont="1" applyFill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3" fillId="9" borderId="0" xfId="0" applyFont="1" applyFill="1" applyAlignment="1" applyProtection="1">
      <alignment vertical="top" wrapText="1" readingOrder="1"/>
      <protection locked="0"/>
    </xf>
    <xf numFmtId="43" fontId="8" fillId="12" borderId="5" xfId="27" applyFont="1" applyFill="1" applyBorder="1" applyAlignment="1" applyProtection="1">
      <alignment vertical="top" wrapText="1" readingOrder="1"/>
      <protection locked="0"/>
    </xf>
    <xf numFmtId="164" fontId="0" fillId="0" borderId="5" xfId="0" applyNumberFormat="1" applyBorder="1"/>
    <xf numFmtId="43" fontId="3" fillId="12" borderId="5" xfId="27" applyFont="1" applyFill="1" applyBorder="1" applyAlignment="1" applyProtection="1">
      <alignment vertical="top" wrapText="1" readingOrder="1"/>
      <protection locked="0"/>
    </xf>
    <xf numFmtId="164" fontId="4" fillId="0" borderId="5" xfId="0" applyNumberFormat="1" applyFont="1" applyBorder="1" applyAlignment="1" applyProtection="1">
      <alignment vertical="top" wrapText="1" readingOrder="1"/>
      <protection locked="0"/>
    </xf>
    <xf numFmtId="164" fontId="26" fillId="0" borderId="5" xfId="0" applyNumberFormat="1" applyFont="1" applyBorder="1"/>
    <xf numFmtId="43" fontId="3" fillId="13" borderId="5" xfId="27" applyFont="1" applyFill="1" applyBorder="1" applyAlignment="1" applyProtection="1">
      <alignment vertical="top" wrapText="1" readingOrder="1"/>
      <protection locked="0"/>
    </xf>
    <xf numFmtId="43" fontId="3" fillId="12" borderId="9" xfId="27" applyFont="1" applyFill="1" applyBorder="1" applyAlignment="1" applyProtection="1">
      <alignment vertical="top" wrapText="1" readingOrder="1"/>
      <protection locked="0"/>
    </xf>
    <xf numFmtId="43" fontId="3" fillId="13" borderId="9" xfId="27" applyFont="1" applyFill="1" applyBorder="1" applyAlignment="1" applyProtection="1">
      <alignment vertical="top" wrapText="1" readingOrder="1"/>
      <protection locked="0"/>
    </xf>
    <xf numFmtId="43" fontId="25" fillId="0" borderId="5" xfId="27" applyFont="1" applyBorder="1"/>
    <xf numFmtId="43" fontId="25" fillId="0" borderId="9" xfId="27" applyFont="1" applyBorder="1"/>
    <xf numFmtId="0" fontId="0" fillId="0" borderId="9" xfId="0" applyBorder="1"/>
    <xf numFmtId="164" fontId="4" fillId="0" borderId="5" xfId="240" applyNumberFormat="1" applyFont="1" applyBorder="1" applyAlignment="1" applyProtection="1">
      <alignment vertical="top" wrapText="1" readingOrder="1"/>
      <protection locked="0"/>
    </xf>
    <xf numFmtId="164" fontId="4" fillId="10" borderId="5" xfId="240" applyNumberFormat="1" applyFont="1" applyFill="1" applyBorder="1" applyAlignment="1" applyProtection="1">
      <alignment vertical="top" wrapText="1" readingOrder="1"/>
      <protection locked="0"/>
    </xf>
    <xf numFmtId="43" fontId="25" fillId="0" borderId="0" xfId="27" applyFont="1"/>
    <xf numFmtId="43" fontId="0" fillId="0" borderId="5" xfId="0" applyNumberFormat="1" applyBorder="1"/>
    <xf numFmtId="43" fontId="26" fillId="0" borderId="5" xfId="0" applyNumberFormat="1" applyFont="1" applyBorder="1"/>
    <xf numFmtId="164" fontId="4" fillId="0" borderId="9" xfId="240" applyNumberFormat="1" applyFont="1" applyBorder="1" applyAlignment="1" applyProtection="1">
      <alignment vertical="top" wrapText="1" readingOrder="1"/>
      <protection locked="0"/>
    </xf>
    <xf numFmtId="164" fontId="4" fillId="10" borderId="9" xfId="240" applyNumberFormat="1" applyFont="1" applyFill="1" applyBorder="1" applyAlignment="1" applyProtection="1">
      <alignment vertical="top" wrapText="1" readingOrder="1"/>
      <protection locked="0"/>
    </xf>
    <xf numFmtId="0" fontId="31" fillId="0" borderId="10" xfId="0" applyFont="1" applyBorder="1"/>
    <xf numFmtId="0" fontId="31" fillId="0" borderId="11" xfId="0" applyFont="1" applyBorder="1"/>
    <xf numFmtId="17" fontId="32" fillId="0" borderId="11" xfId="0" applyNumberFormat="1" applyFont="1" applyBorder="1"/>
    <xf numFmtId="0" fontId="33" fillId="0" borderId="5" xfId="0" applyFont="1" applyBorder="1" applyAlignment="1">
      <alignment horizontal="left" vertical="top" wrapText="1"/>
    </xf>
    <xf numFmtId="0" fontId="33" fillId="0" borderId="5" xfId="0" applyFont="1" applyBorder="1" applyAlignment="1">
      <alignment horizontal="center" vertical="center" wrapText="1"/>
    </xf>
    <xf numFmtId="43" fontId="31" fillId="0" borderId="5" xfId="27" applyFont="1" applyBorder="1"/>
    <xf numFmtId="9" fontId="31" fillId="0" borderId="5" xfId="422" applyFont="1" applyBorder="1"/>
    <xf numFmtId="9" fontId="33" fillId="0" borderId="5" xfId="422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/>
    </xf>
    <xf numFmtId="0" fontId="31" fillId="0" borderId="5" xfId="0" applyFont="1" applyBorder="1"/>
    <xf numFmtId="0" fontId="30" fillId="0" borderId="12" xfId="240" applyFont="1" applyBorder="1"/>
    <xf numFmtId="0" fontId="28" fillId="0" borderId="13" xfId="240" applyFont="1" applyBorder="1"/>
    <xf numFmtId="0" fontId="0" fillId="0" borderId="13" xfId="0" applyBorder="1"/>
    <xf numFmtId="9" fontId="25" fillId="0" borderId="13" xfId="422" applyFont="1" applyBorder="1"/>
    <xf numFmtId="0" fontId="31" fillId="0" borderId="14" xfId="0" applyFont="1" applyBorder="1"/>
    <xf numFmtId="0" fontId="31" fillId="0" borderId="15" xfId="0" applyFont="1" applyBorder="1"/>
    <xf numFmtId="17" fontId="32" fillId="11" borderId="0" xfId="0" applyNumberFormat="1" applyFont="1" applyFill="1"/>
    <xf numFmtId="43" fontId="31" fillId="0" borderId="17" xfId="27" applyFont="1" applyBorder="1"/>
    <xf numFmtId="9" fontId="31" fillId="0" borderId="17" xfId="422" applyFont="1" applyBorder="1"/>
    <xf numFmtId="0" fontId="33" fillId="0" borderId="17" xfId="0" applyFont="1" applyBorder="1" applyAlignment="1">
      <alignment horizontal="center" vertical="center" wrapText="1"/>
    </xf>
    <xf numFmtId="9" fontId="33" fillId="0" borderId="17" xfId="422" applyFont="1" applyBorder="1" applyAlignment="1">
      <alignment horizontal="center" vertical="center" wrapText="1"/>
    </xf>
    <xf numFmtId="0" fontId="31" fillId="0" borderId="17" xfId="0" applyFont="1" applyBorder="1"/>
    <xf numFmtId="0" fontId="28" fillId="0" borderId="8" xfId="240" applyFont="1" applyBorder="1"/>
    <xf numFmtId="0" fontId="31" fillId="0" borderId="8" xfId="0" applyFont="1" applyBorder="1"/>
    <xf numFmtId="9" fontId="31" fillId="0" borderId="8" xfId="422" applyFont="1" applyBorder="1"/>
    <xf numFmtId="9" fontId="31" fillId="0" borderId="18" xfId="422" applyFont="1" applyBorder="1"/>
    <xf numFmtId="0" fontId="32" fillId="0" borderId="19" xfId="0" applyFont="1" applyBorder="1"/>
    <xf numFmtId="0" fontId="0" fillId="0" borderId="14" xfId="0" applyBorder="1"/>
    <xf numFmtId="0" fontId="0" fillId="0" borderId="15" xfId="0" applyBorder="1"/>
    <xf numFmtId="43" fontId="32" fillId="0" borderId="6" xfId="27" applyFont="1" applyBorder="1"/>
    <xf numFmtId="17" fontId="26" fillId="11" borderId="0" xfId="0" applyNumberFormat="1" applyFont="1" applyFill="1"/>
    <xf numFmtId="0" fontId="26" fillId="11" borderId="16" xfId="0" applyFont="1" applyFill="1" applyBorder="1"/>
    <xf numFmtId="0" fontId="28" fillId="0" borderId="6" xfId="0" applyFont="1" applyBorder="1"/>
    <xf numFmtId="170" fontId="0" fillId="0" borderId="17" xfId="0" applyNumberFormat="1" applyBorder="1"/>
    <xf numFmtId="0" fontId="29" fillId="0" borderId="6" xfId="0" applyFont="1" applyBorder="1"/>
    <xf numFmtId="0" fontId="32" fillId="0" borderId="6" xfId="0" applyFont="1" applyBorder="1"/>
    <xf numFmtId="170" fontId="26" fillId="0" borderId="17" xfId="0" applyNumberFormat="1" applyFont="1" applyBorder="1"/>
    <xf numFmtId="9" fontId="29" fillId="0" borderId="6" xfId="422" applyFont="1" applyBorder="1"/>
    <xf numFmtId="0" fontId="34" fillId="0" borderId="6" xfId="0" applyFont="1" applyBorder="1"/>
    <xf numFmtId="0" fontId="35" fillId="0" borderId="6" xfId="0" applyFont="1" applyBorder="1"/>
    <xf numFmtId="170" fontId="29" fillId="0" borderId="6" xfId="0" applyNumberFormat="1" applyFont="1" applyBorder="1"/>
    <xf numFmtId="0" fontId="30" fillId="0" borderId="6" xfId="0" applyFont="1" applyBorder="1"/>
    <xf numFmtId="0" fontId="28" fillId="0" borderId="7" xfId="0" applyFont="1" applyBorder="1"/>
    <xf numFmtId="170" fontId="0" fillId="0" borderId="8" xfId="0" applyNumberFormat="1" applyBorder="1"/>
    <xf numFmtId="170" fontId="0" fillId="0" borderId="18" xfId="0" applyNumberFormat="1" applyBorder="1"/>
    <xf numFmtId="17" fontId="0" fillId="0" borderId="0" xfId="0" applyNumberFormat="1"/>
    <xf numFmtId="43" fontId="26" fillId="0" borderId="0" xfId="27" applyFont="1"/>
    <xf numFmtId="164" fontId="7" fillId="0" borderId="5" xfId="298" applyNumberFormat="1" applyFont="1" applyBorder="1" applyAlignment="1" applyProtection="1">
      <alignment vertical="top" wrapText="1" readingOrder="1"/>
      <protection locked="0"/>
    </xf>
    <xf numFmtId="164" fontId="7" fillId="14" borderId="5" xfId="298" applyNumberFormat="1" applyFont="1" applyFill="1" applyBorder="1" applyAlignment="1" applyProtection="1">
      <alignment vertical="top" wrapText="1" readingOrder="1"/>
      <protection locked="0"/>
    </xf>
    <xf numFmtId="165" fontId="7" fillId="0" borderId="5" xfId="298" applyNumberFormat="1" applyFont="1" applyBorder="1" applyAlignment="1" applyProtection="1">
      <alignment vertical="top" wrapText="1" readingOrder="1"/>
      <protection locked="0"/>
    </xf>
    <xf numFmtId="4" fontId="38" fillId="0" borderId="21" xfId="0" applyNumberFormat="1" applyFont="1" applyBorder="1" applyAlignment="1">
      <alignment wrapText="1" readingOrder="1"/>
    </xf>
    <xf numFmtId="4" fontId="38" fillId="0" borderId="22" xfId="0" applyNumberFormat="1" applyFont="1" applyBorder="1" applyAlignment="1">
      <alignment wrapText="1" readingOrder="1"/>
    </xf>
    <xf numFmtId="0" fontId="38" fillId="0" borderId="23" xfId="0" applyFont="1" applyBorder="1" applyAlignment="1">
      <alignment wrapText="1" readingOrder="1"/>
    </xf>
    <xf numFmtId="4" fontId="38" fillId="0" borderId="23" xfId="0" applyNumberFormat="1" applyFont="1" applyBorder="1" applyAlignment="1">
      <alignment wrapText="1" readingOrder="1"/>
    </xf>
    <xf numFmtId="0" fontId="38" fillId="0" borderId="24" xfId="0" applyFont="1" applyBorder="1" applyAlignment="1">
      <alignment wrapText="1" readingOrder="1"/>
    </xf>
    <xf numFmtId="4" fontId="38" fillId="0" borderId="24" xfId="0" applyNumberFormat="1" applyFont="1" applyBorder="1" applyAlignment="1">
      <alignment wrapText="1" readingOrder="1"/>
    </xf>
    <xf numFmtId="4" fontId="39" fillId="15" borderId="23" xfId="0" applyNumberFormat="1" applyFont="1" applyFill="1" applyBorder="1" applyAlignment="1">
      <alignment wrapText="1" readingOrder="1"/>
    </xf>
    <xf numFmtId="4" fontId="39" fillId="15" borderId="24" xfId="0" applyNumberFormat="1" applyFont="1" applyFill="1" applyBorder="1" applyAlignment="1">
      <alignment wrapText="1" readingOrder="1"/>
    </xf>
    <xf numFmtId="43" fontId="8" fillId="13" borderId="5" xfId="27" applyFont="1" applyFill="1" applyBorder="1" applyAlignment="1" applyProtection="1">
      <alignment vertical="top" wrapText="1" readingOrder="1"/>
      <protection locked="0"/>
    </xf>
    <xf numFmtId="0" fontId="40" fillId="0" borderId="0" xfId="0" applyFont="1"/>
    <xf numFmtId="43" fontId="40" fillId="0" borderId="5" xfId="0" applyNumberFormat="1" applyFont="1" applyBorder="1"/>
    <xf numFmtId="4" fontId="0" fillId="0" borderId="0" xfId="0" applyNumberFormat="1"/>
    <xf numFmtId="4" fontId="26" fillId="0" borderId="0" xfId="0" applyNumberFormat="1" applyFont="1"/>
    <xf numFmtId="43" fontId="26" fillId="0" borderId="0" xfId="0" applyNumberFormat="1" applyFont="1"/>
    <xf numFmtId="43" fontId="26" fillId="0" borderId="25" xfId="27" applyFont="1" applyBorder="1"/>
    <xf numFmtId="170" fontId="8" fillId="12" borderId="5" xfId="27" applyNumberFormat="1" applyFont="1" applyFill="1" applyBorder="1" applyAlignment="1" applyProtection="1">
      <alignment vertical="top" wrapText="1" readingOrder="1"/>
      <protection locked="0"/>
    </xf>
    <xf numFmtId="170" fontId="0" fillId="0" borderId="16" xfId="0" applyNumberFormat="1" applyBorder="1"/>
    <xf numFmtId="170" fontId="0" fillId="0" borderId="0" xfId="0" applyNumberFormat="1"/>
    <xf numFmtId="43" fontId="0" fillId="0" borderId="0" xfId="27" applyFont="1"/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44" fillId="0" borderId="0" xfId="0" applyFont="1"/>
    <xf numFmtId="0" fontId="43" fillId="0" borderId="0" xfId="0" applyFont="1"/>
    <xf numFmtId="0" fontId="43" fillId="18" borderId="0" xfId="0" applyFont="1" applyFill="1"/>
    <xf numFmtId="0" fontId="44" fillId="0" borderId="35" xfId="0" applyFont="1" applyBorder="1"/>
    <xf numFmtId="0" fontId="43" fillId="0" borderId="36" xfId="0" applyFont="1" applyBorder="1"/>
    <xf numFmtId="0" fontId="44" fillId="0" borderId="38" xfId="0" applyFont="1" applyBorder="1"/>
    <xf numFmtId="0" fontId="43" fillId="0" borderId="39" xfId="0" applyFont="1" applyBorder="1"/>
    <xf numFmtId="0" fontId="44" fillId="0" borderId="41" xfId="0" applyFont="1" applyBorder="1"/>
    <xf numFmtId="0" fontId="44" fillId="0" borderId="42" xfId="0" applyFont="1" applyBorder="1"/>
    <xf numFmtId="0" fontId="43" fillId="0" borderId="42" xfId="0" applyFont="1" applyBorder="1"/>
    <xf numFmtId="0" fontId="44" fillId="0" borderId="42" xfId="0" applyFont="1" applyBorder="1" applyAlignment="1">
      <alignment wrapText="1"/>
    </xf>
    <xf numFmtId="0" fontId="44" fillId="0" borderId="44" xfId="0" applyFont="1" applyBorder="1"/>
    <xf numFmtId="0" fontId="43" fillId="19" borderId="45" xfId="0" applyFont="1" applyFill="1" applyBorder="1"/>
    <xf numFmtId="43" fontId="44" fillId="0" borderId="0" xfId="0" applyNumberFormat="1" applyFont="1"/>
    <xf numFmtId="43" fontId="44" fillId="17" borderId="43" xfId="27" applyFont="1" applyFill="1" applyBorder="1" applyAlignment="1" applyProtection="1">
      <alignment horizontal="center"/>
    </xf>
    <xf numFmtId="43" fontId="44" fillId="17" borderId="43" xfId="27" applyFont="1" applyFill="1" applyBorder="1" applyAlignment="1" applyProtection="1">
      <alignment horizontal="center"/>
      <protection locked="0"/>
    </xf>
    <xf numFmtId="43" fontId="44" fillId="17" borderId="43" xfId="27" applyFont="1" applyFill="1" applyBorder="1" applyAlignment="1">
      <alignment horizontal="center"/>
    </xf>
    <xf numFmtId="0" fontId="43" fillId="0" borderId="46" xfId="0" applyFont="1" applyBorder="1"/>
    <xf numFmtId="1" fontId="44" fillId="0" borderId="0" xfId="0" applyNumberFormat="1" applyFont="1"/>
    <xf numFmtId="43" fontId="43" fillId="0" borderId="37" xfId="0" applyNumberFormat="1" applyFont="1" applyBorder="1"/>
    <xf numFmtId="43" fontId="43" fillId="0" borderId="40" xfId="0" applyNumberFormat="1" applyFont="1" applyBorder="1"/>
    <xf numFmtId="17" fontId="43" fillId="18" borderId="0" xfId="0" applyNumberFormat="1" applyFont="1" applyFill="1"/>
    <xf numFmtId="43" fontId="43" fillId="17" borderId="43" xfId="27" applyFont="1" applyFill="1" applyBorder="1" applyAlignment="1" applyProtection="1">
      <alignment horizontal="center"/>
      <protection locked="0"/>
    </xf>
    <xf numFmtId="4" fontId="43" fillId="19" borderId="0" xfId="0" applyNumberFormat="1" applyFont="1" applyFill="1"/>
    <xf numFmtId="43" fontId="43" fillId="19" borderId="0" xfId="0" applyNumberFormat="1" applyFont="1" applyFill="1"/>
    <xf numFmtId="171" fontId="31" fillId="0" borderId="17" xfId="422" applyNumberFormat="1" applyFont="1" applyBorder="1"/>
    <xf numFmtId="43" fontId="8" fillId="12" borderId="25" xfId="27" applyFont="1" applyFill="1" applyBorder="1" applyAlignment="1" applyProtection="1">
      <alignment vertical="top" wrapText="1" readingOrder="1"/>
      <protection locked="0"/>
    </xf>
    <xf numFmtId="4" fontId="0" fillId="0" borderId="25" xfId="0" applyNumberFormat="1" applyBorder="1"/>
    <xf numFmtId="43" fontId="0" fillId="0" borderId="25" xfId="0" applyNumberFormat="1" applyBorder="1"/>
    <xf numFmtId="170" fontId="8" fillId="12" borderId="25" xfId="27" applyNumberFormat="1" applyFont="1" applyFill="1" applyBorder="1" applyAlignment="1" applyProtection="1">
      <alignment vertical="top" wrapText="1" readingOrder="1"/>
      <protection locked="0"/>
    </xf>
    <xf numFmtId="43" fontId="8" fillId="12" borderId="9" xfId="27" applyFont="1" applyFill="1" applyBorder="1" applyAlignment="1" applyProtection="1">
      <alignment vertical="top" wrapText="1" readingOrder="1"/>
      <protection locked="0"/>
    </xf>
    <xf numFmtId="170" fontId="8" fillId="12" borderId="9" xfId="27" applyNumberFormat="1" applyFont="1" applyFill="1" applyBorder="1" applyAlignment="1" applyProtection="1">
      <alignment vertical="top" wrapText="1" readingOrder="1"/>
      <protection locked="0"/>
    </xf>
    <xf numFmtId="170" fontId="0" fillId="0" borderId="0" xfId="27" applyNumberFormat="1" applyFont="1"/>
    <xf numFmtId="43" fontId="0" fillId="0" borderId="9" xfId="0" applyNumberFormat="1" applyBorder="1"/>
    <xf numFmtId="43" fontId="0" fillId="0" borderId="5" xfId="27" applyFont="1" applyBorder="1"/>
    <xf numFmtId="4" fontId="0" fillId="0" borderId="5" xfId="0" applyNumberFormat="1" applyBorder="1"/>
    <xf numFmtId="43" fontId="26" fillId="0" borderId="5" xfId="27" applyFont="1" applyBorder="1"/>
    <xf numFmtId="4" fontId="26" fillId="0" borderId="5" xfId="0" applyNumberFormat="1" applyFont="1" applyBorder="1"/>
    <xf numFmtId="43" fontId="41" fillId="0" borderId="5" xfId="27" applyFont="1" applyBorder="1"/>
    <xf numFmtId="43" fontId="0" fillId="0" borderId="25" xfId="27" applyFont="1" applyBorder="1"/>
    <xf numFmtId="0" fontId="45" fillId="0" borderId="0" xfId="0" applyFont="1"/>
    <xf numFmtId="43" fontId="45" fillId="0" borderId="0" xfId="27" applyFont="1"/>
    <xf numFmtId="0" fontId="45" fillId="11" borderId="5" xfId="0" applyFont="1" applyFill="1" applyBorder="1"/>
    <xf numFmtId="0" fontId="45" fillId="0" borderId="25" xfId="0" applyFont="1" applyBorder="1"/>
    <xf numFmtId="0" fontId="46" fillId="0" borderId="25" xfId="0" applyFont="1" applyBorder="1"/>
    <xf numFmtId="0" fontId="46" fillId="0" borderId="25" xfId="0" applyFont="1" applyBorder="1" applyAlignment="1">
      <alignment wrapText="1"/>
    </xf>
    <xf numFmtId="43" fontId="46" fillId="0" borderId="25" xfId="27" applyFont="1" applyBorder="1" applyAlignment="1">
      <alignment wrapText="1"/>
    </xf>
    <xf numFmtId="3" fontId="45" fillId="0" borderId="25" xfId="0" applyNumberFormat="1" applyFont="1" applyBorder="1"/>
    <xf numFmtId="43" fontId="45" fillId="0" borderId="25" xfId="27" applyFont="1" applyBorder="1"/>
    <xf numFmtId="2" fontId="45" fillId="0" borderId="25" xfId="0" applyNumberFormat="1" applyFont="1" applyBorder="1"/>
    <xf numFmtId="43" fontId="45" fillId="0" borderId="25" xfId="27" applyFont="1" applyBorder="1" applyAlignment="1">
      <alignment horizontal="center"/>
    </xf>
    <xf numFmtId="3" fontId="46" fillId="0" borderId="25" xfId="0" applyNumberFormat="1" applyFont="1" applyBorder="1"/>
    <xf numFmtId="43" fontId="46" fillId="0" borderId="25" xfId="27" applyFont="1" applyBorder="1"/>
    <xf numFmtId="2" fontId="46" fillId="0" borderId="25" xfId="0" applyNumberFormat="1" applyFont="1" applyBorder="1"/>
    <xf numFmtId="43" fontId="45" fillId="0" borderId="0" xfId="0" applyNumberFormat="1" applyFont="1"/>
    <xf numFmtId="9" fontId="45" fillId="0" borderId="0" xfId="0" applyNumberFormat="1" applyFont="1"/>
    <xf numFmtId="171" fontId="45" fillId="0" borderId="0" xfId="0" applyNumberFormat="1" applyFont="1"/>
    <xf numFmtId="9" fontId="45" fillId="0" borderId="0" xfId="422" applyFont="1"/>
    <xf numFmtId="0" fontId="48" fillId="0" borderId="0" xfId="0" applyFont="1" applyProtection="1">
      <protection locked="0"/>
    </xf>
    <xf numFmtId="0" fontId="47" fillId="0" borderId="6" xfId="0" applyFont="1" applyBorder="1" applyAlignment="1">
      <alignment horizontal="center"/>
    </xf>
    <xf numFmtId="0" fontId="47" fillId="0" borderId="9" xfId="0" applyFont="1" applyBorder="1" applyAlignment="1">
      <alignment horizontal="right"/>
    </xf>
    <xf numFmtId="0" fontId="48" fillId="0" borderId="6" xfId="0" applyFont="1" applyBorder="1"/>
    <xf numFmtId="0" fontId="47" fillId="0" borderId="5" xfId="0" applyFont="1" applyBorder="1" applyAlignment="1" applyProtection="1">
      <alignment horizontal="right"/>
      <protection locked="0"/>
    </xf>
    <xf numFmtId="17" fontId="47" fillId="0" borderId="5" xfId="0" applyNumberFormat="1" applyFont="1" applyBorder="1" applyProtection="1">
      <protection locked="0"/>
    </xf>
    <xf numFmtId="17" fontId="47" fillId="0" borderId="5" xfId="0" applyNumberFormat="1" applyFont="1" applyBorder="1" applyAlignment="1" applyProtection="1">
      <alignment wrapText="1"/>
      <protection locked="0"/>
    </xf>
    <xf numFmtId="0" fontId="47" fillId="16" borderId="6" xfId="0" applyFont="1" applyFill="1" applyBorder="1"/>
    <xf numFmtId="0" fontId="47" fillId="16" borderId="5" xfId="0" applyFont="1" applyFill="1" applyBorder="1"/>
    <xf numFmtId="0" fontId="47" fillId="16" borderId="9" xfId="0" applyFont="1" applyFill="1" applyBorder="1"/>
    <xf numFmtId="0" fontId="48" fillId="0" borderId="5" xfId="0" applyFont="1" applyBorder="1" applyAlignment="1">
      <alignment horizontal="center"/>
    </xf>
    <xf numFmtId="170" fontId="48" fillId="0" borderId="5" xfId="427" applyNumberFormat="1" applyFont="1" applyBorder="1" applyAlignment="1" applyProtection="1">
      <alignment horizontal="right"/>
    </xf>
    <xf numFmtId="9" fontId="48" fillId="0" borderId="5" xfId="0" applyNumberFormat="1" applyFont="1" applyBorder="1" applyAlignment="1">
      <alignment horizontal="center"/>
    </xf>
    <xf numFmtId="171" fontId="48" fillId="0" borderId="5" xfId="422" applyNumberFormat="1" applyFont="1" applyBorder="1" applyAlignment="1" applyProtection="1">
      <alignment horizontal="right"/>
    </xf>
    <xf numFmtId="171" fontId="48" fillId="0" borderId="5" xfId="422" applyNumberFormat="1" applyFont="1" applyFill="1" applyBorder="1" applyAlignment="1" applyProtection="1">
      <alignment horizontal="right"/>
    </xf>
    <xf numFmtId="171" fontId="48" fillId="17" borderId="5" xfId="422" applyNumberFormat="1" applyFont="1" applyFill="1" applyBorder="1" applyAlignment="1" applyProtection="1">
      <alignment horizontal="right"/>
    </xf>
    <xf numFmtId="0" fontId="48" fillId="17" borderId="6" xfId="0" applyFont="1" applyFill="1" applyBorder="1"/>
    <xf numFmtId="0" fontId="48" fillId="17" borderId="0" xfId="0" applyFont="1" applyFill="1" applyProtection="1">
      <protection locked="0"/>
    </xf>
    <xf numFmtId="0" fontId="48" fillId="17" borderId="5" xfId="0" applyFont="1" applyFill="1" applyBorder="1" applyAlignment="1">
      <alignment horizontal="center"/>
    </xf>
    <xf numFmtId="0" fontId="48" fillId="17" borderId="6" xfId="0" applyFont="1" applyFill="1" applyBorder="1" applyAlignment="1">
      <alignment horizontal="left"/>
    </xf>
    <xf numFmtId="9" fontId="48" fillId="17" borderId="5" xfId="0" applyNumberFormat="1" applyFont="1" applyFill="1" applyBorder="1" applyAlignment="1">
      <alignment horizontal="center"/>
    </xf>
    <xf numFmtId="0" fontId="49" fillId="0" borderId="5" xfId="0" applyFont="1" applyBorder="1" applyAlignment="1">
      <alignment horizontal="center"/>
    </xf>
    <xf numFmtId="0" fontId="50" fillId="0" borderId="6" xfId="0" applyFont="1" applyBorder="1"/>
    <xf numFmtId="43" fontId="50" fillId="0" borderId="5" xfId="27" applyFont="1" applyBorder="1" applyAlignment="1" applyProtection="1">
      <alignment horizontal="center"/>
    </xf>
    <xf numFmtId="43" fontId="50" fillId="0" borderId="5" xfId="27" applyFont="1" applyBorder="1" applyProtection="1">
      <protection locked="0"/>
    </xf>
    <xf numFmtId="43" fontId="48" fillId="0" borderId="5" xfId="27" applyFont="1" applyBorder="1" applyProtection="1">
      <protection locked="0"/>
    </xf>
    <xf numFmtId="0" fontId="51" fillId="14" borderId="32" xfId="0" applyFont="1" applyFill="1" applyBorder="1"/>
    <xf numFmtId="0" fontId="51" fillId="14" borderId="33" xfId="0" applyFont="1" applyFill="1" applyBorder="1"/>
    <xf numFmtId="0" fontId="51" fillId="14" borderId="5" xfId="0" applyFont="1" applyFill="1" applyBorder="1"/>
    <xf numFmtId="0" fontId="48" fillId="0" borderId="6" xfId="0" applyFont="1" applyBorder="1" applyAlignment="1" applyProtection="1">
      <alignment horizontal="left"/>
      <protection locked="0"/>
    </xf>
    <xf numFmtId="0" fontId="48" fillId="0" borderId="5" xfId="0" applyFont="1" applyBorder="1" applyAlignment="1" applyProtection="1">
      <alignment horizontal="center"/>
      <protection locked="0"/>
    </xf>
    <xf numFmtId="0" fontId="48" fillId="0" borderId="5" xfId="0" applyFont="1" applyBorder="1" applyProtection="1">
      <protection locked="0"/>
    </xf>
    <xf numFmtId="0" fontId="48" fillId="0" borderId="9" xfId="0" applyFont="1" applyBorder="1" applyProtection="1">
      <protection locked="0"/>
    </xf>
    <xf numFmtId="0" fontId="48" fillId="17" borderId="6" xfId="0" applyFont="1" applyFill="1" applyBorder="1" applyAlignment="1" applyProtection="1">
      <alignment horizontal="left"/>
      <protection locked="0"/>
    </xf>
    <xf numFmtId="0" fontId="52" fillId="17" borderId="34" xfId="0" applyFont="1" applyFill="1" applyBorder="1"/>
    <xf numFmtId="0" fontId="48" fillId="0" borderId="0" xfId="0" applyFont="1" applyAlignment="1" applyProtection="1">
      <alignment horizontal="center"/>
      <protection locked="0"/>
    </xf>
    <xf numFmtId="170" fontId="45" fillId="0" borderId="25" xfId="27" applyNumberFormat="1" applyFont="1" applyBorder="1"/>
    <xf numFmtId="0" fontId="32" fillId="11" borderId="16" xfId="0" applyFont="1" applyFill="1" applyBorder="1" applyAlignment="1">
      <alignment wrapText="1"/>
    </xf>
    <xf numFmtId="0" fontId="26" fillId="0" borderId="0" xfId="0" applyFont="1" applyAlignment="1">
      <alignment wrapText="1"/>
    </xf>
    <xf numFmtId="170" fontId="26" fillId="0" borderId="0" xfId="27" applyNumberFormat="1" applyFont="1"/>
    <xf numFmtId="0" fontId="53" fillId="0" borderId="21" xfId="0" applyFont="1" applyBorder="1" applyAlignment="1">
      <alignment wrapText="1" readingOrder="1"/>
    </xf>
    <xf numFmtId="4" fontId="53" fillId="0" borderId="21" xfId="0" applyNumberFormat="1" applyFont="1" applyBorder="1" applyAlignment="1">
      <alignment wrapText="1" readingOrder="1"/>
    </xf>
    <xf numFmtId="0" fontId="53" fillId="0" borderId="22" xfId="0" applyFont="1" applyBorder="1" applyAlignment="1">
      <alignment wrapText="1" readingOrder="1"/>
    </xf>
    <xf numFmtId="4" fontId="53" fillId="0" borderId="22" xfId="0" applyNumberFormat="1" applyFont="1" applyBorder="1" applyAlignment="1">
      <alignment wrapText="1" readingOrder="1"/>
    </xf>
    <xf numFmtId="0" fontId="53" fillId="0" borderId="23" xfId="0" applyFont="1" applyBorder="1" applyAlignment="1">
      <alignment wrapText="1" readingOrder="1"/>
    </xf>
    <xf numFmtId="4" fontId="53" fillId="0" borderId="23" xfId="0" applyNumberFormat="1" applyFont="1" applyBorder="1" applyAlignment="1">
      <alignment wrapText="1" readingOrder="1"/>
    </xf>
    <xf numFmtId="0" fontId="53" fillId="0" borderId="24" xfId="0" applyFont="1" applyBorder="1" applyAlignment="1">
      <alignment wrapText="1" readingOrder="1"/>
    </xf>
    <xf numFmtId="4" fontId="53" fillId="0" borderId="24" xfId="0" applyNumberFormat="1" applyFont="1" applyBorder="1" applyAlignment="1">
      <alignment wrapText="1" readingOrder="1"/>
    </xf>
    <xf numFmtId="43" fontId="8" fillId="15" borderId="25" xfId="27" applyFont="1" applyFill="1" applyBorder="1" applyAlignment="1" applyProtection="1">
      <alignment vertical="top" wrapText="1" readingOrder="1"/>
      <protection locked="0"/>
    </xf>
    <xf numFmtId="0" fontId="54" fillId="0" borderId="21" xfId="0" applyFont="1" applyBorder="1" applyAlignment="1">
      <alignment wrapText="1" readingOrder="1"/>
    </xf>
    <xf numFmtId="4" fontId="54" fillId="0" borderId="21" xfId="0" applyNumberFormat="1" applyFont="1" applyBorder="1" applyAlignment="1">
      <alignment wrapText="1" readingOrder="1"/>
    </xf>
    <xf numFmtId="0" fontId="54" fillId="0" borderId="22" xfId="0" applyFont="1" applyBorder="1" applyAlignment="1">
      <alignment wrapText="1" readingOrder="1"/>
    </xf>
    <xf numFmtId="4" fontId="54" fillId="0" borderId="22" xfId="0" applyNumberFormat="1" applyFont="1" applyBorder="1" applyAlignment="1">
      <alignment wrapText="1" readingOrder="1"/>
    </xf>
    <xf numFmtId="0" fontId="54" fillId="0" borderId="23" xfId="0" applyFont="1" applyBorder="1" applyAlignment="1">
      <alignment wrapText="1" readingOrder="1"/>
    </xf>
    <xf numFmtId="4" fontId="54" fillId="0" borderId="23" xfId="0" applyNumberFormat="1" applyFont="1" applyBorder="1" applyAlignment="1">
      <alignment wrapText="1" readingOrder="1"/>
    </xf>
    <xf numFmtId="0" fontId="54" fillId="0" borderId="24" xfId="0" applyFont="1" applyBorder="1" applyAlignment="1">
      <alignment wrapText="1" readingOrder="1"/>
    </xf>
    <xf numFmtId="4" fontId="54" fillId="0" borderId="24" xfId="0" applyNumberFormat="1" applyFont="1" applyBorder="1" applyAlignment="1">
      <alignment wrapText="1" readingOrder="1"/>
    </xf>
    <xf numFmtId="4" fontId="54" fillId="15" borderId="21" xfId="0" applyNumberFormat="1" applyFont="1" applyFill="1" applyBorder="1" applyAlignment="1">
      <alignment wrapText="1" readingOrder="1"/>
    </xf>
    <xf numFmtId="4" fontId="54" fillId="15" borderId="22" xfId="0" applyNumberFormat="1" applyFont="1" applyFill="1" applyBorder="1" applyAlignment="1">
      <alignment wrapText="1" readingOrder="1"/>
    </xf>
    <xf numFmtId="4" fontId="54" fillId="17" borderId="23" xfId="0" applyNumberFormat="1" applyFont="1" applyFill="1" applyBorder="1" applyAlignment="1">
      <alignment wrapText="1" readingOrder="1"/>
    </xf>
    <xf numFmtId="4" fontId="54" fillId="17" borderId="21" xfId="0" applyNumberFormat="1" applyFont="1" applyFill="1" applyBorder="1" applyAlignment="1">
      <alignment wrapText="1" readingOrder="1"/>
    </xf>
    <xf numFmtId="4" fontId="54" fillId="17" borderId="22" xfId="0" applyNumberFormat="1" applyFont="1" applyFill="1" applyBorder="1" applyAlignment="1">
      <alignment wrapText="1" readingOrder="1"/>
    </xf>
    <xf numFmtId="0" fontId="16" fillId="0" borderId="0" xfId="0" applyFont="1" applyAlignment="1" applyProtection="1">
      <alignment vertical="top" wrapText="1" readingOrder="1"/>
      <protection locked="0"/>
    </xf>
    <xf numFmtId="0" fontId="32" fillId="0" borderId="6" xfId="240" applyFont="1" applyBorder="1" applyAlignment="1">
      <alignment horizontal="left" vertical="top"/>
    </xf>
    <xf numFmtId="0" fontId="32" fillId="0" borderId="7" xfId="240" applyFont="1" applyBorder="1" applyAlignment="1">
      <alignment horizontal="left" vertical="top"/>
    </xf>
    <xf numFmtId="0" fontId="32" fillId="0" borderId="6" xfId="240" applyFont="1" applyBorder="1" applyAlignment="1">
      <alignment horizontal="left" vertical="top" wrapText="1"/>
    </xf>
    <xf numFmtId="0" fontId="36" fillId="0" borderId="6" xfId="0" applyFont="1" applyBorder="1" applyAlignment="1">
      <alignment horizontal="center" vertical="top" wrapText="1"/>
    </xf>
    <xf numFmtId="0" fontId="37" fillId="0" borderId="20" xfId="0" applyFont="1" applyBorder="1" applyAlignment="1">
      <alignment horizontal="center"/>
    </xf>
    <xf numFmtId="0" fontId="37" fillId="0" borderId="14" xfId="0" applyFont="1" applyBorder="1" applyAlignment="1">
      <alignment horizontal="center"/>
    </xf>
    <xf numFmtId="0" fontId="36" fillId="0" borderId="6" xfId="0" applyFont="1" applyBorder="1" applyAlignment="1">
      <alignment horizontal="center" vertical="top"/>
    </xf>
    <xf numFmtId="0" fontId="46" fillId="0" borderId="26" xfId="0" applyFont="1" applyBorder="1" applyAlignment="1">
      <alignment horizontal="center"/>
    </xf>
    <xf numFmtId="0" fontId="46" fillId="0" borderId="27" xfId="0" applyFont="1" applyBorder="1" applyAlignment="1">
      <alignment horizontal="center"/>
    </xf>
    <xf numFmtId="0" fontId="46" fillId="0" borderId="28" xfId="0" applyFont="1" applyBorder="1" applyAlignment="1">
      <alignment horizontal="center"/>
    </xf>
    <xf numFmtId="17" fontId="46" fillId="0" borderId="26" xfId="0" applyNumberFormat="1" applyFont="1" applyBorder="1" applyAlignment="1">
      <alignment horizontal="center"/>
    </xf>
    <xf numFmtId="0" fontId="47" fillId="0" borderId="10" xfId="0" applyFont="1" applyBorder="1" applyAlignment="1" applyProtection="1">
      <alignment horizontal="center"/>
      <protection locked="0"/>
    </xf>
    <xf numFmtId="0" fontId="47" fillId="0" borderId="11" xfId="0" applyFont="1" applyBorder="1" applyAlignment="1" applyProtection="1">
      <alignment horizontal="center"/>
      <protection locked="0"/>
    </xf>
    <xf numFmtId="0" fontId="47" fillId="0" borderId="29" xfId="0" applyFont="1" applyBorder="1" applyAlignment="1" applyProtection="1">
      <alignment horizontal="center"/>
      <protection locked="0"/>
    </xf>
    <xf numFmtId="0" fontId="47" fillId="0" borderId="6" xfId="0" applyFont="1" applyBorder="1" applyAlignment="1" applyProtection="1">
      <alignment horizontal="center"/>
      <protection locked="0"/>
    </xf>
    <xf numFmtId="0" fontId="47" fillId="0" borderId="5" xfId="0" applyFont="1" applyBorder="1" applyAlignment="1" applyProtection="1">
      <alignment horizontal="center"/>
      <protection locked="0"/>
    </xf>
    <xf numFmtId="0" fontId="47" fillId="0" borderId="9" xfId="0" applyFont="1" applyBorder="1" applyAlignment="1" applyProtection="1">
      <alignment horizontal="center"/>
      <protection locked="0"/>
    </xf>
    <xf numFmtId="0" fontId="47" fillId="0" borderId="30" xfId="0" applyFont="1" applyBorder="1" applyAlignment="1">
      <alignment horizontal="center" wrapText="1"/>
    </xf>
    <xf numFmtId="0" fontId="47" fillId="0" borderId="13" xfId="0" applyFont="1" applyBorder="1" applyAlignment="1">
      <alignment horizontal="center" wrapText="1"/>
    </xf>
    <xf numFmtId="17" fontId="47" fillId="0" borderId="31" xfId="0" applyNumberFormat="1" applyFont="1" applyBorder="1" applyAlignment="1" applyProtection="1">
      <alignment horizontal="center" wrapText="1"/>
      <protection locked="0"/>
    </xf>
    <xf numFmtId="17" fontId="47" fillId="0" borderId="32" xfId="0" applyNumberFormat="1" applyFont="1" applyBorder="1" applyAlignment="1" applyProtection="1">
      <alignment horizontal="center" wrapText="1"/>
      <protection locked="0"/>
    </xf>
    <xf numFmtId="0" fontId="43" fillId="0" borderId="0" xfId="0" applyFont="1" applyAlignment="1">
      <alignment horizontal="center"/>
    </xf>
    <xf numFmtId="0" fontId="43" fillId="0" borderId="46" xfId="0" applyFont="1" applyBorder="1" applyAlignment="1">
      <alignment horizontal="center"/>
    </xf>
    <xf numFmtId="0" fontId="53" fillId="0" borderId="21" xfId="0" applyFont="1" applyFill="1" applyBorder="1" applyAlignment="1">
      <alignment wrapText="1" readingOrder="1"/>
    </xf>
    <xf numFmtId="4" fontId="53" fillId="0" borderId="21" xfId="0" applyNumberFormat="1" applyFont="1" applyFill="1" applyBorder="1" applyAlignment="1">
      <alignment wrapText="1" readingOrder="1"/>
    </xf>
    <xf numFmtId="0" fontId="53" fillId="0" borderId="23" xfId="0" applyFont="1" applyFill="1" applyBorder="1" applyAlignment="1">
      <alignment wrapText="1" readingOrder="1"/>
    </xf>
    <xf numFmtId="4" fontId="53" fillId="0" borderId="23" xfId="0" applyNumberFormat="1" applyFont="1" applyFill="1" applyBorder="1" applyAlignment="1">
      <alignment wrapText="1" readingOrder="1"/>
    </xf>
    <xf numFmtId="0" fontId="54" fillId="0" borderId="21" xfId="0" applyFont="1" applyFill="1" applyBorder="1" applyAlignment="1">
      <alignment wrapText="1" readingOrder="1"/>
    </xf>
    <xf numFmtId="4" fontId="54" fillId="0" borderId="21" xfId="0" applyNumberFormat="1" applyFont="1" applyFill="1" applyBorder="1" applyAlignment="1">
      <alignment wrapText="1" readingOrder="1"/>
    </xf>
    <xf numFmtId="0" fontId="54" fillId="0" borderId="23" xfId="0" applyFont="1" applyFill="1" applyBorder="1" applyAlignment="1">
      <alignment wrapText="1" readingOrder="1"/>
    </xf>
    <xf numFmtId="4" fontId="54" fillId="0" borderId="23" xfId="0" applyNumberFormat="1" applyFont="1" applyFill="1" applyBorder="1" applyAlignment="1">
      <alignment wrapText="1" readingOrder="1"/>
    </xf>
    <xf numFmtId="0" fontId="46" fillId="0" borderId="26" xfId="0" applyFont="1" applyBorder="1" applyAlignment="1"/>
    <xf numFmtId="0" fontId="46" fillId="0" borderId="27" xfId="0" applyFont="1" applyBorder="1" applyAlignment="1"/>
    <xf numFmtId="0" fontId="46" fillId="0" borderId="28" xfId="0" applyFont="1" applyBorder="1" applyAlignment="1"/>
  </cellXfs>
  <cellStyles count="429">
    <cellStyle name="60% - Accent2 2" xfId="1" xr:uid="{00000000-0005-0000-0000-000000000000}"/>
    <cellStyle name="Accent1 2" xfId="2" xr:uid="{00000000-0005-0000-0000-000001000000}"/>
    <cellStyle name="Accent1 2 10" xfId="3" xr:uid="{00000000-0005-0000-0000-000002000000}"/>
    <cellStyle name="Accent1 2 11" xfId="4" xr:uid="{00000000-0005-0000-0000-000003000000}"/>
    <cellStyle name="Accent1 2 12" xfId="5" xr:uid="{00000000-0005-0000-0000-000004000000}"/>
    <cellStyle name="Accent1 2 2" xfId="6" xr:uid="{00000000-0005-0000-0000-000005000000}"/>
    <cellStyle name="Accent1 2 3" xfId="7" xr:uid="{00000000-0005-0000-0000-000006000000}"/>
    <cellStyle name="Accent1 2 4" xfId="8" xr:uid="{00000000-0005-0000-0000-000007000000}"/>
    <cellStyle name="Accent1 2 5" xfId="9" xr:uid="{00000000-0005-0000-0000-000008000000}"/>
    <cellStyle name="Accent1 2 6" xfId="10" xr:uid="{00000000-0005-0000-0000-000009000000}"/>
    <cellStyle name="Accent1 2 7" xfId="11" xr:uid="{00000000-0005-0000-0000-00000A000000}"/>
    <cellStyle name="Accent1 2 8" xfId="12" xr:uid="{00000000-0005-0000-0000-00000B000000}"/>
    <cellStyle name="Accent1 2 9" xfId="13" xr:uid="{00000000-0005-0000-0000-00000C000000}"/>
    <cellStyle name="Accent5 2" xfId="14" xr:uid="{00000000-0005-0000-0000-00000D000000}"/>
    <cellStyle name="Accent5 2 10" xfId="15" xr:uid="{00000000-0005-0000-0000-00000E000000}"/>
    <cellStyle name="Accent5 2 11" xfId="16" xr:uid="{00000000-0005-0000-0000-00000F000000}"/>
    <cellStyle name="Accent5 2 12" xfId="17" xr:uid="{00000000-0005-0000-0000-000010000000}"/>
    <cellStyle name="Accent5 2 2" xfId="18" xr:uid="{00000000-0005-0000-0000-000011000000}"/>
    <cellStyle name="Accent5 2 3" xfId="19" xr:uid="{00000000-0005-0000-0000-000012000000}"/>
    <cellStyle name="Accent5 2 4" xfId="20" xr:uid="{00000000-0005-0000-0000-000013000000}"/>
    <cellStyle name="Accent5 2 5" xfId="21" xr:uid="{00000000-0005-0000-0000-000014000000}"/>
    <cellStyle name="Accent5 2 6" xfId="22" xr:uid="{00000000-0005-0000-0000-000015000000}"/>
    <cellStyle name="Accent5 2 7" xfId="23" xr:uid="{00000000-0005-0000-0000-000016000000}"/>
    <cellStyle name="Accent5 2 8" xfId="24" xr:uid="{00000000-0005-0000-0000-000017000000}"/>
    <cellStyle name="Accent5 2 9" xfId="25" xr:uid="{00000000-0005-0000-0000-000018000000}"/>
    <cellStyle name="Check Cell 2" xfId="26" xr:uid="{00000000-0005-0000-0000-000019000000}"/>
    <cellStyle name="Comma" xfId="27" builtinId="3"/>
    <cellStyle name="Comma 10" xfId="28" xr:uid="{00000000-0005-0000-0000-00001B000000}"/>
    <cellStyle name="Comma 10 10" xfId="29" xr:uid="{00000000-0005-0000-0000-00001C000000}"/>
    <cellStyle name="Comma 10 10 2" xfId="427" xr:uid="{DD6660E5-BE81-4B4A-9C40-048AC83A16EC}"/>
    <cellStyle name="Comma 10 11" xfId="30" xr:uid="{00000000-0005-0000-0000-00001D000000}"/>
    <cellStyle name="Comma 10 12" xfId="31" xr:uid="{00000000-0005-0000-0000-00001E000000}"/>
    <cellStyle name="Comma 10 13" xfId="32" xr:uid="{00000000-0005-0000-0000-00001F000000}"/>
    <cellStyle name="Comma 10 14" xfId="33" xr:uid="{00000000-0005-0000-0000-000020000000}"/>
    <cellStyle name="Comma 10 15" xfId="34" xr:uid="{00000000-0005-0000-0000-000021000000}"/>
    <cellStyle name="Comma 10 16" xfId="35" xr:uid="{00000000-0005-0000-0000-000022000000}"/>
    <cellStyle name="Comma 10 2" xfId="36" xr:uid="{00000000-0005-0000-0000-000023000000}"/>
    <cellStyle name="Comma 10 3" xfId="37" xr:uid="{00000000-0005-0000-0000-000024000000}"/>
    <cellStyle name="Comma 10 4" xfId="38" xr:uid="{00000000-0005-0000-0000-000025000000}"/>
    <cellStyle name="Comma 10 5" xfId="39" xr:uid="{00000000-0005-0000-0000-000026000000}"/>
    <cellStyle name="Comma 10 6" xfId="40" xr:uid="{00000000-0005-0000-0000-000027000000}"/>
    <cellStyle name="Comma 10 7" xfId="41" xr:uid="{00000000-0005-0000-0000-000028000000}"/>
    <cellStyle name="Comma 10 8" xfId="42" xr:uid="{00000000-0005-0000-0000-000029000000}"/>
    <cellStyle name="Comma 10 9" xfId="43" xr:uid="{00000000-0005-0000-0000-00002A000000}"/>
    <cellStyle name="Comma 11" xfId="44" xr:uid="{00000000-0005-0000-0000-00002B000000}"/>
    <cellStyle name="Comma 11 10" xfId="45" xr:uid="{00000000-0005-0000-0000-00002C000000}"/>
    <cellStyle name="Comma 11 11" xfId="46" xr:uid="{00000000-0005-0000-0000-00002D000000}"/>
    <cellStyle name="Comma 11 12" xfId="47" xr:uid="{00000000-0005-0000-0000-00002E000000}"/>
    <cellStyle name="Comma 11 13" xfId="48" xr:uid="{00000000-0005-0000-0000-00002F000000}"/>
    <cellStyle name="Comma 11 14" xfId="49" xr:uid="{00000000-0005-0000-0000-000030000000}"/>
    <cellStyle name="Comma 11 15" xfId="50" xr:uid="{00000000-0005-0000-0000-000031000000}"/>
    <cellStyle name="Comma 11 16" xfId="51" xr:uid="{00000000-0005-0000-0000-000032000000}"/>
    <cellStyle name="Comma 11 17" xfId="52" xr:uid="{00000000-0005-0000-0000-000033000000}"/>
    <cellStyle name="Comma 11 2" xfId="53" xr:uid="{00000000-0005-0000-0000-000034000000}"/>
    <cellStyle name="Comma 11 2 2" xfId="54" xr:uid="{00000000-0005-0000-0000-000035000000}"/>
    <cellStyle name="Comma 11 3" xfId="55" xr:uid="{00000000-0005-0000-0000-000036000000}"/>
    <cellStyle name="Comma 11 4" xfId="56" xr:uid="{00000000-0005-0000-0000-000037000000}"/>
    <cellStyle name="Comma 11 5" xfId="57" xr:uid="{00000000-0005-0000-0000-000038000000}"/>
    <cellStyle name="Comma 11 6" xfId="58" xr:uid="{00000000-0005-0000-0000-000039000000}"/>
    <cellStyle name="Comma 11 7" xfId="59" xr:uid="{00000000-0005-0000-0000-00003A000000}"/>
    <cellStyle name="Comma 11 8" xfId="60" xr:uid="{00000000-0005-0000-0000-00003B000000}"/>
    <cellStyle name="Comma 11 9" xfId="61" xr:uid="{00000000-0005-0000-0000-00003C000000}"/>
    <cellStyle name="Comma 12" xfId="62" xr:uid="{00000000-0005-0000-0000-00003D000000}"/>
    <cellStyle name="Comma 13" xfId="63" xr:uid="{00000000-0005-0000-0000-00003E000000}"/>
    <cellStyle name="Comma 14" xfId="64" xr:uid="{00000000-0005-0000-0000-00003F000000}"/>
    <cellStyle name="Comma 15" xfId="65" xr:uid="{00000000-0005-0000-0000-000040000000}"/>
    <cellStyle name="Comma 16" xfId="66" xr:uid="{00000000-0005-0000-0000-000041000000}"/>
    <cellStyle name="Comma 16 10" xfId="67" xr:uid="{00000000-0005-0000-0000-000042000000}"/>
    <cellStyle name="Comma 16 11" xfId="68" xr:uid="{00000000-0005-0000-0000-000043000000}"/>
    <cellStyle name="Comma 16 12" xfId="69" xr:uid="{00000000-0005-0000-0000-000044000000}"/>
    <cellStyle name="Comma 16 13" xfId="70" xr:uid="{00000000-0005-0000-0000-000045000000}"/>
    <cellStyle name="Comma 16 14" xfId="71" xr:uid="{00000000-0005-0000-0000-000046000000}"/>
    <cellStyle name="Comma 16 15" xfId="72" xr:uid="{00000000-0005-0000-0000-000047000000}"/>
    <cellStyle name="Comma 16 16" xfId="73" xr:uid="{00000000-0005-0000-0000-000048000000}"/>
    <cellStyle name="Comma 16 2" xfId="74" xr:uid="{00000000-0005-0000-0000-000049000000}"/>
    <cellStyle name="Comma 16 3" xfId="75" xr:uid="{00000000-0005-0000-0000-00004A000000}"/>
    <cellStyle name="Comma 16 4" xfId="76" xr:uid="{00000000-0005-0000-0000-00004B000000}"/>
    <cellStyle name="Comma 16 5" xfId="77" xr:uid="{00000000-0005-0000-0000-00004C000000}"/>
    <cellStyle name="Comma 16 6" xfId="78" xr:uid="{00000000-0005-0000-0000-00004D000000}"/>
    <cellStyle name="Comma 16 7" xfId="79" xr:uid="{00000000-0005-0000-0000-00004E000000}"/>
    <cellStyle name="Comma 16 8" xfId="80" xr:uid="{00000000-0005-0000-0000-00004F000000}"/>
    <cellStyle name="Comma 16 9" xfId="81" xr:uid="{00000000-0005-0000-0000-000050000000}"/>
    <cellStyle name="Comma 17" xfId="82" xr:uid="{00000000-0005-0000-0000-000051000000}"/>
    <cellStyle name="Comma 17 10" xfId="83" xr:uid="{00000000-0005-0000-0000-000052000000}"/>
    <cellStyle name="Comma 17 2" xfId="84" xr:uid="{00000000-0005-0000-0000-000053000000}"/>
    <cellStyle name="Comma 17 3" xfId="85" xr:uid="{00000000-0005-0000-0000-000054000000}"/>
    <cellStyle name="Comma 17 4" xfId="86" xr:uid="{00000000-0005-0000-0000-000055000000}"/>
    <cellStyle name="Comma 17 5" xfId="87" xr:uid="{00000000-0005-0000-0000-000056000000}"/>
    <cellStyle name="Comma 17 6" xfId="88" xr:uid="{00000000-0005-0000-0000-000057000000}"/>
    <cellStyle name="Comma 17 7" xfId="89" xr:uid="{00000000-0005-0000-0000-000058000000}"/>
    <cellStyle name="Comma 17 8" xfId="90" xr:uid="{00000000-0005-0000-0000-000059000000}"/>
    <cellStyle name="Comma 17 9" xfId="91" xr:uid="{00000000-0005-0000-0000-00005A000000}"/>
    <cellStyle name="Comma 18" xfId="92" xr:uid="{00000000-0005-0000-0000-00005B000000}"/>
    <cellStyle name="Comma 18 2" xfId="93" xr:uid="{00000000-0005-0000-0000-00005C000000}"/>
    <cellStyle name="Comma 18 3" xfId="94" xr:uid="{00000000-0005-0000-0000-00005D000000}"/>
    <cellStyle name="Comma 2" xfId="95" xr:uid="{00000000-0005-0000-0000-00005E000000}"/>
    <cellStyle name="Comma 2 10" xfId="96" xr:uid="{00000000-0005-0000-0000-00005F000000}"/>
    <cellStyle name="Comma 2 11" xfId="97" xr:uid="{00000000-0005-0000-0000-000060000000}"/>
    <cellStyle name="Comma 2 12" xfId="98" xr:uid="{00000000-0005-0000-0000-000061000000}"/>
    <cellStyle name="Comma 2 13" xfId="99" xr:uid="{00000000-0005-0000-0000-000062000000}"/>
    <cellStyle name="Comma 2 14" xfId="100" xr:uid="{00000000-0005-0000-0000-000063000000}"/>
    <cellStyle name="Comma 2 15" xfId="101" xr:uid="{00000000-0005-0000-0000-000064000000}"/>
    <cellStyle name="Comma 2 16" xfId="102" xr:uid="{00000000-0005-0000-0000-000065000000}"/>
    <cellStyle name="Comma 2 17" xfId="103" xr:uid="{00000000-0005-0000-0000-000066000000}"/>
    <cellStyle name="Comma 2 18" xfId="104" xr:uid="{00000000-0005-0000-0000-000067000000}"/>
    <cellStyle name="Comma 2 19" xfId="105" xr:uid="{00000000-0005-0000-0000-000068000000}"/>
    <cellStyle name="Comma 2 2" xfId="106" xr:uid="{00000000-0005-0000-0000-000069000000}"/>
    <cellStyle name="Comma 2 20" xfId="107" xr:uid="{00000000-0005-0000-0000-00006A000000}"/>
    <cellStyle name="Comma 2 21" xfId="108" xr:uid="{00000000-0005-0000-0000-00006B000000}"/>
    <cellStyle name="Comma 2 22" xfId="109" xr:uid="{00000000-0005-0000-0000-00006C000000}"/>
    <cellStyle name="Comma 2 23" xfId="110" xr:uid="{00000000-0005-0000-0000-00006D000000}"/>
    <cellStyle name="Comma 2 24" xfId="111" xr:uid="{00000000-0005-0000-0000-00006E000000}"/>
    <cellStyle name="Comma 2 25" xfId="112" xr:uid="{00000000-0005-0000-0000-00006F000000}"/>
    <cellStyle name="Comma 2 26" xfId="113" xr:uid="{00000000-0005-0000-0000-000070000000}"/>
    <cellStyle name="Comma 2 3" xfId="114" xr:uid="{00000000-0005-0000-0000-000071000000}"/>
    <cellStyle name="Comma 2 4" xfId="115" xr:uid="{00000000-0005-0000-0000-000072000000}"/>
    <cellStyle name="Comma 2 5" xfId="116" xr:uid="{00000000-0005-0000-0000-000073000000}"/>
    <cellStyle name="Comma 2 6" xfId="117" xr:uid="{00000000-0005-0000-0000-000074000000}"/>
    <cellStyle name="Comma 2 7" xfId="118" xr:uid="{00000000-0005-0000-0000-000075000000}"/>
    <cellStyle name="Comma 2 8" xfId="119" xr:uid="{00000000-0005-0000-0000-000076000000}"/>
    <cellStyle name="Comma 2 9" xfId="120" xr:uid="{00000000-0005-0000-0000-000077000000}"/>
    <cellStyle name="Comma 24" xfId="121" xr:uid="{00000000-0005-0000-0000-000078000000}"/>
    <cellStyle name="Comma 3" xfId="122" xr:uid="{00000000-0005-0000-0000-000079000000}"/>
    <cellStyle name="Comma 3 10" xfId="123" xr:uid="{00000000-0005-0000-0000-00007A000000}"/>
    <cellStyle name="Comma 3 11" xfId="124" xr:uid="{00000000-0005-0000-0000-00007B000000}"/>
    <cellStyle name="Comma 3 12" xfId="125" xr:uid="{00000000-0005-0000-0000-00007C000000}"/>
    <cellStyle name="Comma 3 13" xfId="126" xr:uid="{00000000-0005-0000-0000-00007D000000}"/>
    <cellStyle name="Comma 3 14" xfId="127" xr:uid="{00000000-0005-0000-0000-00007E000000}"/>
    <cellStyle name="Comma 3 15" xfId="128" xr:uid="{00000000-0005-0000-0000-00007F000000}"/>
    <cellStyle name="Comma 3 16" xfId="129" xr:uid="{00000000-0005-0000-0000-000080000000}"/>
    <cellStyle name="Comma 3 17" xfId="130" xr:uid="{00000000-0005-0000-0000-000081000000}"/>
    <cellStyle name="Comma 3 18" xfId="131" xr:uid="{00000000-0005-0000-0000-000082000000}"/>
    <cellStyle name="Comma 3 19" xfId="132" xr:uid="{00000000-0005-0000-0000-000083000000}"/>
    <cellStyle name="Comma 3 2" xfId="133" xr:uid="{00000000-0005-0000-0000-000084000000}"/>
    <cellStyle name="Comma 3 20" xfId="134" xr:uid="{00000000-0005-0000-0000-000085000000}"/>
    <cellStyle name="Comma 3 3" xfId="135" xr:uid="{00000000-0005-0000-0000-000086000000}"/>
    <cellStyle name="Comma 3 4" xfId="136" xr:uid="{00000000-0005-0000-0000-000087000000}"/>
    <cellStyle name="Comma 3 5" xfId="137" xr:uid="{00000000-0005-0000-0000-000088000000}"/>
    <cellStyle name="Comma 3 6" xfId="138" xr:uid="{00000000-0005-0000-0000-000089000000}"/>
    <cellStyle name="Comma 3 7" xfId="139" xr:uid="{00000000-0005-0000-0000-00008A000000}"/>
    <cellStyle name="Comma 3 8" xfId="140" xr:uid="{00000000-0005-0000-0000-00008B000000}"/>
    <cellStyle name="Comma 3 9" xfId="141" xr:uid="{00000000-0005-0000-0000-00008C000000}"/>
    <cellStyle name="Comma 4" xfId="142" xr:uid="{00000000-0005-0000-0000-00008D000000}"/>
    <cellStyle name="Comma 5" xfId="143" xr:uid="{00000000-0005-0000-0000-00008E000000}"/>
    <cellStyle name="Comma 5 10" xfId="144" xr:uid="{00000000-0005-0000-0000-00008F000000}"/>
    <cellStyle name="Comma 5 11" xfId="145" xr:uid="{00000000-0005-0000-0000-000090000000}"/>
    <cellStyle name="Comma 5 12" xfId="146" xr:uid="{00000000-0005-0000-0000-000091000000}"/>
    <cellStyle name="Comma 5 13" xfId="147" xr:uid="{00000000-0005-0000-0000-000092000000}"/>
    <cellStyle name="Comma 5 14" xfId="148" xr:uid="{00000000-0005-0000-0000-000093000000}"/>
    <cellStyle name="Comma 5 15" xfId="149" xr:uid="{00000000-0005-0000-0000-000094000000}"/>
    <cellStyle name="Comma 5 16" xfId="150" xr:uid="{00000000-0005-0000-0000-000095000000}"/>
    <cellStyle name="Comma 5 17" xfId="151" xr:uid="{00000000-0005-0000-0000-000096000000}"/>
    <cellStyle name="Comma 5 18" xfId="152" xr:uid="{00000000-0005-0000-0000-000097000000}"/>
    <cellStyle name="Comma 5 19" xfId="153" xr:uid="{00000000-0005-0000-0000-000098000000}"/>
    <cellStyle name="Comma 5 2" xfId="154" xr:uid="{00000000-0005-0000-0000-000099000000}"/>
    <cellStyle name="Comma 5 20" xfId="155" xr:uid="{00000000-0005-0000-0000-00009A000000}"/>
    <cellStyle name="Comma 5 3" xfId="156" xr:uid="{00000000-0005-0000-0000-00009B000000}"/>
    <cellStyle name="Comma 5 4" xfId="157" xr:uid="{00000000-0005-0000-0000-00009C000000}"/>
    <cellStyle name="Comma 5 5" xfId="158" xr:uid="{00000000-0005-0000-0000-00009D000000}"/>
    <cellStyle name="Comma 5 6" xfId="159" xr:uid="{00000000-0005-0000-0000-00009E000000}"/>
    <cellStyle name="Comma 5 7" xfId="160" xr:uid="{00000000-0005-0000-0000-00009F000000}"/>
    <cellStyle name="Comma 5 8" xfId="161" xr:uid="{00000000-0005-0000-0000-0000A0000000}"/>
    <cellStyle name="Comma 5 9" xfId="162" xr:uid="{00000000-0005-0000-0000-0000A1000000}"/>
    <cellStyle name="Comma 6" xfId="163" xr:uid="{00000000-0005-0000-0000-0000A2000000}"/>
    <cellStyle name="Comma 6 10" xfId="164" xr:uid="{00000000-0005-0000-0000-0000A3000000}"/>
    <cellStyle name="Comma 6 11" xfId="165" xr:uid="{00000000-0005-0000-0000-0000A4000000}"/>
    <cellStyle name="Comma 6 12" xfId="166" xr:uid="{00000000-0005-0000-0000-0000A5000000}"/>
    <cellStyle name="Comma 6 13" xfId="167" xr:uid="{00000000-0005-0000-0000-0000A6000000}"/>
    <cellStyle name="Comma 6 14" xfId="168" xr:uid="{00000000-0005-0000-0000-0000A7000000}"/>
    <cellStyle name="Comma 6 15" xfId="169" xr:uid="{00000000-0005-0000-0000-0000A8000000}"/>
    <cellStyle name="Comma 6 16" xfId="170" xr:uid="{00000000-0005-0000-0000-0000A9000000}"/>
    <cellStyle name="Comma 6 17" xfId="171" xr:uid="{00000000-0005-0000-0000-0000AA000000}"/>
    <cellStyle name="Comma 6 18" xfId="172" xr:uid="{00000000-0005-0000-0000-0000AB000000}"/>
    <cellStyle name="Comma 6 19" xfId="173" xr:uid="{00000000-0005-0000-0000-0000AC000000}"/>
    <cellStyle name="Comma 6 2" xfId="174" xr:uid="{00000000-0005-0000-0000-0000AD000000}"/>
    <cellStyle name="Comma 6 3" xfId="175" xr:uid="{00000000-0005-0000-0000-0000AE000000}"/>
    <cellStyle name="Comma 6 4" xfId="176" xr:uid="{00000000-0005-0000-0000-0000AF000000}"/>
    <cellStyle name="Comma 6 5" xfId="177" xr:uid="{00000000-0005-0000-0000-0000B0000000}"/>
    <cellStyle name="Comma 6 6" xfId="178" xr:uid="{00000000-0005-0000-0000-0000B1000000}"/>
    <cellStyle name="Comma 6 7" xfId="179" xr:uid="{00000000-0005-0000-0000-0000B2000000}"/>
    <cellStyle name="Comma 6 8" xfId="180" xr:uid="{00000000-0005-0000-0000-0000B3000000}"/>
    <cellStyle name="Comma 6 9" xfId="181" xr:uid="{00000000-0005-0000-0000-0000B4000000}"/>
    <cellStyle name="Comma 7" xfId="182" xr:uid="{00000000-0005-0000-0000-0000B5000000}"/>
    <cellStyle name="Comma 7 10" xfId="183" xr:uid="{00000000-0005-0000-0000-0000B6000000}"/>
    <cellStyle name="Comma 7 11" xfId="184" xr:uid="{00000000-0005-0000-0000-0000B7000000}"/>
    <cellStyle name="Comma 7 12" xfId="185" xr:uid="{00000000-0005-0000-0000-0000B8000000}"/>
    <cellStyle name="Comma 7 13" xfId="186" xr:uid="{00000000-0005-0000-0000-0000B9000000}"/>
    <cellStyle name="Comma 7 14" xfId="187" xr:uid="{00000000-0005-0000-0000-0000BA000000}"/>
    <cellStyle name="Comma 7 15" xfId="188" xr:uid="{00000000-0005-0000-0000-0000BB000000}"/>
    <cellStyle name="Comma 7 16" xfId="189" xr:uid="{00000000-0005-0000-0000-0000BC000000}"/>
    <cellStyle name="Comma 7 17" xfId="190" xr:uid="{00000000-0005-0000-0000-0000BD000000}"/>
    <cellStyle name="Comma 7 18" xfId="191" xr:uid="{00000000-0005-0000-0000-0000BE000000}"/>
    <cellStyle name="Comma 7 19" xfId="192" xr:uid="{00000000-0005-0000-0000-0000BF000000}"/>
    <cellStyle name="Comma 7 2" xfId="193" xr:uid="{00000000-0005-0000-0000-0000C0000000}"/>
    <cellStyle name="Comma 7 3" xfId="194" xr:uid="{00000000-0005-0000-0000-0000C1000000}"/>
    <cellStyle name="Comma 7 4" xfId="195" xr:uid="{00000000-0005-0000-0000-0000C2000000}"/>
    <cellStyle name="Comma 7 5" xfId="196" xr:uid="{00000000-0005-0000-0000-0000C3000000}"/>
    <cellStyle name="Comma 7 6" xfId="197" xr:uid="{00000000-0005-0000-0000-0000C4000000}"/>
    <cellStyle name="Comma 7 7" xfId="198" xr:uid="{00000000-0005-0000-0000-0000C5000000}"/>
    <cellStyle name="Comma 7 8" xfId="199" xr:uid="{00000000-0005-0000-0000-0000C6000000}"/>
    <cellStyle name="Comma 7 9" xfId="200" xr:uid="{00000000-0005-0000-0000-0000C7000000}"/>
    <cellStyle name="Comma 8" xfId="201" xr:uid="{00000000-0005-0000-0000-0000C8000000}"/>
    <cellStyle name="Comma 8 10" xfId="202" xr:uid="{00000000-0005-0000-0000-0000C9000000}"/>
    <cellStyle name="Comma 8 11" xfId="203" xr:uid="{00000000-0005-0000-0000-0000CA000000}"/>
    <cellStyle name="Comma 8 12" xfId="204" xr:uid="{00000000-0005-0000-0000-0000CB000000}"/>
    <cellStyle name="Comma 8 13" xfId="205" xr:uid="{00000000-0005-0000-0000-0000CC000000}"/>
    <cellStyle name="Comma 8 14" xfId="206" xr:uid="{00000000-0005-0000-0000-0000CD000000}"/>
    <cellStyle name="Comma 8 15" xfId="207" xr:uid="{00000000-0005-0000-0000-0000CE000000}"/>
    <cellStyle name="Comma 8 16" xfId="208" xr:uid="{00000000-0005-0000-0000-0000CF000000}"/>
    <cellStyle name="Comma 8 17" xfId="209" xr:uid="{00000000-0005-0000-0000-0000D0000000}"/>
    <cellStyle name="Comma 8 18" xfId="210" xr:uid="{00000000-0005-0000-0000-0000D1000000}"/>
    <cellStyle name="Comma 8 19" xfId="211" xr:uid="{00000000-0005-0000-0000-0000D2000000}"/>
    <cellStyle name="Comma 8 2" xfId="212" xr:uid="{00000000-0005-0000-0000-0000D3000000}"/>
    <cellStyle name="Comma 8 3" xfId="213" xr:uid="{00000000-0005-0000-0000-0000D4000000}"/>
    <cellStyle name="Comma 8 4" xfId="214" xr:uid="{00000000-0005-0000-0000-0000D5000000}"/>
    <cellStyle name="Comma 8 5" xfId="215" xr:uid="{00000000-0005-0000-0000-0000D6000000}"/>
    <cellStyle name="Comma 8 6" xfId="216" xr:uid="{00000000-0005-0000-0000-0000D7000000}"/>
    <cellStyle name="Comma 8 7" xfId="217" xr:uid="{00000000-0005-0000-0000-0000D8000000}"/>
    <cellStyle name="Comma 8 8" xfId="218" xr:uid="{00000000-0005-0000-0000-0000D9000000}"/>
    <cellStyle name="Comma 8 9" xfId="219" xr:uid="{00000000-0005-0000-0000-0000DA000000}"/>
    <cellStyle name="Comma 9" xfId="220" xr:uid="{00000000-0005-0000-0000-0000DB000000}"/>
    <cellStyle name="Comma 9 10" xfId="221" xr:uid="{00000000-0005-0000-0000-0000DC000000}"/>
    <cellStyle name="Comma 9 11" xfId="222" xr:uid="{00000000-0005-0000-0000-0000DD000000}"/>
    <cellStyle name="Comma 9 12" xfId="223" xr:uid="{00000000-0005-0000-0000-0000DE000000}"/>
    <cellStyle name="Comma 9 13" xfId="224" xr:uid="{00000000-0005-0000-0000-0000DF000000}"/>
    <cellStyle name="Comma 9 14" xfId="225" xr:uid="{00000000-0005-0000-0000-0000E0000000}"/>
    <cellStyle name="Comma 9 15" xfId="226" xr:uid="{00000000-0005-0000-0000-0000E1000000}"/>
    <cellStyle name="Comma 9 16" xfId="227" xr:uid="{00000000-0005-0000-0000-0000E2000000}"/>
    <cellStyle name="Comma 9 17" xfId="228" xr:uid="{00000000-0005-0000-0000-0000E3000000}"/>
    <cellStyle name="Comma 9 18" xfId="229" xr:uid="{00000000-0005-0000-0000-0000E4000000}"/>
    <cellStyle name="Comma 9 19" xfId="230" xr:uid="{00000000-0005-0000-0000-0000E5000000}"/>
    <cellStyle name="Comma 9 2" xfId="231" xr:uid="{00000000-0005-0000-0000-0000E6000000}"/>
    <cellStyle name="Comma 9 3" xfId="232" xr:uid="{00000000-0005-0000-0000-0000E7000000}"/>
    <cellStyle name="Comma 9 4" xfId="233" xr:uid="{00000000-0005-0000-0000-0000E8000000}"/>
    <cellStyle name="Comma 9 5" xfId="234" xr:uid="{00000000-0005-0000-0000-0000E9000000}"/>
    <cellStyle name="Comma 9 6" xfId="235" xr:uid="{00000000-0005-0000-0000-0000EA000000}"/>
    <cellStyle name="Comma 9 7" xfId="236" xr:uid="{00000000-0005-0000-0000-0000EB000000}"/>
    <cellStyle name="Comma 9 8" xfId="237" xr:uid="{00000000-0005-0000-0000-0000EC000000}"/>
    <cellStyle name="Comma 9 9" xfId="238" xr:uid="{00000000-0005-0000-0000-0000ED000000}"/>
    <cellStyle name="Input 2" xfId="239" xr:uid="{00000000-0005-0000-0000-0000EE000000}"/>
    <cellStyle name="Normal" xfId="0" builtinId="0"/>
    <cellStyle name="Normal 10" xfId="240" xr:uid="{00000000-0005-0000-0000-0000F0000000}"/>
    <cellStyle name="Normal 10 2" xfId="241" xr:uid="{00000000-0005-0000-0000-0000F1000000}"/>
    <cellStyle name="Normal 10 3" xfId="242" xr:uid="{00000000-0005-0000-0000-0000F2000000}"/>
    <cellStyle name="Normal 10 4" xfId="243" xr:uid="{00000000-0005-0000-0000-0000F3000000}"/>
    <cellStyle name="Normal 10 5" xfId="244" xr:uid="{00000000-0005-0000-0000-0000F4000000}"/>
    <cellStyle name="Normal 11" xfId="245" xr:uid="{00000000-0005-0000-0000-0000F5000000}"/>
    <cellStyle name="Normal 12" xfId="246" xr:uid="{00000000-0005-0000-0000-0000F6000000}"/>
    <cellStyle name="Normal 12 2" xfId="247" xr:uid="{00000000-0005-0000-0000-0000F7000000}"/>
    <cellStyle name="Normal 12 3" xfId="248" xr:uid="{00000000-0005-0000-0000-0000F8000000}"/>
    <cellStyle name="Normal 12 4" xfId="249" xr:uid="{00000000-0005-0000-0000-0000F9000000}"/>
    <cellStyle name="Normal 12 5" xfId="250" xr:uid="{00000000-0005-0000-0000-0000FA000000}"/>
    <cellStyle name="Normal 13" xfId="251" xr:uid="{00000000-0005-0000-0000-0000FB000000}"/>
    <cellStyle name="Normal 13 2" xfId="252" xr:uid="{00000000-0005-0000-0000-0000FC000000}"/>
    <cellStyle name="Normal 13 3" xfId="253" xr:uid="{00000000-0005-0000-0000-0000FD000000}"/>
    <cellStyle name="Normal 13 4" xfId="254" xr:uid="{00000000-0005-0000-0000-0000FE000000}"/>
    <cellStyle name="Normal 13 5" xfId="255" xr:uid="{00000000-0005-0000-0000-0000FF000000}"/>
    <cellStyle name="Normal 14" xfId="256" xr:uid="{00000000-0005-0000-0000-000000010000}"/>
    <cellStyle name="Normal 14 10" xfId="257" xr:uid="{00000000-0005-0000-0000-000001010000}"/>
    <cellStyle name="Normal 14 11" xfId="258" xr:uid="{00000000-0005-0000-0000-000002010000}"/>
    <cellStyle name="Normal 14 12" xfId="259" xr:uid="{00000000-0005-0000-0000-000003010000}"/>
    <cellStyle name="Normal 14 2" xfId="260" xr:uid="{00000000-0005-0000-0000-000004010000}"/>
    <cellStyle name="Normal 14 3" xfId="261" xr:uid="{00000000-0005-0000-0000-000005010000}"/>
    <cellStyle name="Normal 14 4" xfId="262" xr:uid="{00000000-0005-0000-0000-000006010000}"/>
    <cellStyle name="Normal 14 5" xfId="263" xr:uid="{00000000-0005-0000-0000-000007010000}"/>
    <cellStyle name="Normal 14 6" xfId="264" xr:uid="{00000000-0005-0000-0000-000008010000}"/>
    <cellStyle name="Normal 14 7" xfId="265" xr:uid="{00000000-0005-0000-0000-000009010000}"/>
    <cellStyle name="Normal 14 8" xfId="266" xr:uid="{00000000-0005-0000-0000-00000A010000}"/>
    <cellStyle name="Normal 14 9" xfId="267" xr:uid="{00000000-0005-0000-0000-00000B010000}"/>
    <cellStyle name="Normal 15" xfId="268" xr:uid="{00000000-0005-0000-0000-00000C010000}"/>
    <cellStyle name="Normal 16" xfId="269" xr:uid="{00000000-0005-0000-0000-00000D010000}"/>
    <cellStyle name="Normal 17" xfId="270" xr:uid="{00000000-0005-0000-0000-00000E010000}"/>
    <cellStyle name="Normal 17 2" xfId="271" xr:uid="{00000000-0005-0000-0000-00000F010000}"/>
    <cellStyle name="Normal 17 3" xfId="272" xr:uid="{00000000-0005-0000-0000-000010010000}"/>
    <cellStyle name="Normal 17 4" xfId="273" xr:uid="{00000000-0005-0000-0000-000011010000}"/>
    <cellStyle name="Normal 17 5" xfId="274" xr:uid="{00000000-0005-0000-0000-000012010000}"/>
    <cellStyle name="Normal 18" xfId="275" xr:uid="{00000000-0005-0000-0000-000013010000}"/>
    <cellStyle name="Normal 19" xfId="276" xr:uid="{00000000-0005-0000-0000-000014010000}"/>
    <cellStyle name="Normal 2" xfId="277" xr:uid="{00000000-0005-0000-0000-000015010000}"/>
    <cellStyle name="Normal 2 10" xfId="278" xr:uid="{00000000-0005-0000-0000-000016010000}"/>
    <cellStyle name="Normal 2 11" xfId="279" xr:uid="{00000000-0005-0000-0000-000017010000}"/>
    <cellStyle name="Normal 2 12" xfId="280" xr:uid="{00000000-0005-0000-0000-000018010000}"/>
    <cellStyle name="Normal 2 13" xfId="281" xr:uid="{00000000-0005-0000-0000-000019010000}"/>
    <cellStyle name="Normal 2 14" xfId="282" xr:uid="{00000000-0005-0000-0000-00001A010000}"/>
    <cellStyle name="Normal 2 15" xfId="283" xr:uid="{00000000-0005-0000-0000-00001B010000}"/>
    <cellStyle name="Normal 2 16" xfId="284" xr:uid="{00000000-0005-0000-0000-00001C010000}"/>
    <cellStyle name="Normal 2 17" xfId="285" xr:uid="{00000000-0005-0000-0000-00001D010000}"/>
    <cellStyle name="Normal 2 18" xfId="286" xr:uid="{00000000-0005-0000-0000-00001E010000}"/>
    <cellStyle name="Normal 2 19" xfId="287" xr:uid="{00000000-0005-0000-0000-00001F010000}"/>
    <cellStyle name="Normal 2 2" xfId="288" xr:uid="{00000000-0005-0000-0000-000020010000}"/>
    <cellStyle name="Normal 2 20" xfId="289" xr:uid="{00000000-0005-0000-0000-000021010000}"/>
    <cellStyle name="Normal 2 3" xfId="290" xr:uid="{00000000-0005-0000-0000-000022010000}"/>
    <cellStyle name="Normal 2 4" xfId="291" xr:uid="{00000000-0005-0000-0000-000023010000}"/>
    <cellStyle name="Normal 2 5" xfId="292" xr:uid="{00000000-0005-0000-0000-000024010000}"/>
    <cellStyle name="Normal 2 6" xfId="293" xr:uid="{00000000-0005-0000-0000-000025010000}"/>
    <cellStyle name="Normal 2 7" xfId="294" xr:uid="{00000000-0005-0000-0000-000026010000}"/>
    <cellStyle name="Normal 2 8" xfId="295" xr:uid="{00000000-0005-0000-0000-000027010000}"/>
    <cellStyle name="Normal 2 9" xfId="296" xr:uid="{00000000-0005-0000-0000-000028010000}"/>
    <cellStyle name="Normal 2_deposits mobilized" xfId="297" xr:uid="{00000000-0005-0000-0000-000029010000}"/>
    <cellStyle name="Normal 20" xfId="298" xr:uid="{00000000-0005-0000-0000-00002A010000}"/>
    <cellStyle name="Normal 21" xfId="299" xr:uid="{00000000-0005-0000-0000-00002B010000}"/>
    <cellStyle name="Normal 21 10" xfId="300" xr:uid="{00000000-0005-0000-0000-00002C010000}"/>
    <cellStyle name="Normal 21 11" xfId="301" xr:uid="{00000000-0005-0000-0000-00002D010000}"/>
    <cellStyle name="Normal 21 12" xfId="302" xr:uid="{00000000-0005-0000-0000-00002E010000}"/>
    <cellStyle name="Normal 21 13" xfId="303" xr:uid="{00000000-0005-0000-0000-00002F010000}"/>
    <cellStyle name="Normal 21 14" xfId="304" xr:uid="{00000000-0005-0000-0000-000030010000}"/>
    <cellStyle name="Normal 21 15" xfId="305" xr:uid="{00000000-0005-0000-0000-000031010000}"/>
    <cellStyle name="Normal 21 16" xfId="306" xr:uid="{00000000-0005-0000-0000-000032010000}"/>
    <cellStyle name="Normal 21 2" xfId="307" xr:uid="{00000000-0005-0000-0000-000033010000}"/>
    <cellStyle name="Normal 21 3" xfId="308" xr:uid="{00000000-0005-0000-0000-000034010000}"/>
    <cellStyle name="Normal 21 4" xfId="309" xr:uid="{00000000-0005-0000-0000-000035010000}"/>
    <cellStyle name="Normal 21 5" xfId="310" xr:uid="{00000000-0005-0000-0000-000036010000}"/>
    <cellStyle name="Normal 21 6" xfId="311" xr:uid="{00000000-0005-0000-0000-000037010000}"/>
    <cellStyle name="Normal 21 7" xfId="312" xr:uid="{00000000-0005-0000-0000-000038010000}"/>
    <cellStyle name="Normal 21 8" xfId="313" xr:uid="{00000000-0005-0000-0000-000039010000}"/>
    <cellStyle name="Normal 21 9" xfId="314" xr:uid="{00000000-0005-0000-0000-00003A010000}"/>
    <cellStyle name="Normal 22" xfId="315" xr:uid="{00000000-0005-0000-0000-00003B010000}"/>
    <cellStyle name="Normal 26" xfId="316" xr:uid="{00000000-0005-0000-0000-00003C010000}"/>
    <cellStyle name="Normal 27" xfId="317" xr:uid="{00000000-0005-0000-0000-00003D010000}"/>
    <cellStyle name="Normal 3" xfId="318" xr:uid="{00000000-0005-0000-0000-00003E010000}"/>
    <cellStyle name="Normal 3 10" xfId="319" xr:uid="{00000000-0005-0000-0000-00003F010000}"/>
    <cellStyle name="Normal 3 11" xfId="320" xr:uid="{00000000-0005-0000-0000-000040010000}"/>
    <cellStyle name="Normal 3 12" xfId="321" xr:uid="{00000000-0005-0000-0000-000041010000}"/>
    <cellStyle name="Normal 3 13" xfId="322" xr:uid="{00000000-0005-0000-0000-000042010000}"/>
    <cellStyle name="Normal 3 14" xfId="323" xr:uid="{00000000-0005-0000-0000-000043010000}"/>
    <cellStyle name="Normal 3 15" xfId="324" xr:uid="{00000000-0005-0000-0000-000044010000}"/>
    <cellStyle name="Normal 3 16" xfId="325" xr:uid="{00000000-0005-0000-0000-000045010000}"/>
    <cellStyle name="Normal 3 17" xfId="326" xr:uid="{00000000-0005-0000-0000-000046010000}"/>
    <cellStyle name="Normal 3 18" xfId="327" xr:uid="{00000000-0005-0000-0000-000047010000}"/>
    <cellStyle name="Normal 3 19" xfId="328" xr:uid="{00000000-0005-0000-0000-000048010000}"/>
    <cellStyle name="Normal 3 2" xfId="329" xr:uid="{00000000-0005-0000-0000-000049010000}"/>
    <cellStyle name="Normal 3 20" xfId="330" xr:uid="{00000000-0005-0000-0000-00004A010000}"/>
    <cellStyle name="Normal 3 21" xfId="331" xr:uid="{00000000-0005-0000-0000-00004B010000}"/>
    <cellStyle name="Normal 3 22" xfId="332" xr:uid="{00000000-0005-0000-0000-00004C010000}"/>
    <cellStyle name="Normal 3 23" xfId="333" xr:uid="{00000000-0005-0000-0000-00004D010000}"/>
    <cellStyle name="Normal 3 24" xfId="334" xr:uid="{00000000-0005-0000-0000-00004E010000}"/>
    <cellStyle name="Normal 3 25" xfId="335" xr:uid="{00000000-0005-0000-0000-00004F010000}"/>
    <cellStyle name="Normal 3 26" xfId="336" xr:uid="{00000000-0005-0000-0000-000050010000}"/>
    <cellStyle name="Normal 3 27" xfId="337" xr:uid="{00000000-0005-0000-0000-000051010000}"/>
    <cellStyle name="Normal 3 28" xfId="338" xr:uid="{00000000-0005-0000-0000-000052010000}"/>
    <cellStyle name="Normal 3 29" xfId="339" xr:uid="{00000000-0005-0000-0000-000053010000}"/>
    <cellStyle name="Normal 3 3" xfId="340" xr:uid="{00000000-0005-0000-0000-000054010000}"/>
    <cellStyle name="Normal 3 30" xfId="341" xr:uid="{00000000-0005-0000-0000-000055010000}"/>
    <cellStyle name="Normal 3 4" xfId="342" xr:uid="{00000000-0005-0000-0000-000056010000}"/>
    <cellStyle name="Normal 3 5" xfId="343" xr:uid="{00000000-0005-0000-0000-000057010000}"/>
    <cellStyle name="Normal 3 6" xfId="344" xr:uid="{00000000-0005-0000-0000-000058010000}"/>
    <cellStyle name="Normal 3 7" xfId="345" xr:uid="{00000000-0005-0000-0000-000059010000}"/>
    <cellStyle name="Normal 3 8" xfId="346" xr:uid="{00000000-0005-0000-0000-00005A010000}"/>
    <cellStyle name="Normal 3 9" xfId="347" xr:uid="{00000000-0005-0000-0000-00005B010000}"/>
    <cellStyle name="Normal 3_deposits mobilized" xfId="348" xr:uid="{00000000-0005-0000-0000-00005C010000}"/>
    <cellStyle name="Normal 4" xfId="349" xr:uid="{00000000-0005-0000-0000-00005D010000}"/>
    <cellStyle name="Normal 4 10" xfId="350" xr:uid="{00000000-0005-0000-0000-00005E010000}"/>
    <cellStyle name="Normal 4 11" xfId="351" xr:uid="{00000000-0005-0000-0000-00005F010000}"/>
    <cellStyle name="Normal 4 12" xfId="352" xr:uid="{00000000-0005-0000-0000-000060010000}"/>
    <cellStyle name="Normal 4 13" xfId="353" xr:uid="{00000000-0005-0000-0000-000061010000}"/>
    <cellStyle name="Normal 4 14" xfId="354" xr:uid="{00000000-0005-0000-0000-000062010000}"/>
    <cellStyle name="Normal 4 15" xfId="355" xr:uid="{00000000-0005-0000-0000-000063010000}"/>
    <cellStyle name="Normal 4 16" xfId="356" xr:uid="{00000000-0005-0000-0000-000064010000}"/>
    <cellStyle name="Normal 4 17" xfId="357" xr:uid="{00000000-0005-0000-0000-000065010000}"/>
    <cellStyle name="Normal 4 18" xfId="358" xr:uid="{00000000-0005-0000-0000-000066010000}"/>
    <cellStyle name="Normal 4 19" xfId="359" xr:uid="{00000000-0005-0000-0000-000067010000}"/>
    <cellStyle name="Normal 4 2" xfId="360" xr:uid="{00000000-0005-0000-0000-000068010000}"/>
    <cellStyle name="Normal 4 20" xfId="361" xr:uid="{00000000-0005-0000-0000-000069010000}"/>
    <cellStyle name="Normal 4 21" xfId="362" xr:uid="{00000000-0005-0000-0000-00006A010000}"/>
    <cellStyle name="Normal 4 22" xfId="363" xr:uid="{00000000-0005-0000-0000-00006B010000}"/>
    <cellStyle name="Normal 4 23" xfId="364" xr:uid="{00000000-0005-0000-0000-00006C010000}"/>
    <cellStyle name="Normal 4 24" xfId="365" xr:uid="{00000000-0005-0000-0000-00006D010000}"/>
    <cellStyle name="Normal 4 25" xfId="366" xr:uid="{00000000-0005-0000-0000-00006E010000}"/>
    <cellStyle name="Normal 4 26" xfId="367" xr:uid="{00000000-0005-0000-0000-00006F010000}"/>
    <cellStyle name="Normal 4 27" xfId="368" xr:uid="{00000000-0005-0000-0000-000070010000}"/>
    <cellStyle name="Normal 4 28" xfId="369" xr:uid="{00000000-0005-0000-0000-000071010000}"/>
    <cellStyle name="Normal 4 29" xfId="370" xr:uid="{00000000-0005-0000-0000-000072010000}"/>
    <cellStyle name="Normal 4 3" xfId="371" xr:uid="{00000000-0005-0000-0000-000073010000}"/>
    <cellStyle name="Normal 4 30" xfId="372" xr:uid="{00000000-0005-0000-0000-000074010000}"/>
    <cellStyle name="Normal 4 4" xfId="373" xr:uid="{00000000-0005-0000-0000-000075010000}"/>
    <cellStyle name="Normal 4 5" xfId="374" xr:uid="{00000000-0005-0000-0000-000076010000}"/>
    <cellStyle name="Normal 4 6" xfId="375" xr:uid="{00000000-0005-0000-0000-000077010000}"/>
    <cellStyle name="Normal 4 7" xfId="376" xr:uid="{00000000-0005-0000-0000-000078010000}"/>
    <cellStyle name="Normal 4 8" xfId="377" xr:uid="{00000000-0005-0000-0000-000079010000}"/>
    <cellStyle name="Normal 4 9" xfId="378" xr:uid="{00000000-0005-0000-0000-00007A010000}"/>
    <cellStyle name="Normal 5" xfId="379" xr:uid="{00000000-0005-0000-0000-00007B010000}"/>
    <cellStyle name="Normal 5 10" xfId="380" xr:uid="{00000000-0005-0000-0000-00007C010000}"/>
    <cellStyle name="Normal 5 11" xfId="381" xr:uid="{00000000-0005-0000-0000-00007D010000}"/>
    <cellStyle name="Normal 5 12" xfId="382" xr:uid="{00000000-0005-0000-0000-00007E010000}"/>
    <cellStyle name="Normal 5 13" xfId="383" xr:uid="{00000000-0005-0000-0000-00007F010000}"/>
    <cellStyle name="Normal 5 14" xfId="384" xr:uid="{00000000-0005-0000-0000-000080010000}"/>
    <cellStyle name="Normal 5 15" xfId="385" xr:uid="{00000000-0005-0000-0000-000081010000}"/>
    <cellStyle name="Normal 5 2" xfId="386" xr:uid="{00000000-0005-0000-0000-000082010000}"/>
    <cellStyle name="Normal 5 3" xfId="387" xr:uid="{00000000-0005-0000-0000-000083010000}"/>
    <cellStyle name="Normal 5 4" xfId="388" xr:uid="{00000000-0005-0000-0000-000084010000}"/>
    <cellStyle name="Normal 5 5" xfId="389" xr:uid="{00000000-0005-0000-0000-000085010000}"/>
    <cellStyle name="Normal 5 6" xfId="390" xr:uid="{00000000-0005-0000-0000-000086010000}"/>
    <cellStyle name="Normal 5 7" xfId="391" xr:uid="{00000000-0005-0000-0000-000087010000}"/>
    <cellStyle name="Normal 5 8" xfId="392" xr:uid="{00000000-0005-0000-0000-000088010000}"/>
    <cellStyle name="Normal 5 9" xfId="393" xr:uid="{00000000-0005-0000-0000-000089010000}"/>
    <cellStyle name="Normal 6" xfId="394" xr:uid="{00000000-0005-0000-0000-00008A010000}"/>
    <cellStyle name="Normal 6 2" xfId="395" xr:uid="{00000000-0005-0000-0000-00008B010000}"/>
    <cellStyle name="Normal 6 3" xfId="396" xr:uid="{00000000-0005-0000-0000-00008C010000}"/>
    <cellStyle name="Normal 6 4" xfId="397" xr:uid="{00000000-0005-0000-0000-00008D010000}"/>
    <cellStyle name="Normal 7" xfId="398" xr:uid="{00000000-0005-0000-0000-00008E010000}"/>
    <cellStyle name="Normal 7 2" xfId="399" xr:uid="{00000000-0005-0000-0000-00008F010000}"/>
    <cellStyle name="Normal 7 3" xfId="400" xr:uid="{00000000-0005-0000-0000-000090010000}"/>
    <cellStyle name="Normal 7 4" xfId="401" xr:uid="{00000000-0005-0000-0000-000091010000}"/>
    <cellStyle name="Normal 7 5" xfId="402" xr:uid="{00000000-0005-0000-0000-000092010000}"/>
    <cellStyle name="Normal 8" xfId="403" xr:uid="{00000000-0005-0000-0000-000093010000}"/>
    <cellStyle name="Normal 9" xfId="404" xr:uid="{00000000-0005-0000-0000-000094010000}"/>
    <cellStyle name="Normal 9 10" xfId="405" xr:uid="{00000000-0005-0000-0000-000095010000}"/>
    <cellStyle name="Normal 9 11" xfId="406" xr:uid="{00000000-0005-0000-0000-000096010000}"/>
    <cellStyle name="Normal 9 12" xfId="407" xr:uid="{00000000-0005-0000-0000-000097010000}"/>
    <cellStyle name="Normal 9 13" xfId="408" xr:uid="{00000000-0005-0000-0000-000098010000}"/>
    <cellStyle name="Normal 9 14" xfId="409" xr:uid="{00000000-0005-0000-0000-000099010000}"/>
    <cellStyle name="Normal 9 2" xfId="410" xr:uid="{00000000-0005-0000-0000-00009A010000}"/>
    <cellStyle name="Normal 9 2 2" xfId="411" xr:uid="{00000000-0005-0000-0000-00009B010000}"/>
    <cellStyle name="Normal 9 2 3" xfId="412" xr:uid="{00000000-0005-0000-0000-00009C010000}"/>
    <cellStyle name="Normal 9 2 4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 9" xfId="420" xr:uid="{00000000-0005-0000-0000-0000A4010000}"/>
    <cellStyle name="Note 2" xfId="421" xr:uid="{00000000-0005-0000-0000-0000A5010000}"/>
    <cellStyle name="Percent" xfId="422" builtinId="5"/>
    <cellStyle name="Percent 2" xfId="423" xr:uid="{00000000-0005-0000-0000-0000A7010000}"/>
    <cellStyle name="Percent 2 2" xfId="428" xr:uid="{B9778AB0-E04F-4CE7-A76C-70375C80AE08}"/>
    <cellStyle name="Percent 3" xfId="424" xr:uid="{00000000-0005-0000-0000-0000A8010000}"/>
    <cellStyle name="Total 2" xfId="425" xr:uid="{00000000-0005-0000-0000-0000A9010000}"/>
    <cellStyle name="Total 2 2" xfId="426" xr:uid="{00000000-0005-0000-0000-0000A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"/>
  <sheetViews>
    <sheetView zoomScale="80" zoomScaleNormal="80" workbookViewId="0">
      <pane xSplit="1" ySplit="3" topLeftCell="AT45" activePane="bottomRight" state="frozen"/>
      <selection pane="bottomRight" activeCell="AU50" sqref="AU50"/>
      <selection pane="bottomLeft" activeCell="A4" sqref="A4"/>
      <selection pane="topRight" activeCell="B1" sqref="B1"/>
    </sheetView>
  </sheetViews>
  <sheetFormatPr defaultRowHeight="14.45"/>
  <cols>
    <col min="1" max="1" width="40.85546875" customWidth="1"/>
    <col min="2" max="2" width="16.5703125" customWidth="1"/>
    <col min="3" max="10" width="14.85546875" hidden="1" customWidth="1"/>
    <col min="11" max="11" width="2.85546875" hidden="1" customWidth="1"/>
    <col min="12" max="12" width="19.42578125" customWidth="1"/>
    <col min="13" max="15" width="15.85546875" hidden="1" customWidth="1"/>
    <col min="16" max="16" width="16" hidden="1" customWidth="1"/>
    <col min="17" max="18" width="15.7109375" hidden="1" customWidth="1"/>
    <col min="19" max="19" width="16.5703125" hidden="1" customWidth="1"/>
    <col min="20" max="20" width="18.140625" hidden="1" customWidth="1"/>
    <col min="21" max="21" width="0" hidden="1" customWidth="1"/>
    <col min="22" max="22" width="11.140625" hidden="1" customWidth="1"/>
    <col min="23" max="23" width="12.28515625" hidden="1" customWidth="1"/>
    <col min="24" max="24" width="18.28515625" hidden="1" customWidth="1"/>
    <col min="25" max="25" width="16.85546875" customWidth="1"/>
    <col min="26" max="26" width="16.140625" hidden="1" customWidth="1"/>
    <col min="27" max="27" width="18.85546875" hidden="1" customWidth="1"/>
    <col min="28" max="31" width="14.85546875" hidden="1" customWidth="1"/>
    <col min="32" max="32" width="15.7109375" hidden="1" customWidth="1"/>
    <col min="33" max="33" width="14.85546875" hidden="1" customWidth="1"/>
    <col min="34" max="34" width="15.85546875" hidden="1" customWidth="1"/>
    <col min="35" max="35" width="15.28515625" hidden="1" customWidth="1"/>
    <col min="36" max="36" width="17.140625" hidden="1" customWidth="1"/>
    <col min="37" max="37" width="17.140625" customWidth="1"/>
    <col min="38" max="38" width="15.85546875" bestFit="1" customWidth="1"/>
    <col min="39" max="41" width="13" style="155" bestFit="1" customWidth="1"/>
    <col min="42" max="42" width="15.5703125" customWidth="1"/>
    <col min="43" max="43" width="15.42578125" customWidth="1"/>
    <col min="44" max="45" width="18.42578125" customWidth="1"/>
    <col min="46" max="46" width="17.28515625" customWidth="1"/>
    <col min="47" max="47" width="17" customWidth="1"/>
  </cols>
  <sheetData>
    <row r="1" spans="1:47" ht="15" customHeight="1">
      <c r="A1" s="22"/>
      <c r="B1" s="22"/>
    </row>
    <row r="3" spans="1:47" ht="15">
      <c r="A3" s="23"/>
      <c r="B3" s="24" t="s">
        <v>0</v>
      </c>
      <c r="C3" s="21">
        <v>43831</v>
      </c>
      <c r="D3" s="21">
        <v>43891</v>
      </c>
      <c r="E3" s="21">
        <v>43922</v>
      </c>
      <c r="F3" s="21">
        <v>43952</v>
      </c>
      <c r="G3" s="21">
        <v>43983</v>
      </c>
      <c r="H3" s="21">
        <v>44075</v>
      </c>
      <c r="I3" s="21">
        <v>44105</v>
      </c>
      <c r="J3" s="21">
        <v>44136</v>
      </c>
      <c r="K3" s="21">
        <v>44166</v>
      </c>
      <c r="L3" s="20" t="s">
        <v>1</v>
      </c>
      <c r="M3" s="3">
        <v>44197</v>
      </c>
      <c r="N3" s="3">
        <v>44228</v>
      </c>
      <c r="O3" s="3">
        <v>44256</v>
      </c>
      <c r="P3" s="3">
        <v>44287</v>
      </c>
      <c r="Q3" s="3">
        <v>44317</v>
      </c>
      <c r="R3" s="3">
        <v>44348</v>
      </c>
      <c r="S3" s="3">
        <v>44378</v>
      </c>
      <c r="T3" s="3">
        <v>44409</v>
      </c>
      <c r="U3" s="3">
        <v>44440</v>
      </c>
      <c r="V3" s="3">
        <v>44470</v>
      </c>
      <c r="W3" s="3">
        <v>44501</v>
      </c>
      <c r="X3" s="3">
        <v>44531</v>
      </c>
      <c r="Y3" s="7" t="s">
        <v>2</v>
      </c>
      <c r="Z3" s="3">
        <v>44562</v>
      </c>
      <c r="AA3" s="3">
        <v>44593</v>
      </c>
      <c r="AB3" s="3">
        <v>44621</v>
      </c>
      <c r="AC3" s="3">
        <v>44652</v>
      </c>
      <c r="AD3" s="3">
        <v>44682</v>
      </c>
      <c r="AE3" s="3">
        <v>44713</v>
      </c>
      <c r="AF3" s="3">
        <v>44743</v>
      </c>
      <c r="AG3" s="3">
        <v>44774</v>
      </c>
      <c r="AH3" s="3">
        <v>44805</v>
      </c>
      <c r="AI3" s="3">
        <v>44835</v>
      </c>
      <c r="AJ3" s="3">
        <v>44866</v>
      </c>
      <c r="AK3" s="3">
        <v>44896</v>
      </c>
      <c r="AL3" s="7" t="s">
        <v>3</v>
      </c>
      <c r="AM3" s="3">
        <v>44927</v>
      </c>
      <c r="AN3" s="3">
        <v>44958</v>
      </c>
      <c r="AO3" s="3">
        <v>44986</v>
      </c>
      <c r="AP3" s="3">
        <v>45017</v>
      </c>
      <c r="AQ3" s="3">
        <v>45047</v>
      </c>
      <c r="AR3" s="3">
        <v>45078</v>
      </c>
      <c r="AS3" s="3">
        <v>45108</v>
      </c>
      <c r="AT3" s="3">
        <v>45139</v>
      </c>
      <c r="AU3" s="3">
        <v>45170</v>
      </c>
    </row>
    <row r="4" spans="1:47" ht="15">
      <c r="A4" s="25" t="s">
        <v>4</v>
      </c>
      <c r="B4" s="34">
        <f t="shared" ref="B4:X4" si="0">SUM(B5:B6)</f>
        <v>175549981</v>
      </c>
      <c r="C4" s="34">
        <f t="shared" si="0"/>
        <v>115751396.73999999</v>
      </c>
      <c r="D4" s="34">
        <f t="shared" si="0"/>
        <v>125385395</v>
      </c>
      <c r="E4" s="34">
        <f t="shared" si="0"/>
        <v>117909598.55</v>
      </c>
      <c r="F4" s="34">
        <f t="shared" si="0"/>
        <v>126001573</v>
      </c>
      <c r="G4" s="34">
        <f t="shared" si="0"/>
        <v>148703736</v>
      </c>
      <c r="H4" s="34">
        <f t="shared" si="0"/>
        <v>129215677.08</v>
      </c>
      <c r="I4" s="34">
        <f t="shared" si="0"/>
        <v>123383188.86</v>
      </c>
      <c r="J4" s="34">
        <f t="shared" si="0"/>
        <v>123574419.27</v>
      </c>
      <c r="K4" s="34">
        <f t="shared" si="0"/>
        <v>124951123.12</v>
      </c>
      <c r="L4" s="34">
        <f t="shared" si="0"/>
        <v>180207306.65000001</v>
      </c>
      <c r="M4" s="34">
        <f t="shared" si="0"/>
        <v>113380000.81</v>
      </c>
      <c r="N4" s="34">
        <f t="shared" si="0"/>
        <v>117700293.39</v>
      </c>
      <c r="O4" s="34">
        <f t="shared" si="0"/>
        <v>107567925.48999999</v>
      </c>
      <c r="P4" s="34">
        <f t="shared" si="0"/>
        <v>102081680.03</v>
      </c>
      <c r="Q4" s="34">
        <f t="shared" si="0"/>
        <v>93998060.420000002</v>
      </c>
      <c r="R4" s="34">
        <f t="shared" si="0"/>
        <v>97799200.420000002</v>
      </c>
      <c r="S4" s="34">
        <f t="shared" si="0"/>
        <v>104658680.17</v>
      </c>
      <c r="T4" s="34">
        <f t="shared" si="0"/>
        <v>114439462.09999999</v>
      </c>
      <c r="U4" s="34">
        <f t="shared" si="0"/>
        <v>124488065.14</v>
      </c>
      <c r="V4" s="34">
        <f t="shared" si="0"/>
        <v>121210120.95999999</v>
      </c>
      <c r="W4" s="34">
        <f t="shared" si="0"/>
        <v>127911078.25</v>
      </c>
      <c r="X4" s="34">
        <f t="shared" si="0"/>
        <v>131699086.39</v>
      </c>
      <c r="Y4" s="34">
        <f t="shared" ref="Y4:AA4" si="1">SUM(Y5:Y6)</f>
        <v>189916385</v>
      </c>
      <c r="Z4" s="34">
        <f t="shared" si="1"/>
        <v>145233620.82999998</v>
      </c>
      <c r="AA4" s="34">
        <f t="shared" si="1"/>
        <v>148036766.88</v>
      </c>
      <c r="AB4" s="34">
        <f t="shared" ref="AB4:AU4" si="2">SUM(AB5:AB6)</f>
        <v>128826187.77</v>
      </c>
      <c r="AC4" s="34">
        <f t="shared" si="2"/>
        <v>102496959.93000001</v>
      </c>
      <c r="AD4" s="34">
        <f t="shared" si="2"/>
        <v>105764459.33</v>
      </c>
      <c r="AE4" s="34">
        <f t="shared" si="2"/>
        <v>135051210.09</v>
      </c>
      <c r="AF4" s="34">
        <f t="shared" si="2"/>
        <v>111356071.23</v>
      </c>
      <c r="AG4" s="34">
        <f t="shared" si="2"/>
        <v>112347474.63</v>
      </c>
      <c r="AH4" s="153">
        <f t="shared" si="2"/>
        <v>112587642.13</v>
      </c>
      <c r="AI4" s="149">
        <f t="shared" si="2"/>
        <v>123408344.5</v>
      </c>
      <c r="AJ4" s="149">
        <f t="shared" si="2"/>
        <v>132027237.38</v>
      </c>
      <c r="AK4" s="149">
        <f t="shared" si="2"/>
        <v>139601604.06999999</v>
      </c>
      <c r="AL4" s="149">
        <f t="shared" si="2"/>
        <v>202509002</v>
      </c>
      <c r="AM4" s="152">
        <f t="shared" si="2"/>
        <v>126086044.84</v>
      </c>
      <c r="AN4" s="152">
        <f t="shared" si="2"/>
        <v>127217588.65000001</v>
      </c>
      <c r="AO4" s="152">
        <f t="shared" si="2"/>
        <v>113946760.23</v>
      </c>
      <c r="AP4" s="149">
        <f t="shared" si="2"/>
        <v>91457057.100000009</v>
      </c>
      <c r="AQ4" s="149">
        <f t="shared" si="2"/>
        <v>87076876.060000002</v>
      </c>
      <c r="AR4" s="149">
        <f t="shared" si="2"/>
        <v>105733529.56</v>
      </c>
      <c r="AS4" s="149">
        <f t="shared" si="2"/>
        <v>94209595.079999998</v>
      </c>
      <c r="AT4" s="149">
        <f t="shared" si="2"/>
        <v>90893326.219999999</v>
      </c>
      <c r="AU4" s="149">
        <f t="shared" si="2"/>
        <v>79311802.349999994</v>
      </c>
    </row>
    <row r="5" spans="1:47" ht="14.25">
      <c r="A5" s="26" t="s">
        <v>5</v>
      </c>
      <c r="B5" s="27">
        <v>8591212</v>
      </c>
      <c r="C5" s="99">
        <v>17832611.739999998</v>
      </c>
      <c r="D5" s="99">
        <v>15586292</v>
      </c>
      <c r="E5" s="99">
        <v>15056377</v>
      </c>
      <c r="F5" s="99">
        <v>12355166</v>
      </c>
      <c r="G5" s="99">
        <v>10652458</v>
      </c>
      <c r="H5" s="99">
        <v>14669693.390000001</v>
      </c>
      <c r="I5" s="99">
        <v>16702119.390000001</v>
      </c>
      <c r="J5" s="99">
        <v>13350145.390000001</v>
      </c>
      <c r="K5" s="99">
        <v>9681170.3900000006</v>
      </c>
      <c r="L5" s="48">
        <v>6227987</v>
      </c>
      <c r="M5" s="47">
        <v>13331270.390000001</v>
      </c>
      <c r="N5" s="47">
        <v>15844732.390000001</v>
      </c>
      <c r="O5" s="47">
        <v>11710705.390000001</v>
      </c>
      <c r="P5" s="102">
        <v>12317590.390000001</v>
      </c>
      <c r="Q5" s="103">
        <v>17336531.390000001</v>
      </c>
      <c r="R5" s="103">
        <v>16573995.390000001</v>
      </c>
      <c r="S5" s="103">
        <v>13036614.390000001</v>
      </c>
      <c r="T5" s="103">
        <v>19169044.390000001</v>
      </c>
      <c r="U5" s="113">
        <v>18630358.390000001</v>
      </c>
      <c r="V5" s="113">
        <v>21827599.390000001</v>
      </c>
      <c r="W5" s="113">
        <v>13262105.390000001</v>
      </c>
      <c r="X5" s="8">
        <v>16753691.390000001</v>
      </c>
      <c r="Y5" s="113">
        <v>9062258</v>
      </c>
      <c r="Z5" s="120">
        <v>14111195.390000001</v>
      </c>
      <c r="AA5" s="120">
        <v>19339799.390000001</v>
      </c>
      <c r="AB5" s="120">
        <v>15725381.390000001</v>
      </c>
      <c r="AC5" s="120">
        <v>9274176.3900000006</v>
      </c>
      <c r="AD5" s="120">
        <v>12990645.390000001</v>
      </c>
      <c r="AE5" s="120">
        <v>12403405.390000001</v>
      </c>
      <c r="AF5" s="8">
        <v>12499839.390000001</v>
      </c>
      <c r="AG5" s="113">
        <v>15903644.390000001</v>
      </c>
      <c r="AH5" s="8">
        <v>15952756.390000001</v>
      </c>
      <c r="AI5" s="150">
        <v>22610230.390000001</v>
      </c>
      <c r="AJ5" s="151">
        <v>19019582.390000001</v>
      </c>
      <c r="AK5" s="150">
        <v>17040235.32</v>
      </c>
      <c r="AL5" s="162">
        <v>10576584</v>
      </c>
      <c r="AM5" s="155">
        <v>16438713.390000001</v>
      </c>
      <c r="AN5" s="155">
        <v>16148057.390000001</v>
      </c>
      <c r="AO5" s="155">
        <v>10043356.390000001</v>
      </c>
      <c r="AP5" s="222">
        <v>13390028.810000001</v>
      </c>
      <c r="AQ5" s="224">
        <v>17560632.260000002</v>
      </c>
      <c r="AR5" s="222">
        <v>15457613.390000001</v>
      </c>
      <c r="AS5" s="222">
        <v>12803728.199999999</v>
      </c>
      <c r="AT5" s="222">
        <v>16200090.199999999</v>
      </c>
      <c r="AU5" s="268">
        <v>13812725</v>
      </c>
    </row>
    <row r="6" spans="1:47" ht="14.25">
      <c r="A6" s="26" t="s">
        <v>6</v>
      </c>
      <c r="B6" s="27">
        <v>166958769</v>
      </c>
      <c r="C6" s="99">
        <v>97918785</v>
      </c>
      <c r="D6" s="99">
        <v>109799103</v>
      </c>
      <c r="E6" s="99">
        <v>102853221.55</v>
      </c>
      <c r="F6" s="99">
        <v>113646407</v>
      </c>
      <c r="G6" s="99">
        <v>138051278</v>
      </c>
      <c r="H6" s="99">
        <v>114545983.69</v>
      </c>
      <c r="I6" s="99">
        <v>106681069.47</v>
      </c>
      <c r="J6" s="99">
        <v>110224273.88</v>
      </c>
      <c r="K6" s="99">
        <v>115269952.73</v>
      </c>
      <c r="L6" s="48">
        <v>173979319.65000001</v>
      </c>
      <c r="M6" s="47">
        <v>100048730.42</v>
      </c>
      <c r="N6" s="47">
        <v>101855561</v>
      </c>
      <c r="O6" s="47">
        <v>95857220.099999994</v>
      </c>
      <c r="P6" s="105">
        <v>89764089.640000001</v>
      </c>
      <c r="Q6" s="107">
        <v>76661529.030000001</v>
      </c>
      <c r="R6" s="107">
        <v>81225205.030000001</v>
      </c>
      <c r="S6" s="107">
        <v>91622065.780000001</v>
      </c>
      <c r="T6" s="107">
        <v>95270417.709999993</v>
      </c>
      <c r="U6" s="113">
        <v>105857706.75</v>
      </c>
      <c r="V6" s="113">
        <v>99382521.569999993</v>
      </c>
      <c r="W6" s="113">
        <v>114648972.86</v>
      </c>
      <c r="X6" s="8">
        <v>114945395</v>
      </c>
      <c r="Y6" s="113">
        <v>180854127</v>
      </c>
      <c r="Z6" s="120">
        <v>131122425.44</v>
      </c>
      <c r="AA6" s="120">
        <v>128696967.48999999</v>
      </c>
      <c r="AB6" s="120">
        <v>113100806.38</v>
      </c>
      <c r="AC6" s="120">
        <v>93222783.540000007</v>
      </c>
      <c r="AD6" s="120">
        <v>92773813.939999998</v>
      </c>
      <c r="AE6" s="120">
        <v>122647804.7</v>
      </c>
      <c r="AF6" s="8">
        <v>98856231.840000004</v>
      </c>
      <c r="AG6" s="113">
        <v>96443830.239999995</v>
      </c>
      <c r="AH6" s="8">
        <v>96634885.739999995</v>
      </c>
      <c r="AI6" s="150">
        <v>100798114.11</v>
      </c>
      <c r="AJ6" s="151">
        <v>113007654.98999999</v>
      </c>
      <c r="AK6" s="150">
        <v>122561368.75</v>
      </c>
      <c r="AL6" s="162">
        <f>186297973+5634445</f>
        <v>191932418</v>
      </c>
      <c r="AM6" s="155">
        <v>109647331.45</v>
      </c>
      <c r="AN6" s="155">
        <v>111069531.26000001</v>
      </c>
      <c r="AO6" s="155">
        <v>103903403.84</v>
      </c>
      <c r="AP6" s="226">
        <v>78067028.290000007</v>
      </c>
      <c r="AQ6" s="228">
        <v>69516243.799999997</v>
      </c>
      <c r="AR6" s="226">
        <v>90275916.170000002</v>
      </c>
      <c r="AS6" s="226">
        <v>81405866.879999995</v>
      </c>
      <c r="AT6" s="226">
        <v>74693236.019999996</v>
      </c>
      <c r="AU6" s="270">
        <v>65499077.350000001</v>
      </c>
    </row>
    <row r="7" spans="1:47" s="7" customFormat="1" ht="14.25">
      <c r="A7" s="25" t="s">
        <v>7</v>
      </c>
      <c r="B7" s="28">
        <v>30658423</v>
      </c>
      <c r="C7" s="100">
        <v>49059836.920000002</v>
      </c>
      <c r="D7" s="100">
        <v>53633770.530000001</v>
      </c>
      <c r="E7" s="100">
        <v>55448583.090000004</v>
      </c>
      <c r="F7" s="100">
        <v>56053750.390000001</v>
      </c>
      <c r="G7" s="100">
        <v>37613574.539999999</v>
      </c>
      <c r="H7" s="100">
        <v>50010771.390000001</v>
      </c>
      <c r="I7" s="100">
        <v>50209893.590000004</v>
      </c>
      <c r="J7" s="100">
        <v>51738791.240000002</v>
      </c>
      <c r="K7" s="100">
        <v>46830376.68</v>
      </c>
      <c r="L7" s="49">
        <v>50040207</v>
      </c>
      <c r="M7" s="98">
        <v>53438434.439999998</v>
      </c>
      <c r="N7" s="98">
        <v>54872394.25</v>
      </c>
      <c r="O7" s="98">
        <v>56410639.759999998</v>
      </c>
      <c r="P7" s="105">
        <v>49352949.109999999</v>
      </c>
      <c r="Q7" s="107">
        <v>58299742.039999999</v>
      </c>
      <c r="R7" s="107">
        <v>56254662.140000001</v>
      </c>
      <c r="S7" s="107">
        <v>66279486.880000003</v>
      </c>
      <c r="T7" s="107">
        <v>70186679.780000001</v>
      </c>
      <c r="U7" s="114">
        <v>67762721.180000007</v>
      </c>
      <c r="V7" s="114">
        <v>73793352.030000001</v>
      </c>
      <c r="W7" s="114">
        <v>75645352.450000003</v>
      </c>
      <c r="X7" s="115">
        <v>78688571.099999994</v>
      </c>
      <c r="Y7" s="114">
        <v>67454300.599999994</v>
      </c>
      <c r="Z7" s="120">
        <v>73311974.599999994</v>
      </c>
      <c r="AA7" s="98">
        <v>77422792.450000003</v>
      </c>
      <c r="AB7" s="120">
        <v>76487391.049999997</v>
      </c>
      <c r="AC7" s="98">
        <v>76030075.799999997</v>
      </c>
      <c r="AD7" s="120">
        <v>69064605.150000006</v>
      </c>
      <c r="AE7" s="98">
        <v>55974275.649999999</v>
      </c>
      <c r="AF7" s="8">
        <v>71472081</v>
      </c>
      <c r="AG7" s="114">
        <v>78914063.049999997</v>
      </c>
      <c r="AH7" s="8">
        <v>74315449.730000004</v>
      </c>
      <c r="AI7" s="150">
        <v>76980172.530000001</v>
      </c>
      <c r="AJ7" s="151">
        <v>71098042.659999996</v>
      </c>
      <c r="AK7" s="150">
        <v>75085841.829999998</v>
      </c>
      <c r="AL7" s="116">
        <f>875745+75586335.24</f>
        <v>76462080.239999995</v>
      </c>
      <c r="AM7" s="220">
        <v>79871425.349999994</v>
      </c>
      <c r="AN7" s="220">
        <v>78773193.219999999</v>
      </c>
      <c r="AO7" s="220">
        <v>78872339.659999996</v>
      </c>
      <c r="AP7" s="226">
        <v>67739110.900000006</v>
      </c>
      <c r="AQ7" s="228">
        <v>81463014.510000005</v>
      </c>
      <c r="AR7" s="226">
        <v>62101769.609999999</v>
      </c>
      <c r="AS7" s="226">
        <v>80672121.819999993</v>
      </c>
      <c r="AT7" s="226">
        <v>84631843.319999993</v>
      </c>
      <c r="AU7" s="270">
        <v>85004676.140000001</v>
      </c>
    </row>
    <row r="8" spans="1:47" ht="15">
      <c r="A8" s="25" t="s">
        <v>8</v>
      </c>
      <c r="B8" s="34">
        <f t="shared" ref="B8:X8" si="3">SUM(B9:B12)</f>
        <v>9221631</v>
      </c>
      <c r="C8" s="34">
        <f t="shared" si="3"/>
        <v>57779478</v>
      </c>
      <c r="D8" s="34">
        <f t="shared" si="3"/>
        <v>58489478</v>
      </c>
      <c r="E8" s="34">
        <f t="shared" si="3"/>
        <v>59744505</v>
      </c>
      <c r="F8" s="34">
        <f t="shared" si="3"/>
        <v>60099478</v>
      </c>
      <c r="G8" s="34">
        <f t="shared" si="3"/>
        <v>60454478</v>
      </c>
      <c r="H8" s="34">
        <f t="shared" si="3"/>
        <v>61519478.299999997</v>
      </c>
      <c r="I8" s="34">
        <f t="shared" si="3"/>
        <v>62774478.299999997</v>
      </c>
      <c r="J8" s="34">
        <f t="shared" si="3"/>
        <v>63729478.299999997</v>
      </c>
      <c r="K8" s="34">
        <f t="shared" si="3"/>
        <v>65813989.219999999</v>
      </c>
      <c r="L8" s="34">
        <f t="shared" si="3"/>
        <v>9317364</v>
      </c>
      <c r="M8" s="34">
        <f t="shared" si="3"/>
        <v>66168989.219999999</v>
      </c>
      <c r="N8" s="34">
        <f t="shared" si="3"/>
        <v>66523989.049999997</v>
      </c>
      <c r="O8" s="34">
        <f t="shared" si="3"/>
        <v>66878989.219999999</v>
      </c>
      <c r="P8" s="34">
        <f t="shared" si="3"/>
        <v>67233989.219999999</v>
      </c>
      <c r="Q8" s="34">
        <f t="shared" si="3"/>
        <v>67588989.219999999</v>
      </c>
      <c r="R8" s="34">
        <f t="shared" si="3"/>
        <v>67943989.219999999</v>
      </c>
      <c r="S8" s="34">
        <f t="shared" si="3"/>
        <v>65663928.57</v>
      </c>
      <c r="T8" s="34">
        <f t="shared" si="3"/>
        <v>66018928.57</v>
      </c>
      <c r="U8" s="34">
        <f t="shared" si="3"/>
        <v>66373928.57</v>
      </c>
      <c r="V8" s="34">
        <f t="shared" si="3"/>
        <v>66728928.57</v>
      </c>
      <c r="W8" s="34">
        <f t="shared" si="3"/>
        <v>67083928.57</v>
      </c>
      <c r="X8" s="34">
        <f t="shared" si="3"/>
        <v>67438928.569999993</v>
      </c>
      <c r="Y8" s="34">
        <f t="shared" ref="Y8:AA8" si="4">SUM(Y9:Y12)</f>
        <v>9221631</v>
      </c>
      <c r="Z8" s="34">
        <f t="shared" si="4"/>
        <v>67793928.569999993</v>
      </c>
      <c r="AA8" s="34">
        <f t="shared" si="4"/>
        <v>68148928.569999993</v>
      </c>
      <c r="AB8" s="34">
        <f t="shared" ref="AB8:AK8" si="5">SUM(AB9:AB12)</f>
        <v>68933928.569999993</v>
      </c>
      <c r="AC8" s="34">
        <f t="shared" si="5"/>
        <v>69288928.569999993</v>
      </c>
      <c r="AD8" s="34">
        <f t="shared" si="5"/>
        <v>69643928.569999993</v>
      </c>
      <c r="AE8" s="34">
        <f t="shared" si="5"/>
        <v>69998928.569999993</v>
      </c>
      <c r="AF8" s="34">
        <f t="shared" si="5"/>
        <v>70353928.569999993</v>
      </c>
      <c r="AG8" s="34">
        <f t="shared" si="5"/>
        <v>70708928.569999993</v>
      </c>
      <c r="AH8" s="153">
        <f t="shared" si="5"/>
        <v>71063928.569999993</v>
      </c>
      <c r="AI8" s="149">
        <f t="shared" si="5"/>
        <v>71418928.569999993</v>
      </c>
      <c r="AJ8" s="149">
        <f t="shared" si="5"/>
        <v>71773928.569999993</v>
      </c>
      <c r="AK8" s="149">
        <f t="shared" si="5"/>
        <v>72128928.569999993</v>
      </c>
      <c r="AL8" s="149">
        <f t="shared" ref="AL8:AU8" si="6">SUM(AL9:AL12)</f>
        <v>9221631</v>
      </c>
      <c r="AM8" s="152">
        <f t="shared" si="6"/>
        <v>72483928.569999993</v>
      </c>
      <c r="AN8" s="152">
        <f t="shared" si="6"/>
        <v>72838928.569999993</v>
      </c>
      <c r="AO8" s="152">
        <f t="shared" si="6"/>
        <v>73193928.569999993</v>
      </c>
      <c r="AP8" s="149">
        <f t="shared" si="6"/>
        <v>73548928.569999993</v>
      </c>
      <c r="AQ8" s="149">
        <f t="shared" si="6"/>
        <v>73903928.569999993</v>
      </c>
      <c r="AR8" s="149">
        <f t="shared" si="6"/>
        <v>74258928.569999993</v>
      </c>
      <c r="AS8" s="149">
        <f t="shared" si="6"/>
        <v>74613928.569999993</v>
      </c>
      <c r="AT8" s="149">
        <f t="shared" si="6"/>
        <v>74968928.569999993</v>
      </c>
      <c r="AU8" s="149">
        <f t="shared" si="6"/>
        <v>75323928.569999993</v>
      </c>
    </row>
    <row r="9" spans="1:47" ht="14.25">
      <c r="A9" s="26" t="s">
        <v>9</v>
      </c>
      <c r="B9" s="27"/>
      <c r="C9" s="99">
        <v>0</v>
      </c>
      <c r="D9" s="99">
        <v>0</v>
      </c>
      <c r="E9" s="99">
        <v>0</v>
      </c>
      <c r="F9" s="99">
        <v>0</v>
      </c>
      <c r="G9" s="99">
        <v>0</v>
      </c>
      <c r="H9" s="99">
        <v>0</v>
      </c>
      <c r="I9" s="99">
        <v>0</v>
      </c>
      <c r="J9" s="99">
        <v>0</v>
      </c>
      <c r="K9" s="99">
        <v>0</v>
      </c>
      <c r="L9" s="48"/>
      <c r="M9" s="47">
        <v>0</v>
      </c>
      <c r="N9" s="47">
        <v>0</v>
      </c>
      <c r="O9" s="47">
        <v>0</v>
      </c>
      <c r="P9" s="104">
        <v>0</v>
      </c>
      <c r="Q9" s="106">
        <v>0</v>
      </c>
      <c r="R9" s="106">
        <v>0</v>
      </c>
      <c r="S9" s="106">
        <v>0</v>
      </c>
      <c r="T9" s="106">
        <v>0</v>
      </c>
      <c r="U9">
        <v>0</v>
      </c>
      <c r="V9">
        <v>0</v>
      </c>
      <c r="W9">
        <v>0</v>
      </c>
      <c r="X9" s="8">
        <v>0</v>
      </c>
      <c r="Z9" s="120">
        <v>0</v>
      </c>
      <c r="AA9" s="120">
        <v>0</v>
      </c>
      <c r="AB9" s="120">
        <v>0</v>
      </c>
      <c r="AC9" s="120">
        <v>0</v>
      </c>
      <c r="AD9" s="120">
        <v>0</v>
      </c>
      <c r="AE9" s="120">
        <v>0</v>
      </c>
      <c r="AF9" s="8">
        <v>0</v>
      </c>
      <c r="AG9">
        <v>0</v>
      </c>
      <c r="AH9" s="8">
        <v>0</v>
      </c>
      <c r="AI9" s="151">
        <v>0</v>
      </c>
      <c r="AJ9" s="151">
        <v>0</v>
      </c>
      <c r="AK9" s="151">
        <v>0</v>
      </c>
      <c r="AL9" s="162"/>
      <c r="AM9" s="155">
        <v>0</v>
      </c>
      <c r="AN9" s="155">
        <v>0</v>
      </c>
      <c r="AO9" s="155">
        <v>0</v>
      </c>
      <c r="AP9" s="221">
        <v>0</v>
      </c>
      <c r="AQ9" s="223">
        <v>0</v>
      </c>
      <c r="AR9" s="221">
        <v>0</v>
      </c>
      <c r="AS9" s="221">
        <v>0</v>
      </c>
      <c r="AT9" s="221">
        <v>0</v>
      </c>
      <c r="AU9" s="267">
        <v>0</v>
      </c>
    </row>
    <row r="10" spans="1:47" ht="14.25">
      <c r="A10" s="26" t="s">
        <v>10</v>
      </c>
      <c r="B10" s="27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48"/>
      <c r="M10" s="47">
        <v>0</v>
      </c>
      <c r="N10" s="47">
        <v>0</v>
      </c>
      <c r="O10" s="47">
        <v>0</v>
      </c>
      <c r="P10" s="104">
        <v>0</v>
      </c>
      <c r="Q10" s="106">
        <v>0</v>
      </c>
      <c r="R10" s="106">
        <v>0</v>
      </c>
      <c r="S10" s="106">
        <v>0</v>
      </c>
      <c r="T10" s="106">
        <v>0</v>
      </c>
      <c r="U10">
        <v>0</v>
      </c>
      <c r="V10">
        <v>0</v>
      </c>
      <c r="W10">
        <v>0</v>
      </c>
      <c r="X10" s="8">
        <v>0</v>
      </c>
      <c r="Z10" s="120">
        <v>0</v>
      </c>
      <c r="AA10" s="120">
        <v>0</v>
      </c>
      <c r="AB10" s="120">
        <v>0</v>
      </c>
      <c r="AC10" s="120">
        <v>0</v>
      </c>
      <c r="AD10" s="120">
        <v>0</v>
      </c>
      <c r="AE10" s="120">
        <v>0</v>
      </c>
      <c r="AF10" s="8">
        <v>0</v>
      </c>
      <c r="AG10">
        <v>0</v>
      </c>
      <c r="AH10" s="8">
        <v>0</v>
      </c>
      <c r="AI10" s="151">
        <v>0</v>
      </c>
      <c r="AJ10" s="151">
        <v>0</v>
      </c>
      <c r="AK10" s="151">
        <v>0</v>
      </c>
      <c r="AL10" s="162"/>
      <c r="AM10" s="155">
        <v>0</v>
      </c>
      <c r="AN10" s="155">
        <v>0</v>
      </c>
      <c r="AO10" s="155">
        <v>0</v>
      </c>
      <c r="AP10" s="225">
        <v>0</v>
      </c>
      <c r="AQ10" s="227">
        <v>0</v>
      </c>
      <c r="AR10" s="225">
        <v>0</v>
      </c>
      <c r="AS10" s="225">
        <v>0</v>
      </c>
      <c r="AT10" s="225">
        <v>0</v>
      </c>
      <c r="AU10" s="269">
        <v>0</v>
      </c>
    </row>
    <row r="11" spans="1:47" ht="14.25">
      <c r="A11" s="26" t="s">
        <v>11</v>
      </c>
      <c r="B11" s="27">
        <v>9221631</v>
      </c>
      <c r="C11" s="99">
        <v>48557847</v>
      </c>
      <c r="D11" s="99">
        <v>49267847</v>
      </c>
      <c r="E11" s="99">
        <v>50522874</v>
      </c>
      <c r="F11" s="99">
        <v>50877847</v>
      </c>
      <c r="G11" s="99">
        <v>51232847</v>
      </c>
      <c r="H11" s="99">
        <v>52297847</v>
      </c>
      <c r="I11" s="99">
        <v>53552847</v>
      </c>
      <c r="J11" s="99">
        <v>54507847</v>
      </c>
      <c r="K11" s="99">
        <v>56592358.219999999</v>
      </c>
      <c r="L11" s="48">
        <v>9317364</v>
      </c>
      <c r="M11" s="47">
        <v>56947358.219999999</v>
      </c>
      <c r="N11" s="47">
        <v>57302358.049999997</v>
      </c>
      <c r="O11" s="47">
        <v>57657358.219999999</v>
      </c>
      <c r="P11" s="105">
        <v>58012358.219999999</v>
      </c>
      <c r="Q11" s="107">
        <v>58367358.219999999</v>
      </c>
      <c r="R11" s="107">
        <v>58722358.219999999</v>
      </c>
      <c r="S11" s="107">
        <v>56442297.57</v>
      </c>
      <c r="T11" s="107">
        <v>56797297.57</v>
      </c>
      <c r="U11" s="113">
        <v>57152297.57</v>
      </c>
      <c r="V11" s="113">
        <v>57507297.57</v>
      </c>
      <c r="W11" s="113">
        <v>57862297.57</v>
      </c>
      <c r="X11" s="8">
        <v>58217297.57</v>
      </c>
      <c r="Y11" s="113">
        <v>9150631</v>
      </c>
      <c r="Z11" s="120">
        <v>58572297.57</v>
      </c>
      <c r="AA11" s="120">
        <v>58927297.57</v>
      </c>
      <c r="AB11" s="120">
        <v>59712297.57</v>
      </c>
      <c r="AC11" s="120">
        <v>60067297.57</v>
      </c>
      <c r="AD11" s="120">
        <v>60422297.57</v>
      </c>
      <c r="AE11" s="120">
        <v>60777297.57</v>
      </c>
      <c r="AF11" s="8">
        <v>61132297.57</v>
      </c>
      <c r="AG11" s="113">
        <v>61487297.57</v>
      </c>
      <c r="AH11" s="8">
        <v>61842297.57</v>
      </c>
      <c r="AI11" s="151">
        <v>62197297.57</v>
      </c>
      <c r="AJ11" s="151">
        <v>62552297.57</v>
      </c>
      <c r="AK11" s="151">
        <v>62907297.57</v>
      </c>
      <c r="AL11" s="162">
        <f>203767+307580+8639284+41000</f>
        <v>9191631</v>
      </c>
      <c r="AM11" s="155">
        <v>63262297.57</v>
      </c>
      <c r="AN11" s="155">
        <v>63617297.57</v>
      </c>
      <c r="AO11" s="155">
        <v>63972297.57</v>
      </c>
      <c r="AP11" s="226">
        <v>64327297.57</v>
      </c>
      <c r="AQ11" s="228">
        <v>64682297.57</v>
      </c>
      <c r="AR11" s="226">
        <v>65037297.57</v>
      </c>
      <c r="AS11" s="226">
        <v>65392297.57</v>
      </c>
      <c r="AT11" s="226">
        <v>65747297.57</v>
      </c>
      <c r="AU11" s="270">
        <v>66102297.57</v>
      </c>
    </row>
    <row r="12" spans="1:47" ht="14.25">
      <c r="A12" s="26" t="s">
        <v>12</v>
      </c>
      <c r="B12" s="27"/>
      <c r="C12" s="99">
        <v>9221631</v>
      </c>
      <c r="D12" s="99">
        <v>9221631</v>
      </c>
      <c r="E12" s="99">
        <v>9221631</v>
      </c>
      <c r="F12" s="99">
        <v>9221631</v>
      </c>
      <c r="G12" s="99">
        <v>9221631</v>
      </c>
      <c r="H12" s="99">
        <v>9221631.3000000007</v>
      </c>
      <c r="I12" s="99">
        <v>9221631.3000000007</v>
      </c>
      <c r="J12" s="99">
        <v>9221631.3000000007</v>
      </c>
      <c r="K12" s="99">
        <v>9221631</v>
      </c>
      <c r="L12" s="48"/>
      <c r="M12" s="47">
        <v>9221631</v>
      </c>
      <c r="N12" s="47">
        <v>9221631</v>
      </c>
      <c r="O12" s="47">
        <v>9221631</v>
      </c>
      <c r="P12" s="105">
        <v>9221631</v>
      </c>
      <c r="Q12" s="107">
        <v>9221631</v>
      </c>
      <c r="R12" s="107">
        <v>9221631</v>
      </c>
      <c r="S12" s="107">
        <v>9221631</v>
      </c>
      <c r="T12" s="107">
        <v>9221631</v>
      </c>
      <c r="U12" s="113">
        <v>9221631</v>
      </c>
      <c r="V12" s="113">
        <v>9221631</v>
      </c>
      <c r="W12" s="113">
        <v>9221631</v>
      </c>
      <c r="X12" s="8">
        <v>9221631</v>
      </c>
      <c r="Y12" s="113">
        <v>71000</v>
      </c>
      <c r="Z12" s="120">
        <v>9221631</v>
      </c>
      <c r="AA12" s="120">
        <v>9221631</v>
      </c>
      <c r="AB12" s="120">
        <v>9221631</v>
      </c>
      <c r="AC12" s="120">
        <v>9221631</v>
      </c>
      <c r="AD12" s="120">
        <v>9221631</v>
      </c>
      <c r="AE12" s="120">
        <v>9221631</v>
      </c>
      <c r="AF12" s="8">
        <v>9221631</v>
      </c>
      <c r="AG12" s="113">
        <v>9221631</v>
      </c>
      <c r="AH12" s="8">
        <v>9221631</v>
      </c>
      <c r="AI12" s="151">
        <v>9221631</v>
      </c>
      <c r="AJ12" s="151">
        <v>9221631</v>
      </c>
      <c r="AK12" s="151">
        <v>9221631</v>
      </c>
      <c r="AL12" s="162">
        <v>30000</v>
      </c>
      <c r="AM12" s="155">
        <v>9221631</v>
      </c>
      <c r="AN12" s="155">
        <v>9221631</v>
      </c>
      <c r="AO12" s="155">
        <v>9221631</v>
      </c>
      <c r="AP12" s="226">
        <v>9221631</v>
      </c>
      <c r="AQ12" s="228">
        <v>9221631</v>
      </c>
      <c r="AR12" s="226">
        <v>9221631</v>
      </c>
      <c r="AS12" s="226">
        <v>9221631</v>
      </c>
      <c r="AT12" s="226">
        <v>9221631</v>
      </c>
      <c r="AU12" s="270">
        <v>9221631</v>
      </c>
    </row>
    <row r="13" spans="1:47" ht="15">
      <c r="A13" s="25" t="s">
        <v>13</v>
      </c>
      <c r="B13" s="34">
        <f t="shared" ref="B13:X13" si="7">B14-B15</f>
        <v>360423402</v>
      </c>
      <c r="C13" s="34">
        <f t="shared" si="7"/>
        <v>357571311.06999999</v>
      </c>
      <c r="D13" s="34">
        <f t="shared" si="7"/>
        <v>347001111.19999999</v>
      </c>
      <c r="E13" s="34">
        <f t="shared" si="7"/>
        <v>340745739</v>
      </c>
      <c r="F13" s="34">
        <f t="shared" si="7"/>
        <v>331981703</v>
      </c>
      <c r="G13" s="34">
        <f t="shared" si="7"/>
        <v>324174103</v>
      </c>
      <c r="H13" s="34">
        <f t="shared" si="7"/>
        <v>329410987.13</v>
      </c>
      <c r="I13" s="34">
        <f t="shared" si="7"/>
        <v>336116704.12</v>
      </c>
      <c r="J13" s="34">
        <f t="shared" si="7"/>
        <v>335774504.88</v>
      </c>
      <c r="K13" s="34">
        <f t="shared" si="7"/>
        <v>348979749.92000002</v>
      </c>
      <c r="L13" s="34">
        <f t="shared" si="7"/>
        <v>365623754.80000001</v>
      </c>
      <c r="M13" s="34">
        <f t="shared" si="7"/>
        <v>349234577.75</v>
      </c>
      <c r="N13" s="34">
        <f t="shared" si="7"/>
        <v>348123930.23000002</v>
      </c>
      <c r="O13" s="34">
        <f t="shared" si="7"/>
        <v>355219859.41000003</v>
      </c>
      <c r="P13" s="34">
        <f t="shared" si="7"/>
        <v>358239168.97000003</v>
      </c>
      <c r="Q13" s="34">
        <f t="shared" si="7"/>
        <v>367236053.43000001</v>
      </c>
      <c r="R13" s="34">
        <f t="shared" si="7"/>
        <v>366198179.72000003</v>
      </c>
      <c r="S13" s="34">
        <f t="shared" si="7"/>
        <v>379833660.17000002</v>
      </c>
      <c r="T13" s="34">
        <f t="shared" si="7"/>
        <v>380938989.94</v>
      </c>
      <c r="U13" s="34">
        <f t="shared" si="7"/>
        <v>378663102.68000001</v>
      </c>
      <c r="V13" s="34">
        <f t="shared" si="7"/>
        <v>381596815.20000005</v>
      </c>
      <c r="W13" s="34">
        <f t="shared" si="7"/>
        <v>382342000.67000002</v>
      </c>
      <c r="X13" s="34">
        <f t="shared" si="7"/>
        <v>385155601.92000002</v>
      </c>
      <c r="Y13" s="34">
        <f t="shared" ref="Y13:AA13" si="8">Y14-Y15</f>
        <v>385155601</v>
      </c>
      <c r="Z13" s="34">
        <f t="shared" si="8"/>
        <v>391802687.93000001</v>
      </c>
      <c r="AA13" s="34">
        <f t="shared" si="8"/>
        <v>392305826.47000003</v>
      </c>
      <c r="AB13" s="34">
        <f t="shared" ref="AB13:AK13" si="9">AB14-AB15</f>
        <v>398457960.04000002</v>
      </c>
      <c r="AC13" s="34">
        <f t="shared" si="9"/>
        <v>409731921.42000002</v>
      </c>
      <c r="AD13" s="34">
        <f t="shared" si="9"/>
        <v>415807565.28000003</v>
      </c>
      <c r="AE13" s="34">
        <f t="shared" si="9"/>
        <v>412444879.23000002</v>
      </c>
      <c r="AF13" s="34">
        <f t="shared" si="9"/>
        <v>418985238.88</v>
      </c>
      <c r="AG13" s="34">
        <f t="shared" si="9"/>
        <v>418996809.84000003</v>
      </c>
      <c r="AH13" s="153">
        <f t="shared" si="9"/>
        <v>420062886.53000003</v>
      </c>
      <c r="AI13" s="149">
        <f t="shared" si="9"/>
        <v>421779219.28000003</v>
      </c>
      <c r="AJ13" s="149">
        <f t="shared" si="9"/>
        <v>425220682.95000005</v>
      </c>
      <c r="AK13" s="149">
        <f t="shared" si="9"/>
        <v>426716213.90999997</v>
      </c>
      <c r="AL13" s="149">
        <f t="shared" ref="AL13:AU13" si="10">AL14-AL15</f>
        <v>426716213.90999997</v>
      </c>
      <c r="AM13" s="152">
        <f t="shared" si="10"/>
        <v>442408618.01999998</v>
      </c>
      <c r="AN13" s="152">
        <f t="shared" si="10"/>
        <v>443355426.65999997</v>
      </c>
      <c r="AO13" s="152">
        <f t="shared" si="10"/>
        <v>450314121.41999996</v>
      </c>
      <c r="AP13" s="149">
        <f t="shared" si="10"/>
        <v>464710583.12</v>
      </c>
      <c r="AQ13" s="149">
        <f t="shared" si="10"/>
        <v>465314030.25999999</v>
      </c>
      <c r="AR13" s="149">
        <f t="shared" si="10"/>
        <v>473134280.59999996</v>
      </c>
      <c r="AS13" s="149">
        <f t="shared" si="10"/>
        <v>474754464.73999995</v>
      </c>
      <c r="AT13" s="149">
        <f t="shared" si="10"/>
        <v>486338268.39999998</v>
      </c>
      <c r="AU13" s="149">
        <f t="shared" si="10"/>
        <v>492396231.63</v>
      </c>
    </row>
    <row r="14" spans="1:47" ht="14.25">
      <c r="A14" s="26" t="s">
        <v>14</v>
      </c>
      <c r="B14" s="27">
        <v>369086787</v>
      </c>
      <c r="C14" s="99">
        <v>366682836</v>
      </c>
      <c r="D14" s="99">
        <v>356261966.19999999</v>
      </c>
      <c r="E14" s="99">
        <v>350006594</v>
      </c>
      <c r="F14" s="99">
        <v>341242558</v>
      </c>
      <c r="G14" s="99">
        <v>333434958</v>
      </c>
      <c r="H14" s="99">
        <v>349649600.23000002</v>
      </c>
      <c r="I14" s="99">
        <v>356355317.22000003</v>
      </c>
      <c r="J14" s="99">
        <v>356013117.98000002</v>
      </c>
      <c r="K14" s="99">
        <v>376683321.13</v>
      </c>
      <c r="L14" s="48">
        <v>393314726</v>
      </c>
      <c r="M14" s="47">
        <v>376938148.95999998</v>
      </c>
      <c r="N14" s="47">
        <v>375827501.44</v>
      </c>
      <c r="O14" s="47">
        <v>382910830.62</v>
      </c>
      <c r="P14" s="105">
        <v>385930140.18000001</v>
      </c>
      <c r="Q14" s="107">
        <v>394927024.63999999</v>
      </c>
      <c r="R14" s="107">
        <v>393889150.93000001</v>
      </c>
      <c r="S14" s="107">
        <v>407524631.38</v>
      </c>
      <c r="T14" s="107">
        <v>408629961.14999998</v>
      </c>
      <c r="U14" s="113">
        <v>406354073.88999999</v>
      </c>
      <c r="V14" s="113">
        <v>409287786.41000003</v>
      </c>
      <c r="W14" s="113">
        <v>410032971.88</v>
      </c>
      <c r="X14" s="8">
        <v>409379310.88</v>
      </c>
      <c r="Y14" s="113">
        <v>409379310</v>
      </c>
      <c r="Z14" s="120">
        <v>416026396.88999999</v>
      </c>
      <c r="AA14" s="120">
        <v>416529535.43000001</v>
      </c>
      <c r="AB14" s="120">
        <v>422681669</v>
      </c>
      <c r="AC14" s="120">
        <v>433955630.38</v>
      </c>
      <c r="AD14" s="120">
        <v>440031274.24000001</v>
      </c>
      <c r="AE14" s="120">
        <v>436668588.19</v>
      </c>
      <c r="AF14" s="8">
        <v>443208947.83999997</v>
      </c>
      <c r="AG14" s="113">
        <v>443220518.80000001</v>
      </c>
      <c r="AH14" s="8">
        <v>444286595.49000001</v>
      </c>
      <c r="AI14" s="151">
        <v>446002928.24000001</v>
      </c>
      <c r="AJ14" s="151">
        <v>449444391.91000003</v>
      </c>
      <c r="AK14" s="151">
        <v>451176542.75999999</v>
      </c>
      <c r="AL14" s="162">
        <v>451176542.75999999</v>
      </c>
      <c r="AM14" s="155">
        <v>466868946.87</v>
      </c>
      <c r="AN14" s="155">
        <v>467815755.50999999</v>
      </c>
      <c r="AO14" s="155">
        <v>474774450.26999998</v>
      </c>
      <c r="AP14" s="222">
        <v>489170911.97000003</v>
      </c>
      <c r="AQ14" s="224">
        <v>489774359.11000001</v>
      </c>
      <c r="AR14" s="222">
        <v>497594609.44999999</v>
      </c>
      <c r="AS14" s="222">
        <v>499214793.58999997</v>
      </c>
      <c r="AT14" s="222">
        <v>510798597.25</v>
      </c>
      <c r="AU14" s="268">
        <v>516856560.48000002</v>
      </c>
    </row>
    <row r="15" spans="1:47" ht="14.25">
      <c r="A15" s="26" t="s">
        <v>15</v>
      </c>
      <c r="B15" s="27">
        <v>8663385</v>
      </c>
      <c r="C15" s="99">
        <v>9111524.9299999997</v>
      </c>
      <c r="D15" s="99">
        <v>9260855</v>
      </c>
      <c r="E15" s="99">
        <v>9260855</v>
      </c>
      <c r="F15" s="99">
        <v>9260855</v>
      </c>
      <c r="G15" s="99">
        <v>9260855</v>
      </c>
      <c r="H15" s="99">
        <v>20238613.100000001</v>
      </c>
      <c r="I15" s="99">
        <v>20238613.100000001</v>
      </c>
      <c r="J15" s="99">
        <v>20238613.100000001</v>
      </c>
      <c r="K15" s="99">
        <v>27703571.210000001</v>
      </c>
      <c r="L15" s="48">
        <v>27690971.199999999</v>
      </c>
      <c r="M15" s="47">
        <v>27703571.210000001</v>
      </c>
      <c r="N15" s="47">
        <v>27703571.210000001</v>
      </c>
      <c r="O15" s="47">
        <v>27690971.210000001</v>
      </c>
      <c r="P15" s="105">
        <v>27690971.210000001</v>
      </c>
      <c r="Q15" s="107">
        <v>27690971.210000001</v>
      </c>
      <c r="R15" s="107">
        <v>27690971.210000001</v>
      </c>
      <c r="S15" s="107">
        <v>27690971.210000001</v>
      </c>
      <c r="T15" s="107">
        <v>27690971.210000001</v>
      </c>
      <c r="U15" s="113">
        <v>27690971.210000001</v>
      </c>
      <c r="V15" s="113">
        <v>27690971.210000001</v>
      </c>
      <c r="W15" s="113">
        <v>27690971.210000001</v>
      </c>
      <c r="X15" s="8">
        <v>24223708.960000001</v>
      </c>
      <c r="Y15" s="113">
        <v>24223709</v>
      </c>
      <c r="Z15" s="120">
        <v>24223708.960000001</v>
      </c>
      <c r="AA15" s="120">
        <v>24223708.960000001</v>
      </c>
      <c r="AB15" s="120">
        <v>24223708.960000001</v>
      </c>
      <c r="AC15" s="120">
        <v>24223708.960000001</v>
      </c>
      <c r="AD15" s="120">
        <v>24223708.960000001</v>
      </c>
      <c r="AE15" s="120">
        <v>24223708.960000001</v>
      </c>
      <c r="AF15" s="8">
        <v>24223708.960000001</v>
      </c>
      <c r="AG15" s="113">
        <v>24223708.960000001</v>
      </c>
      <c r="AH15" s="8">
        <v>24223708.960000001</v>
      </c>
      <c r="AI15" s="151">
        <v>24223708.960000001</v>
      </c>
      <c r="AJ15" s="151">
        <v>24223708.960000001</v>
      </c>
      <c r="AK15" s="151">
        <v>24460328.850000001</v>
      </c>
      <c r="AL15" s="162">
        <v>24460328.850000001</v>
      </c>
      <c r="AM15" s="155">
        <v>24460328.850000001</v>
      </c>
      <c r="AN15" s="155">
        <v>24460328.850000001</v>
      </c>
      <c r="AO15" s="155">
        <v>24460328.850000001</v>
      </c>
      <c r="AP15" s="226">
        <v>24460328.850000001</v>
      </c>
      <c r="AQ15" s="228">
        <v>24460328.850000001</v>
      </c>
      <c r="AR15" s="226">
        <v>24460328.850000001</v>
      </c>
      <c r="AS15" s="226">
        <v>24460328.850000001</v>
      </c>
      <c r="AT15" s="226">
        <v>24460328.850000001</v>
      </c>
      <c r="AU15" s="270">
        <v>24460328.850000001</v>
      </c>
    </row>
    <row r="16" spans="1:47" ht="15">
      <c r="A16" s="25" t="s">
        <v>16</v>
      </c>
      <c r="B16" s="34">
        <f t="shared" ref="B16:X16" si="11">SUM(B17:B18)</f>
        <v>0</v>
      </c>
      <c r="C16" s="34">
        <f t="shared" si="11"/>
        <v>0</v>
      </c>
      <c r="D16" s="34">
        <f t="shared" si="11"/>
        <v>0</v>
      </c>
      <c r="E16" s="34">
        <f t="shared" si="11"/>
        <v>0</v>
      </c>
      <c r="F16" s="34">
        <f t="shared" si="11"/>
        <v>0</v>
      </c>
      <c r="G16" s="34">
        <f t="shared" si="11"/>
        <v>0</v>
      </c>
      <c r="H16" s="34">
        <f t="shared" si="11"/>
        <v>0</v>
      </c>
      <c r="I16" s="34">
        <f t="shared" si="11"/>
        <v>0</v>
      </c>
      <c r="J16" s="34">
        <f t="shared" si="11"/>
        <v>0</v>
      </c>
      <c r="K16" s="34">
        <f t="shared" si="11"/>
        <v>0</v>
      </c>
      <c r="L16" s="34">
        <f t="shared" si="11"/>
        <v>0</v>
      </c>
      <c r="M16" s="34">
        <f t="shared" si="11"/>
        <v>0</v>
      </c>
      <c r="N16" s="34">
        <f t="shared" si="11"/>
        <v>0</v>
      </c>
      <c r="O16" s="34">
        <f t="shared" si="11"/>
        <v>0</v>
      </c>
      <c r="P16" s="34">
        <f t="shared" ref="P16:T16" si="12">SUM(P17:P18)</f>
        <v>0</v>
      </c>
      <c r="Q16" s="34">
        <f t="shared" si="12"/>
        <v>0</v>
      </c>
      <c r="R16" s="34">
        <f t="shared" si="12"/>
        <v>0</v>
      </c>
      <c r="S16" s="34">
        <f t="shared" si="12"/>
        <v>0</v>
      </c>
      <c r="T16" s="34">
        <f t="shared" si="12"/>
        <v>0</v>
      </c>
      <c r="U16" s="34">
        <f t="shared" si="11"/>
        <v>0</v>
      </c>
      <c r="V16" s="34">
        <f t="shared" si="11"/>
        <v>0</v>
      </c>
      <c r="W16" s="34">
        <f t="shared" si="11"/>
        <v>0</v>
      </c>
      <c r="X16" s="34">
        <f t="shared" si="11"/>
        <v>0</v>
      </c>
      <c r="Y16" s="34">
        <f t="shared" ref="Y16:AA16" si="13">SUM(Y17:Y18)</f>
        <v>0</v>
      </c>
      <c r="Z16" s="34">
        <f t="shared" si="13"/>
        <v>0</v>
      </c>
      <c r="AA16" s="34">
        <f t="shared" si="13"/>
        <v>0</v>
      </c>
      <c r="AB16" s="34">
        <f t="shared" ref="AB16:AK16" si="14">SUM(AB17:AB18)</f>
        <v>0</v>
      </c>
      <c r="AC16" s="34">
        <f t="shared" si="14"/>
        <v>0</v>
      </c>
      <c r="AD16" s="34">
        <f t="shared" si="14"/>
        <v>0</v>
      </c>
      <c r="AE16" s="34">
        <f t="shared" si="14"/>
        <v>0</v>
      </c>
      <c r="AF16" s="34">
        <f t="shared" si="14"/>
        <v>0</v>
      </c>
      <c r="AG16" s="34">
        <f t="shared" si="14"/>
        <v>0</v>
      </c>
      <c r="AH16" s="153">
        <f t="shared" si="14"/>
        <v>0</v>
      </c>
      <c r="AI16" s="149">
        <f t="shared" si="14"/>
        <v>0</v>
      </c>
      <c r="AJ16" s="149">
        <f t="shared" si="14"/>
        <v>0</v>
      </c>
      <c r="AK16" s="149">
        <f t="shared" si="14"/>
        <v>0</v>
      </c>
      <c r="AL16" s="149">
        <f t="shared" ref="AL16:AU16" si="15">SUM(AL17:AL18)</f>
        <v>0</v>
      </c>
      <c r="AM16" s="152">
        <f t="shared" si="15"/>
        <v>0</v>
      </c>
      <c r="AN16" s="152">
        <f t="shared" si="15"/>
        <v>0</v>
      </c>
      <c r="AO16" s="152">
        <f t="shared" si="15"/>
        <v>0</v>
      </c>
      <c r="AP16" s="149">
        <f t="shared" si="15"/>
        <v>0</v>
      </c>
      <c r="AQ16" s="149">
        <f t="shared" si="15"/>
        <v>0</v>
      </c>
      <c r="AR16" s="149">
        <f t="shared" si="15"/>
        <v>0</v>
      </c>
      <c r="AS16" s="149">
        <f t="shared" si="15"/>
        <v>0</v>
      </c>
      <c r="AT16" s="149">
        <f t="shared" si="15"/>
        <v>0</v>
      </c>
      <c r="AU16" s="149">
        <f t="shared" si="15"/>
        <v>0</v>
      </c>
    </row>
    <row r="17" spans="1:47" ht="14.25">
      <c r="A17" s="26" t="s">
        <v>17</v>
      </c>
      <c r="B17" s="27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48"/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X17" s="8"/>
      <c r="Z17" s="120">
        <v>0</v>
      </c>
      <c r="AA17" s="120">
        <v>0</v>
      </c>
      <c r="AB17" s="120">
        <v>0</v>
      </c>
      <c r="AC17" s="120">
        <v>0</v>
      </c>
      <c r="AD17" s="120">
        <v>0</v>
      </c>
      <c r="AE17" s="120">
        <v>0</v>
      </c>
      <c r="AF17" s="8">
        <v>0</v>
      </c>
      <c r="AG17">
        <v>0</v>
      </c>
      <c r="AH17" s="8">
        <v>0</v>
      </c>
      <c r="AI17" s="151">
        <v>0</v>
      </c>
      <c r="AJ17" s="151">
        <v>0</v>
      </c>
      <c r="AK17" s="151">
        <v>0</v>
      </c>
      <c r="AL17" s="162"/>
      <c r="AM17" s="155">
        <v>0</v>
      </c>
      <c r="AN17" s="155">
        <v>0</v>
      </c>
      <c r="AO17" s="155">
        <v>0</v>
      </c>
      <c r="AP17" s="221">
        <v>0</v>
      </c>
      <c r="AQ17" s="223">
        <v>0</v>
      </c>
      <c r="AR17" s="221">
        <v>0</v>
      </c>
      <c r="AS17" s="221">
        <v>0</v>
      </c>
      <c r="AT17" s="221">
        <v>0</v>
      </c>
      <c r="AU17" s="267">
        <v>0</v>
      </c>
    </row>
    <row r="18" spans="1:47" ht="14.25">
      <c r="A18" s="26" t="s">
        <v>18</v>
      </c>
      <c r="B18" s="27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48"/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X18" s="8"/>
      <c r="Z18" s="120">
        <v>0</v>
      </c>
      <c r="AA18" s="120">
        <v>0</v>
      </c>
      <c r="AB18" s="120">
        <v>0</v>
      </c>
      <c r="AC18" s="120">
        <v>0</v>
      </c>
      <c r="AD18" s="120">
        <v>0</v>
      </c>
      <c r="AE18" s="120">
        <v>0</v>
      </c>
      <c r="AF18" s="8">
        <v>0</v>
      </c>
      <c r="AG18">
        <v>0</v>
      </c>
      <c r="AH18" s="8">
        <v>0</v>
      </c>
      <c r="AI18" s="151">
        <v>0</v>
      </c>
      <c r="AJ18" s="151">
        <v>0</v>
      </c>
      <c r="AK18" s="151">
        <v>0</v>
      </c>
      <c r="AL18" s="162"/>
      <c r="AM18" s="155">
        <v>0</v>
      </c>
      <c r="AN18" s="155">
        <v>0</v>
      </c>
      <c r="AO18" s="155">
        <v>0</v>
      </c>
      <c r="AP18" s="225">
        <v>0</v>
      </c>
      <c r="AQ18" s="227">
        <v>0</v>
      </c>
      <c r="AR18" s="225">
        <v>0</v>
      </c>
      <c r="AS18" s="225">
        <v>0</v>
      </c>
      <c r="AT18" s="225">
        <v>0</v>
      </c>
      <c r="AU18" s="269">
        <v>0</v>
      </c>
    </row>
    <row r="19" spans="1:47" ht="14.25">
      <c r="A19" s="26" t="s">
        <v>19</v>
      </c>
      <c r="B19" s="27"/>
      <c r="C19" s="99">
        <v>0</v>
      </c>
      <c r="D19" s="99">
        <v>0</v>
      </c>
      <c r="E19" s="99">
        <v>0</v>
      </c>
      <c r="F19" s="99">
        <v>0</v>
      </c>
      <c r="G19" s="99">
        <v>0</v>
      </c>
      <c r="H19" s="99">
        <v>0</v>
      </c>
      <c r="I19" s="99">
        <v>0</v>
      </c>
      <c r="J19" s="99">
        <v>0</v>
      </c>
      <c r="K19" s="99">
        <v>0</v>
      </c>
      <c r="L19" s="48"/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X19" s="8"/>
      <c r="Z19" s="120">
        <v>0</v>
      </c>
      <c r="AA19" s="120">
        <v>0</v>
      </c>
      <c r="AB19" s="120">
        <v>0</v>
      </c>
      <c r="AC19" s="120">
        <v>0</v>
      </c>
      <c r="AD19" s="120">
        <v>0</v>
      </c>
      <c r="AE19" s="120">
        <v>0</v>
      </c>
      <c r="AF19" s="8">
        <v>0</v>
      </c>
      <c r="AG19">
        <v>0</v>
      </c>
      <c r="AH19" s="8">
        <v>0</v>
      </c>
      <c r="AI19" s="151">
        <v>0</v>
      </c>
      <c r="AJ19" s="151">
        <v>0</v>
      </c>
      <c r="AK19" s="151">
        <v>0</v>
      </c>
      <c r="AL19" s="162"/>
      <c r="AM19" s="155">
        <v>0</v>
      </c>
      <c r="AN19" s="155">
        <v>0</v>
      </c>
      <c r="AO19" s="155">
        <v>0</v>
      </c>
      <c r="AP19" s="225">
        <v>0</v>
      </c>
      <c r="AQ19" s="227">
        <v>0</v>
      </c>
      <c r="AR19" s="225">
        <v>0</v>
      </c>
      <c r="AS19" s="225">
        <v>0</v>
      </c>
      <c r="AT19" s="225">
        <v>0</v>
      </c>
      <c r="AU19" s="269">
        <v>0</v>
      </c>
    </row>
    <row r="20" spans="1:47" ht="15">
      <c r="A20" s="25" t="s">
        <v>20</v>
      </c>
      <c r="B20" s="34">
        <f>SUM(B21:B25)</f>
        <v>40896479</v>
      </c>
      <c r="C20" s="34">
        <f>SUM(C21:C25)</f>
        <v>181645018</v>
      </c>
      <c r="D20" s="34">
        <f t="shared" ref="D20:X20" si="16">SUM(D21:D25)</f>
        <v>181645018</v>
      </c>
      <c r="E20" s="34">
        <f t="shared" si="16"/>
        <v>181645038</v>
      </c>
      <c r="F20" s="34">
        <f t="shared" si="16"/>
        <v>181645038</v>
      </c>
      <c r="G20" s="34">
        <f t="shared" si="16"/>
        <v>181645038</v>
      </c>
      <c r="H20" s="34">
        <f t="shared" si="16"/>
        <v>183509929.16</v>
      </c>
      <c r="I20" s="34">
        <f t="shared" si="16"/>
        <v>184238303.68000001</v>
      </c>
      <c r="J20" s="34">
        <f t="shared" si="16"/>
        <v>184238303.68000001</v>
      </c>
      <c r="K20" s="34">
        <f t="shared" si="16"/>
        <v>181460932.68000001</v>
      </c>
      <c r="L20" s="34">
        <f t="shared" si="16"/>
        <v>40259560</v>
      </c>
      <c r="M20" s="34">
        <f t="shared" si="16"/>
        <v>182119755.13</v>
      </c>
      <c r="N20" s="34">
        <f t="shared" si="16"/>
        <v>180411976.68000001</v>
      </c>
      <c r="O20" s="34">
        <f t="shared" si="16"/>
        <v>179986196.35999998</v>
      </c>
      <c r="P20" s="34">
        <f t="shared" si="16"/>
        <v>179986196.36999997</v>
      </c>
      <c r="Q20" s="34">
        <f t="shared" si="16"/>
        <v>180211496.36999997</v>
      </c>
      <c r="R20" s="34">
        <f t="shared" si="16"/>
        <v>180529786.36999997</v>
      </c>
      <c r="S20" s="34">
        <f t="shared" si="16"/>
        <v>180537406.34999999</v>
      </c>
      <c r="T20" s="34">
        <f t="shared" si="16"/>
        <v>180585106.34999999</v>
      </c>
      <c r="U20" s="34">
        <f t="shared" si="16"/>
        <v>180947146.34999999</v>
      </c>
      <c r="V20" s="34">
        <f t="shared" si="16"/>
        <v>180947146.34999999</v>
      </c>
      <c r="W20" s="34">
        <f t="shared" si="16"/>
        <v>180947146.34999999</v>
      </c>
      <c r="X20" s="34">
        <f t="shared" si="16"/>
        <v>177469046.34999999</v>
      </c>
      <c r="Y20" s="34">
        <f t="shared" ref="Y20:AA20" si="17">SUM(Y21:Y25)</f>
        <v>185328023.5</v>
      </c>
      <c r="Z20" s="34">
        <f t="shared" si="17"/>
        <v>177530576.34999999</v>
      </c>
      <c r="AA20" s="34">
        <f t="shared" si="17"/>
        <v>177518451.81</v>
      </c>
      <c r="AB20" s="34">
        <f t="shared" ref="AB20:AK20" si="18">SUM(AB21:AB25)</f>
        <v>171749956.16000003</v>
      </c>
      <c r="AC20" s="34">
        <f t="shared" si="18"/>
        <v>171749956.16000003</v>
      </c>
      <c r="AD20" s="34">
        <f t="shared" si="18"/>
        <v>172250656.16000003</v>
      </c>
      <c r="AE20" s="34">
        <f t="shared" si="18"/>
        <v>172250656.16000003</v>
      </c>
      <c r="AF20" s="34">
        <f t="shared" si="18"/>
        <v>172250656.16000003</v>
      </c>
      <c r="AG20" s="34">
        <f t="shared" si="18"/>
        <v>172250656.16000003</v>
      </c>
      <c r="AH20" s="153">
        <f t="shared" si="18"/>
        <v>172250656.16000003</v>
      </c>
      <c r="AI20" s="149">
        <f t="shared" si="18"/>
        <v>172250656.16000003</v>
      </c>
      <c r="AJ20" s="149">
        <f t="shared" si="18"/>
        <v>172409656.16000003</v>
      </c>
      <c r="AK20" s="149">
        <f t="shared" si="18"/>
        <v>165907656.16000003</v>
      </c>
      <c r="AL20" s="149">
        <f t="shared" ref="AL20:AU20" si="19">SUM(AL21:AL25)</f>
        <v>176972984.55000001</v>
      </c>
      <c r="AM20" s="152">
        <f t="shared" si="19"/>
        <v>165905611.16000003</v>
      </c>
      <c r="AN20" s="152">
        <f t="shared" si="19"/>
        <v>166065150.16000003</v>
      </c>
      <c r="AO20" s="152">
        <f t="shared" si="19"/>
        <v>163538880.61000001</v>
      </c>
      <c r="AP20" s="149">
        <f t="shared" si="19"/>
        <v>163538880.61000001</v>
      </c>
      <c r="AQ20" s="149">
        <f t="shared" si="19"/>
        <v>163538880.61000001</v>
      </c>
      <c r="AR20" s="149">
        <f t="shared" si="19"/>
        <v>163538880.61000001</v>
      </c>
      <c r="AS20" s="149">
        <f t="shared" si="19"/>
        <v>166738880.61000001</v>
      </c>
      <c r="AT20" s="149">
        <f t="shared" si="19"/>
        <v>167030310.61000001</v>
      </c>
      <c r="AU20" s="149">
        <f t="shared" si="19"/>
        <v>167030310.61000001</v>
      </c>
    </row>
    <row r="21" spans="1:47" ht="14.25">
      <c r="A21" s="26" t="s">
        <v>21</v>
      </c>
      <c r="B21" s="27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48"/>
      <c r="M21" s="47">
        <v>0</v>
      </c>
      <c r="N21" s="47">
        <v>0</v>
      </c>
      <c r="O21" s="47">
        <v>0</v>
      </c>
      <c r="P21" s="104">
        <v>0</v>
      </c>
      <c r="Q21" s="106">
        <v>0</v>
      </c>
      <c r="R21" s="106">
        <v>0</v>
      </c>
      <c r="S21" s="106">
        <v>0</v>
      </c>
      <c r="T21" s="106">
        <v>0</v>
      </c>
      <c r="U21">
        <v>0</v>
      </c>
      <c r="V21">
        <v>0</v>
      </c>
      <c r="W21">
        <v>0</v>
      </c>
      <c r="X21" s="8">
        <v>0</v>
      </c>
      <c r="Z21" s="120">
        <v>0</v>
      </c>
      <c r="AA21" s="120">
        <v>0</v>
      </c>
      <c r="AB21" s="120">
        <v>0</v>
      </c>
      <c r="AC21" s="120">
        <v>0</v>
      </c>
      <c r="AD21" s="120">
        <v>0</v>
      </c>
      <c r="AE21" s="120">
        <v>0</v>
      </c>
      <c r="AF21" s="8">
        <v>0</v>
      </c>
      <c r="AG21">
        <v>0</v>
      </c>
      <c r="AH21" s="8">
        <v>0</v>
      </c>
      <c r="AI21" s="151">
        <v>0</v>
      </c>
      <c r="AJ21" s="151">
        <v>0</v>
      </c>
      <c r="AK21" s="151">
        <v>0</v>
      </c>
      <c r="AL21" s="162"/>
      <c r="AM21" s="155">
        <v>0</v>
      </c>
      <c r="AN21" s="155">
        <v>0</v>
      </c>
      <c r="AO21" s="155">
        <v>0</v>
      </c>
      <c r="AP21" s="221">
        <v>0</v>
      </c>
      <c r="AQ21" s="223">
        <v>0</v>
      </c>
      <c r="AR21" s="221">
        <v>0</v>
      </c>
      <c r="AS21" s="221">
        <v>0</v>
      </c>
      <c r="AT21" s="221">
        <v>0</v>
      </c>
      <c r="AU21" s="267">
        <v>0</v>
      </c>
    </row>
    <row r="22" spans="1:47" ht="14.25">
      <c r="A22" s="26" t="s">
        <v>22</v>
      </c>
      <c r="B22" s="27">
        <v>23963774</v>
      </c>
      <c r="C22" s="99">
        <v>22863775</v>
      </c>
      <c r="D22" s="99">
        <v>22863775</v>
      </c>
      <c r="E22" s="99">
        <v>22863775</v>
      </c>
      <c r="F22" s="99">
        <v>22863775</v>
      </c>
      <c r="G22" s="99">
        <v>22863775</v>
      </c>
      <c r="H22" s="99">
        <v>23946128.199999999</v>
      </c>
      <c r="I22" s="99">
        <v>24674502.719999999</v>
      </c>
      <c r="J22" s="99">
        <v>24674502.719999999</v>
      </c>
      <c r="K22" s="99">
        <v>25397131.719999999</v>
      </c>
      <c r="L22" s="48">
        <v>23660693</v>
      </c>
      <c r="M22" s="47">
        <v>26062031.719999999</v>
      </c>
      <c r="N22" s="47">
        <v>24547048.77</v>
      </c>
      <c r="O22" s="47">
        <v>24594848.77</v>
      </c>
      <c r="P22" s="105">
        <v>24594848.77</v>
      </c>
      <c r="Q22" s="107">
        <v>24820148.77</v>
      </c>
      <c r="R22" s="107">
        <v>25138438.77</v>
      </c>
      <c r="S22" s="107">
        <v>25146038.77</v>
      </c>
      <c r="T22" s="107">
        <v>25193738.77</v>
      </c>
      <c r="U22" s="113">
        <v>25555778.77</v>
      </c>
      <c r="V22" s="113">
        <v>25555778.77</v>
      </c>
      <c r="W22" s="113">
        <v>25555778.77</v>
      </c>
      <c r="X22" s="8">
        <v>25577678.77</v>
      </c>
      <c r="Y22" s="113">
        <v>22963419.199999999</v>
      </c>
      <c r="Z22" s="120">
        <v>25639208.77</v>
      </c>
      <c r="AA22" s="120">
        <v>25639208.77</v>
      </c>
      <c r="AB22" s="120">
        <v>23024949.52</v>
      </c>
      <c r="AC22" s="120">
        <v>23024949.52</v>
      </c>
      <c r="AD22" s="120">
        <v>23525649.52</v>
      </c>
      <c r="AE22" s="120">
        <v>23525649.52</v>
      </c>
      <c r="AF22" s="8">
        <v>23525649.52</v>
      </c>
      <c r="AG22" s="113">
        <v>23525649.52</v>
      </c>
      <c r="AH22" s="8">
        <v>23525649.52</v>
      </c>
      <c r="AI22" s="151">
        <v>23525649.52</v>
      </c>
      <c r="AJ22" s="151">
        <v>23686649.52</v>
      </c>
      <c r="AK22" s="151">
        <v>23686649.52</v>
      </c>
      <c r="AL22" s="162">
        <v>21262616.149999999</v>
      </c>
      <c r="AM22" s="155">
        <v>23686649.52</v>
      </c>
      <c r="AN22" s="155">
        <v>23850349.52</v>
      </c>
      <c r="AO22" s="155">
        <v>21478316.469999999</v>
      </c>
      <c r="AP22" s="226">
        <v>21478316.469999999</v>
      </c>
      <c r="AQ22" s="228">
        <v>21478316.469999999</v>
      </c>
      <c r="AR22" s="226">
        <v>21478316.469999999</v>
      </c>
      <c r="AS22" s="226">
        <v>24678316.469999999</v>
      </c>
      <c r="AT22" s="226">
        <v>24969746.469999999</v>
      </c>
      <c r="AU22" s="270">
        <v>24969746.469999999</v>
      </c>
    </row>
    <row r="23" spans="1:47" ht="14.25">
      <c r="A23" s="26" t="s">
        <v>23</v>
      </c>
      <c r="B23" s="27"/>
      <c r="C23" s="99">
        <v>0</v>
      </c>
      <c r="D23" s="99">
        <v>0</v>
      </c>
      <c r="E23" s="99">
        <v>0</v>
      </c>
      <c r="F23" s="99">
        <v>0</v>
      </c>
      <c r="G23" s="99">
        <v>0</v>
      </c>
      <c r="H23" s="99">
        <v>0</v>
      </c>
      <c r="I23" s="99">
        <v>0</v>
      </c>
      <c r="J23" s="99">
        <v>0</v>
      </c>
      <c r="K23" s="99">
        <v>0</v>
      </c>
      <c r="L23" s="48"/>
      <c r="M23" s="47">
        <v>0</v>
      </c>
      <c r="N23" s="47">
        <v>0</v>
      </c>
      <c r="O23" s="47">
        <v>0</v>
      </c>
      <c r="P23" s="104">
        <v>0</v>
      </c>
      <c r="Q23" s="106">
        <v>0</v>
      </c>
      <c r="R23" s="106">
        <v>0</v>
      </c>
      <c r="S23" s="106">
        <v>0</v>
      </c>
      <c r="T23" s="106">
        <v>0</v>
      </c>
      <c r="U23">
        <v>0</v>
      </c>
      <c r="V23">
        <v>0</v>
      </c>
      <c r="W23">
        <v>0</v>
      </c>
      <c r="X23" s="8">
        <v>0</v>
      </c>
      <c r="Z23" s="120">
        <v>0</v>
      </c>
      <c r="AA23" s="120">
        <v>0</v>
      </c>
      <c r="AB23" s="120">
        <v>0</v>
      </c>
      <c r="AC23" s="120">
        <v>0</v>
      </c>
      <c r="AD23" s="120">
        <v>0</v>
      </c>
      <c r="AE23" s="120">
        <v>0</v>
      </c>
      <c r="AF23" s="8">
        <v>0</v>
      </c>
      <c r="AG23">
        <v>0</v>
      </c>
      <c r="AH23" s="8">
        <v>0</v>
      </c>
      <c r="AI23" s="151">
        <v>0</v>
      </c>
      <c r="AJ23" s="151">
        <v>0</v>
      </c>
      <c r="AK23" s="151">
        <v>0</v>
      </c>
      <c r="AL23" s="162"/>
      <c r="AM23" s="155">
        <v>0</v>
      </c>
      <c r="AN23" s="155">
        <v>0</v>
      </c>
      <c r="AO23" s="155">
        <v>0</v>
      </c>
      <c r="AP23" s="225">
        <v>0</v>
      </c>
      <c r="AQ23" s="227">
        <v>0</v>
      </c>
      <c r="AR23" s="225">
        <v>0</v>
      </c>
      <c r="AS23" s="225">
        <v>0</v>
      </c>
      <c r="AT23" s="225">
        <v>0</v>
      </c>
      <c r="AU23" s="269">
        <v>0</v>
      </c>
    </row>
    <row r="24" spans="1:47" ht="14.25">
      <c r="A24" s="26" t="s">
        <v>24</v>
      </c>
      <c r="B24" s="27">
        <v>1105020</v>
      </c>
      <c r="C24" s="99">
        <v>655020</v>
      </c>
      <c r="D24" s="99">
        <v>655020</v>
      </c>
      <c r="E24" s="99">
        <v>655020</v>
      </c>
      <c r="F24" s="99">
        <v>655020</v>
      </c>
      <c r="G24" s="99">
        <v>655020</v>
      </c>
      <c r="H24" s="99">
        <v>1437557.5</v>
      </c>
      <c r="I24" s="99">
        <v>1437557.5</v>
      </c>
      <c r="J24" s="99">
        <v>1437557.5</v>
      </c>
      <c r="K24" s="99">
        <v>1437557.5</v>
      </c>
      <c r="L24" s="48">
        <v>771182</v>
      </c>
      <c r="M24" s="47">
        <v>1437557.5</v>
      </c>
      <c r="N24" s="47">
        <v>1244762</v>
      </c>
      <c r="O24" s="47">
        <v>771181.68</v>
      </c>
      <c r="P24" s="105">
        <v>771181.68</v>
      </c>
      <c r="Q24" s="107">
        <v>771181.68</v>
      </c>
      <c r="R24" s="107">
        <v>771181.68</v>
      </c>
      <c r="S24" s="107">
        <v>771181.68</v>
      </c>
      <c r="T24" s="107">
        <v>771181.68</v>
      </c>
      <c r="U24" s="113">
        <v>771181.68</v>
      </c>
      <c r="V24" s="113">
        <v>771181.68</v>
      </c>
      <c r="W24" s="113">
        <v>771181.68</v>
      </c>
      <c r="X24" s="8">
        <v>771181.68</v>
      </c>
      <c r="Y24" s="8">
        <v>616945</v>
      </c>
      <c r="Z24" s="120">
        <v>771181.68</v>
      </c>
      <c r="AA24" s="120">
        <v>771181.68</v>
      </c>
      <c r="AB24" s="120">
        <v>616945.28</v>
      </c>
      <c r="AC24" s="120">
        <v>616945.28</v>
      </c>
      <c r="AD24" s="120">
        <v>616945.28</v>
      </c>
      <c r="AE24" s="120">
        <v>616945.28</v>
      </c>
      <c r="AF24" s="8">
        <v>616945.28</v>
      </c>
      <c r="AG24" s="113">
        <v>616945.28</v>
      </c>
      <c r="AH24" s="8">
        <v>616945.28</v>
      </c>
      <c r="AI24" s="151">
        <v>616945.28</v>
      </c>
      <c r="AJ24" s="151">
        <v>616945.28</v>
      </c>
      <c r="AK24" s="151">
        <v>616945.28</v>
      </c>
      <c r="AL24" s="162">
        <v>462709.1</v>
      </c>
      <c r="AM24" s="155">
        <v>616945.28</v>
      </c>
      <c r="AN24" s="155">
        <v>616945.28</v>
      </c>
      <c r="AO24" s="155">
        <v>462708.78</v>
      </c>
      <c r="AP24" s="226">
        <v>462708.78</v>
      </c>
      <c r="AQ24" s="228">
        <v>462708.78</v>
      </c>
      <c r="AR24" s="226">
        <v>462708.78</v>
      </c>
      <c r="AS24" s="226">
        <v>462708.78</v>
      </c>
      <c r="AT24" s="226">
        <v>462708.78</v>
      </c>
      <c r="AU24" s="270">
        <v>462708.78</v>
      </c>
    </row>
    <row r="25" spans="1:47" ht="14.25">
      <c r="A25" s="26" t="s">
        <v>25</v>
      </c>
      <c r="B25" s="27">
        <v>15827685</v>
      </c>
      <c r="C25" s="99">
        <v>158126223</v>
      </c>
      <c r="D25" s="99">
        <v>158126223</v>
      </c>
      <c r="E25" s="99">
        <v>158126243</v>
      </c>
      <c r="F25" s="99">
        <v>158126243</v>
      </c>
      <c r="G25" s="99">
        <v>158126243</v>
      </c>
      <c r="H25" s="99">
        <v>158126243.46000001</v>
      </c>
      <c r="I25" s="99">
        <v>158126243.46000001</v>
      </c>
      <c r="J25" s="99">
        <v>158126243.46000001</v>
      </c>
      <c r="K25" s="99">
        <v>154626243.46000001</v>
      </c>
      <c r="L25" s="48">
        <v>15827685</v>
      </c>
      <c r="M25" s="47">
        <v>154620165.91</v>
      </c>
      <c r="N25" s="47">
        <v>154620165.91</v>
      </c>
      <c r="O25" s="47">
        <v>154620165.91</v>
      </c>
      <c r="P25" s="105">
        <v>154620165.91999999</v>
      </c>
      <c r="Q25" s="107">
        <v>154620165.91999999</v>
      </c>
      <c r="R25" s="107">
        <v>154620165.91999999</v>
      </c>
      <c r="S25" s="107">
        <v>154620185.90000001</v>
      </c>
      <c r="T25" s="107">
        <v>154620185.90000001</v>
      </c>
      <c r="U25" s="113">
        <v>154620185.90000001</v>
      </c>
      <c r="V25" s="113">
        <v>154620185.90000001</v>
      </c>
      <c r="W25" s="113">
        <v>154620185.90000001</v>
      </c>
      <c r="X25" s="8">
        <v>151120185.90000001</v>
      </c>
      <c r="Y25" s="113">
        <f>148126223+13621436.3</f>
        <v>161747659.30000001</v>
      </c>
      <c r="Z25" s="120">
        <v>151120185.90000001</v>
      </c>
      <c r="AA25" s="120">
        <v>151108061.36000001</v>
      </c>
      <c r="AB25" s="120">
        <v>148108061.36000001</v>
      </c>
      <c r="AC25" s="120">
        <v>148108061.36000001</v>
      </c>
      <c r="AD25" s="120">
        <v>148108061.36000001</v>
      </c>
      <c r="AE25" s="120">
        <v>148108061.36000001</v>
      </c>
      <c r="AF25" s="8">
        <v>148108061.36000001</v>
      </c>
      <c r="AG25" s="8">
        <v>148108061.36000001</v>
      </c>
      <c r="AH25" s="8">
        <v>148108061.36000001</v>
      </c>
      <c r="AI25" s="151">
        <v>148108061.36000001</v>
      </c>
      <c r="AJ25" s="151">
        <v>148106061.36000001</v>
      </c>
      <c r="AK25" s="151">
        <v>141604061.36000001</v>
      </c>
      <c r="AL25" s="162">
        <f>6300000+7321436.3+141626223</f>
        <v>155247659.30000001</v>
      </c>
      <c r="AM25" s="155">
        <v>141602016.36000001</v>
      </c>
      <c r="AN25" s="155">
        <v>141597855.36000001</v>
      </c>
      <c r="AO25" s="155">
        <v>141597855.36000001</v>
      </c>
      <c r="AP25" s="226">
        <v>141597855.36000001</v>
      </c>
      <c r="AQ25" s="228">
        <v>141597855.36000001</v>
      </c>
      <c r="AR25" s="226">
        <v>141597855.36000001</v>
      </c>
      <c r="AS25" s="226">
        <v>141597855.36000001</v>
      </c>
      <c r="AT25" s="226">
        <v>141597855.36000001</v>
      </c>
      <c r="AU25" s="270">
        <v>141597855.36000001</v>
      </c>
    </row>
    <row r="26" spans="1:47" ht="15">
      <c r="A26" s="25" t="s">
        <v>26</v>
      </c>
      <c r="B26" s="34">
        <f>B20+B16+B13+B8+B7+B4</f>
        <v>616749916</v>
      </c>
      <c r="C26" s="34">
        <f>C20+C16+C13+C8+C7+C4</f>
        <v>761807040.7299999</v>
      </c>
      <c r="D26" s="34">
        <f t="shared" ref="D26:X26" si="20">D20+D16+D13+D8+D7+D4</f>
        <v>766154772.73000002</v>
      </c>
      <c r="E26" s="34">
        <f t="shared" si="20"/>
        <v>755493463.63999999</v>
      </c>
      <c r="F26" s="34">
        <f t="shared" si="20"/>
        <v>755781542.38999999</v>
      </c>
      <c r="G26" s="34">
        <f t="shared" si="20"/>
        <v>752590929.53999996</v>
      </c>
      <c r="H26" s="34">
        <f t="shared" si="20"/>
        <v>753666843.05999994</v>
      </c>
      <c r="I26" s="34">
        <f t="shared" si="20"/>
        <v>756722568.55000007</v>
      </c>
      <c r="J26" s="34">
        <f t="shared" si="20"/>
        <v>759055497.37</v>
      </c>
      <c r="K26" s="34">
        <f t="shared" si="20"/>
        <v>768036171.62</v>
      </c>
      <c r="L26" s="34">
        <f t="shared" si="20"/>
        <v>645448192.45000005</v>
      </c>
      <c r="M26" s="34">
        <f t="shared" si="20"/>
        <v>764341757.3499999</v>
      </c>
      <c r="N26" s="34">
        <f t="shared" si="20"/>
        <v>767632583.60000002</v>
      </c>
      <c r="O26" s="34">
        <f t="shared" si="20"/>
        <v>766063610.24000001</v>
      </c>
      <c r="P26" s="34">
        <f t="shared" si="20"/>
        <v>756893983.70000005</v>
      </c>
      <c r="Q26" s="34">
        <f t="shared" si="20"/>
        <v>767334341.4799999</v>
      </c>
      <c r="R26" s="34">
        <f t="shared" si="20"/>
        <v>768725817.87</v>
      </c>
      <c r="S26" s="34">
        <f t="shared" si="20"/>
        <v>796973162.13999999</v>
      </c>
      <c r="T26" s="34">
        <f t="shared" si="20"/>
        <v>812169166.74000001</v>
      </c>
      <c r="U26" s="34">
        <f t="shared" si="20"/>
        <v>818234963.91999996</v>
      </c>
      <c r="V26" s="34">
        <f t="shared" si="20"/>
        <v>824276363.11000013</v>
      </c>
      <c r="W26" s="34">
        <f t="shared" si="20"/>
        <v>833929506.29000008</v>
      </c>
      <c r="X26" s="34">
        <f t="shared" si="20"/>
        <v>840451234.32999992</v>
      </c>
      <c r="Y26" s="117">
        <f t="shared" ref="Y26:AA26" si="21">Y20+Y16+Y13+Y8+Y7+Y4</f>
        <v>837075941.10000002</v>
      </c>
      <c r="Z26" s="117">
        <f t="shared" si="21"/>
        <v>855672788.27999997</v>
      </c>
      <c r="AA26" s="117">
        <f t="shared" si="21"/>
        <v>863432766.17999995</v>
      </c>
      <c r="AB26" s="117">
        <f t="shared" ref="AB26:AK26" si="22">AB20+AB16+AB13+AB8+AB7+AB4</f>
        <v>844455423.58999991</v>
      </c>
      <c r="AC26" s="117">
        <f t="shared" si="22"/>
        <v>829297841.88000011</v>
      </c>
      <c r="AD26" s="117">
        <f t="shared" si="22"/>
        <v>832531214.49000001</v>
      </c>
      <c r="AE26" s="117">
        <f t="shared" si="22"/>
        <v>845719949.70000005</v>
      </c>
      <c r="AF26" s="117">
        <f t="shared" si="22"/>
        <v>844417975.83999991</v>
      </c>
      <c r="AG26" s="117">
        <f t="shared" si="22"/>
        <v>853217932.24999988</v>
      </c>
      <c r="AH26" s="154">
        <f t="shared" si="22"/>
        <v>850280563.12</v>
      </c>
      <c r="AI26" s="152">
        <f t="shared" si="22"/>
        <v>865837321.03999996</v>
      </c>
      <c r="AJ26" s="152">
        <f t="shared" si="22"/>
        <v>872529547.72000003</v>
      </c>
      <c r="AK26" s="152">
        <f t="shared" si="22"/>
        <v>879440244.53999996</v>
      </c>
      <c r="AL26" s="149">
        <f t="shared" ref="AL26:AU26" si="23">AL20+AL16+AL13+AL8+AL7+AL4</f>
        <v>891881911.70000005</v>
      </c>
      <c r="AM26" s="152">
        <f t="shared" si="23"/>
        <v>886755627.94000006</v>
      </c>
      <c r="AN26" s="152">
        <f t="shared" si="23"/>
        <v>888250287.25999987</v>
      </c>
      <c r="AO26" s="152">
        <f t="shared" si="23"/>
        <v>879866030.48999989</v>
      </c>
      <c r="AP26" s="149">
        <f t="shared" si="23"/>
        <v>860994560.29999995</v>
      </c>
      <c r="AQ26" s="149">
        <f t="shared" si="23"/>
        <v>871296730.00999999</v>
      </c>
      <c r="AR26" s="149">
        <f t="shared" si="23"/>
        <v>878767388.95000005</v>
      </c>
      <c r="AS26" s="149">
        <f t="shared" si="23"/>
        <v>890988990.81999981</v>
      </c>
      <c r="AT26" s="149">
        <f t="shared" si="23"/>
        <v>903862677.11999989</v>
      </c>
      <c r="AU26" s="149">
        <f t="shared" si="23"/>
        <v>899066949.29999995</v>
      </c>
    </row>
    <row r="27" spans="1:47" ht="14.25">
      <c r="A27" s="26" t="s">
        <v>27</v>
      </c>
      <c r="B27" s="27">
        <v>127986727</v>
      </c>
      <c r="C27" s="99">
        <v>97743215</v>
      </c>
      <c r="D27" s="99">
        <v>103735571</v>
      </c>
      <c r="E27" s="99">
        <v>113054097.28</v>
      </c>
      <c r="F27" s="99">
        <v>108091582.19</v>
      </c>
      <c r="G27" s="99">
        <v>102866441.25</v>
      </c>
      <c r="H27" s="99">
        <v>113672512.23999999</v>
      </c>
      <c r="I27" s="99">
        <v>114118711.98999999</v>
      </c>
      <c r="J27" s="99">
        <v>111392002.06999999</v>
      </c>
      <c r="K27" s="99">
        <v>125454080.48</v>
      </c>
      <c r="L27" s="48">
        <v>145871163</v>
      </c>
      <c r="M27" s="47">
        <v>114102232.04000001</v>
      </c>
      <c r="N27" s="47">
        <v>114157241.14</v>
      </c>
      <c r="O27" s="47">
        <v>135612903.31999999</v>
      </c>
      <c r="P27" s="105">
        <v>113106589.47</v>
      </c>
      <c r="Q27" s="107">
        <v>117520929.73</v>
      </c>
      <c r="R27" s="107">
        <v>116083961.62</v>
      </c>
      <c r="S27" s="107">
        <v>123540283.25</v>
      </c>
      <c r="T27" s="107">
        <v>129962222.06999999</v>
      </c>
      <c r="U27" s="113">
        <v>122662111.39</v>
      </c>
      <c r="V27" s="113">
        <v>123180174.17</v>
      </c>
      <c r="W27" s="113">
        <v>125062935.90000001</v>
      </c>
      <c r="X27" s="8">
        <v>124571832.25</v>
      </c>
      <c r="Y27" s="113">
        <v>143820589</v>
      </c>
      <c r="Z27" s="120">
        <v>126919018.13</v>
      </c>
      <c r="AA27" s="120">
        <v>132507483.31</v>
      </c>
      <c r="AB27" s="120">
        <v>152328341.68000001</v>
      </c>
      <c r="AC27" s="120">
        <v>131499933.03</v>
      </c>
      <c r="AD27" s="120">
        <v>123320317.90000001</v>
      </c>
      <c r="AE27" s="120">
        <v>130994752.73999999</v>
      </c>
      <c r="AF27" s="8">
        <v>127904337.41</v>
      </c>
      <c r="AG27" s="113">
        <v>125026275.05</v>
      </c>
      <c r="AH27" s="8">
        <v>118559009.34</v>
      </c>
      <c r="AI27" s="151">
        <v>127862955.62</v>
      </c>
      <c r="AJ27" s="151">
        <v>131879942.89</v>
      </c>
      <c r="AK27" s="151">
        <v>138605725.25</v>
      </c>
      <c r="AL27" s="162">
        <f>138605725+12616719+4706998+411650+1604200+622144</f>
        <v>158567436</v>
      </c>
      <c r="AM27" s="155">
        <v>134208738.05</v>
      </c>
      <c r="AN27" s="155">
        <v>127389771.65000001</v>
      </c>
      <c r="AO27" s="155">
        <v>151787060.19</v>
      </c>
      <c r="AP27" s="222">
        <v>127879142.43000001</v>
      </c>
      <c r="AQ27" s="224">
        <v>129926572.17</v>
      </c>
      <c r="AR27" s="222">
        <v>130698461.73</v>
      </c>
      <c r="AS27" s="222">
        <v>137995500.53999999</v>
      </c>
      <c r="AT27" s="222">
        <v>139715901.87</v>
      </c>
      <c r="AU27" s="268">
        <v>131809210.51000001</v>
      </c>
    </row>
    <row r="28" spans="1:47" ht="14.25">
      <c r="A28" s="26" t="s">
        <v>28</v>
      </c>
      <c r="B28" s="27">
        <v>27362889</v>
      </c>
      <c r="C28" s="99">
        <v>48022408</v>
      </c>
      <c r="D28" s="99">
        <v>51077224</v>
      </c>
      <c r="E28" s="99">
        <v>52285953.82</v>
      </c>
      <c r="F28" s="99">
        <v>53544526.700000003</v>
      </c>
      <c r="G28" s="99">
        <v>54705990.460000001</v>
      </c>
      <c r="H28" s="99">
        <v>56248599.82</v>
      </c>
      <c r="I28" s="99">
        <v>56010700.520000003</v>
      </c>
      <c r="J28" s="99">
        <v>56202227.229999997</v>
      </c>
      <c r="K28" s="99">
        <v>58128747.579999998</v>
      </c>
      <c r="L28" s="48">
        <v>37711665</v>
      </c>
      <c r="M28" s="47">
        <v>60067995.159999996</v>
      </c>
      <c r="N28" s="47">
        <v>58383273.310000002</v>
      </c>
      <c r="O28" s="47">
        <v>54593573.600000001</v>
      </c>
      <c r="P28" s="105">
        <v>57936327.280000001</v>
      </c>
      <c r="Q28" s="107">
        <v>56706974.609999999</v>
      </c>
      <c r="R28" s="107">
        <v>55940179.340000004</v>
      </c>
      <c r="S28" s="107">
        <v>57885734.560000002</v>
      </c>
      <c r="T28" s="107">
        <v>59894932.159999996</v>
      </c>
      <c r="U28" s="113">
        <v>66021396.310000002</v>
      </c>
      <c r="V28" s="113">
        <v>64409910.469999999</v>
      </c>
      <c r="W28" s="113">
        <v>65271957.229999997</v>
      </c>
      <c r="X28" s="8">
        <v>65200523.810000002</v>
      </c>
      <c r="Y28" s="113">
        <v>45951567</v>
      </c>
      <c r="Z28" s="120">
        <v>69289522.75</v>
      </c>
      <c r="AA28" s="120">
        <v>67210468.5</v>
      </c>
      <c r="AB28" s="120">
        <v>68322543.519999996</v>
      </c>
      <c r="AC28" s="120">
        <v>67443281.200000003</v>
      </c>
      <c r="AD28" s="120">
        <v>70614372.069999993</v>
      </c>
      <c r="AE28" s="120">
        <v>73247487.450000003</v>
      </c>
      <c r="AF28" s="8">
        <v>75113728.840000004</v>
      </c>
      <c r="AG28" s="113">
        <v>75689517.310000002</v>
      </c>
      <c r="AH28" s="8">
        <v>75676983.079999998</v>
      </c>
      <c r="AI28" s="151">
        <v>76451572.230000004</v>
      </c>
      <c r="AJ28" s="151">
        <v>77134665.650000006</v>
      </c>
      <c r="AK28" s="151">
        <v>73888004.700000003</v>
      </c>
      <c r="AL28" s="162">
        <v>53926294</v>
      </c>
      <c r="AM28" s="155">
        <v>78937745.090000004</v>
      </c>
      <c r="AN28" s="155">
        <v>81864015.099999994</v>
      </c>
      <c r="AO28" s="155">
        <v>80719161.730000004</v>
      </c>
      <c r="AP28" s="226">
        <v>81874989.340000004</v>
      </c>
      <c r="AQ28" s="228">
        <v>79310673.709999993</v>
      </c>
      <c r="AR28" s="226">
        <v>80573118.069999993</v>
      </c>
      <c r="AS28" s="226">
        <v>77454987.189999998</v>
      </c>
      <c r="AT28" s="226">
        <v>83604355.359999999</v>
      </c>
      <c r="AU28" s="270">
        <v>78021902.189999998</v>
      </c>
    </row>
    <row r="29" spans="1:47" ht="14.25">
      <c r="A29" s="26" t="s">
        <v>29</v>
      </c>
      <c r="B29" s="27">
        <v>418806431</v>
      </c>
      <c r="C29" s="99">
        <v>421982444.18000001</v>
      </c>
      <c r="D29" s="99">
        <v>427325266</v>
      </c>
      <c r="E29" s="99">
        <v>429160705.06999999</v>
      </c>
      <c r="F29" s="99">
        <v>432208927.43000001</v>
      </c>
      <c r="G29" s="99">
        <v>434262793.70999998</v>
      </c>
      <c r="H29" s="99">
        <v>440051228.31999999</v>
      </c>
      <c r="I29" s="99">
        <v>441557174.33999997</v>
      </c>
      <c r="J29" s="99">
        <v>443326965.80000001</v>
      </c>
      <c r="K29" s="99">
        <v>444635222.76999998</v>
      </c>
      <c r="L29" s="48">
        <v>444635223</v>
      </c>
      <c r="M29" s="47">
        <v>447197036.22000003</v>
      </c>
      <c r="N29" s="47">
        <v>449897265.94</v>
      </c>
      <c r="O29" s="47">
        <v>452032890.17000002</v>
      </c>
      <c r="P29" s="105">
        <v>453567452.73000002</v>
      </c>
      <c r="Q29" s="107">
        <v>456479324.79000002</v>
      </c>
      <c r="R29" s="107">
        <v>449827493.25</v>
      </c>
      <c r="S29" s="107">
        <v>450879453.17000002</v>
      </c>
      <c r="T29" s="107">
        <v>453541754.24000001</v>
      </c>
      <c r="U29" s="113">
        <v>455380794.63999999</v>
      </c>
      <c r="V29" s="113">
        <v>457624636.94999999</v>
      </c>
      <c r="W29" s="113">
        <v>459276952.25</v>
      </c>
      <c r="X29" s="8">
        <v>462017055.77999997</v>
      </c>
      <c r="Y29" s="113">
        <v>462017056</v>
      </c>
      <c r="Z29" s="120">
        <v>464808385.43000001</v>
      </c>
      <c r="AA29" s="120">
        <v>467079987.07999998</v>
      </c>
      <c r="AB29" s="120">
        <v>470708832.55000001</v>
      </c>
      <c r="AC29" s="120">
        <v>472925306.39999998</v>
      </c>
      <c r="AD29" s="120">
        <v>476177144.08999997</v>
      </c>
      <c r="AE29" s="120">
        <v>479415367.22000003</v>
      </c>
      <c r="AF29" s="8">
        <v>477504521.54000002</v>
      </c>
      <c r="AG29" s="113">
        <v>481374736.60000002</v>
      </c>
      <c r="AH29" s="8">
        <v>482845356.64999998</v>
      </c>
      <c r="AI29" s="151">
        <v>483335715.52999997</v>
      </c>
      <c r="AJ29" s="151">
        <v>482332053.19999999</v>
      </c>
      <c r="AK29" s="151">
        <v>479018314.77999997</v>
      </c>
      <c r="AL29" s="162">
        <v>479018315</v>
      </c>
      <c r="AM29" s="155">
        <v>481628508.41000003</v>
      </c>
      <c r="AN29" s="155">
        <v>484730901.63999999</v>
      </c>
      <c r="AO29" s="155">
        <v>489661109.16000003</v>
      </c>
      <c r="AP29" s="226">
        <v>492896525.45999998</v>
      </c>
      <c r="AQ29" s="228">
        <v>494993401.57999998</v>
      </c>
      <c r="AR29" s="226">
        <v>497247283.81999999</v>
      </c>
      <c r="AS29" s="226">
        <v>499084912.36000001</v>
      </c>
      <c r="AT29" s="226">
        <v>498264506.55000001</v>
      </c>
      <c r="AU29" s="270">
        <v>500592846.18000001</v>
      </c>
    </row>
    <row r="30" spans="1:47" ht="15">
      <c r="A30" s="25" t="s">
        <v>30</v>
      </c>
      <c r="B30" s="34">
        <f t="shared" ref="B30:X30" si="24">SUM(B27:B29)</f>
        <v>574156047</v>
      </c>
      <c r="C30" s="34">
        <f t="shared" si="24"/>
        <v>567748067.18000007</v>
      </c>
      <c r="D30" s="34">
        <f t="shared" si="24"/>
        <v>582138061</v>
      </c>
      <c r="E30" s="34">
        <f t="shared" si="24"/>
        <v>594500756.16999996</v>
      </c>
      <c r="F30" s="34">
        <f t="shared" si="24"/>
        <v>593845036.31999993</v>
      </c>
      <c r="G30" s="34">
        <f t="shared" si="24"/>
        <v>591835225.41999996</v>
      </c>
      <c r="H30" s="34">
        <f t="shared" si="24"/>
        <v>609972340.38</v>
      </c>
      <c r="I30" s="34">
        <f t="shared" si="24"/>
        <v>611686586.8499999</v>
      </c>
      <c r="J30" s="34">
        <f t="shared" si="24"/>
        <v>610921195.10000002</v>
      </c>
      <c r="K30" s="34">
        <f t="shared" si="24"/>
        <v>628218050.82999992</v>
      </c>
      <c r="L30" s="34">
        <f t="shared" si="24"/>
        <v>628218051</v>
      </c>
      <c r="M30" s="34">
        <f t="shared" si="24"/>
        <v>621367263.42000008</v>
      </c>
      <c r="N30" s="34">
        <f t="shared" si="24"/>
        <v>622437780.38999999</v>
      </c>
      <c r="O30" s="34">
        <f t="shared" si="24"/>
        <v>642239367.09000003</v>
      </c>
      <c r="P30" s="34">
        <f t="shared" si="24"/>
        <v>624610369.48000002</v>
      </c>
      <c r="Q30" s="34">
        <f t="shared" si="24"/>
        <v>630707229.13</v>
      </c>
      <c r="R30" s="34">
        <f t="shared" si="24"/>
        <v>621851634.21000004</v>
      </c>
      <c r="S30" s="34">
        <f t="shared" si="24"/>
        <v>632305470.98000002</v>
      </c>
      <c r="T30" s="34">
        <f t="shared" si="24"/>
        <v>643398908.47000003</v>
      </c>
      <c r="U30" s="34">
        <f t="shared" si="24"/>
        <v>644064302.33999991</v>
      </c>
      <c r="V30" s="34">
        <f t="shared" si="24"/>
        <v>645214721.58999991</v>
      </c>
      <c r="W30" s="34">
        <f t="shared" si="24"/>
        <v>649611845.38</v>
      </c>
      <c r="X30" s="34">
        <f t="shared" si="24"/>
        <v>651789411.83999991</v>
      </c>
      <c r="Y30" s="34">
        <f t="shared" ref="Y30:AA30" si="25">SUM(Y27:Y29)</f>
        <v>651789212</v>
      </c>
      <c r="Z30" s="34">
        <f t="shared" si="25"/>
        <v>661016926.30999994</v>
      </c>
      <c r="AA30" s="34">
        <f t="shared" si="25"/>
        <v>666797938.88999999</v>
      </c>
      <c r="AB30" s="34">
        <f t="shared" ref="AB30:AK30" si="26">SUM(AB27:AB29)</f>
        <v>691359717.75</v>
      </c>
      <c r="AC30" s="34">
        <f t="shared" si="26"/>
        <v>671868520.63</v>
      </c>
      <c r="AD30" s="34">
        <f t="shared" si="26"/>
        <v>670111834.05999994</v>
      </c>
      <c r="AE30" s="34">
        <f t="shared" si="26"/>
        <v>683657607.41000009</v>
      </c>
      <c r="AF30" s="34">
        <f t="shared" si="26"/>
        <v>680522587.78999996</v>
      </c>
      <c r="AG30" s="34">
        <f t="shared" si="26"/>
        <v>682090528.96000004</v>
      </c>
      <c r="AH30" s="153">
        <f t="shared" si="26"/>
        <v>677081349.06999993</v>
      </c>
      <c r="AI30" s="149">
        <f t="shared" si="26"/>
        <v>687650243.38</v>
      </c>
      <c r="AJ30" s="149">
        <f t="shared" si="26"/>
        <v>691346661.74000001</v>
      </c>
      <c r="AK30" s="149">
        <f t="shared" si="26"/>
        <v>691512044.73000002</v>
      </c>
      <c r="AL30" s="149">
        <f t="shared" ref="AL30:AU30" si="27">SUM(AL27:AL29)</f>
        <v>691512045</v>
      </c>
      <c r="AM30" s="152">
        <f t="shared" si="27"/>
        <v>694774991.54999995</v>
      </c>
      <c r="AN30" s="152">
        <f t="shared" si="27"/>
        <v>693984688.38999999</v>
      </c>
      <c r="AO30" s="152">
        <f t="shared" si="27"/>
        <v>722167331.08000004</v>
      </c>
      <c r="AP30" s="149">
        <f t="shared" si="27"/>
        <v>702650657.23000002</v>
      </c>
      <c r="AQ30" s="149">
        <f t="shared" si="27"/>
        <v>704230647.46000004</v>
      </c>
      <c r="AR30" s="149">
        <f t="shared" si="27"/>
        <v>708518863.62</v>
      </c>
      <c r="AS30" s="149">
        <f t="shared" si="27"/>
        <v>714535400.09000003</v>
      </c>
      <c r="AT30" s="149">
        <f t="shared" si="27"/>
        <v>721584763.77999997</v>
      </c>
      <c r="AU30" s="149">
        <f t="shared" si="27"/>
        <v>710423958.88</v>
      </c>
    </row>
    <row r="31" spans="1:47" ht="14.25">
      <c r="A31" s="26" t="s">
        <v>31</v>
      </c>
      <c r="B31" s="27">
        <v>1800000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48">
        <v>1500000</v>
      </c>
      <c r="M31" s="47">
        <v>0</v>
      </c>
      <c r="N31" s="47">
        <v>0</v>
      </c>
      <c r="O31" s="47">
        <v>0</v>
      </c>
      <c r="P31" s="104">
        <v>0</v>
      </c>
      <c r="Q31" s="106">
        <v>0</v>
      </c>
      <c r="R31" s="106">
        <v>0</v>
      </c>
      <c r="S31" s="106">
        <v>0</v>
      </c>
      <c r="T31" s="106">
        <v>0</v>
      </c>
      <c r="U31">
        <v>0</v>
      </c>
      <c r="V31">
        <v>0</v>
      </c>
      <c r="W31">
        <v>0</v>
      </c>
      <c r="X31" s="8">
        <v>0</v>
      </c>
      <c r="Y31" s="8">
        <v>2500000</v>
      </c>
      <c r="Z31" s="120">
        <v>0</v>
      </c>
      <c r="AA31" s="120">
        <v>0</v>
      </c>
      <c r="AB31" s="120">
        <v>0</v>
      </c>
      <c r="AC31" s="120">
        <v>0</v>
      </c>
      <c r="AD31" s="120">
        <v>0</v>
      </c>
      <c r="AE31" s="120">
        <v>0</v>
      </c>
      <c r="AF31" s="8">
        <v>0</v>
      </c>
      <c r="AG31" s="8">
        <v>0</v>
      </c>
      <c r="AH31" s="8">
        <v>0</v>
      </c>
      <c r="AI31" s="151">
        <v>0</v>
      </c>
      <c r="AJ31" s="151">
        <v>0</v>
      </c>
      <c r="AK31" s="151">
        <v>0</v>
      </c>
      <c r="AL31" s="162">
        <v>706224</v>
      </c>
      <c r="AM31" s="155">
        <v>0</v>
      </c>
      <c r="AN31" s="155">
        <v>0</v>
      </c>
      <c r="AO31" s="155">
        <v>0</v>
      </c>
      <c r="AP31" s="229"/>
      <c r="AQ31" s="223">
        <v>0</v>
      </c>
      <c r="AR31" s="221">
        <v>0</v>
      </c>
      <c r="AS31" s="221">
        <v>0</v>
      </c>
      <c r="AT31" s="221">
        <v>0</v>
      </c>
      <c r="AU31" s="267">
        <v>0</v>
      </c>
    </row>
    <row r="32" spans="1:47" ht="14.25">
      <c r="A32" s="26" t="s">
        <v>32</v>
      </c>
      <c r="B32" s="27">
        <v>31410482.350000001</v>
      </c>
      <c r="C32" s="99">
        <v>49781424.490000002</v>
      </c>
      <c r="D32" s="99">
        <v>45072728.060000002</v>
      </c>
      <c r="E32" s="99">
        <v>12898801.18</v>
      </c>
      <c r="F32" s="99">
        <v>17441783.850000001</v>
      </c>
      <c r="G32" s="99">
        <v>21445739.66</v>
      </c>
      <c r="H32" s="99">
        <v>0</v>
      </c>
      <c r="I32" s="99">
        <v>0</v>
      </c>
      <c r="J32" s="99">
        <v>0</v>
      </c>
      <c r="K32" s="99">
        <v>0</v>
      </c>
      <c r="L32" s="48">
        <v>35570817.850000001</v>
      </c>
      <c r="M32" s="47">
        <v>0</v>
      </c>
      <c r="N32" s="47">
        <v>0</v>
      </c>
      <c r="O32" s="47">
        <v>0</v>
      </c>
      <c r="P32" s="104">
        <v>0</v>
      </c>
      <c r="Q32" s="106">
        <v>0</v>
      </c>
      <c r="R32" s="106">
        <v>0</v>
      </c>
      <c r="S32" s="106">
        <v>0</v>
      </c>
      <c r="T32" s="106">
        <v>0</v>
      </c>
      <c r="U32">
        <v>0</v>
      </c>
      <c r="V32">
        <v>0</v>
      </c>
      <c r="W32">
        <v>0</v>
      </c>
      <c r="X32" s="8">
        <v>0</v>
      </c>
      <c r="Y32" s="113">
        <v>39271449.75</v>
      </c>
      <c r="Z32" s="120">
        <v>50000000</v>
      </c>
      <c r="AA32" s="120">
        <v>50000000</v>
      </c>
      <c r="AB32" s="120">
        <v>0</v>
      </c>
      <c r="AC32" s="120">
        <v>0</v>
      </c>
      <c r="AD32" s="120">
        <v>0</v>
      </c>
      <c r="AE32" s="120">
        <v>0</v>
      </c>
      <c r="AF32" s="8">
        <v>0</v>
      </c>
      <c r="AG32" s="8">
        <v>0</v>
      </c>
      <c r="AH32" s="8">
        <v>0</v>
      </c>
      <c r="AI32" s="151">
        <v>0</v>
      </c>
      <c r="AJ32" s="151">
        <v>0</v>
      </c>
      <c r="AK32" s="151">
        <v>0</v>
      </c>
      <c r="AL32" s="162">
        <v>38321465</v>
      </c>
      <c r="AM32" s="155">
        <v>0</v>
      </c>
      <c r="AN32" s="155">
        <v>0</v>
      </c>
      <c r="AO32" s="155">
        <v>0</v>
      </c>
      <c r="AP32" s="225">
        <v>0</v>
      </c>
      <c r="AQ32" s="227">
        <v>0</v>
      </c>
      <c r="AR32" s="225">
        <v>0</v>
      </c>
      <c r="AS32" s="225">
        <v>0</v>
      </c>
      <c r="AT32" s="225">
        <v>0</v>
      </c>
      <c r="AU32" s="269">
        <v>0</v>
      </c>
    </row>
    <row r="33" spans="1:47" ht="14.25">
      <c r="A33" s="26" t="s">
        <v>33</v>
      </c>
      <c r="B33" s="27"/>
      <c r="C33" s="99">
        <v>0</v>
      </c>
      <c r="D33" s="99">
        <v>0</v>
      </c>
      <c r="E33" s="99">
        <v>0</v>
      </c>
      <c r="F33" s="99">
        <v>0</v>
      </c>
      <c r="G33" s="99">
        <v>0</v>
      </c>
      <c r="H33" s="99">
        <v>0</v>
      </c>
      <c r="I33" s="99">
        <v>0</v>
      </c>
      <c r="J33" s="99">
        <v>0</v>
      </c>
      <c r="K33" s="99">
        <v>0</v>
      </c>
      <c r="L33" s="48"/>
      <c r="M33" s="47">
        <v>0</v>
      </c>
      <c r="N33" s="47">
        <v>0</v>
      </c>
      <c r="O33" s="47">
        <v>0</v>
      </c>
      <c r="P33" s="104">
        <v>0</v>
      </c>
      <c r="Q33" s="106">
        <v>0</v>
      </c>
      <c r="R33" s="106">
        <v>0</v>
      </c>
      <c r="S33" s="106">
        <v>0</v>
      </c>
      <c r="T33" s="106">
        <v>0</v>
      </c>
      <c r="U33">
        <v>0</v>
      </c>
      <c r="V33">
        <v>0</v>
      </c>
      <c r="W33">
        <v>0</v>
      </c>
      <c r="X33" s="8">
        <v>0</v>
      </c>
      <c r="Z33" s="120">
        <v>0</v>
      </c>
      <c r="AA33" s="120">
        <v>0</v>
      </c>
      <c r="AB33" s="120">
        <v>0</v>
      </c>
      <c r="AC33" s="120">
        <v>0</v>
      </c>
      <c r="AD33" s="120">
        <v>0</v>
      </c>
      <c r="AE33" s="120">
        <v>0</v>
      </c>
      <c r="AF33" s="8">
        <v>0</v>
      </c>
      <c r="AG33" s="113">
        <v>0</v>
      </c>
      <c r="AH33" s="8">
        <v>0</v>
      </c>
      <c r="AI33" s="151">
        <v>0</v>
      </c>
      <c r="AJ33" s="151">
        <v>0</v>
      </c>
      <c r="AK33" s="151">
        <v>0</v>
      </c>
      <c r="AL33" s="162"/>
      <c r="AM33" s="155">
        <v>0</v>
      </c>
      <c r="AN33" s="155">
        <v>0</v>
      </c>
      <c r="AO33" s="155">
        <v>0</v>
      </c>
      <c r="AP33" s="225">
        <v>0</v>
      </c>
      <c r="AQ33" s="227">
        <v>0</v>
      </c>
      <c r="AR33" s="225">
        <v>0</v>
      </c>
      <c r="AS33" s="225">
        <v>0</v>
      </c>
      <c r="AT33" s="225">
        <v>0</v>
      </c>
      <c r="AU33" s="269">
        <v>0</v>
      </c>
    </row>
    <row r="34" spans="1:47" ht="14.25">
      <c r="A34" s="26" t="s">
        <v>34</v>
      </c>
      <c r="B34" s="27"/>
      <c r="C34" s="99">
        <v>0</v>
      </c>
      <c r="D34" s="99">
        <v>0</v>
      </c>
      <c r="E34" s="99">
        <v>0</v>
      </c>
      <c r="F34" s="99">
        <v>0</v>
      </c>
      <c r="G34" s="99">
        <v>0</v>
      </c>
      <c r="H34" s="99">
        <v>0</v>
      </c>
      <c r="I34" s="99">
        <v>0</v>
      </c>
      <c r="J34" s="99">
        <v>0</v>
      </c>
      <c r="K34" s="99">
        <v>0</v>
      </c>
      <c r="L34" s="48"/>
      <c r="M34" s="47">
        <v>0</v>
      </c>
      <c r="N34" s="47">
        <v>0</v>
      </c>
      <c r="O34" s="47">
        <v>0</v>
      </c>
      <c r="P34" s="104">
        <v>0</v>
      </c>
      <c r="Q34" s="106">
        <v>0</v>
      </c>
      <c r="R34" s="106">
        <v>0</v>
      </c>
      <c r="S34" s="106">
        <v>0</v>
      </c>
      <c r="T34" s="106">
        <v>0</v>
      </c>
      <c r="U34">
        <v>0</v>
      </c>
      <c r="V34">
        <v>0</v>
      </c>
      <c r="W34">
        <v>0</v>
      </c>
      <c r="X34" s="8">
        <v>0</v>
      </c>
      <c r="Z34" s="120">
        <v>0</v>
      </c>
      <c r="AA34" s="120">
        <v>0</v>
      </c>
      <c r="AB34" s="120">
        <v>0</v>
      </c>
      <c r="AC34" s="120">
        <v>0</v>
      </c>
      <c r="AD34" s="120">
        <v>0</v>
      </c>
      <c r="AE34" s="120">
        <v>0</v>
      </c>
      <c r="AF34" s="8">
        <v>0</v>
      </c>
      <c r="AG34" s="113">
        <v>0</v>
      </c>
      <c r="AH34" s="8">
        <v>0</v>
      </c>
      <c r="AI34" s="151">
        <v>0</v>
      </c>
      <c r="AJ34" s="151">
        <v>0</v>
      </c>
      <c r="AK34" s="151">
        <v>0</v>
      </c>
      <c r="AL34" s="162"/>
      <c r="AM34" s="155">
        <v>0</v>
      </c>
      <c r="AN34" s="155">
        <v>0</v>
      </c>
      <c r="AO34" s="155">
        <v>0</v>
      </c>
      <c r="AP34" s="225">
        <v>0</v>
      </c>
      <c r="AQ34" s="227">
        <v>0</v>
      </c>
      <c r="AR34" s="225">
        <v>0</v>
      </c>
      <c r="AS34" s="225">
        <v>0</v>
      </c>
      <c r="AT34" s="225">
        <v>0</v>
      </c>
      <c r="AU34" s="269">
        <v>0</v>
      </c>
    </row>
    <row r="35" spans="1:47" ht="14.25">
      <c r="A35" s="26" t="s">
        <v>35</v>
      </c>
      <c r="B35" s="27">
        <v>11233128</v>
      </c>
      <c r="C35" s="99">
        <v>9394483</v>
      </c>
      <c r="D35" s="99">
        <v>9449472</v>
      </c>
      <c r="E35" s="99">
        <v>9206836</v>
      </c>
      <c r="F35" s="99">
        <v>8770448</v>
      </c>
      <c r="G35" s="99">
        <v>6857934</v>
      </c>
      <c r="H35" s="99">
        <v>5404385.04</v>
      </c>
      <c r="I35" s="99">
        <v>4988367.34</v>
      </c>
      <c r="J35" s="99">
        <v>5498614.6200000001</v>
      </c>
      <c r="K35" s="99">
        <v>-5923672.8899999997</v>
      </c>
      <c r="L35" s="48">
        <v>7359120</v>
      </c>
      <c r="M35" s="47">
        <v>-5970032.0499999998</v>
      </c>
      <c r="N35" s="47">
        <v>32416732.440000001</v>
      </c>
      <c r="O35" s="47">
        <v>-2657389.27</v>
      </c>
      <c r="P35" s="105">
        <v>382751.23</v>
      </c>
      <c r="Q35" s="107">
        <v>568958.80000000005</v>
      </c>
      <c r="R35" s="107">
        <v>45111.87</v>
      </c>
      <c r="S35" s="107">
        <v>10862854.810000001</v>
      </c>
      <c r="T35" s="107">
        <v>9655862.9100000001</v>
      </c>
      <c r="U35" s="113">
        <v>9635729.3699999992</v>
      </c>
      <c r="V35" s="113">
        <v>10891534.98</v>
      </c>
      <c r="W35" s="113">
        <v>11843905.17</v>
      </c>
      <c r="X35" s="8">
        <v>6402788.5700000003</v>
      </c>
      <c r="Y35" s="113">
        <v>7224159</v>
      </c>
      <c r="Z35" s="120">
        <v>5888900.46</v>
      </c>
      <c r="AA35" s="120">
        <v>8522411.0800000001</v>
      </c>
      <c r="AB35" s="120">
        <v>9762219.0199999996</v>
      </c>
      <c r="AC35" s="120">
        <v>8376563.8499999996</v>
      </c>
      <c r="AD35" s="120">
        <v>8791570.2200000007</v>
      </c>
      <c r="AE35" s="120">
        <v>5699462.7999999998</v>
      </c>
      <c r="AF35" s="8">
        <v>7217666.46</v>
      </c>
      <c r="AG35" s="113">
        <v>7886425.2000000002</v>
      </c>
      <c r="AH35" s="8">
        <v>8180742.25</v>
      </c>
      <c r="AI35" s="151">
        <v>9237083.5700000003</v>
      </c>
      <c r="AJ35" s="151">
        <v>10013380.49</v>
      </c>
      <c r="AK35" s="151">
        <v>32473318.010000002</v>
      </c>
      <c r="AL35" s="162">
        <v>5863487</v>
      </c>
      <c r="AM35" s="155">
        <v>41251589.539999999</v>
      </c>
      <c r="AN35" s="155">
        <v>42099274.670000002</v>
      </c>
      <c r="AO35" s="155">
        <v>5078318.37</v>
      </c>
      <c r="AP35" s="226">
        <v>5878765.7699999996</v>
      </c>
      <c r="AQ35" s="228">
        <v>7241519.7599999998</v>
      </c>
      <c r="AR35" s="226">
        <v>6947017.2199999997</v>
      </c>
      <c r="AS35" s="226">
        <v>8320309.79</v>
      </c>
      <c r="AT35" s="226">
        <v>9285533.8900000006</v>
      </c>
      <c r="AU35" s="270">
        <v>9693076.4299999997</v>
      </c>
    </row>
    <row r="36" spans="1:47" ht="14.25">
      <c r="A36" s="26" t="s">
        <v>36</v>
      </c>
      <c r="B36" s="27">
        <v>30000000</v>
      </c>
      <c r="C36" s="99">
        <v>26040073</v>
      </c>
      <c r="D36" s="99">
        <v>20587500</v>
      </c>
      <c r="E36" s="99">
        <v>19480080</v>
      </c>
      <c r="F36" s="99">
        <v>16342580</v>
      </c>
      <c r="G36" s="99">
        <v>13205080</v>
      </c>
      <c r="H36" s="99">
        <v>3792579.8</v>
      </c>
      <c r="I36" s="99">
        <v>2197660.7999999998</v>
      </c>
      <c r="J36" s="99">
        <v>-79939.3</v>
      </c>
      <c r="K36" s="99">
        <v>-1830436.2</v>
      </c>
      <c r="L36" s="48">
        <v>0</v>
      </c>
      <c r="M36" s="47">
        <v>-4967936.2</v>
      </c>
      <c r="N36" s="47">
        <v>-4967936.2</v>
      </c>
      <c r="O36" s="47">
        <v>3039457.8</v>
      </c>
      <c r="P36" s="105">
        <v>3039457.8</v>
      </c>
      <c r="Q36" s="107">
        <v>3039457.8</v>
      </c>
      <c r="R36" s="106">
        <v>0</v>
      </c>
      <c r="S36" s="106">
        <v>0</v>
      </c>
      <c r="T36" s="106">
        <v>0</v>
      </c>
      <c r="U36">
        <v>0</v>
      </c>
      <c r="V36">
        <v>0</v>
      </c>
      <c r="W36">
        <v>0</v>
      </c>
      <c r="X36" s="8">
        <v>0</v>
      </c>
      <c r="Z36" s="120">
        <v>0</v>
      </c>
      <c r="AA36" s="120">
        <v>0</v>
      </c>
      <c r="AB36" s="120">
        <v>0</v>
      </c>
      <c r="AC36" s="120">
        <v>0</v>
      </c>
      <c r="AD36" s="120">
        <v>0</v>
      </c>
      <c r="AE36" s="120">
        <v>0</v>
      </c>
      <c r="AF36" s="8">
        <v>0</v>
      </c>
      <c r="AG36">
        <v>0</v>
      </c>
      <c r="AH36" s="8">
        <v>0</v>
      </c>
      <c r="AI36" s="151">
        <v>0</v>
      </c>
      <c r="AJ36" s="151">
        <v>0</v>
      </c>
      <c r="AK36" s="151">
        <v>0</v>
      </c>
      <c r="AL36" s="162">
        <v>0</v>
      </c>
      <c r="AM36" s="155">
        <v>0</v>
      </c>
      <c r="AN36" s="155">
        <v>0</v>
      </c>
      <c r="AO36" s="155">
        <v>0</v>
      </c>
      <c r="AP36" s="225">
        <v>0</v>
      </c>
      <c r="AQ36" s="227">
        <v>0</v>
      </c>
      <c r="AR36" s="225">
        <v>0</v>
      </c>
      <c r="AS36" s="225">
        <v>0</v>
      </c>
      <c r="AT36" s="225">
        <v>0</v>
      </c>
      <c r="AU36" s="269">
        <v>0</v>
      </c>
    </row>
    <row r="37" spans="1:47" ht="15">
      <c r="A37" s="25" t="s">
        <v>37</v>
      </c>
      <c r="B37" s="34">
        <f t="shared" ref="B37:X37" si="28">SUM(B30:B36)</f>
        <v>648599657.35000002</v>
      </c>
      <c r="C37" s="34">
        <f t="shared" si="28"/>
        <v>652964047.67000008</v>
      </c>
      <c r="D37" s="34">
        <f t="shared" si="28"/>
        <v>657247761.05999994</v>
      </c>
      <c r="E37" s="34">
        <f t="shared" si="28"/>
        <v>636086473.3499999</v>
      </c>
      <c r="F37" s="34">
        <f t="shared" si="28"/>
        <v>636399848.16999996</v>
      </c>
      <c r="G37" s="34">
        <f t="shared" si="28"/>
        <v>633343979.07999992</v>
      </c>
      <c r="H37" s="34">
        <f t="shared" si="28"/>
        <v>619169305.21999991</v>
      </c>
      <c r="I37" s="34">
        <f t="shared" si="28"/>
        <v>618872614.98999989</v>
      </c>
      <c r="J37" s="34">
        <f t="shared" si="28"/>
        <v>616339870.42000008</v>
      </c>
      <c r="K37" s="34">
        <f t="shared" si="28"/>
        <v>620463941.73999989</v>
      </c>
      <c r="L37" s="34">
        <f t="shared" si="28"/>
        <v>672647988.85000002</v>
      </c>
      <c r="M37" s="34">
        <f t="shared" si="28"/>
        <v>610429295.17000008</v>
      </c>
      <c r="N37" s="34">
        <f t="shared" si="28"/>
        <v>649886576.63</v>
      </c>
      <c r="O37" s="34">
        <f t="shared" si="28"/>
        <v>642621435.62</v>
      </c>
      <c r="P37" s="34">
        <f t="shared" si="28"/>
        <v>628032578.50999999</v>
      </c>
      <c r="Q37" s="34">
        <f t="shared" si="28"/>
        <v>634315645.7299999</v>
      </c>
      <c r="R37" s="34">
        <f t="shared" si="28"/>
        <v>621896746.08000004</v>
      </c>
      <c r="S37" s="34">
        <f t="shared" si="28"/>
        <v>643168325.78999996</v>
      </c>
      <c r="T37" s="34">
        <f t="shared" si="28"/>
        <v>653054771.38</v>
      </c>
      <c r="U37" s="34">
        <f t="shared" si="28"/>
        <v>653700031.70999992</v>
      </c>
      <c r="V37" s="34">
        <f t="shared" si="28"/>
        <v>656106256.56999993</v>
      </c>
      <c r="W37" s="34">
        <f t="shared" si="28"/>
        <v>661455750.54999995</v>
      </c>
      <c r="X37" s="34">
        <f t="shared" si="28"/>
        <v>658192200.40999997</v>
      </c>
      <c r="Y37" s="34">
        <f t="shared" ref="Y37:AA37" si="29">SUM(Y30:Y36)</f>
        <v>700784820.75</v>
      </c>
      <c r="Z37" s="34">
        <f t="shared" si="29"/>
        <v>716905826.76999998</v>
      </c>
      <c r="AA37" s="34">
        <f t="shared" si="29"/>
        <v>725320349.97000003</v>
      </c>
      <c r="AB37" s="34">
        <f t="shared" ref="AB37:AK37" si="30">SUM(AB30:AB36)</f>
        <v>701121936.76999998</v>
      </c>
      <c r="AC37" s="34">
        <f t="shared" si="30"/>
        <v>680245084.48000002</v>
      </c>
      <c r="AD37" s="34">
        <f t="shared" si="30"/>
        <v>678903404.27999997</v>
      </c>
      <c r="AE37" s="34">
        <f t="shared" si="30"/>
        <v>689357070.21000004</v>
      </c>
      <c r="AF37" s="34">
        <f t="shared" si="30"/>
        <v>687740254.25</v>
      </c>
      <c r="AG37" s="34">
        <f t="shared" si="30"/>
        <v>689976954.16000009</v>
      </c>
      <c r="AH37" s="153">
        <f t="shared" si="30"/>
        <v>685262091.31999993</v>
      </c>
      <c r="AI37" s="149">
        <f t="shared" si="30"/>
        <v>696887326.95000005</v>
      </c>
      <c r="AJ37" s="149">
        <f t="shared" si="30"/>
        <v>701360042.23000002</v>
      </c>
      <c r="AK37" s="149">
        <f t="shared" si="30"/>
        <v>723985362.74000001</v>
      </c>
      <c r="AL37" s="149">
        <f t="shared" ref="AL37:AU37" si="31">SUM(AL30:AL36)</f>
        <v>736403221</v>
      </c>
      <c r="AM37" s="152">
        <f t="shared" si="31"/>
        <v>736026581.08999991</v>
      </c>
      <c r="AN37" s="152">
        <f t="shared" si="31"/>
        <v>736083963.05999994</v>
      </c>
      <c r="AO37" s="152">
        <f t="shared" si="31"/>
        <v>727245649.45000005</v>
      </c>
      <c r="AP37" s="149">
        <f t="shared" si="31"/>
        <v>708529423</v>
      </c>
      <c r="AQ37" s="149">
        <f t="shared" si="31"/>
        <v>711472167.22000003</v>
      </c>
      <c r="AR37" s="149">
        <f t="shared" si="31"/>
        <v>715465880.84000003</v>
      </c>
      <c r="AS37" s="149">
        <f t="shared" si="31"/>
        <v>722855709.88</v>
      </c>
      <c r="AT37" s="149">
        <f t="shared" si="31"/>
        <v>730870297.66999996</v>
      </c>
      <c r="AU37" s="149">
        <f t="shared" si="31"/>
        <v>720117035.30999994</v>
      </c>
    </row>
    <row r="38" spans="1:47" ht="14.25">
      <c r="A38" s="26" t="s">
        <v>38</v>
      </c>
      <c r="B38" s="27">
        <v>48764688</v>
      </c>
      <c r="C38" s="99">
        <v>48777188</v>
      </c>
      <c r="D38" s="99">
        <v>48771288</v>
      </c>
      <c r="E38" s="99">
        <v>48771288</v>
      </c>
      <c r="F38" s="99">
        <v>48771288</v>
      </c>
      <c r="G38" s="99">
        <v>48771288</v>
      </c>
      <c r="H38" s="99">
        <v>49431500.409999996</v>
      </c>
      <c r="I38" s="99">
        <v>49432000.409999996</v>
      </c>
      <c r="J38" s="99">
        <v>49434000.409999996</v>
      </c>
      <c r="K38" s="99">
        <v>49435000.409999996</v>
      </c>
      <c r="L38" s="48">
        <v>49435000</v>
      </c>
      <c r="M38" s="47">
        <v>49435000.409999996</v>
      </c>
      <c r="N38" s="47">
        <v>49435200.409999996</v>
      </c>
      <c r="O38" s="47">
        <v>49438421.490000002</v>
      </c>
      <c r="P38" s="105">
        <v>49438421.490000002</v>
      </c>
      <c r="Q38" s="107">
        <v>49442421.490000002</v>
      </c>
      <c r="R38" s="107">
        <v>58592804.880000003</v>
      </c>
      <c r="S38" s="107">
        <v>58594804.880000003</v>
      </c>
      <c r="T38" s="107">
        <v>58594804.880000003</v>
      </c>
      <c r="U38" s="113">
        <v>58595804.880000003</v>
      </c>
      <c r="V38" s="113">
        <v>58595804.880000003</v>
      </c>
      <c r="W38" s="113">
        <v>58606804.880000003</v>
      </c>
      <c r="X38" s="8">
        <v>58607804.880000003</v>
      </c>
      <c r="Y38" s="113">
        <v>58607805</v>
      </c>
      <c r="Z38" s="120">
        <v>58607804.880000003</v>
      </c>
      <c r="AA38" s="120">
        <v>58609304.880000003</v>
      </c>
      <c r="AB38" s="120">
        <v>58498532.600000001</v>
      </c>
      <c r="AC38" s="120">
        <v>58498532.600000001</v>
      </c>
      <c r="AD38" s="120">
        <v>58498532.600000001</v>
      </c>
      <c r="AE38" s="120">
        <v>58498532.600000001</v>
      </c>
      <c r="AF38" s="8">
        <v>58498532.600000001</v>
      </c>
      <c r="AG38" s="113">
        <v>58498532.600000001</v>
      </c>
      <c r="AH38" s="8">
        <v>58520308.270000003</v>
      </c>
      <c r="AI38" s="151">
        <v>59285431.270000003</v>
      </c>
      <c r="AJ38" s="151">
        <v>59285431.270000003</v>
      </c>
      <c r="AK38" s="151">
        <v>68817747</v>
      </c>
      <c r="AL38" s="162">
        <v>68817747</v>
      </c>
      <c r="AM38" s="155">
        <v>68817746.840000004</v>
      </c>
      <c r="AN38" s="155">
        <v>68817746.840000004</v>
      </c>
      <c r="AO38" s="155">
        <v>68802746.840000004</v>
      </c>
      <c r="AP38" s="222">
        <v>68815246.840000004</v>
      </c>
      <c r="AQ38" s="224">
        <v>69000962.079999998</v>
      </c>
      <c r="AR38" s="222">
        <v>68985962.079999998</v>
      </c>
      <c r="AS38" s="222">
        <v>68987162.079999998</v>
      </c>
      <c r="AT38" s="222">
        <v>68989362.079999998</v>
      </c>
      <c r="AU38" s="268">
        <v>68990362.079999998</v>
      </c>
    </row>
    <row r="39" spans="1:47" ht="14.25">
      <c r="A39" s="26" t="s">
        <v>39</v>
      </c>
      <c r="B39" s="27"/>
      <c r="C39" s="99">
        <v>0</v>
      </c>
      <c r="D39" s="99">
        <v>0</v>
      </c>
      <c r="E39" s="99">
        <v>0</v>
      </c>
      <c r="F39" s="99">
        <v>0</v>
      </c>
      <c r="G39" s="99">
        <v>0</v>
      </c>
      <c r="H39" s="99">
        <v>0</v>
      </c>
      <c r="I39" s="99">
        <v>0</v>
      </c>
      <c r="J39" s="99">
        <v>0</v>
      </c>
      <c r="K39" s="99">
        <v>0</v>
      </c>
      <c r="L39" s="48"/>
      <c r="M39" s="47">
        <v>0</v>
      </c>
      <c r="N39" s="47">
        <v>0</v>
      </c>
      <c r="O39" s="47">
        <v>0</v>
      </c>
      <c r="P39" s="104">
        <v>0</v>
      </c>
      <c r="Q39" s="106">
        <v>0</v>
      </c>
      <c r="R39" s="106">
        <v>0</v>
      </c>
      <c r="S39" s="106">
        <v>0</v>
      </c>
      <c r="T39" s="106">
        <v>0</v>
      </c>
      <c r="U39">
        <v>0</v>
      </c>
      <c r="V39">
        <v>0</v>
      </c>
      <c r="W39">
        <v>0</v>
      </c>
      <c r="X39" s="8">
        <v>0</v>
      </c>
      <c r="Z39" s="120">
        <v>0</v>
      </c>
      <c r="AA39" s="120">
        <v>0</v>
      </c>
      <c r="AB39" s="120">
        <v>0</v>
      </c>
      <c r="AC39" s="120">
        <v>0</v>
      </c>
      <c r="AD39" s="120">
        <v>0</v>
      </c>
      <c r="AE39" s="120">
        <v>0</v>
      </c>
      <c r="AF39" s="8">
        <v>0</v>
      </c>
      <c r="AG39">
        <v>0</v>
      </c>
      <c r="AH39" s="8">
        <v>0</v>
      </c>
      <c r="AI39" s="151">
        <v>0</v>
      </c>
      <c r="AJ39" s="151">
        <v>0</v>
      </c>
      <c r="AK39" s="151">
        <v>0</v>
      </c>
      <c r="AL39" s="151">
        <v>0</v>
      </c>
      <c r="AM39" s="155">
        <v>0</v>
      </c>
      <c r="AN39" s="155">
        <v>0</v>
      </c>
      <c r="AO39" s="155">
        <v>0</v>
      </c>
      <c r="AP39" s="225">
        <v>0</v>
      </c>
      <c r="AQ39" s="227">
        <v>0</v>
      </c>
      <c r="AR39" s="225">
        <v>0</v>
      </c>
      <c r="AS39" s="225">
        <v>0</v>
      </c>
      <c r="AT39" s="225">
        <v>0</v>
      </c>
      <c r="AU39" s="269">
        <v>0</v>
      </c>
    </row>
    <row r="40" spans="1:47" ht="14.25">
      <c r="A40" s="26" t="s">
        <v>40</v>
      </c>
      <c r="B40" s="27">
        <v>30492146</v>
      </c>
      <c r="C40" s="99">
        <v>30942146</v>
      </c>
      <c r="D40" s="99">
        <v>30942146</v>
      </c>
      <c r="E40" s="99">
        <v>38134753</v>
      </c>
      <c r="F40" s="99">
        <v>38134753</v>
      </c>
      <c r="G40" s="99">
        <v>38134753</v>
      </c>
      <c r="H40" s="99">
        <v>21503348.239999998</v>
      </c>
      <c r="I40" s="99">
        <v>21503348.239999998</v>
      </c>
      <c r="J40" s="99">
        <v>21503348.239999998</v>
      </c>
      <c r="K40" s="99">
        <v>21503295.239999998</v>
      </c>
      <c r="L40" s="48">
        <v>38134753</v>
      </c>
      <c r="M40" s="47">
        <v>47693974</v>
      </c>
      <c r="N40" s="47">
        <v>0</v>
      </c>
      <c r="O40" s="47">
        <v>0</v>
      </c>
      <c r="P40" s="104">
        <v>0</v>
      </c>
      <c r="Q40" s="106">
        <v>0</v>
      </c>
      <c r="R40" s="107">
        <v>27089695.739999998</v>
      </c>
      <c r="S40" s="107">
        <v>29196279.09</v>
      </c>
      <c r="T40" s="107">
        <v>29196279.09</v>
      </c>
      <c r="U40" s="113">
        <v>29196279.09</v>
      </c>
      <c r="V40" s="113">
        <v>29196279.09</v>
      </c>
      <c r="W40" s="113">
        <v>29196279.09</v>
      </c>
      <c r="X40" s="8">
        <v>29196231.59</v>
      </c>
      <c r="Y40" s="113">
        <v>45827684.200000003</v>
      </c>
      <c r="Z40" s="120">
        <v>39951182.390000001</v>
      </c>
      <c r="AA40" s="120">
        <v>38251182.390000001</v>
      </c>
      <c r="AB40" s="120">
        <v>36283733</v>
      </c>
      <c r="AC40" s="120">
        <v>36283693.299999997</v>
      </c>
      <c r="AD40" s="120">
        <v>36283733.299999997</v>
      </c>
      <c r="AE40" s="120">
        <v>36283733.299999997</v>
      </c>
      <c r="AF40" s="8">
        <v>36283833.299999997</v>
      </c>
      <c r="AG40" s="113">
        <v>36283833.299999997</v>
      </c>
      <c r="AH40" s="8">
        <v>36283833.299999997</v>
      </c>
      <c r="AI40" s="150">
        <v>36283833.299999997</v>
      </c>
      <c r="AJ40" s="151">
        <v>36283833.299999997</v>
      </c>
      <c r="AK40" s="150">
        <v>36283833.299999997</v>
      </c>
      <c r="AL40" s="151">
        <v>36283733.299999997</v>
      </c>
      <c r="AM40" s="155">
        <v>42219096.549999997</v>
      </c>
      <c r="AN40" s="155">
        <v>42219096.549999997</v>
      </c>
      <c r="AO40" s="155">
        <v>35587820.689999998</v>
      </c>
      <c r="AP40" s="226">
        <v>31755354.18</v>
      </c>
      <c r="AQ40" s="228">
        <v>31713782.690000001</v>
      </c>
      <c r="AR40" s="222">
        <v>31713724.690000001</v>
      </c>
      <c r="AS40" s="226">
        <v>32547969.539999999</v>
      </c>
      <c r="AT40" s="226">
        <v>32547969.539999999</v>
      </c>
      <c r="AU40" s="270">
        <v>32547969.539999999</v>
      </c>
    </row>
    <row r="41" spans="1:47" ht="14.25">
      <c r="A41" s="26" t="s">
        <v>41</v>
      </c>
      <c r="B41" s="27">
        <f>-4643649+12286256.35</f>
        <v>7642607.3499999996</v>
      </c>
      <c r="C41" s="99">
        <v>855316.06</v>
      </c>
      <c r="D41" s="99">
        <v>925234.67</v>
      </c>
      <c r="E41" s="99">
        <v>1161015.29</v>
      </c>
      <c r="F41" s="99">
        <v>1135746.22</v>
      </c>
      <c r="G41" s="99">
        <v>1001002.46</v>
      </c>
      <c r="H41" s="99">
        <v>0</v>
      </c>
      <c r="I41" s="99">
        <v>0</v>
      </c>
      <c r="J41" s="99">
        <v>0</v>
      </c>
      <c r="K41" s="99">
        <v>0</v>
      </c>
      <c r="L41" s="48">
        <v>7692930</v>
      </c>
      <c r="M41" s="47">
        <v>21503348.239999998</v>
      </c>
      <c r="N41" s="47">
        <v>27992993.32</v>
      </c>
      <c r="O41" s="47">
        <v>29196279.09</v>
      </c>
      <c r="P41" s="105">
        <v>29196279.09</v>
      </c>
      <c r="Q41" s="107">
        <v>29196279.09</v>
      </c>
      <c r="R41" s="107">
        <v>27820931.32</v>
      </c>
      <c r="S41" s="107">
        <v>32688112.530000001</v>
      </c>
      <c r="T41" s="107">
        <v>37997671.539999999</v>
      </c>
      <c r="U41" s="113">
        <v>43417208.390000001</v>
      </c>
      <c r="V41" s="113">
        <v>47052382.719999999</v>
      </c>
      <c r="W41" s="113">
        <v>51345031.920000002</v>
      </c>
      <c r="X41" s="8">
        <v>61129357.600000001</v>
      </c>
      <c r="Y41" s="113">
        <f>7087454.1-16631405</f>
        <v>-9543950.9000000004</v>
      </c>
      <c r="Z41" s="120">
        <v>4193655.59</v>
      </c>
      <c r="AA41" s="120">
        <v>5237610.29</v>
      </c>
      <c r="AB41" s="120">
        <v>12133302.220000001</v>
      </c>
      <c r="AC41" s="120">
        <v>17852612.25</v>
      </c>
      <c r="AD41" s="120">
        <v>22427625.059999999</v>
      </c>
      <c r="AE41" s="120">
        <v>25162694.34</v>
      </c>
      <c r="AF41" s="8">
        <v>25477436.440000001</v>
      </c>
      <c r="AG41" s="113">
        <v>32040692.940000001</v>
      </c>
      <c r="AH41" s="8">
        <v>33796410.979999997</v>
      </c>
      <c r="AI41" s="150">
        <v>36962810.270000003</v>
      </c>
      <c r="AJ41" s="151">
        <v>39182321.670000002</v>
      </c>
      <c r="AK41" s="150">
        <v>13935382.25</v>
      </c>
      <c r="AL41" s="151">
        <f>14259291.55-2851858.31-300000</f>
        <v>11107433.24</v>
      </c>
      <c r="AM41" s="155">
        <v>3274284.21</v>
      </c>
      <c r="AN41" s="155">
        <v>4711561.5599999996</v>
      </c>
      <c r="AO41" s="155">
        <v>8960035.9499999993</v>
      </c>
      <c r="AP41" s="226">
        <v>12624758.720000001</v>
      </c>
      <c r="AQ41" s="228">
        <v>19840040.460000001</v>
      </c>
      <c r="AR41" s="226">
        <v>23332043.780000001</v>
      </c>
      <c r="AS41" s="226">
        <v>27328371.760000002</v>
      </c>
      <c r="AT41" s="226">
        <v>32185270.27</v>
      </c>
      <c r="AU41" s="270">
        <v>38141804.810000002</v>
      </c>
    </row>
    <row r="42" spans="1:47" ht="14.25">
      <c r="A42" s="26" t="s">
        <v>42</v>
      </c>
      <c r="B42" s="27">
        <v>13603823</v>
      </c>
      <c r="C42" s="99">
        <v>10532259</v>
      </c>
      <c r="D42" s="99">
        <v>10532259</v>
      </c>
      <c r="E42" s="99">
        <v>13603823</v>
      </c>
      <c r="F42" s="99">
        <v>13603823</v>
      </c>
      <c r="G42" s="99">
        <v>13603823</v>
      </c>
      <c r="H42" s="99">
        <v>0</v>
      </c>
      <c r="I42" s="99">
        <v>0</v>
      </c>
      <c r="J42" s="99">
        <v>0</v>
      </c>
      <c r="K42" s="99">
        <v>0</v>
      </c>
      <c r="L42" s="48">
        <v>15589555.85</v>
      </c>
      <c r="M42" s="47">
        <v>0</v>
      </c>
      <c r="N42" s="47">
        <v>0</v>
      </c>
      <c r="O42" s="47">
        <v>0</v>
      </c>
      <c r="P42" s="104">
        <v>0</v>
      </c>
      <c r="Q42" s="106">
        <v>0</v>
      </c>
      <c r="R42" s="107">
        <v>15589555.85</v>
      </c>
      <c r="S42" s="107">
        <v>15589555.85</v>
      </c>
      <c r="T42" s="107">
        <v>15589555.85</v>
      </c>
      <c r="U42" s="113">
        <v>15589555.85</v>
      </c>
      <c r="V42" s="113">
        <v>15589555.85</v>
      </c>
      <c r="W42" s="113">
        <v>15589555.85</v>
      </c>
      <c r="X42" s="8">
        <v>15589555.85</v>
      </c>
      <c r="Y42" s="113">
        <v>18681835.25</v>
      </c>
      <c r="Z42" s="120">
        <v>18278234.649999999</v>
      </c>
      <c r="AA42" s="120">
        <v>18278234.649999999</v>
      </c>
      <c r="AB42" s="120">
        <v>18681835</v>
      </c>
      <c r="AC42" s="120">
        <v>18681835.25</v>
      </c>
      <c r="AD42" s="120">
        <v>18681835.25</v>
      </c>
      <c r="AE42" s="120">
        <v>18681835.25</v>
      </c>
      <c r="AF42" s="8">
        <v>18681835.25</v>
      </c>
      <c r="AG42" s="113">
        <v>18681835.25</v>
      </c>
      <c r="AH42" s="8">
        <v>18681835.25</v>
      </c>
      <c r="AI42" s="151">
        <v>18681835.25</v>
      </c>
      <c r="AJ42" s="151">
        <v>18681835.25</v>
      </c>
      <c r="AK42" s="151">
        <v>18681835.25</v>
      </c>
      <c r="AL42" s="151">
        <v>21533693.16</v>
      </c>
      <c r="AM42" s="155">
        <v>18681835.25</v>
      </c>
      <c r="AN42" s="155">
        <v>18681835.25</v>
      </c>
      <c r="AO42" s="155">
        <v>21533693.559999999</v>
      </c>
      <c r="AP42" s="226">
        <v>21533693.559999999</v>
      </c>
      <c r="AQ42" s="228">
        <v>21533693.559999999</v>
      </c>
      <c r="AR42" s="222">
        <v>21533693.559999999</v>
      </c>
      <c r="AS42" s="226">
        <v>21533693.559999999</v>
      </c>
      <c r="AT42" s="226">
        <v>21533693.559999999</v>
      </c>
      <c r="AU42" s="270">
        <v>21533693.559999999</v>
      </c>
    </row>
    <row r="43" spans="1:47" ht="14.25">
      <c r="A43" s="26" t="s">
        <v>43</v>
      </c>
      <c r="B43" s="27">
        <f>17608559+127525</f>
        <v>17736084</v>
      </c>
      <c r="C43" s="99">
        <v>17736084</v>
      </c>
      <c r="D43" s="99">
        <v>17736084</v>
      </c>
      <c r="E43" s="99">
        <v>17736084</v>
      </c>
      <c r="F43" s="99">
        <v>17736084</v>
      </c>
      <c r="G43" s="99">
        <v>17736084</v>
      </c>
      <c r="H43" s="99">
        <v>13603823.1</v>
      </c>
      <c r="I43" s="99">
        <v>13603823.1</v>
      </c>
      <c r="J43" s="99">
        <v>13603823.1</v>
      </c>
      <c r="K43" s="99">
        <v>13603823.1</v>
      </c>
      <c r="L43" s="48">
        <f>17608559+127525</f>
        <v>17736084</v>
      </c>
      <c r="M43" s="47">
        <v>0</v>
      </c>
      <c r="N43" s="47">
        <v>0</v>
      </c>
      <c r="O43" s="47">
        <v>0</v>
      </c>
      <c r="P43" s="104">
        <v>0</v>
      </c>
      <c r="Q43" s="106">
        <v>0</v>
      </c>
      <c r="R43" s="107">
        <v>17736084</v>
      </c>
      <c r="S43" s="107">
        <v>17736084</v>
      </c>
      <c r="T43" s="107">
        <v>17736084</v>
      </c>
      <c r="U43" s="113">
        <v>17736084</v>
      </c>
      <c r="V43" s="113">
        <v>17736084</v>
      </c>
      <c r="W43" s="113">
        <v>17736084</v>
      </c>
      <c r="X43" s="8">
        <v>17736084</v>
      </c>
      <c r="Y43" s="113">
        <f>127525+17608559</f>
        <v>17736084</v>
      </c>
      <c r="Z43" s="120">
        <v>17736084</v>
      </c>
      <c r="AA43" s="120">
        <v>17736084</v>
      </c>
      <c r="AB43" s="120">
        <v>17736084</v>
      </c>
      <c r="AC43" s="120">
        <v>17736084</v>
      </c>
      <c r="AD43" s="120">
        <v>17736084</v>
      </c>
      <c r="AE43" s="120">
        <v>17736084</v>
      </c>
      <c r="AF43" s="8">
        <v>17736084</v>
      </c>
      <c r="AG43" s="113">
        <v>17736084</v>
      </c>
      <c r="AH43" s="8">
        <v>17736084</v>
      </c>
      <c r="AI43" s="151">
        <v>127525</v>
      </c>
      <c r="AJ43" s="151">
        <v>127525</v>
      </c>
      <c r="AK43" s="151">
        <f>17608559+127525</f>
        <v>17736084</v>
      </c>
      <c r="AL43" s="151">
        <f>17608559+127525</f>
        <v>17736084</v>
      </c>
      <c r="AM43" s="151">
        <f t="shared" ref="AM43:AO43" si="32">17608559+127525</f>
        <v>17736084</v>
      </c>
      <c r="AN43" s="151">
        <f t="shared" si="32"/>
        <v>17736084</v>
      </c>
      <c r="AO43" s="151">
        <f t="shared" si="32"/>
        <v>17736084</v>
      </c>
      <c r="AP43" s="226">
        <v>127525</v>
      </c>
      <c r="AQ43" s="228">
        <v>127525</v>
      </c>
      <c r="AR43" s="226">
        <v>127525</v>
      </c>
      <c r="AS43" s="226">
        <v>127525</v>
      </c>
      <c r="AT43" s="226">
        <v>127525</v>
      </c>
      <c r="AU43" s="270">
        <v>127525</v>
      </c>
    </row>
    <row r="44" spans="1:47" ht="14.25">
      <c r="A44" s="26" t="s">
        <v>44</v>
      </c>
      <c r="B44" s="27"/>
      <c r="C44" s="99">
        <v>0</v>
      </c>
      <c r="D44" s="99">
        <v>0</v>
      </c>
      <c r="E44" s="99">
        <v>0</v>
      </c>
      <c r="F44" s="99">
        <v>0</v>
      </c>
      <c r="G44" s="99">
        <v>0</v>
      </c>
      <c r="H44" s="99">
        <v>17736084</v>
      </c>
      <c r="I44" s="99">
        <v>17736084</v>
      </c>
      <c r="J44" s="99">
        <v>17736084</v>
      </c>
      <c r="K44" s="99">
        <v>17736084</v>
      </c>
      <c r="L44" s="48"/>
      <c r="M44" s="47">
        <v>13603823.1</v>
      </c>
      <c r="N44" s="47">
        <v>15589555.85</v>
      </c>
      <c r="O44" s="47">
        <v>15589555.85</v>
      </c>
      <c r="P44" s="105">
        <v>15589555.85</v>
      </c>
      <c r="Q44" s="107">
        <v>15589555.85</v>
      </c>
      <c r="R44" s="106">
        <v>0</v>
      </c>
      <c r="S44" s="106">
        <v>0</v>
      </c>
      <c r="T44" s="106">
        <v>0</v>
      </c>
      <c r="U44">
        <v>0</v>
      </c>
      <c r="V44">
        <v>0</v>
      </c>
      <c r="W44">
        <v>0</v>
      </c>
      <c r="X44" s="8">
        <v>0</v>
      </c>
      <c r="Z44" s="120">
        <v>0</v>
      </c>
      <c r="AA44" s="120">
        <v>0</v>
      </c>
      <c r="AB44" s="120">
        <v>0</v>
      </c>
      <c r="AC44" s="120">
        <v>0</v>
      </c>
      <c r="AD44" s="120">
        <v>0</v>
      </c>
      <c r="AE44" s="120">
        <v>0</v>
      </c>
      <c r="AF44" s="8">
        <v>0</v>
      </c>
      <c r="AG44">
        <v>0</v>
      </c>
      <c r="AH44" s="8">
        <v>0</v>
      </c>
      <c r="AI44" s="151">
        <v>17608559</v>
      </c>
      <c r="AJ44" s="151">
        <v>17608559</v>
      </c>
      <c r="AK44" s="151"/>
      <c r="AL44" s="151"/>
      <c r="AP44" s="226">
        <v>17608559</v>
      </c>
      <c r="AQ44" s="228">
        <v>17608559</v>
      </c>
      <c r="AR44" s="226">
        <v>17608559</v>
      </c>
      <c r="AS44" s="226">
        <v>17608559</v>
      </c>
      <c r="AT44" s="226">
        <v>17608559</v>
      </c>
      <c r="AU44" s="270">
        <v>17608559</v>
      </c>
    </row>
    <row r="45" spans="1:47" ht="14.25">
      <c r="A45" s="26" t="s">
        <v>45</v>
      </c>
      <c r="B45" s="27"/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48"/>
      <c r="M45" s="47">
        <v>17736084</v>
      </c>
      <c r="N45" s="47">
        <v>17736084</v>
      </c>
      <c r="O45" s="47">
        <v>17736084</v>
      </c>
      <c r="P45" s="104">
        <v>17736084</v>
      </c>
      <c r="Q45" s="106">
        <v>17736084</v>
      </c>
      <c r="R45" s="106">
        <v>0</v>
      </c>
      <c r="S45" s="106">
        <v>0</v>
      </c>
      <c r="T45" s="106">
        <v>0</v>
      </c>
      <c r="X45" s="8"/>
      <c r="Y45" s="113">
        <v>4981663.4000000004</v>
      </c>
      <c r="Z45" s="120">
        <v>0</v>
      </c>
      <c r="AA45" s="120">
        <v>0</v>
      </c>
      <c r="AB45" s="120">
        <v>0</v>
      </c>
      <c r="AC45" s="120">
        <v>0</v>
      </c>
      <c r="AD45" s="120">
        <v>0</v>
      </c>
      <c r="AE45" s="120">
        <v>0</v>
      </c>
      <c r="AF45" s="8">
        <v>0</v>
      </c>
      <c r="AG45" s="8">
        <v>0</v>
      </c>
      <c r="AH45" s="8">
        <v>0</v>
      </c>
      <c r="AI45" s="151">
        <v>0</v>
      </c>
      <c r="AJ45" s="151">
        <v>0</v>
      </c>
      <c r="AK45" s="151">
        <v>0</v>
      </c>
      <c r="AL45" s="151"/>
      <c r="AM45" s="155">
        <v>0</v>
      </c>
      <c r="AN45" s="155">
        <v>0</v>
      </c>
      <c r="AO45" s="155">
        <v>0</v>
      </c>
      <c r="AP45" s="225">
        <v>0</v>
      </c>
      <c r="AQ45" s="227">
        <v>0</v>
      </c>
      <c r="AR45" s="225">
        <v>0</v>
      </c>
      <c r="AS45" s="225">
        <v>0</v>
      </c>
      <c r="AT45" s="225">
        <v>0</v>
      </c>
      <c r="AU45" s="269">
        <v>0</v>
      </c>
    </row>
    <row r="46" spans="1:47" ht="14.25">
      <c r="A46" s="26" t="s">
        <v>46</v>
      </c>
      <c r="B46" s="27"/>
      <c r="C46" s="101">
        <v>0</v>
      </c>
      <c r="D46" s="101">
        <v>0</v>
      </c>
      <c r="E46" s="101">
        <v>0</v>
      </c>
      <c r="F46" s="101">
        <v>0</v>
      </c>
      <c r="G46" s="101">
        <v>0</v>
      </c>
      <c r="H46" s="101">
        <v>0</v>
      </c>
      <c r="I46" s="101">
        <v>0</v>
      </c>
      <c r="J46" s="101">
        <v>0</v>
      </c>
      <c r="K46" s="101">
        <v>0</v>
      </c>
      <c r="L46" s="48"/>
      <c r="M46" s="47">
        <v>0</v>
      </c>
      <c r="N46" s="47">
        <v>0</v>
      </c>
      <c r="O46" s="47">
        <v>0</v>
      </c>
      <c r="P46" s="104">
        <v>0</v>
      </c>
      <c r="Q46" s="106">
        <v>0</v>
      </c>
      <c r="R46" s="106">
        <v>0</v>
      </c>
      <c r="S46" s="106">
        <v>0</v>
      </c>
      <c r="T46" s="106">
        <v>0</v>
      </c>
      <c r="X46" s="8"/>
      <c r="Z46" s="8"/>
      <c r="AA46" s="113"/>
      <c r="AB46" s="8"/>
      <c r="AC46" s="113"/>
      <c r="AD46" s="8"/>
      <c r="AE46" s="113"/>
      <c r="AF46" s="8">
        <v>0</v>
      </c>
      <c r="AG46" s="113">
        <v>0</v>
      </c>
      <c r="AH46" s="8">
        <v>0</v>
      </c>
      <c r="AI46" s="151">
        <v>0</v>
      </c>
      <c r="AJ46" s="151">
        <v>0</v>
      </c>
      <c r="AK46" s="151">
        <v>0</v>
      </c>
      <c r="AL46" s="151"/>
      <c r="AM46" s="155">
        <v>0</v>
      </c>
      <c r="AN46" s="155">
        <v>0</v>
      </c>
      <c r="AO46" s="155">
        <v>0</v>
      </c>
      <c r="AP46" s="225">
        <v>0</v>
      </c>
      <c r="AQ46" s="227">
        <v>0</v>
      </c>
      <c r="AR46" s="225">
        <v>0</v>
      </c>
      <c r="AS46" s="225">
        <v>0</v>
      </c>
      <c r="AT46" s="225">
        <v>0</v>
      </c>
      <c r="AU46" s="269">
        <v>0</v>
      </c>
    </row>
    <row r="47" spans="1:47" ht="15">
      <c r="A47" s="25" t="s">
        <v>47</v>
      </c>
      <c r="B47" s="34">
        <f>SUM(B38:B46)</f>
        <v>118239348.34999999</v>
      </c>
      <c r="C47" s="34">
        <f t="shared" ref="C47:L47" si="33">SUM(C38:C46)</f>
        <v>108842993.06</v>
      </c>
      <c r="D47" s="34">
        <f t="shared" si="33"/>
        <v>108907011.67</v>
      </c>
      <c r="E47" s="34">
        <f t="shared" si="33"/>
        <v>119406963.29000001</v>
      </c>
      <c r="F47" s="34">
        <f t="shared" si="33"/>
        <v>119381694.22</v>
      </c>
      <c r="G47" s="34">
        <f t="shared" si="33"/>
        <v>119246950.45999999</v>
      </c>
      <c r="H47" s="34">
        <f t="shared" si="33"/>
        <v>102274755.74999999</v>
      </c>
      <c r="I47" s="34">
        <f t="shared" si="33"/>
        <v>102275255.74999999</v>
      </c>
      <c r="J47" s="34">
        <f t="shared" si="33"/>
        <v>102277255.74999999</v>
      </c>
      <c r="K47" s="34">
        <f t="shared" si="33"/>
        <v>102278202.74999999</v>
      </c>
      <c r="L47" s="34">
        <f t="shared" si="33"/>
        <v>128588322.84999999</v>
      </c>
      <c r="M47" s="34">
        <f t="shared" ref="M47:X47" si="34">SUM(M38:M46)</f>
        <v>149972229.75</v>
      </c>
      <c r="N47" s="34">
        <f t="shared" si="34"/>
        <v>110753833.57999998</v>
      </c>
      <c r="O47" s="34">
        <f t="shared" si="34"/>
        <v>111960340.42999999</v>
      </c>
      <c r="P47" s="34">
        <f t="shared" si="34"/>
        <v>111960340.42999999</v>
      </c>
      <c r="Q47" s="34">
        <f t="shared" si="34"/>
        <v>111964340.42999999</v>
      </c>
      <c r="R47" s="34">
        <f t="shared" si="34"/>
        <v>146829071.78999999</v>
      </c>
      <c r="S47" s="34">
        <f t="shared" si="34"/>
        <v>153804836.34999999</v>
      </c>
      <c r="T47" s="34">
        <f t="shared" si="34"/>
        <v>159114395.35999998</v>
      </c>
      <c r="U47" s="34">
        <f t="shared" si="34"/>
        <v>164534932.21000001</v>
      </c>
      <c r="V47" s="34">
        <f t="shared" si="34"/>
        <v>168170106.53999999</v>
      </c>
      <c r="W47" s="34">
        <f t="shared" si="34"/>
        <v>172473755.73999998</v>
      </c>
      <c r="X47" s="34">
        <f t="shared" si="34"/>
        <v>182259033.91999999</v>
      </c>
      <c r="Y47" s="34">
        <f t="shared" ref="Y47:AA47" si="35">SUM(Y38:Y46)</f>
        <v>136291120.94999999</v>
      </c>
      <c r="Z47" s="34">
        <f t="shared" si="35"/>
        <v>138766961.51000002</v>
      </c>
      <c r="AA47" s="34">
        <f t="shared" si="35"/>
        <v>138112416.21000001</v>
      </c>
      <c r="AB47" s="34">
        <f t="shared" ref="AB47:AK47" si="36">SUM(AB38:AB46)</f>
        <v>143333486.81999999</v>
      </c>
      <c r="AC47" s="34">
        <f t="shared" si="36"/>
        <v>149052757.40000001</v>
      </c>
      <c r="AD47" s="34">
        <f t="shared" si="36"/>
        <v>153627810.21000001</v>
      </c>
      <c r="AE47" s="34">
        <f t="shared" si="36"/>
        <v>156362879.49000001</v>
      </c>
      <c r="AF47" s="34">
        <f t="shared" si="36"/>
        <v>156677721.59</v>
      </c>
      <c r="AG47" s="34">
        <f t="shared" si="36"/>
        <v>163240978.09</v>
      </c>
      <c r="AH47" s="153">
        <f t="shared" si="36"/>
        <v>165018471.79999998</v>
      </c>
      <c r="AI47" s="149">
        <f t="shared" si="36"/>
        <v>168949994.09</v>
      </c>
      <c r="AJ47" s="149">
        <f t="shared" si="36"/>
        <v>171169505.49000001</v>
      </c>
      <c r="AK47" s="149">
        <f t="shared" si="36"/>
        <v>155454881.80000001</v>
      </c>
      <c r="AL47" s="149">
        <f t="shared" ref="AL47:AU47" si="37">SUM(AL38:AL46)</f>
        <v>155478690.69999999</v>
      </c>
      <c r="AM47" s="152">
        <f t="shared" si="37"/>
        <v>150729046.84999999</v>
      </c>
      <c r="AN47" s="152">
        <f t="shared" si="37"/>
        <v>152166324.19999999</v>
      </c>
      <c r="AO47" s="152">
        <f t="shared" si="37"/>
        <v>152620381.03999999</v>
      </c>
      <c r="AP47" s="149">
        <f t="shared" si="37"/>
        <v>152465137.30000001</v>
      </c>
      <c r="AQ47" s="149">
        <f t="shared" si="37"/>
        <v>159824562.78999999</v>
      </c>
      <c r="AR47" s="149">
        <f t="shared" si="37"/>
        <v>163301508.10999998</v>
      </c>
      <c r="AS47" s="149">
        <f t="shared" si="37"/>
        <v>168133280.94</v>
      </c>
      <c r="AT47" s="149">
        <f t="shared" si="37"/>
        <v>172992379.44999999</v>
      </c>
      <c r="AU47" s="149">
        <f t="shared" si="37"/>
        <v>178949913.99000001</v>
      </c>
    </row>
    <row r="48" spans="1:47" ht="15">
      <c r="A48" s="25" t="s">
        <v>48</v>
      </c>
      <c r="B48" s="34">
        <f>B47+B37</f>
        <v>766839005.70000005</v>
      </c>
      <c r="C48" s="34">
        <f t="shared" ref="C48:L48" si="38">C47+C37</f>
        <v>761807040.73000002</v>
      </c>
      <c r="D48" s="34">
        <f t="shared" si="38"/>
        <v>766154772.7299999</v>
      </c>
      <c r="E48" s="34">
        <f t="shared" si="38"/>
        <v>755493436.63999987</v>
      </c>
      <c r="F48" s="34">
        <f t="shared" si="38"/>
        <v>755781542.38999999</v>
      </c>
      <c r="G48" s="34">
        <f t="shared" si="38"/>
        <v>752590929.53999996</v>
      </c>
      <c r="H48" s="34">
        <f t="shared" si="38"/>
        <v>721444060.96999991</v>
      </c>
      <c r="I48" s="34">
        <f t="shared" si="38"/>
        <v>721147870.73999989</v>
      </c>
      <c r="J48" s="34">
        <f t="shared" si="38"/>
        <v>718617126.17000008</v>
      </c>
      <c r="K48" s="34">
        <f t="shared" si="38"/>
        <v>722742144.48999989</v>
      </c>
      <c r="L48" s="34">
        <f t="shared" si="38"/>
        <v>801236311.70000005</v>
      </c>
      <c r="M48" s="34">
        <f t="shared" ref="M48:X48" si="39">M47+M37</f>
        <v>760401524.92000008</v>
      </c>
      <c r="N48" s="34">
        <f t="shared" si="39"/>
        <v>760640410.21000004</v>
      </c>
      <c r="O48" s="34">
        <f t="shared" si="39"/>
        <v>754581776.04999995</v>
      </c>
      <c r="P48" s="34">
        <f t="shared" si="39"/>
        <v>739992918.93999994</v>
      </c>
      <c r="Q48" s="34">
        <f t="shared" si="39"/>
        <v>746279986.15999985</v>
      </c>
      <c r="R48" s="34">
        <f t="shared" si="39"/>
        <v>768725817.87</v>
      </c>
      <c r="S48" s="34">
        <f t="shared" si="39"/>
        <v>796973162.13999999</v>
      </c>
      <c r="T48" s="34">
        <f t="shared" si="39"/>
        <v>812169166.74000001</v>
      </c>
      <c r="U48" s="34">
        <f t="shared" si="39"/>
        <v>818234963.91999996</v>
      </c>
      <c r="V48" s="34">
        <f t="shared" si="39"/>
        <v>824276363.1099999</v>
      </c>
      <c r="W48" s="34">
        <f t="shared" si="39"/>
        <v>833929506.28999996</v>
      </c>
      <c r="X48" s="34">
        <f t="shared" si="39"/>
        <v>840451234.32999992</v>
      </c>
      <c r="Y48" s="34">
        <f t="shared" ref="Y48:AA48" si="40">Y47+Y37</f>
        <v>837075941.70000005</v>
      </c>
      <c r="Z48" s="34">
        <f t="shared" si="40"/>
        <v>855672788.27999997</v>
      </c>
      <c r="AA48" s="34">
        <f t="shared" si="40"/>
        <v>863432766.18000007</v>
      </c>
      <c r="AB48" s="34">
        <f t="shared" ref="AB48:AK48" si="41">AB47+AB37</f>
        <v>844455423.58999991</v>
      </c>
      <c r="AC48" s="34">
        <f t="shared" si="41"/>
        <v>829297841.88</v>
      </c>
      <c r="AD48" s="34">
        <f t="shared" si="41"/>
        <v>832531214.49000001</v>
      </c>
      <c r="AE48" s="34">
        <f t="shared" si="41"/>
        <v>845719949.70000005</v>
      </c>
      <c r="AF48" s="34">
        <f t="shared" si="41"/>
        <v>844417975.84000003</v>
      </c>
      <c r="AG48" s="34">
        <f t="shared" si="41"/>
        <v>853217932.25000012</v>
      </c>
      <c r="AH48" s="153">
        <f t="shared" si="41"/>
        <v>850280563.11999989</v>
      </c>
      <c r="AI48" s="149">
        <f t="shared" si="41"/>
        <v>865837321.04000008</v>
      </c>
      <c r="AJ48" s="149">
        <f t="shared" si="41"/>
        <v>872529547.72000003</v>
      </c>
      <c r="AK48" s="149">
        <f t="shared" si="41"/>
        <v>879440244.53999996</v>
      </c>
      <c r="AL48" s="149">
        <f t="shared" ref="AL48:AU48" si="42">AL47+AL37</f>
        <v>891881911.70000005</v>
      </c>
      <c r="AM48" s="152">
        <f t="shared" si="42"/>
        <v>886755627.93999994</v>
      </c>
      <c r="AN48" s="152">
        <f t="shared" si="42"/>
        <v>888250287.25999999</v>
      </c>
      <c r="AO48" s="152">
        <f t="shared" si="42"/>
        <v>879866030.49000001</v>
      </c>
      <c r="AP48" s="149">
        <f t="shared" si="42"/>
        <v>860994560.29999995</v>
      </c>
      <c r="AQ48" s="149">
        <f t="shared" si="42"/>
        <v>871296730.00999999</v>
      </c>
      <c r="AR48" s="149">
        <f t="shared" si="42"/>
        <v>878767388.95000005</v>
      </c>
      <c r="AS48" s="149">
        <f t="shared" si="42"/>
        <v>890988990.81999993</v>
      </c>
      <c r="AT48" s="149">
        <f t="shared" si="42"/>
        <v>903862677.11999989</v>
      </c>
      <c r="AU48" s="149">
        <f t="shared" si="42"/>
        <v>899066949.29999995</v>
      </c>
    </row>
    <row r="49" spans="2:47">
      <c r="AT49" s="8">
        <f>AT48-AT26</f>
        <v>0</v>
      </c>
      <c r="AU49" s="8">
        <f>AU48-AU26</f>
        <v>0</v>
      </c>
    </row>
    <row r="50" spans="2:47">
      <c r="B50" s="4">
        <f>B48-B26</f>
        <v>150089089.70000005</v>
      </c>
      <c r="C50" s="4">
        <f t="shared" ref="C50:K50" si="43">C48-C26</f>
        <v>0</v>
      </c>
      <c r="D50" s="4">
        <f t="shared" si="43"/>
        <v>0</v>
      </c>
      <c r="E50" s="4">
        <f t="shared" si="43"/>
        <v>-27.00000011920929</v>
      </c>
      <c r="F50" s="4">
        <f t="shared" si="43"/>
        <v>0</v>
      </c>
      <c r="G50" s="4">
        <f t="shared" si="43"/>
        <v>0</v>
      </c>
      <c r="H50" s="4">
        <f t="shared" si="43"/>
        <v>-32222782.090000033</v>
      </c>
      <c r="I50" s="4">
        <f t="shared" si="43"/>
        <v>-35574697.810000181</v>
      </c>
      <c r="J50" s="4">
        <f t="shared" si="43"/>
        <v>-40438371.199999928</v>
      </c>
      <c r="K50" s="4">
        <f t="shared" si="43"/>
        <v>-45294027.130000114</v>
      </c>
      <c r="L50" s="4">
        <f>L48-L26</f>
        <v>155788119.25</v>
      </c>
      <c r="M50" s="4">
        <f t="shared" ref="M50:W50" si="44">M48-M26</f>
        <v>-3940232.4299998283</v>
      </c>
      <c r="N50" s="4">
        <f t="shared" si="44"/>
        <v>-6992173.3899999857</v>
      </c>
      <c r="O50" s="4">
        <f t="shared" si="44"/>
        <v>-11481834.190000057</v>
      </c>
      <c r="P50" s="4">
        <f t="shared" si="44"/>
        <v>-16901064.76000011</v>
      </c>
      <c r="Q50" s="4">
        <f t="shared" si="44"/>
        <v>-21054355.320000052</v>
      </c>
      <c r="R50" s="4">
        <f t="shared" si="44"/>
        <v>0</v>
      </c>
      <c r="S50" s="4">
        <f t="shared" si="44"/>
        <v>0</v>
      </c>
      <c r="T50" s="4">
        <f t="shared" si="44"/>
        <v>0</v>
      </c>
      <c r="U50" s="4">
        <f t="shared" si="44"/>
        <v>0</v>
      </c>
      <c r="V50" s="4">
        <f t="shared" si="44"/>
        <v>0</v>
      </c>
      <c r="W50" s="4">
        <f t="shared" si="44"/>
        <v>0</v>
      </c>
      <c r="X50" s="4">
        <f>X48-X26</f>
        <v>0</v>
      </c>
      <c r="Y50" s="120">
        <f t="shared" ref="Y50:AA50" si="45">Y48-Y26</f>
        <v>0.60000002384185791</v>
      </c>
      <c r="Z50" s="120">
        <f t="shared" si="45"/>
        <v>0</v>
      </c>
      <c r="AA50" s="120">
        <f t="shared" si="45"/>
        <v>0</v>
      </c>
      <c r="AB50" s="120">
        <f t="shared" ref="AB50:AK50" si="46">AB48-AB26</f>
        <v>0</v>
      </c>
      <c r="AC50" s="120">
        <f t="shared" si="46"/>
        <v>0</v>
      </c>
      <c r="AD50" s="120">
        <f t="shared" si="46"/>
        <v>0</v>
      </c>
      <c r="AE50" s="120">
        <f t="shared" si="46"/>
        <v>0</v>
      </c>
      <c r="AF50" s="4">
        <f t="shared" si="46"/>
        <v>0</v>
      </c>
      <c r="AG50" s="4">
        <f t="shared" si="46"/>
        <v>0</v>
      </c>
      <c r="AH50" s="4">
        <f t="shared" si="46"/>
        <v>0</v>
      </c>
      <c r="AI50" s="4">
        <f t="shared" si="46"/>
        <v>0</v>
      </c>
      <c r="AJ50" s="4">
        <f t="shared" si="46"/>
        <v>0</v>
      </c>
      <c r="AK50" s="4">
        <f t="shared" si="46"/>
        <v>0</v>
      </c>
      <c r="AL50" s="4">
        <f t="shared" ref="AL50:AP50" si="47">AL48-AL26</f>
        <v>0</v>
      </c>
      <c r="AM50" s="4">
        <f t="shared" si="47"/>
        <v>0</v>
      </c>
      <c r="AN50" s="4">
        <f t="shared" si="47"/>
        <v>0</v>
      </c>
      <c r="AO50" s="4">
        <f t="shared" si="47"/>
        <v>0</v>
      </c>
      <c r="AP50" s="4">
        <f t="shared" si="47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40"/>
  <sheetViews>
    <sheetView tabSelected="1" workbookViewId="0">
      <pane xSplit="1" ySplit="2" topLeftCell="AS28" activePane="bottomRight" state="frozen"/>
      <selection pane="bottomRight" activeCell="AT37" sqref="AT37:AU37"/>
      <selection pane="bottomLeft" activeCell="A3" sqref="A3"/>
      <selection pane="topRight" activeCell="B1" sqref="B1"/>
    </sheetView>
  </sheetViews>
  <sheetFormatPr defaultRowHeight="14.45"/>
  <cols>
    <col min="1" max="1" width="41" customWidth="1"/>
    <col min="2" max="2" width="19.5703125" customWidth="1"/>
    <col min="3" max="4" width="11.85546875" hidden="1" customWidth="1"/>
    <col min="5" max="11" width="13.7109375" hidden="1" customWidth="1"/>
    <col min="12" max="12" width="14.85546875" customWidth="1"/>
    <col min="13" max="13" width="12.5703125" hidden="1" customWidth="1"/>
    <col min="14" max="15" width="13.7109375" hidden="1" customWidth="1"/>
    <col min="16" max="20" width="14.7109375" hidden="1" customWidth="1"/>
    <col min="21" max="21" width="11.7109375" hidden="1" customWidth="1"/>
    <col min="22" max="22" width="9.85546875" hidden="1" customWidth="1"/>
    <col min="23" max="23" width="11.140625" hidden="1" customWidth="1"/>
    <col min="24" max="24" width="16.85546875" hidden="1" customWidth="1"/>
    <col min="25" max="25" width="18.7109375" customWidth="1"/>
    <col min="26" max="26" width="14.28515625" hidden="1" customWidth="1"/>
    <col min="27" max="27" width="15" hidden="1" customWidth="1"/>
    <col min="28" max="28" width="14.7109375" hidden="1" customWidth="1"/>
    <col min="29" max="29" width="14.85546875" hidden="1" customWidth="1"/>
    <col min="30" max="30" width="16.7109375" hidden="1" customWidth="1"/>
    <col min="31" max="31" width="14.5703125" hidden="1" customWidth="1"/>
    <col min="32" max="32" width="15.85546875" hidden="1" customWidth="1"/>
    <col min="33" max="33" width="20.140625" hidden="1" customWidth="1"/>
    <col min="34" max="34" width="21" hidden="1" customWidth="1"/>
    <col min="35" max="35" width="14.7109375" hidden="1" customWidth="1"/>
    <col min="36" max="36" width="14.5703125" hidden="1" customWidth="1"/>
    <col min="37" max="37" width="15.42578125" customWidth="1"/>
    <col min="38" max="38" width="15.5703125" customWidth="1"/>
    <col min="39" max="39" width="12.5703125" style="120" bestFit="1" customWidth="1"/>
    <col min="40" max="41" width="13.7109375" style="120" bestFit="1" customWidth="1"/>
    <col min="42" max="43" width="13.5703125" customWidth="1"/>
    <col min="44" max="44" width="18.5703125" customWidth="1"/>
    <col min="45" max="45" width="19.140625" customWidth="1"/>
    <col min="46" max="46" width="16.5703125" customWidth="1"/>
    <col min="47" max="47" width="17.5703125" customWidth="1"/>
  </cols>
  <sheetData>
    <row r="1" spans="1:47" ht="15" customHeight="1">
      <c r="A1" s="243"/>
      <c r="B1" s="243"/>
    </row>
    <row r="2" spans="1:47" ht="15.75" customHeight="1">
      <c r="A2" s="29"/>
      <c r="B2" s="30" t="s">
        <v>0</v>
      </c>
      <c r="C2" s="3">
        <v>43831</v>
      </c>
      <c r="D2" s="3">
        <v>43891</v>
      </c>
      <c r="E2" s="3">
        <v>43922</v>
      </c>
      <c r="F2" s="3">
        <v>43952</v>
      </c>
      <c r="G2" s="3">
        <v>43983</v>
      </c>
      <c r="H2" s="3">
        <v>44075</v>
      </c>
      <c r="I2" s="21">
        <v>44105</v>
      </c>
      <c r="J2" s="21">
        <v>44136</v>
      </c>
      <c r="K2" s="21">
        <v>44166</v>
      </c>
      <c r="L2" s="20" t="s">
        <v>1</v>
      </c>
      <c r="M2" s="3">
        <v>44197</v>
      </c>
      <c r="N2" s="3">
        <v>44228</v>
      </c>
      <c r="O2" s="3">
        <v>44256</v>
      </c>
      <c r="P2" s="3">
        <v>44287</v>
      </c>
      <c r="Q2" s="3">
        <v>44317</v>
      </c>
      <c r="R2" s="3">
        <v>44348</v>
      </c>
      <c r="S2" s="3">
        <v>44378</v>
      </c>
      <c r="T2" s="3">
        <v>44409</v>
      </c>
      <c r="U2" s="3">
        <v>44440</v>
      </c>
      <c r="V2" s="3">
        <v>44470</v>
      </c>
      <c r="W2" s="3">
        <v>44501</v>
      </c>
      <c r="X2" s="3">
        <v>44531</v>
      </c>
      <c r="Y2" s="20" t="s">
        <v>2</v>
      </c>
      <c r="Z2" s="21">
        <v>44562</v>
      </c>
      <c r="AA2" s="21">
        <v>44593</v>
      </c>
      <c r="AB2" s="21">
        <v>44621</v>
      </c>
      <c r="AC2" s="21">
        <v>44652</v>
      </c>
      <c r="AD2" s="21">
        <v>44682</v>
      </c>
      <c r="AE2" s="21">
        <v>44713</v>
      </c>
      <c r="AF2" s="21">
        <v>44743</v>
      </c>
      <c r="AG2" s="21">
        <v>44774</v>
      </c>
      <c r="AH2" s="21">
        <v>44805</v>
      </c>
      <c r="AI2" s="21">
        <v>44835</v>
      </c>
      <c r="AJ2" s="21">
        <v>44866</v>
      </c>
      <c r="AK2" s="21">
        <v>44896</v>
      </c>
      <c r="AL2" s="21" t="s">
        <v>3</v>
      </c>
      <c r="AM2" s="159">
        <v>44927</v>
      </c>
      <c r="AN2" s="159">
        <v>44958</v>
      </c>
      <c r="AO2" s="159">
        <v>44986</v>
      </c>
      <c r="AP2" s="21">
        <v>45017</v>
      </c>
      <c r="AQ2" s="21">
        <v>45047</v>
      </c>
      <c r="AR2" s="21">
        <v>45078</v>
      </c>
      <c r="AS2" s="21">
        <v>45108</v>
      </c>
      <c r="AT2" s="21">
        <v>45139</v>
      </c>
      <c r="AU2" s="21">
        <v>45170</v>
      </c>
    </row>
    <row r="3" spans="1:47" ht="15">
      <c r="A3" s="31" t="s">
        <v>49</v>
      </c>
      <c r="B3" s="36">
        <f>B4+B7</f>
        <v>96487681</v>
      </c>
      <c r="C3" s="36">
        <f t="shared" ref="C3:L3" si="0">C4+C7</f>
        <v>12861102.9</v>
      </c>
      <c r="D3" s="36">
        <f t="shared" si="0"/>
        <v>26935221.280000001</v>
      </c>
      <c r="E3" s="36">
        <f t="shared" si="0"/>
        <v>34915525.280000001</v>
      </c>
      <c r="F3" s="36">
        <f t="shared" si="0"/>
        <v>42684260.159999996</v>
      </c>
      <c r="G3" s="36">
        <f t="shared" si="0"/>
        <v>50417367.450000003</v>
      </c>
      <c r="H3" s="40">
        <f t="shared" si="0"/>
        <v>75135051.900000006</v>
      </c>
      <c r="I3" s="36">
        <f t="shared" si="0"/>
        <v>84769010.640000001</v>
      </c>
      <c r="J3" s="36">
        <f t="shared" si="0"/>
        <v>94320819.020000011</v>
      </c>
      <c r="K3" s="36">
        <f t="shared" si="0"/>
        <v>103826932.19999999</v>
      </c>
      <c r="L3" s="36">
        <f t="shared" si="0"/>
        <v>96030176</v>
      </c>
      <c r="M3" s="36">
        <f t="shared" ref="M3" si="1">M4+M7</f>
        <v>6800501.21</v>
      </c>
      <c r="N3" s="36">
        <f t="shared" ref="N3:X3" si="2">N4+N7</f>
        <v>14356346.869999999</v>
      </c>
      <c r="O3" s="36">
        <f t="shared" si="2"/>
        <v>24326484.630000003</v>
      </c>
      <c r="P3" s="34">
        <f t="shared" si="2"/>
        <v>32536175.890000001</v>
      </c>
      <c r="Q3" s="34">
        <f t="shared" si="2"/>
        <v>41216849.57</v>
      </c>
      <c r="R3" s="34">
        <f t="shared" si="2"/>
        <v>49323829.080000006</v>
      </c>
      <c r="S3" s="34">
        <f t="shared" si="2"/>
        <v>58941045.469999999</v>
      </c>
      <c r="T3" s="34">
        <f t="shared" si="2"/>
        <v>67435391.400000006</v>
      </c>
      <c r="U3" s="36">
        <f t="shared" si="2"/>
        <v>75773154.849999994</v>
      </c>
      <c r="V3" s="36">
        <f t="shared" si="2"/>
        <v>84393849.349999994</v>
      </c>
      <c r="W3" s="36">
        <f t="shared" si="2"/>
        <v>92468436.149999991</v>
      </c>
      <c r="X3" s="40">
        <f t="shared" si="2"/>
        <v>115998953.38</v>
      </c>
      <c r="Y3" s="36">
        <f t="shared" ref="Y3:AA3" si="3">Y4+Y7</f>
        <v>115999152</v>
      </c>
      <c r="Z3" s="36">
        <f t="shared" si="3"/>
        <v>8219788.5099999998</v>
      </c>
      <c r="AA3" s="36">
        <f t="shared" si="3"/>
        <v>15809769.960000001</v>
      </c>
      <c r="AB3" s="36">
        <f t="shared" ref="AB3:AH3" si="4">AB4+AB7</f>
        <v>27639899.23</v>
      </c>
      <c r="AC3" s="36">
        <f t="shared" si="4"/>
        <v>37098704.719999999</v>
      </c>
      <c r="AD3" s="36">
        <f t="shared" si="4"/>
        <v>46591552.450000003</v>
      </c>
      <c r="AE3" s="36">
        <f t="shared" si="4"/>
        <v>54168553.770000003</v>
      </c>
      <c r="AF3" s="36">
        <f t="shared" si="4"/>
        <v>58386852.579999998</v>
      </c>
      <c r="AG3" s="36">
        <f t="shared" si="4"/>
        <v>70535601.829999998</v>
      </c>
      <c r="AH3" s="36">
        <f t="shared" si="4"/>
        <v>76546466.570000008</v>
      </c>
      <c r="AI3" s="36">
        <f t="shared" ref="AI3:AK3" si="5">AI4+AI7</f>
        <v>83601597.179999992</v>
      </c>
      <c r="AJ3" s="36">
        <f t="shared" si="5"/>
        <v>89057893.079999998</v>
      </c>
      <c r="AK3" s="36">
        <f t="shared" si="5"/>
        <v>112226371.92999999</v>
      </c>
      <c r="AL3" s="36">
        <f t="shared" ref="AL3:AT3" si="6">AL4+AL7</f>
        <v>111758660</v>
      </c>
      <c r="AM3" s="36">
        <f t="shared" si="6"/>
        <v>7585741.6900000004</v>
      </c>
      <c r="AN3" s="36">
        <f t="shared" si="6"/>
        <v>15531027.439999999</v>
      </c>
      <c r="AO3" s="36">
        <f t="shared" si="6"/>
        <v>25365040.079999998</v>
      </c>
      <c r="AP3" s="36">
        <f t="shared" si="6"/>
        <v>32117165.349999998</v>
      </c>
      <c r="AQ3" s="36">
        <f t="shared" si="6"/>
        <v>44233858.150000006</v>
      </c>
      <c r="AR3" s="36">
        <f t="shared" si="6"/>
        <v>52191174.640000001</v>
      </c>
      <c r="AS3" s="36">
        <f t="shared" si="6"/>
        <v>60272072.170000002</v>
      </c>
      <c r="AT3" s="36">
        <f t="shared" si="6"/>
        <v>68543600.219999999</v>
      </c>
      <c r="AU3" s="36">
        <f t="shared" ref="AU3" si="7">AU4+AU7</f>
        <v>77624275.020000011</v>
      </c>
    </row>
    <row r="4" spans="1:47" ht="15">
      <c r="A4" s="31" t="s">
        <v>50</v>
      </c>
      <c r="B4" s="36">
        <f>SUM(B5:B6)</f>
        <v>77566990</v>
      </c>
      <c r="C4" s="36">
        <f t="shared" ref="C4:L4" si="8">SUM(C5:C6)</f>
        <v>7835719.5</v>
      </c>
      <c r="D4" s="36">
        <f t="shared" si="8"/>
        <v>21312529.040000003</v>
      </c>
      <c r="E4" s="36">
        <f t="shared" si="8"/>
        <v>27052028.939999998</v>
      </c>
      <c r="F4" s="36">
        <f t="shared" si="8"/>
        <v>32952055.489999998</v>
      </c>
      <c r="G4" s="36">
        <f t="shared" si="8"/>
        <v>39366821.380000003</v>
      </c>
      <c r="H4" s="40">
        <f t="shared" si="8"/>
        <v>59356591.960000001</v>
      </c>
      <c r="I4" s="36">
        <f t="shared" si="8"/>
        <v>67027323.560000002</v>
      </c>
      <c r="J4" s="36">
        <f t="shared" si="8"/>
        <v>74398633.420000002</v>
      </c>
      <c r="K4" s="36">
        <f t="shared" si="8"/>
        <v>81157772.229999989</v>
      </c>
      <c r="L4" s="36">
        <f t="shared" si="8"/>
        <v>75449048</v>
      </c>
      <c r="M4" s="36">
        <f t="shared" ref="M4" si="9">SUM(M5:M6)</f>
        <v>6304869.21</v>
      </c>
      <c r="N4" s="36">
        <f t="shared" ref="N4:X4" si="10">SUM(N5:N6)</f>
        <v>13270514.369999999</v>
      </c>
      <c r="O4" s="36">
        <f t="shared" si="10"/>
        <v>20516841.550000001</v>
      </c>
      <c r="P4" s="34">
        <f t="shared" si="10"/>
        <v>27873865.329999998</v>
      </c>
      <c r="Q4" s="34">
        <f t="shared" si="10"/>
        <v>35963504.509999998</v>
      </c>
      <c r="R4" s="34">
        <f t="shared" si="10"/>
        <v>43374443.020000003</v>
      </c>
      <c r="S4" s="34">
        <f t="shared" si="10"/>
        <v>51806020.259999998</v>
      </c>
      <c r="T4" s="34">
        <f t="shared" si="10"/>
        <v>59588077.740000002</v>
      </c>
      <c r="U4" s="36">
        <f t="shared" si="10"/>
        <v>67293148.189999998</v>
      </c>
      <c r="V4" s="36">
        <f t="shared" si="10"/>
        <v>75173608.689999998</v>
      </c>
      <c r="W4" s="36">
        <f t="shared" si="10"/>
        <v>82586826.989999995</v>
      </c>
      <c r="X4" s="40">
        <f t="shared" si="10"/>
        <v>90783588.469999999</v>
      </c>
      <c r="Y4" s="36">
        <f t="shared" ref="Y4:AA4" si="11">SUM(Y5:Y6)</f>
        <v>90924708</v>
      </c>
      <c r="Z4" s="36">
        <f t="shared" si="11"/>
        <v>7143203.0099999998</v>
      </c>
      <c r="AA4" s="36">
        <f t="shared" si="11"/>
        <v>14209625.07</v>
      </c>
      <c r="AB4" s="36">
        <f t="shared" ref="AB4:AH4" si="12">SUM(AB5:AB6)</f>
        <v>22647218.890000001</v>
      </c>
      <c r="AC4" s="36">
        <f t="shared" si="12"/>
        <v>31309096.379999999</v>
      </c>
      <c r="AD4" s="36">
        <f t="shared" si="12"/>
        <v>40087284.609999999</v>
      </c>
      <c r="AE4" s="36">
        <f t="shared" si="12"/>
        <v>46879183.130000003</v>
      </c>
      <c r="AF4" s="36">
        <f t="shared" si="12"/>
        <v>50460202.939999998</v>
      </c>
      <c r="AG4" s="36">
        <f t="shared" si="12"/>
        <v>61997514.689999998</v>
      </c>
      <c r="AH4" s="36">
        <f t="shared" si="12"/>
        <v>67302878.930000007</v>
      </c>
      <c r="AI4" s="36">
        <f t="shared" ref="AI4:AK4" si="13">SUM(AI5:AI6)</f>
        <v>73885623.239999995</v>
      </c>
      <c r="AJ4" s="36">
        <f t="shared" si="13"/>
        <v>77394458.140000001</v>
      </c>
      <c r="AK4" s="36">
        <f t="shared" si="13"/>
        <v>87262618.989999995</v>
      </c>
      <c r="AL4" s="36">
        <f t="shared" ref="AL4:AT4" si="14">SUM(AL5:AL6)</f>
        <v>87262620</v>
      </c>
      <c r="AM4" s="36">
        <f t="shared" si="14"/>
        <v>6988824.6900000004</v>
      </c>
      <c r="AN4" s="36">
        <f t="shared" si="14"/>
        <v>14096054.99</v>
      </c>
      <c r="AO4" s="36">
        <f t="shared" si="14"/>
        <v>22001711.629999999</v>
      </c>
      <c r="AP4" s="36">
        <f t="shared" si="14"/>
        <v>28163346.399999999</v>
      </c>
      <c r="AQ4" s="36">
        <f t="shared" si="14"/>
        <v>37212336.200000003</v>
      </c>
      <c r="AR4" s="36">
        <f t="shared" si="14"/>
        <v>44462395.740000002</v>
      </c>
      <c r="AS4" s="36">
        <f t="shared" si="14"/>
        <v>51649985.369999997</v>
      </c>
      <c r="AT4" s="36">
        <f t="shared" si="14"/>
        <v>59209788.920000002</v>
      </c>
      <c r="AU4" s="36">
        <f t="shared" ref="AU4" si="15">SUM(AU5:AU6)</f>
        <v>67516324.120000005</v>
      </c>
    </row>
    <row r="5" spans="1:47" ht="14.25">
      <c r="A5" s="32" t="s">
        <v>51</v>
      </c>
      <c r="B5" s="37">
        <v>77566990</v>
      </c>
      <c r="C5" s="45">
        <v>6732613.4000000004</v>
      </c>
      <c r="D5" s="45">
        <v>19015406.440000001</v>
      </c>
      <c r="E5" s="45">
        <v>24439883.739999998</v>
      </c>
      <c r="F5" s="45">
        <v>30141957.789999999</v>
      </c>
      <c r="G5" s="45">
        <v>35979617.68</v>
      </c>
      <c r="H5" s="50">
        <v>53936454.560000002</v>
      </c>
      <c r="I5" s="45">
        <v>60560876.460000001</v>
      </c>
      <c r="J5" s="45">
        <v>66932004.119999997</v>
      </c>
      <c r="K5" s="45">
        <v>72832193.629999995</v>
      </c>
      <c r="L5" s="35">
        <v>75449048</v>
      </c>
      <c r="M5" s="47">
        <v>6276569.21</v>
      </c>
      <c r="N5" s="47">
        <v>13209014.369999999</v>
      </c>
      <c r="O5" s="47">
        <v>20411141.550000001</v>
      </c>
      <c r="P5" s="102">
        <v>27727065.329999998</v>
      </c>
      <c r="Q5" s="103">
        <v>35762504.509999998</v>
      </c>
      <c r="R5" s="103">
        <v>43141143.020000003</v>
      </c>
      <c r="S5" s="103">
        <v>51508820.259999998</v>
      </c>
      <c r="T5" s="103">
        <v>59246777.740000002</v>
      </c>
      <c r="U5" s="113">
        <v>66917748.189999998</v>
      </c>
      <c r="V5" s="113">
        <v>74752208.689999998</v>
      </c>
      <c r="W5" s="113">
        <v>82125926.989999995</v>
      </c>
      <c r="X5" s="113">
        <v>90279888.469999999</v>
      </c>
      <c r="Y5" s="48">
        <v>90924708</v>
      </c>
      <c r="Z5" s="157">
        <v>7101003.0099999998</v>
      </c>
      <c r="AA5" s="157">
        <v>14133425.07</v>
      </c>
      <c r="AB5" s="157">
        <v>22523118.890000001</v>
      </c>
      <c r="AC5" s="157">
        <v>31123896.379999999</v>
      </c>
      <c r="AD5" s="157">
        <v>39848384.609999999</v>
      </c>
      <c r="AE5" s="157">
        <v>46604783.130000003</v>
      </c>
      <c r="AF5" s="1">
        <v>50134502.939999998</v>
      </c>
      <c r="AG5" s="158">
        <v>61629314.689999998</v>
      </c>
      <c r="AH5" s="158">
        <v>66891278.93</v>
      </c>
      <c r="AI5" s="158">
        <v>73429223.239999995</v>
      </c>
      <c r="AJ5" s="158">
        <v>76893658.140000001</v>
      </c>
      <c r="AK5" s="158">
        <v>86721718.989999995</v>
      </c>
      <c r="AL5" s="158">
        <v>86721720</v>
      </c>
      <c r="AM5" s="120">
        <v>6924024.6900000004</v>
      </c>
      <c r="AN5" s="120">
        <v>13986054.99</v>
      </c>
      <c r="AO5" s="120">
        <v>21833611.629999999</v>
      </c>
      <c r="AP5" s="231">
        <v>27929546.399999999</v>
      </c>
      <c r="AQ5" s="233">
        <v>36881736.200000003</v>
      </c>
      <c r="AR5" s="231">
        <v>44059875.740000002</v>
      </c>
      <c r="AS5" s="231">
        <v>51189565.369999997</v>
      </c>
      <c r="AT5" s="231">
        <v>58666438.920000002</v>
      </c>
      <c r="AU5" s="272">
        <v>66918164.119999997</v>
      </c>
    </row>
    <row r="6" spans="1:47" ht="14.25">
      <c r="A6" s="32" t="s">
        <v>52</v>
      </c>
      <c r="B6" s="37"/>
      <c r="C6" s="45">
        <v>1103106.1000000001</v>
      </c>
      <c r="D6" s="45">
        <v>2297122.6</v>
      </c>
      <c r="E6" s="45">
        <v>2612145.2000000002</v>
      </c>
      <c r="F6" s="45">
        <v>2810097.7</v>
      </c>
      <c r="G6" s="45">
        <v>3387203.7</v>
      </c>
      <c r="H6" s="50">
        <v>5420137.4000000004</v>
      </c>
      <c r="I6" s="45">
        <v>6466447.0999999996</v>
      </c>
      <c r="J6" s="45">
        <v>7466629.2999999998</v>
      </c>
      <c r="K6" s="45">
        <v>8325578.5999999996</v>
      </c>
      <c r="L6" s="35"/>
      <c r="M6" s="47">
        <v>28300</v>
      </c>
      <c r="N6" s="47">
        <v>61500</v>
      </c>
      <c r="O6" s="47">
        <v>105700</v>
      </c>
      <c r="P6" s="105">
        <v>146800</v>
      </c>
      <c r="Q6" s="107">
        <v>201000</v>
      </c>
      <c r="R6" s="107">
        <v>233300</v>
      </c>
      <c r="S6" s="107">
        <v>297200</v>
      </c>
      <c r="T6" s="107">
        <v>341300</v>
      </c>
      <c r="U6" s="113">
        <v>375400</v>
      </c>
      <c r="V6" s="113">
        <v>421400</v>
      </c>
      <c r="W6" s="113">
        <v>460900</v>
      </c>
      <c r="X6" s="113">
        <v>503700</v>
      </c>
      <c r="Y6" s="48"/>
      <c r="Z6" s="157">
        <v>42200</v>
      </c>
      <c r="AA6" s="157">
        <v>76200</v>
      </c>
      <c r="AB6" s="157">
        <v>124100</v>
      </c>
      <c r="AC6" s="157">
        <v>185200</v>
      </c>
      <c r="AD6" s="157">
        <v>238900</v>
      </c>
      <c r="AE6" s="157">
        <v>274400</v>
      </c>
      <c r="AF6" s="1">
        <v>325700</v>
      </c>
      <c r="AG6" s="158">
        <v>368200</v>
      </c>
      <c r="AH6" s="158">
        <v>411600</v>
      </c>
      <c r="AI6" s="158">
        <v>456400</v>
      </c>
      <c r="AJ6" s="158">
        <v>500800</v>
      </c>
      <c r="AK6" s="158">
        <v>540900</v>
      </c>
      <c r="AL6" s="158">
        <f>534800+6100</f>
        <v>540900</v>
      </c>
      <c r="AM6" s="120">
        <v>64800</v>
      </c>
      <c r="AN6" s="120">
        <v>110000</v>
      </c>
      <c r="AO6" s="120">
        <v>168100</v>
      </c>
      <c r="AP6" s="235">
        <v>233800</v>
      </c>
      <c r="AQ6" s="237">
        <v>330600</v>
      </c>
      <c r="AR6" s="235">
        <v>402520</v>
      </c>
      <c r="AS6" s="235">
        <v>460420</v>
      </c>
      <c r="AT6" s="235">
        <v>543350</v>
      </c>
      <c r="AU6" s="274">
        <v>598160</v>
      </c>
    </row>
    <row r="7" spans="1:47" ht="15">
      <c r="A7" s="31" t="s">
        <v>53</v>
      </c>
      <c r="B7" s="36">
        <f t="shared" ref="B7:X7" si="16">SUM(B8:B11)</f>
        <v>18920691</v>
      </c>
      <c r="C7" s="36">
        <f t="shared" si="16"/>
        <v>5025383.4000000004</v>
      </c>
      <c r="D7" s="36">
        <f t="shared" si="16"/>
        <v>5622692.2400000002</v>
      </c>
      <c r="E7" s="36">
        <f t="shared" si="16"/>
        <v>7863496.3399999999</v>
      </c>
      <c r="F7" s="36">
        <f t="shared" si="16"/>
        <v>9732204.6699999999</v>
      </c>
      <c r="G7" s="36">
        <f t="shared" si="16"/>
        <v>11050546.07</v>
      </c>
      <c r="H7" s="40">
        <f t="shared" si="16"/>
        <v>15778459.940000001</v>
      </c>
      <c r="I7" s="36">
        <f t="shared" si="16"/>
        <v>17741687.079999998</v>
      </c>
      <c r="J7" s="36">
        <f t="shared" si="16"/>
        <v>19922185.600000001</v>
      </c>
      <c r="K7" s="36">
        <f t="shared" si="16"/>
        <v>22669159.969999999</v>
      </c>
      <c r="L7" s="36">
        <f t="shared" si="16"/>
        <v>20581128</v>
      </c>
      <c r="M7" s="36">
        <f t="shared" si="16"/>
        <v>495632</v>
      </c>
      <c r="N7" s="36">
        <f t="shared" si="16"/>
        <v>1085832.5</v>
      </c>
      <c r="O7" s="36">
        <f t="shared" si="16"/>
        <v>3809643.08</v>
      </c>
      <c r="P7" s="34">
        <f t="shared" si="16"/>
        <v>4662310.5600000005</v>
      </c>
      <c r="Q7" s="34">
        <f t="shared" si="16"/>
        <v>5253345.0600000005</v>
      </c>
      <c r="R7" s="34">
        <f t="shared" si="16"/>
        <v>5949386.0600000005</v>
      </c>
      <c r="S7" s="34">
        <f t="shared" si="16"/>
        <v>7135025.209999999</v>
      </c>
      <c r="T7" s="34">
        <f t="shared" si="16"/>
        <v>7847313.6600000001</v>
      </c>
      <c r="U7" s="36">
        <f t="shared" si="16"/>
        <v>8480006.6600000001</v>
      </c>
      <c r="V7" s="36">
        <f t="shared" si="16"/>
        <v>9220240.6600000001</v>
      </c>
      <c r="W7" s="36">
        <f t="shared" si="16"/>
        <v>9881609.1600000001</v>
      </c>
      <c r="X7" s="40">
        <f t="shared" si="16"/>
        <v>25215364.91</v>
      </c>
      <c r="Y7" s="36">
        <f t="shared" ref="Y7:AH7" si="17">SUM(Y8:Y11)</f>
        <v>25074444</v>
      </c>
      <c r="Z7" s="36">
        <f t="shared" si="17"/>
        <v>1076585.5</v>
      </c>
      <c r="AA7" s="36">
        <f t="shared" si="17"/>
        <v>1600144.8900000001</v>
      </c>
      <c r="AB7" s="36">
        <f t="shared" si="17"/>
        <v>4992680.34</v>
      </c>
      <c r="AC7" s="36">
        <f t="shared" si="17"/>
        <v>5789608.3399999999</v>
      </c>
      <c r="AD7" s="36">
        <f t="shared" si="17"/>
        <v>6504267.8399999999</v>
      </c>
      <c r="AE7" s="36">
        <f t="shared" si="17"/>
        <v>7289370.6400000006</v>
      </c>
      <c r="AF7" s="36">
        <f t="shared" si="17"/>
        <v>7926649.6400000006</v>
      </c>
      <c r="AG7" s="36">
        <f t="shared" si="17"/>
        <v>8538087.1400000006</v>
      </c>
      <c r="AH7" s="36">
        <f t="shared" si="17"/>
        <v>9243587.6400000006</v>
      </c>
      <c r="AI7" s="36">
        <f t="shared" ref="AI7:AK7" si="18">SUM(AI8:AI11)</f>
        <v>9715973.9400000013</v>
      </c>
      <c r="AJ7" s="36">
        <f t="shared" si="18"/>
        <v>11663434.940000001</v>
      </c>
      <c r="AK7" s="36">
        <f t="shared" si="18"/>
        <v>24963752.939999998</v>
      </c>
      <c r="AL7" s="36">
        <f t="shared" ref="AL7:AT7" si="19">SUM(AL8:AL11)</f>
        <v>24496040</v>
      </c>
      <c r="AM7" s="36">
        <f t="shared" si="19"/>
        <v>596917</v>
      </c>
      <c r="AN7" s="36">
        <f t="shared" si="19"/>
        <v>1434972.45</v>
      </c>
      <c r="AO7" s="36">
        <f t="shared" si="19"/>
        <v>3363328.45</v>
      </c>
      <c r="AP7" s="36">
        <f t="shared" si="19"/>
        <v>3953818.95</v>
      </c>
      <c r="AQ7" s="36">
        <f t="shared" si="19"/>
        <v>7021521.9500000002</v>
      </c>
      <c r="AR7" s="36">
        <f t="shared" si="19"/>
        <v>7728778.9000000004</v>
      </c>
      <c r="AS7" s="36">
        <f t="shared" si="19"/>
        <v>8622086.8000000007</v>
      </c>
      <c r="AT7" s="36">
        <f>SUM(AT8:AT11)</f>
        <v>9333811.3000000007</v>
      </c>
      <c r="AU7" s="36">
        <f>SUM(AU8:AU11)</f>
        <v>10107950.899999999</v>
      </c>
    </row>
    <row r="8" spans="1:47" ht="14.25">
      <c r="A8" s="32" t="s">
        <v>54</v>
      </c>
      <c r="B8" s="37"/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50">
        <v>0</v>
      </c>
      <c r="I8" s="45">
        <v>0</v>
      </c>
      <c r="J8" s="45">
        <v>0</v>
      </c>
      <c r="K8" s="45">
        <v>0</v>
      </c>
      <c r="L8" s="35"/>
      <c r="M8" s="47">
        <v>0</v>
      </c>
      <c r="N8" s="47">
        <v>0</v>
      </c>
      <c r="O8" s="47">
        <v>0</v>
      </c>
      <c r="P8" s="104">
        <v>0</v>
      </c>
      <c r="Q8" s="106">
        <v>0</v>
      </c>
      <c r="R8" s="106">
        <v>0</v>
      </c>
      <c r="S8" s="106">
        <v>0</v>
      </c>
      <c r="T8" s="106">
        <v>0</v>
      </c>
      <c r="U8">
        <v>0</v>
      </c>
      <c r="V8">
        <v>0</v>
      </c>
      <c r="W8">
        <v>0</v>
      </c>
      <c r="X8">
        <v>0</v>
      </c>
      <c r="Y8" s="48"/>
      <c r="Z8" s="157">
        <v>0</v>
      </c>
      <c r="AA8" s="157">
        <v>0</v>
      </c>
      <c r="AB8" s="157">
        <v>0</v>
      </c>
      <c r="AC8" s="157">
        <v>0</v>
      </c>
      <c r="AD8" s="157">
        <v>0</v>
      </c>
      <c r="AE8" s="157">
        <v>0</v>
      </c>
      <c r="AF8" s="1">
        <v>0</v>
      </c>
      <c r="AG8" s="1">
        <v>0</v>
      </c>
      <c r="AH8" s="48">
        <v>0</v>
      </c>
      <c r="AI8" s="48">
        <v>0</v>
      </c>
      <c r="AJ8" s="48">
        <v>0</v>
      </c>
      <c r="AK8" s="48">
        <v>0</v>
      </c>
      <c r="AL8" s="1"/>
      <c r="AM8" s="120">
        <v>0</v>
      </c>
      <c r="AN8" s="120">
        <v>0</v>
      </c>
      <c r="AO8" s="120">
        <v>0</v>
      </c>
      <c r="AP8" s="230">
        <v>0</v>
      </c>
      <c r="AQ8" s="232">
        <v>0</v>
      </c>
      <c r="AR8" s="230">
        <v>0</v>
      </c>
      <c r="AS8" s="230">
        <v>0</v>
      </c>
      <c r="AT8" s="230">
        <v>0</v>
      </c>
      <c r="AU8" s="271">
        <v>0</v>
      </c>
    </row>
    <row r="9" spans="1:47" ht="14.25">
      <c r="A9" s="32" t="s">
        <v>55</v>
      </c>
      <c r="B9" s="37">
        <v>516362</v>
      </c>
      <c r="C9" s="45">
        <v>0</v>
      </c>
      <c r="D9" s="45">
        <v>0</v>
      </c>
      <c r="E9" s="45">
        <v>0</v>
      </c>
      <c r="F9" s="45">
        <v>0</v>
      </c>
      <c r="G9" s="45">
        <v>0</v>
      </c>
      <c r="H9" s="50">
        <v>0</v>
      </c>
      <c r="I9" s="45">
        <v>0</v>
      </c>
      <c r="J9" s="45">
        <v>0</v>
      </c>
      <c r="K9" s="45">
        <v>0</v>
      </c>
      <c r="L9" s="35">
        <v>1050595</v>
      </c>
      <c r="M9" s="47">
        <v>0</v>
      </c>
      <c r="N9" s="47">
        <v>0</v>
      </c>
      <c r="O9" s="47">
        <v>0</v>
      </c>
      <c r="P9" s="104">
        <v>0</v>
      </c>
      <c r="Q9" s="106">
        <v>0</v>
      </c>
      <c r="R9" s="106">
        <v>0</v>
      </c>
      <c r="S9" s="106">
        <v>0</v>
      </c>
      <c r="T9" s="106">
        <v>0</v>
      </c>
      <c r="U9">
        <v>0</v>
      </c>
      <c r="V9">
        <v>0</v>
      </c>
      <c r="W9">
        <v>0</v>
      </c>
      <c r="X9">
        <v>0</v>
      </c>
      <c r="Y9" s="48">
        <v>437375</v>
      </c>
      <c r="Z9" s="157">
        <v>0</v>
      </c>
      <c r="AA9" s="157">
        <v>0</v>
      </c>
      <c r="AB9" s="157">
        <v>0</v>
      </c>
      <c r="AC9" s="157">
        <v>0</v>
      </c>
      <c r="AD9" s="157">
        <v>0</v>
      </c>
      <c r="AE9" s="157">
        <v>0</v>
      </c>
      <c r="AF9" s="1">
        <v>0</v>
      </c>
      <c r="AG9" s="1">
        <v>0</v>
      </c>
      <c r="AH9" s="48">
        <v>0</v>
      </c>
      <c r="AI9" s="48">
        <v>0</v>
      </c>
      <c r="AJ9" s="48">
        <v>0</v>
      </c>
      <c r="AK9" s="48">
        <v>0</v>
      </c>
      <c r="AL9" s="48">
        <v>1371524</v>
      </c>
      <c r="AM9" s="120">
        <v>0</v>
      </c>
      <c r="AN9" s="120">
        <v>0</v>
      </c>
      <c r="AO9" s="120">
        <v>0</v>
      </c>
      <c r="AP9" s="234">
        <v>0</v>
      </c>
      <c r="AQ9" s="236">
        <v>0</v>
      </c>
      <c r="AR9" s="234">
        <v>0</v>
      </c>
      <c r="AS9" s="234">
        <v>0</v>
      </c>
      <c r="AT9" s="234">
        <v>0</v>
      </c>
      <c r="AU9" s="273">
        <v>0</v>
      </c>
    </row>
    <row r="10" spans="1:47" ht="14.25">
      <c r="A10" s="32" t="s">
        <v>56</v>
      </c>
      <c r="B10" s="37"/>
      <c r="C10" s="45">
        <v>3252227</v>
      </c>
      <c r="D10" s="45">
        <v>433399.55</v>
      </c>
      <c r="E10" s="45">
        <v>1921172.07</v>
      </c>
      <c r="F10" s="45">
        <v>1921172.07</v>
      </c>
      <c r="G10" s="45">
        <v>1921172.07</v>
      </c>
      <c r="H10" s="50">
        <v>2220703.7200000002</v>
      </c>
      <c r="I10" s="45">
        <v>2329211.7200000002</v>
      </c>
      <c r="J10" s="45">
        <v>2534831.5699999998</v>
      </c>
      <c r="K10" s="45">
        <v>3101631.57</v>
      </c>
      <c r="L10" s="35"/>
      <c r="M10" s="47">
        <v>4000</v>
      </c>
      <c r="N10" s="47">
        <v>68000</v>
      </c>
      <c r="O10" s="47">
        <v>1854300</v>
      </c>
      <c r="P10" s="105">
        <v>2045032</v>
      </c>
      <c r="Q10" s="107">
        <v>2049032</v>
      </c>
      <c r="R10" s="107">
        <v>2137032</v>
      </c>
      <c r="S10" s="107">
        <v>2619429.15</v>
      </c>
      <c r="T10" s="107">
        <v>2635685.6</v>
      </c>
      <c r="U10" s="113">
        <v>2658035.6</v>
      </c>
      <c r="V10" s="113">
        <v>2719855.6</v>
      </c>
      <c r="W10" s="113">
        <v>2748901.6</v>
      </c>
      <c r="X10" s="113">
        <v>3015901.6</v>
      </c>
      <c r="Y10" s="48">
        <v>1966684.45</v>
      </c>
      <c r="Z10" s="157">
        <v>476188</v>
      </c>
      <c r="AA10" s="157">
        <v>484243.39</v>
      </c>
      <c r="AB10" s="157">
        <v>2816325.39</v>
      </c>
      <c r="AC10" s="157">
        <v>2883125.39</v>
      </c>
      <c r="AD10" s="157">
        <v>2955625.39</v>
      </c>
      <c r="AE10" s="157">
        <v>3157351.19</v>
      </c>
      <c r="AF10" s="1">
        <v>3254299.19</v>
      </c>
      <c r="AG10" s="158">
        <v>3262299.19</v>
      </c>
      <c r="AH10" s="48">
        <v>3330299.19</v>
      </c>
      <c r="AI10" s="48">
        <v>3212617.99</v>
      </c>
      <c r="AJ10" s="48">
        <v>4592141.99</v>
      </c>
      <c r="AK10" s="48">
        <v>4609641.99</v>
      </c>
      <c r="AL10" s="48">
        <v>2770405</v>
      </c>
      <c r="AM10" s="120">
        <v>4000</v>
      </c>
      <c r="AN10" s="120">
        <v>249576.45</v>
      </c>
      <c r="AO10" s="120">
        <v>1086047.45</v>
      </c>
      <c r="AP10" s="235">
        <v>1094047.45</v>
      </c>
      <c r="AQ10" s="237">
        <v>3401205.45</v>
      </c>
      <c r="AR10" s="235">
        <v>3413461.9</v>
      </c>
      <c r="AS10" s="235">
        <v>3693657.3</v>
      </c>
      <c r="AT10" s="235">
        <v>3754157.3</v>
      </c>
      <c r="AU10" s="274">
        <v>3814657.3</v>
      </c>
    </row>
    <row r="11" spans="1:47" s="7" customFormat="1" ht="14.25">
      <c r="A11" s="31" t="s">
        <v>57</v>
      </c>
      <c r="B11" s="37">
        <v>18404329</v>
      </c>
      <c r="C11" s="46">
        <v>1773156.4</v>
      </c>
      <c r="D11" s="46">
        <v>5189292.6900000004</v>
      </c>
      <c r="E11" s="46">
        <v>5942324.2699999996</v>
      </c>
      <c r="F11" s="46">
        <v>7811032.5999999996</v>
      </c>
      <c r="G11" s="46">
        <v>9129374</v>
      </c>
      <c r="H11" s="51">
        <v>13557756.220000001</v>
      </c>
      <c r="I11" s="46">
        <v>15412475.359999999</v>
      </c>
      <c r="J11" s="46">
        <v>17387354.030000001</v>
      </c>
      <c r="K11" s="46">
        <v>19567528.399999999</v>
      </c>
      <c r="L11" s="38">
        <v>19530533</v>
      </c>
      <c r="M11" s="98">
        <v>491632</v>
      </c>
      <c r="N11" s="98">
        <v>1017832.5</v>
      </c>
      <c r="O11" s="98">
        <v>1955343.08</v>
      </c>
      <c r="P11" s="108">
        <v>2617278.56</v>
      </c>
      <c r="Q11" s="109">
        <v>3204313.06</v>
      </c>
      <c r="R11" s="109">
        <v>3812354.06</v>
      </c>
      <c r="S11" s="109">
        <v>4515596.0599999996</v>
      </c>
      <c r="T11" s="109">
        <v>5211628.0599999996</v>
      </c>
      <c r="U11" s="114">
        <v>5821971.0599999996</v>
      </c>
      <c r="V11" s="114">
        <v>6500385.0599999996</v>
      </c>
      <c r="W11" s="114">
        <v>7132707.5599999996</v>
      </c>
      <c r="X11" s="114">
        <v>22199463.309999999</v>
      </c>
      <c r="Y11" s="49">
        <f>24637069-Y10</f>
        <v>22670384.550000001</v>
      </c>
      <c r="Z11" s="159">
        <v>600397.5</v>
      </c>
      <c r="AA11" s="159">
        <v>1115901.5</v>
      </c>
      <c r="AB11" s="159">
        <v>2176354.9500000002</v>
      </c>
      <c r="AC11" s="159">
        <v>2906482.95</v>
      </c>
      <c r="AD11" s="159">
        <v>3548642.45</v>
      </c>
      <c r="AE11" s="159">
        <v>4132019.45</v>
      </c>
      <c r="AF11" s="20">
        <v>4672350.45</v>
      </c>
      <c r="AG11" s="160">
        <v>5275787.95</v>
      </c>
      <c r="AH11" s="49">
        <v>5913288.4500000002</v>
      </c>
      <c r="AI11" s="49">
        <v>6503355.9500000002</v>
      </c>
      <c r="AJ11" s="49">
        <v>7071292.9500000002</v>
      </c>
      <c r="AK11" s="49">
        <v>20354110.949999999</v>
      </c>
      <c r="AL11" s="49">
        <f>24967374-AL10-AL31-AL6</f>
        <v>20354111</v>
      </c>
      <c r="AM11" s="98">
        <v>592917</v>
      </c>
      <c r="AN11" s="98">
        <v>1185396</v>
      </c>
      <c r="AO11" s="98">
        <v>2277281</v>
      </c>
      <c r="AP11" s="238">
        <v>2859771.5</v>
      </c>
      <c r="AQ11" s="239">
        <v>3620316.5</v>
      </c>
      <c r="AR11" s="240">
        <v>4315317</v>
      </c>
      <c r="AS11" s="241">
        <v>4928429.5</v>
      </c>
      <c r="AT11" s="242">
        <v>5579654</v>
      </c>
      <c r="AU11" s="240">
        <v>6293293.5999999996</v>
      </c>
    </row>
    <row r="12" spans="1:47" ht="15">
      <c r="A12" s="31" t="s">
        <v>58</v>
      </c>
      <c r="B12" s="36">
        <f t="shared" ref="B12:X12" si="20">SUM(B13:B18)</f>
        <v>35880704.350000001</v>
      </c>
      <c r="C12" s="36">
        <f t="shared" si="20"/>
        <v>302470.65000000002</v>
      </c>
      <c r="D12" s="36">
        <f t="shared" si="20"/>
        <v>741170</v>
      </c>
      <c r="E12" s="36">
        <f t="shared" si="20"/>
        <v>1001490.8</v>
      </c>
      <c r="F12" s="36">
        <f t="shared" si="20"/>
        <v>1073810.05</v>
      </c>
      <c r="G12" s="36">
        <f t="shared" si="20"/>
        <v>1353220.2</v>
      </c>
      <c r="H12" s="40">
        <f t="shared" si="20"/>
        <v>1761001.85</v>
      </c>
      <c r="I12" s="36">
        <f t="shared" si="20"/>
        <v>1763521.85</v>
      </c>
      <c r="J12" s="36">
        <f t="shared" si="20"/>
        <v>1893062.8</v>
      </c>
      <c r="K12" s="36">
        <f t="shared" si="20"/>
        <v>13600868.460000001</v>
      </c>
      <c r="L12" s="36">
        <f t="shared" si="20"/>
        <v>41580179.850000001</v>
      </c>
      <c r="M12" s="36">
        <f t="shared" si="20"/>
        <v>600733.78</v>
      </c>
      <c r="N12" s="36">
        <f t="shared" si="20"/>
        <v>1011367.56</v>
      </c>
      <c r="O12" s="36">
        <f t="shared" si="20"/>
        <v>1827234.31</v>
      </c>
      <c r="P12" s="34">
        <f t="shared" si="20"/>
        <v>2625044.54</v>
      </c>
      <c r="Q12" s="34">
        <f t="shared" si="20"/>
        <v>4704852.2</v>
      </c>
      <c r="R12" s="34">
        <f t="shared" si="20"/>
        <v>3338392.26</v>
      </c>
      <c r="S12" s="34">
        <f t="shared" si="20"/>
        <v>4024509.09</v>
      </c>
      <c r="T12" s="34">
        <f t="shared" si="20"/>
        <v>4197365.09</v>
      </c>
      <c r="U12" s="36">
        <f t="shared" si="20"/>
        <v>4611210.2300000004</v>
      </c>
      <c r="V12" s="36">
        <f t="shared" si="20"/>
        <v>5156344.4000000004</v>
      </c>
      <c r="W12" s="36">
        <f t="shared" si="20"/>
        <v>5367029.08</v>
      </c>
      <c r="X12" s="40">
        <f t="shared" si="20"/>
        <v>12614079.17</v>
      </c>
      <c r="Y12" s="36">
        <f t="shared" ref="Y12:AH12" si="21">SUM(Y13:Y18)</f>
        <v>43198918.75</v>
      </c>
      <c r="Z12" s="36">
        <f t="shared" si="21"/>
        <v>712782.46000000008</v>
      </c>
      <c r="AA12" s="36">
        <f t="shared" si="21"/>
        <v>997097.75</v>
      </c>
      <c r="AB12" s="36">
        <f t="shared" si="21"/>
        <v>1931725.6300000001</v>
      </c>
      <c r="AC12" s="36">
        <f t="shared" si="21"/>
        <v>2481681.6300000004</v>
      </c>
      <c r="AD12" s="36">
        <f t="shared" si="21"/>
        <v>2748866.5500000003</v>
      </c>
      <c r="AE12" s="36">
        <f t="shared" si="21"/>
        <v>3279464.13</v>
      </c>
      <c r="AF12" s="36">
        <f t="shared" si="21"/>
        <v>4008847.84</v>
      </c>
      <c r="AG12" s="36">
        <f t="shared" si="21"/>
        <v>4256719.59</v>
      </c>
      <c r="AH12" s="36">
        <f t="shared" si="21"/>
        <v>4893807.29</v>
      </c>
      <c r="AI12" s="36">
        <f t="shared" ref="AI12:AK12" si="22">SUM(AI13:AI18)</f>
        <v>5535999.6099999994</v>
      </c>
      <c r="AJ12" s="36">
        <f t="shared" si="22"/>
        <v>5786464.1099999994</v>
      </c>
      <c r="AK12" s="36">
        <f t="shared" si="22"/>
        <v>55368995.490000002</v>
      </c>
      <c r="AL12" s="36">
        <f t="shared" ref="AL12:AU12" si="23">SUM(AL13:AL18)</f>
        <v>43326941</v>
      </c>
      <c r="AM12" s="36">
        <f t="shared" si="23"/>
        <v>804529.48</v>
      </c>
      <c r="AN12" s="36">
        <f t="shared" si="23"/>
        <v>1086431.8799999999</v>
      </c>
      <c r="AO12" s="36">
        <f t="shared" si="23"/>
        <v>1783356.13</v>
      </c>
      <c r="AP12" s="36">
        <f t="shared" si="23"/>
        <v>2550753.63</v>
      </c>
      <c r="AQ12" s="36">
        <f t="shared" si="23"/>
        <v>3233574.69</v>
      </c>
      <c r="AR12" s="36">
        <f t="shared" si="23"/>
        <v>4021554.8600000003</v>
      </c>
      <c r="AS12" s="36">
        <f t="shared" si="23"/>
        <v>4525674.6599999992</v>
      </c>
      <c r="AT12" s="36">
        <f t="shared" si="23"/>
        <v>4993766.8499999996</v>
      </c>
      <c r="AU12" s="36">
        <f t="shared" si="23"/>
        <v>5583916.21</v>
      </c>
    </row>
    <row r="13" spans="1:47" ht="14.25">
      <c r="A13" s="32" t="s">
        <v>59</v>
      </c>
      <c r="B13" s="37">
        <v>31410482.350000001</v>
      </c>
      <c r="C13" s="45">
        <v>302470.65000000002</v>
      </c>
      <c r="D13" s="45">
        <v>741170</v>
      </c>
      <c r="E13" s="45">
        <v>1001490.8</v>
      </c>
      <c r="F13" s="45">
        <v>1073810.05</v>
      </c>
      <c r="G13" s="45">
        <v>1353220.2</v>
      </c>
      <c r="H13" s="50">
        <v>1761001.85</v>
      </c>
      <c r="I13" s="45">
        <v>1763521.85</v>
      </c>
      <c r="J13" s="45">
        <v>1893062.8</v>
      </c>
      <c r="K13" s="45">
        <v>13600868.460000001</v>
      </c>
      <c r="L13" s="35">
        <v>35570817.850000001</v>
      </c>
      <c r="M13" s="47">
        <v>442387.58</v>
      </c>
      <c r="N13" s="47">
        <v>587817.37</v>
      </c>
      <c r="O13" s="47">
        <v>1232932.1200000001</v>
      </c>
      <c r="P13" s="105">
        <v>1507700.3</v>
      </c>
      <c r="Q13" s="107">
        <v>1647941</v>
      </c>
      <c r="R13" s="107">
        <v>1917672.09</v>
      </c>
      <c r="S13" s="107">
        <v>2432275.11</v>
      </c>
      <c r="T13" s="107">
        <v>2498725.11</v>
      </c>
      <c r="U13" s="113">
        <v>2812688.25</v>
      </c>
      <c r="V13" s="113">
        <v>3270822.42</v>
      </c>
      <c r="W13" s="113">
        <v>3427981.1</v>
      </c>
      <c r="X13" s="113">
        <v>3927469.18</v>
      </c>
      <c r="Y13" s="48">
        <f>3927469+39271449.75</f>
        <v>43198918.75</v>
      </c>
      <c r="Z13" s="157">
        <v>593702.9</v>
      </c>
      <c r="AA13" s="157">
        <v>681355.19</v>
      </c>
      <c r="AB13" s="157">
        <v>1270476.07</v>
      </c>
      <c r="AC13" s="157">
        <v>1700851.07</v>
      </c>
      <c r="AD13" s="157">
        <v>1827557.49</v>
      </c>
      <c r="AE13" s="157">
        <v>2267319.0699999998</v>
      </c>
      <c r="AF13" s="1">
        <v>2925786.78</v>
      </c>
      <c r="AG13" s="158">
        <v>3082880.53</v>
      </c>
      <c r="AH13" s="158">
        <v>3623548.23</v>
      </c>
      <c r="AI13" s="48">
        <v>4152968.55</v>
      </c>
      <c r="AJ13" s="48">
        <v>4225431.05</v>
      </c>
      <c r="AK13" s="48">
        <v>5005476.43</v>
      </c>
      <c r="AL13" s="157">
        <f>38321465+5005476</f>
        <v>43326941</v>
      </c>
      <c r="AM13" s="120">
        <v>690599.48</v>
      </c>
      <c r="AN13" s="120">
        <v>892365.88</v>
      </c>
      <c r="AO13" s="120">
        <v>1448869.63</v>
      </c>
      <c r="AP13" s="231">
        <v>2115299.13</v>
      </c>
      <c r="AQ13" s="233">
        <v>2683594.84</v>
      </c>
      <c r="AR13" s="231">
        <v>3273132.16</v>
      </c>
      <c r="AS13" s="231">
        <v>3740885.86</v>
      </c>
      <c r="AT13" s="231">
        <v>4106241.55</v>
      </c>
      <c r="AU13" s="272">
        <v>4546380.3600000003</v>
      </c>
    </row>
    <row r="14" spans="1:47" ht="15">
      <c r="A14" s="32" t="s">
        <v>60</v>
      </c>
      <c r="B14" s="37">
        <v>4470222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50">
        <v>0</v>
      </c>
      <c r="I14" s="45">
        <v>0</v>
      </c>
      <c r="J14" s="45">
        <v>0</v>
      </c>
      <c r="K14" s="45">
        <v>0</v>
      </c>
      <c r="L14" s="35">
        <v>6009362</v>
      </c>
      <c r="M14" s="47">
        <v>0</v>
      </c>
      <c r="N14" s="47">
        <v>0</v>
      </c>
      <c r="O14" s="47">
        <v>0</v>
      </c>
      <c r="P14" s="104">
        <v>0</v>
      </c>
      <c r="Q14" s="106">
        <v>0</v>
      </c>
      <c r="R14" s="106">
        <v>0</v>
      </c>
      <c r="S14" s="106">
        <v>0</v>
      </c>
      <c r="T14" s="106">
        <v>0</v>
      </c>
      <c r="U14">
        <v>0</v>
      </c>
      <c r="V14">
        <v>0</v>
      </c>
      <c r="W14">
        <v>0</v>
      </c>
      <c r="X14">
        <v>0</v>
      </c>
      <c r="Y14" s="48"/>
      <c r="Z14" s="157">
        <v>0</v>
      </c>
      <c r="AA14" s="157">
        <v>0</v>
      </c>
      <c r="AB14" s="161">
        <v>0</v>
      </c>
      <c r="AC14" s="157">
        <v>0</v>
      </c>
      <c r="AD14" s="157">
        <v>0</v>
      </c>
      <c r="AE14" s="157">
        <v>0</v>
      </c>
      <c r="AF14" s="1">
        <v>0</v>
      </c>
      <c r="AG14" s="1">
        <v>0</v>
      </c>
      <c r="AH14" s="1">
        <v>0</v>
      </c>
      <c r="AI14" s="48">
        <v>0</v>
      </c>
      <c r="AJ14" s="48">
        <v>0</v>
      </c>
      <c r="AK14" s="48">
        <v>0</v>
      </c>
      <c r="AL14" s="48">
        <v>0</v>
      </c>
      <c r="AM14" s="120">
        <v>0</v>
      </c>
      <c r="AN14" s="120">
        <v>0</v>
      </c>
      <c r="AO14" s="120">
        <v>0</v>
      </c>
      <c r="AP14" s="234">
        <v>0</v>
      </c>
      <c r="AQ14" s="236">
        <v>0</v>
      </c>
      <c r="AR14" s="234">
        <v>0</v>
      </c>
      <c r="AS14" s="234">
        <v>0</v>
      </c>
      <c r="AT14" s="234">
        <v>0</v>
      </c>
      <c r="AU14" s="273">
        <v>0</v>
      </c>
    </row>
    <row r="15" spans="1:47" ht="14.25">
      <c r="A15" s="32" t="s">
        <v>61</v>
      </c>
      <c r="B15" s="37"/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50">
        <v>0</v>
      </c>
      <c r="I15" s="45">
        <v>0</v>
      </c>
      <c r="J15" s="45">
        <v>0</v>
      </c>
      <c r="K15" s="45">
        <v>0</v>
      </c>
      <c r="L15" s="35"/>
      <c r="M15" s="47">
        <v>0</v>
      </c>
      <c r="N15" s="47">
        <v>0</v>
      </c>
      <c r="O15" s="47">
        <v>0</v>
      </c>
      <c r="P15" s="104">
        <v>0</v>
      </c>
      <c r="Q15" s="106">
        <v>0</v>
      </c>
      <c r="R15" s="106">
        <v>0</v>
      </c>
      <c r="S15" s="106">
        <v>0</v>
      </c>
      <c r="T15" s="106">
        <v>0</v>
      </c>
      <c r="U15">
        <v>0</v>
      </c>
      <c r="V15">
        <v>0</v>
      </c>
      <c r="W15">
        <v>0</v>
      </c>
      <c r="X15">
        <v>0</v>
      </c>
      <c r="Y15" s="48"/>
      <c r="Z15" s="157">
        <v>0</v>
      </c>
      <c r="AA15" s="157">
        <v>0</v>
      </c>
      <c r="AB15" s="157">
        <v>0</v>
      </c>
      <c r="AC15" s="157">
        <v>0</v>
      </c>
      <c r="AD15" s="157">
        <v>0</v>
      </c>
      <c r="AE15" s="157">
        <v>0</v>
      </c>
      <c r="AF15" s="1">
        <v>0</v>
      </c>
      <c r="AG15" s="1">
        <v>0</v>
      </c>
      <c r="AH15" s="1">
        <v>0</v>
      </c>
      <c r="AI15" s="48">
        <v>0</v>
      </c>
      <c r="AJ15" s="48">
        <v>0</v>
      </c>
      <c r="AK15" s="48">
        <v>41700000</v>
      </c>
      <c r="AL15" s="1"/>
      <c r="AM15" s="120">
        <v>0</v>
      </c>
      <c r="AN15" s="120">
        <v>0</v>
      </c>
      <c r="AO15" s="120">
        <v>0</v>
      </c>
      <c r="AP15" s="234">
        <v>0</v>
      </c>
      <c r="AQ15" s="236">
        <v>0</v>
      </c>
      <c r="AR15" s="234">
        <v>0</v>
      </c>
      <c r="AS15" s="234">
        <v>0</v>
      </c>
      <c r="AT15" s="234">
        <v>0</v>
      </c>
      <c r="AU15" s="273">
        <v>0</v>
      </c>
    </row>
    <row r="16" spans="1:47" ht="14.25">
      <c r="A16" s="32" t="s">
        <v>62</v>
      </c>
      <c r="B16" s="37"/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50">
        <v>0</v>
      </c>
      <c r="I16" s="45">
        <v>0</v>
      </c>
      <c r="J16" s="45">
        <v>0</v>
      </c>
      <c r="K16" s="45">
        <v>0</v>
      </c>
      <c r="L16" s="35"/>
      <c r="M16" s="47">
        <v>131880</v>
      </c>
      <c r="N16" s="47">
        <v>355097</v>
      </c>
      <c r="O16" s="47">
        <v>483052</v>
      </c>
      <c r="P16" s="105">
        <v>966071</v>
      </c>
      <c r="Q16" s="107">
        <v>2870704</v>
      </c>
      <c r="R16" s="107">
        <v>1210280</v>
      </c>
      <c r="S16" s="107">
        <v>1329291</v>
      </c>
      <c r="T16" s="107">
        <v>1395628</v>
      </c>
      <c r="U16" s="113">
        <v>1463518</v>
      </c>
      <c r="V16" s="113">
        <v>1520148</v>
      </c>
      <c r="W16" s="113">
        <v>1552760</v>
      </c>
      <c r="X16" s="113">
        <v>8271534</v>
      </c>
      <c r="Y16" s="48"/>
      <c r="Z16" s="157">
        <v>91980</v>
      </c>
      <c r="AA16" s="157">
        <v>261800</v>
      </c>
      <c r="AB16" s="157">
        <v>565737</v>
      </c>
      <c r="AC16" s="157">
        <v>648754</v>
      </c>
      <c r="AD16" s="157">
        <v>755094</v>
      </c>
      <c r="AE16" s="157">
        <v>810190</v>
      </c>
      <c r="AF16" s="1">
        <v>854372</v>
      </c>
      <c r="AG16" s="158">
        <v>917266</v>
      </c>
      <c r="AH16" s="158">
        <v>986906</v>
      </c>
      <c r="AI16" s="48">
        <v>1078317</v>
      </c>
      <c r="AJ16" s="48">
        <v>1230924</v>
      </c>
      <c r="AK16" s="48">
        <v>8306584</v>
      </c>
      <c r="AL16" s="1"/>
      <c r="AM16" s="120">
        <v>86958</v>
      </c>
      <c r="AN16" s="120">
        <v>130395</v>
      </c>
      <c r="AO16" s="120">
        <v>236870.5</v>
      </c>
      <c r="AP16" s="235">
        <v>301710.5</v>
      </c>
      <c r="AQ16" s="237">
        <v>383898.5</v>
      </c>
      <c r="AR16" s="235">
        <v>555561.35</v>
      </c>
      <c r="AS16" s="235">
        <v>591927.44999999995</v>
      </c>
      <c r="AT16" s="235">
        <v>694663.95</v>
      </c>
      <c r="AU16" s="274">
        <v>751474.1</v>
      </c>
    </row>
    <row r="17" spans="1:47" ht="14.25">
      <c r="A17" s="32" t="s">
        <v>63</v>
      </c>
      <c r="B17" s="37"/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50">
        <v>0</v>
      </c>
      <c r="I17" s="45">
        <v>0</v>
      </c>
      <c r="J17" s="45">
        <v>0</v>
      </c>
      <c r="K17" s="45">
        <v>0</v>
      </c>
      <c r="L17" s="35"/>
      <c r="M17" s="47">
        <v>26466.2</v>
      </c>
      <c r="N17" s="47">
        <v>68453.19</v>
      </c>
      <c r="O17" s="47">
        <v>111250.19</v>
      </c>
      <c r="P17" s="105">
        <v>151273.24</v>
      </c>
      <c r="Q17" s="107">
        <v>186207.2</v>
      </c>
      <c r="R17" s="107">
        <v>210440.17</v>
      </c>
      <c r="S17" s="107">
        <v>262942.98</v>
      </c>
      <c r="T17" s="107">
        <v>303011.98</v>
      </c>
      <c r="U17" s="113">
        <v>335003.98</v>
      </c>
      <c r="V17" s="113">
        <v>365373.98</v>
      </c>
      <c r="W17" s="113">
        <v>386287.98</v>
      </c>
      <c r="X17" s="113">
        <v>415075.99</v>
      </c>
      <c r="Y17" s="48"/>
      <c r="Z17" s="157">
        <v>27099.56</v>
      </c>
      <c r="AA17" s="157">
        <v>53942.559999999998</v>
      </c>
      <c r="AB17" s="157">
        <v>95512.56</v>
      </c>
      <c r="AC17" s="157">
        <v>132076.56</v>
      </c>
      <c r="AD17" s="157">
        <v>166215.06</v>
      </c>
      <c r="AE17" s="157">
        <v>201955.06</v>
      </c>
      <c r="AF17" s="1">
        <v>228689.06</v>
      </c>
      <c r="AG17" s="158">
        <v>256573.06</v>
      </c>
      <c r="AH17" s="158">
        <v>283353.06</v>
      </c>
      <c r="AI17" s="48">
        <v>304714.06</v>
      </c>
      <c r="AJ17" s="48">
        <v>330109.06</v>
      </c>
      <c r="AK17" s="48">
        <v>356935.06</v>
      </c>
      <c r="AL17" s="1"/>
      <c r="AM17" s="120">
        <v>26972</v>
      </c>
      <c r="AN17" s="120">
        <v>63671</v>
      </c>
      <c r="AO17" s="120">
        <v>97616</v>
      </c>
      <c r="AP17" s="235">
        <v>133744</v>
      </c>
      <c r="AQ17" s="237">
        <v>166081.35</v>
      </c>
      <c r="AR17" s="235">
        <v>192861.35</v>
      </c>
      <c r="AS17" s="235">
        <v>192861.35</v>
      </c>
      <c r="AT17" s="235">
        <v>192861.35</v>
      </c>
      <c r="AU17" s="274">
        <v>286061.75</v>
      </c>
    </row>
    <row r="18" spans="1:47" ht="14.25">
      <c r="A18" s="32" t="s">
        <v>64</v>
      </c>
      <c r="B18" s="37"/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50">
        <v>0</v>
      </c>
      <c r="I18" s="45">
        <v>0</v>
      </c>
      <c r="J18" s="45">
        <v>0</v>
      </c>
      <c r="K18" s="45">
        <v>0</v>
      </c>
      <c r="L18" s="35"/>
      <c r="M18" s="47">
        <v>0</v>
      </c>
      <c r="N18" s="47">
        <v>0</v>
      </c>
      <c r="O18" s="47">
        <v>0</v>
      </c>
      <c r="P18" s="104">
        <v>0</v>
      </c>
      <c r="Q18" s="106">
        <v>0</v>
      </c>
      <c r="R18" s="106">
        <v>0</v>
      </c>
      <c r="S18" s="106">
        <v>0</v>
      </c>
      <c r="T18" s="106">
        <v>0</v>
      </c>
      <c r="U18">
        <v>0</v>
      </c>
      <c r="V18">
        <v>0</v>
      </c>
      <c r="W18">
        <v>0</v>
      </c>
      <c r="X18">
        <v>0</v>
      </c>
      <c r="Y18" s="48"/>
      <c r="Z18" s="157">
        <v>0</v>
      </c>
      <c r="AA18" s="157">
        <v>0</v>
      </c>
      <c r="AB18" s="157">
        <v>0</v>
      </c>
      <c r="AC18" s="157">
        <v>0</v>
      </c>
      <c r="AD18" s="157">
        <v>0</v>
      </c>
      <c r="AE18" s="157">
        <v>0</v>
      </c>
      <c r="AF18" s="1">
        <v>0</v>
      </c>
      <c r="AG18" s="1">
        <v>0</v>
      </c>
      <c r="AH18" s="1">
        <v>0</v>
      </c>
      <c r="AI18" s="48">
        <v>0</v>
      </c>
      <c r="AJ18" s="48">
        <v>0</v>
      </c>
      <c r="AK18" s="48">
        <v>0</v>
      </c>
      <c r="AL18" s="1"/>
      <c r="AM18" s="120">
        <v>0</v>
      </c>
      <c r="AN18" s="120">
        <v>0</v>
      </c>
      <c r="AO18" s="120">
        <v>0</v>
      </c>
      <c r="AP18" s="234">
        <v>0</v>
      </c>
      <c r="AQ18" s="236">
        <v>0</v>
      </c>
      <c r="AR18" s="234">
        <v>0</v>
      </c>
      <c r="AS18" s="234">
        <v>0</v>
      </c>
      <c r="AT18" s="234">
        <v>0</v>
      </c>
      <c r="AU18" s="273">
        <v>0</v>
      </c>
    </row>
    <row r="19" spans="1:47" ht="15">
      <c r="A19" s="31" t="s">
        <v>65</v>
      </c>
      <c r="B19" s="36">
        <f>B3-B12</f>
        <v>60606976.649999999</v>
      </c>
      <c r="C19" s="36">
        <f t="shared" ref="C19:L19" si="24">C3-C12</f>
        <v>12558632.25</v>
      </c>
      <c r="D19" s="36">
        <f t="shared" si="24"/>
        <v>26194051.280000001</v>
      </c>
      <c r="E19" s="36">
        <f t="shared" si="24"/>
        <v>33914034.480000004</v>
      </c>
      <c r="F19" s="36">
        <f t="shared" si="24"/>
        <v>41610450.109999999</v>
      </c>
      <c r="G19" s="36">
        <f t="shared" si="24"/>
        <v>49064147.25</v>
      </c>
      <c r="H19" s="40">
        <f t="shared" si="24"/>
        <v>73374050.050000012</v>
      </c>
      <c r="I19" s="36">
        <f t="shared" si="24"/>
        <v>83005488.790000007</v>
      </c>
      <c r="J19" s="36">
        <f t="shared" si="24"/>
        <v>92427756.220000014</v>
      </c>
      <c r="K19" s="36">
        <f t="shared" si="24"/>
        <v>90226063.73999998</v>
      </c>
      <c r="L19" s="36">
        <f t="shared" si="24"/>
        <v>54449996.149999999</v>
      </c>
      <c r="M19" s="36">
        <f t="shared" ref="M19:X19" si="25">M3-M12</f>
        <v>6199767.4299999997</v>
      </c>
      <c r="N19" s="36">
        <f t="shared" si="25"/>
        <v>13344979.309999999</v>
      </c>
      <c r="O19" s="36">
        <f t="shared" si="25"/>
        <v>22499250.320000004</v>
      </c>
      <c r="P19" s="34">
        <f t="shared" ref="P19:T19" si="26">P3-P12</f>
        <v>29911131.350000001</v>
      </c>
      <c r="Q19" s="34">
        <f t="shared" si="26"/>
        <v>36511997.369999997</v>
      </c>
      <c r="R19" s="34">
        <f t="shared" si="26"/>
        <v>45985436.820000008</v>
      </c>
      <c r="S19" s="34">
        <f t="shared" si="26"/>
        <v>54916536.379999995</v>
      </c>
      <c r="T19" s="34">
        <f t="shared" si="26"/>
        <v>63238026.310000002</v>
      </c>
      <c r="U19" s="36">
        <f t="shared" si="25"/>
        <v>71161944.61999999</v>
      </c>
      <c r="V19" s="36">
        <f t="shared" si="25"/>
        <v>79237504.949999988</v>
      </c>
      <c r="W19" s="36">
        <f t="shared" si="25"/>
        <v>87101407.069999993</v>
      </c>
      <c r="X19" s="40">
        <f t="shared" si="25"/>
        <v>103384874.20999999</v>
      </c>
      <c r="Y19" s="36">
        <f t="shared" ref="Y19:AA19" si="27">Y3-Y12</f>
        <v>72800233.25</v>
      </c>
      <c r="Z19" s="36">
        <f t="shared" si="27"/>
        <v>7507006.0499999998</v>
      </c>
      <c r="AA19" s="36">
        <f t="shared" si="27"/>
        <v>14812672.210000001</v>
      </c>
      <c r="AB19" s="36">
        <f t="shared" ref="AB19:AH19" si="28">AB3-AB12</f>
        <v>25708173.600000001</v>
      </c>
      <c r="AC19" s="36">
        <f t="shared" si="28"/>
        <v>34617023.089999996</v>
      </c>
      <c r="AD19" s="36">
        <f t="shared" si="28"/>
        <v>43842685.900000006</v>
      </c>
      <c r="AE19" s="36">
        <f t="shared" si="28"/>
        <v>50889089.640000001</v>
      </c>
      <c r="AF19" s="36">
        <f t="shared" si="28"/>
        <v>54378004.739999995</v>
      </c>
      <c r="AG19" s="36">
        <f t="shared" si="28"/>
        <v>66278882.239999995</v>
      </c>
      <c r="AH19" s="36">
        <f t="shared" si="28"/>
        <v>71652659.280000001</v>
      </c>
      <c r="AI19" s="36">
        <f t="shared" ref="AI19:AK19" si="29">AI3-AI12</f>
        <v>78065597.569999993</v>
      </c>
      <c r="AJ19" s="36">
        <f t="shared" si="29"/>
        <v>83271428.969999999</v>
      </c>
      <c r="AK19" s="36">
        <f t="shared" si="29"/>
        <v>56857376.43999999</v>
      </c>
      <c r="AL19" s="36">
        <f t="shared" ref="AL19:AT19" si="30">AL3-AL12</f>
        <v>68431719</v>
      </c>
      <c r="AM19" s="36">
        <f t="shared" si="30"/>
        <v>6781212.2100000009</v>
      </c>
      <c r="AN19" s="36">
        <f t="shared" si="30"/>
        <v>14444595.559999999</v>
      </c>
      <c r="AO19" s="36">
        <f t="shared" si="30"/>
        <v>23581683.949999999</v>
      </c>
      <c r="AP19" s="36">
        <f t="shared" si="30"/>
        <v>29566411.719999999</v>
      </c>
      <c r="AQ19" s="36">
        <f t="shared" si="30"/>
        <v>41000283.460000008</v>
      </c>
      <c r="AR19" s="36">
        <f t="shared" si="30"/>
        <v>48169619.780000001</v>
      </c>
      <c r="AS19" s="36">
        <f t="shared" si="30"/>
        <v>55746397.510000005</v>
      </c>
      <c r="AT19" s="36">
        <f t="shared" si="30"/>
        <v>63549833.369999997</v>
      </c>
      <c r="AU19" s="36">
        <f t="shared" ref="AU19" si="31">AU3-AU12</f>
        <v>72040358.810000017</v>
      </c>
    </row>
    <row r="20" spans="1:47" ht="15">
      <c r="A20" s="31" t="s">
        <v>66</v>
      </c>
      <c r="B20" s="36">
        <f>B21-B22</f>
        <v>8663385.0999999996</v>
      </c>
      <c r="C20" s="36">
        <f t="shared" ref="C20:L20" si="32">C21-C22</f>
        <v>0</v>
      </c>
      <c r="D20" s="36">
        <f t="shared" si="32"/>
        <v>0</v>
      </c>
      <c r="E20" s="36">
        <f t="shared" si="32"/>
        <v>0</v>
      </c>
      <c r="F20" s="36">
        <f t="shared" si="32"/>
        <v>0</v>
      </c>
      <c r="G20" s="36">
        <f t="shared" si="32"/>
        <v>0</v>
      </c>
      <c r="H20" s="40">
        <f t="shared" si="32"/>
        <v>0</v>
      </c>
      <c r="I20" s="36">
        <f t="shared" si="32"/>
        <v>0</v>
      </c>
      <c r="J20" s="36">
        <f t="shared" si="32"/>
        <v>0</v>
      </c>
      <c r="K20" s="36">
        <f t="shared" si="32"/>
        <v>0</v>
      </c>
      <c r="L20" s="36">
        <f t="shared" si="32"/>
        <v>7452358.0999999996</v>
      </c>
      <c r="M20" s="36">
        <f t="shared" ref="M20:X20" si="33">M21-M22</f>
        <v>0</v>
      </c>
      <c r="N20" s="36">
        <f t="shared" si="33"/>
        <v>0</v>
      </c>
      <c r="O20" s="36">
        <f t="shared" si="33"/>
        <v>0</v>
      </c>
      <c r="P20" s="34">
        <f t="shared" ref="P20:T20" si="34">P21-P22</f>
        <v>0</v>
      </c>
      <c r="Q20" s="34">
        <f t="shared" si="34"/>
        <v>0</v>
      </c>
      <c r="R20" s="34">
        <f t="shared" si="34"/>
        <v>0</v>
      </c>
      <c r="S20" s="34">
        <f t="shared" si="34"/>
        <v>0</v>
      </c>
      <c r="T20" s="34">
        <f t="shared" si="34"/>
        <v>0</v>
      </c>
      <c r="U20" s="36">
        <f t="shared" si="33"/>
        <v>0</v>
      </c>
      <c r="V20" s="36">
        <f t="shared" si="33"/>
        <v>0</v>
      </c>
      <c r="W20" s="36">
        <f t="shared" si="33"/>
        <v>0</v>
      </c>
      <c r="X20" s="40">
        <f t="shared" si="33"/>
        <v>0</v>
      </c>
      <c r="Y20" s="36">
        <f t="shared" ref="Y20:AA20" si="35">Y21-Y22</f>
        <v>0</v>
      </c>
      <c r="Z20" s="36">
        <f t="shared" si="35"/>
        <v>0</v>
      </c>
      <c r="AA20" s="36">
        <f t="shared" si="35"/>
        <v>0</v>
      </c>
      <c r="AB20" s="36">
        <f t="shared" ref="AB20:AH20" si="36">AB21-AB22</f>
        <v>0</v>
      </c>
      <c r="AC20" s="36">
        <f t="shared" si="36"/>
        <v>0</v>
      </c>
      <c r="AD20" s="36">
        <f t="shared" si="36"/>
        <v>0</v>
      </c>
      <c r="AE20" s="36">
        <f t="shared" si="36"/>
        <v>0</v>
      </c>
      <c r="AF20" s="36">
        <f t="shared" si="36"/>
        <v>0</v>
      </c>
      <c r="AG20" s="36">
        <f t="shared" si="36"/>
        <v>0</v>
      </c>
      <c r="AH20" s="36">
        <f t="shared" si="36"/>
        <v>0</v>
      </c>
      <c r="AI20" s="36">
        <f t="shared" ref="AI20:AK20" si="37">AI21-AI22</f>
        <v>0</v>
      </c>
      <c r="AJ20" s="36">
        <f t="shared" si="37"/>
        <v>0</v>
      </c>
      <c r="AK20" s="36">
        <f t="shared" si="37"/>
        <v>0</v>
      </c>
      <c r="AL20" s="36">
        <f t="shared" ref="AL20:AT20" si="38">AL21-AL22</f>
        <v>236620</v>
      </c>
      <c r="AM20" s="36">
        <f t="shared" si="38"/>
        <v>0</v>
      </c>
      <c r="AN20" s="36">
        <f t="shared" si="38"/>
        <v>0</v>
      </c>
      <c r="AO20" s="36">
        <f t="shared" si="38"/>
        <v>0</v>
      </c>
      <c r="AP20" s="36">
        <f t="shared" si="38"/>
        <v>0</v>
      </c>
      <c r="AQ20" s="36">
        <f t="shared" si="38"/>
        <v>0</v>
      </c>
      <c r="AR20" s="36">
        <f t="shared" si="38"/>
        <v>0</v>
      </c>
      <c r="AS20" s="36">
        <f t="shared" si="38"/>
        <v>0</v>
      </c>
      <c r="AT20" s="36">
        <f t="shared" si="38"/>
        <v>0</v>
      </c>
      <c r="AU20" s="36">
        <f t="shared" ref="AU20" si="39">AU21-AU22</f>
        <v>0</v>
      </c>
    </row>
    <row r="21" spans="1:47" ht="14.25">
      <c r="A21" s="32" t="s">
        <v>67</v>
      </c>
      <c r="B21" s="37">
        <v>8663385.0999999996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50">
        <v>0</v>
      </c>
      <c r="I21" s="45">
        <v>0</v>
      </c>
      <c r="J21" s="45">
        <v>0</v>
      </c>
      <c r="K21" s="45">
        <v>0</v>
      </c>
      <c r="L21" s="35">
        <v>7452358.0999999996</v>
      </c>
      <c r="M21" s="47">
        <v>0</v>
      </c>
      <c r="N21" s="47">
        <v>0</v>
      </c>
      <c r="O21" s="47">
        <v>0</v>
      </c>
      <c r="P21" s="104">
        <v>0</v>
      </c>
      <c r="Q21" s="106">
        <v>0</v>
      </c>
      <c r="R21" s="106">
        <v>0</v>
      </c>
      <c r="S21" s="106">
        <v>0</v>
      </c>
      <c r="T21" s="106">
        <v>0</v>
      </c>
      <c r="U21">
        <v>0</v>
      </c>
      <c r="V21">
        <v>0</v>
      </c>
      <c r="W21">
        <v>0</v>
      </c>
      <c r="X21">
        <v>0</v>
      </c>
      <c r="Y21" s="48">
        <v>0</v>
      </c>
      <c r="Z21" s="157">
        <v>0</v>
      </c>
      <c r="AA21" s="157">
        <v>0</v>
      </c>
      <c r="AB21" s="157">
        <v>0</v>
      </c>
      <c r="AC21" s="157">
        <v>0</v>
      </c>
      <c r="AD21" s="157">
        <v>0</v>
      </c>
      <c r="AE21" s="157">
        <v>0</v>
      </c>
      <c r="AF21" s="1">
        <v>0</v>
      </c>
      <c r="AG21" s="1">
        <v>0</v>
      </c>
      <c r="AH21" s="48">
        <v>0</v>
      </c>
      <c r="AI21" s="48">
        <v>0</v>
      </c>
      <c r="AJ21" s="48">
        <v>0</v>
      </c>
      <c r="AK21" s="48">
        <v>0</v>
      </c>
      <c r="AL21" s="48">
        <v>236620</v>
      </c>
      <c r="AM21" s="120">
        <v>0</v>
      </c>
      <c r="AN21" s="120">
        <v>0</v>
      </c>
      <c r="AO21" s="120">
        <v>0</v>
      </c>
      <c r="AP21" s="230">
        <v>0</v>
      </c>
      <c r="AQ21" s="232">
        <v>0</v>
      </c>
      <c r="AR21" s="230">
        <v>0</v>
      </c>
      <c r="AS21" s="230">
        <v>0</v>
      </c>
      <c r="AT21" s="230">
        <v>0</v>
      </c>
      <c r="AU21" s="271">
        <v>0</v>
      </c>
    </row>
    <row r="22" spans="1:47" ht="14.25">
      <c r="A22" s="32" t="s">
        <v>68</v>
      </c>
      <c r="B22" s="37"/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50">
        <v>0</v>
      </c>
      <c r="I22" s="45">
        <v>0</v>
      </c>
      <c r="J22" s="45">
        <v>0</v>
      </c>
      <c r="K22" s="45">
        <v>0</v>
      </c>
      <c r="L22" s="35"/>
      <c r="M22" s="47">
        <v>0</v>
      </c>
      <c r="N22" s="47">
        <v>0</v>
      </c>
      <c r="O22" s="47">
        <v>0</v>
      </c>
      <c r="P22" s="104">
        <v>0</v>
      </c>
      <c r="Q22" s="106">
        <v>0</v>
      </c>
      <c r="R22" s="106">
        <v>0</v>
      </c>
      <c r="S22" s="106">
        <v>0</v>
      </c>
      <c r="T22" s="106">
        <v>0</v>
      </c>
      <c r="U22">
        <v>0</v>
      </c>
      <c r="V22">
        <v>0</v>
      </c>
      <c r="W22">
        <v>0</v>
      </c>
      <c r="X22">
        <v>0</v>
      </c>
      <c r="Y22" s="48"/>
      <c r="Z22" s="157">
        <v>0</v>
      </c>
      <c r="AA22" s="157">
        <v>0</v>
      </c>
      <c r="AB22" s="157">
        <v>0</v>
      </c>
      <c r="AC22" s="157">
        <v>0</v>
      </c>
      <c r="AD22" s="157">
        <v>0</v>
      </c>
      <c r="AE22" s="157">
        <v>0</v>
      </c>
      <c r="AF22" s="1">
        <v>0</v>
      </c>
      <c r="AG22" s="1">
        <v>0</v>
      </c>
      <c r="AH22" s="48">
        <v>0</v>
      </c>
      <c r="AI22" s="48">
        <v>0</v>
      </c>
      <c r="AJ22" s="48">
        <v>0</v>
      </c>
      <c r="AK22" s="48">
        <v>0</v>
      </c>
      <c r="AL22" s="1"/>
      <c r="AM22" s="120">
        <v>0</v>
      </c>
      <c r="AN22" s="120">
        <v>0</v>
      </c>
      <c r="AO22" s="120">
        <v>0</v>
      </c>
      <c r="AP22" s="234">
        <v>0</v>
      </c>
      <c r="AQ22" s="236">
        <v>0</v>
      </c>
      <c r="AR22" s="234">
        <v>0</v>
      </c>
      <c r="AS22" s="234">
        <v>0</v>
      </c>
      <c r="AT22" s="234">
        <v>0</v>
      </c>
      <c r="AU22" s="273">
        <v>0</v>
      </c>
    </row>
    <row r="23" spans="1:47" ht="15">
      <c r="A23" s="31" t="s">
        <v>69</v>
      </c>
      <c r="B23" s="36">
        <f t="shared" ref="B23:AA23" si="40">SUM(B24:B28)</f>
        <v>35085771.100000001</v>
      </c>
      <c r="C23" s="36">
        <f t="shared" si="40"/>
        <v>4984381.4000000004</v>
      </c>
      <c r="D23" s="36">
        <f t="shared" si="40"/>
        <v>11913999.98</v>
      </c>
      <c r="E23" s="36">
        <f t="shared" si="40"/>
        <v>16787403.780000001</v>
      </c>
      <c r="F23" s="36">
        <f t="shared" si="40"/>
        <v>19791444.600000001</v>
      </c>
      <c r="G23" s="36">
        <f t="shared" si="40"/>
        <v>23674921.259999998</v>
      </c>
      <c r="H23" s="40">
        <f t="shared" si="40"/>
        <v>35116360.900000006</v>
      </c>
      <c r="I23" s="36">
        <f t="shared" si="40"/>
        <v>38375896.149999999</v>
      </c>
      <c r="J23" s="36">
        <f t="shared" si="40"/>
        <v>41957716.829999998</v>
      </c>
      <c r="K23" s="36">
        <f t="shared" si="40"/>
        <v>47812091.489999995</v>
      </c>
      <c r="L23" s="36">
        <f t="shared" si="40"/>
        <v>35268974.450000003</v>
      </c>
      <c r="M23" s="36">
        <f t="shared" si="40"/>
        <v>2246535</v>
      </c>
      <c r="N23" s="36">
        <f t="shared" si="40"/>
        <v>6330323.9199999999</v>
      </c>
      <c r="O23" s="36">
        <f t="shared" si="40"/>
        <v>10983916.129999999</v>
      </c>
      <c r="P23" s="34">
        <f t="shared" si="40"/>
        <v>12972566.59</v>
      </c>
      <c r="Q23" s="34">
        <f t="shared" si="40"/>
        <v>15420142.050000001</v>
      </c>
      <c r="R23" s="34">
        <f t="shared" si="40"/>
        <v>18101005.5</v>
      </c>
      <c r="S23" s="34">
        <f t="shared" si="40"/>
        <v>22137923.850000001</v>
      </c>
      <c r="T23" s="34">
        <f t="shared" si="40"/>
        <v>25119854.770000003</v>
      </c>
      <c r="U23" s="36">
        <f t="shared" si="40"/>
        <v>27604236.230000004</v>
      </c>
      <c r="V23" s="36">
        <f t="shared" si="40"/>
        <v>32031622.230000004</v>
      </c>
      <c r="W23" s="36">
        <f t="shared" si="40"/>
        <v>35584875.150000006</v>
      </c>
      <c r="X23" s="40">
        <f t="shared" si="40"/>
        <v>42069016.609999999</v>
      </c>
      <c r="Y23" s="36">
        <f t="shared" si="40"/>
        <v>54838836.349999994</v>
      </c>
      <c r="Z23" s="36">
        <f t="shared" si="40"/>
        <v>3281350.46</v>
      </c>
      <c r="AA23" s="36">
        <f t="shared" si="40"/>
        <v>9521061.9199999999</v>
      </c>
      <c r="AB23" s="36">
        <f t="shared" ref="AB23:AH23" si="41">SUM(AB24:AB28)</f>
        <v>13520871</v>
      </c>
      <c r="AC23" s="36">
        <f t="shared" si="41"/>
        <v>16702410.84</v>
      </c>
      <c r="AD23" s="36">
        <f t="shared" si="41"/>
        <v>21325560.84</v>
      </c>
      <c r="AE23" s="36">
        <f t="shared" si="41"/>
        <v>25603895.300000001</v>
      </c>
      <c r="AF23" s="36">
        <f t="shared" si="41"/>
        <v>28747948.300000001</v>
      </c>
      <c r="AG23" s="36">
        <f t="shared" si="41"/>
        <v>34076569.299999997</v>
      </c>
      <c r="AH23" s="36">
        <f t="shared" si="41"/>
        <v>37675628.299999997</v>
      </c>
      <c r="AI23" s="36">
        <f t="shared" ref="AI23:AK23" si="42">SUM(AI24:AI28)</f>
        <v>40900167.299999997</v>
      </c>
      <c r="AJ23" s="36">
        <f t="shared" si="42"/>
        <v>43876487.299999997</v>
      </c>
      <c r="AK23" s="36">
        <f t="shared" si="42"/>
        <v>42706374.189999998</v>
      </c>
      <c r="AL23" s="36">
        <f t="shared" ref="AL23:AU23" si="43">SUM(AL24:AL28)</f>
        <v>54531541.450000003</v>
      </c>
      <c r="AM23" s="36">
        <f t="shared" si="43"/>
        <v>3492928</v>
      </c>
      <c r="AN23" s="36">
        <f t="shared" si="43"/>
        <v>9707034</v>
      </c>
      <c r="AO23" s="36">
        <f t="shared" si="43"/>
        <v>14567648</v>
      </c>
      <c r="AP23" s="36">
        <f t="shared" si="43"/>
        <v>16858653</v>
      </c>
      <c r="AQ23" s="36">
        <f t="shared" si="43"/>
        <v>21033243</v>
      </c>
      <c r="AR23" s="36">
        <f t="shared" si="43"/>
        <v>24664576</v>
      </c>
      <c r="AS23" s="36">
        <f t="shared" si="43"/>
        <v>28227025.75</v>
      </c>
      <c r="AT23" s="36">
        <f t="shared" si="43"/>
        <v>31144443.100000001</v>
      </c>
      <c r="AU23" s="36">
        <f t="shared" si="43"/>
        <v>33651434</v>
      </c>
    </row>
    <row r="24" spans="1:47" ht="14.25">
      <c r="A24" s="32" t="s">
        <v>70</v>
      </c>
      <c r="B24" s="37">
        <v>16521475</v>
      </c>
      <c r="C24" s="45">
        <v>1737585.4</v>
      </c>
      <c r="D24" s="45">
        <v>3466463</v>
      </c>
      <c r="E24" s="45">
        <v>6954219.7999999998</v>
      </c>
      <c r="F24" s="45">
        <v>8727232</v>
      </c>
      <c r="G24" s="45">
        <v>10475186.699999999</v>
      </c>
      <c r="H24" s="50">
        <v>15979365.1</v>
      </c>
      <c r="I24" s="45">
        <v>17699475.199999999</v>
      </c>
      <c r="J24" s="45">
        <v>19422667.600000001</v>
      </c>
      <c r="K24" s="45">
        <v>21504192.5</v>
      </c>
      <c r="L24" s="35">
        <v>15472331</v>
      </c>
      <c r="M24" s="47">
        <v>1419138</v>
      </c>
      <c r="N24" s="47">
        <v>2786172</v>
      </c>
      <c r="O24" s="47">
        <v>4409173</v>
      </c>
      <c r="P24" s="105">
        <v>5741483</v>
      </c>
      <c r="Q24" s="107">
        <v>7076239</v>
      </c>
      <c r="R24" s="107">
        <v>8469272</v>
      </c>
      <c r="S24" s="107">
        <v>11691139.35</v>
      </c>
      <c r="T24" s="107">
        <v>13135137.35</v>
      </c>
      <c r="U24" s="113">
        <v>14524182.35</v>
      </c>
      <c r="V24" s="113">
        <v>16086302.35</v>
      </c>
      <c r="W24" s="113">
        <v>17655804.350000001</v>
      </c>
      <c r="X24" s="113">
        <v>21811979.350000001</v>
      </c>
      <c r="Y24" s="48">
        <v>21818016</v>
      </c>
      <c r="Z24" s="157">
        <v>1554504</v>
      </c>
      <c r="AA24" s="157">
        <v>3123651</v>
      </c>
      <c r="AB24" s="157">
        <v>4960538</v>
      </c>
      <c r="AC24" s="157">
        <v>6496777</v>
      </c>
      <c r="AD24" s="157">
        <v>8072862</v>
      </c>
      <c r="AE24" s="157">
        <v>9663433</v>
      </c>
      <c r="AF24" s="1">
        <v>11303892</v>
      </c>
      <c r="AG24" s="158">
        <v>12808755</v>
      </c>
      <c r="AH24" s="158">
        <v>14577505</v>
      </c>
      <c r="AI24" s="48">
        <v>16206438</v>
      </c>
      <c r="AJ24" s="48">
        <v>17551359</v>
      </c>
      <c r="AK24" s="48">
        <v>21136116</v>
      </c>
      <c r="AL24" s="48">
        <v>21138710</v>
      </c>
      <c r="AM24" s="120">
        <v>1553728</v>
      </c>
      <c r="AN24" s="120">
        <v>3142478</v>
      </c>
      <c r="AO24" s="120">
        <v>5044761</v>
      </c>
      <c r="AP24" s="231">
        <v>6510558</v>
      </c>
      <c r="AQ24" s="233">
        <v>8307629</v>
      </c>
      <c r="AR24" s="231">
        <v>9796180</v>
      </c>
      <c r="AS24" s="231">
        <v>11363378</v>
      </c>
      <c r="AT24" s="231">
        <v>12911179</v>
      </c>
      <c r="AU24" s="272">
        <v>14485459</v>
      </c>
    </row>
    <row r="25" spans="1:47" ht="14.25">
      <c r="A25" s="32" t="s">
        <v>71</v>
      </c>
      <c r="B25" s="37">
        <v>2991144</v>
      </c>
      <c r="C25" s="45">
        <v>330605</v>
      </c>
      <c r="D25" s="45">
        <v>1101032</v>
      </c>
      <c r="E25" s="45">
        <v>1175042</v>
      </c>
      <c r="F25" s="45">
        <v>1252637</v>
      </c>
      <c r="G25" s="45">
        <v>1477567</v>
      </c>
      <c r="H25" s="50">
        <v>1960502</v>
      </c>
      <c r="I25" s="45">
        <v>2075932</v>
      </c>
      <c r="J25" s="45">
        <v>2203217</v>
      </c>
      <c r="K25" s="45">
        <v>2498907</v>
      </c>
      <c r="L25" s="35">
        <v>2827400</v>
      </c>
      <c r="M25" s="47">
        <v>181780</v>
      </c>
      <c r="N25" s="47">
        <v>666540</v>
      </c>
      <c r="O25" s="47">
        <v>1644680</v>
      </c>
      <c r="P25" s="105">
        <v>2090790</v>
      </c>
      <c r="Q25" s="107">
        <v>2339840</v>
      </c>
      <c r="R25" s="107">
        <v>2721060</v>
      </c>
      <c r="S25" s="107">
        <v>3090290</v>
      </c>
      <c r="T25" s="107">
        <v>3524490</v>
      </c>
      <c r="U25" s="113">
        <v>3732580</v>
      </c>
      <c r="V25" s="113">
        <v>4237410</v>
      </c>
      <c r="W25" s="113">
        <v>4760370</v>
      </c>
      <c r="X25" s="113">
        <v>5147480</v>
      </c>
      <c r="Y25" s="48">
        <v>5147480</v>
      </c>
      <c r="Z25" s="157">
        <v>525510</v>
      </c>
      <c r="AA25" s="157">
        <v>1799300</v>
      </c>
      <c r="AB25" s="157">
        <v>3143690</v>
      </c>
      <c r="AC25" s="157">
        <v>3643820</v>
      </c>
      <c r="AD25" s="157">
        <v>4155980</v>
      </c>
      <c r="AE25" s="157">
        <v>4821640</v>
      </c>
      <c r="AF25" s="1">
        <v>5580700</v>
      </c>
      <c r="AG25" s="158">
        <v>6079360</v>
      </c>
      <c r="AH25" s="158">
        <v>6394820</v>
      </c>
      <c r="AI25" s="48">
        <v>6607090</v>
      </c>
      <c r="AJ25" s="48">
        <v>6715840</v>
      </c>
      <c r="AK25" s="48">
        <v>7323260</v>
      </c>
      <c r="AL25" s="48">
        <v>6623260</v>
      </c>
      <c r="AM25" s="120">
        <v>562050</v>
      </c>
      <c r="AN25" s="120">
        <v>1247750</v>
      </c>
      <c r="AO25" s="120">
        <v>2637500</v>
      </c>
      <c r="AP25" s="235">
        <v>3022180</v>
      </c>
      <c r="AQ25" s="237">
        <v>3249470</v>
      </c>
      <c r="AR25" s="235">
        <v>3904460</v>
      </c>
      <c r="AS25" s="235">
        <v>4265770</v>
      </c>
      <c r="AT25" s="235">
        <v>5237820</v>
      </c>
      <c r="AU25" s="274">
        <v>5533830</v>
      </c>
    </row>
    <row r="26" spans="1:47" ht="14.25">
      <c r="A26" s="32" t="s">
        <v>72</v>
      </c>
      <c r="B26" s="37"/>
      <c r="C26" s="45">
        <v>129565</v>
      </c>
      <c r="D26" s="45">
        <v>642394</v>
      </c>
      <c r="E26" s="45">
        <v>843169</v>
      </c>
      <c r="F26" s="45">
        <v>1007639</v>
      </c>
      <c r="G26" s="45">
        <v>1027519</v>
      </c>
      <c r="H26" s="50">
        <v>1518323</v>
      </c>
      <c r="I26" s="45">
        <v>1670863</v>
      </c>
      <c r="J26" s="45">
        <v>1854278</v>
      </c>
      <c r="K26" s="45">
        <v>2062618</v>
      </c>
      <c r="L26" s="35"/>
      <c r="M26" s="47">
        <v>61950</v>
      </c>
      <c r="N26" s="47">
        <v>112500</v>
      </c>
      <c r="O26" s="47">
        <v>193160</v>
      </c>
      <c r="P26" s="105">
        <v>286580</v>
      </c>
      <c r="Q26" s="107">
        <v>410400</v>
      </c>
      <c r="R26" s="107">
        <v>493600</v>
      </c>
      <c r="S26" s="107">
        <v>524700</v>
      </c>
      <c r="T26" s="107">
        <v>615900</v>
      </c>
      <c r="U26" s="113">
        <v>668670</v>
      </c>
      <c r="V26" s="113">
        <v>707170</v>
      </c>
      <c r="W26" s="113">
        <v>793350</v>
      </c>
      <c r="X26" s="113">
        <v>842800</v>
      </c>
      <c r="Y26" s="48">
        <v>662710</v>
      </c>
      <c r="Z26" s="157">
        <v>36000</v>
      </c>
      <c r="AA26" s="157">
        <v>92020</v>
      </c>
      <c r="AB26" s="157">
        <v>114020</v>
      </c>
      <c r="AC26" s="157">
        <v>131640</v>
      </c>
      <c r="AD26" s="157">
        <v>280004</v>
      </c>
      <c r="AE26" s="157">
        <v>344724</v>
      </c>
      <c r="AF26" s="1">
        <v>399444</v>
      </c>
      <c r="AG26" s="158">
        <v>522604</v>
      </c>
      <c r="AH26" s="158">
        <v>682404</v>
      </c>
      <c r="AI26" s="48">
        <v>735604</v>
      </c>
      <c r="AJ26" s="48">
        <v>764004</v>
      </c>
      <c r="AK26" s="48">
        <v>823004</v>
      </c>
      <c r="AL26" s="48">
        <v>601564</v>
      </c>
      <c r="AM26" s="120">
        <v>53100</v>
      </c>
      <c r="AN26" s="120">
        <v>104200</v>
      </c>
      <c r="AO26" s="120">
        <v>168900</v>
      </c>
      <c r="AP26" s="235">
        <v>214820</v>
      </c>
      <c r="AQ26" s="237">
        <v>587560</v>
      </c>
      <c r="AR26" s="235">
        <v>730880</v>
      </c>
      <c r="AS26" s="235">
        <v>756680</v>
      </c>
      <c r="AT26" s="235">
        <v>773680</v>
      </c>
      <c r="AU26" s="274">
        <v>819980</v>
      </c>
    </row>
    <row r="27" spans="1:47" ht="14.25">
      <c r="A27" s="32" t="s">
        <v>73</v>
      </c>
      <c r="B27" s="37">
        <v>1519419.1</v>
      </c>
      <c r="C27" s="45">
        <v>138128</v>
      </c>
      <c r="D27" s="45">
        <v>414384</v>
      </c>
      <c r="E27" s="45">
        <v>528924</v>
      </c>
      <c r="F27" s="45">
        <v>661155</v>
      </c>
      <c r="G27" s="45">
        <v>793386</v>
      </c>
      <c r="H27" s="50">
        <v>1190079</v>
      </c>
      <c r="I27" s="45">
        <v>1322310</v>
      </c>
      <c r="J27" s="45">
        <v>1454541</v>
      </c>
      <c r="K27" s="45">
        <v>1586772</v>
      </c>
      <c r="L27" s="35">
        <v>1707778.45</v>
      </c>
      <c r="M27" s="47">
        <v>0</v>
      </c>
      <c r="N27" s="47">
        <v>0</v>
      </c>
      <c r="O27" s="47">
        <v>0</v>
      </c>
      <c r="P27" s="104">
        <v>0</v>
      </c>
      <c r="Q27" s="106">
        <v>0</v>
      </c>
      <c r="R27" s="106">
        <v>0</v>
      </c>
      <c r="S27" s="106">
        <v>0</v>
      </c>
      <c r="T27" s="106">
        <v>0</v>
      </c>
      <c r="U27">
        <v>0</v>
      </c>
      <c r="V27">
        <v>0</v>
      </c>
      <c r="W27">
        <v>0</v>
      </c>
      <c r="X27">
        <v>0</v>
      </c>
      <c r="Y27" s="48">
        <f>2614259.25+154236.4</f>
        <v>2768495.65</v>
      </c>
      <c r="Z27" s="157">
        <v>0</v>
      </c>
      <c r="AA27" s="157">
        <v>0</v>
      </c>
      <c r="AB27" s="157">
        <v>0</v>
      </c>
      <c r="AC27" s="157">
        <v>0</v>
      </c>
      <c r="AD27" s="157">
        <v>0</v>
      </c>
      <c r="AE27" s="157">
        <v>0</v>
      </c>
      <c r="AF27" s="1">
        <v>0</v>
      </c>
      <c r="AG27" s="1">
        <v>0</v>
      </c>
      <c r="AH27" s="1">
        <v>0</v>
      </c>
      <c r="AI27" s="48">
        <v>0</v>
      </c>
      <c r="AJ27" s="48">
        <v>0</v>
      </c>
      <c r="AK27" s="48">
        <v>0</v>
      </c>
      <c r="AL27" s="157">
        <f>2424033.05+154236.5</f>
        <v>2578269.5499999998</v>
      </c>
      <c r="AM27" s="120">
        <v>0</v>
      </c>
      <c r="AN27" s="120">
        <v>0</v>
      </c>
      <c r="AO27" s="120">
        <v>0</v>
      </c>
      <c r="AP27" s="234">
        <v>0</v>
      </c>
      <c r="AQ27" s="236">
        <v>0</v>
      </c>
      <c r="AR27" s="234">
        <v>0</v>
      </c>
      <c r="AS27" s="234">
        <v>0</v>
      </c>
      <c r="AT27" s="234">
        <v>0</v>
      </c>
      <c r="AU27" s="273">
        <v>0</v>
      </c>
    </row>
    <row r="28" spans="1:47" ht="14.25">
      <c r="A28" s="32" t="s">
        <v>74</v>
      </c>
      <c r="B28" s="37">
        <v>14053733</v>
      </c>
      <c r="C28" s="45">
        <v>2648498</v>
      </c>
      <c r="D28" s="45">
        <v>6289726.9800000004</v>
      </c>
      <c r="E28" s="45">
        <v>7286048.9800000004</v>
      </c>
      <c r="F28" s="45">
        <v>8142781.5999999996</v>
      </c>
      <c r="G28" s="45">
        <v>9901262.5600000005</v>
      </c>
      <c r="H28" s="50">
        <v>14468091.800000001</v>
      </c>
      <c r="I28" s="45">
        <v>15607315.949999999</v>
      </c>
      <c r="J28" s="45">
        <v>17023013.23</v>
      </c>
      <c r="K28" s="45">
        <v>20159601.989999998</v>
      </c>
      <c r="L28" s="35">
        <v>15261465</v>
      </c>
      <c r="M28" s="47">
        <v>583667</v>
      </c>
      <c r="N28" s="47">
        <v>2765111.92</v>
      </c>
      <c r="O28" s="47">
        <v>4736903.13</v>
      </c>
      <c r="P28" s="105">
        <v>4853713.59</v>
      </c>
      <c r="Q28" s="107">
        <v>5593663.0499999998</v>
      </c>
      <c r="R28" s="107">
        <v>6417073.5</v>
      </c>
      <c r="S28" s="107">
        <v>6831794.5</v>
      </c>
      <c r="T28" s="107">
        <v>7844327.4199999999</v>
      </c>
      <c r="U28" s="113">
        <v>8678803.8800000008</v>
      </c>
      <c r="V28" s="113">
        <v>11000739.880000001</v>
      </c>
      <c r="W28" s="113">
        <v>12375350.800000001</v>
      </c>
      <c r="X28" s="113">
        <v>14266757.26</v>
      </c>
      <c r="Y28" s="48">
        <f>25104844.7-Y26</f>
        <v>24442134.699999999</v>
      </c>
      <c r="Z28" s="157">
        <v>1165336.46</v>
      </c>
      <c r="AA28" s="157">
        <v>4506090.92</v>
      </c>
      <c r="AB28" s="157">
        <v>5302623</v>
      </c>
      <c r="AC28" s="157">
        <v>6430173.8399999999</v>
      </c>
      <c r="AD28" s="157">
        <v>8816714.8399999999</v>
      </c>
      <c r="AE28" s="157">
        <v>10774098.300000001</v>
      </c>
      <c r="AF28" s="1">
        <v>11463912.300000001</v>
      </c>
      <c r="AG28" s="158">
        <v>14665850.300000001</v>
      </c>
      <c r="AH28" s="158">
        <v>16020899.300000001</v>
      </c>
      <c r="AI28" s="48">
        <v>17351035.300000001</v>
      </c>
      <c r="AJ28" s="48">
        <v>18845284.300000001</v>
      </c>
      <c r="AK28" s="48">
        <v>13423994.189999999</v>
      </c>
      <c r="AL28" s="48">
        <f>24191301.9-AL26</f>
        <v>23589737.899999999</v>
      </c>
      <c r="AM28" s="120">
        <v>1324050</v>
      </c>
      <c r="AN28" s="120">
        <v>5212606</v>
      </c>
      <c r="AO28" s="120">
        <v>6716487</v>
      </c>
      <c r="AP28" s="235">
        <v>7111095</v>
      </c>
      <c r="AQ28" s="237">
        <v>8888584</v>
      </c>
      <c r="AR28" s="235">
        <v>10233056</v>
      </c>
      <c r="AS28" s="235">
        <v>11841197.75</v>
      </c>
      <c r="AT28" s="235">
        <v>12221764.1</v>
      </c>
      <c r="AU28" s="274">
        <v>12812165</v>
      </c>
    </row>
    <row r="29" spans="1:47" ht="15">
      <c r="A29" s="31" t="s">
        <v>75</v>
      </c>
      <c r="B29" s="36">
        <f>B19-B20-B23</f>
        <v>16857820.449999996</v>
      </c>
      <c r="C29" s="36">
        <f t="shared" ref="C29:K29" si="44">C19-C20-C23</f>
        <v>7574250.8499999996</v>
      </c>
      <c r="D29" s="36">
        <f t="shared" si="44"/>
        <v>14280051.300000001</v>
      </c>
      <c r="E29" s="36">
        <f t="shared" si="44"/>
        <v>17126630.700000003</v>
      </c>
      <c r="F29" s="36">
        <f t="shared" si="44"/>
        <v>21819005.509999998</v>
      </c>
      <c r="G29" s="36">
        <f t="shared" si="44"/>
        <v>25389225.990000002</v>
      </c>
      <c r="H29" s="40">
        <f t="shared" si="44"/>
        <v>38257689.150000006</v>
      </c>
      <c r="I29" s="36">
        <f t="shared" si="44"/>
        <v>44629592.640000008</v>
      </c>
      <c r="J29" s="36">
        <f t="shared" si="44"/>
        <v>50470039.390000015</v>
      </c>
      <c r="K29" s="36">
        <f t="shared" si="44"/>
        <v>42413972.249999985</v>
      </c>
      <c r="L29" s="36">
        <f>L19-L20-L23</f>
        <v>11728663.599999994</v>
      </c>
      <c r="M29" s="36">
        <f t="shared" ref="M29:X29" si="45">M19-M20-M23</f>
        <v>3953232.4299999997</v>
      </c>
      <c r="N29" s="36">
        <f t="shared" si="45"/>
        <v>7014655.3899999987</v>
      </c>
      <c r="O29" s="36">
        <f t="shared" si="45"/>
        <v>11515334.190000005</v>
      </c>
      <c r="P29" s="34">
        <f t="shared" ref="P29:T29" si="46">P19-P20-P23</f>
        <v>16938564.760000002</v>
      </c>
      <c r="Q29" s="34">
        <f t="shared" si="46"/>
        <v>21091855.319999997</v>
      </c>
      <c r="R29" s="34">
        <f t="shared" si="46"/>
        <v>27884431.320000008</v>
      </c>
      <c r="S29" s="34">
        <f t="shared" si="46"/>
        <v>32778612.529999994</v>
      </c>
      <c r="T29" s="34">
        <f t="shared" si="46"/>
        <v>38118171.539999999</v>
      </c>
      <c r="U29" s="36">
        <f t="shared" si="45"/>
        <v>43557708.389999986</v>
      </c>
      <c r="V29" s="36">
        <f t="shared" si="45"/>
        <v>47205882.719999984</v>
      </c>
      <c r="W29" s="36">
        <f t="shared" si="45"/>
        <v>51516531.919999987</v>
      </c>
      <c r="X29" s="40">
        <f t="shared" si="45"/>
        <v>61315857.599999994</v>
      </c>
      <c r="Y29" s="36">
        <f t="shared" ref="Y29:AA29" si="47">Y19-Y20-Y23</f>
        <v>17961396.900000006</v>
      </c>
      <c r="Z29" s="36">
        <f t="shared" si="47"/>
        <v>4225655.59</v>
      </c>
      <c r="AA29" s="36">
        <f t="shared" si="47"/>
        <v>5291610.290000001</v>
      </c>
      <c r="AB29" s="36">
        <f t="shared" ref="AB29:AH29" si="48">AB19-AB20-AB23</f>
        <v>12187302.600000001</v>
      </c>
      <c r="AC29" s="36">
        <f t="shared" si="48"/>
        <v>17914612.249999996</v>
      </c>
      <c r="AD29" s="36">
        <f t="shared" si="48"/>
        <v>22517125.060000006</v>
      </c>
      <c r="AE29" s="36">
        <f t="shared" si="48"/>
        <v>25285194.34</v>
      </c>
      <c r="AF29" s="36">
        <f t="shared" si="48"/>
        <v>25630056.439999994</v>
      </c>
      <c r="AG29" s="36">
        <f t="shared" si="48"/>
        <v>32202312.939999998</v>
      </c>
      <c r="AH29" s="36">
        <f t="shared" si="48"/>
        <v>33977030.980000004</v>
      </c>
      <c r="AI29" s="36">
        <f t="shared" ref="AI29:AK29" si="49">AI19-AI20-AI23</f>
        <v>37165430.269999996</v>
      </c>
      <c r="AJ29" s="36">
        <f t="shared" si="49"/>
        <v>39394941.670000002</v>
      </c>
      <c r="AK29" s="36">
        <f t="shared" si="49"/>
        <v>14151002.249999993</v>
      </c>
      <c r="AL29" s="36">
        <f t="shared" ref="AL29:AU29" si="50">AL19-AL20-AL23</f>
        <v>13663557.549999997</v>
      </c>
      <c r="AM29" s="36">
        <f t="shared" si="50"/>
        <v>3288284.2100000009</v>
      </c>
      <c r="AN29" s="36">
        <f t="shared" si="50"/>
        <v>4737561.5599999987</v>
      </c>
      <c r="AO29" s="36">
        <f t="shared" si="50"/>
        <v>9014035.9499999993</v>
      </c>
      <c r="AP29" s="36">
        <f t="shared" si="50"/>
        <v>12707758.719999999</v>
      </c>
      <c r="AQ29" s="36">
        <f t="shared" si="50"/>
        <v>19967040.460000008</v>
      </c>
      <c r="AR29" s="36">
        <f t="shared" si="50"/>
        <v>23505043.780000001</v>
      </c>
      <c r="AS29" s="36">
        <f t="shared" si="50"/>
        <v>27519371.760000005</v>
      </c>
      <c r="AT29" s="36">
        <f t="shared" si="50"/>
        <v>32405390.269999996</v>
      </c>
      <c r="AU29" s="36">
        <f t="shared" si="50"/>
        <v>38388924.810000017</v>
      </c>
    </row>
    <row r="30" spans="1:47" ht="15">
      <c r="A30" s="31" t="s">
        <v>76</v>
      </c>
      <c r="B30" s="36">
        <f>B31-B32</f>
        <v>0</v>
      </c>
      <c r="C30" s="36">
        <f t="shared" ref="C30:L30" si="51">C31-C32</f>
        <v>0</v>
      </c>
      <c r="D30" s="36">
        <f t="shared" si="51"/>
        <v>0</v>
      </c>
      <c r="E30" s="36">
        <f t="shared" si="51"/>
        <v>0</v>
      </c>
      <c r="F30" s="36">
        <f t="shared" si="51"/>
        <v>0</v>
      </c>
      <c r="G30" s="36">
        <f t="shared" si="51"/>
        <v>0</v>
      </c>
      <c r="H30" s="40">
        <f t="shared" si="51"/>
        <v>0</v>
      </c>
      <c r="I30" s="36">
        <f t="shared" si="51"/>
        <v>0</v>
      </c>
      <c r="J30" s="36">
        <f t="shared" si="51"/>
        <v>0</v>
      </c>
      <c r="K30" s="36">
        <f t="shared" si="51"/>
        <v>0</v>
      </c>
      <c r="L30" s="36">
        <f t="shared" si="51"/>
        <v>0</v>
      </c>
      <c r="M30" s="36">
        <f t="shared" ref="M30:X30" si="52">M31-M32</f>
        <v>0</v>
      </c>
      <c r="N30" s="36">
        <f t="shared" si="52"/>
        <v>0</v>
      </c>
      <c r="O30" s="36">
        <f t="shared" si="52"/>
        <v>0</v>
      </c>
      <c r="P30" s="34">
        <f t="shared" ref="P30:T30" si="53">P31-P32</f>
        <v>0</v>
      </c>
      <c r="Q30" s="34">
        <f t="shared" si="53"/>
        <v>0</v>
      </c>
      <c r="R30" s="34">
        <f t="shared" si="53"/>
        <v>0</v>
      </c>
      <c r="S30" s="34">
        <f t="shared" si="53"/>
        <v>0</v>
      </c>
      <c r="T30" s="34">
        <f t="shared" si="53"/>
        <v>0</v>
      </c>
      <c r="U30" s="36">
        <f t="shared" si="52"/>
        <v>0</v>
      </c>
      <c r="V30" s="36">
        <f t="shared" si="52"/>
        <v>0</v>
      </c>
      <c r="W30" s="36">
        <f t="shared" si="52"/>
        <v>0</v>
      </c>
      <c r="X30" s="40">
        <f t="shared" si="52"/>
        <v>0</v>
      </c>
      <c r="Y30" s="36">
        <f t="shared" ref="Y30:AA30" si="54">Y31-Y32</f>
        <v>0</v>
      </c>
      <c r="Z30" s="36">
        <f t="shared" si="54"/>
        <v>0</v>
      </c>
      <c r="AA30" s="36">
        <f t="shared" si="54"/>
        <v>0</v>
      </c>
      <c r="AB30" s="36">
        <f t="shared" ref="AB30:AH30" si="55">AB31-AB32</f>
        <v>0</v>
      </c>
      <c r="AC30" s="36">
        <f t="shared" si="55"/>
        <v>0</v>
      </c>
      <c r="AD30" s="36">
        <f t="shared" si="55"/>
        <v>0</v>
      </c>
      <c r="AE30" s="36">
        <f t="shared" si="55"/>
        <v>0</v>
      </c>
      <c r="AF30" s="36">
        <f t="shared" si="55"/>
        <v>0</v>
      </c>
      <c r="AG30" s="36">
        <f t="shared" si="55"/>
        <v>0</v>
      </c>
      <c r="AH30" s="36">
        <f t="shared" si="55"/>
        <v>0</v>
      </c>
      <c r="AI30" s="36">
        <f t="shared" ref="AI30:AK30" si="56">AI31-AI32</f>
        <v>0</v>
      </c>
      <c r="AJ30" s="36">
        <f t="shared" si="56"/>
        <v>0</v>
      </c>
      <c r="AK30" s="36">
        <f t="shared" si="56"/>
        <v>0</v>
      </c>
      <c r="AL30" s="36">
        <f t="shared" ref="AL30:AR30" si="57">AL31-AL32</f>
        <v>1301958</v>
      </c>
      <c r="AM30" s="36">
        <f t="shared" si="57"/>
        <v>0</v>
      </c>
      <c r="AN30" s="36">
        <f t="shared" si="57"/>
        <v>0</v>
      </c>
      <c r="AO30" s="36">
        <f t="shared" si="57"/>
        <v>0</v>
      </c>
      <c r="AP30" s="36">
        <f t="shared" si="57"/>
        <v>0</v>
      </c>
      <c r="AQ30" s="36">
        <f t="shared" si="57"/>
        <v>0</v>
      </c>
      <c r="AR30" s="36">
        <f t="shared" si="57"/>
        <v>0</v>
      </c>
    </row>
    <row r="31" spans="1:47" ht="14.25">
      <c r="A31" s="32" t="s">
        <v>77</v>
      </c>
      <c r="B31" s="37"/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50">
        <v>0</v>
      </c>
      <c r="I31" s="45">
        <v>0</v>
      </c>
      <c r="J31" s="45">
        <v>0</v>
      </c>
      <c r="K31" s="45">
        <v>0</v>
      </c>
      <c r="L31" s="35"/>
      <c r="M31" s="47">
        <v>0</v>
      </c>
      <c r="N31" s="47">
        <v>0</v>
      </c>
      <c r="O31" s="47">
        <v>0</v>
      </c>
      <c r="P31" s="104">
        <v>0</v>
      </c>
      <c r="Q31" s="106">
        <v>0</v>
      </c>
      <c r="R31" s="106">
        <v>0</v>
      </c>
      <c r="S31" s="106">
        <v>0</v>
      </c>
      <c r="T31" s="106">
        <v>0</v>
      </c>
      <c r="U31">
        <v>0</v>
      </c>
      <c r="V31">
        <v>0</v>
      </c>
      <c r="W31">
        <v>0</v>
      </c>
      <c r="X31">
        <v>0</v>
      </c>
      <c r="Y31" s="48"/>
      <c r="Z31" s="157">
        <v>0</v>
      </c>
      <c r="AA31" s="157">
        <v>0</v>
      </c>
      <c r="AB31" s="157">
        <v>0</v>
      </c>
      <c r="AC31" s="157">
        <v>0</v>
      </c>
      <c r="AD31" s="157">
        <v>0</v>
      </c>
      <c r="AE31" s="157">
        <v>0</v>
      </c>
      <c r="AF31" s="1">
        <v>0</v>
      </c>
      <c r="AG31" s="1">
        <v>0</v>
      </c>
      <c r="AH31" s="1">
        <v>0</v>
      </c>
      <c r="AI31" s="1"/>
      <c r="AJ31" s="1"/>
      <c r="AK31" s="1"/>
      <c r="AL31" s="157">
        <v>1301958</v>
      </c>
      <c r="AM31" s="120">
        <v>0</v>
      </c>
      <c r="AN31" s="120">
        <v>0</v>
      </c>
      <c r="AO31" s="120">
        <v>0</v>
      </c>
      <c r="AP31" s="230">
        <v>0</v>
      </c>
      <c r="AQ31" s="232">
        <v>0</v>
      </c>
      <c r="AR31" s="230">
        <v>0</v>
      </c>
      <c r="AS31" s="230">
        <v>0</v>
      </c>
      <c r="AT31" s="230">
        <v>0</v>
      </c>
      <c r="AU31" s="271">
        <v>0</v>
      </c>
    </row>
    <row r="32" spans="1:47" ht="14.25">
      <c r="A32" s="32" t="s">
        <v>78</v>
      </c>
      <c r="B32" s="37"/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50">
        <v>0</v>
      </c>
      <c r="I32" s="45">
        <v>0</v>
      </c>
      <c r="J32" s="45">
        <v>0</v>
      </c>
      <c r="K32" s="45">
        <v>0</v>
      </c>
      <c r="L32" s="35"/>
      <c r="M32" s="47">
        <v>0</v>
      </c>
      <c r="N32" s="47">
        <v>0</v>
      </c>
      <c r="O32" s="47">
        <v>0</v>
      </c>
      <c r="P32" s="104">
        <v>0</v>
      </c>
      <c r="Q32" s="106">
        <v>0</v>
      </c>
      <c r="R32" s="106">
        <v>0</v>
      </c>
      <c r="S32" s="106">
        <v>0</v>
      </c>
      <c r="T32" s="106">
        <v>0</v>
      </c>
      <c r="U32">
        <v>0</v>
      </c>
      <c r="V32">
        <v>0</v>
      </c>
      <c r="W32">
        <v>0</v>
      </c>
      <c r="X32">
        <v>0</v>
      </c>
      <c r="Y32" s="48"/>
      <c r="Z32" s="157">
        <v>0</v>
      </c>
      <c r="AA32" s="157">
        <v>0</v>
      </c>
      <c r="AB32" s="157">
        <v>0</v>
      </c>
      <c r="AC32" s="157">
        <v>0</v>
      </c>
      <c r="AD32" s="157">
        <v>0</v>
      </c>
      <c r="AE32" s="157">
        <v>0</v>
      </c>
      <c r="AF32" s="1">
        <v>0</v>
      </c>
      <c r="AG32" s="1">
        <v>0</v>
      </c>
      <c r="AH32" s="1">
        <v>0</v>
      </c>
      <c r="AI32" s="1"/>
      <c r="AJ32" s="1"/>
      <c r="AK32" s="1"/>
      <c r="AL32" s="1"/>
      <c r="AM32" s="120">
        <v>0</v>
      </c>
      <c r="AN32" s="120">
        <v>0</v>
      </c>
      <c r="AO32" s="120">
        <v>0</v>
      </c>
      <c r="AP32" s="234">
        <v>0</v>
      </c>
      <c r="AQ32" s="236">
        <v>0</v>
      </c>
      <c r="AR32" s="234">
        <v>0</v>
      </c>
      <c r="AS32" s="234">
        <v>0</v>
      </c>
      <c r="AT32" s="234">
        <v>0</v>
      </c>
      <c r="AU32" s="273">
        <v>0</v>
      </c>
    </row>
    <row r="33" spans="1:47" ht="15">
      <c r="A33" s="33" t="s">
        <v>79</v>
      </c>
      <c r="B33" s="39">
        <f t="shared" ref="B33:X33" si="58">B29+B30</f>
        <v>16857820.449999996</v>
      </c>
      <c r="C33" s="39">
        <f t="shared" si="58"/>
        <v>7574250.8499999996</v>
      </c>
      <c r="D33" s="39">
        <f t="shared" si="58"/>
        <v>14280051.300000001</v>
      </c>
      <c r="E33" s="39">
        <f t="shared" si="58"/>
        <v>17126630.700000003</v>
      </c>
      <c r="F33" s="39">
        <f t="shared" si="58"/>
        <v>21819005.509999998</v>
      </c>
      <c r="G33" s="39">
        <f t="shared" si="58"/>
        <v>25389225.990000002</v>
      </c>
      <c r="H33" s="41">
        <f t="shared" si="58"/>
        <v>38257689.150000006</v>
      </c>
      <c r="I33" s="39">
        <f t="shared" si="58"/>
        <v>44629592.640000008</v>
      </c>
      <c r="J33" s="39">
        <f t="shared" si="58"/>
        <v>50470039.390000015</v>
      </c>
      <c r="K33" s="39">
        <f t="shared" si="58"/>
        <v>42413972.249999985</v>
      </c>
      <c r="L33" s="39">
        <f t="shared" si="58"/>
        <v>11728663.599999994</v>
      </c>
      <c r="M33" s="39">
        <f t="shared" si="58"/>
        <v>3953232.4299999997</v>
      </c>
      <c r="N33" s="39">
        <f t="shared" si="58"/>
        <v>7014655.3899999987</v>
      </c>
      <c r="O33" s="39">
        <f t="shared" si="58"/>
        <v>11515334.190000005</v>
      </c>
      <c r="P33" s="110">
        <f t="shared" si="58"/>
        <v>16938564.760000002</v>
      </c>
      <c r="Q33" s="110">
        <f t="shared" si="58"/>
        <v>21091855.319999997</v>
      </c>
      <c r="R33" s="110">
        <f t="shared" si="58"/>
        <v>27884431.320000008</v>
      </c>
      <c r="S33" s="110">
        <f t="shared" si="58"/>
        <v>32778612.529999994</v>
      </c>
      <c r="T33" s="110">
        <f t="shared" si="58"/>
        <v>38118171.539999999</v>
      </c>
      <c r="U33" s="39">
        <f t="shared" si="58"/>
        <v>43557708.389999986</v>
      </c>
      <c r="V33" s="39">
        <f t="shared" si="58"/>
        <v>47205882.719999984</v>
      </c>
      <c r="W33" s="39">
        <f t="shared" si="58"/>
        <v>51516531.919999987</v>
      </c>
      <c r="X33" s="41">
        <f t="shared" si="58"/>
        <v>61315857.599999994</v>
      </c>
      <c r="Y33" s="39">
        <f t="shared" ref="Y33:AA33" si="59">Y29+Y30</f>
        <v>17961396.900000006</v>
      </c>
      <c r="Z33" s="39">
        <f t="shared" si="59"/>
        <v>4225655.59</v>
      </c>
      <c r="AA33" s="39">
        <f t="shared" si="59"/>
        <v>5291610.290000001</v>
      </c>
      <c r="AB33" s="39">
        <f t="shared" ref="AB33:AH33" si="60">AB29+AB30</f>
        <v>12187302.600000001</v>
      </c>
      <c r="AC33" s="39">
        <f t="shared" si="60"/>
        <v>17914612.249999996</v>
      </c>
      <c r="AD33" s="39">
        <f t="shared" si="60"/>
        <v>22517125.060000006</v>
      </c>
      <c r="AE33" s="39">
        <f t="shared" si="60"/>
        <v>25285194.34</v>
      </c>
      <c r="AF33" s="39">
        <f t="shared" si="60"/>
        <v>25630056.439999994</v>
      </c>
      <c r="AG33" s="39">
        <f t="shared" si="60"/>
        <v>32202312.939999998</v>
      </c>
      <c r="AH33" s="39">
        <f t="shared" si="60"/>
        <v>33977030.980000004</v>
      </c>
      <c r="AI33" s="39">
        <f t="shared" ref="AI33:AK33" si="61">AI29+AI30</f>
        <v>37165430.269999996</v>
      </c>
      <c r="AJ33" s="39">
        <f t="shared" si="61"/>
        <v>39394941.670000002</v>
      </c>
      <c r="AK33" s="39">
        <f t="shared" si="61"/>
        <v>14151002.249999993</v>
      </c>
      <c r="AL33" s="39">
        <f t="shared" ref="AL33:AU33" si="62">AL29+AL30</f>
        <v>14965515.549999997</v>
      </c>
      <c r="AM33" s="39">
        <f t="shared" si="62"/>
        <v>3288284.2100000009</v>
      </c>
      <c r="AN33" s="39">
        <f t="shared" si="62"/>
        <v>4737561.5599999987</v>
      </c>
      <c r="AO33" s="39">
        <f t="shared" si="62"/>
        <v>9014035.9499999993</v>
      </c>
      <c r="AP33" s="39">
        <f t="shared" si="62"/>
        <v>12707758.719999999</v>
      </c>
      <c r="AQ33" s="39">
        <f t="shared" si="62"/>
        <v>19967040.460000008</v>
      </c>
      <c r="AR33" s="39">
        <f t="shared" si="62"/>
        <v>23505043.780000001</v>
      </c>
      <c r="AS33" s="39">
        <f t="shared" si="62"/>
        <v>27519371.760000005</v>
      </c>
      <c r="AT33" s="39">
        <f t="shared" si="62"/>
        <v>32405390.269999996</v>
      </c>
      <c r="AU33" s="39">
        <f t="shared" si="62"/>
        <v>38388924.810000017</v>
      </c>
    </row>
    <row r="34" spans="1:47" ht="14.25">
      <c r="A34" s="32" t="s">
        <v>80</v>
      </c>
      <c r="B34" s="37"/>
      <c r="C34" s="45">
        <v>0</v>
      </c>
      <c r="D34" s="45">
        <v>0</v>
      </c>
      <c r="E34" s="45">
        <v>271967</v>
      </c>
      <c r="F34" s="45">
        <v>150000</v>
      </c>
      <c r="G34" s="45">
        <v>300000</v>
      </c>
      <c r="H34" s="50">
        <v>450000</v>
      </c>
      <c r="I34" s="45">
        <v>450000</v>
      </c>
      <c r="J34" s="45">
        <v>450000</v>
      </c>
      <c r="K34" s="45">
        <v>600000</v>
      </c>
      <c r="L34" s="35"/>
      <c r="P34" s="104">
        <v>0</v>
      </c>
      <c r="Q34" s="106">
        <v>0</v>
      </c>
      <c r="R34" s="106">
        <v>0</v>
      </c>
      <c r="S34" s="106">
        <v>0</v>
      </c>
      <c r="T34" s="106">
        <v>0</v>
      </c>
      <c r="U34" s="113">
        <v>140500</v>
      </c>
      <c r="V34" s="113">
        <v>153500</v>
      </c>
      <c r="W34" s="113">
        <v>171500</v>
      </c>
      <c r="X34" s="113">
        <v>186500</v>
      </c>
      <c r="Y34" s="48">
        <v>2500000</v>
      </c>
      <c r="Z34" s="1"/>
      <c r="AA34" s="1"/>
      <c r="AB34" s="1"/>
      <c r="AC34" s="1"/>
      <c r="AD34" s="1"/>
      <c r="AE34" s="1"/>
      <c r="AF34" s="1">
        <v>0</v>
      </c>
      <c r="AG34" s="1">
        <v>0</v>
      </c>
      <c r="AH34" s="1">
        <v>0</v>
      </c>
      <c r="AI34" s="1"/>
      <c r="AJ34" s="1"/>
      <c r="AK34" s="1"/>
      <c r="AL34" s="157">
        <v>706224</v>
      </c>
      <c r="AM34" s="120">
        <v>0</v>
      </c>
      <c r="AN34" s="120">
        <v>0</v>
      </c>
      <c r="AO34" s="120">
        <v>0</v>
      </c>
      <c r="AP34" s="230">
        <v>0</v>
      </c>
      <c r="AQ34" s="232">
        <v>0</v>
      </c>
      <c r="AR34" s="230">
        <v>0</v>
      </c>
      <c r="AS34" s="230">
        <v>0</v>
      </c>
      <c r="AT34" s="230">
        <v>0</v>
      </c>
      <c r="AU34">
        <v>0</v>
      </c>
    </row>
    <row r="35" spans="1:47" ht="15">
      <c r="A35" s="31" t="s">
        <v>81</v>
      </c>
      <c r="B35" s="36">
        <f t="shared" ref="B35:X35" si="63">B33-B34</f>
        <v>16857820.449999996</v>
      </c>
      <c r="C35" s="36">
        <f t="shared" si="63"/>
        <v>7574250.8499999996</v>
      </c>
      <c r="D35" s="36">
        <f t="shared" si="63"/>
        <v>14280051.300000001</v>
      </c>
      <c r="E35" s="36">
        <f t="shared" si="63"/>
        <v>16854663.700000003</v>
      </c>
      <c r="F35" s="36">
        <f t="shared" si="63"/>
        <v>21669005.509999998</v>
      </c>
      <c r="G35" s="36">
        <f t="shared" si="63"/>
        <v>25089225.990000002</v>
      </c>
      <c r="H35" s="40">
        <f t="shared" si="63"/>
        <v>37807689.150000006</v>
      </c>
      <c r="I35" s="36">
        <f t="shared" si="63"/>
        <v>44179592.640000008</v>
      </c>
      <c r="J35" s="36">
        <f t="shared" si="63"/>
        <v>50020039.390000015</v>
      </c>
      <c r="K35" s="36">
        <f t="shared" si="63"/>
        <v>41813972.249999985</v>
      </c>
      <c r="L35" s="36">
        <f t="shared" si="63"/>
        <v>11728663.599999994</v>
      </c>
      <c r="M35" s="36">
        <f t="shared" si="63"/>
        <v>3953232.4299999997</v>
      </c>
      <c r="N35" s="36">
        <f t="shared" si="63"/>
        <v>7014655.3899999987</v>
      </c>
      <c r="O35" s="36">
        <f t="shared" si="63"/>
        <v>11515334.190000005</v>
      </c>
      <c r="P35" s="34">
        <f t="shared" si="63"/>
        <v>16938564.760000002</v>
      </c>
      <c r="Q35" s="34">
        <f t="shared" si="63"/>
        <v>21091855.319999997</v>
      </c>
      <c r="R35" s="34">
        <f t="shared" si="63"/>
        <v>27884431.320000008</v>
      </c>
      <c r="S35" s="34">
        <f t="shared" si="63"/>
        <v>32778612.529999994</v>
      </c>
      <c r="T35" s="34">
        <f t="shared" si="63"/>
        <v>38118171.539999999</v>
      </c>
      <c r="U35" s="36">
        <f t="shared" si="63"/>
        <v>43417208.389999986</v>
      </c>
      <c r="V35" s="36">
        <f t="shared" si="63"/>
        <v>47052382.719999984</v>
      </c>
      <c r="W35" s="36">
        <f t="shared" si="63"/>
        <v>51345031.919999987</v>
      </c>
      <c r="X35" s="40">
        <f t="shared" si="63"/>
        <v>61129357.599999994</v>
      </c>
      <c r="Y35" s="36">
        <f t="shared" ref="Y35:AA35" si="64">Y33-Y34</f>
        <v>15461396.900000006</v>
      </c>
      <c r="Z35" s="36">
        <f t="shared" si="64"/>
        <v>4225655.59</v>
      </c>
      <c r="AA35" s="36">
        <f t="shared" si="64"/>
        <v>5291610.290000001</v>
      </c>
      <c r="AB35" s="36">
        <f t="shared" ref="AB35:AH35" si="65">AB33-AB34</f>
        <v>12187302.600000001</v>
      </c>
      <c r="AC35" s="36">
        <f t="shared" si="65"/>
        <v>17914612.249999996</v>
      </c>
      <c r="AD35" s="36">
        <f t="shared" si="65"/>
        <v>22517125.060000006</v>
      </c>
      <c r="AE35" s="36">
        <f t="shared" si="65"/>
        <v>25285194.34</v>
      </c>
      <c r="AF35" s="36">
        <f t="shared" si="65"/>
        <v>25630056.439999994</v>
      </c>
      <c r="AG35" s="36">
        <f t="shared" si="65"/>
        <v>32202312.939999998</v>
      </c>
      <c r="AH35" s="36">
        <f t="shared" si="65"/>
        <v>33977030.980000004</v>
      </c>
      <c r="AI35" s="36">
        <f t="shared" ref="AI35:AK35" si="66">AI33-AI34</f>
        <v>37165430.269999996</v>
      </c>
      <c r="AJ35" s="36">
        <f t="shared" si="66"/>
        <v>39394941.670000002</v>
      </c>
      <c r="AK35" s="36">
        <f t="shared" si="66"/>
        <v>14151002.249999993</v>
      </c>
      <c r="AL35" s="36">
        <f t="shared" ref="AL35:AU35" si="67">AL33-AL34</f>
        <v>14259291.549999997</v>
      </c>
      <c r="AM35" s="36">
        <f t="shared" si="67"/>
        <v>3288284.2100000009</v>
      </c>
      <c r="AN35" s="36">
        <f t="shared" si="67"/>
        <v>4737561.5599999987</v>
      </c>
      <c r="AO35" s="36">
        <f t="shared" si="67"/>
        <v>9014035.9499999993</v>
      </c>
      <c r="AP35" s="36">
        <f t="shared" si="67"/>
        <v>12707758.719999999</v>
      </c>
      <c r="AQ35" s="36">
        <f t="shared" si="67"/>
        <v>19967040.460000008</v>
      </c>
      <c r="AR35" s="36">
        <f t="shared" si="67"/>
        <v>23505043.780000001</v>
      </c>
      <c r="AS35" s="36">
        <f t="shared" si="67"/>
        <v>27519371.760000005</v>
      </c>
      <c r="AT35" s="36">
        <f t="shared" si="67"/>
        <v>32405390.269999996</v>
      </c>
      <c r="AU35" s="36">
        <f t="shared" si="67"/>
        <v>38388924.810000017</v>
      </c>
    </row>
    <row r="36" spans="1:47" ht="14.25">
      <c r="A36" s="32" t="s">
        <v>82</v>
      </c>
      <c r="B36" s="37"/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50">
        <v>0</v>
      </c>
      <c r="I36" s="45">
        <v>0</v>
      </c>
      <c r="J36" s="45">
        <v>0</v>
      </c>
      <c r="K36" s="45">
        <v>0</v>
      </c>
      <c r="L36" s="35"/>
      <c r="M36" s="47">
        <v>13000</v>
      </c>
      <c r="N36" s="47">
        <v>22500</v>
      </c>
      <c r="O36" s="47">
        <v>33500</v>
      </c>
      <c r="P36" s="105">
        <v>37500</v>
      </c>
      <c r="Q36" s="107">
        <v>37500</v>
      </c>
      <c r="R36" s="107">
        <v>63500</v>
      </c>
      <c r="S36" s="107">
        <v>90500</v>
      </c>
      <c r="T36" s="107">
        <v>120500</v>
      </c>
      <c r="Y36" s="48"/>
      <c r="Z36" s="157">
        <v>32000</v>
      </c>
      <c r="AA36" s="157">
        <v>54000</v>
      </c>
      <c r="AB36" s="157">
        <v>54000</v>
      </c>
      <c r="AC36" s="157">
        <v>62000</v>
      </c>
      <c r="AD36" s="157">
        <v>89500</v>
      </c>
      <c r="AE36" s="157">
        <v>122500</v>
      </c>
      <c r="AF36" s="1">
        <v>152620</v>
      </c>
      <c r="AG36" s="158">
        <v>161620</v>
      </c>
      <c r="AH36" s="158">
        <v>180620</v>
      </c>
      <c r="AI36" s="158">
        <v>202620</v>
      </c>
      <c r="AJ36" s="158">
        <v>212620</v>
      </c>
      <c r="AK36" s="158">
        <v>215620</v>
      </c>
      <c r="AL36" s="1"/>
      <c r="AM36" s="120">
        <v>14000</v>
      </c>
      <c r="AN36" s="120">
        <v>26000</v>
      </c>
      <c r="AO36" s="120">
        <v>54000</v>
      </c>
      <c r="AP36" s="231">
        <v>83000</v>
      </c>
      <c r="AQ36" s="233">
        <v>127000</v>
      </c>
      <c r="AR36" s="231">
        <v>173000</v>
      </c>
      <c r="AS36" s="231">
        <v>191000</v>
      </c>
      <c r="AT36" s="231">
        <v>220120</v>
      </c>
      <c r="AU36" s="272">
        <v>247120</v>
      </c>
    </row>
    <row r="37" spans="1:47" ht="15">
      <c r="A37" s="31" t="s">
        <v>83</v>
      </c>
      <c r="B37" s="36">
        <f>B35-B36</f>
        <v>16857820.449999996</v>
      </c>
      <c r="C37" s="36">
        <f t="shared" ref="C37:X37" si="68">C35-C36</f>
        <v>7574250.8499999996</v>
      </c>
      <c r="D37" s="36">
        <f t="shared" si="68"/>
        <v>14280051.300000001</v>
      </c>
      <c r="E37" s="36">
        <f t="shared" si="68"/>
        <v>16854663.700000003</v>
      </c>
      <c r="F37" s="36">
        <f t="shared" si="68"/>
        <v>21669005.509999998</v>
      </c>
      <c r="G37" s="36">
        <f t="shared" si="68"/>
        <v>25089225.990000002</v>
      </c>
      <c r="H37" s="40">
        <f t="shared" si="68"/>
        <v>37807689.150000006</v>
      </c>
      <c r="I37" s="36">
        <f t="shared" si="68"/>
        <v>44179592.640000008</v>
      </c>
      <c r="J37" s="36">
        <f t="shared" si="68"/>
        <v>50020039.390000015</v>
      </c>
      <c r="K37" s="36">
        <f t="shared" si="68"/>
        <v>41813972.249999985</v>
      </c>
      <c r="L37" s="36">
        <f t="shared" si="68"/>
        <v>11728663.599999994</v>
      </c>
      <c r="M37" s="36">
        <f t="shared" si="68"/>
        <v>3940232.4299999997</v>
      </c>
      <c r="N37" s="36">
        <f t="shared" si="68"/>
        <v>6992155.3899999987</v>
      </c>
      <c r="O37" s="36">
        <f t="shared" si="68"/>
        <v>11481834.190000005</v>
      </c>
      <c r="P37" s="34">
        <f t="shared" si="68"/>
        <v>16901064.760000002</v>
      </c>
      <c r="Q37" s="34">
        <f t="shared" si="68"/>
        <v>21054355.319999997</v>
      </c>
      <c r="R37" s="34">
        <f t="shared" si="68"/>
        <v>27820931.320000008</v>
      </c>
      <c r="S37" s="34">
        <f t="shared" si="68"/>
        <v>32688112.529999994</v>
      </c>
      <c r="T37" s="34">
        <f t="shared" si="68"/>
        <v>37997671.539999999</v>
      </c>
      <c r="U37" s="36">
        <f t="shared" si="68"/>
        <v>43417208.389999986</v>
      </c>
      <c r="V37" s="36">
        <f t="shared" si="68"/>
        <v>47052382.719999984</v>
      </c>
      <c r="W37" s="36">
        <f t="shared" si="68"/>
        <v>51345031.919999987</v>
      </c>
      <c r="X37" s="40">
        <f t="shared" si="68"/>
        <v>61129357.599999994</v>
      </c>
      <c r="Y37" s="36">
        <f t="shared" ref="Y37:AA37" si="69">Y35-Y36</f>
        <v>15461396.900000006</v>
      </c>
      <c r="Z37" s="36">
        <f t="shared" si="69"/>
        <v>4193655.59</v>
      </c>
      <c r="AA37" s="36">
        <f t="shared" si="69"/>
        <v>5237610.290000001</v>
      </c>
      <c r="AB37" s="36">
        <f t="shared" ref="AB37:AH37" si="70">AB35-AB36</f>
        <v>12133302.600000001</v>
      </c>
      <c r="AC37" s="36">
        <f t="shared" si="70"/>
        <v>17852612.249999996</v>
      </c>
      <c r="AD37" s="36">
        <f t="shared" si="70"/>
        <v>22427625.060000006</v>
      </c>
      <c r="AE37" s="36">
        <f t="shared" si="70"/>
        <v>25162694.34</v>
      </c>
      <c r="AF37" s="36">
        <f t="shared" si="70"/>
        <v>25477436.439999994</v>
      </c>
      <c r="AG37" s="36">
        <f t="shared" si="70"/>
        <v>32040692.939999998</v>
      </c>
      <c r="AH37" s="36">
        <f t="shared" si="70"/>
        <v>33796410.980000004</v>
      </c>
      <c r="AI37" s="36">
        <f t="shared" ref="AI37:AK37" si="71">AI35-AI36</f>
        <v>36962810.269999996</v>
      </c>
      <c r="AJ37" s="36">
        <f t="shared" si="71"/>
        <v>39182321.670000002</v>
      </c>
      <c r="AK37" s="36">
        <f t="shared" si="71"/>
        <v>13935382.249999993</v>
      </c>
      <c r="AL37" s="36">
        <f t="shared" ref="AL37:AU37" si="72">AL35-AL36</f>
        <v>14259291.549999997</v>
      </c>
      <c r="AM37" s="36">
        <f t="shared" si="72"/>
        <v>3274284.2100000009</v>
      </c>
      <c r="AN37" s="36">
        <f t="shared" si="72"/>
        <v>4711561.5599999987</v>
      </c>
      <c r="AO37" s="36">
        <f t="shared" si="72"/>
        <v>8960035.9499999993</v>
      </c>
      <c r="AP37" s="36">
        <f t="shared" si="72"/>
        <v>12624758.719999999</v>
      </c>
      <c r="AQ37" s="36">
        <f t="shared" si="72"/>
        <v>19840040.460000008</v>
      </c>
      <c r="AR37" s="36">
        <f t="shared" si="72"/>
        <v>23332043.780000001</v>
      </c>
      <c r="AS37" s="36">
        <f t="shared" si="72"/>
        <v>27328371.760000005</v>
      </c>
      <c r="AT37" s="36">
        <f t="shared" si="72"/>
        <v>32185270.269999996</v>
      </c>
      <c r="AU37" s="36">
        <f t="shared" si="72"/>
        <v>38141804.810000017</v>
      </c>
    </row>
    <row r="38" spans="1:47">
      <c r="B38" s="1"/>
      <c r="C38" s="1"/>
      <c r="D38" s="1"/>
      <c r="E38" s="1"/>
      <c r="F38" s="1"/>
      <c r="G38" s="1"/>
      <c r="H38" s="44"/>
      <c r="I38" s="1"/>
      <c r="J38" s="1"/>
      <c r="K38" s="1"/>
      <c r="L38" s="1"/>
      <c r="P38" s="111"/>
      <c r="Q38" s="111"/>
      <c r="R38" s="111"/>
      <c r="S38" s="111"/>
      <c r="T38" s="111"/>
      <c r="Y38" s="48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47">
      <c r="A39" t="s">
        <v>84</v>
      </c>
      <c r="B39" s="42">
        <f>B12+B23</f>
        <v>70966475.450000003</v>
      </c>
      <c r="C39" s="42">
        <f t="shared" ref="C39:X39" si="73">C12+C23</f>
        <v>5286852.0500000007</v>
      </c>
      <c r="D39" s="42">
        <f t="shared" si="73"/>
        <v>12655169.98</v>
      </c>
      <c r="E39" s="42">
        <f t="shared" si="73"/>
        <v>17788894.580000002</v>
      </c>
      <c r="F39" s="42">
        <f t="shared" si="73"/>
        <v>20865254.650000002</v>
      </c>
      <c r="G39" s="42">
        <f t="shared" si="73"/>
        <v>25028141.459999997</v>
      </c>
      <c r="H39" s="43">
        <f t="shared" si="73"/>
        <v>36877362.750000007</v>
      </c>
      <c r="I39" s="42">
        <f t="shared" si="73"/>
        <v>40139418</v>
      </c>
      <c r="J39" s="42">
        <f t="shared" si="73"/>
        <v>43850779.629999995</v>
      </c>
      <c r="K39" s="42">
        <f t="shared" si="73"/>
        <v>61412959.949999996</v>
      </c>
      <c r="L39" s="48">
        <f t="shared" si="73"/>
        <v>76849154.300000012</v>
      </c>
      <c r="M39" s="48">
        <f t="shared" si="73"/>
        <v>2847268.7800000003</v>
      </c>
      <c r="N39" s="48">
        <f t="shared" si="73"/>
        <v>7341691.4800000004</v>
      </c>
      <c r="O39" s="48">
        <f t="shared" si="73"/>
        <v>12811150.439999999</v>
      </c>
      <c r="P39" s="112">
        <f t="shared" si="73"/>
        <v>15597611.129999999</v>
      </c>
      <c r="Q39" s="112">
        <f t="shared" si="73"/>
        <v>20124994.25</v>
      </c>
      <c r="R39" s="112">
        <f t="shared" si="73"/>
        <v>21439397.759999998</v>
      </c>
      <c r="S39" s="112">
        <f t="shared" si="73"/>
        <v>26162432.940000001</v>
      </c>
      <c r="T39" s="112">
        <f t="shared" si="73"/>
        <v>29317219.860000003</v>
      </c>
      <c r="U39" s="48">
        <f t="shared" si="73"/>
        <v>32215446.460000005</v>
      </c>
      <c r="V39" s="48">
        <f t="shared" si="73"/>
        <v>37187966.630000003</v>
      </c>
      <c r="W39" s="48">
        <f t="shared" si="73"/>
        <v>40951904.230000004</v>
      </c>
      <c r="X39" s="156">
        <f t="shared" si="73"/>
        <v>54683095.780000001</v>
      </c>
      <c r="Y39" s="48">
        <f t="shared" ref="Y39:AA39" si="74">Y12+Y23</f>
        <v>98037755.099999994</v>
      </c>
      <c r="Z39" s="48">
        <f t="shared" si="74"/>
        <v>3994132.92</v>
      </c>
      <c r="AA39" s="48">
        <f t="shared" si="74"/>
        <v>10518159.67</v>
      </c>
      <c r="AB39" s="48">
        <f t="shared" ref="AB39:AH39" si="75">AB12+AB23</f>
        <v>15452596.630000001</v>
      </c>
      <c r="AC39" s="48">
        <f t="shared" si="75"/>
        <v>19184092.469999999</v>
      </c>
      <c r="AD39" s="48">
        <f t="shared" si="75"/>
        <v>24074427.390000001</v>
      </c>
      <c r="AE39" s="48">
        <f t="shared" si="75"/>
        <v>28883359.43</v>
      </c>
      <c r="AF39" s="48">
        <f t="shared" si="75"/>
        <v>32756796.140000001</v>
      </c>
      <c r="AG39" s="48">
        <f t="shared" si="75"/>
        <v>38333288.890000001</v>
      </c>
      <c r="AH39" s="48">
        <f t="shared" si="75"/>
        <v>42569435.589999996</v>
      </c>
      <c r="AI39" s="48">
        <f t="shared" ref="AI39:AK39" si="76">AI12+AI23</f>
        <v>46436166.909999996</v>
      </c>
      <c r="AJ39" s="48">
        <f t="shared" si="76"/>
        <v>49662951.409999996</v>
      </c>
      <c r="AK39" s="48">
        <f t="shared" si="76"/>
        <v>98075369.680000007</v>
      </c>
      <c r="AL39" s="48">
        <f t="shared" ref="AL39:AP39" si="77">AL12+AL23</f>
        <v>97858482.450000003</v>
      </c>
      <c r="AM39" s="157">
        <f t="shared" si="77"/>
        <v>4297457.4800000004</v>
      </c>
      <c r="AN39" s="157">
        <f t="shared" si="77"/>
        <v>10793465.879999999</v>
      </c>
      <c r="AO39" s="157">
        <f t="shared" si="77"/>
        <v>16351004.129999999</v>
      </c>
      <c r="AP39" s="48">
        <f t="shared" si="77"/>
        <v>19409406.629999999</v>
      </c>
    </row>
    <row r="40" spans="1:47">
      <c r="P40" s="111"/>
      <c r="Q40" s="111"/>
      <c r="R40" s="111"/>
      <c r="S40" s="111"/>
      <c r="T40" s="111"/>
    </row>
  </sheetData>
  <mergeCells count="1">
    <mergeCell ref="A1:B1"/>
  </mergeCells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Y47"/>
  <sheetViews>
    <sheetView workbookViewId="0">
      <pane xSplit="2" ySplit="3" topLeftCell="AR4" activePane="bottomRight" state="frozen"/>
      <selection pane="bottomRight" activeCell="BA1" sqref="BA1"/>
      <selection pane="bottomLeft" activeCell="A4" sqref="A4"/>
      <selection pane="topRight" activeCell="C1" sqref="C1"/>
    </sheetView>
  </sheetViews>
  <sheetFormatPr defaultRowHeight="14.45"/>
  <cols>
    <col min="1" max="1" width="34.140625" customWidth="1"/>
    <col min="2" max="2" width="0.140625" customWidth="1"/>
    <col min="3" max="3" width="15.28515625" customWidth="1"/>
    <col min="4" max="8" width="12.42578125" hidden="1" customWidth="1"/>
    <col min="9" max="12" width="12" hidden="1" customWidth="1"/>
    <col min="13" max="13" width="12.42578125" bestFit="1" customWidth="1"/>
    <col min="14" max="14" width="12.42578125" hidden="1" customWidth="1"/>
    <col min="15" max="16" width="12" hidden="1" customWidth="1"/>
    <col min="17" max="18" width="0" hidden="1" customWidth="1"/>
    <col min="19" max="19" width="11.42578125" hidden="1" customWidth="1"/>
    <col min="20" max="25" width="0" hidden="1" customWidth="1"/>
    <col min="26" max="26" width="16.42578125" customWidth="1"/>
    <col min="27" max="28" width="12.42578125" hidden="1" customWidth="1"/>
    <col min="29" max="29" width="12.42578125" bestFit="1" customWidth="1"/>
    <col min="30" max="31" width="12.42578125" hidden="1" customWidth="1"/>
    <col min="32" max="32" width="12.42578125" bestFit="1" customWidth="1"/>
    <col min="33" max="34" width="0" hidden="1" customWidth="1"/>
    <col min="35" max="35" width="13.28515625" customWidth="1"/>
    <col min="36" max="37" width="0" hidden="1" customWidth="1"/>
    <col min="38" max="38" width="13.42578125" customWidth="1"/>
    <col min="39" max="39" width="12.7109375" customWidth="1"/>
    <col min="40" max="44" width="12.42578125" bestFit="1" customWidth="1"/>
  </cols>
  <sheetData>
    <row r="1" spans="1:51">
      <c r="A1" s="78" t="s">
        <v>85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80"/>
    </row>
    <row r="2" spans="1:51">
      <c r="A2" s="81" t="s">
        <v>86</v>
      </c>
      <c r="B2" s="16" t="s">
        <v>87</v>
      </c>
      <c r="C2" s="17" t="s">
        <v>88</v>
      </c>
      <c r="D2" s="82">
        <v>43831</v>
      </c>
      <c r="E2" s="82">
        <v>43891</v>
      </c>
      <c r="F2" s="82">
        <v>43922</v>
      </c>
      <c r="G2" s="82">
        <v>43952</v>
      </c>
      <c r="H2" s="82">
        <v>43983</v>
      </c>
      <c r="I2" s="82">
        <v>44075</v>
      </c>
      <c r="J2" s="82">
        <v>44105</v>
      </c>
      <c r="K2" s="82">
        <v>44136</v>
      </c>
      <c r="L2" s="82">
        <v>44166</v>
      </c>
      <c r="M2" s="83" t="s">
        <v>89</v>
      </c>
      <c r="N2" s="3">
        <v>44197</v>
      </c>
      <c r="O2" s="3">
        <v>44228</v>
      </c>
      <c r="P2" s="3">
        <v>44256</v>
      </c>
      <c r="Q2" s="3">
        <v>44287</v>
      </c>
      <c r="R2" s="3">
        <v>44317</v>
      </c>
      <c r="S2" s="3">
        <v>44348</v>
      </c>
      <c r="T2" s="3">
        <v>44378</v>
      </c>
      <c r="U2" s="3">
        <v>44409</v>
      </c>
      <c r="V2" s="3">
        <v>44440</v>
      </c>
      <c r="W2" s="3">
        <v>44470</v>
      </c>
      <c r="X2" s="3">
        <v>44501</v>
      </c>
      <c r="Y2" s="3">
        <v>44531</v>
      </c>
      <c r="Z2" s="3" t="s">
        <v>2</v>
      </c>
      <c r="AA2" s="3">
        <v>44562</v>
      </c>
      <c r="AB2" s="3">
        <v>44593</v>
      </c>
      <c r="AC2" s="3">
        <v>44621</v>
      </c>
      <c r="AD2" s="3">
        <v>44652</v>
      </c>
      <c r="AE2" s="3">
        <v>44682</v>
      </c>
      <c r="AF2" s="3">
        <v>44713</v>
      </c>
      <c r="AG2" s="3">
        <v>44743</v>
      </c>
      <c r="AH2" s="3">
        <v>44774</v>
      </c>
      <c r="AI2" s="3">
        <v>44805</v>
      </c>
      <c r="AJ2" s="3">
        <v>44835</v>
      </c>
      <c r="AK2" s="3">
        <v>44866</v>
      </c>
      <c r="AL2" s="3">
        <v>44896</v>
      </c>
      <c r="AM2" s="3" t="s">
        <v>3</v>
      </c>
      <c r="AN2" s="3">
        <v>44927</v>
      </c>
      <c r="AO2" s="3">
        <v>44958</v>
      </c>
      <c r="AP2" s="3">
        <v>44986</v>
      </c>
      <c r="AQ2" s="3">
        <v>45017</v>
      </c>
      <c r="AR2" s="3">
        <v>45047</v>
      </c>
      <c r="AS2" s="3">
        <v>45078</v>
      </c>
      <c r="AT2" s="3">
        <v>45108</v>
      </c>
      <c r="AU2" s="3">
        <v>45139</v>
      </c>
      <c r="AV2" s="3">
        <v>45170</v>
      </c>
      <c r="AW2" s="3">
        <v>45200</v>
      </c>
      <c r="AX2" s="3">
        <v>45231</v>
      </c>
      <c r="AY2" s="3">
        <v>45261</v>
      </c>
    </row>
    <row r="3" spans="1:51">
      <c r="A3" s="84" t="s">
        <v>90</v>
      </c>
      <c r="B3" s="1"/>
      <c r="C3" s="1"/>
      <c r="M3" s="118">
        <v>3462</v>
      </c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>
        <v>4013</v>
      </c>
      <c r="AM3" s="155">
        <v>4324</v>
      </c>
    </row>
    <row r="4" spans="1:51">
      <c r="A4" s="84" t="s">
        <v>26</v>
      </c>
      <c r="B4" s="18">
        <f>'Evolutive SFP'!B26</f>
        <v>616749916</v>
      </c>
      <c r="C4" s="18">
        <f>'Evolutive SFP'!B26</f>
        <v>616749916</v>
      </c>
      <c r="D4" s="18">
        <f>'Evolutive SFP'!C26</f>
        <v>761807040.7299999</v>
      </c>
      <c r="E4" s="18">
        <f>'Evolutive SFP'!D26</f>
        <v>766154772.73000002</v>
      </c>
      <c r="F4" s="18">
        <f>'Evolutive SFP'!E26</f>
        <v>755493463.63999999</v>
      </c>
      <c r="G4" s="18">
        <f>'Evolutive SFP'!F26</f>
        <v>755781542.38999999</v>
      </c>
      <c r="H4" s="18">
        <f>'Evolutive SFP'!G26</f>
        <v>752590929.53999996</v>
      </c>
      <c r="I4" s="18">
        <f>'Evolutive SFP'!H26</f>
        <v>753666843.05999994</v>
      </c>
      <c r="J4" s="18">
        <f>'Evolutive SFP'!I26</f>
        <v>756722568.55000007</v>
      </c>
      <c r="K4" s="18">
        <f>'Evolutive SFP'!J26</f>
        <v>759055497.37</v>
      </c>
      <c r="L4" s="18">
        <f>'Evolutive SFP'!K26</f>
        <v>768036171.62</v>
      </c>
      <c r="M4" s="85">
        <f>'Evolutive SFP'!L26</f>
        <v>645448192.45000005</v>
      </c>
      <c r="N4" s="85">
        <f>'Evolutive SFP'!M26</f>
        <v>764341757.3499999</v>
      </c>
      <c r="O4" s="85">
        <f>'Evolutive SFP'!N26</f>
        <v>767632583.60000002</v>
      </c>
      <c r="P4" s="85">
        <f>'Evolutive SFP'!O26</f>
        <v>766063610.24000001</v>
      </c>
      <c r="Q4" s="85">
        <f>'Evolutive SFP'!P26</f>
        <v>756893983.70000005</v>
      </c>
      <c r="R4" s="85">
        <f>'Evolutive SFP'!Q26</f>
        <v>767334341.4799999</v>
      </c>
      <c r="S4" s="85">
        <f>'Evolutive SFP'!R26</f>
        <v>768725817.87</v>
      </c>
      <c r="T4" s="85">
        <f>'Evolutive SFP'!S26</f>
        <v>796973162.13999999</v>
      </c>
      <c r="U4" s="85">
        <f>'Evolutive SFP'!T26</f>
        <v>812169166.74000001</v>
      </c>
      <c r="V4" s="85">
        <f>'Evolutive SFP'!U26</f>
        <v>818234963.91999996</v>
      </c>
      <c r="W4" s="85">
        <f>'Evolutive SFP'!V26</f>
        <v>824276363.11000013</v>
      </c>
      <c r="X4" s="85">
        <f>'Evolutive SFP'!W26</f>
        <v>833929506.29000008</v>
      </c>
      <c r="Y4" s="85">
        <f>'Evolutive SFP'!X26</f>
        <v>840451234.32999992</v>
      </c>
      <c r="Z4" s="85">
        <f>'Evolutive SFP'!Y26</f>
        <v>837075941.10000002</v>
      </c>
      <c r="AA4" s="85">
        <f>'Evolutive SFP'!Z26</f>
        <v>855672788.27999997</v>
      </c>
      <c r="AB4" s="85">
        <f>'Evolutive SFP'!AA26</f>
        <v>863432766.17999995</v>
      </c>
      <c r="AC4" s="85">
        <f>'Evolutive SFP'!AB26</f>
        <v>844455423.58999991</v>
      </c>
      <c r="AD4" s="85">
        <f>'Evolutive SFP'!AC26</f>
        <v>829297841.88000011</v>
      </c>
      <c r="AE4" s="85">
        <f>'Evolutive SFP'!AD26</f>
        <v>832531214.49000001</v>
      </c>
      <c r="AF4" s="85">
        <f>'Evolutive SFP'!AE26</f>
        <v>845719949.70000005</v>
      </c>
      <c r="AG4" s="85">
        <f>'Evolutive SFP'!AF26</f>
        <v>844417975.83999991</v>
      </c>
      <c r="AH4" s="85">
        <f>'Evolutive SFP'!AG26</f>
        <v>853217932.24999988</v>
      </c>
      <c r="AI4" s="85">
        <f>'Evolutive SFP'!AH26</f>
        <v>850280563.12</v>
      </c>
      <c r="AJ4" s="85">
        <f>'Evolutive SFP'!AI26</f>
        <v>865837321.03999996</v>
      </c>
      <c r="AK4" s="85">
        <f>'Evolutive SFP'!AJ26</f>
        <v>872529547.72000003</v>
      </c>
      <c r="AL4" s="85">
        <f>'Evolutive SFP'!AK26</f>
        <v>879440244.53999996</v>
      </c>
      <c r="AM4" s="85">
        <f>'Evolutive SFP'!AL26</f>
        <v>891881911.70000005</v>
      </c>
      <c r="AN4" s="85">
        <f>'Evolutive SFP'!AM26</f>
        <v>886755627.94000006</v>
      </c>
      <c r="AO4" s="85">
        <f>'Evolutive SFP'!AN26</f>
        <v>888250287.25999987</v>
      </c>
      <c r="AP4" s="85">
        <f>'Evolutive SFP'!AO26</f>
        <v>879866030.48999989</v>
      </c>
      <c r="AQ4" s="85">
        <f>'Evolutive SFP'!AP26</f>
        <v>860994560.29999995</v>
      </c>
      <c r="AR4" s="85">
        <f>'Evolutive SFP'!AQ26</f>
        <v>871296730.00999999</v>
      </c>
      <c r="AS4" s="85">
        <f>'Evolutive SFP'!AR26</f>
        <v>878767388.95000005</v>
      </c>
      <c r="AT4" s="85">
        <f>'Evolutive SFP'!AS26</f>
        <v>890988990.81999981</v>
      </c>
      <c r="AU4" s="85">
        <f>'Evolutive SFP'!AT26</f>
        <v>903862677.11999989</v>
      </c>
      <c r="AV4" s="85">
        <f>'Evolutive SFP'!AU26</f>
        <v>899066949.29999995</v>
      </c>
      <c r="AW4" s="85">
        <f>'Evolutive SFP'!AV26</f>
        <v>0</v>
      </c>
      <c r="AX4" s="85">
        <f>'Evolutive SFP'!AW26</f>
        <v>0</v>
      </c>
      <c r="AY4" s="85">
        <f>'Evolutive SFP'!AX26</f>
        <v>0</v>
      </c>
    </row>
    <row r="5" spans="1:51">
      <c r="A5" s="84" t="s">
        <v>91</v>
      </c>
      <c r="B5" s="18">
        <f>'Evolutive SFP'!B30</f>
        <v>574156047</v>
      </c>
      <c r="C5" s="18">
        <f>'Evolutive SFP'!B30</f>
        <v>574156047</v>
      </c>
      <c r="D5" s="18">
        <f>'Evolutive SFP'!C30</f>
        <v>567748067.18000007</v>
      </c>
      <c r="E5" s="18">
        <f>'Evolutive SFP'!D30</f>
        <v>582138061</v>
      </c>
      <c r="F5" s="18">
        <f>'Evolutive SFP'!E30</f>
        <v>594500756.16999996</v>
      </c>
      <c r="G5" s="18">
        <f>'Evolutive SFP'!F30</f>
        <v>593845036.31999993</v>
      </c>
      <c r="H5" s="18">
        <f>'Evolutive SFP'!G30</f>
        <v>591835225.41999996</v>
      </c>
      <c r="I5" s="18">
        <f>'Evolutive SFP'!H30</f>
        <v>609972340.38</v>
      </c>
      <c r="J5" s="18">
        <f>'Evolutive SFP'!I30</f>
        <v>611686586.8499999</v>
      </c>
      <c r="K5" s="18">
        <f>'Evolutive SFP'!J30</f>
        <v>610921195.10000002</v>
      </c>
      <c r="L5" s="18">
        <f>'Evolutive SFP'!K30</f>
        <v>628218050.82999992</v>
      </c>
      <c r="M5" s="85">
        <f>'Evolutive SFP'!L30</f>
        <v>628218051</v>
      </c>
      <c r="N5" s="85">
        <f>'Evolutive SFP'!M30</f>
        <v>621367263.42000008</v>
      </c>
      <c r="O5" s="85">
        <f>'Evolutive SFP'!N30</f>
        <v>622437780.38999999</v>
      </c>
      <c r="P5" s="85">
        <f>'Evolutive SFP'!O30</f>
        <v>642239367.09000003</v>
      </c>
      <c r="Q5" s="85">
        <f>'Evolutive SFP'!P30</f>
        <v>624610369.48000002</v>
      </c>
      <c r="R5" s="85">
        <f>'Evolutive SFP'!Q30</f>
        <v>630707229.13</v>
      </c>
      <c r="S5" s="85">
        <f>'Evolutive SFP'!R30</f>
        <v>621851634.21000004</v>
      </c>
      <c r="T5" s="85">
        <f>'Evolutive SFP'!S30</f>
        <v>632305470.98000002</v>
      </c>
      <c r="U5" s="85">
        <f>'Evolutive SFP'!T30</f>
        <v>643398908.47000003</v>
      </c>
      <c r="V5" s="85">
        <f>'Evolutive SFP'!U30</f>
        <v>644064302.33999991</v>
      </c>
      <c r="W5" s="85">
        <f>'Evolutive SFP'!V30</f>
        <v>645214721.58999991</v>
      </c>
      <c r="X5" s="85">
        <f>'Evolutive SFP'!W30</f>
        <v>649611845.38</v>
      </c>
      <c r="Y5" s="85">
        <f>'Evolutive SFP'!X30</f>
        <v>651789411.83999991</v>
      </c>
      <c r="Z5" s="85">
        <f>'Evolutive SFP'!Y30</f>
        <v>651789212</v>
      </c>
      <c r="AA5" s="85">
        <f>'Evolutive SFP'!Z30</f>
        <v>661016926.30999994</v>
      </c>
      <c r="AB5" s="85">
        <f>'Evolutive SFP'!AA30</f>
        <v>666797938.88999999</v>
      </c>
      <c r="AC5" s="85">
        <f>'Evolutive SFP'!AB30</f>
        <v>691359717.75</v>
      </c>
      <c r="AD5" s="85">
        <f>'Evolutive SFP'!AC30</f>
        <v>671868520.63</v>
      </c>
      <c r="AE5" s="85">
        <f>'Evolutive SFP'!AD30</f>
        <v>670111834.05999994</v>
      </c>
      <c r="AF5" s="85">
        <f>'Evolutive SFP'!AE30</f>
        <v>683657607.41000009</v>
      </c>
      <c r="AG5" s="85">
        <f>'Evolutive SFP'!AF30</f>
        <v>680522587.78999996</v>
      </c>
      <c r="AH5" s="85">
        <f>'Evolutive SFP'!AG30</f>
        <v>682090528.96000004</v>
      </c>
      <c r="AI5" s="85">
        <f>'Evolutive SFP'!AH30</f>
        <v>677081349.06999993</v>
      </c>
      <c r="AJ5" s="85">
        <f>'Evolutive SFP'!AI30</f>
        <v>687650243.38</v>
      </c>
      <c r="AK5" s="85">
        <f>'Evolutive SFP'!AJ30</f>
        <v>691346661.74000001</v>
      </c>
      <c r="AL5" s="85">
        <f>'Evolutive SFP'!AK30</f>
        <v>691512044.73000002</v>
      </c>
      <c r="AM5" s="85">
        <f>'Evolutive SFP'!AL30</f>
        <v>691512045</v>
      </c>
      <c r="AN5" s="85">
        <f>'Evolutive SFP'!AM30</f>
        <v>694774991.54999995</v>
      </c>
      <c r="AO5" s="85">
        <f>'Evolutive SFP'!AN30</f>
        <v>693984688.38999999</v>
      </c>
      <c r="AP5" s="85">
        <f>'Evolutive SFP'!AO30</f>
        <v>722167331.08000004</v>
      </c>
      <c r="AQ5" s="85">
        <f>'Evolutive SFP'!AP30</f>
        <v>702650657.23000002</v>
      </c>
      <c r="AR5" s="85">
        <f>'Evolutive SFP'!AQ30</f>
        <v>704230647.46000004</v>
      </c>
      <c r="AS5" s="85">
        <f>'Evolutive SFP'!AR30</f>
        <v>708518863.62</v>
      </c>
      <c r="AT5" s="85">
        <f>'Evolutive SFP'!AS30</f>
        <v>714535400.09000003</v>
      </c>
      <c r="AU5" s="85">
        <f>'Evolutive SFP'!AT30</f>
        <v>721584763.77999997</v>
      </c>
      <c r="AV5" s="85">
        <f>'Evolutive SFP'!AU30</f>
        <v>710423958.88</v>
      </c>
      <c r="AW5" s="85">
        <f>'Evolutive SFP'!AV30</f>
        <v>0</v>
      </c>
      <c r="AX5" s="85">
        <f>'Evolutive SFP'!AW30</f>
        <v>0</v>
      </c>
      <c r="AY5" s="85">
        <f>'Evolutive SFP'!AX30</f>
        <v>0</v>
      </c>
    </row>
    <row r="6" spans="1:51">
      <c r="A6" s="86" t="s">
        <v>92</v>
      </c>
      <c r="B6" s="18">
        <f>'Evolutive SFP'!B29</f>
        <v>418806431</v>
      </c>
      <c r="C6" s="18">
        <f>'Evolutive SFP'!B29</f>
        <v>418806431</v>
      </c>
      <c r="D6" s="18">
        <f>'Evolutive SFP'!C29</f>
        <v>421982444.18000001</v>
      </c>
      <c r="E6" s="18">
        <f>'Evolutive SFP'!D29</f>
        <v>427325266</v>
      </c>
      <c r="F6" s="18">
        <f>'Evolutive SFP'!E29</f>
        <v>429160705.06999999</v>
      </c>
      <c r="G6" s="18">
        <f>'Evolutive SFP'!F29</f>
        <v>432208927.43000001</v>
      </c>
      <c r="H6" s="18">
        <f>'Evolutive SFP'!G29</f>
        <v>434262793.70999998</v>
      </c>
      <c r="I6" s="18">
        <f>'Evolutive SFP'!H29</f>
        <v>440051228.31999999</v>
      </c>
      <c r="J6" s="18">
        <f>'Evolutive SFP'!I29</f>
        <v>441557174.33999997</v>
      </c>
      <c r="K6" s="18">
        <f>'Evolutive SFP'!J29</f>
        <v>443326965.80000001</v>
      </c>
      <c r="L6" s="18">
        <f>'Evolutive SFP'!K29</f>
        <v>444635222.76999998</v>
      </c>
      <c r="M6" s="85">
        <f>'Evolutive SFP'!L29</f>
        <v>444635223</v>
      </c>
      <c r="N6" s="85">
        <f>'Evolutive SFP'!M29</f>
        <v>447197036.22000003</v>
      </c>
      <c r="O6" s="85">
        <f>'Evolutive SFP'!N29</f>
        <v>449897265.94</v>
      </c>
      <c r="P6" s="85">
        <f>'Evolutive SFP'!O29</f>
        <v>452032890.17000002</v>
      </c>
      <c r="Q6" s="85">
        <f>'Evolutive SFP'!P29</f>
        <v>453567452.73000002</v>
      </c>
      <c r="R6" s="85">
        <f>'Evolutive SFP'!Q29</f>
        <v>456479324.79000002</v>
      </c>
      <c r="S6" s="85">
        <f>'Evolutive SFP'!R29</f>
        <v>449827493.25</v>
      </c>
      <c r="T6" s="85">
        <f>'Evolutive SFP'!S29</f>
        <v>450879453.17000002</v>
      </c>
      <c r="U6" s="85">
        <f>'Evolutive SFP'!T29</f>
        <v>453541754.24000001</v>
      </c>
      <c r="V6" s="85">
        <f>'Evolutive SFP'!U29</f>
        <v>455380794.63999999</v>
      </c>
      <c r="W6" s="85">
        <f>'Evolutive SFP'!V29</f>
        <v>457624636.94999999</v>
      </c>
      <c r="X6" s="85">
        <f>'Evolutive SFP'!W29</f>
        <v>459276952.25</v>
      </c>
      <c r="Y6" s="85">
        <f>'Evolutive SFP'!X29</f>
        <v>462017055.77999997</v>
      </c>
      <c r="Z6" s="85">
        <f>'Evolutive SFP'!Y29</f>
        <v>462017056</v>
      </c>
      <c r="AA6" s="85">
        <f>'Evolutive SFP'!Z29</f>
        <v>464808385.43000001</v>
      </c>
      <c r="AB6" s="85">
        <f>'Evolutive SFP'!AA29</f>
        <v>467079987.07999998</v>
      </c>
      <c r="AC6" s="85">
        <f>'Evolutive SFP'!AB29</f>
        <v>470708832.55000001</v>
      </c>
      <c r="AD6" s="85">
        <f>'Evolutive SFP'!AC29</f>
        <v>472925306.39999998</v>
      </c>
      <c r="AE6" s="85">
        <f>'Evolutive SFP'!AD29</f>
        <v>476177144.08999997</v>
      </c>
      <c r="AF6" s="85">
        <f>'Evolutive SFP'!AE29</f>
        <v>479415367.22000003</v>
      </c>
      <c r="AG6" s="85">
        <f>'Evolutive SFP'!AF29</f>
        <v>477504521.54000002</v>
      </c>
      <c r="AH6" s="85">
        <f>'Evolutive SFP'!AG29</f>
        <v>481374736.60000002</v>
      </c>
      <c r="AI6" s="85">
        <f>'Evolutive SFP'!AH29</f>
        <v>482845356.64999998</v>
      </c>
      <c r="AJ6" s="85">
        <f>'Evolutive SFP'!AI29</f>
        <v>483335715.52999997</v>
      </c>
      <c r="AK6" s="85">
        <f>'Evolutive SFP'!AJ29</f>
        <v>482332053.19999999</v>
      </c>
      <c r="AL6" s="85">
        <f>'Evolutive SFP'!AK29</f>
        <v>479018314.77999997</v>
      </c>
      <c r="AM6" s="85">
        <f>'Evolutive SFP'!AL29</f>
        <v>479018315</v>
      </c>
      <c r="AN6" s="85">
        <f>'Evolutive SFP'!AM29</f>
        <v>481628508.41000003</v>
      </c>
      <c r="AO6" s="85">
        <f>'Evolutive SFP'!AN29</f>
        <v>484730901.63999999</v>
      </c>
      <c r="AP6" s="85">
        <f>'Evolutive SFP'!AO29</f>
        <v>489661109.16000003</v>
      </c>
      <c r="AQ6" s="85">
        <f>'Evolutive SFP'!AP29</f>
        <v>492896525.45999998</v>
      </c>
      <c r="AR6" s="85">
        <f>'Evolutive SFP'!AQ29</f>
        <v>494993401.57999998</v>
      </c>
      <c r="AS6" s="85">
        <f>'Evolutive SFP'!AR29</f>
        <v>497247283.81999999</v>
      </c>
      <c r="AT6" s="85">
        <f>'Evolutive SFP'!AS29</f>
        <v>499084912.36000001</v>
      </c>
      <c r="AU6" s="85">
        <f>'Evolutive SFP'!AT29</f>
        <v>498264506.55000001</v>
      </c>
      <c r="AV6" s="85">
        <f>'Evolutive SFP'!AU29</f>
        <v>500592846.18000001</v>
      </c>
      <c r="AW6" s="85">
        <f>'Evolutive SFP'!AV29</f>
        <v>0</v>
      </c>
      <c r="AX6" s="85">
        <f>'Evolutive SFP'!AW29</f>
        <v>0</v>
      </c>
      <c r="AY6" s="85">
        <f>'Evolutive SFP'!AX29</f>
        <v>0</v>
      </c>
    </row>
    <row r="7" spans="1:51">
      <c r="A7" s="86" t="s">
        <v>93</v>
      </c>
      <c r="B7" s="18">
        <f>('Evolutive SFP'!B27+'Evolutive SFP'!B28)</f>
        <v>155349616</v>
      </c>
      <c r="C7" s="18">
        <f>'Evolutive SFP'!B27</f>
        <v>127986727</v>
      </c>
      <c r="D7" s="18">
        <f>'Evolutive SFP'!C27</f>
        <v>97743215</v>
      </c>
      <c r="E7" s="18">
        <f>'Evolutive SFP'!D27</f>
        <v>103735571</v>
      </c>
      <c r="F7" s="18">
        <f>'Evolutive SFP'!E27</f>
        <v>113054097.28</v>
      </c>
      <c r="G7" s="18">
        <f>'Evolutive SFP'!F27</f>
        <v>108091582.19</v>
      </c>
      <c r="H7" s="18">
        <f>'Evolutive SFP'!G27</f>
        <v>102866441.25</v>
      </c>
      <c r="I7" s="18">
        <f>'Evolutive SFP'!H27</f>
        <v>113672512.23999999</v>
      </c>
      <c r="J7" s="18">
        <f>'Evolutive SFP'!I27</f>
        <v>114118711.98999999</v>
      </c>
      <c r="K7" s="18">
        <f>'Evolutive SFP'!J27</f>
        <v>111392002.06999999</v>
      </c>
      <c r="L7" s="18">
        <f>'Evolutive SFP'!K27</f>
        <v>125454080.48</v>
      </c>
      <c r="M7" s="85">
        <f>'Evolutive SFP'!L27</f>
        <v>145871163</v>
      </c>
      <c r="N7" s="85">
        <f>'Evolutive SFP'!M27</f>
        <v>114102232.04000001</v>
      </c>
      <c r="O7" s="85">
        <f>'Evolutive SFP'!N27</f>
        <v>114157241.14</v>
      </c>
      <c r="P7" s="85">
        <f>'Evolutive SFP'!O27</f>
        <v>135612903.31999999</v>
      </c>
      <c r="Q7" s="85">
        <f>'Evolutive SFP'!P27</f>
        <v>113106589.47</v>
      </c>
      <c r="R7" s="85">
        <f>'Evolutive SFP'!Q27</f>
        <v>117520929.73</v>
      </c>
      <c r="S7" s="85">
        <f>'Evolutive SFP'!R27</f>
        <v>116083961.62</v>
      </c>
      <c r="T7" s="85">
        <f>'Evolutive SFP'!S27</f>
        <v>123540283.25</v>
      </c>
      <c r="U7" s="85">
        <f>'Evolutive SFP'!T27</f>
        <v>129962222.06999999</v>
      </c>
      <c r="V7" s="85">
        <f>'Evolutive SFP'!U27</f>
        <v>122662111.39</v>
      </c>
      <c r="W7" s="85">
        <f>'Evolutive SFP'!V27</f>
        <v>123180174.17</v>
      </c>
      <c r="X7" s="85">
        <f>'Evolutive SFP'!W27</f>
        <v>125062935.90000001</v>
      </c>
      <c r="Y7" s="85">
        <f>'Evolutive SFP'!X27</f>
        <v>124571832.25</v>
      </c>
      <c r="Z7" s="85">
        <f>'Evolutive SFP'!Y27</f>
        <v>143820589</v>
      </c>
      <c r="AA7" s="85">
        <f>'Evolutive SFP'!Z27</f>
        <v>126919018.13</v>
      </c>
      <c r="AB7" s="85">
        <f>'Evolutive SFP'!AA27</f>
        <v>132507483.31</v>
      </c>
      <c r="AC7" s="85">
        <f>'Evolutive SFP'!AB27</f>
        <v>152328341.68000001</v>
      </c>
      <c r="AD7" s="85">
        <f>'Evolutive SFP'!AC27</f>
        <v>131499933.03</v>
      </c>
      <c r="AE7" s="85">
        <f>'Evolutive SFP'!AD27</f>
        <v>123320317.90000001</v>
      </c>
      <c r="AF7" s="85">
        <f>'Evolutive SFP'!AE27</f>
        <v>130994752.73999999</v>
      </c>
      <c r="AG7" s="85">
        <f>'Evolutive SFP'!AF27</f>
        <v>127904337.41</v>
      </c>
      <c r="AH7" s="85">
        <f>'Evolutive SFP'!AG27</f>
        <v>125026275.05</v>
      </c>
      <c r="AI7" s="85">
        <f>'Evolutive SFP'!AH27</f>
        <v>118559009.34</v>
      </c>
      <c r="AJ7" s="85">
        <f>'Evolutive SFP'!AI27</f>
        <v>127862955.62</v>
      </c>
      <c r="AK7" s="85">
        <f>'Evolutive SFP'!AJ27</f>
        <v>131879942.89</v>
      </c>
      <c r="AL7" s="85">
        <f>'Evolutive SFP'!AK27</f>
        <v>138605725.25</v>
      </c>
      <c r="AM7" s="85">
        <f>'Evolutive SFP'!AL27</f>
        <v>158567436</v>
      </c>
      <c r="AN7" s="85">
        <f>'Evolutive SFP'!AM27</f>
        <v>134208738.05</v>
      </c>
      <c r="AO7" s="85">
        <f>'Evolutive SFP'!AN27</f>
        <v>127389771.65000001</v>
      </c>
      <c r="AP7" s="85">
        <f>'Evolutive SFP'!AO27</f>
        <v>151787060.19</v>
      </c>
      <c r="AQ7" s="85">
        <f>'Evolutive SFP'!AP27</f>
        <v>127879142.43000001</v>
      </c>
      <c r="AR7" s="85">
        <f>'Evolutive SFP'!AQ27</f>
        <v>129926572.17</v>
      </c>
      <c r="AS7" s="85">
        <f>'Evolutive SFP'!AR27</f>
        <v>130698461.73</v>
      </c>
      <c r="AT7" s="85">
        <f>'Evolutive SFP'!AS27</f>
        <v>137995500.53999999</v>
      </c>
      <c r="AU7" s="85">
        <f>'Evolutive SFP'!AT27</f>
        <v>139715901.87</v>
      </c>
      <c r="AV7" s="85">
        <f>'Evolutive SFP'!AU27</f>
        <v>131809210.51000001</v>
      </c>
      <c r="AW7" s="85">
        <f>'Evolutive SFP'!AV27</f>
        <v>0</v>
      </c>
      <c r="AX7" s="85">
        <f>'Evolutive SFP'!AW27</f>
        <v>0</v>
      </c>
      <c r="AY7" s="85">
        <f>'Evolutive SFP'!AX27</f>
        <v>0</v>
      </c>
    </row>
    <row r="8" spans="1:51">
      <c r="A8" s="84" t="s">
        <v>94</v>
      </c>
      <c r="B8" s="18">
        <f>'Evolutive SFP'!B36</f>
        <v>30000000</v>
      </c>
      <c r="C8" s="18">
        <f>'Evolutive SFP'!B36</f>
        <v>30000000</v>
      </c>
      <c r="D8" s="18">
        <f>'Evolutive SFP'!C36</f>
        <v>26040073</v>
      </c>
      <c r="E8" s="18">
        <f>'Evolutive SFP'!D36</f>
        <v>20587500</v>
      </c>
      <c r="F8" s="18">
        <f>'Evolutive SFP'!E36</f>
        <v>19480080</v>
      </c>
      <c r="G8" s="18">
        <f>'Evolutive SFP'!F36</f>
        <v>16342580</v>
      </c>
      <c r="H8" s="18">
        <f>'Evolutive SFP'!G36</f>
        <v>13205080</v>
      </c>
      <c r="I8" s="18">
        <f>'Evolutive SFP'!H36</f>
        <v>3792579.8</v>
      </c>
      <c r="J8" s="18">
        <f>'Evolutive SFP'!I36</f>
        <v>2197660.7999999998</v>
      </c>
      <c r="K8" s="18">
        <f>'Evolutive SFP'!J36</f>
        <v>-79939.3</v>
      </c>
      <c r="L8" s="18">
        <f>'Evolutive SFP'!K36</f>
        <v>-1830436.2</v>
      </c>
      <c r="M8" s="85">
        <f>'Evolutive SFP'!L36</f>
        <v>0</v>
      </c>
      <c r="N8" s="85">
        <f>'Evolutive SFP'!M36</f>
        <v>-4967936.2</v>
      </c>
      <c r="O8" s="85">
        <f>'Evolutive SFP'!N36</f>
        <v>-4967936.2</v>
      </c>
      <c r="P8" s="85">
        <f>'Evolutive SFP'!O36</f>
        <v>3039457.8</v>
      </c>
      <c r="Q8" s="85">
        <f>'Evolutive SFP'!P36</f>
        <v>3039457.8</v>
      </c>
      <c r="R8" s="85">
        <f>'Evolutive SFP'!Q36</f>
        <v>3039457.8</v>
      </c>
      <c r="S8" s="85">
        <f>'Evolutive SFP'!R36</f>
        <v>0</v>
      </c>
      <c r="T8" s="85">
        <f>'Evolutive SFP'!S36</f>
        <v>0</v>
      </c>
      <c r="U8" s="85">
        <f>'Evolutive SFP'!T36</f>
        <v>0</v>
      </c>
      <c r="V8" s="85">
        <f>'Evolutive SFP'!U36</f>
        <v>0</v>
      </c>
      <c r="W8" s="85">
        <f>'Evolutive SFP'!V36</f>
        <v>0</v>
      </c>
      <c r="X8" s="85">
        <f>'Evolutive SFP'!W36</f>
        <v>0</v>
      </c>
      <c r="Y8" s="85">
        <f>'Evolutive SFP'!X36</f>
        <v>0</v>
      </c>
      <c r="Z8" s="85">
        <f>'Evolutive SFP'!Y36</f>
        <v>0</v>
      </c>
      <c r="AA8" s="85">
        <f>'Evolutive SFP'!Z36</f>
        <v>0</v>
      </c>
      <c r="AB8" s="85">
        <f>'Evolutive SFP'!AA36</f>
        <v>0</v>
      </c>
      <c r="AC8" s="85">
        <f>'Evolutive SFP'!AB36</f>
        <v>0</v>
      </c>
      <c r="AD8" s="85">
        <f>'Evolutive SFP'!AC36</f>
        <v>0</v>
      </c>
      <c r="AE8" s="85">
        <f>'Evolutive SFP'!AD36</f>
        <v>0</v>
      </c>
      <c r="AF8" s="85">
        <f>'Evolutive SFP'!AE36</f>
        <v>0</v>
      </c>
      <c r="AG8" s="85">
        <f>'Evolutive SFP'!AF36</f>
        <v>0</v>
      </c>
      <c r="AH8" s="85">
        <f>'Evolutive SFP'!AG36</f>
        <v>0</v>
      </c>
      <c r="AI8" s="85">
        <f>'Evolutive SFP'!AH36</f>
        <v>0</v>
      </c>
      <c r="AJ8" s="85">
        <f>'Evolutive SFP'!AI36</f>
        <v>0</v>
      </c>
      <c r="AK8" s="85">
        <f>'Evolutive SFP'!AJ36</f>
        <v>0</v>
      </c>
      <c r="AL8" s="85">
        <f>'Evolutive SFP'!AK36</f>
        <v>0</v>
      </c>
      <c r="AM8" s="85">
        <f>'Evolutive SFP'!AL36</f>
        <v>0</v>
      </c>
      <c r="AN8" s="85">
        <f>'Evolutive SFP'!AM36</f>
        <v>0</v>
      </c>
      <c r="AO8" s="85">
        <f>'Evolutive SFP'!AN36</f>
        <v>0</v>
      </c>
      <c r="AP8" s="85">
        <f>'Evolutive SFP'!AO36</f>
        <v>0</v>
      </c>
      <c r="AQ8" s="85">
        <f>'Evolutive SFP'!AP36</f>
        <v>0</v>
      </c>
      <c r="AR8" s="85">
        <f>'Evolutive SFP'!AQ36</f>
        <v>0</v>
      </c>
      <c r="AS8" s="85">
        <f>'Evolutive SFP'!AR36</f>
        <v>0</v>
      </c>
      <c r="AT8" s="85">
        <f>'Evolutive SFP'!AS36</f>
        <v>0</v>
      </c>
      <c r="AU8" s="85">
        <f>'Evolutive SFP'!AT36</f>
        <v>0</v>
      </c>
      <c r="AV8" s="85">
        <f>'Evolutive SFP'!AU36</f>
        <v>0</v>
      </c>
      <c r="AW8" s="85">
        <f>'Evolutive SFP'!AV36</f>
        <v>0</v>
      </c>
      <c r="AX8" s="85">
        <f>'Evolutive SFP'!AW36</f>
        <v>0</v>
      </c>
      <c r="AY8" s="85">
        <f>'Evolutive SFP'!AX36</f>
        <v>0</v>
      </c>
    </row>
    <row r="9" spans="1:51">
      <c r="A9" s="84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</row>
    <row r="10" spans="1:51">
      <c r="A10" s="87" t="s">
        <v>95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</row>
    <row r="11" spans="1:51" s="7" customFormat="1">
      <c r="A11" s="87" t="s">
        <v>96</v>
      </c>
      <c r="B11" s="19">
        <f>B14-B22-B25</f>
        <v>109017717.34999999</v>
      </c>
      <c r="C11" s="19">
        <f>C14-C22</f>
        <v>118239348.34999999</v>
      </c>
      <c r="D11" s="19">
        <f t="shared" ref="D11:M11" si="0">D14-D22</f>
        <v>108842993.06</v>
      </c>
      <c r="E11" s="19">
        <f t="shared" si="0"/>
        <v>108907011.67</v>
      </c>
      <c r="F11" s="19">
        <f t="shared" si="0"/>
        <v>119406963.29000001</v>
      </c>
      <c r="G11" s="19">
        <f t="shared" si="0"/>
        <v>119381694.22</v>
      </c>
      <c r="H11" s="19">
        <f t="shared" si="0"/>
        <v>119246950.45999999</v>
      </c>
      <c r="I11" s="19">
        <f t="shared" si="0"/>
        <v>84538671.749999985</v>
      </c>
      <c r="J11" s="19">
        <f t="shared" si="0"/>
        <v>84539171.749999985</v>
      </c>
      <c r="K11" s="19">
        <f t="shared" si="0"/>
        <v>84541171.749999985</v>
      </c>
      <c r="L11" s="19">
        <f t="shared" si="0"/>
        <v>84542118.749999985</v>
      </c>
      <c r="M11" s="88">
        <f t="shared" si="0"/>
        <v>128588322.84999999</v>
      </c>
      <c r="N11" s="88">
        <f>N14-N22</f>
        <v>118632322.64999998</v>
      </c>
      <c r="O11" s="88">
        <f>O14-O22</f>
        <v>77428193.729999989</v>
      </c>
      <c r="P11" s="88">
        <f>P14-P22</f>
        <v>78634700.579999998</v>
      </c>
      <c r="Q11" s="88">
        <f t="shared" ref="Q11:Y11" si="1">Q14-Q22</f>
        <v>78634700.579999998</v>
      </c>
      <c r="R11" s="88">
        <f t="shared" si="1"/>
        <v>78638700.579999998</v>
      </c>
      <c r="S11" s="88">
        <f t="shared" si="1"/>
        <v>146829071.78999999</v>
      </c>
      <c r="T11" s="88">
        <f t="shared" si="1"/>
        <v>153804836.34999999</v>
      </c>
      <c r="U11" s="88">
        <f t="shared" si="1"/>
        <v>159114395.35999998</v>
      </c>
      <c r="V11" s="88">
        <f t="shared" si="1"/>
        <v>164534932.21000001</v>
      </c>
      <c r="W11" s="88">
        <f t="shared" si="1"/>
        <v>168170106.53999999</v>
      </c>
      <c r="X11" s="88">
        <f t="shared" si="1"/>
        <v>172473755.73999998</v>
      </c>
      <c r="Y11" s="88">
        <f t="shared" si="1"/>
        <v>182259033.91999999</v>
      </c>
      <c r="Z11" s="88">
        <f>Z14-Z27</f>
        <v>131238457.55</v>
      </c>
      <c r="AA11" s="88">
        <f t="shared" ref="AA11:AJ11" si="2">AA14-AA27</f>
        <v>129545331.51000002</v>
      </c>
      <c r="AB11" s="88">
        <f t="shared" si="2"/>
        <v>128890787.21000001</v>
      </c>
      <c r="AC11" s="88">
        <f t="shared" si="2"/>
        <v>134111858.81999999</v>
      </c>
      <c r="AD11" s="88">
        <f t="shared" si="2"/>
        <v>139831130.40000001</v>
      </c>
      <c r="AE11" s="88">
        <f t="shared" si="2"/>
        <v>144406184.21000001</v>
      </c>
      <c r="AF11" s="88">
        <f t="shared" si="2"/>
        <v>147141254.49000001</v>
      </c>
      <c r="AG11" s="88">
        <f t="shared" si="2"/>
        <v>147456097.59</v>
      </c>
      <c r="AH11" s="88">
        <f t="shared" si="2"/>
        <v>154019355.09</v>
      </c>
      <c r="AI11" s="88">
        <f t="shared" si="2"/>
        <v>155796849.79999998</v>
      </c>
      <c r="AJ11" s="88">
        <f t="shared" si="2"/>
        <v>142119814.09</v>
      </c>
      <c r="AK11" s="88">
        <f>AK14-AK27</f>
        <v>144339326.49000001</v>
      </c>
      <c r="AL11" s="88">
        <f t="shared" ref="AL11:AM11" si="3">AL14-AL27</f>
        <v>146233262.80000001</v>
      </c>
      <c r="AM11" s="88">
        <f t="shared" si="3"/>
        <v>155448703.69999999</v>
      </c>
      <c r="AN11" s="88">
        <f t="shared" ref="AN11:AP11" si="4">AN14-AN27</f>
        <v>141507429.84999999</v>
      </c>
      <c r="AO11" s="88">
        <f t="shared" si="4"/>
        <v>142944708.19999999</v>
      </c>
      <c r="AP11" s="88">
        <f t="shared" si="4"/>
        <v>143398766.03999999</v>
      </c>
      <c r="AQ11" s="88">
        <f t="shared" ref="AQ11:AY11" si="5">AQ14-AQ27</f>
        <v>125634964.30000001</v>
      </c>
      <c r="AR11" s="88">
        <f t="shared" si="5"/>
        <v>132994390.78999999</v>
      </c>
      <c r="AS11" s="88">
        <f t="shared" si="5"/>
        <v>136471337.10999998</v>
      </c>
      <c r="AT11" s="88">
        <f t="shared" si="5"/>
        <v>141303110.94</v>
      </c>
      <c r="AU11" s="88">
        <f t="shared" si="5"/>
        <v>146162210.44999999</v>
      </c>
      <c r="AV11" s="88">
        <f t="shared" si="5"/>
        <v>152119745.99000001</v>
      </c>
      <c r="AW11" s="88">
        <f t="shared" si="5"/>
        <v>23</v>
      </c>
      <c r="AX11" s="88">
        <f t="shared" si="5"/>
        <v>24</v>
      </c>
      <c r="AY11" s="88">
        <f t="shared" si="5"/>
        <v>25</v>
      </c>
    </row>
    <row r="12" spans="1:51" s="7" customFormat="1">
      <c r="A12" s="87" t="s">
        <v>97</v>
      </c>
      <c r="B12" s="19">
        <f>B11-B15</f>
        <v>60253029.349999994</v>
      </c>
      <c r="C12" s="19">
        <f>C11-C15</f>
        <v>69474660.349999994</v>
      </c>
      <c r="D12" s="19">
        <f t="shared" ref="D12:M12" si="6">D11-D15</f>
        <v>60065805.060000002</v>
      </c>
      <c r="E12" s="19">
        <f t="shared" si="6"/>
        <v>60135723.670000002</v>
      </c>
      <c r="F12" s="19">
        <f t="shared" si="6"/>
        <v>70635675.290000007</v>
      </c>
      <c r="G12" s="19">
        <f t="shared" si="6"/>
        <v>70610406.219999999</v>
      </c>
      <c r="H12" s="19">
        <f t="shared" si="6"/>
        <v>70475662.459999993</v>
      </c>
      <c r="I12" s="19">
        <f t="shared" si="6"/>
        <v>35107171.339999989</v>
      </c>
      <c r="J12" s="19">
        <f t="shared" si="6"/>
        <v>35107171.339999989</v>
      </c>
      <c r="K12" s="19">
        <f t="shared" si="6"/>
        <v>35107171.339999989</v>
      </c>
      <c r="L12" s="19">
        <f t="shared" si="6"/>
        <v>35107118.339999989</v>
      </c>
      <c r="M12" s="88">
        <f t="shared" si="6"/>
        <v>79153322.849999994</v>
      </c>
      <c r="N12" s="88">
        <f>N11-N15</f>
        <v>69197322.23999998</v>
      </c>
      <c r="O12" s="88">
        <f>O11-O15</f>
        <v>27992993.319999993</v>
      </c>
      <c r="P12" s="88">
        <f>P11-P15</f>
        <v>29196279.089999996</v>
      </c>
      <c r="Q12" s="88">
        <f t="shared" ref="Q12:Z12" si="7">Q11-Q15</f>
        <v>29196279.089999996</v>
      </c>
      <c r="R12" s="88">
        <f t="shared" si="7"/>
        <v>29196279.089999996</v>
      </c>
      <c r="S12" s="88">
        <f t="shared" si="7"/>
        <v>88236266.909999996</v>
      </c>
      <c r="T12" s="88">
        <f t="shared" si="7"/>
        <v>95210031.469999999</v>
      </c>
      <c r="U12" s="88">
        <f t="shared" si="7"/>
        <v>100519590.47999999</v>
      </c>
      <c r="V12" s="88">
        <f t="shared" si="7"/>
        <v>105939127.33000001</v>
      </c>
      <c r="W12" s="88">
        <f t="shared" si="7"/>
        <v>109574301.66</v>
      </c>
      <c r="X12" s="88">
        <f t="shared" si="7"/>
        <v>113866950.85999998</v>
      </c>
      <c r="Y12" s="88">
        <f t="shared" si="7"/>
        <v>123651229.03999999</v>
      </c>
      <c r="Z12" s="88">
        <f t="shared" si="7"/>
        <v>72630652.549999997</v>
      </c>
      <c r="AA12" s="88">
        <f t="shared" ref="AA12:AK12" si="8">AA11-AA15</f>
        <v>70937526.630000025</v>
      </c>
      <c r="AB12" s="88">
        <f t="shared" si="8"/>
        <v>70281482.330000013</v>
      </c>
      <c r="AC12" s="88">
        <f t="shared" si="8"/>
        <v>75613326.219999999</v>
      </c>
      <c r="AD12" s="88">
        <f t="shared" si="8"/>
        <v>81332597.800000012</v>
      </c>
      <c r="AE12" s="88">
        <f t="shared" si="8"/>
        <v>85907651.610000014</v>
      </c>
      <c r="AF12" s="88">
        <f t="shared" si="8"/>
        <v>88642721.890000015</v>
      </c>
      <c r="AG12" s="88">
        <f t="shared" si="8"/>
        <v>88957564.99000001</v>
      </c>
      <c r="AH12" s="88">
        <f t="shared" si="8"/>
        <v>95520822.49000001</v>
      </c>
      <c r="AI12" s="88">
        <f t="shared" si="8"/>
        <v>97276541.529999971</v>
      </c>
      <c r="AJ12" s="88">
        <f t="shared" si="8"/>
        <v>82834382.819999993</v>
      </c>
      <c r="AK12" s="88">
        <f t="shared" si="8"/>
        <v>85053895.219999999</v>
      </c>
      <c r="AL12" s="88">
        <f t="shared" ref="AL12:AM12" si="9">AL11-AL15</f>
        <v>77415515.800000012</v>
      </c>
      <c r="AM12" s="88">
        <f t="shared" si="9"/>
        <v>86630956.699999988</v>
      </c>
      <c r="AN12" s="88">
        <f t="shared" ref="AN12:AP12" si="10">AN11-AN15</f>
        <v>72689683.00999999</v>
      </c>
      <c r="AO12" s="88">
        <f t="shared" si="10"/>
        <v>74126961.359999985</v>
      </c>
      <c r="AP12" s="88">
        <f t="shared" si="10"/>
        <v>74596019.199999988</v>
      </c>
      <c r="AQ12" s="88">
        <f t="shared" ref="AQ12:AY12" si="11">AQ11-AQ15</f>
        <v>56819717.460000008</v>
      </c>
      <c r="AR12" s="88">
        <f t="shared" si="11"/>
        <v>63993428.709999993</v>
      </c>
      <c r="AS12" s="88">
        <f t="shared" si="11"/>
        <v>67485375.029999986</v>
      </c>
      <c r="AT12" s="88">
        <f t="shared" si="11"/>
        <v>72315948.859999999</v>
      </c>
      <c r="AU12" s="88">
        <f t="shared" si="11"/>
        <v>77172848.36999999</v>
      </c>
      <c r="AV12" s="88">
        <f t="shared" si="11"/>
        <v>83129383.910000011</v>
      </c>
      <c r="AW12" s="88">
        <f t="shared" si="11"/>
        <v>23</v>
      </c>
      <c r="AX12" s="88">
        <f t="shared" si="11"/>
        <v>24</v>
      </c>
      <c r="AY12" s="88">
        <f t="shared" si="11"/>
        <v>25</v>
      </c>
    </row>
    <row r="13" spans="1:51">
      <c r="A13" s="8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</row>
    <row r="14" spans="1:51" s="7" customFormat="1">
      <c r="A14" s="87" t="s">
        <v>98</v>
      </c>
      <c r="B14" s="19">
        <f>B15+B16+B17+B18+B19+B20+B21</f>
        <v>118239348.34999999</v>
      </c>
      <c r="C14" s="19">
        <f>C15+C16+C17+C18+C19+C20+C21</f>
        <v>118239348.34999999</v>
      </c>
      <c r="D14" s="19">
        <f t="shared" ref="D14:M14" si="12">D15+D16+D17+D18+D19+D20+D21</f>
        <v>108842993.06</v>
      </c>
      <c r="E14" s="19">
        <f t="shared" si="12"/>
        <v>108907011.67</v>
      </c>
      <c r="F14" s="19">
        <f t="shared" si="12"/>
        <v>119406963.29000001</v>
      </c>
      <c r="G14" s="19">
        <f t="shared" si="12"/>
        <v>119381694.22</v>
      </c>
      <c r="H14" s="19">
        <f t="shared" si="12"/>
        <v>119246950.45999999</v>
      </c>
      <c r="I14" s="19">
        <f t="shared" si="12"/>
        <v>84538671.749999985</v>
      </c>
      <c r="J14" s="19">
        <f t="shared" si="12"/>
        <v>84539171.749999985</v>
      </c>
      <c r="K14" s="19">
        <f t="shared" si="12"/>
        <v>84541171.749999985</v>
      </c>
      <c r="L14" s="19">
        <f t="shared" si="12"/>
        <v>84542118.749999985</v>
      </c>
      <c r="M14" s="88">
        <f t="shared" si="12"/>
        <v>128588322.84999999</v>
      </c>
      <c r="N14" s="88">
        <f>N15+N16+N17+N18+N19+N20+N21</f>
        <v>136368406.64999998</v>
      </c>
      <c r="O14" s="88">
        <f>O15+O16+O17+O18+O19+O20+O21</f>
        <v>95164277.729999989</v>
      </c>
      <c r="P14" s="88">
        <f>P15+P16+P17+P18+P19+P20+P21</f>
        <v>96370784.579999998</v>
      </c>
      <c r="Q14" s="88">
        <f t="shared" ref="Q14:Z14" si="13">Q15+Q16+Q17+Q18+Q19+Q20+Q21</f>
        <v>96370784.579999998</v>
      </c>
      <c r="R14" s="88">
        <f t="shared" si="13"/>
        <v>96374784.579999998</v>
      </c>
      <c r="S14" s="88">
        <f t="shared" si="13"/>
        <v>146829071.78999999</v>
      </c>
      <c r="T14" s="88">
        <f t="shared" si="13"/>
        <v>153804836.34999999</v>
      </c>
      <c r="U14" s="88">
        <f t="shared" si="13"/>
        <v>159114395.35999998</v>
      </c>
      <c r="V14" s="88">
        <f t="shared" si="13"/>
        <v>164534932.21000001</v>
      </c>
      <c r="W14" s="88">
        <f t="shared" si="13"/>
        <v>168170106.53999999</v>
      </c>
      <c r="X14" s="88">
        <f t="shared" si="13"/>
        <v>172473755.73999998</v>
      </c>
      <c r="Y14" s="88">
        <f t="shared" si="13"/>
        <v>182259033.91999999</v>
      </c>
      <c r="Z14" s="88">
        <f t="shared" si="13"/>
        <v>131309457.55</v>
      </c>
      <c r="AA14" s="88">
        <f t="shared" ref="AA14:AK14" si="14">AA15+AA16+AA17+AA18+AA19+AA20+AA21</f>
        <v>138766962.51000002</v>
      </c>
      <c r="AB14" s="88">
        <f t="shared" si="14"/>
        <v>138112418.21000001</v>
      </c>
      <c r="AC14" s="88">
        <f t="shared" si="14"/>
        <v>143333489.81999999</v>
      </c>
      <c r="AD14" s="88">
        <f t="shared" si="14"/>
        <v>149052761.40000001</v>
      </c>
      <c r="AE14" s="88">
        <f t="shared" si="14"/>
        <v>153627815.21000001</v>
      </c>
      <c r="AF14" s="88">
        <f t="shared" si="14"/>
        <v>156362885.49000001</v>
      </c>
      <c r="AG14" s="88">
        <f t="shared" si="14"/>
        <v>156677728.59</v>
      </c>
      <c r="AH14" s="88">
        <f t="shared" si="14"/>
        <v>163240986.09</v>
      </c>
      <c r="AI14" s="88">
        <f t="shared" si="14"/>
        <v>165018480.79999998</v>
      </c>
      <c r="AJ14" s="88">
        <f t="shared" si="14"/>
        <v>151341445.09</v>
      </c>
      <c r="AK14" s="88">
        <f t="shared" si="14"/>
        <v>153560957.49000001</v>
      </c>
      <c r="AL14" s="88">
        <f t="shared" ref="AL14:AM14" si="15">AL15+AL16+AL17+AL18+AL19+AL20+AL21</f>
        <v>155454893.80000001</v>
      </c>
      <c r="AM14" s="88">
        <f t="shared" si="15"/>
        <v>155478703.69999999</v>
      </c>
      <c r="AN14" s="88">
        <f t="shared" ref="AN14:AP14" si="16">AN15+AN16+AN17+AN18+AN19+AN20+AN21</f>
        <v>150729060.84999999</v>
      </c>
      <c r="AO14" s="88">
        <f t="shared" si="16"/>
        <v>152166339.19999999</v>
      </c>
      <c r="AP14" s="88">
        <f t="shared" si="16"/>
        <v>152620397.03999999</v>
      </c>
      <c r="AQ14" s="88">
        <f t="shared" ref="AQ14:AY14" si="17">AQ15+AQ16+AQ17+AQ18+AQ19+AQ20+AQ21</f>
        <v>134856595.30000001</v>
      </c>
      <c r="AR14" s="88">
        <f t="shared" si="17"/>
        <v>142216021.78999999</v>
      </c>
      <c r="AS14" s="88">
        <f t="shared" si="17"/>
        <v>145692968.10999998</v>
      </c>
      <c r="AT14" s="88">
        <f t="shared" si="17"/>
        <v>150524741.94</v>
      </c>
      <c r="AU14" s="88">
        <f t="shared" si="17"/>
        <v>155383841.44999999</v>
      </c>
      <c r="AV14" s="88">
        <f t="shared" si="17"/>
        <v>161341376.99000001</v>
      </c>
      <c r="AW14" s="88">
        <f t="shared" si="17"/>
        <v>23</v>
      </c>
      <c r="AX14" s="88">
        <f t="shared" si="17"/>
        <v>24</v>
      </c>
      <c r="AY14" s="88">
        <f t="shared" si="17"/>
        <v>25</v>
      </c>
    </row>
    <row r="15" spans="1:51">
      <c r="A15" s="89" t="s">
        <v>99</v>
      </c>
      <c r="B15" s="18">
        <f>'Evolutive SFP'!B38</f>
        <v>48764688</v>
      </c>
      <c r="C15" s="18">
        <f>'Evolutive SFP'!B38</f>
        <v>48764688</v>
      </c>
      <c r="D15" s="18">
        <f>'Evolutive SFP'!C38</f>
        <v>48777188</v>
      </c>
      <c r="E15" s="18">
        <f>'Evolutive SFP'!D38</f>
        <v>48771288</v>
      </c>
      <c r="F15" s="18">
        <f>'Evolutive SFP'!E38</f>
        <v>48771288</v>
      </c>
      <c r="G15" s="18">
        <f>'Evolutive SFP'!F38</f>
        <v>48771288</v>
      </c>
      <c r="H15" s="18">
        <f>'Evolutive SFP'!G38</f>
        <v>48771288</v>
      </c>
      <c r="I15" s="18">
        <f>'Evolutive SFP'!H38</f>
        <v>49431500.409999996</v>
      </c>
      <c r="J15" s="18">
        <f>'Evolutive SFP'!I38</f>
        <v>49432000.409999996</v>
      </c>
      <c r="K15" s="18">
        <f>'Evolutive SFP'!J38</f>
        <v>49434000.409999996</v>
      </c>
      <c r="L15" s="18">
        <f>'Evolutive SFP'!K38</f>
        <v>49435000.409999996</v>
      </c>
      <c r="M15" s="85">
        <f>'Evolutive SFP'!L38</f>
        <v>49435000</v>
      </c>
      <c r="N15" s="85">
        <f>'Evolutive SFP'!M38</f>
        <v>49435000.409999996</v>
      </c>
      <c r="O15" s="85">
        <f>'Evolutive SFP'!N38</f>
        <v>49435200.409999996</v>
      </c>
      <c r="P15" s="85">
        <f>'Evolutive SFP'!O38</f>
        <v>49438421.490000002</v>
      </c>
      <c r="Q15" s="85">
        <f>'Evolutive SFP'!P38</f>
        <v>49438421.490000002</v>
      </c>
      <c r="R15" s="85">
        <f>'Evolutive SFP'!Q38</f>
        <v>49442421.490000002</v>
      </c>
      <c r="S15" s="85">
        <f>'Evolutive SFP'!R38</f>
        <v>58592804.880000003</v>
      </c>
      <c r="T15" s="85">
        <f>'Evolutive SFP'!S38</f>
        <v>58594804.880000003</v>
      </c>
      <c r="U15" s="85">
        <f>'Evolutive SFP'!T38</f>
        <v>58594804.880000003</v>
      </c>
      <c r="V15" s="85">
        <f>'Evolutive SFP'!U38</f>
        <v>58595804.880000003</v>
      </c>
      <c r="W15" s="85">
        <f>'Evolutive SFP'!V38</f>
        <v>58595804.880000003</v>
      </c>
      <c r="X15" s="85">
        <f>'Evolutive SFP'!W38</f>
        <v>58606804.880000003</v>
      </c>
      <c r="Y15" s="85">
        <f>'Evolutive SFP'!X38</f>
        <v>58607804.880000003</v>
      </c>
      <c r="Z15" s="85">
        <f>'Evolutive SFP'!Y38</f>
        <v>58607805</v>
      </c>
      <c r="AA15" s="85">
        <f>'Evolutive SFP'!Z38</f>
        <v>58607804.880000003</v>
      </c>
      <c r="AB15" s="85">
        <f>'Evolutive SFP'!AA38</f>
        <v>58609304.880000003</v>
      </c>
      <c r="AC15" s="85">
        <f>'Evolutive SFP'!AB38</f>
        <v>58498532.600000001</v>
      </c>
      <c r="AD15" s="85">
        <f>'Evolutive SFP'!AC38</f>
        <v>58498532.600000001</v>
      </c>
      <c r="AE15" s="85">
        <f>'Evolutive SFP'!AD38</f>
        <v>58498532.600000001</v>
      </c>
      <c r="AF15" s="85">
        <f>'Evolutive SFP'!AE38</f>
        <v>58498532.600000001</v>
      </c>
      <c r="AG15" s="85">
        <f>'Evolutive SFP'!AF38</f>
        <v>58498532.600000001</v>
      </c>
      <c r="AH15" s="85">
        <f>'Evolutive SFP'!AG38</f>
        <v>58498532.600000001</v>
      </c>
      <c r="AI15" s="85">
        <f>'Evolutive SFP'!AH38</f>
        <v>58520308.270000003</v>
      </c>
      <c r="AJ15" s="85">
        <f>'Evolutive SFP'!AI38</f>
        <v>59285431.270000003</v>
      </c>
      <c r="AK15" s="85">
        <f>'Evolutive SFP'!AJ38</f>
        <v>59285431.270000003</v>
      </c>
      <c r="AL15" s="85">
        <f>'Evolutive SFP'!AK38</f>
        <v>68817747</v>
      </c>
      <c r="AM15" s="85">
        <f>'Evolutive SFP'!AL38</f>
        <v>68817747</v>
      </c>
      <c r="AN15" s="85">
        <f>'Evolutive SFP'!AM38</f>
        <v>68817746.840000004</v>
      </c>
      <c r="AO15" s="85">
        <f>'Evolutive SFP'!AN38</f>
        <v>68817746.840000004</v>
      </c>
      <c r="AP15" s="85">
        <f>'Evolutive SFP'!AO38</f>
        <v>68802746.840000004</v>
      </c>
      <c r="AQ15" s="85">
        <f>'Evolutive SFP'!AP38</f>
        <v>68815246.840000004</v>
      </c>
      <c r="AR15" s="85">
        <f>'Evolutive SFP'!AQ38</f>
        <v>69000962.079999998</v>
      </c>
      <c r="AS15" s="85">
        <f>'Evolutive SFP'!AR38</f>
        <v>68985962.079999998</v>
      </c>
      <c r="AT15" s="85">
        <f>'Evolutive SFP'!AS38</f>
        <v>68987162.079999998</v>
      </c>
      <c r="AU15" s="85">
        <f>'Evolutive SFP'!AT38</f>
        <v>68989362.079999998</v>
      </c>
      <c r="AV15" s="85">
        <f>'Evolutive SFP'!AU38</f>
        <v>68990362.079999998</v>
      </c>
      <c r="AW15" s="85">
        <f>'Evolutive SFP'!AV38</f>
        <v>0</v>
      </c>
      <c r="AX15" s="85">
        <f>'Evolutive SFP'!AW38</f>
        <v>0</v>
      </c>
      <c r="AY15" s="85">
        <f>'Evolutive SFP'!AX38</f>
        <v>0</v>
      </c>
    </row>
    <row r="16" spans="1:51">
      <c r="A16" s="90" t="s">
        <v>100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</row>
    <row r="17" spans="1:51">
      <c r="A17" s="86" t="s">
        <v>101</v>
      </c>
      <c r="B17" s="18">
        <f>'Evolutive SFP'!B40</f>
        <v>30492146</v>
      </c>
      <c r="C17" s="18">
        <f>'Evolutive SFP'!B40</f>
        <v>30492146</v>
      </c>
      <c r="D17" s="18">
        <f>'Evolutive SFP'!C40</f>
        <v>30942146</v>
      </c>
      <c r="E17" s="18">
        <f>'Evolutive SFP'!D40</f>
        <v>30942146</v>
      </c>
      <c r="F17" s="18">
        <f>'Evolutive SFP'!E40</f>
        <v>38134753</v>
      </c>
      <c r="G17" s="18">
        <f>'Evolutive SFP'!F40</f>
        <v>38134753</v>
      </c>
      <c r="H17" s="18">
        <f>'Evolutive SFP'!G40</f>
        <v>38134753</v>
      </c>
      <c r="I17" s="18">
        <f>'Evolutive SFP'!H40</f>
        <v>21503348.239999998</v>
      </c>
      <c r="J17" s="18">
        <f>'Evolutive SFP'!I40</f>
        <v>21503348.239999998</v>
      </c>
      <c r="K17" s="18">
        <f>'Evolutive SFP'!J40</f>
        <v>21503348.239999998</v>
      </c>
      <c r="L17" s="18">
        <f>'Evolutive SFP'!K40</f>
        <v>21503295.239999998</v>
      </c>
      <c r="M17" s="85">
        <f>'Evolutive SFP'!L40</f>
        <v>38134753</v>
      </c>
      <c r="N17" s="85">
        <f>'Evolutive SFP'!M40</f>
        <v>47693974</v>
      </c>
      <c r="O17" s="85">
        <f>'Evolutive SFP'!N40</f>
        <v>0</v>
      </c>
      <c r="P17" s="85">
        <f>'Evolutive SFP'!O40</f>
        <v>0</v>
      </c>
      <c r="Q17" s="85">
        <f>'Evolutive SFP'!P40</f>
        <v>0</v>
      </c>
      <c r="R17" s="85">
        <f>'Evolutive SFP'!Q40</f>
        <v>0</v>
      </c>
      <c r="S17" s="85">
        <f>'Evolutive SFP'!R40</f>
        <v>27089695.739999998</v>
      </c>
      <c r="T17" s="85">
        <f>'Evolutive SFP'!S40</f>
        <v>29196279.09</v>
      </c>
      <c r="U17" s="85">
        <f>'Evolutive SFP'!T40</f>
        <v>29196279.09</v>
      </c>
      <c r="V17" s="85">
        <f>'Evolutive SFP'!U40</f>
        <v>29196279.09</v>
      </c>
      <c r="W17" s="85">
        <f>'Evolutive SFP'!V40</f>
        <v>29196279.09</v>
      </c>
      <c r="X17" s="85">
        <f>'Evolutive SFP'!W40</f>
        <v>29196279.09</v>
      </c>
      <c r="Y17" s="85">
        <f>'Evolutive SFP'!X40</f>
        <v>29196231.59</v>
      </c>
      <c r="Z17" s="85">
        <f>'Evolutive SFP'!Y40</f>
        <v>45827684.200000003</v>
      </c>
      <c r="AA17" s="85">
        <f>'Evolutive SFP'!Z40</f>
        <v>39951182.390000001</v>
      </c>
      <c r="AB17" s="85">
        <f>'Evolutive SFP'!AA40</f>
        <v>38251182.390000001</v>
      </c>
      <c r="AC17" s="85">
        <f>'Evolutive SFP'!AB40</f>
        <v>36283733</v>
      </c>
      <c r="AD17" s="85">
        <f>'Evolutive SFP'!AC40</f>
        <v>36283693.299999997</v>
      </c>
      <c r="AE17" s="85">
        <f>'Evolutive SFP'!AD40</f>
        <v>36283733.299999997</v>
      </c>
      <c r="AF17" s="85">
        <f>'Evolutive SFP'!AE40</f>
        <v>36283733.299999997</v>
      </c>
      <c r="AG17" s="85">
        <f>'Evolutive SFP'!AF40</f>
        <v>36283833.299999997</v>
      </c>
      <c r="AH17" s="85">
        <f>'Evolutive SFP'!AG40</f>
        <v>36283833.299999997</v>
      </c>
      <c r="AI17" s="85">
        <f>'Evolutive SFP'!AH40</f>
        <v>36283833.299999997</v>
      </c>
      <c r="AJ17" s="85">
        <f>'Evolutive SFP'!AI40</f>
        <v>36283833.299999997</v>
      </c>
      <c r="AK17" s="85">
        <f>'Evolutive SFP'!AJ40</f>
        <v>36283833.299999997</v>
      </c>
      <c r="AL17" s="85">
        <f>'Evolutive SFP'!AK40</f>
        <v>36283833.299999997</v>
      </c>
      <c r="AM17" s="85">
        <f>'Evolutive SFP'!AL40</f>
        <v>36283733.299999997</v>
      </c>
      <c r="AN17" s="85">
        <f>'Evolutive SFP'!AM40</f>
        <v>42219096.549999997</v>
      </c>
      <c r="AO17" s="85">
        <f>'Evolutive SFP'!AN40</f>
        <v>42219096.549999997</v>
      </c>
      <c r="AP17" s="85">
        <f>'Evolutive SFP'!AO40</f>
        <v>35587820.689999998</v>
      </c>
      <c r="AQ17" s="85">
        <f>'Evolutive SFP'!AP40</f>
        <v>31755354.18</v>
      </c>
      <c r="AR17" s="85">
        <f>'Evolutive SFP'!AQ40</f>
        <v>31713782.690000001</v>
      </c>
      <c r="AS17" s="85">
        <f>'Evolutive SFP'!AR40</f>
        <v>31713724.690000001</v>
      </c>
      <c r="AT17" s="85">
        <f>'Evolutive SFP'!AS40</f>
        <v>32547969.539999999</v>
      </c>
      <c r="AU17" s="85">
        <f>'Evolutive SFP'!AT40</f>
        <v>32547969.539999999</v>
      </c>
      <c r="AV17" s="85">
        <f>'Evolutive SFP'!AU40</f>
        <v>32547969.539999999</v>
      </c>
      <c r="AW17" s="85">
        <f>'Evolutive SFP'!AV40</f>
        <v>0</v>
      </c>
      <c r="AX17" s="85">
        <f>'Evolutive SFP'!AW40</f>
        <v>0</v>
      </c>
      <c r="AY17" s="85">
        <f>'Evolutive SFP'!AX40</f>
        <v>0</v>
      </c>
    </row>
    <row r="18" spans="1:51">
      <c r="A18" s="86" t="s">
        <v>102</v>
      </c>
      <c r="B18" s="18">
        <f>'Evolutive SFP'!B41</f>
        <v>7642607.3499999996</v>
      </c>
      <c r="C18" s="18">
        <f>'Evolutive SFP'!B41</f>
        <v>7642607.3499999996</v>
      </c>
      <c r="D18" s="18">
        <f>'Evolutive SFP'!C41</f>
        <v>855316.06</v>
      </c>
      <c r="E18" s="18">
        <f>'Evolutive SFP'!D41</f>
        <v>925234.67</v>
      </c>
      <c r="F18" s="18">
        <f>'Evolutive SFP'!E41</f>
        <v>1161015.29</v>
      </c>
      <c r="G18" s="18">
        <f>'Evolutive SFP'!F41</f>
        <v>1135746.22</v>
      </c>
      <c r="H18" s="18">
        <f>'Evolutive SFP'!G41</f>
        <v>1001002.46</v>
      </c>
      <c r="I18" s="18">
        <f>'Evolutive SFP'!H41</f>
        <v>0</v>
      </c>
      <c r="J18" s="18">
        <f>'Evolutive SFP'!I41</f>
        <v>0</v>
      </c>
      <c r="K18" s="18">
        <f>'Evolutive SFP'!J41</f>
        <v>0</v>
      </c>
      <c r="L18" s="18">
        <f>'Evolutive SFP'!K41</f>
        <v>0</v>
      </c>
      <c r="M18" s="85">
        <f>'Evolutive SFP'!L41</f>
        <v>7692930</v>
      </c>
      <c r="N18" s="85">
        <f>'Evolutive SFP'!M41</f>
        <v>21503348.239999998</v>
      </c>
      <c r="O18" s="85">
        <f>'Evolutive SFP'!N41</f>
        <v>27992993.32</v>
      </c>
      <c r="P18" s="85">
        <f>'Evolutive SFP'!O41</f>
        <v>29196279.09</v>
      </c>
      <c r="Q18" s="85">
        <f>'Evolutive SFP'!P41</f>
        <v>29196279.09</v>
      </c>
      <c r="R18" s="85">
        <f>'Evolutive SFP'!Q41</f>
        <v>29196279.09</v>
      </c>
      <c r="S18" s="85">
        <f>'Evolutive SFP'!R41</f>
        <v>27820931.32</v>
      </c>
      <c r="T18" s="85">
        <f>'Evolutive SFP'!S41</f>
        <v>32688112.530000001</v>
      </c>
      <c r="U18" s="85">
        <f>'Evolutive SFP'!T41</f>
        <v>37997671.539999999</v>
      </c>
      <c r="V18" s="85">
        <f>'Evolutive SFP'!U41</f>
        <v>43417208.390000001</v>
      </c>
      <c r="W18" s="85">
        <f>'Evolutive SFP'!V41</f>
        <v>47052382.719999999</v>
      </c>
      <c r="X18" s="85">
        <f>'Evolutive SFP'!W41</f>
        <v>51345031.920000002</v>
      </c>
      <c r="Y18" s="85">
        <f>'Evolutive SFP'!X41</f>
        <v>61129357.600000001</v>
      </c>
      <c r="Z18" s="85">
        <f>'Evolutive SFP'!Y41</f>
        <v>-9543950.9000000004</v>
      </c>
      <c r="AA18" s="85">
        <f>'Evolutive SFP'!Z41</f>
        <v>4193655.59</v>
      </c>
      <c r="AB18" s="85">
        <f>'Evolutive SFP'!AA41</f>
        <v>5237610.29</v>
      </c>
      <c r="AC18" s="85">
        <f>'Evolutive SFP'!AB41</f>
        <v>12133302.220000001</v>
      </c>
      <c r="AD18" s="85">
        <f>'Evolutive SFP'!AC41</f>
        <v>17852612.25</v>
      </c>
      <c r="AE18" s="85">
        <f>'Evolutive SFP'!AD41</f>
        <v>22427625.059999999</v>
      </c>
      <c r="AF18" s="85">
        <f>'Evolutive SFP'!AE41</f>
        <v>25162694.34</v>
      </c>
      <c r="AG18" s="85">
        <f>'Evolutive SFP'!AF41</f>
        <v>25477436.440000001</v>
      </c>
      <c r="AH18" s="85">
        <f>'Evolutive SFP'!AG41</f>
        <v>32040692.940000001</v>
      </c>
      <c r="AI18" s="85">
        <f>'Evolutive SFP'!AH41</f>
        <v>33796410.979999997</v>
      </c>
      <c r="AJ18" s="85">
        <f>'Evolutive SFP'!AI41</f>
        <v>36962810.270000003</v>
      </c>
      <c r="AK18" s="85">
        <f>'Evolutive SFP'!AJ41</f>
        <v>39182321.670000002</v>
      </c>
      <c r="AL18" s="85">
        <f>'Evolutive SFP'!AK41</f>
        <v>13935382.25</v>
      </c>
      <c r="AM18" s="85">
        <f>'Evolutive SFP'!AL41</f>
        <v>11107433.24</v>
      </c>
      <c r="AN18" s="85">
        <f>'Evolutive SFP'!AM41</f>
        <v>3274284.21</v>
      </c>
      <c r="AO18" s="85">
        <f>'Evolutive SFP'!AN41</f>
        <v>4711561.5599999996</v>
      </c>
      <c r="AP18" s="85">
        <f>'Evolutive SFP'!AO41</f>
        <v>8960035.9499999993</v>
      </c>
      <c r="AQ18" s="85">
        <f>'Evolutive SFP'!AP41</f>
        <v>12624758.720000001</v>
      </c>
      <c r="AR18" s="85">
        <f>'Evolutive SFP'!AQ41</f>
        <v>19840040.460000001</v>
      </c>
      <c r="AS18" s="85">
        <f>'Evolutive SFP'!AR41</f>
        <v>23332043.780000001</v>
      </c>
      <c r="AT18" s="85">
        <f>'Evolutive SFP'!AS41</f>
        <v>27328371.760000002</v>
      </c>
      <c r="AU18" s="85">
        <f>'Evolutive SFP'!AT41</f>
        <v>32185270.27</v>
      </c>
      <c r="AV18" s="85">
        <f>'Evolutive SFP'!AU41</f>
        <v>38141804.810000002</v>
      </c>
      <c r="AW18" s="85">
        <f>'Evolutive SFP'!AV41</f>
        <v>0</v>
      </c>
      <c r="AX18" s="85">
        <f>'Evolutive SFP'!AW41</f>
        <v>0</v>
      </c>
      <c r="AY18" s="85">
        <f>'Evolutive SFP'!AX41</f>
        <v>0</v>
      </c>
    </row>
    <row r="19" spans="1:51">
      <c r="A19" s="86" t="s">
        <v>42</v>
      </c>
      <c r="B19" s="18">
        <f>'Evolutive SFP'!B42</f>
        <v>13603823</v>
      </c>
      <c r="C19" s="18">
        <f>'Evolutive SFP'!B42</f>
        <v>13603823</v>
      </c>
      <c r="D19" s="18">
        <f>'Evolutive SFP'!C42</f>
        <v>10532259</v>
      </c>
      <c r="E19" s="18">
        <f>'Evolutive SFP'!D42</f>
        <v>10532259</v>
      </c>
      <c r="F19" s="18">
        <f>'Evolutive SFP'!E42</f>
        <v>13603823</v>
      </c>
      <c r="G19" s="18">
        <f>'Evolutive SFP'!F42</f>
        <v>13603823</v>
      </c>
      <c r="H19" s="18">
        <f>'Evolutive SFP'!G42</f>
        <v>13603823</v>
      </c>
      <c r="I19" s="18">
        <f>'Evolutive SFP'!H42</f>
        <v>0</v>
      </c>
      <c r="J19" s="18">
        <f>'Evolutive SFP'!I42</f>
        <v>0</v>
      </c>
      <c r="K19" s="18">
        <f>'Evolutive SFP'!J42</f>
        <v>0</v>
      </c>
      <c r="L19" s="18">
        <f>'Evolutive SFP'!K42</f>
        <v>0</v>
      </c>
      <c r="M19" s="85">
        <f>'Evolutive SFP'!L42</f>
        <v>15589555.85</v>
      </c>
      <c r="N19" s="85">
        <f>'Evolutive SFP'!M42</f>
        <v>0</v>
      </c>
      <c r="O19" s="85">
        <f>'Evolutive SFP'!N42</f>
        <v>0</v>
      </c>
      <c r="P19" s="85">
        <f>'Evolutive SFP'!O42</f>
        <v>0</v>
      </c>
      <c r="Q19" s="85">
        <f>'Evolutive SFP'!P42</f>
        <v>0</v>
      </c>
      <c r="R19" s="85">
        <f>'Evolutive SFP'!Q42</f>
        <v>0</v>
      </c>
      <c r="S19" s="85">
        <f>'Evolutive SFP'!R42</f>
        <v>15589555.85</v>
      </c>
      <c r="T19" s="85">
        <f>'Evolutive SFP'!S42</f>
        <v>15589555.85</v>
      </c>
      <c r="U19" s="85">
        <f>'Evolutive SFP'!T42</f>
        <v>15589555.85</v>
      </c>
      <c r="V19" s="85">
        <f>'Evolutive SFP'!U42</f>
        <v>15589555.85</v>
      </c>
      <c r="W19" s="85">
        <f>'Evolutive SFP'!V42</f>
        <v>15589555.85</v>
      </c>
      <c r="X19" s="85">
        <f>'Evolutive SFP'!W42</f>
        <v>15589555.85</v>
      </c>
      <c r="Y19" s="85">
        <f>'Evolutive SFP'!X42</f>
        <v>15589555.85</v>
      </c>
      <c r="Z19" s="85">
        <f>'Evolutive SFP'!Y42</f>
        <v>18681835.25</v>
      </c>
      <c r="AA19" s="85">
        <f>'Evolutive SFP'!Z42</f>
        <v>18278234.649999999</v>
      </c>
      <c r="AB19" s="85">
        <f>'Evolutive SFP'!AA42</f>
        <v>18278234.649999999</v>
      </c>
      <c r="AC19" s="85">
        <f>'Evolutive SFP'!AB42</f>
        <v>18681835</v>
      </c>
      <c r="AD19" s="85">
        <f>'Evolutive SFP'!AC42</f>
        <v>18681835.25</v>
      </c>
      <c r="AE19" s="85">
        <f>'Evolutive SFP'!AD42</f>
        <v>18681835.25</v>
      </c>
      <c r="AF19" s="85">
        <f>'Evolutive SFP'!AE42</f>
        <v>18681835.25</v>
      </c>
      <c r="AG19" s="85">
        <f>'Evolutive SFP'!AF42</f>
        <v>18681835.25</v>
      </c>
      <c r="AH19" s="85">
        <f>'Evolutive SFP'!AG42</f>
        <v>18681835.25</v>
      </c>
      <c r="AI19" s="85">
        <f>'Evolutive SFP'!AH42</f>
        <v>18681835.25</v>
      </c>
      <c r="AJ19" s="85">
        <f>'Evolutive SFP'!AI42</f>
        <v>18681835.25</v>
      </c>
      <c r="AK19" s="85">
        <f>'Evolutive SFP'!AJ42</f>
        <v>18681835.25</v>
      </c>
      <c r="AL19" s="85">
        <f>'Evolutive SFP'!AK42</f>
        <v>18681835.25</v>
      </c>
      <c r="AM19" s="85">
        <f>'Evolutive SFP'!AL42</f>
        <v>21533693.16</v>
      </c>
      <c r="AN19" s="85">
        <f>'Evolutive SFP'!AM42</f>
        <v>18681835.25</v>
      </c>
      <c r="AO19" s="85">
        <f>'Evolutive SFP'!AN42</f>
        <v>18681835.25</v>
      </c>
      <c r="AP19" s="85">
        <f>'Evolutive SFP'!AO42</f>
        <v>21533693.559999999</v>
      </c>
      <c r="AQ19" s="85">
        <f>'Evolutive SFP'!AP42</f>
        <v>21533693.559999999</v>
      </c>
      <c r="AR19" s="85">
        <f>'Evolutive SFP'!AQ42</f>
        <v>21533693.559999999</v>
      </c>
      <c r="AS19" s="85">
        <f>'Evolutive SFP'!AR42</f>
        <v>21533693.559999999</v>
      </c>
      <c r="AT19" s="85">
        <f>'Evolutive SFP'!AS42</f>
        <v>21533693.559999999</v>
      </c>
      <c r="AU19" s="85">
        <f>'Evolutive SFP'!AT42</f>
        <v>21533693.559999999</v>
      </c>
      <c r="AV19" s="85">
        <f>'Evolutive SFP'!AU42</f>
        <v>21533693.559999999</v>
      </c>
      <c r="AW19" s="85">
        <f>'Evolutive SFP'!AV42</f>
        <v>0</v>
      </c>
      <c r="AX19" s="85">
        <f>'Evolutive SFP'!AW42</f>
        <v>0</v>
      </c>
      <c r="AY19" s="85">
        <f>'Evolutive SFP'!AX42</f>
        <v>0</v>
      </c>
    </row>
    <row r="20" spans="1:51">
      <c r="A20" s="86" t="s">
        <v>103</v>
      </c>
      <c r="B20" s="18">
        <f>('Evolutive SFP'!B43)</f>
        <v>17736084</v>
      </c>
      <c r="C20" s="18">
        <f>'Evolutive SFP'!B43</f>
        <v>17736084</v>
      </c>
      <c r="D20" s="18">
        <f>'Evolutive SFP'!C43</f>
        <v>17736084</v>
      </c>
      <c r="E20" s="18">
        <f>'Evolutive SFP'!D43</f>
        <v>17736084</v>
      </c>
      <c r="F20" s="18">
        <f>'Evolutive SFP'!E43</f>
        <v>17736084</v>
      </c>
      <c r="G20" s="18">
        <f>'Evolutive SFP'!F43</f>
        <v>17736084</v>
      </c>
      <c r="H20" s="18">
        <f>'Evolutive SFP'!G43</f>
        <v>17736084</v>
      </c>
      <c r="I20" s="18">
        <f>'Evolutive SFP'!H43</f>
        <v>13603823.1</v>
      </c>
      <c r="J20" s="18">
        <f>'Evolutive SFP'!I43</f>
        <v>13603823.1</v>
      </c>
      <c r="K20" s="18">
        <f>'Evolutive SFP'!J43</f>
        <v>13603823.1</v>
      </c>
      <c r="L20" s="18">
        <f>'Evolutive SFP'!K43</f>
        <v>13603823.1</v>
      </c>
      <c r="M20" s="85">
        <f>'Evolutive SFP'!L43</f>
        <v>17736084</v>
      </c>
      <c r="N20" s="85">
        <f>'Evolutive SFP'!M43</f>
        <v>0</v>
      </c>
      <c r="O20" s="85">
        <f>'Evolutive SFP'!N43</f>
        <v>0</v>
      </c>
      <c r="P20" s="85">
        <f>'Evolutive SFP'!O43</f>
        <v>0</v>
      </c>
      <c r="Q20" s="85">
        <f>'Evolutive SFP'!P43</f>
        <v>0</v>
      </c>
      <c r="R20" s="85">
        <f>'Evolutive SFP'!Q43</f>
        <v>0</v>
      </c>
      <c r="S20" s="85">
        <f>'Evolutive SFP'!R43</f>
        <v>17736084</v>
      </c>
      <c r="T20" s="85">
        <f>'Evolutive SFP'!S43</f>
        <v>17736084</v>
      </c>
      <c r="U20" s="85">
        <f>'Evolutive SFP'!T43</f>
        <v>17736084</v>
      </c>
      <c r="V20" s="85">
        <f>'Evolutive SFP'!U43</f>
        <v>17736084</v>
      </c>
      <c r="W20" s="85">
        <f>'Evolutive SFP'!V43</f>
        <v>17736084</v>
      </c>
      <c r="X20" s="85">
        <f>'Evolutive SFP'!W43</f>
        <v>17736084</v>
      </c>
      <c r="Y20" s="85">
        <f>'Evolutive SFP'!X43</f>
        <v>17736084</v>
      </c>
      <c r="Z20" s="85">
        <f>'Evolutive SFP'!Y43</f>
        <v>17736084</v>
      </c>
      <c r="AA20" s="85">
        <f>'Evolutive SFP'!Z43</f>
        <v>17736084</v>
      </c>
      <c r="AB20" s="85">
        <f>'Evolutive SFP'!AA43</f>
        <v>17736084</v>
      </c>
      <c r="AC20" s="85">
        <f>'Evolutive SFP'!AB43</f>
        <v>17736084</v>
      </c>
      <c r="AD20" s="85">
        <f>'Evolutive SFP'!AC43</f>
        <v>17736084</v>
      </c>
      <c r="AE20" s="85">
        <f>'Evolutive SFP'!AD43</f>
        <v>17736084</v>
      </c>
      <c r="AF20" s="85">
        <f>'Evolutive SFP'!AE43</f>
        <v>17736084</v>
      </c>
      <c r="AG20" s="85">
        <f>'Evolutive SFP'!AF43</f>
        <v>17736084</v>
      </c>
      <c r="AH20" s="85">
        <f>'Evolutive SFP'!AG43</f>
        <v>17736084</v>
      </c>
      <c r="AI20" s="85">
        <f>'Evolutive SFP'!AH43</f>
        <v>17736084</v>
      </c>
      <c r="AJ20" s="85">
        <f>'Evolutive SFP'!AI43</f>
        <v>127525</v>
      </c>
      <c r="AK20" s="85">
        <f>'Evolutive SFP'!AJ43</f>
        <v>127525</v>
      </c>
      <c r="AL20" s="85">
        <f>'Evolutive SFP'!AK43</f>
        <v>17736084</v>
      </c>
      <c r="AM20" s="85">
        <f>'Evolutive SFP'!AL43</f>
        <v>17736084</v>
      </c>
      <c r="AN20" s="85">
        <f>'Evolutive SFP'!AM43</f>
        <v>17736084</v>
      </c>
      <c r="AO20" s="85">
        <f>'Evolutive SFP'!AN43</f>
        <v>17736084</v>
      </c>
      <c r="AP20" s="85">
        <f>'Evolutive SFP'!AO43</f>
        <v>17736084</v>
      </c>
      <c r="AQ20" s="85">
        <f>'Evolutive SFP'!AP43</f>
        <v>127525</v>
      </c>
      <c r="AR20" s="85">
        <f>'Evolutive SFP'!AQ43</f>
        <v>127525</v>
      </c>
      <c r="AS20" s="85">
        <f>'Evolutive SFP'!AR43</f>
        <v>127525</v>
      </c>
      <c r="AT20" s="85">
        <f>'Evolutive SFP'!AS43</f>
        <v>127525</v>
      </c>
      <c r="AU20" s="85">
        <f>'Evolutive SFP'!AT43</f>
        <v>127525</v>
      </c>
      <c r="AV20" s="85">
        <f>'Evolutive SFP'!AU43</f>
        <v>127525</v>
      </c>
      <c r="AW20" s="85">
        <f>'Evolutive SFP'!AV43</f>
        <v>0</v>
      </c>
      <c r="AX20" s="85">
        <f>'Evolutive SFP'!AW43</f>
        <v>0</v>
      </c>
      <c r="AY20" s="85">
        <f>'Evolutive SFP'!AX43</f>
        <v>0</v>
      </c>
    </row>
    <row r="21" spans="1:51">
      <c r="A21" s="91" t="s">
        <v>104</v>
      </c>
      <c r="B21" s="18">
        <f>B22+B23</f>
        <v>0</v>
      </c>
      <c r="C21" s="18">
        <f>C22+C23</f>
        <v>0</v>
      </c>
      <c r="D21" s="18">
        <f t="shared" ref="D21:Y21" si="18">D22+D23</f>
        <v>0</v>
      </c>
      <c r="E21" s="18">
        <f t="shared" si="18"/>
        <v>0</v>
      </c>
      <c r="F21" s="18">
        <f t="shared" si="18"/>
        <v>0</v>
      </c>
      <c r="G21" s="18">
        <f t="shared" si="18"/>
        <v>0</v>
      </c>
      <c r="H21" s="18">
        <f t="shared" si="18"/>
        <v>0</v>
      </c>
      <c r="I21" s="18">
        <f t="shared" si="18"/>
        <v>0</v>
      </c>
      <c r="J21" s="18">
        <f t="shared" si="18"/>
        <v>0</v>
      </c>
      <c r="K21" s="18">
        <f t="shared" si="18"/>
        <v>0</v>
      </c>
      <c r="L21" s="18">
        <f t="shared" si="18"/>
        <v>0</v>
      </c>
      <c r="M21" s="18">
        <f t="shared" si="18"/>
        <v>0</v>
      </c>
      <c r="N21" s="18">
        <f t="shared" si="18"/>
        <v>17736084</v>
      </c>
      <c r="O21" s="18">
        <f t="shared" si="18"/>
        <v>17736084</v>
      </c>
      <c r="P21" s="18">
        <f t="shared" si="18"/>
        <v>17736084</v>
      </c>
      <c r="Q21" s="18">
        <f t="shared" si="18"/>
        <v>17736084</v>
      </c>
      <c r="R21" s="18">
        <f t="shared" si="18"/>
        <v>17736084</v>
      </c>
      <c r="S21" s="18">
        <f t="shared" si="18"/>
        <v>0</v>
      </c>
      <c r="T21" s="18">
        <f t="shared" si="18"/>
        <v>0</v>
      </c>
      <c r="U21" s="18">
        <f t="shared" si="18"/>
        <v>0</v>
      </c>
      <c r="V21" s="18">
        <f t="shared" si="18"/>
        <v>0</v>
      </c>
      <c r="W21" s="18">
        <f t="shared" si="18"/>
        <v>0</v>
      </c>
      <c r="X21" s="18">
        <f t="shared" si="18"/>
        <v>0</v>
      </c>
      <c r="Y21" s="18">
        <f t="shared" si="18"/>
        <v>0</v>
      </c>
      <c r="Z21" s="18">
        <v>0</v>
      </c>
      <c r="AA21" s="18">
        <v>1</v>
      </c>
      <c r="AB21" s="18">
        <v>2</v>
      </c>
      <c r="AC21" s="18">
        <v>3</v>
      </c>
      <c r="AD21" s="18">
        <v>4</v>
      </c>
      <c r="AE21" s="18">
        <v>5</v>
      </c>
      <c r="AF21" s="18">
        <v>6</v>
      </c>
      <c r="AG21" s="18">
        <v>7</v>
      </c>
      <c r="AH21" s="18">
        <v>8</v>
      </c>
      <c r="AI21" s="18">
        <v>9</v>
      </c>
      <c r="AJ21" s="18">
        <v>10</v>
      </c>
      <c r="AK21" s="18">
        <v>11</v>
      </c>
      <c r="AL21" s="18">
        <v>12</v>
      </c>
      <c r="AM21" s="18">
        <v>13</v>
      </c>
      <c r="AN21" s="18">
        <v>14</v>
      </c>
      <c r="AO21" s="18">
        <v>15</v>
      </c>
      <c r="AP21" s="18">
        <v>16</v>
      </c>
      <c r="AQ21" s="18">
        <v>17</v>
      </c>
      <c r="AR21" s="18">
        <v>18</v>
      </c>
      <c r="AS21" s="18">
        <v>19</v>
      </c>
      <c r="AT21" s="18">
        <v>20</v>
      </c>
      <c r="AU21" s="18">
        <v>21</v>
      </c>
      <c r="AV21" s="18">
        <v>22</v>
      </c>
      <c r="AW21" s="18">
        <v>23</v>
      </c>
      <c r="AX21" s="18">
        <v>24</v>
      </c>
      <c r="AY21" s="18">
        <v>25</v>
      </c>
    </row>
    <row r="22" spans="1:51">
      <c r="A22" s="86" t="s">
        <v>45</v>
      </c>
      <c r="B22" s="18">
        <f>'Evolutive SFP'!B45</f>
        <v>0</v>
      </c>
      <c r="C22" s="18">
        <f>'Evolutive SFP'!B45</f>
        <v>0</v>
      </c>
      <c r="D22" s="18">
        <f>'Evolutive SFP'!C45</f>
        <v>0</v>
      </c>
      <c r="E22" s="18">
        <f>'Evolutive SFP'!D45</f>
        <v>0</v>
      </c>
      <c r="F22" s="18">
        <f>'Evolutive SFP'!E45</f>
        <v>0</v>
      </c>
      <c r="G22" s="18">
        <f>'Evolutive SFP'!F45</f>
        <v>0</v>
      </c>
      <c r="H22" s="18">
        <f>'Evolutive SFP'!G45</f>
        <v>0</v>
      </c>
      <c r="I22" s="18">
        <f>'Evolutive SFP'!H45</f>
        <v>0</v>
      </c>
      <c r="J22" s="18">
        <f>'Evolutive SFP'!I45</f>
        <v>0</v>
      </c>
      <c r="K22" s="18">
        <f>'Evolutive SFP'!J45</f>
        <v>0</v>
      </c>
      <c r="L22" s="18">
        <f>'Evolutive SFP'!K45</f>
        <v>0</v>
      </c>
      <c r="M22" s="18">
        <f>'Evolutive SFP'!L45</f>
        <v>0</v>
      </c>
      <c r="N22" s="18">
        <f>'Evolutive SFP'!M45</f>
        <v>17736084</v>
      </c>
      <c r="O22" s="18">
        <f>'Evolutive SFP'!N45</f>
        <v>17736084</v>
      </c>
      <c r="P22" s="18">
        <f>'Evolutive SFP'!O45</f>
        <v>17736084</v>
      </c>
      <c r="Q22" s="18">
        <f>'Evolutive SFP'!P45</f>
        <v>17736084</v>
      </c>
      <c r="R22" s="18">
        <f>'Evolutive SFP'!Q45</f>
        <v>17736084</v>
      </c>
      <c r="S22" s="18">
        <f>'Evolutive SFP'!R45</f>
        <v>0</v>
      </c>
      <c r="T22" s="18">
        <f>'Evolutive SFP'!S45</f>
        <v>0</v>
      </c>
      <c r="U22" s="18">
        <f>'Evolutive SFP'!T45</f>
        <v>0</v>
      </c>
      <c r="V22" s="18">
        <f>'Evolutive SFP'!U45</f>
        <v>0</v>
      </c>
      <c r="W22" s="18">
        <f>'Evolutive SFP'!V45</f>
        <v>0</v>
      </c>
      <c r="X22" s="18">
        <f>'Evolutive SFP'!W45</f>
        <v>0</v>
      </c>
      <c r="Y22" s="18">
        <f>'Evolutive SFP'!X45</f>
        <v>0</v>
      </c>
      <c r="Z22" s="18">
        <f>'Evolutive SFP'!Y45</f>
        <v>4981663.4000000004</v>
      </c>
      <c r="AA22" s="18">
        <f>'Evolutive SFP'!Z45</f>
        <v>0</v>
      </c>
      <c r="AB22" s="18">
        <f>'Evolutive SFP'!AA45</f>
        <v>0</v>
      </c>
      <c r="AC22" s="18">
        <f>'Evolutive SFP'!AB45</f>
        <v>0</v>
      </c>
      <c r="AD22" s="18">
        <f>'Evolutive SFP'!AC45</f>
        <v>0</v>
      </c>
      <c r="AE22" s="18">
        <f>'Evolutive SFP'!AD45</f>
        <v>0</v>
      </c>
      <c r="AF22" s="18">
        <f>'Evolutive SFP'!AE45</f>
        <v>0</v>
      </c>
      <c r="AG22" s="18">
        <f>'Evolutive SFP'!AF45</f>
        <v>0</v>
      </c>
      <c r="AH22" s="18">
        <f>'Evolutive SFP'!AG45</f>
        <v>0</v>
      </c>
      <c r="AI22" s="18">
        <f>'Evolutive SFP'!AH45</f>
        <v>0</v>
      </c>
      <c r="AJ22" s="18">
        <f>'Evolutive SFP'!AI45</f>
        <v>0</v>
      </c>
      <c r="AK22" s="18">
        <f>'Evolutive SFP'!AJ45</f>
        <v>0</v>
      </c>
      <c r="AL22" s="18">
        <f>'Evolutive SFP'!AK45</f>
        <v>0</v>
      </c>
      <c r="AM22" s="18">
        <f>'Evolutive SFP'!AL45</f>
        <v>0</v>
      </c>
      <c r="AN22" s="18">
        <f>'Evolutive SFP'!AM45</f>
        <v>0</v>
      </c>
      <c r="AO22" s="18">
        <f>'Evolutive SFP'!AN45</f>
        <v>0</v>
      </c>
      <c r="AP22" s="18">
        <f>'Evolutive SFP'!AO45</f>
        <v>0</v>
      </c>
      <c r="AQ22" s="18">
        <f>'Evolutive SFP'!AP45</f>
        <v>0</v>
      </c>
      <c r="AR22" s="18">
        <f>'Evolutive SFP'!AQ45</f>
        <v>0</v>
      </c>
      <c r="AS22" s="18">
        <f>'Evolutive SFP'!AR45</f>
        <v>0</v>
      </c>
      <c r="AT22" s="18">
        <f>'Evolutive SFP'!AS45</f>
        <v>0</v>
      </c>
      <c r="AU22" s="18">
        <f>'Evolutive SFP'!AT45</f>
        <v>0</v>
      </c>
      <c r="AV22" s="18">
        <f>'Evolutive SFP'!AU45</f>
        <v>0</v>
      </c>
      <c r="AW22" s="18">
        <f>'Evolutive SFP'!AV45</f>
        <v>0</v>
      </c>
      <c r="AX22" s="18">
        <f>'Evolutive SFP'!AW45</f>
        <v>0</v>
      </c>
      <c r="AY22" s="18">
        <f>'Evolutive SFP'!AX45</f>
        <v>0</v>
      </c>
    </row>
    <row r="23" spans="1:51">
      <c r="A23" s="86" t="s">
        <v>105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</row>
    <row r="24" spans="1:51">
      <c r="A24" s="9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7" customFormat="1">
      <c r="A25" s="91" t="s">
        <v>106</v>
      </c>
      <c r="B25" s="19">
        <f>B26+B27+B28</f>
        <v>9221631</v>
      </c>
      <c r="C25" s="19">
        <f>C26+C27+C28</f>
        <v>9221631</v>
      </c>
      <c r="D25" s="19">
        <f t="shared" ref="D25:M25" si="19">D26+D27+D28</f>
        <v>57779478</v>
      </c>
      <c r="E25" s="19">
        <f t="shared" si="19"/>
        <v>58489478</v>
      </c>
      <c r="F25" s="19">
        <f t="shared" si="19"/>
        <v>59744505</v>
      </c>
      <c r="G25" s="19">
        <f t="shared" si="19"/>
        <v>60099478</v>
      </c>
      <c r="H25" s="19">
        <f t="shared" si="19"/>
        <v>60454478</v>
      </c>
      <c r="I25" s="19">
        <f t="shared" si="19"/>
        <v>61519478.299999997</v>
      </c>
      <c r="J25" s="19">
        <f t="shared" si="19"/>
        <v>62774478.299999997</v>
      </c>
      <c r="K25" s="19">
        <f t="shared" si="19"/>
        <v>63729478.299999997</v>
      </c>
      <c r="L25" s="19">
        <f t="shared" si="19"/>
        <v>65813989.219999999</v>
      </c>
      <c r="M25" s="88">
        <f t="shared" si="19"/>
        <v>9317364</v>
      </c>
      <c r="N25" s="88">
        <f>N26+N27+N28</f>
        <v>66168989.219999999</v>
      </c>
      <c r="O25" s="88">
        <f>O26+O27+O28</f>
        <v>66523989.049999997</v>
      </c>
      <c r="P25" s="88">
        <f>P26+P27+P28</f>
        <v>66878989.219999999</v>
      </c>
      <c r="Q25" s="88">
        <f t="shared" ref="Q25:Z25" si="20">Q26+Q27+Q28</f>
        <v>67233989.219999999</v>
      </c>
      <c r="R25" s="88">
        <f t="shared" si="20"/>
        <v>67588989.219999999</v>
      </c>
      <c r="S25" s="88">
        <f t="shared" si="20"/>
        <v>67943989.219999999</v>
      </c>
      <c r="T25" s="88">
        <f t="shared" si="20"/>
        <v>65663928.57</v>
      </c>
      <c r="U25" s="88">
        <f t="shared" si="20"/>
        <v>66018928.57</v>
      </c>
      <c r="V25" s="88">
        <f t="shared" si="20"/>
        <v>66373928.57</v>
      </c>
      <c r="W25" s="88">
        <f t="shared" si="20"/>
        <v>66728928.57</v>
      </c>
      <c r="X25" s="88">
        <f t="shared" si="20"/>
        <v>67083928.57</v>
      </c>
      <c r="Y25" s="88">
        <f t="shared" si="20"/>
        <v>67438928.569999993</v>
      </c>
      <c r="Z25" s="88">
        <f t="shared" si="20"/>
        <v>9221631</v>
      </c>
      <c r="AA25" s="88">
        <f t="shared" ref="AA25:AK25" si="21">AA26+AA27+AA28</f>
        <v>67793928.569999993</v>
      </c>
      <c r="AB25" s="88">
        <f t="shared" si="21"/>
        <v>68148928.569999993</v>
      </c>
      <c r="AC25" s="88">
        <f t="shared" si="21"/>
        <v>68933928.569999993</v>
      </c>
      <c r="AD25" s="88">
        <f t="shared" si="21"/>
        <v>69288928.569999993</v>
      </c>
      <c r="AE25" s="88">
        <f t="shared" si="21"/>
        <v>69643928.569999993</v>
      </c>
      <c r="AF25" s="88">
        <f t="shared" si="21"/>
        <v>69998928.569999993</v>
      </c>
      <c r="AG25" s="88">
        <f t="shared" si="21"/>
        <v>70353928.569999993</v>
      </c>
      <c r="AH25" s="88">
        <f t="shared" si="21"/>
        <v>70708928.569999993</v>
      </c>
      <c r="AI25" s="88">
        <f t="shared" si="21"/>
        <v>71063928.569999993</v>
      </c>
      <c r="AJ25" s="88">
        <f t="shared" si="21"/>
        <v>71418928.569999993</v>
      </c>
      <c r="AK25" s="88">
        <f t="shared" si="21"/>
        <v>71773928.569999993</v>
      </c>
      <c r="AL25" s="88">
        <f t="shared" ref="AL25:AM25" si="22">AL26+AL27+AL28</f>
        <v>72128928.569999993</v>
      </c>
      <c r="AM25" s="88">
        <f t="shared" si="22"/>
        <v>9221631</v>
      </c>
      <c r="AN25" s="88">
        <f t="shared" ref="AN25:AP25" si="23">AN26+AN27+AN28</f>
        <v>72483928.569999993</v>
      </c>
      <c r="AO25" s="88">
        <f t="shared" si="23"/>
        <v>72838928.569999993</v>
      </c>
      <c r="AP25" s="88">
        <f t="shared" si="23"/>
        <v>73193928.569999993</v>
      </c>
      <c r="AQ25" s="88">
        <f t="shared" ref="AQ25:AY25" si="24">AQ26+AQ27+AQ28</f>
        <v>73548928.569999993</v>
      </c>
      <c r="AR25" s="88">
        <f t="shared" si="24"/>
        <v>73903928.569999993</v>
      </c>
      <c r="AS25" s="88">
        <f t="shared" si="24"/>
        <v>74258928.569999993</v>
      </c>
      <c r="AT25" s="88">
        <f t="shared" si="24"/>
        <v>74613928.569999993</v>
      </c>
      <c r="AU25" s="88">
        <f t="shared" si="24"/>
        <v>74968928.569999993</v>
      </c>
      <c r="AV25" s="88">
        <f t="shared" si="24"/>
        <v>75323928.569999993</v>
      </c>
      <c r="AW25" s="88">
        <f t="shared" si="24"/>
        <v>0</v>
      </c>
      <c r="AX25" s="88">
        <f t="shared" si="24"/>
        <v>0</v>
      </c>
      <c r="AY25" s="88">
        <f t="shared" si="24"/>
        <v>0</v>
      </c>
    </row>
    <row r="26" spans="1:51">
      <c r="A26" s="86" t="s">
        <v>107</v>
      </c>
      <c r="B26" s="18">
        <f>'Evolutive SFP'!B12</f>
        <v>0</v>
      </c>
      <c r="C26" s="18">
        <f>'Evolutive SFP'!B11</f>
        <v>9221631</v>
      </c>
      <c r="D26" s="18">
        <f>'Evolutive SFP'!C11</f>
        <v>48557847</v>
      </c>
      <c r="E26" s="18">
        <f>'Evolutive SFP'!D11</f>
        <v>49267847</v>
      </c>
      <c r="F26" s="18">
        <f>'Evolutive SFP'!E11</f>
        <v>50522874</v>
      </c>
      <c r="G26" s="18">
        <f>'Evolutive SFP'!F11</f>
        <v>50877847</v>
      </c>
      <c r="H26" s="18">
        <f>'Evolutive SFP'!G11</f>
        <v>51232847</v>
      </c>
      <c r="I26" s="18">
        <f>'Evolutive SFP'!H11</f>
        <v>52297847</v>
      </c>
      <c r="J26" s="18">
        <f>'Evolutive SFP'!I11</f>
        <v>53552847</v>
      </c>
      <c r="K26" s="18">
        <f>'Evolutive SFP'!J11</f>
        <v>54507847</v>
      </c>
      <c r="L26" s="18">
        <f>'Evolutive SFP'!K11</f>
        <v>56592358.219999999</v>
      </c>
      <c r="M26" s="85">
        <f>'Evolutive SFP'!L11</f>
        <v>9317364</v>
      </c>
      <c r="N26" s="85">
        <f>'Evolutive SFP'!M11</f>
        <v>56947358.219999999</v>
      </c>
      <c r="O26" s="85">
        <f>'Evolutive SFP'!N11</f>
        <v>57302358.049999997</v>
      </c>
      <c r="P26" s="85">
        <f>'Evolutive SFP'!O11</f>
        <v>57657358.219999999</v>
      </c>
      <c r="Q26" s="85">
        <f>'Evolutive SFP'!P11</f>
        <v>58012358.219999999</v>
      </c>
      <c r="R26" s="85">
        <f>'Evolutive SFP'!Q11</f>
        <v>58367358.219999999</v>
      </c>
      <c r="S26" s="85">
        <f>'Evolutive SFP'!R11</f>
        <v>58722358.219999999</v>
      </c>
      <c r="T26" s="85">
        <f>'Evolutive SFP'!S11</f>
        <v>56442297.57</v>
      </c>
      <c r="U26" s="85">
        <f>'Evolutive SFP'!T11</f>
        <v>56797297.57</v>
      </c>
      <c r="V26" s="85">
        <f>'Evolutive SFP'!U11</f>
        <v>57152297.57</v>
      </c>
      <c r="W26" s="85">
        <f>'Evolutive SFP'!V11</f>
        <v>57507297.57</v>
      </c>
      <c r="X26" s="85">
        <f>'Evolutive SFP'!W11</f>
        <v>57862297.57</v>
      </c>
      <c r="Y26" s="85">
        <f>'Evolutive SFP'!X11</f>
        <v>58217297.57</v>
      </c>
      <c r="Z26" s="85">
        <f>'Evolutive SFP'!Y11</f>
        <v>9150631</v>
      </c>
      <c r="AA26" s="85">
        <f>'Evolutive SFP'!Z11</f>
        <v>58572297.57</v>
      </c>
      <c r="AB26" s="85">
        <f>'Evolutive SFP'!AA11</f>
        <v>58927297.57</v>
      </c>
      <c r="AC26" s="85">
        <f>'Evolutive SFP'!AB11</f>
        <v>59712297.57</v>
      </c>
      <c r="AD26" s="85">
        <f>'Evolutive SFP'!AC11</f>
        <v>60067297.57</v>
      </c>
      <c r="AE26" s="85">
        <f>'Evolutive SFP'!AD11</f>
        <v>60422297.57</v>
      </c>
      <c r="AF26" s="85">
        <f>'Evolutive SFP'!AE11</f>
        <v>60777297.57</v>
      </c>
      <c r="AG26" s="85">
        <f>'Evolutive SFP'!AF11</f>
        <v>61132297.57</v>
      </c>
      <c r="AH26" s="85">
        <f>'Evolutive SFP'!AG11</f>
        <v>61487297.57</v>
      </c>
      <c r="AI26" s="85">
        <f>'Evolutive SFP'!AH11</f>
        <v>61842297.57</v>
      </c>
      <c r="AJ26" s="85">
        <f>'Evolutive SFP'!AI11</f>
        <v>62197297.57</v>
      </c>
      <c r="AK26" s="85">
        <f>'Evolutive SFP'!AJ11</f>
        <v>62552297.57</v>
      </c>
      <c r="AL26" s="85">
        <f>'Evolutive SFP'!AK11</f>
        <v>62907297.57</v>
      </c>
      <c r="AM26" s="85">
        <f>'Evolutive SFP'!AL11</f>
        <v>9191631</v>
      </c>
      <c r="AN26" s="85">
        <f>'Evolutive SFP'!AM11</f>
        <v>63262297.57</v>
      </c>
      <c r="AO26" s="85">
        <f>'Evolutive SFP'!AN11</f>
        <v>63617297.57</v>
      </c>
      <c r="AP26" s="85">
        <f>'Evolutive SFP'!AO11</f>
        <v>63972297.57</v>
      </c>
      <c r="AQ26" s="85">
        <f>'Evolutive SFP'!AP11</f>
        <v>64327297.57</v>
      </c>
      <c r="AR26" s="85">
        <f>'Evolutive SFP'!AQ11</f>
        <v>64682297.57</v>
      </c>
      <c r="AS26" s="85">
        <f>'Evolutive SFP'!AR11</f>
        <v>65037297.57</v>
      </c>
      <c r="AT26" s="85">
        <f>'Evolutive SFP'!AS11</f>
        <v>65392297.57</v>
      </c>
      <c r="AU26" s="85">
        <f>'Evolutive SFP'!AT11</f>
        <v>65747297.57</v>
      </c>
      <c r="AV26" s="85">
        <f>'Evolutive SFP'!AU11</f>
        <v>66102297.57</v>
      </c>
      <c r="AW26" s="85">
        <f>'Evolutive SFP'!AV11</f>
        <v>0</v>
      </c>
      <c r="AX26" s="85">
        <f>'Evolutive SFP'!AW11</f>
        <v>0</v>
      </c>
      <c r="AY26" s="85">
        <f>'Evolutive SFP'!AX11</f>
        <v>0</v>
      </c>
    </row>
    <row r="27" spans="1:51">
      <c r="A27" s="86" t="s">
        <v>108</v>
      </c>
      <c r="B27" s="18">
        <f>'Evolutive SFP'!B10</f>
        <v>0</v>
      </c>
      <c r="C27" s="18">
        <f>'Evolutive SFP'!B12</f>
        <v>0</v>
      </c>
      <c r="D27" s="18">
        <f>'Evolutive SFP'!C12</f>
        <v>9221631</v>
      </c>
      <c r="E27" s="18">
        <f>'Evolutive SFP'!D12</f>
        <v>9221631</v>
      </c>
      <c r="F27" s="18">
        <f>'Evolutive SFP'!E12</f>
        <v>9221631</v>
      </c>
      <c r="G27" s="18">
        <f>'Evolutive SFP'!F12</f>
        <v>9221631</v>
      </c>
      <c r="H27" s="18">
        <f>'Evolutive SFP'!G12</f>
        <v>9221631</v>
      </c>
      <c r="I27" s="18">
        <f>'Evolutive SFP'!H12</f>
        <v>9221631.3000000007</v>
      </c>
      <c r="J27" s="18">
        <f>'Evolutive SFP'!I12</f>
        <v>9221631.3000000007</v>
      </c>
      <c r="K27" s="18">
        <f>'Evolutive SFP'!J12</f>
        <v>9221631.3000000007</v>
      </c>
      <c r="L27" s="18">
        <f>'Evolutive SFP'!K12</f>
        <v>9221631</v>
      </c>
      <c r="M27" s="85">
        <f>'Evolutive SFP'!L12</f>
        <v>0</v>
      </c>
      <c r="N27" s="85">
        <f>'Evolutive SFP'!M12</f>
        <v>9221631</v>
      </c>
      <c r="O27" s="85">
        <f>'Evolutive SFP'!N12</f>
        <v>9221631</v>
      </c>
      <c r="P27" s="85">
        <f>'Evolutive SFP'!O12</f>
        <v>9221631</v>
      </c>
      <c r="Q27" s="85">
        <f>'Evolutive SFP'!P12</f>
        <v>9221631</v>
      </c>
      <c r="R27" s="85">
        <f>'Evolutive SFP'!Q12</f>
        <v>9221631</v>
      </c>
      <c r="S27" s="85">
        <f>'Evolutive SFP'!R12</f>
        <v>9221631</v>
      </c>
      <c r="T27" s="85">
        <f>'Evolutive SFP'!S12</f>
        <v>9221631</v>
      </c>
      <c r="U27" s="85">
        <f>'Evolutive SFP'!T12</f>
        <v>9221631</v>
      </c>
      <c r="V27" s="85">
        <f>'Evolutive SFP'!U12</f>
        <v>9221631</v>
      </c>
      <c r="W27" s="85">
        <f>'Evolutive SFP'!V12</f>
        <v>9221631</v>
      </c>
      <c r="X27" s="85">
        <f>'Evolutive SFP'!W12</f>
        <v>9221631</v>
      </c>
      <c r="Y27" s="85">
        <f>'Evolutive SFP'!X12</f>
        <v>9221631</v>
      </c>
      <c r="Z27" s="85">
        <f>'Evolutive SFP'!Y12</f>
        <v>71000</v>
      </c>
      <c r="AA27" s="85">
        <f>'Evolutive SFP'!Z12</f>
        <v>9221631</v>
      </c>
      <c r="AB27" s="85">
        <f>'Evolutive SFP'!AA12</f>
        <v>9221631</v>
      </c>
      <c r="AC27" s="85">
        <f>'Evolutive SFP'!AB12</f>
        <v>9221631</v>
      </c>
      <c r="AD27" s="85">
        <f>'Evolutive SFP'!AC12</f>
        <v>9221631</v>
      </c>
      <c r="AE27" s="85">
        <f>'Evolutive SFP'!AD12</f>
        <v>9221631</v>
      </c>
      <c r="AF27" s="85">
        <f>'Evolutive SFP'!AE12</f>
        <v>9221631</v>
      </c>
      <c r="AG27" s="85">
        <f>'Evolutive SFP'!AF12</f>
        <v>9221631</v>
      </c>
      <c r="AH27" s="85">
        <f>'Evolutive SFP'!AG12</f>
        <v>9221631</v>
      </c>
      <c r="AI27" s="85">
        <f>'Evolutive SFP'!AH12</f>
        <v>9221631</v>
      </c>
      <c r="AJ27" s="85">
        <f>'Evolutive SFP'!AI12</f>
        <v>9221631</v>
      </c>
      <c r="AK27" s="85">
        <f>'Evolutive SFP'!AJ12</f>
        <v>9221631</v>
      </c>
      <c r="AL27" s="85">
        <f>'Evolutive SFP'!AK12</f>
        <v>9221631</v>
      </c>
      <c r="AM27" s="85">
        <f>'Evolutive SFP'!AL12</f>
        <v>30000</v>
      </c>
      <c r="AN27" s="85">
        <f>'Evolutive SFP'!AM12</f>
        <v>9221631</v>
      </c>
      <c r="AO27" s="85">
        <f>'Evolutive SFP'!AN12</f>
        <v>9221631</v>
      </c>
      <c r="AP27" s="85">
        <f>'Evolutive SFP'!AO12</f>
        <v>9221631</v>
      </c>
      <c r="AQ27" s="85">
        <f>'Evolutive SFP'!AP12</f>
        <v>9221631</v>
      </c>
      <c r="AR27" s="85">
        <f>'Evolutive SFP'!AQ12</f>
        <v>9221631</v>
      </c>
      <c r="AS27" s="85">
        <f>'Evolutive SFP'!AR12</f>
        <v>9221631</v>
      </c>
      <c r="AT27" s="85">
        <f>'Evolutive SFP'!AS12</f>
        <v>9221631</v>
      </c>
      <c r="AU27" s="85">
        <f>'Evolutive SFP'!AT12</f>
        <v>9221631</v>
      </c>
      <c r="AV27" s="85">
        <f>'Evolutive SFP'!AU12</f>
        <v>9221631</v>
      </c>
      <c r="AW27" s="85">
        <f>'Evolutive SFP'!AV12</f>
        <v>0</v>
      </c>
      <c r="AX27" s="85">
        <f>'Evolutive SFP'!AW12</f>
        <v>0</v>
      </c>
      <c r="AY27" s="85">
        <f>'Evolutive SFP'!AX12</f>
        <v>0</v>
      </c>
    </row>
    <row r="28" spans="1:51">
      <c r="A28" s="86" t="s">
        <v>109</v>
      </c>
      <c r="B28" s="18">
        <f>'Evolutive SFP'!B11</f>
        <v>9221631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</row>
    <row r="29" spans="1:51">
      <c r="A29" s="86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</row>
    <row r="30" spans="1:51">
      <c r="A30" s="84" t="s">
        <v>110</v>
      </c>
      <c r="B30" s="18">
        <f>'Evolutive SFP'!B13</f>
        <v>360423402</v>
      </c>
      <c r="C30" s="18">
        <f>'Evolutive SFP'!B13</f>
        <v>360423402</v>
      </c>
      <c r="D30" s="18">
        <f>'Evolutive SFP'!C13</f>
        <v>357571311.06999999</v>
      </c>
      <c r="E30" s="18">
        <f>'Evolutive SFP'!D13</f>
        <v>347001111.19999999</v>
      </c>
      <c r="F30" s="18">
        <f>'Evolutive SFP'!E13</f>
        <v>340745739</v>
      </c>
      <c r="G30" s="18">
        <f>'Evolutive SFP'!F13</f>
        <v>331981703</v>
      </c>
      <c r="H30" s="18">
        <f>'Evolutive SFP'!G13</f>
        <v>324174103</v>
      </c>
      <c r="I30" s="18">
        <f>'Evolutive SFP'!H13</f>
        <v>329410987.13</v>
      </c>
      <c r="J30" s="18">
        <f>'Evolutive SFP'!I13</f>
        <v>336116704.12</v>
      </c>
      <c r="K30" s="18">
        <f>'Evolutive SFP'!J13</f>
        <v>335774504.88</v>
      </c>
      <c r="L30" s="18">
        <f>'Evolutive SFP'!K13</f>
        <v>348979749.92000002</v>
      </c>
      <c r="M30" s="85">
        <f>'Evolutive SFP'!L13</f>
        <v>365623754.80000001</v>
      </c>
      <c r="N30" s="85">
        <f>'Evolutive SFP'!M13</f>
        <v>349234577.75</v>
      </c>
      <c r="O30" s="85">
        <f>'Evolutive SFP'!N13</f>
        <v>348123930.23000002</v>
      </c>
      <c r="P30" s="85">
        <f>'Evolutive SFP'!O13</f>
        <v>355219859.41000003</v>
      </c>
      <c r="Q30" s="85">
        <f>'Evolutive SFP'!P13</f>
        <v>358239168.97000003</v>
      </c>
      <c r="R30" s="85">
        <f>'Evolutive SFP'!Q13</f>
        <v>367236053.43000001</v>
      </c>
      <c r="S30" s="85">
        <f>'Evolutive SFP'!R13</f>
        <v>366198179.72000003</v>
      </c>
      <c r="T30" s="85">
        <f>'Evolutive SFP'!S13</f>
        <v>379833660.17000002</v>
      </c>
      <c r="U30" s="85">
        <f>'Evolutive SFP'!T13</f>
        <v>380938989.94</v>
      </c>
      <c r="V30" s="85">
        <f>'Evolutive SFP'!U13</f>
        <v>378663102.68000001</v>
      </c>
      <c r="W30" s="85">
        <f>'Evolutive SFP'!V13</f>
        <v>381596815.20000005</v>
      </c>
      <c r="X30" s="85">
        <f>'Evolutive SFP'!W13</f>
        <v>382342000.67000002</v>
      </c>
      <c r="Y30" s="85">
        <f>'Evolutive SFP'!X13</f>
        <v>385155601.92000002</v>
      </c>
      <c r="Z30" s="85">
        <f>'Evolutive SFP'!Y13</f>
        <v>385155601</v>
      </c>
      <c r="AA30" s="85">
        <f>'Evolutive SFP'!Z13</f>
        <v>391802687.93000001</v>
      </c>
      <c r="AB30" s="85">
        <f>'Evolutive SFP'!AA13</f>
        <v>392305826.47000003</v>
      </c>
      <c r="AC30" s="85">
        <f>'Evolutive SFP'!AB13</f>
        <v>398457960.04000002</v>
      </c>
      <c r="AD30" s="85">
        <f>'Evolutive SFP'!AC13</f>
        <v>409731921.42000002</v>
      </c>
      <c r="AE30" s="85">
        <f>'Evolutive SFP'!AD13</f>
        <v>415807565.28000003</v>
      </c>
      <c r="AF30" s="85">
        <f>'Evolutive SFP'!AE13</f>
        <v>412444879.23000002</v>
      </c>
      <c r="AG30" s="85">
        <f>'Evolutive SFP'!AF13</f>
        <v>418985238.88</v>
      </c>
      <c r="AH30" s="85">
        <f>'Evolutive SFP'!AG13</f>
        <v>418996809.84000003</v>
      </c>
      <c r="AI30" s="85">
        <f>'Evolutive SFP'!AH13</f>
        <v>420062886.53000003</v>
      </c>
      <c r="AJ30" s="85">
        <f>'Evolutive SFP'!AI13</f>
        <v>421779219.28000003</v>
      </c>
      <c r="AK30" s="85">
        <f>'Evolutive SFP'!AJ13</f>
        <v>425220682.95000005</v>
      </c>
      <c r="AL30" s="85">
        <f>'Evolutive SFP'!AK13</f>
        <v>426716213.90999997</v>
      </c>
      <c r="AM30" s="85">
        <f>'Evolutive SFP'!AL13</f>
        <v>426716213.90999997</v>
      </c>
      <c r="AN30" s="85">
        <f>'Evolutive SFP'!AM13</f>
        <v>442408618.01999998</v>
      </c>
      <c r="AO30" s="85">
        <f>'Evolutive SFP'!AN13</f>
        <v>443355426.65999997</v>
      </c>
      <c r="AP30" s="85">
        <f>'Evolutive SFP'!AO13</f>
        <v>450314121.41999996</v>
      </c>
      <c r="AQ30" s="85">
        <f>'Evolutive SFP'!AP13</f>
        <v>464710583.12</v>
      </c>
      <c r="AR30" s="85">
        <f>'Evolutive SFP'!AQ13</f>
        <v>465314030.25999999</v>
      </c>
      <c r="AS30" s="85">
        <f>'Evolutive SFP'!AR13</f>
        <v>473134280.59999996</v>
      </c>
      <c r="AT30" s="85">
        <f>'Evolutive SFP'!AS13</f>
        <v>474754464.73999995</v>
      </c>
      <c r="AU30" s="85">
        <f>'Evolutive SFP'!AT13</f>
        <v>486338268.39999998</v>
      </c>
      <c r="AV30" s="85">
        <f>'Evolutive SFP'!AU13</f>
        <v>492396231.63</v>
      </c>
      <c r="AW30" s="85">
        <f>'Evolutive SFP'!AV13</f>
        <v>0</v>
      </c>
      <c r="AX30" s="85">
        <f>'Evolutive SFP'!AW13</f>
        <v>0</v>
      </c>
      <c r="AY30" s="85">
        <f>'Evolutive SFP'!AX13</f>
        <v>0</v>
      </c>
    </row>
    <row r="31" spans="1:51">
      <c r="A31" s="84" t="s">
        <v>111</v>
      </c>
      <c r="B31" s="18">
        <f>'Evolutive SFP'!B14</f>
        <v>369086787</v>
      </c>
      <c r="C31" s="18">
        <f>'Evolutive SFP'!B14</f>
        <v>369086787</v>
      </c>
      <c r="D31" s="18">
        <f>'Evolutive SFP'!C14</f>
        <v>366682836</v>
      </c>
      <c r="E31" s="18">
        <f>'Evolutive SFP'!D14</f>
        <v>356261966.19999999</v>
      </c>
      <c r="F31" s="18">
        <f>'Evolutive SFP'!E14</f>
        <v>350006594</v>
      </c>
      <c r="G31" s="18">
        <f>'Evolutive SFP'!F14</f>
        <v>341242558</v>
      </c>
      <c r="H31" s="18">
        <f>'Evolutive SFP'!G14</f>
        <v>333434958</v>
      </c>
      <c r="I31" s="18">
        <f>'Evolutive SFP'!H14</f>
        <v>349649600.23000002</v>
      </c>
      <c r="J31" s="18">
        <f>'Evolutive SFP'!I14</f>
        <v>356355317.22000003</v>
      </c>
      <c r="K31" s="18">
        <f>'Evolutive SFP'!J14</f>
        <v>356013117.98000002</v>
      </c>
      <c r="L31" s="18">
        <f>'Evolutive SFP'!K14</f>
        <v>376683321.13</v>
      </c>
      <c r="M31" s="85">
        <f>'Evolutive SFP'!L14</f>
        <v>393314726</v>
      </c>
      <c r="N31" s="85">
        <f>'Evolutive SFP'!M14</f>
        <v>376938148.95999998</v>
      </c>
      <c r="O31" s="85">
        <f>'Evolutive SFP'!N14</f>
        <v>375827501.44</v>
      </c>
      <c r="P31" s="85">
        <f>'Evolutive SFP'!O14</f>
        <v>382910830.62</v>
      </c>
      <c r="Q31" s="85">
        <f>'Evolutive SFP'!P14</f>
        <v>385930140.18000001</v>
      </c>
      <c r="R31" s="85">
        <f>'Evolutive SFP'!Q14</f>
        <v>394927024.63999999</v>
      </c>
      <c r="S31" s="85">
        <f>'Evolutive SFP'!R14</f>
        <v>393889150.93000001</v>
      </c>
      <c r="T31" s="85">
        <f>'Evolutive SFP'!S14</f>
        <v>407524631.38</v>
      </c>
      <c r="U31" s="85">
        <f>'Evolutive SFP'!T14</f>
        <v>408629961.14999998</v>
      </c>
      <c r="V31" s="85">
        <f>'Evolutive SFP'!U14</f>
        <v>406354073.88999999</v>
      </c>
      <c r="W31" s="85">
        <f>'Evolutive SFP'!V14</f>
        <v>409287786.41000003</v>
      </c>
      <c r="X31" s="85">
        <f>'Evolutive SFP'!W14</f>
        <v>410032971.88</v>
      </c>
      <c r="Y31" s="85">
        <f>'Evolutive SFP'!X14</f>
        <v>409379310.88</v>
      </c>
      <c r="Z31" s="85">
        <f>'Evolutive SFP'!Y14</f>
        <v>409379310</v>
      </c>
      <c r="AA31" s="85">
        <f>'Evolutive SFP'!Z14</f>
        <v>416026396.88999999</v>
      </c>
      <c r="AB31" s="85">
        <f>'Evolutive SFP'!AA14</f>
        <v>416529535.43000001</v>
      </c>
      <c r="AC31" s="85">
        <f>'Evolutive SFP'!AB14</f>
        <v>422681669</v>
      </c>
      <c r="AD31" s="85">
        <f>'Evolutive SFP'!AC14</f>
        <v>433955630.38</v>
      </c>
      <c r="AE31" s="85">
        <f>'Evolutive SFP'!AD14</f>
        <v>440031274.24000001</v>
      </c>
      <c r="AF31" s="85">
        <f>'Evolutive SFP'!AE14</f>
        <v>436668588.19</v>
      </c>
      <c r="AG31" s="85">
        <f>'Evolutive SFP'!AF14</f>
        <v>443208947.83999997</v>
      </c>
      <c r="AH31" s="85">
        <f>'Evolutive SFP'!AG14</f>
        <v>443220518.80000001</v>
      </c>
      <c r="AI31" s="85">
        <f>'Evolutive SFP'!AH14</f>
        <v>444286595.49000001</v>
      </c>
      <c r="AJ31" s="85">
        <f>'Evolutive SFP'!AI14</f>
        <v>446002928.24000001</v>
      </c>
      <c r="AK31" s="85">
        <f>'Evolutive SFP'!AJ14</f>
        <v>449444391.91000003</v>
      </c>
      <c r="AL31" s="85">
        <f>'Evolutive SFP'!AK14</f>
        <v>451176542.75999999</v>
      </c>
      <c r="AM31" s="85">
        <f>'Evolutive SFP'!AL14</f>
        <v>451176542.75999999</v>
      </c>
      <c r="AN31" s="85">
        <f>'Evolutive SFP'!AM14</f>
        <v>466868946.87</v>
      </c>
      <c r="AO31" s="85">
        <f>'Evolutive SFP'!AN14</f>
        <v>467815755.50999999</v>
      </c>
      <c r="AP31" s="85">
        <f>'Evolutive SFP'!AO14</f>
        <v>474774450.26999998</v>
      </c>
      <c r="AQ31" s="85">
        <f>'Evolutive SFP'!AP14</f>
        <v>489170911.97000003</v>
      </c>
      <c r="AR31" s="85">
        <f>'Evolutive SFP'!AQ14</f>
        <v>489774359.11000001</v>
      </c>
      <c r="AS31" s="85">
        <f>'Evolutive SFP'!AR14</f>
        <v>497594609.44999999</v>
      </c>
      <c r="AT31" s="85">
        <f>'Evolutive SFP'!AS14</f>
        <v>499214793.58999997</v>
      </c>
      <c r="AU31" s="85">
        <f>'Evolutive SFP'!AT14</f>
        <v>510798597.25</v>
      </c>
      <c r="AV31" s="85">
        <f>'Evolutive SFP'!AU14</f>
        <v>516856560.48000002</v>
      </c>
      <c r="AW31" s="85">
        <f>'Evolutive SFP'!AV14</f>
        <v>0</v>
      </c>
      <c r="AX31" s="85">
        <f>'Evolutive SFP'!AW14</f>
        <v>0</v>
      </c>
      <c r="AY31" s="85">
        <f>'Evolutive SFP'!AX14</f>
        <v>0</v>
      </c>
    </row>
    <row r="32" spans="1:51">
      <c r="A32" s="84" t="s">
        <v>112</v>
      </c>
      <c r="B32" s="18">
        <f>'Evolutive SFP'!B15</f>
        <v>8663385</v>
      </c>
      <c r="C32" s="18">
        <f>'Evolutive SFP'!B15</f>
        <v>8663385</v>
      </c>
      <c r="D32" s="18">
        <f>'Evolutive SFP'!C15</f>
        <v>9111524.9299999997</v>
      </c>
      <c r="E32" s="18">
        <f>'Evolutive SFP'!D15</f>
        <v>9260855</v>
      </c>
      <c r="F32" s="18">
        <f>'Evolutive SFP'!E15</f>
        <v>9260855</v>
      </c>
      <c r="G32" s="18">
        <f>'Evolutive SFP'!F15</f>
        <v>9260855</v>
      </c>
      <c r="H32" s="18">
        <f>'Evolutive SFP'!G15</f>
        <v>9260855</v>
      </c>
      <c r="I32" s="18">
        <f>'Evolutive SFP'!H15</f>
        <v>20238613.100000001</v>
      </c>
      <c r="J32" s="18">
        <f>'Evolutive SFP'!I15</f>
        <v>20238613.100000001</v>
      </c>
      <c r="K32" s="18">
        <f>'Evolutive SFP'!J15</f>
        <v>20238613.100000001</v>
      </c>
      <c r="L32" s="18">
        <f>'Evolutive SFP'!K15</f>
        <v>27703571.210000001</v>
      </c>
      <c r="M32" s="85">
        <f>'Evolutive SFP'!L15</f>
        <v>27690971.199999999</v>
      </c>
      <c r="N32" s="85">
        <f>'Evolutive SFP'!M15</f>
        <v>27703571.210000001</v>
      </c>
      <c r="O32" s="85">
        <f>'Evolutive SFP'!N15</f>
        <v>27703571.210000001</v>
      </c>
      <c r="P32" s="85">
        <f>'Evolutive SFP'!O15</f>
        <v>27690971.210000001</v>
      </c>
      <c r="Q32" s="85">
        <f>'Evolutive SFP'!P15</f>
        <v>27690971.210000001</v>
      </c>
      <c r="R32" s="85">
        <f>'Evolutive SFP'!Q15</f>
        <v>27690971.210000001</v>
      </c>
      <c r="S32" s="85">
        <f>'Evolutive SFP'!R15</f>
        <v>27690971.210000001</v>
      </c>
      <c r="T32" s="85">
        <f>'Evolutive SFP'!S15</f>
        <v>27690971.210000001</v>
      </c>
      <c r="U32" s="85">
        <f>'Evolutive SFP'!T15</f>
        <v>27690971.210000001</v>
      </c>
      <c r="V32" s="85">
        <f>'Evolutive SFP'!U15</f>
        <v>27690971.210000001</v>
      </c>
      <c r="W32" s="85">
        <f>'Evolutive SFP'!V15</f>
        <v>27690971.210000001</v>
      </c>
      <c r="X32" s="85">
        <f>'Evolutive SFP'!W15</f>
        <v>27690971.210000001</v>
      </c>
      <c r="Y32" s="85">
        <f>'Evolutive SFP'!X15</f>
        <v>24223708.960000001</v>
      </c>
      <c r="Z32" s="85">
        <f>'Evolutive SFP'!Y15</f>
        <v>24223709</v>
      </c>
      <c r="AA32" s="85">
        <f>'Evolutive SFP'!Z15</f>
        <v>24223708.960000001</v>
      </c>
      <c r="AB32" s="85">
        <f>'Evolutive SFP'!AA15</f>
        <v>24223708.960000001</v>
      </c>
      <c r="AC32" s="85">
        <f>'Evolutive SFP'!AB15</f>
        <v>24223708.960000001</v>
      </c>
      <c r="AD32" s="85">
        <f>'Evolutive SFP'!AC15</f>
        <v>24223708.960000001</v>
      </c>
      <c r="AE32" s="85">
        <f>'Evolutive SFP'!AD15</f>
        <v>24223708.960000001</v>
      </c>
      <c r="AF32" s="85">
        <f>'Evolutive SFP'!AE15</f>
        <v>24223708.960000001</v>
      </c>
      <c r="AG32" s="85">
        <f>'Evolutive SFP'!AF15</f>
        <v>24223708.960000001</v>
      </c>
      <c r="AH32" s="85">
        <f>'Evolutive SFP'!AG15</f>
        <v>24223708.960000001</v>
      </c>
      <c r="AI32" s="85">
        <f>'Evolutive SFP'!AH15</f>
        <v>24223708.960000001</v>
      </c>
      <c r="AJ32" s="85">
        <f>'Evolutive SFP'!AI15</f>
        <v>24223708.960000001</v>
      </c>
      <c r="AK32" s="85">
        <f>'Evolutive SFP'!AJ15</f>
        <v>24223708.960000001</v>
      </c>
      <c r="AL32" s="85">
        <f>'Evolutive SFP'!AK15</f>
        <v>24460328.850000001</v>
      </c>
      <c r="AM32" s="85">
        <f>'Evolutive SFP'!AL15</f>
        <v>24460328.850000001</v>
      </c>
      <c r="AN32" s="85">
        <f>'Evolutive SFP'!AM15</f>
        <v>24460328.850000001</v>
      </c>
      <c r="AO32" s="85">
        <f>'Evolutive SFP'!AN15</f>
        <v>24460328.850000001</v>
      </c>
      <c r="AP32" s="85">
        <f>'Evolutive SFP'!AO15</f>
        <v>24460328.850000001</v>
      </c>
      <c r="AQ32" s="85">
        <f>'Evolutive SFP'!AP15</f>
        <v>24460328.850000001</v>
      </c>
      <c r="AR32" s="85">
        <f>'Evolutive SFP'!AQ15</f>
        <v>24460328.850000001</v>
      </c>
      <c r="AS32" s="85">
        <f>'Evolutive SFP'!AR15</f>
        <v>24460328.850000001</v>
      </c>
      <c r="AT32" s="85">
        <f>'Evolutive SFP'!AS15</f>
        <v>24460328.850000001</v>
      </c>
      <c r="AU32" s="85">
        <f>'Evolutive SFP'!AT15</f>
        <v>24460328.850000001</v>
      </c>
      <c r="AV32" s="85">
        <f>'Evolutive SFP'!AU15</f>
        <v>24460328.850000001</v>
      </c>
      <c r="AW32" s="85">
        <f>'Evolutive SFP'!AV15</f>
        <v>0</v>
      </c>
      <c r="AX32" s="85">
        <f>'Evolutive SFP'!AW15</f>
        <v>0</v>
      </c>
      <c r="AY32" s="85">
        <f>'Evolutive SFP'!AX15</f>
        <v>0</v>
      </c>
    </row>
    <row r="33" spans="1:51">
      <c r="A33" s="84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</row>
    <row r="34" spans="1:51">
      <c r="A34" s="84" t="s">
        <v>113</v>
      </c>
      <c r="B34" s="18">
        <f>'Evolutive SFP'!B20+'Evolutive SFP'!B7</f>
        <v>71554902</v>
      </c>
      <c r="C34" s="18">
        <f>'Evolutive SFP'!B7+'Evolutive SFP'!B16+'Evolutive SFP'!B20</f>
        <v>71554902</v>
      </c>
      <c r="D34" s="18">
        <f>'Evolutive SFP'!C7+'Evolutive SFP'!C16+'Evolutive SFP'!C20</f>
        <v>230704854.92000002</v>
      </c>
      <c r="E34" s="18">
        <f>'Evolutive SFP'!D7+'Evolutive SFP'!D16+'Evolutive SFP'!D20</f>
        <v>235278788.53</v>
      </c>
      <c r="F34" s="18">
        <f>'Evolutive SFP'!E7+'Evolutive SFP'!E16+'Evolutive SFP'!E20</f>
        <v>237093621.09</v>
      </c>
      <c r="G34" s="18">
        <f>'Evolutive SFP'!F7+'Evolutive SFP'!F16+'Evolutive SFP'!F20</f>
        <v>237698788.38999999</v>
      </c>
      <c r="H34" s="18">
        <f>'Evolutive SFP'!G7+'Evolutive SFP'!G16+'Evolutive SFP'!G20</f>
        <v>219258612.53999999</v>
      </c>
      <c r="I34" s="18">
        <f>'Evolutive SFP'!H7+'Evolutive SFP'!H16+'Evolutive SFP'!H20</f>
        <v>233520700.55000001</v>
      </c>
      <c r="J34" s="18">
        <f>'Evolutive SFP'!I7+'Evolutive SFP'!I16+'Evolutive SFP'!I20</f>
        <v>234448197.27000001</v>
      </c>
      <c r="K34" s="18">
        <f>'Evolutive SFP'!J7+'Evolutive SFP'!J16+'Evolutive SFP'!J20</f>
        <v>235977094.92000002</v>
      </c>
      <c r="L34" s="18">
        <f>'Evolutive SFP'!K7+'Evolutive SFP'!K16+'Evolutive SFP'!K20</f>
        <v>228291309.36000001</v>
      </c>
      <c r="M34" s="85">
        <f>'Evolutive SFP'!L7+'Evolutive SFP'!L16+'Evolutive SFP'!L20</f>
        <v>90299767</v>
      </c>
      <c r="N34" s="85">
        <f>'Evolutive SFP'!M7+'Evolutive SFP'!M16+'Evolutive SFP'!M20</f>
        <v>235558189.56999999</v>
      </c>
      <c r="O34" s="85">
        <f>'Evolutive SFP'!N7+'Evolutive SFP'!N16+'Evolutive SFP'!N20</f>
        <v>235284370.93000001</v>
      </c>
      <c r="P34" s="85">
        <f>'Evolutive SFP'!O7+'Evolutive SFP'!O16+'Evolutive SFP'!O20</f>
        <v>236396836.11999997</v>
      </c>
      <c r="Q34" s="85">
        <f>'Evolutive SFP'!P7+'Evolutive SFP'!P16+'Evolutive SFP'!P20</f>
        <v>229339145.47999996</v>
      </c>
      <c r="R34" s="85">
        <f>'Evolutive SFP'!Q7+'Evolutive SFP'!Q16+'Evolutive SFP'!Q20</f>
        <v>238511238.40999997</v>
      </c>
      <c r="S34" s="85">
        <f>'Evolutive SFP'!R7+'Evolutive SFP'!R16+'Evolutive SFP'!R20</f>
        <v>236784448.50999999</v>
      </c>
      <c r="T34" s="85">
        <f>'Evolutive SFP'!S7+'Evolutive SFP'!S16+'Evolutive SFP'!S20</f>
        <v>246816893.22999999</v>
      </c>
      <c r="U34" s="85">
        <f>'Evolutive SFP'!T7+'Evolutive SFP'!T16+'Evolutive SFP'!T20</f>
        <v>250771786.13</v>
      </c>
      <c r="V34" s="85">
        <f>'Evolutive SFP'!U7+'Evolutive SFP'!U16+'Evolutive SFP'!U20</f>
        <v>248709867.53</v>
      </c>
      <c r="W34" s="85">
        <f>'Evolutive SFP'!V7+'Evolutive SFP'!V16+'Evolutive SFP'!V20</f>
        <v>254740498.38</v>
      </c>
      <c r="X34" s="85">
        <f>'Evolutive SFP'!W7+'Evolutive SFP'!W16+'Evolutive SFP'!W20</f>
        <v>256592498.80000001</v>
      </c>
      <c r="Y34" s="85">
        <f>'Evolutive SFP'!X7+'Evolutive SFP'!X16+'Evolutive SFP'!X20</f>
        <v>256157617.44999999</v>
      </c>
      <c r="Z34" s="85">
        <f>'Evolutive SFP'!Y7+'Evolutive SFP'!Y16+'Evolutive SFP'!Y20</f>
        <v>252782324.09999999</v>
      </c>
      <c r="AA34" s="85">
        <f>'Evolutive SFP'!Z7+'Evolutive SFP'!Z16+'Evolutive SFP'!Z20</f>
        <v>250842550.94999999</v>
      </c>
      <c r="AB34" s="85">
        <f>'Evolutive SFP'!AA7+'Evolutive SFP'!AA16+'Evolutive SFP'!AA20</f>
        <v>254941244.25999999</v>
      </c>
      <c r="AC34" s="85">
        <f>'Evolutive SFP'!AB7+'Evolutive SFP'!AB16+'Evolutive SFP'!AB20</f>
        <v>248237347.21000004</v>
      </c>
      <c r="AD34" s="85">
        <f>'Evolutive SFP'!AC7+'Evolutive SFP'!AC16+'Evolutive SFP'!AC20</f>
        <v>247780031.96000004</v>
      </c>
      <c r="AE34" s="85">
        <f>'Evolutive SFP'!AD7+'Evolutive SFP'!AD16+'Evolutive SFP'!AD20</f>
        <v>241315261.31000003</v>
      </c>
      <c r="AF34" s="85">
        <f>'Evolutive SFP'!AE7+'Evolutive SFP'!AE16+'Evolutive SFP'!AE20</f>
        <v>228224931.81000003</v>
      </c>
      <c r="AG34" s="85">
        <f>'Evolutive SFP'!AF7+'Evolutive SFP'!AF16+'Evolutive SFP'!AF20</f>
        <v>243722737.16000003</v>
      </c>
      <c r="AH34" s="85">
        <f>'Evolutive SFP'!AG7+'Evolutive SFP'!AG16+'Evolutive SFP'!AG20</f>
        <v>251164719.21000004</v>
      </c>
      <c r="AI34" s="85">
        <f>'Evolutive SFP'!AH7+'Evolutive SFP'!AH16+'Evolutive SFP'!AH20</f>
        <v>246566105.89000005</v>
      </c>
      <c r="AJ34" s="85">
        <f>'Evolutive SFP'!AI7+'Evolutive SFP'!AI16+'Evolutive SFP'!AI20</f>
        <v>249230828.69000003</v>
      </c>
      <c r="AK34" s="85">
        <f>'Evolutive SFP'!AJ7+'Evolutive SFP'!AJ16+'Evolutive SFP'!AJ20</f>
        <v>243507698.82000002</v>
      </c>
      <c r="AL34" s="85">
        <f>'Evolutive SFP'!AK7+'Evolutive SFP'!AK16+'Evolutive SFP'!AK20</f>
        <v>240993497.99000001</v>
      </c>
      <c r="AM34" s="85">
        <f>'Evolutive SFP'!AL7+'Evolutive SFP'!AL16+'Evolutive SFP'!AL20</f>
        <v>253435064.79000002</v>
      </c>
      <c r="AN34" s="85">
        <f>'Evolutive SFP'!AM7+'Evolutive SFP'!AM16+'Evolutive SFP'!AM20</f>
        <v>245777036.51000002</v>
      </c>
      <c r="AO34" s="85">
        <f>'Evolutive SFP'!AN7+'Evolutive SFP'!AN16+'Evolutive SFP'!AN20</f>
        <v>244838343.38000003</v>
      </c>
      <c r="AP34" s="85">
        <f>'Evolutive SFP'!AO7+'Evolutive SFP'!AO16+'Evolutive SFP'!AO20</f>
        <v>242411220.27000001</v>
      </c>
      <c r="AQ34" s="85">
        <f>'Evolutive SFP'!AP7+'Evolutive SFP'!AP16+'Evolutive SFP'!AP20</f>
        <v>231277991.51000002</v>
      </c>
      <c r="AR34" s="85">
        <f>'Evolutive SFP'!AQ7+'Evolutive SFP'!AQ16+'Evolutive SFP'!AQ20</f>
        <v>245001895.12</v>
      </c>
      <c r="AS34" s="85">
        <f>'Evolutive SFP'!AR7+'Evolutive SFP'!AR16+'Evolutive SFP'!AR20</f>
        <v>225640650.22000003</v>
      </c>
      <c r="AT34" s="85">
        <f>'Evolutive SFP'!AS7+'Evolutive SFP'!AS16+'Evolutive SFP'!AS20</f>
        <v>247411002.43000001</v>
      </c>
      <c r="AU34" s="85">
        <f>'Evolutive SFP'!AT7+'Evolutive SFP'!AT16+'Evolutive SFP'!AT20</f>
        <v>251662153.93000001</v>
      </c>
      <c r="AV34" s="85">
        <f>'Evolutive SFP'!AU7+'Evolutive SFP'!AU16+'Evolutive SFP'!AU20</f>
        <v>252034986.75</v>
      </c>
      <c r="AW34" s="85">
        <f>'Evolutive SFP'!AV7+'Evolutive SFP'!AV16+'Evolutive SFP'!AV20</f>
        <v>0</v>
      </c>
      <c r="AX34" s="85">
        <f>'Evolutive SFP'!AW7+'Evolutive SFP'!AW16+'Evolutive SFP'!AW20</f>
        <v>0</v>
      </c>
      <c r="AY34" s="85">
        <f>'Evolutive SFP'!AX7+'Evolutive SFP'!AX16+'Evolutive SFP'!AX20</f>
        <v>0</v>
      </c>
    </row>
    <row r="35" spans="1:51">
      <c r="A35" s="84" t="s">
        <v>22</v>
      </c>
      <c r="B35" s="18">
        <f>'Evolutive SFP'!B22</f>
        <v>23963774</v>
      </c>
      <c r="C35" s="18">
        <f>'Evolutive SFP'!B22</f>
        <v>23963774</v>
      </c>
      <c r="D35" s="18">
        <f>'Evolutive SFP'!C22</f>
        <v>22863775</v>
      </c>
      <c r="E35" s="18">
        <f>'Evolutive SFP'!D22</f>
        <v>22863775</v>
      </c>
      <c r="F35" s="18">
        <f>'Evolutive SFP'!E22</f>
        <v>22863775</v>
      </c>
      <c r="G35" s="18">
        <f>'Evolutive SFP'!F22</f>
        <v>22863775</v>
      </c>
      <c r="H35" s="18">
        <f>'Evolutive SFP'!G22</f>
        <v>22863775</v>
      </c>
      <c r="I35" s="18">
        <f>'Evolutive SFP'!H22</f>
        <v>23946128.199999999</v>
      </c>
      <c r="J35" s="18">
        <f>'Evolutive SFP'!I22</f>
        <v>24674502.719999999</v>
      </c>
      <c r="K35" s="18">
        <f>'Evolutive SFP'!J22</f>
        <v>24674502.719999999</v>
      </c>
      <c r="L35" s="18">
        <f>'Evolutive SFP'!K22</f>
        <v>25397131.719999999</v>
      </c>
      <c r="M35" s="85">
        <f>'Evolutive SFP'!L22</f>
        <v>23660693</v>
      </c>
      <c r="N35" s="85">
        <f>'Evolutive SFP'!M22</f>
        <v>26062031.719999999</v>
      </c>
      <c r="O35" s="85">
        <f>'Evolutive SFP'!N22</f>
        <v>24547048.77</v>
      </c>
      <c r="P35" s="85">
        <f>'Evolutive SFP'!O22</f>
        <v>24594848.77</v>
      </c>
      <c r="Q35" s="85">
        <f>'Evolutive SFP'!P22</f>
        <v>24594848.77</v>
      </c>
      <c r="R35" s="85">
        <f>'Evolutive SFP'!Q22</f>
        <v>24820148.77</v>
      </c>
      <c r="S35" s="85">
        <f>'Evolutive SFP'!R22</f>
        <v>25138438.77</v>
      </c>
      <c r="T35" s="85">
        <f>'Evolutive SFP'!S22</f>
        <v>25146038.77</v>
      </c>
      <c r="U35" s="85">
        <f>'Evolutive SFP'!T22</f>
        <v>25193738.77</v>
      </c>
      <c r="V35" s="85">
        <f>'Evolutive SFP'!U22</f>
        <v>25555778.77</v>
      </c>
      <c r="W35" s="85">
        <f>'Evolutive SFP'!V22</f>
        <v>25555778.77</v>
      </c>
      <c r="X35" s="85">
        <f>'Evolutive SFP'!W22</f>
        <v>25555778.77</v>
      </c>
      <c r="Y35" s="85">
        <f>'Evolutive SFP'!X22</f>
        <v>25577678.77</v>
      </c>
      <c r="Z35" s="85">
        <f>'Evolutive SFP'!Y22</f>
        <v>22963419.199999999</v>
      </c>
      <c r="AA35" s="85">
        <f>'Evolutive SFP'!Z22</f>
        <v>25639208.77</v>
      </c>
      <c r="AB35" s="85">
        <f>'Evolutive SFP'!AA22</f>
        <v>25639208.77</v>
      </c>
      <c r="AC35" s="85">
        <f>'Evolutive SFP'!AB22</f>
        <v>23024949.52</v>
      </c>
      <c r="AD35" s="85">
        <f>'Evolutive SFP'!AC22</f>
        <v>23024949.52</v>
      </c>
      <c r="AE35" s="85">
        <f>'Evolutive SFP'!AD22</f>
        <v>23525649.52</v>
      </c>
      <c r="AF35" s="85">
        <f>'Evolutive SFP'!AE22</f>
        <v>23525649.52</v>
      </c>
      <c r="AG35" s="85">
        <f>'Evolutive SFP'!AF22</f>
        <v>23525649.52</v>
      </c>
      <c r="AH35" s="85">
        <f>'Evolutive SFP'!AG22</f>
        <v>23525649.52</v>
      </c>
      <c r="AI35" s="85">
        <f>'Evolutive SFP'!AH22</f>
        <v>23525649.52</v>
      </c>
      <c r="AJ35" s="85">
        <f>'Evolutive SFP'!AI22</f>
        <v>23525649.52</v>
      </c>
      <c r="AK35" s="85">
        <f>'Evolutive SFP'!AJ22</f>
        <v>23686649.52</v>
      </c>
      <c r="AL35" s="85">
        <f>'Evolutive SFP'!AK22</f>
        <v>23686649.52</v>
      </c>
      <c r="AM35" s="85">
        <f>'Evolutive SFP'!AL22</f>
        <v>21262616.149999999</v>
      </c>
      <c r="AN35" s="85">
        <f>'Evolutive SFP'!AM22</f>
        <v>23686649.52</v>
      </c>
      <c r="AO35" s="85">
        <f>'Evolutive SFP'!AN22</f>
        <v>23850349.52</v>
      </c>
      <c r="AP35" s="85">
        <f>'Evolutive SFP'!AO22</f>
        <v>21478316.469999999</v>
      </c>
      <c r="AQ35" s="85">
        <f>'Evolutive SFP'!AP22</f>
        <v>21478316.469999999</v>
      </c>
      <c r="AR35" s="85">
        <f>'Evolutive SFP'!AQ22</f>
        <v>21478316.469999999</v>
      </c>
      <c r="AS35" s="85">
        <f>'Evolutive SFP'!AR22</f>
        <v>21478316.469999999</v>
      </c>
      <c r="AT35" s="85">
        <f>'Evolutive SFP'!AS22</f>
        <v>24678316.469999999</v>
      </c>
      <c r="AU35" s="85">
        <f>'Evolutive SFP'!AT22</f>
        <v>24969746.469999999</v>
      </c>
      <c r="AV35" s="85">
        <f>'Evolutive SFP'!AU22</f>
        <v>24969746.469999999</v>
      </c>
      <c r="AW35" s="85">
        <f>'Evolutive SFP'!AV22</f>
        <v>0</v>
      </c>
      <c r="AX35" s="85">
        <f>'Evolutive SFP'!AW22</f>
        <v>0</v>
      </c>
      <c r="AY35" s="85">
        <f>'Evolutive SFP'!AX22</f>
        <v>0</v>
      </c>
    </row>
    <row r="36" spans="1:51">
      <c r="A36" s="84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</row>
    <row r="37" spans="1:51">
      <c r="A37" s="84" t="s">
        <v>114</v>
      </c>
      <c r="B37" s="18" t="e">
        <f t="shared" ref="B37:M37" si="25">B38+B39+B40+B41</f>
        <v>#REF!</v>
      </c>
      <c r="C37" s="18">
        <f t="shared" si="25"/>
        <v>96487681</v>
      </c>
      <c r="D37" s="18">
        <f t="shared" si="25"/>
        <v>12861102.9</v>
      </c>
      <c r="E37" s="18">
        <f t="shared" si="25"/>
        <v>26935221.280000001</v>
      </c>
      <c r="F37" s="18">
        <f t="shared" si="25"/>
        <v>34915525.280000001</v>
      </c>
      <c r="G37" s="18">
        <f t="shared" si="25"/>
        <v>42684260.160000004</v>
      </c>
      <c r="H37" s="18">
        <f t="shared" si="25"/>
        <v>50417367.450000003</v>
      </c>
      <c r="I37" s="18">
        <f t="shared" si="25"/>
        <v>75135051.900000006</v>
      </c>
      <c r="J37" s="18">
        <f t="shared" si="25"/>
        <v>84769010.639999986</v>
      </c>
      <c r="K37" s="18">
        <f t="shared" si="25"/>
        <v>94320819.019999996</v>
      </c>
      <c r="L37" s="18">
        <f t="shared" si="25"/>
        <v>103826932.19999999</v>
      </c>
      <c r="M37" s="85">
        <f t="shared" si="25"/>
        <v>96030176</v>
      </c>
      <c r="N37" s="85">
        <f>N38+N39+N40+N41</f>
        <v>6800501.21</v>
      </c>
      <c r="O37" s="85">
        <f>O38+O39+O40+O41</f>
        <v>14356346.869999999</v>
      </c>
      <c r="P37" s="85">
        <f>P38+P39+P40+P41</f>
        <v>24326484.630000003</v>
      </c>
      <c r="Q37" s="85">
        <f t="shared" ref="Q37:Z37" si="26">Q38+Q39+Q40+Q41</f>
        <v>32536175.890000001</v>
      </c>
      <c r="R37" s="85">
        <f t="shared" si="26"/>
        <v>41216849.57</v>
      </c>
      <c r="S37" s="85">
        <f t="shared" si="26"/>
        <v>49323829.080000006</v>
      </c>
      <c r="T37" s="85">
        <f t="shared" si="26"/>
        <v>58941045.469999999</v>
      </c>
      <c r="U37" s="85">
        <f t="shared" si="26"/>
        <v>67435391.400000006</v>
      </c>
      <c r="V37" s="85">
        <f t="shared" si="26"/>
        <v>75773154.849999994</v>
      </c>
      <c r="W37" s="85">
        <f t="shared" si="26"/>
        <v>84393849.349999994</v>
      </c>
      <c r="X37" s="85">
        <f t="shared" si="26"/>
        <v>92468436.149999991</v>
      </c>
      <c r="Y37" s="85">
        <f t="shared" si="26"/>
        <v>115998953.38</v>
      </c>
      <c r="Z37" s="85">
        <f t="shared" si="26"/>
        <v>115999152</v>
      </c>
      <c r="AA37" s="85">
        <f t="shared" ref="AA37:AK37" si="27">AA38+AA39+AA40+AA41</f>
        <v>8219788.5099999998</v>
      </c>
      <c r="AB37" s="85">
        <f t="shared" si="27"/>
        <v>15809769.960000001</v>
      </c>
      <c r="AC37" s="85">
        <f t="shared" si="27"/>
        <v>27639899.23</v>
      </c>
      <c r="AD37" s="85">
        <f t="shared" si="27"/>
        <v>37098704.719999999</v>
      </c>
      <c r="AE37" s="85">
        <f t="shared" si="27"/>
        <v>46591552.450000003</v>
      </c>
      <c r="AF37" s="85">
        <f t="shared" si="27"/>
        <v>54168553.770000003</v>
      </c>
      <c r="AG37" s="85">
        <f t="shared" si="27"/>
        <v>58386852.579999998</v>
      </c>
      <c r="AH37" s="85">
        <f t="shared" si="27"/>
        <v>70535601.829999998</v>
      </c>
      <c r="AI37" s="85">
        <f t="shared" si="27"/>
        <v>76546466.569999993</v>
      </c>
      <c r="AJ37" s="85">
        <f t="shared" si="27"/>
        <v>83601597.179999992</v>
      </c>
      <c r="AK37" s="85">
        <f t="shared" si="27"/>
        <v>89057893.079999998</v>
      </c>
      <c r="AL37" s="85">
        <f t="shared" ref="AL37:AM37" si="28">AL38+AL39+AL40+AL41</f>
        <v>112226371.92999999</v>
      </c>
      <c r="AM37" s="85">
        <f t="shared" si="28"/>
        <v>111758660</v>
      </c>
      <c r="AN37" s="85">
        <f t="shared" ref="AN37:AP37" si="29">AN38+AN39+AN40+AN41</f>
        <v>7585741.6900000004</v>
      </c>
      <c r="AO37" s="85">
        <f t="shared" si="29"/>
        <v>15531027.439999999</v>
      </c>
      <c r="AP37" s="85">
        <f t="shared" si="29"/>
        <v>25365040.079999998</v>
      </c>
      <c r="AQ37" s="85">
        <f t="shared" ref="AQ37:AY37" si="30">AQ38+AQ39+AQ40+AQ41</f>
        <v>32117165.349999998</v>
      </c>
      <c r="AR37" s="85">
        <f t="shared" si="30"/>
        <v>44233858.150000006</v>
      </c>
      <c r="AS37" s="85">
        <f t="shared" si="30"/>
        <v>52191174.640000001</v>
      </c>
      <c r="AT37" s="85">
        <f t="shared" si="30"/>
        <v>60272072.170000002</v>
      </c>
      <c r="AU37" s="85">
        <f t="shared" si="30"/>
        <v>68543600.219999999</v>
      </c>
      <c r="AV37" s="85">
        <f t="shared" si="30"/>
        <v>77624275.019999996</v>
      </c>
      <c r="AW37" s="85">
        <f t="shared" si="30"/>
        <v>0</v>
      </c>
      <c r="AX37" s="85">
        <f t="shared" si="30"/>
        <v>0</v>
      </c>
      <c r="AY37" s="85">
        <f t="shared" si="30"/>
        <v>0</v>
      </c>
    </row>
    <row r="38" spans="1:51">
      <c r="A38" s="84" t="s">
        <v>115</v>
      </c>
      <c r="B38" s="18" t="e">
        <f>'Evolutitve SCI'!#REF!</f>
        <v>#REF!</v>
      </c>
      <c r="C38" s="18">
        <f>'Evolutitve SCI'!B5</f>
        <v>77566990</v>
      </c>
      <c r="D38" s="18">
        <f>'Evolutitve SCI'!C5</f>
        <v>6732613.4000000004</v>
      </c>
      <c r="E38" s="18">
        <f>'Evolutitve SCI'!D5</f>
        <v>19015406.440000001</v>
      </c>
      <c r="F38" s="18">
        <f>'Evolutitve SCI'!E5</f>
        <v>24439883.739999998</v>
      </c>
      <c r="G38" s="18">
        <f>'Evolutitve SCI'!F5</f>
        <v>30141957.789999999</v>
      </c>
      <c r="H38" s="18">
        <f>'Evolutitve SCI'!G5</f>
        <v>35979617.68</v>
      </c>
      <c r="I38" s="18">
        <f>'Evolutitve SCI'!H5</f>
        <v>53936454.560000002</v>
      </c>
      <c r="J38" s="18">
        <f>'Evolutitve SCI'!I5</f>
        <v>60560876.460000001</v>
      </c>
      <c r="K38" s="18">
        <f>'Evolutitve SCI'!J5</f>
        <v>66932004.119999997</v>
      </c>
      <c r="L38" s="18">
        <f>'Evolutitve SCI'!K5</f>
        <v>72832193.629999995</v>
      </c>
      <c r="M38" s="85">
        <f>'Evolutitve SCI'!L5</f>
        <v>75449048</v>
      </c>
      <c r="N38" s="85">
        <f>'Evolutitve SCI'!M5</f>
        <v>6276569.21</v>
      </c>
      <c r="O38" s="85">
        <f>'Evolutitve SCI'!N5</f>
        <v>13209014.369999999</v>
      </c>
      <c r="P38" s="85">
        <f>'Evolutitve SCI'!O5</f>
        <v>20411141.550000001</v>
      </c>
      <c r="Q38" s="85">
        <f>'Evolutitve SCI'!P5</f>
        <v>27727065.329999998</v>
      </c>
      <c r="R38" s="85">
        <f>'Evolutitve SCI'!Q5</f>
        <v>35762504.509999998</v>
      </c>
      <c r="S38" s="85">
        <f>'Evolutitve SCI'!R5</f>
        <v>43141143.020000003</v>
      </c>
      <c r="T38" s="85">
        <f>'Evolutitve SCI'!S5</f>
        <v>51508820.259999998</v>
      </c>
      <c r="U38" s="85">
        <f>'Evolutitve SCI'!T5</f>
        <v>59246777.740000002</v>
      </c>
      <c r="V38" s="85">
        <f>'Evolutitve SCI'!U5</f>
        <v>66917748.189999998</v>
      </c>
      <c r="W38" s="85">
        <f>'Evolutitve SCI'!V5</f>
        <v>74752208.689999998</v>
      </c>
      <c r="X38" s="85">
        <f>'Evolutitve SCI'!W5</f>
        <v>82125926.989999995</v>
      </c>
      <c r="Y38" s="85">
        <f>'Evolutitve SCI'!X5</f>
        <v>90279888.469999999</v>
      </c>
      <c r="Z38" s="85">
        <f>'Evolutitve SCI'!Y5</f>
        <v>90924708</v>
      </c>
      <c r="AA38" s="85">
        <f>'Evolutitve SCI'!Z5</f>
        <v>7101003.0099999998</v>
      </c>
      <c r="AB38" s="85">
        <f>'Evolutitve SCI'!AA5</f>
        <v>14133425.07</v>
      </c>
      <c r="AC38" s="85">
        <f>'Evolutitve SCI'!AB5</f>
        <v>22523118.890000001</v>
      </c>
      <c r="AD38" s="85">
        <f>'Evolutitve SCI'!AC5</f>
        <v>31123896.379999999</v>
      </c>
      <c r="AE38" s="85">
        <f>'Evolutitve SCI'!AD5</f>
        <v>39848384.609999999</v>
      </c>
      <c r="AF38" s="85">
        <f>'Evolutitve SCI'!AE5</f>
        <v>46604783.130000003</v>
      </c>
      <c r="AG38" s="85">
        <f>'Evolutitve SCI'!AF5</f>
        <v>50134502.939999998</v>
      </c>
      <c r="AH38" s="85">
        <f>'Evolutitve SCI'!AG5</f>
        <v>61629314.689999998</v>
      </c>
      <c r="AI38" s="85">
        <f>'Evolutitve SCI'!AH5</f>
        <v>66891278.93</v>
      </c>
      <c r="AJ38" s="85">
        <f>'Evolutitve SCI'!AI5</f>
        <v>73429223.239999995</v>
      </c>
      <c r="AK38" s="85">
        <f>'Evolutitve SCI'!AJ5</f>
        <v>76893658.140000001</v>
      </c>
      <c r="AL38" s="85">
        <f>'Evolutitve SCI'!AK5</f>
        <v>86721718.989999995</v>
      </c>
      <c r="AM38" s="85">
        <f>'Evolutitve SCI'!AL5</f>
        <v>86721720</v>
      </c>
      <c r="AN38" s="85">
        <f>'Evolutitve SCI'!AM5</f>
        <v>6924024.6900000004</v>
      </c>
      <c r="AO38" s="85">
        <f>'Evolutitve SCI'!AN5</f>
        <v>13986054.99</v>
      </c>
      <c r="AP38" s="85">
        <f>'Evolutitve SCI'!AO5</f>
        <v>21833611.629999999</v>
      </c>
      <c r="AQ38" s="85">
        <f>'Evolutitve SCI'!AP5</f>
        <v>27929546.399999999</v>
      </c>
      <c r="AR38" s="85">
        <f>'Evolutitve SCI'!AQ5</f>
        <v>36881736.200000003</v>
      </c>
      <c r="AS38" s="85">
        <f>'Evolutitve SCI'!AR5</f>
        <v>44059875.740000002</v>
      </c>
      <c r="AT38" s="85">
        <f>'Evolutitve SCI'!AS5</f>
        <v>51189565.369999997</v>
      </c>
      <c r="AU38" s="85">
        <f>'Evolutitve SCI'!AT5</f>
        <v>58666438.920000002</v>
      </c>
      <c r="AV38" s="85">
        <f>'Evolutitve SCI'!AU5</f>
        <v>66918164.119999997</v>
      </c>
      <c r="AW38" s="85">
        <f>'Evolutitve SCI'!AV5</f>
        <v>0</v>
      </c>
      <c r="AX38" s="85">
        <f>'Evolutitve SCI'!AW5</f>
        <v>0</v>
      </c>
      <c r="AY38" s="85">
        <f>'Evolutitve SCI'!AX5</f>
        <v>0</v>
      </c>
    </row>
    <row r="39" spans="1:51">
      <c r="A39" s="84" t="s">
        <v>116</v>
      </c>
      <c r="B39" s="18" t="e">
        <f>'Evolutitve SCI'!#REF!</f>
        <v>#REF!</v>
      </c>
      <c r="C39" s="18">
        <f>'Evolutitve SCI'!B7</f>
        <v>18920691</v>
      </c>
      <c r="D39" s="18">
        <f>'Evolutitve SCI'!C7</f>
        <v>5025383.4000000004</v>
      </c>
      <c r="E39" s="18">
        <f>'Evolutitve SCI'!D7</f>
        <v>5622692.2400000002</v>
      </c>
      <c r="F39" s="18">
        <f>'Evolutitve SCI'!E7</f>
        <v>7863496.3399999999</v>
      </c>
      <c r="G39" s="18">
        <f>'Evolutitve SCI'!F7</f>
        <v>9732204.6699999999</v>
      </c>
      <c r="H39" s="18">
        <f>'Evolutitve SCI'!G7</f>
        <v>11050546.07</v>
      </c>
      <c r="I39" s="18">
        <f>'Evolutitve SCI'!H7</f>
        <v>15778459.940000001</v>
      </c>
      <c r="J39" s="18">
        <f>'Evolutitve SCI'!I7</f>
        <v>17741687.079999998</v>
      </c>
      <c r="K39" s="18">
        <f>'Evolutitve SCI'!J7</f>
        <v>19922185.600000001</v>
      </c>
      <c r="L39" s="18">
        <f>'Evolutitve SCI'!K7</f>
        <v>22669159.969999999</v>
      </c>
      <c r="M39" s="85">
        <f>'Evolutitve SCI'!L7</f>
        <v>20581128</v>
      </c>
      <c r="N39" s="85">
        <f>'Evolutitve SCI'!M7</f>
        <v>495632</v>
      </c>
      <c r="O39" s="85">
        <f>'Evolutitve SCI'!N7</f>
        <v>1085832.5</v>
      </c>
      <c r="P39" s="85">
        <f>'Evolutitve SCI'!O7</f>
        <v>3809643.08</v>
      </c>
      <c r="Q39" s="85">
        <f>'Evolutitve SCI'!P7</f>
        <v>4662310.5600000005</v>
      </c>
      <c r="R39" s="85">
        <f>'Evolutitve SCI'!Q7</f>
        <v>5253345.0600000005</v>
      </c>
      <c r="S39" s="85">
        <f>'Evolutitve SCI'!R7</f>
        <v>5949386.0600000005</v>
      </c>
      <c r="T39" s="85">
        <f>'Evolutitve SCI'!S7</f>
        <v>7135025.209999999</v>
      </c>
      <c r="U39" s="85">
        <f>'Evolutitve SCI'!T7</f>
        <v>7847313.6600000001</v>
      </c>
      <c r="V39" s="85">
        <f>'Evolutitve SCI'!U7</f>
        <v>8480006.6600000001</v>
      </c>
      <c r="W39" s="85">
        <f>'Evolutitve SCI'!V7</f>
        <v>9220240.6600000001</v>
      </c>
      <c r="X39" s="85">
        <f>'Evolutitve SCI'!W7</f>
        <v>9881609.1600000001</v>
      </c>
      <c r="Y39" s="85">
        <f>'Evolutitve SCI'!X7</f>
        <v>25215364.91</v>
      </c>
      <c r="Z39" s="85">
        <f>'Evolutitve SCI'!Y7</f>
        <v>25074444</v>
      </c>
      <c r="AA39" s="85">
        <f>'Evolutitve SCI'!Z7</f>
        <v>1076585.5</v>
      </c>
      <c r="AB39" s="85">
        <f>'Evolutitve SCI'!AA7</f>
        <v>1600144.8900000001</v>
      </c>
      <c r="AC39" s="85">
        <f>'Evolutitve SCI'!AB7</f>
        <v>4992680.34</v>
      </c>
      <c r="AD39" s="85">
        <f>'Evolutitve SCI'!AC7</f>
        <v>5789608.3399999999</v>
      </c>
      <c r="AE39" s="85">
        <f>'Evolutitve SCI'!AD7</f>
        <v>6504267.8399999999</v>
      </c>
      <c r="AF39" s="85">
        <f>'Evolutitve SCI'!AE7</f>
        <v>7289370.6400000006</v>
      </c>
      <c r="AG39" s="85">
        <f>'Evolutitve SCI'!AF7</f>
        <v>7926649.6400000006</v>
      </c>
      <c r="AH39" s="85">
        <f>'Evolutitve SCI'!AG7</f>
        <v>8538087.1400000006</v>
      </c>
      <c r="AI39" s="85">
        <f>'Evolutitve SCI'!AH7</f>
        <v>9243587.6400000006</v>
      </c>
      <c r="AJ39" s="85">
        <f>'Evolutitve SCI'!AI7</f>
        <v>9715973.9400000013</v>
      </c>
      <c r="AK39" s="85">
        <f>'Evolutitve SCI'!AJ7</f>
        <v>11663434.940000001</v>
      </c>
      <c r="AL39" s="85">
        <f>'Evolutitve SCI'!AK7</f>
        <v>24963752.939999998</v>
      </c>
      <c r="AM39" s="85">
        <f>'Evolutitve SCI'!AL7</f>
        <v>24496040</v>
      </c>
      <c r="AN39" s="85">
        <f>'Evolutitve SCI'!AM7</f>
        <v>596917</v>
      </c>
      <c r="AO39" s="85">
        <f>'Evolutitve SCI'!AN7</f>
        <v>1434972.45</v>
      </c>
      <c r="AP39" s="85">
        <f>'Evolutitve SCI'!AO7</f>
        <v>3363328.45</v>
      </c>
      <c r="AQ39" s="85">
        <f>'Evolutitve SCI'!AP7</f>
        <v>3953818.95</v>
      </c>
      <c r="AR39" s="85">
        <f>'Evolutitve SCI'!AQ7</f>
        <v>7021521.9500000002</v>
      </c>
      <c r="AS39" s="85">
        <f>'Evolutitve SCI'!AR7</f>
        <v>7728778.9000000004</v>
      </c>
      <c r="AT39" s="85">
        <f>'Evolutitve SCI'!AS7</f>
        <v>8622086.8000000007</v>
      </c>
      <c r="AU39" s="85">
        <f>'Evolutitve SCI'!AT7</f>
        <v>9333811.3000000007</v>
      </c>
      <c r="AV39" s="85">
        <f>'Evolutitve SCI'!AU7</f>
        <v>10107950.899999999</v>
      </c>
      <c r="AW39" s="85">
        <f>'Evolutitve SCI'!AV7</f>
        <v>0</v>
      </c>
      <c r="AX39" s="85">
        <f>'Evolutitve SCI'!AW7</f>
        <v>0</v>
      </c>
      <c r="AY39" s="85">
        <f>'Evolutitve SCI'!AX7</f>
        <v>0</v>
      </c>
    </row>
    <row r="40" spans="1:51">
      <c r="A40" s="84" t="s">
        <v>117</v>
      </c>
      <c r="B40" s="18" t="e">
        <f>'Evolutitve SCI'!#REF!</f>
        <v>#REF!</v>
      </c>
      <c r="C40" s="18">
        <f>'Evolutitve SCI'!B6</f>
        <v>0</v>
      </c>
      <c r="D40" s="18">
        <f>'Evolutitve SCI'!C6</f>
        <v>1103106.1000000001</v>
      </c>
      <c r="E40" s="18">
        <f>'Evolutitve SCI'!D6</f>
        <v>2297122.6</v>
      </c>
      <c r="F40" s="18">
        <f>'Evolutitve SCI'!E6</f>
        <v>2612145.2000000002</v>
      </c>
      <c r="G40" s="18">
        <f>'Evolutitve SCI'!F6</f>
        <v>2810097.7</v>
      </c>
      <c r="H40" s="18">
        <f>'Evolutitve SCI'!G6</f>
        <v>3387203.7</v>
      </c>
      <c r="I40" s="18">
        <f>'Evolutitve SCI'!H6</f>
        <v>5420137.4000000004</v>
      </c>
      <c r="J40" s="18">
        <f>'Evolutitve SCI'!I6</f>
        <v>6466447.0999999996</v>
      </c>
      <c r="K40" s="18">
        <f>'Evolutitve SCI'!J6</f>
        <v>7466629.2999999998</v>
      </c>
      <c r="L40" s="18">
        <f>'Evolutitve SCI'!K6</f>
        <v>8325578.5999999996</v>
      </c>
      <c r="M40" s="85">
        <f>'Evolutitve SCI'!L6</f>
        <v>0</v>
      </c>
      <c r="N40" s="85">
        <f>'Evolutitve SCI'!M6</f>
        <v>28300</v>
      </c>
      <c r="O40" s="85">
        <f>'Evolutitve SCI'!N6</f>
        <v>61500</v>
      </c>
      <c r="P40" s="85">
        <f>'Evolutitve SCI'!O6</f>
        <v>105700</v>
      </c>
      <c r="Q40" s="85">
        <f>'Evolutitve SCI'!P6</f>
        <v>146800</v>
      </c>
      <c r="R40" s="85">
        <f>'Evolutitve SCI'!Q6</f>
        <v>201000</v>
      </c>
      <c r="S40" s="85">
        <f>'Evolutitve SCI'!R6</f>
        <v>233300</v>
      </c>
      <c r="T40" s="85">
        <f>'Evolutitve SCI'!S6</f>
        <v>297200</v>
      </c>
      <c r="U40" s="85">
        <f>'Evolutitve SCI'!T6</f>
        <v>341300</v>
      </c>
      <c r="V40" s="85">
        <f>'Evolutitve SCI'!U6</f>
        <v>375400</v>
      </c>
      <c r="W40" s="85">
        <f>'Evolutitve SCI'!V6</f>
        <v>421400</v>
      </c>
      <c r="X40" s="85">
        <f>'Evolutitve SCI'!W6</f>
        <v>460900</v>
      </c>
      <c r="Y40" s="85">
        <f>'Evolutitve SCI'!X6</f>
        <v>503700</v>
      </c>
      <c r="Z40" s="85">
        <f>'Evolutitve SCI'!Y6</f>
        <v>0</v>
      </c>
      <c r="AA40" s="85">
        <f>'Evolutitve SCI'!Z6</f>
        <v>42200</v>
      </c>
      <c r="AB40" s="85">
        <f>'Evolutitve SCI'!AA6</f>
        <v>76200</v>
      </c>
      <c r="AC40" s="85">
        <f>'Evolutitve SCI'!AB6</f>
        <v>124100</v>
      </c>
      <c r="AD40" s="85">
        <f>'Evolutitve SCI'!AC6</f>
        <v>185200</v>
      </c>
      <c r="AE40" s="85">
        <f>'Evolutitve SCI'!AD6</f>
        <v>238900</v>
      </c>
      <c r="AF40" s="85">
        <f>'Evolutitve SCI'!AE6</f>
        <v>274400</v>
      </c>
      <c r="AG40" s="85">
        <f>'Evolutitve SCI'!AF6</f>
        <v>325700</v>
      </c>
      <c r="AH40" s="85">
        <f>'Evolutitve SCI'!AG6</f>
        <v>368200</v>
      </c>
      <c r="AI40" s="85">
        <f>'Evolutitve SCI'!AH6</f>
        <v>411600</v>
      </c>
      <c r="AJ40" s="85">
        <f>'Evolutitve SCI'!AI6</f>
        <v>456400</v>
      </c>
      <c r="AK40" s="85">
        <f>'Evolutitve SCI'!AJ6</f>
        <v>500800</v>
      </c>
      <c r="AL40" s="85">
        <f>'Evolutitve SCI'!AK6</f>
        <v>540900</v>
      </c>
      <c r="AM40" s="85">
        <f>'Evolutitve SCI'!AL6</f>
        <v>540900</v>
      </c>
      <c r="AN40" s="85">
        <f>'Evolutitve SCI'!AM6</f>
        <v>64800</v>
      </c>
      <c r="AO40" s="85">
        <f>'Evolutitve SCI'!AN6</f>
        <v>110000</v>
      </c>
      <c r="AP40" s="85">
        <f>'Evolutitve SCI'!AO6</f>
        <v>168100</v>
      </c>
      <c r="AQ40" s="85">
        <f>'Evolutitve SCI'!AP6</f>
        <v>233800</v>
      </c>
      <c r="AR40" s="85">
        <f>'Evolutitve SCI'!AQ6</f>
        <v>330600</v>
      </c>
      <c r="AS40" s="85">
        <f>'Evolutitve SCI'!AR6</f>
        <v>402520</v>
      </c>
      <c r="AT40" s="85">
        <f>'Evolutitve SCI'!AS6</f>
        <v>460420</v>
      </c>
      <c r="AU40" s="85">
        <f>'Evolutitve SCI'!AT6</f>
        <v>543350</v>
      </c>
      <c r="AV40" s="85">
        <f>'Evolutitve SCI'!AU6</f>
        <v>598160</v>
      </c>
      <c r="AW40" s="85">
        <f>'Evolutitve SCI'!AV6</f>
        <v>0</v>
      </c>
      <c r="AX40" s="85">
        <f>'Evolutitve SCI'!AW6</f>
        <v>0</v>
      </c>
      <c r="AY40" s="85">
        <f>'Evolutitve SCI'!AX6</f>
        <v>0</v>
      </c>
    </row>
    <row r="41" spans="1:51">
      <c r="A41" s="84" t="s">
        <v>118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</row>
    <row r="42" spans="1:51">
      <c r="A42" s="84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</row>
    <row r="43" spans="1:51">
      <c r="A43" s="93" t="s">
        <v>119</v>
      </c>
      <c r="B43" s="19" t="e">
        <f t="shared" ref="B43:M43" si="31">SUM(B44:B47)</f>
        <v>#REF!</v>
      </c>
      <c r="C43" s="19">
        <f t="shared" si="31"/>
        <v>70966475.450000003</v>
      </c>
      <c r="D43" s="19">
        <f t="shared" si="31"/>
        <v>5286852.0500000007</v>
      </c>
      <c r="E43" s="19">
        <f t="shared" si="31"/>
        <v>12655169.98</v>
      </c>
      <c r="F43" s="19">
        <f t="shared" si="31"/>
        <v>17788894.580000002</v>
      </c>
      <c r="G43" s="19">
        <f t="shared" si="31"/>
        <v>20865254.650000002</v>
      </c>
      <c r="H43" s="19">
        <f t="shared" si="31"/>
        <v>25028141.459999997</v>
      </c>
      <c r="I43" s="19">
        <f t="shared" si="31"/>
        <v>36877362.750000007</v>
      </c>
      <c r="J43" s="19">
        <f t="shared" si="31"/>
        <v>40139418</v>
      </c>
      <c r="K43" s="19">
        <f t="shared" si="31"/>
        <v>43850779.629999995</v>
      </c>
      <c r="L43" s="19">
        <f t="shared" si="31"/>
        <v>61412959.949999996</v>
      </c>
      <c r="M43" s="88">
        <f t="shared" si="31"/>
        <v>76849154.300000012</v>
      </c>
      <c r="N43" s="88">
        <f>SUM(N44:N47)</f>
        <v>2820802.58</v>
      </c>
      <c r="O43" s="88">
        <f>SUM(O44:O47)</f>
        <v>7273238.29</v>
      </c>
      <c r="P43" s="88">
        <f>SUM(P44:P47)</f>
        <v>12699900.25</v>
      </c>
      <c r="Q43" s="88">
        <f t="shared" ref="Q43:Z43" si="32">SUM(Q44:Q47)</f>
        <v>15446337.890000001</v>
      </c>
      <c r="R43" s="88">
        <f t="shared" si="32"/>
        <v>19938787.050000001</v>
      </c>
      <c r="S43" s="88">
        <f t="shared" si="32"/>
        <v>21228957.59</v>
      </c>
      <c r="T43" s="88">
        <f t="shared" si="32"/>
        <v>25899489.960000001</v>
      </c>
      <c r="U43" s="88">
        <f t="shared" si="32"/>
        <v>29014207.880000003</v>
      </c>
      <c r="V43" s="88">
        <f t="shared" si="32"/>
        <v>31880442.480000004</v>
      </c>
      <c r="W43" s="88">
        <f t="shared" si="32"/>
        <v>36822592.650000006</v>
      </c>
      <c r="X43" s="88">
        <f t="shared" si="32"/>
        <v>40565616.250000007</v>
      </c>
      <c r="Y43" s="88">
        <f t="shared" si="32"/>
        <v>54268019.789999999</v>
      </c>
      <c r="Z43" s="88">
        <f t="shared" si="32"/>
        <v>98037755.099999994</v>
      </c>
      <c r="AA43" s="88">
        <f t="shared" ref="AA43:AK43" si="33">SUM(AA44:AA47)</f>
        <v>3967033.36</v>
      </c>
      <c r="AB43" s="88">
        <f t="shared" si="33"/>
        <v>10464217.109999999</v>
      </c>
      <c r="AC43" s="88">
        <f t="shared" si="33"/>
        <v>15357084.07</v>
      </c>
      <c r="AD43" s="88">
        <f t="shared" si="33"/>
        <v>19052015.91</v>
      </c>
      <c r="AE43" s="88">
        <f t="shared" si="33"/>
        <v>23908212.329999998</v>
      </c>
      <c r="AF43" s="88">
        <f t="shared" si="33"/>
        <v>28681404.370000001</v>
      </c>
      <c r="AG43" s="88">
        <f t="shared" si="33"/>
        <v>32528107.080000002</v>
      </c>
      <c r="AH43" s="88">
        <f t="shared" si="33"/>
        <v>38076715.829999998</v>
      </c>
      <c r="AI43" s="88">
        <f t="shared" si="33"/>
        <v>42286082.530000001</v>
      </c>
      <c r="AJ43" s="88">
        <f t="shared" si="33"/>
        <v>46131452.849999994</v>
      </c>
      <c r="AK43" s="88">
        <f t="shared" si="33"/>
        <v>49332842.349999994</v>
      </c>
      <c r="AL43" s="88">
        <f t="shared" ref="AL43:AM43" si="34">SUM(AL44:AL47)</f>
        <v>97718434.620000005</v>
      </c>
      <c r="AM43" s="88">
        <f t="shared" si="34"/>
        <v>97858482.450000003</v>
      </c>
      <c r="AN43" s="88">
        <f t="shared" ref="AN43:AP43" si="35">SUM(AN44:AN47)</f>
        <v>4270485.4800000004</v>
      </c>
      <c r="AO43" s="88">
        <f t="shared" si="35"/>
        <v>10729794.880000001</v>
      </c>
      <c r="AP43" s="88">
        <f t="shared" si="35"/>
        <v>16253388.129999999</v>
      </c>
      <c r="AQ43" s="88">
        <f t="shared" ref="AQ43:AY43" si="36">SUM(AQ44:AQ47)</f>
        <v>19275662.629999999</v>
      </c>
      <c r="AR43" s="88">
        <f t="shared" si="36"/>
        <v>24100736.34</v>
      </c>
      <c r="AS43" s="88">
        <f t="shared" si="36"/>
        <v>28493269.510000002</v>
      </c>
      <c r="AT43" s="88">
        <f t="shared" si="36"/>
        <v>32559839.059999999</v>
      </c>
      <c r="AU43" s="88">
        <f t="shared" si="36"/>
        <v>35945348.600000001</v>
      </c>
      <c r="AV43" s="88">
        <f t="shared" si="36"/>
        <v>38949288.460000001</v>
      </c>
      <c r="AW43" s="88">
        <f t="shared" si="36"/>
        <v>0</v>
      </c>
      <c r="AX43" s="88">
        <f t="shared" si="36"/>
        <v>0</v>
      </c>
      <c r="AY43" s="88">
        <f t="shared" si="36"/>
        <v>0</v>
      </c>
    </row>
    <row r="44" spans="1:51">
      <c r="A44" s="84" t="s">
        <v>120</v>
      </c>
      <c r="B44" s="18" t="e">
        <f>'Evolutitve SCI'!#REF!+'Evolutitve SCI'!#REF!</f>
        <v>#REF!</v>
      </c>
      <c r="C44" s="18">
        <f>'Evolutitve SCI'!B13+'Evolutitve SCI'!B16</f>
        <v>31410482.350000001</v>
      </c>
      <c r="D44" s="18">
        <f>'Evolutitve SCI'!C13+'Evolutitve SCI'!C16</f>
        <v>302470.65000000002</v>
      </c>
      <c r="E44" s="18">
        <f>'Evolutitve SCI'!D13+'Evolutitve SCI'!D16</f>
        <v>741170</v>
      </c>
      <c r="F44" s="18">
        <f>'Evolutitve SCI'!E13+'Evolutitve SCI'!E16</f>
        <v>1001490.8</v>
      </c>
      <c r="G44" s="18">
        <f>'Evolutitve SCI'!F13+'Evolutitve SCI'!F16</f>
        <v>1073810.05</v>
      </c>
      <c r="H44" s="18">
        <f>'Evolutitve SCI'!G13+'Evolutitve SCI'!G16</f>
        <v>1353220.2</v>
      </c>
      <c r="I44" s="18">
        <f>'Evolutitve SCI'!H13+'Evolutitve SCI'!H16</f>
        <v>1761001.85</v>
      </c>
      <c r="J44" s="18">
        <f>'Evolutitve SCI'!I13+'Evolutitve SCI'!I16</f>
        <v>1763521.85</v>
      </c>
      <c r="K44" s="18">
        <f>'Evolutitve SCI'!J13+'Evolutitve SCI'!J16</f>
        <v>1893062.8</v>
      </c>
      <c r="L44" s="18">
        <f>'Evolutitve SCI'!K13+'Evolutitve SCI'!K16</f>
        <v>13600868.460000001</v>
      </c>
      <c r="M44" s="85">
        <f>'Evolutitve SCI'!L13+'Evolutitve SCI'!L16</f>
        <v>35570817.850000001</v>
      </c>
      <c r="N44" s="85">
        <f>'Evolutitve SCI'!M13+'Evolutitve SCI'!M16</f>
        <v>574267.58000000007</v>
      </c>
      <c r="O44" s="85">
        <f>'Evolutitve SCI'!N13+'Evolutitve SCI'!N16</f>
        <v>942914.37</v>
      </c>
      <c r="P44" s="85">
        <f>'Evolutitve SCI'!O13+'Evolutitve SCI'!O16</f>
        <v>1715984.12</v>
      </c>
      <c r="Q44" s="85">
        <f>'Evolutitve SCI'!P13+'Evolutitve SCI'!P16</f>
        <v>2473771.2999999998</v>
      </c>
      <c r="R44" s="85">
        <f>'Evolutitve SCI'!Q13+'Evolutitve SCI'!Q16</f>
        <v>4518645</v>
      </c>
      <c r="S44" s="85">
        <f>'Evolutitve SCI'!R13+'Evolutitve SCI'!R16</f>
        <v>3127952.09</v>
      </c>
      <c r="T44" s="85">
        <f>'Evolutitve SCI'!S13+'Evolutitve SCI'!S16</f>
        <v>3761566.11</v>
      </c>
      <c r="U44" s="85">
        <f>'Evolutitve SCI'!T13+'Evolutitve SCI'!T16</f>
        <v>3894353.11</v>
      </c>
      <c r="V44" s="85">
        <f>'Evolutitve SCI'!U13+'Evolutitve SCI'!U16</f>
        <v>4276206.25</v>
      </c>
      <c r="W44" s="85">
        <f>'Evolutitve SCI'!V13+'Evolutitve SCI'!V16</f>
        <v>4790970.42</v>
      </c>
      <c r="X44" s="85">
        <f>'Evolutitve SCI'!W13+'Evolutitve SCI'!W16</f>
        <v>4980741.0999999996</v>
      </c>
      <c r="Y44" s="85">
        <f>'Evolutitve SCI'!X13+'Evolutitve SCI'!X16</f>
        <v>12199003.18</v>
      </c>
      <c r="Z44" s="85">
        <f>'Evolutitve SCI'!Y13+'Evolutitve SCI'!Y16</f>
        <v>43198918.75</v>
      </c>
      <c r="AA44" s="85">
        <f>'Evolutitve SCI'!Z13+'Evolutitve SCI'!Z16</f>
        <v>685682.9</v>
      </c>
      <c r="AB44" s="85">
        <f>'Evolutitve SCI'!AA13+'Evolutitve SCI'!AA16</f>
        <v>943155.19</v>
      </c>
      <c r="AC44" s="85">
        <f>'Evolutitve SCI'!AB13+'Evolutitve SCI'!AB16</f>
        <v>1836213.07</v>
      </c>
      <c r="AD44" s="85">
        <f>'Evolutitve SCI'!AC13+'Evolutitve SCI'!AC16</f>
        <v>2349605.0700000003</v>
      </c>
      <c r="AE44" s="85">
        <f>'Evolutitve SCI'!AD13+'Evolutitve SCI'!AD16</f>
        <v>2582651.4900000002</v>
      </c>
      <c r="AF44" s="85">
        <f>'Evolutitve SCI'!AE13+'Evolutitve SCI'!AE16</f>
        <v>3077509.07</v>
      </c>
      <c r="AG44" s="85">
        <f>'Evolutitve SCI'!AF13+'Evolutitve SCI'!AF16</f>
        <v>3780158.78</v>
      </c>
      <c r="AH44" s="85">
        <f>'Evolutitve SCI'!AG13+'Evolutitve SCI'!AG16</f>
        <v>4000146.53</v>
      </c>
      <c r="AI44" s="85">
        <f>'Evolutitve SCI'!AH13+'Evolutitve SCI'!AH16</f>
        <v>4610454.2300000004</v>
      </c>
      <c r="AJ44" s="85">
        <f>'Evolutitve SCI'!AI13+'Evolutitve SCI'!AI16</f>
        <v>5231285.55</v>
      </c>
      <c r="AK44" s="85">
        <f>'Evolutitve SCI'!AJ13+'Evolutitve SCI'!AJ16</f>
        <v>5456355.0499999998</v>
      </c>
      <c r="AL44" s="85">
        <f>'Evolutitve SCI'!AK13+'Evolutitve SCI'!AK16</f>
        <v>13312060.43</v>
      </c>
      <c r="AM44" s="85">
        <f>'Evolutitve SCI'!AL13+'Evolutitve SCI'!AL16</f>
        <v>43326941</v>
      </c>
      <c r="AN44" s="85">
        <f>'Evolutitve SCI'!AM13+'Evolutitve SCI'!AM16</f>
        <v>777557.48</v>
      </c>
      <c r="AO44" s="85">
        <f>'Evolutitve SCI'!AN13+'Evolutitve SCI'!AN16</f>
        <v>1022760.88</v>
      </c>
      <c r="AP44" s="85">
        <f>'Evolutitve SCI'!AO13+'Evolutitve SCI'!AO16</f>
        <v>1685740.13</v>
      </c>
      <c r="AQ44" s="85">
        <f>'Evolutitve SCI'!AP13+'Evolutitve SCI'!AP16</f>
        <v>2417009.63</v>
      </c>
      <c r="AR44" s="85">
        <f>'Evolutitve SCI'!AQ13+'Evolutitve SCI'!AQ16</f>
        <v>3067493.34</v>
      </c>
      <c r="AS44" s="85">
        <f>'Evolutitve SCI'!AR13+'Evolutitve SCI'!AR16</f>
        <v>3828693.5100000002</v>
      </c>
      <c r="AT44" s="85">
        <f>'Evolutitve SCI'!AS13+'Evolutitve SCI'!AS16</f>
        <v>4332813.3099999996</v>
      </c>
      <c r="AU44" s="85">
        <f>'Evolutitve SCI'!AT13+'Evolutitve SCI'!AT16</f>
        <v>4800905.5</v>
      </c>
      <c r="AV44" s="85">
        <f>'Evolutitve SCI'!AU13+'Evolutitve SCI'!AU16</f>
        <v>5297854.46</v>
      </c>
      <c r="AW44" s="85">
        <f>'Evolutitve SCI'!AV13+'Evolutitve SCI'!AV16</f>
        <v>0</v>
      </c>
      <c r="AX44" s="85">
        <f>'Evolutitve SCI'!AW13+'Evolutitve SCI'!AW16</f>
        <v>0</v>
      </c>
      <c r="AY44" s="85">
        <f>'Evolutitve SCI'!AX13+'Evolutitve SCI'!AX16</f>
        <v>0</v>
      </c>
    </row>
    <row r="45" spans="1:51">
      <c r="A45" s="84" t="s">
        <v>121</v>
      </c>
      <c r="B45" s="18" t="e">
        <f>'Evolutitve SCI'!#REF!</f>
        <v>#REF!</v>
      </c>
      <c r="C45" s="18">
        <f>'Evolutitve SCI'!B15</f>
        <v>0</v>
      </c>
      <c r="D45" s="18">
        <f>'Evolutitve SCI'!C15</f>
        <v>0</v>
      </c>
      <c r="E45" s="18">
        <f>'Evolutitve SCI'!D15</f>
        <v>0</v>
      </c>
      <c r="F45" s="18">
        <f>'Evolutitve SCI'!E15</f>
        <v>0</v>
      </c>
      <c r="G45" s="18">
        <f>'Evolutitve SCI'!F15</f>
        <v>0</v>
      </c>
      <c r="H45" s="18">
        <f>'Evolutitve SCI'!G15</f>
        <v>0</v>
      </c>
      <c r="I45" s="18">
        <f>'Evolutitve SCI'!H15</f>
        <v>0</v>
      </c>
      <c r="J45" s="18">
        <f>'Evolutitve SCI'!I15</f>
        <v>0</v>
      </c>
      <c r="K45" s="18">
        <f>'Evolutitve SCI'!J15</f>
        <v>0</v>
      </c>
      <c r="L45" s="18">
        <f>'Evolutitve SCI'!K15</f>
        <v>0</v>
      </c>
      <c r="M45" s="85">
        <f>'Evolutitve SCI'!L15</f>
        <v>0</v>
      </c>
      <c r="N45" s="85">
        <f>'Evolutitve SCI'!M15</f>
        <v>0</v>
      </c>
      <c r="O45" s="85">
        <f>'Evolutitve SCI'!N15</f>
        <v>0</v>
      </c>
      <c r="P45" s="85">
        <f>'Evolutitve SCI'!O15</f>
        <v>0</v>
      </c>
      <c r="Q45" s="85">
        <f>'Evolutitve SCI'!P15</f>
        <v>0</v>
      </c>
      <c r="R45" s="85">
        <f>'Evolutitve SCI'!Q15</f>
        <v>0</v>
      </c>
      <c r="S45" s="85">
        <f>'Evolutitve SCI'!R15</f>
        <v>0</v>
      </c>
      <c r="T45" s="85">
        <f>'Evolutitve SCI'!S15</f>
        <v>0</v>
      </c>
      <c r="U45" s="85">
        <f>'Evolutitve SCI'!T15</f>
        <v>0</v>
      </c>
      <c r="V45" s="85">
        <f>'Evolutitve SCI'!U15</f>
        <v>0</v>
      </c>
      <c r="W45" s="85">
        <f>'Evolutitve SCI'!V15</f>
        <v>0</v>
      </c>
      <c r="X45" s="85">
        <f>'Evolutitve SCI'!W15</f>
        <v>0</v>
      </c>
      <c r="Y45" s="85">
        <f>'Evolutitve SCI'!X15</f>
        <v>0</v>
      </c>
      <c r="Z45" s="85">
        <f>'Evolutitve SCI'!Y15</f>
        <v>0</v>
      </c>
      <c r="AA45" s="85">
        <f>'Evolutitve SCI'!Z15</f>
        <v>0</v>
      </c>
      <c r="AB45" s="85">
        <f>'Evolutitve SCI'!AA15</f>
        <v>0</v>
      </c>
      <c r="AC45" s="85">
        <f>'Evolutitve SCI'!AB15</f>
        <v>0</v>
      </c>
      <c r="AD45" s="85">
        <f>'Evolutitve SCI'!AC15</f>
        <v>0</v>
      </c>
      <c r="AE45" s="85">
        <f>'Evolutitve SCI'!AD15</f>
        <v>0</v>
      </c>
      <c r="AF45" s="85">
        <f>'Evolutitve SCI'!AE15</f>
        <v>0</v>
      </c>
      <c r="AG45" s="85">
        <f>'Evolutitve SCI'!AF15</f>
        <v>0</v>
      </c>
      <c r="AH45" s="85">
        <f>'Evolutitve SCI'!AG15</f>
        <v>0</v>
      </c>
      <c r="AI45" s="85">
        <f>'Evolutitve SCI'!AH15</f>
        <v>0</v>
      </c>
      <c r="AJ45" s="85">
        <f>'Evolutitve SCI'!AI15</f>
        <v>0</v>
      </c>
      <c r="AK45" s="85">
        <f>'Evolutitve SCI'!AJ15</f>
        <v>0</v>
      </c>
      <c r="AL45" s="85">
        <f>'Evolutitve SCI'!AK15</f>
        <v>41700000</v>
      </c>
      <c r="AM45" s="85">
        <f>'Evolutitve SCI'!AL15</f>
        <v>0</v>
      </c>
      <c r="AN45" s="85">
        <f>'Evolutitve SCI'!AM15</f>
        <v>0</v>
      </c>
      <c r="AO45" s="85">
        <f>'Evolutitve SCI'!AN15</f>
        <v>0</v>
      </c>
      <c r="AP45" s="85">
        <f>'Evolutitve SCI'!AO15</f>
        <v>0</v>
      </c>
      <c r="AQ45" s="85">
        <f>'Evolutitve SCI'!AP15</f>
        <v>0</v>
      </c>
      <c r="AR45" s="85">
        <f>'Evolutitve SCI'!AQ15</f>
        <v>0</v>
      </c>
      <c r="AS45" s="85">
        <f>'Evolutitve SCI'!AR15</f>
        <v>0</v>
      </c>
      <c r="AT45" s="85">
        <f>'Evolutitve SCI'!AS15</f>
        <v>0</v>
      </c>
      <c r="AU45" s="85">
        <f>'Evolutitve SCI'!AT15</f>
        <v>0</v>
      </c>
      <c r="AV45" s="85">
        <f>'Evolutitve SCI'!AU15</f>
        <v>0</v>
      </c>
      <c r="AW45" s="85">
        <f>'Evolutitve SCI'!AV15</f>
        <v>0</v>
      </c>
      <c r="AX45" s="85">
        <f>'Evolutitve SCI'!AW15</f>
        <v>0</v>
      </c>
      <c r="AY45" s="85">
        <f>'Evolutitve SCI'!AX15</f>
        <v>0</v>
      </c>
    </row>
    <row r="46" spans="1:51">
      <c r="A46" s="84" t="s">
        <v>122</v>
      </c>
      <c r="B46" s="18" t="e">
        <f>'Evolutitve SCI'!#REF!</f>
        <v>#REF!</v>
      </c>
      <c r="C46" s="18">
        <f>'Evolutitve SCI'!B14</f>
        <v>4470222</v>
      </c>
      <c r="D46" s="18">
        <f>'Evolutitve SCI'!C14</f>
        <v>0</v>
      </c>
      <c r="E46" s="18">
        <f>'Evolutitve SCI'!D14</f>
        <v>0</v>
      </c>
      <c r="F46" s="18">
        <f>'Evolutitve SCI'!E14</f>
        <v>0</v>
      </c>
      <c r="G46" s="18">
        <f>'Evolutitve SCI'!F14</f>
        <v>0</v>
      </c>
      <c r="H46" s="18">
        <f>'Evolutitve SCI'!G14</f>
        <v>0</v>
      </c>
      <c r="I46" s="18">
        <f>'Evolutitve SCI'!H14</f>
        <v>0</v>
      </c>
      <c r="J46" s="18">
        <f>'Evolutitve SCI'!I14</f>
        <v>0</v>
      </c>
      <c r="K46" s="18">
        <f>'Evolutitve SCI'!J14</f>
        <v>0</v>
      </c>
      <c r="L46" s="18">
        <f>'Evolutitve SCI'!K14</f>
        <v>0</v>
      </c>
      <c r="M46" s="85">
        <f>'Evolutitve SCI'!L14</f>
        <v>6009362</v>
      </c>
      <c r="N46" s="85">
        <f>'Evolutitve SCI'!M14</f>
        <v>0</v>
      </c>
      <c r="O46" s="85">
        <f>'Evolutitve SCI'!N14</f>
        <v>0</v>
      </c>
      <c r="P46" s="85">
        <f>'Evolutitve SCI'!O14</f>
        <v>0</v>
      </c>
      <c r="Q46" s="85">
        <f>'Evolutitve SCI'!P14</f>
        <v>0</v>
      </c>
      <c r="R46" s="85">
        <f>'Evolutitve SCI'!Q14</f>
        <v>0</v>
      </c>
      <c r="S46" s="85">
        <f>'Evolutitve SCI'!R14</f>
        <v>0</v>
      </c>
      <c r="T46" s="85">
        <f>'Evolutitve SCI'!S14</f>
        <v>0</v>
      </c>
      <c r="U46" s="85">
        <f>'Evolutitve SCI'!T14</f>
        <v>0</v>
      </c>
      <c r="V46" s="85">
        <f>'Evolutitve SCI'!U14</f>
        <v>0</v>
      </c>
      <c r="W46" s="85">
        <f>'Evolutitve SCI'!V14</f>
        <v>0</v>
      </c>
      <c r="X46" s="85">
        <f>'Evolutitve SCI'!W14</f>
        <v>0</v>
      </c>
      <c r="Y46" s="85">
        <f>'Evolutitve SCI'!X14</f>
        <v>0</v>
      </c>
      <c r="Z46" s="85">
        <f>'Evolutitve SCI'!Y14</f>
        <v>0</v>
      </c>
      <c r="AA46" s="85">
        <f>'Evolutitve SCI'!Z14</f>
        <v>0</v>
      </c>
      <c r="AB46" s="85">
        <f>'Evolutitve SCI'!AA14</f>
        <v>0</v>
      </c>
      <c r="AC46" s="85">
        <f>'Evolutitve SCI'!AB14</f>
        <v>0</v>
      </c>
      <c r="AD46" s="85">
        <f>'Evolutitve SCI'!AC14</f>
        <v>0</v>
      </c>
      <c r="AE46" s="85">
        <f>'Evolutitve SCI'!AD14</f>
        <v>0</v>
      </c>
      <c r="AF46" s="85">
        <f>'Evolutitve SCI'!AE14</f>
        <v>0</v>
      </c>
      <c r="AG46" s="85">
        <f>'Evolutitve SCI'!AF14</f>
        <v>0</v>
      </c>
      <c r="AH46" s="85">
        <f>'Evolutitve SCI'!AG14</f>
        <v>0</v>
      </c>
      <c r="AI46" s="85">
        <f>'Evolutitve SCI'!AH14</f>
        <v>0</v>
      </c>
      <c r="AJ46" s="85">
        <f>'Evolutitve SCI'!AI14</f>
        <v>0</v>
      </c>
      <c r="AK46" s="85">
        <f>'Evolutitve SCI'!AJ14</f>
        <v>0</v>
      </c>
      <c r="AL46" s="85">
        <f>'Evolutitve SCI'!AK14</f>
        <v>0</v>
      </c>
      <c r="AM46" s="85">
        <f>'Evolutitve SCI'!AL14</f>
        <v>0</v>
      </c>
      <c r="AN46" s="85">
        <f>'Evolutitve SCI'!AM14</f>
        <v>0</v>
      </c>
      <c r="AO46" s="85">
        <f>'Evolutitve SCI'!AN14</f>
        <v>0</v>
      </c>
      <c r="AP46" s="85">
        <f>'Evolutitve SCI'!AO14</f>
        <v>0</v>
      </c>
      <c r="AQ46" s="85">
        <f>'Evolutitve SCI'!AP14</f>
        <v>0</v>
      </c>
      <c r="AR46" s="85">
        <f>'Evolutitve SCI'!AQ14</f>
        <v>0</v>
      </c>
      <c r="AS46" s="85">
        <f>'Evolutitve SCI'!AR14</f>
        <v>0</v>
      </c>
      <c r="AT46" s="85">
        <f>'Evolutitve SCI'!AS14</f>
        <v>0</v>
      </c>
      <c r="AU46" s="85">
        <f>'Evolutitve SCI'!AT14</f>
        <v>0</v>
      </c>
      <c r="AV46" s="85">
        <f>'Evolutitve SCI'!AU14</f>
        <v>0</v>
      </c>
      <c r="AW46" s="85">
        <f>'Evolutitve SCI'!AV14</f>
        <v>0</v>
      </c>
      <c r="AX46" s="85">
        <f>'Evolutitve SCI'!AW14</f>
        <v>0</v>
      </c>
      <c r="AY46" s="85">
        <f>'Evolutitve SCI'!AX14</f>
        <v>0</v>
      </c>
    </row>
    <row r="47" spans="1:51" ht="15" thickBot="1">
      <c r="A47" s="94" t="s">
        <v>123</v>
      </c>
      <c r="B47" s="95" t="e">
        <f>'Evolutitve SCI'!#REF!</f>
        <v>#REF!</v>
      </c>
      <c r="C47" s="95">
        <f>'Evolutitve SCI'!B23</f>
        <v>35085771.100000001</v>
      </c>
      <c r="D47" s="95">
        <f>'Evolutitve SCI'!C23</f>
        <v>4984381.4000000004</v>
      </c>
      <c r="E47" s="95">
        <f>'Evolutitve SCI'!D23</f>
        <v>11913999.98</v>
      </c>
      <c r="F47" s="95">
        <f>'Evolutitve SCI'!E23</f>
        <v>16787403.780000001</v>
      </c>
      <c r="G47" s="95">
        <f>'Evolutitve SCI'!F23</f>
        <v>19791444.600000001</v>
      </c>
      <c r="H47" s="95">
        <f>'Evolutitve SCI'!G23</f>
        <v>23674921.259999998</v>
      </c>
      <c r="I47" s="95">
        <f>'Evolutitve SCI'!H23</f>
        <v>35116360.900000006</v>
      </c>
      <c r="J47" s="95">
        <f>'Evolutitve SCI'!I23</f>
        <v>38375896.149999999</v>
      </c>
      <c r="K47" s="95">
        <f>'Evolutitve SCI'!J23</f>
        <v>41957716.829999998</v>
      </c>
      <c r="L47" s="95">
        <f>'Evolutitve SCI'!K23</f>
        <v>47812091.489999995</v>
      </c>
      <c r="M47" s="96">
        <f>'Evolutitve SCI'!L23</f>
        <v>35268974.450000003</v>
      </c>
      <c r="N47" s="96">
        <f>'Evolutitve SCI'!M23</f>
        <v>2246535</v>
      </c>
      <c r="O47" s="96">
        <f>'Evolutitve SCI'!N23</f>
        <v>6330323.9199999999</v>
      </c>
      <c r="P47" s="96">
        <f>'Evolutitve SCI'!O23</f>
        <v>10983916.129999999</v>
      </c>
      <c r="Q47" s="96">
        <f>'Evolutitve SCI'!P23</f>
        <v>12972566.59</v>
      </c>
      <c r="R47" s="96">
        <f>'Evolutitve SCI'!Q23</f>
        <v>15420142.050000001</v>
      </c>
      <c r="S47" s="96">
        <f>'Evolutitve SCI'!R23</f>
        <v>18101005.5</v>
      </c>
      <c r="T47" s="96">
        <f>'Evolutitve SCI'!S23</f>
        <v>22137923.850000001</v>
      </c>
      <c r="U47" s="96">
        <f>'Evolutitve SCI'!T23</f>
        <v>25119854.770000003</v>
      </c>
      <c r="V47" s="96">
        <f>'Evolutitve SCI'!U23</f>
        <v>27604236.230000004</v>
      </c>
      <c r="W47" s="96">
        <f>'Evolutitve SCI'!V23</f>
        <v>32031622.230000004</v>
      </c>
      <c r="X47" s="96">
        <f>'Evolutitve SCI'!W23</f>
        <v>35584875.150000006</v>
      </c>
      <c r="Y47" s="96">
        <f>'Evolutitve SCI'!X23</f>
        <v>42069016.609999999</v>
      </c>
      <c r="Z47" s="96">
        <f>'Evolutitve SCI'!Y23</f>
        <v>54838836.349999994</v>
      </c>
      <c r="AA47" s="96">
        <f>'Evolutitve SCI'!Z23</f>
        <v>3281350.46</v>
      </c>
      <c r="AB47" s="96">
        <f>'Evolutitve SCI'!AA23</f>
        <v>9521061.9199999999</v>
      </c>
      <c r="AC47" s="96">
        <f>'Evolutitve SCI'!AB23</f>
        <v>13520871</v>
      </c>
      <c r="AD47" s="96">
        <f>'Evolutitve SCI'!AC23</f>
        <v>16702410.84</v>
      </c>
      <c r="AE47" s="96">
        <f>'Evolutitve SCI'!AD23</f>
        <v>21325560.84</v>
      </c>
      <c r="AF47" s="96">
        <f>'Evolutitve SCI'!AE23</f>
        <v>25603895.300000001</v>
      </c>
      <c r="AG47" s="96">
        <f>'Evolutitve SCI'!AF23</f>
        <v>28747948.300000001</v>
      </c>
      <c r="AH47" s="96">
        <f>'Evolutitve SCI'!AG23</f>
        <v>34076569.299999997</v>
      </c>
      <c r="AI47" s="96">
        <f>'Evolutitve SCI'!AH23</f>
        <v>37675628.299999997</v>
      </c>
      <c r="AJ47" s="96">
        <f>'Evolutitve SCI'!AI23</f>
        <v>40900167.299999997</v>
      </c>
      <c r="AK47" s="96">
        <f>'Evolutitve SCI'!AJ23</f>
        <v>43876487.299999997</v>
      </c>
      <c r="AL47" s="96">
        <f>'Evolutitve SCI'!AK23</f>
        <v>42706374.189999998</v>
      </c>
      <c r="AM47" s="96">
        <f>'Evolutitve SCI'!AL23</f>
        <v>54531541.450000003</v>
      </c>
      <c r="AN47" s="96">
        <f>'Evolutitve SCI'!AM23</f>
        <v>3492928</v>
      </c>
      <c r="AO47" s="96">
        <f>'Evolutitve SCI'!AN23</f>
        <v>9707034</v>
      </c>
      <c r="AP47" s="96">
        <f>'Evolutitve SCI'!AO23</f>
        <v>14567648</v>
      </c>
      <c r="AQ47" s="96">
        <f>'Evolutitve SCI'!AP23</f>
        <v>16858653</v>
      </c>
      <c r="AR47" s="96">
        <f>'Evolutitve SCI'!AQ23</f>
        <v>21033243</v>
      </c>
      <c r="AS47" s="96">
        <f>'Evolutitve SCI'!AR23</f>
        <v>24664576</v>
      </c>
      <c r="AT47" s="96">
        <f>'Evolutitve SCI'!AS23</f>
        <v>28227025.75</v>
      </c>
      <c r="AU47" s="96">
        <f>'Evolutitve SCI'!AT23</f>
        <v>31144443.100000001</v>
      </c>
      <c r="AV47" s="96">
        <f>'Evolutitve SCI'!AU23</f>
        <v>33651434</v>
      </c>
      <c r="AW47" s="96">
        <f>'Evolutitve SCI'!AV23</f>
        <v>0</v>
      </c>
      <c r="AX47" s="96">
        <f>'Evolutitve SCI'!AW23</f>
        <v>0</v>
      </c>
      <c r="AY47" s="96">
        <f>'Evolutitve SCI'!AX23</f>
        <v>0</v>
      </c>
    </row>
  </sheetData>
  <phoneticPr fontId="23" type="noConversion"/>
  <pageMargins left="0.7" right="0.7" top="0.75" bottom="0.75" header="0.3" footer="0.3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Z41"/>
  <sheetViews>
    <sheetView topLeftCell="N1" workbookViewId="0">
      <selection activeCell="AI17" sqref="AI17"/>
    </sheetView>
  </sheetViews>
  <sheetFormatPr defaultRowHeight="14.45"/>
  <cols>
    <col min="1" max="1" width="25.42578125" bestFit="1" customWidth="1"/>
    <col min="2" max="2" width="31.42578125" bestFit="1" customWidth="1"/>
    <col min="3" max="3" width="10.140625" customWidth="1"/>
    <col min="4" max="4" width="13.7109375" bestFit="1" customWidth="1"/>
    <col min="5" max="13" width="0" hidden="1" customWidth="1"/>
    <col min="14" max="14" width="8.28515625" bestFit="1" customWidth="1"/>
    <col min="15" max="26" width="0" hidden="1" customWidth="1"/>
    <col min="27" max="27" width="8.7109375" customWidth="1"/>
    <col min="28" max="39" width="8.5703125" bestFit="1" customWidth="1"/>
  </cols>
  <sheetData>
    <row r="1" spans="1:52" ht="18" thickBot="1">
      <c r="A1" s="248" t="s">
        <v>124</v>
      </c>
      <c r="B1" s="249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7"/>
    </row>
    <row r="2" spans="1:52" ht="28.5" customHeight="1">
      <c r="A2" s="52"/>
      <c r="B2" s="53"/>
      <c r="C2" s="53"/>
      <c r="D2" s="54" t="s">
        <v>88</v>
      </c>
      <c r="E2" s="68">
        <v>43831</v>
      </c>
      <c r="F2" s="68">
        <v>43891</v>
      </c>
      <c r="G2" s="68">
        <v>43922</v>
      </c>
      <c r="H2" s="68">
        <v>43952</v>
      </c>
      <c r="I2" s="68">
        <v>43983</v>
      </c>
      <c r="J2" s="68">
        <v>44075</v>
      </c>
      <c r="K2" s="68">
        <v>44105</v>
      </c>
      <c r="L2" s="68">
        <v>44136</v>
      </c>
      <c r="M2" s="68">
        <v>44166</v>
      </c>
      <c r="N2" s="218" t="s">
        <v>89</v>
      </c>
      <c r="O2" s="97">
        <v>44197</v>
      </c>
      <c r="P2" s="97">
        <v>44228</v>
      </c>
      <c r="Q2" s="97">
        <v>44256</v>
      </c>
      <c r="R2" s="97">
        <v>44287</v>
      </c>
      <c r="S2" s="97">
        <v>44317</v>
      </c>
      <c r="T2" s="97">
        <v>44348</v>
      </c>
      <c r="U2" s="97">
        <v>44378</v>
      </c>
      <c r="V2" s="97">
        <v>44409</v>
      </c>
      <c r="W2" s="97">
        <v>44440</v>
      </c>
      <c r="X2" s="97">
        <v>44470</v>
      </c>
      <c r="Y2" s="97">
        <v>44501</v>
      </c>
      <c r="Z2" s="97">
        <v>44531</v>
      </c>
      <c r="AA2" s="219" t="s">
        <v>2</v>
      </c>
      <c r="AB2" s="3">
        <v>44562</v>
      </c>
      <c r="AC2" s="3">
        <v>44593</v>
      </c>
      <c r="AD2" s="3">
        <v>44621</v>
      </c>
      <c r="AE2" s="3">
        <v>44652</v>
      </c>
      <c r="AF2" s="3">
        <v>44682</v>
      </c>
      <c r="AG2" s="3">
        <v>44713</v>
      </c>
      <c r="AH2" s="3">
        <v>44743</v>
      </c>
      <c r="AI2" s="3">
        <v>44774</v>
      </c>
      <c r="AJ2" s="3">
        <v>44805</v>
      </c>
      <c r="AK2" s="3">
        <v>44835</v>
      </c>
      <c r="AL2" s="3">
        <v>44866</v>
      </c>
      <c r="AM2" s="3">
        <v>44896</v>
      </c>
      <c r="AN2" s="3" t="s">
        <v>3</v>
      </c>
      <c r="AO2" s="3">
        <v>44927</v>
      </c>
      <c r="AP2" s="3">
        <v>44958</v>
      </c>
      <c r="AQ2" s="3">
        <v>44986</v>
      </c>
      <c r="AR2" s="3">
        <v>45017</v>
      </c>
      <c r="AS2" s="3">
        <v>45047</v>
      </c>
      <c r="AT2" s="3">
        <v>45078</v>
      </c>
      <c r="AU2" s="3">
        <v>45108</v>
      </c>
      <c r="AV2" s="3">
        <v>45139</v>
      </c>
      <c r="AW2" s="3">
        <v>45170</v>
      </c>
      <c r="AX2" s="3">
        <v>45200</v>
      </c>
      <c r="AY2" s="3">
        <v>45231</v>
      </c>
      <c r="AZ2" s="3">
        <v>45261</v>
      </c>
    </row>
    <row r="3" spans="1:52" ht="15">
      <c r="A3" s="250" t="s">
        <v>125</v>
      </c>
      <c r="B3" s="55" t="s">
        <v>96</v>
      </c>
      <c r="C3" s="56" t="s">
        <v>126</v>
      </c>
      <c r="D3" s="57">
        <f>(('Evolutive SFP'!B38+'Evolutive SFP'!B39+'Evolutive SFP'!B40+'Evolutive SFP'!B41+'Evolutive SFP'!B42+'Evolutive SFP'!B43)-'Evolutive SFP'!B12)/1000000</f>
        <v>118.23934835</v>
      </c>
      <c r="E3" s="57">
        <f>(('Evolutive SFP'!C38+'Evolutive SFP'!C39+'Evolutive SFP'!C40+'Evolutive SFP'!C41+'Evolutive SFP'!C42+'Evolutive SFP'!C43)-'Evolutive SFP'!C12)/1000000</f>
        <v>99.621362059999996</v>
      </c>
      <c r="F3" s="57">
        <f>(('Evolutive SFP'!D38+'Evolutive SFP'!D39+'Evolutive SFP'!D40+'Evolutive SFP'!D41+'Evolutive SFP'!D42+'Evolutive SFP'!D43)-'Evolutive SFP'!D12)/1000000</f>
        <v>99.685380670000001</v>
      </c>
      <c r="G3" s="57">
        <f>(('Evolutive SFP'!E38+'Evolutive SFP'!E39+'Evolutive SFP'!E40+'Evolutive SFP'!E41+'Evolutive SFP'!E42+'Evolutive SFP'!E43)-'Evolutive SFP'!E12)/1000000</f>
        <v>110.18533229000001</v>
      </c>
      <c r="H3" s="57">
        <f>(('Evolutive SFP'!F38+'Evolutive SFP'!F39+'Evolutive SFP'!F40+'Evolutive SFP'!F41+'Evolutive SFP'!F42+'Evolutive SFP'!F43)-'Evolutive SFP'!F12)/1000000</f>
        <v>110.16006322</v>
      </c>
      <c r="I3" s="57">
        <f>(('Evolutive SFP'!G38+'Evolutive SFP'!G39+'Evolutive SFP'!G40+'Evolutive SFP'!G41+'Evolutive SFP'!G42+'Evolutive SFP'!G43)-'Evolutive SFP'!G12)/1000000</f>
        <v>110.02531945999999</v>
      </c>
      <c r="J3" s="57">
        <f>(('Evolutive SFP'!H38+'Evolutive SFP'!H39+'Evolutive SFP'!H40+'Evolutive SFP'!H41+'Evolutive SFP'!H42+'Evolutive SFP'!H43)-'Evolutive SFP'!H12)/1000000</f>
        <v>75.317040449999993</v>
      </c>
      <c r="K3" s="57">
        <f>(('Evolutive SFP'!I38+'Evolutive SFP'!I39+'Evolutive SFP'!I40+'Evolutive SFP'!I41+'Evolutive SFP'!I42+'Evolutive SFP'!I43)-'Evolutive SFP'!I12)/1000000</f>
        <v>75.317540449999981</v>
      </c>
      <c r="L3" s="57">
        <f>(('Evolutive SFP'!J38+'Evolutive SFP'!J39+'Evolutive SFP'!J40+'Evolutive SFP'!J41+'Evolutive SFP'!J42+'Evolutive SFP'!J43)-'Evolutive SFP'!J12)/1000000</f>
        <v>75.319540449999991</v>
      </c>
      <c r="M3" s="57">
        <f>(('Evolutive SFP'!K38+'Evolutive SFP'!K39+'Evolutive SFP'!K40+'Evolutive SFP'!K41+'Evolutive SFP'!K42+'Evolutive SFP'!K43)-'Evolutive SFP'!K12)/1000000</f>
        <v>75.320487749999984</v>
      </c>
      <c r="N3" s="69">
        <f>(('Evolutive SFP'!L38+'Evolutive SFP'!L39+'Evolutive SFP'!L40+'Evolutive SFP'!L41+'Evolutive SFP'!L42+'Evolutive SFP'!L43)-'Evolutive SFP'!L12)/1000000</f>
        <v>128.58832285</v>
      </c>
      <c r="O3" s="69">
        <f>(('Evolutive SFP'!M38+'Evolutive SFP'!M39+'Evolutive SFP'!M40+'Evolutive SFP'!M41+'Evolutive SFP'!M42+'Evolutive SFP'!M43)-'Evolutive SFP'!M12)/1000000</f>
        <v>109.41069164999999</v>
      </c>
      <c r="P3" s="69">
        <f>(('Evolutive SFP'!N38+'Evolutive SFP'!N39+'Evolutive SFP'!N40+'Evolutive SFP'!N41+'Evolutive SFP'!N42+'Evolutive SFP'!N43)-'Evolutive SFP'!N12)/1000000</f>
        <v>68.206562729999987</v>
      </c>
      <c r="Q3" s="69">
        <f>(('Evolutive SFP'!O38+'Evolutive SFP'!O39+'Evolutive SFP'!O40+'Evolutive SFP'!O41+'Evolutive SFP'!O42+'Evolutive SFP'!O43)-'Evolutive SFP'!O12)/1000000</f>
        <v>69.413069579999998</v>
      </c>
      <c r="R3" s="69">
        <f>(('Evolutive SFP'!P38+'Evolutive SFP'!P39+'Evolutive SFP'!P40+'Evolutive SFP'!P41+'Evolutive SFP'!P42+'Evolutive SFP'!P43)-'Evolutive SFP'!P12)/1000000</f>
        <v>69.413069579999998</v>
      </c>
      <c r="S3" s="69">
        <f>(('Evolutive SFP'!Q38+'Evolutive SFP'!Q39+'Evolutive SFP'!Q40+'Evolutive SFP'!Q41+'Evolutive SFP'!Q42+'Evolutive SFP'!Q43)-'Evolutive SFP'!Q12)/1000000</f>
        <v>69.417069580000003</v>
      </c>
      <c r="T3" s="69">
        <f>(('Evolutive SFP'!R38+'Evolutive SFP'!R39+'Evolutive SFP'!R40+'Evolutive SFP'!R41+'Evolutive SFP'!R42+'Evolutive SFP'!R43)-'Evolutive SFP'!R12)/1000000</f>
        <v>137.60744079</v>
      </c>
      <c r="U3" s="69">
        <f>(('Evolutive SFP'!S38+'Evolutive SFP'!S39+'Evolutive SFP'!S40+'Evolutive SFP'!S41+'Evolutive SFP'!S42+'Evolutive SFP'!S43)-'Evolutive SFP'!S12)/1000000</f>
        <v>144.58320534999999</v>
      </c>
      <c r="V3" s="69">
        <f>(('Evolutive SFP'!T38+'Evolutive SFP'!T39+'Evolutive SFP'!T40+'Evolutive SFP'!T41+'Evolutive SFP'!T42+'Evolutive SFP'!T43)-'Evolutive SFP'!T12)/1000000</f>
        <v>149.89276435999997</v>
      </c>
      <c r="W3" s="69">
        <f>(('Evolutive SFP'!U38+'Evolutive SFP'!U39+'Evolutive SFP'!U40+'Evolutive SFP'!U41+'Evolutive SFP'!U42+'Evolutive SFP'!U43)-'Evolutive SFP'!U12)/1000000</f>
        <v>155.31330121000002</v>
      </c>
      <c r="X3" s="69">
        <f>(('Evolutive SFP'!V38+'Evolutive SFP'!V39+'Evolutive SFP'!V40+'Evolutive SFP'!V41+'Evolutive SFP'!V42+'Evolutive SFP'!V43)-'Evolutive SFP'!V12)/1000000</f>
        <v>158.94847554</v>
      </c>
      <c r="Y3" s="69">
        <f>(('Evolutive SFP'!W38+'Evolutive SFP'!W39+'Evolutive SFP'!W40+'Evolutive SFP'!W41+'Evolutive SFP'!W42+'Evolutive SFP'!W43)-'Evolutive SFP'!W12)/1000000</f>
        <v>163.25212473999997</v>
      </c>
      <c r="Z3" s="69">
        <f>(('Evolutive SFP'!X38+'Evolutive SFP'!X39+'Evolutive SFP'!X40+'Evolutive SFP'!X41+'Evolutive SFP'!X42+'Evolutive SFP'!X43)-'Evolutive SFP'!X12)/1000000</f>
        <v>173.03740291999998</v>
      </c>
      <c r="AA3" s="69">
        <f>(('Evolutive SFP'!Y38+'Evolutive SFP'!Y39+'Evolutive SFP'!Y40+'Evolutive SFP'!Y41+'Evolutive SFP'!Y42+'Evolutive SFP'!Y43)-'Evolutive SFP'!Y12)/1000000</f>
        <v>131.23845754999999</v>
      </c>
      <c r="AB3" s="69">
        <f>(('Evolutive SFP'!Z38+'Evolutive SFP'!Z39+'Evolutive SFP'!Z40+'Evolutive SFP'!Z41+'Evolutive SFP'!Z42+'Evolutive SFP'!Z43)-'Evolutive SFP'!Z12)/1000000</f>
        <v>129.54533051000001</v>
      </c>
      <c r="AC3" s="69">
        <f>(('Evolutive SFP'!AA38+'Evolutive SFP'!AA39+'Evolutive SFP'!AA40+'Evolutive SFP'!AA41+'Evolutive SFP'!AA42+'Evolutive SFP'!AA43)-'Evolutive SFP'!AA12)/1000000</f>
        <v>128.89078521000002</v>
      </c>
      <c r="AD3" s="69">
        <f>(('Evolutive SFP'!AB38+'Evolutive SFP'!AB39+'Evolutive SFP'!AB40+'Evolutive SFP'!AB41+'Evolutive SFP'!AB42+'Evolutive SFP'!AB43)-'Evolutive SFP'!AB12)/1000000</f>
        <v>134.11185581999999</v>
      </c>
      <c r="AE3" s="69">
        <f>(('Evolutive SFP'!AC38+'Evolutive SFP'!AC39+'Evolutive SFP'!AC40+'Evolutive SFP'!AC41+'Evolutive SFP'!AC42+'Evolutive SFP'!AC43)-'Evolutive SFP'!AC12)/1000000</f>
        <v>139.83112640000002</v>
      </c>
      <c r="AF3" s="69">
        <f>(('Evolutive SFP'!AD38+'Evolutive SFP'!AD39+'Evolutive SFP'!AD40+'Evolutive SFP'!AD41+'Evolutive SFP'!AD42+'Evolutive SFP'!AD43)-'Evolutive SFP'!AD12)/1000000</f>
        <v>144.40617921</v>
      </c>
      <c r="AG3" s="69">
        <f>(('Evolutive SFP'!AE38+'Evolutive SFP'!AE39+'Evolutive SFP'!AE40+'Evolutive SFP'!AE41+'Evolutive SFP'!AE42+'Evolutive SFP'!AE43)-'Evolutive SFP'!AE12)/1000000</f>
        <v>147.14124849000001</v>
      </c>
      <c r="AH3" s="69">
        <f>(('Evolutive SFP'!AF38+'Evolutive SFP'!AF39+'Evolutive SFP'!AF40+'Evolutive SFP'!AF41+'Evolutive SFP'!AF42+'Evolutive SFP'!AF43)-'Evolutive SFP'!AF12)/1000000</f>
        <v>147.45609059</v>
      </c>
      <c r="AI3" s="69">
        <f>(('Evolutive SFP'!AG38+'Evolutive SFP'!AG39+'Evolutive SFP'!AG40+'Evolutive SFP'!AG41+'Evolutive SFP'!AG42+'Evolutive SFP'!AG43)-'Evolutive SFP'!AG12)/1000000</f>
        <v>154.01934709</v>
      </c>
      <c r="AJ3" s="69">
        <f>(('Evolutive SFP'!AH38+'Evolutive SFP'!AH39+'Evolutive SFP'!AH40+'Evolutive SFP'!AH41+'Evolutive SFP'!AH42+'Evolutive SFP'!AH43)-'Evolutive SFP'!AH12)/1000000</f>
        <v>155.79684079999998</v>
      </c>
      <c r="AK3" s="69">
        <f>(('Evolutive SFP'!AI38+'Evolutive SFP'!AI39+'Evolutive SFP'!AI40+'Evolutive SFP'!AI41+'Evolutive SFP'!AI42+'Evolutive SFP'!AI43)-'Evolutive SFP'!AI12)/1000000</f>
        <v>142.11980409</v>
      </c>
      <c r="AL3" s="69">
        <f>(('Evolutive SFP'!AJ38+'Evolutive SFP'!AJ39+'Evolutive SFP'!AJ40+'Evolutive SFP'!AJ41+'Evolutive SFP'!AJ42+'Evolutive SFP'!AJ43)-'Evolutive SFP'!AJ12)/1000000</f>
        <v>144.33931549000002</v>
      </c>
      <c r="AM3" s="69">
        <f>(('Evolutive SFP'!AK38+'Evolutive SFP'!AK39+'Evolutive SFP'!AK40+'Evolutive SFP'!AK41+'Evolutive SFP'!AK42+'Evolutive SFP'!AK43)-'Evolutive SFP'!AK12)/1000000</f>
        <v>146.23325080000001</v>
      </c>
      <c r="AN3" s="69">
        <f>(('Evolutive SFP'!AL38+'Evolutive SFP'!AL39+'Evolutive SFP'!AL40+'Evolutive SFP'!AL41+'Evolutive SFP'!AL42+'Evolutive SFP'!AL43)-'Evolutive SFP'!AL12)/1000000</f>
        <v>155.44869069999999</v>
      </c>
      <c r="AO3" s="69">
        <f>(('Evolutive SFP'!AM38+'Evolutive SFP'!AM39+'Evolutive SFP'!AM40+'Evolutive SFP'!AM41+'Evolutive SFP'!AM42+'Evolutive SFP'!AM43)-'Evolutive SFP'!AM12)/1000000</f>
        <v>141.50741585</v>
      </c>
      <c r="AP3" s="69">
        <f>(('Evolutive SFP'!AN38+'Evolutive SFP'!AN39+'Evolutive SFP'!AN40+'Evolutive SFP'!AN41+'Evolutive SFP'!AN42+'Evolutive SFP'!AN43)-'Evolutive SFP'!AN12)/1000000</f>
        <v>142.94469319999999</v>
      </c>
      <c r="AQ3" s="69">
        <f>(('Evolutive SFP'!AO38+'Evolutive SFP'!AO39+'Evolutive SFP'!AO40+'Evolutive SFP'!AO41+'Evolutive SFP'!AO42+'Evolutive SFP'!AO43)-'Evolutive SFP'!AO12)/1000000</f>
        <v>143.39875003999998</v>
      </c>
      <c r="AR3" s="69">
        <f>(('Evolutive SFP'!AP38+'Evolutive SFP'!AP39+'Evolutive SFP'!AP40+'Evolutive SFP'!AP41+'Evolutive SFP'!AP42+'Evolutive SFP'!AP43)-'Evolutive SFP'!AP12)/1000000</f>
        <v>125.63494730000001</v>
      </c>
      <c r="AS3" s="69">
        <f>(('Evolutive SFP'!AQ38+'Evolutive SFP'!AQ39+'Evolutive SFP'!AQ40+'Evolutive SFP'!AQ41+'Evolutive SFP'!AQ42+'Evolutive SFP'!AQ43)-'Evolutive SFP'!AQ12)/1000000</f>
        <v>132.99437279</v>
      </c>
      <c r="AT3" s="69">
        <f>(('Evolutive SFP'!AR38+'Evolutive SFP'!AR39+'Evolutive SFP'!AR40+'Evolutive SFP'!AR41+'Evolutive SFP'!AR42+'Evolutive SFP'!AR43)-'Evolutive SFP'!AR12)/1000000</f>
        <v>136.47131811</v>
      </c>
      <c r="AU3" s="69">
        <f>(('Evolutive SFP'!AS38+'Evolutive SFP'!AS39+'Evolutive SFP'!AS40+'Evolutive SFP'!AS41+'Evolutive SFP'!AS42+'Evolutive SFP'!AS43)-'Evolutive SFP'!AS12)/1000000</f>
        <v>141.30309094</v>
      </c>
      <c r="AV3" s="69">
        <f>(('Evolutive SFP'!AT38+'Evolutive SFP'!AT39+'Evolutive SFP'!AT40+'Evolutive SFP'!AT41+'Evolutive SFP'!AT42+'Evolutive SFP'!AT43)-'Evolutive SFP'!AT12)/1000000</f>
        <v>146.16218945</v>
      </c>
      <c r="AW3" s="69">
        <f>(('Evolutive SFP'!AU38+'Evolutive SFP'!AU39+'Evolutive SFP'!AU40+'Evolutive SFP'!AU41+'Evolutive SFP'!AU42+'Evolutive SFP'!AU43)-'Evolutive SFP'!AU12)/1000000</f>
        <v>152.11972399000001</v>
      </c>
      <c r="AX3" s="69">
        <f>(('Evolutive SFP'!AV38+'Evolutive SFP'!AV39+'Evolutive SFP'!AV40+'Evolutive SFP'!AV41+'Evolutive SFP'!AV42+'Evolutive SFP'!AV43)-'Evolutive SFP'!AV12)/1000000</f>
        <v>0</v>
      </c>
      <c r="AY3" s="69">
        <f>(('Evolutive SFP'!AW38+'Evolutive SFP'!AW39+'Evolutive SFP'!AW40+'Evolutive SFP'!AW41+'Evolutive SFP'!AW42+'Evolutive SFP'!AW43)-'Evolutive SFP'!AW12)/1000000</f>
        <v>0</v>
      </c>
      <c r="AZ3" s="69">
        <f>(('Evolutive SFP'!AX38+'Evolutive SFP'!AX39+'Evolutive SFP'!AX40+'Evolutive SFP'!AX41+'Evolutive SFP'!AX42+'Evolutive SFP'!AX43)-'Evolutive SFP'!AX12)/1000000</f>
        <v>0</v>
      </c>
    </row>
    <row r="4" spans="1:52" ht="15">
      <c r="A4" s="250"/>
      <c r="B4" s="55" t="s">
        <v>127</v>
      </c>
      <c r="C4" s="56" t="s">
        <v>128</v>
      </c>
      <c r="D4" s="58">
        <f>D3/(('Evolutive SFP'!B26)/1000000)</f>
        <v>0.19171360268170673</v>
      </c>
      <c r="E4" s="58">
        <f>E3/(('Evolutive SFP'!C26)/1000000)</f>
        <v>0.13076981011430144</v>
      </c>
      <c r="F4" s="58">
        <f>F3/(('Evolutive SFP'!D26)/1000000)</f>
        <v>0.13011128327869864</v>
      </c>
      <c r="G4" s="58">
        <f>G3/(('Evolutive SFP'!E26)/1000000)</f>
        <v>0.14584551368468807</v>
      </c>
      <c r="H4" s="58">
        <f>H3/(('Evolutive SFP'!F26)/1000000)</f>
        <v>0.14575648787563927</v>
      </c>
      <c r="I4" s="58">
        <f>I3/(('Evolutive SFP'!G26)/1000000)</f>
        <v>0.14619538336350915</v>
      </c>
      <c r="J4" s="58">
        <f>J3/(('Evolutive SFP'!H26)/1000000)</f>
        <v>9.993413023744227E-2</v>
      </c>
      <c r="K4" s="58">
        <f>K3/(('Evolutive SFP'!I26)/1000000)</f>
        <v>9.9531246430670461E-2</v>
      </c>
      <c r="L4" s="58">
        <f>L3/(('Evolutive SFP'!J26)/1000000)</f>
        <v>9.9227975702658858E-2</v>
      </c>
      <c r="M4" s="58">
        <f>M3/(('Evolutive SFP'!K26)/1000000)</f>
        <v>9.8068932861753513E-2</v>
      </c>
      <c r="N4" s="70">
        <f>N3/(('Evolutive SFP'!L26)/1000000)</f>
        <v>0.19922330615243167</v>
      </c>
      <c r="O4" s="70">
        <f>O3/(('Evolutive SFP'!M26)/1000000)</f>
        <v>0.14314367964054556</v>
      </c>
      <c r="P4" s="70">
        <f>P3/(('Evolutive SFP'!N26)/1000000)</f>
        <v>8.8853136496797339E-2</v>
      </c>
      <c r="Q4" s="70">
        <f>Q3/(('Evolutive SFP'!O26)/1000000)</f>
        <v>9.0610059859459427E-2</v>
      </c>
      <c r="R4" s="70">
        <f>R3/(('Evolutive SFP'!P26)/1000000)</f>
        <v>9.1707783487300548E-2</v>
      </c>
      <c r="S4" s="70">
        <f>S3/(('Evolutive SFP'!Q26)/1000000)</f>
        <v>9.0465219432394342E-2</v>
      </c>
      <c r="T4" s="70">
        <f>T3/(('Evolutive SFP'!R26)/1000000)</f>
        <v>0.17900717992181567</v>
      </c>
      <c r="U4" s="70">
        <f>U3/(('Evolutive SFP'!S26)/1000000)</f>
        <v>0.18141540044055063</v>
      </c>
      <c r="V4" s="70">
        <f>V3/(('Evolutive SFP'!T26)/1000000)</f>
        <v>0.18455855072861341</v>
      </c>
      <c r="W4" s="70">
        <f>W3/(('Evolutive SFP'!U26)/1000000)</f>
        <v>0.18981503853847198</v>
      </c>
      <c r="X4" s="70">
        <f>X3/(('Evolutive SFP'!V26)/1000000)</f>
        <v>0.19283396037257014</v>
      </c>
      <c r="Y4" s="70">
        <f>Y3/(('Evolutive SFP'!W26)/1000000)</f>
        <v>0.19576249971808629</v>
      </c>
      <c r="Z4" s="70">
        <f>Z3/(('Evolutive SFP'!X26)/1000000)</f>
        <v>0.20588630946320619</v>
      </c>
      <c r="AA4" s="70">
        <f>AA3/(('Evolutive SFP'!Y26)/1000000)</f>
        <v>0.15678202072985131</v>
      </c>
      <c r="AB4" s="70">
        <f>AB3/(('Evolutive SFP'!Z26)/1000000)</f>
        <v>0.15139587501713234</v>
      </c>
      <c r="AC4" s="70">
        <f>AC3/(('Evolutive SFP'!AA26)/1000000)</f>
        <v>0.14927715307844844</v>
      </c>
      <c r="AD4" s="70">
        <f>AD3/(('Evolutive SFP'!AB26)/1000000)</f>
        <v>0.15881460651866686</v>
      </c>
      <c r="AE4" s="70">
        <f>AE3/(('Evolutive SFP'!AC26)/1000000)</f>
        <v>0.16861387952367743</v>
      </c>
      <c r="AF4" s="70">
        <f>AF3/(('Evolutive SFP'!AD26)/1000000)</f>
        <v>0.17345437227655389</v>
      </c>
      <c r="AG4" s="70">
        <f>AG3/(('Evolutive SFP'!AE26)/1000000)</f>
        <v>0.17398341914743176</v>
      </c>
      <c r="AH4" s="70">
        <f>AH3/(('Evolutive SFP'!AF26)/1000000)</f>
        <v>0.17462452814711271</v>
      </c>
      <c r="AI4" s="70">
        <f>AI3/(('Evolutive SFP'!AG26)/1000000)</f>
        <v>0.18051583454632675</v>
      </c>
      <c r="AJ4" s="70">
        <f>AJ3/(('Evolutive SFP'!AH26)/1000000)</f>
        <v>0.18322992146065603</v>
      </c>
      <c r="AK4" s="70">
        <f>AK3/(('Evolutive SFP'!AI26)/1000000)</f>
        <v>0.16414146241616484</v>
      </c>
      <c r="AL4" s="70">
        <f>AL3/(('Evolutive SFP'!AJ26)/1000000)</f>
        <v>0.16542627796063977</v>
      </c>
      <c r="AM4" s="70">
        <f>AM3/(('Evolutive SFP'!AK26)/1000000)</f>
        <v>0.16627991692202893</v>
      </c>
      <c r="AN4" s="70">
        <f>AN3/(('Evolutive SFP'!AL26)/1000000)</f>
        <v>0.17429290656170168</v>
      </c>
      <c r="AO4" s="70">
        <f>AO3/(('Evolutive SFP'!AM26)/1000000)</f>
        <v>0.1595788190019525</v>
      </c>
      <c r="AP4" s="70">
        <f>AP3/(('Evolutive SFP'!AN26)/1000000)</f>
        <v>0.16092839512717055</v>
      </c>
      <c r="AQ4" s="70">
        <f>AQ3/(('Evolutive SFP'!AO26)/1000000)</f>
        <v>0.16297793649351461</v>
      </c>
      <c r="AR4" s="70">
        <f>AR3/(('Evolutive SFP'!AP26)/1000000)</f>
        <v>0.14591839843474097</v>
      </c>
      <c r="AS4" s="70">
        <f>AS3/(('Evolutive SFP'!AQ26)/1000000)</f>
        <v>0.15263958673237946</v>
      </c>
      <c r="AT4" s="70">
        <f>AT3/(('Evolutive SFP'!AR26)/1000000)</f>
        <v>0.15529856913905679</v>
      </c>
      <c r="AU4" s="70">
        <f>AU3/(('Evolutive SFP'!AS26)/1000000)</f>
        <v>0.15859128720541785</v>
      </c>
      <c r="AV4" s="70">
        <f>AV3/(('Evolutive SFP'!AT26)/1000000)</f>
        <v>0.16170840233797487</v>
      </c>
      <c r="AW4" s="70">
        <f>AW3/(('Evolutive SFP'!AU26)/1000000)</f>
        <v>0.16919732630416251</v>
      </c>
      <c r="AX4" s="70" t="e">
        <f>AX3/(('Evolutive SFP'!AV26)/1000000)</f>
        <v>#DIV/0!</v>
      </c>
      <c r="AY4" s="70" t="e">
        <f>AY3/(('Evolutive SFP'!AW26)/1000000)</f>
        <v>#DIV/0!</v>
      </c>
      <c r="AZ4" s="70" t="e">
        <f>AZ3/(('Evolutive SFP'!AX26)/1000000)</f>
        <v>#DIV/0!</v>
      </c>
    </row>
    <row r="5" spans="1:52" ht="15">
      <c r="A5" s="250"/>
      <c r="B5" s="55" t="s">
        <v>129</v>
      </c>
      <c r="C5" s="56" t="s">
        <v>130</v>
      </c>
      <c r="D5" s="58">
        <f>D3/('Evolutive SFP'!B30/1000000)</f>
        <v>0.20593591057310595</v>
      </c>
      <c r="E5" s="58">
        <f>E3/('Evolutive SFP'!C30/1000000)</f>
        <v>0.17546754946224385</v>
      </c>
      <c r="F5" s="58">
        <f>F3/('Evolutive SFP'!D30/1000000)</f>
        <v>0.17124010152979846</v>
      </c>
      <c r="G5" s="58">
        <f>G3/('Evolutive SFP'!E30/1000000)</f>
        <v>0.18534094556894401</v>
      </c>
      <c r="H5" s="58">
        <f>H3/('Evolutive SFP'!F30/1000000)</f>
        <v>0.18550304622002267</v>
      </c>
      <c r="I5" s="58">
        <f>I3/('Evolutive SFP'!G30/1000000)</f>
        <v>0.18590532420898023</v>
      </c>
      <c r="J5" s="58">
        <f>J3/('Evolutive SFP'!H30/1000000)</f>
        <v>0.12347615697308349</v>
      </c>
      <c r="K5" s="58">
        <f>K3/('Evolutive SFP'!I30/1000000)</f>
        <v>0.12313093350282933</v>
      </c>
      <c r="L5" s="58">
        <f>L3/('Evolutive SFP'!J30/1000000)</f>
        <v>0.12328847166232487</v>
      </c>
      <c r="M5" s="58">
        <f>M3/('Evolutive SFP'!K30/1000000)</f>
        <v>0.11989545294103976</v>
      </c>
      <c r="N5" s="70">
        <f>N3/('Evolutive SFP'!L30/1000000)</f>
        <v>0.20468740534486807</v>
      </c>
      <c r="O5" s="70">
        <f>O3/('Evolutive SFP'!M30/1000000)</f>
        <v>0.17608055346817675</v>
      </c>
      <c r="P5" s="70">
        <f>P3/('Evolutive SFP'!N30/1000000)</f>
        <v>0.10957972809308571</v>
      </c>
      <c r="Q5" s="70">
        <f>Q3/('Evolutive SFP'!O30/1000000)</f>
        <v>0.10807974897974887</v>
      </c>
      <c r="R5" s="70">
        <f>R3/('Evolutive SFP'!P30/1000000)</f>
        <v>0.1111301908704905</v>
      </c>
      <c r="S5" s="70">
        <f>S3/('Evolutive SFP'!Q30/1000000)</f>
        <v>0.1100622703750426</v>
      </c>
      <c r="T5" s="70">
        <f>T3/('Evolutive SFP'!R30/1000000)</f>
        <v>0.22128661117826989</v>
      </c>
      <c r="U5" s="70">
        <f>U3/('Evolutive SFP'!S30/1000000)</f>
        <v>0.22866037379988635</v>
      </c>
      <c r="V5" s="70">
        <f>V3/('Evolutive SFP'!T30/1000000)</f>
        <v>0.23297018752556536</v>
      </c>
      <c r="W5" s="70">
        <f>W3/('Evolutive SFP'!U30/1000000)</f>
        <v>0.24114564438010186</v>
      </c>
      <c r="X5" s="70">
        <f>X3/('Evolutive SFP'!V30/1000000)</f>
        <v>0.24634973478023553</v>
      </c>
      <c r="Y5" s="70">
        <f>Y3/('Evolutive SFP'!W30/1000000)</f>
        <v>0.25130718582341005</v>
      </c>
      <c r="Z5" s="70">
        <f>Z3/('Evolutive SFP'!X30/1000000)</f>
        <v>0.26548053677569844</v>
      </c>
      <c r="AA5" s="70">
        <f>AA3/('Evolutive SFP'!Y30/1000000)</f>
        <v>0.20135107352774043</v>
      </c>
      <c r="AB5" s="70">
        <f>AB3/('Evolutive SFP'!Z30/1000000)</f>
        <v>0.19597884010801653</v>
      </c>
      <c r="AC5" s="70">
        <f>AC3/('Evolutive SFP'!AA30/1000000)</f>
        <v>0.19329811580485826</v>
      </c>
      <c r="AD5" s="70">
        <f>AD3/('Evolutive SFP'!AB30/1000000)</f>
        <v>0.19398274498326454</v>
      </c>
      <c r="AE5" s="70">
        <f>AE3/('Evolutive SFP'!AC30/1000000)</f>
        <v>0.20812275334597113</v>
      </c>
      <c r="AF5" s="70">
        <f>AF3/('Evolutive SFP'!AD30/1000000)</f>
        <v>0.21549564098142798</v>
      </c>
      <c r="AG5" s="70">
        <f>AG3/('Evolutive SFP'!AE30/1000000)</f>
        <v>0.21522652113451451</v>
      </c>
      <c r="AH5" s="70">
        <f>AH3/('Evolutive SFP'!AF30/1000000)</f>
        <v>0.21668067046659581</v>
      </c>
      <c r="AI5" s="70">
        <f>AI3/('Evolutive SFP'!AG30/1000000)</f>
        <v>0.22580484635204806</v>
      </c>
      <c r="AJ5" s="70">
        <f>AJ3/('Evolutive SFP'!AH30/1000000)</f>
        <v>0.23010062382311014</v>
      </c>
      <c r="AK5" s="70">
        <f>AK3/('Evolutive SFP'!AI30/1000000)</f>
        <v>0.20667454924677992</v>
      </c>
      <c r="AL5" s="70">
        <f>AL3/('Evolutive SFP'!AJ30/1000000)</f>
        <v>0.20877994134913866</v>
      </c>
      <c r="AM5" s="70">
        <f>AM3/('Evolutive SFP'!AK30/1000000)</f>
        <v>0.21146884123630352</v>
      </c>
      <c r="AN5" s="70">
        <f>AN3/('Evolutive SFP'!AL30/1000000)</f>
        <v>0.22479534785254535</v>
      </c>
      <c r="AO5" s="70">
        <f>AO3/('Evolutive SFP'!AM30/1000000)</f>
        <v>0.20367373260558172</v>
      </c>
      <c r="AP5" s="70">
        <f>AP3/('Evolutive SFP'!AN30/1000000)</f>
        <v>0.20597672483469703</v>
      </c>
      <c r="AQ5" s="70">
        <f>AQ3/('Evolutive SFP'!AO30/1000000)</f>
        <v>0.19856720716727436</v>
      </c>
      <c r="AR5" s="70">
        <f>AR3/('Evolutive SFP'!AP30/1000000)</f>
        <v>0.17880143711140895</v>
      </c>
      <c r="AS5" s="70">
        <f>AS3/('Evolutive SFP'!AQ30/1000000)</f>
        <v>0.18885058931996285</v>
      </c>
      <c r="AT5" s="70">
        <f>AT3/('Evolutive SFP'!AR30/1000000)</f>
        <v>0.19261493958358977</v>
      </c>
      <c r="AU5" s="70">
        <f>AU3/('Evolutive SFP'!AS30/1000000)</f>
        <v>0.19775519998337665</v>
      </c>
      <c r="AV5" s="70">
        <f>AV3/('Evolutive SFP'!AT30/1000000)</f>
        <v>0.20255720018855966</v>
      </c>
      <c r="AW5" s="70">
        <f>AW3/('Evolutive SFP'!AU30/1000000)</f>
        <v>0.21412527278756241</v>
      </c>
      <c r="AX5" s="70" t="e">
        <f>AX3/('Evolutive SFP'!AV30/1000000)</f>
        <v>#DIV/0!</v>
      </c>
      <c r="AY5" s="70" t="e">
        <f>AY3/('Evolutive SFP'!AW30/1000000)</f>
        <v>#DIV/0!</v>
      </c>
      <c r="AZ5" s="70" t="e">
        <f>AZ3/('Evolutive SFP'!AX30/1000000)</f>
        <v>#DIV/0!</v>
      </c>
    </row>
    <row r="6" spans="1:52" ht="15">
      <c r="A6" s="250"/>
      <c r="B6" s="55" t="s">
        <v>131</v>
      </c>
      <c r="C6" s="56" t="s">
        <v>130</v>
      </c>
      <c r="D6" s="58">
        <f>((D3*1000000)-'Evolutive SFP'!B38)/'Evolutive SFP'!B26</f>
        <v>0.11264640423558646</v>
      </c>
      <c r="E6" s="58">
        <f>((E3*1000000)-'Evolutive SFP'!C38)/'Evolutive SFP'!C26</f>
        <v>6.674153865955175E-2</v>
      </c>
      <c r="F6" s="58">
        <f>((F3*1000000)-'Evolutive SFP'!D38)/'Evolutive SFP'!D26</f>
        <v>6.6454056650434259E-2</v>
      </c>
      <c r="G6" s="58">
        <f>((G3*1000000)-'Evolutive SFP'!E38)/'Evolutive SFP'!E26</f>
        <v>8.128997436206066E-2</v>
      </c>
      <c r="H6" s="58">
        <f>((H3*1000000)-'Evolutive SFP'!F38)/'Evolutive SFP'!F26</f>
        <v>8.1225554974352673E-2</v>
      </c>
      <c r="I6" s="58">
        <f>((I3*1000000)-'Evolutive SFP'!G38)/'Evolutive SFP'!G26</f>
        <v>8.1390871263143968E-2</v>
      </c>
      <c r="J6" s="58">
        <f>((J3*1000000)-'Evolutive SFP'!H38)/'Evolutive SFP'!H26</f>
        <v>3.4346130891072288E-2</v>
      </c>
      <c r="K6" s="58">
        <f>((K3*1000000)-'Evolutive SFP'!I38)/'Evolutive SFP'!I26</f>
        <v>3.420743759446844E-2</v>
      </c>
      <c r="L6" s="58">
        <f>((L3*1000000)-'Evolutive SFP'!J38)/'Evolutive SFP'!J26</f>
        <v>3.4102302308183056E-2</v>
      </c>
      <c r="M6" s="58">
        <f>((M3*1000000)-'Evolutive SFP'!K38)/'Evolutive SFP'!K26</f>
        <v>3.3703474258771383E-2</v>
      </c>
      <c r="N6" s="70">
        <f>((N3*1000000)-'Evolutive SFP'!L38)/'Evolutive SFP'!L26</f>
        <v>0.12263311567974008</v>
      </c>
      <c r="O6" s="70">
        <f>((O3*1000000)-'Evolutive SFP'!M38)/'Evolutive SFP'!M26</f>
        <v>7.8467113255643456E-2</v>
      </c>
      <c r="P6" s="70">
        <f>((P3*1000000)-'Evolutive SFP'!N38)/'Evolutive SFP'!N26</f>
        <v>2.4453576777534788E-2</v>
      </c>
      <c r="Q6" s="70">
        <f>((Q3*1000000)-'Evolutive SFP'!O38)/'Evolutive SFP'!O26</f>
        <v>2.6074398813620895E-2</v>
      </c>
      <c r="R6" s="70">
        <f>((R3*1000000)-'Evolutive SFP'!P38)/'Evolutive SFP'!P26</f>
        <v>2.639028519206341E-2</v>
      </c>
      <c r="S6" s="70">
        <f>((S3*1000000)-'Evolutive SFP'!Q38)/'Evolutive SFP'!Q26</f>
        <v>2.6031218740287049E-2</v>
      </c>
      <c r="T6" s="70">
        <f>((T3*1000000)-'Evolutive SFP'!R38)/'Evolutive SFP'!R26</f>
        <v>0.10278649952064214</v>
      </c>
      <c r="U6" s="70">
        <f>((U3*1000000)-'Evolutive SFP'!S38)/'Evolutive SFP'!S26</f>
        <v>0.10789372158920313</v>
      </c>
      <c r="V6" s="70">
        <f>((V3*1000000)-'Evolutive SFP'!T38)/'Evolutive SFP'!T26</f>
        <v>0.11241249141045911</v>
      </c>
      <c r="W6" s="70">
        <f>((W3*1000000)-'Evolutive SFP'!U38)/'Evolutive SFP'!U26</f>
        <v>0.11820259533599718</v>
      </c>
      <c r="X6" s="70">
        <f>((X3*1000000)-'Evolutive SFP'!V38)/'Evolutive SFP'!V26</f>
        <v>0.12174638889482249</v>
      </c>
      <c r="Y6" s="70">
        <f>((Y3*1000000)-'Evolutive SFP'!W38)/'Evolutive SFP'!W26</f>
        <v>0.12548461119399393</v>
      </c>
      <c r="Z6" s="70">
        <f>((Z3*1000000)-'Evolutive SFP'!X38)/'Evolutive SFP'!X26</f>
        <v>0.13615257300588324</v>
      </c>
      <c r="AA6" s="148">
        <f>((AA3*1000000)-'Evolutive SFP'!Y38)/'Evolutive SFP'!Y26</f>
        <v>8.6767100789632276E-2</v>
      </c>
      <c r="AB6" s="70">
        <f>((AB3*1000000)-'Evolutive SFP'!Z38)/'Evolutive SFP'!Z26</f>
        <v>8.2902631241309602E-2</v>
      </c>
      <c r="AC6" s="70">
        <f>((AC3*1000000)-'Evolutive SFP'!AA38)/'Evolutive SFP'!AA26</f>
        <v>8.1397745236076E-2</v>
      </c>
      <c r="AD6" s="70">
        <f>((AD3*1000000)-'Evolutive SFP'!AB38)/'Evolutive SFP'!AB26</f>
        <v>8.9540929109730938E-2</v>
      </c>
      <c r="AE6" s="70">
        <f>((AE3*1000000)-'Evolutive SFP'!AC38)/'Evolutive SFP'!AC26</f>
        <v>9.8074044924102058E-2</v>
      </c>
      <c r="AF6" s="70">
        <f>((AF3*1000000)-'Evolutive SFP'!AD38)/'Evolutive SFP'!AD26</f>
        <v>0.10318849925960571</v>
      </c>
      <c r="AG6" s="70">
        <f>((AG3*1000000)-'Evolutive SFP'!AE38)/'Evolutive SFP'!AE26</f>
        <v>0.10481332020303412</v>
      </c>
      <c r="AH6" s="70">
        <f>((AH3*1000000)-'Evolutive SFP'!AF38)/'Evolutive SFP'!AF26</f>
        <v>0.10534777863001778</v>
      </c>
      <c r="AI6" s="70">
        <f>((AI3*1000000)-'Evolutive SFP'!AG38)/'Evolutive SFP'!AG26</f>
        <v>0.1119535945969917</v>
      </c>
      <c r="AJ6" s="70">
        <f>((AJ3*1000000)-'Evolutive SFP'!AH38)/'Evolutive SFP'!AH26</f>
        <v>0.11440521722977613</v>
      </c>
      <c r="AK6" s="70">
        <f>((AK3*1000000)-'Evolutive SFP'!AI38)/'Evolutive SFP'!AI26</f>
        <v>9.5669672358894786E-2</v>
      </c>
      <c r="AL6" s="70">
        <f>((AL3*1000000)-'Evolutive SFP'!AJ38)/'Evolutive SFP'!AJ26</f>
        <v>9.7479660651325364E-2</v>
      </c>
      <c r="AM6" s="70">
        <f>((AM3*1000000)-'Evolutive SFP'!AK38)/'Evolutive SFP'!AK26</f>
        <v>8.8028156865271684E-2</v>
      </c>
      <c r="AN6" s="70">
        <f>((AN3*1000000)-'Evolutive SFP'!AL38)/'Evolutive SFP'!AL26</f>
        <v>9.7132751055433231E-2</v>
      </c>
      <c r="AO6" s="70">
        <f>((AO3*1000000)-'Evolutive SFP'!AM38)/'Evolutive SFP'!AM26</f>
        <v>8.1972605213528282E-2</v>
      </c>
      <c r="AP6" s="70">
        <f>((AP3*1000000)-'Evolutive SFP'!AN38)/'Evolutive SFP'!AN26</f>
        <v>8.3452769363757354E-2</v>
      </c>
      <c r="AQ6" s="70">
        <f>((AQ3*1000000)-'Evolutive SFP'!AO38)/'Evolutive SFP'!AO26</f>
        <v>8.4781092365228905E-2</v>
      </c>
      <c r="AR6" s="70">
        <f>((AR3*1000000)-'Evolutive SFP'!AP38)/'Evolutive SFP'!AP26</f>
        <v>6.5993100397988669E-2</v>
      </c>
      <c r="AS6" s="70">
        <f>((AS3*1000000)-'Evolutive SFP'!AQ38)/'Evolutive SFP'!AQ26</f>
        <v>7.3446173394069253E-2</v>
      </c>
      <c r="AT6" s="70">
        <f>((AT3*1000000)-'Evolutive SFP'!AR38)/'Evolutive SFP'!AR26</f>
        <v>7.6795471564591433E-2</v>
      </c>
      <c r="AU6" s="70">
        <f>((AU3*1000000)-'Evolutive SFP'!AS38)/'Evolutive SFP'!AS26</f>
        <v>8.1163661509942808E-2</v>
      </c>
      <c r="AV6" s="70">
        <f>((AV3*1000000)-'Evolutive SFP'!AT38)/'Evolutive SFP'!AT26</f>
        <v>8.5381141763589227E-2</v>
      </c>
      <c r="AW6" s="70">
        <f>((AW3*1000000)-'Evolutive SFP'!AU38)/'Evolutive SFP'!AU26</f>
        <v>9.2461814967976841E-2</v>
      </c>
      <c r="AX6" s="70" t="e">
        <f>((AX3*1000000)-'Evolutive SFP'!AV38)/'Evolutive SFP'!AV26</f>
        <v>#DIV/0!</v>
      </c>
      <c r="AY6" s="70" t="e">
        <f>((AY3*1000000)-'Evolutive SFP'!AW38)/'Evolutive SFP'!AW26</f>
        <v>#DIV/0!</v>
      </c>
      <c r="AZ6" s="70" t="e">
        <f>((AZ3*1000000)-'Evolutive SFP'!AX38)/'Evolutive SFP'!AX26</f>
        <v>#DIV/0!</v>
      </c>
    </row>
    <row r="7" spans="1:52" ht="15">
      <c r="A7" s="250" t="s">
        <v>132</v>
      </c>
      <c r="B7" s="55" t="s">
        <v>133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</row>
    <row r="8" spans="1:52" ht="15">
      <c r="A8" s="250"/>
      <c r="B8" s="55" t="s">
        <v>134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ht="15">
      <c r="A9" s="247" t="s">
        <v>135</v>
      </c>
      <c r="B9" s="55" t="s">
        <v>136</v>
      </c>
      <c r="C9" s="56"/>
      <c r="D9" s="59">
        <f>'Evolutitve SCI'!B37/'Evolutive SFP'!B26</f>
        <v>2.7333316167002113E-2</v>
      </c>
      <c r="E9" s="59">
        <f>'Evolutitve SCI'!C37/'Evolutive SFP'!C26</f>
        <v>9.942479453513571E-3</v>
      </c>
      <c r="F9" s="59">
        <f>'Evolutitve SCI'!D37/'Evolutive SFP'!D26</f>
        <v>1.8638598633428368E-2</v>
      </c>
      <c r="G9" s="59">
        <f>'Evolutitve SCI'!E37/'Evolutive SFP'!E26</f>
        <v>2.2309476535764466E-2</v>
      </c>
      <c r="H9" s="59">
        <f>'Evolutitve SCI'!F37/'Evolutive SFP'!F26</f>
        <v>2.8670990616516422E-2</v>
      </c>
      <c r="I9" s="59">
        <f>'Evolutitve SCI'!G37/'Evolutive SFP'!G26</f>
        <v>3.3337135760239743E-2</v>
      </c>
      <c r="J9" s="59">
        <f>'Evolutitve SCI'!H37/'Evolutive SFP'!H26</f>
        <v>5.0164989342632006E-2</v>
      </c>
      <c r="K9" s="59">
        <f>'Evolutitve SCI'!I37/'Evolutive SFP'!I26</f>
        <v>5.8382813564890876E-2</v>
      </c>
      <c r="L9" s="59">
        <f>'Evolutitve SCI'!J37/'Evolutive SFP'!J26</f>
        <v>6.5897736810168778E-2</v>
      </c>
      <c r="M9" s="59">
        <f>'Evolutitve SCI'!K37/'Evolutive SFP'!K26</f>
        <v>5.4442712199091865E-2</v>
      </c>
      <c r="N9" s="72">
        <f>'Evolutitve SCI'!L37/'Evolutive SFP'!L26</f>
        <v>1.8171347812564461E-2</v>
      </c>
      <c r="O9" s="72">
        <f>'Evolutitve SCI'!M37/'Evolutive SFP'!M26</f>
        <v>5.1550662934613514E-3</v>
      </c>
      <c r="P9" s="72">
        <f>'Evolutitve SCI'!N37/'Evolutive SFP'!N26</f>
        <v>9.1087266739103001E-3</v>
      </c>
      <c r="Q9" s="72">
        <f>'Evolutitve SCI'!O37/'Evolutive SFP'!O26</f>
        <v>1.4988095030911157E-2</v>
      </c>
      <c r="R9" s="72">
        <f>'Evolutitve SCI'!P37/'Evolutive SFP'!P26</f>
        <v>2.2329500727936623E-2</v>
      </c>
      <c r="S9" s="72">
        <f>'Evolutitve SCI'!Q37/'Evolutive SFP'!Q26</f>
        <v>2.7438307113156573E-2</v>
      </c>
      <c r="T9" s="72">
        <f>'Evolutitve SCI'!R37/'Evolutive SFP'!R26</f>
        <v>3.6190967797968293E-2</v>
      </c>
      <c r="U9" s="72">
        <f>'Evolutitve SCI'!S37/'Evolutive SFP'!S26</f>
        <v>4.1015324082215268E-2</v>
      </c>
      <c r="V9" s="72">
        <f>'Evolutitve SCI'!T37/'Evolutive SFP'!T26</f>
        <v>4.6785415029384152E-2</v>
      </c>
      <c r="W9" s="72">
        <f>'Evolutitve SCI'!U37/'Evolutive SFP'!U26</f>
        <v>5.3062030229063827E-2</v>
      </c>
      <c r="X9" s="72">
        <f>'Evolutitve SCI'!V37/'Evolutive SFP'!V26</f>
        <v>5.7083260937473734E-2</v>
      </c>
      <c r="Y9" s="72">
        <f>'Evolutitve SCI'!W37/'Evolutive SFP'!W26</f>
        <v>6.1569990667945843E-2</v>
      </c>
      <c r="Z9" s="72">
        <f>'Evolutitve SCI'!X37/'Evolutive SFP'!X26</f>
        <v>7.2733973255130938E-2</v>
      </c>
      <c r="AA9" s="72">
        <f>'Evolutitve SCI'!Y37/'Evolutive SFP'!Y26</f>
        <v>1.8470721879405842E-2</v>
      </c>
      <c r="AB9" s="72">
        <f>'Evolutitve SCI'!Z37/'Evolutive SFP'!Z26</f>
        <v>4.9010038036031581E-3</v>
      </c>
      <c r="AC9" s="72">
        <f>'Evolutitve SCI'!AA37/'Evolutive SFP'!AA26</f>
        <v>6.0660314214993731E-3</v>
      </c>
      <c r="AD9" s="72">
        <f>'Evolutitve SCI'!AB37/'Evolutive SFP'!AB26</f>
        <v>1.4368197848050017E-2</v>
      </c>
      <c r="AE9" s="72">
        <f>'Evolutitve SCI'!AC37/'Evolutive SFP'!AC26</f>
        <v>2.1527382984053732E-2</v>
      </c>
      <c r="AF9" s="72">
        <f>'Evolutitve SCI'!AD37/'Evolutive SFP'!AD26</f>
        <v>2.6939080084509428E-2</v>
      </c>
      <c r="AG9" s="72">
        <f>'Evolutitve SCI'!AE37/'Evolutive SFP'!AE26</f>
        <v>2.9752986610905766E-2</v>
      </c>
      <c r="AH9" s="72">
        <f>'Evolutitve SCI'!AF37/'Evolutive SFP'!AF26</f>
        <v>3.01715941263044E-2</v>
      </c>
      <c r="AI9" s="72">
        <f>'Evolutitve SCI'!AG37/'Evolutive SFP'!AG26</f>
        <v>3.7552765511510384E-2</v>
      </c>
      <c r="AJ9" s="72">
        <f>'Evolutitve SCI'!AH37/'Evolutive SFP'!AH26</f>
        <v>3.9747363924194888E-2</v>
      </c>
      <c r="AK9" s="72">
        <f>'Evolutitve SCI'!AI37/'Evolutive SFP'!AI26</f>
        <v>4.2690248354739592E-2</v>
      </c>
      <c r="AL9" s="72">
        <f>'Evolutitve SCI'!AJ37/'Evolutive SFP'!AJ26</f>
        <v>4.4906584278305545E-2</v>
      </c>
      <c r="AM9" s="72">
        <f>'Evolutitve SCI'!AK37/'Evolutive SFP'!AK26</f>
        <v>1.584574089771049E-2</v>
      </c>
      <c r="AN9" s="72">
        <f>'Evolutitve SCI'!AL37/'Evolutive SFP'!AL26</f>
        <v>1.5987869428611481E-2</v>
      </c>
      <c r="AO9" s="72">
        <f>'Evolutitve SCI'!AM37/'Evolutive SFP'!AM26</f>
        <v>3.6924312706155685E-3</v>
      </c>
      <c r="AP9" s="72">
        <f>'Evolutitve SCI'!AN37/'Evolutive SFP'!AN26</f>
        <v>5.3043175190337728E-3</v>
      </c>
      <c r="AQ9" s="72">
        <f>'Evolutitve SCI'!AO37/'Evolutive SFP'!AO26</f>
        <v>1.0183409336771565E-2</v>
      </c>
      <c r="AR9" s="72">
        <f>'Evolutitve SCI'!AP37/'Evolutive SFP'!AP26</f>
        <v>1.4662994752953028E-2</v>
      </c>
      <c r="AS9" s="72">
        <f>'Evolutitve SCI'!AQ37/'Evolutive SFP'!AQ26</f>
        <v>2.2770704602291233E-2</v>
      </c>
      <c r="AT9" s="72">
        <f>'Evolutitve SCI'!AR37/'Evolutive SFP'!AR26</f>
        <v>2.6550875775987113E-2</v>
      </c>
      <c r="AU9" s="72">
        <f>'Evolutitve SCI'!AS37/'Evolutive SFP'!AS26</f>
        <v>3.0671952225637501E-2</v>
      </c>
      <c r="AV9" s="72">
        <f>'Evolutitve SCI'!AT37/'Evolutive SFP'!AT26</f>
        <v>3.5608584229357407E-2</v>
      </c>
      <c r="AW9" s="72">
        <f>'Evolutitve SCI'!AU37/'Evolutive SFP'!AU26</f>
        <v>4.2423764814952497E-2</v>
      </c>
      <c r="AX9" s="72" t="e">
        <f>'Evolutitve SCI'!AV37/'Evolutive SFP'!AV26</f>
        <v>#DIV/0!</v>
      </c>
      <c r="AY9" s="72" t="e">
        <f>'Evolutitve SCI'!AW37/'Evolutive SFP'!AW26</f>
        <v>#DIV/0!</v>
      </c>
      <c r="AZ9" s="72" t="e">
        <f>'Evolutitve SCI'!AX37/'Evolutive SFP'!AX26</f>
        <v>#DIV/0!</v>
      </c>
    </row>
    <row r="10" spans="1:52" ht="15">
      <c r="A10" s="247"/>
      <c r="B10" s="55" t="s">
        <v>137</v>
      </c>
      <c r="C10" s="56"/>
      <c r="D10" s="58">
        <f>'Evolutitve SCI'!B23/'Evolutitve SCI'!B19</f>
        <v>0.57890647313785781</v>
      </c>
      <c r="E10" s="58">
        <f>'Evolutitve SCI'!C23/'Evolutitve SCI'!C19</f>
        <v>0.39688887299012998</v>
      </c>
      <c r="F10" s="58">
        <f>'Evolutitve SCI'!D23/'Evolutitve SCI'!D19</f>
        <v>0.45483609437295108</v>
      </c>
      <c r="G10" s="58">
        <f>'Evolutitve SCI'!E23/'Evolutitve SCI'!E19</f>
        <v>0.49499872360806774</v>
      </c>
      <c r="H10" s="58">
        <f>'Evolutitve SCI'!F23/'Evolutitve SCI'!F19</f>
        <v>0.47563639777219419</v>
      </c>
      <c r="I10" s="58">
        <f>'Evolutitve SCI'!G23/'Evolutitve SCI'!G19</f>
        <v>0.482529965095847</v>
      </c>
      <c r="J10" s="58">
        <f>'Evolutitve SCI'!H23/'Evolutitve SCI'!H19</f>
        <v>0.47859373819586509</v>
      </c>
      <c r="K10" s="58">
        <f>'Evolutitve SCI'!I23/'Evolutitve SCI'!I19</f>
        <v>0.46232962072049494</v>
      </c>
      <c r="L10" s="58">
        <f>'Evolutitve SCI'!J23/'Evolutitve SCI'!J19</f>
        <v>0.45395148109114181</v>
      </c>
      <c r="M10" s="58">
        <f>'Evolutitve SCI'!K23/'Evolutitve SCI'!K19</f>
        <v>0.52991441173559062</v>
      </c>
      <c r="N10" s="70">
        <f>'Evolutitve SCI'!L23/'Evolutitve SCI'!L19</f>
        <v>0.64773144065686039</v>
      </c>
      <c r="O10" s="70">
        <f>'Evolutitve SCI'!M23/'Evolutitve SCI'!M19</f>
        <v>0.36235794735287352</v>
      </c>
      <c r="P10" s="70">
        <f>'Evolutitve SCI'!N23/'Evolutitve SCI'!N19</f>
        <v>0.47435996511859713</v>
      </c>
      <c r="Q10" s="70">
        <f>'Evolutitve SCI'!O23/'Evolutitve SCI'!O19</f>
        <v>0.4881903162896139</v>
      </c>
      <c r="R10" s="70">
        <f>'Evolutitve SCI'!P23/'Evolutitve SCI'!P19</f>
        <v>0.43370364157088293</v>
      </c>
      <c r="S10" s="70">
        <f>'Evolutitve SCI'!Q23/'Evolutitve SCI'!Q19</f>
        <v>0.42233082714532422</v>
      </c>
      <c r="T10" s="70">
        <f>'Evolutitve SCI'!R23/'Evolutitve SCI'!R19</f>
        <v>0.39362473756316485</v>
      </c>
      <c r="U10" s="70">
        <f>'Evolutitve SCI'!S23/'Evolutitve SCI'!S19</f>
        <v>0.40311944833546337</v>
      </c>
      <c r="V10" s="70">
        <f>'Evolutitve SCI'!T23/'Evolutitve SCI'!T19</f>
        <v>0.39722705207242898</v>
      </c>
      <c r="W10" s="70">
        <f>'Evolutitve SCI'!U23/'Evolutitve SCI'!U19</f>
        <v>0.38790727793351876</v>
      </c>
      <c r="X10" s="70">
        <f>'Evolutitve SCI'!V23/'Evolutitve SCI'!V19</f>
        <v>0.40424824393716613</v>
      </c>
      <c r="Y10" s="70">
        <f>'Evolutitve SCI'!W23/'Evolutitve SCI'!W19</f>
        <v>0.40854535359459615</v>
      </c>
      <c r="Z10" s="70">
        <f>'Evolutitve SCI'!X23/'Evolutitve SCI'!X19</f>
        <v>0.40691655265302668</v>
      </c>
      <c r="AA10" s="70">
        <f>'Evolutitve SCI'!Y23/'Evolutitve SCI'!Y19</f>
        <v>0.75327830560213205</v>
      </c>
      <c r="AB10" s="70">
        <f>'Evolutitve SCI'!Z23/'Evolutitve SCI'!Z19</f>
        <v>0.43710507732972986</v>
      </c>
      <c r="AC10" s="70">
        <f>'Evolutitve SCI'!AA23/'Evolutitve SCI'!AA19</f>
        <v>0.64276463996633593</v>
      </c>
      <c r="AD10" s="70">
        <f>'Evolutitve SCI'!AB23/'Evolutitve SCI'!AB19</f>
        <v>0.52593666163822694</v>
      </c>
      <c r="AE10" s="70">
        <f>'Evolutitve SCI'!AC23/'Evolutitve SCI'!AC19</f>
        <v>0.4824912528317582</v>
      </c>
      <c r="AF10" s="70">
        <f>'Evolutitve SCI'!AD23/'Evolutitve SCI'!AD19</f>
        <v>0.48641091215627363</v>
      </c>
      <c r="AG10" s="70">
        <f>'Evolutitve SCI'!AE23/'Evolutitve SCI'!AE19</f>
        <v>0.50313132895729273</v>
      </c>
      <c r="AH10" s="70">
        <f>'Evolutitve SCI'!AF23/'Evolutitve SCI'!AF19</f>
        <v>0.52866868575729953</v>
      </c>
      <c r="AI10" s="70">
        <f>'Evolutitve SCI'!AG23/'Evolutitve SCI'!AG19</f>
        <v>0.51413916693112893</v>
      </c>
      <c r="AJ10" s="70">
        <f>'Evolutitve SCI'!AH23/'Evolutitve SCI'!AH19</f>
        <v>0.52580921180850271</v>
      </c>
      <c r="AK10" s="70">
        <f>'Evolutitve SCI'!AI23/'Evolutitve SCI'!AI19</f>
        <v>0.52392050497436549</v>
      </c>
      <c r="AL10" s="70">
        <f>'Evolutitve SCI'!AJ23/'Evolutitve SCI'!AJ19</f>
        <v>0.52690926338981492</v>
      </c>
      <c r="AM10" s="70">
        <f>'Evolutitve SCI'!AK23/'Evolutitve SCI'!AK19</f>
        <v>0.75111404823729155</v>
      </c>
      <c r="AN10" s="70">
        <f>'Evolutitve SCI'!AL23/'Evolutitve SCI'!AL19</f>
        <v>0.79687522463084703</v>
      </c>
      <c r="AO10" s="70">
        <f>'Evolutitve SCI'!AM23/'Evolutitve SCI'!AM19</f>
        <v>0.51508902712838112</v>
      </c>
      <c r="AP10" s="70">
        <f>'Evolutitve SCI'!AN23/'Evolutitve SCI'!AN19</f>
        <v>0.67201840021611525</v>
      </c>
      <c r="AQ10" s="70">
        <f>'Evolutitve SCI'!AO23/'Evolutitve SCI'!AO19</f>
        <v>0.61775266053466049</v>
      </c>
      <c r="AR10" s="70">
        <f>'Evolutitve SCI'!AP23/'Evolutitve SCI'!AP19</f>
        <v>0.57019611171132001</v>
      </c>
      <c r="AS10" s="70">
        <f>'Evolutitve SCI'!AQ23/'Evolutitve SCI'!AQ19</f>
        <v>0.51300238010598365</v>
      </c>
      <c r="AT10" s="70">
        <f>'Evolutitve SCI'!AR23/'Evolutitve SCI'!AR19</f>
        <v>0.51203592871706072</v>
      </c>
      <c r="AU10" s="70">
        <f>'Evolutitve SCI'!AS23/'Evolutitve SCI'!AS19</f>
        <v>0.50634708269599893</v>
      </c>
      <c r="AV10" s="70">
        <f>'Evolutitve SCI'!AT23/'Evolutitve SCI'!AT19</f>
        <v>0.49007906785011923</v>
      </c>
      <c r="AW10" s="70">
        <f>'Evolutitve SCI'!AU23/'Evolutitve SCI'!AU19</f>
        <v>0.46711918924158385</v>
      </c>
      <c r="AX10" s="70" t="e">
        <f>'Evolutitve SCI'!AV23/'Evolutitve SCI'!AV19</f>
        <v>#DIV/0!</v>
      </c>
      <c r="AY10" s="70" t="e">
        <f>'Evolutitve SCI'!AW23/'Evolutitve SCI'!AW19</f>
        <v>#DIV/0!</v>
      </c>
      <c r="AZ10" s="70" t="e">
        <f>'Evolutitve SCI'!AX23/'Evolutitve SCI'!AX19</f>
        <v>#DIV/0!</v>
      </c>
    </row>
    <row r="11" spans="1:52" ht="18.75" hidden="1" customHeight="1">
      <c r="A11" s="247"/>
      <c r="B11" s="55" t="s">
        <v>138</v>
      </c>
      <c r="C11" s="56"/>
      <c r="D11" s="58" t="e">
        <f>('Evolutitve SCI'!#REF!+'Evolutitve SCI'!#REF!)/(('Evolutive SFP'!B26+'Evolutive SFP'!#REF!)/2)</f>
        <v>#REF!</v>
      </c>
      <c r="E11" s="58" t="e">
        <f>('Evolutitve SCI'!#REF!+'Evolutitve SCI'!#REF!)/(('Evolutive SFP'!C26+'Evolutive SFP'!#REF!)/2)</f>
        <v>#REF!</v>
      </c>
      <c r="F11" s="58" t="e">
        <f>('Evolutitve SCI'!#REF!+'Evolutitve SCI'!#REF!)/(('Evolutive SFP'!D26+'Evolutive SFP'!#REF!)/2)</f>
        <v>#REF!</v>
      </c>
      <c r="G11" s="58" t="e">
        <f>('Evolutitve SCI'!#REF!+'Evolutitve SCI'!#REF!)/(('Evolutive SFP'!E26+'Evolutive SFP'!#REF!)/2)</f>
        <v>#REF!</v>
      </c>
      <c r="H11" s="58" t="e">
        <f>('Evolutitve SCI'!#REF!+'Evolutitve SCI'!#REF!)/(('Evolutive SFP'!F26+'Evolutive SFP'!#REF!)/2)</f>
        <v>#REF!</v>
      </c>
      <c r="I11" s="58" t="e">
        <f>('Evolutitve SCI'!#REF!+'Evolutitve SCI'!#REF!)/(('Evolutive SFP'!G26+'Evolutive SFP'!#REF!)/2)</f>
        <v>#REF!</v>
      </c>
      <c r="J11" s="58" t="e">
        <f>('Evolutitve SCI'!#REF!+'Evolutitve SCI'!#REF!)/(('Evolutive SFP'!H26+'Evolutive SFP'!#REF!)/2)</f>
        <v>#REF!</v>
      </c>
      <c r="K11" s="58" t="e">
        <f>('Evolutitve SCI'!#REF!+'Evolutitve SCI'!#REF!)/(('Evolutive SFP'!I26+'Evolutive SFP'!#REF!)/2)</f>
        <v>#REF!</v>
      </c>
      <c r="L11" s="58" t="e">
        <f>('Evolutitve SCI'!#REF!+'Evolutitve SCI'!#REF!)/(('Evolutive SFP'!J26+'Evolutive SFP'!#REF!)/2)</f>
        <v>#REF!</v>
      </c>
      <c r="M11" s="58" t="e">
        <f>('Evolutitve SCI'!#REF!+'Evolutitve SCI'!#REF!)/(('Evolutive SFP'!K26+'Evolutive SFP'!#REF!)/2)</f>
        <v>#REF!</v>
      </c>
      <c r="N11" s="70" t="e">
        <f>('Evolutitve SCI'!#REF!+'Evolutitve SCI'!#REF!)/(('Evolutive SFP'!L26+'Evolutive SFP'!#REF!)/2)</f>
        <v>#REF!</v>
      </c>
      <c r="O11" s="70" t="e">
        <f>('Evolutitve SCI'!#REF!+'Evolutitve SCI'!#REF!)/(('Evolutive SFP'!M26+'Evolutive SFP'!#REF!)/2)</f>
        <v>#REF!</v>
      </c>
      <c r="P11" s="70" t="e">
        <f>('Evolutitve SCI'!#REF!+'Evolutitve SCI'!#REF!)/(('Evolutive SFP'!N26+'Evolutive SFP'!#REF!)/2)</f>
        <v>#REF!</v>
      </c>
      <c r="Q11" s="70" t="e">
        <f>('Evolutitve SCI'!#REF!+'Evolutitve SCI'!#REF!)/(('Evolutive SFP'!O26+'Evolutive SFP'!#REF!)/2)</f>
        <v>#REF!</v>
      </c>
      <c r="R11" s="70" t="e">
        <f>('Evolutitve SCI'!#REF!+'Evolutitve SCI'!#REF!)/(('Evolutive SFP'!P26+'Evolutive SFP'!#REF!)/2)</f>
        <v>#REF!</v>
      </c>
      <c r="S11" s="70" t="e">
        <f>('Evolutitve SCI'!#REF!+'Evolutitve SCI'!#REF!)/(('Evolutive SFP'!Q26+'Evolutive SFP'!#REF!)/2)</f>
        <v>#REF!</v>
      </c>
      <c r="T11" s="70" t="e">
        <f>('Evolutitve SCI'!#REF!+'Evolutitve SCI'!#REF!)/(('Evolutive SFP'!R26+'Evolutive SFP'!#REF!)/2)</f>
        <v>#REF!</v>
      </c>
      <c r="U11" s="70" t="e">
        <f>('Evolutitve SCI'!#REF!+'Evolutitve SCI'!#REF!)/(('Evolutive SFP'!S26+'Evolutive SFP'!#REF!)/2)</f>
        <v>#REF!</v>
      </c>
      <c r="V11" s="70" t="e">
        <f>('Evolutitve SCI'!#REF!+'Evolutitve SCI'!#REF!)/(('Evolutive SFP'!T26+'Evolutive SFP'!#REF!)/2)</f>
        <v>#REF!</v>
      </c>
      <c r="W11" s="70" t="e">
        <f>('Evolutitve SCI'!#REF!+'Evolutitve SCI'!#REF!)/(('Evolutive SFP'!U26+'Evolutive SFP'!#REF!)/2)</f>
        <v>#REF!</v>
      </c>
      <c r="X11" s="70" t="e">
        <f>('Evolutitve SCI'!#REF!+'Evolutitve SCI'!#REF!)/(('Evolutive SFP'!V26+'Evolutive SFP'!#REF!)/2)</f>
        <v>#REF!</v>
      </c>
      <c r="Y11" s="70" t="e">
        <f>('Evolutitve SCI'!#REF!+'Evolutitve SCI'!#REF!)/(('Evolutive SFP'!W26+'Evolutive SFP'!#REF!)/2)</f>
        <v>#REF!</v>
      </c>
      <c r="Z11" s="70" t="e">
        <f>('Evolutitve SCI'!#REF!+'Evolutitve SCI'!#REF!)/(('Evolutive SFP'!X26+'Evolutive SFP'!#REF!)/2)</f>
        <v>#REF!</v>
      </c>
      <c r="AA11" s="70" t="e">
        <f>('Evolutitve SCI'!#REF!+'Evolutitve SCI'!#REF!)/(('Evolutive SFP'!Y26+'Evolutive SFP'!#REF!)/2)</f>
        <v>#REF!</v>
      </c>
      <c r="AB11" s="70" t="e">
        <f>('Evolutitve SCI'!#REF!+'Evolutitve SCI'!#REF!)/(('Evolutive SFP'!Z26+'Evolutive SFP'!#REF!)/2)</f>
        <v>#REF!</v>
      </c>
      <c r="AC11" s="70" t="e">
        <f>('Evolutitve SCI'!#REF!+'Evolutitve SCI'!#REF!)/(('Evolutive SFP'!AA26+'Evolutive SFP'!#REF!)/2)</f>
        <v>#REF!</v>
      </c>
      <c r="AD11" s="70" t="e">
        <f>('Evolutitve SCI'!#REF!+'Evolutitve SCI'!#REF!)/(('Evolutive SFP'!AB26+'Evolutive SFP'!#REF!)/2)</f>
        <v>#REF!</v>
      </c>
      <c r="AE11" s="70" t="e">
        <f>('Evolutitve SCI'!#REF!+'Evolutitve SCI'!#REF!)/(('Evolutive SFP'!AC26+'Evolutive SFP'!#REF!)/2)</f>
        <v>#REF!</v>
      </c>
      <c r="AF11" s="70" t="e">
        <f>('Evolutitve SCI'!#REF!+'Evolutitve SCI'!#REF!)/(('Evolutive SFP'!AD26+'Evolutive SFP'!#REF!)/2)</f>
        <v>#REF!</v>
      </c>
      <c r="AG11" s="70" t="e">
        <f>('Evolutitve SCI'!#REF!+'Evolutitve SCI'!#REF!)/(('Evolutive SFP'!AE26+'Evolutive SFP'!#REF!)/2)</f>
        <v>#REF!</v>
      </c>
      <c r="AH11" s="70" t="e">
        <f>('Evolutitve SCI'!#REF!+'Evolutitve SCI'!#REF!)/(('Evolutive SFP'!AF26+'Evolutive SFP'!#REF!)/2)</f>
        <v>#REF!</v>
      </c>
      <c r="AI11" s="70" t="e">
        <f>('Evolutitve SCI'!#REF!+'Evolutitve SCI'!#REF!)/(('Evolutive SFP'!AG26+'Evolutive SFP'!#REF!)/2)</f>
        <v>#REF!</v>
      </c>
      <c r="AJ11" s="70" t="e">
        <f>('Evolutitve SCI'!#REF!+'Evolutitve SCI'!#REF!)/(('Evolutive SFP'!AH26+'Evolutive SFP'!#REF!)/2)</f>
        <v>#REF!</v>
      </c>
      <c r="AK11" s="70" t="e">
        <f>('Evolutitve SCI'!#REF!+'Evolutitve SCI'!#REF!)/(('Evolutive SFP'!AI26+'Evolutive SFP'!#REF!)/2)</f>
        <v>#REF!</v>
      </c>
      <c r="AL11" s="70" t="e">
        <f>('Evolutitve SCI'!#REF!+'Evolutitve SCI'!#REF!)/(('Evolutive SFP'!AJ26+'Evolutive SFP'!#REF!)/2)</f>
        <v>#REF!</v>
      </c>
      <c r="AM11" s="70" t="e">
        <f>('Evolutitve SCI'!#REF!+'Evolutitve SCI'!#REF!)/(('Evolutive SFP'!AK26+'Evolutive SFP'!#REF!)/2)</f>
        <v>#REF!</v>
      </c>
      <c r="AN11" s="70" t="e">
        <f>('Evolutitve SCI'!#REF!+'Evolutitve SCI'!#REF!)/(('Evolutive SFP'!AL26+'Evolutive SFP'!#REF!)/2)</f>
        <v>#REF!</v>
      </c>
      <c r="AO11" s="70" t="e">
        <f>('Evolutitve SCI'!#REF!+'Evolutitve SCI'!#REF!)/(('Evolutive SFP'!AM26+'Evolutive SFP'!#REF!)/2)</f>
        <v>#REF!</v>
      </c>
      <c r="AP11" s="70" t="e">
        <f>('Evolutitve SCI'!#REF!+'Evolutitve SCI'!#REF!)/(('Evolutive SFP'!AN26+'Evolutive SFP'!#REF!)/2)</f>
        <v>#REF!</v>
      </c>
      <c r="AQ11" s="70" t="e">
        <f>('Evolutitve SCI'!#REF!+'Evolutitve SCI'!#REF!)/(('Evolutive SFP'!AO26+'Evolutive SFP'!#REF!)/2)</f>
        <v>#REF!</v>
      </c>
      <c r="AR11" s="70" t="e">
        <f>('Evolutitve SCI'!#REF!+'Evolutitve SCI'!#REF!)/(('Evolutive SFP'!AP26+'Evolutive SFP'!#REF!)/2)</f>
        <v>#REF!</v>
      </c>
      <c r="AS11" s="70" t="e">
        <f>('Evolutitve SCI'!#REF!+'Evolutitve SCI'!#REF!)/(('Evolutive SFP'!AQ26+'Evolutive SFP'!#REF!)/2)</f>
        <v>#REF!</v>
      </c>
      <c r="AT11" s="70" t="e">
        <f>('Evolutitve SCI'!#REF!+'Evolutitve SCI'!#REF!)/(('Evolutive SFP'!AR26+'Evolutive SFP'!#REF!)/2)</f>
        <v>#REF!</v>
      </c>
      <c r="AU11" s="70" t="e">
        <f>('Evolutitve SCI'!#REF!+'Evolutitve SCI'!#REF!)/(('Evolutive SFP'!AS26+'Evolutive SFP'!#REF!)/2)</f>
        <v>#REF!</v>
      </c>
      <c r="AV11" s="70" t="e">
        <f>('Evolutitve SCI'!#REF!+'Evolutitve SCI'!#REF!)/(('Evolutive SFP'!AT26+'Evolutive SFP'!#REF!)/2)</f>
        <v>#REF!</v>
      </c>
      <c r="AW11" s="70" t="e">
        <f>('Evolutitve SCI'!#REF!+'Evolutitve SCI'!#REF!)/(('Evolutive SFP'!AU26+'Evolutive SFP'!#REF!)/2)</f>
        <v>#REF!</v>
      </c>
      <c r="AX11" s="70" t="e">
        <f>('Evolutitve SCI'!#REF!+'Evolutitve SCI'!#REF!)/(('Evolutive SFP'!AV26+'Evolutive SFP'!#REF!)/2)</f>
        <v>#REF!</v>
      </c>
      <c r="AY11" s="70" t="e">
        <f>('Evolutitve SCI'!#REF!+'Evolutitve SCI'!#REF!)/(('Evolutive SFP'!AW26+'Evolutive SFP'!#REF!)/2)</f>
        <v>#REF!</v>
      </c>
      <c r="AZ11" s="70" t="e">
        <f>('Evolutitve SCI'!#REF!+'Evolutitve SCI'!#REF!)/(('Evolutive SFP'!AX26+'Evolutive SFP'!#REF!)/2)</f>
        <v>#REF!</v>
      </c>
    </row>
    <row r="12" spans="1:52" ht="15">
      <c r="A12" s="247" t="s">
        <v>139</v>
      </c>
      <c r="B12" s="55" t="s">
        <v>140</v>
      </c>
      <c r="C12" s="56" t="s">
        <v>141</v>
      </c>
      <c r="D12" s="58">
        <f>('Evolutive SFP'!B4)/('Evolutive SFP'!B27+'Evolutive SFP'!B28+'Evolutive SFP'!B31+'Evolutive SFP'!B32+'Evolutive SFP'!B33+'Evolutive SFP'!B34+'Evolutive SFP'!B35)</f>
        <v>0.87865832194165383</v>
      </c>
      <c r="E12" s="58">
        <f>('Evolutive SFP'!C4)/('Evolutive SFP'!C27+'Evolutive SFP'!C28+'Evolutive SFP'!C31+'Evolutive SFP'!C32+'Evolutive SFP'!C33+'Evolutive SFP'!C34+'Evolutive SFP'!C35)</f>
        <v>0.56480205092275337</v>
      </c>
      <c r="F12" s="58">
        <f>('Evolutive SFP'!D4)/('Evolutive SFP'!D27+'Evolutive SFP'!D28+'Evolutive SFP'!D31+'Evolutive SFP'!D32+'Evolutive SFP'!D33+'Evolutive SFP'!D34+'Evolutive SFP'!D35)</f>
        <v>0.59897006214398985</v>
      </c>
      <c r="G12" s="58">
        <f>('Evolutive SFP'!E4)/('Evolutive SFP'!E27+'Evolutive SFP'!E28+'Evolutive SFP'!E31+'Evolutive SFP'!E32+'Evolutive SFP'!E33+'Evolutive SFP'!E34+'Evolutive SFP'!E35)</f>
        <v>0.62903339965798866</v>
      </c>
      <c r="H12" s="58">
        <f>('Evolutive SFP'!F4)/('Evolutive SFP'!F27+'Evolutive SFP'!F28+'Evolutive SFP'!F31+'Evolutive SFP'!F32+'Evolutive SFP'!F33+'Evolutive SFP'!F34+'Evolutive SFP'!F35)</f>
        <v>0.67076223566115067</v>
      </c>
      <c r="I12" s="58">
        <f>('Evolutive SFP'!G4)/('Evolutive SFP'!G27+'Evolutive SFP'!G28+'Evolutive SFP'!G31+'Evolutive SFP'!G32+'Evolutive SFP'!G33+'Evolutive SFP'!G34+'Evolutive SFP'!G35)</f>
        <v>0.80001534196121826</v>
      </c>
      <c r="J12" s="58">
        <f>('Evolutive SFP'!H4)/('Evolutive SFP'!H27+'Evolutive SFP'!H28+'Evolutive SFP'!H31+'Evolutive SFP'!H32+'Evolutive SFP'!H33+'Evolutive SFP'!H34+'Evolutive SFP'!H35)</f>
        <v>0.73700448147766873</v>
      </c>
      <c r="K12" s="58">
        <f>('Evolutive SFP'!I4)/('Evolutive SFP'!I27+'Evolutive SFP'!I28+'Evolutive SFP'!I31+'Evolutive SFP'!I32+'Evolutive SFP'!I33+'Evolutive SFP'!I34+'Evolutive SFP'!I35)</f>
        <v>0.70457259660147531</v>
      </c>
      <c r="L12" s="58">
        <f>('Evolutive SFP'!J4)/('Evolutive SFP'!J27+'Evolutive SFP'!J28+'Evolutive SFP'!J31+'Evolutive SFP'!J32+'Evolutive SFP'!J33+'Evolutive SFP'!J34+'Evolutive SFP'!J35)</f>
        <v>0.7139198621470082</v>
      </c>
      <c r="M12" s="58">
        <f>('Evolutive SFP'!K4)/('Evolutive SFP'!K27+'Evolutive SFP'!K28+'Evolutive SFP'!K31+'Evolutive SFP'!K32+'Evolutive SFP'!K33+'Evolutive SFP'!K34+'Evolutive SFP'!K35)</f>
        <v>0.70331935891756159</v>
      </c>
      <c r="N12" s="70">
        <f>('Evolutive SFP'!L4)/('Evolutive SFP'!L27+'Evolutive SFP'!L28+'Evolutive SFP'!L31+'Evolutive SFP'!L32+'Evolutive SFP'!L33+'Evolutive SFP'!L34+'Evolutive SFP'!L35)</f>
        <v>0.79033867239060995</v>
      </c>
      <c r="O12" s="70">
        <f>('Evolutive SFP'!M4)/('Evolutive SFP'!M27+'Evolutive SFP'!M28+'Evolutive SFP'!M31+'Evolutive SFP'!M32+'Evolutive SFP'!M33+'Evolutive SFP'!M34+'Evolutive SFP'!M35)</f>
        <v>0.67407770073565232</v>
      </c>
      <c r="P12" s="70">
        <f>('Evolutive SFP'!N4)/('Evolutive SFP'!N27+'Evolutive SFP'!N28+'Evolutive SFP'!N31+'Evolutive SFP'!N32+'Evolutive SFP'!N33+'Evolutive SFP'!N34+'Evolutive SFP'!N35)</f>
        <v>0.57426753713748624</v>
      </c>
      <c r="Q12" s="70">
        <f>('Evolutive SFP'!O4)/('Evolutive SFP'!O27+'Evolutive SFP'!O28+'Evolutive SFP'!O31+'Evolutive SFP'!O32+'Evolutive SFP'!O33+'Evolutive SFP'!O34+'Evolutive SFP'!O35)</f>
        <v>0.57354544795622209</v>
      </c>
      <c r="R12" s="70">
        <f>('Evolutive SFP'!P4)/('Evolutive SFP'!P27+'Evolutive SFP'!P28+'Evolutive SFP'!P31+'Evolutive SFP'!P32+'Evolutive SFP'!P33+'Evolutive SFP'!P34+'Evolutive SFP'!P35)</f>
        <v>0.59548655246838378</v>
      </c>
      <c r="S12" s="70">
        <f>('Evolutive SFP'!Q4)/('Evolutive SFP'!Q27+'Evolutive SFP'!Q28+'Evolutive SFP'!Q31+'Evolutive SFP'!Q32+'Evolutive SFP'!Q33+'Evolutive SFP'!Q34+'Evolutive SFP'!Q35)</f>
        <v>0.53775599133443353</v>
      </c>
      <c r="T12" s="70">
        <f>('Evolutive SFP'!R4)/('Evolutive SFP'!R27+'Evolutive SFP'!R28+'Evolutive SFP'!R31+'Evolutive SFP'!R32+'Evolutive SFP'!R33+'Evolutive SFP'!R34+'Evolutive SFP'!R35)</f>
        <v>0.56837115760956491</v>
      </c>
      <c r="U12" s="70">
        <f>('Evolutive SFP'!S4)/('Evolutive SFP'!S27+'Evolutive SFP'!S28+'Evolutive SFP'!S31+'Evolutive SFP'!S32+'Evolutive SFP'!S33+'Evolutive SFP'!S34+'Evolutive SFP'!S35)</f>
        <v>0.54427840126155291</v>
      </c>
      <c r="V12" s="70">
        <f>('Evolutive SFP'!T4)/('Evolutive SFP'!T27+'Evolutive SFP'!T28+'Evolutive SFP'!T31+'Evolutive SFP'!T32+'Evolutive SFP'!T33+'Evolutive SFP'!T34+'Evolutive SFP'!T35)</f>
        <v>0.57359396264203077</v>
      </c>
      <c r="W12" s="70">
        <f>('Evolutive SFP'!U4)/('Evolutive SFP'!U27+'Evolutive SFP'!U28+'Evolutive SFP'!U31+'Evolutive SFP'!U32+'Evolutive SFP'!U33+'Evolutive SFP'!U34+'Evolutive SFP'!U35)</f>
        <v>0.62771553067269981</v>
      </c>
      <c r="X12" s="70">
        <f>('Evolutive SFP'!V4)/('Evolutive SFP'!V27+'Evolutive SFP'!V28+'Evolutive SFP'!V31+'Evolutive SFP'!V32+'Evolutive SFP'!V33+'Evolutive SFP'!V34+'Evolutive SFP'!V35)</f>
        <v>0.61068687968216417</v>
      </c>
      <c r="Y12" s="70">
        <f>('Evolutive SFP'!W4)/('Evolutive SFP'!W27+'Evolutive SFP'!W28+'Evolutive SFP'!W31+'Evolutive SFP'!W32+'Evolutive SFP'!W33+'Evolutive SFP'!W34+'Evolutive SFP'!W35)</f>
        <v>0.63266316411773826</v>
      </c>
      <c r="Z12" s="70">
        <f>('Evolutive SFP'!X4)/('Evolutive SFP'!X27+'Evolutive SFP'!X28+'Evolutive SFP'!X31+'Evolutive SFP'!X32+'Evolutive SFP'!X33+'Evolutive SFP'!X34+'Evolutive SFP'!X35)</f>
        <v>0.6713342133041047</v>
      </c>
      <c r="AA12" s="70">
        <f>('Evolutive SFP'!Y4)/('Evolutive SFP'!Y27+'Evolutive SFP'!Y28+'Evolutive SFP'!Y31+'Evolutive SFP'!Y32+'Evolutive SFP'!Y33+'Evolutive SFP'!Y34+'Evolutive SFP'!Y35)</f>
        <v>0.79540211468181443</v>
      </c>
      <c r="AB12" s="70">
        <f>('Evolutive SFP'!Z4)/('Evolutive SFP'!Z27+'Evolutive SFP'!Z28+'Evolutive SFP'!Z31+'Evolutive SFP'!Z32+'Evolutive SFP'!Z33+'Evolutive SFP'!Z34+'Evolutive SFP'!Z35)</f>
        <v>0.57610113001553875</v>
      </c>
      <c r="AC12" s="70">
        <f>('Evolutive SFP'!AA4)/('Evolutive SFP'!AA27+'Evolutive SFP'!AA28+'Evolutive SFP'!AA31+'Evolutive SFP'!AA32+'Evolutive SFP'!AA33+'Evolutive SFP'!AA34+'Evolutive SFP'!AA35)</f>
        <v>0.57325185429303971</v>
      </c>
      <c r="AD12" s="70">
        <f>('Evolutive SFP'!AB4)/('Evolutive SFP'!AB27+'Evolutive SFP'!AB28+'Evolutive SFP'!AB31+'Evolutive SFP'!AB32+'Evolutive SFP'!AB33+'Evolutive SFP'!AB34+'Evolutive SFP'!AB35)</f>
        <v>0.55910964007930675</v>
      </c>
      <c r="AE12" s="70">
        <f>('Evolutive SFP'!AC4)/('Evolutive SFP'!AC27+'Evolutive SFP'!AC28+'Evolutive SFP'!AC31+'Evolutive SFP'!AC32+'Evolutive SFP'!AC33+'Evolutive SFP'!AC34+'Evolutive SFP'!AC35)</f>
        <v>0.49439065042047625</v>
      </c>
      <c r="AF12" s="70">
        <f>('Evolutive SFP'!AD4)/('Evolutive SFP'!AD27+'Evolutive SFP'!AD28+'Evolutive SFP'!AD31+'Evolutive SFP'!AD32+'Evolutive SFP'!AD33+'Evolutive SFP'!AD34+'Evolutive SFP'!AD35)</f>
        <v>0.52171070107481377</v>
      </c>
      <c r="AG12" s="70">
        <f>('Evolutive SFP'!AE4)/('Evolutive SFP'!AE27+'Evolutive SFP'!AE28+'Evolutive SFP'!AE31+'Evolutive SFP'!AE32+'Evolutive SFP'!AE33+'Evolutive SFP'!AE34+'Evolutive SFP'!AE35)</f>
        <v>0.64327957793327417</v>
      </c>
      <c r="AH12" s="70">
        <f>('Evolutive SFP'!AF4)/('Evolutive SFP'!AF27+'Evolutive SFP'!AF28+'Evolutive SFP'!AF31+'Evolutive SFP'!AF32+'Evolutive SFP'!AF33+'Evolutive SFP'!AF34+'Evolutive SFP'!AF35)</f>
        <v>0.5296724291089232</v>
      </c>
      <c r="AI12" s="70">
        <f>('Evolutive SFP'!AG4)/('Evolutive SFP'!AG27+'Evolutive SFP'!AG28+'Evolutive SFP'!AG31+'Evolutive SFP'!AG32+'Evolutive SFP'!AG33+'Evolutive SFP'!AG34+'Evolutive SFP'!AG35)</f>
        <v>0.53857277235169199</v>
      </c>
      <c r="AJ12" s="70">
        <f>('Evolutive SFP'!AH4)/('Evolutive SFP'!AH27+'Evolutive SFP'!AH28+'Evolutive SFP'!AH31+'Evolutive SFP'!AH32+'Evolutive SFP'!AH33+'Evolutive SFP'!AH34+'Evolutive SFP'!AH35)</f>
        <v>0.55621706532096582</v>
      </c>
      <c r="AK12" s="70">
        <f>('Evolutive SFP'!AI4)/('Evolutive SFP'!AI27+'Evolutive SFP'!AI28+'Evolutive SFP'!AI31+'Evolutive SFP'!AI32+'Evolutive SFP'!AI33+'Evolutive SFP'!AI34+'Evolutive SFP'!AI35)</f>
        <v>0.57788533497547878</v>
      </c>
      <c r="AL12" s="70">
        <f>('Evolutive SFP'!AJ4)/('Evolutive SFP'!AJ27+'Evolutive SFP'!AJ28+'Evolutive SFP'!AJ31+'Evolutive SFP'!AJ32+'Evolutive SFP'!AJ33+'Evolutive SFP'!AJ34+'Evolutive SFP'!AJ35)</f>
        <v>0.60278705915487529</v>
      </c>
      <c r="AM12" s="70">
        <f>('Evolutive SFP'!AK4)/('Evolutive SFP'!AK27+'Evolutive SFP'!AK28+'Evolutive SFP'!AK31+'Evolutive SFP'!AK32+'Evolutive SFP'!AK33+'Evolutive SFP'!AK34+'Evolutive SFP'!AK35)</f>
        <v>0.56987911326259344</v>
      </c>
      <c r="AN12" s="70">
        <f>('Evolutive SFP'!AL4)/('Evolutive SFP'!AL27+'Evolutive SFP'!AL28+'Evolutive SFP'!AL31+'Evolutive SFP'!AL32+'Evolutive SFP'!AL33+'Evolutive SFP'!AL34+'Evolutive SFP'!AL35)</f>
        <v>0.78679439733734813</v>
      </c>
      <c r="AO12" s="70">
        <f>('Evolutive SFP'!AM4)/('Evolutive SFP'!AM27+'Evolutive SFP'!AM28+'Evolutive SFP'!AM31+'Evolutive SFP'!AM32+'Evolutive SFP'!AM33+'Evolutive SFP'!AM34+'Evolutive SFP'!AM35)</f>
        <v>0.49562500026719941</v>
      </c>
      <c r="AP12" s="70">
        <f>('Evolutive SFP'!AN4)/('Evolutive SFP'!AN27+'Evolutive SFP'!AN28+'Evolutive SFP'!AN31+'Evolutive SFP'!AN32+'Evolutive SFP'!AN33+'Evolutive SFP'!AN34+'Evolutive SFP'!AN35)</f>
        <v>0.5061310490164469</v>
      </c>
      <c r="AQ12" s="70">
        <f>('Evolutive SFP'!AO4)/('Evolutive SFP'!AO27+'Evolutive SFP'!AO28+'Evolutive SFP'!AO31+'Evolutive SFP'!AO32+'Evolutive SFP'!AO33+'Evolutive SFP'!AO34+'Evolutive SFP'!AO35)</f>
        <v>0.47960511273551093</v>
      </c>
      <c r="AR12" s="70">
        <f>('Evolutive SFP'!AP4)/('Evolutive SFP'!AP27+'Evolutive SFP'!AP28+'Evolutive SFP'!AP31+'Evolutive SFP'!AP32+'Evolutive SFP'!AP33+'Evolutive SFP'!AP34+'Evolutive SFP'!AP35)</f>
        <v>0.42413313619288856</v>
      </c>
      <c r="AS12" s="70">
        <f>('Evolutive SFP'!AQ4)/('Evolutive SFP'!AQ27+'Evolutive SFP'!AQ28+'Evolutive SFP'!AQ31+'Evolutive SFP'!AQ32+'Evolutive SFP'!AQ33+'Evolutive SFP'!AQ34+'Evolutive SFP'!AQ35)</f>
        <v>0.40224211276595678</v>
      </c>
      <c r="AT12" s="70">
        <f>('Evolutive SFP'!AR4)/('Evolutive SFP'!AR27+'Evolutive SFP'!AR28+'Evolutive SFP'!AR31+'Evolutive SFP'!AR32+'Evolutive SFP'!AR33+'Evolutive SFP'!AR34+'Evolutive SFP'!AR35)</f>
        <v>0.48453033336251078</v>
      </c>
      <c r="AU12" s="70">
        <f>('Evolutive SFP'!AS4)/('Evolutive SFP'!AS27+'Evolutive SFP'!AS28+'Evolutive SFP'!AS31+'Evolutive SFP'!AS32+'Evolutive SFP'!AS33+'Evolutive SFP'!AS34+'Evolutive SFP'!AS35)</f>
        <v>0.42100933689338893</v>
      </c>
      <c r="AV12" s="70">
        <f>('Evolutive SFP'!AT4)/('Evolutive SFP'!AT27+'Evolutive SFP'!AT28+'Evolutive SFP'!AT31+'Evolutive SFP'!AT32+'Evolutive SFP'!AT33+'Evolutive SFP'!AT34+'Evolutive SFP'!AT35)</f>
        <v>0.39076123505931393</v>
      </c>
      <c r="AW12" s="70">
        <f>('Evolutive SFP'!AU4)/('Evolutive SFP'!AU27+'Evolutive SFP'!AU28+'Evolutive SFP'!AU31+'Evolutive SFP'!AU32+'Evolutive SFP'!AU33+'Evolutive SFP'!AU34+'Evolutive SFP'!AU35)</f>
        <v>0.36128958118156335</v>
      </c>
      <c r="AX12" s="70" t="e">
        <f>('Evolutive SFP'!AV4)/('Evolutive SFP'!AV27+'Evolutive SFP'!AV28+'Evolutive SFP'!AV31+'Evolutive SFP'!AV32+'Evolutive SFP'!AV33+'Evolutive SFP'!AV34+'Evolutive SFP'!AV35)</f>
        <v>#DIV/0!</v>
      </c>
      <c r="AY12" s="70" t="e">
        <f>('Evolutive SFP'!AW4)/('Evolutive SFP'!AW27+'Evolutive SFP'!AW28+'Evolutive SFP'!AW31+'Evolutive SFP'!AW32+'Evolutive SFP'!AW33+'Evolutive SFP'!AW34+'Evolutive SFP'!AW35)</f>
        <v>#DIV/0!</v>
      </c>
      <c r="AZ12" s="70" t="e">
        <f>('Evolutive SFP'!AX4)/('Evolutive SFP'!AX27+'Evolutive SFP'!AX28+'Evolutive SFP'!AX31+'Evolutive SFP'!AX32+'Evolutive SFP'!AX33+'Evolutive SFP'!AX34+'Evolutive SFP'!AX35)</f>
        <v>#DIV/0!</v>
      </c>
    </row>
    <row r="13" spans="1:52" ht="15">
      <c r="A13" s="247"/>
      <c r="B13" s="55" t="s">
        <v>142</v>
      </c>
      <c r="C13" s="60"/>
      <c r="D13" s="58">
        <f>('Evolutive SFP'!B4+'Evolutive SFP'!B8)/('Evolutive SFP'!B30+'Evolutive SFP'!B31+'Evolutive SFP'!B32+'Evolutive SFP'!B33+'Evolutive SFP'!B34+'Evolutive SFP'!B35)</f>
        <v>0.2986933629926945</v>
      </c>
      <c r="E13" s="58">
        <f>('Evolutive SFP'!C4+'Evolutive SFP'!C8)/('Evolutive SFP'!C30+'Evolutive SFP'!C31+'Evolutive SFP'!C32+'Evolutive SFP'!C33+'Evolutive SFP'!C34+'Evolutive SFP'!C35)</f>
        <v>0.27679731793849982</v>
      </c>
      <c r="F13" s="58">
        <f>('Evolutive SFP'!D4+'Evolutive SFP'!D8)/('Evolutive SFP'!D30+'Evolutive SFP'!D31+'Evolutive SFP'!D32+'Evolutive SFP'!D33+'Evolutive SFP'!D34+'Evolutive SFP'!D35)</f>
        <v>0.2888116068275719</v>
      </c>
      <c r="G13" s="58">
        <f>('Evolutive SFP'!E4+'Evolutive SFP'!E8)/('Evolutive SFP'!E30+'Evolutive SFP'!E31+'Evolutive SFP'!E32+'Evolutive SFP'!E33+'Evolutive SFP'!E34+'Evolutive SFP'!E35)</f>
        <v>0.28811589608212101</v>
      </c>
      <c r="H13" s="58">
        <f>('Evolutive SFP'!F4+'Evolutive SFP'!F8)/('Evolutive SFP'!F30+'Evolutive SFP'!F31+'Evolutive SFP'!F32+'Evolutive SFP'!F33+'Evolutive SFP'!F34+'Evolutive SFP'!F35)</f>
        <v>0.30013526258509565</v>
      </c>
      <c r="I13" s="58">
        <f>('Evolutive SFP'!G4+'Evolutive SFP'!G8)/('Evolutive SFP'!G30+'Evolutive SFP'!G31+'Evolutive SFP'!G32+'Evolutive SFP'!G33+'Evolutive SFP'!G34+'Evolutive SFP'!G35)</f>
        <v>0.33727639777200608</v>
      </c>
      <c r="J13" s="58">
        <f>('Evolutive SFP'!H4+'Evolutive SFP'!H8)/('Evolutive SFP'!H30+'Evolutive SFP'!H31+'Evolutive SFP'!H32+'Evolutive SFP'!H33+'Evolutive SFP'!H34+'Evolutive SFP'!H35)</f>
        <v>0.3099486014031837</v>
      </c>
      <c r="K13" s="58">
        <f>('Evolutive SFP'!I4+'Evolutive SFP'!I8)/('Evolutive SFP'!I30+'Evolutive SFP'!I31+'Evolutive SFP'!I32+'Evolutive SFP'!I33+'Evolutive SFP'!I34+'Evolutive SFP'!I35)</f>
        <v>0.30187324115427605</v>
      </c>
      <c r="L13" s="58">
        <f>('Evolutive SFP'!J4+'Evolutive SFP'!J8)/('Evolutive SFP'!J30+'Evolutive SFP'!J31+'Evolutive SFP'!J32+'Evolutive SFP'!J33+'Evolutive SFP'!J34+'Evolutive SFP'!J35)</f>
        <v>0.30385768694727727</v>
      </c>
      <c r="M13" s="58">
        <f>('Evolutive SFP'!K4+'Evolutive SFP'!K8)/('Evolutive SFP'!K30+'Evolutive SFP'!K31+'Evolutive SFP'!K32+'Evolutive SFP'!K33+'Evolutive SFP'!K34+'Evolutive SFP'!K35)</f>
        <v>0.30655123861394279</v>
      </c>
      <c r="N13" s="70">
        <f>('Evolutive SFP'!L4+'Evolutive SFP'!L8)/('Evolutive SFP'!L30+'Evolutive SFP'!L31+'Evolutive SFP'!L32+'Evolutive SFP'!L33+'Evolutive SFP'!L34+'Evolutive SFP'!L35)</f>
        <v>0.28175906832639597</v>
      </c>
      <c r="O13" s="70">
        <f>('Evolutive SFP'!M4+'Evolutive SFP'!M8)/('Evolutive SFP'!M30+'Evolutive SFP'!M31+'Evolutive SFP'!M32+'Evolutive SFP'!M33+'Evolutive SFP'!M34+'Evolutive SFP'!M35)</f>
        <v>0.29176112741080623</v>
      </c>
      <c r="P13" s="70">
        <f>('Evolutive SFP'!N4+'Evolutive SFP'!N8)/('Evolutive SFP'!N30+'Evolutive SFP'!N31+'Evolutive SFP'!N32+'Evolutive SFP'!N33+'Evolutive SFP'!N34+'Evolutive SFP'!N35)</f>
        <v>0.28132093286470877</v>
      </c>
      <c r="Q13" s="70">
        <f>('Evolutive SFP'!O4+'Evolutive SFP'!O8)/('Evolutive SFP'!O30+'Evolutive SFP'!O31+'Evolutive SFP'!O32+'Evolutive SFP'!O33+'Evolutive SFP'!O34+'Evolutive SFP'!O35)</f>
        <v>0.27275145448062521</v>
      </c>
      <c r="R13" s="70">
        <f>('Evolutive SFP'!P4+'Evolutive SFP'!P8)/('Evolutive SFP'!P30+'Evolutive SFP'!P31+'Evolutive SFP'!P32+'Evolutive SFP'!P33+'Evolutive SFP'!P34+'Evolutive SFP'!P35)</f>
        <v>0.27090805264809198</v>
      </c>
      <c r="S13" s="70">
        <f>('Evolutive SFP'!Q4+'Evolutive SFP'!Q8)/('Evolutive SFP'!Q30+'Evolutive SFP'!Q31+'Evolutive SFP'!Q32+'Evolutive SFP'!Q33+'Evolutive SFP'!Q34+'Evolutive SFP'!Q35)</f>
        <v>0.25596886549745451</v>
      </c>
      <c r="T13" s="70">
        <f>('Evolutive SFP'!R4+'Evolutive SFP'!R8)/('Evolutive SFP'!R30+'Evolutive SFP'!R31+'Evolutive SFP'!R32+'Evolutive SFP'!R33+'Evolutive SFP'!R34+'Evolutive SFP'!R35)</f>
        <v>0.26651239242644142</v>
      </c>
      <c r="U13" s="70">
        <f>('Evolutive SFP'!S4+'Evolutive SFP'!S8)/('Evolutive SFP'!S30+'Evolutive SFP'!S31+'Evolutive SFP'!S32+'Evolutive SFP'!S33+'Evolutive SFP'!S34+'Evolutive SFP'!S35)</f>
        <v>0.26481809179703264</v>
      </c>
      <c r="V13" s="70">
        <f>('Evolutive SFP'!T4+'Evolutive SFP'!T8)/('Evolutive SFP'!T30+'Evolutive SFP'!T31+'Evolutive SFP'!T32+'Evolutive SFP'!T33+'Evolutive SFP'!T34+'Evolutive SFP'!T35)</f>
        <v>0.27632964121625675</v>
      </c>
      <c r="W13" s="70">
        <f>('Evolutive SFP'!U4+'Evolutive SFP'!U8)/('Evolutive SFP'!U30+'Evolutive SFP'!U31+'Evolutive SFP'!U32+'Evolutive SFP'!U33+'Evolutive SFP'!U34+'Evolutive SFP'!U35)</f>
        <v>0.29197182874647903</v>
      </c>
      <c r="X13" s="70">
        <f>('Evolutive SFP'!V4+'Evolutive SFP'!V8)/('Evolutive SFP'!V30+'Evolutive SFP'!V31+'Evolutive SFP'!V32+'Evolutive SFP'!V33+'Evolutive SFP'!V34+'Evolutive SFP'!V35)</f>
        <v>0.28644605602834822</v>
      </c>
      <c r="Y13" s="70">
        <f>('Evolutive SFP'!W4+'Evolutive SFP'!W8)/('Evolutive SFP'!W30+'Evolutive SFP'!W31+'Evolutive SFP'!W32+'Evolutive SFP'!W33+'Evolutive SFP'!W34+'Evolutive SFP'!W35)</f>
        <v>0.29479675194880656</v>
      </c>
      <c r="Z13" s="70">
        <f>('Evolutive SFP'!X4+'Evolutive SFP'!X8)/('Evolutive SFP'!X30+'Evolutive SFP'!X31+'Evolutive SFP'!X32+'Evolutive SFP'!X33+'Evolutive SFP'!X34+'Evolutive SFP'!X35)</f>
        <v>0.30255298503378386</v>
      </c>
      <c r="AA13" s="70">
        <f>('Evolutive SFP'!Y4+'Evolutive SFP'!Y8)/('Evolutive SFP'!Y30+'Evolutive SFP'!Y31+'Evolutive SFP'!Y32+'Evolutive SFP'!Y33+'Evolutive SFP'!Y34+'Evolutive SFP'!Y35)</f>
        <v>0.28416428282061929</v>
      </c>
      <c r="AB13" s="70">
        <f>('Evolutive SFP'!Z4+'Evolutive SFP'!Z8)/('Evolutive SFP'!Z30+'Evolutive SFP'!Z31+'Evolutive SFP'!Z32+'Evolutive SFP'!Z33+'Evolutive SFP'!Z34+'Evolutive SFP'!Z35)</f>
        <v>0.29714858136917355</v>
      </c>
      <c r="AC13" s="70">
        <f>('Evolutive SFP'!AA4+'Evolutive SFP'!AA8)/('Evolutive SFP'!AA30+'Evolutive SFP'!AA31+'Evolutive SFP'!AA32+'Evolutive SFP'!AA33+'Evolutive SFP'!AA34+'Evolutive SFP'!AA35)</f>
        <v>0.29805546674506189</v>
      </c>
      <c r="AD13" s="70">
        <f>('Evolutive SFP'!AB4+'Evolutive SFP'!AB8)/('Evolutive SFP'!AB30+'Evolutive SFP'!AB31+'Evolutive SFP'!AB32+'Evolutive SFP'!AB33+'Evolutive SFP'!AB34+'Evolutive SFP'!AB35)</f>
        <v>0.28206237170535764</v>
      </c>
      <c r="AE13" s="70">
        <f>('Evolutive SFP'!AC4+'Evolutive SFP'!AC8)/('Evolutive SFP'!AC30+'Evolutive SFP'!AC31+'Evolutive SFP'!AC32+'Evolutive SFP'!AC33+'Evolutive SFP'!AC34+'Evolutive SFP'!AC35)</f>
        <v>0.25253528826499105</v>
      </c>
      <c r="AF13" s="70">
        <f>('Evolutive SFP'!AD4+'Evolutive SFP'!AD8)/('Evolutive SFP'!AD30+'Evolutive SFP'!AD31+'Evolutive SFP'!AD32+'Evolutive SFP'!AD33+'Evolutive SFP'!AD34+'Evolutive SFP'!AD35)</f>
        <v>0.25837016988598915</v>
      </c>
      <c r="AG13" s="70">
        <f>('Evolutive SFP'!AE4+'Evolutive SFP'!AE8)/('Evolutive SFP'!AE30+'Evolutive SFP'!AE31+'Evolutive SFP'!AE32+'Evolutive SFP'!AE33+'Evolutive SFP'!AE34+'Evolutive SFP'!AE35)</f>
        <v>0.29745127383336362</v>
      </c>
      <c r="AH13" s="70">
        <f>('Evolutive SFP'!AF4+'Evolutive SFP'!AF8)/('Evolutive SFP'!AF30+'Evolutive SFP'!AF31+'Evolutive SFP'!AF32+'Evolutive SFP'!AF33+'Evolutive SFP'!AF34+'Evolutive SFP'!AF35)</f>
        <v>0.26421312214472575</v>
      </c>
      <c r="AI13" s="70">
        <f>('Evolutive SFP'!AG4+'Evolutive SFP'!AG8)/('Evolutive SFP'!AG30+'Evolutive SFP'!AG31+'Evolutive SFP'!AG32+'Evolutive SFP'!AG33+'Evolutive SFP'!AG34+'Evolutive SFP'!AG35)</f>
        <v>0.26530799629801938</v>
      </c>
      <c r="AJ13" s="70">
        <f>('Evolutive SFP'!AH4+'Evolutive SFP'!AH8)/('Evolutive SFP'!AH30+'Evolutive SFP'!AH31+'Evolutive SFP'!AH32+'Evolutive SFP'!AH33+'Evolutive SFP'!AH34+'Evolutive SFP'!AH35)</f>
        <v>0.26800194119338694</v>
      </c>
      <c r="AK13" s="70">
        <f>('Evolutive SFP'!AI4+'Evolutive SFP'!AI8)/('Evolutive SFP'!AI30+'Evolutive SFP'!AI31+'Evolutive SFP'!AI32+'Evolutive SFP'!AI33+'Evolutive SFP'!AI34+'Evolutive SFP'!AI35)</f>
        <v>0.27956782328454993</v>
      </c>
      <c r="AL13" s="70">
        <f>('Evolutive SFP'!AJ4+'Evolutive SFP'!AJ8)/('Evolutive SFP'!AJ30+'Evolutive SFP'!AJ31+'Evolutive SFP'!AJ32+'Evolutive SFP'!AJ33+'Evolutive SFP'!AJ34+'Evolutive SFP'!AJ35)</f>
        <v>0.29057994992415975</v>
      </c>
      <c r="AM13" s="70">
        <f>('Evolutive SFP'!AK4+'Evolutive SFP'!AK8)/('Evolutive SFP'!AK30+'Evolutive SFP'!AK31+'Evolutive SFP'!AK32+'Evolutive SFP'!AK33+'Evolutive SFP'!AK34+'Evolutive SFP'!AK35)</f>
        <v>0.29245139962316802</v>
      </c>
      <c r="AN13" s="70">
        <f>('Evolutive SFP'!AL4+'Evolutive SFP'!AL8)/('Evolutive SFP'!AL30+'Evolutive SFP'!AL31+'Evolutive SFP'!AL32+'Evolutive SFP'!AL33+'Evolutive SFP'!AL34+'Evolutive SFP'!AL35)</f>
        <v>0.28751997134461205</v>
      </c>
      <c r="AO13" s="70">
        <f>('Evolutive SFP'!AM4+'Evolutive SFP'!AM8)/('Evolutive SFP'!AM30+'Evolutive SFP'!AM31+'Evolutive SFP'!AM32+'Evolutive SFP'!AM33+'Evolutive SFP'!AM34+'Evolutive SFP'!AM35)</f>
        <v>0.26978641602309095</v>
      </c>
      <c r="AP13" s="70">
        <f>('Evolutive SFP'!AN4+'Evolutive SFP'!AN8)/('Evolutive SFP'!AN30+'Evolutive SFP'!AN31+'Evolutive SFP'!AN32+'Evolutive SFP'!AN33+'Evolutive SFP'!AN34+'Evolutive SFP'!AN35)</f>
        <v>0.27178491484631478</v>
      </c>
      <c r="AQ13" s="70">
        <f>('Evolutive SFP'!AO4+'Evolutive SFP'!AO8)/('Evolutive SFP'!AO30+'Evolutive SFP'!AO31+'Evolutive SFP'!AO32+'Evolutive SFP'!AO33+'Evolutive SFP'!AO34+'Evolutive SFP'!AO35)</f>
        <v>0.25732802793874454</v>
      </c>
      <c r="AR13" s="70">
        <f>('Evolutive SFP'!AP4+'Evolutive SFP'!AP8)/('Evolutive SFP'!AP30+'Evolutive SFP'!AP31+'Evolutive SFP'!AP32+'Evolutive SFP'!AP33+'Evolutive SFP'!AP34+'Evolutive SFP'!AP35)</f>
        <v>0.23288515665495521</v>
      </c>
      <c r="AS13" s="70">
        <f>('Evolutive SFP'!AQ4+'Evolutive SFP'!AQ8)/('Evolutive SFP'!AQ30+'Evolutive SFP'!AQ31+'Evolutive SFP'!AQ32+'Evolutive SFP'!AQ33+'Evolutive SFP'!AQ34+'Evolutive SFP'!AQ35)</f>
        <v>0.22626437413428968</v>
      </c>
      <c r="AT13" s="70">
        <f>('Evolutive SFP'!AR4+'Evolutive SFP'!AR8)/('Evolutive SFP'!AR30+'Evolutive SFP'!AR31+'Evolutive SFP'!AR32+'Evolutive SFP'!AR33+'Evolutive SFP'!AR34+'Evolutive SFP'!AR35)</f>
        <v>0.25157378283179349</v>
      </c>
      <c r="AU13" s="70">
        <f>('Evolutive SFP'!AS4+'Evolutive SFP'!AS8)/('Evolutive SFP'!AS30+'Evolutive SFP'!AS31+'Evolutive SFP'!AS32+'Evolutive SFP'!AS33+'Evolutive SFP'!AS34+'Evolutive SFP'!AS35)</f>
        <v>0.23355079214636912</v>
      </c>
      <c r="AV13" s="70">
        <f>('Evolutive SFP'!AT4+'Evolutive SFP'!AT8)/('Evolutive SFP'!AT30+'Evolutive SFP'!AT31+'Evolutive SFP'!AT32+'Evolutive SFP'!AT33+'Evolutive SFP'!AT34+'Evolutive SFP'!AT35)</f>
        <v>0.22693801529322724</v>
      </c>
      <c r="AW13" s="70">
        <f>('Evolutive SFP'!AU4+'Evolutive SFP'!AU8)/('Evolutive SFP'!AU30+'Evolutive SFP'!AU31+'Evolutive SFP'!AU32+'Evolutive SFP'!AU33+'Evolutive SFP'!AU34+'Evolutive SFP'!AU35)</f>
        <v>0.21473694321566986</v>
      </c>
      <c r="AX13" s="70" t="e">
        <f>('Evolutive SFP'!AV4+'Evolutive SFP'!AV8)/('Evolutive SFP'!AV30+'Evolutive SFP'!AV31+'Evolutive SFP'!AV32+'Evolutive SFP'!AV33+'Evolutive SFP'!AV34+'Evolutive SFP'!AV35)</f>
        <v>#DIV/0!</v>
      </c>
      <c r="AY13" s="70" t="e">
        <f>('Evolutive SFP'!AW4+'Evolutive SFP'!AW8)/('Evolutive SFP'!AW30+'Evolutive SFP'!AW31+'Evolutive SFP'!AW32+'Evolutive SFP'!AW33+'Evolutive SFP'!AW34+'Evolutive SFP'!AW35)</f>
        <v>#DIV/0!</v>
      </c>
      <c r="AZ13" s="70" t="e">
        <f>('Evolutive SFP'!AX4+'Evolutive SFP'!AX8)/('Evolutive SFP'!AX30+'Evolutive SFP'!AX31+'Evolutive SFP'!AX32+'Evolutive SFP'!AX33+'Evolutive SFP'!AX34+'Evolutive SFP'!AX35)</f>
        <v>#DIV/0!</v>
      </c>
    </row>
    <row r="14" spans="1:52" ht="15">
      <c r="A14" s="247"/>
      <c r="B14" s="55" t="s">
        <v>143</v>
      </c>
      <c r="C14" s="56" t="s">
        <v>144</v>
      </c>
      <c r="D14" s="58">
        <f>'Evolutive SFP'!B36/'Evolutive SFP'!B26</f>
        <v>4.8642082020161959E-2</v>
      </c>
      <c r="E14" s="58">
        <f>'Evolutive SFP'!C36/'Evolutive SFP'!C26</f>
        <v>3.4181979960499126E-2</v>
      </c>
      <c r="F14" s="58">
        <f>'Evolutive SFP'!D36/'Evolutive SFP'!D26</f>
        <v>2.6871202442088321E-2</v>
      </c>
      <c r="G14" s="58">
        <f>'Evolutive SFP'!E36/'Evolutive SFP'!E26</f>
        <v>2.5784577812419631E-2</v>
      </c>
      <c r="H14" s="58">
        <f>'Evolutive SFP'!F36/'Evolutive SFP'!F26</f>
        <v>2.1623417725074406E-2</v>
      </c>
      <c r="I14" s="58">
        <f>'Evolutive SFP'!G36/'Evolutive SFP'!G26</f>
        <v>1.7546158851623729E-2</v>
      </c>
      <c r="J14" s="58">
        <f>'Evolutive SFP'!H36/'Evolutive SFP'!H26</f>
        <v>5.0321701623512582E-3</v>
      </c>
      <c r="K14" s="58">
        <f>'Evolutive SFP'!I36/'Evolutive SFP'!I26</f>
        <v>2.904182974496274E-3</v>
      </c>
      <c r="L14" s="58">
        <f>'Evolutive SFP'!J36/'Evolutive SFP'!J26</f>
        <v>-1.0531417040911537E-4</v>
      </c>
      <c r="M14" s="58">
        <f>'Evolutive SFP'!K36/'Evolutive SFP'!K26</f>
        <v>-2.3832682204786076E-3</v>
      </c>
      <c r="N14" s="70">
        <f>'Evolutive SFP'!L36/'Evolutive SFP'!L26</f>
        <v>0</v>
      </c>
      <c r="O14" s="70">
        <f>'Evolutive SFP'!M36/'Evolutive SFP'!M26</f>
        <v>-6.49962683868537E-3</v>
      </c>
      <c r="P14" s="70">
        <f>'Evolutive SFP'!N36/'Evolutive SFP'!N26</f>
        <v>-6.4717630623515911E-3</v>
      </c>
      <c r="Q14" s="70">
        <f>'Evolutive SFP'!O36/'Evolutive SFP'!O26</f>
        <v>3.9676310940390033E-3</v>
      </c>
      <c r="R14" s="70">
        <f>'Evolutive SFP'!P36/'Evolutive SFP'!P26</f>
        <v>4.0156981895164718E-3</v>
      </c>
      <c r="S14" s="70">
        <f>'Evolutive SFP'!Q36/'Evolutive SFP'!Q26</f>
        <v>3.961060564730663E-3</v>
      </c>
      <c r="T14" s="70">
        <f>'Evolutive SFP'!R36/'Evolutive SFP'!R26</f>
        <v>0</v>
      </c>
      <c r="U14" s="70">
        <f>'Evolutive SFP'!S36/'Evolutive SFP'!S26</f>
        <v>0</v>
      </c>
      <c r="V14" s="70">
        <f>'Evolutive SFP'!T36/'Evolutive SFP'!T26</f>
        <v>0</v>
      </c>
      <c r="W14" s="70">
        <f>'Evolutive SFP'!U36/'Evolutive SFP'!U26</f>
        <v>0</v>
      </c>
      <c r="X14" s="70">
        <f>'Evolutive SFP'!V36/'Evolutive SFP'!V26</f>
        <v>0</v>
      </c>
      <c r="Y14" s="70">
        <f>'Evolutive SFP'!W36/'Evolutive SFP'!W26</f>
        <v>0</v>
      </c>
      <c r="Z14" s="70">
        <f>'Evolutive SFP'!X36/'Evolutive SFP'!X26</f>
        <v>0</v>
      </c>
      <c r="AA14" s="70">
        <f>'Evolutive SFP'!Y36/'Evolutive SFP'!Y26</f>
        <v>0</v>
      </c>
      <c r="AB14" s="70">
        <f>'Evolutive SFP'!Z36/'Evolutive SFP'!Z26</f>
        <v>0</v>
      </c>
      <c r="AC14" s="70">
        <f>'Evolutive SFP'!AA36/'Evolutive SFP'!AA26</f>
        <v>0</v>
      </c>
      <c r="AD14" s="70">
        <f>'Evolutive SFP'!AB36/'Evolutive SFP'!AB26</f>
        <v>0</v>
      </c>
      <c r="AE14" s="70">
        <f>'Evolutive SFP'!AC36/'Evolutive SFP'!AC26</f>
        <v>0</v>
      </c>
      <c r="AF14" s="70">
        <f>'Evolutive SFP'!AD36/'Evolutive SFP'!AD26</f>
        <v>0</v>
      </c>
      <c r="AG14" s="70">
        <f>'Evolutive SFP'!AE36/'Evolutive SFP'!AE26</f>
        <v>0</v>
      </c>
      <c r="AH14" s="70">
        <f>'Evolutive SFP'!AF36/'Evolutive SFP'!AF26</f>
        <v>0</v>
      </c>
      <c r="AI14" s="70">
        <f>'Evolutive SFP'!AG36/'Evolutive SFP'!AG26</f>
        <v>0</v>
      </c>
      <c r="AJ14" s="70">
        <f>'Evolutive SFP'!AH36/'Evolutive SFP'!AH26</f>
        <v>0</v>
      </c>
      <c r="AK14" s="70">
        <f>'Evolutive SFP'!AI36/'Evolutive SFP'!AI26</f>
        <v>0</v>
      </c>
      <c r="AL14" s="70">
        <f>'Evolutive SFP'!AJ36/'Evolutive SFP'!AJ26</f>
        <v>0</v>
      </c>
      <c r="AM14" s="70">
        <f>'Evolutive SFP'!AK36/'Evolutive SFP'!AK26</f>
        <v>0</v>
      </c>
      <c r="AN14" s="70">
        <f>'Evolutive SFP'!AL36/'Evolutive SFP'!AL26</f>
        <v>0</v>
      </c>
      <c r="AO14" s="70">
        <f>'Evolutive SFP'!AM36/'Evolutive SFP'!AM26</f>
        <v>0</v>
      </c>
      <c r="AP14" s="70">
        <f>'Evolutive SFP'!AN36/'Evolutive SFP'!AN26</f>
        <v>0</v>
      </c>
      <c r="AQ14" s="70">
        <f>'Evolutive SFP'!AO36/'Evolutive SFP'!AO26</f>
        <v>0</v>
      </c>
      <c r="AR14" s="70">
        <f>'Evolutive SFP'!AP36/'Evolutive SFP'!AP26</f>
        <v>0</v>
      </c>
      <c r="AS14" s="70">
        <f>'Evolutive SFP'!AQ36/'Evolutive SFP'!AQ26</f>
        <v>0</v>
      </c>
      <c r="AT14" s="70">
        <f>'Evolutive SFP'!AR36/'Evolutive SFP'!AR26</f>
        <v>0</v>
      </c>
      <c r="AU14" s="70">
        <f>'Evolutive SFP'!AS36/'Evolutive SFP'!AS26</f>
        <v>0</v>
      </c>
      <c r="AV14" s="70">
        <f>'Evolutive SFP'!AT36/'Evolutive SFP'!AT26</f>
        <v>0</v>
      </c>
      <c r="AW14" s="70">
        <f>'Evolutive SFP'!AU36/'Evolutive SFP'!AU26</f>
        <v>0</v>
      </c>
      <c r="AX14" s="70" t="e">
        <f>'Evolutive SFP'!AV36/'Evolutive SFP'!AV26</f>
        <v>#DIV/0!</v>
      </c>
      <c r="AY14" s="70" t="e">
        <f>'Evolutive SFP'!AW36/'Evolutive SFP'!AW26</f>
        <v>#DIV/0!</v>
      </c>
      <c r="AZ14" s="70" t="e">
        <f>'Evolutive SFP'!AX36/'Evolutive SFP'!AX26</f>
        <v>#DIV/0!</v>
      </c>
    </row>
    <row r="15" spans="1:52" ht="15">
      <c r="A15" s="247"/>
      <c r="B15" s="55" t="s">
        <v>145</v>
      </c>
      <c r="C15" s="56"/>
      <c r="D15" s="58">
        <f>'Evolutive SFP'!B4/'Evolutive SFP'!B26</f>
        <v>0.28463721914799578</v>
      </c>
      <c r="E15" s="58">
        <f>'Evolutive SFP'!C4/'Evolutive SFP'!C26</f>
        <v>0.15194319631002817</v>
      </c>
      <c r="F15" s="58">
        <f>'Evolutive SFP'!D4/'Evolutive SFP'!D26</f>
        <v>0.16365543812149164</v>
      </c>
      <c r="G15" s="58">
        <f>'Evolutive SFP'!E4/'Evolutive SFP'!E26</f>
        <v>0.15606964748828731</v>
      </c>
      <c r="H15" s="58">
        <f>'Evolutive SFP'!F4/'Evolutive SFP'!F26</f>
        <v>0.16671692272550948</v>
      </c>
      <c r="I15" s="58">
        <f>'Evolutive SFP'!G4/'Evolutive SFP'!G26</f>
        <v>0.19758906221589859</v>
      </c>
      <c r="J15" s="58">
        <f>'Evolutive SFP'!H4/'Evolutive SFP'!H26</f>
        <v>0.17144933238055829</v>
      </c>
      <c r="K15" s="58">
        <f>'Evolutive SFP'!I4/'Evolutive SFP'!I26</f>
        <v>0.16304943712253972</v>
      </c>
      <c r="L15" s="58">
        <f>'Evolutive SFP'!J4/'Evolutive SFP'!J26</f>
        <v>0.16280024279932712</v>
      </c>
      <c r="M15" s="58">
        <f>'Evolutive SFP'!K4/'Evolutive SFP'!K26</f>
        <v>0.16268911248860016</v>
      </c>
      <c r="N15" s="70">
        <f>'Evolutive SFP'!L4/'Evolutive SFP'!L26</f>
        <v>0.27919716680275597</v>
      </c>
      <c r="O15" s="70">
        <f>'Evolutive SFP'!M4/'Evolutive SFP'!M26</f>
        <v>0.14833678746414758</v>
      </c>
      <c r="P15" s="70">
        <f>'Evolutive SFP'!N4/'Evolutive SFP'!N26</f>
        <v>0.15332894395651603</v>
      </c>
      <c r="Q15" s="70">
        <f>'Evolutive SFP'!O4/'Evolutive SFP'!O26</f>
        <v>0.14041644068734715</v>
      </c>
      <c r="R15" s="70">
        <f>'Evolutive SFP'!P4/'Evolutive SFP'!P26</f>
        <v>0.13486919202473244</v>
      </c>
      <c r="S15" s="70">
        <f>'Evolutive SFP'!Q4/'Evolutive SFP'!Q26</f>
        <v>0.12249948339168658</v>
      </c>
      <c r="T15" s="70">
        <f>'Evolutive SFP'!R4/'Evolutive SFP'!R26</f>
        <v>0.12722247405581338</v>
      </c>
      <c r="U15" s="70">
        <f>'Evolutive SFP'!S4/'Evolutive SFP'!S26</f>
        <v>0.13132020642825007</v>
      </c>
      <c r="V15" s="70">
        <f>'Evolutive SFP'!T4/'Evolutive SFP'!T26</f>
        <v>0.14090594273524734</v>
      </c>
      <c r="W15" s="70">
        <f>'Evolutive SFP'!U4/'Evolutive SFP'!U26</f>
        <v>0.15214219708187804</v>
      </c>
      <c r="X15" s="70">
        <f>'Evolutive SFP'!V4/'Evolutive SFP'!V26</f>
        <v>0.14705034183277246</v>
      </c>
      <c r="Y15" s="70">
        <f>'Evolutive SFP'!W4/'Evolutive SFP'!W26</f>
        <v>0.15338356214190454</v>
      </c>
      <c r="Z15" s="70">
        <f>'Evolutive SFP'!X4/'Evolutive SFP'!X26</f>
        <v>0.15670044972328384</v>
      </c>
      <c r="AA15" s="70">
        <f>'Evolutive SFP'!Y4/'Evolutive SFP'!Y26</f>
        <v>0.22688071138495655</v>
      </c>
      <c r="AB15" s="70">
        <f>'Evolutive SFP'!Z4/'Evolutive SFP'!Z26</f>
        <v>0.1697303254459408</v>
      </c>
      <c r="AC15" s="70">
        <f>'Evolutive SFP'!AA4/'Evolutive SFP'!AA26</f>
        <v>0.17145141194368196</v>
      </c>
      <c r="AD15" s="70">
        <f>'Evolutive SFP'!AB4/'Evolutive SFP'!AB26</f>
        <v>0.15255534415579489</v>
      </c>
      <c r="AE15" s="70">
        <f>'Evolutive SFP'!AC4/'Evolutive SFP'!AC26</f>
        <v>0.12359487117154633</v>
      </c>
      <c r="AF15" s="70">
        <f>'Evolutive SFP'!AD4/'Evolutive SFP'!AD26</f>
        <v>0.1270396322554587</v>
      </c>
      <c r="AG15" s="70">
        <f>'Evolutive SFP'!AE4/'Evolutive SFP'!AE26</f>
        <v>0.15968786137527718</v>
      </c>
      <c r="AH15" s="70">
        <f>'Evolutive SFP'!AF4/'Evolutive SFP'!AF26</f>
        <v>0.1318731652049763</v>
      </c>
      <c r="AI15" s="70">
        <f>'Evolutive SFP'!AG4/'Evolutive SFP'!AG26</f>
        <v>0.13167500398606397</v>
      </c>
      <c r="AJ15" s="70">
        <f>'Evolutive SFP'!AH4/'Evolutive SFP'!AH26</f>
        <v>0.1324123436585137</v>
      </c>
      <c r="AK15" s="70">
        <f>'Evolutive SFP'!AI4/'Evolutive SFP'!AI26</f>
        <v>0.14253063653085332</v>
      </c>
      <c r="AL15" s="70">
        <f>'Evolutive SFP'!AJ4/'Evolutive SFP'!AJ26</f>
        <v>0.15131549152117463</v>
      </c>
      <c r="AM15" s="70">
        <f>'Evolutive SFP'!AK4/'Evolutive SFP'!AK26</f>
        <v>0.15873915815965417</v>
      </c>
      <c r="AN15" s="70">
        <f>'Evolutive SFP'!AL4/'Evolutive SFP'!AL26</f>
        <v>0.22705808845702594</v>
      </c>
      <c r="AO15" s="70">
        <f>'Evolutive SFP'!AM4/'Evolutive SFP'!AM26</f>
        <v>0.14218804016266282</v>
      </c>
      <c r="AP15" s="70">
        <f>'Evolutive SFP'!AN4/'Evolutive SFP'!AN26</f>
        <v>0.14322268224920048</v>
      </c>
      <c r="AQ15" s="70">
        <f>'Evolutive SFP'!AO4/'Evolutive SFP'!AO26</f>
        <v>0.12950467034912433</v>
      </c>
      <c r="AR15" s="70">
        <f>'Evolutive SFP'!AP4/'Evolutive SFP'!AP26</f>
        <v>0.10622257249585089</v>
      </c>
      <c r="AS15" s="70">
        <f>'Evolutive SFP'!AQ4/'Evolutive SFP'!AQ26</f>
        <v>9.993940417864372E-2</v>
      </c>
      <c r="AT15" s="70">
        <f>'Evolutive SFP'!AR4/'Evolutive SFP'!AR26</f>
        <v>0.12032027006183774</v>
      </c>
      <c r="AU15" s="70">
        <f>'Evolutive SFP'!AS4/'Evolutive SFP'!AS26</f>
        <v>0.10573598108467817</v>
      </c>
      <c r="AV15" s="70">
        <f>'Evolutive SFP'!AT4/'Evolutive SFP'!AT26</f>
        <v>0.10056099064695941</v>
      </c>
      <c r="AW15" s="70">
        <f>'Evolutive SFP'!AU4/'Evolutive SFP'!AU26</f>
        <v>8.82156800578099E-2</v>
      </c>
      <c r="AX15" s="70" t="e">
        <f>'Evolutive SFP'!AV4/'Evolutive SFP'!AV26</f>
        <v>#DIV/0!</v>
      </c>
      <c r="AY15" s="70" t="e">
        <f>'Evolutive SFP'!AW4/'Evolutive SFP'!AW26</f>
        <v>#DIV/0!</v>
      </c>
      <c r="AZ15" s="70" t="e">
        <f>'Evolutive SFP'!AX4/'Evolutive SFP'!AX26</f>
        <v>#DIV/0!</v>
      </c>
    </row>
    <row r="16" spans="1:52" ht="15">
      <c r="A16" s="247" t="s">
        <v>146</v>
      </c>
      <c r="B16" s="55" t="s">
        <v>147</v>
      </c>
      <c r="C16" s="56" t="s">
        <v>148</v>
      </c>
      <c r="D16" s="58">
        <f>('Evolutive SFP'!B7+'Evolutive SFP'!B20)/'Evolutive SFP'!B26</f>
        <v>0.11601931373428838</v>
      </c>
      <c r="E16" s="58">
        <f>('Evolutive SFP'!C7+'Evolutive SFP'!C20)/'Evolutive SFP'!C26</f>
        <v>0.30283896391785459</v>
      </c>
      <c r="F16" s="58">
        <f>('Evolutive SFP'!D7+'Evolutive SFP'!D20)/'Evolutive SFP'!D26</f>
        <v>0.30709041685094929</v>
      </c>
      <c r="G16" s="58">
        <f>('Evolutive SFP'!E7+'Evolutive SFP'!E20)/'Evolutive SFP'!E26</f>
        <v>0.31382617123869311</v>
      </c>
      <c r="H16" s="58">
        <f>('Evolutive SFP'!F7+'Evolutive SFP'!F20)/'Evolutive SFP'!F26</f>
        <v>0.31450726838118803</v>
      </c>
      <c r="I16" s="58">
        <f>('Evolutive SFP'!G7+'Evolutive SFP'!G20)/'Evolutive SFP'!G26</f>
        <v>0.29133836714457301</v>
      </c>
      <c r="J16" s="58">
        <f>('Evolutive SFP'!H7+'Evolutive SFP'!H20)/'Evolutive SFP'!H26</f>
        <v>0.30984605824222156</v>
      </c>
      <c r="K16" s="58">
        <f>('Evolutive SFP'!I7+'Evolutive SFP'!I20)/'Evolutive SFP'!I26</f>
        <v>0.30982054323982933</v>
      </c>
      <c r="L16" s="58">
        <f>('Evolutive SFP'!J7+'Evolutive SFP'!J20)/'Evolutive SFP'!J26</f>
        <v>0.310882531959285</v>
      </c>
      <c r="M16" s="58">
        <f>('Evolutive SFP'!K7+'Evolutive SFP'!K20)/'Evolutive SFP'!K26</f>
        <v>0.29724030950061991</v>
      </c>
      <c r="N16" s="70">
        <f>('Evolutive SFP'!L7+'Evolutive SFP'!L20)/'Evolutive SFP'!L26</f>
        <v>0.13990242448001761</v>
      </c>
      <c r="O16" s="70">
        <f>('Evolutive SFP'!M7+'Evolutive SFP'!M20)/'Evolutive SFP'!M26</f>
        <v>0.3081843786563338</v>
      </c>
      <c r="P16" s="70">
        <f>('Evolutive SFP'!N7+'Evolutive SFP'!N20)/'Evolutive SFP'!N26</f>
        <v>0.30650649276321312</v>
      </c>
      <c r="Q16" s="70">
        <f>('Evolutive SFP'!O7+'Evolutive SFP'!O20)/'Evolutive SFP'!O26</f>
        <v>0.30858643193603624</v>
      </c>
      <c r="R16" s="70">
        <f>('Evolutive SFP'!P7+'Evolutive SFP'!P20)/'Evolutive SFP'!P26</f>
        <v>0.30300035463209607</v>
      </c>
      <c r="S16" s="70">
        <f>('Evolutive SFP'!Q7+'Evolutive SFP'!Q20)/'Evolutive SFP'!Q26</f>
        <v>0.31083091882733965</v>
      </c>
      <c r="T16" s="70">
        <f>('Evolutive SFP'!R7+'Evolutive SFP'!R20)/'Evolutive SFP'!R26</f>
        <v>0.3080219800163429</v>
      </c>
      <c r="U16" s="70">
        <f>('Evolutive SFP'!S7+'Evolutive SFP'!S20)/'Evolutive SFP'!S26</f>
        <v>0.30969285410722902</v>
      </c>
      <c r="V16" s="70">
        <f>('Evolutive SFP'!T7+'Evolutive SFP'!T20)/'Evolutive SFP'!T26</f>
        <v>0.30876792225021715</v>
      </c>
      <c r="W16" s="70">
        <f>('Evolutive SFP'!U7+'Evolutive SFP'!U20)/'Evolutive SFP'!U26</f>
        <v>0.30395898305112851</v>
      </c>
      <c r="X16" s="70">
        <f>('Evolutive SFP'!V7+'Evolutive SFP'!V20)/'Evolutive SFP'!V26</f>
        <v>0.3090474381903448</v>
      </c>
      <c r="Y16" s="70">
        <f>('Evolutive SFP'!W7+'Evolutive SFP'!W20)/'Evolutive SFP'!W26</f>
        <v>0.30769087418615648</v>
      </c>
      <c r="Z16" s="70">
        <f>('Evolutive SFP'!X7+'Evolutive SFP'!X20)/'Evolutive SFP'!X26</f>
        <v>0.30478581860160692</v>
      </c>
      <c r="AA16" s="70">
        <f>('Evolutive SFP'!Y7+'Evolutive SFP'!Y20)/'Evolutive SFP'!Y26</f>
        <v>0.30198254625239757</v>
      </c>
      <c r="AB16" s="70">
        <f>('Evolutive SFP'!Z7+'Evolutive SFP'!Z20)/'Evolutive SFP'!Z26</f>
        <v>0.29315242273185077</v>
      </c>
      <c r="AC16" s="70">
        <f>('Evolutive SFP'!AA7+'Evolutive SFP'!AA20)/'Evolutive SFP'!AA26</f>
        <v>0.29526473194654318</v>
      </c>
      <c r="AD16" s="70">
        <f>('Evolutive SFP'!AB7+'Evolutive SFP'!AB20)/'Evolutive SFP'!AB26</f>
        <v>0.29396145761570036</v>
      </c>
      <c r="AE16" s="70">
        <f>('Evolutive SFP'!AC7+'Evolutive SFP'!AC20)/'Evolutive SFP'!AC26</f>
        <v>0.29878292146315988</v>
      </c>
      <c r="AF16" s="70">
        <f>('Evolutive SFP'!AD7+'Evolutive SFP'!AD20)/'Evolutive SFP'!AD26</f>
        <v>0.28985731358772809</v>
      </c>
      <c r="AG16" s="70">
        <f>('Evolutive SFP'!AE7+'Evolutive SFP'!AE20)/'Evolutive SFP'!AE26</f>
        <v>0.26985875394207937</v>
      </c>
      <c r="AH16" s="70">
        <f>('Evolutive SFP'!AF7+'Evolutive SFP'!AF20)/'Evolutive SFP'!AF26</f>
        <v>0.28862807772128779</v>
      </c>
      <c r="AI16" s="70">
        <f>('Evolutive SFP'!AG7+'Evolutive SFP'!AG20)/'Evolutive SFP'!AG26</f>
        <v>0.29437346510950579</v>
      </c>
      <c r="AJ16" s="70">
        <f>('Evolutive SFP'!AH7+'Evolutive SFP'!AH20)/'Evolutive SFP'!AH26</f>
        <v>0.28998205602308025</v>
      </c>
      <c r="AK16" s="70">
        <f>('Evolutive SFP'!AI7+'Evolutive SFP'!AI20)/'Evolutive SFP'!AI26</f>
        <v>0.28784948700367474</v>
      </c>
      <c r="AL16" s="70">
        <f>('Evolutive SFP'!AJ7+'Evolutive SFP'!AJ20)/'Evolutive SFP'!AJ26</f>
        <v>0.27908246712825718</v>
      </c>
      <c r="AM16" s="70">
        <f>('Evolutive SFP'!AK7+'Evolutive SFP'!AK20)/'Evolutive SFP'!AK26</f>
        <v>0.27403055464678455</v>
      </c>
      <c r="AN16" s="70">
        <f>('Evolutive SFP'!AL7+'Evolutive SFP'!AL20)/'Evolutive SFP'!AL26</f>
        <v>0.28415764628181772</v>
      </c>
      <c r="AO16" s="70">
        <f>('Evolutive SFP'!AM7+'Evolutive SFP'!AM20)/'Evolutive SFP'!AM26</f>
        <v>0.27716433791456002</v>
      </c>
      <c r="AP16" s="70">
        <f>('Evolutive SFP'!AN7+'Evolutive SFP'!AN20)/'Evolutive SFP'!AN26</f>
        <v>0.27564116431108271</v>
      </c>
      <c r="AQ16" s="70">
        <f>('Evolutive SFP'!AO7+'Evolutive SFP'!AO20)/'Evolutive SFP'!AO26</f>
        <v>0.27550923875876937</v>
      </c>
      <c r="AR16" s="70">
        <f>('Evolutive SFP'!AP7+'Evolutive SFP'!AP20)/'Evolutive SFP'!AP26</f>
        <v>0.26861725053107754</v>
      </c>
      <c r="AS16" s="70">
        <f>('Evolutive SFP'!AQ7+'Evolutive SFP'!AQ20)/'Evolutive SFP'!AQ26</f>
        <v>0.28119225825303862</v>
      </c>
      <c r="AT16" s="70">
        <f>('Evolutive SFP'!AR7+'Evolutive SFP'!AR20)/'Evolutive SFP'!AR26</f>
        <v>0.25676948536928296</v>
      </c>
      <c r="AU16" s="70">
        <f>('Evolutive SFP'!AS7+'Evolutive SFP'!AS20)/'Evolutive SFP'!AS26</f>
        <v>0.27768132376394616</v>
      </c>
      <c r="AV16" s="70">
        <f>('Evolutive SFP'!AT7+'Evolutive SFP'!AT20)/'Evolutive SFP'!AT26</f>
        <v>0.27842963350569733</v>
      </c>
      <c r="AW16" s="70">
        <f>('Evolutive SFP'!AU7+'Evolutive SFP'!AU20)/'Evolutive SFP'!AU26</f>
        <v>0.28032949820503428</v>
      </c>
      <c r="AX16" s="70" t="e">
        <f>('Evolutive SFP'!AV7+'Evolutive SFP'!AV20)/'Evolutive SFP'!AV26</f>
        <v>#DIV/0!</v>
      </c>
      <c r="AY16" s="70" t="e">
        <f>('Evolutive SFP'!AW7+'Evolutive SFP'!AW20)/'Evolutive SFP'!AW26</f>
        <v>#DIV/0!</v>
      </c>
      <c r="AZ16" s="70" t="e">
        <f>('Evolutive SFP'!AX7+'Evolutive SFP'!AX20)/'Evolutive SFP'!AX26</f>
        <v>#DIV/0!</v>
      </c>
    </row>
    <row r="17" spans="1:52" ht="15">
      <c r="A17" s="247"/>
      <c r="B17" s="55" t="s">
        <v>149</v>
      </c>
      <c r="C17" s="56" t="s">
        <v>150</v>
      </c>
      <c r="D17" s="58">
        <f>'Evolutive SFP'!B20/'Evolutive SFP'!B26</f>
        <v>6.6309662861794377E-2</v>
      </c>
      <c r="E17" s="58">
        <f>'Evolutive SFP'!C20/'Evolutive SFP'!C26</f>
        <v>0.2384396681683843</v>
      </c>
      <c r="F17" s="58">
        <f>'Evolutive SFP'!D20/'Evolutive SFP'!D26</f>
        <v>0.23708658415420897</v>
      </c>
      <c r="G17" s="58">
        <f>'Evolutive SFP'!E20/'Evolutive SFP'!E26</f>
        <v>0.24043230913584135</v>
      </c>
      <c r="H17" s="58">
        <f>'Evolutive SFP'!F20/'Evolutive SFP'!F26</f>
        <v>0.24034066434804138</v>
      </c>
      <c r="I17" s="58">
        <f>'Evolutive SFP'!G20/'Evolutive SFP'!G26</f>
        <v>0.24135958974555463</v>
      </c>
      <c r="J17" s="58">
        <f>'Evolutive SFP'!H20/'Evolutive SFP'!H26</f>
        <v>0.24348945538710748</v>
      </c>
      <c r="K17" s="58">
        <f>'Evolutive SFP'!I20/'Evolutive SFP'!I26</f>
        <v>0.24346875768887094</v>
      </c>
      <c r="L17" s="58">
        <f>'Evolutive SFP'!J20/'Evolutive SFP'!J26</f>
        <v>0.24272046552373946</v>
      </c>
      <c r="M17" s="58">
        <f>'Evolutive SFP'!K20/'Evolutive SFP'!K26</f>
        <v>0.2362661283221191</v>
      </c>
      <c r="N17" s="70">
        <f>'Evolutive SFP'!L20/'Evolutive SFP'!L26</f>
        <v>6.2374580130408724E-2</v>
      </c>
      <c r="O17" s="70">
        <f>'Evolutive SFP'!M20/'Evolutive SFP'!M26</f>
        <v>0.23827005835899334</v>
      </c>
      <c r="P17" s="70">
        <f>'Evolutive SFP'!N20/'Evolutive SFP'!N26</f>
        <v>0.23502386497706246</v>
      </c>
      <c r="Q17" s="70">
        <f>'Evolutive SFP'!O20/'Evolutive SFP'!O26</f>
        <v>0.23494941406185854</v>
      </c>
      <c r="R17" s="70">
        <f>'Evolutive SFP'!P20/'Evolutive SFP'!P26</f>
        <v>0.23779578150450553</v>
      </c>
      <c r="S17" s="70">
        <f>'Evolutive SFP'!Q20/'Evolutive SFP'!Q26</f>
        <v>0.23485394387851347</v>
      </c>
      <c r="T17" s="70">
        <f>'Evolutive SFP'!R20/'Evolutive SFP'!R26</f>
        <v>0.2348428817835406</v>
      </c>
      <c r="U17" s="70">
        <f>'Evolutive SFP'!S20/'Evolutive SFP'!S26</f>
        <v>0.22652884052610792</v>
      </c>
      <c r="V17" s="70">
        <f>'Evolutive SFP'!T20/'Evolutive SFP'!T26</f>
        <v>0.22234912841478352</v>
      </c>
      <c r="W17" s="70">
        <f>'Evolutive SFP'!U20/'Evolutive SFP'!U26</f>
        <v>0.22114325875677376</v>
      </c>
      <c r="X17" s="70">
        <f>'Evolutive SFP'!V20/'Evolutive SFP'!V26</f>
        <v>0.21952242530318986</v>
      </c>
      <c r="Y17" s="70">
        <f>'Evolutive SFP'!W20/'Evolutive SFP'!W26</f>
        <v>0.21698134552763432</v>
      </c>
      <c r="Z17" s="70">
        <f>'Evolutive SFP'!X20/'Evolutive SFP'!X26</f>
        <v>0.21115924291726063</v>
      </c>
      <c r="AA17" s="70">
        <f>'Evolutive SFP'!Y20/'Evolutive SFP'!Y26</f>
        <v>0.22139929533330127</v>
      </c>
      <c r="AB17" s="70">
        <f>'Evolutive SFP'!Z20/'Evolutive SFP'!Z26</f>
        <v>0.20747484176382042</v>
      </c>
      <c r="AC17" s="70">
        <f>'Evolutive SFP'!AA20/'Evolutive SFP'!AA26</f>
        <v>0.20559614918875191</v>
      </c>
      <c r="AD17" s="70">
        <f>'Evolutive SFP'!AB20/'Evolutive SFP'!AB26</f>
        <v>0.2033854616385152</v>
      </c>
      <c r="AE17" s="70">
        <f>'Evolutive SFP'!AC20/'Evolutive SFP'!AC26</f>
        <v>0.20710286158546684</v>
      </c>
      <c r="AF17" s="70">
        <f>'Evolutive SFP'!AD20/'Evolutive SFP'!AD26</f>
        <v>0.2068999373981659</v>
      </c>
      <c r="AG17" s="70">
        <f>'Evolutive SFP'!AE20/'Evolutive SFP'!AE26</f>
        <v>0.20367339829349188</v>
      </c>
      <c r="AH17" s="70">
        <f>'Evolutive SFP'!AF20/'Evolutive SFP'!AF26</f>
        <v>0.20398743405320166</v>
      </c>
      <c r="AI17" s="70">
        <f>'Evolutive SFP'!AG20/'Evolutive SFP'!AG26</f>
        <v>0.20188353953808974</v>
      </c>
      <c r="AJ17" s="70">
        <f>'Evolutive SFP'!AH20/'Evolutive SFP'!AH26</f>
        <v>0.20258096401492165</v>
      </c>
      <c r="AK17" s="70">
        <f>'Evolutive SFP'!AI20/'Evolutive SFP'!AI26</f>
        <v>0.19894113128907548</v>
      </c>
      <c r="AL17" s="70">
        <f>'Evolutive SFP'!AJ20/'Evolutive SFP'!AJ26</f>
        <v>0.1975974986870328</v>
      </c>
      <c r="AM17" s="70">
        <f>'Evolutive SFP'!AK20/'Evolutive SFP'!AK26</f>
        <v>0.18865142593830203</v>
      </c>
      <c r="AN17" s="70">
        <f>'Evolutive SFP'!AL20/'Evolutive SFP'!AL26</f>
        <v>0.19842647577937195</v>
      </c>
      <c r="AO17" s="70">
        <f>'Evolutive SFP'!AM20/'Evolutive SFP'!AM26</f>
        <v>0.18709282008777461</v>
      </c>
      <c r="AP17" s="70">
        <f>'Evolutive SFP'!AN20/'Evolutive SFP'!AN26</f>
        <v>0.18695760929305624</v>
      </c>
      <c r="AQ17" s="70">
        <f>'Evolutive SFP'!AO20/'Evolutive SFP'!AO26</f>
        <v>0.18586793323402284</v>
      </c>
      <c r="AR17" s="70">
        <f>'Evolutive SFP'!AP20/'Evolutive SFP'!AP26</f>
        <v>0.18994182791702827</v>
      </c>
      <c r="AS17" s="70">
        <f>'Evolutive SFP'!AQ20/'Evolutive SFP'!AQ26</f>
        <v>0.18769596507968422</v>
      </c>
      <c r="AT17" s="70">
        <f>'Evolutive SFP'!AR20/'Evolutive SFP'!AR26</f>
        <v>0.18610030670961211</v>
      </c>
      <c r="AU17" s="70">
        <f>'Evolutive SFP'!AS20/'Evolutive SFP'!AS26</f>
        <v>0.18713910309547818</v>
      </c>
      <c r="AV17" s="70">
        <f>'Evolutive SFP'!AT20/'Evolutive SFP'!AT26</f>
        <v>0.18479611431928228</v>
      </c>
      <c r="AW17" s="70">
        <f>'Evolutive SFP'!AU20/'Evolutive SFP'!AU26</f>
        <v>0.1857818383158755</v>
      </c>
      <c r="AX17" s="70" t="e">
        <f>'Evolutive SFP'!AV20/'Evolutive SFP'!AV26</f>
        <v>#DIV/0!</v>
      </c>
      <c r="AY17" s="70" t="e">
        <f>'Evolutive SFP'!AW20/'Evolutive SFP'!AW26</f>
        <v>#DIV/0!</v>
      </c>
      <c r="AZ17" s="70" t="e">
        <f>'Evolutive SFP'!AX20/'Evolutive SFP'!AX26</f>
        <v>#DIV/0!</v>
      </c>
    </row>
    <row r="18" spans="1:52" ht="15">
      <c r="A18" s="247"/>
      <c r="B18" s="55" t="s">
        <v>151</v>
      </c>
      <c r="C18" s="56" t="s">
        <v>150</v>
      </c>
      <c r="D18" s="58">
        <f>'Evolutive SFP'!B12/'Evolutive SFP'!B30</f>
        <v>0</v>
      </c>
      <c r="E18" s="58">
        <f>'Evolutive SFP'!C12/'Evolutive SFP'!C30</f>
        <v>1.6242470090305661E-2</v>
      </c>
      <c r="F18" s="58">
        <f>'Evolutive SFP'!D12/'Evolutive SFP'!D30</f>
        <v>1.5840969037755462E-2</v>
      </c>
      <c r="G18" s="58">
        <f>'Evolutive SFP'!E12/'Evolutive SFP'!E30</f>
        <v>1.5511554702485587E-2</v>
      </c>
      <c r="H18" s="58">
        <f>'Evolutive SFP'!F12/'Evolutive SFP'!F30</f>
        <v>1.5528682460908577E-2</v>
      </c>
      <c r="I18" s="58">
        <f>'Evolutive SFP'!G12/'Evolutive SFP'!G30</f>
        <v>1.5581416252227646E-2</v>
      </c>
      <c r="J18" s="58">
        <f>'Evolutive SFP'!H12/'Evolutive SFP'!H30</f>
        <v>1.5118113870958669E-2</v>
      </c>
      <c r="K18" s="58">
        <f>'Evolutive SFP'!I12/'Evolutive SFP'!I30</f>
        <v>1.5075745485099813E-2</v>
      </c>
      <c r="L18" s="58">
        <f>'Evolutive SFP'!J12/'Evolutive SFP'!J30</f>
        <v>1.5094633111379508E-2</v>
      </c>
      <c r="M18" s="58">
        <f>'Evolutive SFP'!K12/'Evolutive SFP'!K30</f>
        <v>1.4679029021557733E-2</v>
      </c>
      <c r="N18" s="70">
        <f>'Evolutive SFP'!L12/'Evolutive SFP'!L30</f>
        <v>0</v>
      </c>
      <c r="O18" s="70">
        <f>'Evolutive SFP'!M12/'Evolutive SFP'!M30</f>
        <v>1.4840870356195178E-2</v>
      </c>
      <c r="P18" s="70">
        <f>'Evolutive SFP'!N12/'Evolutive SFP'!N30</f>
        <v>1.4815345871553644E-2</v>
      </c>
      <c r="Q18" s="70">
        <f>'Evolutive SFP'!O12/'Evolutive SFP'!O30</f>
        <v>1.4358557685093958E-2</v>
      </c>
      <c r="R18" s="70">
        <f>'Evolutive SFP'!P12/'Evolutive SFP'!P30</f>
        <v>1.4763813491724741E-2</v>
      </c>
      <c r="S18" s="70">
        <f>'Evolutive SFP'!Q12/'Evolutive SFP'!Q30</f>
        <v>1.4621096087197786E-2</v>
      </c>
      <c r="T18" s="70">
        <f>'Evolutive SFP'!R12/'Evolutive SFP'!R30</f>
        <v>1.4829310550442076E-2</v>
      </c>
      <c r="U18" s="70">
        <f>'Evolutive SFP'!S12/'Evolutive SFP'!S30</f>
        <v>1.4584139190995047E-2</v>
      </c>
      <c r="V18" s="70">
        <f>'Evolutive SFP'!T12/'Evolutive SFP'!T30</f>
        <v>1.4332680516864725E-2</v>
      </c>
      <c r="W18" s="70">
        <f>'Evolutive SFP'!U12/'Evolutive SFP'!U30</f>
        <v>1.4317873178960824E-2</v>
      </c>
      <c r="X18" s="70">
        <f>'Evolutive SFP'!V12/'Evolutive SFP'!V30</f>
        <v>1.4292344379984346E-2</v>
      </c>
      <c r="Y18" s="70">
        <f>'Evolutive SFP'!W12/'Evolutive SFP'!W30</f>
        <v>1.4195601674420933E-2</v>
      </c>
      <c r="Z18" s="70">
        <f>'Evolutive SFP'!X12/'Evolutive SFP'!X30</f>
        <v>1.4148175518788129E-2</v>
      </c>
      <c r="AA18" s="70">
        <f>'Evolutive SFP'!Y12/'Evolutive SFP'!Y30</f>
        <v>1.0893092228718876E-4</v>
      </c>
      <c r="AB18" s="70">
        <f>'Evolutive SFP'!Z12/'Evolutive SFP'!Z30</f>
        <v>1.3950673020550298E-2</v>
      </c>
      <c r="AC18" s="70">
        <f>'Evolutive SFP'!AA12/'Evolutive SFP'!AA30</f>
        <v>1.3829723312209082E-2</v>
      </c>
      <c r="AD18" s="70">
        <f>'Evolutive SFP'!AB12/'Evolutive SFP'!AB30</f>
        <v>1.3338397889323658E-2</v>
      </c>
      <c r="AE18" s="70">
        <f>'Evolutive SFP'!AC12/'Evolutive SFP'!AC30</f>
        <v>1.3725350595906814E-2</v>
      </c>
      <c r="AF18" s="70">
        <f>'Evolutive SFP'!AD12/'Evolutive SFP'!AD30</f>
        <v>1.3761331364839501E-2</v>
      </c>
      <c r="AG18" s="70">
        <f>'Evolutive SFP'!AE12/'Evolutive SFP'!AE30</f>
        <v>1.3488668743021306E-2</v>
      </c>
      <c r="AH18" s="70">
        <f>'Evolutive SFP'!AF12/'Evolutive SFP'!AF30</f>
        <v>1.3550808107556409E-2</v>
      </c>
      <c r="AI18" s="70">
        <f>'Evolutive SFP'!AG12/'Evolutive SFP'!AG30</f>
        <v>1.3519658474162432E-2</v>
      </c>
      <c r="AJ18" s="70">
        <f>'Evolutive SFP'!AH12/'Evolutive SFP'!AH30</f>
        <v>1.3619679544660776E-2</v>
      </c>
      <c r="AK18" s="70">
        <f>'Evolutive SFP'!AI12/'Evolutive SFP'!AI30</f>
        <v>1.3410350812461018E-2</v>
      </c>
      <c r="AL18" s="70">
        <f>'Evolutive SFP'!AJ12/'Evolutive SFP'!AJ30</f>
        <v>1.333864978358433E-2</v>
      </c>
      <c r="AM18" s="70">
        <f>'Evolutive SFP'!AK12/'Evolutive SFP'!AK30</f>
        <v>1.3335459693403568E-2</v>
      </c>
      <c r="AN18" s="70">
        <f>'Evolutive SFP'!AL12/'Evolutive SFP'!AL30</f>
        <v>4.3383192262399423E-5</v>
      </c>
      <c r="AO18" s="70">
        <f>'Evolutive SFP'!AM12/'Evolutive SFP'!AM30</f>
        <v>1.3272830933979234E-2</v>
      </c>
      <c r="AP18" s="70">
        <f>'Evolutive SFP'!AN12/'Evolutive SFP'!AN30</f>
        <v>1.3287945907558267E-2</v>
      </c>
      <c r="AQ18" s="70">
        <f>'Evolutive SFP'!AO12/'Evolutive SFP'!AO30</f>
        <v>1.2769382666769302E-2</v>
      </c>
      <c r="AR18" s="70">
        <f>'Evolutive SFP'!AP12/'Evolutive SFP'!AP30</f>
        <v>1.3124062299114118E-2</v>
      </c>
      <c r="AS18" s="70">
        <f>'Evolutive SFP'!AQ12/'Evolutive SFP'!AQ30</f>
        <v>1.3094617556421788E-2</v>
      </c>
      <c r="AT18" s="70">
        <f>'Evolutive SFP'!AR12/'Evolutive SFP'!AR30</f>
        <v>1.3015364125782596E-2</v>
      </c>
      <c r="AU18" s="70">
        <f>'Evolutive SFP'!AS12/'Evolutive SFP'!AS30</f>
        <v>1.2905772056693734E-2</v>
      </c>
      <c r="AV18" s="70">
        <f>'Evolutive SFP'!AT12/'Evolutive SFP'!AT30</f>
        <v>1.2779691954265726E-2</v>
      </c>
      <c r="AW18" s="70">
        <f>'Evolutive SFP'!AU12/'Evolutive SFP'!AU30</f>
        <v>1.298046171547778E-2</v>
      </c>
      <c r="AX18" s="70" t="e">
        <f>'Evolutive SFP'!AV12/'Evolutive SFP'!AV30</f>
        <v>#DIV/0!</v>
      </c>
      <c r="AY18" s="70" t="e">
        <f>'Evolutive SFP'!AW12/'Evolutive SFP'!AW30</f>
        <v>#DIV/0!</v>
      </c>
      <c r="AZ18" s="70" t="e">
        <f>'Evolutive SFP'!AX12/'Evolutive SFP'!AX30</f>
        <v>#DIV/0!</v>
      </c>
    </row>
    <row r="19" spans="1:52">
      <c r="A19" s="247"/>
      <c r="B19" s="9" t="s">
        <v>152</v>
      </c>
      <c r="C19" s="5" t="s">
        <v>153</v>
      </c>
      <c r="D19" s="58">
        <f>'Evolutive SFP'!B12/(CAELS!D3*1000000)</f>
        <v>0</v>
      </c>
      <c r="E19" s="58">
        <f>'Evolutive SFP'!C12/(CAELS!E3*1000000)</f>
        <v>9.25668030361399E-2</v>
      </c>
      <c r="F19" s="58">
        <f>'Evolutive SFP'!D12/(CAELS!F3*1000000)</f>
        <v>9.2507356023722551E-2</v>
      </c>
      <c r="G19" s="58">
        <f>'Evolutive SFP'!E12/(CAELS!G3*1000000)</f>
        <v>8.3692001542721842E-2</v>
      </c>
      <c r="H19" s="58">
        <f>'Evolutive SFP'!F12/(CAELS!H3*1000000)</f>
        <v>8.3711199235457376E-2</v>
      </c>
      <c r="I19" s="58">
        <f>'Evolutive SFP'!G12/(CAELS!I3*1000000)</f>
        <v>8.3813717108565625E-2</v>
      </c>
      <c r="J19" s="58">
        <f>'Evolutive SFP'!H12/(CAELS!J3*1000000)</f>
        <v>0.12243751540027489</v>
      </c>
      <c r="K19" s="58">
        <f>'Evolutive SFP'!I12/(CAELS!K3*1000000)</f>
        <v>0.12243670259150108</v>
      </c>
      <c r="L19" s="58">
        <f>'Evolutive SFP'!J12/(CAELS!L3*1000000)</f>
        <v>0.12243345146432054</v>
      </c>
      <c r="M19" s="58">
        <f>'Evolutive SFP'!K12/(CAELS!M3*1000000)</f>
        <v>0.12243190764520775</v>
      </c>
      <c r="N19" s="70">
        <f>'Evolutive SFP'!L12/(CAELS!N3*1000000)</f>
        <v>0</v>
      </c>
      <c r="O19" s="70">
        <f>'Evolutive SFP'!M12/(CAELS!O3*1000000)</f>
        <v>8.4284550814280504E-2</v>
      </c>
      <c r="P19" s="70">
        <f>'Evolutive SFP'!N12/(CAELS!P3*1000000)</f>
        <v>0.13520152065871449</v>
      </c>
      <c r="Q19" s="70">
        <f>'Evolutive SFP'!O12/(CAELS!Q3*1000000)</f>
        <v>0.13285150845219257</v>
      </c>
      <c r="R19" s="70">
        <f>'Evolutive SFP'!P12/(CAELS!R3*1000000)</f>
        <v>0.13285150845219257</v>
      </c>
      <c r="S19" s="70">
        <f>'Evolutive SFP'!Q12/(CAELS!S3*1000000)</f>
        <v>0.13284385318761535</v>
      </c>
      <c r="T19" s="70">
        <f>'Evolutive SFP'!R12/(CAELS!T3*1000000)</f>
        <v>6.701404333267813E-2</v>
      </c>
      <c r="U19" s="70">
        <f>'Evolutive SFP'!S12/(CAELS!U3*1000000)</f>
        <v>6.3780789599156576E-2</v>
      </c>
      <c r="V19" s="70">
        <f>'Evolutive SFP'!T12/(CAELS!V3*1000000)</f>
        <v>6.1521521998568612E-2</v>
      </c>
      <c r="W19" s="70">
        <f>'Evolutive SFP'!U12/(CAELS!W3*1000000)</f>
        <v>5.9374380224726402E-2</v>
      </c>
      <c r="X19" s="70">
        <f>'Evolutive SFP'!V12/(CAELS!X3*1000000)</f>
        <v>5.80164796716112E-2</v>
      </c>
      <c r="Y19" s="70">
        <f>'Evolutive SFP'!W12/(CAELS!Y3*1000000)</f>
        <v>5.6487050411666212E-2</v>
      </c>
      <c r="Z19" s="70">
        <f>'Evolutive SFP'!X12/(CAELS!Z3*1000000)</f>
        <v>5.3292703452463494E-2</v>
      </c>
      <c r="AA19" s="70">
        <f>'Evolutive SFP'!Y12/(CAELS!AA3*1000000)</f>
        <v>5.4099995782829131E-4</v>
      </c>
      <c r="AB19" s="70">
        <f>'Evolutive SFP'!Z12/(CAELS!AB3*1000000)</f>
        <v>7.1184588156870329E-2</v>
      </c>
      <c r="AC19" s="70">
        <f>'Evolutive SFP'!AA12/(CAELS!AC3*1000000)</f>
        <v>7.1546084423144141E-2</v>
      </c>
      <c r="AD19" s="70">
        <f>'Evolutive SFP'!AB12/(CAELS!AD3*1000000)</f>
        <v>6.8760744108835051E-2</v>
      </c>
      <c r="AE19" s="70">
        <f>'Evolutive SFP'!AC12/(CAELS!AE3*1000000)</f>
        <v>6.5948342385662134E-2</v>
      </c>
      <c r="AF19" s="70">
        <f>'Evolutive SFP'!AD12/(CAELS!AF3*1000000)</f>
        <v>6.3858977852946405E-2</v>
      </c>
      <c r="AG19" s="70">
        <f>'Evolutive SFP'!AE12/(CAELS!AG3*1000000)</f>
        <v>6.2671963807801448E-2</v>
      </c>
      <c r="AH19" s="70">
        <f>'Evolutive SFP'!AF12/(CAELS!AH3*1000000)</f>
        <v>6.2538149242276062E-2</v>
      </c>
      <c r="AI19" s="70">
        <f>'Evolutive SFP'!AG12/(CAELS!AI3*1000000)</f>
        <v>5.9873198882030139E-2</v>
      </c>
      <c r="AJ19" s="70">
        <f>'Evolutive SFP'!AH12/(CAELS!AJ3*1000000)</f>
        <v>5.9190102653224025E-2</v>
      </c>
      <c r="AK19" s="70">
        <f>'Evolutive SFP'!AI12/(CAELS!AK3*1000000)</f>
        <v>6.4886319391210465E-2</v>
      </c>
      <c r="AL19" s="70">
        <f>'Evolutive SFP'!AJ12/(CAELS!AL3*1000000)</f>
        <v>6.3888559875004289E-2</v>
      </c>
      <c r="AM19" s="70">
        <f>'Evolutive SFP'!AK12/(CAELS!AM3*1000000)</f>
        <v>6.3061109217986411E-2</v>
      </c>
      <c r="AN19" s="70">
        <f>'Evolutive SFP'!AL12/(CAELS!AN3*1000000)</f>
        <v>1.9298972455095758E-4</v>
      </c>
      <c r="AO19" s="70">
        <f>'Evolutive SFP'!AM12/(CAELS!AO3*1000000)</f>
        <v>6.516712176961148E-2</v>
      </c>
      <c r="AP19" s="70">
        <f>'Evolutive SFP'!AN12/(CAELS!AP3*1000000)</f>
        <v>6.4511880739060556E-2</v>
      </c>
      <c r="AQ19" s="70">
        <f>'Evolutive SFP'!AO12/(CAELS!AQ3*1000000)</f>
        <v>6.430761075272759E-2</v>
      </c>
      <c r="AR19" s="70">
        <f>'Evolutive SFP'!AP12/(CAELS!AR3*1000000)</f>
        <v>7.340020589955705E-2</v>
      </c>
      <c r="AS19" s="70">
        <f>'Evolutive SFP'!AQ12/(CAELS!AS3*1000000)</f>
        <v>6.9338505130296643E-2</v>
      </c>
      <c r="AT19" s="70">
        <f>'Evolutive SFP'!AR12/(CAELS!AT3*1000000)</f>
        <v>6.7571934731128547E-2</v>
      </c>
      <c r="AU19" s="70">
        <f>'Evolutive SFP'!AS12/(CAELS!AU3*1000000)</f>
        <v>6.5261353723080839E-2</v>
      </c>
      <c r="AV19" s="70">
        <f>'Evolutive SFP'!AT12/(CAELS!AV3*1000000)</f>
        <v>6.3091768361574721E-2</v>
      </c>
      <c r="AW19" s="70">
        <f>'Evolutive SFP'!AU12/(CAELS!AW3*1000000)</f>
        <v>6.0620876492033397E-2</v>
      </c>
      <c r="AX19" s="70" t="e">
        <f>'Evolutive SFP'!AV12/(CAELS!AX3*1000000)</f>
        <v>#DIV/0!</v>
      </c>
      <c r="AY19" s="70" t="e">
        <f>'Evolutive SFP'!AW12/(CAELS!AY3*1000000)</f>
        <v>#DIV/0!</v>
      </c>
      <c r="AZ19" s="70" t="e">
        <f>'Evolutive SFP'!AX12/(CAELS!AZ3*1000000)</f>
        <v>#DIV/0!</v>
      </c>
    </row>
    <row r="20" spans="1:52">
      <c r="A20" s="247"/>
      <c r="B20" s="2" t="s">
        <v>154</v>
      </c>
      <c r="C20" s="5"/>
      <c r="D20" s="58">
        <f>'Evolutive SFP'!B14/'Evolutive SFP'!B26</f>
        <v>0.59843832552706822</v>
      </c>
      <c r="E20" s="58">
        <f>'Evolutive SFP'!C14/'Evolutive SFP'!C26</f>
        <v>0.48133295755395877</v>
      </c>
      <c r="F20" s="58">
        <f>'Evolutive SFP'!D14/'Evolutive SFP'!D26</f>
        <v>0.46499999592843361</v>
      </c>
      <c r="G20" s="58">
        <f>'Evolutive SFP'!E14/'Evolutive SFP'!E26</f>
        <v>0.46328209421383104</v>
      </c>
      <c r="H20" s="58">
        <f>'Evolutive SFP'!F14/'Evolutive SFP'!F26</f>
        <v>0.45150951546248702</v>
      </c>
      <c r="I20" s="58">
        <f>'Evolutive SFP'!G14/'Evolutive SFP'!G26</f>
        <v>0.44304939763730972</v>
      </c>
      <c r="J20" s="58">
        <f>'Evolutive SFP'!H14/'Evolutive SFP'!H26</f>
        <v>0.46393124952979281</v>
      </c>
      <c r="K20" s="58">
        <f>'Evolutive SFP'!I14/'Evolutive SFP'!I26</f>
        <v>0.47091937260815819</v>
      </c>
      <c r="L20" s="58">
        <f>'Evolutive SFP'!J14/'Evolutive SFP'!J26</f>
        <v>0.46902119701856554</v>
      </c>
      <c r="M20" s="58">
        <f>'Evolutive SFP'!K14/'Evolutive SFP'!K26</f>
        <v>0.49044997494775672</v>
      </c>
      <c r="N20" s="70">
        <f>'Evolutive SFP'!L14/'Evolutive SFP'!L26</f>
        <v>0.60936684090329729</v>
      </c>
      <c r="O20" s="70">
        <f>'Evolutive SFP'!M14/'Evolutive SFP'!M26</f>
        <v>0.49315393975969329</v>
      </c>
      <c r="P20" s="70">
        <f>'Evolutive SFP'!N14/'Evolutive SFP'!N26</f>
        <v>0.48959295041576451</v>
      </c>
      <c r="Q20" s="70">
        <f>'Evolutive SFP'!O14/'Evolutive SFP'!O26</f>
        <v>0.49984208295710314</v>
      </c>
      <c r="R20" s="70">
        <f>'Evolutive SFP'!P14/'Evolutive SFP'!P26</f>
        <v>0.50988665320527371</v>
      </c>
      <c r="S20" s="70">
        <f>'Evolutive SFP'!Q14/'Evolutive SFP'!Q26</f>
        <v>0.51467398667220154</v>
      </c>
      <c r="T20" s="70">
        <f>'Evolutive SFP'!R14/'Evolutive SFP'!R26</f>
        <v>0.51239224932160532</v>
      </c>
      <c r="U20" s="70">
        <f>'Evolutive SFP'!S14/'Evolutive SFP'!S26</f>
        <v>0.51134047009278383</v>
      </c>
      <c r="V20" s="70">
        <f>'Evolutive SFP'!T14/'Evolutive SFP'!T26</f>
        <v>0.50313404877239676</v>
      </c>
      <c r="W20" s="70">
        <f>'Evolutive SFP'!U14/'Evolutive SFP'!U26</f>
        <v>0.49662272062200685</v>
      </c>
      <c r="X20" s="70">
        <f>'Evolutive SFP'!V14/'Evolutive SFP'!V26</f>
        <v>0.49654194239630323</v>
      </c>
      <c r="Y20" s="70">
        <f>'Evolutive SFP'!W14/'Evolutive SFP'!W26</f>
        <v>0.49168780908612014</v>
      </c>
      <c r="Z20" s="70">
        <f>'Evolutive SFP'!X14/'Evolutive SFP'!X26</f>
        <v>0.48709466315003208</v>
      </c>
      <c r="AA20" s="70">
        <f>'Evolutive SFP'!Y14/'Evolutive SFP'!Y26</f>
        <v>0.48905874592696497</v>
      </c>
      <c r="AB20" s="70">
        <f>'Evolutive SFP'!Z14/'Evolutive SFP'!Z26</f>
        <v>0.48619799833328875</v>
      </c>
      <c r="AC20" s="70">
        <f>'Evolutive SFP'!AA14/'Evolutive SFP'!AA26</f>
        <v>0.48241108253606169</v>
      </c>
      <c r="AD20" s="70">
        <f>'Evolutive SFP'!AB14/'Evolutive SFP'!AB26</f>
        <v>0.50053757391132636</v>
      </c>
      <c r="AE20" s="70">
        <f>'Evolutive SFP'!AC14/'Evolutive SFP'!AC26</f>
        <v>0.52328079064601452</v>
      </c>
      <c r="AF20" s="70">
        <f>'Evolutive SFP'!AD14/'Evolutive SFP'!AD26</f>
        <v>0.52854627740241378</v>
      </c>
      <c r="AG20" s="70">
        <f>'Evolutive SFP'!AE14/'Evolutive SFP'!AE26</f>
        <v>0.5163276429093322</v>
      </c>
      <c r="AH20" s="70">
        <f>'Evolutive SFP'!AF14/'Evolutive SFP'!AF26</f>
        <v>0.52486915309815607</v>
      </c>
      <c r="AI20" s="70">
        <f>'Evolutive SFP'!AG14/'Evolutive SFP'!AG26</f>
        <v>0.51946929623384042</v>
      </c>
      <c r="AJ20" s="70">
        <f>'Evolutive SFP'!AH14/'Evolutive SFP'!AH26</f>
        <v>0.52251764271753431</v>
      </c>
      <c r="AK20" s="70">
        <f>'Evolutive SFP'!AI14/'Evolutive SFP'!AI26</f>
        <v>0.51511169292666192</v>
      </c>
      <c r="AL20" s="70">
        <f>'Evolutive SFP'!AJ14/'Evolutive SFP'!AJ26</f>
        <v>0.51510506788502419</v>
      </c>
      <c r="AM20" s="70">
        <f>'Evolutive SFP'!AK14/'Evolutive SFP'!AK26</f>
        <v>0.51302694590238185</v>
      </c>
      <c r="AN20" s="70">
        <f>'Evolutive SFP'!AL14/'Evolutive SFP'!AL26</f>
        <v>0.50587026919294786</v>
      </c>
      <c r="AO20" s="70">
        <f>'Evolutive SFP'!AM14/'Evolutive SFP'!AM26</f>
        <v>0.52649110099765772</v>
      </c>
      <c r="AP20" s="70">
        <f>'Evolutive SFP'!AN14/'Evolutive SFP'!AN26</f>
        <v>0.52667109959860403</v>
      </c>
      <c r="AQ20" s="70">
        <f>'Evolutive SFP'!AO14/'Evolutive SFP'!AO26</f>
        <v>0.53959856821111363</v>
      </c>
      <c r="AR20" s="70">
        <f>'Evolutive SFP'!AP14/'Evolutive SFP'!AP26</f>
        <v>0.56814634438521439</v>
      </c>
      <c r="AS20" s="70">
        <f>'Evolutive SFP'!AQ14/'Evolutive SFP'!AQ26</f>
        <v>0.56212119504267943</v>
      </c>
      <c r="AT20" s="70">
        <f>'Evolutive SFP'!AR14/'Evolutive SFP'!AR26</f>
        <v>0.56624155118518182</v>
      </c>
      <c r="AU20" s="70">
        <f>'Evolutive SFP'!AS14/'Evolutive SFP'!AS26</f>
        <v>0.56029288659398579</v>
      </c>
      <c r="AV20" s="70">
        <f>'Evolutive SFP'!AT14/'Evolutive SFP'!AT26</f>
        <v>0.56512854239935018</v>
      </c>
      <c r="AW20" s="70">
        <f>'Evolutive SFP'!AU14/'Evolutive SFP'!AU26</f>
        <v>0.57488105961676916</v>
      </c>
      <c r="AX20" s="70" t="e">
        <f>'Evolutive SFP'!AV14/'Evolutive SFP'!AV26</f>
        <v>#DIV/0!</v>
      </c>
      <c r="AY20" s="70" t="e">
        <f>'Evolutive SFP'!AW14/'Evolutive SFP'!AW26</f>
        <v>#DIV/0!</v>
      </c>
      <c r="AZ20" s="70" t="e">
        <f>'Evolutive SFP'!AX14/'Evolutive SFP'!AX26</f>
        <v>#DIV/0!</v>
      </c>
    </row>
    <row r="21" spans="1:52">
      <c r="A21" s="246" t="s">
        <v>155</v>
      </c>
      <c r="B21" s="10" t="s">
        <v>156</v>
      </c>
      <c r="C21" s="61"/>
      <c r="D21" s="58">
        <f>'Evolutive SFP'!B30/'Evolutive SFP'!B26</f>
        <v>0.93093818435153219</v>
      </c>
      <c r="E21" s="58">
        <f>'Evolutive SFP'!C30/'Evolutive SFP'!C26</f>
        <v>0.74526492513899156</v>
      </c>
      <c r="F21" s="58">
        <f>'Evolutive SFP'!D30/'Evolutive SFP'!D26</f>
        <v>0.75981783540380132</v>
      </c>
      <c r="G21" s="58">
        <f>'Evolutive SFP'!E30/'Evolutive SFP'!E26</f>
        <v>0.78690390424514034</v>
      </c>
      <c r="H21" s="58">
        <f>'Evolutive SFP'!F30/'Evolutive SFP'!F26</f>
        <v>0.78573635768093786</v>
      </c>
      <c r="I21" s="58">
        <f>'Evolutive SFP'!G30/'Evolutive SFP'!G26</f>
        <v>0.78639696837927953</v>
      </c>
      <c r="J21" s="58">
        <f>'Evolutive SFP'!H30/'Evolutive SFP'!H26</f>
        <v>0.80933949263765037</v>
      </c>
      <c r="K21" s="58">
        <f>'Evolutive SFP'!I30/'Evolutive SFP'!I26</f>
        <v>0.80833665106894859</v>
      </c>
      <c r="L21" s="58">
        <f>'Evolutive SFP'!J30/'Evolutive SFP'!J26</f>
        <v>0.80484391090867469</v>
      </c>
      <c r="M21" s="58">
        <f>'Evolutive SFP'!K30/'Evolutive SFP'!K26</f>
        <v>0.81795372932099653</v>
      </c>
      <c r="N21" s="70">
        <f>'Evolutive SFP'!L30/'Evolutive SFP'!L26</f>
        <v>0.97330515190599931</v>
      </c>
      <c r="O21" s="70">
        <f>'Evolutive SFP'!M30/'Evolutive SFP'!M26</f>
        <v>0.81294428499406146</v>
      </c>
      <c r="P21" s="70">
        <f>'Evolutive SFP'!N30/'Evolutive SFP'!N26</f>
        <v>0.81085377782027745</v>
      </c>
      <c r="Q21" s="70">
        <f>'Evolutive SFP'!O30/'Evolutive SFP'!O26</f>
        <v>0.83836297469970267</v>
      </c>
      <c r="R21" s="70">
        <f>'Evolutive SFP'!P30/'Evolutive SFP'!P26</f>
        <v>0.82522834496141073</v>
      </c>
      <c r="S21" s="70">
        <f>'Evolutive SFP'!Q30/'Evolutive SFP'!Q26</f>
        <v>0.82194578690889852</v>
      </c>
      <c r="T21" s="70">
        <f>'Evolutive SFP'!R30/'Evolutive SFP'!R26</f>
        <v>0.80893814121273855</v>
      </c>
      <c r="U21" s="70">
        <f>'Evolutive SFP'!S30/'Evolutive SFP'!S26</f>
        <v>0.79338364328625455</v>
      </c>
      <c r="V21" s="70">
        <f>'Evolutive SFP'!T30/'Evolutive SFP'!T26</f>
        <v>0.79219814641888708</v>
      </c>
      <c r="W21" s="70">
        <f>'Evolutive SFP'!U30/'Evolutive SFP'!U26</f>
        <v>0.78713857356378014</v>
      </c>
      <c r="X21" s="70">
        <f>'Evolutive SFP'!V30/'Evolutive SFP'!V26</f>
        <v>0.78276504151544579</v>
      </c>
      <c r="Y21" s="70">
        <f>'Evolutive SFP'!W30/'Evolutive SFP'!W26</f>
        <v>0.77897692848164635</v>
      </c>
      <c r="Z21" s="70">
        <f>'Evolutive SFP'!X30/'Evolutive SFP'!X26</f>
        <v>0.775523177569726</v>
      </c>
      <c r="AA21" s="70">
        <f>'Evolutive SFP'!Y30/'Evolutive SFP'!Y26</f>
        <v>0.77865003639154284</v>
      </c>
      <c r="AB21" s="70">
        <f>'Evolutive SFP'!Z30/'Evolutive SFP'!Z26</f>
        <v>0.77251133302803687</v>
      </c>
      <c r="AC21" s="70">
        <f>'Evolutive SFP'!AA30/'Evolutive SFP'!AA26</f>
        <v>0.77226388088101872</v>
      </c>
      <c r="AD21" s="70">
        <f>'Evolutive SFP'!AB30/'Evolutive SFP'!AB26</f>
        <v>0.81870481074163726</v>
      </c>
      <c r="AE21" s="70">
        <f>'Evolutive SFP'!AC30/'Evolutive SFP'!AC26</f>
        <v>0.81016552401353015</v>
      </c>
      <c r="AF21" s="70">
        <f>'Evolutive SFP'!AD30/'Evolutive SFP'!AD26</f>
        <v>0.80490896004482371</v>
      </c>
      <c r="AG21" s="70">
        <f>'Evolutive SFP'!AE30/'Evolutive SFP'!AE26</f>
        <v>0.80837351377664923</v>
      </c>
      <c r="AH21" s="70">
        <f>'Evolutive SFP'!AF30/'Evolutive SFP'!AF26</f>
        <v>0.8059072725364923</v>
      </c>
      <c r="AI21" s="70">
        <f>'Evolutive SFP'!AG30/'Evolutive SFP'!AG26</f>
        <v>0.79943295045531448</v>
      </c>
      <c r="AJ21" s="70">
        <f>'Evolutive SFP'!AH30/'Evolutive SFP'!AH26</f>
        <v>0.79630345375123379</v>
      </c>
      <c r="AK21" s="70">
        <f>'Evolutive SFP'!AI30/'Evolutive SFP'!AI26</f>
        <v>0.79420259056750908</v>
      </c>
      <c r="AL21" s="70">
        <f>'Evolutive SFP'!AJ30/'Evolutive SFP'!AJ26</f>
        <v>0.79234756409860552</v>
      </c>
      <c r="AM21" s="70">
        <f>'Evolutive SFP'!AK30/'Evolutive SFP'!AK26</f>
        <v>0.78630930188065518</v>
      </c>
      <c r="AN21" s="70">
        <f>'Evolutive SFP'!AL30/'Evolutive SFP'!AL26</f>
        <v>0.77534036280870566</v>
      </c>
      <c r="AO21" s="70">
        <f>'Evolutive SFP'!AM30/'Evolutive SFP'!AM26</f>
        <v>0.78350220698797757</v>
      </c>
      <c r="AP21" s="70">
        <f>'Evolutive SFP'!AN30/'Evolutive SFP'!AN26</f>
        <v>0.78129407706778897</v>
      </c>
      <c r="AQ21" s="70">
        <f>'Evolutive SFP'!AO30/'Evolutive SFP'!AO26</f>
        <v>0.82076964680386966</v>
      </c>
      <c r="AR21" s="70">
        <f>'Evolutive SFP'!AP30/'Evolutive SFP'!AP26</f>
        <v>0.81609186588260496</v>
      </c>
      <c r="AS21" s="70">
        <f>'Evolutive SFP'!AQ30/'Evolutive SFP'!AQ26</f>
        <v>0.80825581366742594</v>
      </c>
      <c r="AT21" s="70">
        <f>'Evolutive SFP'!AR30/'Evolutive SFP'!AR26</f>
        <v>0.8062644023085308</v>
      </c>
      <c r="AU21" s="70">
        <f>'Evolutive SFP'!AS30/'Evolutive SFP'!AS26</f>
        <v>0.80195760828918317</v>
      </c>
      <c r="AV21" s="70">
        <f>'Evolutive SFP'!AT30/'Evolutive SFP'!AT26</f>
        <v>0.79833450594420319</v>
      </c>
      <c r="AW21" s="70">
        <f>'Evolutive SFP'!AU30/'Evolutive SFP'!AU26</f>
        <v>0.79017915121129234</v>
      </c>
      <c r="AX21" s="70" t="e">
        <f>'Evolutive SFP'!AV30/'Evolutive SFP'!AV26</f>
        <v>#DIV/0!</v>
      </c>
      <c r="AY21" s="70" t="e">
        <f>'Evolutive SFP'!AW30/'Evolutive SFP'!AW26</f>
        <v>#DIV/0!</v>
      </c>
      <c r="AZ21" s="70" t="e">
        <f>'Evolutive SFP'!AX30/'Evolutive SFP'!AX26</f>
        <v>#DIV/0!</v>
      </c>
    </row>
    <row r="22" spans="1:52">
      <c r="A22" s="246"/>
      <c r="B22" s="10" t="s">
        <v>157</v>
      </c>
      <c r="C22" s="61"/>
      <c r="D22" s="58">
        <f>'Evolutive SFP'!B29/'Evolutive SFP'!B26</f>
        <v>0.67905389224244339</v>
      </c>
      <c r="E22" s="58">
        <f>'Evolutive SFP'!C29/'Evolutive SFP'!C26</f>
        <v>0.55392300361996694</v>
      </c>
      <c r="F22" s="58">
        <f>'Evolutive SFP'!D29/'Evolutive SFP'!D26</f>
        <v>0.55775318670577978</v>
      </c>
      <c r="G22" s="58">
        <f>'Evolutive SFP'!E29/'Evolutive SFP'!E26</f>
        <v>0.56805349844098618</v>
      </c>
      <c r="H22" s="58">
        <f>'Evolutive SFP'!F29/'Evolutive SFP'!F26</f>
        <v>0.57187018098276166</v>
      </c>
      <c r="I22" s="58">
        <f>'Evolutive SFP'!G29/'Evolutive SFP'!G26</f>
        <v>0.57702368798868053</v>
      </c>
      <c r="J22" s="58">
        <f>'Evolutive SFP'!H29/'Evolutive SFP'!H26</f>
        <v>0.58388030782053024</v>
      </c>
      <c r="K22" s="58">
        <f>'Evolutive SFP'!I29/'Evolutive SFP'!I26</f>
        <v>0.58351262760154388</v>
      </c>
      <c r="L22" s="58">
        <f>'Evolutive SFP'!J29/'Evolutive SFP'!J26</f>
        <v>0.58405079383003433</v>
      </c>
      <c r="M22" s="58">
        <f>'Evolutive SFP'!K29/'Evolutive SFP'!K26</f>
        <v>0.57892484651099407</v>
      </c>
      <c r="N22" s="70">
        <f>'Evolutive SFP'!L29/'Evolutive SFP'!L26</f>
        <v>0.68887825266385561</v>
      </c>
      <c r="O22" s="70">
        <f>'Evolutive SFP'!M29/'Evolutive SFP'!M26</f>
        <v>0.58507471549172985</v>
      </c>
      <c r="P22" s="70">
        <f>'Evolutive SFP'!N29/'Evolutive SFP'!N26</f>
        <v>0.58608411830318241</v>
      </c>
      <c r="Q22" s="70">
        <f>'Evolutive SFP'!O29/'Evolutive SFP'!O26</f>
        <v>0.59007226570699878</v>
      </c>
      <c r="R22" s="70">
        <f>'Evolutive SFP'!P29/'Evolutive SFP'!P26</f>
        <v>0.59924832605060641</v>
      </c>
      <c r="S22" s="70">
        <f>'Evolutive SFP'!Q29/'Evolutive SFP'!Q26</f>
        <v>0.59488973725529248</v>
      </c>
      <c r="T22" s="70">
        <f>'Evolutive SFP'!R29/'Evolutive SFP'!R26</f>
        <v>0.58515986167394574</v>
      </c>
      <c r="U22" s="70">
        <f>'Evolutive SFP'!S29/'Evolutive SFP'!S26</f>
        <v>0.56573981984451871</v>
      </c>
      <c r="V22" s="70">
        <f>'Evolutive SFP'!T29/'Evolutive SFP'!T26</f>
        <v>0.55843261824441126</v>
      </c>
      <c r="W22" s="70">
        <f>'Evolutive SFP'!U29/'Evolutive SFP'!U26</f>
        <v>0.5565403761999631</v>
      </c>
      <c r="X22" s="70">
        <f>'Evolutive SFP'!V29/'Evolutive SFP'!V26</f>
        <v>0.55518350086296209</v>
      </c>
      <c r="Y22" s="70">
        <f>'Evolutive SFP'!W29/'Evolutive SFP'!W26</f>
        <v>0.55073834033435176</v>
      </c>
      <c r="Z22" s="70">
        <f>'Evolutive SFP'!X29/'Evolutive SFP'!X26</f>
        <v>0.5497250011754885</v>
      </c>
      <c r="AA22" s="70">
        <f>'Evolutive SFP'!Y29/'Evolutive SFP'!Y26</f>
        <v>0.5519416259806299</v>
      </c>
      <c r="AB22" s="70">
        <f>'Evolutive SFP'!Z29/'Evolutive SFP'!Z26</f>
        <v>0.54320809519292756</v>
      </c>
      <c r="AC22" s="70">
        <f>'Evolutive SFP'!AA29/'Evolutive SFP'!AA26</f>
        <v>0.54095698631690303</v>
      </c>
      <c r="AD22" s="70">
        <f>'Evolutive SFP'!AB29/'Evolutive SFP'!AB26</f>
        <v>0.5574111070882749</v>
      </c>
      <c r="AE22" s="70">
        <f>'Evolutive SFP'!AC29/'Evolutive SFP'!AC26</f>
        <v>0.57027196082880016</v>
      </c>
      <c r="AF22" s="70">
        <f>'Evolutive SFP'!AD29/'Evolutive SFP'!AD26</f>
        <v>0.57196311177557613</v>
      </c>
      <c r="AG22" s="70">
        <f>'Evolutive SFP'!AE29/'Evolutive SFP'!AE26</f>
        <v>0.56687248230346432</v>
      </c>
      <c r="AH22" s="70">
        <f>'Evolutive SFP'!AF29/'Evolutive SFP'!AF26</f>
        <v>0.56548360551537746</v>
      </c>
      <c r="AI22" s="70">
        <f>'Evolutive SFP'!AG29/'Evolutive SFP'!AG26</f>
        <v>0.56418731768866914</v>
      </c>
      <c r="AJ22" s="70">
        <f>'Evolutive SFP'!AH29/'Evolutive SFP'!AH26</f>
        <v>0.56786592284111292</v>
      </c>
      <c r="AK22" s="70">
        <f>'Evolutive SFP'!AI29/'Evolutive SFP'!AI26</f>
        <v>0.55822924674746244</v>
      </c>
      <c r="AL22" s="70">
        <f>'Evolutive SFP'!AJ29/'Evolutive SFP'!AJ26</f>
        <v>0.55279738601446571</v>
      </c>
      <c r="AM22" s="70">
        <f>'Evolutive SFP'!AK29/'Evolutive SFP'!AK26</f>
        <v>0.54468546072798307</v>
      </c>
      <c r="AN22" s="70">
        <f>'Evolutive SFP'!AL29/'Evolutive SFP'!AL26</f>
        <v>0.53708715101862736</v>
      </c>
      <c r="AO22" s="70">
        <f>'Evolutive SFP'!AM29/'Evolutive SFP'!AM26</f>
        <v>0.5431355530597074</v>
      </c>
      <c r="AP22" s="70">
        <f>'Evolutive SFP'!AN29/'Evolutive SFP'!AN26</f>
        <v>0.54571432015547927</v>
      </c>
      <c r="AQ22" s="70">
        <f>'Evolutive SFP'!AO29/'Evolutive SFP'!AO26</f>
        <v>0.55651780179228694</v>
      </c>
      <c r="AR22" s="70">
        <f>'Evolutive SFP'!AP29/'Evolutive SFP'!AP26</f>
        <v>0.57247344894752639</v>
      </c>
      <c r="AS22" s="70">
        <f>'Evolutive SFP'!AQ29/'Evolutive SFP'!AQ26</f>
        <v>0.56811116641550907</v>
      </c>
      <c r="AT22" s="70">
        <f>'Evolutive SFP'!AR29/'Evolutive SFP'!AR26</f>
        <v>0.56584630935626612</v>
      </c>
      <c r="AU22" s="70">
        <f>'Evolutive SFP'!AS29/'Evolutive SFP'!AS26</f>
        <v>0.56014711461325628</v>
      </c>
      <c r="AV22" s="70">
        <f>'Evolutive SFP'!AT29/'Evolutive SFP'!AT26</f>
        <v>0.55126129130326806</v>
      </c>
      <c r="AW22" s="70">
        <f>'Evolutive SFP'!AU29/'Evolutive SFP'!AU26</f>
        <v>0.55679151210013234</v>
      </c>
      <c r="AX22" s="70" t="e">
        <f>'Evolutive SFP'!AV29/'Evolutive SFP'!AV26</f>
        <v>#DIV/0!</v>
      </c>
      <c r="AY22" s="70" t="e">
        <f>'Evolutive SFP'!AW29/'Evolutive SFP'!AW26</f>
        <v>#DIV/0!</v>
      </c>
      <c r="AZ22" s="70" t="e">
        <f>'Evolutive SFP'!AX29/'Evolutive SFP'!AX26</f>
        <v>#DIV/0!</v>
      </c>
    </row>
    <row r="23" spans="1:52">
      <c r="A23" s="246"/>
      <c r="B23" s="10" t="s">
        <v>158</v>
      </c>
      <c r="C23" s="61"/>
      <c r="D23" s="58">
        <f>('Evolutive SFP'!B27+'Evolutive SFP'!B28)/'Evolutive SFP'!B26</f>
        <v>0.25188429210908886</v>
      </c>
      <c r="E23" s="58">
        <f>('Evolutive SFP'!C27+'Evolutive SFP'!C28)/'Evolutive SFP'!C26</f>
        <v>0.19134192151902457</v>
      </c>
      <c r="F23" s="58">
        <f>('Evolutive SFP'!D27+'Evolutive SFP'!D28)/'Evolutive SFP'!D26</f>
        <v>0.20206464869802154</v>
      </c>
      <c r="G23" s="58">
        <f>('Evolutive SFP'!E27+'Evolutive SFP'!E28)/'Evolutive SFP'!E26</f>
        <v>0.21885040580415419</v>
      </c>
      <c r="H23" s="58">
        <f>('Evolutive SFP'!F27+'Evolutive SFP'!F28)/'Evolutive SFP'!F26</f>
        <v>0.21386617669817634</v>
      </c>
      <c r="I23" s="58">
        <f>('Evolutive SFP'!G27+'Evolutive SFP'!G28)/'Evolutive SFP'!G26</f>
        <v>0.20937328039059908</v>
      </c>
      <c r="J23" s="58">
        <f>('Evolutive SFP'!H27+'Evolutive SFP'!H28)/'Evolutive SFP'!H26</f>
        <v>0.22545918481712013</v>
      </c>
      <c r="K23" s="58">
        <f>('Evolutive SFP'!I27+'Evolutive SFP'!I28)/'Evolutive SFP'!I26</f>
        <v>0.22482402346740471</v>
      </c>
      <c r="L23" s="58">
        <f>('Evolutive SFP'!J27+'Evolutive SFP'!J28)/'Evolutive SFP'!J26</f>
        <v>0.22079311707864033</v>
      </c>
      <c r="M23" s="58">
        <f>('Evolutive SFP'!K27+'Evolutive SFP'!K28)/'Evolutive SFP'!K26</f>
        <v>0.23902888281000256</v>
      </c>
      <c r="N23" s="70">
        <f>('Evolutive SFP'!L27+'Evolutive SFP'!L28)/'Evolutive SFP'!L26</f>
        <v>0.28442689924214382</v>
      </c>
      <c r="O23" s="70">
        <f>('Evolutive SFP'!M27+'Evolutive SFP'!M28)/'Evolutive SFP'!M26</f>
        <v>0.22786956950233148</v>
      </c>
      <c r="P23" s="70">
        <f>('Evolutive SFP'!N27+'Evolutive SFP'!N28)/'Evolutive SFP'!N26</f>
        <v>0.22476965951709502</v>
      </c>
      <c r="Q23" s="70">
        <f>('Evolutive SFP'!O27+'Evolutive SFP'!O28)/'Evolutive SFP'!O26</f>
        <v>0.24829070899270389</v>
      </c>
      <c r="R23" s="70">
        <f>('Evolutive SFP'!P27+'Evolutive SFP'!P28)/'Evolutive SFP'!P26</f>
        <v>0.22598001891080427</v>
      </c>
      <c r="S23" s="70">
        <f>('Evolutive SFP'!Q27+'Evolutive SFP'!Q28)/'Evolutive SFP'!Q26</f>
        <v>0.22705604965360612</v>
      </c>
      <c r="T23" s="70">
        <f>('Evolutive SFP'!R27+'Evolutive SFP'!R28)/'Evolutive SFP'!R26</f>
        <v>0.22377827953879284</v>
      </c>
      <c r="U23" s="70">
        <f>('Evolutive SFP'!S27+'Evolutive SFP'!S28)/'Evolutive SFP'!S26</f>
        <v>0.22764382344173575</v>
      </c>
      <c r="V23" s="70">
        <f>('Evolutive SFP'!T27+'Evolutive SFP'!T28)/'Evolutive SFP'!T26</f>
        <v>0.23376552817447577</v>
      </c>
      <c r="W23" s="70">
        <f>('Evolutive SFP'!U27+'Evolutive SFP'!U28)/'Evolutive SFP'!U26</f>
        <v>0.2305981973638172</v>
      </c>
      <c r="X23" s="70">
        <f>('Evolutive SFP'!V27+'Evolutive SFP'!V28)/'Evolutive SFP'!V26</f>
        <v>0.22758154065248379</v>
      </c>
      <c r="Y23" s="70">
        <f>('Evolutive SFP'!W27+'Evolutive SFP'!W28)/'Evolutive SFP'!W26</f>
        <v>0.22823858814729453</v>
      </c>
      <c r="Z23" s="70">
        <f>('Evolutive SFP'!X27+'Evolutive SFP'!X28)/'Evolutive SFP'!X26</f>
        <v>0.22579817639423755</v>
      </c>
      <c r="AA23" s="70">
        <f>('Evolutive SFP'!Y27+'Evolutive SFP'!Y28)/'Evolutive SFP'!Y26</f>
        <v>0.22670841041091294</v>
      </c>
      <c r="AB23" s="70">
        <f>('Evolutive SFP'!Z27+'Evolutive SFP'!Z28)/'Evolutive SFP'!Z26</f>
        <v>0.22930323783510934</v>
      </c>
      <c r="AC23" s="70">
        <f>('Evolutive SFP'!AA27+'Evolutive SFP'!AA28)/'Evolutive SFP'!AA26</f>
        <v>0.23130689456411568</v>
      </c>
      <c r="AD23" s="70">
        <f>('Evolutive SFP'!AB27+'Evolutive SFP'!AB28)/'Evolutive SFP'!AB26</f>
        <v>0.2612937036533623</v>
      </c>
      <c r="AE23" s="70">
        <f>('Evolutive SFP'!AC27+'Evolutive SFP'!AC28)/'Evolutive SFP'!AC26</f>
        <v>0.23989356318472999</v>
      </c>
      <c r="AF23" s="70">
        <f>('Evolutive SFP'!AD27+'Evolutive SFP'!AD28)/'Evolutive SFP'!AD26</f>
        <v>0.23294584826924764</v>
      </c>
      <c r="AG23" s="70">
        <f>('Evolutive SFP'!AE27+'Evolutive SFP'!AE28)/'Evolutive SFP'!AE26</f>
        <v>0.24150103147318483</v>
      </c>
      <c r="AH23" s="70">
        <f>('Evolutive SFP'!AF27+'Evolutive SFP'!AF28)/'Evolutive SFP'!AF26</f>
        <v>0.24042366702111492</v>
      </c>
      <c r="AI23" s="70">
        <f>('Evolutive SFP'!AG27+'Evolutive SFP'!AG28)/'Evolutive SFP'!AG26</f>
        <v>0.2352456327666454</v>
      </c>
      <c r="AJ23" s="70">
        <f>('Evolutive SFP'!AH27+'Evolutive SFP'!AH28)/'Evolutive SFP'!AH26</f>
        <v>0.22843753091012092</v>
      </c>
      <c r="AK23" s="70">
        <f>('Evolutive SFP'!AI27+'Evolutive SFP'!AI28)/'Evolutive SFP'!AI26</f>
        <v>0.23597334382004664</v>
      </c>
      <c r="AL23" s="70">
        <f>('Evolutive SFP'!AJ27+'Evolutive SFP'!AJ28)/'Evolutive SFP'!AJ26</f>
        <v>0.23955017808413986</v>
      </c>
      <c r="AM23" s="70">
        <f>('Evolutive SFP'!AK27+'Evolutive SFP'!AK28)/'Evolutive SFP'!AK26</f>
        <v>0.24162384115267202</v>
      </c>
      <c r="AN23" s="70">
        <f>('Evolutive SFP'!AL27+'Evolutive SFP'!AL28)/'Evolutive SFP'!AL26</f>
        <v>0.23825321179007827</v>
      </c>
      <c r="AO23" s="70">
        <f>('Evolutive SFP'!AM27+'Evolutive SFP'!AM28)/'Evolutive SFP'!AM26</f>
        <v>0.24036665392827028</v>
      </c>
      <c r="AP23" s="70">
        <f>('Evolutive SFP'!AN27+'Evolutive SFP'!AN28)/'Evolutive SFP'!AN26</f>
        <v>0.23557975691230967</v>
      </c>
      <c r="AQ23" s="70">
        <f>('Evolutive SFP'!AO27+'Evolutive SFP'!AO28)/'Evolutive SFP'!AO26</f>
        <v>0.26425184501158278</v>
      </c>
      <c r="AR23" s="70">
        <f>('Evolutive SFP'!AP27+'Evolutive SFP'!AP28)/'Evolutive SFP'!AP26</f>
        <v>0.24361841693507855</v>
      </c>
      <c r="AS23" s="70">
        <f>('Evolutive SFP'!AQ27+'Evolutive SFP'!AQ28)/'Evolutive SFP'!AQ26</f>
        <v>0.24014464725191675</v>
      </c>
      <c r="AT23" s="70">
        <f>('Evolutive SFP'!AR27+'Evolutive SFP'!AR28)/'Evolutive SFP'!AR26</f>
        <v>0.24041809295226466</v>
      </c>
      <c r="AU23" s="70">
        <f>('Evolutive SFP'!AS27+'Evolutive SFP'!AS28)/'Evolutive SFP'!AS26</f>
        <v>0.24181049367592683</v>
      </c>
      <c r="AV23" s="70">
        <f>('Evolutive SFP'!AT27+'Evolutive SFP'!AT28)/'Evolutive SFP'!AT26</f>
        <v>0.24707321464093518</v>
      </c>
      <c r="AW23" s="70">
        <f>('Evolutive SFP'!AU27+'Evolutive SFP'!AU28)/'Evolutive SFP'!AU26</f>
        <v>0.23338763911116001</v>
      </c>
      <c r="AX23" s="70" t="e">
        <f>('Evolutive SFP'!AV27+'Evolutive SFP'!AV28)/'Evolutive SFP'!AV26</f>
        <v>#DIV/0!</v>
      </c>
      <c r="AY23" s="70" t="e">
        <f>('Evolutive SFP'!AW27+'Evolutive SFP'!AW28)/'Evolutive SFP'!AW26</f>
        <v>#DIV/0!</v>
      </c>
      <c r="AZ23" s="70" t="e">
        <f>('Evolutive SFP'!AX27+'Evolutive SFP'!AX28)/'Evolutive SFP'!AX26</f>
        <v>#DIV/0!</v>
      </c>
    </row>
    <row r="24" spans="1:52">
      <c r="A24" s="244" t="s">
        <v>159</v>
      </c>
      <c r="B24" s="10" t="s">
        <v>26</v>
      </c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</row>
    <row r="25" spans="1:52">
      <c r="A25" s="244"/>
      <c r="B25" s="10" t="s">
        <v>91</v>
      </c>
      <c r="C25" s="61"/>
      <c r="D25" s="58"/>
      <c r="E25" s="58">
        <f>Financials!C5/Financials!B5-1</f>
        <v>0</v>
      </c>
      <c r="F25" s="58">
        <f>Financials!D5/Financials!C5-1</f>
        <v>-1.1160693775641661E-2</v>
      </c>
      <c r="G25" s="58">
        <f>Financials!E5/Financials!D5-1</f>
        <v>2.5345738104358251E-2</v>
      </c>
      <c r="H25" s="58">
        <f>Financials!F5/Financials!E5-1</f>
        <v>2.1236706544772721E-2</v>
      </c>
      <c r="I25" s="58">
        <f>Financials!G5/Financials!F5-1</f>
        <v>-1.1029756366071064E-3</v>
      </c>
      <c r="J25" s="58">
        <f>Financials!H5/Financials!G5-1</f>
        <v>-3.3844029621845628E-3</v>
      </c>
      <c r="K25" s="58">
        <f>Financials!I5/Financials!H5-1</f>
        <v>3.0645548255646471E-2</v>
      </c>
      <c r="L25" s="58">
        <f>Financials!J5/Financials!I5-1</f>
        <v>2.810367547046333E-3</v>
      </c>
      <c r="M25" s="58">
        <f>Financials!K5/Financials!J5-1</f>
        <v>-1.2512809115881041E-3</v>
      </c>
      <c r="N25" s="70">
        <f>Financials!L5/Financials!K5-1</f>
        <v>2.8312744538464774E-2</v>
      </c>
      <c r="O25" s="70">
        <f>Financials!M5/Financials!L5-1</f>
        <v>2.7060687024516028E-10</v>
      </c>
      <c r="P25" s="70">
        <f>Financials!N5/Financials!M5-1</f>
        <v>-1.09051110026126E-2</v>
      </c>
      <c r="Q25" s="70">
        <f>Financials!O5/Financials!N5-1</f>
        <v>1.7228409557783486E-3</v>
      </c>
      <c r="R25" s="70">
        <f>Financials!P5/Financials!O5-1</f>
        <v>3.1812957573997158E-2</v>
      </c>
      <c r="S25" s="70">
        <f>Financials!Q5/Financials!P5-1</f>
        <v>-2.7449263488592113E-2</v>
      </c>
      <c r="T25" s="70">
        <f>Financials!R5/Financials!Q5-1</f>
        <v>9.7610605713698284E-3</v>
      </c>
      <c r="U25" s="70">
        <f>Financials!S5/Financials!R5-1</f>
        <v>-1.404073793829097E-2</v>
      </c>
      <c r="V25" s="70">
        <f>Financials!T5/Financials!S5-1</f>
        <v>1.6810821416077149E-2</v>
      </c>
      <c r="W25" s="70">
        <f>Financials!U5/Financials!T5-1</f>
        <v>1.7544427494524895E-2</v>
      </c>
      <c r="X25" s="70">
        <f>Financials!V5/Financials!U5-1</f>
        <v>1.0341855748281503E-3</v>
      </c>
      <c r="Y25" s="70">
        <f>Financials!W5/Financials!V5-1</f>
        <v>1.7861869472044489E-3</v>
      </c>
      <c r="Z25" s="70">
        <f>Financials!X5/Financials!W5-1</f>
        <v>6.8149774685306586E-3</v>
      </c>
      <c r="AA25" s="70">
        <f>Financials!Y5/Financials!X5-1</f>
        <v>3.3521039917707718E-3</v>
      </c>
      <c r="AB25" s="70">
        <f>Financials!Z5/Financials!Y5-1</f>
        <v>-3.0660209615618328E-7</v>
      </c>
      <c r="AC25" s="70">
        <f>Financials!AA5/Financials!Z5-1</f>
        <v>1.4157513104098296E-2</v>
      </c>
      <c r="AD25" s="70">
        <f>Financials!AB5/Financials!AA5-1</f>
        <v>8.745634718117401E-3</v>
      </c>
      <c r="AE25" s="70">
        <f>Financials!AC5/Financials!AB5-1</f>
        <v>3.6835415089745638E-2</v>
      </c>
      <c r="AF25" s="70">
        <f>Financials!AD5/Financials!AC5-1</f>
        <v>-2.8192555365292749E-2</v>
      </c>
      <c r="AG25" s="70">
        <f>Financials!AE5/Financials!AD5-1</f>
        <v>-2.6146284817047949E-3</v>
      </c>
      <c r="AH25" s="70">
        <f>Financials!AF5/Financials!AE5-1</f>
        <v>2.0214198080834578E-2</v>
      </c>
      <c r="AI25" s="70">
        <f>Financials!AG5/Financials!AF5-1</f>
        <v>-4.5856574782762172E-3</v>
      </c>
      <c r="AJ25" s="70">
        <f>Financials!AH5/Financials!AG5-1</f>
        <v>2.3040251684987023E-3</v>
      </c>
      <c r="AK25" s="70">
        <f>Financials!AI5/Financials!AH5-1</f>
        <v>-7.3438637209018998E-3</v>
      </c>
      <c r="AL25" s="70">
        <f>Financials!AJ5/Financials!AI5-1</f>
        <v>1.5609489649237807E-2</v>
      </c>
      <c r="AM25" s="70">
        <f>Financials!AK5/Financials!AJ5-1</f>
        <v>5.3754337987739209E-3</v>
      </c>
      <c r="AN25" s="70">
        <f>Financials!AL5/Financials!AK5-1</f>
        <v>2.3921861368902952E-4</v>
      </c>
      <c r="AO25" s="70">
        <f>Financials!AM5/Financials!AL5-1</f>
        <v>3.9044878441529818E-10</v>
      </c>
      <c r="AP25" s="70">
        <f>Financials!AN5/Financials!AM5-1</f>
        <v>4.7185679173527006E-3</v>
      </c>
      <c r="AQ25" s="70">
        <f>Financials!AO5/Financials!AN5-1</f>
        <v>-1.1374951165654679E-3</v>
      </c>
      <c r="AR25" s="70">
        <f>Financials!AP5/Financials!AO5-1</f>
        <v>4.0609891200023451E-2</v>
      </c>
      <c r="AS25" s="70">
        <f>Financials!AQ5/Financials!AP5-1</f>
        <v>-2.7025140864254893E-2</v>
      </c>
      <c r="AT25" s="70">
        <f>Financials!AR5/Financials!AQ5-1</f>
        <v>2.2486141779596291E-3</v>
      </c>
      <c r="AU25" s="70">
        <f>Financials!AS5/Financials!AR5-1</f>
        <v>6.0892211599516965E-3</v>
      </c>
      <c r="AV25" s="70">
        <f>Financials!AT5/Financials!AS5-1</f>
        <v>8.4917096480114918E-3</v>
      </c>
      <c r="AW25" s="70">
        <f>Financials!AU5/Financials!AT5-1</f>
        <v>9.865660524463804E-3</v>
      </c>
      <c r="AX25" s="70">
        <f>Financials!AV5/Financials!AU5-1</f>
        <v>-1.5467073946426546E-2</v>
      </c>
      <c r="AY25" s="70">
        <f>Financials!AW5/Financials!AV5-1</f>
        <v>-1</v>
      </c>
      <c r="AZ25" s="70" t="e">
        <f>Financials!AX5/Financials!AW5-1</f>
        <v>#DIV/0!</v>
      </c>
    </row>
    <row r="26" spans="1:52">
      <c r="A26" s="244"/>
      <c r="B26" s="11" t="s">
        <v>160</v>
      </c>
      <c r="C26" s="61"/>
      <c r="D26" s="58"/>
      <c r="E26" s="58">
        <f>Financials!C6/Financials!B6-1</f>
        <v>0</v>
      </c>
      <c r="F26" s="58">
        <f>Financials!D6/Financials!C6-1</f>
        <v>7.5834871313138486E-3</v>
      </c>
      <c r="G26" s="58">
        <f>Financials!E6/Financials!D6-1</f>
        <v>1.266124193953666E-2</v>
      </c>
      <c r="H26" s="58">
        <f>Financials!F6/Financials!E6-1</f>
        <v>4.2951803135367062E-3</v>
      </c>
      <c r="I26" s="58">
        <f>Financials!G6/Financials!F6-1</f>
        <v>7.1027527077596186E-3</v>
      </c>
      <c r="J26" s="58">
        <f>Financials!H6/Financials!G6-1</f>
        <v>4.7520218802805658E-3</v>
      </c>
      <c r="K26" s="58">
        <f>Financials!I6/Financials!H6-1</f>
        <v>1.332933581656448E-2</v>
      </c>
      <c r="L26" s="58">
        <f>Financials!J6/Financials!I6-1</f>
        <v>3.4222061502913181E-3</v>
      </c>
      <c r="M26" s="58">
        <f>Financials!K6/Financials!J6-1</f>
        <v>4.0080686326642301E-3</v>
      </c>
      <c r="N26" s="70">
        <f>Financials!L6/Financials!K6-1</f>
        <v>2.9509979561905819E-3</v>
      </c>
      <c r="O26" s="70">
        <f>Financials!M6/Financials!L6-1</f>
        <v>5.1727799821321696E-10</v>
      </c>
      <c r="P26" s="70">
        <f>Financials!N6/Financials!M6-1</f>
        <v>5.7616065652990045E-3</v>
      </c>
      <c r="Q26" s="70">
        <f>Financials!O6/Financials!N6-1</f>
        <v>6.0381207863631214E-3</v>
      </c>
      <c r="R26" s="70">
        <f>Financials!P6/Financials!O6-1</f>
        <v>4.7469153330770286E-3</v>
      </c>
      <c r="S26" s="70">
        <f>Financials!Q6/Financials!P6-1</f>
        <v>3.3948028857433421E-3</v>
      </c>
      <c r="T26" s="70">
        <f>Financials!R6/Financials!Q6-1</f>
        <v>6.4199316826496489E-3</v>
      </c>
      <c r="U26" s="70">
        <f>Financials!S6/Financials!R6-1</f>
        <v>-1.4572032464033602E-2</v>
      </c>
      <c r="V26" s="70">
        <f>Financials!T6/Financials!S6-1</f>
        <v>2.3385852038513288E-3</v>
      </c>
      <c r="W26" s="70">
        <f>Financials!U6/Financials!T6-1</f>
        <v>5.9046848360069237E-3</v>
      </c>
      <c r="X26" s="70">
        <f>Financials!V6/Financials!U6-1</f>
        <v>4.054842542737136E-3</v>
      </c>
      <c r="Y26" s="70">
        <f>Financials!W6/Financials!V6-1</f>
        <v>4.9273977655861501E-3</v>
      </c>
      <c r="Z26" s="70">
        <f>Financials!X6/Financials!W6-1</f>
        <v>3.6106344951452041E-3</v>
      </c>
      <c r="AA26" s="70">
        <f>Financials!Y6/Financials!X6-1</f>
        <v>5.966124615172097E-3</v>
      </c>
      <c r="AB26" s="70">
        <f>Financials!Z6/Financials!Y6-1</f>
        <v>4.7617287890489024E-10</v>
      </c>
      <c r="AC26" s="70">
        <f>Financials!AA6/Financials!Z6-1</f>
        <v>6.0416155502276414E-3</v>
      </c>
      <c r="AD26" s="70">
        <f>Financials!AB6/Financials!AA6-1</f>
        <v>4.8871787196749228E-3</v>
      </c>
      <c r="AE26" s="70">
        <f>Financials!AC6/Financials!AB6-1</f>
        <v>7.7692163449052387E-3</v>
      </c>
      <c r="AF26" s="70">
        <f>Financials!AD6/Financials!AC6-1</f>
        <v>4.7088002109341165E-3</v>
      </c>
      <c r="AG26" s="70">
        <f>Financials!AE6/Financials!AD6-1</f>
        <v>6.8760069423090542E-3</v>
      </c>
      <c r="AH26" s="70">
        <f>Financials!AF6/Financials!AE6-1</f>
        <v>6.8004589682448824E-3</v>
      </c>
      <c r="AI26" s="70">
        <f>Financials!AG6/Financials!AF6-1</f>
        <v>-3.9857831238920838E-3</v>
      </c>
      <c r="AJ26" s="70">
        <f>Financials!AH6/Financials!AG6-1</f>
        <v>8.1050856806930138E-3</v>
      </c>
      <c r="AK26" s="70">
        <f>Financials!AI6/Financials!AH6-1</f>
        <v>3.0550420248205423E-3</v>
      </c>
      <c r="AL26" s="70">
        <f>Financials!AJ6/Financials!AI6-1</f>
        <v>1.015560931147963E-3</v>
      </c>
      <c r="AM26" s="70">
        <f>Financials!AK6/Financials!AJ6-1</f>
        <v>-2.0765325171541171E-3</v>
      </c>
      <c r="AN26" s="70">
        <f>Financials!AL6/Financials!AK6-1</f>
        <v>-6.8702430162276285E-3</v>
      </c>
      <c r="AO26" s="70">
        <f>Financials!AM6/Financials!AL6-1</f>
        <v>4.5927261993483626E-10</v>
      </c>
      <c r="AP26" s="70">
        <f>Financials!AN6/Financials!AM6-1</f>
        <v>5.4490472039676607E-3</v>
      </c>
      <c r="AQ26" s="70">
        <f>Financials!AO6/Financials!AN6-1</f>
        <v>6.4414651039697013E-3</v>
      </c>
      <c r="AR26" s="70">
        <f>Financials!AP6/Financials!AO6-1</f>
        <v>1.0171019638565593E-2</v>
      </c>
      <c r="AS26" s="70">
        <f>Financials!AQ6/Financials!AP6-1</f>
        <v>6.6074602198860077E-3</v>
      </c>
      <c r="AT26" s="70">
        <f>Financials!AR6/Financials!AQ6-1</f>
        <v>4.2541913194520387E-3</v>
      </c>
      <c r="AU26" s="70">
        <f>Financials!AS6/Financials!AR6-1</f>
        <v>4.5533581514536348E-3</v>
      </c>
      <c r="AV26" s="70">
        <f>Financials!AT6/Financials!AS6-1</f>
        <v>3.6956029721928463E-3</v>
      </c>
      <c r="AW26" s="70">
        <f>Financials!AU6/Financials!AT6-1</f>
        <v>-1.6438200989098428E-3</v>
      </c>
      <c r="AX26" s="70">
        <f>Financials!AV6/Financials!AU6-1</f>
        <v>4.6728988306261598E-3</v>
      </c>
      <c r="AY26" s="70">
        <f>Financials!AW6/Financials!AV6-1</f>
        <v>-1</v>
      </c>
      <c r="AZ26" s="70" t="e">
        <f>Financials!AX6/Financials!AW6-1</f>
        <v>#DIV/0!</v>
      </c>
    </row>
    <row r="27" spans="1:52">
      <c r="A27" s="244"/>
      <c r="B27" s="11" t="s">
        <v>161</v>
      </c>
      <c r="C27" s="61"/>
      <c r="D27" s="58"/>
      <c r="E27" s="58">
        <f>Financials!C7/Financials!B7-1</f>
        <v>-0.17613747432758375</v>
      </c>
      <c r="F27" s="58">
        <f>Financials!D7/Financials!C7-1</f>
        <v>-0.23630194090360634</v>
      </c>
      <c r="G27" s="58">
        <f>Financials!E7/Financials!D7-1</f>
        <v>6.1307130116397435E-2</v>
      </c>
      <c r="H27" s="58">
        <f>Financials!F7/Financials!E7-1</f>
        <v>8.9829613797566044E-2</v>
      </c>
      <c r="I27" s="58">
        <f>Financials!G7/Financials!F7-1</f>
        <v>-4.3895048559888905E-2</v>
      </c>
      <c r="J27" s="58">
        <f>Financials!H7/Financials!G7-1</f>
        <v>-4.8339943167964861E-2</v>
      </c>
      <c r="K27" s="58">
        <f>Financials!I7/Financials!H7-1</f>
        <v>0.10504952692722802</v>
      </c>
      <c r="L27" s="58">
        <f>Financials!J7/Financials!I7-1</f>
        <v>3.9253091288942166E-3</v>
      </c>
      <c r="M27" s="58">
        <f>Financials!K7/Financials!J7-1</f>
        <v>-2.3893626842186433E-2</v>
      </c>
      <c r="N27" s="70">
        <f>Financials!L7/Financials!K7-1</f>
        <v>0.12623956970594041</v>
      </c>
      <c r="O27" s="70">
        <f>Financials!M7/Financials!L7-1</f>
        <v>0.16274546385324551</v>
      </c>
      <c r="P27" s="70">
        <f>Financials!N7/Financials!M7-1</f>
        <v>-0.2177876031604683</v>
      </c>
      <c r="Q27" s="70">
        <f>Financials!O7/Financials!N7-1</f>
        <v>4.8210362774248061E-4</v>
      </c>
      <c r="R27" s="70">
        <f>Financials!P7/Financials!O7-1</f>
        <v>0.18794832430898745</v>
      </c>
      <c r="S27" s="70">
        <f>Financials!Q7/Financials!P7-1</f>
        <v>-0.16595997356455683</v>
      </c>
      <c r="T27" s="70">
        <f>Financials!R7/Financials!Q7-1</f>
        <v>3.9028143989531694E-2</v>
      </c>
      <c r="U27" s="70">
        <f>Financials!S7/Financials!R7-1</f>
        <v>-1.2227337830813423E-2</v>
      </c>
      <c r="V27" s="70">
        <f>Financials!T7/Financials!S7-1</f>
        <v>6.423214306217595E-2</v>
      </c>
      <c r="W27" s="70">
        <f>Financials!U7/Financials!T7-1</f>
        <v>5.1982548939153439E-2</v>
      </c>
      <c r="X27" s="70">
        <f>Financials!V7/Financials!U7-1</f>
        <v>-5.6171020806861982E-2</v>
      </c>
      <c r="Y27" s="70">
        <f>Financials!W7/Financials!V7-1</f>
        <v>4.2234947216328589E-3</v>
      </c>
      <c r="Z27" s="70">
        <f>Financials!X7/Financials!W7-1</f>
        <v>1.528461656014235E-2</v>
      </c>
      <c r="AA27" s="70">
        <f>Financials!Y7/Financials!X7-1</f>
        <v>-3.9268520802413498E-3</v>
      </c>
      <c r="AB27" s="70">
        <f>Financials!Z7/Financials!Y7-1</f>
        <v>0.15451933556993991</v>
      </c>
      <c r="AC27" s="70">
        <f>Financials!AA7/Financials!Z7-1</f>
        <v>-0.1175184372941207</v>
      </c>
      <c r="AD27" s="70">
        <f>Financials!AB7/Financials!AA7-1</f>
        <v>4.4031739784465396E-2</v>
      </c>
      <c r="AE27" s="70">
        <f>Financials!AC7/Financials!AB7-1</f>
        <v>0.14958293580770299</v>
      </c>
      <c r="AF27" s="70">
        <f>Financials!AD7/Financials!AC7-1</f>
        <v>-0.13673364011114075</v>
      </c>
      <c r="AG27" s="70">
        <f>Financials!AE7/Financials!AD7-1</f>
        <v>-6.220242810415666E-2</v>
      </c>
      <c r="AH27" s="70">
        <f>Financials!AF7/Financials!AE7-1</f>
        <v>6.2231714697842166E-2</v>
      </c>
      <c r="AI27" s="70">
        <f>Financials!AG7/Financials!AF7-1</f>
        <v>-2.3591901701084828E-2</v>
      </c>
      <c r="AJ27" s="70">
        <f>Financials!AH7/Financials!AG7-1</f>
        <v>-2.2501679132071239E-2</v>
      </c>
      <c r="AK27" s="70">
        <f>Financials!AI7/Financials!AH7-1</f>
        <v>-5.1727252590814454E-2</v>
      </c>
      <c r="AL27" s="70">
        <f>Financials!AJ7/Financials!AI7-1</f>
        <v>7.8475236355243227E-2</v>
      </c>
      <c r="AM27" s="70">
        <f>Financials!AK7/Financials!AJ7-1</f>
        <v>3.141634925081993E-2</v>
      </c>
      <c r="AN27" s="70">
        <f>Financials!AL7/Financials!AK7-1</f>
        <v>5.0999281714960487E-2</v>
      </c>
      <c r="AO27" s="70">
        <f>Financials!AM7/Financials!AL7-1</f>
        <v>0.14401793803246954</v>
      </c>
      <c r="AP27" s="70">
        <f>Financials!AN7/Financials!AM7-1</f>
        <v>-0.15361727832945471</v>
      </c>
      <c r="AQ27" s="70">
        <f>Financials!AO7/Financials!AN7-1</f>
        <v>-5.0808661932724264E-2</v>
      </c>
      <c r="AR27" s="70">
        <f>Financials!AP7/Financials!AO7-1</f>
        <v>0.19151685589821832</v>
      </c>
      <c r="AS27" s="70">
        <f>Financials!AQ7/Financials!AP7-1</f>
        <v>-0.15750959093662642</v>
      </c>
      <c r="AT27" s="70">
        <f>Financials!AR7/Financials!AQ7-1</f>
        <v>1.6010662107158957E-2</v>
      </c>
      <c r="AU27" s="70">
        <f>Financials!AS7/Financials!AR7-1</f>
        <v>5.9409676335495654E-3</v>
      </c>
      <c r="AV27" s="70">
        <f>Financials!AT7/Financials!AS7-1</f>
        <v>5.5831099413200302E-2</v>
      </c>
      <c r="AW27" s="70">
        <f>Financials!AU7/Financials!AT7-1</f>
        <v>1.2467082790872164E-2</v>
      </c>
      <c r="AX27" s="70">
        <f>Financials!AV7/Financials!AU7-1</f>
        <v>-5.6591205826784563E-2</v>
      </c>
      <c r="AY27" s="70">
        <f>Financials!AW7/Financials!AV7-1</f>
        <v>-1</v>
      </c>
      <c r="AZ27" s="70" t="e">
        <f>Financials!AX7/Financials!AW7-1</f>
        <v>#DIV/0!</v>
      </c>
    </row>
    <row r="28" spans="1:52">
      <c r="A28" s="244"/>
      <c r="B28" s="10" t="s">
        <v>162</v>
      </c>
      <c r="C28" s="61"/>
      <c r="D28" s="58"/>
      <c r="E28" s="58">
        <f>Financials!C31/Financials!B31-1</f>
        <v>0</v>
      </c>
      <c r="F28" s="58">
        <f>Financials!D31/Financials!C31-1</f>
        <v>-6.5132404753356354E-3</v>
      </c>
      <c r="G28" s="58">
        <f>Financials!E31/Financials!D31-1</f>
        <v>-2.8419300760507915E-2</v>
      </c>
      <c r="H28" s="58">
        <f>Financials!F31/Financials!E31-1</f>
        <v>-1.7558349735509848E-2</v>
      </c>
      <c r="I28" s="58">
        <f>Financials!G31/Financials!F31-1</f>
        <v>-2.5039631110492788E-2</v>
      </c>
      <c r="J28" s="58">
        <f>Financials!H31/Financials!G31-1</f>
        <v>-2.2879912885895082E-2</v>
      </c>
      <c r="K28" s="58">
        <f>Financials!I31/Financials!H31-1</f>
        <v>4.8629100941479653E-2</v>
      </c>
      <c r="L28" s="58">
        <f>Financials!J31/Financials!I31-1</f>
        <v>1.9178391697256325E-2</v>
      </c>
      <c r="M28" s="58">
        <f>Financials!K31/Financials!J31-1</f>
        <v>-9.6027538657084133E-4</v>
      </c>
      <c r="N28" s="70">
        <f>Financials!L31/Financials!K31-1</f>
        <v>5.8060228980554518E-2</v>
      </c>
      <c r="O28" s="70">
        <f>Financials!M31/Financials!L31-1</f>
        <v>4.4152220013639054E-2</v>
      </c>
      <c r="P28" s="70">
        <f>Financials!N31/Financials!M31-1</f>
        <v>-4.1637335084168781E-2</v>
      </c>
      <c r="Q28" s="70">
        <f>Financials!O31/Financials!N31-1</f>
        <v>-2.9464980476620051E-3</v>
      </c>
      <c r="R28" s="70">
        <f>Financials!P31/Financials!O31-1</f>
        <v>1.8847288058643663E-2</v>
      </c>
      <c r="S28" s="70">
        <f>Financials!Q31/Financials!P31-1</f>
        <v>7.8851505848274162E-3</v>
      </c>
      <c r="T28" s="70">
        <f>Financials!R31/Financials!Q31-1</f>
        <v>2.3312209965782316E-2</v>
      </c>
      <c r="U28" s="70">
        <f>Financials!S31/Financials!R31-1</f>
        <v>-2.6280138993933777E-3</v>
      </c>
      <c r="V28" s="70">
        <f>Financials!T31/Financials!S31-1</f>
        <v>3.461755780225384E-2</v>
      </c>
      <c r="W28" s="70">
        <f>Financials!U31/Financials!T31-1</f>
        <v>2.7123017478893896E-3</v>
      </c>
      <c r="X28" s="70">
        <f>Financials!V31/Financials!U31-1</f>
        <v>-5.569555530375192E-3</v>
      </c>
      <c r="Y28" s="70">
        <f>Financials!W31/Financials!V31-1</f>
        <v>7.2195966732062633E-3</v>
      </c>
      <c r="Z28" s="70">
        <f>Financials!X31/Financials!W31-1</f>
        <v>1.8206882656730539E-3</v>
      </c>
      <c r="AA28" s="70">
        <f>Financials!Y31/Financials!X31-1</f>
        <v>-1.5941669202916842E-3</v>
      </c>
      <c r="AB28" s="70">
        <f>Financials!Z31/Financials!Y31-1</f>
        <v>-2.1495957236439267E-9</v>
      </c>
      <c r="AC28" s="70">
        <f>Financials!AA31/Financials!Z31-1</f>
        <v>1.6236987868292641E-2</v>
      </c>
      <c r="AD28" s="70">
        <f>Financials!AB31/Financials!AA31-1</f>
        <v>1.2093909034649464E-3</v>
      </c>
      <c r="AE28" s="70">
        <f>Financials!AC31/Financials!AB31-1</f>
        <v>1.4769981590018411E-2</v>
      </c>
      <c r="AF28" s="70">
        <f>Financials!AD31/Financials!AC31-1</f>
        <v>2.6672463479839204E-2</v>
      </c>
      <c r="AG28" s="70">
        <f>Financials!AE31/Financials!AD31-1</f>
        <v>1.4000610741424779E-2</v>
      </c>
      <c r="AH28" s="70">
        <f>Financials!AF31/Financials!AE31-1</f>
        <v>-7.6419251240900099E-3</v>
      </c>
      <c r="AI28" s="70">
        <f>Financials!AG31/Financials!AF31-1</f>
        <v>1.4977856953507729E-2</v>
      </c>
      <c r="AJ28" s="70">
        <f>Financials!AH31/Financials!AG31-1</f>
        <v>2.6107234649463962E-5</v>
      </c>
      <c r="AK28" s="70">
        <f>Financials!AI31/Financials!AH31-1</f>
        <v>2.4052963362037882E-3</v>
      </c>
      <c r="AL28" s="70">
        <f>Financials!AJ31/Financials!AI31-1</f>
        <v>3.8631207140225055E-3</v>
      </c>
      <c r="AM28" s="70">
        <f>Financials!AK31/Financials!AJ31-1</f>
        <v>7.7162355941935434E-3</v>
      </c>
      <c r="AN28" s="70">
        <f>Financials!AL31/Financials!AK31-1</f>
        <v>3.8539825642029957E-3</v>
      </c>
      <c r="AO28" s="70">
        <f>Financials!AM31/Financials!AL31-1</f>
        <v>0</v>
      </c>
      <c r="AP28" s="70">
        <f>Financials!AN31/Financials!AM31-1</f>
        <v>3.4781072646206779E-2</v>
      </c>
      <c r="AQ28" s="70">
        <f>Financials!AO31/Financials!AN31-1</f>
        <v>2.0279966066443222E-3</v>
      </c>
      <c r="AR28" s="70">
        <f>Financials!AP31/Financials!AO31-1</f>
        <v>1.4874861904584202E-2</v>
      </c>
      <c r="AS28" s="70">
        <f>Financials!AQ31/Financials!AP31-1</f>
        <v>3.0322738917001324E-2</v>
      </c>
      <c r="AT28" s="70">
        <f>Financials!AR31/Financials!AQ31-1</f>
        <v>1.2336120673441808E-3</v>
      </c>
      <c r="AU28" s="70">
        <f>Financials!AS31/Financials!AR31-1</f>
        <v>1.5967047262765321E-2</v>
      </c>
      <c r="AV28" s="70">
        <f>Financials!AT31/Financials!AS31-1</f>
        <v>3.2560323388366452E-3</v>
      </c>
      <c r="AW28" s="70">
        <f>Financials!AU31/Financials!AT31-1</f>
        <v>2.32040472532824E-2</v>
      </c>
      <c r="AX28" s="70">
        <f>Financials!AV31/Financials!AU31-1</f>
        <v>1.1859788305242924E-2</v>
      </c>
      <c r="AY28" s="70">
        <f>Financials!AW31/Financials!AV31-1</f>
        <v>-1</v>
      </c>
      <c r="AZ28" s="70" t="e">
        <f>Financials!AX31/Financials!AW31-1</f>
        <v>#DIV/0!</v>
      </c>
    </row>
    <row r="29" spans="1:52">
      <c r="A29" s="244"/>
      <c r="B29" s="10" t="s">
        <v>163</v>
      </c>
      <c r="C29" s="61"/>
      <c r="D29" s="58"/>
      <c r="E29" s="58">
        <f>Financials!C11/Financials!B11-1</f>
        <v>8.4588369892153237E-2</v>
      </c>
      <c r="F29" s="58">
        <f>Financials!D11/Financials!C11-1</f>
        <v>-7.9468936704436666E-2</v>
      </c>
      <c r="G29" s="58">
        <f>Financials!E11/Financials!D11-1</f>
        <v>5.8817392098653443E-4</v>
      </c>
      <c r="H29" s="58">
        <f>Financials!F11/Financials!E11-1</f>
        <v>9.6412080902706254E-2</v>
      </c>
      <c r="I29" s="58">
        <f>Financials!G11/Financials!F11-1</f>
        <v>-2.1162141054231753E-4</v>
      </c>
      <c r="J29" s="58">
        <f>Financials!H11/Financials!G11-1</f>
        <v>-1.128680245998992E-3</v>
      </c>
      <c r="K29" s="58">
        <f>Financials!I11/Financials!H11-1</f>
        <v>-0.29106219132742095</v>
      </c>
      <c r="L29" s="58">
        <f>Financials!J11/Financials!I11-1</f>
        <v>5.9144529911403509E-6</v>
      </c>
      <c r="M29" s="58">
        <f>Financials!K11/Financials!J11-1</f>
        <v>2.3657672042487476E-5</v>
      </c>
      <c r="N29" s="70">
        <f>Financials!L11/Financials!K11-1</f>
        <v>1.1201642707403536E-5</v>
      </c>
      <c r="O29" s="70">
        <f>Financials!M11/Financials!L11-1</f>
        <v>0.52099716391363815</v>
      </c>
      <c r="P29" s="70">
        <f>Financials!N11/Financials!M11-1</f>
        <v>-7.7425383420031246E-2</v>
      </c>
      <c r="Q29" s="70">
        <f>Financials!O11/Financials!N11-1</f>
        <v>-0.34732632725706813</v>
      </c>
      <c r="R29" s="70">
        <f>Financials!P11/Financials!O11-1</f>
        <v>1.5582267800372751E-2</v>
      </c>
      <c r="S29" s="70">
        <f>Financials!Q11/Financials!P11-1</f>
        <v>0</v>
      </c>
      <c r="T29" s="70">
        <f>Financials!R11/Financials!Q11-1</f>
        <v>5.086812781751604E-5</v>
      </c>
      <c r="U29" s="70">
        <f>Financials!S11/Financials!R11-1</f>
        <v>0.86713502012446386</v>
      </c>
      <c r="V29" s="70">
        <f>Financials!T11/Financials!S11-1</f>
        <v>4.7509423542341667E-2</v>
      </c>
      <c r="W29" s="70">
        <f>Financials!U11/Financials!T11-1</f>
        <v>3.4521404762055008E-2</v>
      </c>
      <c r="X29" s="70">
        <f>Financials!V11/Financials!U11-1</f>
        <v>3.4066916684288184E-2</v>
      </c>
      <c r="Y29" s="70">
        <f>Financials!W11/Financials!V11-1</f>
        <v>2.2093632526376306E-2</v>
      </c>
      <c r="Z29" s="70">
        <f>Financials!X11/Financials!W11-1</f>
        <v>2.5591047591899674E-2</v>
      </c>
      <c r="AA29" s="70">
        <f>Financials!Y11/Financials!X11-1</f>
        <v>5.6734881999966902E-2</v>
      </c>
      <c r="AB29" s="70">
        <f>Financials!Z11/Financials!Y11-1</f>
        <v>-0.27993441681686271</v>
      </c>
      <c r="AC29" s="70">
        <f>Financials!AA11/Financials!Z11-1</f>
        <v>-1.2901142482224959E-2</v>
      </c>
      <c r="AD29" s="70">
        <f>Financials!AB11/Financials!AA11-1</f>
        <v>-5.0526274653863723E-3</v>
      </c>
      <c r="AE29" s="70">
        <f>Financials!AC11/Financials!AB11-1</f>
        <v>4.0507717603534887E-2</v>
      </c>
      <c r="AF29" s="70">
        <f>Financials!AD11/Financials!AC11-1</f>
        <v>4.2645532097770777E-2</v>
      </c>
      <c r="AG29" s="70">
        <f>Financials!AE11/Financials!AD11-1</f>
        <v>3.2718421119193097E-2</v>
      </c>
      <c r="AH29" s="70">
        <f>Financials!AF11/Financials!AE11-1</f>
        <v>1.8940118769585235E-2</v>
      </c>
      <c r="AI29" s="70">
        <f>Financials!AG11/Financials!AF11-1</f>
        <v>2.1397336939341649E-3</v>
      </c>
      <c r="AJ29" s="70">
        <f>Financials!AH11/Financials!AG11-1</f>
        <v>4.4509909100192369E-2</v>
      </c>
      <c r="AK29" s="70">
        <f>Financials!AI11/Financials!AH11-1</f>
        <v>1.1540722975766915E-2</v>
      </c>
      <c r="AL29" s="70">
        <f>Financials!AJ11/Financials!AI11-1</f>
        <v>-8.7787626820166831E-2</v>
      </c>
      <c r="AM29" s="70">
        <f>Financials!AK11/Financials!AJ11-1</f>
        <v>1.5617191833606325E-2</v>
      </c>
      <c r="AN29" s="70">
        <f>Financials!AL11/Financials!AK11-1</f>
        <v>1.3121415736488284E-2</v>
      </c>
      <c r="AO29" s="70">
        <f>Financials!AM11/Financials!AL11-1</f>
        <v>6.3018773728681143E-2</v>
      </c>
      <c r="AP29" s="70">
        <f>Financials!AN11/Financials!AM11-1</f>
        <v>-8.9684079173186437E-2</v>
      </c>
      <c r="AQ29" s="70">
        <f>Financials!AO11/Financials!AN11-1</f>
        <v>1.0156910852833212E-2</v>
      </c>
      <c r="AR29" s="70">
        <f>Financials!AP11/Financials!AO11-1</f>
        <v>3.1764578466570992E-3</v>
      </c>
      <c r="AS29" s="70">
        <f>Financials!AQ11/Financials!AP11-1</f>
        <v>-0.12387694978522268</v>
      </c>
      <c r="AT29" s="70">
        <f>Financials!AR11/Financials!AQ11-1</f>
        <v>5.8577853155803217E-2</v>
      </c>
      <c r="AU29" s="70">
        <f>Financials!AS11/Financials!AR11-1</f>
        <v>2.6143556125537204E-2</v>
      </c>
      <c r="AV29" s="70">
        <f>Financials!AT11/Financials!AS11-1</f>
        <v>3.5405044988351397E-2</v>
      </c>
      <c r="AW29" s="70">
        <f>Financials!AU11/Financials!AT11-1</f>
        <v>3.4387774463530807E-2</v>
      </c>
      <c r="AX29" s="70">
        <f>Financials!AV11/Financials!AU11-1</f>
        <v>4.0759752617712364E-2</v>
      </c>
      <c r="AY29" s="70">
        <f>Financials!AW11/Financials!AV11-1</f>
        <v>-0.99999984880332371</v>
      </c>
      <c r="AZ29" s="70">
        <f>Financials!AX11/Financials!AW11-1</f>
        <v>4.3478260869565188E-2</v>
      </c>
    </row>
    <row r="30" spans="1:52" hidden="1">
      <c r="A30" s="244"/>
      <c r="B30" s="10" t="s">
        <v>114</v>
      </c>
      <c r="C30" s="61"/>
      <c r="D30" s="58"/>
      <c r="E30" s="58" t="e">
        <f>Financials!C37/Financials!B37-1</f>
        <v>#REF!</v>
      </c>
      <c r="F30" s="58">
        <f>Financials!D37/Financials!C37-1</f>
        <v>-0.86670730639696891</v>
      </c>
      <c r="G30" s="58">
        <f>Financials!E37/Financials!D37-1</f>
        <v>1.0943165986176817</v>
      </c>
      <c r="H30" s="58">
        <f>Financials!F37/Financials!E37-1</f>
        <v>0.29627764765851583</v>
      </c>
      <c r="I30" s="58">
        <f>Financials!G37/Financials!F37-1</f>
        <v>0.22250087368583915</v>
      </c>
      <c r="J30" s="58">
        <f>Financials!H37/Financials!G37-1</f>
        <v>0.18116999711398996</v>
      </c>
      <c r="K30" s="58">
        <f>Financials!I37/Financials!H37-1</f>
        <v>0.49026130677118496</v>
      </c>
      <c r="L30" s="58">
        <f>Financials!J37/Financials!I37-1</f>
        <v>0.12822189505934145</v>
      </c>
      <c r="M30" s="58">
        <f>Financials!K37/Financials!J37-1</f>
        <v>0.11268042776345433</v>
      </c>
      <c r="N30" s="70">
        <f>Financials!L37/Financials!K37-1</f>
        <v>0.10078488798940866</v>
      </c>
    </row>
    <row r="31" spans="1:52" hidden="1">
      <c r="A31" s="244"/>
      <c r="B31" s="10" t="s">
        <v>90</v>
      </c>
      <c r="C31" s="61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70"/>
    </row>
    <row r="32" spans="1:52" ht="15" hidden="1" thickBot="1">
      <c r="A32" s="245"/>
      <c r="B32" s="74" t="s">
        <v>164</v>
      </c>
      <c r="C32" s="75"/>
      <c r="D32" s="76" t="e">
        <f>'Evolutitve SCI'!B39/'Evolutitve SCI'!#REF!-1</f>
        <v>#REF!</v>
      </c>
      <c r="E32" s="76" t="e">
        <f>'Evolutitve SCI'!C39/'Evolutitve SCI'!#REF!-1</f>
        <v>#REF!</v>
      </c>
      <c r="F32" s="76" t="e">
        <f>'Evolutitve SCI'!D39/'Evolutitve SCI'!#REF!-1</f>
        <v>#REF!</v>
      </c>
      <c r="G32" s="76" t="e">
        <f>'Evolutitve SCI'!E39/'Evolutitve SCI'!#REF!-1</f>
        <v>#REF!</v>
      </c>
      <c r="H32" s="76" t="e">
        <f>'Evolutitve SCI'!F39/'Evolutitve SCI'!#REF!-1</f>
        <v>#REF!</v>
      </c>
      <c r="I32" s="76" t="e">
        <f>'Evolutitve SCI'!G39/'Evolutitve SCI'!#REF!-1</f>
        <v>#REF!</v>
      </c>
      <c r="J32" s="76" t="e">
        <f>'Evolutitve SCI'!H39/'Evolutitve SCI'!#REF!-1</f>
        <v>#REF!</v>
      </c>
      <c r="K32" s="76" t="e">
        <f>'Evolutitve SCI'!I39/'Evolutitve SCI'!#REF!-1</f>
        <v>#REF!</v>
      </c>
      <c r="L32" s="76" t="e">
        <f>'Evolutitve SCI'!J39/'Evolutitve SCI'!#REF!-1</f>
        <v>#REF!</v>
      </c>
      <c r="M32" s="76" t="e">
        <f>'Evolutitve SCI'!K39/'Evolutitve SCI'!#REF!-1</f>
        <v>#REF!</v>
      </c>
      <c r="N32" s="77" t="e">
        <f>'Evolutitve SCI'!L39/'Evolutitve SCI'!#REF!-1</f>
        <v>#REF!</v>
      </c>
    </row>
    <row r="33" spans="1:14" hidden="1">
      <c r="A33" s="62" t="s">
        <v>165</v>
      </c>
      <c r="B33" s="63" t="s">
        <v>166</v>
      </c>
      <c r="C33" s="64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</row>
    <row r="34" spans="1:14" hidden="1">
      <c r="A34" s="12"/>
      <c r="B34" s="10" t="s">
        <v>167</v>
      </c>
      <c r="C34" s="1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idden="1">
      <c r="A35" s="12"/>
      <c r="B35" s="10" t="s">
        <v>168</v>
      </c>
      <c r="C35" s="1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idden="1">
      <c r="A36" s="12"/>
      <c r="B36" s="10" t="s">
        <v>169</v>
      </c>
      <c r="C36" s="1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idden="1">
      <c r="A37" s="12"/>
      <c r="B37" s="10" t="s">
        <v>170</v>
      </c>
      <c r="C37" s="1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idden="1">
      <c r="A38" s="12"/>
      <c r="B38" s="10" t="s">
        <v>171</v>
      </c>
      <c r="C38" s="1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idden="1">
      <c r="A39" s="12"/>
      <c r="B39" s="10" t="s">
        <v>172</v>
      </c>
      <c r="C39" s="1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idden="1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hidden="1" thickBot="1">
      <c r="A41" s="14" t="s">
        <v>173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</sheetData>
  <mergeCells count="8">
    <mergeCell ref="A24:A32"/>
    <mergeCell ref="A21:A23"/>
    <mergeCell ref="A16:A20"/>
    <mergeCell ref="A1:B1"/>
    <mergeCell ref="A3:A6"/>
    <mergeCell ref="A7:A8"/>
    <mergeCell ref="A9:A11"/>
    <mergeCell ref="A12:A15"/>
  </mergeCells>
  <phoneticPr fontId="23" type="noConversion"/>
  <pageMargins left="0.7" right="0.7" top="0.75" bottom="0.75" header="0.3" footer="0.3"/>
  <pageSetup scale="9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7"/>
  <sheetViews>
    <sheetView topLeftCell="P4" workbookViewId="0">
      <selection activeCell="R16" sqref="R16"/>
    </sheetView>
  </sheetViews>
  <sheetFormatPr defaultColWidth="8.7109375" defaultRowHeight="13.15"/>
  <cols>
    <col min="1" max="1" width="27" style="163" customWidth="1"/>
    <col min="2" max="2" width="11.85546875" style="163" bestFit="1" customWidth="1"/>
    <col min="3" max="3" width="18.5703125" style="164" customWidth="1"/>
    <col min="4" max="4" width="11.7109375" style="163" customWidth="1"/>
    <col min="5" max="5" width="19.28515625" style="164" customWidth="1"/>
    <col min="6" max="6" width="18.7109375" style="163" customWidth="1"/>
    <col min="7" max="7" width="13" style="163" customWidth="1"/>
    <col min="8" max="8" width="19.140625" style="163" customWidth="1"/>
    <col min="9" max="9" width="12.28515625" style="163" customWidth="1"/>
    <col min="10" max="10" width="18.7109375" style="163" customWidth="1"/>
    <col min="11" max="11" width="10.85546875" style="163" customWidth="1"/>
    <col min="12" max="12" width="19.42578125" style="163" customWidth="1"/>
    <col min="13" max="13" width="12.7109375" style="163" customWidth="1"/>
    <col min="14" max="14" width="15.42578125" style="163" customWidth="1"/>
    <col min="15" max="15" width="10.140625" style="163" customWidth="1"/>
    <col min="16" max="16" width="16.85546875" style="163" customWidth="1"/>
    <col min="17" max="17" width="11.28515625" style="163" customWidth="1"/>
    <col min="18" max="18" width="15.5703125" style="163" customWidth="1"/>
    <col min="19" max="19" width="8.7109375" style="163"/>
    <col min="20" max="20" width="16.7109375" style="163" customWidth="1"/>
    <col min="21" max="21" width="10.5703125" style="163" bestFit="1" customWidth="1"/>
    <col min="22" max="22" width="15" style="163" customWidth="1"/>
    <col min="23" max="23" width="10" style="163" bestFit="1" customWidth="1"/>
    <col min="24" max="24" width="16.7109375" style="163" customWidth="1"/>
    <col min="25" max="25" width="13.140625" style="163" customWidth="1"/>
    <col min="26" max="26" width="16.5703125" style="163" customWidth="1"/>
    <col min="27" max="27" width="12.28515625" style="163" customWidth="1"/>
    <col min="28" max="28" width="20.7109375" style="163" customWidth="1"/>
    <col min="29" max="29" width="12.5703125" style="163" customWidth="1"/>
    <col min="30" max="30" width="14.42578125" style="163" customWidth="1"/>
    <col min="31" max="16384" width="8.7109375" style="163"/>
  </cols>
  <sheetData>
    <row r="1" spans="1:30">
      <c r="K1" s="165">
        <v>3325</v>
      </c>
      <c r="L1" s="165">
        <v>23</v>
      </c>
      <c r="M1" s="165">
        <v>24</v>
      </c>
      <c r="N1" s="165">
        <v>0</v>
      </c>
      <c r="O1" s="165">
        <v>303</v>
      </c>
    </row>
    <row r="2" spans="1:30">
      <c r="A2" s="163" t="s">
        <v>174</v>
      </c>
    </row>
    <row r="3" spans="1:30">
      <c r="A3" s="163" t="s">
        <v>175</v>
      </c>
    </row>
    <row r="4" spans="1:30">
      <c r="A4" s="163" t="s">
        <v>176</v>
      </c>
      <c r="E4" s="164" t="s">
        <v>177</v>
      </c>
    </row>
    <row r="5" spans="1:30">
      <c r="A5" s="163" t="s">
        <v>178</v>
      </c>
    </row>
    <row r="6" spans="1:30" hidden="1"/>
    <row r="7" spans="1:30" hidden="1"/>
    <row r="8" spans="1:30">
      <c r="A8" s="163" t="s">
        <v>179</v>
      </c>
    </row>
    <row r="9" spans="1:30">
      <c r="A9" s="166"/>
      <c r="B9" s="251" t="s">
        <v>89</v>
      </c>
      <c r="C9" s="252"/>
      <c r="D9" s="252"/>
      <c r="E9" s="253"/>
      <c r="F9" s="167"/>
      <c r="G9" s="251" t="s">
        <v>2</v>
      </c>
      <c r="H9" s="252"/>
      <c r="I9" s="252"/>
      <c r="J9" s="253"/>
      <c r="K9" s="254">
        <v>44621</v>
      </c>
      <c r="L9" s="252"/>
      <c r="M9" s="252"/>
      <c r="N9" s="253"/>
      <c r="O9" s="254">
        <v>44713</v>
      </c>
      <c r="P9" s="252"/>
      <c r="Q9" s="252"/>
      <c r="R9" s="253"/>
      <c r="S9" s="254">
        <v>44805</v>
      </c>
      <c r="T9" s="252"/>
      <c r="U9" s="252"/>
      <c r="V9" s="253"/>
      <c r="W9" s="254">
        <v>44896</v>
      </c>
      <c r="X9" s="252"/>
      <c r="Y9" s="252"/>
      <c r="Z9" s="253"/>
      <c r="AA9" s="254" t="s">
        <v>180</v>
      </c>
      <c r="AB9" s="252"/>
      <c r="AC9" s="252"/>
      <c r="AD9" s="253"/>
    </row>
    <row r="10" spans="1:30" ht="52.9">
      <c r="A10" s="168" t="s">
        <v>181</v>
      </c>
      <c r="B10" s="168" t="s">
        <v>182</v>
      </c>
      <c r="C10" s="169" t="s">
        <v>183</v>
      </c>
      <c r="D10" s="168" t="s">
        <v>184</v>
      </c>
      <c r="E10" s="169" t="s">
        <v>185</v>
      </c>
      <c r="F10" s="168" t="s">
        <v>181</v>
      </c>
      <c r="G10" s="168" t="s">
        <v>182</v>
      </c>
      <c r="H10" s="169" t="s">
        <v>183</v>
      </c>
      <c r="I10" s="168" t="s">
        <v>184</v>
      </c>
      <c r="J10" s="169" t="s">
        <v>185</v>
      </c>
      <c r="K10" s="168" t="s">
        <v>182</v>
      </c>
      <c r="L10" s="169" t="s">
        <v>183</v>
      </c>
      <c r="M10" s="168" t="s">
        <v>184</v>
      </c>
      <c r="N10" s="169" t="s">
        <v>185</v>
      </c>
      <c r="O10" s="168" t="s">
        <v>182</v>
      </c>
      <c r="P10" s="169" t="s">
        <v>183</v>
      </c>
      <c r="Q10" s="168" t="s">
        <v>184</v>
      </c>
      <c r="R10" s="169" t="s">
        <v>185</v>
      </c>
      <c r="S10" s="168" t="s">
        <v>182</v>
      </c>
      <c r="T10" s="169" t="s">
        <v>183</v>
      </c>
      <c r="U10" s="168" t="s">
        <v>184</v>
      </c>
      <c r="V10" s="169" t="s">
        <v>185</v>
      </c>
      <c r="W10" s="168" t="s">
        <v>182</v>
      </c>
      <c r="X10" s="169" t="s">
        <v>183</v>
      </c>
      <c r="Y10" s="168" t="s">
        <v>184</v>
      </c>
      <c r="Z10" s="169" t="s">
        <v>185</v>
      </c>
      <c r="AA10" s="168" t="s">
        <v>182</v>
      </c>
      <c r="AB10" s="169" t="s">
        <v>183</v>
      </c>
      <c r="AC10" s="168" t="s">
        <v>184</v>
      </c>
      <c r="AD10" s="169" t="s">
        <v>185</v>
      </c>
    </row>
    <row r="11" spans="1:30">
      <c r="A11" s="166" t="s">
        <v>186</v>
      </c>
      <c r="B11" s="170">
        <v>2644</v>
      </c>
      <c r="C11" s="171">
        <v>356026849.89999998</v>
      </c>
      <c r="D11" s="172">
        <v>0.01</v>
      </c>
      <c r="E11" s="171">
        <f>C11*D11</f>
        <v>3560268.4989999998</v>
      </c>
      <c r="F11" s="166" t="s">
        <v>186</v>
      </c>
      <c r="G11" s="170">
        <v>2644</v>
      </c>
      <c r="H11" s="171">
        <v>383283736.60000002</v>
      </c>
      <c r="I11" s="172">
        <v>0.01</v>
      </c>
      <c r="J11" s="171">
        <f>I11*H11</f>
        <v>3832837.3660000004</v>
      </c>
      <c r="K11" s="217">
        <v>3043</v>
      </c>
      <c r="L11" s="171">
        <v>397249115.16000003</v>
      </c>
      <c r="M11" s="172">
        <v>0.01</v>
      </c>
      <c r="N11" s="171">
        <f>M11*L11</f>
        <v>3972491.1516000004</v>
      </c>
      <c r="O11" s="217">
        <v>3158</v>
      </c>
      <c r="P11" s="171">
        <v>411349296.68000001</v>
      </c>
      <c r="Q11" s="172">
        <v>0.01</v>
      </c>
      <c r="R11" s="171">
        <f>Q11*P11</f>
        <v>4113492.9668000001</v>
      </c>
      <c r="S11" s="170">
        <v>3325</v>
      </c>
      <c r="T11" s="171">
        <v>412469069.92000002</v>
      </c>
      <c r="U11" s="172">
        <v>0.01</v>
      </c>
      <c r="V11" s="171">
        <f>U11*T11</f>
        <v>4124690.6992000001</v>
      </c>
      <c r="W11" s="217">
        <v>3264</v>
      </c>
      <c r="X11" s="171">
        <v>422883834.43000001</v>
      </c>
      <c r="Y11" s="172">
        <v>0.01</v>
      </c>
      <c r="Z11" s="171">
        <f>Y11*X11</f>
        <v>4228838.3443</v>
      </c>
      <c r="AA11" s="170">
        <v>3264</v>
      </c>
      <c r="AB11" s="171">
        <v>426587507.75</v>
      </c>
      <c r="AC11" s="172">
        <v>0.01</v>
      </c>
      <c r="AD11" s="171">
        <f>AC11*AB11</f>
        <v>4265875.0774999997</v>
      </c>
    </row>
    <row r="12" spans="1:30">
      <c r="A12" s="166" t="s">
        <v>187</v>
      </c>
      <c r="B12" s="166">
        <v>54</v>
      </c>
      <c r="C12" s="171">
        <v>5574440.4000000004</v>
      </c>
      <c r="D12" s="172">
        <v>0.05</v>
      </c>
      <c r="E12" s="171">
        <f t="shared" ref="E12:E15" si="0">C12*D12</f>
        <v>278722.02</v>
      </c>
      <c r="F12" s="166" t="s">
        <v>187</v>
      </c>
      <c r="G12" s="166">
        <v>54</v>
      </c>
      <c r="H12" s="171">
        <v>1251329.8</v>
      </c>
      <c r="I12" s="172">
        <v>0.05</v>
      </c>
      <c r="J12" s="171">
        <f t="shared" ref="J12:J15" si="1">I12*H12</f>
        <v>62566.490000000005</v>
      </c>
      <c r="K12" s="217">
        <v>10</v>
      </c>
      <c r="L12" s="171">
        <v>1076852.6599999999</v>
      </c>
      <c r="M12" s="172">
        <v>0.05</v>
      </c>
      <c r="N12" s="171">
        <f t="shared" ref="N12:N15" si="2">M12*L12</f>
        <v>53842.633000000002</v>
      </c>
      <c r="O12" s="217">
        <v>13</v>
      </c>
      <c r="P12" s="171">
        <v>1926243.75</v>
      </c>
      <c r="Q12" s="172">
        <v>0.05</v>
      </c>
      <c r="R12" s="171">
        <f t="shared" ref="R12:R15" si="3">Q12*P12</f>
        <v>96312.1875</v>
      </c>
      <c r="S12" s="166">
        <v>23</v>
      </c>
      <c r="T12" s="171">
        <v>2746800.6</v>
      </c>
      <c r="U12" s="172">
        <v>0.05</v>
      </c>
      <c r="V12" s="171">
        <f t="shared" ref="V12:V15" si="4">U12*T12</f>
        <v>137340.03</v>
      </c>
      <c r="W12" s="217">
        <v>21</v>
      </c>
      <c r="X12" s="171">
        <v>1538144.85</v>
      </c>
      <c r="Y12" s="172">
        <v>0.05</v>
      </c>
      <c r="Z12" s="171">
        <f t="shared" ref="Z12:Z15" si="5">Y12*X12</f>
        <v>76907.242500000008</v>
      </c>
      <c r="AA12" s="166">
        <v>21</v>
      </c>
      <c r="AB12" s="171">
        <v>1574042.06</v>
      </c>
      <c r="AC12" s="172">
        <v>0.05</v>
      </c>
      <c r="AD12" s="171">
        <f t="shared" ref="AD12:AD15" si="6">AC12*AB12</f>
        <v>78702.103000000003</v>
      </c>
    </row>
    <row r="13" spans="1:30">
      <c r="A13" s="166" t="s">
        <v>188</v>
      </c>
      <c r="B13" s="166">
        <v>95</v>
      </c>
      <c r="C13" s="173">
        <v>4342205.05</v>
      </c>
      <c r="D13" s="172">
        <v>0.25</v>
      </c>
      <c r="E13" s="171">
        <f t="shared" si="0"/>
        <v>1085551.2625</v>
      </c>
      <c r="F13" s="166" t="s">
        <v>188</v>
      </c>
      <c r="G13" s="166">
        <v>95</v>
      </c>
      <c r="H13" s="173">
        <v>4311503.1500000004</v>
      </c>
      <c r="I13" s="172">
        <v>0.25</v>
      </c>
      <c r="J13" s="171">
        <f t="shared" si="1"/>
        <v>1077875.7875000001</v>
      </c>
      <c r="K13" s="217">
        <v>21</v>
      </c>
      <c r="L13" s="171">
        <v>3037550.54</v>
      </c>
      <c r="M13" s="172">
        <v>0.25</v>
      </c>
      <c r="N13" s="171">
        <f t="shared" si="2"/>
        <v>759387.63500000001</v>
      </c>
      <c r="O13" s="217">
        <v>8</v>
      </c>
      <c r="P13" s="171">
        <v>1699501.2</v>
      </c>
      <c r="Q13" s="172">
        <v>0.25</v>
      </c>
      <c r="R13" s="171">
        <f t="shared" si="3"/>
        <v>424875.3</v>
      </c>
      <c r="S13" s="166">
        <v>24</v>
      </c>
      <c r="T13" s="173">
        <v>3979142.57</v>
      </c>
      <c r="U13" s="172">
        <v>0.25</v>
      </c>
      <c r="V13" s="171">
        <f t="shared" si="4"/>
        <v>994785.64249999996</v>
      </c>
      <c r="W13" s="217">
        <v>23</v>
      </c>
      <c r="X13" s="171">
        <v>2929111.05</v>
      </c>
      <c r="Y13" s="172">
        <v>0.25</v>
      </c>
      <c r="Z13" s="171">
        <f t="shared" si="5"/>
        <v>732277.76249999995</v>
      </c>
      <c r="AA13" s="166">
        <v>23</v>
      </c>
      <c r="AB13" s="173">
        <v>2929111.05</v>
      </c>
      <c r="AC13" s="172">
        <v>0.25</v>
      </c>
      <c r="AD13" s="171">
        <f t="shared" si="6"/>
        <v>732277.76249999995</v>
      </c>
    </row>
    <row r="14" spans="1:30">
      <c r="A14" s="166" t="s">
        <v>189</v>
      </c>
      <c r="B14" s="166">
        <v>113</v>
      </c>
      <c r="C14" s="171">
        <v>8876974.4000000004</v>
      </c>
      <c r="D14" s="172">
        <v>0.5</v>
      </c>
      <c r="E14" s="171">
        <f t="shared" si="0"/>
        <v>4438487.2</v>
      </c>
      <c r="F14" s="166" t="s">
        <v>189</v>
      </c>
      <c r="G14" s="166">
        <v>113</v>
      </c>
      <c r="H14" s="171">
        <v>2564624.0499999998</v>
      </c>
      <c r="I14" s="172">
        <v>0.5</v>
      </c>
      <c r="J14" s="171">
        <f t="shared" si="1"/>
        <v>1282312.0249999999</v>
      </c>
      <c r="K14" s="217">
        <v>18</v>
      </c>
      <c r="L14" s="171">
        <v>3805791.2</v>
      </c>
      <c r="M14" s="172">
        <v>0.5</v>
      </c>
      <c r="N14" s="171">
        <f t="shared" si="2"/>
        <v>1902895.6</v>
      </c>
      <c r="O14" s="217">
        <v>13</v>
      </c>
      <c r="P14" s="171">
        <v>2922176.29</v>
      </c>
      <c r="Q14" s="172">
        <v>0.5</v>
      </c>
      <c r="R14" s="171">
        <f t="shared" si="3"/>
        <v>1461088.145</v>
      </c>
      <c r="S14" s="166">
        <v>7</v>
      </c>
      <c r="T14" s="171">
        <v>1052570.97</v>
      </c>
      <c r="U14" s="172">
        <v>0.5</v>
      </c>
      <c r="V14" s="171">
        <f t="shared" si="4"/>
        <v>526285.48499999999</v>
      </c>
      <c r="W14" s="217">
        <v>5</v>
      </c>
      <c r="X14" s="171">
        <v>1371786.91</v>
      </c>
      <c r="Y14" s="172">
        <v>0.5</v>
      </c>
      <c r="Z14" s="171">
        <f t="shared" si="5"/>
        <v>685893.45499999996</v>
      </c>
      <c r="AA14" s="166">
        <v>5</v>
      </c>
      <c r="AB14" s="171">
        <v>1371786.91</v>
      </c>
      <c r="AC14" s="172">
        <v>0.5</v>
      </c>
      <c r="AD14" s="171">
        <f t="shared" si="6"/>
        <v>685893.45499999996</v>
      </c>
    </row>
    <row r="15" spans="1:30">
      <c r="A15" s="166" t="s">
        <v>190</v>
      </c>
      <c r="B15" s="166">
        <v>254</v>
      </c>
      <c r="C15" s="171">
        <v>18494256.25</v>
      </c>
      <c r="D15" s="172">
        <v>1</v>
      </c>
      <c r="E15" s="171">
        <f t="shared" si="0"/>
        <v>18494256.25</v>
      </c>
      <c r="F15" s="166" t="s">
        <v>190</v>
      </c>
      <c r="G15" s="166">
        <v>254</v>
      </c>
      <c r="H15" s="171">
        <v>17968117.300000001</v>
      </c>
      <c r="I15" s="172">
        <v>1</v>
      </c>
      <c r="J15" s="171">
        <f t="shared" si="1"/>
        <v>17968117.300000001</v>
      </c>
      <c r="K15" s="217">
        <v>275</v>
      </c>
      <c r="L15" s="171">
        <v>17512359.440000001</v>
      </c>
      <c r="M15" s="172">
        <v>1</v>
      </c>
      <c r="N15" s="171">
        <f t="shared" si="2"/>
        <v>17512359.440000001</v>
      </c>
      <c r="O15" s="217">
        <v>298</v>
      </c>
      <c r="P15" s="171">
        <v>18771370.27</v>
      </c>
      <c r="Q15" s="172">
        <v>1</v>
      </c>
      <c r="R15" s="171">
        <f t="shared" si="3"/>
        <v>18771370.27</v>
      </c>
      <c r="S15" s="166">
        <v>303</v>
      </c>
      <c r="T15" s="171">
        <v>19439646.98</v>
      </c>
      <c r="U15" s="172">
        <v>1</v>
      </c>
      <c r="V15" s="171">
        <f t="shared" si="4"/>
        <v>19439646.98</v>
      </c>
      <c r="W15" s="217">
        <v>286</v>
      </c>
      <c r="X15" s="171">
        <v>18509725.039999999</v>
      </c>
      <c r="Y15" s="172">
        <v>1</v>
      </c>
      <c r="Z15" s="171">
        <f t="shared" si="5"/>
        <v>18509725.039999999</v>
      </c>
      <c r="AA15" s="166">
        <v>286</v>
      </c>
      <c r="AB15" s="171">
        <v>18714094.989999998</v>
      </c>
      <c r="AC15" s="172">
        <v>1</v>
      </c>
      <c r="AD15" s="171">
        <f t="shared" si="6"/>
        <v>18714094.989999998</v>
      </c>
    </row>
    <row r="16" spans="1:30">
      <c r="A16" s="167" t="s">
        <v>191</v>
      </c>
      <c r="B16" s="174">
        <f>SUM(B11:B15)</f>
        <v>3160</v>
      </c>
      <c r="C16" s="175">
        <f>SUM(C11:C15)</f>
        <v>393314725.99999994</v>
      </c>
      <c r="D16" s="176"/>
      <c r="E16" s="175">
        <f>SUM(E11:E15)</f>
        <v>27857285.2315</v>
      </c>
      <c r="F16" s="167" t="s">
        <v>191</v>
      </c>
      <c r="G16" s="174">
        <f>SUM(G11:G15)</f>
        <v>3160</v>
      </c>
      <c r="H16" s="175">
        <f>SUM(H11:H15)</f>
        <v>409379310.90000004</v>
      </c>
      <c r="I16" s="176"/>
      <c r="J16" s="175">
        <f>SUM(J11:J15)</f>
        <v>24223708.968500003</v>
      </c>
      <c r="K16" s="174">
        <f>SUM(K11:K15)</f>
        <v>3367</v>
      </c>
      <c r="L16" s="175">
        <f>SUM(L11:L15)</f>
        <v>422681669.00000006</v>
      </c>
      <c r="M16" s="176"/>
      <c r="N16" s="175">
        <f>SUM(N11:N15)</f>
        <v>24200976.459600002</v>
      </c>
      <c r="O16" s="174">
        <f>SUM(O11:O15)</f>
        <v>3490</v>
      </c>
      <c r="P16" s="175">
        <f>SUM(P11:P15)</f>
        <v>436668588.19</v>
      </c>
      <c r="Q16" s="176"/>
      <c r="R16" s="175">
        <f>SUM(R11:R15)</f>
        <v>24867138.8693</v>
      </c>
      <c r="S16" s="174">
        <f>SUM(S11:S15)</f>
        <v>3682</v>
      </c>
      <c r="T16" s="175">
        <f>SUM(T11:T15)</f>
        <v>439687231.04000008</v>
      </c>
      <c r="U16" s="176"/>
      <c r="V16" s="175">
        <f>SUM(V11:V15)</f>
        <v>25222748.8367</v>
      </c>
      <c r="W16" s="174">
        <f>SUM(W11:W15)</f>
        <v>3599</v>
      </c>
      <c r="X16" s="175">
        <f>SUM(X11:X15)</f>
        <v>447232602.28000009</v>
      </c>
      <c r="Y16" s="176"/>
      <c r="Z16" s="175">
        <f>SUM(Z11:Z15)</f>
        <v>24233641.844299998</v>
      </c>
      <c r="AA16" s="174">
        <f>SUM(AA11:AA15)</f>
        <v>3599</v>
      </c>
      <c r="AB16" s="175">
        <f>SUM(AB11:AB15)</f>
        <v>451176542.76000005</v>
      </c>
      <c r="AC16" s="176"/>
      <c r="AD16" s="175">
        <f>SUM(AD11:AD15)</f>
        <v>24476843.387999997</v>
      </c>
    </row>
    <row r="17" spans="1:30">
      <c r="A17" s="167" t="s">
        <v>192</v>
      </c>
      <c r="B17" s="167"/>
      <c r="C17" s="175"/>
      <c r="D17" s="167"/>
      <c r="E17" s="175"/>
      <c r="F17" s="275" t="s">
        <v>192</v>
      </c>
      <c r="G17" s="276"/>
      <c r="H17" s="276"/>
      <c r="I17" s="276"/>
      <c r="J17" s="277"/>
      <c r="K17" s="276"/>
      <c r="L17" s="276"/>
      <c r="M17" s="276"/>
      <c r="N17" s="277"/>
      <c r="O17" s="276"/>
      <c r="P17" s="276"/>
      <c r="Q17" s="276"/>
      <c r="R17" s="277"/>
      <c r="S17" s="276"/>
      <c r="T17" s="276"/>
      <c r="U17" s="276"/>
      <c r="V17" s="277"/>
      <c r="W17" s="276"/>
      <c r="X17" s="276"/>
      <c r="Y17" s="276"/>
      <c r="Z17" s="277"/>
      <c r="AA17" s="276"/>
      <c r="AB17" s="276"/>
      <c r="AC17" s="276"/>
      <c r="AD17" s="277"/>
    </row>
    <row r="18" spans="1:30">
      <c r="A18" s="166" t="s">
        <v>186</v>
      </c>
      <c r="B18" s="166">
        <v>0</v>
      </c>
      <c r="C18" s="171"/>
      <c r="D18" s="172">
        <v>0.01</v>
      </c>
      <c r="E18" s="171">
        <v>0</v>
      </c>
      <c r="F18" s="166" t="s">
        <v>186</v>
      </c>
      <c r="G18" s="166">
        <v>0</v>
      </c>
      <c r="H18" s="171"/>
      <c r="I18" s="172">
        <v>0.01</v>
      </c>
      <c r="J18" s="171">
        <v>0</v>
      </c>
      <c r="K18" s="166">
        <v>0</v>
      </c>
      <c r="L18" s="171"/>
      <c r="M18" s="172">
        <v>0.01</v>
      </c>
      <c r="N18" s="171">
        <v>0</v>
      </c>
      <c r="O18" s="166">
        <v>16</v>
      </c>
      <c r="P18" s="171">
        <v>4319647.29</v>
      </c>
      <c r="Q18" s="172">
        <v>0.01</v>
      </c>
      <c r="R18" s="171">
        <f>P18*Q18</f>
        <v>43196.472900000001</v>
      </c>
      <c r="S18" s="166">
        <v>0</v>
      </c>
      <c r="T18" s="171"/>
      <c r="U18" s="172">
        <v>0.01</v>
      </c>
      <c r="V18" s="171">
        <v>0</v>
      </c>
      <c r="W18" s="166">
        <v>0</v>
      </c>
      <c r="X18" s="171"/>
      <c r="Y18" s="172">
        <v>0.01</v>
      </c>
      <c r="Z18" s="171">
        <v>0</v>
      </c>
      <c r="AA18" s="166">
        <v>0</v>
      </c>
      <c r="AB18" s="171"/>
      <c r="AC18" s="172">
        <v>0.01</v>
      </c>
      <c r="AD18" s="171">
        <v>0</v>
      </c>
    </row>
    <row r="19" spans="1:30">
      <c r="A19" s="166" t="s">
        <v>187</v>
      </c>
      <c r="B19" s="166">
        <v>0</v>
      </c>
      <c r="C19" s="171"/>
      <c r="D19" s="172">
        <v>0.05</v>
      </c>
      <c r="E19" s="171">
        <v>0</v>
      </c>
      <c r="F19" s="166" t="s">
        <v>187</v>
      </c>
      <c r="G19" s="166">
        <v>0</v>
      </c>
      <c r="H19" s="171"/>
      <c r="I19" s="172">
        <v>0.05</v>
      </c>
      <c r="J19" s="171">
        <v>0</v>
      </c>
      <c r="K19" s="166">
        <v>0</v>
      </c>
      <c r="L19" s="171"/>
      <c r="M19" s="172">
        <v>0.05</v>
      </c>
      <c r="N19" s="171">
        <v>0</v>
      </c>
      <c r="O19" s="166">
        <v>1</v>
      </c>
      <c r="P19" s="171">
        <v>35897.21</v>
      </c>
      <c r="Q19" s="172">
        <v>0.05</v>
      </c>
      <c r="R19" s="171">
        <f t="shared" ref="R19:R22" si="7">P19*Q19</f>
        <v>1794.8605</v>
      </c>
      <c r="S19" s="166">
        <v>0</v>
      </c>
      <c r="T19" s="171"/>
      <c r="U19" s="172">
        <v>0.05</v>
      </c>
      <c r="V19" s="171">
        <v>0</v>
      </c>
      <c r="W19" s="166">
        <v>0</v>
      </c>
      <c r="X19" s="171"/>
      <c r="Y19" s="172">
        <v>0.05</v>
      </c>
      <c r="Z19" s="171">
        <v>0</v>
      </c>
      <c r="AA19" s="166">
        <v>0</v>
      </c>
      <c r="AB19" s="171"/>
      <c r="AC19" s="172">
        <v>0.05</v>
      </c>
      <c r="AD19" s="171">
        <v>0</v>
      </c>
    </row>
    <row r="20" spans="1:30">
      <c r="A20" s="166" t="s">
        <v>188</v>
      </c>
      <c r="B20" s="166">
        <v>0</v>
      </c>
      <c r="C20" s="171"/>
      <c r="D20" s="172">
        <v>0.25</v>
      </c>
      <c r="E20" s="171">
        <v>0</v>
      </c>
      <c r="F20" s="166" t="s">
        <v>188</v>
      </c>
      <c r="G20" s="166">
        <v>0</v>
      </c>
      <c r="H20" s="171"/>
      <c r="I20" s="172">
        <v>0.25</v>
      </c>
      <c r="J20" s="171">
        <v>0</v>
      </c>
      <c r="K20" s="166">
        <v>0</v>
      </c>
      <c r="L20" s="171"/>
      <c r="M20" s="172">
        <v>0.25</v>
      </c>
      <c r="N20" s="171">
        <v>0</v>
      </c>
      <c r="O20" s="166">
        <v>2</v>
      </c>
      <c r="P20" s="171">
        <v>243819.95</v>
      </c>
      <c r="Q20" s="172">
        <v>0.25</v>
      </c>
      <c r="R20" s="171">
        <f t="shared" si="7"/>
        <v>60954.987500000003</v>
      </c>
      <c r="S20" s="166">
        <v>0</v>
      </c>
      <c r="T20" s="171"/>
      <c r="U20" s="172">
        <v>0.25</v>
      </c>
      <c r="V20" s="171">
        <v>0</v>
      </c>
      <c r="W20" s="166">
        <v>0</v>
      </c>
      <c r="X20" s="171"/>
      <c r="Y20" s="172">
        <v>0.25</v>
      </c>
      <c r="Z20" s="171">
        <v>0</v>
      </c>
      <c r="AA20" s="166">
        <v>0</v>
      </c>
      <c r="AB20" s="171"/>
      <c r="AC20" s="172">
        <v>0.25</v>
      </c>
      <c r="AD20" s="171">
        <v>0</v>
      </c>
    </row>
    <row r="21" spans="1:30">
      <c r="A21" s="166" t="s">
        <v>189</v>
      </c>
      <c r="B21" s="166">
        <v>0</v>
      </c>
      <c r="C21" s="171"/>
      <c r="D21" s="172">
        <v>0.5</v>
      </c>
      <c r="E21" s="171">
        <v>0</v>
      </c>
      <c r="F21" s="166" t="s">
        <v>189</v>
      </c>
      <c r="G21" s="166">
        <v>0</v>
      </c>
      <c r="H21" s="171"/>
      <c r="I21" s="172">
        <v>0.5</v>
      </c>
      <c r="J21" s="171">
        <v>0</v>
      </c>
      <c r="K21" s="166">
        <v>0</v>
      </c>
      <c r="L21" s="171"/>
      <c r="M21" s="172">
        <v>0.5</v>
      </c>
      <c r="N21" s="171">
        <v>0</v>
      </c>
      <c r="O21" s="166">
        <v>0</v>
      </c>
      <c r="P21" s="171">
        <v>4599364.45</v>
      </c>
      <c r="Q21" s="172">
        <v>0.5</v>
      </c>
      <c r="R21" s="171">
        <f t="shared" si="7"/>
        <v>2299682.2250000001</v>
      </c>
      <c r="S21" s="166">
        <v>0</v>
      </c>
      <c r="T21" s="171"/>
      <c r="U21" s="172">
        <v>0.5</v>
      </c>
      <c r="V21" s="171">
        <v>0</v>
      </c>
      <c r="W21" s="166">
        <v>0</v>
      </c>
      <c r="X21" s="171"/>
      <c r="Y21" s="172">
        <v>0.5</v>
      </c>
      <c r="Z21" s="171">
        <v>0</v>
      </c>
      <c r="AA21" s="166">
        <v>0</v>
      </c>
      <c r="AB21" s="171"/>
      <c r="AC21" s="172">
        <v>0.5</v>
      </c>
      <c r="AD21" s="171">
        <v>0</v>
      </c>
    </row>
    <row r="22" spans="1:30">
      <c r="A22" s="166" t="s">
        <v>190</v>
      </c>
      <c r="B22" s="166">
        <v>0</v>
      </c>
      <c r="C22" s="171"/>
      <c r="D22" s="172">
        <v>1</v>
      </c>
      <c r="E22" s="171">
        <v>0</v>
      </c>
      <c r="F22" s="166" t="s">
        <v>190</v>
      </c>
      <c r="G22" s="166">
        <v>0</v>
      </c>
      <c r="H22" s="171"/>
      <c r="I22" s="172">
        <v>1</v>
      </c>
      <c r="J22" s="171">
        <v>0</v>
      </c>
      <c r="K22" s="166">
        <v>0</v>
      </c>
      <c r="L22" s="171"/>
      <c r="M22" s="172">
        <v>1</v>
      </c>
      <c r="N22" s="171">
        <v>0</v>
      </c>
      <c r="O22" s="166">
        <v>0</v>
      </c>
      <c r="P22" s="171"/>
      <c r="Q22" s="172">
        <v>1</v>
      </c>
      <c r="R22" s="171">
        <f t="shared" si="7"/>
        <v>0</v>
      </c>
      <c r="S22" s="166">
        <v>0</v>
      </c>
      <c r="T22" s="171"/>
      <c r="U22" s="172">
        <v>1</v>
      </c>
      <c r="V22" s="171">
        <v>0</v>
      </c>
      <c r="W22" s="166">
        <v>0</v>
      </c>
      <c r="X22" s="171"/>
      <c r="Y22" s="172">
        <v>1</v>
      </c>
      <c r="Z22" s="171">
        <v>0</v>
      </c>
      <c r="AA22" s="166">
        <v>0</v>
      </c>
      <c r="AB22" s="171"/>
      <c r="AC22" s="172">
        <v>1</v>
      </c>
      <c r="AD22" s="171">
        <v>0</v>
      </c>
    </row>
    <row r="23" spans="1:30">
      <c r="A23" s="167" t="s">
        <v>191</v>
      </c>
      <c r="B23" s="167">
        <v>0</v>
      </c>
      <c r="C23" s="175">
        <v>0</v>
      </c>
      <c r="D23" s="167"/>
      <c r="E23" s="175">
        <v>0</v>
      </c>
      <c r="F23" s="167" t="s">
        <v>191</v>
      </c>
      <c r="G23" s="167">
        <v>0</v>
      </c>
      <c r="H23" s="175">
        <v>0</v>
      </c>
      <c r="I23" s="167"/>
      <c r="J23" s="175">
        <v>0</v>
      </c>
      <c r="K23" s="167">
        <v>0</v>
      </c>
      <c r="L23" s="175">
        <v>0</v>
      </c>
      <c r="M23" s="167"/>
      <c r="N23" s="175">
        <v>0</v>
      </c>
      <c r="O23" s="167">
        <f>SUM(O18:O22)</f>
        <v>19</v>
      </c>
      <c r="P23" s="175">
        <f>SUM(P18:P22)</f>
        <v>9198728.9000000004</v>
      </c>
      <c r="Q23" s="167"/>
      <c r="R23" s="175">
        <f>SUM(R18:R22)</f>
        <v>2405628.5459000003</v>
      </c>
      <c r="S23" s="167">
        <v>0</v>
      </c>
      <c r="T23" s="175">
        <v>0</v>
      </c>
      <c r="U23" s="167"/>
      <c r="V23" s="175">
        <v>0</v>
      </c>
      <c r="W23" s="167">
        <v>0</v>
      </c>
      <c r="X23" s="175">
        <v>0</v>
      </c>
      <c r="Y23" s="167"/>
      <c r="Z23" s="175">
        <v>0</v>
      </c>
      <c r="AA23" s="167">
        <v>0</v>
      </c>
      <c r="AB23" s="175">
        <v>0</v>
      </c>
      <c r="AC23" s="167"/>
      <c r="AD23" s="175">
        <v>0</v>
      </c>
    </row>
    <row r="24" spans="1:30">
      <c r="A24" s="167" t="s">
        <v>193</v>
      </c>
      <c r="B24" s="167">
        <v>0</v>
      </c>
      <c r="C24" s="175">
        <v>901282184.47000074</v>
      </c>
      <c r="D24" s="167"/>
      <c r="E24" s="175">
        <v>68570305.671512619</v>
      </c>
      <c r="F24" s="167" t="s">
        <v>193</v>
      </c>
      <c r="G24" s="167">
        <v>0</v>
      </c>
      <c r="H24" s="175">
        <v>901282184.47000074</v>
      </c>
      <c r="I24" s="167"/>
      <c r="J24" s="175">
        <v>68570305.671512619</v>
      </c>
      <c r="K24" s="167">
        <v>0</v>
      </c>
      <c r="L24" s="175">
        <f>L23+L16</f>
        <v>422681669.00000006</v>
      </c>
      <c r="M24" s="167"/>
      <c r="N24" s="175">
        <f>N23+N16</f>
        <v>24200976.459600002</v>
      </c>
      <c r="O24" s="174">
        <f>O16+O23</f>
        <v>3509</v>
      </c>
      <c r="P24" s="175">
        <f>P23+P16</f>
        <v>445867317.08999997</v>
      </c>
      <c r="Q24" s="167"/>
      <c r="R24" s="175">
        <f>R23+R16</f>
        <v>27272767.415200002</v>
      </c>
      <c r="S24" s="167">
        <v>0</v>
      </c>
      <c r="T24" s="175">
        <f>T23+T16</f>
        <v>439687231.04000008</v>
      </c>
      <c r="U24" s="167"/>
      <c r="V24" s="175">
        <f>V23+V16</f>
        <v>25222748.8367</v>
      </c>
      <c r="W24" s="167">
        <v>0</v>
      </c>
      <c r="X24" s="175">
        <f>X23+X16</f>
        <v>447232602.28000009</v>
      </c>
      <c r="Y24" s="167"/>
      <c r="Z24" s="175">
        <f>Z23+Z16</f>
        <v>24233641.844299998</v>
      </c>
      <c r="AA24" s="167">
        <v>0</v>
      </c>
      <c r="AB24" s="175">
        <f>AB23+AB16</f>
        <v>451176542.76000005</v>
      </c>
      <c r="AC24" s="167"/>
      <c r="AD24" s="175">
        <f>AD23+AD16</f>
        <v>24476843.387999997</v>
      </c>
    </row>
    <row r="25" spans="1:30">
      <c r="G25" s="163" t="s">
        <v>194</v>
      </c>
      <c r="H25" s="177">
        <f>SUM(H13:H15)</f>
        <v>24844244.5</v>
      </c>
      <c r="K25" s="163" t="s">
        <v>194</v>
      </c>
      <c r="L25" s="177">
        <f>SUM(L13:L15)</f>
        <v>24355701.18</v>
      </c>
      <c r="O25" s="163" t="s">
        <v>194</v>
      </c>
      <c r="P25" s="177">
        <f>SUM(P13:P15)+P20+P21</f>
        <v>28236232.159999996</v>
      </c>
      <c r="S25" s="163" t="s">
        <v>194</v>
      </c>
      <c r="T25" s="177">
        <f>SUM(T13:T15)</f>
        <v>24471360.52</v>
      </c>
      <c r="W25" s="163" t="s">
        <v>194</v>
      </c>
      <c r="X25" s="177">
        <f>SUM(X13:X15)</f>
        <v>22810623</v>
      </c>
      <c r="AA25" s="163" t="s">
        <v>194</v>
      </c>
      <c r="AB25" s="177">
        <f>SUM(AB13:AB15)</f>
        <v>23014992.949999999</v>
      </c>
    </row>
    <row r="26" spans="1:30">
      <c r="B26" s="163" t="s">
        <v>195</v>
      </c>
      <c r="C26" s="164">
        <f>SUM(C13:C15)</f>
        <v>31713435.699999999</v>
      </c>
      <c r="H26" s="178">
        <f>H25/H16</f>
        <v>6.0687591772483972E-2</v>
      </c>
      <c r="L26" s="178">
        <f>L25/L16</f>
        <v>5.7621853433156567E-2</v>
      </c>
      <c r="P26" s="179">
        <f>P25/P16</f>
        <v>6.466284253932654E-2</v>
      </c>
      <c r="T26" s="178">
        <f>T25/T16</f>
        <v>5.5656291091550354E-2</v>
      </c>
      <c r="X26" s="178">
        <f>X25/X16</f>
        <v>5.100393594677808E-2</v>
      </c>
      <c r="AB26" s="178">
        <f>AB25/AB16</f>
        <v>5.101105835247878E-2</v>
      </c>
    </row>
    <row r="27" spans="1:30">
      <c r="C27" s="180">
        <f>C26/C24</f>
        <v>3.518702160816492E-2</v>
      </c>
    </row>
  </sheetData>
  <mergeCells count="13">
    <mergeCell ref="AA9:AD9"/>
    <mergeCell ref="AA17:AD17"/>
    <mergeCell ref="O9:R9"/>
    <mergeCell ref="O17:R17"/>
    <mergeCell ref="S9:V9"/>
    <mergeCell ref="S17:V17"/>
    <mergeCell ref="W9:Z9"/>
    <mergeCell ref="W17:Z17"/>
    <mergeCell ref="B9:E9"/>
    <mergeCell ref="G9:J9"/>
    <mergeCell ref="F17:J17"/>
    <mergeCell ref="K9:N9"/>
    <mergeCell ref="K17:N1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643A-8F88-4357-BF54-6575D8D5F417}">
  <sheetPr>
    <pageSetUpPr fitToPage="1"/>
  </sheetPr>
  <dimension ref="A1:AC58"/>
  <sheetViews>
    <sheetView zoomScale="90" zoomScaleNormal="90" workbookViewId="0">
      <pane xSplit="1" ySplit="4" topLeftCell="J5" activePane="bottomRight" state="frozen"/>
      <selection pane="bottomRight" activeCell="X22" sqref="X22"/>
      <selection pane="bottomLeft" activeCell="A5" sqref="A5"/>
      <selection pane="topRight" activeCell="B1" sqref="B1"/>
    </sheetView>
  </sheetViews>
  <sheetFormatPr defaultRowHeight="11.45"/>
  <cols>
    <col min="1" max="1" width="35.140625" style="181" customWidth="1"/>
    <col min="2" max="2" width="9.28515625" style="216" customWidth="1"/>
    <col min="3" max="4" width="13.28515625" style="181" bestFit="1" customWidth="1"/>
    <col min="5" max="6" width="13.28515625" style="181" hidden="1" customWidth="1"/>
    <col min="7" max="7" width="13.28515625" style="181" bestFit="1" customWidth="1"/>
    <col min="8" max="9" width="13.28515625" style="181" hidden="1" customWidth="1"/>
    <col min="10" max="10" width="13.28515625" style="181" bestFit="1" customWidth="1"/>
    <col min="11" max="12" width="13.28515625" style="181" hidden="1" customWidth="1"/>
    <col min="13" max="13" width="13.28515625" style="181" bestFit="1" customWidth="1"/>
    <col min="14" max="15" width="13.28515625" style="181" hidden="1" customWidth="1"/>
    <col min="16" max="19" width="13.5703125" style="181" bestFit="1" customWidth="1"/>
    <col min="20" max="23" width="14.140625" style="181" bestFit="1" customWidth="1"/>
    <col min="24" max="254" width="8.85546875" style="181"/>
    <col min="255" max="255" width="39.28515625" style="181" bestFit="1" customWidth="1"/>
    <col min="256" max="256" width="15.140625" style="181" customWidth="1"/>
    <col min="257" max="257" width="12.7109375" style="181" bestFit="1" customWidth="1"/>
    <col min="258" max="258" width="27.28515625" style="181" bestFit="1" customWidth="1"/>
    <col min="259" max="259" width="14.28515625" style="181" bestFit="1" customWidth="1"/>
    <col min="260" max="260" width="8.85546875" style="181"/>
    <col min="261" max="261" width="13.7109375" style="181" bestFit="1" customWidth="1"/>
    <col min="262" max="510" width="8.85546875" style="181"/>
    <col min="511" max="511" width="39.28515625" style="181" bestFit="1" customWidth="1"/>
    <col min="512" max="512" width="15.140625" style="181" customWidth="1"/>
    <col min="513" max="513" width="12.7109375" style="181" bestFit="1" customWidth="1"/>
    <col min="514" max="514" width="27.28515625" style="181" bestFit="1" customWidth="1"/>
    <col min="515" max="515" width="14.28515625" style="181" bestFit="1" customWidth="1"/>
    <col min="516" max="516" width="8.85546875" style="181"/>
    <col min="517" max="517" width="13.7109375" style="181" bestFit="1" customWidth="1"/>
    <col min="518" max="766" width="8.85546875" style="181"/>
    <col min="767" max="767" width="39.28515625" style="181" bestFit="1" customWidth="1"/>
    <col min="768" max="768" width="15.140625" style="181" customWidth="1"/>
    <col min="769" max="769" width="12.7109375" style="181" bestFit="1" customWidth="1"/>
    <col min="770" max="770" width="27.28515625" style="181" bestFit="1" customWidth="1"/>
    <col min="771" max="771" width="14.28515625" style="181" bestFit="1" customWidth="1"/>
    <col min="772" max="772" width="8.85546875" style="181"/>
    <col min="773" max="773" width="13.7109375" style="181" bestFit="1" customWidth="1"/>
    <col min="774" max="1022" width="8.85546875" style="181"/>
    <col min="1023" max="1023" width="39.28515625" style="181" bestFit="1" customWidth="1"/>
    <col min="1024" max="1024" width="15.140625" style="181" customWidth="1"/>
    <col min="1025" max="1025" width="12.7109375" style="181" bestFit="1" customWidth="1"/>
    <col min="1026" max="1026" width="27.28515625" style="181" bestFit="1" customWidth="1"/>
    <col min="1027" max="1027" width="14.28515625" style="181" bestFit="1" customWidth="1"/>
    <col min="1028" max="1028" width="8.85546875" style="181"/>
    <col min="1029" max="1029" width="13.7109375" style="181" bestFit="1" customWidth="1"/>
    <col min="1030" max="1278" width="8.85546875" style="181"/>
    <col min="1279" max="1279" width="39.28515625" style="181" bestFit="1" customWidth="1"/>
    <col min="1280" max="1280" width="15.140625" style="181" customWidth="1"/>
    <col min="1281" max="1281" width="12.7109375" style="181" bestFit="1" customWidth="1"/>
    <col min="1282" max="1282" width="27.28515625" style="181" bestFit="1" customWidth="1"/>
    <col min="1283" max="1283" width="14.28515625" style="181" bestFit="1" customWidth="1"/>
    <col min="1284" max="1284" width="8.85546875" style="181"/>
    <col min="1285" max="1285" width="13.7109375" style="181" bestFit="1" customWidth="1"/>
    <col min="1286" max="1534" width="8.85546875" style="181"/>
    <col min="1535" max="1535" width="39.28515625" style="181" bestFit="1" customWidth="1"/>
    <col min="1536" max="1536" width="15.140625" style="181" customWidth="1"/>
    <col min="1537" max="1537" width="12.7109375" style="181" bestFit="1" customWidth="1"/>
    <col min="1538" max="1538" width="27.28515625" style="181" bestFit="1" customWidth="1"/>
    <col min="1539" max="1539" width="14.28515625" style="181" bestFit="1" customWidth="1"/>
    <col min="1540" max="1540" width="8.85546875" style="181"/>
    <col min="1541" max="1541" width="13.7109375" style="181" bestFit="1" customWidth="1"/>
    <col min="1542" max="1790" width="8.85546875" style="181"/>
    <col min="1791" max="1791" width="39.28515625" style="181" bestFit="1" customWidth="1"/>
    <col min="1792" max="1792" width="15.140625" style="181" customWidth="1"/>
    <col min="1793" max="1793" width="12.7109375" style="181" bestFit="1" customWidth="1"/>
    <col min="1794" max="1794" width="27.28515625" style="181" bestFit="1" customWidth="1"/>
    <col min="1795" max="1795" width="14.28515625" style="181" bestFit="1" customWidth="1"/>
    <col min="1796" max="1796" width="8.85546875" style="181"/>
    <col min="1797" max="1797" width="13.7109375" style="181" bestFit="1" customWidth="1"/>
    <col min="1798" max="2046" width="8.85546875" style="181"/>
    <col min="2047" max="2047" width="39.28515625" style="181" bestFit="1" customWidth="1"/>
    <col min="2048" max="2048" width="15.140625" style="181" customWidth="1"/>
    <col min="2049" max="2049" width="12.7109375" style="181" bestFit="1" customWidth="1"/>
    <col min="2050" max="2050" width="27.28515625" style="181" bestFit="1" customWidth="1"/>
    <col min="2051" max="2051" width="14.28515625" style="181" bestFit="1" customWidth="1"/>
    <col min="2052" max="2052" width="8.85546875" style="181"/>
    <col min="2053" max="2053" width="13.7109375" style="181" bestFit="1" customWidth="1"/>
    <col min="2054" max="2302" width="8.85546875" style="181"/>
    <col min="2303" max="2303" width="39.28515625" style="181" bestFit="1" customWidth="1"/>
    <col min="2304" max="2304" width="15.140625" style="181" customWidth="1"/>
    <col min="2305" max="2305" width="12.7109375" style="181" bestFit="1" customWidth="1"/>
    <col min="2306" max="2306" width="27.28515625" style="181" bestFit="1" customWidth="1"/>
    <col min="2307" max="2307" width="14.28515625" style="181" bestFit="1" customWidth="1"/>
    <col min="2308" max="2308" width="8.85546875" style="181"/>
    <col min="2309" max="2309" width="13.7109375" style="181" bestFit="1" customWidth="1"/>
    <col min="2310" max="2558" width="8.85546875" style="181"/>
    <col min="2559" max="2559" width="39.28515625" style="181" bestFit="1" customWidth="1"/>
    <col min="2560" max="2560" width="15.140625" style="181" customWidth="1"/>
    <col min="2561" max="2561" width="12.7109375" style="181" bestFit="1" customWidth="1"/>
    <col min="2562" max="2562" width="27.28515625" style="181" bestFit="1" customWidth="1"/>
    <col min="2563" max="2563" width="14.28515625" style="181" bestFit="1" customWidth="1"/>
    <col min="2564" max="2564" width="8.85546875" style="181"/>
    <col min="2565" max="2565" width="13.7109375" style="181" bestFit="1" customWidth="1"/>
    <col min="2566" max="2814" width="8.85546875" style="181"/>
    <col min="2815" max="2815" width="39.28515625" style="181" bestFit="1" customWidth="1"/>
    <col min="2816" max="2816" width="15.140625" style="181" customWidth="1"/>
    <col min="2817" max="2817" width="12.7109375" style="181" bestFit="1" customWidth="1"/>
    <col min="2818" max="2818" width="27.28515625" style="181" bestFit="1" customWidth="1"/>
    <col min="2819" max="2819" width="14.28515625" style="181" bestFit="1" customWidth="1"/>
    <col min="2820" max="2820" width="8.85546875" style="181"/>
    <col min="2821" max="2821" width="13.7109375" style="181" bestFit="1" customWidth="1"/>
    <col min="2822" max="3070" width="8.85546875" style="181"/>
    <col min="3071" max="3071" width="39.28515625" style="181" bestFit="1" customWidth="1"/>
    <col min="3072" max="3072" width="15.140625" style="181" customWidth="1"/>
    <col min="3073" max="3073" width="12.7109375" style="181" bestFit="1" customWidth="1"/>
    <col min="3074" max="3074" width="27.28515625" style="181" bestFit="1" customWidth="1"/>
    <col min="3075" max="3075" width="14.28515625" style="181" bestFit="1" customWidth="1"/>
    <col min="3076" max="3076" width="8.85546875" style="181"/>
    <col min="3077" max="3077" width="13.7109375" style="181" bestFit="1" customWidth="1"/>
    <col min="3078" max="3326" width="8.85546875" style="181"/>
    <col min="3327" max="3327" width="39.28515625" style="181" bestFit="1" customWidth="1"/>
    <col min="3328" max="3328" width="15.140625" style="181" customWidth="1"/>
    <col min="3329" max="3329" width="12.7109375" style="181" bestFit="1" customWidth="1"/>
    <col min="3330" max="3330" width="27.28515625" style="181" bestFit="1" customWidth="1"/>
    <col min="3331" max="3331" width="14.28515625" style="181" bestFit="1" customWidth="1"/>
    <col min="3332" max="3332" width="8.85546875" style="181"/>
    <col min="3333" max="3333" width="13.7109375" style="181" bestFit="1" customWidth="1"/>
    <col min="3334" max="3582" width="8.85546875" style="181"/>
    <col min="3583" max="3583" width="39.28515625" style="181" bestFit="1" customWidth="1"/>
    <col min="3584" max="3584" width="15.140625" style="181" customWidth="1"/>
    <col min="3585" max="3585" width="12.7109375" style="181" bestFit="1" customWidth="1"/>
    <col min="3586" max="3586" width="27.28515625" style="181" bestFit="1" customWidth="1"/>
    <col min="3587" max="3587" width="14.28515625" style="181" bestFit="1" customWidth="1"/>
    <col min="3588" max="3588" width="8.85546875" style="181"/>
    <col min="3589" max="3589" width="13.7109375" style="181" bestFit="1" customWidth="1"/>
    <col min="3590" max="3838" width="8.85546875" style="181"/>
    <col min="3839" max="3839" width="39.28515625" style="181" bestFit="1" customWidth="1"/>
    <col min="3840" max="3840" width="15.140625" style="181" customWidth="1"/>
    <col min="3841" max="3841" width="12.7109375" style="181" bestFit="1" customWidth="1"/>
    <col min="3842" max="3842" width="27.28515625" style="181" bestFit="1" customWidth="1"/>
    <col min="3843" max="3843" width="14.28515625" style="181" bestFit="1" customWidth="1"/>
    <col min="3844" max="3844" width="8.85546875" style="181"/>
    <col min="3845" max="3845" width="13.7109375" style="181" bestFit="1" customWidth="1"/>
    <col min="3846" max="4094" width="8.85546875" style="181"/>
    <col min="4095" max="4095" width="39.28515625" style="181" bestFit="1" customWidth="1"/>
    <col min="4096" max="4096" width="15.140625" style="181" customWidth="1"/>
    <col min="4097" max="4097" width="12.7109375" style="181" bestFit="1" customWidth="1"/>
    <col min="4098" max="4098" width="27.28515625" style="181" bestFit="1" customWidth="1"/>
    <col min="4099" max="4099" width="14.28515625" style="181" bestFit="1" customWidth="1"/>
    <col min="4100" max="4100" width="8.85546875" style="181"/>
    <col min="4101" max="4101" width="13.7109375" style="181" bestFit="1" customWidth="1"/>
    <col min="4102" max="4350" width="8.85546875" style="181"/>
    <col min="4351" max="4351" width="39.28515625" style="181" bestFit="1" customWidth="1"/>
    <col min="4352" max="4352" width="15.140625" style="181" customWidth="1"/>
    <col min="4353" max="4353" width="12.7109375" style="181" bestFit="1" customWidth="1"/>
    <col min="4354" max="4354" width="27.28515625" style="181" bestFit="1" customWidth="1"/>
    <col min="4355" max="4355" width="14.28515625" style="181" bestFit="1" customWidth="1"/>
    <col min="4356" max="4356" width="8.85546875" style="181"/>
    <col min="4357" max="4357" width="13.7109375" style="181" bestFit="1" customWidth="1"/>
    <col min="4358" max="4606" width="8.85546875" style="181"/>
    <col min="4607" max="4607" width="39.28515625" style="181" bestFit="1" customWidth="1"/>
    <col min="4608" max="4608" width="15.140625" style="181" customWidth="1"/>
    <col min="4609" max="4609" width="12.7109375" style="181" bestFit="1" customWidth="1"/>
    <col min="4610" max="4610" width="27.28515625" style="181" bestFit="1" customWidth="1"/>
    <col min="4611" max="4611" width="14.28515625" style="181" bestFit="1" customWidth="1"/>
    <col min="4612" max="4612" width="8.85546875" style="181"/>
    <col min="4613" max="4613" width="13.7109375" style="181" bestFit="1" customWidth="1"/>
    <col min="4614" max="4862" width="8.85546875" style="181"/>
    <col min="4863" max="4863" width="39.28515625" style="181" bestFit="1" customWidth="1"/>
    <col min="4864" max="4864" width="15.140625" style="181" customWidth="1"/>
    <col min="4865" max="4865" width="12.7109375" style="181" bestFit="1" customWidth="1"/>
    <col min="4866" max="4866" width="27.28515625" style="181" bestFit="1" customWidth="1"/>
    <col min="4867" max="4867" width="14.28515625" style="181" bestFit="1" customWidth="1"/>
    <col min="4868" max="4868" width="8.85546875" style="181"/>
    <col min="4869" max="4869" width="13.7109375" style="181" bestFit="1" customWidth="1"/>
    <col min="4870" max="5118" width="8.85546875" style="181"/>
    <col min="5119" max="5119" width="39.28515625" style="181" bestFit="1" customWidth="1"/>
    <col min="5120" max="5120" width="15.140625" style="181" customWidth="1"/>
    <col min="5121" max="5121" width="12.7109375" style="181" bestFit="1" customWidth="1"/>
    <col min="5122" max="5122" width="27.28515625" style="181" bestFit="1" customWidth="1"/>
    <col min="5123" max="5123" width="14.28515625" style="181" bestFit="1" customWidth="1"/>
    <col min="5124" max="5124" width="8.85546875" style="181"/>
    <col min="5125" max="5125" width="13.7109375" style="181" bestFit="1" customWidth="1"/>
    <col min="5126" max="5374" width="8.85546875" style="181"/>
    <col min="5375" max="5375" width="39.28515625" style="181" bestFit="1" customWidth="1"/>
    <col min="5376" max="5376" width="15.140625" style="181" customWidth="1"/>
    <col min="5377" max="5377" width="12.7109375" style="181" bestFit="1" customWidth="1"/>
    <col min="5378" max="5378" width="27.28515625" style="181" bestFit="1" customWidth="1"/>
    <col min="5379" max="5379" width="14.28515625" style="181" bestFit="1" customWidth="1"/>
    <col min="5380" max="5380" width="8.85546875" style="181"/>
    <col min="5381" max="5381" width="13.7109375" style="181" bestFit="1" customWidth="1"/>
    <col min="5382" max="5630" width="8.85546875" style="181"/>
    <col min="5631" max="5631" width="39.28515625" style="181" bestFit="1" customWidth="1"/>
    <col min="5632" max="5632" width="15.140625" style="181" customWidth="1"/>
    <col min="5633" max="5633" width="12.7109375" style="181" bestFit="1" customWidth="1"/>
    <col min="5634" max="5634" width="27.28515625" style="181" bestFit="1" customWidth="1"/>
    <col min="5635" max="5635" width="14.28515625" style="181" bestFit="1" customWidth="1"/>
    <col min="5636" max="5636" width="8.85546875" style="181"/>
    <col min="5637" max="5637" width="13.7109375" style="181" bestFit="1" customWidth="1"/>
    <col min="5638" max="5886" width="8.85546875" style="181"/>
    <col min="5887" max="5887" width="39.28515625" style="181" bestFit="1" customWidth="1"/>
    <col min="5888" max="5888" width="15.140625" style="181" customWidth="1"/>
    <col min="5889" max="5889" width="12.7109375" style="181" bestFit="1" customWidth="1"/>
    <col min="5890" max="5890" width="27.28515625" style="181" bestFit="1" customWidth="1"/>
    <col min="5891" max="5891" width="14.28515625" style="181" bestFit="1" customWidth="1"/>
    <col min="5892" max="5892" width="8.85546875" style="181"/>
    <col min="5893" max="5893" width="13.7109375" style="181" bestFit="1" customWidth="1"/>
    <col min="5894" max="6142" width="8.85546875" style="181"/>
    <col min="6143" max="6143" width="39.28515625" style="181" bestFit="1" customWidth="1"/>
    <col min="6144" max="6144" width="15.140625" style="181" customWidth="1"/>
    <col min="6145" max="6145" width="12.7109375" style="181" bestFit="1" customWidth="1"/>
    <col min="6146" max="6146" width="27.28515625" style="181" bestFit="1" customWidth="1"/>
    <col min="6147" max="6147" width="14.28515625" style="181" bestFit="1" customWidth="1"/>
    <col min="6148" max="6148" width="8.85546875" style="181"/>
    <col min="6149" max="6149" width="13.7109375" style="181" bestFit="1" customWidth="1"/>
    <col min="6150" max="6398" width="8.85546875" style="181"/>
    <col min="6399" max="6399" width="39.28515625" style="181" bestFit="1" customWidth="1"/>
    <col min="6400" max="6400" width="15.140625" style="181" customWidth="1"/>
    <col min="6401" max="6401" width="12.7109375" style="181" bestFit="1" customWidth="1"/>
    <col min="6402" max="6402" width="27.28515625" style="181" bestFit="1" customWidth="1"/>
    <col min="6403" max="6403" width="14.28515625" style="181" bestFit="1" customWidth="1"/>
    <col min="6404" max="6404" width="8.85546875" style="181"/>
    <col min="6405" max="6405" width="13.7109375" style="181" bestFit="1" customWidth="1"/>
    <col min="6406" max="6654" width="8.85546875" style="181"/>
    <col min="6655" max="6655" width="39.28515625" style="181" bestFit="1" customWidth="1"/>
    <col min="6656" max="6656" width="15.140625" style="181" customWidth="1"/>
    <col min="6657" max="6657" width="12.7109375" style="181" bestFit="1" customWidth="1"/>
    <col min="6658" max="6658" width="27.28515625" style="181" bestFit="1" customWidth="1"/>
    <col min="6659" max="6659" width="14.28515625" style="181" bestFit="1" customWidth="1"/>
    <col min="6660" max="6660" width="8.85546875" style="181"/>
    <col min="6661" max="6661" width="13.7109375" style="181" bestFit="1" customWidth="1"/>
    <col min="6662" max="6910" width="8.85546875" style="181"/>
    <col min="6911" max="6911" width="39.28515625" style="181" bestFit="1" customWidth="1"/>
    <col min="6912" max="6912" width="15.140625" style="181" customWidth="1"/>
    <col min="6913" max="6913" width="12.7109375" style="181" bestFit="1" customWidth="1"/>
    <col min="6914" max="6914" width="27.28515625" style="181" bestFit="1" customWidth="1"/>
    <col min="6915" max="6915" width="14.28515625" style="181" bestFit="1" customWidth="1"/>
    <col min="6916" max="6916" width="8.85546875" style="181"/>
    <col min="6917" max="6917" width="13.7109375" style="181" bestFit="1" customWidth="1"/>
    <col min="6918" max="7166" width="8.85546875" style="181"/>
    <col min="7167" max="7167" width="39.28515625" style="181" bestFit="1" customWidth="1"/>
    <col min="7168" max="7168" width="15.140625" style="181" customWidth="1"/>
    <col min="7169" max="7169" width="12.7109375" style="181" bestFit="1" customWidth="1"/>
    <col min="7170" max="7170" width="27.28515625" style="181" bestFit="1" customWidth="1"/>
    <col min="7171" max="7171" width="14.28515625" style="181" bestFit="1" customWidth="1"/>
    <col min="7172" max="7172" width="8.85546875" style="181"/>
    <col min="7173" max="7173" width="13.7109375" style="181" bestFit="1" customWidth="1"/>
    <col min="7174" max="7422" width="8.85546875" style="181"/>
    <col min="7423" max="7423" width="39.28515625" style="181" bestFit="1" customWidth="1"/>
    <col min="7424" max="7424" width="15.140625" style="181" customWidth="1"/>
    <col min="7425" max="7425" width="12.7109375" style="181" bestFit="1" customWidth="1"/>
    <col min="7426" max="7426" width="27.28515625" style="181" bestFit="1" customWidth="1"/>
    <col min="7427" max="7427" width="14.28515625" style="181" bestFit="1" customWidth="1"/>
    <col min="7428" max="7428" width="8.85546875" style="181"/>
    <col min="7429" max="7429" width="13.7109375" style="181" bestFit="1" customWidth="1"/>
    <col min="7430" max="7678" width="8.85546875" style="181"/>
    <col min="7679" max="7679" width="39.28515625" style="181" bestFit="1" customWidth="1"/>
    <col min="7680" max="7680" width="15.140625" style="181" customWidth="1"/>
    <col min="7681" max="7681" width="12.7109375" style="181" bestFit="1" customWidth="1"/>
    <col min="7682" max="7682" width="27.28515625" style="181" bestFit="1" customWidth="1"/>
    <col min="7683" max="7683" width="14.28515625" style="181" bestFit="1" customWidth="1"/>
    <col min="7684" max="7684" width="8.85546875" style="181"/>
    <col min="7685" max="7685" width="13.7109375" style="181" bestFit="1" customWidth="1"/>
    <col min="7686" max="7934" width="8.85546875" style="181"/>
    <col min="7935" max="7935" width="39.28515625" style="181" bestFit="1" customWidth="1"/>
    <col min="7936" max="7936" width="15.140625" style="181" customWidth="1"/>
    <col min="7937" max="7937" width="12.7109375" style="181" bestFit="1" customWidth="1"/>
    <col min="7938" max="7938" width="27.28515625" style="181" bestFit="1" customWidth="1"/>
    <col min="7939" max="7939" width="14.28515625" style="181" bestFit="1" customWidth="1"/>
    <col min="7940" max="7940" width="8.85546875" style="181"/>
    <col min="7941" max="7941" width="13.7109375" style="181" bestFit="1" customWidth="1"/>
    <col min="7942" max="8190" width="8.85546875" style="181"/>
    <col min="8191" max="8191" width="39.28515625" style="181" bestFit="1" customWidth="1"/>
    <col min="8192" max="8192" width="15.140625" style="181" customWidth="1"/>
    <col min="8193" max="8193" width="12.7109375" style="181" bestFit="1" customWidth="1"/>
    <col min="8194" max="8194" width="27.28515625" style="181" bestFit="1" customWidth="1"/>
    <col min="8195" max="8195" width="14.28515625" style="181" bestFit="1" customWidth="1"/>
    <col min="8196" max="8196" width="8.85546875" style="181"/>
    <col min="8197" max="8197" width="13.7109375" style="181" bestFit="1" customWidth="1"/>
    <col min="8198" max="8446" width="8.85546875" style="181"/>
    <col min="8447" max="8447" width="39.28515625" style="181" bestFit="1" customWidth="1"/>
    <col min="8448" max="8448" width="15.140625" style="181" customWidth="1"/>
    <col min="8449" max="8449" width="12.7109375" style="181" bestFit="1" customWidth="1"/>
    <col min="8450" max="8450" width="27.28515625" style="181" bestFit="1" customWidth="1"/>
    <col min="8451" max="8451" width="14.28515625" style="181" bestFit="1" customWidth="1"/>
    <col min="8452" max="8452" width="8.85546875" style="181"/>
    <col min="8453" max="8453" width="13.7109375" style="181" bestFit="1" customWidth="1"/>
    <col min="8454" max="8702" width="8.85546875" style="181"/>
    <col min="8703" max="8703" width="39.28515625" style="181" bestFit="1" customWidth="1"/>
    <col min="8704" max="8704" width="15.140625" style="181" customWidth="1"/>
    <col min="8705" max="8705" width="12.7109375" style="181" bestFit="1" customWidth="1"/>
    <col min="8706" max="8706" width="27.28515625" style="181" bestFit="1" customWidth="1"/>
    <col min="8707" max="8707" width="14.28515625" style="181" bestFit="1" customWidth="1"/>
    <col min="8708" max="8708" width="8.85546875" style="181"/>
    <col min="8709" max="8709" width="13.7109375" style="181" bestFit="1" customWidth="1"/>
    <col min="8710" max="8958" width="8.85546875" style="181"/>
    <col min="8959" max="8959" width="39.28515625" style="181" bestFit="1" customWidth="1"/>
    <col min="8960" max="8960" width="15.140625" style="181" customWidth="1"/>
    <col min="8961" max="8961" width="12.7109375" style="181" bestFit="1" customWidth="1"/>
    <col min="8962" max="8962" width="27.28515625" style="181" bestFit="1" customWidth="1"/>
    <col min="8963" max="8963" width="14.28515625" style="181" bestFit="1" customWidth="1"/>
    <col min="8964" max="8964" width="8.85546875" style="181"/>
    <col min="8965" max="8965" width="13.7109375" style="181" bestFit="1" customWidth="1"/>
    <col min="8966" max="9214" width="8.85546875" style="181"/>
    <col min="9215" max="9215" width="39.28515625" style="181" bestFit="1" customWidth="1"/>
    <col min="9216" max="9216" width="15.140625" style="181" customWidth="1"/>
    <col min="9217" max="9217" width="12.7109375" style="181" bestFit="1" customWidth="1"/>
    <col min="9218" max="9218" width="27.28515625" style="181" bestFit="1" customWidth="1"/>
    <col min="9219" max="9219" width="14.28515625" style="181" bestFit="1" customWidth="1"/>
    <col min="9220" max="9220" width="8.85546875" style="181"/>
    <col min="9221" max="9221" width="13.7109375" style="181" bestFit="1" customWidth="1"/>
    <col min="9222" max="9470" width="8.85546875" style="181"/>
    <col min="9471" max="9471" width="39.28515625" style="181" bestFit="1" customWidth="1"/>
    <col min="9472" max="9472" width="15.140625" style="181" customWidth="1"/>
    <col min="9473" max="9473" width="12.7109375" style="181" bestFit="1" customWidth="1"/>
    <col min="9474" max="9474" width="27.28515625" style="181" bestFit="1" customWidth="1"/>
    <col min="9475" max="9475" width="14.28515625" style="181" bestFit="1" customWidth="1"/>
    <col min="9476" max="9476" width="8.85546875" style="181"/>
    <col min="9477" max="9477" width="13.7109375" style="181" bestFit="1" customWidth="1"/>
    <col min="9478" max="9726" width="8.85546875" style="181"/>
    <col min="9727" max="9727" width="39.28515625" style="181" bestFit="1" customWidth="1"/>
    <col min="9728" max="9728" width="15.140625" style="181" customWidth="1"/>
    <col min="9729" max="9729" width="12.7109375" style="181" bestFit="1" customWidth="1"/>
    <col min="9730" max="9730" width="27.28515625" style="181" bestFit="1" customWidth="1"/>
    <col min="9731" max="9731" width="14.28515625" style="181" bestFit="1" customWidth="1"/>
    <col min="9732" max="9732" width="8.85546875" style="181"/>
    <col min="9733" max="9733" width="13.7109375" style="181" bestFit="1" customWidth="1"/>
    <col min="9734" max="9982" width="8.85546875" style="181"/>
    <col min="9983" max="9983" width="39.28515625" style="181" bestFit="1" customWidth="1"/>
    <col min="9984" max="9984" width="15.140625" style="181" customWidth="1"/>
    <col min="9985" max="9985" width="12.7109375" style="181" bestFit="1" customWidth="1"/>
    <col min="9986" max="9986" width="27.28515625" style="181" bestFit="1" customWidth="1"/>
    <col min="9987" max="9987" width="14.28515625" style="181" bestFit="1" customWidth="1"/>
    <col min="9988" max="9988" width="8.85546875" style="181"/>
    <col min="9989" max="9989" width="13.7109375" style="181" bestFit="1" customWidth="1"/>
    <col min="9990" max="10238" width="8.85546875" style="181"/>
    <col min="10239" max="10239" width="39.28515625" style="181" bestFit="1" customWidth="1"/>
    <col min="10240" max="10240" width="15.140625" style="181" customWidth="1"/>
    <col min="10241" max="10241" width="12.7109375" style="181" bestFit="1" customWidth="1"/>
    <col min="10242" max="10242" width="27.28515625" style="181" bestFit="1" customWidth="1"/>
    <col min="10243" max="10243" width="14.28515625" style="181" bestFit="1" customWidth="1"/>
    <col min="10244" max="10244" width="8.85546875" style="181"/>
    <col min="10245" max="10245" width="13.7109375" style="181" bestFit="1" customWidth="1"/>
    <col min="10246" max="10494" width="8.85546875" style="181"/>
    <col min="10495" max="10495" width="39.28515625" style="181" bestFit="1" customWidth="1"/>
    <col min="10496" max="10496" width="15.140625" style="181" customWidth="1"/>
    <col min="10497" max="10497" width="12.7109375" style="181" bestFit="1" customWidth="1"/>
    <col min="10498" max="10498" width="27.28515625" style="181" bestFit="1" customWidth="1"/>
    <col min="10499" max="10499" width="14.28515625" style="181" bestFit="1" customWidth="1"/>
    <col min="10500" max="10500" width="8.85546875" style="181"/>
    <col min="10501" max="10501" width="13.7109375" style="181" bestFit="1" customWidth="1"/>
    <col min="10502" max="10750" width="8.85546875" style="181"/>
    <col min="10751" max="10751" width="39.28515625" style="181" bestFit="1" customWidth="1"/>
    <col min="10752" max="10752" width="15.140625" style="181" customWidth="1"/>
    <col min="10753" max="10753" width="12.7109375" style="181" bestFit="1" customWidth="1"/>
    <col min="10754" max="10754" width="27.28515625" style="181" bestFit="1" customWidth="1"/>
    <col min="10755" max="10755" width="14.28515625" style="181" bestFit="1" customWidth="1"/>
    <col min="10756" max="10756" width="8.85546875" style="181"/>
    <col min="10757" max="10757" width="13.7109375" style="181" bestFit="1" customWidth="1"/>
    <col min="10758" max="11006" width="8.85546875" style="181"/>
    <col min="11007" max="11007" width="39.28515625" style="181" bestFit="1" customWidth="1"/>
    <col min="11008" max="11008" width="15.140625" style="181" customWidth="1"/>
    <col min="11009" max="11009" width="12.7109375" style="181" bestFit="1" customWidth="1"/>
    <col min="11010" max="11010" width="27.28515625" style="181" bestFit="1" customWidth="1"/>
    <col min="11011" max="11011" width="14.28515625" style="181" bestFit="1" customWidth="1"/>
    <col min="11012" max="11012" width="8.85546875" style="181"/>
    <col min="11013" max="11013" width="13.7109375" style="181" bestFit="1" customWidth="1"/>
    <col min="11014" max="11262" width="8.85546875" style="181"/>
    <col min="11263" max="11263" width="39.28515625" style="181" bestFit="1" customWidth="1"/>
    <col min="11264" max="11264" width="15.140625" style="181" customWidth="1"/>
    <col min="11265" max="11265" width="12.7109375" style="181" bestFit="1" customWidth="1"/>
    <col min="11266" max="11266" width="27.28515625" style="181" bestFit="1" customWidth="1"/>
    <col min="11267" max="11267" width="14.28515625" style="181" bestFit="1" customWidth="1"/>
    <col min="11268" max="11268" width="8.85546875" style="181"/>
    <col min="11269" max="11269" width="13.7109375" style="181" bestFit="1" customWidth="1"/>
    <col min="11270" max="11518" width="8.85546875" style="181"/>
    <col min="11519" max="11519" width="39.28515625" style="181" bestFit="1" customWidth="1"/>
    <col min="11520" max="11520" width="15.140625" style="181" customWidth="1"/>
    <col min="11521" max="11521" width="12.7109375" style="181" bestFit="1" customWidth="1"/>
    <col min="11522" max="11522" width="27.28515625" style="181" bestFit="1" customWidth="1"/>
    <col min="11523" max="11523" width="14.28515625" style="181" bestFit="1" customWidth="1"/>
    <col min="11524" max="11524" width="8.85546875" style="181"/>
    <col min="11525" max="11525" width="13.7109375" style="181" bestFit="1" customWidth="1"/>
    <col min="11526" max="11774" width="8.85546875" style="181"/>
    <col min="11775" max="11775" width="39.28515625" style="181" bestFit="1" customWidth="1"/>
    <col min="11776" max="11776" width="15.140625" style="181" customWidth="1"/>
    <col min="11777" max="11777" width="12.7109375" style="181" bestFit="1" customWidth="1"/>
    <col min="11778" max="11778" width="27.28515625" style="181" bestFit="1" customWidth="1"/>
    <col min="11779" max="11779" width="14.28515625" style="181" bestFit="1" customWidth="1"/>
    <col min="11780" max="11780" width="8.85546875" style="181"/>
    <col min="11781" max="11781" width="13.7109375" style="181" bestFit="1" customWidth="1"/>
    <col min="11782" max="12030" width="8.85546875" style="181"/>
    <col min="12031" max="12031" width="39.28515625" style="181" bestFit="1" customWidth="1"/>
    <col min="12032" max="12032" width="15.140625" style="181" customWidth="1"/>
    <col min="12033" max="12033" width="12.7109375" style="181" bestFit="1" customWidth="1"/>
    <col min="12034" max="12034" width="27.28515625" style="181" bestFit="1" customWidth="1"/>
    <col min="12035" max="12035" width="14.28515625" style="181" bestFit="1" customWidth="1"/>
    <col min="12036" max="12036" width="8.85546875" style="181"/>
    <col min="12037" max="12037" width="13.7109375" style="181" bestFit="1" customWidth="1"/>
    <col min="12038" max="12286" width="8.85546875" style="181"/>
    <col min="12287" max="12287" width="39.28515625" style="181" bestFit="1" customWidth="1"/>
    <col min="12288" max="12288" width="15.140625" style="181" customWidth="1"/>
    <col min="12289" max="12289" width="12.7109375" style="181" bestFit="1" customWidth="1"/>
    <col min="12290" max="12290" width="27.28515625" style="181" bestFit="1" customWidth="1"/>
    <col min="12291" max="12291" width="14.28515625" style="181" bestFit="1" customWidth="1"/>
    <col min="12292" max="12292" width="8.85546875" style="181"/>
    <col min="12293" max="12293" width="13.7109375" style="181" bestFit="1" customWidth="1"/>
    <col min="12294" max="12542" width="8.85546875" style="181"/>
    <col min="12543" max="12543" width="39.28515625" style="181" bestFit="1" customWidth="1"/>
    <col min="12544" max="12544" width="15.140625" style="181" customWidth="1"/>
    <col min="12545" max="12545" width="12.7109375" style="181" bestFit="1" customWidth="1"/>
    <col min="12546" max="12546" width="27.28515625" style="181" bestFit="1" customWidth="1"/>
    <col min="12547" max="12547" width="14.28515625" style="181" bestFit="1" customWidth="1"/>
    <col min="12548" max="12548" width="8.85546875" style="181"/>
    <col min="12549" max="12549" width="13.7109375" style="181" bestFit="1" customWidth="1"/>
    <col min="12550" max="12798" width="8.85546875" style="181"/>
    <col min="12799" max="12799" width="39.28515625" style="181" bestFit="1" customWidth="1"/>
    <col min="12800" max="12800" width="15.140625" style="181" customWidth="1"/>
    <col min="12801" max="12801" width="12.7109375" style="181" bestFit="1" customWidth="1"/>
    <col min="12802" max="12802" width="27.28515625" style="181" bestFit="1" customWidth="1"/>
    <col min="12803" max="12803" width="14.28515625" style="181" bestFit="1" customWidth="1"/>
    <col min="12804" max="12804" width="8.85546875" style="181"/>
    <col min="12805" max="12805" width="13.7109375" style="181" bestFit="1" customWidth="1"/>
    <col min="12806" max="13054" width="8.85546875" style="181"/>
    <col min="13055" max="13055" width="39.28515625" style="181" bestFit="1" customWidth="1"/>
    <col min="13056" max="13056" width="15.140625" style="181" customWidth="1"/>
    <col min="13057" max="13057" width="12.7109375" style="181" bestFit="1" customWidth="1"/>
    <col min="13058" max="13058" width="27.28515625" style="181" bestFit="1" customWidth="1"/>
    <col min="13059" max="13059" width="14.28515625" style="181" bestFit="1" customWidth="1"/>
    <col min="13060" max="13060" width="8.85546875" style="181"/>
    <col min="13061" max="13061" width="13.7109375" style="181" bestFit="1" customWidth="1"/>
    <col min="13062" max="13310" width="8.85546875" style="181"/>
    <col min="13311" max="13311" width="39.28515625" style="181" bestFit="1" customWidth="1"/>
    <col min="13312" max="13312" width="15.140625" style="181" customWidth="1"/>
    <col min="13313" max="13313" width="12.7109375" style="181" bestFit="1" customWidth="1"/>
    <col min="13314" max="13314" width="27.28515625" style="181" bestFit="1" customWidth="1"/>
    <col min="13315" max="13315" width="14.28515625" style="181" bestFit="1" customWidth="1"/>
    <col min="13316" max="13316" width="8.85546875" style="181"/>
    <col min="13317" max="13317" width="13.7109375" style="181" bestFit="1" customWidth="1"/>
    <col min="13318" max="13566" width="8.85546875" style="181"/>
    <col min="13567" max="13567" width="39.28515625" style="181" bestFit="1" customWidth="1"/>
    <col min="13568" max="13568" width="15.140625" style="181" customWidth="1"/>
    <col min="13569" max="13569" width="12.7109375" style="181" bestFit="1" customWidth="1"/>
    <col min="13570" max="13570" width="27.28515625" style="181" bestFit="1" customWidth="1"/>
    <col min="13571" max="13571" width="14.28515625" style="181" bestFit="1" customWidth="1"/>
    <col min="13572" max="13572" width="8.85546875" style="181"/>
    <col min="13573" max="13573" width="13.7109375" style="181" bestFit="1" customWidth="1"/>
    <col min="13574" max="13822" width="8.85546875" style="181"/>
    <col min="13823" max="13823" width="39.28515625" style="181" bestFit="1" customWidth="1"/>
    <col min="13824" max="13824" width="15.140625" style="181" customWidth="1"/>
    <col min="13825" max="13825" width="12.7109375" style="181" bestFit="1" customWidth="1"/>
    <col min="13826" max="13826" width="27.28515625" style="181" bestFit="1" customWidth="1"/>
    <col min="13827" max="13827" width="14.28515625" style="181" bestFit="1" customWidth="1"/>
    <col min="13828" max="13828" width="8.85546875" style="181"/>
    <col min="13829" max="13829" width="13.7109375" style="181" bestFit="1" customWidth="1"/>
    <col min="13830" max="14078" width="8.85546875" style="181"/>
    <col min="14079" max="14079" width="39.28515625" style="181" bestFit="1" customWidth="1"/>
    <col min="14080" max="14080" width="15.140625" style="181" customWidth="1"/>
    <col min="14081" max="14081" width="12.7109375" style="181" bestFit="1" customWidth="1"/>
    <col min="14082" max="14082" width="27.28515625" style="181" bestFit="1" customWidth="1"/>
    <col min="14083" max="14083" width="14.28515625" style="181" bestFit="1" customWidth="1"/>
    <col min="14084" max="14084" width="8.85546875" style="181"/>
    <col min="14085" max="14085" width="13.7109375" style="181" bestFit="1" customWidth="1"/>
    <col min="14086" max="14334" width="8.85546875" style="181"/>
    <col min="14335" max="14335" width="39.28515625" style="181" bestFit="1" customWidth="1"/>
    <col min="14336" max="14336" width="15.140625" style="181" customWidth="1"/>
    <col min="14337" max="14337" width="12.7109375" style="181" bestFit="1" customWidth="1"/>
    <col min="14338" max="14338" width="27.28515625" style="181" bestFit="1" customWidth="1"/>
    <col min="14339" max="14339" width="14.28515625" style="181" bestFit="1" customWidth="1"/>
    <col min="14340" max="14340" width="8.85546875" style="181"/>
    <col min="14341" max="14341" width="13.7109375" style="181" bestFit="1" customWidth="1"/>
    <col min="14342" max="14590" width="8.85546875" style="181"/>
    <col min="14591" max="14591" width="39.28515625" style="181" bestFit="1" customWidth="1"/>
    <col min="14592" max="14592" width="15.140625" style="181" customWidth="1"/>
    <col min="14593" max="14593" width="12.7109375" style="181" bestFit="1" customWidth="1"/>
    <col min="14594" max="14594" width="27.28515625" style="181" bestFit="1" customWidth="1"/>
    <col min="14595" max="14595" width="14.28515625" style="181" bestFit="1" customWidth="1"/>
    <col min="14596" max="14596" width="8.85546875" style="181"/>
    <col min="14597" max="14597" width="13.7109375" style="181" bestFit="1" customWidth="1"/>
    <col min="14598" max="14846" width="8.85546875" style="181"/>
    <col min="14847" max="14847" width="39.28515625" style="181" bestFit="1" customWidth="1"/>
    <col min="14848" max="14848" width="15.140625" style="181" customWidth="1"/>
    <col min="14849" max="14849" width="12.7109375" style="181" bestFit="1" customWidth="1"/>
    <col min="14850" max="14850" width="27.28515625" style="181" bestFit="1" customWidth="1"/>
    <col min="14851" max="14851" width="14.28515625" style="181" bestFit="1" customWidth="1"/>
    <col min="14852" max="14852" width="8.85546875" style="181"/>
    <col min="14853" max="14853" width="13.7109375" style="181" bestFit="1" customWidth="1"/>
    <col min="14854" max="15102" width="8.85546875" style="181"/>
    <col min="15103" max="15103" width="39.28515625" style="181" bestFit="1" customWidth="1"/>
    <col min="15104" max="15104" width="15.140625" style="181" customWidth="1"/>
    <col min="15105" max="15105" width="12.7109375" style="181" bestFit="1" customWidth="1"/>
    <col min="15106" max="15106" width="27.28515625" style="181" bestFit="1" customWidth="1"/>
    <col min="15107" max="15107" width="14.28515625" style="181" bestFit="1" customWidth="1"/>
    <col min="15108" max="15108" width="8.85546875" style="181"/>
    <col min="15109" max="15109" width="13.7109375" style="181" bestFit="1" customWidth="1"/>
    <col min="15110" max="15358" width="8.85546875" style="181"/>
    <col min="15359" max="15359" width="39.28515625" style="181" bestFit="1" customWidth="1"/>
    <col min="15360" max="15360" width="15.140625" style="181" customWidth="1"/>
    <col min="15361" max="15361" width="12.7109375" style="181" bestFit="1" customWidth="1"/>
    <col min="15362" max="15362" width="27.28515625" style="181" bestFit="1" customWidth="1"/>
    <col min="15363" max="15363" width="14.28515625" style="181" bestFit="1" customWidth="1"/>
    <col min="15364" max="15364" width="8.85546875" style="181"/>
    <col min="15365" max="15365" width="13.7109375" style="181" bestFit="1" customWidth="1"/>
    <col min="15366" max="15614" width="8.85546875" style="181"/>
    <col min="15615" max="15615" width="39.28515625" style="181" bestFit="1" customWidth="1"/>
    <col min="15616" max="15616" width="15.140625" style="181" customWidth="1"/>
    <col min="15617" max="15617" width="12.7109375" style="181" bestFit="1" customWidth="1"/>
    <col min="15618" max="15618" width="27.28515625" style="181" bestFit="1" customWidth="1"/>
    <col min="15619" max="15619" width="14.28515625" style="181" bestFit="1" customWidth="1"/>
    <col min="15620" max="15620" width="8.85546875" style="181"/>
    <col min="15621" max="15621" width="13.7109375" style="181" bestFit="1" customWidth="1"/>
    <col min="15622" max="15870" width="8.85546875" style="181"/>
    <col min="15871" max="15871" width="39.28515625" style="181" bestFit="1" customWidth="1"/>
    <col min="15872" max="15872" width="15.140625" style="181" customWidth="1"/>
    <col min="15873" max="15873" width="12.7109375" style="181" bestFit="1" customWidth="1"/>
    <col min="15874" max="15874" width="27.28515625" style="181" bestFit="1" customWidth="1"/>
    <col min="15875" max="15875" width="14.28515625" style="181" bestFit="1" customWidth="1"/>
    <col min="15876" max="15876" width="8.85546875" style="181"/>
    <col min="15877" max="15877" width="13.7109375" style="181" bestFit="1" customWidth="1"/>
    <col min="15878" max="16126" width="8.85546875" style="181"/>
    <col min="16127" max="16127" width="39.28515625" style="181" bestFit="1" customWidth="1"/>
    <col min="16128" max="16128" width="15.140625" style="181" customWidth="1"/>
    <col min="16129" max="16129" width="12.7109375" style="181" bestFit="1" customWidth="1"/>
    <col min="16130" max="16130" width="27.28515625" style="181" bestFit="1" customWidth="1"/>
    <col min="16131" max="16131" width="14.28515625" style="181" bestFit="1" customWidth="1"/>
    <col min="16132" max="16132" width="8.85546875" style="181"/>
    <col min="16133" max="16133" width="13.7109375" style="181" bestFit="1" customWidth="1"/>
    <col min="16134" max="16384" width="8.85546875" style="181"/>
  </cols>
  <sheetData>
    <row r="1" spans="1:29">
      <c r="A1" s="255" t="s">
        <v>196</v>
      </c>
      <c r="B1" s="256"/>
      <c r="C1" s="256"/>
      <c r="D1" s="257"/>
    </row>
    <row r="2" spans="1:29">
      <c r="A2" s="258" t="s">
        <v>197</v>
      </c>
      <c r="B2" s="259"/>
      <c r="C2" s="259"/>
      <c r="D2" s="260"/>
    </row>
    <row r="3" spans="1:29">
      <c r="A3" s="182"/>
      <c r="B3" s="261" t="s">
        <v>198</v>
      </c>
      <c r="C3" s="183" t="s">
        <v>199</v>
      </c>
      <c r="D3" s="263" t="s">
        <v>2</v>
      </c>
    </row>
    <row r="4" spans="1:29" ht="26.45" customHeight="1">
      <c r="A4" s="184"/>
      <c r="B4" s="262"/>
      <c r="C4" s="185">
        <v>2020</v>
      </c>
      <c r="D4" s="264"/>
      <c r="E4" s="186">
        <v>44562</v>
      </c>
      <c r="F4" s="186">
        <v>44593</v>
      </c>
      <c r="G4" s="186">
        <v>44621</v>
      </c>
      <c r="H4" s="186">
        <v>44652</v>
      </c>
      <c r="I4" s="186">
        <v>44682</v>
      </c>
      <c r="J4" s="186">
        <v>44713</v>
      </c>
      <c r="K4" s="186">
        <v>44743</v>
      </c>
      <c r="L4" s="186">
        <v>44774</v>
      </c>
      <c r="M4" s="186">
        <v>44805</v>
      </c>
      <c r="N4" s="186">
        <v>44835</v>
      </c>
      <c r="O4" s="186">
        <v>44866</v>
      </c>
      <c r="P4" s="186">
        <v>44896</v>
      </c>
      <c r="Q4" s="187" t="s">
        <v>180</v>
      </c>
      <c r="R4" s="186">
        <v>44927</v>
      </c>
      <c r="S4" s="186">
        <v>44958</v>
      </c>
      <c r="T4" s="186">
        <v>44986</v>
      </c>
      <c r="U4" s="186">
        <v>45017</v>
      </c>
      <c r="V4" s="186">
        <v>45047</v>
      </c>
      <c r="W4" s="186">
        <v>45078</v>
      </c>
      <c r="X4" s="186">
        <v>45108</v>
      </c>
      <c r="Y4" s="186">
        <v>45139</v>
      </c>
      <c r="Z4" s="186">
        <v>45170</v>
      </c>
      <c r="AA4" s="186">
        <v>45200</v>
      </c>
      <c r="AB4" s="186">
        <v>45231</v>
      </c>
      <c r="AC4" s="186">
        <v>45261</v>
      </c>
    </row>
    <row r="5" spans="1:29">
      <c r="A5" s="188" t="s">
        <v>200</v>
      </c>
      <c r="B5" s="189"/>
      <c r="C5" s="189"/>
      <c r="D5" s="190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</row>
    <row r="6" spans="1:29">
      <c r="A6" s="184" t="s">
        <v>201</v>
      </c>
      <c r="B6" s="191" t="s">
        <v>202</v>
      </c>
      <c r="C6" s="192">
        <f>C33</f>
        <v>128588322.84999999</v>
      </c>
      <c r="D6" s="192">
        <f t="shared" ref="D6:S6" si="0">D33</f>
        <v>131238457.55</v>
      </c>
      <c r="E6" s="192">
        <f t="shared" si="0"/>
        <v>129545331.51000002</v>
      </c>
      <c r="F6" s="192">
        <f t="shared" si="0"/>
        <v>128890787.21000001</v>
      </c>
      <c r="G6" s="192">
        <f t="shared" si="0"/>
        <v>134111858.81999999</v>
      </c>
      <c r="H6" s="192">
        <f t="shared" si="0"/>
        <v>139831130.40000001</v>
      </c>
      <c r="I6" s="192">
        <f t="shared" si="0"/>
        <v>144406184.21000001</v>
      </c>
      <c r="J6" s="192">
        <f t="shared" si="0"/>
        <v>147141254.49000001</v>
      </c>
      <c r="K6" s="192">
        <f t="shared" si="0"/>
        <v>147456097.59</v>
      </c>
      <c r="L6" s="192">
        <f t="shared" si="0"/>
        <v>154019355.09</v>
      </c>
      <c r="M6" s="192">
        <f t="shared" si="0"/>
        <v>155796849.79999998</v>
      </c>
      <c r="N6" s="192">
        <f t="shared" si="0"/>
        <v>142119814.09</v>
      </c>
      <c r="O6" s="192">
        <f t="shared" si="0"/>
        <v>144339326.49000001</v>
      </c>
      <c r="P6" s="192">
        <f t="shared" si="0"/>
        <v>146233262.80000001</v>
      </c>
      <c r="Q6" s="192">
        <f t="shared" si="0"/>
        <v>155448703.69999999</v>
      </c>
      <c r="R6" s="192">
        <f t="shared" si="0"/>
        <v>141507429.84999999</v>
      </c>
      <c r="S6" s="192">
        <f t="shared" si="0"/>
        <v>142944708.19999999</v>
      </c>
      <c r="T6" s="192">
        <f t="shared" ref="T6:V6" si="1">T33</f>
        <v>143398766.03999999</v>
      </c>
      <c r="U6" s="192">
        <f t="shared" si="1"/>
        <v>125634964.30000001</v>
      </c>
      <c r="V6" s="192">
        <f t="shared" si="1"/>
        <v>132994390.78999999</v>
      </c>
    </row>
    <row r="7" spans="1:29">
      <c r="A7" s="184" t="s">
        <v>203</v>
      </c>
      <c r="B7" s="193" t="s">
        <v>204</v>
      </c>
      <c r="C7" s="194">
        <f>C33/C29</f>
        <v>0.16042732058043738</v>
      </c>
      <c r="D7" s="194">
        <f t="shared" ref="D7:S7" si="2">D33/D29</f>
        <v>0.15678202072985131</v>
      </c>
      <c r="E7" s="194">
        <f t="shared" si="2"/>
        <v>0.15139587618580339</v>
      </c>
      <c r="F7" s="194">
        <f t="shared" si="2"/>
        <v>0.14927715539478395</v>
      </c>
      <c r="G7" s="194">
        <f t="shared" si="2"/>
        <v>0.15881461007125225</v>
      </c>
      <c r="H7" s="194">
        <f t="shared" si="2"/>
        <v>0.16861388434703495</v>
      </c>
      <c r="I7" s="194">
        <f t="shared" si="2"/>
        <v>0.17345437828233473</v>
      </c>
      <c r="J7" s="194">
        <f t="shared" si="2"/>
        <v>0.17398342624197882</v>
      </c>
      <c r="K7" s="194">
        <f t="shared" si="2"/>
        <v>0.17462453643684622</v>
      </c>
      <c r="L7" s="194">
        <f t="shared" si="2"/>
        <v>0.18051584392259476</v>
      </c>
      <c r="M7" s="194">
        <f t="shared" si="2"/>
        <v>0.18322993204539756</v>
      </c>
      <c r="N7" s="194">
        <f t="shared" si="2"/>
        <v>0.16414147396567855</v>
      </c>
      <c r="O7" s="194">
        <f t="shared" si="2"/>
        <v>0.16542629056766267</v>
      </c>
      <c r="P7" s="194">
        <f t="shared" si="2"/>
        <v>0.16627993056707199</v>
      </c>
      <c r="Q7" s="194">
        <f t="shared" si="2"/>
        <v>0.17429292113762238</v>
      </c>
      <c r="R7" s="194">
        <f t="shared" si="2"/>
        <v>0.15957883478984214</v>
      </c>
      <c r="S7" s="194">
        <f t="shared" si="2"/>
        <v>0.16092841201430269</v>
      </c>
      <c r="T7" s="194">
        <f t="shared" ref="T7:V7" si="3">T33/T29</f>
        <v>0.16297795467810117</v>
      </c>
      <c r="U7" s="194">
        <f t="shared" si="3"/>
        <v>0.14591841817934889</v>
      </c>
      <c r="V7" s="194">
        <f t="shared" si="3"/>
        <v>0.15263960739124272</v>
      </c>
    </row>
    <row r="8" spans="1:29">
      <c r="A8" s="184" t="s">
        <v>205</v>
      </c>
      <c r="B8" s="193" t="s">
        <v>206</v>
      </c>
      <c r="C8" s="195">
        <f>C34/C29</f>
        <v>9.8752011212375868E-2</v>
      </c>
      <c r="D8" s="195">
        <f t="shared" ref="D8:S8" si="4">D34/D29</f>
        <v>8.6767100789632276E-2</v>
      </c>
      <c r="E8" s="195">
        <f t="shared" si="4"/>
        <v>8.2902632409980637E-2</v>
      </c>
      <c r="F8" s="195">
        <f t="shared" si="4"/>
        <v>8.139774755241154E-2</v>
      </c>
      <c r="G8" s="195">
        <f t="shared" si="4"/>
        <v>8.954093266231633E-2</v>
      </c>
      <c r="H8" s="195">
        <f t="shared" si="4"/>
        <v>9.8074049747459591E-2</v>
      </c>
      <c r="I8" s="195">
        <f t="shared" si="4"/>
        <v>0.10318850526538653</v>
      </c>
      <c r="J8" s="195">
        <f t="shared" si="4"/>
        <v>0.10481332729758121</v>
      </c>
      <c r="K8" s="195">
        <f t="shared" si="4"/>
        <v>0.1053477869197513</v>
      </c>
      <c r="L8" s="195">
        <f t="shared" si="4"/>
        <v>0.11195360397325969</v>
      </c>
      <c r="M8" s="195">
        <f t="shared" si="4"/>
        <v>0.11440522781451767</v>
      </c>
      <c r="N8" s="195">
        <f t="shared" si="4"/>
        <v>9.5669683908408479E-2</v>
      </c>
      <c r="O8" s="195">
        <f t="shared" si="4"/>
        <v>9.7479673258348276E-2</v>
      </c>
      <c r="P8" s="195">
        <f t="shared" si="4"/>
        <v>8.8028170510314738E-2</v>
      </c>
      <c r="Q8" s="195">
        <f t="shared" si="4"/>
        <v>9.713276563135391E-2</v>
      </c>
      <c r="R8" s="195">
        <f t="shared" si="4"/>
        <v>8.1972621001417931E-2</v>
      </c>
      <c r="S8" s="195">
        <f t="shared" si="4"/>
        <v>8.3452786250889519E-2</v>
      </c>
      <c r="T8" s="195">
        <f t="shared" ref="T8:V8" si="5">T34/T29</f>
        <v>8.4781110549815464E-2</v>
      </c>
      <c r="U8" s="195">
        <f t="shared" si="5"/>
        <v>6.5993120142596576E-2</v>
      </c>
      <c r="V8" s="195">
        <f t="shared" si="5"/>
        <v>7.3446194052932498E-2</v>
      </c>
    </row>
    <row r="9" spans="1:29">
      <c r="A9" s="188" t="s">
        <v>207</v>
      </c>
      <c r="B9" s="189"/>
      <c r="C9" s="189"/>
      <c r="D9" s="190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</row>
    <row r="10" spans="1:29">
      <c r="A10" s="184" t="s">
        <v>208</v>
      </c>
      <c r="B10" s="191" t="s">
        <v>209</v>
      </c>
      <c r="C10" s="195">
        <f>C35/C32</f>
        <v>8.0631193505404611E-2</v>
      </c>
      <c r="D10" s="195">
        <f t="shared" ref="D10:S10" si="6">D35/D32</f>
        <v>6.0687591905902623E-2</v>
      </c>
      <c r="E10" s="195">
        <f t="shared" si="6"/>
        <v>0</v>
      </c>
      <c r="F10" s="195">
        <f t="shared" si="6"/>
        <v>0</v>
      </c>
      <c r="G10" s="195">
        <f t="shared" si="6"/>
        <v>5.7621853433156574E-2</v>
      </c>
      <c r="H10" s="195">
        <f t="shared" si="6"/>
        <v>0</v>
      </c>
      <c r="I10" s="195">
        <f t="shared" si="6"/>
        <v>0</v>
      </c>
      <c r="J10" s="195">
        <f t="shared" si="6"/>
        <v>5.3571629360757655E-2</v>
      </c>
      <c r="K10" s="195">
        <f t="shared" si="6"/>
        <v>0</v>
      </c>
      <c r="L10" s="195">
        <f t="shared" si="6"/>
        <v>0</v>
      </c>
      <c r="M10" s="195">
        <f t="shared" si="6"/>
        <v>5.5080123434763407E-2</v>
      </c>
      <c r="N10" s="195">
        <f t="shared" si="6"/>
        <v>0</v>
      </c>
      <c r="O10" s="195">
        <f t="shared" si="6"/>
        <v>0</v>
      </c>
      <c r="P10" s="195">
        <f t="shared" si="6"/>
        <v>5.0558087218940242E-2</v>
      </c>
      <c r="Q10" s="195">
        <f t="shared" si="6"/>
        <v>5.1011058352478787E-2</v>
      </c>
      <c r="R10" s="195">
        <f t="shared" si="6"/>
        <v>0</v>
      </c>
      <c r="S10" s="195">
        <f t="shared" si="6"/>
        <v>0</v>
      </c>
      <c r="T10" s="195">
        <f t="shared" ref="T10:V10" si="7">T35/T32</f>
        <v>0</v>
      </c>
      <c r="U10" s="195">
        <f t="shared" si="7"/>
        <v>0</v>
      </c>
      <c r="V10" s="195">
        <f t="shared" si="7"/>
        <v>0</v>
      </c>
    </row>
    <row r="11" spans="1:29">
      <c r="A11" s="184" t="s">
        <v>113</v>
      </c>
      <c r="B11" s="191" t="s">
        <v>210</v>
      </c>
      <c r="C11" s="194">
        <f>C36/C29</f>
        <v>0.30584696212885915</v>
      </c>
      <c r="D11" s="194">
        <f t="shared" ref="D11:S11" si="8">D36/D29</f>
        <v>0.30198254625239757</v>
      </c>
      <c r="E11" s="194">
        <f t="shared" si="8"/>
        <v>0.29315242273185077</v>
      </c>
      <c r="F11" s="194">
        <f t="shared" si="8"/>
        <v>0.29526473194654318</v>
      </c>
      <c r="G11" s="194">
        <f t="shared" si="8"/>
        <v>0.29396145761570036</v>
      </c>
      <c r="H11" s="194">
        <f t="shared" si="8"/>
        <v>0.29878292146315988</v>
      </c>
      <c r="I11" s="194">
        <f t="shared" si="8"/>
        <v>0.28985731358772809</v>
      </c>
      <c r="J11" s="194">
        <f t="shared" si="8"/>
        <v>0.26985875394207937</v>
      </c>
      <c r="K11" s="194">
        <f t="shared" si="8"/>
        <v>0.28862807772128779</v>
      </c>
      <c r="L11" s="194">
        <f t="shared" si="8"/>
        <v>0.29437346510950579</v>
      </c>
      <c r="M11" s="194">
        <f t="shared" si="8"/>
        <v>0.28998205602308025</v>
      </c>
      <c r="N11" s="194">
        <f t="shared" si="8"/>
        <v>0.28784948700367474</v>
      </c>
      <c r="O11" s="194">
        <f t="shared" si="8"/>
        <v>0.27908246712825718</v>
      </c>
      <c r="P11" s="194">
        <f t="shared" si="8"/>
        <v>0.27403055464678455</v>
      </c>
      <c r="Q11" s="194">
        <f t="shared" si="8"/>
        <v>0.28415764628181772</v>
      </c>
      <c r="R11" s="194">
        <f t="shared" si="8"/>
        <v>0.27716433791456002</v>
      </c>
      <c r="S11" s="194">
        <f t="shared" si="8"/>
        <v>0.27564116431108271</v>
      </c>
      <c r="T11" s="194">
        <f t="shared" ref="T11:V11" si="9">T36/T29</f>
        <v>0.27550923875876937</v>
      </c>
      <c r="U11" s="194">
        <f t="shared" si="9"/>
        <v>0.26861725053107754</v>
      </c>
      <c r="V11" s="194">
        <f t="shared" si="9"/>
        <v>0.28119225825303862</v>
      </c>
    </row>
    <row r="12" spans="1:29">
      <c r="A12" s="184" t="s">
        <v>211</v>
      </c>
      <c r="B12" s="191" t="s">
        <v>209</v>
      </c>
      <c r="C12" s="196">
        <f>C38/C31</f>
        <v>0</v>
      </c>
      <c r="D12" s="196">
        <f t="shared" ref="D12:S12" si="10">D38/D31</f>
        <v>1.0893092228718876E-4</v>
      </c>
      <c r="E12" s="196">
        <f t="shared" si="10"/>
        <v>1.3950673020550298E-2</v>
      </c>
      <c r="F12" s="196">
        <f t="shared" si="10"/>
        <v>1.3829723312209082E-2</v>
      </c>
      <c r="G12" s="196">
        <f t="shared" si="10"/>
        <v>1.3338397889323658E-2</v>
      </c>
      <c r="H12" s="196">
        <f t="shared" si="10"/>
        <v>1.3725350595906814E-2</v>
      </c>
      <c r="I12" s="196">
        <f t="shared" si="10"/>
        <v>1.3761331364839501E-2</v>
      </c>
      <c r="J12" s="196">
        <f t="shared" si="10"/>
        <v>1.3488668743021306E-2</v>
      </c>
      <c r="K12" s="196">
        <f t="shared" si="10"/>
        <v>1.3550808107556409E-2</v>
      </c>
      <c r="L12" s="196">
        <f t="shared" si="10"/>
        <v>1.3519658474162432E-2</v>
      </c>
      <c r="M12" s="196">
        <f t="shared" si="10"/>
        <v>1.3619679544660776E-2</v>
      </c>
      <c r="N12" s="196">
        <f t="shared" si="10"/>
        <v>1.3410350812461018E-2</v>
      </c>
      <c r="O12" s="196">
        <f t="shared" si="10"/>
        <v>1.333864978358433E-2</v>
      </c>
      <c r="P12" s="196">
        <f t="shared" si="10"/>
        <v>1.3335459693403568E-2</v>
      </c>
      <c r="Q12" s="196">
        <f t="shared" si="10"/>
        <v>4.3383192262399423E-5</v>
      </c>
      <c r="R12" s="196">
        <f t="shared" si="10"/>
        <v>1.3272830933979234E-2</v>
      </c>
      <c r="S12" s="196">
        <f t="shared" si="10"/>
        <v>1.3287945907558267E-2</v>
      </c>
      <c r="T12" s="196">
        <f t="shared" ref="T12:V12" si="11">T38/T31</f>
        <v>1.2769382666769302E-2</v>
      </c>
      <c r="U12" s="196">
        <f t="shared" si="11"/>
        <v>1.3124062299114118E-2</v>
      </c>
      <c r="V12" s="196">
        <f t="shared" si="11"/>
        <v>1.3094617556421788E-2</v>
      </c>
    </row>
    <row r="13" spans="1:29" s="198" customFormat="1">
      <c r="A13" s="197" t="s">
        <v>212</v>
      </c>
      <c r="B13" s="191" t="s">
        <v>213</v>
      </c>
      <c r="C13" s="196">
        <f>C38/C33</f>
        <v>0</v>
      </c>
      <c r="D13" s="196">
        <f t="shared" ref="D13:S13" si="12">D38/D33</f>
        <v>5.4099995782829131E-4</v>
      </c>
      <c r="E13" s="196">
        <f t="shared" si="12"/>
        <v>7.1184587607374741E-2</v>
      </c>
      <c r="F13" s="196">
        <f t="shared" si="12"/>
        <v>7.1546083312962638E-2</v>
      </c>
      <c r="G13" s="196">
        <f t="shared" si="12"/>
        <v>6.876074257069939E-2</v>
      </c>
      <c r="H13" s="196">
        <f t="shared" si="12"/>
        <v>6.5948340499148245E-2</v>
      </c>
      <c r="I13" s="196">
        <f t="shared" si="12"/>
        <v>6.3858975641857649E-2</v>
      </c>
      <c r="J13" s="196">
        <f t="shared" si="12"/>
        <v>6.26719612522178E-2</v>
      </c>
      <c r="K13" s="196">
        <f t="shared" si="12"/>
        <v>6.2538146273480255E-2</v>
      </c>
      <c r="L13" s="196">
        <f t="shared" si="12"/>
        <v>5.9873195772124951E-2</v>
      </c>
      <c r="M13" s="196">
        <f t="shared" si="12"/>
        <v>5.919009923395769E-2</v>
      </c>
      <c r="N13" s="196">
        <f t="shared" si="12"/>
        <v>6.4886314825603641E-2</v>
      </c>
      <c r="O13" s="196">
        <f t="shared" si="12"/>
        <v>6.3888555006101438E-2</v>
      </c>
      <c r="P13" s="196">
        <f t="shared" si="12"/>
        <v>6.3061104043149338E-2</v>
      </c>
      <c r="Q13" s="196">
        <f t="shared" si="12"/>
        <v>1.929897084114443E-4</v>
      </c>
      <c r="R13" s="196">
        <f t="shared" si="12"/>
        <v>6.5167115322319599E-2</v>
      </c>
      <c r="S13" s="196">
        <f t="shared" si="12"/>
        <v>6.4511873969462549E-2</v>
      </c>
      <c r="T13" s="196">
        <f t="shared" ref="T13:V13" si="13">T38/T33</f>
        <v>6.4307603577479153E-2</v>
      </c>
      <c r="U13" s="196">
        <f t="shared" si="13"/>
        <v>7.3400195967580656E-2</v>
      </c>
      <c r="V13" s="196">
        <f t="shared" si="13"/>
        <v>6.9338495745742273E-2</v>
      </c>
    </row>
    <row r="14" spans="1:29">
      <c r="A14" s="188" t="s">
        <v>214</v>
      </c>
      <c r="B14" s="189"/>
      <c r="C14" s="189"/>
      <c r="D14" s="190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</row>
    <row r="15" spans="1:29">
      <c r="A15" s="184" t="s">
        <v>215</v>
      </c>
      <c r="B15" s="191"/>
      <c r="C15" s="195">
        <f>C48/C32</f>
        <v>0.19182868884453791</v>
      </c>
      <c r="D15" s="195">
        <f t="shared" ref="D15:I15" si="14">D48/D32</f>
        <v>0.22210381858330847</v>
      </c>
      <c r="E15" s="195">
        <f t="shared" si="14"/>
        <v>1.7170071570936179E-2</v>
      </c>
      <c r="F15" s="195">
        <f t="shared" si="14"/>
        <v>3.4114327703870601E-2</v>
      </c>
      <c r="G15" s="195">
        <f t="shared" si="14"/>
        <v>5.3579846373702097E-2</v>
      </c>
      <c r="H15" s="195">
        <f t="shared" si="14"/>
        <v>7.2148151073840663E-2</v>
      </c>
      <c r="I15" s="195">
        <f t="shared" si="14"/>
        <v>9.1100989763140697E-2</v>
      </c>
      <c r="J15" s="195">
        <f t="shared" ref="J15:S15" si="15">J48/J32</f>
        <v>0.1073564355162691</v>
      </c>
      <c r="K15" s="195">
        <f t="shared" si="15"/>
        <v>0.11385194993449525</v>
      </c>
      <c r="L15" s="195">
        <f t="shared" si="15"/>
        <v>0.13987961310513225</v>
      </c>
      <c r="M15" s="195">
        <f t="shared" si="15"/>
        <v>0.15148527912657869</v>
      </c>
      <c r="N15" s="195">
        <f t="shared" si="15"/>
        <v>0.16566174471446782</v>
      </c>
      <c r="O15" s="195">
        <f t="shared" si="15"/>
        <v>0.17220029781904148</v>
      </c>
      <c r="P15" s="195">
        <f t="shared" si="15"/>
        <v>0.19341124974313811</v>
      </c>
      <c r="Q15" s="195">
        <f t="shared" si="15"/>
        <v>0.1934112519817297</v>
      </c>
      <c r="R15" s="195">
        <f t="shared" si="15"/>
        <v>1.4969564236076819E-2</v>
      </c>
      <c r="S15" s="195">
        <f t="shared" si="15"/>
        <v>3.0131637987764789E-2</v>
      </c>
      <c r="T15" s="195">
        <f t="shared" ref="T15:V15" si="16">T48/T32</f>
        <v>4.634139772577868E-2</v>
      </c>
      <c r="U15" s="195">
        <f t="shared" si="16"/>
        <v>5.7573632672842177E-2</v>
      </c>
      <c r="V15" s="195">
        <f t="shared" si="16"/>
        <v>7.5978530741423245E-2</v>
      </c>
    </row>
    <row r="16" spans="1:29">
      <c r="A16" s="184" t="s">
        <v>216</v>
      </c>
      <c r="B16" s="191"/>
      <c r="C16" s="195">
        <f>C49/C44</f>
        <v>0.800260475415561</v>
      </c>
      <c r="D16" s="195">
        <f t="shared" ref="D16:I16" si="17">D49/D44</f>
        <v>0.86671112130199013</v>
      </c>
      <c r="E16" s="195">
        <f t="shared" si="17"/>
        <v>0.48591675018655683</v>
      </c>
      <c r="F16" s="195">
        <f t="shared" si="17"/>
        <v>0.66529492184970407</v>
      </c>
      <c r="G16" s="195">
        <f t="shared" si="17"/>
        <v>0.55906848651705454</v>
      </c>
      <c r="H16" s="195">
        <f t="shared" si="17"/>
        <v>0.51710949519102234</v>
      </c>
      <c r="I16" s="195">
        <f t="shared" si="17"/>
        <v>0.51671228203515251</v>
      </c>
      <c r="J16" s="195">
        <f t="shared" ref="J16:S16" si="18">J49/J44</f>
        <v>0.53321267450925336</v>
      </c>
      <c r="K16" s="195">
        <f t="shared" si="18"/>
        <v>0.56103034660273177</v>
      </c>
      <c r="L16" s="195">
        <f t="shared" si="18"/>
        <v>0.54346015197244968</v>
      </c>
      <c r="M16" s="195">
        <f t="shared" si="18"/>
        <v>0.55612541633219881</v>
      </c>
      <c r="N16" s="195">
        <f t="shared" si="18"/>
        <v>0.5554459301778617</v>
      </c>
      <c r="O16" s="195">
        <f t="shared" si="18"/>
        <v>0.55764794890654057</v>
      </c>
      <c r="P16" s="195">
        <f t="shared" si="18"/>
        <v>0.8739066227782315</v>
      </c>
      <c r="Q16" s="195">
        <f t="shared" si="18"/>
        <v>0.8717863761367376</v>
      </c>
      <c r="R16" s="195">
        <f t="shared" si="18"/>
        <v>0.56651777184361263</v>
      </c>
      <c r="S16" s="195">
        <f t="shared" si="18"/>
        <v>0.69496148414505665</v>
      </c>
      <c r="T16" s="195">
        <f t="shared" ref="T16:V16" si="19">T49/T44</f>
        <v>0.64462756922243347</v>
      </c>
      <c r="U16" s="195">
        <f t="shared" si="19"/>
        <v>0.60433124836778285</v>
      </c>
      <c r="V16" s="195">
        <f t="shared" si="19"/>
        <v>0.54860278313751376</v>
      </c>
    </row>
    <row r="17" spans="1:23">
      <c r="A17" s="184" t="s">
        <v>217</v>
      </c>
      <c r="B17" s="191"/>
      <c r="C17" s="196">
        <f>C50/C30</f>
        <v>1.263952043753294E-2</v>
      </c>
      <c r="D17" s="196">
        <f t="shared" ref="D17:I17" si="20">D50/D30</f>
        <v>1.8871330752759326E-2</v>
      </c>
      <c r="E17" s="196">
        <f t="shared" si="20"/>
        <v>4.9548471278853092E-3</v>
      </c>
      <c r="F17" s="196">
        <f t="shared" si="20"/>
        <v>6.093413259484491E-3</v>
      </c>
      <c r="G17" s="196">
        <f t="shared" si="20"/>
        <v>1.4208544414882316E-2</v>
      </c>
      <c r="H17" s="196">
        <f t="shared" si="20"/>
        <v>2.1332430075931025E-2</v>
      </c>
      <c r="I17" s="196">
        <f t="shared" si="20"/>
        <v>2.6991494671527248E-2</v>
      </c>
      <c r="J17" s="196">
        <f t="shared" ref="J17:S17" si="21">J50/J30</f>
        <v>2.9986803974177075E-2</v>
      </c>
      <c r="K17" s="196">
        <f t="shared" si="21"/>
        <v>3.0148351865259684E-2</v>
      </c>
      <c r="L17" s="196">
        <f t="shared" si="21"/>
        <v>3.7747426037952739E-2</v>
      </c>
      <c r="M17" s="196">
        <f t="shared" si="21"/>
        <v>3.9678826922191587E-2</v>
      </c>
      <c r="N17" s="196">
        <f t="shared" si="21"/>
        <v>4.3077239170073028E-2</v>
      </c>
      <c r="O17" s="196">
        <f t="shared" si="21"/>
        <v>4.5079462079197663E-2</v>
      </c>
      <c r="P17" s="196">
        <f t="shared" si="21"/>
        <v>1.5908244892765731E-2</v>
      </c>
      <c r="Q17" s="196">
        <f t="shared" si="21"/>
        <v>1.6100167323902629E-2</v>
      </c>
      <c r="R17" s="196">
        <f t="shared" si="21"/>
        <v>3.6817891639268144E-3</v>
      </c>
      <c r="S17" s="196">
        <f t="shared" si="21"/>
        <v>5.3087840661861915E-3</v>
      </c>
      <c r="T17" s="196">
        <f t="shared" ref="T17:V17" si="22">T50/T30</f>
        <v>1.0135120478274881E-2</v>
      </c>
      <c r="U17" s="196">
        <f t="shared" si="22"/>
        <v>1.4504043329823328E-2</v>
      </c>
      <c r="V17" s="196">
        <f t="shared" si="22"/>
        <v>2.2906125050654223E-2</v>
      </c>
    </row>
    <row r="18" spans="1:23">
      <c r="A18" s="197" t="s">
        <v>218</v>
      </c>
      <c r="B18" s="199"/>
      <c r="C18" s="196">
        <f>C47/C44</f>
        <v>0.36726970541009946</v>
      </c>
      <c r="D18" s="196">
        <f t="shared" ref="D18:I18" si="23">D47/D44</f>
        <v>0.47275204520460629</v>
      </c>
      <c r="E18" s="196">
        <f t="shared" si="23"/>
        <v>0.39920132446327383</v>
      </c>
      <c r="F18" s="196">
        <f t="shared" si="23"/>
        <v>0.60222646781636024</v>
      </c>
      <c r="G18" s="196">
        <f t="shared" si="23"/>
        <v>0.48917946073134072</v>
      </c>
      <c r="H18" s="196">
        <f t="shared" si="23"/>
        <v>0.45021547156593017</v>
      </c>
      <c r="I18" s="196">
        <f t="shared" si="23"/>
        <v>0.45771303420047338</v>
      </c>
      <c r="J18" s="196">
        <f t="shared" ref="J18:S18" si="24">J47/J44</f>
        <v>0.47267083054707887</v>
      </c>
      <c r="K18" s="196">
        <f t="shared" si="24"/>
        <v>0.49237023455940498</v>
      </c>
      <c r="L18" s="196">
        <f t="shared" si="24"/>
        <v>0.48311162612788044</v>
      </c>
      <c r="M18" s="196">
        <f t="shared" si="24"/>
        <v>0.49219291220381139</v>
      </c>
      <c r="N18" s="196">
        <f t="shared" si="24"/>
        <v>0.48922710426140692</v>
      </c>
      <c r="O18" s="196">
        <f t="shared" si="24"/>
        <v>0.4926737629037114</v>
      </c>
      <c r="P18" s="196">
        <f t="shared" si="24"/>
        <v>0.38053777784634829</v>
      </c>
      <c r="Q18" s="196">
        <f t="shared" si="24"/>
        <v>0.48232127521185142</v>
      </c>
      <c r="R18" s="196">
        <f t="shared" si="24"/>
        <v>0.46045965480271972</v>
      </c>
      <c r="S18" s="196">
        <f t="shared" si="24"/>
        <v>0.62500913333007413</v>
      </c>
      <c r="T18" s="196">
        <f t="shared" ref="T18:V18" si="25">T47/T44</f>
        <v>0.57431992829715262</v>
      </c>
      <c r="U18" s="196">
        <f t="shared" si="25"/>
        <v>0.5249109881361308</v>
      </c>
      <c r="V18" s="196">
        <f t="shared" si="25"/>
        <v>0.47550098227187981</v>
      </c>
    </row>
    <row r="19" spans="1:23">
      <c r="A19" s="188" t="s">
        <v>219</v>
      </c>
      <c r="B19" s="189"/>
      <c r="C19" s="189"/>
      <c r="D19" s="190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</row>
    <row r="20" spans="1:23">
      <c r="A20" s="184" t="s">
        <v>220</v>
      </c>
      <c r="B20" s="191" t="s">
        <v>221</v>
      </c>
      <c r="C20" s="194">
        <f>C40/C41</f>
        <v>0.56414276252930684</v>
      </c>
      <c r="D20" s="194">
        <f>D40/D41</f>
        <v>0.79540211468181443</v>
      </c>
      <c r="E20" s="194">
        <f t="shared" ref="E20:S20" si="26">E40/E41</f>
        <v>0.57610113001553875</v>
      </c>
      <c r="F20" s="194">
        <f t="shared" si="26"/>
        <v>0.57325185429303971</v>
      </c>
      <c r="G20" s="194">
        <f t="shared" si="26"/>
        <v>0.55910964007930675</v>
      </c>
      <c r="H20" s="194">
        <f t="shared" si="26"/>
        <v>0.49439065042047625</v>
      </c>
      <c r="I20" s="194">
        <f t="shared" si="26"/>
        <v>0.52171070107481377</v>
      </c>
      <c r="J20" s="194">
        <f t="shared" si="26"/>
        <v>0.64327957793327417</v>
      </c>
      <c r="K20" s="194">
        <f t="shared" si="26"/>
        <v>0.5296724291089232</v>
      </c>
      <c r="L20" s="194">
        <f t="shared" si="26"/>
        <v>0.53857277235169199</v>
      </c>
      <c r="M20" s="194">
        <f t="shared" si="26"/>
        <v>0.55621706532096582</v>
      </c>
      <c r="N20" s="194">
        <f t="shared" si="26"/>
        <v>0.57788533497547878</v>
      </c>
      <c r="O20" s="194">
        <f t="shared" si="26"/>
        <v>0.60278705915487529</v>
      </c>
      <c r="P20" s="194">
        <f t="shared" si="26"/>
        <v>0.56987911326259344</v>
      </c>
      <c r="Q20" s="194">
        <f t="shared" si="26"/>
        <v>0.78679439733734813</v>
      </c>
      <c r="R20" s="194">
        <f t="shared" si="26"/>
        <v>0.49562500026719941</v>
      </c>
      <c r="S20" s="194">
        <f t="shared" si="26"/>
        <v>0.5061310490164469</v>
      </c>
      <c r="T20" s="194">
        <f t="shared" ref="T20:V20" si="27">T40/T41</f>
        <v>0.47960511273551093</v>
      </c>
      <c r="U20" s="194">
        <f t="shared" si="27"/>
        <v>0.42413313619288856</v>
      </c>
      <c r="V20" s="194">
        <f t="shared" si="27"/>
        <v>0.40224211276595678</v>
      </c>
    </row>
    <row r="21" spans="1:23">
      <c r="A21" s="184" t="s">
        <v>222</v>
      </c>
      <c r="B21" s="191" t="s">
        <v>223</v>
      </c>
      <c r="C21" s="194">
        <f>C42/C29</f>
        <v>0</v>
      </c>
      <c r="D21" s="194">
        <f>D42/D29</f>
        <v>0</v>
      </c>
      <c r="E21" s="194">
        <f t="shared" ref="E21:S21" si="28">E42/E29</f>
        <v>0</v>
      </c>
      <c r="F21" s="194">
        <f t="shared" si="28"/>
        <v>0</v>
      </c>
      <c r="G21" s="194">
        <f t="shared" si="28"/>
        <v>0</v>
      </c>
      <c r="H21" s="194">
        <f t="shared" si="28"/>
        <v>0</v>
      </c>
      <c r="I21" s="194">
        <f t="shared" si="28"/>
        <v>0</v>
      </c>
      <c r="J21" s="194">
        <f t="shared" si="28"/>
        <v>0</v>
      </c>
      <c r="K21" s="194">
        <f t="shared" si="28"/>
        <v>0</v>
      </c>
      <c r="L21" s="194">
        <f t="shared" si="28"/>
        <v>0</v>
      </c>
      <c r="M21" s="194">
        <f t="shared" si="28"/>
        <v>0</v>
      </c>
      <c r="N21" s="194">
        <f t="shared" si="28"/>
        <v>0</v>
      </c>
      <c r="O21" s="194">
        <f t="shared" si="28"/>
        <v>0</v>
      </c>
      <c r="P21" s="194">
        <f t="shared" si="28"/>
        <v>0</v>
      </c>
      <c r="Q21" s="194">
        <f t="shared" si="28"/>
        <v>0</v>
      </c>
      <c r="R21" s="194">
        <f t="shared" si="28"/>
        <v>0</v>
      </c>
      <c r="S21" s="194">
        <f t="shared" si="28"/>
        <v>0</v>
      </c>
      <c r="T21" s="194">
        <f t="shared" ref="T21:V21" si="29">T42/T29</f>
        <v>0</v>
      </c>
      <c r="U21" s="194">
        <f t="shared" si="29"/>
        <v>0</v>
      </c>
      <c r="V21" s="194">
        <f t="shared" si="29"/>
        <v>0</v>
      </c>
    </row>
    <row r="22" spans="1:23">
      <c r="A22" s="184" t="s">
        <v>224</v>
      </c>
      <c r="B22" s="191"/>
      <c r="C22" s="194">
        <f>C40/C29</f>
        <v>0.13565695452501395</v>
      </c>
      <c r="D22" s="194">
        <f>D40/D29</f>
        <v>0.22688071138495655</v>
      </c>
      <c r="E22" s="194">
        <f t="shared" ref="E22:S22" si="30">E40/E29</f>
        <v>0.1697303254459408</v>
      </c>
      <c r="F22" s="194">
        <f t="shared" si="30"/>
        <v>0.17145141194368196</v>
      </c>
      <c r="G22" s="194">
        <f t="shared" si="30"/>
        <v>0.15255534415579489</v>
      </c>
      <c r="H22" s="194">
        <f t="shared" si="30"/>
        <v>0.12359487117154633</v>
      </c>
      <c r="I22" s="194">
        <f t="shared" si="30"/>
        <v>0.1270396322554587</v>
      </c>
      <c r="J22" s="194">
        <f t="shared" si="30"/>
        <v>0.15968786137527718</v>
      </c>
      <c r="K22" s="194">
        <f t="shared" si="30"/>
        <v>0.1318731652049763</v>
      </c>
      <c r="L22" s="194">
        <f t="shared" si="30"/>
        <v>0.13167500398606397</v>
      </c>
      <c r="M22" s="194">
        <f t="shared" si="30"/>
        <v>0.1324123436585137</v>
      </c>
      <c r="N22" s="194">
        <f t="shared" si="30"/>
        <v>0.14253063653085332</v>
      </c>
      <c r="O22" s="194">
        <f t="shared" si="30"/>
        <v>0.15131549152117463</v>
      </c>
      <c r="P22" s="194">
        <f t="shared" si="30"/>
        <v>0.15873915815965417</v>
      </c>
      <c r="Q22" s="194">
        <f t="shared" si="30"/>
        <v>0.22705808845702594</v>
      </c>
      <c r="R22" s="194">
        <f t="shared" si="30"/>
        <v>0.14218804016266282</v>
      </c>
      <c r="S22" s="194">
        <f t="shared" si="30"/>
        <v>0.14322268224920048</v>
      </c>
      <c r="T22" s="194">
        <f t="shared" ref="T22:V22" si="31">T40/T29</f>
        <v>0.12950467034912433</v>
      </c>
      <c r="U22" s="194">
        <f t="shared" si="31"/>
        <v>0.10622257249585089</v>
      </c>
      <c r="V22" s="194">
        <f t="shared" si="31"/>
        <v>9.993940417864372E-2</v>
      </c>
    </row>
    <row r="23" spans="1:23">
      <c r="A23" s="188" t="s">
        <v>225</v>
      </c>
      <c r="B23" s="189"/>
      <c r="C23" s="189"/>
      <c r="D23" s="190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</row>
    <row r="24" spans="1:23">
      <c r="A24" s="200" t="s">
        <v>226</v>
      </c>
      <c r="B24" s="199" t="s">
        <v>227</v>
      </c>
      <c r="C24" s="196">
        <f>C32/C29</f>
        <v>0.49070106894688037</v>
      </c>
      <c r="D24" s="196">
        <f t="shared" ref="D24:S24" si="32">D32/D29</f>
        <v>0.48905874592696497</v>
      </c>
      <c r="E24" s="196">
        <f t="shared" si="32"/>
        <v>0.48619799833328875</v>
      </c>
      <c r="F24" s="196">
        <f t="shared" si="32"/>
        <v>0.48241108253606169</v>
      </c>
      <c r="G24" s="196">
        <f t="shared" si="32"/>
        <v>0.50053757391132636</v>
      </c>
      <c r="H24" s="196">
        <f t="shared" si="32"/>
        <v>0.52328079064601452</v>
      </c>
      <c r="I24" s="196">
        <f t="shared" si="32"/>
        <v>0.52854627740241378</v>
      </c>
      <c r="J24" s="196">
        <f t="shared" si="32"/>
        <v>0.5163276429093322</v>
      </c>
      <c r="K24" s="196">
        <f t="shared" si="32"/>
        <v>0.52486915309815607</v>
      </c>
      <c r="L24" s="196">
        <f t="shared" si="32"/>
        <v>0.51946929623384042</v>
      </c>
      <c r="M24" s="196">
        <f t="shared" si="32"/>
        <v>0.52251764271753431</v>
      </c>
      <c r="N24" s="196">
        <f t="shared" si="32"/>
        <v>0.51511169292666192</v>
      </c>
      <c r="O24" s="196">
        <f t="shared" si="32"/>
        <v>0.51510506788502419</v>
      </c>
      <c r="P24" s="196">
        <f t="shared" si="32"/>
        <v>0.51302694590238185</v>
      </c>
      <c r="Q24" s="196">
        <f t="shared" si="32"/>
        <v>0.50587026919294786</v>
      </c>
      <c r="R24" s="196">
        <f t="shared" si="32"/>
        <v>0.52649110099765772</v>
      </c>
      <c r="S24" s="196">
        <f t="shared" si="32"/>
        <v>0.52667109959860403</v>
      </c>
      <c r="T24" s="196">
        <f t="shared" ref="T24:V24" si="33">T32/T29</f>
        <v>0.53959856821111363</v>
      </c>
      <c r="U24" s="196">
        <f t="shared" si="33"/>
        <v>0.56814634438521439</v>
      </c>
      <c r="V24" s="196">
        <f t="shared" si="33"/>
        <v>0.56212119504267943</v>
      </c>
    </row>
    <row r="25" spans="1:23">
      <c r="A25" s="200" t="s">
        <v>228</v>
      </c>
      <c r="B25" s="201" t="s">
        <v>229</v>
      </c>
      <c r="C25" s="196">
        <f>C32/C31</f>
        <v>0.62607994847317749</v>
      </c>
      <c r="D25" s="196">
        <f t="shared" ref="D25:S25" si="34">D32/D31</f>
        <v>0.62808543385342197</v>
      </c>
      <c r="E25" s="196">
        <f t="shared" si="34"/>
        <v>0.62937328883904298</v>
      </c>
      <c r="F25" s="196">
        <f t="shared" si="34"/>
        <v>0.62467130015936334</v>
      </c>
      <c r="G25" s="196">
        <f t="shared" si="34"/>
        <v>0.61137734546582934</v>
      </c>
      <c r="H25" s="196">
        <f t="shared" si="34"/>
        <v>0.64589367868148817</v>
      </c>
      <c r="I25" s="196">
        <f t="shared" si="34"/>
        <v>0.65665348957350433</v>
      </c>
      <c r="J25" s="196">
        <f t="shared" si="34"/>
        <v>0.63872409735085867</v>
      </c>
      <c r="K25" s="196">
        <f t="shared" si="34"/>
        <v>0.65127735036587531</v>
      </c>
      <c r="L25" s="196">
        <f t="shared" si="34"/>
        <v>0.6497972043033482</v>
      </c>
      <c r="M25" s="196">
        <f t="shared" si="34"/>
        <v>0.65617904864791587</v>
      </c>
      <c r="N25" s="196">
        <f t="shared" si="34"/>
        <v>0.64858979187990473</v>
      </c>
      <c r="O25" s="196">
        <f t="shared" si="34"/>
        <v>0.65009989457217632</v>
      </c>
      <c r="P25" s="196">
        <f t="shared" si="34"/>
        <v>0.65244929021613973</v>
      </c>
      <c r="Q25" s="196">
        <f t="shared" si="34"/>
        <v>0.65244928996139173</v>
      </c>
      <c r="R25" s="196">
        <f t="shared" si="34"/>
        <v>0.67197143326711328</v>
      </c>
      <c r="S25" s="196">
        <f t="shared" si="34"/>
        <v>0.67410097562138238</v>
      </c>
      <c r="T25" s="196">
        <f t="shared" ref="T25:V25" si="35">T32/T31</f>
        <v>0.65742997479541976</v>
      </c>
      <c r="U25" s="196">
        <f t="shared" si="35"/>
        <v>0.69617939859106792</v>
      </c>
      <c r="V25" s="196">
        <f t="shared" si="35"/>
        <v>0.69547436039102373</v>
      </c>
    </row>
    <row r="26" spans="1:23">
      <c r="A26" s="200" t="s">
        <v>230</v>
      </c>
      <c r="B26" s="201"/>
      <c r="C26" s="196">
        <f>C39/C31</f>
        <v>0.13057749115840034</v>
      </c>
      <c r="D26" s="196">
        <f t="shared" ref="D26:S26" si="36">D39/D31</f>
        <v>1.4148179856649729E-2</v>
      </c>
      <c r="E26" s="196">
        <f t="shared" si="36"/>
        <v>0.10256004932951805</v>
      </c>
      <c r="F26" s="196">
        <f t="shared" si="36"/>
        <v>0.10220326817963118</v>
      </c>
      <c r="G26" s="196">
        <f t="shared" si="36"/>
        <v>9.9707759651288988E-2</v>
      </c>
      <c r="H26" s="196">
        <f t="shared" si="36"/>
        <v>0.10312870218272603</v>
      </c>
      <c r="I26" s="196">
        <f t="shared" si="36"/>
        <v>0.10392881461001667</v>
      </c>
      <c r="J26" s="196">
        <f t="shared" si="36"/>
        <v>0.10238886806977421</v>
      </c>
      <c r="K26" s="196">
        <f t="shared" si="36"/>
        <v>0.10338220924962194</v>
      </c>
      <c r="L26" s="196">
        <f t="shared" si="36"/>
        <v>0.10366502035706553</v>
      </c>
      <c r="M26" s="196">
        <f t="shared" si="36"/>
        <v>0.10495626362712446</v>
      </c>
      <c r="N26" s="196">
        <f t="shared" si="36"/>
        <v>0.10385938092445847</v>
      </c>
      <c r="O26" s="196">
        <f t="shared" si="36"/>
        <v>0.10381756728145244</v>
      </c>
      <c r="P26" s="196">
        <f t="shared" si="36"/>
        <v>0.10430610590183233</v>
      </c>
      <c r="Q26" s="196">
        <f t="shared" si="36"/>
        <v>1.3335459688196754E-2</v>
      </c>
      <c r="R26" s="196">
        <f t="shared" si="36"/>
        <v>0.10432719866368943</v>
      </c>
      <c r="S26" s="196">
        <f t="shared" si="36"/>
        <v>0.10495754414838984</v>
      </c>
      <c r="T26" s="196">
        <f t="shared" ref="T26:V26" si="37">T39/T31</f>
        <v>0.10135314271352956</v>
      </c>
      <c r="U26" s="196">
        <f t="shared" si="37"/>
        <v>0.10467353558017818</v>
      </c>
      <c r="V26" s="196">
        <f t="shared" si="37"/>
        <v>0.1049427894633025</v>
      </c>
    </row>
    <row r="27" spans="1:23">
      <c r="A27" s="200" t="s">
        <v>231</v>
      </c>
      <c r="B27" s="202"/>
      <c r="C27" s="196">
        <f>C46/C44</f>
        <v>0.37041291947647792</v>
      </c>
      <c r="D27" s="196">
        <f t="shared" ref="D27:S27" si="38">D46/D44</f>
        <v>0.37240719440776604</v>
      </c>
      <c r="E27" s="196">
        <f t="shared" si="38"/>
        <v>7.2228488516184464E-2</v>
      </c>
      <c r="F27" s="196">
        <f t="shared" si="38"/>
        <v>4.3097097030752742E-2</v>
      </c>
      <c r="G27" s="196">
        <f t="shared" si="38"/>
        <v>4.5965293123103768E-2</v>
      </c>
      <c r="H27" s="196">
        <f t="shared" si="38"/>
        <v>4.5846642971420708E-2</v>
      </c>
      <c r="I27" s="196">
        <f t="shared" si="38"/>
        <v>3.9225082528882335E-2</v>
      </c>
      <c r="J27" s="196">
        <f t="shared" si="38"/>
        <v>4.185673997550405E-2</v>
      </c>
      <c r="K27" s="196">
        <f t="shared" si="38"/>
        <v>5.0110369898620076E-2</v>
      </c>
      <c r="L27" s="196">
        <f t="shared" si="38"/>
        <v>4.3706730360508497E-2</v>
      </c>
      <c r="M27" s="196">
        <f t="shared" si="38"/>
        <v>4.7337890204067715E-2</v>
      </c>
      <c r="N27" s="196">
        <f t="shared" si="38"/>
        <v>4.9675708241056361E-2</v>
      </c>
      <c r="O27" s="196">
        <f t="shared" si="38"/>
        <v>4.7445890575968701E-2</v>
      </c>
      <c r="P27" s="196">
        <f t="shared" si="38"/>
        <v>4.4601606056748518E-2</v>
      </c>
      <c r="Q27" s="196">
        <f t="shared" si="38"/>
        <v>0.38321868185790386</v>
      </c>
      <c r="R27" s="196">
        <f t="shared" si="38"/>
        <v>9.1039150583046013E-2</v>
      </c>
      <c r="S27" s="196">
        <f t="shared" si="38"/>
        <v>5.7456976587506439E-2</v>
      </c>
      <c r="T27" s="196">
        <f t="shared" ref="T27:V27" si="39">T46/T44</f>
        <v>5.7120730952142852E-2</v>
      </c>
      <c r="U27" s="196">
        <f t="shared" si="39"/>
        <v>6.5861949737728021E-2</v>
      </c>
      <c r="V27" s="196">
        <f t="shared" si="39"/>
        <v>6.0668342130585765E-2</v>
      </c>
    </row>
    <row r="28" spans="1:23">
      <c r="A28" s="188" t="s">
        <v>232</v>
      </c>
      <c r="B28" s="189"/>
      <c r="C28" s="189"/>
      <c r="D28" s="190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</row>
    <row r="29" spans="1:23">
      <c r="A29" s="203" t="s">
        <v>26</v>
      </c>
      <c r="B29" s="204"/>
      <c r="C29" s="205">
        <v>801536311.79999995</v>
      </c>
      <c r="D29" s="206">
        <f>'Evolutive SFP'!Y26</f>
        <v>837075941.10000002</v>
      </c>
      <c r="E29" s="206">
        <f>Financials!AA4</f>
        <v>855672788.27999997</v>
      </c>
      <c r="F29" s="206">
        <f>Financials!AB4</f>
        <v>863432766.17999995</v>
      </c>
      <c r="G29" s="206">
        <f>Financials!AC4</f>
        <v>844455423.58999991</v>
      </c>
      <c r="H29" s="206">
        <f>Financials!AD4</f>
        <v>829297841.88000011</v>
      </c>
      <c r="I29" s="206">
        <f>Financials!AE4</f>
        <v>832531214.49000001</v>
      </c>
      <c r="J29" s="206">
        <f>Financials!AF4</f>
        <v>845719949.70000005</v>
      </c>
      <c r="K29" s="206">
        <f>Financials!AG4</f>
        <v>844417975.83999991</v>
      </c>
      <c r="L29" s="206">
        <f>Financials!AH4</f>
        <v>853217932.24999988</v>
      </c>
      <c r="M29" s="206">
        <f>Financials!AI4</f>
        <v>850280563.12</v>
      </c>
      <c r="N29" s="206">
        <f>Financials!AJ4</f>
        <v>865837321.03999996</v>
      </c>
      <c r="O29" s="206">
        <f>Financials!AK4</f>
        <v>872529547.72000003</v>
      </c>
      <c r="P29" s="206">
        <f>Financials!AL4</f>
        <v>879440244.53999996</v>
      </c>
      <c r="Q29" s="206">
        <f>Financials!AM4</f>
        <v>891881911.70000005</v>
      </c>
      <c r="R29" s="206">
        <f>Financials!AN4</f>
        <v>886755627.94000006</v>
      </c>
      <c r="S29" s="206">
        <f>Financials!AO4</f>
        <v>888250287.25999987</v>
      </c>
      <c r="T29" s="206">
        <f>Financials!AP4</f>
        <v>879866030.48999989</v>
      </c>
      <c r="U29" s="206">
        <f>Financials!AQ4</f>
        <v>860994560.29999995</v>
      </c>
      <c r="V29" s="206">
        <f>Financials!AR4</f>
        <v>871296730.00999999</v>
      </c>
      <c r="W29" s="206">
        <f>Financials!AS4</f>
        <v>878767388.95000005</v>
      </c>
    </row>
    <row r="30" spans="1:23">
      <c r="A30" s="203" t="s">
        <v>233</v>
      </c>
      <c r="B30" s="204"/>
      <c r="C30" s="205">
        <v>785525340.86000001</v>
      </c>
      <c r="D30" s="206">
        <f>(C29+D29)/2</f>
        <v>819306126.45000005</v>
      </c>
      <c r="E30" s="206">
        <f>(D29+E29)/2</f>
        <v>846374364.69000006</v>
      </c>
      <c r="F30" s="206">
        <f t="shared" ref="F30:P30" si="40">(E29+F29)/2</f>
        <v>859552777.23000002</v>
      </c>
      <c r="G30" s="206">
        <f t="shared" si="40"/>
        <v>853944094.88499999</v>
      </c>
      <c r="H30" s="206">
        <f t="shared" si="40"/>
        <v>836876632.73500001</v>
      </c>
      <c r="I30" s="206">
        <f t="shared" si="40"/>
        <v>830914528.18500006</v>
      </c>
      <c r="J30" s="206">
        <f t="shared" si="40"/>
        <v>839125582.09500003</v>
      </c>
      <c r="K30" s="206">
        <f t="shared" si="40"/>
        <v>845068962.76999998</v>
      </c>
      <c r="L30" s="206">
        <f t="shared" si="40"/>
        <v>848817954.04499984</v>
      </c>
      <c r="M30" s="206">
        <f t="shared" si="40"/>
        <v>851749247.68499994</v>
      </c>
      <c r="N30" s="206">
        <f t="shared" si="40"/>
        <v>858058942.07999992</v>
      </c>
      <c r="O30" s="206">
        <f t="shared" si="40"/>
        <v>869183434.38</v>
      </c>
      <c r="P30" s="206">
        <f t="shared" si="40"/>
        <v>875984896.13</v>
      </c>
      <c r="Q30" s="206">
        <f t="shared" ref="Q30" si="41">(P29+Q29)/2</f>
        <v>885661078.12</v>
      </c>
      <c r="R30" s="206">
        <f t="shared" ref="R30" si="42">(Q29+R29)/2</f>
        <v>889318769.82000005</v>
      </c>
      <c r="S30" s="206">
        <f t="shared" ref="S30" si="43">(R29+S29)/2</f>
        <v>887502957.5999999</v>
      </c>
      <c r="T30" s="206">
        <f t="shared" ref="T30" si="44">(S29+T29)/2</f>
        <v>884058158.87499988</v>
      </c>
      <c r="U30" s="206">
        <f t="shared" ref="U30" si="45">(T29+U29)/2</f>
        <v>870430295.39499998</v>
      </c>
      <c r="V30" s="206">
        <f t="shared" ref="V30" si="46">(U29+V29)/2</f>
        <v>866145645.15499997</v>
      </c>
      <c r="W30" s="206">
        <f t="shared" ref="W30" si="47">(V29+W29)/2</f>
        <v>875032059.48000002</v>
      </c>
    </row>
    <row r="31" spans="1:23">
      <c r="A31" s="203" t="s">
        <v>91</v>
      </c>
      <c r="B31" s="204"/>
      <c r="C31" s="205">
        <v>628218051</v>
      </c>
      <c r="D31" s="206">
        <f>Financials!Z5</f>
        <v>651789212</v>
      </c>
      <c r="E31" s="206">
        <f>Financials!AA5</f>
        <v>661016926.30999994</v>
      </c>
      <c r="F31" s="206">
        <f>Financials!AB5</f>
        <v>666797938.88999999</v>
      </c>
      <c r="G31" s="206">
        <f>Financials!AC5</f>
        <v>691359717.75</v>
      </c>
      <c r="H31" s="206">
        <f>Financials!AD5</f>
        <v>671868520.63</v>
      </c>
      <c r="I31" s="206">
        <f>Financials!AE5</f>
        <v>670111834.05999994</v>
      </c>
      <c r="J31" s="206">
        <f>Financials!AF5</f>
        <v>683657607.41000009</v>
      </c>
      <c r="K31" s="206">
        <f>Financials!AG5</f>
        <v>680522587.78999996</v>
      </c>
      <c r="L31" s="206">
        <f>Financials!AH5</f>
        <v>682090528.96000004</v>
      </c>
      <c r="M31" s="206">
        <f>Financials!AI5</f>
        <v>677081349.06999993</v>
      </c>
      <c r="N31" s="206">
        <f>Financials!AJ5</f>
        <v>687650243.38</v>
      </c>
      <c r="O31" s="206">
        <f>Financials!AK5</f>
        <v>691346661.74000001</v>
      </c>
      <c r="P31" s="206">
        <f>Financials!AL5</f>
        <v>691512044.73000002</v>
      </c>
      <c r="Q31" s="206">
        <f>Financials!AM5</f>
        <v>691512045</v>
      </c>
      <c r="R31" s="206">
        <f>Financials!AN5</f>
        <v>694774991.54999995</v>
      </c>
      <c r="S31" s="206">
        <f>Financials!AO5</f>
        <v>693984688.38999999</v>
      </c>
      <c r="T31" s="206">
        <f>Financials!AP5</f>
        <v>722167331.08000004</v>
      </c>
      <c r="U31" s="206">
        <f>Financials!AQ5</f>
        <v>702650657.23000002</v>
      </c>
      <c r="V31" s="206">
        <f>Financials!AR5</f>
        <v>704230647.46000004</v>
      </c>
      <c r="W31" s="206">
        <f>Financials!AS5</f>
        <v>708518863.62</v>
      </c>
    </row>
    <row r="32" spans="1:23">
      <c r="A32" s="203" t="s">
        <v>234</v>
      </c>
      <c r="B32" s="204"/>
      <c r="C32" s="205">
        <v>393314725</v>
      </c>
      <c r="D32" s="206">
        <f>'Evolutive SFP'!Y14</f>
        <v>409379310</v>
      </c>
      <c r="E32" s="206">
        <f>'Evolutive SFP'!Z14</f>
        <v>416026396.88999999</v>
      </c>
      <c r="F32" s="206">
        <f>'Evolutive SFP'!AA14</f>
        <v>416529535.43000001</v>
      </c>
      <c r="G32" s="206">
        <f>'Evolutive SFP'!AB14</f>
        <v>422681669</v>
      </c>
      <c r="H32" s="206">
        <f>'Evolutive SFP'!AC14</f>
        <v>433955630.38</v>
      </c>
      <c r="I32" s="206">
        <f>'Evolutive SFP'!AD14</f>
        <v>440031274.24000001</v>
      </c>
      <c r="J32" s="206">
        <f>'Evolutive SFP'!AE14</f>
        <v>436668588.19</v>
      </c>
      <c r="K32" s="206">
        <f>'Evolutive SFP'!AF14</f>
        <v>443208947.83999997</v>
      </c>
      <c r="L32" s="206">
        <f>'Evolutive SFP'!AG14</f>
        <v>443220518.80000001</v>
      </c>
      <c r="M32" s="206">
        <f>'Evolutive SFP'!AH14</f>
        <v>444286595.49000001</v>
      </c>
      <c r="N32" s="206">
        <f>'Evolutive SFP'!AI14</f>
        <v>446002928.24000001</v>
      </c>
      <c r="O32" s="206">
        <f>'Evolutive SFP'!AJ14</f>
        <v>449444391.91000003</v>
      </c>
      <c r="P32" s="206">
        <f>'Evolutive SFP'!AK14</f>
        <v>451176542.75999999</v>
      </c>
      <c r="Q32" s="206">
        <f>'Evolutive SFP'!AL14</f>
        <v>451176542.75999999</v>
      </c>
      <c r="R32" s="206">
        <f>'Evolutive SFP'!AM14</f>
        <v>466868946.87</v>
      </c>
      <c r="S32" s="206">
        <f>'Evolutive SFP'!AN14</f>
        <v>467815755.50999999</v>
      </c>
      <c r="T32" s="206">
        <f>'Evolutive SFP'!AO14</f>
        <v>474774450.26999998</v>
      </c>
      <c r="U32" s="206">
        <f>'Evolutive SFP'!AP14</f>
        <v>489170911.97000003</v>
      </c>
      <c r="V32" s="206">
        <f>'Evolutive SFP'!AQ14</f>
        <v>489774359.11000001</v>
      </c>
      <c r="W32" s="206">
        <f>'Evolutive SFP'!AR14</f>
        <v>497594609.44999999</v>
      </c>
    </row>
    <row r="33" spans="1:23">
      <c r="A33" s="203" t="s">
        <v>96</v>
      </c>
      <c r="B33" s="204"/>
      <c r="C33" s="205">
        <v>128588322.84999999</v>
      </c>
      <c r="D33" s="206">
        <f>Financials!Z11</f>
        <v>131238457.55</v>
      </c>
      <c r="E33" s="206">
        <f>Financials!AA11</f>
        <v>129545331.51000002</v>
      </c>
      <c r="F33" s="206">
        <f>Financials!AB11</f>
        <v>128890787.21000001</v>
      </c>
      <c r="G33" s="206">
        <f>Financials!AC11</f>
        <v>134111858.81999999</v>
      </c>
      <c r="H33" s="206">
        <f>Financials!AD11</f>
        <v>139831130.40000001</v>
      </c>
      <c r="I33" s="206">
        <f>Financials!AE11</f>
        <v>144406184.21000001</v>
      </c>
      <c r="J33" s="206">
        <f>Financials!AF11</f>
        <v>147141254.49000001</v>
      </c>
      <c r="K33" s="206">
        <f>Financials!AG11</f>
        <v>147456097.59</v>
      </c>
      <c r="L33" s="206">
        <f>Financials!AH11</f>
        <v>154019355.09</v>
      </c>
      <c r="M33" s="206">
        <f>Financials!AI11</f>
        <v>155796849.79999998</v>
      </c>
      <c r="N33" s="206">
        <f>Financials!AJ11</f>
        <v>142119814.09</v>
      </c>
      <c r="O33" s="206">
        <f>Financials!AK11</f>
        <v>144339326.49000001</v>
      </c>
      <c r="P33" s="206">
        <f>Financials!AL11</f>
        <v>146233262.80000001</v>
      </c>
      <c r="Q33" s="206">
        <f>Financials!AM11</f>
        <v>155448703.69999999</v>
      </c>
      <c r="R33" s="206">
        <f>Financials!AN11</f>
        <v>141507429.84999999</v>
      </c>
      <c r="S33" s="206">
        <f>Financials!AO11</f>
        <v>142944708.19999999</v>
      </c>
      <c r="T33" s="206">
        <f>Financials!AP11</f>
        <v>143398766.03999999</v>
      </c>
      <c r="U33" s="206">
        <f>Financials!AQ11</f>
        <v>125634964.30000001</v>
      </c>
      <c r="V33" s="206">
        <f>Financials!AR11</f>
        <v>132994390.78999999</v>
      </c>
      <c r="W33" s="206">
        <f>Financials!AS11</f>
        <v>136471337.10999998</v>
      </c>
    </row>
    <row r="34" spans="1:23">
      <c r="A34" s="203" t="s">
        <v>235</v>
      </c>
      <c r="B34" s="204"/>
      <c r="C34" s="205">
        <v>79153322.849999994</v>
      </c>
      <c r="D34" s="206">
        <f>Financials!Z12</f>
        <v>72630652.549999997</v>
      </c>
      <c r="E34" s="206">
        <f>Financials!AA12</f>
        <v>70937526.630000025</v>
      </c>
      <c r="F34" s="206">
        <f>Financials!AB12</f>
        <v>70281482.330000013</v>
      </c>
      <c r="G34" s="206">
        <f>Financials!AC12</f>
        <v>75613326.219999999</v>
      </c>
      <c r="H34" s="206">
        <f>Financials!AD12</f>
        <v>81332597.800000012</v>
      </c>
      <c r="I34" s="206">
        <f>Financials!AE12</f>
        <v>85907651.610000014</v>
      </c>
      <c r="J34" s="206">
        <f>Financials!AF12</f>
        <v>88642721.890000015</v>
      </c>
      <c r="K34" s="206">
        <f>Financials!AG12</f>
        <v>88957564.99000001</v>
      </c>
      <c r="L34" s="206">
        <f>Financials!AH12</f>
        <v>95520822.49000001</v>
      </c>
      <c r="M34" s="206">
        <f>Financials!AI12</f>
        <v>97276541.529999971</v>
      </c>
      <c r="N34" s="206">
        <f>Financials!AJ12</f>
        <v>82834382.819999993</v>
      </c>
      <c r="O34" s="206">
        <f>Financials!AK12</f>
        <v>85053895.219999999</v>
      </c>
      <c r="P34" s="206">
        <f>Financials!AL12</f>
        <v>77415515.800000012</v>
      </c>
      <c r="Q34" s="206">
        <f>Financials!AM12</f>
        <v>86630956.699999988</v>
      </c>
      <c r="R34" s="206">
        <f>Financials!AN12</f>
        <v>72689683.00999999</v>
      </c>
      <c r="S34" s="206">
        <f>Financials!AO12</f>
        <v>74126961.359999985</v>
      </c>
      <c r="T34" s="206">
        <f>Financials!AP12</f>
        <v>74596019.199999988</v>
      </c>
      <c r="U34" s="206">
        <f>Financials!AQ12</f>
        <v>56819717.460000008</v>
      </c>
      <c r="V34" s="206">
        <f>Financials!AR12</f>
        <v>63993428.709999993</v>
      </c>
      <c r="W34" s="206">
        <f>Financials!AS12</f>
        <v>67485375.029999986</v>
      </c>
    </row>
    <row r="35" spans="1:23">
      <c r="A35" s="203" t="s">
        <v>236</v>
      </c>
      <c r="B35" s="204"/>
      <c r="C35" s="205">
        <f>'FORM 4'!C13+'FORM 4'!C14+'FORM 4'!C15</f>
        <v>31713435.699999999</v>
      </c>
      <c r="D35" s="206">
        <f>'FORM 4'!H13+'FORM 4'!H14+'FORM 4'!H15</f>
        <v>24844244.5</v>
      </c>
      <c r="E35" s="206"/>
      <c r="F35" s="206"/>
      <c r="G35" s="206">
        <f>'FORM 4'!L13+'FORM 4'!L14+'FORM 4'!L15</f>
        <v>24355701.18</v>
      </c>
      <c r="H35" s="206"/>
      <c r="I35" s="206"/>
      <c r="J35" s="206">
        <f>'FORM 4'!P13+'FORM 4'!P14+'FORM 4'!P15</f>
        <v>23393047.759999998</v>
      </c>
      <c r="K35" s="206"/>
      <c r="L35" s="206"/>
      <c r="M35" s="206">
        <f>'FORM 4'!T13+'FORM 4'!T14+'FORM 4'!T15</f>
        <v>24471360.52</v>
      </c>
      <c r="N35" s="206"/>
      <c r="O35" s="206"/>
      <c r="P35" s="206">
        <f>'FORM 4'!X13+'FORM 4'!X14+'FORM 4'!X15</f>
        <v>22810623</v>
      </c>
      <c r="Q35" s="206">
        <f>'FORM 4'!AB13+'FORM 4'!AB14+'FORM 4'!AB15</f>
        <v>23014992.949999999</v>
      </c>
      <c r="R35" s="206"/>
      <c r="S35" s="206"/>
      <c r="T35" s="206"/>
      <c r="U35" s="206"/>
      <c r="V35" s="206"/>
      <c r="W35" s="206">
        <v>30233363.359999999</v>
      </c>
    </row>
    <row r="36" spans="1:23">
      <c r="A36" s="203" t="s">
        <v>113</v>
      </c>
      <c r="B36" s="204"/>
      <c r="C36" s="205">
        <v>245147446</v>
      </c>
      <c r="D36" s="206">
        <f>Financials!Z34</f>
        <v>252782324.09999999</v>
      </c>
      <c r="E36" s="206">
        <f>Financials!AA34</f>
        <v>250842550.94999999</v>
      </c>
      <c r="F36" s="206">
        <f>Financials!AB34</f>
        <v>254941244.25999999</v>
      </c>
      <c r="G36" s="206">
        <f>Financials!AC34</f>
        <v>248237347.21000004</v>
      </c>
      <c r="H36" s="206">
        <f>Financials!AD34</f>
        <v>247780031.96000004</v>
      </c>
      <c r="I36" s="206">
        <f>Financials!AE34</f>
        <v>241315261.31000003</v>
      </c>
      <c r="J36" s="206">
        <f>Financials!AF34</f>
        <v>228224931.81000003</v>
      </c>
      <c r="K36" s="206">
        <f>Financials!AG34</f>
        <v>243722737.16000003</v>
      </c>
      <c r="L36" s="206">
        <f>Financials!AH34</f>
        <v>251164719.21000004</v>
      </c>
      <c r="M36" s="206">
        <f>Financials!AI34</f>
        <v>246566105.89000005</v>
      </c>
      <c r="N36" s="206">
        <f>Financials!AJ34</f>
        <v>249230828.69000003</v>
      </c>
      <c r="O36" s="206">
        <f>Financials!AK34</f>
        <v>243507698.82000002</v>
      </c>
      <c r="P36" s="206">
        <f>Financials!AL34</f>
        <v>240993497.99000001</v>
      </c>
      <c r="Q36" s="206">
        <f>Financials!AM34</f>
        <v>253435064.79000002</v>
      </c>
      <c r="R36" s="206">
        <f>Financials!AN34</f>
        <v>245777036.51000002</v>
      </c>
      <c r="S36" s="206">
        <f>Financials!AO34</f>
        <v>244838343.38000003</v>
      </c>
      <c r="T36" s="206">
        <f>Financials!AP34</f>
        <v>242411220.27000001</v>
      </c>
      <c r="U36" s="206">
        <f>Financials!AQ34</f>
        <v>231277991.51000002</v>
      </c>
      <c r="V36" s="206">
        <f>Financials!AR34</f>
        <v>245001895.12</v>
      </c>
      <c r="W36" s="206">
        <f>Financials!AS34</f>
        <v>225640650.22000003</v>
      </c>
    </row>
    <row r="37" spans="1:23">
      <c r="A37" s="203" t="s">
        <v>22</v>
      </c>
      <c r="B37" s="204"/>
      <c r="C37" s="205">
        <v>24653331</v>
      </c>
      <c r="D37" s="206">
        <f>Financials!Z35</f>
        <v>22963419.199999999</v>
      </c>
      <c r="E37" s="206">
        <f>Financials!AA35</f>
        <v>25639208.77</v>
      </c>
      <c r="F37" s="206">
        <f>Financials!AB35</f>
        <v>25639208.77</v>
      </c>
      <c r="G37" s="206">
        <f>Financials!AC35</f>
        <v>23024949.52</v>
      </c>
      <c r="H37" s="206">
        <f>Financials!AD35</f>
        <v>23024949.52</v>
      </c>
      <c r="I37" s="206">
        <f>Financials!AE35</f>
        <v>23525649.52</v>
      </c>
      <c r="J37" s="206">
        <f>Financials!AF35</f>
        <v>23525649.52</v>
      </c>
      <c r="K37" s="206">
        <f>Financials!AG35</f>
        <v>23525649.52</v>
      </c>
      <c r="L37" s="206">
        <f>Financials!AH35</f>
        <v>23525649.52</v>
      </c>
      <c r="M37" s="206">
        <f>Financials!AI35</f>
        <v>23525649.52</v>
      </c>
      <c r="N37" s="206">
        <f>Financials!AJ35</f>
        <v>23525649.52</v>
      </c>
      <c r="O37" s="206">
        <f>Financials!AK35</f>
        <v>23686649.52</v>
      </c>
      <c r="P37" s="206">
        <f>Financials!AL35</f>
        <v>23686649.52</v>
      </c>
      <c r="Q37" s="206">
        <f>Financials!AM35</f>
        <v>21262616.149999999</v>
      </c>
      <c r="R37" s="206">
        <f>Financials!AN35</f>
        <v>23686649.52</v>
      </c>
      <c r="S37" s="206">
        <f>Financials!AO35</f>
        <v>23850349.52</v>
      </c>
      <c r="T37" s="206">
        <f>Financials!AP35</f>
        <v>21478316.469999999</v>
      </c>
      <c r="U37" s="206">
        <f>Financials!AQ35</f>
        <v>21478316.469999999</v>
      </c>
      <c r="V37" s="206">
        <f>Financials!AR35</f>
        <v>21478316.469999999</v>
      </c>
      <c r="W37" s="206">
        <f>Financials!AS35</f>
        <v>21478316.469999999</v>
      </c>
    </row>
    <row r="38" spans="1:23">
      <c r="A38" s="203" t="s">
        <v>237</v>
      </c>
      <c r="B38" s="204"/>
      <c r="C38" s="205">
        <v>0</v>
      </c>
      <c r="D38" s="206">
        <f>Financials!Z27</f>
        <v>71000</v>
      </c>
      <c r="E38" s="206">
        <f>Financials!AA27</f>
        <v>9221631</v>
      </c>
      <c r="F38" s="206">
        <f>Financials!AB27</f>
        <v>9221631</v>
      </c>
      <c r="G38" s="206">
        <f>Financials!AC27</f>
        <v>9221631</v>
      </c>
      <c r="H38" s="206">
        <f>Financials!AD27</f>
        <v>9221631</v>
      </c>
      <c r="I38" s="206">
        <f>Financials!AE27</f>
        <v>9221631</v>
      </c>
      <c r="J38" s="206">
        <f>Financials!AF27</f>
        <v>9221631</v>
      </c>
      <c r="K38" s="206">
        <f>Financials!AG27</f>
        <v>9221631</v>
      </c>
      <c r="L38" s="206">
        <f>Financials!AH27</f>
        <v>9221631</v>
      </c>
      <c r="M38" s="206">
        <f>Financials!AI27</f>
        <v>9221631</v>
      </c>
      <c r="N38" s="206">
        <f>Financials!AJ27</f>
        <v>9221631</v>
      </c>
      <c r="O38" s="206">
        <f>Financials!AK27</f>
        <v>9221631</v>
      </c>
      <c r="P38" s="206">
        <f>Financials!AL27</f>
        <v>9221631</v>
      </c>
      <c r="Q38" s="206">
        <f>Financials!AM27</f>
        <v>30000</v>
      </c>
      <c r="R38" s="206">
        <f>Financials!AN27</f>
        <v>9221631</v>
      </c>
      <c r="S38" s="206">
        <f>Financials!AO27</f>
        <v>9221631</v>
      </c>
      <c r="T38" s="206">
        <f>Financials!AP27</f>
        <v>9221631</v>
      </c>
      <c r="U38" s="206">
        <f>Financials!AQ27</f>
        <v>9221631</v>
      </c>
      <c r="V38" s="206">
        <f>Financials!AR27</f>
        <v>9221631</v>
      </c>
      <c r="W38" s="206">
        <f>Financials!AS27</f>
        <v>9221631</v>
      </c>
    </row>
    <row r="39" spans="1:23">
      <c r="A39" s="203" t="s">
        <v>238</v>
      </c>
      <c r="B39" s="204"/>
      <c r="C39" s="205">
        <v>82031137</v>
      </c>
      <c r="D39" s="206">
        <f>Financials!Z25</f>
        <v>9221631</v>
      </c>
      <c r="E39" s="206">
        <f>Financials!AA25</f>
        <v>67793928.569999993</v>
      </c>
      <c r="F39" s="206">
        <f>Financials!AB25</f>
        <v>68148928.569999993</v>
      </c>
      <c r="G39" s="206">
        <f>Financials!AC25</f>
        <v>68933928.569999993</v>
      </c>
      <c r="H39" s="206">
        <f>Financials!AD25</f>
        <v>69288928.569999993</v>
      </c>
      <c r="I39" s="206">
        <f>Financials!AE25</f>
        <v>69643928.569999993</v>
      </c>
      <c r="J39" s="206">
        <f>Financials!AF25</f>
        <v>69998928.569999993</v>
      </c>
      <c r="K39" s="206">
        <f>Financials!AG25</f>
        <v>70353928.569999993</v>
      </c>
      <c r="L39" s="206">
        <f>Financials!AH25</f>
        <v>70708928.569999993</v>
      </c>
      <c r="M39" s="206">
        <f>Financials!AI25</f>
        <v>71063928.569999993</v>
      </c>
      <c r="N39" s="206">
        <f>Financials!AJ25</f>
        <v>71418928.569999993</v>
      </c>
      <c r="O39" s="206">
        <f>Financials!AK25</f>
        <v>71773928.569999993</v>
      </c>
      <c r="P39" s="206">
        <f>Financials!AL25</f>
        <v>72128928.569999993</v>
      </c>
      <c r="Q39" s="206">
        <f>Financials!AM25</f>
        <v>9221631</v>
      </c>
      <c r="R39" s="206">
        <f>Financials!AN25</f>
        <v>72483928.569999993</v>
      </c>
      <c r="S39" s="206">
        <f>Financials!AO25</f>
        <v>72838928.569999993</v>
      </c>
      <c r="T39" s="206">
        <f>Financials!AP25</f>
        <v>73193928.569999993</v>
      </c>
      <c r="U39" s="206">
        <f>Financials!AQ25</f>
        <v>73548928.569999993</v>
      </c>
      <c r="V39" s="206">
        <f>Financials!AR25</f>
        <v>73903928.569999993</v>
      </c>
      <c r="W39" s="206">
        <f>Financials!AS25</f>
        <v>74258928.569999993</v>
      </c>
    </row>
    <row r="40" spans="1:23">
      <c r="A40" s="203" t="s">
        <v>239</v>
      </c>
      <c r="B40" s="204"/>
      <c r="C40" s="205">
        <v>108733975</v>
      </c>
      <c r="D40" s="206">
        <f>'Evolutive SFP'!Y4</f>
        <v>189916385</v>
      </c>
      <c r="E40" s="206">
        <f>'Evolutive SFP'!Z4</f>
        <v>145233620.82999998</v>
      </c>
      <c r="F40" s="206">
        <f>'Evolutive SFP'!AA4</f>
        <v>148036766.88</v>
      </c>
      <c r="G40" s="206">
        <f>'Evolutive SFP'!AB4</f>
        <v>128826187.77</v>
      </c>
      <c r="H40" s="206">
        <f>'Evolutive SFP'!AC4</f>
        <v>102496959.93000001</v>
      </c>
      <c r="I40" s="206">
        <f>'Evolutive SFP'!AD4</f>
        <v>105764459.33</v>
      </c>
      <c r="J40" s="206">
        <f>'Evolutive SFP'!AE4</f>
        <v>135051210.09</v>
      </c>
      <c r="K40" s="206">
        <f>'Evolutive SFP'!AF4</f>
        <v>111356071.23</v>
      </c>
      <c r="L40" s="206">
        <f>'Evolutive SFP'!AG4</f>
        <v>112347474.63</v>
      </c>
      <c r="M40" s="206">
        <f>'Evolutive SFP'!AH4</f>
        <v>112587642.13</v>
      </c>
      <c r="N40" s="206">
        <f>'Evolutive SFP'!AI4</f>
        <v>123408344.5</v>
      </c>
      <c r="O40" s="206">
        <f>'Evolutive SFP'!AJ4</f>
        <v>132027237.38</v>
      </c>
      <c r="P40" s="206">
        <f>'Evolutive SFP'!AK4</f>
        <v>139601604.06999999</v>
      </c>
      <c r="Q40" s="206">
        <f>'Evolutive SFP'!AL4</f>
        <v>202509002</v>
      </c>
      <c r="R40" s="206">
        <f>'Evolutive SFP'!AM4</f>
        <v>126086044.84</v>
      </c>
      <c r="S40" s="206">
        <f>'Evolutive SFP'!AN4</f>
        <v>127217588.65000001</v>
      </c>
      <c r="T40" s="206">
        <f>'Evolutive SFP'!AO4</f>
        <v>113946760.23</v>
      </c>
      <c r="U40" s="206">
        <f>'Evolutive SFP'!AP4</f>
        <v>91457057.100000009</v>
      </c>
      <c r="V40" s="206">
        <f>'Evolutive SFP'!AQ4</f>
        <v>87076876.060000002</v>
      </c>
      <c r="W40" s="206">
        <f>'Evolutive SFP'!AR4</f>
        <v>105733529.56</v>
      </c>
    </row>
    <row r="41" spans="1:23">
      <c r="A41" s="203" t="s">
        <v>240</v>
      </c>
      <c r="B41" s="204"/>
      <c r="C41" s="205">
        <v>192741948</v>
      </c>
      <c r="D41" s="206">
        <f>'Evolutive SFP'!Y27+'Evolutive SFP'!Y28+'Evolutive SFP'!Y31+'Evolutive SFP'!Y32+'Evolutive SFP'!Y33+'Evolutive SFP'!Y34+'Evolutive SFP'!Y35</f>
        <v>238767764.75</v>
      </c>
      <c r="E41" s="206">
        <f>'Evolutive SFP'!Z27+'Evolutive SFP'!Z28+'Evolutive SFP'!Z31+'Evolutive SFP'!Z32+'Evolutive SFP'!Z33+'Evolutive SFP'!Z34+'Evolutive SFP'!Z35</f>
        <v>252097441.34</v>
      </c>
      <c r="F41" s="206">
        <f>'Evolutive SFP'!AA27+'Evolutive SFP'!AA28+'Evolutive SFP'!AA31+'Evolutive SFP'!AA32+'Evolutive SFP'!AA33+'Evolutive SFP'!AA34+'Evolutive SFP'!AA35</f>
        <v>258240362.89000002</v>
      </c>
      <c r="G41" s="206">
        <f>'Evolutive SFP'!AB27+'Evolutive SFP'!AB28+'Evolutive SFP'!AB31+'Evolutive SFP'!AB32+'Evolutive SFP'!AB33+'Evolutive SFP'!AB34+'Evolutive SFP'!AB35</f>
        <v>230413104.22</v>
      </c>
      <c r="H41" s="206">
        <f>'Evolutive SFP'!AC27+'Evolutive SFP'!AC28+'Evolutive SFP'!AC31+'Evolutive SFP'!AC32+'Evolutive SFP'!AC33+'Evolutive SFP'!AC34+'Evolutive SFP'!AC35</f>
        <v>207319778.08000001</v>
      </c>
      <c r="I41" s="206">
        <f>'Evolutive SFP'!AD27+'Evolutive SFP'!AD28+'Evolutive SFP'!AD31+'Evolutive SFP'!AD32+'Evolutive SFP'!AD33+'Evolutive SFP'!AD34+'Evolutive SFP'!AD35</f>
        <v>202726260.19</v>
      </c>
      <c r="J41" s="206">
        <f>'Evolutive SFP'!AE27+'Evolutive SFP'!AE28+'Evolutive SFP'!AE31+'Evolutive SFP'!AE32+'Evolutive SFP'!AE33+'Evolutive SFP'!AE34+'Evolutive SFP'!AE35</f>
        <v>209941702.99000001</v>
      </c>
      <c r="K41" s="206">
        <f>'Evolutive SFP'!AF27+'Evolutive SFP'!AF28+'Evolutive SFP'!AF31+'Evolutive SFP'!AF32+'Evolutive SFP'!AF33+'Evolutive SFP'!AF34+'Evolutive SFP'!AF35</f>
        <v>210235732.71000001</v>
      </c>
      <c r="L41" s="206">
        <f>'Evolutive SFP'!AG27+'Evolutive SFP'!AG28+'Evolutive SFP'!AG31+'Evolutive SFP'!AG32+'Evolutive SFP'!AG33+'Evolutive SFP'!AG34+'Evolutive SFP'!AG35</f>
        <v>208602217.56</v>
      </c>
      <c r="M41" s="206">
        <f>'Evolutive SFP'!AH27+'Evolutive SFP'!AH28+'Evolutive SFP'!AH31+'Evolutive SFP'!AH32+'Evolutive SFP'!AH33+'Evolutive SFP'!AH34+'Evolutive SFP'!AH35</f>
        <v>202416734.67000002</v>
      </c>
      <c r="N41" s="206">
        <f>'Evolutive SFP'!AI27+'Evolutive SFP'!AI28+'Evolutive SFP'!AI31+'Evolutive SFP'!AI32+'Evolutive SFP'!AI33+'Evolutive SFP'!AI34+'Evolutive SFP'!AI35</f>
        <v>213551611.42000002</v>
      </c>
      <c r="O41" s="206">
        <f>'Evolutive SFP'!AJ27+'Evolutive SFP'!AJ28+'Evolutive SFP'!AJ31+'Evolutive SFP'!AJ32+'Evolutive SFP'!AJ33+'Evolutive SFP'!AJ34+'Evolutive SFP'!AJ35</f>
        <v>219027989.03000003</v>
      </c>
      <c r="P41" s="206">
        <f>'Evolutive SFP'!AK27+'Evolutive SFP'!AK28+'Evolutive SFP'!AK31+'Evolutive SFP'!AK32+'Evolutive SFP'!AK33+'Evolutive SFP'!AK34+'Evolutive SFP'!AK35</f>
        <v>244967047.95999998</v>
      </c>
      <c r="Q41" s="206">
        <f>'Evolutive SFP'!AL27+'Evolutive SFP'!AL28+'Evolutive SFP'!AL31+'Evolutive SFP'!AL32+'Evolutive SFP'!AL33+'Evolutive SFP'!AL34+'Evolutive SFP'!AL35</f>
        <v>257384906</v>
      </c>
      <c r="R41" s="206">
        <f>'Evolutive SFP'!AM27+'Evolutive SFP'!AM28+'Evolutive SFP'!AM31+'Evolutive SFP'!AM32+'Evolutive SFP'!AM33+'Evolutive SFP'!AM34+'Evolutive SFP'!AM35</f>
        <v>254398072.67999998</v>
      </c>
      <c r="S41" s="206">
        <f>'Evolutive SFP'!AN27+'Evolutive SFP'!AN28+'Evolutive SFP'!AN31+'Evolutive SFP'!AN32+'Evolutive SFP'!AN33+'Evolutive SFP'!AN34+'Evolutive SFP'!AN35</f>
        <v>251353061.42000002</v>
      </c>
      <c r="T41" s="206">
        <f>'Evolutive SFP'!AO27+'Evolutive SFP'!AO28+'Evolutive SFP'!AO31+'Evolutive SFP'!AO32+'Evolutive SFP'!AO33+'Evolutive SFP'!AO34+'Evolutive SFP'!AO35</f>
        <v>237584540.29000002</v>
      </c>
      <c r="U41" s="206">
        <f>'Evolutive SFP'!AP27+'Evolutive SFP'!AP28+'Evolutive SFP'!AP31+'Evolutive SFP'!AP32+'Evolutive SFP'!AP33+'Evolutive SFP'!AP34+'Evolutive SFP'!AP35</f>
        <v>215632897.54000002</v>
      </c>
      <c r="V41" s="206">
        <f>'Evolutive SFP'!AQ27+'Evolutive SFP'!AQ28+'Evolutive SFP'!AQ31+'Evolutive SFP'!AQ32+'Evolutive SFP'!AQ33+'Evolutive SFP'!AQ34+'Evolutive SFP'!AQ35</f>
        <v>216478765.63999999</v>
      </c>
      <c r="W41" s="206">
        <f>'Evolutive SFP'!AR27+'Evolutive SFP'!AR28+'Evolutive SFP'!AR31+'Evolutive SFP'!AR32+'Evolutive SFP'!AR33+'Evolutive SFP'!AR34+'Evolutive SFP'!AR35</f>
        <v>218218597.02000001</v>
      </c>
    </row>
    <row r="42" spans="1:23">
      <c r="A42" s="203" t="s">
        <v>94</v>
      </c>
      <c r="B42" s="204"/>
      <c r="C42" s="205">
        <v>0</v>
      </c>
      <c r="D42" s="206">
        <f>'Evolutive SFP'!Y36</f>
        <v>0</v>
      </c>
      <c r="E42" s="206">
        <f>'Evolutive SFP'!Z36</f>
        <v>0</v>
      </c>
      <c r="F42" s="206">
        <f>'Evolutive SFP'!AA36</f>
        <v>0</v>
      </c>
      <c r="G42" s="206">
        <f>'Evolutive SFP'!AB36</f>
        <v>0</v>
      </c>
      <c r="H42" s="206">
        <f>'Evolutive SFP'!AC36</f>
        <v>0</v>
      </c>
      <c r="I42" s="206">
        <f>'Evolutive SFP'!AD36</f>
        <v>0</v>
      </c>
      <c r="J42" s="206">
        <f>'Evolutive SFP'!AE36</f>
        <v>0</v>
      </c>
      <c r="K42" s="206">
        <f>'Evolutive SFP'!AF36</f>
        <v>0</v>
      </c>
      <c r="L42" s="206">
        <f>'Evolutive SFP'!AG36</f>
        <v>0</v>
      </c>
      <c r="M42" s="206">
        <f>'Evolutive SFP'!AH36</f>
        <v>0</v>
      </c>
      <c r="N42" s="206">
        <f>'Evolutive SFP'!AI36</f>
        <v>0</v>
      </c>
      <c r="O42" s="206">
        <f>'Evolutive SFP'!AJ36</f>
        <v>0</v>
      </c>
      <c r="P42" s="206">
        <f>'Evolutive SFP'!AK36</f>
        <v>0</v>
      </c>
      <c r="Q42" s="206">
        <f>'Evolutive SFP'!AL36</f>
        <v>0</v>
      </c>
      <c r="R42" s="206">
        <f>'Evolutive SFP'!AM36</f>
        <v>0</v>
      </c>
      <c r="S42" s="206">
        <f>'Evolutive SFP'!AN36</f>
        <v>0</v>
      </c>
      <c r="T42" s="206">
        <f>'Evolutive SFP'!AO36</f>
        <v>0</v>
      </c>
      <c r="U42" s="206">
        <f>'Evolutive SFP'!AP36</f>
        <v>0</v>
      </c>
      <c r="V42" s="206">
        <f>'Evolutive SFP'!AQ36</f>
        <v>0</v>
      </c>
      <c r="W42" s="206">
        <f>'Evolutive SFP'!AR36</f>
        <v>0</v>
      </c>
    </row>
    <row r="43" spans="1:23">
      <c r="A43" s="203" t="s">
        <v>241</v>
      </c>
      <c r="B43" s="204"/>
      <c r="C43" s="205">
        <v>381203302.00999999</v>
      </c>
      <c r="D43" s="206">
        <f>(D32+C32)/2</f>
        <v>401347017.5</v>
      </c>
      <c r="E43" s="206">
        <f>(E32+D32)/2</f>
        <v>412702853.44499999</v>
      </c>
      <c r="F43" s="206">
        <f t="shared" ref="F43:P43" si="48">(F32+E32)/2</f>
        <v>416277966.15999997</v>
      </c>
      <c r="G43" s="206">
        <f t="shared" si="48"/>
        <v>419605602.21500003</v>
      </c>
      <c r="H43" s="206">
        <f t="shared" si="48"/>
        <v>428318649.69</v>
      </c>
      <c r="I43" s="206">
        <f t="shared" si="48"/>
        <v>436993452.31</v>
      </c>
      <c r="J43" s="206">
        <f t="shared" si="48"/>
        <v>438349931.21500003</v>
      </c>
      <c r="K43" s="206">
        <f t="shared" si="48"/>
        <v>439938768.01499999</v>
      </c>
      <c r="L43" s="206">
        <f t="shared" si="48"/>
        <v>443214733.31999999</v>
      </c>
      <c r="M43" s="206">
        <f t="shared" si="48"/>
        <v>443753557.14499998</v>
      </c>
      <c r="N43" s="206">
        <f t="shared" si="48"/>
        <v>445144761.86500001</v>
      </c>
      <c r="O43" s="206">
        <f t="shared" si="48"/>
        <v>447723660.07500005</v>
      </c>
      <c r="P43" s="206">
        <f t="shared" si="48"/>
        <v>450310467.33500004</v>
      </c>
      <c r="Q43" s="206">
        <f t="shared" ref="Q43" si="49">(Q32+P32)/2</f>
        <v>451176542.75999999</v>
      </c>
      <c r="R43" s="206">
        <f t="shared" ref="R43" si="50">(R32+Q32)/2</f>
        <v>459022744.815</v>
      </c>
      <c r="S43" s="206">
        <f t="shared" ref="S43" si="51">(S32+R32)/2</f>
        <v>467342351.19</v>
      </c>
      <c r="T43" s="206">
        <f t="shared" ref="T43" si="52">(T32+S32)/2</f>
        <v>471295102.88999999</v>
      </c>
      <c r="U43" s="206">
        <f t="shared" ref="U43" si="53">(U32+T32)/2</f>
        <v>481972681.12</v>
      </c>
      <c r="V43" s="206">
        <f t="shared" ref="V43" si="54">(V32+U32)/2</f>
        <v>489472635.54000002</v>
      </c>
      <c r="W43" s="206">
        <f t="shared" ref="W43" si="55">(W32+V32)/2</f>
        <v>493684484.27999997</v>
      </c>
    </row>
    <row r="44" spans="1:23">
      <c r="A44" s="203" t="s">
        <v>242</v>
      </c>
      <c r="B44" s="204"/>
      <c r="C44" s="205">
        <v>96030176</v>
      </c>
      <c r="D44" s="206">
        <f>'Evolutitve SCI'!Y3+'Evolutitve SCI'!Y30</f>
        <v>115999152</v>
      </c>
      <c r="E44" s="206">
        <f>'Evolutitve SCI'!Z3+'Evolutitve SCI'!Z30</f>
        <v>8219788.5099999998</v>
      </c>
      <c r="F44" s="206">
        <f>'Evolutitve SCI'!AA3+'Evolutitve SCI'!AA30</f>
        <v>15809769.960000001</v>
      </c>
      <c r="G44" s="206">
        <f>'Evolutitve SCI'!AB3+'Evolutitve SCI'!AB30</f>
        <v>27639899.23</v>
      </c>
      <c r="H44" s="206">
        <f>'Evolutitve SCI'!AC3+'Evolutitve SCI'!AC30</f>
        <v>37098704.719999999</v>
      </c>
      <c r="I44" s="206">
        <f>'Evolutitve SCI'!AD3+'Evolutitve SCI'!AD30</f>
        <v>46591552.450000003</v>
      </c>
      <c r="J44" s="206">
        <f>'Evolutitve SCI'!AE3+'Evolutitve SCI'!AE30</f>
        <v>54168553.770000003</v>
      </c>
      <c r="K44" s="206">
        <f>'Evolutitve SCI'!AF3+'Evolutitve SCI'!AF30</f>
        <v>58386852.579999998</v>
      </c>
      <c r="L44" s="206">
        <f>'Evolutitve SCI'!AG3+'Evolutitve SCI'!AG30</f>
        <v>70535601.829999998</v>
      </c>
      <c r="M44" s="206">
        <f>'Evolutitve SCI'!AH3+'Evolutitve SCI'!AH30</f>
        <v>76546466.570000008</v>
      </c>
      <c r="N44" s="206">
        <f>'Evolutitve SCI'!AI3+'Evolutitve SCI'!AI30</f>
        <v>83601597.179999992</v>
      </c>
      <c r="O44" s="206">
        <f>'Evolutitve SCI'!AJ3+'Evolutitve SCI'!AJ30</f>
        <v>89057893.079999998</v>
      </c>
      <c r="P44" s="206">
        <f>'Evolutitve SCI'!AK3+'Evolutitve SCI'!AK30</f>
        <v>112226371.92999999</v>
      </c>
      <c r="Q44" s="206">
        <f>'Evolutitve SCI'!AL3+'Evolutitve SCI'!AL30</f>
        <v>113060618</v>
      </c>
      <c r="R44" s="206">
        <f>'Evolutitve SCI'!AM3+'Evolutitve SCI'!AM30</f>
        <v>7585741.6900000004</v>
      </c>
      <c r="S44" s="206">
        <f>'Evolutitve SCI'!AN3+'Evolutitve SCI'!AN30</f>
        <v>15531027.439999999</v>
      </c>
      <c r="T44" s="206">
        <f>'Evolutitve SCI'!AO3+'Evolutitve SCI'!AO30</f>
        <v>25365040.079999998</v>
      </c>
      <c r="U44" s="206">
        <f>'Evolutitve SCI'!AP3+'Evolutitve SCI'!AP30</f>
        <v>32117165.349999998</v>
      </c>
      <c r="V44" s="206">
        <f>'Evolutitve SCI'!AQ3+'Evolutitve SCI'!AQ30</f>
        <v>44233858.150000006</v>
      </c>
      <c r="W44" s="206">
        <f>'Evolutitve SCI'!AR3+'Evolutitve SCI'!AR30</f>
        <v>52191174.640000001</v>
      </c>
    </row>
    <row r="45" spans="1:23">
      <c r="A45" s="203" t="s">
        <v>243</v>
      </c>
      <c r="B45" s="204"/>
      <c r="C45" s="205">
        <v>54449996.149999999</v>
      </c>
      <c r="D45" s="206">
        <f>'Evolutitve SCI'!Y19</f>
        <v>72800233.25</v>
      </c>
      <c r="E45" s="206">
        <f>'Evolutitve SCI'!Z19</f>
        <v>7507006.0499999998</v>
      </c>
      <c r="F45" s="206">
        <f>'Evolutitve SCI'!AA19</f>
        <v>14812672.210000001</v>
      </c>
      <c r="G45" s="206">
        <f>'Evolutitve SCI'!AB19</f>
        <v>25708173.600000001</v>
      </c>
      <c r="H45" s="206">
        <f>'Evolutitve SCI'!AC19</f>
        <v>34617023.089999996</v>
      </c>
      <c r="I45" s="206">
        <f>'Evolutitve SCI'!AD19</f>
        <v>43842685.900000006</v>
      </c>
      <c r="J45" s="206">
        <f>'Evolutitve SCI'!AE19</f>
        <v>50889089.640000001</v>
      </c>
      <c r="K45" s="206">
        <f>'Evolutitve SCI'!AF19</f>
        <v>54378004.739999995</v>
      </c>
      <c r="L45" s="206">
        <f>'Evolutitve SCI'!AG19</f>
        <v>66278882.239999995</v>
      </c>
      <c r="M45" s="206">
        <f>'Evolutitve SCI'!AH19</f>
        <v>71652659.280000001</v>
      </c>
      <c r="N45" s="206">
        <f>'Evolutitve SCI'!AI19</f>
        <v>78065597.569999993</v>
      </c>
      <c r="O45" s="206">
        <f>'Evolutitve SCI'!AJ19</f>
        <v>83271428.969999999</v>
      </c>
      <c r="P45" s="206">
        <f>'Evolutitve SCI'!AK19</f>
        <v>56857376.43999999</v>
      </c>
      <c r="Q45" s="206">
        <f>'Evolutitve SCI'!AL19</f>
        <v>68431719</v>
      </c>
      <c r="R45" s="206">
        <f>'Evolutitve SCI'!AM19</f>
        <v>6781212.2100000009</v>
      </c>
      <c r="S45" s="206">
        <f>'Evolutitve SCI'!AN19</f>
        <v>14444595.559999999</v>
      </c>
      <c r="T45" s="206">
        <f>'Evolutitve SCI'!AO19</f>
        <v>23581683.949999999</v>
      </c>
      <c r="U45" s="206">
        <f>'Evolutitve SCI'!AP19</f>
        <v>29566411.719999999</v>
      </c>
      <c r="V45" s="206">
        <f>'Evolutitve SCI'!AQ19</f>
        <v>41000283.460000008</v>
      </c>
      <c r="W45" s="206">
        <f>'Evolutitve SCI'!AR19</f>
        <v>48169619.780000001</v>
      </c>
    </row>
    <row r="46" spans="1:23">
      <c r="A46" s="203" t="s">
        <v>244</v>
      </c>
      <c r="B46" s="204"/>
      <c r="C46" s="205">
        <v>35570817.850000001</v>
      </c>
      <c r="D46" s="206">
        <f>'Evolutitve SCI'!Y13</f>
        <v>43198918.75</v>
      </c>
      <c r="E46" s="206">
        <f>'Evolutitve SCI'!Z13</f>
        <v>593702.9</v>
      </c>
      <c r="F46" s="206">
        <f>'Evolutitve SCI'!AA13</f>
        <v>681355.19</v>
      </c>
      <c r="G46" s="206">
        <f>'Evolutitve SCI'!AB13</f>
        <v>1270476.07</v>
      </c>
      <c r="H46" s="206">
        <f>'Evolutitve SCI'!AC13</f>
        <v>1700851.07</v>
      </c>
      <c r="I46" s="206">
        <f>'Evolutitve SCI'!AD13</f>
        <v>1827557.49</v>
      </c>
      <c r="J46" s="206">
        <f>'Evolutitve SCI'!AE13</f>
        <v>2267319.0699999998</v>
      </c>
      <c r="K46" s="206">
        <f>'Evolutitve SCI'!AF13</f>
        <v>2925786.78</v>
      </c>
      <c r="L46" s="206">
        <f>'Evolutitve SCI'!AG13</f>
        <v>3082880.53</v>
      </c>
      <c r="M46" s="206">
        <f>'Evolutitve SCI'!AH13</f>
        <v>3623548.23</v>
      </c>
      <c r="N46" s="206">
        <f>'Evolutitve SCI'!AI13</f>
        <v>4152968.55</v>
      </c>
      <c r="O46" s="206">
        <f>'Evolutitve SCI'!AJ13</f>
        <v>4225431.05</v>
      </c>
      <c r="P46" s="206">
        <f>'Evolutitve SCI'!AK13</f>
        <v>5005476.43</v>
      </c>
      <c r="Q46" s="206">
        <f>'Evolutitve SCI'!AL13</f>
        <v>43326941</v>
      </c>
      <c r="R46" s="206">
        <f>'Evolutitve SCI'!AM13</f>
        <v>690599.48</v>
      </c>
      <c r="S46" s="206">
        <f>'Evolutitve SCI'!AN13</f>
        <v>892365.88</v>
      </c>
      <c r="T46" s="206">
        <f>'Evolutitve SCI'!AO13</f>
        <v>1448869.63</v>
      </c>
      <c r="U46" s="206">
        <f>'Evolutitve SCI'!AP13</f>
        <v>2115299.13</v>
      </c>
      <c r="V46" s="206">
        <f>'Evolutitve SCI'!AQ13</f>
        <v>2683594.84</v>
      </c>
      <c r="W46" s="206">
        <f>'Evolutitve SCI'!AR13</f>
        <v>3273132.16</v>
      </c>
    </row>
    <row r="47" spans="1:23">
      <c r="A47" s="203" t="s">
        <v>245</v>
      </c>
      <c r="B47" s="204"/>
      <c r="C47" s="205">
        <v>35268974.450000003</v>
      </c>
      <c r="D47" s="206">
        <f>'Evolutitve SCI'!Y23</f>
        <v>54838836.349999994</v>
      </c>
      <c r="E47" s="206">
        <f>'Evolutitve SCI'!Z23</f>
        <v>3281350.46</v>
      </c>
      <c r="F47" s="206">
        <f>'Evolutitve SCI'!AA23</f>
        <v>9521061.9199999999</v>
      </c>
      <c r="G47" s="206">
        <f>'Evolutitve SCI'!AB23</f>
        <v>13520871</v>
      </c>
      <c r="H47" s="206">
        <f>'Evolutitve SCI'!AC23</f>
        <v>16702410.84</v>
      </c>
      <c r="I47" s="206">
        <f>'Evolutitve SCI'!AD23</f>
        <v>21325560.84</v>
      </c>
      <c r="J47" s="206">
        <f>'Evolutitve SCI'!AE23</f>
        <v>25603895.300000001</v>
      </c>
      <c r="K47" s="206">
        <f>'Evolutitve SCI'!AF23</f>
        <v>28747948.300000001</v>
      </c>
      <c r="L47" s="206">
        <f>'Evolutitve SCI'!AG23</f>
        <v>34076569.299999997</v>
      </c>
      <c r="M47" s="206">
        <f>'Evolutitve SCI'!AH23</f>
        <v>37675628.299999997</v>
      </c>
      <c r="N47" s="206">
        <f>'Evolutitve SCI'!AI23</f>
        <v>40900167.299999997</v>
      </c>
      <c r="O47" s="206">
        <f>'Evolutitve SCI'!AJ23</f>
        <v>43876487.299999997</v>
      </c>
      <c r="P47" s="206">
        <f>'Evolutitve SCI'!AK23</f>
        <v>42706374.189999998</v>
      </c>
      <c r="Q47" s="206">
        <f>'Evolutitve SCI'!AL23</f>
        <v>54531541.450000003</v>
      </c>
      <c r="R47" s="206">
        <f>'Evolutitve SCI'!AM23</f>
        <v>3492928</v>
      </c>
      <c r="S47" s="206">
        <f>'Evolutitve SCI'!AN23</f>
        <v>9707034</v>
      </c>
      <c r="T47" s="206">
        <f>'Evolutitve SCI'!AO23</f>
        <v>14567648</v>
      </c>
      <c r="U47" s="206">
        <f>'Evolutitve SCI'!AP23</f>
        <v>16858653</v>
      </c>
      <c r="V47" s="206">
        <f>'Evolutitve SCI'!AQ23</f>
        <v>21033243</v>
      </c>
      <c r="W47" s="206">
        <f>'Evolutitve SCI'!AR23</f>
        <v>24664576</v>
      </c>
    </row>
    <row r="48" spans="1:23">
      <c r="A48" s="203" t="s">
        <v>246</v>
      </c>
      <c r="B48" s="204"/>
      <c r="C48" s="205">
        <v>75449048</v>
      </c>
      <c r="D48" s="206">
        <f>'Evolutitve SCI'!Y4</f>
        <v>90924708</v>
      </c>
      <c r="E48" s="206">
        <f>'Evolutitve SCI'!Z4</f>
        <v>7143203.0099999998</v>
      </c>
      <c r="F48" s="206">
        <f>'Evolutitve SCI'!AA4</f>
        <v>14209625.07</v>
      </c>
      <c r="G48" s="206">
        <f>'Evolutitve SCI'!AB4</f>
        <v>22647218.890000001</v>
      </c>
      <c r="H48" s="206">
        <f>'Evolutitve SCI'!AC4</f>
        <v>31309096.379999999</v>
      </c>
      <c r="I48" s="206">
        <f>'Evolutitve SCI'!AD4</f>
        <v>40087284.609999999</v>
      </c>
      <c r="J48" s="206">
        <f>'Evolutitve SCI'!AE4</f>
        <v>46879183.130000003</v>
      </c>
      <c r="K48" s="206">
        <f>'Evolutitve SCI'!AF4</f>
        <v>50460202.939999998</v>
      </c>
      <c r="L48" s="206">
        <f>'Evolutitve SCI'!AG4</f>
        <v>61997514.689999998</v>
      </c>
      <c r="M48" s="206">
        <f>'Evolutitve SCI'!AH4</f>
        <v>67302878.930000007</v>
      </c>
      <c r="N48" s="206">
        <f>'Evolutitve SCI'!AI4</f>
        <v>73885623.239999995</v>
      </c>
      <c r="O48" s="206">
        <f>'Evolutitve SCI'!AJ4</f>
        <v>77394458.140000001</v>
      </c>
      <c r="P48" s="206">
        <f>'Evolutitve SCI'!AK4</f>
        <v>87262618.989999995</v>
      </c>
      <c r="Q48" s="206">
        <f>'Evolutitve SCI'!AL4</f>
        <v>87262620</v>
      </c>
      <c r="R48" s="206">
        <f>'Evolutitve SCI'!AM4</f>
        <v>6988824.6900000004</v>
      </c>
      <c r="S48" s="206">
        <f>'Evolutitve SCI'!AN4</f>
        <v>14096054.99</v>
      </c>
      <c r="T48" s="206">
        <f>'Evolutitve SCI'!AO4</f>
        <v>22001711.629999999</v>
      </c>
      <c r="U48" s="206">
        <f>'Evolutitve SCI'!AP4</f>
        <v>28163346.399999999</v>
      </c>
      <c r="V48" s="206">
        <f>'Evolutitve SCI'!AQ4</f>
        <v>37212336.200000003</v>
      </c>
      <c r="W48" s="206">
        <f>'Evolutitve SCI'!AR4</f>
        <v>44462395.740000002</v>
      </c>
    </row>
    <row r="49" spans="1:23">
      <c r="A49" s="203" t="s">
        <v>84</v>
      </c>
      <c r="B49" s="204"/>
      <c r="C49" s="205">
        <v>76849154.299999997</v>
      </c>
      <c r="D49" s="206">
        <f>'Evolutitve SCI'!Y12+'Evolutitve SCI'!Y23+'Evolutitve SCI'!Y34</f>
        <v>100537755.09999999</v>
      </c>
      <c r="E49" s="206">
        <f>'Evolutitve SCI'!Z12+'Evolutitve SCI'!Z23+'Evolutitve SCI'!Z34</f>
        <v>3994132.92</v>
      </c>
      <c r="F49" s="206">
        <f>'Evolutitve SCI'!AA12+'Evolutitve SCI'!AA23+'Evolutitve SCI'!AA34</f>
        <v>10518159.67</v>
      </c>
      <c r="G49" s="206">
        <f>'Evolutitve SCI'!AB12+'Evolutitve SCI'!AB23+'Evolutitve SCI'!AB34</f>
        <v>15452596.630000001</v>
      </c>
      <c r="H49" s="206">
        <f>'Evolutitve SCI'!AC12+'Evolutitve SCI'!AC23+'Evolutitve SCI'!AC34</f>
        <v>19184092.469999999</v>
      </c>
      <c r="I49" s="206">
        <f>'Evolutitve SCI'!AD12+'Evolutitve SCI'!AD23+'Evolutitve SCI'!AD34</f>
        <v>24074427.390000001</v>
      </c>
      <c r="J49" s="206">
        <f>'Evolutitve SCI'!AE12+'Evolutitve SCI'!AE23+'Evolutitve SCI'!AE34</f>
        <v>28883359.43</v>
      </c>
      <c r="K49" s="206">
        <f>'Evolutitve SCI'!AF12+'Evolutitve SCI'!AF23+'Evolutitve SCI'!AF34</f>
        <v>32756796.140000001</v>
      </c>
      <c r="L49" s="206">
        <f>'Evolutitve SCI'!AG12+'Evolutitve SCI'!AG23+'Evolutitve SCI'!AG34</f>
        <v>38333288.890000001</v>
      </c>
      <c r="M49" s="206">
        <f>'Evolutitve SCI'!AH12+'Evolutitve SCI'!AH23+'Evolutitve SCI'!AH34</f>
        <v>42569435.589999996</v>
      </c>
      <c r="N49" s="206">
        <f>'Evolutitve SCI'!AI12+'Evolutitve SCI'!AI23+'Evolutitve SCI'!AI34</f>
        <v>46436166.909999996</v>
      </c>
      <c r="O49" s="206">
        <f>'Evolutitve SCI'!AJ12+'Evolutitve SCI'!AJ23+'Evolutitve SCI'!AJ34</f>
        <v>49662951.409999996</v>
      </c>
      <c r="P49" s="206">
        <f>'Evolutitve SCI'!AK12+'Evolutitve SCI'!AK23+'Evolutitve SCI'!AK34</f>
        <v>98075369.680000007</v>
      </c>
      <c r="Q49" s="206">
        <f>'Evolutitve SCI'!AL12+'Evolutitve SCI'!AL23+'Evolutitve SCI'!AL34</f>
        <v>98564706.450000003</v>
      </c>
      <c r="R49" s="206">
        <f>'Evolutitve SCI'!AM12+'Evolutitve SCI'!AM23+'Evolutitve SCI'!AM34</f>
        <v>4297457.4800000004</v>
      </c>
      <c r="S49" s="206">
        <f>'Evolutitve SCI'!AN12+'Evolutitve SCI'!AN23+'Evolutitve SCI'!AN34</f>
        <v>10793465.879999999</v>
      </c>
      <c r="T49" s="206">
        <f>'Evolutitve SCI'!AO12+'Evolutitve SCI'!AO23+'Evolutitve SCI'!AO34</f>
        <v>16351004.129999999</v>
      </c>
      <c r="U49" s="206">
        <f>'Evolutitve SCI'!AP12+'Evolutitve SCI'!AP23+'Evolutitve SCI'!AP34</f>
        <v>19409406.629999999</v>
      </c>
      <c r="V49" s="206">
        <f>'Evolutitve SCI'!AQ12+'Evolutitve SCI'!AQ23+'Evolutitve SCI'!AQ34</f>
        <v>24266817.690000001</v>
      </c>
      <c r="W49" s="206">
        <f>'Evolutitve SCI'!AR12+'Evolutitve SCI'!AR23+'Evolutitve SCI'!AR34</f>
        <v>28686130.859999999</v>
      </c>
    </row>
    <row r="50" spans="1:23">
      <c r="A50" s="203" t="s">
        <v>247</v>
      </c>
      <c r="B50" s="204"/>
      <c r="C50" s="205">
        <v>9928663.5999999996</v>
      </c>
      <c r="D50" s="206">
        <f>'Evolutitve SCI'!Y37</f>
        <v>15461396.900000006</v>
      </c>
      <c r="E50" s="206">
        <f>'Evolutitve SCI'!Z37</f>
        <v>4193655.59</v>
      </c>
      <c r="F50" s="206">
        <f>'Evolutitve SCI'!AA37</f>
        <v>5237610.290000001</v>
      </c>
      <c r="G50" s="206">
        <f>'Evolutitve SCI'!AB37</f>
        <v>12133302.600000001</v>
      </c>
      <c r="H50" s="206">
        <f>'Evolutitve SCI'!AC37</f>
        <v>17852612.249999996</v>
      </c>
      <c r="I50" s="206">
        <f>'Evolutitve SCI'!AD37</f>
        <v>22427625.060000006</v>
      </c>
      <c r="J50" s="206">
        <f>'Evolutitve SCI'!AE37</f>
        <v>25162694.34</v>
      </c>
      <c r="K50" s="206">
        <f>'Evolutitve SCI'!AF37</f>
        <v>25477436.439999994</v>
      </c>
      <c r="L50" s="206">
        <f>'Evolutitve SCI'!AG37</f>
        <v>32040692.939999998</v>
      </c>
      <c r="M50" s="206">
        <f>'Evolutitve SCI'!AH37</f>
        <v>33796410.980000004</v>
      </c>
      <c r="N50" s="206">
        <f>'Evolutitve SCI'!AI37</f>
        <v>36962810.269999996</v>
      </c>
      <c r="O50" s="206">
        <f>'Evolutitve SCI'!AJ37</f>
        <v>39182321.670000002</v>
      </c>
      <c r="P50" s="206">
        <f>'Evolutitve SCI'!AK37</f>
        <v>13935382.249999993</v>
      </c>
      <c r="Q50" s="206">
        <f>'Evolutitve SCI'!AL37</f>
        <v>14259291.549999997</v>
      </c>
      <c r="R50" s="206">
        <f>'Evolutitve SCI'!AM37</f>
        <v>3274284.2100000009</v>
      </c>
      <c r="S50" s="206">
        <f>'Evolutitve SCI'!AN37</f>
        <v>4711561.5599999987</v>
      </c>
      <c r="T50" s="206">
        <f>'Evolutitve SCI'!AO37</f>
        <v>8960035.9499999993</v>
      </c>
      <c r="U50" s="206">
        <f>'Evolutitve SCI'!AP37</f>
        <v>12624758.719999999</v>
      </c>
      <c r="V50" s="206">
        <f>'Evolutitve SCI'!AQ37</f>
        <v>19840040.460000008</v>
      </c>
      <c r="W50" s="206">
        <f>'Evolutitve SCI'!AR37</f>
        <v>23332043.780000001</v>
      </c>
    </row>
    <row r="51" spans="1:23" hidden="1">
      <c r="A51" s="207" t="s">
        <v>248</v>
      </c>
      <c r="B51" s="208"/>
      <c r="C51" s="208"/>
      <c r="D51" s="208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</row>
    <row r="52" spans="1:23" hidden="1">
      <c r="A52" s="210">
        <v>1</v>
      </c>
      <c r="B52" s="211"/>
      <c r="C52" s="212"/>
      <c r="D52" s="213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</row>
    <row r="53" spans="1:23" hidden="1">
      <c r="A53" s="210">
        <v>2</v>
      </c>
      <c r="B53" s="211"/>
      <c r="C53" s="212"/>
      <c r="D53" s="213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</row>
    <row r="54" spans="1:23" hidden="1">
      <c r="A54" s="210">
        <v>3</v>
      </c>
      <c r="B54" s="211"/>
      <c r="C54" s="212"/>
      <c r="D54" s="213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</row>
    <row r="55" spans="1:23" hidden="1">
      <c r="A55" s="214">
        <v>4</v>
      </c>
      <c r="B55" s="212"/>
      <c r="C55" s="212"/>
      <c r="D55" s="213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</row>
    <row r="56" spans="1:23">
      <c r="A56" s="215" t="s">
        <v>249</v>
      </c>
    </row>
    <row r="57" spans="1:23">
      <c r="A57" s="198"/>
    </row>
    <row r="58" spans="1:23">
      <c r="A58" s="198"/>
    </row>
  </sheetData>
  <mergeCells count="4">
    <mergeCell ref="A1:D1"/>
    <mergeCell ref="A2:D2"/>
    <mergeCell ref="B3:B4"/>
    <mergeCell ref="D3:D4"/>
  </mergeCells>
  <phoneticPr fontId="42" type="noConversion"/>
  <pageMargins left="0.7" right="0.7" top="0.75" bottom="0.75" header="0.3" footer="0.3"/>
  <pageSetup paperSize="9" scale="55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5DFC-866C-452F-8623-59AA0791DDCA}">
  <dimension ref="B1:J111"/>
  <sheetViews>
    <sheetView topLeftCell="A97" workbookViewId="0">
      <selection activeCell="C95" sqref="C95"/>
    </sheetView>
  </sheetViews>
  <sheetFormatPr defaultRowHeight="14.45"/>
  <cols>
    <col min="2" max="2" width="10.28515625" customWidth="1"/>
    <col min="3" max="3" width="91.7109375" bestFit="1" customWidth="1"/>
    <col min="4" max="5" width="16.42578125" customWidth="1"/>
    <col min="6" max="6" width="19.140625" bestFit="1" customWidth="1"/>
  </cols>
  <sheetData>
    <row r="1" spans="2:10">
      <c r="B1" s="122" t="s">
        <v>250</v>
      </c>
      <c r="C1" s="121" t="s">
        <v>251</v>
      </c>
      <c r="D1" s="121"/>
      <c r="E1" s="121"/>
      <c r="F1" s="140"/>
    </row>
    <row r="2" spans="2:10">
      <c r="B2" s="122"/>
      <c r="C2" s="121" t="s">
        <v>252</v>
      </c>
      <c r="D2" s="121"/>
      <c r="E2" s="121"/>
      <c r="F2" s="136"/>
    </row>
    <row r="3" spans="2:10">
      <c r="B3" s="265" t="s">
        <v>253</v>
      </c>
      <c r="C3" s="266"/>
      <c r="D3" s="121"/>
      <c r="E3" s="121"/>
      <c r="F3" s="141">
        <v>7591</v>
      </c>
    </row>
    <row r="4" spans="2:10">
      <c r="B4" s="265" t="s">
        <v>254</v>
      </c>
      <c r="C4" s="266"/>
      <c r="D4" s="121"/>
      <c r="E4" s="121"/>
      <c r="F4" s="141">
        <v>2020</v>
      </c>
    </row>
    <row r="5" spans="2:10">
      <c r="B5" s="123"/>
      <c r="C5" s="123"/>
      <c r="D5" s="123"/>
      <c r="E5" s="123"/>
      <c r="F5" s="136"/>
    </row>
    <row r="6" spans="2:10" ht="15" thickBot="1">
      <c r="B6" s="125" t="s">
        <v>255</v>
      </c>
      <c r="C6" s="125"/>
      <c r="D6" s="144">
        <v>44562</v>
      </c>
      <c r="E6" s="144">
        <v>44593</v>
      </c>
      <c r="F6" s="144">
        <v>44621</v>
      </c>
      <c r="G6" s="144">
        <v>44652</v>
      </c>
      <c r="H6" s="144">
        <v>44682</v>
      </c>
      <c r="I6" s="144">
        <v>44713</v>
      </c>
      <c r="J6" s="144">
        <v>44743</v>
      </c>
    </row>
    <row r="7" spans="2:10" ht="15" thickTop="1">
      <c r="B7" s="126"/>
      <c r="C7" s="127"/>
      <c r="D7" s="127"/>
      <c r="E7" s="127"/>
      <c r="F7" s="142" t="s">
        <v>256</v>
      </c>
    </row>
    <row r="8" spans="2:10" ht="15" thickBot="1">
      <c r="B8" s="128" t="s">
        <v>257</v>
      </c>
      <c r="C8" s="129" t="s">
        <v>258</v>
      </c>
      <c r="D8" s="124"/>
      <c r="E8" s="124"/>
      <c r="F8" s="143" t="s">
        <v>259</v>
      </c>
    </row>
    <row r="9" spans="2:10">
      <c r="B9" s="130">
        <v>0</v>
      </c>
      <c r="C9" s="131" t="s">
        <v>260</v>
      </c>
      <c r="D9" s="137">
        <v>0</v>
      </c>
      <c r="E9" s="137">
        <v>0</v>
      </c>
      <c r="F9" s="137">
        <v>294100</v>
      </c>
    </row>
    <row r="10" spans="2:10">
      <c r="B10" s="130">
        <v>1000</v>
      </c>
      <c r="C10" s="132" t="s">
        <v>261</v>
      </c>
      <c r="D10" s="138">
        <v>0</v>
      </c>
      <c r="E10" s="138">
        <v>0</v>
      </c>
      <c r="F10" s="138">
        <v>0</v>
      </c>
    </row>
    <row r="11" spans="2:10">
      <c r="B11" s="130"/>
      <c r="C11" s="131" t="s">
        <v>262</v>
      </c>
      <c r="D11" s="138">
        <v>0</v>
      </c>
      <c r="E11" s="138">
        <v>0</v>
      </c>
      <c r="F11" s="138">
        <v>0</v>
      </c>
    </row>
    <row r="12" spans="2:10">
      <c r="B12" s="130"/>
      <c r="C12" s="131" t="s">
        <v>263</v>
      </c>
      <c r="D12" s="138">
        <v>287100</v>
      </c>
      <c r="E12" s="138">
        <v>293100</v>
      </c>
      <c r="F12" s="138">
        <v>1743700</v>
      </c>
    </row>
    <row r="13" spans="2:10">
      <c r="B13" s="130"/>
      <c r="C13" s="131" t="s">
        <v>264</v>
      </c>
      <c r="D13" s="138">
        <v>243500</v>
      </c>
      <c r="E13" s="138">
        <v>672500</v>
      </c>
      <c r="F13" s="138">
        <v>1171500</v>
      </c>
    </row>
    <row r="14" spans="2:10">
      <c r="B14" s="130"/>
      <c r="C14" s="131" t="s">
        <v>265</v>
      </c>
      <c r="D14" s="138">
        <v>371000</v>
      </c>
      <c r="E14" s="138">
        <v>729500</v>
      </c>
      <c r="F14" s="138">
        <v>2245700</v>
      </c>
    </row>
    <row r="15" spans="2:10">
      <c r="B15" s="130"/>
      <c r="C15" s="131" t="s">
        <v>266</v>
      </c>
      <c r="D15" s="138">
        <v>547700</v>
      </c>
      <c r="E15" s="138">
        <v>901700</v>
      </c>
      <c r="F15" s="138">
        <v>8885390</v>
      </c>
    </row>
    <row r="16" spans="2:10">
      <c r="B16" s="130"/>
      <c r="C16" s="131" t="s">
        <v>267</v>
      </c>
      <c r="D16" s="138">
        <v>1908520</v>
      </c>
      <c r="E16" s="138">
        <v>4336420</v>
      </c>
      <c r="F16" s="138">
        <v>914850</v>
      </c>
    </row>
    <row r="17" spans="2:6">
      <c r="B17" s="130"/>
      <c r="C17" s="131" t="s">
        <v>268</v>
      </c>
      <c r="D17" s="138">
        <v>534350</v>
      </c>
      <c r="E17" s="138">
        <v>557350</v>
      </c>
      <c r="F17" s="138">
        <v>1966300</v>
      </c>
    </row>
    <row r="18" spans="2:6">
      <c r="B18" s="130"/>
      <c r="C18" s="131" t="s">
        <v>269</v>
      </c>
      <c r="D18" s="138">
        <v>539400</v>
      </c>
      <c r="E18" s="138">
        <v>1015500</v>
      </c>
      <c r="F18" s="138">
        <v>967200</v>
      </c>
    </row>
    <row r="19" spans="2:6">
      <c r="B19" s="130"/>
      <c r="C19" s="131" t="s">
        <v>270</v>
      </c>
      <c r="D19" s="138">
        <v>479500</v>
      </c>
      <c r="E19" s="138">
        <v>542000</v>
      </c>
      <c r="F19" s="138">
        <v>2880100</v>
      </c>
    </row>
    <row r="20" spans="2:6">
      <c r="B20" s="130"/>
      <c r="C20" s="131" t="s">
        <v>271</v>
      </c>
      <c r="D20" s="138">
        <v>0</v>
      </c>
      <c r="E20" s="138">
        <v>0</v>
      </c>
      <c r="F20" s="138">
        <v>0</v>
      </c>
    </row>
    <row r="21" spans="2:6">
      <c r="B21" s="130"/>
      <c r="C21" s="131" t="s">
        <v>272</v>
      </c>
      <c r="D21" s="138">
        <v>225200</v>
      </c>
      <c r="E21" s="138">
        <v>976100</v>
      </c>
      <c r="F21" s="138">
        <v>647050</v>
      </c>
    </row>
    <row r="22" spans="2:6">
      <c r="B22" s="130"/>
      <c r="C22" s="131" t="s">
        <v>273</v>
      </c>
      <c r="D22" s="138">
        <v>376750</v>
      </c>
      <c r="E22" s="138">
        <v>524050</v>
      </c>
      <c r="F22" s="138">
        <v>1518000</v>
      </c>
    </row>
    <row r="23" spans="2:6">
      <c r="B23" s="130"/>
      <c r="C23" s="131" t="s">
        <v>274</v>
      </c>
      <c r="D23" s="138">
        <v>754900</v>
      </c>
      <c r="E23" s="138">
        <v>965100</v>
      </c>
      <c r="F23" s="138">
        <v>2117400</v>
      </c>
    </row>
    <row r="24" spans="2:6">
      <c r="B24" s="130"/>
      <c r="C24" s="131" t="s">
        <v>275</v>
      </c>
      <c r="D24" s="138">
        <v>1175700</v>
      </c>
      <c r="E24" s="138">
        <v>1656400</v>
      </c>
      <c r="F24" s="138">
        <v>601400</v>
      </c>
    </row>
    <row r="25" spans="2:6">
      <c r="B25" s="130"/>
      <c r="C25" s="131" t="s">
        <v>276</v>
      </c>
      <c r="D25" s="138">
        <v>523700</v>
      </c>
      <c r="E25" s="138">
        <v>601400</v>
      </c>
      <c r="F25" s="138">
        <v>568400</v>
      </c>
    </row>
    <row r="26" spans="2:6">
      <c r="B26" s="130"/>
      <c r="C26" s="131" t="s">
        <v>277</v>
      </c>
      <c r="D26" s="138">
        <v>211900</v>
      </c>
      <c r="E26" s="138">
        <v>363600</v>
      </c>
      <c r="F26" s="138">
        <v>288800</v>
      </c>
    </row>
    <row r="27" spans="2:6">
      <c r="B27" s="130"/>
      <c r="C27" s="131" t="s">
        <v>278</v>
      </c>
      <c r="D27" s="138">
        <v>166200</v>
      </c>
      <c r="E27" s="138">
        <v>181200</v>
      </c>
      <c r="F27" s="138">
        <v>866300</v>
      </c>
    </row>
    <row r="28" spans="2:6">
      <c r="B28" s="130"/>
      <c r="C28" s="131" t="s">
        <v>279</v>
      </c>
      <c r="D28" s="138">
        <v>163800</v>
      </c>
      <c r="E28" s="138">
        <v>226800</v>
      </c>
      <c r="F28" s="138">
        <v>851700</v>
      </c>
    </row>
    <row r="29" spans="2:6">
      <c r="B29" s="130"/>
      <c r="C29" s="131" t="s">
        <v>280</v>
      </c>
      <c r="D29" s="138">
        <v>0</v>
      </c>
      <c r="E29" s="138">
        <v>0</v>
      </c>
      <c r="F29" s="138">
        <v>0</v>
      </c>
    </row>
    <row r="30" spans="2:6">
      <c r="B30" s="130"/>
      <c r="C30" s="131" t="s">
        <v>281</v>
      </c>
      <c r="D30" s="138">
        <v>584000</v>
      </c>
      <c r="E30" s="138">
        <v>606700</v>
      </c>
      <c r="F30" s="138">
        <v>583800</v>
      </c>
    </row>
    <row r="31" spans="2:6">
      <c r="B31" s="130"/>
      <c r="C31" s="131" t="s">
        <v>282</v>
      </c>
      <c r="D31" s="138">
        <v>93900</v>
      </c>
      <c r="E31" s="138">
        <v>211100</v>
      </c>
      <c r="F31" s="138">
        <v>499700</v>
      </c>
    </row>
    <row r="32" spans="2:6">
      <c r="B32" s="130"/>
      <c r="C32" s="131" t="s">
        <v>283</v>
      </c>
      <c r="D32" s="138">
        <v>388800</v>
      </c>
      <c r="E32" s="138">
        <v>432600</v>
      </c>
      <c r="F32" s="138">
        <v>1503475</v>
      </c>
    </row>
    <row r="33" spans="2:6">
      <c r="B33" s="130"/>
      <c r="C33" s="131" t="s">
        <v>284</v>
      </c>
      <c r="D33" s="138">
        <v>0</v>
      </c>
      <c r="E33" s="138">
        <v>0</v>
      </c>
      <c r="F33" s="138">
        <v>0</v>
      </c>
    </row>
    <row r="34" spans="2:6">
      <c r="B34" s="130"/>
      <c r="C34" s="131" t="s">
        <v>285</v>
      </c>
      <c r="D34" s="138">
        <v>890175</v>
      </c>
      <c r="E34" s="138">
        <v>1055675</v>
      </c>
      <c r="F34" s="138">
        <v>672500</v>
      </c>
    </row>
    <row r="35" spans="2:6">
      <c r="B35" s="130"/>
      <c r="C35" s="131" t="s">
        <v>286</v>
      </c>
      <c r="D35" s="138">
        <v>555200</v>
      </c>
      <c r="E35" s="138">
        <v>593900</v>
      </c>
      <c r="F35" s="138">
        <v>602600</v>
      </c>
    </row>
    <row r="36" spans="2:6">
      <c r="B36" s="130"/>
      <c r="C36" s="131" t="s">
        <v>287</v>
      </c>
      <c r="D36" s="138">
        <v>295450</v>
      </c>
      <c r="E36" s="138">
        <v>499950</v>
      </c>
      <c r="F36" s="138">
        <v>2310800</v>
      </c>
    </row>
    <row r="37" spans="2:6">
      <c r="B37" s="130"/>
      <c r="C37" s="131" t="s">
        <v>288</v>
      </c>
      <c r="D37" s="138">
        <v>0</v>
      </c>
      <c r="E37" s="138">
        <v>0</v>
      </c>
      <c r="F37" s="138">
        <v>0</v>
      </c>
    </row>
    <row r="38" spans="2:6">
      <c r="B38" s="130"/>
      <c r="C38" s="131" t="s">
        <v>289</v>
      </c>
      <c r="D38" s="138">
        <v>1611900</v>
      </c>
      <c r="E38" s="138">
        <v>2033400</v>
      </c>
      <c r="F38" s="138">
        <v>774850</v>
      </c>
    </row>
    <row r="39" spans="2:6">
      <c r="B39" s="130">
        <v>2000</v>
      </c>
      <c r="C39" s="124" t="s">
        <v>290</v>
      </c>
      <c r="D39" s="138">
        <v>0</v>
      </c>
      <c r="E39" s="138">
        <v>0</v>
      </c>
      <c r="F39" s="138">
        <v>0</v>
      </c>
    </row>
    <row r="40" spans="2:6">
      <c r="B40" s="130"/>
      <c r="C40" s="131" t="s">
        <v>291</v>
      </c>
      <c r="D40" s="138">
        <v>0</v>
      </c>
      <c r="E40" s="138">
        <v>0</v>
      </c>
      <c r="F40" s="138">
        <v>0</v>
      </c>
    </row>
    <row r="41" spans="2:6">
      <c r="B41" s="130"/>
      <c r="C41" s="131" t="s">
        <v>292</v>
      </c>
      <c r="D41" s="138">
        <v>247350</v>
      </c>
      <c r="E41" s="138">
        <v>399350</v>
      </c>
      <c r="F41" s="138">
        <v>653400</v>
      </c>
    </row>
    <row r="42" spans="2:6">
      <c r="B42" s="130"/>
      <c r="C42" s="131" t="s">
        <v>293</v>
      </c>
      <c r="D42" s="138">
        <v>39600</v>
      </c>
      <c r="E42" s="138">
        <v>202250</v>
      </c>
      <c r="F42" s="138">
        <v>1028450</v>
      </c>
    </row>
    <row r="43" spans="2:6">
      <c r="B43" s="130"/>
      <c r="C43" s="131" t="s">
        <v>294</v>
      </c>
      <c r="D43" s="138">
        <v>0</v>
      </c>
      <c r="E43" s="138">
        <v>0</v>
      </c>
      <c r="F43" s="138">
        <v>0</v>
      </c>
    </row>
    <row r="44" spans="2:6">
      <c r="B44" s="130"/>
      <c r="C44" s="131" t="s">
        <v>295</v>
      </c>
      <c r="D44" s="138">
        <v>277250</v>
      </c>
      <c r="E44" s="138">
        <v>505250</v>
      </c>
      <c r="F44" s="138">
        <v>0</v>
      </c>
    </row>
    <row r="45" spans="2:6">
      <c r="B45" s="130"/>
      <c r="C45" s="131" t="s">
        <v>296</v>
      </c>
      <c r="D45" s="138">
        <v>0</v>
      </c>
      <c r="E45" s="138">
        <v>0</v>
      </c>
      <c r="F45" s="138">
        <v>0</v>
      </c>
    </row>
    <row r="46" spans="2:6">
      <c r="B46" s="130"/>
      <c r="C46" s="131" t="s">
        <v>297</v>
      </c>
      <c r="D46" s="138">
        <v>0</v>
      </c>
      <c r="E46" s="138">
        <v>0</v>
      </c>
      <c r="F46" s="138">
        <v>1234000</v>
      </c>
    </row>
    <row r="47" spans="2:6">
      <c r="B47" s="130"/>
      <c r="C47" s="131" t="s">
        <v>298</v>
      </c>
      <c r="D47" s="138">
        <v>0</v>
      </c>
      <c r="E47" s="138">
        <v>0</v>
      </c>
      <c r="F47" s="138">
        <v>0</v>
      </c>
    </row>
    <row r="48" spans="2:6" ht="28.9">
      <c r="B48" s="130"/>
      <c r="C48" s="133" t="s">
        <v>299</v>
      </c>
      <c r="D48" s="138">
        <v>1234000</v>
      </c>
      <c r="E48" s="138">
        <v>1234000</v>
      </c>
      <c r="F48" s="138">
        <v>987200</v>
      </c>
    </row>
    <row r="49" spans="2:6">
      <c r="B49" s="130"/>
      <c r="C49" s="131" t="s">
        <v>300</v>
      </c>
      <c r="D49" s="138">
        <v>262700</v>
      </c>
      <c r="E49" s="138">
        <v>637200</v>
      </c>
      <c r="F49" s="138">
        <v>12000</v>
      </c>
    </row>
    <row r="50" spans="2:6">
      <c r="B50" s="130"/>
      <c r="C50" s="131" t="s">
        <v>301</v>
      </c>
      <c r="D50" s="138">
        <v>12000</v>
      </c>
      <c r="E50" s="138">
        <v>12000</v>
      </c>
      <c r="F50" s="138">
        <v>110000</v>
      </c>
    </row>
    <row r="51" spans="2:6">
      <c r="B51" s="130"/>
      <c r="C51" s="131" t="s">
        <v>302</v>
      </c>
      <c r="D51" s="138">
        <v>0</v>
      </c>
      <c r="E51" s="138">
        <v>0</v>
      </c>
      <c r="F51" s="138">
        <v>0</v>
      </c>
    </row>
    <row r="52" spans="2:6">
      <c r="B52" s="130"/>
      <c r="C52" s="131" t="s">
        <v>303</v>
      </c>
      <c r="D52" s="138">
        <v>110000</v>
      </c>
      <c r="E52" s="138">
        <v>110000</v>
      </c>
      <c r="F52" s="138">
        <v>300000</v>
      </c>
    </row>
    <row r="53" spans="2:6">
      <c r="B53" s="130"/>
      <c r="C53" s="131" t="s">
        <v>304</v>
      </c>
      <c r="D53" s="138">
        <v>300000</v>
      </c>
      <c r="E53" s="138">
        <v>300000</v>
      </c>
      <c r="F53" s="138">
        <v>234100</v>
      </c>
    </row>
    <row r="54" spans="2:6">
      <c r="B54" s="130">
        <v>3000</v>
      </c>
      <c r="C54" s="132" t="s">
        <v>305</v>
      </c>
      <c r="D54" s="139">
        <v>0</v>
      </c>
      <c r="E54" s="139">
        <v>0</v>
      </c>
      <c r="F54" s="139">
        <v>0</v>
      </c>
    </row>
    <row r="55" spans="2:6">
      <c r="B55" s="130"/>
      <c r="C55" s="131" t="s">
        <v>306</v>
      </c>
      <c r="D55" s="138">
        <v>0</v>
      </c>
      <c r="E55" s="138">
        <v>0</v>
      </c>
      <c r="F55" s="138">
        <v>0</v>
      </c>
    </row>
    <row r="56" spans="2:6">
      <c r="B56" s="130"/>
      <c r="C56" s="131" t="s">
        <v>307</v>
      </c>
      <c r="D56" s="138">
        <v>102100</v>
      </c>
      <c r="E56" s="138">
        <v>234100</v>
      </c>
      <c r="F56" s="138">
        <v>274000</v>
      </c>
    </row>
    <row r="57" spans="2:6">
      <c r="B57" s="130"/>
      <c r="C57" s="131" t="s">
        <v>308</v>
      </c>
      <c r="D57" s="138">
        <v>230000</v>
      </c>
      <c r="E57" s="138">
        <v>230000</v>
      </c>
      <c r="F57" s="138">
        <v>61500</v>
      </c>
    </row>
    <row r="58" spans="2:6">
      <c r="B58" s="130"/>
      <c r="C58" s="131" t="s">
        <v>309</v>
      </c>
      <c r="D58" s="138">
        <v>26500</v>
      </c>
      <c r="E58" s="138">
        <v>26500</v>
      </c>
      <c r="F58" s="138">
        <v>520000</v>
      </c>
    </row>
    <row r="59" spans="2:6">
      <c r="B59" s="130"/>
      <c r="C59" s="131" t="s">
        <v>310</v>
      </c>
      <c r="D59" s="138">
        <v>420000</v>
      </c>
      <c r="E59" s="138">
        <v>420000</v>
      </c>
      <c r="F59" s="138">
        <v>912500</v>
      </c>
    </row>
    <row r="60" spans="2:6">
      <c r="B60" s="130"/>
      <c r="C60" s="131" t="s">
        <v>311</v>
      </c>
      <c r="D60" s="138">
        <v>212500</v>
      </c>
      <c r="E60" s="138">
        <v>362500</v>
      </c>
      <c r="F60" s="138">
        <v>1512200</v>
      </c>
    </row>
    <row r="61" spans="2:6">
      <c r="B61" s="130"/>
      <c r="C61" s="131" t="s">
        <v>312</v>
      </c>
      <c r="D61" s="138">
        <v>0</v>
      </c>
      <c r="E61" s="138">
        <v>0</v>
      </c>
      <c r="F61" s="138">
        <v>0</v>
      </c>
    </row>
    <row r="62" spans="2:6">
      <c r="B62" s="130"/>
      <c r="C62" s="131" t="s">
        <v>313</v>
      </c>
      <c r="D62" s="138">
        <v>1350000</v>
      </c>
      <c r="E62" s="138">
        <v>1350000</v>
      </c>
      <c r="F62" s="138">
        <v>300000</v>
      </c>
    </row>
    <row r="63" spans="2:6">
      <c r="B63" s="130"/>
      <c r="C63" s="131" t="s">
        <v>314</v>
      </c>
      <c r="D63" s="138">
        <v>282000</v>
      </c>
      <c r="E63" s="138">
        <v>300000</v>
      </c>
      <c r="F63" s="138">
        <v>2295000</v>
      </c>
    </row>
    <row r="64" spans="2:6">
      <c r="B64" s="130"/>
      <c r="C64" s="131" t="s">
        <v>315</v>
      </c>
      <c r="D64" s="138">
        <v>1230000</v>
      </c>
      <c r="E64" s="138">
        <v>1230000</v>
      </c>
      <c r="F64" s="138">
        <v>396000</v>
      </c>
    </row>
    <row r="65" spans="2:6">
      <c r="B65" s="130"/>
      <c r="C65" s="131" t="s">
        <v>316</v>
      </c>
      <c r="D65" s="138">
        <v>46000</v>
      </c>
      <c r="E65" s="138">
        <v>146000</v>
      </c>
      <c r="F65" s="138">
        <v>105000</v>
      </c>
    </row>
    <row r="66" spans="2:6">
      <c r="B66" s="130"/>
      <c r="C66" s="131" t="s">
        <v>317</v>
      </c>
      <c r="D66" s="138">
        <v>0</v>
      </c>
      <c r="E66" s="138">
        <v>0</v>
      </c>
      <c r="F66" s="138">
        <v>0</v>
      </c>
    </row>
    <row r="67" spans="2:6">
      <c r="B67" s="130"/>
      <c r="C67" s="131" t="s">
        <v>318</v>
      </c>
      <c r="D67" s="138">
        <v>0</v>
      </c>
      <c r="E67" s="138">
        <v>0</v>
      </c>
      <c r="F67" s="138">
        <v>2550000</v>
      </c>
    </row>
    <row r="68" spans="2:6">
      <c r="B68" s="130"/>
      <c r="C68" s="131" t="s">
        <v>319</v>
      </c>
      <c r="D68" s="138">
        <v>1450000</v>
      </c>
      <c r="E68" s="138">
        <v>1450000</v>
      </c>
      <c r="F68" s="138">
        <v>55000</v>
      </c>
    </row>
    <row r="69" spans="2:6">
      <c r="B69" s="130"/>
      <c r="C69" s="131" t="s">
        <v>320</v>
      </c>
      <c r="D69" s="138">
        <v>55000</v>
      </c>
      <c r="E69" s="138">
        <v>55000</v>
      </c>
      <c r="F69" s="138">
        <v>41799550</v>
      </c>
    </row>
    <row r="70" spans="2:6">
      <c r="B70" s="130">
        <v>4000</v>
      </c>
      <c r="C70" s="132" t="s">
        <v>321</v>
      </c>
      <c r="D70" s="138">
        <v>0</v>
      </c>
      <c r="E70" s="138">
        <v>0</v>
      </c>
      <c r="F70" s="138">
        <v>0</v>
      </c>
    </row>
    <row r="71" spans="2:6">
      <c r="B71" s="130"/>
      <c r="C71" s="131" t="s">
        <v>322</v>
      </c>
      <c r="D71" s="138">
        <v>0</v>
      </c>
      <c r="E71" s="138">
        <v>0</v>
      </c>
      <c r="F71" s="138">
        <v>0</v>
      </c>
    </row>
    <row r="72" spans="2:6">
      <c r="B72" s="130"/>
      <c r="C72" s="131" t="s">
        <v>323</v>
      </c>
      <c r="D72" s="138">
        <v>14832450</v>
      </c>
      <c r="E72" s="138">
        <v>28942000</v>
      </c>
      <c r="F72" s="138">
        <v>6650000</v>
      </c>
    </row>
    <row r="73" spans="2:6">
      <c r="B73" s="130"/>
      <c r="C73" s="131" t="s">
        <v>324</v>
      </c>
      <c r="D73" s="138">
        <v>3190000</v>
      </c>
      <c r="E73" s="138">
        <v>4956000</v>
      </c>
      <c r="F73" s="138">
        <v>1453000</v>
      </c>
    </row>
    <row r="74" spans="2:6">
      <c r="B74" s="130"/>
      <c r="C74" s="131" t="s">
        <v>325</v>
      </c>
      <c r="D74" s="138">
        <v>625000</v>
      </c>
      <c r="E74" s="138">
        <v>625000</v>
      </c>
      <c r="F74" s="138">
        <v>1137500</v>
      </c>
    </row>
    <row r="75" spans="2:6">
      <c r="B75" s="130">
        <v>5000</v>
      </c>
      <c r="C75" s="132" t="s">
        <v>326</v>
      </c>
      <c r="D75" s="138">
        <v>0</v>
      </c>
      <c r="E75" s="138">
        <v>0</v>
      </c>
      <c r="F75" s="138">
        <v>0</v>
      </c>
    </row>
    <row r="76" spans="2:6">
      <c r="B76" s="130"/>
      <c r="C76" s="131" t="s">
        <v>327</v>
      </c>
      <c r="D76" s="138">
        <v>0</v>
      </c>
      <c r="E76" s="138">
        <v>0</v>
      </c>
      <c r="F76" s="138">
        <v>0</v>
      </c>
    </row>
    <row r="77" spans="2:6">
      <c r="B77" s="130"/>
      <c r="C77" s="131" t="s">
        <v>328</v>
      </c>
      <c r="D77" s="138">
        <v>800000</v>
      </c>
      <c r="E77" s="138">
        <v>972500</v>
      </c>
      <c r="F77" s="138">
        <v>0</v>
      </c>
    </row>
    <row r="78" spans="2:6">
      <c r="B78" s="130"/>
      <c r="C78" s="131" t="s">
        <v>329</v>
      </c>
      <c r="D78" s="138">
        <v>0</v>
      </c>
      <c r="E78" s="138">
        <v>0</v>
      </c>
      <c r="F78" s="138">
        <v>12081000</v>
      </c>
    </row>
    <row r="79" spans="2:6">
      <c r="B79" s="130">
        <v>6000</v>
      </c>
      <c r="C79" s="132" t="s">
        <v>330</v>
      </c>
      <c r="D79" s="138">
        <v>0</v>
      </c>
      <c r="E79" s="138">
        <v>0</v>
      </c>
      <c r="F79" s="138">
        <v>0</v>
      </c>
    </row>
    <row r="80" spans="2:6">
      <c r="B80" s="130"/>
      <c r="C80" s="131" t="s">
        <v>331</v>
      </c>
      <c r="D80" s="138">
        <v>0</v>
      </c>
      <c r="E80" s="138">
        <v>0</v>
      </c>
      <c r="F80" s="138">
        <v>0</v>
      </c>
    </row>
    <row r="81" spans="2:6">
      <c r="B81" s="130"/>
      <c r="C81" s="131" t="s">
        <v>332</v>
      </c>
      <c r="D81" s="138">
        <v>200000</v>
      </c>
      <c r="E81" s="138">
        <v>10296000</v>
      </c>
      <c r="F81" s="138">
        <v>5027000</v>
      </c>
    </row>
    <row r="82" spans="2:6">
      <c r="B82" s="130"/>
      <c r="C82" s="131" t="s">
        <v>333</v>
      </c>
      <c r="D82" s="138">
        <v>2310000</v>
      </c>
      <c r="E82" s="138">
        <v>3510000</v>
      </c>
      <c r="F82" s="138">
        <v>600000</v>
      </c>
    </row>
    <row r="83" spans="2:6">
      <c r="B83" s="130"/>
      <c r="C83" s="131" t="s">
        <v>334</v>
      </c>
      <c r="D83" s="138">
        <v>0</v>
      </c>
      <c r="E83" s="138">
        <v>0</v>
      </c>
      <c r="F83" s="138">
        <v>0</v>
      </c>
    </row>
    <row r="84" spans="2:6">
      <c r="B84" s="130"/>
      <c r="C84" s="131" t="s">
        <v>335</v>
      </c>
      <c r="D84" s="138">
        <v>600000</v>
      </c>
      <c r="E84" s="138">
        <v>600000</v>
      </c>
      <c r="F84" s="138">
        <v>300000</v>
      </c>
    </row>
    <row r="85" spans="2:6">
      <c r="B85" s="130"/>
      <c r="C85" s="131" t="s">
        <v>336</v>
      </c>
      <c r="D85" s="138">
        <v>40000</v>
      </c>
      <c r="E85" s="138">
        <v>40000</v>
      </c>
      <c r="F85" s="138">
        <v>2285000</v>
      </c>
    </row>
    <row r="86" spans="2:6">
      <c r="B86" s="130"/>
      <c r="C86" s="131" t="s">
        <v>337</v>
      </c>
      <c r="D86" s="138">
        <v>2165000</v>
      </c>
      <c r="E86" s="138">
        <v>2165000</v>
      </c>
      <c r="F86" s="138">
        <v>1153000</v>
      </c>
    </row>
    <row r="87" spans="2:6">
      <c r="B87" s="130"/>
      <c r="C87" s="131" t="s">
        <v>338</v>
      </c>
      <c r="D87" s="138">
        <v>617000</v>
      </c>
      <c r="E87" s="138">
        <v>647000</v>
      </c>
      <c r="F87" s="138">
        <v>2275000</v>
      </c>
    </row>
    <row r="88" spans="2:6">
      <c r="B88" s="130">
        <v>7000</v>
      </c>
      <c r="C88" s="132" t="s">
        <v>339</v>
      </c>
      <c r="D88" s="138">
        <v>0</v>
      </c>
      <c r="E88" s="138">
        <v>0</v>
      </c>
      <c r="F88" s="138">
        <v>0</v>
      </c>
    </row>
    <row r="89" spans="2:6">
      <c r="B89" s="130"/>
      <c r="C89" s="131" t="s">
        <v>340</v>
      </c>
      <c r="D89" s="138">
        <v>0</v>
      </c>
      <c r="E89" s="138">
        <v>0</v>
      </c>
      <c r="F89" s="138">
        <v>0</v>
      </c>
    </row>
    <row r="90" spans="2:6">
      <c r="B90" s="130"/>
      <c r="C90" s="131" t="s">
        <v>341</v>
      </c>
      <c r="D90" s="138">
        <v>2275000</v>
      </c>
      <c r="E90" s="138">
        <v>2275000</v>
      </c>
      <c r="F90" s="138">
        <v>2190000</v>
      </c>
    </row>
    <row r="91" spans="2:6">
      <c r="B91" s="130"/>
      <c r="C91" s="131" t="s">
        <v>342</v>
      </c>
      <c r="D91" s="138">
        <v>0</v>
      </c>
      <c r="E91" s="138">
        <v>0</v>
      </c>
      <c r="F91" s="138">
        <v>0</v>
      </c>
    </row>
    <row r="92" spans="2:6">
      <c r="B92" s="130"/>
      <c r="C92" s="131" t="s">
        <v>343</v>
      </c>
      <c r="D92" s="138">
        <v>680000</v>
      </c>
      <c r="E92" s="138">
        <v>1280000</v>
      </c>
      <c r="F92" s="138">
        <v>400000</v>
      </c>
    </row>
    <row r="93" spans="2:6">
      <c r="B93" s="130"/>
      <c r="C93" s="131" t="s">
        <v>344</v>
      </c>
      <c r="D93" s="138">
        <v>0</v>
      </c>
      <c r="E93" s="138">
        <v>0</v>
      </c>
      <c r="F93" s="138">
        <v>0</v>
      </c>
    </row>
    <row r="94" spans="2:6" ht="28.9">
      <c r="B94" s="130"/>
      <c r="C94" s="133" t="s">
        <v>345</v>
      </c>
      <c r="D94" s="138">
        <v>400000</v>
      </c>
      <c r="E94" s="138">
        <v>400000</v>
      </c>
      <c r="F94" s="138">
        <v>0</v>
      </c>
    </row>
    <row r="95" spans="2:6">
      <c r="B95" s="130"/>
      <c r="C95" s="131" t="s">
        <v>346</v>
      </c>
      <c r="D95" s="138">
        <v>0</v>
      </c>
      <c r="E95" s="138">
        <v>0</v>
      </c>
      <c r="F95" s="138">
        <v>0</v>
      </c>
    </row>
    <row r="96" spans="2:6">
      <c r="B96" s="130"/>
      <c r="C96" s="131" t="s">
        <v>347</v>
      </c>
      <c r="D96" s="138">
        <v>0</v>
      </c>
      <c r="E96" s="138">
        <v>0</v>
      </c>
      <c r="F96" s="138">
        <v>422100</v>
      </c>
    </row>
    <row r="97" spans="2:6">
      <c r="B97" s="130"/>
      <c r="C97" s="131" t="s">
        <v>348</v>
      </c>
      <c r="D97" s="138">
        <v>0</v>
      </c>
      <c r="E97" s="138">
        <v>0</v>
      </c>
      <c r="F97" s="138">
        <v>0</v>
      </c>
    </row>
    <row r="98" spans="2:6">
      <c r="B98" s="130"/>
      <c r="C98" s="131" t="s">
        <v>349</v>
      </c>
      <c r="D98" s="138">
        <v>420000</v>
      </c>
      <c r="E98" s="138">
        <v>420000</v>
      </c>
      <c r="F98" s="138">
        <v>600000</v>
      </c>
    </row>
    <row r="99" spans="2:6" ht="28.9">
      <c r="B99" s="130"/>
      <c r="C99" s="133" t="s">
        <v>350</v>
      </c>
      <c r="D99" s="138">
        <v>600000</v>
      </c>
      <c r="E99" s="138">
        <v>600000</v>
      </c>
      <c r="F99" s="138">
        <v>2042250</v>
      </c>
    </row>
    <row r="100" spans="2:6">
      <c r="B100" s="130"/>
      <c r="C100" s="131" t="s">
        <v>351</v>
      </c>
      <c r="D100" s="138">
        <v>154100</v>
      </c>
      <c r="E100" s="138">
        <v>826600</v>
      </c>
      <c r="F100" s="138">
        <v>450800</v>
      </c>
    </row>
    <row r="101" spans="2:6">
      <c r="B101" s="130">
        <v>8000</v>
      </c>
      <c r="C101" s="132" t="s">
        <v>352</v>
      </c>
      <c r="D101" s="138">
        <v>0</v>
      </c>
      <c r="E101" s="138">
        <v>0</v>
      </c>
      <c r="F101" s="138">
        <v>0</v>
      </c>
    </row>
    <row r="102" spans="2:6">
      <c r="B102" s="130"/>
      <c r="C102" s="131" t="s">
        <v>353</v>
      </c>
      <c r="D102" s="138">
        <v>0</v>
      </c>
      <c r="E102" s="138">
        <v>0</v>
      </c>
      <c r="F102" s="138">
        <v>0</v>
      </c>
    </row>
    <row r="103" spans="2:6" ht="28.9">
      <c r="B103" s="130"/>
      <c r="C103" s="133" t="s">
        <v>354</v>
      </c>
      <c r="D103" s="138">
        <v>300000</v>
      </c>
      <c r="E103" s="138">
        <v>346800</v>
      </c>
      <c r="F103" s="138">
        <v>1297930</v>
      </c>
    </row>
    <row r="104" spans="2:6">
      <c r="B104" s="130"/>
      <c r="C104" s="131" t="s">
        <v>355</v>
      </c>
      <c r="D104" s="138">
        <v>0</v>
      </c>
      <c r="E104" s="138">
        <v>0</v>
      </c>
      <c r="F104" s="138">
        <v>0</v>
      </c>
    </row>
    <row r="105" spans="2:6">
      <c r="B105" s="130"/>
      <c r="C105" s="131" t="s">
        <v>356</v>
      </c>
      <c r="D105" s="138">
        <v>212500</v>
      </c>
      <c r="E105" s="138">
        <v>791800</v>
      </c>
      <c r="F105" s="138">
        <v>105000</v>
      </c>
    </row>
    <row r="106" spans="2:6">
      <c r="B106" s="130"/>
      <c r="C106" s="131" t="s">
        <v>357</v>
      </c>
      <c r="D106" s="138">
        <v>0</v>
      </c>
      <c r="E106" s="138">
        <v>0</v>
      </c>
      <c r="F106" s="138">
        <v>0</v>
      </c>
    </row>
    <row r="107" spans="2:6" ht="28.9">
      <c r="B107" s="130"/>
      <c r="C107" s="133" t="s">
        <v>358</v>
      </c>
      <c r="D107" s="138">
        <v>25000</v>
      </c>
      <c r="E107" s="138">
        <v>25000</v>
      </c>
      <c r="F107" s="138">
        <v>33500</v>
      </c>
    </row>
    <row r="108" spans="2:6">
      <c r="B108" s="130"/>
      <c r="C108" s="131" t="s">
        <v>359</v>
      </c>
      <c r="D108" s="138">
        <v>0</v>
      </c>
      <c r="E108" s="138">
        <v>0</v>
      </c>
      <c r="F108" s="138">
        <v>0</v>
      </c>
    </row>
    <row r="109" spans="2:6">
      <c r="B109" s="130"/>
      <c r="C109" s="131" t="s">
        <v>360</v>
      </c>
      <c r="D109" s="138">
        <v>773691.96</v>
      </c>
      <c r="E109" s="138">
        <v>1315591.96</v>
      </c>
      <c r="F109" s="138">
        <v>0</v>
      </c>
    </row>
    <row r="110" spans="2:6" ht="15" thickBot="1">
      <c r="B110" s="134"/>
      <c r="C110" s="135" t="s">
        <v>361</v>
      </c>
      <c r="D110" s="147">
        <f>SUM(D9:D109)</f>
        <v>52035386.960000001</v>
      </c>
      <c r="E110" s="146">
        <f>SUM(E9:E109)</f>
        <v>90214486.959999993</v>
      </c>
      <c r="F110" s="145">
        <f>SUM(F9:F109)</f>
        <v>131318595</v>
      </c>
    </row>
    <row r="111" spans="2:6" ht="15" thickTop="1"/>
  </sheetData>
  <mergeCells count="2">
    <mergeCell ref="B3:C3"/>
    <mergeCell ref="B4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Props1.xml><?xml version="1.0" encoding="utf-8"?>
<ds:datastoreItem xmlns:ds="http://schemas.openxmlformats.org/officeDocument/2006/customXml" ds:itemID="{1F927B5A-1395-4C4F-ADD9-CDAAB0781BEA}"/>
</file>

<file path=customXml/itemProps2.xml><?xml version="1.0" encoding="utf-8"?>
<ds:datastoreItem xmlns:ds="http://schemas.openxmlformats.org/officeDocument/2006/customXml" ds:itemID="{E04D2E26-BFBA-4F3A-A9D5-8D665B133ADB}"/>
</file>

<file path=customXml/itemProps3.xml><?xml version="1.0" encoding="utf-8"?>
<ds:datastoreItem xmlns:ds="http://schemas.openxmlformats.org/officeDocument/2006/customXml" ds:itemID="{04E9FDB5-4FD7-44D6-95BF-2478563F87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Cynthia Jepkoech</cp:lastModifiedBy>
  <cp:revision/>
  <dcterms:created xsi:type="dcterms:W3CDTF">2012-11-01T05:11:14Z</dcterms:created>
  <dcterms:modified xsi:type="dcterms:W3CDTF">2023-11-02T11:37:04Z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94dde6-398b-42fd-9ab1-a1959fc6b9e2_Enabled">
    <vt:lpwstr>true</vt:lpwstr>
  </property>
  <property fmtid="{D5CDD505-2E9C-101B-9397-08002B2CF9AE}" pid="3" name="MSIP_Label_6294dde6-398b-42fd-9ab1-a1959fc6b9e2_SetDate">
    <vt:lpwstr>2021-09-24T07:33:19Z</vt:lpwstr>
  </property>
  <property fmtid="{D5CDD505-2E9C-101B-9397-08002B2CF9AE}" pid="4" name="MSIP_Label_6294dde6-398b-42fd-9ab1-a1959fc6b9e2_Method">
    <vt:lpwstr>Privileged</vt:lpwstr>
  </property>
  <property fmtid="{D5CDD505-2E9C-101B-9397-08002B2CF9AE}" pid="5" name="MSIP_Label_6294dde6-398b-42fd-9ab1-a1959fc6b9e2_Name">
    <vt:lpwstr>Public</vt:lpwstr>
  </property>
  <property fmtid="{D5CDD505-2E9C-101B-9397-08002B2CF9AE}" pid="6" name="MSIP_Label_6294dde6-398b-42fd-9ab1-a1959fc6b9e2_SiteId">
    <vt:lpwstr>d6c8161d-ccd5-4325-b291-dd442c369fe4</vt:lpwstr>
  </property>
  <property fmtid="{D5CDD505-2E9C-101B-9397-08002B2CF9AE}" pid="7" name="MSIP_Label_6294dde6-398b-42fd-9ab1-a1959fc6b9e2_ActionId">
    <vt:lpwstr>ec13a3be-2e32-4603-aae5-64a87ca1ce7f</vt:lpwstr>
  </property>
  <property fmtid="{D5CDD505-2E9C-101B-9397-08002B2CF9AE}" pid="8" name="MSIP_Label_6294dde6-398b-42fd-9ab1-a1959fc6b9e2_ContentBits">
    <vt:lpwstr>0</vt:lpwstr>
  </property>
  <property fmtid="{D5CDD505-2E9C-101B-9397-08002B2CF9AE}" pid="9" name="ContentTypeId">
    <vt:lpwstr>0x010100F4FB27488935CD4FBFBB981DE553EA38</vt:lpwstr>
  </property>
  <property fmtid="{D5CDD505-2E9C-101B-9397-08002B2CF9AE}" pid="10" name="MediaServiceImageTags">
    <vt:lpwstr/>
  </property>
</Properties>
</file>
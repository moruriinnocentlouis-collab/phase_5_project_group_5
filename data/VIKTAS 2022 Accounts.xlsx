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.sharepoint.com/sites/Supervision/Shared Documents/DT Saccos/Portfolio 2/VIKTAS-11121/Accounts Approval/"/>
    </mc:Choice>
  </mc:AlternateContent>
  <xr:revisionPtr revIDLastSave="95" documentId="13_ncr:1_{61BDE119-2A3E-4E48-AD69-1E57FABAB010}" xr6:coauthVersionLast="47" xr6:coauthVersionMax="47" xr10:uidLastSave="{5727408C-A27D-4BC6-B541-EF8BDF28E7A5}"/>
  <bookViews>
    <workbookView xWindow="-108" yWindow="-108" windowWidth="23256" windowHeight="12576" activeTab="2" xr2:uid="{00000000-000D-0000-FFFF-FFFF00000000}"/>
  </bookViews>
  <sheets>
    <sheet name="Trend" sheetId="4" r:id="rId1"/>
    <sheet name="Financials" sheetId="6" r:id="rId2"/>
    <sheet name="Prudential Ratios" sheetId="5" r:id="rId3"/>
    <sheet name="CAELS" sheetId="7" r:id="rId4"/>
    <sheet name="Sectoral " sheetId="15" r:id="rId5"/>
    <sheet name="RCAP" sheetId="9" r:id="rId6"/>
    <sheet name="Sheet1" sheetId="10" r:id="rId7"/>
    <sheet name="Sheet2" sheetId="11" r:id="rId8"/>
    <sheet name="Sheet3" sheetId="12" r:id="rId9"/>
    <sheet name="Sheet4" sheetId="13" r:id="rId10"/>
    <sheet name="Form 4 2018" sheetId="14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BALANCE1_LDA01">'[1]Financial Statements'!$E$112</definedName>
    <definedName name="BALANCE1_LDA12">'[1]Financial Statements'!$E$123</definedName>
    <definedName name="BALANCE2_ILF10">'[2]Financial Statements'!$F$61</definedName>
    <definedName name="BALANCE2_ILI10">'[2]Financial Statements'!$F$62</definedName>
    <definedName name="BALANCE2_ILP10">'[2]Financial Statements'!$F$63</definedName>
    <definedName name="BALANCE2_INI10">'[2]Financial Statements'!$F$65</definedName>
    <definedName name="BALANCE2_INI40">'[2]Financial Statements'!$F$66</definedName>
    <definedName name="BALANCE2_IO010">'[2]Financial Statements'!$F$68</definedName>
    <definedName name="BALANCE2_IQ006">'[2]Financial Statements'!$F$69</definedName>
    <definedName name="BALANCE2_IQ009">'[2]Financial Statements'!$F$70</definedName>
    <definedName name="BALANCE2_LDA01">'[1]Financial Statements'!$F$112</definedName>
    <definedName name="BALANCE2_LDA12">'[1]Financial Statements'!$F$123</definedName>
    <definedName name="BALANCE2_XO010">'[2]Financial Statements'!$F$247</definedName>
    <definedName name="BALANCE2_XO020">'[2]Financial Statements'!$F$248</definedName>
    <definedName name="BALANCE2_XO030">'[2]Financial Statements'!$F$249</definedName>
    <definedName name="BALANCE2_XO040">'[2]Financial Statements'!$F$250</definedName>
    <definedName name="BALANCE2_XO050">'[2]Financial Statements'!$F$251</definedName>
    <definedName name="BALANCE3_ILF10">'[2]Financial Statements'!$G$61</definedName>
    <definedName name="BALANCE3_ILI10">'[2]Financial Statements'!$G$62</definedName>
    <definedName name="BALANCE3_ILP10">'[2]Financial Statements'!$G$63</definedName>
    <definedName name="BALANCE3_INI10">'[2]Financial Statements'!$G$65</definedName>
    <definedName name="BALANCE3_INI40">'[2]Financial Statements'!$G$66</definedName>
    <definedName name="BALANCE3_IO010">'[2]Financial Statements'!$G$68</definedName>
    <definedName name="BALANCE3_IQ006">'[2]Financial Statements'!$G$69</definedName>
    <definedName name="BALANCE3_IQ009">'[2]Financial Statements'!$G$70</definedName>
    <definedName name="BALANCE3_LDA01">'[1]Financial Statements'!$G$112</definedName>
    <definedName name="BALANCE3_LDA12">'[1]Financial Statements'!$G$123</definedName>
    <definedName name="BALANCE3_XO010">'[2]Financial Statements'!$G$247</definedName>
    <definedName name="BALANCE3_XO020">'[2]Financial Statements'!$G$248</definedName>
    <definedName name="BALANCE3_XO030">'[2]Financial Statements'!$G$249</definedName>
    <definedName name="BALANCE3_XO040">'[2]Financial Statements'!$G$250</definedName>
    <definedName name="BALANCE3_XO050">'[2]Financial Statements'!$G$251</definedName>
    <definedName name="BALANCE4_ILF10">'[2]Financial Statements'!$H$61</definedName>
    <definedName name="BALANCE4_ILI10">'[2]Financial Statements'!$H$62</definedName>
    <definedName name="BALANCE4_ILP10">'[2]Financial Statements'!$H$63</definedName>
    <definedName name="BALANCE4_INI10">'[2]Financial Statements'!$H$65</definedName>
    <definedName name="BALANCE4_INI40">'[2]Financial Statements'!$H$66</definedName>
    <definedName name="BALANCE4_IO010">'[2]Financial Statements'!$H$68</definedName>
    <definedName name="BALANCE4_IQ006">'[2]Financial Statements'!$H$69</definedName>
    <definedName name="BALANCE4_IQ009">'[2]Financial Statements'!$H$70</definedName>
    <definedName name="BALANCE4_LDA01">'[1]Financial Statements'!$H$112</definedName>
    <definedName name="BALANCE4_LDA12">'[1]Financial Statements'!$H$123</definedName>
    <definedName name="BALANCE4_XO010">'[2]Financial Statements'!$H$247</definedName>
    <definedName name="BALANCE4_XO020">'[2]Financial Statements'!$H$248</definedName>
    <definedName name="BALANCE4_XO030">'[2]Financial Statements'!$H$249</definedName>
    <definedName name="BALANCE4_XO040">'[2]Financial Statements'!$H$250</definedName>
    <definedName name="BALANCE4_XO050">'[2]Financial Statements'!$H$251</definedName>
    <definedName name="BALANCE5_ILI10">'[2]Financial Statements'!$I$62</definedName>
    <definedName name="BALANCE5_ILP10">'[2]Financial Statements'!$I$63</definedName>
    <definedName name="BALANCE5_INI10">'[2]Financial Statements'!$I$65</definedName>
    <definedName name="BALANCE5_INI40">'[2]Financial Statements'!$I$66</definedName>
    <definedName name="BALANCE5_IO010">'[2]Financial Statements'!$I$68</definedName>
    <definedName name="BALANCE5_IQ006">'[2]Financial Statements'!$I$69</definedName>
    <definedName name="BALANCE5_IQ009">'[2]Financial Statements'!$I$70</definedName>
    <definedName name="BALANCE5_LDA01">'[1]Financial Statements'!$I$112</definedName>
    <definedName name="BALANCE5_LDA12">'[1]Financial Statements'!$I$123</definedName>
    <definedName name="BALANCE5_XO010">'[2]Financial Statements'!$I$247</definedName>
    <definedName name="BALANCE5_XO020">'[2]Financial Statements'!$I$248</definedName>
    <definedName name="BALANCE5_XO030">'[2]Financial Statements'!$I$249</definedName>
    <definedName name="BALANCE5_XO040">'[2]Financial Statements'!$I$250</definedName>
    <definedName name="BALANCE5_XO050">'[2]Financial Statements'!$I$251</definedName>
    <definedName name="BALANCE6_ILI10">'[2]Financial Statements'!$J$62</definedName>
    <definedName name="BALANCE6_ILP10">'[2]Financial Statements'!$J$63</definedName>
    <definedName name="BALANCE6_INI10">'[2]Financial Statements'!$J$65</definedName>
    <definedName name="BALANCE6_INI40">'[2]Financial Statements'!$J$66</definedName>
    <definedName name="BALANCE6_IO010">'[2]Financial Statements'!$J$68</definedName>
    <definedName name="BALANCE6_IQ006">'[2]Financial Statements'!$J$69</definedName>
    <definedName name="BALANCE6_IQ009">'[2]Financial Statements'!$J$70</definedName>
    <definedName name="BALANCE6_LDA01">'[1]Financial Statements'!$J$112</definedName>
    <definedName name="BALANCE6_LDA12">'[1]Financial Statements'!$J$123</definedName>
    <definedName name="BALANCE6_XO010">'[2]Financial Statements'!$J$247</definedName>
    <definedName name="BALANCE6_XO020">'[2]Financial Statements'!$J$248</definedName>
    <definedName name="BALANCE6_XO030">'[2]Financial Statements'!$J$249</definedName>
    <definedName name="BALANCE6_XO040">'[2]Financial Statements'!$J$250</definedName>
    <definedName name="BALANCE6_XO050">'[2]Financial Statements'!$J$251</definedName>
    <definedName name="dgf">'[2]SASRA B.S.'!$C$2</definedName>
    <definedName name="NotApplicable">CAELS!$B$25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_xlnm.Print_Area" localSheetId="1">Financials!$A$1:$EB$57</definedName>
    <definedName name="_xlnm.Print_Area" localSheetId="2">'Prudential Ratios'!$A$1:$DZ$50</definedName>
    <definedName name="_xlnm.Print_Area" localSheetId="0">Trend!$A$1:$BP$104</definedName>
    <definedName name="q">'[2]SASRA B.S.'!$C$2</definedName>
    <definedName name="units">'[1]SASRA B.S.'!$C$2</definedName>
    <definedName name="w">'[2]SASRA B.S.'!$C$2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6" l="1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S17" i="6"/>
  <c r="DT17" i="6"/>
  <c r="DU17" i="6"/>
  <c r="DV17" i="6"/>
  <c r="DW17" i="6"/>
  <c r="DW18" i="6"/>
  <c r="DQ20" i="6"/>
  <c r="DR20" i="6"/>
  <c r="DS20" i="6"/>
  <c r="DT20" i="6"/>
  <c r="DU20" i="6"/>
  <c r="DV20" i="6"/>
  <c r="DW20" i="6"/>
  <c r="DS19" i="6"/>
  <c r="DT19" i="6"/>
  <c r="DU19" i="6"/>
  <c r="DV19" i="6"/>
  <c r="DW1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C27" i="5" s="1"/>
  <c r="CB9" i="6"/>
  <c r="CC9" i="6"/>
  <c r="CD9" i="6"/>
  <c r="CF27" i="5" s="1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CS9" i="6"/>
  <c r="CT9" i="6"/>
  <c r="CV27" i="5" s="1"/>
  <c r="CU9" i="6"/>
  <c r="CV9" i="6"/>
  <c r="CW9" i="6"/>
  <c r="CX9" i="6"/>
  <c r="CY9" i="6"/>
  <c r="CZ9" i="6"/>
  <c r="DA9" i="6"/>
  <c r="DB9" i="6"/>
  <c r="DD27" i="5" s="1"/>
  <c r="DC9" i="6"/>
  <c r="DD9" i="6"/>
  <c r="DE9" i="6"/>
  <c r="DF9" i="6"/>
  <c r="DG9" i="6"/>
  <c r="DH9" i="6"/>
  <c r="DI9" i="6"/>
  <c r="DJ9" i="6"/>
  <c r="DL27" i="5" s="1"/>
  <c r="DK9" i="6"/>
  <c r="DL9" i="6"/>
  <c r="DM9" i="6"/>
  <c r="DN9" i="6"/>
  <c r="DO9" i="6"/>
  <c r="DP9" i="6"/>
  <c r="BY27" i="5"/>
  <c r="BZ27" i="5"/>
  <c r="CA27" i="5"/>
  <c r="CB27" i="5"/>
  <c r="CD27" i="5"/>
  <c r="CE27" i="5"/>
  <c r="CG27" i="5"/>
  <c r="CH27" i="5"/>
  <c r="CI27" i="5"/>
  <c r="CJ27" i="5"/>
  <c r="CK27" i="5"/>
  <c r="CL27" i="5"/>
  <c r="CO27" i="5"/>
  <c r="CP27" i="5"/>
  <c r="CU27" i="5"/>
  <c r="CW27" i="5"/>
  <c r="CX27" i="5"/>
  <c r="CY27" i="5"/>
  <c r="CZ27" i="5"/>
  <c r="DA27" i="5"/>
  <c r="DB27" i="5"/>
  <c r="DC27" i="5"/>
  <c r="DE27" i="5"/>
  <c r="DF27" i="5"/>
  <c r="DG27" i="5"/>
  <c r="DH27" i="5"/>
  <c r="DI27" i="5"/>
  <c r="DJ27" i="5"/>
  <c r="DK27" i="5"/>
  <c r="DM27" i="5"/>
  <c r="DN27" i="5"/>
  <c r="DO27" i="5"/>
  <c r="DP27" i="5"/>
  <c r="DQ27" i="5"/>
  <c r="DR27" i="5"/>
  <c r="DS27" i="5"/>
  <c r="DT27" i="5"/>
  <c r="DU27" i="5"/>
  <c r="DV27" i="5"/>
  <c r="DW27" i="5"/>
  <c r="DX27" i="5"/>
  <c r="DQ9" i="6"/>
  <c r="DR9" i="6"/>
  <c r="DS9" i="6"/>
  <c r="DT9" i="6"/>
  <c r="DU9" i="6"/>
  <c r="DV9" i="6"/>
  <c r="DW9" i="6"/>
  <c r="DW44" i="4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W33" i="6"/>
  <c r="DK5" i="4"/>
  <c r="DL5" i="4"/>
  <c r="DM5" i="4"/>
  <c r="DN5" i="4"/>
  <c r="DO5" i="4"/>
  <c r="DP5" i="4"/>
  <c r="DQ5" i="4"/>
  <c r="DR5" i="4"/>
  <c r="DS5" i="4"/>
  <c r="DT5" i="4"/>
  <c r="DU5" i="4"/>
  <c r="DV5" i="4"/>
  <c r="DV27" i="6" l="1"/>
  <c r="DW27" i="6"/>
  <c r="DV31" i="6"/>
  <c r="DX16" i="5" s="1"/>
  <c r="DW31" i="6"/>
  <c r="DY16" i="5" s="1"/>
  <c r="DV32" i="6"/>
  <c r="DX50" i="5" s="1"/>
  <c r="DW32" i="6"/>
  <c r="DV34" i="6"/>
  <c r="DW34" i="6"/>
  <c r="DQ10" i="7"/>
  <c r="DV35" i="6"/>
  <c r="DW35" i="6"/>
  <c r="DV39" i="6"/>
  <c r="DW39" i="6"/>
  <c r="DV43" i="6"/>
  <c r="DW43" i="6"/>
  <c r="DW46" i="6" s="1"/>
  <c r="DV44" i="6"/>
  <c r="DW44" i="6"/>
  <c r="DV49" i="6"/>
  <c r="DW49" i="6"/>
  <c r="DV50" i="6"/>
  <c r="DW50" i="6"/>
  <c r="DV51" i="6"/>
  <c r="DW51" i="6"/>
  <c r="DV52" i="6"/>
  <c r="DW52" i="6"/>
  <c r="DV53" i="6"/>
  <c r="DW53" i="6"/>
  <c r="DV54" i="6"/>
  <c r="DW54" i="6"/>
  <c r="DW42" i="4"/>
  <c r="DW7" i="4"/>
  <c r="DW5" i="4" s="1"/>
  <c r="DW66" i="4"/>
  <c r="DS59" i="4"/>
  <c r="DT59" i="4"/>
  <c r="DU59" i="4"/>
  <c r="DV59" i="4"/>
  <c r="DS62" i="4"/>
  <c r="DS45" i="6" s="1"/>
  <c r="DT62" i="4"/>
  <c r="DT45" i="6" s="1"/>
  <c r="DU62" i="4"/>
  <c r="DV62" i="4"/>
  <c r="DV45" i="6" s="1"/>
  <c r="DS67" i="4"/>
  <c r="DT67" i="4"/>
  <c r="DU67" i="4"/>
  <c r="DV67" i="4"/>
  <c r="DS75" i="4"/>
  <c r="DS55" i="6" s="1"/>
  <c r="DT75" i="4"/>
  <c r="DT55" i="6" s="1"/>
  <c r="DU75" i="4"/>
  <c r="DU55" i="6" s="1"/>
  <c r="DV75" i="4"/>
  <c r="DV55" i="6" s="1"/>
  <c r="DS78" i="4"/>
  <c r="DT78" i="4"/>
  <c r="DU78" i="4"/>
  <c r="DV78" i="4"/>
  <c r="DS85" i="4"/>
  <c r="DT85" i="4"/>
  <c r="DU85" i="4"/>
  <c r="DV85" i="4"/>
  <c r="DS45" i="4"/>
  <c r="DT45" i="4"/>
  <c r="DU45" i="4"/>
  <c r="DV45" i="4"/>
  <c r="DS42" i="4"/>
  <c r="DT42" i="4"/>
  <c r="DU42" i="4"/>
  <c r="DV42" i="4"/>
  <c r="DS31" i="4"/>
  <c r="DT31" i="4"/>
  <c r="DT6" i="6" s="1"/>
  <c r="DU31" i="4"/>
  <c r="DV31" i="4"/>
  <c r="DV6" i="6" s="1"/>
  <c r="DS32" i="4"/>
  <c r="DS39" i="4" s="1"/>
  <c r="DS51" i="4" s="1"/>
  <c r="DT32" i="4"/>
  <c r="DT39" i="4" s="1"/>
  <c r="DT51" i="4" s="1"/>
  <c r="DU32" i="4"/>
  <c r="DU39" i="4" s="1"/>
  <c r="DU51" i="4" s="1"/>
  <c r="DV32" i="4"/>
  <c r="DS21" i="4"/>
  <c r="DT21" i="4"/>
  <c r="DU21" i="4"/>
  <c r="DV21" i="4"/>
  <c r="DS14" i="4"/>
  <c r="DT14" i="4"/>
  <c r="DU14" i="4"/>
  <c r="DV14" i="4"/>
  <c r="DS9" i="4"/>
  <c r="DT9" i="4"/>
  <c r="DU9" i="4"/>
  <c r="DV9" i="4"/>
  <c r="E112" i="15"/>
  <c r="D112" i="15"/>
  <c r="D114" i="15" s="1"/>
  <c r="DE7" i="6"/>
  <c r="DF7" i="6"/>
  <c r="DG7" i="6"/>
  <c r="DH7" i="6"/>
  <c r="DI7" i="6"/>
  <c r="DJ7" i="6"/>
  <c r="DK7" i="6"/>
  <c r="DL7" i="6"/>
  <c r="DM7" i="6"/>
  <c r="DN7" i="6"/>
  <c r="DO7" i="6"/>
  <c r="DP7" i="6"/>
  <c r="DQ7" i="6"/>
  <c r="DR7" i="6"/>
  <c r="DS7" i="6"/>
  <c r="DT7" i="6"/>
  <c r="DU7" i="6"/>
  <c r="DV7" i="6"/>
  <c r="DW7" i="6"/>
  <c r="DE8" i="6"/>
  <c r="DF8" i="6"/>
  <c r="DG8" i="6"/>
  <c r="DH8" i="6"/>
  <c r="DI8" i="6"/>
  <c r="DJ8" i="6"/>
  <c r="DK8" i="6"/>
  <c r="DL8" i="6"/>
  <c r="DM8" i="6"/>
  <c r="DN8" i="6"/>
  <c r="DO8" i="6"/>
  <c r="DP8" i="6"/>
  <c r="DQ8" i="6"/>
  <c r="DR8" i="6"/>
  <c r="DV8" i="6"/>
  <c r="DW8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V47" i="5" s="1"/>
  <c r="DU10" i="6"/>
  <c r="DO17" i="7" s="1"/>
  <c r="DV10" i="6"/>
  <c r="DW10" i="6"/>
  <c r="DQ17" i="7"/>
  <c r="DE17" i="6"/>
  <c r="DF17" i="6"/>
  <c r="DG17" i="6"/>
  <c r="DH17" i="6"/>
  <c r="DI17" i="6"/>
  <c r="DJ17" i="6"/>
  <c r="DK17" i="6"/>
  <c r="DL17" i="6"/>
  <c r="DM17" i="6"/>
  <c r="DN17" i="6"/>
  <c r="DO17" i="6"/>
  <c r="DP17" i="6"/>
  <c r="DQ17" i="6"/>
  <c r="DR17" i="6"/>
  <c r="DE19" i="6"/>
  <c r="DF19" i="6"/>
  <c r="DG19" i="6"/>
  <c r="DH19" i="6"/>
  <c r="DI19" i="6"/>
  <c r="DJ19" i="6"/>
  <c r="DK19" i="6"/>
  <c r="DL19" i="6"/>
  <c r="DM19" i="6"/>
  <c r="DN19" i="6"/>
  <c r="DO19" i="6"/>
  <c r="DP19" i="6"/>
  <c r="DQ19" i="6"/>
  <c r="DR19" i="6"/>
  <c r="DE20" i="6"/>
  <c r="DF20" i="6"/>
  <c r="DG20" i="6"/>
  <c r="DH20" i="6"/>
  <c r="DI20" i="6"/>
  <c r="DJ20" i="6"/>
  <c r="DK20" i="6"/>
  <c r="DL20" i="6"/>
  <c r="DM20" i="6"/>
  <c r="DN20" i="6"/>
  <c r="DO20" i="6"/>
  <c r="DP20" i="6"/>
  <c r="DE22" i="6"/>
  <c r="DF22" i="6"/>
  <c r="DG22" i="6"/>
  <c r="DH22" i="6"/>
  <c r="DI22" i="6"/>
  <c r="DJ22" i="6"/>
  <c r="DK22" i="6"/>
  <c r="DL22" i="6"/>
  <c r="DM22" i="6"/>
  <c r="DN22" i="6"/>
  <c r="DO22" i="6"/>
  <c r="DP22" i="6"/>
  <c r="DQ22" i="6"/>
  <c r="DR22" i="6"/>
  <c r="DS22" i="6"/>
  <c r="DT22" i="6"/>
  <c r="DU22" i="6"/>
  <c r="DV22" i="6"/>
  <c r="DW22" i="6"/>
  <c r="DE26" i="6"/>
  <c r="DF26" i="6"/>
  <c r="DG26" i="6"/>
  <c r="DH26" i="6"/>
  <c r="DI26" i="6"/>
  <c r="DJ26" i="6"/>
  <c r="DK26" i="6"/>
  <c r="DL26" i="6"/>
  <c r="DM26" i="6"/>
  <c r="DN26" i="6"/>
  <c r="DO26" i="6"/>
  <c r="DP26" i="6"/>
  <c r="DQ26" i="6"/>
  <c r="DR26" i="6"/>
  <c r="DE27" i="6"/>
  <c r="DF27" i="6"/>
  <c r="DG27" i="6"/>
  <c r="DH27" i="6"/>
  <c r="DI27" i="6"/>
  <c r="DJ27" i="6"/>
  <c r="DK27" i="6"/>
  <c r="DL27" i="6"/>
  <c r="DM27" i="6"/>
  <c r="DN27" i="6"/>
  <c r="DO27" i="6"/>
  <c r="DP27" i="6"/>
  <c r="DQ27" i="6"/>
  <c r="DR27" i="6"/>
  <c r="DS27" i="6"/>
  <c r="DT27" i="6"/>
  <c r="DU27" i="6"/>
  <c r="DE31" i="6"/>
  <c r="DG16" i="5" s="1"/>
  <c r="DF31" i="6"/>
  <c r="DG31" i="6"/>
  <c r="DH31" i="6"/>
  <c r="DI31" i="6"/>
  <c r="DJ31" i="6"/>
  <c r="DK31" i="6"/>
  <c r="DL31" i="6"/>
  <c r="DN16" i="5" s="1"/>
  <c r="DM31" i="6"/>
  <c r="DO16" i="5" s="1"/>
  <c r="DN31" i="6"/>
  <c r="DO31" i="6"/>
  <c r="DP31" i="6"/>
  <c r="DQ31" i="6"/>
  <c r="DS16" i="5" s="1"/>
  <c r="DR31" i="6"/>
  <c r="DL11" i="7" s="1"/>
  <c r="DS31" i="6"/>
  <c r="DT31" i="6"/>
  <c r="DV16" i="5" s="1"/>
  <c r="DU31" i="6"/>
  <c r="DW16" i="5" s="1"/>
  <c r="DE32" i="6"/>
  <c r="DF32" i="6"/>
  <c r="DG32" i="6"/>
  <c r="DH32" i="6"/>
  <c r="DI32" i="6"/>
  <c r="DJ32" i="6"/>
  <c r="DK32" i="6"/>
  <c r="DL32" i="6"/>
  <c r="DM32" i="6"/>
  <c r="DN32" i="6"/>
  <c r="DO32" i="6"/>
  <c r="DP32" i="6"/>
  <c r="DQ32" i="6"/>
  <c r="DR32" i="6"/>
  <c r="DS32" i="6"/>
  <c r="DT32" i="6"/>
  <c r="DU32" i="6"/>
  <c r="DE34" i="6"/>
  <c r="DF34" i="6"/>
  <c r="DG34" i="6"/>
  <c r="DH34" i="6"/>
  <c r="DB10" i="7" s="1"/>
  <c r="DI34" i="6"/>
  <c r="DC10" i="7" s="1"/>
  <c r="DJ34" i="6"/>
  <c r="DD10" i="7" s="1"/>
  <c r="DK34" i="6"/>
  <c r="DL34" i="6"/>
  <c r="DF10" i="7" s="1"/>
  <c r="DM34" i="6"/>
  <c r="DN34" i="6"/>
  <c r="DO34" i="6"/>
  <c r="DP34" i="6"/>
  <c r="DJ10" i="7" s="1"/>
  <c r="DQ34" i="6"/>
  <c r="DK10" i="7" s="1"/>
  <c r="DR34" i="6"/>
  <c r="DL10" i="7" s="1"/>
  <c r="DS34" i="6"/>
  <c r="DT34" i="6"/>
  <c r="DN10" i="7" s="1"/>
  <c r="DU34" i="6"/>
  <c r="DE35" i="6"/>
  <c r="DF35" i="6"/>
  <c r="DG35" i="6"/>
  <c r="DH35" i="6"/>
  <c r="DI35" i="6"/>
  <c r="DJ35" i="6"/>
  <c r="DK35" i="6"/>
  <c r="DL35" i="6"/>
  <c r="DM35" i="6"/>
  <c r="DN35" i="6"/>
  <c r="DO35" i="6"/>
  <c r="DP35" i="6"/>
  <c r="DQ35" i="6"/>
  <c r="DR35" i="6"/>
  <c r="DS35" i="6"/>
  <c r="DT35" i="6"/>
  <c r="DU35" i="6"/>
  <c r="DE39" i="6"/>
  <c r="DF39" i="6"/>
  <c r="DG39" i="6"/>
  <c r="DH39" i="6"/>
  <c r="DI39" i="6"/>
  <c r="DJ39" i="6"/>
  <c r="DK39" i="6"/>
  <c r="DL39" i="6"/>
  <c r="DM39" i="6"/>
  <c r="DN39" i="6"/>
  <c r="DO39" i="6"/>
  <c r="DP39" i="6"/>
  <c r="DQ39" i="6"/>
  <c r="DR39" i="6"/>
  <c r="DS39" i="6"/>
  <c r="DT39" i="6"/>
  <c r="DU39" i="6"/>
  <c r="DE43" i="6"/>
  <c r="DF43" i="6"/>
  <c r="DG43" i="6"/>
  <c r="DH43" i="6"/>
  <c r="DI43" i="6"/>
  <c r="DI46" i="6" s="1"/>
  <c r="DJ43" i="6"/>
  <c r="DK43" i="6"/>
  <c r="DL43" i="6"/>
  <c r="DM43" i="6"/>
  <c r="DN43" i="6"/>
  <c r="DO43" i="6"/>
  <c r="DP43" i="6"/>
  <c r="DP46" i="6" s="1"/>
  <c r="DQ43" i="6"/>
  <c r="DQ46" i="6" s="1"/>
  <c r="DR43" i="6"/>
  <c r="DS43" i="6"/>
  <c r="DT43" i="6"/>
  <c r="DU43" i="6"/>
  <c r="DE44" i="6"/>
  <c r="DF44" i="6"/>
  <c r="DG44" i="6"/>
  <c r="DH44" i="6"/>
  <c r="DI44" i="6"/>
  <c r="DJ44" i="6"/>
  <c r="DK44" i="6"/>
  <c r="DL44" i="6"/>
  <c r="DM44" i="6"/>
  <c r="DN44" i="6"/>
  <c r="DO44" i="6"/>
  <c r="DP44" i="6"/>
  <c r="DQ44" i="6"/>
  <c r="DR44" i="6"/>
  <c r="DS44" i="6"/>
  <c r="DT44" i="6"/>
  <c r="DU44" i="6"/>
  <c r="DG46" i="6"/>
  <c r="DH46" i="6"/>
  <c r="DJ46" i="6"/>
  <c r="DR46" i="6"/>
  <c r="DE49" i="6"/>
  <c r="DF49" i="6"/>
  <c r="DG49" i="6"/>
  <c r="DH49" i="6"/>
  <c r="DI49" i="6"/>
  <c r="DJ49" i="6"/>
  <c r="DK49" i="6"/>
  <c r="DL49" i="6"/>
  <c r="DM49" i="6"/>
  <c r="DN49" i="6"/>
  <c r="DO49" i="6"/>
  <c r="DP49" i="6"/>
  <c r="DQ49" i="6"/>
  <c r="DR49" i="6"/>
  <c r="DS49" i="6"/>
  <c r="DT49" i="6"/>
  <c r="DU49" i="6"/>
  <c r="DE50" i="6"/>
  <c r="DF50" i="6"/>
  <c r="DG50" i="6"/>
  <c r="DH50" i="6"/>
  <c r="DI50" i="6"/>
  <c r="DJ50" i="6"/>
  <c r="DK50" i="6"/>
  <c r="DL50" i="6"/>
  <c r="DM50" i="6"/>
  <c r="DN50" i="6"/>
  <c r="DO50" i="6"/>
  <c r="DP50" i="6"/>
  <c r="DQ50" i="6"/>
  <c r="DR50" i="6"/>
  <c r="DS50" i="6"/>
  <c r="DT50" i="6"/>
  <c r="DU50" i="6"/>
  <c r="DE51" i="6"/>
  <c r="DF51" i="6"/>
  <c r="DG51" i="6"/>
  <c r="DH51" i="6"/>
  <c r="DI51" i="6"/>
  <c r="DJ51" i="6"/>
  <c r="DK51" i="6"/>
  <c r="DL51" i="6"/>
  <c r="DM51" i="6"/>
  <c r="DN51" i="6"/>
  <c r="DO51" i="6"/>
  <c r="DP51" i="6"/>
  <c r="DQ51" i="6"/>
  <c r="DR51" i="6"/>
  <c r="DS51" i="6"/>
  <c r="DT51" i="6"/>
  <c r="DU51" i="6"/>
  <c r="DE52" i="6"/>
  <c r="DF52" i="6"/>
  <c r="DG52" i="6"/>
  <c r="DH52" i="6"/>
  <c r="DI52" i="6"/>
  <c r="DJ52" i="6"/>
  <c r="DK52" i="6"/>
  <c r="DL52" i="6"/>
  <c r="DM52" i="6"/>
  <c r="DN52" i="6"/>
  <c r="DO52" i="6"/>
  <c r="DP52" i="6"/>
  <c r="DQ52" i="6"/>
  <c r="DR52" i="6"/>
  <c r="DS52" i="6"/>
  <c r="DT52" i="6"/>
  <c r="DU52" i="6"/>
  <c r="DE53" i="6"/>
  <c r="DF53" i="6"/>
  <c r="DG53" i="6"/>
  <c r="DH53" i="6"/>
  <c r="DI53" i="6"/>
  <c r="DJ53" i="6"/>
  <c r="DK53" i="6"/>
  <c r="DL53" i="6"/>
  <c r="DM53" i="6"/>
  <c r="DN53" i="6"/>
  <c r="DO53" i="6"/>
  <c r="DP53" i="6"/>
  <c r="DQ53" i="6"/>
  <c r="DR53" i="6"/>
  <c r="DS53" i="6"/>
  <c r="DT53" i="6"/>
  <c r="DU53" i="6"/>
  <c r="DE54" i="6"/>
  <c r="DF54" i="6"/>
  <c r="DG54" i="6"/>
  <c r="DH54" i="6"/>
  <c r="DI54" i="6"/>
  <c r="DJ54" i="6"/>
  <c r="DK54" i="6"/>
  <c r="DL54" i="6"/>
  <c r="DM54" i="6"/>
  <c r="DN54" i="6"/>
  <c r="DO54" i="6"/>
  <c r="DP54" i="6"/>
  <c r="DQ54" i="6"/>
  <c r="DR54" i="6"/>
  <c r="DS54" i="6"/>
  <c r="DT54" i="6"/>
  <c r="DU54" i="6"/>
  <c r="DK67" i="4"/>
  <c r="DL67" i="4"/>
  <c r="DM67" i="4"/>
  <c r="DN67" i="4"/>
  <c r="DO67" i="4"/>
  <c r="DP67" i="4"/>
  <c r="DQ67" i="4"/>
  <c r="DR67" i="4"/>
  <c r="DW78" i="4"/>
  <c r="DW75" i="4"/>
  <c r="DW55" i="6" s="1"/>
  <c r="DK85" i="4"/>
  <c r="DL85" i="4"/>
  <c r="DM85" i="4"/>
  <c r="DN85" i="4"/>
  <c r="DO85" i="4"/>
  <c r="DP85" i="4"/>
  <c r="DQ85" i="4"/>
  <c r="DR85" i="4"/>
  <c r="DW85" i="4"/>
  <c r="DK78" i="4"/>
  <c r="DL78" i="4"/>
  <c r="DM78" i="4"/>
  <c r="DN78" i="4"/>
  <c r="DO78" i="4"/>
  <c r="DP78" i="4"/>
  <c r="DQ78" i="4"/>
  <c r="DR78" i="4"/>
  <c r="DK75" i="4"/>
  <c r="DK55" i="6" s="1"/>
  <c r="DL75" i="4"/>
  <c r="DL55" i="6" s="1"/>
  <c r="DM75" i="4"/>
  <c r="DM55" i="6" s="1"/>
  <c r="DN75" i="4"/>
  <c r="DN55" i="6" s="1"/>
  <c r="DO75" i="4"/>
  <c r="DO55" i="6" s="1"/>
  <c r="DP75" i="4"/>
  <c r="DP55" i="6" s="1"/>
  <c r="DQ75" i="4"/>
  <c r="DQ55" i="6" s="1"/>
  <c r="DR75" i="4"/>
  <c r="DR55" i="6" s="1"/>
  <c r="DW67" i="4"/>
  <c r="DK62" i="4"/>
  <c r="DK45" i="6" s="1"/>
  <c r="DL62" i="4"/>
  <c r="DL45" i="6" s="1"/>
  <c r="DM62" i="4"/>
  <c r="DM45" i="6" s="1"/>
  <c r="DN62" i="4"/>
  <c r="DN45" i="6" s="1"/>
  <c r="DO62" i="4"/>
  <c r="DO45" i="6" s="1"/>
  <c r="DP62" i="4"/>
  <c r="DP45" i="6" s="1"/>
  <c r="DQ62" i="4"/>
  <c r="DQ45" i="6" s="1"/>
  <c r="DR62" i="4"/>
  <c r="DR45" i="6" s="1"/>
  <c r="DU45" i="6"/>
  <c r="DW62" i="4"/>
  <c r="DW45" i="6" s="1"/>
  <c r="DK59" i="4"/>
  <c r="DL59" i="4"/>
  <c r="DM59" i="4"/>
  <c r="DN59" i="4"/>
  <c r="DO59" i="4"/>
  <c r="DP59" i="4"/>
  <c r="DQ59" i="4"/>
  <c r="DR59" i="4"/>
  <c r="DW59" i="4"/>
  <c r="DK45" i="4"/>
  <c r="DL45" i="4"/>
  <c r="DM45" i="4"/>
  <c r="DN45" i="4"/>
  <c r="DO45" i="4"/>
  <c r="DP45" i="4"/>
  <c r="DQ45" i="4"/>
  <c r="DR45" i="4"/>
  <c r="DW45" i="4"/>
  <c r="DK42" i="4"/>
  <c r="DL42" i="4"/>
  <c r="DM42" i="4"/>
  <c r="DN42" i="4"/>
  <c r="DO42" i="4"/>
  <c r="DP42" i="4"/>
  <c r="DQ42" i="4"/>
  <c r="DR42" i="4"/>
  <c r="DK32" i="4"/>
  <c r="DL32" i="4"/>
  <c r="DM32" i="4"/>
  <c r="DN32" i="4"/>
  <c r="DO32" i="4"/>
  <c r="DP32" i="4"/>
  <c r="DQ32" i="4"/>
  <c r="DR32" i="4"/>
  <c r="DW32" i="4"/>
  <c r="DK31" i="4"/>
  <c r="DK6" i="6" s="1"/>
  <c r="DM47" i="5" s="1"/>
  <c r="DL31" i="4"/>
  <c r="DM31" i="4"/>
  <c r="DM6" i="6" s="1"/>
  <c r="DN31" i="4"/>
  <c r="DN6" i="6" s="1"/>
  <c r="DO31" i="4"/>
  <c r="DO6" i="6" s="1"/>
  <c r="DP31" i="4"/>
  <c r="DP6" i="6" s="1"/>
  <c r="DQ31" i="4"/>
  <c r="DQ6" i="6" s="1"/>
  <c r="DR31" i="4"/>
  <c r="DS6" i="6"/>
  <c r="DU6" i="6"/>
  <c r="DW31" i="4"/>
  <c r="DW6" i="6" s="1"/>
  <c r="DQ18" i="7"/>
  <c r="DK21" i="4"/>
  <c r="DK38" i="6" s="1"/>
  <c r="DL21" i="4"/>
  <c r="DL38" i="6" s="1"/>
  <c r="DM21" i="4"/>
  <c r="DM38" i="6" s="1"/>
  <c r="DN21" i="4"/>
  <c r="DN38" i="6" s="1"/>
  <c r="DO21" i="4"/>
  <c r="DO38" i="6" s="1"/>
  <c r="DP21" i="4"/>
  <c r="DP38" i="6" s="1"/>
  <c r="DQ21" i="4"/>
  <c r="DQ38" i="6" s="1"/>
  <c r="DR21" i="4"/>
  <c r="DR38" i="6" s="1"/>
  <c r="DW21" i="4"/>
  <c r="DK14" i="4"/>
  <c r="DL14" i="4"/>
  <c r="DM14" i="4"/>
  <c r="DN14" i="4"/>
  <c r="DO14" i="4"/>
  <c r="DP14" i="4"/>
  <c r="DQ14" i="4"/>
  <c r="DR14" i="4"/>
  <c r="DW14" i="4"/>
  <c r="DK9" i="4"/>
  <c r="DL9" i="4"/>
  <c r="DM9" i="4"/>
  <c r="DN9" i="4"/>
  <c r="DO9" i="4"/>
  <c r="DP9" i="4"/>
  <c r="DQ9" i="4"/>
  <c r="DR9" i="4"/>
  <c r="DW9" i="4"/>
  <c r="DJ18" i="7"/>
  <c r="DY47" i="5" l="1"/>
  <c r="DM27" i="4"/>
  <c r="DO46" i="6"/>
  <c r="DX47" i="5"/>
  <c r="DU46" i="6"/>
  <c r="DE46" i="6"/>
  <c r="DY50" i="5"/>
  <c r="DP11" i="7"/>
  <c r="DU27" i="4"/>
  <c r="DO20" i="7" s="1"/>
  <c r="DP10" i="7"/>
  <c r="DI10" i="7"/>
  <c r="DA10" i="7"/>
  <c r="DV46" i="6"/>
  <c r="DM46" i="6"/>
  <c r="DH10" i="7"/>
  <c r="CZ10" i="7"/>
  <c r="DO10" i="7"/>
  <c r="DG10" i="7"/>
  <c r="CY10" i="7"/>
  <c r="DV39" i="4"/>
  <c r="DW26" i="6"/>
  <c r="DW38" i="6"/>
  <c r="DV26" i="6"/>
  <c r="DV38" i="6"/>
  <c r="DU26" i="6"/>
  <c r="DU38" i="6"/>
  <c r="DT26" i="6"/>
  <c r="DT25" i="6" s="1"/>
  <c r="DT38" i="6"/>
  <c r="DS26" i="6"/>
  <c r="DS25" i="6" s="1"/>
  <c r="DS38" i="6"/>
  <c r="DQ14" i="7"/>
  <c r="DW50" i="5"/>
  <c r="DV50" i="5"/>
  <c r="DT50" i="5"/>
  <c r="DQ50" i="5"/>
  <c r="DO50" i="5"/>
  <c r="DN50" i="5"/>
  <c r="DL50" i="5"/>
  <c r="DI50" i="5"/>
  <c r="DG50" i="5"/>
  <c r="DK16" i="5"/>
  <c r="DC11" i="7"/>
  <c r="DV58" i="4"/>
  <c r="DV74" i="4" s="1"/>
  <c r="DU58" i="4"/>
  <c r="DU74" i="4" s="1"/>
  <c r="DU84" i="4" s="1"/>
  <c r="DU88" i="4" s="1"/>
  <c r="DU90" i="4" s="1"/>
  <c r="DU92" i="4" s="1"/>
  <c r="DT58" i="4"/>
  <c r="DT74" i="4" s="1"/>
  <c r="DT84" i="4" s="1"/>
  <c r="DT88" i="4" s="1"/>
  <c r="DT90" i="4" s="1"/>
  <c r="DT92" i="4" s="1"/>
  <c r="DQ11" i="7"/>
  <c r="DW30" i="6"/>
  <c r="DW36" i="6"/>
  <c r="DW27" i="4"/>
  <c r="DE17" i="7"/>
  <c r="DE18" i="7"/>
  <c r="DK27" i="4"/>
  <c r="DE20" i="7" s="1"/>
  <c r="DN46" i="6"/>
  <c r="DF46" i="6"/>
  <c r="DU16" i="5"/>
  <c r="DM11" i="7"/>
  <c r="DE11" i="7"/>
  <c r="DM16" i="5"/>
  <c r="DK46" i="6"/>
  <c r="DV36" i="6"/>
  <c r="DP17" i="7"/>
  <c r="DP18" i="7"/>
  <c r="DF17" i="7"/>
  <c r="DL27" i="4"/>
  <c r="DF20" i="7" s="1"/>
  <c r="DQ27" i="4"/>
  <c r="DK20" i="7" s="1"/>
  <c r="DK17" i="7"/>
  <c r="DK18" i="7"/>
  <c r="DU47" i="5"/>
  <c r="DV27" i="4"/>
  <c r="DV5" i="6" s="1"/>
  <c r="DR27" i="4"/>
  <c r="DL20" i="7"/>
  <c r="DT46" i="6"/>
  <c r="DN17" i="7"/>
  <c r="DL46" i="6"/>
  <c r="DM18" i="7"/>
  <c r="DP27" i="4"/>
  <c r="DJ20" i="7" s="1"/>
  <c r="DJ17" i="7"/>
  <c r="DO27" i="4"/>
  <c r="DO5" i="6" s="1"/>
  <c r="DI17" i="7"/>
  <c r="DI18" i="7"/>
  <c r="DH17" i="7"/>
  <c r="DH18" i="7"/>
  <c r="DN27" i="4"/>
  <c r="DH20" i="7" s="1"/>
  <c r="DR47" i="5"/>
  <c r="DU8" i="6"/>
  <c r="DG17" i="7"/>
  <c r="DG18" i="7"/>
  <c r="DG20" i="7"/>
  <c r="DL17" i="7"/>
  <c r="DU50" i="5"/>
  <c r="DM50" i="5"/>
  <c r="DW47" i="5"/>
  <c r="DO47" i="5"/>
  <c r="DM17" i="7"/>
  <c r="DF11" i="7"/>
  <c r="DS50" i="5"/>
  <c r="DK50" i="5"/>
  <c r="DL16" i="5"/>
  <c r="DD11" i="7"/>
  <c r="DT27" i="4"/>
  <c r="CY11" i="7"/>
  <c r="DW48" i="6"/>
  <c r="DR50" i="5"/>
  <c r="DJ50" i="5"/>
  <c r="DS27" i="4"/>
  <c r="DM20" i="7" s="1"/>
  <c r="DS58" i="4"/>
  <c r="DS46" i="6"/>
  <c r="DR16" i="5"/>
  <c r="DJ11" i="7"/>
  <c r="DJ16" i="5"/>
  <c r="DB11" i="7"/>
  <c r="DS47" i="5"/>
  <c r="DO18" i="7"/>
  <c r="DO11" i="7"/>
  <c r="DP50" i="5"/>
  <c r="DH50" i="5"/>
  <c r="DQ16" i="5"/>
  <c r="DI11" i="7"/>
  <c r="DI16" i="5"/>
  <c r="DA11" i="7"/>
  <c r="DN18" i="7"/>
  <c r="DN11" i="7"/>
  <c r="DT16" i="5"/>
  <c r="DP16" i="5"/>
  <c r="DH11" i="7"/>
  <c r="DH16" i="5"/>
  <c r="CZ11" i="7"/>
  <c r="DQ47" i="5"/>
  <c r="DK11" i="7"/>
  <c r="DM10" i="7"/>
  <c r="DE10" i="7"/>
  <c r="DP47" i="5"/>
  <c r="DG11" i="7"/>
  <c r="DV48" i="6"/>
  <c r="DW42" i="6"/>
  <c r="DV30" i="6"/>
  <c r="DX21" i="5" s="1"/>
  <c r="DV42" i="6"/>
  <c r="DW58" i="4"/>
  <c r="DW74" i="4" s="1"/>
  <c r="DW84" i="4" s="1"/>
  <c r="DW88" i="4" s="1"/>
  <c r="DW90" i="4" s="1"/>
  <c r="DW92" i="4" s="1"/>
  <c r="DS74" i="4"/>
  <c r="DS84" i="4" s="1"/>
  <c r="DS88" i="4" s="1"/>
  <c r="DS90" i="4" s="1"/>
  <c r="DS92" i="4" s="1"/>
  <c r="DU36" i="6"/>
  <c r="DT36" i="6"/>
  <c r="DS36" i="6"/>
  <c r="DR36" i="6"/>
  <c r="DQ36" i="6"/>
  <c r="DP36" i="6"/>
  <c r="DO36" i="6"/>
  <c r="DN36" i="6"/>
  <c r="DM5" i="6"/>
  <c r="DM36" i="6"/>
  <c r="DL5" i="6"/>
  <c r="DL36" i="6"/>
  <c r="DK36" i="6"/>
  <c r="DR39" i="4"/>
  <c r="DR6" i="6"/>
  <c r="DL18" i="7" s="1"/>
  <c r="DL39" i="4"/>
  <c r="DL6" i="6"/>
  <c r="DF18" i="7" s="1"/>
  <c r="DW39" i="4"/>
  <c r="DQ39" i="4"/>
  <c r="DP39" i="4"/>
  <c r="DN39" i="4"/>
  <c r="DK39" i="4"/>
  <c r="DW50" i="4"/>
  <c r="DW16" i="6" s="1"/>
  <c r="DW13" i="6" s="1"/>
  <c r="DV50" i="4"/>
  <c r="DV16" i="6" s="1"/>
  <c r="DV13" i="6" s="1"/>
  <c r="DU16" i="6"/>
  <c r="DU13" i="6" s="1"/>
  <c r="DT16" i="6"/>
  <c r="DT13" i="6" s="1"/>
  <c r="DS16" i="6"/>
  <c r="DS13" i="6" s="1"/>
  <c r="DU48" i="6"/>
  <c r="DT48" i="6"/>
  <c r="DS48" i="6"/>
  <c r="DR48" i="6"/>
  <c r="DQ48" i="6"/>
  <c r="DP48" i="6"/>
  <c r="DO48" i="6"/>
  <c r="DN48" i="6"/>
  <c r="DM48" i="6"/>
  <c r="DL48" i="6"/>
  <c r="DK48" i="6"/>
  <c r="DU42" i="6"/>
  <c r="DT42" i="6"/>
  <c r="DS42" i="6"/>
  <c r="DR42" i="6"/>
  <c r="DQ42" i="6"/>
  <c r="DP42" i="6"/>
  <c r="DO42" i="6"/>
  <c r="DN42" i="6"/>
  <c r="DM42" i="6"/>
  <c r="DL42" i="6"/>
  <c r="DK42" i="6"/>
  <c r="DU30" i="6"/>
  <c r="DT30" i="6"/>
  <c r="DS30" i="6"/>
  <c r="DR30" i="6"/>
  <c r="DQ30" i="6"/>
  <c r="DP30" i="6"/>
  <c r="DO30" i="6"/>
  <c r="DN30" i="6"/>
  <c r="DM30" i="6"/>
  <c r="DL30" i="6"/>
  <c r="DK30" i="6"/>
  <c r="DJ30" i="6"/>
  <c r="DI30" i="6"/>
  <c r="DH30" i="6"/>
  <c r="DG30" i="6"/>
  <c r="DF30" i="6"/>
  <c r="DE30" i="6"/>
  <c r="DW25" i="6"/>
  <c r="DV25" i="6"/>
  <c r="DU25" i="6"/>
  <c r="DR25" i="6"/>
  <c r="DQ25" i="6"/>
  <c r="DP25" i="6"/>
  <c r="DO25" i="6"/>
  <c r="DN25" i="6"/>
  <c r="DM25" i="6"/>
  <c r="DL25" i="6"/>
  <c r="DK25" i="6"/>
  <c r="DJ25" i="6"/>
  <c r="DI25" i="6"/>
  <c r="DH25" i="6"/>
  <c r="DG25" i="6"/>
  <c r="DF25" i="6"/>
  <c r="DE25" i="6"/>
  <c r="DR16" i="6"/>
  <c r="DR13" i="6" s="1"/>
  <c r="DQ16" i="6"/>
  <c r="DQ13" i="6" s="1"/>
  <c r="DP16" i="6"/>
  <c r="DP13" i="6" s="1"/>
  <c r="DO16" i="6"/>
  <c r="DO13" i="6" s="1"/>
  <c r="DN16" i="6"/>
  <c r="DN13" i="6" s="1"/>
  <c r="DM16" i="6"/>
  <c r="DM13" i="6" s="1"/>
  <c r="DL16" i="6"/>
  <c r="DL13" i="6" s="1"/>
  <c r="DK16" i="6"/>
  <c r="DK13" i="6" s="1"/>
  <c r="DN58" i="4"/>
  <c r="DN74" i="4" s="1"/>
  <c r="DH14" i="7" s="1"/>
  <c r="DM58" i="4"/>
  <c r="DM74" i="4" s="1"/>
  <c r="DG14" i="7" s="1"/>
  <c r="DL58" i="4"/>
  <c r="DL74" i="4" s="1"/>
  <c r="DF14" i="7" s="1"/>
  <c r="DK58" i="4"/>
  <c r="DK74" i="4" s="1"/>
  <c r="DE14" i="7" s="1"/>
  <c r="DP58" i="4"/>
  <c r="DP74" i="4" s="1"/>
  <c r="DJ14" i="7" s="1"/>
  <c r="DO58" i="4"/>
  <c r="DO74" i="4" s="1"/>
  <c r="DI14" i="7" s="1"/>
  <c r="DO39" i="4"/>
  <c r="DM39" i="4"/>
  <c r="DR58" i="4"/>
  <c r="DR74" i="4" s="1"/>
  <c r="DL14" i="7" s="1"/>
  <c r="DQ58" i="4"/>
  <c r="DQ74" i="4" s="1"/>
  <c r="DK14" i="7" s="1"/>
  <c r="CX59" i="4"/>
  <c r="CY59" i="4"/>
  <c r="CZ59" i="4"/>
  <c r="DA59" i="4"/>
  <c r="DB59" i="4"/>
  <c r="DC59" i="4"/>
  <c r="DD59" i="4"/>
  <c r="DE59" i="4"/>
  <c r="DF59" i="4"/>
  <c r="DG59" i="4"/>
  <c r="DH59" i="4"/>
  <c r="DI59" i="4"/>
  <c r="DJ59" i="4"/>
  <c r="DP14" i="7" l="1"/>
  <c r="DV84" i="4"/>
  <c r="DV88" i="4" s="1"/>
  <c r="DV90" i="4" s="1"/>
  <c r="DV92" i="4" s="1"/>
  <c r="DU5" i="6"/>
  <c r="DO25" i="7" s="1"/>
  <c r="DQ51" i="4"/>
  <c r="DN14" i="7"/>
  <c r="DQ7" i="7"/>
  <c r="DF15" i="7"/>
  <c r="DN26" i="5"/>
  <c r="DO14" i="5"/>
  <c r="DG15" i="7"/>
  <c r="DO13" i="7"/>
  <c r="DI22" i="7"/>
  <c r="DQ26" i="5"/>
  <c r="DQ24" i="5"/>
  <c r="DQ15" i="5"/>
  <c r="DI15" i="7"/>
  <c r="DQ25" i="5"/>
  <c r="DQ14" i="5"/>
  <c r="DI25" i="7"/>
  <c r="DU6" i="5"/>
  <c r="DU8" i="5"/>
  <c r="DN7" i="7"/>
  <c r="DO8" i="5"/>
  <c r="DO7" i="5"/>
  <c r="DO6" i="5"/>
  <c r="DH7" i="7"/>
  <c r="DH8" i="7"/>
  <c r="DH5" i="7"/>
  <c r="DT19" i="5"/>
  <c r="DT20" i="5"/>
  <c r="DL23" i="7"/>
  <c r="DL24" i="7"/>
  <c r="DO30" i="5"/>
  <c r="DG22" i="7"/>
  <c r="DV51" i="4"/>
  <c r="DO14" i="7"/>
  <c r="DM14" i="7"/>
  <c r="DN8" i="5"/>
  <c r="DN7" i="5"/>
  <c r="DN6" i="5"/>
  <c r="DG7" i="7"/>
  <c r="DG5" i="7"/>
  <c r="DG8" i="7"/>
  <c r="DX30" i="5"/>
  <c r="DP22" i="7"/>
  <c r="DP25" i="7"/>
  <c r="DP8" i="5"/>
  <c r="DP6" i="5"/>
  <c r="DI7" i="7"/>
  <c r="DM19" i="5"/>
  <c r="DM20" i="5"/>
  <c r="DE23" i="7"/>
  <c r="DE24" i="7"/>
  <c r="DU19" i="5"/>
  <c r="DU20" i="5"/>
  <c r="DM23" i="7"/>
  <c r="DM24" i="7"/>
  <c r="DX26" i="5"/>
  <c r="DT47" i="5"/>
  <c r="DP15" i="7"/>
  <c r="DW26" i="5"/>
  <c r="DI20" i="7"/>
  <c r="DG25" i="7"/>
  <c r="DW20" i="5"/>
  <c r="DW19" i="5"/>
  <c r="DO23" i="7"/>
  <c r="DO24" i="7"/>
  <c r="DO21" i="5"/>
  <c r="DW21" i="5"/>
  <c r="DV8" i="5"/>
  <c r="DV6" i="5"/>
  <c r="DO7" i="7"/>
  <c r="DP13" i="7"/>
  <c r="DO25" i="5"/>
  <c r="DO26" i="5"/>
  <c r="DX25" i="5"/>
  <c r="DT5" i="6"/>
  <c r="DO8" i="7" s="1"/>
  <c r="DN20" i="7"/>
  <c r="DT8" i="6"/>
  <c r="DX24" i="5"/>
  <c r="DO15" i="5"/>
  <c r="DF25" i="7"/>
  <c r="DS19" i="5"/>
  <c r="DS20" i="5"/>
  <c r="DK24" i="7"/>
  <c r="DK23" i="7"/>
  <c r="DV19" i="5"/>
  <c r="DV20" i="5"/>
  <c r="DN23" i="7"/>
  <c r="DN24" i="7"/>
  <c r="DS8" i="6"/>
  <c r="DS5" i="6"/>
  <c r="DN8" i="7" s="1"/>
  <c r="DO22" i="7"/>
  <c r="DO15" i="7"/>
  <c r="DW24" i="5"/>
  <c r="DR6" i="5"/>
  <c r="DR8" i="5"/>
  <c r="DK7" i="7"/>
  <c r="DO20" i="5"/>
  <c r="DO19" i="5"/>
  <c r="DG23" i="7"/>
  <c r="DG24" i="7"/>
  <c r="DS6" i="5"/>
  <c r="DL7" i="7"/>
  <c r="DS8" i="5"/>
  <c r="DP20" i="5"/>
  <c r="DP19" i="5"/>
  <c r="DH23" i="7"/>
  <c r="DH24" i="7"/>
  <c r="DW8" i="5"/>
  <c r="DW7" i="5"/>
  <c r="DW6" i="5"/>
  <c r="DP7" i="7"/>
  <c r="DP8" i="7"/>
  <c r="DP5" i="7"/>
  <c r="DN24" i="5"/>
  <c r="DX14" i="5"/>
  <c r="DN25" i="5"/>
  <c r="DW15" i="5"/>
  <c r="DN14" i="5"/>
  <c r="DW14" i="5"/>
  <c r="DN19" i="5"/>
  <c r="DN20" i="5"/>
  <c r="DF23" i="7"/>
  <c r="DF24" i="7"/>
  <c r="DV21" i="5"/>
  <c r="DT6" i="5"/>
  <c r="DT8" i="5"/>
  <c r="DM7" i="7"/>
  <c r="DQ20" i="5"/>
  <c r="DI24" i="7"/>
  <c r="DQ19" i="5"/>
  <c r="DI23" i="7"/>
  <c r="DQ21" i="5"/>
  <c r="DF19" i="7"/>
  <c r="DO24" i="5"/>
  <c r="DP20" i="7"/>
  <c r="DW5" i="6"/>
  <c r="DQ7" i="5"/>
  <c r="DQ8" i="5"/>
  <c r="DJ5" i="7"/>
  <c r="DJ8" i="7"/>
  <c r="DQ6" i="5"/>
  <c r="DJ7" i="7"/>
  <c r="DN21" i="5"/>
  <c r="DR51" i="4"/>
  <c r="DM6" i="5"/>
  <c r="DM8" i="5"/>
  <c r="DR20" i="5"/>
  <c r="DR19" i="5"/>
  <c r="DJ24" i="7"/>
  <c r="DJ23" i="7"/>
  <c r="DF22" i="7"/>
  <c r="DW25" i="5"/>
  <c r="DN15" i="5"/>
  <c r="DX15" i="5"/>
  <c r="DN47" i="5"/>
  <c r="DY19" i="5"/>
  <c r="DX19" i="5"/>
  <c r="DP24" i="7"/>
  <c r="DY20" i="5"/>
  <c r="DY6" i="5"/>
  <c r="DY8" i="5"/>
  <c r="DX7" i="5"/>
  <c r="DX20" i="5"/>
  <c r="DP23" i="7"/>
  <c r="DX6" i="5"/>
  <c r="DX8" i="5"/>
  <c r="DQ29" i="6"/>
  <c r="DN51" i="4"/>
  <c r="DL51" i="4"/>
  <c r="DK51" i="4"/>
  <c r="DQ84" i="4"/>
  <c r="DQ88" i="4" s="1"/>
  <c r="DQ90" i="4" s="1"/>
  <c r="DQ92" i="4" s="1"/>
  <c r="DR84" i="4"/>
  <c r="DR88" i="4" s="1"/>
  <c r="DR90" i="4" s="1"/>
  <c r="DR92" i="4" s="1"/>
  <c r="DN5" i="6"/>
  <c r="DQ30" i="5" s="1"/>
  <c r="DQ5" i="6"/>
  <c r="DR5" i="6"/>
  <c r="DK5" i="6"/>
  <c r="DM7" i="5" s="1"/>
  <c r="DP5" i="6"/>
  <c r="DK5" i="7" s="1"/>
  <c r="DM51" i="4"/>
  <c r="DO51" i="4"/>
  <c r="DO84" i="4"/>
  <c r="DO88" i="4" s="1"/>
  <c r="DO90" i="4" s="1"/>
  <c r="DO92" i="4" s="1"/>
  <c r="DI13" i="7" s="1"/>
  <c r="DP84" i="4"/>
  <c r="DP88" i="4" s="1"/>
  <c r="DP90" i="4" s="1"/>
  <c r="DP92" i="4" s="1"/>
  <c r="DL84" i="4"/>
  <c r="DL88" i="4" s="1"/>
  <c r="DL90" i="4" s="1"/>
  <c r="DL92" i="4" s="1"/>
  <c r="DF13" i="7" s="1"/>
  <c r="DK84" i="4"/>
  <c r="DK88" i="4" s="1"/>
  <c r="DK90" i="4" s="1"/>
  <c r="DK92" i="4" s="1"/>
  <c r="DM84" i="4"/>
  <c r="DM88" i="4" s="1"/>
  <c r="DM90" i="4" s="1"/>
  <c r="DM92" i="4" s="1"/>
  <c r="DG13" i="7" s="1"/>
  <c r="DN84" i="4"/>
  <c r="DN88" i="4" s="1"/>
  <c r="DN90" i="4" s="1"/>
  <c r="DN92" i="4" s="1"/>
  <c r="DK14" i="6"/>
  <c r="DF7" i="7"/>
  <c r="DL14" i="6"/>
  <c r="DM14" i="6"/>
  <c r="DN14" i="6"/>
  <c r="DO14" i="6"/>
  <c r="DP14" i="6"/>
  <c r="DQ14" i="6"/>
  <c r="DR14" i="6"/>
  <c r="DS14" i="6"/>
  <c r="DT14" i="6"/>
  <c r="DU14" i="6"/>
  <c r="DV10" i="5" s="1"/>
  <c r="DV14" i="6"/>
  <c r="DW10" i="5" s="1"/>
  <c r="DW14" i="6"/>
  <c r="DP51" i="4"/>
  <c r="DW51" i="4"/>
  <c r="DW52" i="4" s="1"/>
  <c r="CX85" i="4"/>
  <c r="CY85" i="4"/>
  <c r="CZ85" i="4"/>
  <c r="DA85" i="4"/>
  <c r="DB85" i="4"/>
  <c r="DC85" i="4"/>
  <c r="DD85" i="4"/>
  <c r="DE85" i="4"/>
  <c r="DF85" i="4"/>
  <c r="DG85" i="4"/>
  <c r="DH85" i="4"/>
  <c r="DI85" i="4"/>
  <c r="DJ85" i="4"/>
  <c r="CX78" i="4"/>
  <c r="CY78" i="4"/>
  <c r="CZ78" i="4"/>
  <c r="DA78" i="4"/>
  <c r="DB78" i="4"/>
  <c r="DC78" i="4"/>
  <c r="DD78" i="4"/>
  <c r="DE78" i="4"/>
  <c r="DF78" i="4"/>
  <c r="DG78" i="4"/>
  <c r="DH78" i="4"/>
  <c r="DI78" i="4"/>
  <c r="DJ78" i="4"/>
  <c r="CX75" i="4"/>
  <c r="CY75" i="4"/>
  <c r="CZ75" i="4"/>
  <c r="DA75" i="4"/>
  <c r="DB75" i="4"/>
  <c r="DC75" i="4"/>
  <c r="DD75" i="4"/>
  <c r="DE75" i="4"/>
  <c r="DE55" i="6" s="1"/>
  <c r="DE48" i="6" s="1"/>
  <c r="DF75" i="4"/>
  <c r="DF55" i="6" s="1"/>
  <c r="DF48" i="6" s="1"/>
  <c r="DG75" i="4"/>
  <c r="DG55" i="6" s="1"/>
  <c r="DG48" i="6" s="1"/>
  <c r="DH75" i="4"/>
  <c r="DH55" i="6" s="1"/>
  <c r="DH48" i="6" s="1"/>
  <c r="DI75" i="4"/>
  <c r="DI55" i="6" s="1"/>
  <c r="DI48" i="6" s="1"/>
  <c r="DJ75" i="4"/>
  <c r="DJ55" i="6" s="1"/>
  <c r="DJ48" i="6" s="1"/>
  <c r="CX67" i="4"/>
  <c r="CY67" i="4"/>
  <c r="CZ67" i="4"/>
  <c r="DA67" i="4"/>
  <c r="DB67" i="4"/>
  <c r="DC67" i="4"/>
  <c r="DD67" i="4"/>
  <c r="DE67" i="4"/>
  <c r="DF67" i="4"/>
  <c r="DG67" i="4"/>
  <c r="DH67" i="4"/>
  <c r="DI67" i="4"/>
  <c r="DJ67" i="4"/>
  <c r="CX62" i="4"/>
  <c r="CX58" i="4" s="1"/>
  <c r="CY62" i="4"/>
  <c r="CY58" i="4" s="1"/>
  <c r="CZ62" i="4"/>
  <c r="CZ58" i="4" s="1"/>
  <c r="DA62" i="4"/>
  <c r="DA58" i="4" s="1"/>
  <c r="DA74" i="4" s="1"/>
  <c r="DB62" i="4"/>
  <c r="DB58" i="4" s="1"/>
  <c r="DB74" i="4" s="1"/>
  <c r="DC62" i="4"/>
  <c r="DC58" i="4" s="1"/>
  <c r="DD62" i="4"/>
  <c r="DD58" i="4" s="1"/>
  <c r="DD74" i="4" s="1"/>
  <c r="DE62" i="4"/>
  <c r="DF62" i="4"/>
  <c r="DG62" i="4"/>
  <c r="DH62" i="4"/>
  <c r="DI62" i="4"/>
  <c r="DJ62" i="4"/>
  <c r="CX45" i="4"/>
  <c r="CY45" i="4"/>
  <c r="CZ45" i="4"/>
  <c r="DA45" i="4"/>
  <c r="DB45" i="4"/>
  <c r="DC45" i="4"/>
  <c r="DD45" i="4"/>
  <c r="DE45" i="4"/>
  <c r="DF45" i="4"/>
  <c r="DG45" i="4"/>
  <c r="DH45" i="4"/>
  <c r="DI45" i="4"/>
  <c r="DJ45" i="4"/>
  <c r="CX42" i="4"/>
  <c r="CY42" i="4"/>
  <c r="CY50" i="4" s="1"/>
  <c r="CZ42" i="4"/>
  <c r="DA42" i="4"/>
  <c r="DB42" i="4"/>
  <c r="DC42" i="4"/>
  <c r="DD42" i="4"/>
  <c r="DE42" i="4"/>
  <c r="DF42" i="4"/>
  <c r="DG42" i="4"/>
  <c r="DH42" i="4"/>
  <c r="DI42" i="4"/>
  <c r="DJ42" i="4"/>
  <c r="DJ16" i="6" s="1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CX31" i="4"/>
  <c r="CY31" i="4"/>
  <c r="CZ31" i="4"/>
  <c r="DA31" i="4"/>
  <c r="DB31" i="4"/>
  <c r="DC31" i="4"/>
  <c r="DD31" i="4"/>
  <c r="DE31" i="4"/>
  <c r="DE6" i="6" s="1"/>
  <c r="DG19" i="5" s="1"/>
  <c r="DF31" i="4"/>
  <c r="DF6" i="6" s="1"/>
  <c r="DG31" i="4"/>
  <c r="DG6" i="6" s="1"/>
  <c r="DH31" i="4"/>
  <c r="DH6" i="6" s="1"/>
  <c r="DJ19" i="5" s="1"/>
  <c r="DI31" i="4"/>
  <c r="DI6" i="6" s="1"/>
  <c r="DJ31" i="4"/>
  <c r="DJ6" i="6" s="1"/>
  <c r="CX21" i="4"/>
  <c r="CY21" i="4"/>
  <c r="CZ21" i="4"/>
  <c r="DA21" i="4"/>
  <c r="DB21" i="4"/>
  <c r="DC21" i="4"/>
  <c r="DD21" i="4"/>
  <c r="DE21" i="4"/>
  <c r="DE38" i="6" s="1"/>
  <c r="DF21" i="4"/>
  <c r="DF38" i="6" s="1"/>
  <c r="DG21" i="4"/>
  <c r="DG38" i="6" s="1"/>
  <c r="DH21" i="4"/>
  <c r="DH38" i="6" s="1"/>
  <c r="DI21" i="4"/>
  <c r="DI38" i="6" s="1"/>
  <c r="DJ21" i="4"/>
  <c r="DJ38" i="6" s="1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CX5" i="4"/>
  <c r="CY5" i="4"/>
  <c r="CZ5" i="4"/>
  <c r="DA5" i="4"/>
  <c r="DB5" i="4"/>
  <c r="DC5" i="4"/>
  <c r="DD5" i="4"/>
  <c r="DE5" i="4"/>
  <c r="DF5" i="4"/>
  <c r="DG5" i="4"/>
  <c r="DH5" i="4"/>
  <c r="DI5" i="4"/>
  <c r="DJ5" i="4"/>
  <c r="DL20" i="5" l="1"/>
  <c r="DJ13" i="6"/>
  <c r="CX50" i="4"/>
  <c r="CZ74" i="4"/>
  <c r="DA84" i="4"/>
  <c r="DA88" i="4" s="1"/>
  <c r="DA90" i="4" s="1"/>
  <c r="DA92" i="4" s="1"/>
  <c r="DQ6" i="7"/>
  <c r="DX10" i="5"/>
  <c r="DY10" i="5"/>
  <c r="DC24" i="7"/>
  <c r="DK19" i="5"/>
  <c r="CZ24" i="7"/>
  <c r="DH19" i="5"/>
  <c r="DL5" i="7"/>
  <c r="DS21" i="5"/>
  <c r="DK13" i="7"/>
  <c r="DQ5" i="7"/>
  <c r="DQ8" i="7"/>
  <c r="DW30" i="5"/>
  <c r="DH19" i="7"/>
  <c r="DJ13" i="7"/>
  <c r="DU10" i="5"/>
  <c r="DY7" i="5"/>
  <c r="DV7" i="5"/>
  <c r="DP6" i="7"/>
  <c r="DO10" i="5"/>
  <c r="DM13" i="7"/>
  <c r="CZ27" i="4"/>
  <c r="CT20" i="7" s="1"/>
  <c r="DT30" i="5"/>
  <c r="DL22" i="7"/>
  <c r="DL25" i="7"/>
  <c r="DL15" i="7"/>
  <c r="DT14" i="5"/>
  <c r="DT15" i="5"/>
  <c r="DT26" i="5"/>
  <c r="DT25" i="5"/>
  <c r="DY30" i="5"/>
  <c r="DY15" i="5"/>
  <c r="DY14" i="5"/>
  <c r="DY26" i="5"/>
  <c r="DY25" i="5"/>
  <c r="DY24" i="5"/>
  <c r="DY21" i="5"/>
  <c r="DT7" i="5"/>
  <c r="DP21" i="5"/>
  <c r="DU26" i="5"/>
  <c r="DU21" i="5"/>
  <c r="DP7" i="5"/>
  <c r="DU7" i="5"/>
  <c r="DH27" i="4"/>
  <c r="DB20" i="7" s="1"/>
  <c r="DB17" i="7"/>
  <c r="DB18" i="7"/>
  <c r="CZ84" i="4"/>
  <c r="CZ88" i="4" s="1"/>
  <c r="CZ90" i="4" s="1"/>
  <c r="CZ92" i="4" s="1"/>
  <c r="DO19" i="7"/>
  <c r="DN10" i="5"/>
  <c r="DO6" i="7"/>
  <c r="DG27" i="4"/>
  <c r="DA20" i="7" s="1"/>
  <c r="DA17" i="7"/>
  <c r="DA18" i="7"/>
  <c r="CY27" i="4"/>
  <c r="CS20" i="7"/>
  <c r="CY74" i="4"/>
  <c r="DN19" i="7"/>
  <c r="DM10" i="5"/>
  <c r="DN6" i="7"/>
  <c r="DS30" i="5"/>
  <c r="DK22" i="7"/>
  <c r="DK15" i="7"/>
  <c r="DS24" i="5"/>
  <c r="DS15" i="5"/>
  <c r="DS25" i="5"/>
  <c r="DS26" i="5"/>
  <c r="DS14" i="5"/>
  <c r="DK25" i="7"/>
  <c r="DR21" i="5"/>
  <c r="DQ20" i="7"/>
  <c r="DS7" i="5"/>
  <c r="DR7" i="5"/>
  <c r="DE19" i="7"/>
  <c r="DI8" i="7"/>
  <c r="DC17" i="7"/>
  <c r="DI27" i="4"/>
  <c r="DC20" i="7" s="1"/>
  <c r="DC18" i="7"/>
  <c r="CX27" i="4"/>
  <c r="CX5" i="6" s="1"/>
  <c r="DL47" i="5"/>
  <c r="DM19" i="7"/>
  <c r="CY17" i="7"/>
  <c r="CY18" i="7"/>
  <c r="DE27" i="4"/>
  <c r="CY20" i="7" s="1"/>
  <c r="DK47" i="5"/>
  <c r="CX14" i="7"/>
  <c r="DJ19" i="7"/>
  <c r="DS10" i="5"/>
  <c r="DL10" i="5"/>
  <c r="DM6" i="7"/>
  <c r="DT24" i="5"/>
  <c r="DV26" i="5"/>
  <c r="DA27" i="4"/>
  <c r="CU20" i="7" s="1"/>
  <c r="DP19" i="7"/>
  <c r="DF5" i="7"/>
  <c r="DE22" i="7"/>
  <c r="DM26" i="5"/>
  <c r="DM24" i="5"/>
  <c r="DM15" i="5"/>
  <c r="DE25" i="7"/>
  <c r="DM25" i="5"/>
  <c r="DM14" i="5"/>
  <c r="DE15" i="7"/>
  <c r="CZ17" i="7"/>
  <c r="CZ18" i="7"/>
  <c r="DF27" i="4"/>
  <c r="CZ20" i="7" s="1"/>
  <c r="DT10" i="5"/>
  <c r="DP30" i="5"/>
  <c r="DH22" i="7"/>
  <c r="DP14" i="5"/>
  <c r="DP15" i="5"/>
  <c r="DP24" i="5"/>
  <c r="DH25" i="7"/>
  <c r="DP25" i="5"/>
  <c r="DH15" i="7"/>
  <c r="DP26" i="5"/>
  <c r="DI5" i="7"/>
  <c r="DD27" i="4"/>
  <c r="CX20" i="7" s="1"/>
  <c r="DJ47" i="5"/>
  <c r="DL6" i="5"/>
  <c r="DL8" i="5"/>
  <c r="DD84" i="4"/>
  <c r="DD88" i="4" s="1"/>
  <c r="DD90" i="4" s="1"/>
  <c r="DD92" i="4" s="1"/>
  <c r="DR10" i="5"/>
  <c r="DH13" i="7"/>
  <c r="DG19" i="7"/>
  <c r="DL13" i="7"/>
  <c r="DB24" i="7"/>
  <c r="DL19" i="7"/>
  <c r="DK8" i="7"/>
  <c r="DM21" i="5"/>
  <c r="DD24" i="7"/>
  <c r="DG47" i="5"/>
  <c r="CT14" i="7"/>
  <c r="DM22" i="7"/>
  <c r="DU30" i="5"/>
  <c r="DU24" i="5"/>
  <c r="DU15" i="5"/>
  <c r="DU14" i="5"/>
  <c r="DU25" i="5"/>
  <c r="DM25" i="7"/>
  <c r="DM15" i="7"/>
  <c r="DI19" i="7"/>
  <c r="DN30" i="5"/>
  <c r="DC27" i="4"/>
  <c r="CW20" i="7" s="1"/>
  <c r="DI47" i="5"/>
  <c r="DC74" i="4"/>
  <c r="CV14" i="7"/>
  <c r="DQ10" i="5"/>
  <c r="DA24" i="7"/>
  <c r="DK19" i="7"/>
  <c r="DM8" i="7"/>
  <c r="DV30" i="5"/>
  <c r="DN22" i="7"/>
  <c r="DV14" i="5"/>
  <c r="DN25" i="7"/>
  <c r="DV24" i="5"/>
  <c r="DV25" i="5"/>
  <c r="DN13" i="7"/>
  <c r="DV15" i="5"/>
  <c r="DN15" i="7"/>
  <c r="DO5" i="7"/>
  <c r="CY24" i="7"/>
  <c r="DD23" i="7"/>
  <c r="DN5" i="7"/>
  <c r="CX74" i="4"/>
  <c r="CX84" i="4" s="1"/>
  <c r="CX88" i="4" s="1"/>
  <c r="CX90" i="4" s="1"/>
  <c r="CX92" i="4" s="1"/>
  <c r="DD18" i="7"/>
  <c r="DJ27" i="4"/>
  <c r="DD20" i="7" s="1"/>
  <c r="DD17" i="7"/>
  <c r="DB27" i="4"/>
  <c r="CV20" i="7" s="1"/>
  <c r="DH47" i="5"/>
  <c r="DB84" i="4"/>
  <c r="DB88" i="4" s="1"/>
  <c r="DB90" i="4" s="1"/>
  <c r="DB92" i="4" s="1"/>
  <c r="CU14" i="7"/>
  <c r="DY27" i="5"/>
  <c r="DP10" i="5"/>
  <c r="DE13" i="7"/>
  <c r="DR30" i="5"/>
  <c r="DJ22" i="7"/>
  <c r="DR24" i="5"/>
  <c r="DJ15" i="7"/>
  <c r="DR15" i="5"/>
  <c r="DR14" i="5"/>
  <c r="DR26" i="5"/>
  <c r="DR25" i="5"/>
  <c r="DJ25" i="7"/>
  <c r="DI19" i="5"/>
  <c r="DM5" i="7"/>
  <c r="DL8" i="7"/>
  <c r="DL19" i="5"/>
  <c r="DT21" i="5"/>
  <c r="DD50" i="4"/>
  <c r="DC50" i="4"/>
  <c r="DB50" i="4"/>
  <c r="DF8" i="7"/>
  <c r="CZ50" i="4"/>
  <c r="DA50" i="4"/>
  <c r="DJ36" i="6"/>
  <c r="DI36" i="6"/>
  <c r="DH36" i="6"/>
  <c r="DG36" i="6"/>
  <c r="DF36" i="6"/>
  <c r="DE36" i="6"/>
  <c r="DJ14" i="6"/>
  <c r="DE7" i="7"/>
  <c r="DI50" i="4"/>
  <c r="DI16" i="6"/>
  <c r="DI13" i="6" s="1"/>
  <c r="DH50" i="4"/>
  <c r="DH16" i="6"/>
  <c r="DH13" i="6" s="1"/>
  <c r="DG50" i="4"/>
  <c r="DG16" i="6"/>
  <c r="DG13" i="6" s="1"/>
  <c r="DF50" i="4"/>
  <c r="DF16" i="6"/>
  <c r="DF13" i="6" s="1"/>
  <c r="DE50" i="4"/>
  <c r="DE16" i="6"/>
  <c r="DE13" i="6" s="1"/>
  <c r="DJ58" i="4"/>
  <c r="DJ45" i="6"/>
  <c r="DJ42" i="6" s="1"/>
  <c r="DI58" i="4"/>
  <c r="DI74" i="4" s="1"/>
  <c r="DI84" i="4" s="1"/>
  <c r="DI88" i="4" s="1"/>
  <c r="DI90" i="4" s="1"/>
  <c r="DI92" i="4" s="1"/>
  <c r="DI45" i="6"/>
  <c r="DI42" i="6" s="1"/>
  <c r="DH58" i="4"/>
  <c r="DH74" i="4" s="1"/>
  <c r="DH84" i="4" s="1"/>
  <c r="DH88" i="4" s="1"/>
  <c r="DH90" i="4" s="1"/>
  <c r="DH92" i="4" s="1"/>
  <c r="DH45" i="6"/>
  <c r="DH42" i="6" s="1"/>
  <c r="DG58" i="4"/>
  <c r="DG74" i="4" s="1"/>
  <c r="DG45" i="6"/>
  <c r="DG42" i="6" s="1"/>
  <c r="DF58" i="4"/>
  <c r="DF74" i="4" s="1"/>
  <c r="DF84" i="4" s="1"/>
  <c r="DF88" i="4" s="1"/>
  <c r="DF90" i="4" s="1"/>
  <c r="DF92" i="4" s="1"/>
  <c r="DF45" i="6"/>
  <c r="DF42" i="6" s="1"/>
  <c r="DE58" i="4"/>
  <c r="DE74" i="4" s="1"/>
  <c r="DE84" i="4" s="1"/>
  <c r="DE88" i="4" s="1"/>
  <c r="DE90" i="4" s="1"/>
  <c r="DE92" i="4" s="1"/>
  <c r="DE45" i="6"/>
  <c r="DE42" i="6" s="1"/>
  <c r="DJ39" i="4"/>
  <c r="DI39" i="4"/>
  <c r="DH39" i="4"/>
  <c r="DG39" i="4"/>
  <c r="DF39" i="4"/>
  <c r="DE39" i="4"/>
  <c r="DD39" i="4"/>
  <c r="DD51" i="4" s="1"/>
  <c r="DC39" i="4"/>
  <c r="DC51" i="4" s="1"/>
  <c r="DB39" i="4"/>
  <c r="DA39" i="4"/>
  <c r="CZ39" i="4"/>
  <c r="CY39" i="4"/>
  <c r="CY51" i="4" s="1"/>
  <c r="CX39" i="4"/>
  <c r="CX51" i="4" s="1"/>
  <c r="DJ74" i="4"/>
  <c r="DD14" i="7" s="1"/>
  <c r="DJ50" i="4"/>
  <c r="CX6" i="6"/>
  <c r="CR18" i="7" s="1"/>
  <c r="CX7" i="6"/>
  <c r="DV33" i="5" s="1"/>
  <c r="CY7" i="6"/>
  <c r="DW33" i="5" s="1"/>
  <c r="CZ7" i="6"/>
  <c r="DX33" i="5" s="1"/>
  <c r="DA7" i="6"/>
  <c r="DY33" i="5" s="1"/>
  <c r="DB7" i="6"/>
  <c r="DC7" i="6"/>
  <c r="DD7" i="6"/>
  <c r="CX8" i="6"/>
  <c r="DV32" i="5" s="1"/>
  <c r="CY8" i="6"/>
  <c r="DW32" i="5" s="1"/>
  <c r="CZ8" i="6"/>
  <c r="DX32" i="5" s="1"/>
  <c r="DA8" i="6"/>
  <c r="DY32" i="5" s="1"/>
  <c r="DB8" i="6"/>
  <c r="DC8" i="6"/>
  <c r="DD8" i="6"/>
  <c r="CX10" i="6"/>
  <c r="CR17" i="7" s="1"/>
  <c r="CY10" i="6"/>
  <c r="CS17" i="7" s="1"/>
  <c r="CZ10" i="6"/>
  <c r="CT17" i="7" s="1"/>
  <c r="DA10" i="6"/>
  <c r="CU17" i="7" s="1"/>
  <c r="DB10" i="6"/>
  <c r="CV17" i="7" s="1"/>
  <c r="DC10" i="6"/>
  <c r="CW17" i="7" s="1"/>
  <c r="DD10" i="6"/>
  <c r="CX17" i="6"/>
  <c r="DV41" i="5" s="1"/>
  <c r="CY17" i="6"/>
  <c r="DW41" i="5" s="1"/>
  <c r="CZ17" i="6"/>
  <c r="DX41" i="5" s="1"/>
  <c r="DA17" i="6"/>
  <c r="DY41" i="5" s="1"/>
  <c r="DB17" i="6"/>
  <c r="DC17" i="6"/>
  <c r="DD17" i="6"/>
  <c r="CX19" i="6"/>
  <c r="CY19" i="6"/>
  <c r="CZ19" i="6"/>
  <c r="DA19" i="6"/>
  <c r="DB19" i="6"/>
  <c r="DC19" i="6"/>
  <c r="DD19" i="6"/>
  <c r="CX20" i="6"/>
  <c r="CY20" i="6"/>
  <c r="CZ20" i="6"/>
  <c r="DA20" i="6"/>
  <c r="DB20" i="6"/>
  <c r="DC20" i="6"/>
  <c r="DD20" i="6"/>
  <c r="CX22" i="6"/>
  <c r="CY22" i="6"/>
  <c r="CZ22" i="6"/>
  <c r="DA22" i="6"/>
  <c r="DB22" i="6"/>
  <c r="DC22" i="6"/>
  <c r="DD22" i="6"/>
  <c r="CX26" i="6"/>
  <c r="CY26" i="6"/>
  <c r="CZ26" i="6"/>
  <c r="DA26" i="6"/>
  <c r="DB26" i="6"/>
  <c r="DC26" i="6"/>
  <c r="DD26" i="6"/>
  <c r="CX27" i="6"/>
  <c r="CY27" i="6"/>
  <c r="CZ27" i="6"/>
  <c r="DA27" i="6"/>
  <c r="DB27" i="6"/>
  <c r="DC27" i="6"/>
  <c r="DD27" i="6"/>
  <c r="CX31" i="6"/>
  <c r="CR11" i="7" s="1"/>
  <c r="CY31" i="6"/>
  <c r="CS11" i="7" s="1"/>
  <c r="CZ31" i="6"/>
  <c r="CT11" i="7" s="1"/>
  <c r="DA31" i="6"/>
  <c r="CU11" i="7" s="1"/>
  <c r="DB31" i="6"/>
  <c r="CV11" i="7" s="1"/>
  <c r="DC31" i="6"/>
  <c r="CW11" i="7" s="1"/>
  <c r="DD31" i="6"/>
  <c r="CX32" i="6"/>
  <c r="CY32" i="6"/>
  <c r="CZ32" i="6"/>
  <c r="DA32" i="6"/>
  <c r="DB32" i="6"/>
  <c r="DC32" i="6"/>
  <c r="DD32" i="6"/>
  <c r="CX34" i="6"/>
  <c r="CY34" i="6"/>
  <c r="CZ34" i="6"/>
  <c r="DA34" i="6"/>
  <c r="CU10" i="7" s="1"/>
  <c r="DB34" i="6"/>
  <c r="DC34" i="6"/>
  <c r="DD34" i="6"/>
  <c r="CX10" i="7" s="1"/>
  <c r="CX35" i="6"/>
  <c r="CY35" i="6"/>
  <c r="CZ35" i="6"/>
  <c r="DA35" i="6"/>
  <c r="DB35" i="6"/>
  <c r="DC35" i="6"/>
  <c r="DD35" i="6"/>
  <c r="CX36" i="6"/>
  <c r="CY36" i="6"/>
  <c r="CZ36" i="6"/>
  <c r="DA36" i="6"/>
  <c r="DB36" i="6"/>
  <c r="DC36" i="6"/>
  <c r="DD36" i="6"/>
  <c r="CX38" i="6"/>
  <c r="CX39" i="6"/>
  <c r="CY39" i="6"/>
  <c r="CZ39" i="6"/>
  <c r="DA39" i="6"/>
  <c r="DB39" i="6"/>
  <c r="DC39" i="6"/>
  <c r="DD39" i="6"/>
  <c r="CX43" i="6"/>
  <c r="CY43" i="6"/>
  <c r="CZ43" i="6"/>
  <c r="DA43" i="6"/>
  <c r="DB43" i="6"/>
  <c r="DC43" i="6"/>
  <c r="DD43" i="6"/>
  <c r="CX44" i="6"/>
  <c r="CY44" i="6"/>
  <c r="CZ44" i="6"/>
  <c r="DA44" i="6"/>
  <c r="DB44" i="6"/>
  <c r="DC44" i="6"/>
  <c r="DD44" i="6"/>
  <c r="CX45" i="6"/>
  <c r="CX49" i="6"/>
  <c r="CY49" i="6"/>
  <c r="CZ49" i="6"/>
  <c r="DA49" i="6"/>
  <c r="DB49" i="6"/>
  <c r="DC49" i="6"/>
  <c r="DD49" i="6"/>
  <c r="CX50" i="6"/>
  <c r="CY50" i="6"/>
  <c r="CZ50" i="6"/>
  <c r="DA50" i="6"/>
  <c r="DB50" i="6"/>
  <c r="DC50" i="6"/>
  <c r="DD50" i="6"/>
  <c r="CX51" i="6"/>
  <c r="CY51" i="6"/>
  <c r="CZ51" i="6"/>
  <c r="DA51" i="6"/>
  <c r="DB51" i="6"/>
  <c r="DC51" i="6"/>
  <c r="DD51" i="6"/>
  <c r="CX52" i="6"/>
  <c r="CY52" i="6"/>
  <c r="CZ52" i="6"/>
  <c r="DA52" i="6"/>
  <c r="DB52" i="6"/>
  <c r="DC52" i="6"/>
  <c r="DD52" i="6"/>
  <c r="CX53" i="6"/>
  <c r="CY53" i="6"/>
  <c r="CZ53" i="6"/>
  <c r="DA53" i="6"/>
  <c r="DB53" i="6"/>
  <c r="DC53" i="6"/>
  <c r="DD53" i="6"/>
  <c r="CX54" i="6"/>
  <c r="CY54" i="6"/>
  <c r="CZ54" i="6"/>
  <c r="DA54" i="6"/>
  <c r="DB54" i="6"/>
  <c r="DC54" i="6"/>
  <c r="DD54" i="6"/>
  <c r="CX55" i="6"/>
  <c r="CY55" i="6"/>
  <c r="CZ55" i="6"/>
  <c r="DA55" i="6"/>
  <c r="DB55" i="6"/>
  <c r="DC55" i="6"/>
  <c r="DD55" i="6"/>
  <c r="CZ45" i="6"/>
  <c r="DA45" i="6"/>
  <c r="DB45" i="6"/>
  <c r="DC45" i="6"/>
  <c r="DD45" i="6"/>
  <c r="CZ6" i="6"/>
  <c r="CT18" i="7" s="1"/>
  <c r="DA6" i="6"/>
  <c r="CU18" i="7" s="1"/>
  <c r="DB6" i="6"/>
  <c r="CV18" i="7" s="1"/>
  <c r="CZ38" i="6"/>
  <c r="DA38" i="6"/>
  <c r="DB38" i="6"/>
  <c r="DC38" i="6"/>
  <c r="DD38" i="6"/>
  <c r="DF5" i="6" l="1"/>
  <c r="CS10" i="7"/>
  <c r="CT10" i="7"/>
  <c r="DI5" i="6"/>
  <c r="DC13" i="7" s="1"/>
  <c r="DF50" i="5"/>
  <c r="DG84" i="4"/>
  <c r="DG88" i="4" s="1"/>
  <c r="DG90" i="4" s="1"/>
  <c r="DG92" i="4" s="1"/>
  <c r="DA14" i="7"/>
  <c r="DH24" i="5"/>
  <c r="DH14" i="5"/>
  <c r="CZ15" i="7"/>
  <c r="DC84" i="4"/>
  <c r="DC88" i="4" s="1"/>
  <c r="DC90" i="4" s="1"/>
  <c r="DC92" i="4" s="1"/>
  <c r="CW14" i="7"/>
  <c r="DQ23" i="7"/>
  <c r="DQ24" i="7"/>
  <c r="CY84" i="4"/>
  <c r="CY88" i="4" s="1"/>
  <c r="CY90" i="4" s="1"/>
  <c r="CY92" i="4" s="1"/>
  <c r="CS14" i="7"/>
  <c r="CR22" i="7"/>
  <c r="CR15" i="7"/>
  <c r="DV43" i="5"/>
  <c r="DH7" i="5"/>
  <c r="DH8" i="5"/>
  <c r="DH6" i="5"/>
  <c r="DH20" i="5"/>
  <c r="CZ23" i="7"/>
  <c r="DK9" i="5"/>
  <c r="DK26" i="5"/>
  <c r="DK25" i="5"/>
  <c r="DK15" i="5"/>
  <c r="DK21" i="5"/>
  <c r="DX40" i="5"/>
  <c r="DX31" i="5"/>
  <c r="DB46" i="6"/>
  <c r="CR10" i="7"/>
  <c r="DF16" i="5"/>
  <c r="CX11" i="7"/>
  <c r="DI8" i="5"/>
  <c r="DI6" i="5"/>
  <c r="DA23" i="7"/>
  <c r="DI20" i="5"/>
  <c r="CR13" i="7"/>
  <c r="CZ25" i="7"/>
  <c r="DJ6" i="5"/>
  <c r="DJ8" i="5"/>
  <c r="DJ20" i="5"/>
  <c r="DB23" i="7"/>
  <c r="CX17" i="7"/>
  <c r="CR25" i="7"/>
  <c r="CW10" i="7"/>
  <c r="CZ13" i="7"/>
  <c r="DC14" i="7"/>
  <c r="CR14" i="7"/>
  <c r="CZ22" i="7"/>
  <c r="DH26" i="5"/>
  <c r="DH9" i="5"/>
  <c r="DH25" i="5"/>
  <c r="DH15" i="5"/>
  <c r="DH21" i="5"/>
  <c r="CY14" i="7"/>
  <c r="CV10" i="7"/>
  <c r="DV40" i="5"/>
  <c r="DV31" i="5"/>
  <c r="DG8" i="5"/>
  <c r="DG6" i="5"/>
  <c r="CY23" i="7"/>
  <c r="DG20" i="5"/>
  <c r="DK6" i="5"/>
  <c r="DK7" i="5"/>
  <c r="DK8" i="5"/>
  <c r="DK20" i="5"/>
  <c r="DC23" i="7"/>
  <c r="DC15" i="7"/>
  <c r="DC25" i="7"/>
  <c r="DK24" i="5"/>
  <c r="CR20" i="7"/>
  <c r="DY40" i="5"/>
  <c r="DY31" i="5"/>
  <c r="DK14" i="5"/>
  <c r="CZ14" i="7"/>
  <c r="DB14" i="7"/>
  <c r="DB51" i="4"/>
  <c r="CZ51" i="4"/>
  <c r="DA46" i="6"/>
  <c r="CR19" i="7"/>
  <c r="DJ51" i="4"/>
  <c r="DA51" i="4"/>
  <c r="DJ5" i="6"/>
  <c r="DK10" i="5" s="1"/>
  <c r="DJ84" i="4"/>
  <c r="DJ88" i="4" s="1"/>
  <c r="DJ90" i="4" s="1"/>
  <c r="DJ92" i="4" s="1"/>
  <c r="DD13" i="7" s="1"/>
  <c r="DE51" i="4"/>
  <c r="DF51" i="4"/>
  <c r="DG51" i="4"/>
  <c r="DH51" i="4"/>
  <c r="DI51" i="4"/>
  <c r="DE5" i="6"/>
  <c r="DG5" i="6"/>
  <c r="DH5" i="6"/>
  <c r="DB13" i="7" s="1"/>
  <c r="DE14" i="6"/>
  <c r="CZ7" i="7"/>
  <c r="DF14" i="6"/>
  <c r="DA5" i="7"/>
  <c r="DA7" i="7"/>
  <c r="DA8" i="7"/>
  <c r="DG14" i="6"/>
  <c r="DB7" i="7"/>
  <c r="DH14" i="6"/>
  <c r="DC7" i="7"/>
  <c r="DI14" i="6"/>
  <c r="DD5" i="7"/>
  <c r="DD7" i="7"/>
  <c r="DD8" i="7"/>
  <c r="DE50" i="5"/>
  <c r="DD50" i="5"/>
  <c r="DC50" i="5"/>
  <c r="DB50" i="5"/>
  <c r="DA50" i="5"/>
  <c r="CZ50" i="5"/>
  <c r="DC25" i="6"/>
  <c r="DB25" i="6"/>
  <c r="DD19" i="5" s="1"/>
  <c r="DD46" i="6"/>
  <c r="DB48" i="6"/>
  <c r="DD16" i="6"/>
  <c r="DD13" i="6" s="1"/>
  <c r="CZ15" i="5"/>
  <c r="DD47" i="5"/>
  <c r="CY25" i="6"/>
  <c r="DC48" i="6"/>
  <c r="DC42" i="6"/>
  <c r="CY30" i="6"/>
  <c r="CZ25" i="6"/>
  <c r="DB30" i="6"/>
  <c r="DD30" i="6"/>
  <c r="CX30" i="6"/>
  <c r="DD25" i="6"/>
  <c r="DC16" i="6"/>
  <c r="DC13" i="6" s="1"/>
  <c r="CZ25" i="5"/>
  <c r="CZ26" i="5"/>
  <c r="CX46" i="6"/>
  <c r="CZ46" i="6"/>
  <c r="DA25" i="6"/>
  <c r="DA16" i="6"/>
  <c r="DA13" i="6" s="1"/>
  <c r="DB47" i="5"/>
  <c r="DC5" i="6"/>
  <c r="CW25" i="7" s="1"/>
  <c r="CX48" i="6"/>
  <c r="DC30" i="6"/>
  <c r="CX25" i="6"/>
  <c r="DC47" i="5"/>
  <c r="CZ16" i="5"/>
  <c r="DA48" i="6"/>
  <c r="CZ48" i="6"/>
  <c r="CY48" i="6"/>
  <c r="DD48" i="6"/>
  <c r="CY45" i="6"/>
  <c r="CY42" i="6" s="1"/>
  <c r="DW36" i="5" s="1"/>
  <c r="DD42" i="6"/>
  <c r="DD6" i="6"/>
  <c r="DF47" i="5" s="1"/>
  <c r="DA30" i="6"/>
  <c r="DB16" i="6"/>
  <c r="DB13" i="6" s="1"/>
  <c r="DC6" i="6"/>
  <c r="CZ47" i="5"/>
  <c r="DE16" i="5"/>
  <c r="CZ9" i="5"/>
  <c r="DC46" i="6"/>
  <c r="DB42" i="6"/>
  <c r="CZ30" i="6"/>
  <c r="CZ24" i="5"/>
  <c r="DD16" i="5"/>
  <c r="CX42" i="6"/>
  <c r="DV36" i="5" s="1"/>
  <c r="DC16" i="5"/>
  <c r="DD5" i="6"/>
  <c r="DA42" i="6"/>
  <c r="DY36" i="5" s="1"/>
  <c r="CZ16" i="6"/>
  <c r="DB16" i="5"/>
  <c r="CZ14" i="5"/>
  <c r="CZ42" i="6"/>
  <c r="DX36" i="5" s="1"/>
  <c r="CY16" i="6"/>
  <c r="DA16" i="5"/>
  <c r="CY46" i="6"/>
  <c r="CS42" i="4"/>
  <c r="CT42" i="4"/>
  <c r="CU42" i="4"/>
  <c r="CV42" i="4"/>
  <c r="CX16" i="6"/>
  <c r="CS45" i="4"/>
  <c r="CT45" i="4"/>
  <c r="CU45" i="4"/>
  <c r="CV45" i="4"/>
  <c r="CW45" i="4"/>
  <c r="CV32" i="4"/>
  <c r="CW32" i="4"/>
  <c r="CW7" i="4"/>
  <c r="DX35" i="5" l="1"/>
  <c r="CZ13" i="6"/>
  <c r="CX13" i="6"/>
  <c r="DV35" i="5" s="1"/>
  <c r="DW35" i="5"/>
  <c r="CY13" i="6"/>
  <c r="DC22" i="7"/>
  <c r="DC8" i="7"/>
  <c r="DI7" i="5"/>
  <c r="DA13" i="7"/>
  <c r="CY13" i="7"/>
  <c r="DG7" i="5"/>
  <c r="DQ22" i="7"/>
  <c r="DQ13" i="7"/>
  <c r="DQ15" i="7"/>
  <c r="DQ25" i="7"/>
  <c r="DQ19" i="7"/>
  <c r="DF26" i="5"/>
  <c r="DF9" i="5"/>
  <c r="DI10" i="5"/>
  <c r="DJ6" i="7"/>
  <c r="DF10" i="5"/>
  <c r="DG6" i="7"/>
  <c r="DA19" i="7"/>
  <c r="DF25" i="5"/>
  <c r="DF15" i="5"/>
  <c r="CX25" i="7"/>
  <c r="DB19" i="5"/>
  <c r="CT24" i="7"/>
  <c r="CT23" i="7"/>
  <c r="DG10" i="5"/>
  <c r="DH6" i="7"/>
  <c r="DF8" i="5"/>
  <c r="DF6" i="5"/>
  <c r="DF7" i="5"/>
  <c r="DJ30" i="5"/>
  <c r="DB22" i="7"/>
  <c r="DJ9" i="5"/>
  <c r="DJ26" i="5"/>
  <c r="DJ25" i="5"/>
  <c r="DJ15" i="5"/>
  <c r="DJ21" i="5"/>
  <c r="DJ14" i="5"/>
  <c r="DB25" i="7"/>
  <c r="DB15" i="7"/>
  <c r="DJ24" i="5"/>
  <c r="DF14" i="5"/>
  <c r="CR23" i="7"/>
  <c r="CR24" i="7"/>
  <c r="DJ10" i="5"/>
  <c r="DK6" i="7"/>
  <c r="DB19" i="7"/>
  <c r="DL30" i="5"/>
  <c r="DD22" i="7"/>
  <c r="DL25" i="5"/>
  <c r="DL26" i="5"/>
  <c r="DL9" i="5"/>
  <c r="DL15" i="5"/>
  <c r="DL21" i="5"/>
  <c r="DL24" i="5"/>
  <c r="DL7" i="5"/>
  <c r="DL14" i="5"/>
  <c r="DD25" i="7"/>
  <c r="DM30" i="5"/>
  <c r="DD15" i="7"/>
  <c r="DE47" i="5"/>
  <c r="CW18" i="7"/>
  <c r="DD20" i="5"/>
  <c r="DF19" i="5"/>
  <c r="DF20" i="5"/>
  <c r="CX23" i="7"/>
  <c r="CX24" i="7"/>
  <c r="CS23" i="7"/>
  <c r="CV23" i="7"/>
  <c r="CV24" i="7"/>
  <c r="DH10" i="5"/>
  <c r="DI6" i="7"/>
  <c r="DB5" i="7"/>
  <c r="DI30" i="5"/>
  <c r="DA22" i="7"/>
  <c r="DI25" i="5"/>
  <c r="DI26" i="5"/>
  <c r="DI9" i="5"/>
  <c r="DI15" i="5"/>
  <c r="DI21" i="5"/>
  <c r="DA25" i="7"/>
  <c r="DA15" i="7"/>
  <c r="DI24" i="5"/>
  <c r="DI14" i="5"/>
  <c r="CZ19" i="7"/>
  <c r="CW13" i="7"/>
  <c r="DF30" i="5"/>
  <c r="CX22" i="7"/>
  <c r="CX15" i="7"/>
  <c r="DW34" i="5"/>
  <c r="DW44" i="5"/>
  <c r="CX13" i="7"/>
  <c r="DX44" i="5"/>
  <c r="DX34" i="5"/>
  <c r="DY44" i="5"/>
  <c r="DY34" i="5"/>
  <c r="DA14" i="6"/>
  <c r="DY35" i="5"/>
  <c r="CZ21" i="5"/>
  <c r="DV34" i="5"/>
  <c r="DV44" i="5"/>
  <c r="CX19" i="7"/>
  <c r="CW23" i="7"/>
  <c r="CW24" i="7"/>
  <c r="CZ8" i="7"/>
  <c r="DG30" i="5"/>
  <c r="CY22" i="7"/>
  <c r="DG15" i="5"/>
  <c r="DG9" i="5"/>
  <c r="DG25" i="5"/>
  <c r="DG26" i="5"/>
  <c r="DG21" i="5"/>
  <c r="CY15" i="7"/>
  <c r="CY25" i="7"/>
  <c r="DG14" i="5"/>
  <c r="DG24" i="5"/>
  <c r="DD19" i="7"/>
  <c r="DH30" i="5"/>
  <c r="DJ7" i="5"/>
  <c r="DK30" i="5"/>
  <c r="CW22" i="7"/>
  <c r="CW15" i="7"/>
  <c r="DF24" i="5"/>
  <c r="CX18" i="7"/>
  <c r="DC20" i="5"/>
  <c r="CU24" i="7"/>
  <c r="CU23" i="7"/>
  <c r="DF21" i="5"/>
  <c r="DC19" i="7"/>
  <c r="CY19" i="7"/>
  <c r="CW19" i="7"/>
  <c r="DL6" i="7"/>
  <c r="DC5" i="7"/>
  <c r="CZ5" i="7"/>
  <c r="DC19" i="5"/>
  <c r="DC8" i="5"/>
  <c r="CV7" i="7"/>
  <c r="DC6" i="5"/>
  <c r="CX8" i="7"/>
  <c r="CU50" i="4"/>
  <c r="DE20" i="5"/>
  <c r="DB8" i="7"/>
  <c r="CT50" i="4"/>
  <c r="DD14" i="6"/>
  <c r="DF6" i="7" s="1"/>
  <c r="CY5" i="7"/>
  <c r="CY7" i="7"/>
  <c r="CY8" i="7"/>
  <c r="DE5" i="7"/>
  <c r="DE8" i="7"/>
  <c r="DE25" i="5"/>
  <c r="DE19" i="5"/>
  <c r="DB5" i="6"/>
  <c r="DE6" i="5"/>
  <c r="CV50" i="4"/>
  <c r="DC14" i="6"/>
  <c r="DE6" i="7" s="1"/>
  <c r="DE7" i="5"/>
  <c r="DE15" i="5"/>
  <c r="CS5" i="7"/>
  <c r="CZ8" i="5"/>
  <c r="CS7" i="7"/>
  <c r="CZ6" i="5"/>
  <c r="DB20" i="5"/>
  <c r="CY14" i="6"/>
  <c r="DA6" i="5"/>
  <c r="DE24" i="5"/>
  <c r="DB14" i="6"/>
  <c r="DD8" i="5"/>
  <c r="CW7" i="7"/>
  <c r="DD6" i="5"/>
  <c r="DA5" i="6"/>
  <c r="CZ14" i="6"/>
  <c r="CU7" i="7"/>
  <c r="DB6" i="5"/>
  <c r="DB8" i="5"/>
  <c r="CX7" i="7"/>
  <c r="DE26" i="5"/>
  <c r="DE9" i="5"/>
  <c r="CX5" i="7"/>
  <c r="CZ5" i="6"/>
  <c r="CZ19" i="5"/>
  <c r="DE8" i="5"/>
  <c r="DE21" i="5"/>
  <c r="DE14" i="5"/>
  <c r="DA20" i="5"/>
  <c r="CS50" i="4"/>
  <c r="CU9" i="4"/>
  <c r="CV9" i="4"/>
  <c r="CW9" i="4"/>
  <c r="CZ7" i="5" l="1"/>
  <c r="CZ20" i="5"/>
  <c r="CS8" i="7"/>
  <c r="CX14" i="6"/>
  <c r="CY10" i="5" s="1"/>
  <c r="CU19" i="7"/>
  <c r="CU5" i="7"/>
  <c r="CT22" i="7"/>
  <c r="DX43" i="5"/>
  <c r="CT15" i="7"/>
  <c r="CT25" i="7"/>
  <c r="CT13" i="7"/>
  <c r="CV22" i="7"/>
  <c r="CV15" i="7"/>
  <c r="CV13" i="7"/>
  <c r="CV25" i="7"/>
  <c r="DC6" i="7"/>
  <c r="CU22" i="7"/>
  <c r="CU15" i="7"/>
  <c r="CU13" i="7"/>
  <c r="DY43" i="5"/>
  <c r="CU25" i="7"/>
  <c r="CT19" i="7"/>
  <c r="CV19" i="7"/>
  <c r="DD10" i="5"/>
  <c r="CW8" i="7"/>
  <c r="DE10" i="5"/>
  <c r="DD6" i="7"/>
  <c r="DB6" i="7"/>
  <c r="DE30" i="5"/>
  <c r="DD15" i="5"/>
  <c r="DD9" i="5"/>
  <c r="CW5" i="7"/>
  <c r="DD25" i="5"/>
  <c r="DD24" i="5"/>
  <c r="DD26" i="5"/>
  <c r="DC10" i="5"/>
  <c r="DD21" i="5"/>
  <c r="DD7" i="5"/>
  <c r="DD14" i="5"/>
  <c r="DB21" i="5"/>
  <c r="DB7" i="5"/>
  <c r="CU8" i="7"/>
  <c r="DC30" i="5"/>
  <c r="DC25" i="5"/>
  <c r="DC26" i="5"/>
  <c r="DC9" i="5"/>
  <c r="DC14" i="5"/>
  <c r="CV5" i="7"/>
  <c r="DC24" i="5"/>
  <c r="CV8" i="7"/>
  <c r="DB10" i="5"/>
  <c r="DC15" i="5"/>
  <c r="DC7" i="5"/>
  <c r="DB9" i="5"/>
  <c r="DB24" i="5"/>
  <c r="DB26" i="5"/>
  <c r="DB25" i="5"/>
  <c r="DB14" i="5"/>
  <c r="DB15" i="5"/>
  <c r="DC21" i="5"/>
  <c r="DA10" i="5"/>
  <c r="DD30" i="5"/>
  <c r="CT54" i="6"/>
  <c r="CU54" i="6"/>
  <c r="CV54" i="6"/>
  <c r="CW54" i="6"/>
  <c r="CT53" i="6"/>
  <c r="CU53" i="6"/>
  <c r="CV53" i="6"/>
  <c r="CW53" i="6"/>
  <c r="CT52" i="6"/>
  <c r="CU52" i="6"/>
  <c r="CV52" i="6"/>
  <c r="CW52" i="6"/>
  <c r="CU50" i="6"/>
  <c r="CV50" i="6"/>
  <c r="CW50" i="6"/>
  <c r="CU51" i="6"/>
  <c r="CV51" i="6"/>
  <c r="CW51" i="6"/>
  <c r="CU49" i="6"/>
  <c r="CV49" i="6"/>
  <c r="CW49" i="6"/>
  <c r="CU44" i="6"/>
  <c r="CV44" i="6"/>
  <c r="CW44" i="6"/>
  <c r="CU43" i="6"/>
  <c r="CV43" i="6"/>
  <c r="CW43" i="6"/>
  <c r="CU39" i="6"/>
  <c r="CV39" i="6"/>
  <c r="CW39" i="6"/>
  <c r="CU34" i="6"/>
  <c r="CV34" i="6"/>
  <c r="CW34" i="6"/>
  <c r="CU35" i="6"/>
  <c r="CV35" i="6"/>
  <c r="CW35" i="6"/>
  <c r="CU32" i="6"/>
  <c r="CV32" i="6"/>
  <c r="CW32" i="6"/>
  <c r="CY50" i="5" s="1"/>
  <c r="CU31" i="6"/>
  <c r="CW16" i="5" s="1"/>
  <c r="CV31" i="6"/>
  <c r="CW31" i="6"/>
  <c r="CQ11" i="7" s="1"/>
  <c r="CV27" i="6"/>
  <c r="CW27" i="6"/>
  <c r="CV26" i="6"/>
  <c r="CW26" i="6"/>
  <c r="CU22" i="6"/>
  <c r="CV22" i="6"/>
  <c r="CW22" i="6"/>
  <c r="CU20" i="6"/>
  <c r="CV20" i="6"/>
  <c r="CW20" i="6"/>
  <c r="CU19" i="6"/>
  <c r="CV19" i="6"/>
  <c r="CW19" i="6"/>
  <c r="CU17" i="6"/>
  <c r="DS41" i="5" s="1"/>
  <c r="CV17" i="6"/>
  <c r="DT41" i="5" s="1"/>
  <c r="CW17" i="6"/>
  <c r="DU41" i="5" s="1"/>
  <c r="CU10" i="6"/>
  <c r="CV10" i="6"/>
  <c r="CW10" i="6"/>
  <c r="CV8" i="6"/>
  <c r="DT32" i="5" s="1"/>
  <c r="CW8" i="6"/>
  <c r="DU32" i="5" s="1"/>
  <c r="CV7" i="6"/>
  <c r="DT33" i="5" s="1"/>
  <c r="CW7" i="6"/>
  <c r="DU33" i="5" s="1"/>
  <c r="CV85" i="4"/>
  <c r="CW85" i="4"/>
  <c r="CV78" i="4"/>
  <c r="CW78" i="4"/>
  <c r="CV75" i="4"/>
  <c r="CV55" i="6" s="1"/>
  <c r="CW75" i="4"/>
  <c r="CW55" i="6" s="1"/>
  <c r="CV67" i="4"/>
  <c r="CW67" i="4"/>
  <c r="CZ6" i="7" l="1"/>
  <c r="CQ10" i="7"/>
  <c r="CP10" i="7"/>
  <c r="CX16" i="5"/>
  <c r="CP11" i="7"/>
  <c r="CU30" i="6"/>
  <c r="CW46" i="6"/>
  <c r="CY16" i="5"/>
  <c r="CU16" i="6"/>
  <c r="CU13" i="6" s="1"/>
  <c r="CV16" i="6"/>
  <c r="CV13" i="6" s="1"/>
  <c r="CV25" i="6"/>
  <c r="CV30" i="6"/>
  <c r="CW30" i="6"/>
  <c r="CW25" i="6"/>
  <c r="CV46" i="6"/>
  <c r="CU46" i="6"/>
  <c r="CW48" i="6"/>
  <c r="CV48" i="6"/>
  <c r="CU75" i="4"/>
  <c r="CU55" i="6" s="1"/>
  <c r="CU48" i="6" s="1"/>
  <c r="CU67" i="4"/>
  <c r="CV62" i="4"/>
  <c r="CU59" i="4"/>
  <c r="CV59" i="4"/>
  <c r="CW59" i="4"/>
  <c r="CU32" i="4"/>
  <c r="CU31" i="4"/>
  <c r="CV31" i="4"/>
  <c r="CW31" i="4"/>
  <c r="CU21" i="4"/>
  <c r="CU38" i="6" s="1"/>
  <c r="CV21" i="4"/>
  <c r="CV38" i="6" s="1"/>
  <c r="CW21" i="4"/>
  <c r="CW38" i="6" s="1"/>
  <c r="CY38" i="6"/>
  <c r="CV14" i="4"/>
  <c r="CW14" i="4"/>
  <c r="CV5" i="4"/>
  <c r="CW5" i="4"/>
  <c r="DT34" i="5" l="1"/>
  <c r="DT44" i="5"/>
  <c r="DS44" i="5"/>
  <c r="DS34" i="5"/>
  <c r="CV36" i="6"/>
  <c r="CP17" i="7"/>
  <c r="CV27" i="4"/>
  <c r="CP20" i="7"/>
  <c r="CU14" i="6"/>
  <c r="DS35" i="5"/>
  <c r="CP23" i="7"/>
  <c r="CV14" i="6"/>
  <c r="DT35" i="5"/>
  <c r="DU44" i="5"/>
  <c r="DU34" i="5"/>
  <c r="CQ17" i="7"/>
  <c r="CW27" i="4"/>
  <c r="CQ20" i="7" s="1"/>
  <c r="CX20" i="5"/>
  <c r="CW6" i="5"/>
  <c r="CU39" i="4"/>
  <c r="CU51" i="4" s="1"/>
  <c r="CW36" i="6"/>
  <c r="CY6" i="6"/>
  <c r="CX6" i="5"/>
  <c r="CW39" i="4"/>
  <c r="CW6" i="6"/>
  <c r="CV39" i="4"/>
  <c r="CV6" i="6"/>
  <c r="CP24" i="7" s="1"/>
  <c r="CV5" i="6"/>
  <c r="CV58" i="4"/>
  <c r="CV74" i="4" s="1"/>
  <c r="CV45" i="6"/>
  <c r="CV42" i="6" s="1"/>
  <c r="DT36" i="5" s="1"/>
  <c r="CW5" i="6" l="1"/>
  <c r="DU43" i="5" s="1"/>
  <c r="CQ24" i="7"/>
  <c r="CQ18" i="7"/>
  <c r="DW40" i="5"/>
  <c r="DW31" i="5"/>
  <c r="CS18" i="7"/>
  <c r="CS24" i="7"/>
  <c r="CQ22" i="7"/>
  <c r="CV84" i="4"/>
  <c r="CV88" i="4" s="1"/>
  <c r="CV90" i="4" s="1"/>
  <c r="CV92" i="4" s="1"/>
  <c r="CP13" i="7" s="1"/>
  <c r="CP14" i="7"/>
  <c r="CX7" i="5"/>
  <c r="CP22" i="7"/>
  <c r="DT43" i="5"/>
  <c r="CP15" i="7"/>
  <c r="CQ7" i="7"/>
  <c r="DT40" i="5"/>
  <c r="DT31" i="5"/>
  <c r="CP25" i="7"/>
  <c r="DU31" i="5"/>
  <c r="DU40" i="5"/>
  <c r="CQ19" i="7"/>
  <c r="CP18" i="7"/>
  <c r="DA19" i="5"/>
  <c r="DA47" i="5"/>
  <c r="CT7" i="7"/>
  <c r="DA8" i="5"/>
  <c r="CZ30" i="5"/>
  <c r="CY25" i="5"/>
  <c r="CY47" i="5"/>
  <c r="CY19" i="5"/>
  <c r="CX6" i="7"/>
  <c r="CY5" i="6"/>
  <c r="CQ8" i="7"/>
  <c r="CQ5" i="7"/>
  <c r="CX21" i="5"/>
  <c r="CX24" i="5"/>
  <c r="CV51" i="4"/>
  <c r="CX14" i="5"/>
  <c r="CX9" i="5"/>
  <c r="CX8" i="5"/>
  <c r="CX19" i="5"/>
  <c r="CX47" i="5"/>
  <c r="CW10" i="5"/>
  <c r="CX25" i="5"/>
  <c r="CX26" i="5"/>
  <c r="CX15" i="5"/>
  <c r="CW43" i="4"/>
  <c r="CW42" i="4" s="1"/>
  <c r="CY30" i="5" l="1"/>
  <c r="CQ25" i="7"/>
  <c r="CY14" i="5"/>
  <c r="CY21" i="5"/>
  <c r="CY24" i="5"/>
  <c r="CY26" i="5"/>
  <c r="CY9" i="5"/>
  <c r="CQ15" i="7"/>
  <c r="CY15" i="5"/>
  <c r="CS19" i="7"/>
  <c r="CP19" i="7"/>
  <c r="CS22" i="7"/>
  <c r="DW43" i="5"/>
  <c r="CS15" i="7"/>
  <c r="CS13" i="7"/>
  <c r="CS25" i="7"/>
  <c r="DA24" i="5"/>
  <c r="DA6" i="7"/>
  <c r="DA30" i="5"/>
  <c r="DA26" i="5"/>
  <c r="DA15" i="5"/>
  <c r="DA25" i="5"/>
  <c r="DA9" i="5"/>
  <c r="DA21" i="5"/>
  <c r="CT8" i="7"/>
  <c r="DA7" i="5"/>
  <c r="CT5" i="7"/>
  <c r="CZ10" i="5"/>
  <c r="DB30" i="5"/>
  <c r="DA14" i="5"/>
  <c r="CW50" i="4"/>
  <c r="CW51" i="4" s="1"/>
  <c r="CW16" i="6"/>
  <c r="CW13" i="6" s="1"/>
  <c r="CM21" i="4"/>
  <c r="CN21" i="4"/>
  <c r="CM5" i="4"/>
  <c r="CN5" i="4"/>
  <c r="CM9" i="4"/>
  <c r="CM14" i="4"/>
  <c r="CL26" i="4"/>
  <c r="CL21" i="4" s="1"/>
  <c r="CK26" i="4"/>
  <c r="CK21" i="4" s="1"/>
  <c r="CL16" i="4"/>
  <c r="CT21" i="4"/>
  <c r="CT38" i="6" s="1"/>
  <c r="DU35" i="5" l="1"/>
  <c r="CQ23" i="7"/>
  <c r="CY8" i="5"/>
  <c r="CR5" i="7"/>
  <c r="CR7" i="7"/>
  <c r="CR8" i="7"/>
  <c r="CY7" i="5"/>
  <c r="CY6" i="5"/>
  <c r="CY20" i="5"/>
  <c r="CW14" i="6"/>
  <c r="CX10" i="5" l="1"/>
  <c r="CY6" i="7"/>
  <c r="CJ17" i="6"/>
  <c r="DH41" i="5" s="1"/>
  <c r="CK17" i="6"/>
  <c r="DI41" i="5" s="1"/>
  <c r="CL17" i="6"/>
  <c r="DJ41" i="5" s="1"/>
  <c r="CM17" i="6"/>
  <c r="DK41" i="5" s="1"/>
  <c r="CN17" i="6"/>
  <c r="DL41" i="5" s="1"/>
  <c r="CO17" i="6"/>
  <c r="DM41" i="5" s="1"/>
  <c r="CP17" i="6"/>
  <c r="DN41" i="5" s="1"/>
  <c r="CQ17" i="6"/>
  <c r="DO41" i="5" s="1"/>
  <c r="CR17" i="6"/>
  <c r="DP41" i="5" s="1"/>
  <c r="CS17" i="6"/>
  <c r="DQ41" i="5" s="1"/>
  <c r="CK10" i="6"/>
  <c r="CL10" i="6"/>
  <c r="CM10" i="6"/>
  <c r="CG17" i="7" s="1"/>
  <c r="CN10" i="6"/>
  <c r="CH17" i="7" s="1"/>
  <c r="CO10" i="6"/>
  <c r="CP10" i="6"/>
  <c r="CQ10" i="6"/>
  <c r="CR10" i="6"/>
  <c r="CS10" i="6"/>
  <c r="CT10" i="6"/>
  <c r="CR26" i="4"/>
  <c r="CQ26" i="4"/>
  <c r="CP26" i="4"/>
  <c r="CO16" i="4"/>
  <c r="CO26" i="4"/>
  <c r="CM32" i="4" l="1"/>
  <c r="CM45" i="4"/>
  <c r="CN45" i="4"/>
  <c r="CO45" i="4"/>
  <c r="CH54" i="6" l="1"/>
  <c r="CI54" i="6"/>
  <c r="CJ54" i="6"/>
  <c r="CK54" i="6"/>
  <c r="CL54" i="6"/>
  <c r="CM54" i="6"/>
  <c r="CN54" i="6"/>
  <c r="CO54" i="6"/>
  <c r="CP54" i="6"/>
  <c r="CQ54" i="6"/>
  <c r="CR54" i="6"/>
  <c r="CS54" i="6"/>
  <c r="CH53" i="6"/>
  <c r="CI53" i="6"/>
  <c r="CJ53" i="6"/>
  <c r="CK53" i="6"/>
  <c r="CL53" i="6"/>
  <c r="CM53" i="6"/>
  <c r="CN53" i="6"/>
  <c r="CO53" i="6"/>
  <c r="CP53" i="6"/>
  <c r="CQ53" i="6"/>
  <c r="CR53" i="6"/>
  <c r="CS53" i="6"/>
  <c r="CH52" i="6"/>
  <c r="CI52" i="6"/>
  <c r="CJ52" i="6"/>
  <c r="CK52" i="6"/>
  <c r="CL52" i="6"/>
  <c r="CM52" i="6"/>
  <c r="CN52" i="6"/>
  <c r="CO52" i="6"/>
  <c r="CP52" i="6"/>
  <c r="CQ52" i="6"/>
  <c r="CR52" i="6"/>
  <c r="CS52" i="6"/>
  <c r="CH51" i="6"/>
  <c r="CI51" i="6"/>
  <c r="CJ51" i="6"/>
  <c r="CK51" i="6"/>
  <c r="CL51" i="6"/>
  <c r="CM51" i="6"/>
  <c r="CN51" i="6"/>
  <c r="CO51" i="6"/>
  <c r="CP51" i="6"/>
  <c r="CQ51" i="6"/>
  <c r="CR51" i="6"/>
  <c r="CS51" i="6"/>
  <c r="CT51" i="6"/>
  <c r="CH50" i="6"/>
  <c r="CI50" i="6"/>
  <c r="CJ50" i="6"/>
  <c r="CK50" i="6"/>
  <c r="CL50" i="6"/>
  <c r="CM50" i="6"/>
  <c r="CN50" i="6"/>
  <c r="CO50" i="6"/>
  <c r="CP50" i="6"/>
  <c r="CQ50" i="6"/>
  <c r="CR50" i="6"/>
  <c r="CS50" i="6"/>
  <c r="CT50" i="6"/>
  <c r="CH49" i="6"/>
  <c r="CI49" i="6"/>
  <c r="CJ49" i="6"/>
  <c r="CK49" i="6"/>
  <c r="CL49" i="6"/>
  <c r="CM49" i="6"/>
  <c r="CN49" i="6"/>
  <c r="CO49" i="6"/>
  <c r="CP49" i="6"/>
  <c r="CQ49" i="6"/>
  <c r="CR49" i="6"/>
  <c r="CS49" i="6"/>
  <c r="CT49" i="6"/>
  <c r="CH44" i="6"/>
  <c r="CI44" i="6"/>
  <c r="CJ44" i="6"/>
  <c r="CK44" i="6"/>
  <c r="CL44" i="6"/>
  <c r="CM44" i="6"/>
  <c r="CN44" i="6"/>
  <c r="CO44" i="6"/>
  <c r="CP44" i="6"/>
  <c r="CQ44" i="6"/>
  <c r="CR44" i="6"/>
  <c r="CS44" i="6"/>
  <c r="CT44" i="6"/>
  <c r="CH43" i="6"/>
  <c r="CI43" i="6"/>
  <c r="CJ43" i="6"/>
  <c r="CK43" i="6"/>
  <c r="CL43" i="6"/>
  <c r="CM43" i="6"/>
  <c r="CN43" i="6"/>
  <c r="CO43" i="6"/>
  <c r="CP43" i="6"/>
  <c r="CQ43" i="6"/>
  <c r="CR43" i="6"/>
  <c r="CS43" i="6"/>
  <c r="CT43" i="6"/>
  <c r="CH39" i="6"/>
  <c r="CI39" i="6"/>
  <c r="CJ39" i="6"/>
  <c r="CK39" i="6"/>
  <c r="CL39" i="6"/>
  <c r="CM39" i="6"/>
  <c r="CN39" i="6"/>
  <c r="CO39" i="6"/>
  <c r="CP39" i="6"/>
  <c r="CQ39" i="6"/>
  <c r="CR39" i="6"/>
  <c r="CS39" i="6"/>
  <c r="CT39" i="6"/>
  <c r="CH34" i="6"/>
  <c r="CI34" i="6"/>
  <c r="CJ34" i="6"/>
  <c r="CK34" i="6"/>
  <c r="CL34" i="6"/>
  <c r="CM34" i="6"/>
  <c r="CN34" i="6"/>
  <c r="CO34" i="6"/>
  <c r="CP34" i="6"/>
  <c r="CQ34" i="6"/>
  <c r="CR34" i="6"/>
  <c r="CS34" i="6"/>
  <c r="CT34" i="6"/>
  <c r="CH35" i="6"/>
  <c r="CI35" i="6"/>
  <c r="CJ35" i="6"/>
  <c r="CK35" i="6"/>
  <c r="CL35" i="6"/>
  <c r="CM35" i="6"/>
  <c r="CN35" i="6"/>
  <c r="CO35" i="6"/>
  <c r="CP35" i="6"/>
  <c r="CQ35" i="6"/>
  <c r="CR35" i="6"/>
  <c r="CS35" i="6"/>
  <c r="CT35" i="6"/>
  <c r="CM36" i="6"/>
  <c r="CN36" i="6"/>
  <c r="CH32" i="6"/>
  <c r="CI32" i="6"/>
  <c r="CK50" i="5" s="1"/>
  <c r="CJ32" i="6"/>
  <c r="CL50" i="5" s="1"/>
  <c r="CL32" i="6"/>
  <c r="CM32" i="6"/>
  <c r="CN32" i="6"/>
  <c r="CO32" i="6"/>
  <c r="CP32" i="6"/>
  <c r="CQ32" i="6"/>
  <c r="CS50" i="5" s="1"/>
  <c r="CR32" i="6"/>
  <c r="CT50" i="5" s="1"/>
  <c r="CS32" i="6"/>
  <c r="CU50" i="5" s="1"/>
  <c r="CT32" i="6"/>
  <c r="CW50" i="5"/>
  <c r="CH31" i="6"/>
  <c r="CI31" i="6"/>
  <c r="CJ31" i="6"/>
  <c r="CL31" i="6"/>
  <c r="CM31" i="6"/>
  <c r="CN31" i="6"/>
  <c r="CO31" i="6"/>
  <c r="CP31" i="6"/>
  <c r="CQ31" i="6"/>
  <c r="CR31" i="6"/>
  <c r="CS31" i="6"/>
  <c r="CT31" i="6"/>
  <c r="CV16" i="5" s="1"/>
  <c r="CH27" i="6"/>
  <c r="CI27" i="6"/>
  <c r="CJ27" i="6"/>
  <c r="CK27" i="6"/>
  <c r="CL27" i="6"/>
  <c r="CM27" i="6"/>
  <c r="CN27" i="6"/>
  <c r="CO27" i="6"/>
  <c r="CP27" i="6"/>
  <c r="CQ27" i="6"/>
  <c r="CR27" i="6"/>
  <c r="CS27" i="6"/>
  <c r="CT27" i="6"/>
  <c r="CU27" i="6"/>
  <c r="CH26" i="6"/>
  <c r="CI26" i="6"/>
  <c r="CJ26" i="6"/>
  <c r="CK26" i="6"/>
  <c r="CL26" i="6"/>
  <c r="CM26" i="6"/>
  <c r="CN26" i="6"/>
  <c r="CO26" i="6"/>
  <c r="CP26" i="6"/>
  <c r="CQ26" i="6"/>
  <c r="CR26" i="6"/>
  <c r="CS26" i="6"/>
  <c r="CT26" i="6"/>
  <c r="CU26" i="6"/>
  <c r="CH22" i="6"/>
  <c r="CI22" i="6"/>
  <c r="CJ22" i="6"/>
  <c r="CK22" i="6"/>
  <c r="CL22" i="6"/>
  <c r="CM22" i="6"/>
  <c r="CN22" i="6"/>
  <c r="CO22" i="6"/>
  <c r="CP22" i="6"/>
  <c r="CQ22" i="6"/>
  <c r="CR22" i="6"/>
  <c r="CS22" i="6"/>
  <c r="CT22" i="6"/>
  <c r="CH20" i="6"/>
  <c r="CI20" i="6"/>
  <c r="CJ20" i="6"/>
  <c r="CK20" i="6"/>
  <c r="CL20" i="6"/>
  <c r="CM20" i="6"/>
  <c r="CN20" i="6"/>
  <c r="CO20" i="6"/>
  <c r="CP20" i="6"/>
  <c r="CQ20" i="6"/>
  <c r="CR20" i="6"/>
  <c r="CS20" i="6"/>
  <c r="CT20" i="6"/>
  <c r="CH19" i="6"/>
  <c r="CI19" i="6"/>
  <c r="CJ19" i="6"/>
  <c r="CK19" i="6"/>
  <c r="CL19" i="6"/>
  <c r="CM19" i="6"/>
  <c r="CN19" i="6"/>
  <c r="CO19" i="6"/>
  <c r="CP19" i="6"/>
  <c r="CQ19" i="6"/>
  <c r="CR19" i="6"/>
  <c r="CS19" i="6"/>
  <c r="CT19" i="6"/>
  <c r="CH17" i="6"/>
  <c r="DF41" i="5" s="1"/>
  <c r="CI17" i="6"/>
  <c r="DG41" i="5" s="1"/>
  <c r="CT17" i="6"/>
  <c r="DR41" i="5" s="1"/>
  <c r="CI10" i="6"/>
  <c r="CI8" i="6"/>
  <c r="DG32" i="5" s="1"/>
  <c r="CJ8" i="6"/>
  <c r="DH32" i="5" s="1"/>
  <c r="CK8" i="6"/>
  <c r="DI32" i="5" s="1"/>
  <c r="CL8" i="6"/>
  <c r="DJ32" i="5" s="1"/>
  <c r="CM8" i="6"/>
  <c r="DK32" i="5" s="1"/>
  <c r="CN8" i="6"/>
  <c r="DL32" i="5" s="1"/>
  <c r="CO8" i="6"/>
  <c r="DM32" i="5" s="1"/>
  <c r="CP8" i="6"/>
  <c r="DN32" i="5" s="1"/>
  <c r="CQ8" i="6"/>
  <c r="DO32" i="5" s="1"/>
  <c r="CR8" i="6"/>
  <c r="DP32" i="5" s="1"/>
  <c r="CS8" i="6"/>
  <c r="DQ32" i="5" s="1"/>
  <c r="CT8" i="6"/>
  <c r="DR32" i="5" s="1"/>
  <c r="CU8" i="6"/>
  <c r="DS32" i="5" s="1"/>
  <c r="CI7" i="6"/>
  <c r="DG33" i="5" s="1"/>
  <c r="CJ7" i="6"/>
  <c r="DH33" i="5" s="1"/>
  <c r="CK7" i="6"/>
  <c r="DI33" i="5" s="1"/>
  <c r="CL7" i="6"/>
  <c r="DJ33" i="5" s="1"/>
  <c r="CM7" i="6"/>
  <c r="DK33" i="5" s="1"/>
  <c r="CN7" i="6"/>
  <c r="DL33" i="5" s="1"/>
  <c r="CO7" i="6"/>
  <c r="DM33" i="5" s="1"/>
  <c r="CP7" i="6"/>
  <c r="DN33" i="5" s="1"/>
  <c r="CQ7" i="6"/>
  <c r="DO33" i="5" s="1"/>
  <c r="CR7" i="6"/>
  <c r="DP33" i="5" s="1"/>
  <c r="CS7" i="6"/>
  <c r="DQ33" i="5" s="1"/>
  <c r="CT7" i="6"/>
  <c r="DR33" i="5" s="1"/>
  <c r="CU7" i="6"/>
  <c r="DS33" i="5" s="1"/>
  <c r="CG85" i="4"/>
  <c r="CH85" i="4"/>
  <c r="CI85" i="4"/>
  <c r="CJ85" i="4"/>
  <c r="CK85" i="4"/>
  <c r="CL85" i="4"/>
  <c r="CM85" i="4"/>
  <c r="CN85" i="4"/>
  <c r="CO85" i="4"/>
  <c r="CP85" i="4"/>
  <c r="CQ85" i="4"/>
  <c r="CR85" i="4"/>
  <c r="CS85" i="4"/>
  <c r="CT85" i="4"/>
  <c r="CU85" i="4"/>
  <c r="CI78" i="4"/>
  <c r="CJ78" i="4"/>
  <c r="CK78" i="4"/>
  <c r="CL78" i="4"/>
  <c r="CM78" i="4"/>
  <c r="CN78" i="4"/>
  <c r="CO78" i="4"/>
  <c r="CP78" i="4"/>
  <c r="CQ78" i="4"/>
  <c r="CR78" i="4"/>
  <c r="CS78" i="4"/>
  <c r="CT78" i="4"/>
  <c r="CU78" i="4"/>
  <c r="CI75" i="4"/>
  <c r="CI55" i="6" s="1"/>
  <c r="CJ75" i="4"/>
  <c r="CJ55" i="6" s="1"/>
  <c r="CK75" i="4"/>
  <c r="CK55" i="6" s="1"/>
  <c r="CL75" i="4"/>
  <c r="CL55" i="6" s="1"/>
  <c r="CM75" i="4"/>
  <c r="CM55" i="6" s="1"/>
  <c r="CN75" i="4"/>
  <c r="CN55" i="6" s="1"/>
  <c r="CO75" i="4"/>
  <c r="CO55" i="6" s="1"/>
  <c r="CP75" i="4"/>
  <c r="CP55" i="6" s="1"/>
  <c r="CQ75" i="4"/>
  <c r="CQ55" i="6" s="1"/>
  <c r="CR75" i="4"/>
  <c r="CR55" i="6" s="1"/>
  <c r="CS75" i="4"/>
  <c r="CS55" i="6" s="1"/>
  <c r="CT75" i="4"/>
  <c r="CT55" i="6" s="1"/>
  <c r="CI67" i="4"/>
  <c r="CJ67" i="4"/>
  <c r="CK67" i="4"/>
  <c r="CL67" i="4"/>
  <c r="CM67" i="4"/>
  <c r="CN67" i="4"/>
  <c r="CO67" i="4"/>
  <c r="CP67" i="4"/>
  <c r="CQ67" i="4"/>
  <c r="CR67" i="4"/>
  <c r="CS67" i="4"/>
  <c r="CT67" i="4"/>
  <c r="CI62" i="4"/>
  <c r="CI45" i="6" s="1"/>
  <c r="CJ62" i="4"/>
  <c r="CJ45" i="6" s="1"/>
  <c r="CK62" i="4"/>
  <c r="CK45" i="6" s="1"/>
  <c r="CL62" i="4"/>
  <c r="CL45" i="6" s="1"/>
  <c r="CM62" i="4"/>
  <c r="CM45" i="6" s="1"/>
  <c r="CN62" i="4"/>
  <c r="CN45" i="6" s="1"/>
  <c r="CO62" i="4"/>
  <c r="CO45" i="6" s="1"/>
  <c r="CP62" i="4"/>
  <c r="CP45" i="6" s="1"/>
  <c r="CQ62" i="4"/>
  <c r="CQ45" i="6" s="1"/>
  <c r="CR62" i="4"/>
  <c r="CR45" i="6" s="1"/>
  <c r="CS62" i="4"/>
  <c r="CT62" i="4"/>
  <c r="CT45" i="6" s="1"/>
  <c r="CU62" i="4"/>
  <c r="CU45" i="6" s="1"/>
  <c r="CI59" i="4"/>
  <c r="CJ59" i="4"/>
  <c r="CK59" i="4"/>
  <c r="CL59" i="4"/>
  <c r="CM59" i="4"/>
  <c r="CN59" i="4"/>
  <c r="CO59" i="4"/>
  <c r="CP59" i="4"/>
  <c r="CQ59" i="4"/>
  <c r="CR59" i="4"/>
  <c r="CS59" i="4"/>
  <c r="CT59" i="4"/>
  <c r="CL5" i="4"/>
  <c r="CF17" i="7" s="1"/>
  <c r="CL9" i="4"/>
  <c r="CL14" i="4"/>
  <c r="CL31" i="4"/>
  <c r="CL6" i="6" s="1"/>
  <c r="CL32" i="4"/>
  <c r="CL42" i="4"/>
  <c r="CL45" i="4"/>
  <c r="CJ50" i="5" l="1"/>
  <c r="CR50" i="5"/>
  <c r="CV50" i="5"/>
  <c r="CN50" i="5"/>
  <c r="DJ31" i="5"/>
  <c r="DJ40" i="5"/>
  <c r="CS58" i="4"/>
  <c r="CS74" i="4" s="1"/>
  <c r="CS84" i="4" s="1"/>
  <c r="CS88" i="4" s="1"/>
  <c r="CS90" i="4" s="1"/>
  <c r="CS92" i="4" s="1"/>
  <c r="CQ58" i="4"/>
  <c r="CQ74" i="4" s="1"/>
  <c r="CQ84" i="4" s="1"/>
  <c r="CQ88" i="4" s="1"/>
  <c r="CQ90" i="4" s="1"/>
  <c r="CQ92" i="4" s="1"/>
  <c r="CR25" i="6"/>
  <c r="CJ25" i="6"/>
  <c r="CI25" i="6"/>
  <c r="CL36" i="6"/>
  <c r="CS45" i="6"/>
  <c r="CS42" i="6" s="1"/>
  <c r="DQ36" i="5" s="1"/>
  <c r="CP48" i="6"/>
  <c r="CR48" i="6"/>
  <c r="CI48" i="6"/>
  <c r="CP25" i="6"/>
  <c r="CH25" i="6"/>
  <c r="CM42" i="6"/>
  <c r="DK36" i="5" s="1"/>
  <c r="CL16" i="6"/>
  <c r="CL13" i="6" s="1"/>
  <c r="CL50" i="4"/>
  <c r="CF18" i="7"/>
  <c r="CM14" i="7"/>
  <c r="CO50" i="5"/>
  <c r="CQ42" i="6"/>
  <c r="DO36" i="5" s="1"/>
  <c r="CI42" i="6"/>
  <c r="DG36" i="5" s="1"/>
  <c r="CL48" i="6"/>
  <c r="CK48" i="6"/>
  <c r="CT46" i="6"/>
  <c r="CQ48" i="6"/>
  <c r="CT16" i="5"/>
  <c r="CL11" i="7"/>
  <c r="CL10" i="7"/>
  <c r="CR16" i="5"/>
  <c r="CJ11" i="7"/>
  <c r="CJ10" i="7"/>
  <c r="CQ16" i="5"/>
  <c r="CI10" i="7"/>
  <c r="CI11" i="7"/>
  <c r="CO10" i="7"/>
  <c r="CO11" i="7"/>
  <c r="CG10" i="7"/>
  <c r="CG11" i="7"/>
  <c r="CP16" i="5"/>
  <c r="CH10" i="7"/>
  <c r="CH11" i="7"/>
  <c r="CN10" i="7"/>
  <c r="CN11" i="7"/>
  <c r="CH30" i="6"/>
  <c r="CU16" i="5"/>
  <c r="CM11" i="7"/>
  <c r="CM10" i="7"/>
  <c r="CL16" i="5"/>
  <c r="CD10" i="7"/>
  <c r="CD11" i="7"/>
  <c r="CK16" i="5"/>
  <c r="CC11" i="7"/>
  <c r="CC10" i="7"/>
  <c r="CK10" i="7"/>
  <c r="CK11" i="7"/>
  <c r="CJ16" i="5"/>
  <c r="CB10" i="7"/>
  <c r="CB11" i="7"/>
  <c r="CN16" i="5"/>
  <c r="CF10" i="7"/>
  <c r="CF11" i="7"/>
  <c r="CL27" i="4"/>
  <c r="CL38" i="6"/>
  <c r="CJ42" i="6"/>
  <c r="DH36" i="5" s="1"/>
  <c r="CQ25" i="6"/>
  <c r="CR42" i="6"/>
  <c r="DP36" i="5" s="1"/>
  <c r="CO46" i="6"/>
  <c r="CJ30" i="6"/>
  <c r="CJ48" i="6"/>
  <c r="CL30" i="6"/>
  <c r="CI30" i="6"/>
  <c r="CS46" i="6"/>
  <c r="CN46" i="6"/>
  <c r="CL46" i="6"/>
  <c r="CT30" i="6"/>
  <c r="CR30" i="6"/>
  <c r="CP30" i="6"/>
  <c r="CP46" i="6"/>
  <c r="CH46" i="6"/>
  <c r="CS16" i="5"/>
  <c r="CQ30" i="6"/>
  <c r="CS48" i="6"/>
  <c r="CN47" i="5"/>
  <c r="CO25" i="6"/>
  <c r="CK42" i="6"/>
  <c r="DI36" i="5" s="1"/>
  <c r="CN42" i="6"/>
  <c r="DL36" i="5" s="1"/>
  <c r="CM30" i="6"/>
  <c r="CO16" i="5"/>
  <c r="CO48" i="6"/>
  <c r="CT25" i="6"/>
  <c r="CL25" i="6"/>
  <c r="CN48" i="6"/>
  <c r="CN25" i="6"/>
  <c r="CO30" i="6"/>
  <c r="CU42" i="6"/>
  <c r="DS36" i="5" s="1"/>
  <c r="CM46" i="6"/>
  <c r="CU25" i="6"/>
  <c r="CM25" i="6"/>
  <c r="CN30" i="6"/>
  <c r="CT42" i="6"/>
  <c r="DR36" i="5" s="1"/>
  <c r="CL42" i="6"/>
  <c r="DJ36" i="5" s="1"/>
  <c r="CT48" i="6"/>
  <c r="CS25" i="6"/>
  <c r="CK25" i="6"/>
  <c r="CR46" i="6"/>
  <c r="CJ46" i="6"/>
  <c r="CQ50" i="5"/>
  <c r="CS30" i="6"/>
  <c r="CQ46" i="6"/>
  <c r="CI46" i="6"/>
  <c r="CX50" i="5"/>
  <c r="CP50" i="5"/>
  <c r="CP42" i="6"/>
  <c r="DN36" i="5" s="1"/>
  <c r="CM48" i="6"/>
  <c r="CO42" i="6"/>
  <c r="DM36" i="5" s="1"/>
  <c r="CO58" i="4"/>
  <c r="CO74" i="4" s="1"/>
  <c r="CO84" i="4" s="1"/>
  <c r="CO88" i="4" s="1"/>
  <c r="CO90" i="4" s="1"/>
  <c r="CO92" i="4" s="1"/>
  <c r="CU58" i="4"/>
  <c r="CU74" i="4" s="1"/>
  <c r="CL58" i="4"/>
  <c r="CL74" i="4" s="1"/>
  <c r="CL84" i="4" s="1"/>
  <c r="CL88" i="4" s="1"/>
  <c r="CL90" i="4" s="1"/>
  <c r="CL92" i="4" s="1"/>
  <c r="CK58" i="4"/>
  <c r="CK74" i="4" s="1"/>
  <c r="CK84" i="4" s="1"/>
  <c r="CK88" i="4" s="1"/>
  <c r="CK90" i="4" s="1"/>
  <c r="CK92" i="4" s="1"/>
  <c r="CT58" i="4"/>
  <c r="CI58" i="4"/>
  <c r="CI74" i="4" s="1"/>
  <c r="CI84" i="4" s="1"/>
  <c r="CI88" i="4" s="1"/>
  <c r="CI90" i="4" s="1"/>
  <c r="CI92" i="4" s="1"/>
  <c r="CL39" i="4"/>
  <c r="CJ58" i="4"/>
  <c r="CJ74" i="4" s="1"/>
  <c r="CJ84" i="4" s="1"/>
  <c r="CJ88" i="4" s="1"/>
  <c r="CJ90" i="4" s="1"/>
  <c r="CJ92" i="4" s="1"/>
  <c r="CR58" i="4"/>
  <c r="CR74" i="4" s="1"/>
  <c r="CR84" i="4" s="1"/>
  <c r="CR88" i="4" s="1"/>
  <c r="CR90" i="4" s="1"/>
  <c r="CR92" i="4" s="1"/>
  <c r="CP58" i="4"/>
  <c r="CP74" i="4" s="1"/>
  <c r="CP84" i="4" s="1"/>
  <c r="CP88" i="4" s="1"/>
  <c r="CP90" i="4" s="1"/>
  <c r="CP92" i="4" s="1"/>
  <c r="CM58" i="4"/>
  <c r="CM74" i="4" s="1"/>
  <c r="CM84" i="4" s="1"/>
  <c r="CM88" i="4" s="1"/>
  <c r="CM90" i="4" s="1"/>
  <c r="CM92" i="4" s="1"/>
  <c r="CN58" i="4"/>
  <c r="CN74" i="4" s="1"/>
  <c r="CN84" i="4" s="1"/>
  <c r="CN88" i="4" s="1"/>
  <c r="CN90" i="4" s="1"/>
  <c r="CN92" i="4" s="1"/>
  <c r="DO44" i="5" l="1"/>
  <c r="DO34" i="5"/>
  <c r="DK44" i="5"/>
  <c r="DK34" i="5"/>
  <c r="DG34" i="5"/>
  <c r="DG44" i="5"/>
  <c r="DQ44" i="5"/>
  <c r="DQ34" i="5"/>
  <c r="DN44" i="5"/>
  <c r="DN34" i="5"/>
  <c r="DM44" i="5"/>
  <c r="DM34" i="5"/>
  <c r="CF7" i="7"/>
  <c r="DJ35" i="5"/>
  <c r="DL34" i="5"/>
  <c r="DL44" i="5"/>
  <c r="DP44" i="5"/>
  <c r="DP34" i="5"/>
  <c r="DH44" i="5"/>
  <c r="DH34" i="5"/>
  <c r="DF44" i="5"/>
  <c r="DF34" i="5"/>
  <c r="DJ34" i="5"/>
  <c r="DJ44" i="5"/>
  <c r="DR44" i="5"/>
  <c r="DR34" i="5"/>
  <c r="CL14" i="6"/>
  <c r="CD14" i="7"/>
  <c r="CI14" i="7"/>
  <c r="CL14" i="7"/>
  <c r="CJ14" i="7"/>
  <c r="CG14" i="7"/>
  <c r="CF14" i="7"/>
  <c r="CH14" i="7"/>
  <c r="CE14" i="7"/>
  <c r="CC14" i="7"/>
  <c r="CT74" i="4"/>
  <c r="CN14" i="7" s="1"/>
  <c r="CK14" i="7"/>
  <c r="CW20" i="5"/>
  <c r="CU84" i="4"/>
  <c r="CU88" i="4" s="1"/>
  <c r="CU90" i="4" s="1"/>
  <c r="CU92" i="4" s="1"/>
  <c r="CO14" i="7"/>
  <c r="CF20" i="7"/>
  <c r="CL5" i="6"/>
  <c r="CN27" i="5" s="1"/>
  <c r="CF24" i="7"/>
  <c r="CF23" i="7"/>
  <c r="CN8" i="5"/>
  <c r="CN6" i="5"/>
  <c r="CN19" i="5"/>
  <c r="CN20" i="5"/>
  <c r="CL51" i="4"/>
  <c r="CL52" i="4" s="1"/>
  <c r="CF8" i="7" l="1"/>
  <c r="DJ43" i="5"/>
  <c r="CN9" i="5"/>
  <c r="CF25" i="7"/>
  <c r="CN10" i="5"/>
  <c r="CT84" i="4"/>
  <c r="CT88" i="4" s="1"/>
  <c r="CT90" i="4" s="1"/>
  <c r="CT92" i="4" s="1"/>
  <c r="CF13" i="7"/>
  <c r="CF22" i="7"/>
  <c r="CN26" i="5"/>
  <c r="CN7" i="5"/>
  <c r="CF15" i="7"/>
  <c r="CN25" i="5"/>
  <c r="CN21" i="5"/>
  <c r="CN6" i="7"/>
  <c r="CN14" i="5"/>
  <c r="CG5" i="7"/>
  <c r="CN15" i="5"/>
  <c r="CF19" i="7"/>
  <c r="CN24" i="5"/>
  <c r="CW66" i="4"/>
  <c r="CW62" i="4" s="1"/>
  <c r="CX1" i="4"/>
  <c r="CG21" i="4"/>
  <c r="CH21" i="4"/>
  <c r="CH38" i="6" s="1"/>
  <c r="CI21" i="4"/>
  <c r="CI38" i="6" s="1"/>
  <c r="CJ21" i="4"/>
  <c r="CM38" i="6"/>
  <c r="CO21" i="4"/>
  <c r="CO38" i="6" s="1"/>
  <c r="CP21" i="4"/>
  <c r="CP38" i="6" s="1"/>
  <c r="CQ21" i="4"/>
  <c r="CQ38" i="6" s="1"/>
  <c r="CR21" i="4"/>
  <c r="CR38" i="6" s="1"/>
  <c r="CS21" i="4"/>
  <c r="CS38" i="6" s="1"/>
  <c r="CG14" i="4"/>
  <c r="CH14" i="4"/>
  <c r="CI14" i="4"/>
  <c r="CJ14" i="4"/>
  <c r="CN14" i="4"/>
  <c r="CO14" i="4"/>
  <c r="CP14" i="4"/>
  <c r="CQ14" i="4"/>
  <c r="CR14" i="4"/>
  <c r="CS14" i="4"/>
  <c r="CT14" i="4"/>
  <c r="CU14" i="4"/>
  <c r="CH9" i="4"/>
  <c r="CI9" i="4"/>
  <c r="CJ9" i="4"/>
  <c r="CK9" i="4"/>
  <c r="CM27" i="4"/>
  <c r="CG20" i="7" s="1"/>
  <c r="CN9" i="4"/>
  <c r="CO9" i="4"/>
  <c r="CP9" i="4"/>
  <c r="CQ9" i="4"/>
  <c r="CR9" i="4"/>
  <c r="CS9" i="4"/>
  <c r="CT9" i="4"/>
  <c r="CH5" i="4"/>
  <c r="CH36" i="6" s="1"/>
  <c r="CI5" i="4"/>
  <c r="CJ5" i="4"/>
  <c r="CJ36" i="6" s="1"/>
  <c r="CK5" i="4"/>
  <c r="CO5" i="4"/>
  <c r="CP5" i="4"/>
  <c r="CQ5" i="4"/>
  <c r="CR5" i="4"/>
  <c r="CS5" i="4"/>
  <c r="CT5" i="4"/>
  <c r="CU5" i="4"/>
  <c r="CH45" i="4"/>
  <c r="CI45" i="4"/>
  <c r="CJ45" i="4"/>
  <c r="CK45" i="4"/>
  <c r="CP45" i="4"/>
  <c r="CQ45" i="4"/>
  <c r="CR45" i="4"/>
  <c r="CH42" i="4"/>
  <c r="CH16" i="6" s="1"/>
  <c r="CI42" i="4"/>
  <c r="CI16" i="6" s="1"/>
  <c r="CJ42" i="4"/>
  <c r="CJ16" i="6" s="1"/>
  <c r="CK42" i="4"/>
  <c r="CM42" i="4"/>
  <c r="CN42" i="4"/>
  <c r="CN50" i="4" s="1"/>
  <c r="CO42" i="4"/>
  <c r="CO50" i="4" s="1"/>
  <c r="CP42" i="4"/>
  <c r="CQ42" i="4"/>
  <c r="CR42" i="4"/>
  <c r="CI32" i="4"/>
  <c r="CK32" i="4"/>
  <c r="CN32" i="4"/>
  <c r="CO32" i="4"/>
  <c r="CP32" i="4"/>
  <c r="CQ32" i="4"/>
  <c r="CR32" i="4"/>
  <c r="CS32" i="4"/>
  <c r="CT32" i="4"/>
  <c r="CJ31" i="4"/>
  <c r="CJ6" i="6" s="1"/>
  <c r="CK31" i="4"/>
  <c r="CK6" i="6" s="1"/>
  <c r="CM31" i="4"/>
  <c r="CM6" i="6" s="1"/>
  <c r="CN31" i="4"/>
  <c r="CN6" i="6" s="1"/>
  <c r="CO31" i="4"/>
  <c r="CO6" i="6" s="1"/>
  <c r="CP31" i="4"/>
  <c r="CP6" i="6" s="1"/>
  <c r="CQ31" i="4"/>
  <c r="CQ6" i="6" s="1"/>
  <c r="CR31" i="4"/>
  <c r="CR6" i="6" s="1"/>
  <c r="CS31" i="4"/>
  <c r="CS6" i="6" s="1"/>
  <c r="CT31" i="4"/>
  <c r="CT6" i="6" s="1"/>
  <c r="CU6" i="6"/>
  <c r="CG5" i="4"/>
  <c r="DH35" i="5" l="1"/>
  <c r="CJ13" i="6"/>
  <c r="DG35" i="5"/>
  <c r="CI13" i="6"/>
  <c r="DF35" i="5"/>
  <c r="CH13" i="6"/>
  <c r="CR27" i="4"/>
  <c r="DR31" i="5"/>
  <c r="DR40" i="5"/>
  <c r="DI31" i="5"/>
  <c r="DI40" i="5"/>
  <c r="CQ27" i="4"/>
  <c r="DQ31" i="5"/>
  <c r="DQ40" i="5"/>
  <c r="DH31" i="5"/>
  <c r="DH40" i="5"/>
  <c r="CP27" i="4"/>
  <c r="CW8" i="5"/>
  <c r="DS31" i="5"/>
  <c r="DS40" i="5"/>
  <c r="DP40" i="5"/>
  <c r="DP31" i="5"/>
  <c r="DK40" i="5"/>
  <c r="DK31" i="5"/>
  <c r="DN31" i="5"/>
  <c r="DN40" i="5"/>
  <c r="CU27" i="4"/>
  <c r="CO20" i="7" s="1"/>
  <c r="DM31" i="5"/>
  <c r="DM40" i="5"/>
  <c r="CT27" i="4"/>
  <c r="DO40" i="5"/>
  <c r="DO31" i="5"/>
  <c r="DL40" i="5"/>
  <c r="DL31" i="5"/>
  <c r="CS27" i="4"/>
  <c r="CT39" i="4"/>
  <c r="CT51" i="4" s="1"/>
  <c r="CP50" i="4"/>
  <c r="CS36" i="6"/>
  <c r="CM17" i="7"/>
  <c r="CT36" i="6"/>
  <c r="CN17" i="7"/>
  <c r="CL17" i="7"/>
  <c r="CR36" i="6"/>
  <c r="CE18" i="7"/>
  <c r="CM47" i="5"/>
  <c r="CM19" i="5"/>
  <c r="CE24" i="7"/>
  <c r="CM16" i="6"/>
  <c r="CM13" i="6" s="1"/>
  <c r="CG7" i="7" s="1"/>
  <c r="CM50" i="4"/>
  <c r="CQ36" i="6"/>
  <c r="CK17" i="7"/>
  <c r="CD18" i="7"/>
  <c r="CD24" i="7"/>
  <c r="CL19" i="5"/>
  <c r="CK50" i="4"/>
  <c r="CK16" i="6"/>
  <c r="CJ17" i="7"/>
  <c r="CP36" i="6"/>
  <c r="CI36" i="6"/>
  <c r="CC17" i="7"/>
  <c r="CS39" i="4"/>
  <c r="CS51" i="4" s="1"/>
  <c r="CR50" i="4"/>
  <c r="CC23" i="7"/>
  <c r="CK6" i="5"/>
  <c r="CK20" i="5"/>
  <c r="CI14" i="6"/>
  <c r="CE17" i="7"/>
  <c r="CK36" i="6"/>
  <c r="CW58" i="4"/>
  <c r="CW74" i="4" s="1"/>
  <c r="CQ14" i="7" s="1"/>
  <c r="CW45" i="6"/>
  <c r="CW42" i="6" s="1"/>
  <c r="DU36" i="5" s="1"/>
  <c r="CL20" i="5"/>
  <c r="CD7" i="7"/>
  <c r="CL6" i="5"/>
  <c r="CJ14" i="6"/>
  <c r="CL8" i="5"/>
  <c r="CD23" i="7"/>
  <c r="CO36" i="6"/>
  <c r="CI17" i="7"/>
  <c r="CJ6" i="5"/>
  <c r="CB23" i="7"/>
  <c r="CH14" i="6"/>
  <c r="CJ20" i="5"/>
  <c r="CU36" i="6"/>
  <c r="CO17" i="7"/>
  <c r="CU47" i="5"/>
  <c r="CW47" i="5"/>
  <c r="CW19" i="5"/>
  <c r="CV47" i="5"/>
  <c r="CV19" i="5"/>
  <c r="CO27" i="4"/>
  <c r="CI20" i="7" s="1"/>
  <c r="CJ38" i="6"/>
  <c r="CJ27" i="4"/>
  <c r="CD20" i="7" s="1"/>
  <c r="CI18" i="7"/>
  <c r="CI24" i="7"/>
  <c r="CL18" i="7"/>
  <c r="CL24" i="7"/>
  <c r="CO18" i="7"/>
  <c r="CO24" i="7"/>
  <c r="CG18" i="7"/>
  <c r="CG24" i="7"/>
  <c r="CK18" i="7"/>
  <c r="CK24" i="7"/>
  <c r="CJ18" i="7"/>
  <c r="CJ24" i="7"/>
  <c r="CH18" i="7"/>
  <c r="CH24" i="7"/>
  <c r="CN18" i="7"/>
  <c r="CN24" i="7"/>
  <c r="CN38" i="6"/>
  <c r="CN27" i="4"/>
  <c r="CH20" i="7" s="1"/>
  <c r="CM24" i="7"/>
  <c r="CM18" i="7"/>
  <c r="CS16" i="6"/>
  <c r="CS13" i="6" s="1"/>
  <c r="CU19" i="5"/>
  <c r="CR16" i="6"/>
  <c r="CT47" i="5"/>
  <c r="CT19" i="5"/>
  <c r="CQ50" i="4"/>
  <c r="CQ16" i="6"/>
  <c r="CQ13" i="6" s="1"/>
  <c r="CS19" i="5"/>
  <c r="CS47" i="5"/>
  <c r="CR19" i="5"/>
  <c r="CR47" i="5"/>
  <c r="CP16" i="6"/>
  <c r="CQ47" i="5"/>
  <c r="CQ19" i="5"/>
  <c r="CO16" i="6"/>
  <c r="CP47" i="5"/>
  <c r="CP19" i="5"/>
  <c r="CO47" i="5"/>
  <c r="CO19" i="5"/>
  <c r="CN39" i="4"/>
  <c r="CK39" i="4"/>
  <c r="CH27" i="4"/>
  <c r="CB20" i="7" s="1"/>
  <c r="CR39" i="4"/>
  <c r="CP39" i="4"/>
  <c r="CI50" i="4"/>
  <c r="CU5" i="6"/>
  <c r="CM5" i="6"/>
  <c r="DK43" i="5" s="1"/>
  <c r="CQ39" i="4"/>
  <c r="CH50" i="4"/>
  <c r="CI27" i="4"/>
  <c r="CO39" i="4"/>
  <c r="CM39" i="4"/>
  <c r="CJ50" i="4"/>
  <c r="BW37" i="4"/>
  <c r="CO13" i="6" l="1"/>
  <c r="DM35" i="5" s="1"/>
  <c r="CP13" i="6"/>
  <c r="CJ23" i="7" s="1"/>
  <c r="CM14" i="6"/>
  <c r="CO6" i="7" s="1"/>
  <c r="CK13" i="6"/>
  <c r="CE7" i="7" s="1"/>
  <c r="DP35" i="5"/>
  <c r="CR13" i="6"/>
  <c r="CR51" i="4"/>
  <c r="CT52" i="4"/>
  <c r="CU8" i="5"/>
  <c r="DQ35" i="5"/>
  <c r="CS8" i="5"/>
  <c r="DO35" i="5"/>
  <c r="CO6" i="5"/>
  <c r="DK35" i="5"/>
  <c r="CW6" i="7"/>
  <c r="DS43" i="5"/>
  <c r="CG23" i="7"/>
  <c r="CO20" i="5"/>
  <c r="CH7" i="7"/>
  <c r="CO8" i="5"/>
  <c r="CW84" i="4"/>
  <c r="CW88" i="4" s="1"/>
  <c r="CW90" i="4" s="1"/>
  <c r="CW92" i="4" s="1"/>
  <c r="CQ13" i="7" s="1"/>
  <c r="CT5" i="6"/>
  <c r="CV15" i="5" s="1"/>
  <c r="CR14" i="6"/>
  <c r="CT8" i="5"/>
  <c r="CO14" i="6"/>
  <c r="CQ8" i="5"/>
  <c r="CM8" i="5"/>
  <c r="CM20" i="5"/>
  <c r="CN20" i="7"/>
  <c r="CJ5" i="6"/>
  <c r="CW9" i="5"/>
  <c r="CW15" i="5"/>
  <c r="CW21" i="5"/>
  <c r="CW7" i="5"/>
  <c r="CV10" i="5"/>
  <c r="CW14" i="5"/>
  <c r="CX30" i="5"/>
  <c r="CW25" i="5"/>
  <c r="CW26" i="5"/>
  <c r="CV14" i="5"/>
  <c r="CO5" i="6"/>
  <c r="CW24" i="5"/>
  <c r="CS52" i="4"/>
  <c r="CS14" i="6"/>
  <c r="CQ14" i="6"/>
  <c r="CN5" i="6"/>
  <c r="DL43" i="5" s="1"/>
  <c r="CN7" i="7"/>
  <c r="CM7" i="7"/>
  <c r="CL23" i="7"/>
  <c r="CT16" i="6"/>
  <c r="CT13" i="6" s="1"/>
  <c r="CS5" i="6"/>
  <c r="CM20" i="7"/>
  <c r="CN16" i="6"/>
  <c r="CN13" i="6" s="1"/>
  <c r="CI5" i="6"/>
  <c r="CC20" i="7"/>
  <c r="CL7" i="7"/>
  <c r="CK23" i="7"/>
  <c r="CJ7" i="7"/>
  <c r="CI23" i="7"/>
  <c r="CM23" i="7"/>
  <c r="CP7" i="7"/>
  <c r="CO23" i="7"/>
  <c r="CK7" i="7"/>
  <c r="CO15" i="7"/>
  <c r="CP5" i="7"/>
  <c r="CO13" i="7"/>
  <c r="CO22" i="7"/>
  <c r="CP8" i="7"/>
  <c r="CO25" i="7"/>
  <c r="CP5" i="6"/>
  <c r="CR27" i="5" s="1"/>
  <c r="CJ20" i="7"/>
  <c r="CQ5" i="6"/>
  <c r="CS27" i="5" s="1"/>
  <c r="CK20" i="7"/>
  <c r="CR5" i="6"/>
  <c r="CT27" i="5" s="1"/>
  <c r="CL20" i="7"/>
  <c r="CG22" i="7"/>
  <c r="CO10" i="5"/>
  <c r="CG25" i="7"/>
  <c r="CG8" i="7"/>
  <c r="CG13" i="7"/>
  <c r="CH5" i="7"/>
  <c r="CH8" i="7"/>
  <c r="CG15" i="7"/>
  <c r="CU20" i="5"/>
  <c r="CU6" i="5"/>
  <c r="CT6" i="5"/>
  <c r="CT20" i="5"/>
  <c r="CS20" i="5"/>
  <c r="CS6" i="5"/>
  <c r="CP51" i="4"/>
  <c r="CP52" i="4" s="1"/>
  <c r="CR20" i="5"/>
  <c r="CR6" i="5"/>
  <c r="CQ20" i="5"/>
  <c r="CQ6" i="5"/>
  <c r="CN51" i="4"/>
  <c r="CK51" i="4"/>
  <c r="CM51" i="4"/>
  <c r="CO30" i="5"/>
  <c r="CO26" i="5"/>
  <c r="CO14" i="5"/>
  <c r="CO9" i="5"/>
  <c r="CO25" i="5"/>
  <c r="CO15" i="5"/>
  <c r="CO24" i="5"/>
  <c r="CO21" i="5"/>
  <c r="CO7" i="5"/>
  <c r="CQ51" i="4"/>
  <c r="CO51" i="4"/>
  <c r="CG78" i="4"/>
  <c r="CH78" i="4"/>
  <c r="CG75" i="4"/>
  <c r="CH75" i="4"/>
  <c r="CH55" i="6" s="1"/>
  <c r="CH48" i="6" s="1"/>
  <c r="CG67" i="4"/>
  <c r="CH67" i="4"/>
  <c r="CG62" i="4"/>
  <c r="CH62" i="4"/>
  <c r="CH45" i="6" s="1"/>
  <c r="CH42" i="6" s="1"/>
  <c r="DF36" i="5" s="1"/>
  <c r="CG59" i="4"/>
  <c r="CH59" i="4"/>
  <c r="CG45" i="4"/>
  <c r="CG42" i="4"/>
  <c r="CG32" i="4"/>
  <c r="CH32" i="4"/>
  <c r="CG31" i="4"/>
  <c r="CH31" i="4"/>
  <c r="CI31" i="4"/>
  <c r="CG9" i="4"/>
  <c r="CG27" i="4" s="1"/>
  <c r="CA20" i="7" s="1"/>
  <c r="CK38" i="6"/>
  <c r="CK16" i="4"/>
  <c r="DM43" i="5" l="1"/>
  <c r="CQ27" i="5"/>
  <c r="DI35" i="5"/>
  <c r="CE23" i="7"/>
  <c r="CK14" i="6"/>
  <c r="CR8" i="5"/>
  <c r="DN35" i="5"/>
  <c r="CM6" i="5"/>
  <c r="CP14" i="6"/>
  <c r="CR6" i="7" s="1"/>
  <c r="DO43" i="5"/>
  <c r="CR24" i="5"/>
  <c r="DN43" i="5"/>
  <c r="CV25" i="5"/>
  <c r="DR43" i="5"/>
  <c r="CP8" i="5"/>
  <c r="DL35" i="5"/>
  <c r="CD13" i="7"/>
  <c r="DH43" i="5"/>
  <c r="CT26" i="5"/>
  <c r="DP43" i="5"/>
  <c r="CU14" i="5"/>
  <c r="DQ43" i="5"/>
  <c r="CK14" i="5"/>
  <c r="DG43" i="5"/>
  <c r="CV8" i="5"/>
  <c r="DR35" i="5"/>
  <c r="CN15" i="7"/>
  <c r="CN25" i="7"/>
  <c r="CN13" i="7"/>
  <c r="CQ10" i="5"/>
  <c r="CQ30" i="5"/>
  <c r="CV21" i="5"/>
  <c r="CV26" i="5"/>
  <c r="CV9" i="5"/>
  <c r="CS6" i="7"/>
  <c r="CG50" i="4"/>
  <c r="CV24" i="5"/>
  <c r="CD15" i="7"/>
  <c r="CR9" i="5"/>
  <c r="CU15" i="5"/>
  <c r="CU6" i="7"/>
  <c r="CT6" i="7"/>
  <c r="CW30" i="5"/>
  <c r="CN22" i="7"/>
  <c r="CQ6" i="7"/>
  <c r="CL9" i="5"/>
  <c r="CL15" i="5"/>
  <c r="CI19" i="7"/>
  <c r="CR14" i="5"/>
  <c r="CQ9" i="5"/>
  <c r="CI13" i="7"/>
  <c r="CL6" i="7"/>
  <c r="CL21" i="5"/>
  <c r="CI39" i="4"/>
  <c r="CI51" i="4" s="1"/>
  <c r="CI52" i="4" s="1"/>
  <c r="CI6" i="6"/>
  <c r="CL26" i="5"/>
  <c r="CQ26" i="5"/>
  <c r="CJ5" i="7"/>
  <c r="CH15" i="7"/>
  <c r="CL10" i="5"/>
  <c r="CP15" i="5"/>
  <c r="CL14" i="5"/>
  <c r="CD5" i="7"/>
  <c r="CL25" i="5"/>
  <c r="CQ15" i="5"/>
  <c r="CI25" i="7"/>
  <c r="CD25" i="7"/>
  <c r="CD8" i="7"/>
  <c r="CQ14" i="5"/>
  <c r="CJ8" i="7"/>
  <c r="CH19" i="7"/>
  <c r="CH39" i="4"/>
  <c r="CH51" i="4" s="1"/>
  <c r="CL24" i="5"/>
  <c r="CQ21" i="5"/>
  <c r="CQ25" i="5"/>
  <c r="CI22" i="7"/>
  <c r="CD22" i="7"/>
  <c r="CQ24" i="5"/>
  <c r="CR7" i="5"/>
  <c r="CL7" i="5"/>
  <c r="CQ7" i="5"/>
  <c r="CI15" i="7"/>
  <c r="CH25" i="7"/>
  <c r="CH13" i="7"/>
  <c r="CP21" i="5"/>
  <c r="CP26" i="5"/>
  <c r="CH22" i="7"/>
  <c r="CU26" i="5"/>
  <c r="CU30" i="5"/>
  <c r="CV30" i="5"/>
  <c r="CP9" i="5"/>
  <c r="CV7" i="5"/>
  <c r="CV6" i="5"/>
  <c r="CV20" i="5"/>
  <c r="CP30" i="5"/>
  <c r="CP24" i="5"/>
  <c r="CP14" i="5"/>
  <c r="CP25" i="5"/>
  <c r="CR21" i="5"/>
  <c r="CR26" i="5"/>
  <c r="CI8" i="7"/>
  <c r="CN14" i="6"/>
  <c r="CU9" i="5"/>
  <c r="CU24" i="5"/>
  <c r="CO19" i="7"/>
  <c r="CN5" i="7"/>
  <c r="CU25" i="5"/>
  <c r="CU7" i="5"/>
  <c r="CK26" i="5"/>
  <c r="CT10" i="5"/>
  <c r="CU21" i="5"/>
  <c r="CO5" i="7"/>
  <c r="CT14" i="6"/>
  <c r="CR25" i="5"/>
  <c r="CR30" i="5"/>
  <c r="CL30" i="5"/>
  <c r="CI5" i="7"/>
  <c r="CP7" i="5"/>
  <c r="CK21" i="5"/>
  <c r="CK25" i="5"/>
  <c r="CK9" i="5"/>
  <c r="CM15" i="7"/>
  <c r="CM13" i="7"/>
  <c r="CM22" i="7"/>
  <c r="CM25" i="7"/>
  <c r="CO7" i="7"/>
  <c r="CN23" i="7"/>
  <c r="CP20" i="5"/>
  <c r="CK15" i="5"/>
  <c r="CP6" i="5"/>
  <c r="CN19" i="7"/>
  <c r="CG19" i="7"/>
  <c r="CC15" i="7"/>
  <c r="CC13" i="7"/>
  <c r="CC22" i="7"/>
  <c r="CC5" i="7"/>
  <c r="CC8" i="7"/>
  <c r="CK6" i="7"/>
  <c r="CK10" i="5"/>
  <c r="CC25" i="7"/>
  <c r="CI7" i="7"/>
  <c r="CH23" i="7"/>
  <c r="CK7" i="5"/>
  <c r="CO8" i="7"/>
  <c r="CN8" i="7"/>
  <c r="CT25" i="5"/>
  <c r="CS15" i="5"/>
  <c r="CS14" i="5"/>
  <c r="CS26" i="5"/>
  <c r="CS7" i="5"/>
  <c r="CS30" i="5"/>
  <c r="CS21" i="5"/>
  <c r="CT30" i="5"/>
  <c r="CS24" i="5"/>
  <c r="CS25" i="5"/>
  <c r="CR15" i="5"/>
  <c r="CT24" i="5"/>
  <c r="CS9" i="5"/>
  <c r="CT21" i="5"/>
  <c r="CT7" i="5"/>
  <c r="CT9" i="5"/>
  <c r="CT15" i="5"/>
  <c r="CT14" i="5"/>
  <c r="CM19" i="7"/>
  <c r="CK15" i="4"/>
  <c r="CK32" i="6"/>
  <c r="CM50" i="5" s="1"/>
  <c r="CL22" i="7"/>
  <c r="CL13" i="7"/>
  <c r="CL15" i="7"/>
  <c r="CM8" i="7"/>
  <c r="CM5" i="7"/>
  <c r="CL19" i="7"/>
  <c r="CS10" i="5"/>
  <c r="CL25" i="7"/>
  <c r="CK22" i="7"/>
  <c r="CK13" i="7"/>
  <c r="CL5" i="7"/>
  <c r="CK15" i="7"/>
  <c r="CL8" i="7"/>
  <c r="CK19" i="7"/>
  <c r="CK25" i="7"/>
  <c r="CK5" i="7"/>
  <c r="CJ15" i="7"/>
  <c r="CK8" i="7"/>
  <c r="CJ13" i="7"/>
  <c r="CJ19" i="7"/>
  <c r="CJ22" i="7"/>
  <c r="CJ25" i="7"/>
  <c r="CG39" i="4"/>
  <c r="CH58" i="4"/>
  <c r="CH74" i="4" s="1"/>
  <c r="CH84" i="4" s="1"/>
  <c r="CH88" i="4" s="1"/>
  <c r="CH90" i="4" s="1"/>
  <c r="CH92" i="4" s="1"/>
  <c r="CE31" i="6"/>
  <c r="CF31" i="6"/>
  <c r="CG31" i="6"/>
  <c r="CG55" i="6"/>
  <c r="CD54" i="6"/>
  <c r="CE54" i="6"/>
  <c r="CF54" i="6"/>
  <c r="CG54" i="6"/>
  <c r="CD53" i="6"/>
  <c r="CE53" i="6"/>
  <c r="CF53" i="6"/>
  <c r="CG53" i="6"/>
  <c r="CD52" i="6"/>
  <c r="CE52" i="6"/>
  <c r="CF52" i="6"/>
  <c r="CG52" i="6"/>
  <c r="CC51" i="6"/>
  <c r="CD51" i="6"/>
  <c r="CE51" i="6"/>
  <c r="CF51" i="6"/>
  <c r="CG51" i="6"/>
  <c r="CC50" i="6"/>
  <c r="CD50" i="6"/>
  <c r="CE50" i="6"/>
  <c r="CF50" i="6"/>
  <c r="CG50" i="6"/>
  <c r="CD49" i="6"/>
  <c r="CE49" i="6"/>
  <c r="CF49" i="6"/>
  <c r="CG49" i="6"/>
  <c r="CF43" i="6"/>
  <c r="CG43" i="6"/>
  <c r="CG39" i="6"/>
  <c r="CG38" i="6"/>
  <c r="CG36" i="6"/>
  <c r="CF34" i="6"/>
  <c r="CG34" i="6"/>
  <c r="CF32" i="6"/>
  <c r="CG32" i="6"/>
  <c r="BU54" i="6"/>
  <c r="BV54" i="6"/>
  <c r="BW54" i="6"/>
  <c r="BX54" i="6"/>
  <c r="BY54" i="6"/>
  <c r="BZ54" i="6"/>
  <c r="CA54" i="6"/>
  <c r="CB54" i="6"/>
  <c r="CC54" i="6"/>
  <c r="BU53" i="6"/>
  <c r="BV53" i="6"/>
  <c r="BW53" i="6"/>
  <c r="BX53" i="6"/>
  <c r="BY53" i="6"/>
  <c r="BZ53" i="6"/>
  <c r="CA53" i="6"/>
  <c r="CB53" i="6"/>
  <c r="CC53" i="6"/>
  <c r="BU52" i="6"/>
  <c r="BV52" i="6"/>
  <c r="BX52" i="6"/>
  <c r="BY52" i="6"/>
  <c r="BZ52" i="6"/>
  <c r="CA52" i="6"/>
  <c r="CB52" i="6"/>
  <c r="CC52" i="6"/>
  <c r="BU51" i="6"/>
  <c r="BV51" i="6"/>
  <c r="BX51" i="6"/>
  <c r="BY51" i="6"/>
  <c r="BZ51" i="6"/>
  <c r="CA51" i="6"/>
  <c r="CB51" i="6"/>
  <c r="BU50" i="6"/>
  <c r="BV50" i="6"/>
  <c r="BW50" i="6"/>
  <c r="BX50" i="6"/>
  <c r="BY50" i="6"/>
  <c r="BZ50" i="6"/>
  <c r="CA50" i="6"/>
  <c r="CB50" i="6"/>
  <c r="BU49" i="6"/>
  <c r="BV49" i="6"/>
  <c r="BW49" i="6"/>
  <c r="BX49" i="6"/>
  <c r="BY49" i="6"/>
  <c r="BZ49" i="6"/>
  <c r="CA49" i="6"/>
  <c r="CB49" i="6"/>
  <c r="CC49" i="6"/>
  <c r="CG45" i="6"/>
  <c r="BV44" i="6"/>
  <c r="BW44" i="6"/>
  <c r="BX44" i="6"/>
  <c r="BY44" i="6"/>
  <c r="BZ44" i="6"/>
  <c r="CA44" i="6"/>
  <c r="CB44" i="6"/>
  <c r="CC44" i="6"/>
  <c r="CD44" i="6"/>
  <c r="CE44" i="6"/>
  <c r="CF44" i="6"/>
  <c r="CG44" i="6"/>
  <c r="BV43" i="6"/>
  <c r="BW43" i="6"/>
  <c r="BX43" i="6"/>
  <c r="BY43" i="6"/>
  <c r="BZ43" i="6"/>
  <c r="CA43" i="6"/>
  <c r="CB43" i="6"/>
  <c r="CC43" i="6"/>
  <c r="CD43" i="6"/>
  <c r="CE43" i="6"/>
  <c r="BV39" i="6"/>
  <c r="BW39" i="6"/>
  <c r="BX39" i="6"/>
  <c r="BY39" i="6"/>
  <c r="BZ39" i="6"/>
  <c r="CA39" i="6"/>
  <c r="CB39" i="6"/>
  <c r="CC39" i="6"/>
  <c r="CD39" i="6"/>
  <c r="CE39" i="6"/>
  <c r="CF39" i="6"/>
  <c r="BV35" i="6"/>
  <c r="BW35" i="6"/>
  <c r="BX35" i="6"/>
  <c r="BY35" i="6"/>
  <c r="BZ35" i="6"/>
  <c r="CA35" i="6"/>
  <c r="CB35" i="6"/>
  <c r="CC35" i="6"/>
  <c r="CD35" i="6"/>
  <c r="CE35" i="6"/>
  <c r="CF35" i="6"/>
  <c r="CG35" i="6"/>
  <c r="BV34" i="6"/>
  <c r="BW34" i="6"/>
  <c r="BX34" i="6"/>
  <c r="BY34" i="6"/>
  <c r="BZ34" i="6"/>
  <c r="CA34" i="6"/>
  <c r="CB34" i="6"/>
  <c r="CC34" i="6"/>
  <c r="CD34" i="6"/>
  <c r="CE34" i="6"/>
  <c r="BV32" i="6"/>
  <c r="BW32" i="6"/>
  <c r="BX32" i="6"/>
  <c r="BZ50" i="5" s="1"/>
  <c r="BY32" i="6"/>
  <c r="BZ32" i="6"/>
  <c r="CA32" i="6"/>
  <c r="CB32" i="6"/>
  <c r="CD50" i="5" s="1"/>
  <c r="CC32" i="6"/>
  <c r="CD32" i="6"/>
  <c r="CE32" i="6"/>
  <c r="BV31" i="6"/>
  <c r="BW31" i="6"/>
  <c r="BX31" i="6"/>
  <c r="BY31" i="6"/>
  <c r="BZ31" i="6"/>
  <c r="CA31" i="6"/>
  <c r="CB31" i="6"/>
  <c r="CC31" i="6"/>
  <c r="CD31" i="6"/>
  <c r="BU27" i="6"/>
  <c r="BV27" i="6"/>
  <c r="BW27" i="6"/>
  <c r="BX27" i="6"/>
  <c r="BY27" i="6"/>
  <c r="BZ27" i="6"/>
  <c r="CA27" i="6"/>
  <c r="CB27" i="6"/>
  <c r="CC27" i="6"/>
  <c r="CD27" i="6"/>
  <c r="CE27" i="6"/>
  <c r="CF27" i="6"/>
  <c r="CG27" i="6"/>
  <c r="BU26" i="6"/>
  <c r="BV26" i="6"/>
  <c r="BW26" i="6"/>
  <c r="BX26" i="6"/>
  <c r="BY26" i="6"/>
  <c r="BZ26" i="6"/>
  <c r="CA26" i="6"/>
  <c r="CB26" i="6"/>
  <c r="CC26" i="6"/>
  <c r="CD26" i="6"/>
  <c r="CE26" i="6"/>
  <c r="CF26" i="6"/>
  <c r="CG26" i="6"/>
  <c r="BU22" i="6"/>
  <c r="BV22" i="6"/>
  <c r="BX22" i="6"/>
  <c r="BY22" i="6"/>
  <c r="BZ22" i="6"/>
  <c r="CA22" i="6"/>
  <c r="CB22" i="6"/>
  <c r="CC22" i="6"/>
  <c r="CD22" i="6"/>
  <c r="CE22" i="6"/>
  <c r="CF22" i="6"/>
  <c r="CG22" i="6"/>
  <c r="BU20" i="6"/>
  <c r="BV20" i="6"/>
  <c r="BW20" i="6"/>
  <c r="BX20" i="6"/>
  <c r="BY20" i="6"/>
  <c r="BZ20" i="6"/>
  <c r="CA20" i="6"/>
  <c r="CB20" i="6"/>
  <c r="CC20" i="6"/>
  <c r="CD20" i="6"/>
  <c r="CE20" i="6"/>
  <c r="CF20" i="6"/>
  <c r="CG20" i="6"/>
  <c r="BU19" i="6"/>
  <c r="BV19" i="6"/>
  <c r="BW19" i="6"/>
  <c r="BX19" i="6"/>
  <c r="BY19" i="6"/>
  <c r="BZ19" i="6"/>
  <c r="CA19" i="6"/>
  <c r="CB19" i="6"/>
  <c r="CC19" i="6"/>
  <c r="CD19" i="6"/>
  <c r="CE19" i="6"/>
  <c r="CF19" i="6"/>
  <c r="CG19" i="6"/>
  <c r="BU17" i="6"/>
  <c r="CS41" i="5" s="1"/>
  <c r="BV17" i="6"/>
  <c r="CT41" i="5" s="1"/>
  <c r="BW17" i="6"/>
  <c r="CU41" i="5" s="1"/>
  <c r="BX17" i="6"/>
  <c r="CV41" i="5" s="1"/>
  <c r="BY17" i="6"/>
  <c r="CW41" i="5" s="1"/>
  <c r="BZ17" i="6"/>
  <c r="CX41" i="5" s="1"/>
  <c r="CA17" i="6"/>
  <c r="CY41" i="5" s="1"/>
  <c r="CB17" i="6"/>
  <c r="CZ41" i="5" s="1"/>
  <c r="CC17" i="6"/>
  <c r="DA41" i="5" s="1"/>
  <c r="CD17" i="6"/>
  <c r="DB41" i="5" s="1"/>
  <c r="CE17" i="6"/>
  <c r="DC41" i="5" s="1"/>
  <c r="CF17" i="6"/>
  <c r="DD41" i="5" s="1"/>
  <c r="CG17" i="6"/>
  <c r="DE41" i="5" s="1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A17" i="7" s="1"/>
  <c r="CH10" i="6"/>
  <c r="CB17" i="7" s="1"/>
  <c r="BV8" i="6"/>
  <c r="CT32" i="5" s="1"/>
  <c r="BW8" i="6"/>
  <c r="CU32" i="5" s="1"/>
  <c r="BX8" i="6"/>
  <c r="CV32" i="5" s="1"/>
  <c r="BY8" i="6"/>
  <c r="CW32" i="5" s="1"/>
  <c r="BZ8" i="6"/>
  <c r="CX32" i="5" s="1"/>
  <c r="CA8" i="6"/>
  <c r="CY32" i="5" s="1"/>
  <c r="CB8" i="6"/>
  <c r="CZ32" i="5" s="1"/>
  <c r="CC8" i="6"/>
  <c r="DA32" i="5" s="1"/>
  <c r="CD8" i="6"/>
  <c r="DB32" i="5" s="1"/>
  <c r="CE8" i="6"/>
  <c r="DC32" i="5" s="1"/>
  <c r="CF8" i="6"/>
  <c r="DD32" i="5" s="1"/>
  <c r="CG8" i="6"/>
  <c r="DE32" i="5" s="1"/>
  <c r="CH8" i="6"/>
  <c r="DF32" i="5" s="1"/>
  <c r="BV7" i="6"/>
  <c r="CT33" i="5" s="1"/>
  <c r="BW7" i="6"/>
  <c r="CU33" i="5" s="1"/>
  <c r="BX7" i="6"/>
  <c r="CV33" i="5" s="1"/>
  <c r="BY7" i="6"/>
  <c r="CW33" i="5" s="1"/>
  <c r="BZ7" i="6"/>
  <c r="CX33" i="5" s="1"/>
  <c r="CA7" i="6"/>
  <c r="CY33" i="5" s="1"/>
  <c r="CB7" i="6"/>
  <c r="CZ33" i="5" s="1"/>
  <c r="CC7" i="6"/>
  <c r="DA33" i="5" s="1"/>
  <c r="CD7" i="6"/>
  <c r="DB33" i="5" s="1"/>
  <c r="CE7" i="6"/>
  <c r="DC33" i="5" s="1"/>
  <c r="CF7" i="6"/>
  <c r="DD33" i="5" s="1"/>
  <c r="CG7" i="6"/>
  <c r="DE33" i="5" s="1"/>
  <c r="CH7" i="6"/>
  <c r="DF33" i="5" s="1"/>
  <c r="CG6" i="6"/>
  <c r="CH6" i="6"/>
  <c r="CG5" i="6"/>
  <c r="DE43" i="5" s="1"/>
  <c r="CF85" i="4"/>
  <c r="CF78" i="4"/>
  <c r="CF75" i="4"/>
  <c r="CF55" i="6" s="1"/>
  <c r="CF67" i="4"/>
  <c r="CF62" i="4"/>
  <c r="CF45" i="6" s="1"/>
  <c r="CF59" i="4"/>
  <c r="CG58" i="4"/>
  <c r="CG74" i="4" s="1"/>
  <c r="CG84" i="4" s="1"/>
  <c r="CG88" i="4" s="1"/>
  <c r="CG90" i="4" s="1"/>
  <c r="CG92" i="4" s="1"/>
  <c r="BJ85" i="4"/>
  <c r="BJ78" i="4"/>
  <c r="BJ75" i="4"/>
  <c r="BJ59" i="4"/>
  <c r="BJ71" i="4"/>
  <c r="BJ67" i="4" s="1"/>
  <c r="BK67" i="4"/>
  <c r="BL67" i="4"/>
  <c r="BM67" i="4"/>
  <c r="BN67" i="4"/>
  <c r="BO67" i="4"/>
  <c r="BP67" i="4"/>
  <c r="BQ67" i="4"/>
  <c r="BR67" i="4"/>
  <c r="BS67" i="4"/>
  <c r="BT67" i="4"/>
  <c r="BU67" i="4"/>
  <c r="BV67" i="4"/>
  <c r="BX67" i="4"/>
  <c r="BY67" i="4"/>
  <c r="BZ67" i="4"/>
  <c r="CA67" i="4"/>
  <c r="CB67" i="4"/>
  <c r="CC67" i="4"/>
  <c r="CD67" i="4"/>
  <c r="CE67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V45" i="6" s="1"/>
  <c r="BW62" i="4"/>
  <c r="BW45" i="6" s="1"/>
  <c r="BX62" i="4"/>
  <c r="BX45" i="6" s="1"/>
  <c r="BY62" i="4"/>
  <c r="BY45" i="6" s="1"/>
  <c r="BZ62" i="4"/>
  <c r="BZ45" i="6" s="1"/>
  <c r="CA62" i="4"/>
  <c r="CA45" i="6" s="1"/>
  <c r="CB62" i="4"/>
  <c r="CB45" i="6" s="1"/>
  <c r="CC62" i="4"/>
  <c r="CC45" i="6" s="1"/>
  <c r="CD62" i="4"/>
  <c r="CD45" i="6" s="1"/>
  <c r="CE62" i="4"/>
  <c r="CE45" i="6" s="1"/>
  <c r="BW69" i="4"/>
  <c r="BW22" i="6" s="1"/>
  <c r="BI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BI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K75" i="4"/>
  <c r="BL75" i="4"/>
  <c r="BM75" i="4"/>
  <c r="BN75" i="4"/>
  <c r="BO75" i="4"/>
  <c r="BP75" i="4"/>
  <c r="BQ75" i="4"/>
  <c r="BR75" i="4"/>
  <c r="BS75" i="4"/>
  <c r="BT75" i="4"/>
  <c r="BU75" i="4"/>
  <c r="BU55" i="6" s="1"/>
  <c r="BV75" i="4"/>
  <c r="BV55" i="6" s="1"/>
  <c r="BW75" i="4"/>
  <c r="BW55" i="6" s="1"/>
  <c r="BI67" i="4"/>
  <c r="BI62" i="4"/>
  <c r="BI59" i="4"/>
  <c r="BK59" i="4"/>
  <c r="BL59" i="4"/>
  <c r="BM59" i="4"/>
  <c r="BN59" i="4"/>
  <c r="BO59" i="4"/>
  <c r="BO58" i="4" s="1"/>
  <c r="BO74" i="4" s="1"/>
  <c r="BP59" i="4"/>
  <c r="BQ59" i="4"/>
  <c r="BR59" i="4"/>
  <c r="BS59" i="4"/>
  <c r="BT59" i="4"/>
  <c r="BU59" i="4"/>
  <c r="BV59" i="4"/>
  <c r="BW59" i="4"/>
  <c r="BW58" i="4" s="1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CC42" i="4"/>
  <c r="CD42" i="4"/>
  <c r="CE42" i="4"/>
  <c r="CF42" i="4"/>
  <c r="BJ37" i="4"/>
  <c r="BJ32" i="4" s="1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V6" i="6" s="1"/>
  <c r="BW31" i="4"/>
  <c r="BW6" i="6" s="1"/>
  <c r="BX31" i="4"/>
  <c r="BX6" i="6" s="1"/>
  <c r="BY31" i="4"/>
  <c r="BY6" i="6" s="1"/>
  <c r="BZ31" i="4"/>
  <c r="BZ6" i="6" s="1"/>
  <c r="CA31" i="4"/>
  <c r="CA6" i="6" s="1"/>
  <c r="CB31" i="4"/>
  <c r="CB6" i="6" s="1"/>
  <c r="CC31" i="4"/>
  <c r="CC6" i="6" s="1"/>
  <c r="CD31" i="4"/>
  <c r="CD6" i="6" s="1"/>
  <c r="CE31" i="4"/>
  <c r="CE6" i="6" s="1"/>
  <c r="CF31" i="4"/>
  <c r="CF6" i="6" s="1"/>
  <c r="CJ37" i="4"/>
  <c r="CH5" i="6"/>
  <c r="DF43" i="5" s="1"/>
  <c r="BK21" i="4"/>
  <c r="BL21" i="4"/>
  <c r="BM21" i="4"/>
  <c r="BN21" i="4"/>
  <c r="BO21" i="4"/>
  <c r="BP21" i="4"/>
  <c r="BQ21" i="4"/>
  <c r="BR21" i="4"/>
  <c r="BS21" i="4"/>
  <c r="BT21" i="4"/>
  <c r="BU21" i="4"/>
  <c r="BV21" i="4"/>
  <c r="BV38" i="6" s="1"/>
  <c r="BW21" i="4"/>
  <c r="BW38" i="6" s="1"/>
  <c r="BX21" i="4"/>
  <c r="BX38" i="6" s="1"/>
  <c r="BY21" i="4"/>
  <c r="BY38" i="6" s="1"/>
  <c r="BZ21" i="4"/>
  <c r="BZ38" i="6" s="1"/>
  <c r="CA21" i="4"/>
  <c r="CA38" i="6" s="1"/>
  <c r="CB21" i="4"/>
  <c r="CB38" i="6" s="1"/>
  <c r="CC21" i="4"/>
  <c r="CD21" i="4"/>
  <c r="CD38" i="6" s="1"/>
  <c r="CE21" i="4"/>
  <c r="CE38" i="6" s="1"/>
  <c r="CF21" i="4"/>
  <c r="CF38" i="6" s="1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BW7" i="4"/>
  <c r="BW5" i="4" s="1"/>
  <c r="BK5" i="4"/>
  <c r="BL5" i="4"/>
  <c r="BM5" i="4"/>
  <c r="BN5" i="4"/>
  <c r="BO5" i="4"/>
  <c r="BP5" i="4"/>
  <c r="BQ5" i="4"/>
  <c r="BR5" i="4"/>
  <c r="BS5" i="4"/>
  <c r="BT5" i="4"/>
  <c r="BU5" i="4"/>
  <c r="BV5" i="4"/>
  <c r="BX5" i="4"/>
  <c r="BY5" i="4"/>
  <c r="BZ5" i="4"/>
  <c r="CA5" i="4"/>
  <c r="CB5" i="4"/>
  <c r="CC5" i="4"/>
  <c r="CD5" i="4"/>
  <c r="CD36" i="6" s="1"/>
  <c r="CE5" i="4"/>
  <c r="CF5" i="4"/>
  <c r="CR10" i="5" l="1"/>
  <c r="BO39" i="4"/>
  <c r="CC19" i="7"/>
  <c r="CB50" i="5"/>
  <c r="CA50" i="5"/>
  <c r="DF40" i="5"/>
  <c r="DF31" i="5"/>
  <c r="CK24" i="5"/>
  <c r="DG31" i="5"/>
  <c r="DG40" i="5"/>
  <c r="CG51" i="4"/>
  <c r="BY39" i="4"/>
  <c r="DA31" i="5"/>
  <c r="DA40" i="5"/>
  <c r="BV18" i="7"/>
  <c r="CZ31" i="5"/>
  <c r="CZ40" i="5"/>
  <c r="BY17" i="7"/>
  <c r="BQ17" i="7"/>
  <c r="CU10" i="5"/>
  <c r="CV6" i="7"/>
  <c r="CY40" i="5"/>
  <c r="CY31" i="5"/>
  <c r="BQ39" i="4"/>
  <c r="CA18" i="7"/>
  <c r="DE40" i="5"/>
  <c r="DE31" i="5"/>
  <c r="BW17" i="7"/>
  <c r="BO17" i="7"/>
  <c r="DD40" i="5"/>
  <c r="DD31" i="5"/>
  <c r="DC31" i="5"/>
  <c r="DC40" i="5"/>
  <c r="DB31" i="5"/>
  <c r="DB40" i="5"/>
  <c r="BY36" i="6"/>
  <c r="BX17" i="7"/>
  <c r="BP17" i="7"/>
  <c r="CB14" i="7"/>
  <c r="CA14" i="7"/>
  <c r="BZ36" i="6"/>
  <c r="CJ32" i="4"/>
  <c r="CJ39" i="4" s="1"/>
  <c r="CJ51" i="4" s="1"/>
  <c r="CJ10" i="6"/>
  <c r="CE39" i="4"/>
  <c r="CE50" i="4"/>
  <c r="BW50" i="4"/>
  <c r="BO50" i="4"/>
  <c r="BV17" i="7"/>
  <c r="CF50" i="5"/>
  <c r="BY50" i="5"/>
  <c r="BZ18" i="7"/>
  <c r="BU17" i="7"/>
  <c r="CE50" i="5"/>
  <c r="CC18" i="7"/>
  <c r="CC24" i="7"/>
  <c r="CK47" i="5"/>
  <c r="CK19" i="5"/>
  <c r="CC7" i="7"/>
  <c r="CK8" i="5"/>
  <c r="CC36" i="6"/>
  <c r="BY18" i="7"/>
  <c r="BU58" i="4"/>
  <c r="BU74" i="4" s="1"/>
  <c r="BO14" i="7" s="1"/>
  <c r="BM58" i="4"/>
  <c r="BM74" i="4" s="1"/>
  <c r="BT17" i="7"/>
  <c r="BL27" i="4"/>
  <c r="CG50" i="5"/>
  <c r="CB36" i="6"/>
  <c r="BX18" i="7"/>
  <c r="BP18" i="7"/>
  <c r="BN39" i="4"/>
  <c r="BQ58" i="4"/>
  <c r="BQ74" i="4" s="1"/>
  <c r="BK14" i="7" s="1"/>
  <c r="BS17" i="7"/>
  <c r="CC50" i="5"/>
  <c r="CI50" i="5"/>
  <c r="CA36" i="6"/>
  <c r="BW36" i="6"/>
  <c r="BW18" i="7"/>
  <c r="BZ17" i="7"/>
  <c r="BR17" i="7"/>
  <c r="CH50" i="5"/>
  <c r="BR18" i="7"/>
  <c r="CV31" i="5"/>
  <c r="CV40" i="5"/>
  <c r="BQ18" i="7"/>
  <c r="CU40" i="5"/>
  <c r="BT18" i="7"/>
  <c r="CX40" i="5"/>
  <c r="CX31" i="5"/>
  <c r="BS18" i="7"/>
  <c r="CW31" i="5"/>
  <c r="CW40" i="5"/>
  <c r="BU18" i="7"/>
  <c r="CC25" i="6"/>
  <c r="BW24" i="7" s="1"/>
  <c r="BU25" i="6"/>
  <c r="CA25" i="7"/>
  <c r="CD16" i="5"/>
  <c r="BV10" i="7"/>
  <c r="BV11" i="7"/>
  <c r="BZ11" i="7"/>
  <c r="BZ10" i="7"/>
  <c r="CC16" i="5"/>
  <c r="BU11" i="7"/>
  <c r="BU10" i="7"/>
  <c r="BY10" i="7"/>
  <c r="BY11" i="7"/>
  <c r="CB16" i="5"/>
  <c r="BT11" i="7"/>
  <c r="BT10" i="7"/>
  <c r="CA16" i="5"/>
  <c r="BS10" i="7"/>
  <c r="BS11" i="7"/>
  <c r="BZ16" i="5"/>
  <c r="BR11" i="7"/>
  <c r="BR10" i="7"/>
  <c r="CP6" i="7"/>
  <c r="CP10" i="5"/>
  <c r="CA22" i="7"/>
  <c r="CA15" i="7"/>
  <c r="CA13" i="7"/>
  <c r="BY16" i="5"/>
  <c r="BQ10" i="7"/>
  <c r="BQ11" i="7"/>
  <c r="BX16" i="5"/>
  <c r="BP10" i="7"/>
  <c r="BP11" i="7"/>
  <c r="CB18" i="7"/>
  <c r="CB24" i="7"/>
  <c r="CB7" i="7"/>
  <c r="CF16" i="5"/>
  <c r="BX10" i="7"/>
  <c r="BX11" i="7"/>
  <c r="CB22" i="7"/>
  <c r="CB15" i="7"/>
  <c r="CB13" i="7"/>
  <c r="CB8" i="7"/>
  <c r="CB5" i="7"/>
  <c r="CJ6" i="7"/>
  <c r="CJ10" i="5"/>
  <c r="CB25" i="7"/>
  <c r="CE16" i="5"/>
  <c r="BW10" i="7"/>
  <c r="BW11" i="7"/>
  <c r="CI16" i="5"/>
  <c r="CA10" i="7"/>
  <c r="CA11" i="7"/>
  <c r="CK14" i="4"/>
  <c r="CK27" i="4" s="1"/>
  <c r="CK31" i="6"/>
  <c r="CF25" i="6"/>
  <c r="CH19" i="5" s="1"/>
  <c r="CE25" i="6"/>
  <c r="CG19" i="5" s="1"/>
  <c r="BW25" i="6"/>
  <c r="BV25" i="6"/>
  <c r="CJ30" i="5"/>
  <c r="CJ15" i="5"/>
  <c r="CJ9" i="5"/>
  <c r="CJ7" i="5"/>
  <c r="CJ21" i="5"/>
  <c r="CK30" i="5"/>
  <c r="CJ24" i="5"/>
  <c r="CJ8" i="5"/>
  <c r="CJ19" i="5"/>
  <c r="CB25" i="6"/>
  <c r="CT40" i="5"/>
  <c r="CT31" i="5"/>
  <c r="CJ25" i="5"/>
  <c r="BY25" i="6"/>
  <c r="CA19" i="5" s="1"/>
  <c r="CU31" i="5"/>
  <c r="CJ26" i="5"/>
  <c r="BX25" i="6"/>
  <c r="BU27" i="4"/>
  <c r="BO20" i="7" s="1"/>
  <c r="BM27" i="4"/>
  <c r="CF39" i="4"/>
  <c r="BX39" i="4"/>
  <c r="BS58" i="4"/>
  <c r="BS74" i="4" s="1"/>
  <c r="BM14" i="7" s="1"/>
  <c r="BK58" i="4"/>
  <c r="BK74" i="4" s="1"/>
  <c r="BW51" i="6"/>
  <c r="BS27" i="4"/>
  <c r="BM20" i="7" s="1"/>
  <c r="CD39" i="4"/>
  <c r="BV39" i="4"/>
  <c r="BW71" i="4"/>
  <c r="BW52" i="6" s="1"/>
  <c r="CA39" i="4"/>
  <c r="BU16" i="6"/>
  <c r="BU13" i="6" s="1"/>
  <c r="BY50" i="4"/>
  <c r="BY51" i="4" s="1"/>
  <c r="BQ50" i="4"/>
  <c r="BV58" i="4"/>
  <c r="BV74" i="4" s="1"/>
  <c r="BP14" i="7" s="1"/>
  <c r="BN58" i="4"/>
  <c r="BN74" i="4" s="1"/>
  <c r="BR58" i="4"/>
  <c r="BR74" i="4" s="1"/>
  <c r="BL14" i="7" s="1"/>
  <c r="CC27" i="4"/>
  <c r="CC5" i="6" s="1"/>
  <c r="DA43" i="5" s="1"/>
  <c r="BK27" i="4"/>
  <c r="BQ27" i="4"/>
  <c r="BK20" i="7" s="1"/>
  <c r="BU39" i="4"/>
  <c r="BM39" i="4"/>
  <c r="CC50" i="4"/>
  <c r="BU50" i="4"/>
  <c r="BM50" i="4"/>
  <c r="BT58" i="4"/>
  <c r="BT74" i="4" s="1"/>
  <c r="BN14" i="7" s="1"/>
  <c r="BL58" i="4"/>
  <c r="BL74" i="4" s="1"/>
  <c r="BP58" i="4"/>
  <c r="BP74" i="4" s="1"/>
  <c r="CF27" i="4"/>
  <c r="BX27" i="4"/>
  <c r="BX5" i="6" s="1"/>
  <c r="CV43" i="5" s="1"/>
  <c r="CB39" i="4"/>
  <c r="BT39" i="4"/>
  <c r="BL39" i="4"/>
  <c r="BV16" i="6"/>
  <c r="BV13" i="6" s="1"/>
  <c r="BT27" i="4"/>
  <c r="BN20" i="7" s="1"/>
  <c r="CB27" i="4"/>
  <c r="CB5" i="6" s="1"/>
  <c r="CZ43" i="5" s="1"/>
  <c r="CA50" i="4"/>
  <c r="BS50" i="4"/>
  <c r="BK50" i="4"/>
  <c r="CB42" i="6"/>
  <c r="CZ36" i="5" s="1"/>
  <c r="BS39" i="4"/>
  <c r="BK39" i="4"/>
  <c r="BP27" i="4"/>
  <c r="BJ20" i="7" s="1"/>
  <c r="BZ39" i="4"/>
  <c r="BR39" i="4"/>
  <c r="BZ50" i="4"/>
  <c r="BR50" i="4"/>
  <c r="CA16" i="6"/>
  <c r="CA42" i="6"/>
  <c r="CY36" i="5" s="1"/>
  <c r="BO27" i="4"/>
  <c r="BI20" i="7" s="1"/>
  <c r="BV27" i="4"/>
  <c r="BV5" i="6" s="1"/>
  <c r="BP25" i="7" s="1"/>
  <c r="BN27" i="4"/>
  <c r="BP39" i="4"/>
  <c r="CF50" i="4"/>
  <c r="BX50" i="4"/>
  <c r="BP50" i="4"/>
  <c r="BY16" i="6"/>
  <c r="CE27" i="4"/>
  <c r="CD50" i="4"/>
  <c r="BV50" i="4"/>
  <c r="BN50" i="4"/>
  <c r="BN51" i="4" s="1"/>
  <c r="CF36" i="6"/>
  <c r="CC39" i="4"/>
  <c r="CB50" i="4"/>
  <c r="BT50" i="4"/>
  <c r="BL50" i="4"/>
  <c r="CE36" i="6"/>
  <c r="BR27" i="4"/>
  <c r="BL20" i="7" s="1"/>
  <c r="BX36" i="6"/>
  <c r="BV36" i="6"/>
  <c r="BW27" i="4"/>
  <c r="BW5" i="6" s="1"/>
  <c r="CA27" i="4"/>
  <c r="CA5" i="6" s="1"/>
  <c r="CY43" i="5" s="1"/>
  <c r="BW39" i="4"/>
  <c r="CF16" i="6"/>
  <c r="BX16" i="6"/>
  <c r="CD27" i="4"/>
  <c r="BZ27" i="4"/>
  <c r="BZ5" i="6" s="1"/>
  <c r="CE16" i="6"/>
  <c r="BW16" i="6"/>
  <c r="BW13" i="6" s="1"/>
  <c r="CG16" i="6"/>
  <c r="BY27" i="4"/>
  <c r="BY5" i="6" s="1"/>
  <c r="CW43" i="5" s="1"/>
  <c r="CD16" i="6"/>
  <c r="CC38" i="6"/>
  <c r="CA25" i="6"/>
  <c r="CD42" i="6"/>
  <c r="DB36" i="5" s="1"/>
  <c r="BX42" i="6"/>
  <c r="CV36" i="5" s="1"/>
  <c r="BW46" i="6"/>
  <c r="BX46" i="6"/>
  <c r="CF30" i="6"/>
  <c r="CI47" i="5"/>
  <c r="CA47" i="5"/>
  <c r="BV30" i="6"/>
  <c r="CG47" i="5"/>
  <c r="BZ30" i="6"/>
  <c r="CC46" i="6"/>
  <c r="BX47" i="5"/>
  <c r="BX30" i="6"/>
  <c r="CG30" i="6"/>
  <c r="BZ46" i="6"/>
  <c r="CF47" i="5"/>
  <c r="BZ42" i="6"/>
  <c r="CX36" i="5" s="1"/>
  <c r="BY46" i="6"/>
  <c r="CF48" i="6"/>
  <c r="CE47" i="5"/>
  <c r="CD47" i="5"/>
  <c r="CC47" i="5"/>
  <c r="BY30" i="6"/>
  <c r="CD46" i="6"/>
  <c r="BV46" i="6"/>
  <c r="CJ47" i="5"/>
  <c r="CB47" i="5"/>
  <c r="CH47" i="5"/>
  <c r="BZ47" i="5"/>
  <c r="BY42" i="6"/>
  <c r="CW36" i="5" s="1"/>
  <c r="BZ25" i="6"/>
  <c r="CB46" i="6"/>
  <c r="CF42" i="6"/>
  <c r="DD36" i="5" s="1"/>
  <c r="BY47" i="5"/>
  <c r="CG25" i="6"/>
  <c r="CA46" i="6"/>
  <c r="CG48" i="6"/>
  <c r="BV42" i="6"/>
  <c r="CT36" i="5" s="1"/>
  <c r="CC16" i="6"/>
  <c r="CB16" i="6"/>
  <c r="CD25" i="6"/>
  <c r="CH16" i="5"/>
  <c r="CE30" i="6"/>
  <c r="CG16" i="5"/>
  <c r="BZ16" i="6"/>
  <c r="CD30" i="6"/>
  <c r="BU48" i="6"/>
  <c r="CG42" i="6"/>
  <c r="DE36" i="5" s="1"/>
  <c r="CI24" i="5"/>
  <c r="CI15" i="5"/>
  <c r="CI26" i="5"/>
  <c r="CI14" i="5"/>
  <c r="CI9" i="5"/>
  <c r="CI25" i="5"/>
  <c r="CJ14" i="5"/>
  <c r="CE46" i="6"/>
  <c r="CG46" i="6"/>
  <c r="CF46" i="6"/>
  <c r="BV48" i="6"/>
  <c r="CE42" i="6"/>
  <c r="DC36" i="5" s="1"/>
  <c r="BW42" i="6"/>
  <c r="CU36" i="5" s="1"/>
  <c r="CC42" i="6"/>
  <c r="DA36" i="5" s="1"/>
  <c r="BW30" i="6"/>
  <c r="CU44" i="5" s="1"/>
  <c r="CC30" i="6"/>
  <c r="CB30" i="6"/>
  <c r="CA30" i="6"/>
  <c r="BX50" i="5"/>
  <c r="BS54" i="6"/>
  <c r="BT54" i="6"/>
  <c r="BS53" i="6"/>
  <c r="BT53" i="6"/>
  <c r="BS52" i="6"/>
  <c r="BT52" i="6"/>
  <c r="BS51" i="6"/>
  <c r="BT51" i="6"/>
  <c r="BS50" i="6"/>
  <c r="BT50" i="6"/>
  <c r="BR49" i="6"/>
  <c r="BS49" i="6"/>
  <c r="BT49" i="6"/>
  <c r="BS44" i="6"/>
  <c r="BT44" i="6"/>
  <c r="BU44" i="6"/>
  <c r="BS43" i="6"/>
  <c r="BT43" i="6"/>
  <c r="BU43" i="6"/>
  <c r="BR39" i="6"/>
  <c r="BS39" i="6"/>
  <c r="BT39" i="6"/>
  <c r="BU39" i="6"/>
  <c r="BM35" i="6"/>
  <c r="BN35" i="6"/>
  <c r="BO35" i="6"/>
  <c r="BP35" i="6"/>
  <c r="BQ35" i="6"/>
  <c r="BR35" i="6"/>
  <c r="BS35" i="6"/>
  <c r="BT35" i="6"/>
  <c r="BU35" i="6"/>
  <c r="BR34" i="6"/>
  <c r="BS34" i="6"/>
  <c r="BT34" i="6"/>
  <c r="BU34" i="6"/>
  <c r="BR32" i="6"/>
  <c r="BT50" i="5" s="1"/>
  <c r="BS32" i="6"/>
  <c r="BU50" i="5" s="1"/>
  <c r="BT32" i="6"/>
  <c r="BV50" i="5" s="1"/>
  <c r="BU32" i="6"/>
  <c r="BW50" i="5" s="1"/>
  <c r="BR31" i="6"/>
  <c r="BS31" i="6"/>
  <c r="BT31" i="6"/>
  <c r="BU31" i="6"/>
  <c r="BS27" i="6"/>
  <c r="BT27" i="6"/>
  <c r="BS26" i="6"/>
  <c r="BT26" i="6"/>
  <c r="BR22" i="6"/>
  <c r="BS22" i="6"/>
  <c r="BT22" i="6"/>
  <c r="BR20" i="6"/>
  <c r="BS20" i="6"/>
  <c r="BT20" i="6"/>
  <c r="BR19" i="6"/>
  <c r="BS19" i="6"/>
  <c r="BT19" i="6"/>
  <c r="BS17" i="6"/>
  <c r="CQ41" i="5" s="1"/>
  <c r="BT17" i="6"/>
  <c r="CR41" i="5" s="1"/>
  <c r="BS10" i="6"/>
  <c r="BM17" i="7" s="1"/>
  <c r="BT10" i="6"/>
  <c r="BN17" i="7" s="1"/>
  <c r="BS8" i="6"/>
  <c r="CQ32" i="5" s="1"/>
  <c r="BT8" i="6"/>
  <c r="CR32" i="5" s="1"/>
  <c r="BU8" i="6"/>
  <c r="CS32" i="5" s="1"/>
  <c r="BS7" i="6"/>
  <c r="CQ33" i="5" s="1"/>
  <c r="BT7" i="6"/>
  <c r="CR33" i="5" s="1"/>
  <c r="BU7" i="6"/>
  <c r="CS33" i="5" s="1"/>
  <c r="CD85" i="4"/>
  <c r="CE85" i="4"/>
  <c r="CD78" i="4"/>
  <c r="CE78" i="4"/>
  <c r="CE75" i="4"/>
  <c r="CE55" i="6" s="1"/>
  <c r="CE48" i="6" s="1"/>
  <c r="CE59" i="4"/>
  <c r="CF58" i="4"/>
  <c r="CF74" i="4" s="1"/>
  <c r="CF84" i="4" s="1"/>
  <c r="CF88" i="4" s="1"/>
  <c r="CF90" i="4" s="1"/>
  <c r="CF92" i="4" s="1"/>
  <c r="DC35" i="5" l="1"/>
  <c r="CE13" i="6"/>
  <c r="CB13" i="6"/>
  <c r="BV23" i="7" s="1"/>
  <c r="CV35" i="5"/>
  <c r="BX13" i="6"/>
  <c r="CD13" i="6"/>
  <c r="BX23" i="7" s="1"/>
  <c r="DD35" i="5"/>
  <c r="CF13" i="6"/>
  <c r="CC13" i="6"/>
  <c r="DA35" i="5" s="1"/>
  <c r="CX35" i="5"/>
  <c r="BZ13" i="6"/>
  <c r="BY13" i="6"/>
  <c r="CA6" i="5" s="1"/>
  <c r="DE35" i="5"/>
  <c r="CG13" i="6"/>
  <c r="CA13" i="6"/>
  <c r="BU23" i="7" s="1"/>
  <c r="BO51" i="4"/>
  <c r="BT51" i="4"/>
  <c r="BQ51" i="4"/>
  <c r="DB44" i="5"/>
  <c r="DB34" i="5"/>
  <c r="CI21" i="5"/>
  <c r="DE44" i="5"/>
  <c r="DE34" i="5"/>
  <c r="DD44" i="5"/>
  <c r="DD34" i="5"/>
  <c r="CY34" i="5"/>
  <c r="CY44" i="5"/>
  <c r="CZ34" i="5"/>
  <c r="CZ44" i="5"/>
  <c r="DC44" i="5"/>
  <c r="DC34" i="5"/>
  <c r="DA44" i="5"/>
  <c r="DA34" i="5"/>
  <c r="BQ20" i="7"/>
  <c r="BV51" i="4"/>
  <c r="BP51" i="4"/>
  <c r="BR51" i="4"/>
  <c r="CA51" i="4"/>
  <c r="CE51" i="4"/>
  <c r="BQ19" i="7"/>
  <c r="BZ14" i="7"/>
  <c r="CD17" i="7"/>
  <c r="CL47" i="5"/>
  <c r="BW19" i="7"/>
  <c r="BU20" i="7"/>
  <c r="BP20" i="7"/>
  <c r="BX51" i="4"/>
  <c r="BT20" i="7"/>
  <c r="BS20" i="7"/>
  <c r="BV20" i="7"/>
  <c r="BW25" i="7"/>
  <c r="BM51" i="4"/>
  <c r="BR20" i="7"/>
  <c r="BW20" i="7"/>
  <c r="BT25" i="7"/>
  <c r="CX43" i="5"/>
  <c r="CW44" i="5"/>
  <c r="CW34" i="5"/>
  <c r="CV44" i="5"/>
  <c r="CV34" i="5"/>
  <c r="CE19" i="5"/>
  <c r="BT19" i="7"/>
  <c r="CX34" i="5"/>
  <c r="CX44" i="5"/>
  <c r="BQ25" i="7"/>
  <c r="CU43" i="5"/>
  <c r="BR19" i="7"/>
  <c r="BW23" i="7"/>
  <c r="BQ24" i="7"/>
  <c r="BQ23" i="7"/>
  <c r="BM11" i="7"/>
  <c r="BM10" i="7"/>
  <c r="BW8" i="7"/>
  <c r="CA8" i="7"/>
  <c r="CG14" i="6"/>
  <c r="CC25" i="5"/>
  <c r="BU22" i="7"/>
  <c r="BP15" i="7"/>
  <c r="BP22" i="7"/>
  <c r="BU19" i="7"/>
  <c r="BS24" i="7"/>
  <c r="BS23" i="7"/>
  <c r="BY24" i="7"/>
  <c r="BY23" i="7"/>
  <c r="BL11" i="7"/>
  <c r="BL10" i="7"/>
  <c r="BW14" i="6"/>
  <c r="BY6" i="7" s="1"/>
  <c r="BQ8" i="7"/>
  <c r="BY9" i="5"/>
  <c r="BQ15" i="7"/>
  <c r="BQ22" i="7"/>
  <c r="CE5" i="6"/>
  <c r="BY20" i="7"/>
  <c r="BX20" i="5"/>
  <c r="BP8" i="7"/>
  <c r="BV14" i="6"/>
  <c r="BX6" i="7" s="1"/>
  <c r="CE15" i="5"/>
  <c r="BW22" i="7"/>
  <c r="BZ24" i="7"/>
  <c r="BZ23" i="7"/>
  <c r="CF5" i="6"/>
  <c r="BZ20" i="7"/>
  <c r="BW6" i="5"/>
  <c r="BU14" i="6"/>
  <c r="BT8" i="7"/>
  <c r="BZ14" i="6"/>
  <c r="BT24" i="7"/>
  <c r="BT23" i="7"/>
  <c r="BY19" i="5"/>
  <c r="CE14" i="6"/>
  <c r="BY14" i="6"/>
  <c r="BP19" i="7"/>
  <c r="BT22" i="7"/>
  <c r="BU8" i="7"/>
  <c r="BO10" i="7"/>
  <c r="BO11" i="7"/>
  <c r="CA19" i="7"/>
  <c r="BX24" i="7"/>
  <c r="BN10" i="7"/>
  <c r="BN11" i="7"/>
  <c r="BS22" i="7"/>
  <c r="CD24" i="5"/>
  <c r="BV22" i="7"/>
  <c r="CC19" i="5"/>
  <c r="BU24" i="7"/>
  <c r="CD5" i="6"/>
  <c r="BX20" i="7"/>
  <c r="BV19" i="7"/>
  <c r="BZ19" i="5"/>
  <c r="BR24" i="7"/>
  <c r="BR23" i="7"/>
  <c r="BX19" i="5"/>
  <c r="BP24" i="7"/>
  <c r="BP23" i="7"/>
  <c r="BS19" i="7"/>
  <c r="BO23" i="7"/>
  <c r="CB19" i="7"/>
  <c r="CA24" i="7"/>
  <c r="CA23" i="7"/>
  <c r="BX14" i="6"/>
  <c r="BR8" i="7"/>
  <c r="BR22" i="7"/>
  <c r="CD19" i="7"/>
  <c r="BU25" i="7"/>
  <c r="BR25" i="7"/>
  <c r="CF14" i="6"/>
  <c r="CD19" i="5"/>
  <c r="BV24" i="7"/>
  <c r="BV25" i="7"/>
  <c r="BS25" i="7"/>
  <c r="CM16" i="5"/>
  <c r="CE11" i="7"/>
  <c r="CE10" i="7"/>
  <c r="CK46" i="6"/>
  <c r="CK30" i="6"/>
  <c r="CK5" i="6"/>
  <c r="CE20" i="7"/>
  <c r="CD51" i="4"/>
  <c r="BX8" i="5"/>
  <c r="BP7" i="7"/>
  <c r="CE24" i="5"/>
  <c r="CE26" i="5"/>
  <c r="CE14" i="5"/>
  <c r="BX6" i="5"/>
  <c r="CE25" i="5"/>
  <c r="CE9" i="5"/>
  <c r="CA25" i="5"/>
  <c r="CU35" i="5"/>
  <c r="CT43" i="5"/>
  <c r="CA24" i="5"/>
  <c r="CT44" i="5"/>
  <c r="CT34" i="5"/>
  <c r="BY7" i="5"/>
  <c r="CT35" i="5"/>
  <c r="BW48" i="6"/>
  <c r="CB14" i="5"/>
  <c r="BZ9" i="5"/>
  <c r="CS35" i="5"/>
  <c r="CU34" i="5"/>
  <c r="BX15" i="5"/>
  <c r="CB21" i="5"/>
  <c r="CD9" i="5"/>
  <c r="CD26" i="5"/>
  <c r="CD15" i="5"/>
  <c r="BL51" i="4"/>
  <c r="BU51" i="4"/>
  <c r="BW51" i="4"/>
  <c r="BW53" i="4" s="1"/>
  <c r="BX54" i="4" s="1"/>
  <c r="BX7" i="5"/>
  <c r="CI20" i="5"/>
  <c r="BX14" i="5"/>
  <c r="BX24" i="5"/>
  <c r="BX9" i="5"/>
  <c r="CD14" i="5"/>
  <c r="BW67" i="4"/>
  <c r="BW74" i="4" s="1"/>
  <c r="CE30" i="5"/>
  <c r="BZ14" i="5"/>
  <c r="BX25" i="5"/>
  <c r="BY26" i="5"/>
  <c r="BX21" i="5"/>
  <c r="CI8" i="5"/>
  <c r="BY15" i="5"/>
  <c r="CD25" i="5"/>
  <c r="BS51" i="4"/>
  <c r="BX27" i="5"/>
  <c r="CF51" i="4"/>
  <c r="BZ30" i="5"/>
  <c r="BZ26" i="5"/>
  <c r="BZ25" i="5"/>
  <c r="BZ15" i="5"/>
  <c r="BZ24" i="5"/>
  <c r="CB51" i="4"/>
  <c r="BT5" i="7"/>
  <c r="CB24" i="5"/>
  <c r="BZ21" i="5"/>
  <c r="CB25" i="5"/>
  <c r="BK51" i="4"/>
  <c r="CB26" i="5"/>
  <c r="CC15" i="5"/>
  <c r="CB9" i="5"/>
  <c r="BY30" i="5"/>
  <c r="CB15" i="5"/>
  <c r="BY14" i="5"/>
  <c r="BY20" i="5"/>
  <c r="CC14" i="5"/>
  <c r="CC51" i="4"/>
  <c r="BY6" i="5"/>
  <c r="BY25" i="5"/>
  <c r="BQ7" i="7"/>
  <c r="BY24" i="5"/>
  <c r="BY8" i="5"/>
  <c r="CC24" i="5"/>
  <c r="CC9" i="5"/>
  <c r="CC30" i="5"/>
  <c r="BQ4" i="7"/>
  <c r="BQ5" i="7"/>
  <c r="CC26" i="5"/>
  <c r="BZ51" i="4"/>
  <c r="CD30" i="5"/>
  <c r="BX26" i="5"/>
  <c r="BZ8" i="5"/>
  <c r="BZ7" i="5"/>
  <c r="BZ20" i="5"/>
  <c r="BR5" i="7"/>
  <c r="BZ6" i="5"/>
  <c r="BR7" i="7"/>
  <c r="BR4" i="7"/>
  <c r="CF6" i="5"/>
  <c r="CA5" i="7"/>
  <c r="CI7" i="5"/>
  <c r="CI6" i="5"/>
  <c r="CA15" i="5"/>
  <c r="CA9" i="5"/>
  <c r="CB30" i="5"/>
  <c r="CA26" i="5"/>
  <c r="CA7" i="7"/>
  <c r="CA30" i="5"/>
  <c r="CA14" i="5"/>
  <c r="CA21" i="5"/>
  <c r="BY7" i="7"/>
  <c r="CG6" i="5"/>
  <c r="BS25" i="6"/>
  <c r="BT25" i="6"/>
  <c r="CG8" i="5"/>
  <c r="BS30" i="6"/>
  <c r="BR30" i="6"/>
  <c r="CE20" i="5"/>
  <c r="BW4" i="7"/>
  <c r="CG20" i="5"/>
  <c r="BZ7" i="7"/>
  <c r="CH8" i="5"/>
  <c r="CH6" i="5"/>
  <c r="BV4" i="7"/>
  <c r="BU46" i="6"/>
  <c r="BU4" i="7"/>
  <c r="BV5" i="7"/>
  <c r="CD21" i="5"/>
  <c r="CC20" i="5"/>
  <c r="CH20" i="5"/>
  <c r="BW16" i="5"/>
  <c r="CC21" i="5"/>
  <c r="CB8" i="5"/>
  <c r="BT7" i="7"/>
  <c r="CB6" i="5"/>
  <c r="CB7" i="5"/>
  <c r="BT4" i="7"/>
  <c r="CE21" i="5"/>
  <c r="CI19" i="5"/>
  <c r="CE7" i="5"/>
  <c r="CE8" i="5"/>
  <c r="BW7" i="7"/>
  <c r="CE6" i="5"/>
  <c r="CC8" i="5"/>
  <c r="BU7" i="7"/>
  <c r="CC6" i="5"/>
  <c r="CC7" i="5"/>
  <c r="CF19" i="5"/>
  <c r="CB19" i="5"/>
  <c r="CB20" i="5"/>
  <c r="CD7" i="5"/>
  <c r="CD8" i="5"/>
  <c r="BV7" i="7"/>
  <c r="CD6" i="5"/>
  <c r="BY21" i="5"/>
  <c r="BT30" i="6"/>
  <c r="CE58" i="4"/>
  <c r="BT46" i="6"/>
  <c r="BV16" i="5"/>
  <c r="BS46" i="6"/>
  <c r="BU16" i="5"/>
  <c r="BT16" i="5"/>
  <c r="BU30" i="6"/>
  <c r="BS38" i="6"/>
  <c r="BT38" i="6"/>
  <c r="BU38" i="6"/>
  <c r="BU36" i="6"/>
  <c r="DI43" i="5" l="1"/>
  <c r="CM27" i="5"/>
  <c r="DB35" i="5"/>
  <c r="BS5" i="7"/>
  <c r="CD20" i="5"/>
  <c r="CB14" i="6"/>
  <c r="CC14" i="6"/>
  <c r="BS8" i="7"/>
  <c r="CW35" i="5"/>
  <c r="BX7" i="7"/>
  <c r="CA20" i="5"/>
  <c r="BW5" i="7"/>
  <c r="BV8" i="7"/>
  <c r="BS4" i="7"/>
  <c r="CF8" i="5"/>
  <c r="CA8" i="5"/>
  <c r="CF20" i="5"/>
  <c r="BU5" i="7"/>
  <c r="CA14" i="6"/>
  <c r="CC10" i="5" s="1"/>
  <c r="CY35" i="5"/>
  <c r="CZ35" i="5"/>
  <c r="BS7" i="7"/>
  <c r="CD14" i="6"/>
  <c r="CA7" i="5"/>
  <c r="DI44" i="5"/>
  <c r="DI34" i="5"/>
  <c r="BX19" i="7"/>
  <c r="DB43" i="5"/>
  <c r="CH26" i="5"/>
  <c r="DD43" i="5"/>
  <c r="BY8" i="7"/>
  <c r="DC43" i="5"/>
  <c r="CF21" i="5"/>
  <c r="BW84" i="4"/>
  <c r="BW88" i="4" s="1"/>
  <c r="BW90" i="4" s="1"/>
  <c r="BW92" i="4" s="1"/>
  <c r="BQ13" i="7" s="1"/>
  <c r="BQ14" i="7"/>
  <c r="CF26" i="5"/>
  <c r="CG30" i="5"/>
  <c r="CF15" i="5"/>
  <c r="CF7" i="5"/>
  <c r="CF24" i="5"/>
  <c r="BX8" i="7"/>
  <c r="CF25" i="5"/>
  <c r="BX5" i="7"/>
  <c r="CF14" i="5"/>
  <c r="CH24" i="5"/>
  <c r="CH7" i="5"/>
  <c r="CH30" i="5"/>
  <c r="CH15" i="5"/>
  <c r="CH14" i="5"/>
  <c r="BZ19" i="7"/>
  <c r="CH25" i="5"/>
  <c r="BZ8" i="7"/>
  <c r="BX10" i="5"/>
  <c r="CG21" i="5"/>
  <c r="CG7" i="5"/>
  <c r="CG14" i="5"/>
  <c r="CI30" i="5"/>
  <c r="BZ5" i="7"/>
  <c r="CH21" i="5"/>
  <c r="BY5" i="7"/>
  <c r="CH10" i="5"/>
  <c r="CH6" i="7"/>
  <c r="CF30" i="5"/>
  <c r="CG25" i="5"/>
  <c r="CF10" i="5"/>
  <c r="CF6" i="7"/>
  <c r="CI6" i="7"/>
  <c r="CI10" i="5"/>
  <c r="CG10" i="5"/>
  <c r="CG6" i="7"/>
  <c r="CC6" i="7"/>
  <c r="CF9" i="5"/>
  <c r="BX15" i="7"/>
  <c r="BX22" i="7"/>
  <c r="BX25" i="7"/>
  <c r="CG24" i="5"/>
  <c r="BY15" i="7"/>
  <c r="BY22" i="7"/>
  <c r="BY25" i="7"/>
  <c r="BY19" i="7"/>
  <c r="CE10" i="5"/>
  <c r="CE6" i="7"/>
  <c r="BZ10" i="5"/>
  <c r="BZ6" i="7"/>
  <c r="CG26" i="5"/>
  <c r="CD10" i="5"/>
  <c r="CD6" i="7"/>
  <c r="CG15" i="5"/>
  <c r="BY10" i="5"/>
  <c r="CB6" i="7"/>
  <c r="CB10" i="5"/>
  <c r="CG9" i="5"/>
  <c r="CA6" i="7"/>
  <c r="CA10" i="5"/>
  <c r="CH9" i="5"/>
  <c r="BZ15" i="7"/>
  <c r="BZ13" i="7"/>
  <c r="BZ22" i="7"/>
  <c r="BZ25" i="7"/>
  <c r="CE15" i="7"/>
  <c r="CF5" i="7"/>
  <c r="CM6" i="7"/>
  <c r="CM10" i="5"/>
  <c r="CE19" i="7"/>
  <c r="CE8" i="7"/>
  <c r="CE5" i="7"/>
  <c r="CE22" i="7"/>
  <c r="CE13" i="7"/>
  <c r="CE25" i="7"/>
  <c r="CM7" i="5"/>
  <c r="CM9" i="5"/>
  <c r="CM14" i="5"/>
  <c r="CM30" i="5"/>
  <c r="CM26" i="5"/>
  <c r="CM24" i="5"/>
  <c r="CM15" i="5"/>
  <c r="CM25" i="5"/>
  <c r="CN30" i="5"/>
  <c r="CM21" i="5"/>
  <c r="CP44" i="5"/>
  <c r="CP34" i="5"/>
  <c r="CQ34" i="5"/>
  <c r="CQ44" i="5"/>
  <c r="CR34" i="5"/>
  <c r="CR44" i="5"/>
  <c r="CS44" i="5"/>
  <c r="CS34" i="5"/>
  <c r="CE74" i="4"/>
  <c r="BT16" i="6"/>
  <c r="BN23" i="7" l="1"/>
  <c r="BT13" i="6"/>
  <c r="CE84" i="4"/>
  <c r="CE88" i="4" s="1"/>
  <c r="CE90" i="4" s="1"/>
  <c r="CE92" i="4" s="1"/>
  <c r="BY13" i="7" s="1"/>
  <c r="BY14" i="7"/>
  <c r="CR35" i="5"/>
  <c r="BT14" i="6"/>
  <c r="CB52" i="4"/>
  <c r="BO4" i="7"/>
  <c r="BW20" i="5"/>
  <c r="BP4" i="7"/>
  <c r="BV6" i="5"/>
  <c r="BN4" i="7"/>
  <c r="BV20" i="5"/>
  <c r="BY85" i="4"/>
  <c r="BZ85" i="4"/>
  <c r="CA85" i="4"/>
  <c r="CB85" i="4"/>
  <c r="CC85" i="4"/>
  <c r="BY78" i="4"/>
  <c r="BZ78" i="4"/>
  <c r="CA78" i="4"/>
  <c r="CB78" i="4"/>
  <c r="CC78" i="4"/>
  <c r="BY75" i="4"/>
  <c r="BY55" i="6" s="1"/>
  <c r="BY48" i="6" s="1"/>
  <c r="BZ75" i="4"/>
  <c r="BZ55" i="6" s="1"/>
  <c r="BZ48" i="6" s="1"/>
  <c r="CA75" i="4"/>
  <c r="CA55" i="6" s="1"/>
  <c r="CA48" i="6" s="1"/>
  <c r="CB75" i="4"/>
  <c r="CB55" i="6" s="1"/>
  <c r="CB48" i="6" s="1"/>
  <c r="CC75" i="4"/>
  <c r="CC55" i="6" s="1"/>
  <c r="CC48" i="6" s="1"/>
  <c r="CD75" i="4"/>
  <c r="CD55" i="6" s="1"/>
  <c r="CD48" i="6" s="1"/>
  <c r="BY59" i="4"/>
  <c r="BZ59" i="4"/>
  <c r="CA59" i="4"/>
  <c r="CA58" i="4" s="1"/>
  <c r="CA74" i="4" s="1"/>
  <c r="CB59" i="4"/>
  <c r="CB58" i="4" s="1"/>
  <c r="CC59" i="4"/>
  <c r="CC58" i="4" s="1"/>
  <c r="CD59" i="4"/>
  <c r="CD58" i="4" s="1"/>
  <c r="BW15" i="7" l="1"/>
  <c r="BV15" i="7"/>
  <c r="BU14" i="7"/>
  <c r="BU15" i="7"/>
  <c r="BT15" i="7"/>
  <c r="BS15" i="7"/>
  <c r="CA84" i="4"/>
  <c r="CA88" i="4" s="1"/>
  <c r="CA90" i="4" s="1"/>
  <c r="CA92" i="4" s="1"/>
  <c r="BU13" i="7" s="1"/>
  <c r="CB74" i="4"/>
  <c r="CB84" i="4" s="1"/>
  <c r="CB88" i="4" s="1"/>
  <c r="CB90" i="4" s="1"/>
  <c r="CB92" i="4" s="1"/>
  <c r="BV13" i="7" s="1"/>
  <c r="CC74" i="4"/>
  <c r="CC84" i="4" s="1"/>
  <c r="CC88" i="4" s="1"/>
  <c r="CC90" i="4" s="1"/>
  <c r="CC92" i="4" s="1"/>
  <c r="BW13" i="7" s="1"/>
  <c r="CD74" i="4"/>
  <c r="BY58" i="4"/>
  <c r="BZ58" i="4"/>
  <c r="CD84" i="4" l="1"/>
  <c r="CD88" i="4" s="1"/>
  <c r="CD90" i="4" s="1"/>
  <c r="CD92" i="4" s="1"/>
  <c r="BX13" i="7" s="1"/>
  <c r="BX14" i="7"/>
  <c r="BV14" i="7"/>
  <c r="BW14" i="7"/>
  <c r="BZ74" i="4"/>
  <c r="BY74" i="4"/>
  <c r="BX78" i="4"/>
  <c r="BX75" i="4"/>
  <c r="BX55" i="6" s="1"/>
  <c r="BX48" i="6" s="1"/>
  <c r="BX59" i="4"/>
  <c r="BX58" i="4" s="1"/>
  <c r="BX74" i="4" s="1"/>
  <c r="BT55" i="6"/>
  <c r="BT48" i="6" s="1"/>
  <c r="BS45" i="6"/>
  <c r="BS42" i="6" s="1"/>
  <c r="CQ36" i="5" s="1"/>
  <c r="BT6" i="6"/>
  <c r="BU6" i="6"/>
  <c r="BT36" i="6"/>
  <c r="BZ84" i="4" l="1"/>
  <c r="BZ88" i="4" s="1"/>
  <c r="BZ90" i="4" s="1"/>
  <c r="BZ92" i="4" s="1"/>
  <c r="BT13" i="7" s="1"/>
  <c r="BT14" i="7"/>
  <c r="BR14" i="7"/>
  <c r="BR15" i="7"/>
  <c r="BY84" i="4"/>
  <c r="BY88" i="4" s="1"/>
  <c r="BY90" i="4" s="1"/>
  <c r="BY92" i="4" s="1"/>
  <c r="BS13" i="7" s="1"/>
  <c r="BS14" i="7"/>
  <c r="BN18" i="7"/>
  <c r="BN24" i="7"/>
  <c r="BO18" i="7"/>
  <c r="BO24" i="7"/>
  <c r="CR40" i="5"/>
  <c r="CR31" i="5"/>
  <c r="CS31" i="5"/>
  <c r="CS40" i="5"/>
  <c r="BW8" i="5"/>
  <c r="BO7" i="7"/>
  <c r="BN7" i="7"/>
  <c r="BU84" i="4"/>
  <c r="BU88" i="4" s="1"/>
  <c r="BU90" i="4" s="1"/>
  <c r="BU92" i="4" s="1"/>
  <c r="BU45" i="6"/>
  <c r="BU42" i="6" s="1"/>
  <c r="CS36" i="5" s="1"/>
  <c r="BT84" i="4"/>
  <c r="BT88" i="4" s="1"/>
  <c r="BT90" i="4" s="1"/>
  <c r="BT92" i="4" s="1"/>
  <c r="BT45" i="6"/>
  <c r="BT42" i="6" s="1"/>
  <c r="CR36" i="5" s="1"/>
  <c r="BV47" i="5"/>
  <c r="BV19" i="5"/>
  <c r="BV8" i="5"/>
  <c r="BS16" i="6"/>
  <c r="BS13" i="6" s="1"/>
  <c r="BW47" i="5"/>
  <c r="BW19" i="5"/>
  <c r="BU5" i="6"/>
  <c r="BX84" i="4"/>
  <c r="BX88" i="4" s="1"/>
  <c r="BX90" i="4" s="1"/>
  <c r="BX92" i="4" s="1"/>
  <c r="BR13" i="7" s="1"/>
  <c r="BS84" i="4"/>
  <c r="BS88" i="4" s="1"/>
  <c r="BS90" i="4" s="1"/>
  <c r="BS92" i="4" s="1"/>
  <c r="BV84" i="4"/>
  <c r="BV88" i="4" s="1"/>
  <c r="BV90" i="4" s="1"/>
  <c r="BV92" i="4" s="1"/>
  <c r="BP13" i="7" s="1"/>
  <c r="BO16" i="5"/>
  <c r="BQ54" i="6"/>
  <c r="BR54" i="6"/>
  <c r="BQ53" i="6"/>
  <c r="BR53" i="6"/>
  <c r="BQ52" i="6"/>
  <c r="BR52" i="6"/>
  <c r="BQ49" i="6"/>
  <c r="BQ50" i="6"/>
  <c r="BR50" i="6"/>
  <c r="BQ51" i="6"/>
  <c r="BR51" i="6"/>
  <c r="BR44" i="6"/>
  <c r="BR43" i="6"/>
  <c r="BR46" i="6" s="1"/>
  <c r="BQ39" i="6"/>
  <c r="BQ34" i="6"/>
  <c r="BQ31" i="6"/>
  <c r="BQ27" i="6"/>
  <c r="BR27" i="6"/>
  <c r="BQ26" i="6"/>
  <c r="BR26" i="6"/>
  <c r="BQ22" i="6"/>
  <c r="BQ20" i="6"/>
  <c r="BQ19" i="6"/>
  <c r="BQ17" i="6"/>
  <c r="CO41" i="5" s="1"/>
  <c r="BR17" i="6"/>
  <c r="CP41" i="5" s="1"/>
  <c r="BP10" i="6"/>
  <c r="BJ17" i="7" s="1"/>
  <c r="BQ10" i="6"/>
  <c r="BK17" i="7" s="1"/>
  <c r="BR10" i="6"/>
  <c r="BL17" i="7" s="1"/>
  <c r="BR8" i="6"/>
  <c r="CP32" i="5" s="1"/>
  <c r="BR7" i="6"/>
  <c r="CP33" i="5" s="1"/>
  <c r="BQ55" i="6"/>
  <c r="BR55" i="6"/>
  <c r="BS55" i="6"/>
  <c r="BS48" i="6" s="1"/>
  <c r="BQ38" i="6"/>
  <c r="BR38" i="6"/>
  <c r="BO15" i="7" l="1"/>
  <c r="BO13" i="7"/>
  <c r="BO22" i="7"/>
  <c r="BO8" i="7"/>
  <c r="BW6" i="7"/>
  <c r="BO25" i="7"/>
  <c r="CQ35" i="5"/>
  <c r="BS14" i="6"/>
  <c r="BM23" i="7"/>
  <c r="BS16" i="5"/>
  <c r="BK10" i="7"/>
  <c r="BK11" i="7"/>
  <c r="BW24" i="5"/>
  <c r="CS43" i="5"/>
  <c r="BX30" i="5"/>
  <c r="BW9" i="5"/>
  <c r="BW10" i="5"/>
  <c r="BW7" i="5"/>
  <c r="BW26" i="5"/>
  <c r="BW15" i="5"/>
  <c r="BW25" i="5"/>
  <c r="BW14" i="5"/>
  <c r="BT5" i="6"/>
  <c r="BN19" i="7" s="1"/>
  <c r="BP5" i="7"/>
  <c r="BS6" i="6"/>
  <c r="BR6" i="6"/>
  <c r="BL18" i="7" s="1"/>
  <c r="BW21" i="5"/>
  <c r="BO5" i="7"/>
  <c r="BM4" i="7"/>
  <c r="BU6" i="5"/>
  <c r="BU20" i="5"/>
  <c r="BQ16" i="6"/>
  <c r="BQ13" i="6" s="1"/>
  <c r="BQ25" i="6"/>
  <c r="BR25" i="6"/>
  <c r="BR16" i="6"/>
  <c r="BR13" i="6" s="1"/>
  <c r="BR48" i="6"/>
  <c r="BQ48" i="6"/>
  <c r="BP44" i="6"/>
  <c r="BQ44" i="6"/>
  <c r="BP43" i="6"/>
  <c r="BQ43" i="6"/>
  <c r="BP39" i="6"/>
  <c r="BP38" i="6"/>
  <c r="BP32" i="6"/>
  <c r="BR50" i="5" s="1"/>
  <c r="BQ32" i="6"/>
  <c r="BS50" i="5" s="1"/>
  <c r="BP31" i="6"/>
  <c r="BP27" i="6"/>
  <c r="BP26" i="6"/>
  <c r="BP22" i="6"/>
  <c r="BP20" i="6"/>
  <c r="BP19" i="6"/>
  <c r="BP17" i="6"/>
  <c r="CN41" i="5" s="1"/>
  <c r="BP8" i="6"/>
  <c r="CN32" i="5" s="1"/>
  <c r="BQ8" i="6"/>
  <c r="CO32" i="5" s="1"/>
  <c r="BP7" i="6"/>
  <c r="CN33" i="5" s="1"/>
  <c r="BQ7" i="6"/>
  <c r="CO33" i="5" s="1"/>
  <c r="BQ6" i="6"/>
  <c r="BK18" i="7" s="1"/>
  <c r="BQ45" i="6"/>
  <c r="BR45" i="6"/>
  <c r="BP84" i="4"/>
  <c r="BP88" i="4" s="1"/>
  <c r="BP90" i="4" s="1"/>
  <c r="BP92" i="4" s="1"/>
  <c r="BP6" i="6"/>
  <c r="BJ18" i="7" s="1"/>
  <c r="BR5" i="6"/>
  <c r="BL25" i="7" s="1"/>
  <c r="BL23" i="7" l="1"/>
  <c r="BL24" i="7"/>
  <c r="BK23" i="7"/>
  <c r="BK24" i="7"/>
  <c r="BW27" i="5"/>
  <c r="BO19" i="7"/>
  <c r="CO35" i="5"/>
  <c r="BQ14" i="6"/>
  <c r="CP35" i="5"/>
  <c r="BL8" i="7"/>
  <c r="BR14" i="6"/>
  <c r="BT6" i="7" s="1"/>
  <c r="BM18" i="7"/>
  <c r="BM24" i="7"/>
  <c r="CP43" i="5"/>
  <c r="BL22" i="7"/>
  <c r="BL15" i="7"/>
  <c r="BR16" i="5"/>
  <c r="BJ11" i="7"/>
  <c r="CR43" i="5"/>
  <c r="BN15" i="7"/>
  <c r="BN13" i="7"/>
  <c r="BN22" i="7"/>
  <c r="BN25" i="7"/>
  <c r="BN8" i="7"/>
  <c r="BV6" i="7"/>
  <c r="CN31" i="5"/>
  <c r="CN40" i="5"/>
  <c r="CO40" i="5"/>
  <c r="CO31" i="5"/>
  <c r="CP31" i="5"/>
  <c r="CP40" i="5"/>
  <c r="BM7" i="7"/>
  <c r="CQ31" i="5"/>
  <c r="CQ40" i="5"/>
  <c r="BU8" i="5"/>
  <c r="BT47" i="5"/>
  <c r="BV27" i="5"/>
  <c r="BS47" i="5"/>
  <c r="BW30" i="5"/>
  <c r="BT15" i="5"/>
  <c r="BT21" i="5"/>
  <c r="BT26" i="5"/>
  <c r="BT9" i="5"/>
  <c r="BT14" i="5"/>
  <c r="BT25" i="5"/>
  <c r="BS19" i="5"/>
  <c r="BS20" i="5"/>
  <c r="BS36" i="6"/>
  <c r="BQ5" i="6"/>
  <c r="BL7" i="7"/>
  <c r="BT8" i="5"/>
  <c r="BT6" i="5"/>
  <c r="BT24" i="5"/>
  <c r="BR36" i="6"/>
  <c r="BV9" i="5"/>
  <c r="BV25" i="5"/>
  <c r="BV26" i="5"/>
  <c r="BV15" i="5"/>
  <c r="BV21" i="5"/>
  <c r="BV14" i="5"/>
  <c r="BV7" i="5"/>
  <c r="BN5" i="7"/>
  <c r="BV10" i="5"/>
  <c r="BV24" i="5"/>
  <c r="BT20" i="5"/>
  <c r="BT19" i="5"/>
  <c r="BU19" i="5"/>
  <c r="BU47" i="5"/>
  <c r="BL4" i="7"/>
  <c r="BP25" i="6"/>
  <c r="BK4" i="7"/>
  <c r="BS6" i="5"/>
  <c r="BR84" i="4"/>
  <c r="BR88" i="4" s="1"/>
  <c r="BR90" i="4" s="1"/>
  <c r="BR92" i="4" s="1"/>
  <c r="BL13" i="7" s="1"/>
  <c r="BR42" i="6"/>
  <c r="CP36" i="5" s="1"/>
  <c r="BJ14" i="7"/>
  <c r="BP30" i="6"/>
  <c r="BL5" i="7"/>
  <c r="BP36" i="6"/>
  <c r="BT7" i="5"/>
  <c r="BS5" i="6"/>
  <c r="BQ36" i="6"/>
  <c r="BQ30" i="6"/>
  <c r="BQ42" i="6"/>
  <c r="CO36" i="5" s="1"/>
  <c r="BQ46" i="6"/>
  <c r="BP46" i="6"/>
  <c r="BS8" i="5"/>
  <c r="BR47" i="5"/>
  <c r="BK7" i="7"/>
  <c r="BP55" i="6"/>
  <c r="BP54" i="6"/>
  <c r="BP53" i="6"/>
  <c r="BP52" i="6"/>
  <c r="BP51" i="6"/>
  <c r="BP50" i="6"/>
  <c r="BP49" i="6"/>
  <c r="BP45" i="6"/>
  <c r="BP42" i="6" s="1"/>
  <c r="CN36" i="5" s="1"/>
  <c r="BM44" i="6"/>
  <c r="BN44" i="6"/>
  <c r="BO44" i="6"/>
  <c r="BL43" i="6"/>
  <c r="BM43" i="6"/>
  <c r="BN43" i="6"/>
  <c r="BO43" i="6"/>
  <c r="BK39" i="6"/>
  <c r="BL39" i="6"/>
  <c r="BM39" i="6"/>
  <c r="BN39" i="6"/>
  <c r="BO39" i="6"/>
  <c r="BM38" i="6"/>
  <c r="BN38" i="6"/>
  <c r="BO38" i="6"/>
  <c r="BI35" i="6"/>
  <c r="BJ35" i="6"/>
  <c r="BK35" i="6"/>
  <c r="BL35" i="6"/>
  <c r="BI34" i="6"/>
  <c r="BJ34" i="6"/>
  <c r="BK34" i="6"/>
  <c r="BL34" i="6"/>
  <c r="BM34" i="6"/>
  <c r="BN34" i="6"/>
  <c r="BO34" i="6"/>
  <c r="BP34" i="6"/>
  <c r="BJ10" i="7" s="1"/>
  <c r="BI32" i="6"/>
  <c r="BJ32" i="6"/>
  <c r="BL50" i="5" s="1"/>
  <c r="BK32" i="6"/>
  <c r="BL32" i="6"/>
  <c r="BM32" i="6"/>
  <c r="BO50" i="5" s="1"/>
  <c r="BN32" i="6"/>
  <c r="BP50" i="5" s="1"/>
  <c r="BO32" i="6"/>
  <c r="BQ50" i="5" s="1"/>
  <c r="BJ31" i="6"/>
  <c r="BK31" i="6"/>
  <c r="BL31" i="6"/>
  <c r="BM31" i="6"/>
  <c r="BN31" i="6"/>
  <c r="BO31" i="6"/>
  <c r="BJ27" i="6"/>
  <c r="BK27" i="6"/>
  <c r="BL27" i="6"/>
  <c r="BM27" i="6"/>
  <c r="BN27" i="6"/>
  <c r="BO27" i="6"/>
  <c r="BJ26" i="6"/>
  <c r="BK26" i="6"/>
  <c r="BL26" i="6"/>
  <c r="BM26" i="6"/>
  <c r="BN26" i="6"/>
  <c r="BO26" i="6"/>
  <c r="BI22" i="6"/>
  <c r="BK22" i="6"/>
  <c r="BL22" i="6"/>
  <c r="BM22" i="6"/>
  <c r="BI20" i="6"/>
  <c r="BJ20" i="6"/>
  <c r="BK20" i="6"/>
  <c r="BL20" i="6"/>
  <c r="BM20" i="6"/>
  <c r="BN20" i="6"/>
  <c r="BO20" i="6"/>
  <c r="BI19" i="6"/>
  <c r="BJ19" i="6"/>
  <c r="BK19" i="6"/>
  <c r="BL19" i="6"/>
  <c r="BM19" i="6"/>
  <c r="BN19" i="6"/>
  <c r="BO19" i="6"/>
  <c r="BI17" i="6"/>
  <c r="CG41" i="5" s="1"/>
  <c r="BJ17" i="6"/>
  <c r="CH41" i="5" s="1"/>
  <c r="BK17" i="6"/>
  <c r="CI41" i="5" s="1"/>
  <c r="BL17" i="6"/>
  <c r="CJ41" i="5" s="1"/>
  <c r="BM17" i="6"/>
  <c r="CK41" i="5" s="1"/>
  <c r="BN17" i="6"/>
  <c r="CL41" i="5" s="1"/>
  <c r="BO17" i="6"/>
  <c r="CM41" i="5" s="1"/>
  <c r="BK10" i="6"/>
  <c r="BL10" i="6"/>
  <c r="BM10" i="6"/>
  <c r="BG17" i="7" s="1"/>
  <c r="BN10" i="6"/>
  <c r="BH17" i="7" s="1"/>
  <c r="BO10" i="6"/>
  <c r="BI17" i="7" s="1"/>
  <c r="BO8" i="6"/>
  <c r="CM32" i="5" s="1"/>
  <c r="BO7" i="6"/>
  <c r="CM33" i="5" s="1"/>
  <c r="BL36" i="6"/>
  <c r="BO6" i="6"/>
  <c r="BI18" i="7" s="1"/>
  <c r="BH32" i="4"/>
  <c r="BI32" i="4"/>
  <c r="BJ31" i="4"/>
  <c r="BJ39" i="4" s="1"/>
  <c r="BJ21" i="4"/>
  <c r="BK38" i="6"/>
  <c r="BL38" i="6"/>
  <c r="BJ14" i="4"/>
  <c r="BJ9" i="4"/>
  <c r="BK36" i="6"/>
  <c r="BP5" i="6"/>
  <c r="BJ25" i="7" s="1"/>
  <c r="BM50" i="5" l="1"/>
  <c r="BN50" i="5"/>
  <c r="BM19" i="7"/>
  <c r="BM15" i="7"/>
  <c r="BM13" i="7"/>
  <c r="BM22" i="7"/>
  <c r="BM25" i="7"/>
  <c r="BM8" i="7"/>
  <c r="BK22" i="7"/>
  <c r="BK15" i="7"/>
  <c r="BK25" i="7"/>
  <c r="BK8" i="7"/>
  <c r="BT27" i="5"/>
  <c r="BL19" i="7"/>
  <c r="BU6" i="7"/>
  <c r="BJ24" i="7"/>
  <c r="BQ16" i="5"/>
  <c r="BI11" i="7"/>
  <c r="BJ15" i="7"/>
  <c r="BJ13" i="7"/>
  <c r="BJ22" i="7"/>
  <c r="BK19" i="7"/>
  <c r="BS6" i="7"/>
  <c r="CM31" i="5"/>
  <c r="CM40" i="5"/>
  <c r="CO34" i="5"/>
  <c r="CO44" i="5"/>
  <c r="CO43" i="5"/>
  <c r="BU30" i="5"/>
  <c r="CQ43" i="5"/>
  <c r="CN44" i="5"/>
  <c r="CN34" i="5"/>
  <c r="BR14" i="5"/>
  <c r="CN43" i="5"/>
  <c r="BS10" i="5"/>
  <c r="BV30" i="5"/>
  <c r="BQ84" i="4"/>
  <c r="BQ88" i="4" s="1"/>
  <c r="BQ90" i="4" s="1"/>
  <c r="BQ92" i="4" s="1"/>
  <c r="BK13" i="7" s="1"/>
  <c r="BU27" i="5"/>
  <c r="BS26" i="5"/>
  <c r="BR15" i="5"/>
  <c r="BK5" i="7"/>
  <c r="BT30" i="5"/>
  <c r="BS27" i="5"/>
  <c r="BS7" i="5"/>
  <c r="BS24" i="5"/>
  <c r="BT10" i="5"/>
  <c r="BR9" i="5"/>
  <c r="BS30" i="5"/>
  <c r="BS15" i="5"/>
  <c r="BS9" i="5"/>
  <c r="BS14" i="5"/>
  <c r="BR21" i="5"/>
  <c r="BU15" i="5"/>
  <c r="BU21" i="5"/>
  <c r="BU26" i="5"/>
  <c r="BU25" i="5"/>
  <c r="BU9" i="5"/>
  <c r="BU14" i="5"/>
  <c r="BM5" i="7"/>
  <c r="BU7" i="5"/>
  <c r="BS21" i="5"/>
  <c r="BR19" i="5"/>
  <c r="BS25" i="5"/>
  <c r="BU24" i="5"/>
  <c r="BU10" i="5"/>
  <c r="BN16" i="6"/>
  <c r="BN13" i="6" s="1"/>
  <c r="BP16" i="6"/>
  <c r="BP13" i="6" s="1"/>
  <c r="BL30" i="6"/>
  <c r="CJ34" i="5" s="1"/>
  <c r="BM30" i="6"/>
  <c r="BN25" i="6"/>
  <c r="BL25" i="6"/>
  <c r="BR25" i="5"/>
  <c r="BF20" i="7"/>
  <c r="BM84" i="4"/>
  <c r="BM88" i="4" s="1"/>
  <c r="BM90" i="4" s="1"/>
  <c r="BM92" i="4" s="1"/>
  <c r="BO30" i="6"/>
  <c r="BL84" i="4"/>
  <c r="BL88" i="4" s="1"/>
  <c r="BL90" i="4" s="1"/>
  <c r="BL92" i="4" s="1"/>
  <c r="BK16" i="6"/>
  <c r="BK13" i="6" s="1"/>
  <c r="BN30" i="6"/>
  <c r="BL16" i="6"/>
  <c r="BL13" i="6" s="1"/>
  <c r="BK30" i="6"/>
  <c r="BM16" i="6"/>
  <c r="BM13" i="6" s="1"/>
  <c r="BR24" i="5"/>
  <c r="BN36" i="6"/>
  <c r="BG20" i="7"/>
  <c r="BM36" i="6"/>
  <c r="BK50" i="5"/>
  <c r="BO36" i="6"/>
  <c r="BR26" i="5"/>
  <c r="BO16" i="6"/>
  <c r="BO13" i="6" s="1"/>
  <c r="BH20" i="7"/>
  <c r="BQ47" i="5"/>
  <c r="BO25" i="6"/>
  <c r="BM25" i="6"/>
  <c r="BK25" i="6"/>
  <c r="BH10" i="7"/>
  <c r="BH11" i="7"/>
  <c r="BO46" i="6"/>
  <c r="BP48" i="6"/>
  <c r="BI10" i="7"/>
  <c r="BG10" i="7"/>
  <c r="BG11" i="7"/>
  <c r="BN46" i="6"/>
  <c r="L23" i="14"/>
  <c r="K23" i="14"/>
  <c r="N22" i="14"/>
  <c r="N21" i="14"/>
  <c r="N20" i="14"/>
  <c r="N19" i="14"/>
  <c r="N18" i="14"/>
  <c r="L16" i="14"/>
  <c r="K16" i="14"/>
  <c r="N15" i="14"/>
  <c r="N14" i="14"/>
  <c r="N13" i="14"/>
  <c r="N12" i="14"/>
  <c r="N11" i="14"/>
  <c r="E26" i="14"/>
  <c r="E23" i="14"/>
  <c r="D23" i="14"/>
  <c r="G22" i="14"/>
  <c r="G21" i="14"/>
  <c r="G20" i="14"/>
  <c r="G19" i="14"/>
  <c r="G18" i="14"/>
  <c r="E16" i="14"/>
  <c r="D16" i="14"/>
  <c r="G15" i="14"/>
  <c r="G14" i="14"/>
  <c r="G13" i="14"/>
  <c r="G12" i="14"/>
  <c r="G11" i="14"/>
  <c r="CI35" i="5" l="1"/>
  <c r="BK14" i="6"/>
  <c r="CN35" i="5"/>
  <c r="BP14" i="6"/>
  <c r="BR6" i="7" s="1"/>
  <c r="BJ8" i="7"/>
  <c r="BQ19" i="5"/>
  <c r="BI24" i="7"/>
  <c r="BI23" i="7"/>
  <c r="CL35" i="5"/>
  <c r="BN14" i="6"/>
  <c r="CK35" i="5"/>
  <c r="BM14" i="6"/>
  <c r="BR27" i="5"/>
  <c r="BJ19" i="7"/>
  <c r="BJ23" i="7"/>
  <c r="CM35" i="5"/>
  <c r="BO14" i="6"/>
  <c r="CJ35" i="5"/>
  <c r="BL14" i="6"/>
  <c r="CK34" i="5"/>
  <c r="CK44" i="5"/>
  <c r="CL44" i="5"/>
  <c r="CL34" i="5"/>
  <c r="CM34" i="5"/>
  <c r="CM44" i="5"/>
  <c r="BR6" i="5"/>
  <c r="CI44" i="5"/>
  <c r="CI34" i="5"/>
  <c r="CJ44" i="5"/>
  <c r="BE4" i="7"/>
  <c r="BR8" i="5"/>
  <c r="BH4" i="7"/>
  <c r="BJ5" i="7"/>
  <c r="BJ7" i="7"/>
  <c r="BJ4" i="7"/>
  <c r="BR20" i="5"/>
  <c r="BR7" i="5"/>
  <c r="BF23" i="7"/>
  <c r="BH23" i="7"/>
  <c r="BP20" i="5"/>
  <c r="BF4" i="7"/>
  <c r="BN6" i="5"/>
  <c r="BP6" i="5"/>
  <c r="BN20" i="5"/>
  <c r="E24" i="14"/>
  <c r="E27" i="14"/>
  <c r="N23" i="14"/>
  <c r="BO5" i="6"/>
  <c r="BI19" i="7" s="1"/>
  <c r="L24" i="14"/>
  <c r="G16" i="14"/>
  <c r="K24" i="14"/>
  <c r="BO6" i="5"/>
  <c r="BG4" i="7"/>
  <c r="BO20" i="5"/>
  <c r="BG23" i="7"/>
  <c r="BI4" i="7"/>
  <c r="BI7" i="7"/>
  <c r="BQ6" i="5"/>
  <c r="BQ8" i="5"/>
  <c r="BE23" i="7"/>
  <c r="BQ20" i="5"/>
  <c r="N16" i="14"/>
  <c r="D24" i="14"/>
  <c r="G23" i="14"/>
  <c r="G24" i="14" s="1"/>
  <c r="N24" i="14" l="1"/>
  <c r="BQ6" i="7"/>
  <c r="CM43" i="5"/>
  <c r="BI15" i="7"/>
  <c r="BI22" i="7"/>
  <c r="BI25" i="7"/>
  <c r="BQ21" i="5"/>
  <c r="BQ15" i="5"/>
  <c r="BR30" i="5"/>
  <c r="BR10" i="5"/>
  <c r="BQ9" i="5"/>
  <c r="BQ24" i="5"/>
  <c r="BQ26" i="5"/>
  <c r="BQ25" i="5"/>
  <c r="BI8" i="7"/>
  <c r="BQ14" i="5"/>
  <c r="BQ27" i="5"/>
  <c r="BI5" i="7"/>
  <c r="BQ7" i="5"/>
  <c r="BQ10" i="5"/>
  <c r="BG14" i="7"/>
  <c r="AP45" i="4" l="1"/>
  <c r="AQ45" i="4"/>
  <c r="AR45" i="4"/>
  <c r="AS45" i="4"/>
  <c r="AT45" i="4"/>
  <c r="AU45" i="4"/>
  <c r="AV45" i="4"/>
  <c r="AX45" i="4"/>
  <c r="AY45" i="4"/>
  <c r="AZ45" i="4"/>
  <c r="BA45" i="4"/>
  <c r="BB45" i="4"/>
  <c r="BC45" i="4"/>
  <c r="BD45" i="4"/>
  <c r="BE45" i="4"/>
  <c r="BF45" i="4"/>
  <c r="BG45" i="4"/>
  <c r="BH45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I50" i="4" s="1"/>
  <c r="BA32" i="4"/>
  <c r="BB32" i="4"/>
  <c r="BC32" i="4"/>
  <c r="BD32" i="4"/>
  <c r="BE32" i="4"/>
  <c r="BF32" i="4"/>
  <c r="BG32" i="4"/>
  <c r="BA31" i="4"/>
  <c r="BB31" i="4"/>
  <c r="BC31" i="4"/>
  <c r="BD31" i="4"/>
  <c r="BE31" i="4"/>
  <c r="BF31" i="4"/>
  <c r="BG31" i="4"/>
  <c r="BH31" i="4"/>
  <c r="BH39" i="4" s="1"/>
  <c r="BI31" i="4"/>
  <c r="BI39" i="4" s="1"/>
  <c r="BB21" i="4"/>
  <c r="BC21" i="4"/>
  <c r="BD21" i="4"/>
  <c r="BE21" i="4"/>
  <c r="BF21" i="4"/>
  <c r="BG21" i="4"/>
  <c r="BH21" i="4"/>
  <c r="BI21" i="4"/>
  <c r="BE14" i="4"/>
  <c r="BF14" i="4"/>
  <c r="BG14" i="4"/>
  <c r="BH14" i="4"/>
  <c r="BI14" i="4"/>
  <c r="BE9" i="4"/>
  <c r="BF9" i="4"/>
  <c r="BG9" i="4"/>
  <c r="BH9" i="4"/>
  <c r="BI9" i="4"/>
  <c r="BG5" i="4"/>
  <c r="BH5" i="4"/>
  <c r="BI5" i="4"/>
  <c r="BA85" i="4"/>
  <c r="BB85" i="4"/>
  <c r="BC85" i="4"/>
  <c r="BD85" i="4"/>
  <c r="BE85" i="4"/>
  <c r="BF85" i="4"/>
  <c r="BG85" i="4"/>
  <c r="BH85" i="4"/>
  <c r="BA75" i="4"/>
  <c r="BB75" i="4"/>
  <c r="BC75" i="4"/>
  <c r="BD75" i="4"/>
  <c r="BE75" i="4"/>
  <c r="BF75" i="4"/>
  <c r="BG75" i="4"/>
  <c r="BH75" i="4"/>
  <c r="BI75" i="4"/>
  <c r="BA67" i="4"/>
  <c r="BB67" i="4"/>
  <c r="BC67" i="4"/>
  <c r="BD67" i="4"/>
  <c r="BE67" i="4"/>
  <c r="BF67" i="4"/>
  <c r="BG67" i="4"/>
  <c r="BH67" i="4"/>
  <c r="BA59" i="4"/>
  <c r="BB59" i="4"/>
  <c r="BC59" i="4"/>
  <c r="BD59" i="4"/>
  <c r="BE59" i="4"/>
  <c r="BF59" i="4"/>
  <c r="BG59" i="4"/>
  <c r="BH59" i="4"/>
  <c r="BK84" i="4"/>
  <c r="BK88" i="4" s="1"/>
  <c r="BK90" i="4" s="1"/>
  <c r="BK92" i="4" s="1"/>
  <c r="BD62" i="4"/>
  <c r="BE62" i="4"/>
  <c r="BF62" i="4"/>
  <c r="BG62" i="4"/>
  <c r="BH62" i="4"/>
  <c r="BI51" i="4" l="1"/>
  <c r="BI58" i="4"/>
  <c r="BI74" i="4" s="1"/>
  <c r="BI84" i="4" s="1"/>
  <c r="BI88" i="4" s="1"/>
  <c r="BI90" i="4" s="1"/>
  <c r="BI92" i="4" s="1"/>
  <c r="BG39" i="4"/>
  <c r="BC39" i="4"/>
  <c r="BG50" i="4"/>
  <c r="AY50" i="4"/>
  <c r="AX50" i="4"/>
  <c r="BH50" i="4"/>
  <c r="BH51" i="4" s="1"/>
  <c r="AZ50" i="4"/>
  <c r="BG58" i="4"/>
  <c r="BG74" i="4" s="1"/>
  <c r="BI27" i="4"/>
  <c r="BC20" i="7" s="1"/>
  <c r="BF50" i="4"/>
  <c r="BH27" i="4"/>
  <c r="BE58" i="4"/>
  <c r="BE74" i="4" s="1"/>
  <c r="BG27" i="4"/>
  <c r="BF39" i="4"/>
  <c r="AV50" i="4"/>
  <c r="BI16" i="6"/>
  <c r="BA50" i="4"/>
  <c r="BE39" i="4"/>
  <c r="BD39" i="4"/>
  <c r="BE50" i="4"/>
  <c r="BD50" i="4"/>
  <c r="BB39" i="4"/>
  <c r="BC50" i="4"/>
  <c r="BA39" i="4"/>
  <c r="BB50" i="4"/>
  <c r="BH58" i="4"/>
  <c r="BH74" i="4" s="1"/>
  <c r="BF58" i="4"/>
  <c r="BF74" i="4" s="1"/>
  <c r="BE14" i="7"/>
  <c r="BF14" i="7"/>
  <c r="BI55" i="6"/>
  <c r="BJ55" i="6"/>
  <c r="BK55" i="6"/>
  <c r="BL55" i="6"/>
  <c r="BM55" i="6"/>
  <c r="BI54" i="6"/>
  <c r="BK54" i="6"/>
  <c r="BL54" i="6"/>
  <c r="BM54" i="6"/>
  <c r="BI53" i="6"/>
  <c r="BK53" i="6"/>
  <c r="BL53" i="6"/>
  <c r="BM53" i="6"/>
  <c r="BI52" i="6"/>
  <c r="BK52" i="6"/>
  <c r="BL52" i="6"/>
  <c r="BM52" i="6"/>
  <c r="BI51" i="6"/>
  <c r="BJ51" i="6"/>
  <c r="BK51" i="6"/>
  <c r="BL51" i="6"/>
  <c r="BM51" i="6"/>
  <c r="BI50" i="6"/>
  <c r="BJ50" i="6"/>
  <c r="BK50" i="6"/>
  <c r="BL50" i="6"/>
  <c r="BM50" i="6"/>
  <c r="BI49" i="6"/>
  <c r="BK49" i="6"/>
  <c r="BL49" i="6"/>
  <c r="BM49" i="6"/>
  <c r="BI45" i="6"/>
  <c r="BK45" i="6"/>
  <c r="BL45" i="6"/>
  <c r="BM45" i="6"/>
  <c r="BM42" i="6" s="1"/>
  <c r="CK36" i="5" s="1"/>
  <c r="BI44" i="6"/>
  <c r="BJ44" i="6"/>
  <c r="BK44" i="6"/>
  <c r="BL44" i="6"/>
  <c r="BI43" i="6"/>
  <c r="BJ43" i="6"/>
  <c r="BK43" i="6"/>
  <c r="BI39" i="6"/>
  <c r="BJ39" i="6"/>
  <c r="BI38" i="6"/>
  <c r="BJ38" i="6"/>
  <c r="BI36" i="6"/>
  <c r="BI31" i="6"/>
  <c r="BK16" i="5" s="1"/>
  <c r="BD11" i="7"/>
  <c r="BF11" i="7"/>
  <c r="BJ30" i="6"/>
  <c r="BI27" i="6"/>
  <c r="BI26" i="6"/>
  <c r="BJ25" i="6"/>
  <c r="BI10" i="6"/>
  <c r="BI8" i="6"/>
  <c r="CG32" i="5" s="1"/>
  <c r="BJ8" i="6"/>
  <c r="CH32" i="5" s="1"/>
  <c r="BK8" i="6"/>
  <c r="CI32" i="5" s="1"/>
  <c r="BL8" i="6"/>
  <c r="CJ32" i="5" s="1"/>
  <c r="BM8" i="6"/>
  <c r="CK32" i="5" s="1"/>
  <c r="BN8" i="6"/>
  <c r="CL32" i="5" s="1"/>
  <c r="BI7" i="6"/>
  <c r="CG33" i="5" s="1"/>
  <c r="BJ7" i="6"/>
  <c r="CH33" i="5" s="1"/>
  <c r="BK7" i="6"/>
  <c r="CI33" i="5" s="1"/>
  <c r="BL7" i="6"/>
  <c r="CJ33" i="5" s="1"/>
  <c r="BM7" i="6"/>
  <c r="CK33" i="5" s="1"/>
  <c r="BN7" i="6"/>
  <c r="CL33" i="5" s="1"/>
  <c r="BI6" i="6"/>
  <c r="BJ6" i="6"/>
  <c r="BK6" i="6"/>
  <c r="BL6" i="6"/>
  <c r="CJ31" i="5" s="1"/>
  <c r="BM6" i="6"/>
  <c r="BN6" i="6"/>
  <c r="BH18" i="7" s="1"/>
  <c r="AX85" i="4"/>
  <c r="AY85" i="4"/>
  <c r="AZ85" i="4"/>
  <c r="AX78" i="4"/>
  <c r="AY78" i="4"/>
  <c r="AZ78" i="4"/>
  <c r="BA78" i="4"/>
  <c r="BB78" i="4"/>
  <c r="BC78" i="4"/>
  <c r="BD78" i="4"/>
  <c r="BE78" i="4"/>
  <c r="BF78" i="4"/>
  <c r="BG78" i="4"/>
  <c r="BH78" i="4"/>
  <c r="AX75" i="4"/>
  <c r="AY75" i="4"/>
  <c r="AZ75" i="4"/>
  <c r="AX67" i="4"/>
  <c r="AY67" i="4"/>
  <c r="AZ67" i="4"/>
  <c r="AX62" i="4"/>
  <c r="AY62" i="4"/>
  <c r="AZ62" i="4"/>
  <c r="BA62" i="4"/>
  <c r="BB62" i="4"/>
  <c r="BC62" i="4"/>
  <c r="AX59" i="4"/>
  <c r="AY59" i="4"/>
  <c r="AZ59" i="4"/>
  <c r="AV32" i="4"/>
  <c r="AX32" i="4"/>
  <c r="AY32" i="4"/>
  <c r="AZ32" i="4"/>
  <c r="AX31" i="4"/>
  <c r="AY31" i="4"/>
  <c r="AZ31" i="4"/>
  <c r="BE20" i="7"/>
  <c r="AV21" i="4"/>
  <c r="AW21" i="4"/>
  <c r="AX21" i="4"/>
  <c r="AY21" i="4"/>
  <c r="AZ21" i="4"/>
  <c r="BA21" i="4"/>
  <c r="AX14" i="4"/>
  <c r="AY14" i="4"/>
  <c r="AZ14" i="4"/>
  <c r="BA14" i="4"/>
  <c r="BB14" i="4"/>
  <c r="BC14" i="4"/>
  <c r="BD14" i="4"/>
  <c r="AX9" i="4"/>
  <c r="AY9" i="4"/>
  <c r="AZ9" i="4"/>
  <c r="BA9" i="4"/>
  <c r="BB9" i="4"/>
  <c r="BC9" i="4"/>
  <c r="BD9" i="4"/>
  <c r="BI14" i="6" l="1"/>
  <c r="BI13" i="6"/>
  <c r="BE51" i="4"/>
  <c r="BE84" i="4"/>
  <c r="BE88" i="4" s="1"/>
  <c r="BE90" i="4" s="1"/>
  <c r="BE92" i="4" s="1"/>
  <c r="CK40" i="5"/>
  <c r="CK31" i="5"/>
  <c r="CL31" i="5"/>
  <c r="CL40" i="5"/>
  <c r="BG84" i="4"/>
  <c r="BG88" i="4" s="1"/>
  <c r="BG90" i="4" s="1"/>
  <c r="BG92" i="4" s="1"/>
  <c r="BF51" i="4"/>
  <c r="CJ40" i="5"/>
  <c r="CI31" i="5"/>
  <c r="CI40" i="5"/>
  <c r="CG40" i="5"/>
  <c r="CG31" i="5"/>
  <c r="CH40" i="5"/>
  <c r="CH31" i="5"/>
  <c r="CH44" i="5"/>
  <c r="CH34" i="5"/>
  <c r="CG35" i="5"/>
  <c r="BC51" i="4"/>
  <c r="BG51" i="4"/>
  <c r="BA51" i="4"/>
  <c r="BL48" i="6"/>
  <c r="BI42" i="6"/>
  <c r="CG36" i="5" s="1"/>
  <c r="BL42" i="6"/>
  <c r="AX39" i="4"/>
  <c r="AX51" i="4" s="1"/>
  <c r="AY39" i="4"/>
  <c r="AY51" i="4" s="1"/>
  <c r="BB51" i="4"/>
  <c r="AZ39" i="4"/>
  <c r="AZ51" i="4" s="1"/>
  <c r="BC14" i="7"/>
  <c r="BD51" i="4"/>
  <c r="BI25" i="6"/>
  <c r="BC24" i="7" s="1"/>
  <c r="BI48" i="6"/>
  <c r="BM47" i="5"/>
  <c r="BE24" i="7"/>
  <c r="BH7" i="7"/>
  <c r="BP8" i="5"/>
  <c r="BH24" i="7"/>
  <c r="BP19" i="5"/>
  <c r="BP47" i="5"/>
  <c r="BN8" i="5"/>
  <c r="BN47" i="5"/>
  <c r="BF24" i="7"/>
  <c r="BI30" i="6"/>
  <c r="BK42" i="6"/>
  <c r="BG18" i="7"/>
  <c r="BO8" i="5"/>
  <c r="BO47" i="5"/>
  <c r="BG24" i="7"/>
  <c r="BM48" i="6"/>
  <c r="BK48" i="6"/>
  <c r="BF84" i="4"/>
  <c r="BF88" i="4" s="1"/>
  <c r="BF90" i="4" s="1"/>
  <c r="BF92" i="4" s="1"/>
  <c r="BH84" i="4"/>
  <c r="BH88" i="4" s="1"/>
  <c r="BH90" i="4" s="1"/>
  <c r="BH92" i="4" s="1"/>
  <c r="BE17" i="7"/>
  <c r="BG7" i="7"/>
  <c r="BM16" i="5"/>
  <c r="BE11" i="7"/>
  <c r="BF18" i="7"/>
  <c r="BF17" i="7"/>
  <c r="BP16" i="5"/>
  <c r="BL5" i="6"/>
  <c r="BN6" i="7" s="1"/>
  <c r="BK5" i="6"/>
  <c r="BM6" i="7" s="1"/>
  <c r="BI5" i="6"/>
  <c r="BK6" i="7" s="1"/>
  <c r="BF7" i="7"/>
  <c r="BL19" i="5"/>
  <c r="BD24" i="7"/>
  <c r="BF10" i="7"/>
  <c r="BD10" i="7"/>
  <c r="BL46" i="6"/>
  <c r="BJ46" i="6"/>
  <c r="BE18" i="7"/>
  <c r="BC18" i="7"/>
  <c r="BC17" i="7"/>
  <c r="BK47" i="5"/>
  <c r="BE7" i="7"/>
  <c r="BM20" i="5"/>
  <c r="BM19" i="5"/>
  <c r="BE10" i="7"/>
  <c r="BC11" i="7"/>
  <c r="BC10" i="7"/>
  <c r="BM46" i="6"/>
  <c r="BK46" i="6"/>
  <c r="BI46" i="6"/>
  <c r="BM6" i="5"/>
  <c r="BM8" i="5"/>
  <c r="BN16" i="5"/>
  <c r="BL16" i="5"/>
  <c r="BN19" i="5"/>
  <c r="BO19" i="5"/>
  <c r="BN5" i="6"/>
  <c r="BM5" i="6"/>
  <c r="BJ52" i="6"/>
  <c r="BJ53" i="6"/>
  <c r="BJ44" i="4"/>
  <c r="BJ42" i="4" s="1"/>
  <c r="BJ50" i="4" s="1"/>
  <c r="BJ51" i="4" s="1"/>
  <c r="BJ66" i="4"/>
  <c r="BJ22" i="6"/>
  <c r="BJ64" i="4"/>
  <c r="CK43" i="5" l="1"/>
  <c r="BG25" i="7"/>
  <c r="BO6" i="7"/>
  <c r="CL43" i="5"/>
  <c r="BH22" i="7"/>
  <c r="BH25" i="7"/>
  <c r="BP6" i="7"/>
  <c r="BH19" i="7"/>
  <c r="BJ62" i="4"/>
  <c r="BJ58" i="4" s="1"/>
  <c r="BJ74" i="4" s="1"/>
  <c r="BJ84" i="4" s="1"/>
  <c r="BJ88" i="4" s="1"/>
  <c r="BJ90" i="4" s="1"/>
  <c r="BJ92" i="4" s="1"/>
  <c r="BC15" i="7"/>
  <c r="CG43" i="5"/>
  <c r="CI36" i="5"/>
  <c r="BM15" i="5"/>
  <c r="CI43" i="5"/>
  <c r="BN24" i="5"/>
  <c r="CJ43" i="5"/>
  <c r="CG44" i="5"/>
  <c r="CG34" i="5"/>
  <c r="BQ30" i="5"/>
  <c r="CJ36" i="5"/>
  <c r="BN27" i="5"/>
  <c r="BC22" i="7"/>
  <c r="BE22" i="7"/>
  <c r="BN10" i="5"/>
  <c r="BK27" i="5"/>
  <c r="BM9" i="5"/>
  <c r="BJ16" i="6"/>
  <c r="BJ13" i="6" s="1"/>
  <c r="BK15" i="5"/>
  <c r="BK19" i="5"/>
  <c r="BM26" i="5"/>
  <c r="BC23" i="7"/>
  <c r="BK9" i="5"/>
  <c r="BH15" i="7"/>
  <c r="BP30" i="5"/>
  <c r="BH8" i="7"/>
  <c r="BH5" i="7"/>
  <c r="BP21" i="5"/>
  <c r="BP9" i="5"/>
  <c r="BP10" i="5"/>
  <c r="BM24" i="5"/>
  <c r="BE25" i="7"/>
  <c r="BG15" i="7"/>
  <c r="BG13" i="7"/>
  <c r="BO30" i="5"/>
  <c r="BG5" i="7"/>
  <c r="BM14" i="5"/>
  <c r="BM7" i="5"/>
  <c r="BE5" i="7"/>
  <c r="BE8" i="7"/>
  <c r="BM27" i="5"/>
  <c r="BN9" i="5"/>
  <c r="BF22" i="7"/>
  <c r="BN30" i="5"/>
  <c r="BF25" i="7"/>
  <c r="BN7" i="5"/>
  <c r="BN21" i="5"/>
  <c r="BG19" i="7"/>
  <c r="BP27" i="5"/>
  <c r="BP25" i="5"/>
  <c r="BP24" i="5"/>
  <c r="BP26" i="5"/>
  <c r="BP7" i="5"/>
  <c r="BO26" i="5"/>
  <c r="BO9" i="5"/>
  <c r="BO7" i="5"/>
  <c r="BG22" i="7"/>
  <c r="BO27" i="5"/>
  <c r="BO25" i="5"/>
  <c r="BO24" i="5"/>
  <c r="BO21" i="5"/>
  <c r="BM21" i="5"/>
  <c r="BE19" i="7"/>
  <c r="BM25" i="5"/>
  <c r="BN14" i="5"/>
  <c r="BF5" i="7"/>
  <c r="BF8" i="7"/>
  <c r="BN25" i="5"/>
  <c r="BN15" i="5"/>
  <c r="BJ49" i="6"/>
  <c r="BJ54" i="6"/>
  <c r="BE15" i="7"/>
  <c r="BE13" i="7"/>
  <c r="BF15" i="7"/>
  <c r="BF13" i="7"/>
  <c r="BP15" i="5"/>
  <c r="BF19" i="7"/>
  <c r="BO15" i="5"/>
  <c r="BO14" i="5"/>
  <c r="BG8" i="7"/>
  <c r="BO10" i="5"/>
  <c r="BP14" i="5"/>
  <c r="BN26" i="5"/>
  <c r="BK26" i="5"/>
  <c r="BK25" i="5"/>
  <c r="BK24" i="5"/>
  <c r="BC13" i="7"/>
  <c r="BC25" i="7"/>
  <c r="BK21" i="5"/>
  <c r="BC19" i="7"/>
  <c r="BC8" i="7"/>
  <c r="BC7" i="7"/>
  <c r="BC5" i="7"/>
  <c r="BC4" i="7"/>
  <c r="BK8" i="5"/>
  <c r="BK7" i="5"/>
  <c r="BK6" i="5"/>
  <c r="BK20" i="5"/>
  <c r="BM10" i="5"/>
  <c r="BJ7" i="4"/>
  <c r="BJ5" i="4" s="1"/>
  <c r="CH35" i="5" l="1"/>
  <c r="BJ14" i="6"/>
  <c r="BJ45" i="6"/>
  <c r="BJ42" i="6" s="1"/>
  <c r="CH36" i="5" s="1"/>
  <c r="BL8" i="5"/>
  <c r="BL6" i="5"/>
  <c r="BD23" i="7"/>
  <c r="BD7" i="7"/>
  <c r="BL20" i="5"/>
  <c r="BD14" i="7"/>
  <c r="BD4" i="7"/>
  <c r="BJ36" i="6"/>
  <c r="BJ27" i="4"/>
  <c r="BD20" i="7" s="1"/>
  <c r="BJ48" i="6"/>
  <c r="BD18" i="7"/>
  <c r="BJ10" i="6"/>
  <c r="BL47" i="5" s="1"/>
  <c r="BK10" i="5"/>
  <c r="BH55" i="6"/>
  <c r="BE55" i="6"/>
  <c r="BF55" i="6"/>
  <c r="BG55" i="6"/>
  <c r="BE54" i="6"/>
  <c r="BF54" i="6"/>
  <c r="BG54" i="6"/>
  <c r="BH54" i="6"/>
  <c r="BE53" i="6"/>
  <c r="BF53" i="6"/>
  <c r="BG53" i="6"/>
  <c r="BH53" i="6"/>
  <c r="BE52" i="6"/>
  <c r="BF52" i="6"/>
  <c r="BG52" i="6"/>
  <c r="BH52" i="6"/>
  <c r="BE51" i="6"/>
  <c r="BF51" i="6"/>
  <c r="BG51" i="6"/>
  <c r="BH51" i="6"/>
  <c r="BE50" i="6"/>
  <c r="BF50" i="6"/>
  <c r="BG50" i="6"/>
  <c r="BH50" i="6"/>
  <c r="BE49" i="6"/>
  <c r="BF49" i="6"/>
  <c r="BG49" i="6"/>
  <c r="BH49" i="6"/>
  <c r="BE45" i="6"/>
  <c r="BF45" i="6"/>
  <c r="BG45" i="6"/>
  <c r="BH45" i="6"/>
  <c r="BE44" i="6"/>
  <c r="BF44" i="6"/>
  <c r="BG44" i="6"/>
  <c r="BH44" i="6"/>
  <c r="BE43" i="6"/>
  <c r="BF43" i="6"/>
  <c r="BG43" i="6"/>
  <c r="BH43" i="6"/>
  <c r="BE39" i="6"/>
  <c r="BF39" i="6"/>
  <c r="BG39" i="6"/>
  <c r="BH39" i="6"/>
  <c r="BE38" i="6"/>
  <c r="BF38" i="6"/>
  <c r="BG38" i="6"/>
  <c r="BH38" i="6"/>
  <c r="BG36" i="6"/>
  <c r="BH36" i="6"/>
  <c r="BE35" i="6"/>
  <c r="BF35" i="6"/>
  <c r="BG35" i="6"/>
  <c r="BH35" i="6"/>
  <c r="BE34" i="6"/>
  <c r="BF34" i="6"/>
  <c r="BG34" i="6"/>
  <c r="BH34" i="6"/>
  <c r="BE32" i="6"/>
  <c r="BG50" i="5" s="1"/>
  <c r="BF32" i="6"/>
  <c r="BH50" i="5" s="1"/>
  <c r="BG32" i="6"/>
  <c r="BI50" i="5" s="1"/>
  <c r="BH32" i="6"/>
  <c r="BE31" i="6"/>
  <c r="BF31" i="6"/>
  <c r="BG31" i="6"/>
  <c r="BH31" i="6"/>
  <c r="BE27" i="6"/>
  <c r="BF27" i="6"/>
  <c r="BG27" i="6"/>
  <c r="BH27" i="6"/>
  <c r="BE26" i="6"/>
  <c r="BF26" i="6"/>
  <c r="BG26" i="6"/>
  <c r="BH26" i="6"/>
  <c r="BE22" i="6"/>
  <c r="BF22" i="6"/>
  <c r="BG22" i="6"/>
  <c r="BH22" i="6"/>
  <c r="BE20" i="6"/>
  <c r="BF20" i="6"/>
  <c r="BG20" i="6"/>
  <c r="BH20" i="6"/>
  <c r="BE19" i="6"/>
  <c r="BF19" i="6"/>
  <c r="BG19" i="6"/>
  <c r="BH19" i="6"/>
  <c r="BE17" i="6"/>
  <c r="CC41" i="5" s="1"/>
  <c r="BF17" i="6"/>
  <c r="CD41" i="5" s="1"/>
  <c r="BG17" i="6"/>
  <c r="CE41" i="5" s="1"/>
  <c r="BH17" i="6"/>
  <c r="CF41" i="5" s="1"/>
  <c r="BE10" i="6"/>
  <c r="BF10" i="6"/>
  <c r="BG10" i="6"/>
  <c r="BH10" i="6"/>
  <c r="BE8" i="6"/>
  <c r="CC32" i="5" s="1"/>
  <c r="BF8" i="6"/>
  <c r="CD32" i="5" s="1"/>
  <c r="BG8" i="6"/>
  <c r="CE32" i="5" s="1"/>
  <c r="BH8" i="6"/>
  <c r="CF32" i="5" s="1"/>
  <c r="BE7" i="6"/>
  <c r="CC33" i="5" s="1"/>
  <c r="BF7" i="6"/>
  <c r="CD33" i="5" s="1"/>
  <c r="BG7" i="6"/>
  <c r="CE33" i="5" s="1"/>
  <c r="BH7" i="6"/>
  <c r="CF33" i="5" s="1"/>
  <c r="BE6" i="6"/>
  <c r="BF6" i="6"/>
  <c r="BG6" i="6"/>
  <c r="BH6" i="6"/>
  <c r="BD58" i="4"/>
  <c r="BD74" i="4" s="1"/>
  <c r="BE5" i="4"/>
  <c r="BE27" i="4" s="1"/>
  <c r="BF5" i="4"/>
  <c r="BF27" i="4" s="1"/>
  <c r="BJ50" i="5" l="1"/>
  <c r="CC40" i="5"/>
  <c r="CC31" i="5"/>
  <c r="CF31" i="5"/>
  <c r="CF40" i="5"/>
  <c r="CE40" i="5"/>
  <c r="CE31" i="5"/>
  <c r="CD40" i="5"/>
  <c r="CD31" i="5"/>
  <c r="BG25" i="6"/>
  <c r="BA24" i="7" s="1"/>
  <c r="BF30" i="6"/>
  <c r="BH42" i="6"/>
  <c r="CF36" i="5" s="1"/>
  <c r="BE25" i="6"/>
  <c r="BG19" i="5" s="1"/>
  <c r="BH16" i="6"/>
  <c r="BJ5" i="6"/>
  <c r="BL6" i="7" s="1"/>
  <c r="BH25" i="6"/>
  <c r="BJ19" i="5" s="1"/>
  <c r="BH30" i="6"/>
  <c r="BF48" i="6"/>
  <c r="BD84" i="4"/>
  <c r="BD88" i="4" s="1"/>
  <c r="BD90" i="4" s="1"/>
  <c r="BD92" i="4" s="1"/>
  <c r="AY17" i="7"/>
  <c r="BF36" i="6"/>
  <c r="BE36" i="6"/>
  <c r="BD17" i="7"/>
  <c r="BJ47" i="5"/>
  <c r="BB17" i="7"/>
  <c r="BH47" i="5"/>
  <c r="AZ17" i="7"/>
  <c r="BF25" i="6"/>
  <c r="AZ24" i="7" s="1"/>
  <c r="BB10" i="7"/>
  <c r="BB11" i="7"/>
  <c r="AZ10" i="7"/>
  <c r="AZ11" i="7"/>
  <c r="BG46" i="6"/>
  <c r="BE46" i="6"/>
  <c r="BJ16" i="5"/>
  <c r="BH16" i="5"/>
  <c r="BI47" i="5"/>
  <c r="BA17" i="7"/>
  <c r="BF16" i="6"/>
  <c r="BA11" i="7"/>
  <c r="BA10" i="7"/>
  <c r="AY11" i="7"/>
  <c r="AY10" i="7"/>
  <c r="BF42" i="6"/>
  <c r="CD36" i="5" s="1"/>
  <c r="BH46" i="6"/>
  <c r="BF46" i="6"/>
  <c r="BH48" i="6"/>
  <c r="BI16" i="5"/>
  <c r="BG16" i="5"/>
  <c r="AZ14" i="7"/>
  <c r="BB14" i="7"/>
  <c r="AX14" i="7"/>
  <c r="BA14" i="7"/>
  <c r="AY14" i="7"/>
  <c r="BB18" i="7"/>
  <c r="AZ18" i="7"/>
  <c r="BA18" i="7"/>
  <c r="AY18" i="7"/>
  <c r="BG47" i="5"/>
  <c r="BJ54" i="4"/>
  <c r="BG48" i="6"/>
  <c r="BE48" i="6"/>
  <c r="BG42" i="6"/>
  <c r="CE36" i="5" s="1"/>
  <c r="BE42" i="6"/>
  <c r="CC36" i="5" s="1"/>
  <c r="BG30" i="6"/>
  <c r="BE30" i="6"/>
  <c r="BG16" i="6"/>
  <c r="BE16" i="6"/>
  <c r="AV31" i="4"/>
  <c r="AW31" i="4"/>
  <c r="AT21" i="4"/>
  <c r="AU21" i="4"/>
  <c r="BA5" i="4"/>
  <c r="BA27" i="4" s="1"/>
  <c r="BB5" i="4"/>
  <c r="BB27" i="4" s="1"/>
  <c r="BC5" i="4"/>
  <c r="BC27" i="4" s="1"/>
  <c r="BD5" i="4"/>
  <c r="BD27" i="4" s="1"/>
  <c r="BH13" i="6" l="1"/>
  <c r="BH14" i="6" s="1"/>
  <c r="BF13" i="6"/>
  <c r="BF14" i="6" s="1"/>
  <c r="BG14" i="6"/>
  <c r="BG13" i="6"/>
  <c r="BI8" i="5" s="1"/>
  <c r="BE13" i="6"/>
  <c r="BG8" i="5" s="1"/>
  <c r="CE44" i="5"/>
  <c r="CE34" i="5"/>
  <c r="CF44" i="5"/>
  <c r="CF34" i="5"/>
  <c r="CD35" i="5"/>
  <c r="CH43" i="5"/>
  <c r="BJ6" i="5"/>
  <c r="CF35" i="5"/>
  <c r="CE35" i="5"/>
  <c r="CD44" i="5"/>
  <c r="CD34" i="5"/>
  <c r="CC44" i="5"/>
  <c r="CC34" i="5"/>
  <c r="BL25" i="5"/>
  <c r="AY24" i="7"/>
  <c r="BI19" i="5"/>
  <c r="BJ8" i="5"/>
  <c r="BB24" i="7"/>
  <c r="BB7" i="7"/>
  <c r="BB4" i="7"/>
  <c r="BL14" i="5"/>
  <c r="BL27" i="5"/>
  <c r="BL30" i="5"/>
  <c r="BL26" i="5"/>
  <c r="BL10" i="5"/>
  <c r="AZ23" i="7"/>
  <c r="BD13" i="7"/>
  <c r="BD22" i="7"/>
  <c r="BL7" i="5"/>
  <c r="BL15" i="5"/>
  <c r="BL24" i="5"/>
  <c r="BD5" i="7"/>
  <c r="BL9" i="5"/>
  <c r="BJ20" i="5"/>
  <c r="BB23" i="7"/>
  <c r="BH19" i="5"/>
  <c r="BD8" i="7"/>
  <c r="BL21" i="5"/>
  <c r="BM30" i="5"/>
  <c r="AZ7" i="7"/>
  <c r="BH6" i="5"/>
  <c r="BD15" i="7"/>
  <c r="BD19" i="7"/>
  <c r="BD25" i="7"/>
  <c r="AZ4" i="7"/>
  <c r="AW20" i="7"/>
  <c r="AX20" i="7"/>
  <c r="AV20" i="7"/>
  <c r="BH8" i="5"/>
  <c r="BH20" i="5"/>
  <c r="BG20" i="5"/>
  <c r="BA23" i="7"/>
  <c r="BA4" i="7"/>
  <c r="BI20" i="5"/>
  <c r="BI6" i="5"/>
  <c r="BA7" i="7"/>
  <c r="BB20" i="7"/>
  <c r="BH5" i="6"/>
  <c r="CF43" i="5" s="1"/>
  <c r="AZ20" i="7"/>
  <c r="BF5" i="6"/>
  <c r="CD43" i="5" s="1"/>
  <c r="BA20" i="7"/>
  <c r="BG5" i="6"/>
  <c r="CE43" i="5" s="1"/>
  <c r="AY20" i="7"/>
  <c r="BE5" i="6"/>
  <c r="CC43" i="5" s="1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AX55" i="6"/>
  <c r="AY55" i="6"/>
  <c r="AZ55" i="6"/>
  <c r="BA55" i="6"/>
  <c r="BB55" i="6"/>
  <c r="BC55" i="6"/>
  <c r="BD55" i="6"/>
  <c r="AM54" i="6"/>
  <c r="AN54" i="6"/>
  <c r="AO54" i="6"/>
  <c r="AP54" i="6"/>
  <c r="AQ54" i="6"/>
  <c r="AR54" i="6"/>
  <c r="AS54" i="6"/>
  <c r="AT54" i="6"/>
  <c r="AU54" i="6"/>
  <c r="AV54" i="6"/>
  <c r="AX54" i="6"/>
  <c r="AY54" i="6"/>
  <c r="AZ54" i="6"/>
  <c r="BA54" i="6"/>
  <c r="BB54" i="6"/>
  <c r="BC54" i="6"/>
  <c r="BD54" i="6"/>
  <c r="AK53" i="6"/>
  <c r="AL53" i="6"/>
  <c r="AM53" i="6"/>
  <c r="AN53" i="6"/>
  <c r="AO53" i="6"/>
  <c r="AP53" i="6"/>
  <c r="AQ53" i="6"/>
  <c r="AR53" i="6"/>
  <c r="AS53" i="6"/>
  <c r="AT53" i="6"/>
  <c r="AU53" i="6"/>
  <c r="AV53" i="6"/>
  <c r="AX53" i="6"/>
  <c r="AY53" i="6"/>
  <c r="AZ53" i="6"/>
  <c r="BA53" i="6"/>
  <c r="BB53" i="6"/>
  <c r="BC53" i="6"/>
  <c r="BD53" i="6"/>
  <c r="AM52" i="6"/>
  <c r="AN52" i="6"/>
  <c r="AO52" i="6"/>
  <c r="AP52" i="6"/>
  <c r="AQ52" i="6"/>
  <c r="AR52" i="6"/>
  <c r="AS52" i="6"/>
  <c r="AT52" i="6"/>
  <c r="AU52" i="6"/>
  <c r="AV52" i="6"/>
  <c r="AX52" i="6"/>
  <c r="AY52" i="6"/>
  <c r="AZ52" i="6"/>
  <c r="BA52" i="6"/>
  <c r="BB52" i="6"/>
  <c r="BC52" i="6"/>
  <c r="BD52" i="6"/>
  <c r="AO51" i="6"/>
  <c r="AP51" i="6"/>
  <c r="AQ51" i="6"/>
  <c r="AR51" i="6"/>
  <c r="AS51" i="6"/>
  <c r="AT51" i="6"/>
  <c r="AU51" i="6"/>
  <c r="AV51" i="6"/>
  <c r="AW51" i="6"/>
  <c r="AX51" i="6"/>
  <c r="AY51" i="6"/>
  <c r="AZ51" i="6"/>
  <c r="BA51" i="6"/>
  <c r="BB51" i="6"/>
  <c r="BC51" i="6"/>
  <c r="BD51" i="6"/>
  <c r="AM50" i="6"/>
  <c r="AN50" i="6"/>
  <c r="AO50" i="6"/>
  <c r="AP50" i="6"/>
  <c r="AQ50" i="6"/>
  <c r="AR50" i="6"/>
  <c r="AS50" i="6"/>
  <c r="AT50" i="6"/>
  <c r="AU50" i="6"/>
  <c r="AV50" i="6"/>
  <c r="AW50" i="6"/>
  <c r="AX50" i="6"/>
  <c r="AY50" i="6"/>
  <c r="AZ50" i="6"/>
  <c r="BA50" i="6"/>
  <c r="BB50" i="6"/>
  <c r="BC50" i="6"/>
  <c r="BD50" i="6"/>
  <c r="AS49" i="6"/>
  <c r="AT49" i="6"/>
  <c r="AU49" i="6"/>
  <c r="AV49" i="6"/>
  <c r="AX49" i="6"/>
  <c r="AY49" i="6"/>
  <c r="AZ49" i="6"/>
  <c r="BA49" i="6"/>
  <c r="BB49" i="6"/>
  <c r="BC49" i="6"/>
  <c r="BD49" i="6"/>
  <c r="AX45" i="6"/>
  <c r="AY45" i="6"/>
  <c r="AZ45" i="6"/>
  <c r="BA45" i="6"/>
  <c r="BB45" i="6"/>
  <c r="BC45" i="6"/>
  <c r="BD45" i="6"/>
  <c r="AW44" i="6"/>
  <c r="AX44" i="6"/>
  <c r="AY44" i="6"/>
  <c r="AZ44" i="6"/>
  <c r="BA44" i="6"/>
  <c r="BB44" i="6"/>
  <c r="BC44" i="6"/>
  <c r="BD44" i="6"/>
  <c r="AX43" i="6"/>
  <c r="AY43" i="6"/>
  <c r="AZ43" i="6"/>
  <c r="BA43" i="6"/>
  <c r="BB43" i="6"/>
  <c r="BC43" i="6"/>
  <c r="BD43" i="6"/>
  <c r="AW39" i="6"/>
  <c r="AX39" i="6"/>
  <c r="AY39" i="6"/>
  <c r="AZ39" i="6"/>
  <c r="BA39" i="6"/>
  <c r="BB39" i="6"/>
  <c r="BC39" i="6"/>
  <c r="BD39" i="6"/>
  <c r="AW38" i="6"/>
  <c r="AX38" i="6"/>
  <c r="AY38" i="6"/>
  <c r="AZ38" i="6"/>
  <c r="BA38" i="6"/>
  <c r="BB38" i="6"/>
  <c r="BC38" i="6"/>
  <c r="BD38" i="6"/>
  <c r="BA36" i="6"/>
  <c r="BB36" i="6"/>
  <c r="BC36" i="6"/>
  <c r="BD36" i="6"/>
  <c r="X35" i="6"/>
  <c r="AB35" i="6"/>
  <c r="AF35" i="6"/>
  <c r="AZ35" i="6"/>
  <c r="BB35" i="6"/>
  <c r="BC35" i="6"/>
  <c r="BD35" i="6"/>
  <c r="AH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BD34" i="6"/>
  <c r="AX32" i="6"/>
  <c r="AY32" i="6"/>
  <c r="AZ32" i="6"/>
  <c r="BA32" i="6"/>
  <c r="BB32" i="6"/>
  <c r="BD50" i="5" s="1"/>
  <c r="BC32" i="6"/>
  <c r="BD32" i="6"/>
  <c r="AX31" i="6"/>
  <c r="AY31" i="6"/>
  <c r="AZ31" i="6"/>
  <c r="BA31" i="6"/>
  <c r="BB31" i="6"/>
  <c r="BC31" i="6"/>
  <c r="BD31" i="6"/>
  <c r="AX27" i="6"/>
  <c r="AY27" i="6"/>
  <c r="AZ27" i="6"/>
  <c r="BA27" i="6"/>
  <c r="BB27" i="6"/>
  <c r="BC27" i="6"/>
  <c r="BD27" i="6"/>
  <c r="AX26" i="6"/>
  <c r="AY26" i="6"/>
  <c r="AZ26" i="6"/>
  <c r="BA26" i="6"/>
  <c r="BB26" i="6"/>
  <c r="BC26" i="6"/>
  <c r="BD26" i="6"/>
  <c r="AX22" i="6"/>
  <c r="AY22" i="6"/>
  <c r="AZ22" i="6"/>
  <c r="BA22" i="6"/>
  <c r="BB22" i="6"/>
  <c r="BC22" i="6"/>
  <c r="BD22" i="6"/>
  <c r="AX20" i="6"/>
  <c r="AY20" i="6"/>
  <c r="AZ20" i="6"/>
  <c r="BA20" i="6"/>
  <c r="BB20" i="6"/>
  <c r="BC20" i="6"/>
  <c r="BD20" i="6"/>
  <c r="AX19" i="6"/>
  <c r="AY19" i="6"/>
  <c r="AZ19" i="6"/>
  <c r="BA19" i="6"/>
  <c r="BB19" i="6"/>
  <c r="BC19" i="6"/>
  <c r="BD19" i="6"/>
  <c r="AX17" i="6"/>
  <c r="BV41" i="5" s="1"/>
  <c r="AY17" i="6"/>
  <c r="BW41" i="5" s="1"/>
  <c r="AZ17" i="6"/>
  <c r="BX41" i="5" s="1"/>
  <c r="BA17" i="6"/>
  <c r="BY41" i="5" s="1"/>
  <c r="BB17" i="6"/>
  <c r="BZ41" i="5" s="1"/>
  <c r="BC17" i="6"/>
  <c r="CA41" i="5" s="1"/>
  <c r="BD17" i="6"/>
  <c r="CB41" i="5" s="1"/>
  <c r="AK10" i="6"/>
  <c r="AL10" i="6"/>
  <c r="AM10" i="6"/>
  <c r="AN10" i="6"/>
  <c r="AO10" i="6"/>
  <c r="AP10" i="6"/>
  <c r="AQ10" i="6"/>
  <c r="AR10" i="6"/>
  <c r="AS10" i="6"/>
  <c r="AT10" i="6"/>
  <c r="AU10" i="6"/>
  <c r="AV10" i="6"/>
  <c r="AX10" i="6"/>
  <c r="AY10" i="6"/>
  <c r="AZ10" i="6"/>
  <c r="BA10" i="6"/>
  <c r="AU17" i="7" s="1"/>
  <c r="BB10" i="6"/>
  <c r="AV17" i="7" s="1"/>
  <c r="BC10" i="6"/>
  <c r="AW17" i="7" s="1"/>
  <c r="BD10" i="6"/>
  <c r="AX17" i="7" s="1"/>
  <c r="BL42" i="5"/>
  <c r="AM8" i="6"/>
  <c r="BK32" i="5" s="1"/>
  <c r="AN8" i="6"/>
  <c r="BL32" i="5" s="1"/>
  <c r="AO8" i="6"/>
  <c r="BM32" i="5" s="1"/>
  <c r="AP8" i="6"/>
  <c r="BN32" i="5" s="1"/>
  <c r="AQ8" i="6"/>
  <c r="BO32" i="5" s="1"/>
  <c r="AR8" i="6"/>
  <c r="BP32" i="5" s="1"/>
  <c r="AS8" i="6"/>
  <c r="BQ32" i="5" s="1"/>
  <c r="AT8" i="6"/>
  <c r="BR32" i="5" s="1"/>
  <c r="AU8" i="6"/>
  <c r="AV8" i="6"/>
  <c r="BT32" i="5" s="1"/>
  <c r="AW8" i="6"/>
  <c r="BU32" i="5" s="1"/>
  <c r="AX8" i="6"/>
  <c r="BV32" i="5" s="1"/>
  <c r="AY8" i="6"/>
  <c r="BW32" i="5" s="1"/>
  <c r="AZ8" i="6"/>
  <c r="BX32" i="5" s="1"/>
  <c r="BA8" i="6"/>
  <c r="BY32" i="5" s="1"/>
  <c r="BB8" i="6"/>
  <c r="BZ32" i="5" s="1"/>
  <c r="BC8" i="6"/>
  <c r="CA32" i="5" s="1"/>
  <c r="BD8" i="6"/>
  <c r="CB32" i="5" s="1"/>
  <c r="AO7" i="6"/>
  <c r="BM33" i="5" s="1"/>
  <c r="AP7" i="6"/>
  <c r="BN33" i="5" s="1"/>
  <c r="AQ7" i="6"/>
  <c r="BO33" i="5" s="1"/>
  <c r="AR7" i="6"/>
  <c r="BP33" i="5" s="1"/>
  <c r="AS7" i="6"/>
  <c r="BQ33" i="5" s="1"/>
  <c r="AT7" i="6"/>
  <c r="BR33" i="5" s="1"/>
  <c r="AU7" i="6"/>
  <c r="BS33" i="5" s="1"/>
  <c r="AV7" i="6"/>
  <c r="BT33" i="5" s="1"/>
  <c r="AW7" i="6"/>
  <c r="BU33" i="5" s="1"/>
  <c r="AX7" i="6"/>
  <c r="BV33" i="5" s="1"/>
  <c r="AY7" i="6"/>
  <c r="BW33" i="5" s="1"/>
  <c r="AZ7" i="6"/>
  <c r="BX33" i="5" s="1"/>
  <c r="BA7" i="6"/>
  <c r="BY33" i="5" s="1"/>
  <c r="BB7" i="6"/>
  <c r="BZ33" i="5" s="1"/>
  <c r="BC7" i="6"/>
  <c r="CA33" i="5" s="1"/>
  <c r="BD7" i="6"/>
  <c r="CB33" i="5" s="1"/>
  <c r="AV6" i="6"/>
  <c r="BT31" i="5" s="1"/>
  <c r="AW6" i="6"/>
  <c r="BU31" i="5" s="1"/>
  <c r="AX6" i="6"/>
  <c r="BV31" i="5" s="1"/>
  <c r="AY6" i="6"/>
  <c r="BW31" i="5" s="1"/>
  <c r="AZ6" i="6"/>
  <c r="BA6" i="6"/>
  <c r="BB6" i="6"/>
  <c r="BC6" i="6"/>
  <c r="BD6" i="6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R78" i="4"/>
  <c r="AS78" i="4"/>
  <c r="AT78" i="4"/>
  <c r="AU78" i="4"/>
  <c r="AV78" i="4"/>
  <c r="AH75" i="4"/>
  <c r="AH55" i="6" s="1"/>
  <c r="AI75" i="4"/>
  <c r="AI55" i="6" s="1"/>
  <c r="AJ75" i="4"/>
  <c r="AJ55" i="6" s="1"/>
  <c r="AK75" i="4"/>
  <c r="AK55" i="6" s="1"/>
  <c r="AL75" i="4"/>
  <c r="AL55" i="6" s="1"/>
  <c r="AM75" i="4"/>
  <c r="AM55" i="6" s="1"/>
  <c r="AN75" i="4"/>
  <c r="AN55" i="6" s="1"/>
  <c r="AO75" i="4"/>
  <c r="AO55" i="6" s="1"/>
  <c r="AP75" i="4"/>
  <c r="AP55" i="6" s="1"/>
  <c r="AQ75" i="4"/>
  <c r="AQ55" i="6" s="1"/>
  <c r="AR75" i="4"/>
  <c r="AR55" i="6" s="1"/>
  <c r="AS75" i="4"/>
  <c r="AS55" i="6" s="1"/>
  <c r="AT75" i="4"/>
  <c r="AT55" i="6" s="1"/>
  <c r="AU75" i="4"/>
  <c r="AU55" i="6" s="1"/>
  <c r="AV75" i="4"/>
  <c r="AV55" i="6" s="1"/>
  <c r="AW75" i="4"/>
  <c r="AW55" i="6" s="1"/>
  <c r="AO67" i="4"/>
  <c r="AP67" i="4"/>
  <c r="AQ67" i="4"/>
  <c r="AR67" i="4"/>
  <c r="AS67" i="4"/>
  <c r="AT67" i="4"/>
  <c r="AU67" i="4"/>
  <c r="AV67" i="4"/>
  <c r="AM62" i="4"/>
  <c r="AN62" i="4"/>
  <c r="AO62" i="4"/>
  <c r="AP62" i="4"/>
  <c r="AQ62" i="4"/>
  <c r="AR62" i="4"/>
  <c r="AS62" i="4"/>
  <c r="AT62" i="4"/>
  <c r="AU62" i="4"/>
  <c r="AV62" i="4"/>
  <c r="AP59" i="4"/>
  <c r="AQ59" i="4"/>
  <c r="AR59" i="4"/>
  <c r="AS59" i="4"/>
  <c r="AT59" i="4"/>
  <c r="AU59" i="4"/>
  <c r="AV59" i="4"/>
  <c r="AX58" i="4"/>
  <c r="AX74" i="4" s="1"/>
  <c r="AX84" i="4" s="1"/>
  <c r="AX88" i="4" s="1"/>
  <c r="AX90" i="4" s="1"/>
  <c r="AX92" i="4" s="1"/>
  <c r="AY58" i="4"/>
  <c r="AY74" i="4" s="1"/>
  <c r="AY84" i="4" s="1"/>
  <c r="AY88" i="4" s="1"/>
  <c r="AY90" i="4" s="1"/>
  <c r="AY92" i="4" s="1"/>
  <c r="AZ58" i="4"/>
  <c r="AZ74" i="4" s="1"/>
  <c r="AZ84" i="4" s="1"/>
  <c r="AZ88" i="4" s="1"/>
  <c r="AZ90" i="4" s="1"/>
  <c r="AZ92" i="4" s="1"/>
  <c r="BA58" i="4"/>
  <c r="BA74" i="4" s="1"/>
  <c r="BA84" i="4" s="1"/>
  <c r="BA88" i="4" s="1"/>
  <c r="BA90" i="4" s="1"/>
  <c r="BA92" i="4" s="1"/>
  <c r="BB58" i="4"/>
  <c r="BB74" i="4" s="1"/>
  <c r="BB84" i="4" s="1"/>
  <c r="BB88" i="4" s="1"/>
  <c r="BB90" i="4" s="1"/>
  <c r="BB92" i="4" s="1"/>
  <c r="BC58" i="4"/>
  <c r="BC74" i="4" s="1"/>
  <c r="AN45" i="4"/>
  <c r="AO45" i="4"/>
  <c r="AS42" i="4"/>
  <c r="AS50" i="4" s="1"/>
  <c r="AT42" i="4"/>
  <c r="AT50" i="4" s="1"/>
  <c r="AU42" i="4"/>
  <c r="AU50" i="4" s="1"/>
  <c r="AP32" i="4"/>
  <c r="AQ32" i="4"/>
  <c r="AR32" i="4"/>
  <c r="AS32" i="4"/>
  <c r="AT32" i="4"/>
  <c r="AU32" i="4"/>
  <c r="AO31" i="4"/>
  <c r="AP31" i="4"/>
  <c r="AP6" i="6" s="1"/>
  <c r="BN31" i="5" s="1"/>
  <c r="AQ31" i="4"/>
  <c r="AQ6" i="6" s="1"/>
  <c r="BO31" i="5" s="1"/>
  <c r="AR31" i="4"/>
  <c r="AR6" i="6" s="1"/>
  <c r="BP31" i="5" s="1"/>
  <c r="AS31" i="4"/>
  <c r="AS6" i="6" s="1"/>
  <c r="BQ31" i="5" s="1"/>
  <c r="AT31" i="4"/>
  <c r="AT6" i="6" s="1"/>
  <c r="AU31" i="4"/>
  <c r="AU6" i="6" s="1"/>
  <c r="AU20" i="7"/>
  <c r="BB5" i="6"/>
  <c r="BZ43" i="5" s="1"/>
  <c r="AK21" i="4"/>
  <c r="AL21" i="4"/>
  <c r="AM21" i="4"/>
  <c r="AN21" i="4"/>
  <c r="AO21" i="4"/>
  <c r="AP21" i="4"/>
  <c r="AQ21" i="4"/>
  <c r="AR21" i="4"/>
  <c r="AS21" i="4"/>
  <c r="AR14" i="4"/>
  <c r="AS14" i="4"/>
  <c r="AT14" i="4"/>
  <c r="AU14" i="4"/>
  <c r="AV14" i="4"/>
  <c r="AW14" i="4"/>
  <c r="AT9" i="4"/>
  <c r="AU9" i="4"/>
  <c r="AV9" i="4"/>
  <c r="AY5" i="4"/>
  <c r="AY27" i="4" s="1"/>
  <c r="AZ5" i="4"/>
  <c r="AZ27" i="4" s="1"/>
  <c r="AV5" i="4"/>
  <c r="AX5" i="4"/>
  <c r="AX27" i="4" s="1"/>
  <c r="AR5" i="4"/>
  <c r="AS5" i="4"/>
  <c r="AT5" i="4"/>
  <c r="AU5" i="4"/>
  <c r="AW7" i="4"/>
  <c r="AW5" i="4" s="1"/>
  <c r="BE14" i="6" l="1"/>
  <c r="AY23" i="7"/>
  <c r="AY7" i="7"/>
  <c r="CC35" i="5"/>
  <c r="AY4" i="7"/>
  <c r="BG6" i="5"/>
  <c r="BB50" i="5"/>
  <c r="BI6" i="7"/>
  <c r="BG6" i="7"/>
  <c r="BH6" i="7"/>
  <c r="BJ6" i="7"/>
  <c r="CB40" i="5"/>
  <c r="CB31" i="5"/>
  <c r="BY40" i="5"/>
  <c r="BY31" i="5"/>
  <c r="CA40" i="5"/>
  <c r="CA31" i="5"/>
  <c r="BZ31" i="5"/>
  <c r="BZ40" i="5"/>
  <c r="BX31" i="5"/>
  <c r="BX40" i="5"/>
  <c r="BV40" i="5"/>
  <c r="BS31" i="5"/>
  <c r="BS40" i="5"/>
  <c r="BU40" i="5"/>
  <c r="BW40" i="5"/>
  <c r="BT40" i="5"/>
  <c r="BS32" i="5"/>
  <c r="BR31" i="5"/>
  <c r="BR40" i="5"/>
  <c r="BD30" i="6"/>
  <c r="BD25" i="6"/>
  <c r="AX24" i="7" s="1"/>
  <c r="AY16" i="6"/>
  <c r="AY13" i="6" s="1"/>
  <c r="AY30" i="6"/>
  <c r="BB25" i="6"/>
  <c r="BA30" i="6"/>
  <c r="AZ42" i="6"/>
  <c r="BX36" i="5" s="1"/>
  <c r="BC48" i="6"/>
  <c r="AV58" i="4"/>
  <c r="AV74" i="4" s="1"/>
  <c r="AV84" i="4" s="1"/>
  <c r="AV88" i="4" s="1"/>
  <c r="AV90" i="4" s="1"/>
  <c r="AV92" i="4" s="1"/>
  <c r="AU48" i="6"/>
  <c r="BD48" i="6"/>
  <c r="AY48" i="6"/>
  <c r="AT27" i="4"/>
  <c r="AT5" i="6" s="1"/>
  <c r="BR43" i="5" s="1"/>
  <c r="AT48" i="6"/>
  <c r="BA48" i="6"/>
  <c r="AS48" i="6"/>
  <c r="AX25" i="6"/>
  <c r="AR24" i="7" s="1"/>
  <c r="AU27" i="4"/>
  <c r="AU5" i="6" s="1"/>
  <c r="BS43" i="5" s="1"/>
  <c r="AV48" i="6"/>
  <c r="BA25" i="6"/>
  <c r="BC19" i="5" s="1"/>
  <c r="BB48" i="6"/>
  <c r="AV27" i="4"/>
  <c r="AP20" i="7" s="1"/>
  <c r="AZ48" i="6"/>
  <c r="BC25" i="6"/>
  <c r="BE19" i="5" s="1"/>
  <c r="BF50" i="5"/>
  <c r="AZ25" i="6"/>
  <c r="AT24" i="7" s="1"/>
  <c r="BE50" i="5"/>
  <c r="BD42" i="6"/>
  <c r="CB36" i="5" s="1"/>
  <c r="AX48" i="6"/>
  <c r="AY25" i="6"/>
  <c r="AS24" i="7" s="1"/>
  <c r="BC16" i="6"/>
  <c r="BC13" i="6" s="1"/>
  <c r="BA16" i="6"/>
  <c r="BO40" i="5"/>
  <c r="BB30" i="6"/>
  <c r="AZ30" i="6"/>
  <c r="BN40" i="5"/>
  <c r="AT20" i="7"/>
  <c r="AR20" i="7"/>
  <c r="BC84" i="4"/>
  <c r="BC88" i="4" s="1"/>
  <c r="BC90" i="4" s="1"/>
  <c r="BC92" i="4" s="1"/>
  <c r="AT18" i="7"/>
  <c r="AR18" i="7"/>
  <c r="AP18" i="7"/>
  <c r="AT17" i="7"/>
  <c r="AR17" i="7"/>
  <c r="AP17" i="7"/>
  <c r="AZ36" i="6"/>
  <c r="AX36" i="6"/>
  <c r="AS20" i="7"/>
  <c r="AS17" i="7"/>
  <c r="AY36" i="6"/>
  <c r="AW36" i="6"/>
  <c r="BD16" i="6"/>
  <c r="BA46" i="6"/>
  <c r="AY46" i="6"/>
  <c r="BB16" i="6"/>
  <c r="AZ16" i="6"/>
  <c r="AZ13" i="6" s="1"/>
  <c r="AV47" i="5"/>
  <c r="AW11" i="7"/>
  <c r="AW10" i="7"/>
  <c r="BE16" i="5"/>
  <c r="BC16" i="5"/>
  <c r="AU11" i="7"/>
  <c r="AU10" i="7"/>
  <c r="AS11" i="7"/>
  <c r="AS10" i="7"/>
  <c r="AX30" i="6"/>
  <c r="BV34" i="5" s="1"/>
  <c r="BB42" i="6"/>
  <c r="BZ36" i="5" s="1"/>
  <c r="AX42" i="6"/>
  <c r="BV36" i="5" s="1"/>
  <c r="BD46" i="6"/>
  <c r="BA16" i="5"/>
  <c r="AW47" i="5"/>
  <c r="AU47" i="5"/>
  <c r="AX16" i="6"/>
  <c r="AX13" i="6" s="1"/>
  <c r="AX10" i="7"/>
  <c r="AX11" i="7"/>
  <c r="BF16" i="5"/>
  <c r="AV10" i="7"/>
  <c r="AV11" i="7"/>
  <c r="BD16" i="5"/>
  <c r="AT11" i="7"/>
  <c r="AT10" i="7"/>
  <c r="AR11" i="7"/>
  <c r="AR10" i="7"/>
  <c r="BC42" i="6"/>
  <c r="CA36" i="5" s="1"/>
  <c r="BA42" i="6"/>
  <c r="BY36" i="5" s="1"/>
  <c r="AY42" i="6"/>
  <c r="BW36" i="5" s="1"/>
  <c r="BB46" i="6"/>
  <c r="AZ46" i="6"/>
  <c r="AX46" i="6"/>
  <c r="BB16" i="5"/>
  <c r="AZ16" i="5"/>
  <c r="AV14" i="7"/>
  <c r="AT14" i="7"/>
  <c r="AW14" i="7"/>
  <c r="AU14" i="7"/>
  <c r="AS14" i="7"/>
  <c r="AR14" i="7"/>
  <c r="AW18" i="7"/>
  <c r="BE47" i="5"/>
  <c r="BC47" i="5"/>
  <c r="AX18" i="7"/>
  <c r="BF47" i="5"/>
  <c r="AV18" i="7"/>
  <c r="BD47" i="5"/>
  <c r="AY8" i="7"/>
  <c r="AY25" i="7"/>
  <c r="AY22" i="7"/>
  <c r="AY19" i="7"/>
  <c r="AY15" i="7"/>
  <c r="AY13" i="7"/>
  <c r="AY5" i="7"/>
  <c r="BG27" i="5"/>
  <c r="BG26" i="5"/>
  <c r="BG25" i="5"/>
  <c r="BG21" i="5"/>
  <c r="BG24" i="5"/>
  <c r="BG15" i="5"/>
  <c r="BG14" i="5"/>
  <c r="BG10" i="5"/>
  <c r="BG9" i="5"/>
  <c r="BG7" i="5"/>
  <c r="BA8" i="7"/>
  <c r="BI30" i="5"/>
  <c r="BA25" i="7"/>
  <c r="BA22" i="7"/>
  <c r="BA19" i="7"/>
  <c r="BA15" i="7"/>
  <c r="BA13" i="7"/>
  <c r="BA5" i="7"/>
  <c r="BI27" i="5"/>
  <c r="BI26" i="5"/>
  <c r="BI25" i="5"/>
  <c r="BI21" i="5"/>
  <c r="BI24" i="5"/>
  <c r="BI15" i="5"/>
  <c r="BI14" i="5"/>
  <c r="BI10" i="5"/>
  <c r="BI9" i="5"/>
  <c r="BI7" i="5"/>
  <c r="AZ25" i="7"/>
  <c r="AZ22" i="7"/>
  <c r="AZ19" i="7"/>
  <c r="AZ15" i="7"/>
  <c r="AZ13" i="7"/>
  <c r="AZ5" i="7"/>
  <c r="AZ8" i="7"/>
  <c r="BH30" i="5"/>
  <c r="BH24" i="5"/>
  <c r="BH15" i="5"/>
  <c r="BH14" i="5"/>
  <c r="BH10" i="5"/>
  <c r="BH9" i="5"/>
  <c r="BH7" i="5"/>
  <c r="BH27" i="5"/>
  <c r="BH26" i="5"/>
  <c r="BH25" i="5"/>
  <c r="BH21" i="5"/>
  <c r="BB25" i="7"/>
  <c r="BB22" i="7"/>
  <c r="BB19" i="7"/>
  <c r="BB15" i="7"/>
  <c r="BB13" i="7"/>
  <c r="BB5" i="7"/>
  <c r="BB8" i="7"/>
  <c r="BJ30" i="5"/>
  <c r="BJ24" i="5"/>
  <c r="BJ15" i="5"/>
  <c r="BJ14" i="5"/>
  <c r="BJ10" i="5"/>
  <c r="BJ9" i="5"/>
  <c r="BJ7" i="5"/>
  <c r="BJ27" i="5"/>
  <c r="BJ26" i="5"/>
  <c r="BJ25" i="5"/>
  <c r="BJ21" i="5"/>
  <c r="AV25" i="7"/>
  <c r="AV19" i="7"/>
  <c r="AV15" i="7"/>
  <c r="AV13" i="7"/>
  <c r="BD24" i="5"/>
  <c r="BD15" i="5"/>
  <c r="BD14" i="5"/>
  <c r="BK30" i="5"/>
  <c r="BK14" i="5"/>
  <c r="BA47" i="5"/>
  <c r="AU18" i="7"/>
  <c r="AS18" i="7"/>
  <c r="BB47" i="5"/>
  <c r="AZ47" i="5"/>
  <c r="AX47" i="5"/>
  <c r="AZ5" i="6"/>
  <c r="BX43" i="5" s="1"/>
  <c r="AX5" i="6"/>
  <c r="BV43" i="5" s="1"/>
  <c r="AY5" i="6"/>
  <c r="BW43" i="5" s="1"/>
  <c r="AV22" i="7"/>
  <c r="BD27" i="5"/>
  <c r="BD26" i="5"/>
  <c r="BD25" i="5"/>
  <c r="BD9" i="5"/>
  <c r="BD5" i="6"/>
  <c r="BA5" i="6"/>
  <c r="BY43" i="5" s="1"/>
  <c r="BC5" i="6"/>
  <c r="CA43" i="5" s="1"/>
  <c r="BC30" i="6"/>
  <c r="BC46" i="6"/>
  <c r="AW68" i="4"/>
  <c r="AW2" i="4"/>
  <c r="AW47" i="4"/>
  <c r="AW45" i="4" s="1"/>
  <c r="AW50" i="4" s="1"/>
  <c r="AW37" i="4"/>
  <c r="BB13" i="6" l="1"/>
  <c r="BB14" i="6" s="1"/>
  <c r="BD6" i="7" s="1"/>
  <c r="BA14" i="6"/>
  <c r="BA13" i="6"/>
  <c r="BD13" i="6"/>
  <c r="BF8" i="5" s="1"/>
  <c r="AP14" i="7"/>
  <c r="BC6" i="7"/>
  <c r="BE6" i="5"/>
  <c r="BC14" i="6"/>
  <c r="BE6" i="7" s="1"/>
  <c r="BX35" i="5"/>
  <c r="AZ14" i="6"/>
  <c r="BB6" i="7" s="1"/>
  <c r="BW35" i="5"/>
  <c r="AY14" i="6"/>
  <c r="BA6" i="7" s="1"/>
  <c r="BV35" i="5"/>
  <c r="AX14" i="6"/>
  <c r="AZ6" i="7" s="1"/>
  <c r="BG30" i="5"/>
  <c r="CB43" i="5"/>
  <c r="BC6" i="5"/>
  <c r="BY35" i="5"/>
  <c r="BW44" i="5"/>
  <c r="BW34" i="5"/>
  <c r="BX44" i="5"/>
  <c r="BX34" i="5"/>
  <c r="BD21" i="5"/>
  <c r="BZ34" i="5"/>
  <c r="BZ44" i="5"/>
  <c r="CB34" i="5"/>
  <c r="CB44" i="5"/>
  <c r="CA44" i="5"/>
  <c r="CA34" i="5"/>
  <c r="AV4" i="7"/>
  <c r="BZ35" i="5"/>
  <c r="CA35" i="5"/>
  <c r="BY34" i="5"/>
  <c r="BY44" i="5"/>
  <c r="BV44" i="5"/>
  <c r="AR7" i="7"/>
  <c r="BB14" i="5"/>
  <c r="AS7" i="7"/>
  <c r="BA6" i="5"/>
  <c r="BA8" i="5"/>
  <c r="BA20" i="5"/>
  <c r="AS4" i="7"/>
  <c r="BF19" i="5"/>
  <c r="BB19" i="5"/>
  <c r="AW24" i="5"/>
  <c r="AW27" i="5"/>
  <c r="AW26" i="5"/>
  <c r="AZ19" i="5"/>
  <c r="AT23" i="7"/>
  <c r="BD20" i="5"/>
  <c r="AW30" i="5"/>
  <c r="AV26" i="5"/>
  <c r="AT4" i="7"/>
  <c r="AV27" i="5"/>
  <c r="AV24" i="7"/>
  <c r="AX23" i="7"/>
  <c r="AR23" i="7"/>
  <c r="AV24" i="5"/>
  <c r="AU7" i="7"/>
  <c r="AV25" i="5"/>
  <c r="AZ8" i="5"/>
  <c r="BD19" i="5"/>
  <c r="BC20" i="5"/>
  <c r="AX7" i="7"/>
  <c r="BD6" i="5"/>
  <c r="BD8" i="5"/>
  <c r="AW24" i="7"/>
  <c r="BC10" i="5"/>
  <c r="BD7" i="5"/>
  <c r="AW25" i="5"/>
  <c r="AV7" i="7"/>
  <c r="AS23" i="7"/>
  <c r="AV5" i="7"/>
  <c r="AU24" i="7"/>
  <c r="AV23" i="7"/>
  <c r="AU4" i="7"/>
  <c r="BE20" i="5"/>
  <c r="AV8" i="7"/>
  <c r="AV5" i="6"/>
  <c r="BT43" i="5" s="1"/>
  <c r="BC8" i="5"/>
  <c r="BA19" i="5"/>
  <c r="AW7" i="7"/>
  <c r="BE8" i="5"/>
  <c r="BB20" i="5"/>
  <c r="AT7" i="7"/>
  <c r="BB8" i="5"/>
  <c r="AW4" i="7"/>
  <c r="AW23" i="7"/>
  <c r="AU23" i="7"/>
  <c r="AZ14" i="5"/>
  <c r="BB6" i="5"/>
  <c r="AW32" i="4"/>
  <c r="AW39" i="4" s="1"/>
  <c r="AW51" i="4" s="1"/>
  <c r="AW10" i="6"/>
  <c r="AW49" i="6"/>
  <c r="AR4" i="7"/>
  <c r="AZ6" i="5"/>
  <c r="AZ20" i="5"/>
  <c r="AW8" i="7"/>
  <c r="AW25" i="7"/>
  <c r="AW22" i="7"/>
  <c r="AW19" i="7"/>
  <c r="AW15" i="7"/>
  <c r="AW13" i="7"/>
  <c r="AW5" i="7"/>
  <c r="BE27" i="5"/>
  <c r="BE26" i="5"/>
  <c r="BE25" i="5"/>
  <c r="BE30" i="5"/>
  <c r="BE24" i="5"/>
  <c r="BE15" i="5"/>
  <c r="BE14" i="5"/>
  <c r="BE9" i="5"/>
  <c r="BE7" i="5"/>
  <c r="BE21" i="5"/>
  <c r="BC15" i="5"/>
  <c r="BC14" i="5"/>
  <c r="BD30" i="5"/>
  <c r="AX25" i="7"/>
  <c r="AX22" i="7"/>
  <c r="AX19" i="7"/>
  <c r="AX15" i="7"/>
  <c r="AX13" i="7"/>
  <c r="BF30" i="5"/>
  <c r="BF24" i="5"/>
  <c r="BF15" i="5"/>
  <c r="BF14" i="5"/>
  <c r="BF9" i="5"/>
  <c r="BF27" i="5"/>
  <c r="BF26" i="5"/>
  <c r="BF25" i="5"/>
  <c r="BF21" i="5"/>
  <c r="AS15" i="7"/>
  <c r="AS8" i="7"/>
  <c r="AS5" i="7"/>
  <c r="BA27" i="5"/>
  <c r="BA26" i="5"/>
  <c r="BA25" i="5"/>
  <c r="BA24" i="5"/>
  <c r="AS22" i="7"/>
  <c r="AS19" i="7"/>
  <c r="AS13" i="7"/>
  <c r="BA30" i="5"/>
  <c r="BA21" i="5"/>
  <c r="BA15" i="5"/>
  <c r="BA9" i="5"/>
  <c r="BA7" i="5"/>
  <c r="AS25" i="7"/>
  <c r="AR22" i="7"/>
  <c r="AR19" i="7"/>
  <c r="AR13" i="7"/>
  <c r="AZ21" i="5"/>
  <c r="AZ15" i="5"/>
  <c r="AZ9" i="5"/>
  <c r="AZ7" i="5"/>
  <c r="AR15" i="7"/>
  <c r="AR8" i="7"/>
  <c r="AR5" i="7"/>
  <c r="AZ27" i="5"/>
  <c r="AZ26" i="5"/>
  <c r="AZ25" i="5"/>
  <c r="AZ24" i="5"/>
  <c r="AR25" i="7"/>
  <c r="BA14" i="5"/>
  <c r="AT22" i="7"/>
  <c r="AT19" i="7"/>
  <c r="AT13" i="7"/>
  <c r="BB30" i="5"/>
  <c r="BB21" i="5"/>
  <c r="BB15" i="5"/>
  <c r="BB9" i="5"/>
  <c r="BB7" i="5"/>
  <c r="AT15" i="7"/>
  <c r="AT8" i="7"/>
  <c r="AT5" i="7"/>
  <c r="BB27" i="5"/>
  <c r="BB26" i="5"/>
  <c r="BB25" i="5"/>
  <c r="BB24" i="5"/>
  <c r="AT25" i="7"/>
  <c r="AU15" i="7"/>
  <c r="AU8" i="7"/>
  <c r="AU5" i="7"/>
  <c r="BC21" i="5"/>
  <c r="BC9" i="5"/>
  <c r="BC7" i="5"/>
  <c r="AU25" i="7"/>
  <c r="AU22" i="7"/>
  <c r="AU19" i="7"/>
  <c r="AU13" i="7"/>
  <c r="BC30" i="5"/>
  <c r="BC27" i="5"/>
  <c r="BC26" i="5"/>
  <c r="BC25" i="5"/>
  <c r="BC24" i="5"/>
  <c r="AW83" i="4"/>
  <c r="AX8" i="7" l="1"/>
  <c r="BF20" i="5"/>
  <c r="CB35" i="5"/>
  <c r="BD14" i="6"/>
  <c r="AX5" i="7"/>
  <c r="AX4" i="7"/>
  <c r="BF7" i="5"/>
  <c r="BF6" i="5"/>
  <c r="AZ10" i="5"/>
  <c r="BE10" i="5"/>
  <c r="BA10" i="5"/>
  <c r="BB10" i="5"/>
  <c r="AP13" i="7"/>
  <c r="AX25" i="5"/>
  <c r="AX26" i="5"/>
  <c r="AP22" i="7"/>
  <c r="AX27" i="5"/>
  <c r="AP19" i="7"/>
  <c r="AX24" i="5"/>
  <c r="AP15" i="7"/>
  <c r="BD10" i="5"/>
  <c r="AX30" i="5"/>
  <c r="AQ17" i="7"/>
  <c r="AY47" i="5"/>
  <c r="I47" i="12"/>
  <c r="H47" i="12"/>
  <c r="G47" i="12"/>
  <c r="F47" i="12"/>
  <c r="E47" i="12"/>
  <c r="D47" i="12"/>
  <c r="C47" i="12"/>
  <c r="I46" i="12"/>
  <c r="H46" i="12"/>
  <c r="G46" i="12"/>
  <c r="F46" i="12"/>
  <c r="I45" i="12"/>
  <c r="H45" i="12"/>
  <c r="G45" i="12"/>
  <c r="F45" i="12"/>
  <c r="J44" i="12"/>
  <c r="I44" i="12"/>
  <c r="H44" i="12"/>
  <c r="G44" i="12"/>
  <c r="F44" i="12"/>
  <c r="E44" i="12"/>
  <c r="D44" i="12"/>
  <c r="C44" i="12"/>
  <c r="J43" i="12"/>
  <c r="I43" i="12"/>
  <c r="H43" i="12"/>
  <c r="G43" i="12"/>
  <c r="F43" i="12"/>
  <c r="E43" i="12"/>
  <c r="D43" i="12"/>
  <c r="C43" i="12"/>
  <c r="J42" i="12"/>
  <c r="I42" i="12"/>
  <c r="H42" i="12"/>
  <c r="G42" i="12"/>
  <c r="F42" i="12"/>
  <c r="J38" i="12"/>
  <c r="I38" i="12"/>
  <c r="H38" i="12"/>
  <c r="G38" i="12"/>
  <c r="F38" i="12"/>
  <c r="E38" i="12"/>
  <c r="D38" i="12"/>
  <c r="C38" i="12"/>
  <c r="I37" i="12"/>
  <c r="H37" i="12"/>
  <c r="G37" i="12"/>
  <c r="F37" i="12"/>
  <c r="D37" i="12"/>
  <c r="C37" i="12"/>
  <c r="D35" i="12"/>
  <c r="C35" i="12"/>
  <c r="J34" i="12"/>
  <c r="I34" i="12"/>
  <c r="H34" i="12"/>
  <c r="G34" i="12"/>
  <c r="F34" i="12"/>
  <c r="E34" i="12"/>
  <c r="D34" i="12"/>
  <c r="C34" i="12"/>
  <c r="J31" i="12"/>
  <c r="I31" i="12"/>
  <c r="H31" i="12"/>
  <c r="G31" i="12"/>
  <c r="F31" i="12"/>
  <c r="E31" i="12"/>
  <c r="J30" i="12"/>
  <c r="I30" i="12"/>
  <c r="H30" i="12"/>
  <c r="G30" i="12"/>
  <c r="F30" i="12"/>
  <c r="E30" i="12"/>
  <c r="D29" i="12"/>
  <c r="J28" i="12"/>
  <c r="I28" i="12"/>
  <c r="H28" i="12"/>
  <c r="G28" i="12"/>
  <c r="F28" i="12"/>
  <c r="E28" i="12"/>
  <c r="D28" i="12"/>
  <c r="C28" i="12"/>
  <c r="J27" i="12"/>
  <c r="I27" i="12"/>
  <c r="H27" i="12"/>
  <c r="G27" i="12"/>
  <c r="F27" i="12"/>
  <c r="E27" i="12"/>
  <c r="D27" i="12"/>
  <c r="J24" i="12"/>
  <c r="I24" i="12"/>
  <c r="H24" i="12"/>
  <c r="G24" i="12"/>
  <c r="F24" i="12"/>
  <c r="E24" i="12"/>
  <c r="D24" i="12"/>
  <c r="I23" i="12"/>
  <c r="H23" i="12"/>
  <c r="G23" i="12"/>
  <c r="F23" i="12"/>
  <c r="D23" i="12"/>
  <c r="C23" i="12"/>
  <c r="J20" i="12"/>
  <c r="I20" i="12"/>
  <c r="H20" i="12"/>
  <c r="G20" i="12"/>
  <c r="F20" i="12"/>
  <c r="I18" i="12"/>
  <c r="H18" i="12"/>
  <c r="G18" i="12"/>
  <c r="F18" i="12"/>
  <c r="D18" i="12"/>
  <c r="C18" i="12"/>
  <c r="J17" i="12"/>
  <c r="I17" i="12"/>
  <c r="H17" i="12"/>
  <c r="G17" i="12"/>
  <c r="F17" i="12"/>
  <c r="E17" i="12"/>
  <c r="D17" i="12"/>
  <c r="C17" i="12"/>
  <c r="J15" i="12"/>
  <c r="I15" i="12"/>
  <c r="H15" i="12"/>
  <c r="G15" i="12"/>
  <c r="F15" i="12"/>
  <c r="E15" i="12"/>
  <c r="D15" i="12"/>
  <c r="C15" i="12"/>
  <c r="I10" i="12"/>
  <c r="H10" i="12"/>
  <c r="G10" i="12"/>
  <c r="F10" i="12"/>
  <c r="J9" i="12"/>
  <c r="I9" i="12"/>
  <c r="H9" i="12"/>
  <c r="G9" i="12"/>
  <c r="F9" i="12"/>
  <c r="E9" i="12"/>
  <c r="D9" i="12"/>
  <c r="C9" i="12"/>
  <c r="J8" i="12"/>
  <c r="I8" i="12"/>
  <c r="H8" i="12"/>
  <c r="G8" i="12"/>
  <c r="F8" i="12"/>
  <c r="E8" i="12"/>
  <c r="D8" i="12"/>
  <c r="C8" i="12"/>
  <c r="J7" i="12"/>
  <c r="I7" i="12"/>
  <c r="H7" i="12"/>
  <c r="G7" i="12"/>
  <c r="F7" i="12"/>
  <c r="E7" i="12"/>
  <c r="D7" i="12"/>
  <c r="C7" i="12"/>
  <c r="BF10" i="5" l="1"/>
  <c r="BF6" i="7"/>
  <c r="D26" i="12"/>
  <c r="G22" i="12"/>
  <c r="J26" i="12"/>
  <c r="F22" i="12"/>
  <c r="H40" i="12"/>
  <c r="D40" i="12"/>
  <c r="I22" i="12"/>
  <c r="G40" i="12"/>
  <c r="D22" i="12"/>
  <c r="E26" i="12"/>
  <c r="F26" i="12"/>
  <c r="H22" i="12"/>
  <c r="G26" i="12"/>
  <c r="H26" i="12"/>
  <c r="I26" i="12"/>
  <c r="F40" i="12"/>
  <c r="I40" i="12"/>
  <c r="AW17" i="6" l="1"/>
  <c r="BU41" i="5" s="1"/>
  <c r="AW19" i="6"/>
  <c r="AW27" i="6"/>
  <c r="AW31" i="6"/>
  <c r="AW32" i="6"/>
  <c r="AW22" i="6"/>
  <c r="AW79" i="4"/>
  <c r="AW80" i="4"/>
  <c r="AW71" i="4"/>
  <c r="AW66" i="4"/>
  <c r="AW64" i="4"/>
  <c r="AW60" i="4"/>
  <c r="AW12" i="4"/>
  <c r="AW62" i="4" l="1"/>
  <c r="AW45" i="6" s="1"/>
  <c r="AW43" i="6"/>
  <c r="AW42" i="6" s="1"/>
  <c r="BU36" i="5" s="1"/>
  <c r="AW59" i="4"/>
  <c r="AW58" i="4" s="1"/>
  <c r="J47" i="12"/>
  <c r="AW54" i="6"/>
  <c r="J23" i="12"/>
  <c r="J22" i="12" s="1"/>
  <c r="AW9" i="4"/>
  <c r="AW27" i="4" s="1"/>
  <c r="AQ18" i="7"/>
  <c r="AW52" i="6"/>
  <c r="AW67" i="4"/>
  <c r="AW78" i="4"/>
  <c r="AW53" i="6"/>
  <c r="AQ11" i="7"/>
  <c r="AQ10" i="7"/>
  <c r="AY16" i="5"/>
  <c r="AW26" i="6"/>
  <c r="AW25" i="6" s="1"/>
  <c r="L10" i="13"/>
  <c r="J18" i="12"/>
  <c r="AW20" i="6"/>
  <c r="J10" i="12"/>
  <c r="J16" i="12"/>
  <c r="J33" i="12"/>
  <c r="J37" i="12"/>
  <c r="L11" i="13"/>
  <c r="J6" i="12"/>
  <c r="J46" i="12"/>
  <c r="J32" i="12"/>
  <c r="J45" i="12"/>
  <c r="J48" i="12"/>
  <c r="AW30" i="6"/>
  <c r="BU34" i="5" s="1"/>
  <c r="AV17" i="6"/>
  <c r="BT41" i="5" s="1"/>
  <c r="AV19" i="6"/>
  <c r="AV20" i="6"/>
  <c r="AV22" i="6"/>
  <c r="AV26" i="6"/>
  <c r="AV27" i="6"/>
  <c r="AV31" i="6"/>
  <c r="K10" i="13" s="1"/>
  <c r="AV32" i="6"/>
  <c r="AV39" i="6"/>
  <c r="AX15" i="5" s="1"/>
  <c r="AV43" i="6"/>
  <c r="AV44" i="6"/>
  <c r="AR17" i="6"/>
  <c r="AS17" i="6"/>
  <c r="AT17" i="6"/>
  <c r="BR41" i="5" s="1"/>
  <c r="AU17" i="6"/>
  <c r="BS41" i="5" s="1"/>
  <c r="AR19" i="6"/>
  <c r="AS19" i="6"/>
  <c r="AT19" i="6"/>
  <c r="AU19" i="6"/>
  <c r="AR20" i="6"/>
  <c r="AS20" i="6"/>
  <c r="AT20" i="6"/>
  <c r="AU20" i="6"/>
  <c r="AR22" i="6"/>
  <c r="AS22" i="6"/>
  <c r="AT22" i="6"/>
  <c r="AU22" i="6"/>
  <c r="AR26" i="6"/>
  <c r="AS26" i="6"/>
  <c r="AT26" i="6"/>
  <c r="AU26" i="6"/>
  <c r="AR27" i="6"/>
  <c r="AS27" i="6"/>
  <c r="AT27" i="6"/>
  <c r="AU27" i="6"/>
  <c r="AR31" i="6"/>
  <c r="AL11" i="7" s="1"/>
  <c r="AS31" i="6"/>
  <c r="J11" i="13" s="1"/>
  <c r="AT31" i="6"/>
  <c r="AV16" i="5" s="1"/>
  <c r="AU31" i="6"/>
  <c r="AW16" i="5" s="1"/>
  <c r="AR32" i="6"/>
  <c r="AS32" i="6"/>
  <c r="AT32" i="6"/>
  <c r="AU32" i="6"/>
  <c r="AR39" i="6"/>
  <c r="AS39" i="6"/>
  <c r="AT39" i="6"/>
  <c r="AV15" i="5" s="1"/>
  <c r="AU39" i="6"/>
  <c r="AW15" i="5" s="1"/>
  <c r="AR43" i="6"/>
  <c r="AS43" i="6"/>
  <c r="AT43" i="6"/>
  <c r="AU43" i="6"/>
  <c r="AR44" i="6"/>
  <c r="AS44" i="6"/>
  <c r="AT44" i="6"/>
  <c r="AU44" i="6"/>
  <c r="AR49" i="6"/>
  <c r="AR48" i="6" s="1"/>
  <c r="BU44" i="5" l="1"/>
  <c r="AW16" i="6"/>
  <c r="AW13" i="6" s="1"/>
  <c r="J10" i="13"/>
  <c r="AW46" i="6"/>
  <c r="AW48" i="6"/>
  <c r="AQ20" i="7"/>
  <c r="AW5" i="6"/>
  <c r="BU43" i="5" s="1"/>
  <c r="AW74" i="4"/>
  <c r="AW84" i="4" s="1"/>
  <c r="AW88" i="4" s="1"/>
  <c r="AW90" i="4" s="1"/>
  <c r="AW92" i="4" s="1"/>
  <c r="AT46" i="6"/>
  <c r="AR46" i="6"/>
  <c r="AW9" i="5"/>
  <c r="AU46" i="6"/>
  <c r="AS46" i="6"/>
  <c r="AV9" i="5"/>
  <c r="AV46" i="6"/>
  <c r="K11" i="13"/>
  <c r="AP11" i="7"/>
  <c r="AP10" i="7"/>
  <c r="AX16" i="5"/>
  <c r="AX9" i="5"/>
  <c r="AQ24" i="7"/>
  <c r="AY19" i="5"/>
  <c r="L17" i="13"/>
  <c r="J41" i="12"/>
  <c r="L24" i="13"/>
  <c r="J14" i="12"/>
  <c r="J12" i="12" s="1"/>
  <c r="J13" i="12" s="1"/>
  <c r="J40" i="12"/>
  <c r="L18" i="13"/>
  <c r="J39" i="12"/>
  <c r="J36" i="12" s="1"/>
  <c r="L20" i="13"/>
  <c r="J5" i="12"/>
  <c r="AU30" i="6"/>
  <c r="BS34" i="5" s="1"/>
  <c r="AW52" i="4"/>
  <c r="AL10" i="7"/>
  <c r="AS25" i="6"/>
  <c r="AR25" i="6"/>
  <c r="AT30" i="6"/>
  <c r="BR34" i="5" s="1"/>
  <c r="AN11" i="7"/>
  <c r="AN10" i="7"/>
  <c r="AM10" i="7"/>
  <c r="AU16" i="5"/>
  <c r="AM11" i="7"/>
  <c r="AV30" i="6"/>
  <c r="BT34" i="5" s="1"/>
  <c r="AV25" i="6"/>
  <c r="AU25" i="6"/>
  <c r="AO10" i="7"/>
  <c r="AT25" i="6"/>
  <c r="AS30" i="6"/>
  <c r="BQ34" i="5" s="1"/>
  <c r="AR30" i="6"/>
  <c r="BP34" i="5" s="1"/>
  <c r="AO11" i="7"/>
  <c r="I39" i="12"/>
  <c r="I36" i="12" s="1"/>
  <c r="BU35" i="5" l="1"/>
  <c r="AW14" i="6"/>
  <c r="AY6" i="7" s="1"/>
  <c r="AQ7" i="7"/>
  <c r="AY8" i="5"/>
  <c r="AY20" i="5"/>
  <c r="AY6" i="5"/>
  <c r="AQ23" i="7"/>
  <c r="AQ4" i="7"/>
  <c r="AQ13" i="7"/>
  <c r="AQ5" i="7"/>
  <c r="AY7" i="5"/>
  <c r="AY21" i="5"/>
  <c r="AQ8" i="7"/>
  <c r="L14" i="13"/>
  <c r="BQ44" i="5"/>
  <c r="BS44" i="5"/>
  <c r="BP44" i="5"/>
  <c r="BT44" i="5"/>
  <c r="BR44" i="5"/>
  <c r="AZ30" i="5"/>
  <c r="AY27" i="5"/>
  <c r="AY25" i="5"/>
  <c r="AQ22" i="7"/>
  <c r="AY15" i="5"/>
  <c r="AY26" i="5"/>
  <c r="AY24" i="5"/>
  <c r="AQ19" i="7"/>
  <c r="AY30" i="5"/>
  <c r="AQ25" i="7"/>
  <c r="AY14" i="5"/>
  <c r="AY9" i="5"/>
  <c r="AQ15" i="7"/>
  <c r="AQ14" i="7"/>
  <c r="AX19" i="5"/>
  <c r="AP24" i="7"/>
  <c r="AT19" i="5"/>
  <c r="AW21" i="5"/>
  <c r="AV19" i="5"/>
  <c r="AW19" i="5"/>
  <c r="AX21" i="5"/>
  <c r="AV21" i="5"/>
  <c r="AU19" i="5"/>
  <c r="L7" i="13"/>
  <c r="L4" i="13"/>
  <c r="L23" i="13"/>
  <c r="L25" i="13"/>
  <c r="L22" i="13"/>
  <c r="L19" i="13"/>
  <c r="L15" i="13"/>
  <c r="L8" i="13"/>
  <c r="L5" i="13"/>
  <c r="L13" i="13"/>
  <c r="AV45" i="6"/>
  <c r="AV42" i="6" s="1"/>
  <c r="BT36" i="5" s="1"/>
  <c r="AT38" i="6"/>
  <c r="AV14" i="5" s="1"/>
  <c r="AU38" i="6"/>
  <c r="AW14" i="5" s="1"/>
  <c r="I33" i="12"/>
  <c r="I6" i="12"/>
  <c r="I16" i="12"/>
  <c r="I14" i="12" s="1"/>
  <c r="I12" i="12" s="1"/>
  <c r="I13" i="12" s="1"/>
  <c r="AT45" i="6"/>
  <c r="AT42" i="6" s="1"/>
  <c r="BR36" i="5" s="1"/>
  <c r="AU45" i="6"/>
  <c r="AU42" i="6" s="1"/>
  <c r="BS36" i="5" s="1"/>
  <c r="I48" i="12"/>
  <c r="I41" i="12" s="1"/>
  <c r="AS9" i="4"/>
  <c r="L6" i="13" l="1"/>
  <c r="AY10" i="5"/>
  <c r="AU16" i="6"/>
  <c r="I32" i="12"/>
  <c r="K17" i="13"/>
  <c r="H32" i="12"/>
  <c r="J17" i="13"/>
  <c r="AV38" i="6"/>
  <c r="K18" i="13"/>
  <c r="AV16" i="6"/>
  <c r="AV13" i="6" s="1"/>
  <c r="AO24" i="7"/>
  <c r="AT16" i="6"/>
  <c r="AT13" i="6" s="1"/>
  <c r="AV36" i="6"/>
  <c r="AN24" i="7"/>
  <c r="AM17" i="7"/>
  <c r="AS36" i="6"/>
  <c r="AV39" i="4"/>
  <c r="AV51" i="4" s="1"/>
  <c r="AU36" i="6"/>
  <c r="AO18" i="7"/>
  <c r="AO17" i="7"/>
  <c r="AT58" i="4"/>
  <c r="AT74" i="4" s="1"/>
  <c r="AT84" i="4" s="1"/>
  <c r="AT88" i="4" s="1"/>
  <c r="AT90" i="4" s="1"/>
  <c r="AT92" i="4" s="1"/>
  <c r="AN18" i="7"/>
  <c r="AN17" i="7"/>
  <c r="AT36" i="6"/>
  <c r="AU58" i="4"/>
  <c r="AU74" i="4" s="1"/>
  <c r="AU84" i="4" s="1"/>
  <c r="AU88" i="4" s="1"/>
  <c r="AU90" i="4" s="1"/>
  <c r="AU92" i="4" s="1"/>
  <c r="AO25" i="7"/>
  <c r="AN15" i="7"/>
  <c r="AT39" i="4"/>
  <c r="AT51" i="4" s="1"/>
  <c r="AU39" i="4"/>
  <c r="AU51" i="4" s="1"/>
  <c r="I5" i="12"/>
  <c r="AU13" i="6" l="1"/>
  <c r="AU14" i="6" s="1"/>
  <c r="BR35" i="5"/>
  <c r="AT14" i="6"/>
  <c r="AV6" i="7" s="1"/>
  <c r="BT35" i="5"/>
  <c r="AV14" i="6"/>
  <c r="AX6" i="7" s="1"/>
  <c r="AO4" i="7"/>
  <c r="BS35" i="5"/>
  <c r="AP4" i="7"/>
  <c r="AX6" i="5"/>
  <c r="AX8" i="5"/>
  <c r="AP7" i="7"/>
  <c r="AP5" i="7"/>
  <c r="AX7" i="5"/>
  <c r="AP8" i="7"/>
  <c r="AP23" i="7"/>
  <c r="AX20" i="5"/>
  <c r="AN7" i="7"/>
  <c r="AV8" i="5"/>
  <c r="AV6" i="5"/>
  <c r="AV7" i="5"/>
  <c r="AV20" i="5"/>
  <c r="AO7" i="7"/>
  <c r="AW8" i="5"/>
  <c r="AW6" i="5"/>
  <c r="AW7" i="5"/>
  <c r="AW20" i="5"/>
  <c r="AP25" i="7"/>
  <c r="AX14" i="5"/>
  <c r="AS39" i="4"/>
  <c r="AS51" i="4" s="1"/>
  <c r="K20" i="13"/>
  <c r="K24" i="13"/>
  <c r="K7" i="13"/>
  <c r="K4" i="13"/>
  <c r="K23" i="13"/>
  <c r="H6" i="12"/>
  <c r="H48" i="12"/>
  <c r="H41" i="12" s="1"/>
  <c r="AS38" i="6"/>
  <c r="H33" i="12"/>
  <c r="AS45" i="6"/>
  <c r="AS42" i="6" s="1"/>
  <c r="H39" i="12"/>
  <c r="H36" i="12" s="1"/>
  <c r="AS16" i="6"/>
  <c r="AS13" i="6" s="1"/>
  <c r="H16" i="12"/>
  <c r="H14" i="12" s="1"/>
  <c r="H12" i="12" s="1"/>
  <c r="H13" i="12" s="1"/>
  <c r="K5" i="13"/>
  <c r="AO14" i="7"/>
  <c r="AN20" i="7"/>
  <c r="AS27" i="4"/>
  <c r="AS5" i="6" s="1"/>
  <c r="AN13" i="7"/>
  <c r="AN14" i="7"/>
  <c r="AO5" i="7"/>
  <c r="AO20" i="7"/>
  <c r="AO8" i="7"/>
  <c r="AN22" i="7"/>
  <c r="AN19" i="7"/>
  <c r="AO22" i="7"/>
  <c r="AO19" i="7"/>
  <c r="AO13" i="7"/>
  <c r="AN25" i="7"/>
  <c r="AO15" i="7"/>
  <c r="AN8" i="7"/>
  <c r="AN4" i="7"/>
  <c r="AN5" i="7"/>
  <c r="AN23" i="7"/>
  <c r="AU52" i="4"/>
  <c r="AT52" i="4"/>
  <c r="AS58" i="4"/>
  <c r="AS74" i="4" s="1"/>
  <c r="AS84" i="4" s="1"/>
  <c r="AS88" i="4" s="1"/>
  <c r="AS90" i="4" s="1"/>
  <c r="AS92" i="4" s="1"/>
  <c r="AQ17" i="6"/>
  <c r="BO41" i="5" s="1"/>
  <c r="AQ19" i="6"/>
  <c r="AQ20" i="6"/>
  <c r="AQ22" i="6"/>
  <c r="AQ26" i="6"/>
  <c r="AQ27" i="6"/>
  <c r="AQ31" i="6"/>
  <c r="AK11" i="7" s="1"/>
  <c r="AQ32" i="6"/>
  <c r="AQ39" i="6"/>
  <c r="AQ43" i="6"/>
  <c r="AQ44" i="6"/>
  <c r="AQ49" i="6"/>
  <c r="AQ48" i="6" s="1"/>
  <c r="AQ5" i="4"/>
  <c r="AQ9" i="4"/>
  <c r="AR9" i="4"/>
  <c r="AQ14" i="4"/>
  <c r="AQ38" i="6"/>
  <c r="AR38" i="6"/>
  <c r="AL24" i="7"/>
  <c r="AQ42" i="4"/>
  <c r="AR42" i="4"/>
  <c r="AQ45" i="6"/>
  <c r="AR45" i="6"/>
  <c r="AR42" i="6" s="1"/>
  <c r="AQ78" i="4"/>
  <c r="AW6" i="7" l="1"/>
  <c r="AW10" i="5"/>
  <c r="AO23" i="7"/>
  <c r="AV10" i="5"/>
  <c r="BQ35" i="5"/>
  <c r="AS14" i="6"/>
  <c r="AU6" i="7" s="1"/>
  <c r="AS52" i="4"/>
  <c r="AM23" i="7"/>
  <c r="AU25" i="5"/>
  <c r="AU27" i="5"/>
  <c r="AV30" i="5"/>
  <c r="AU26" i="5"/>
  <c r="AU24" i="5"/>
  <c r="AU9" i="5"/>
  <c r="AU21" i="5"/>
  <c r="AR16" i="6"/>
  <c r="AR13" i="6" s="1"/>
  <c r="AR50" i="4"/>
  <c r="AQ16" i="6"/>
  <c r="AQ13" i="6" s="1"/>
  <c r="AM7" i="7"/>
  <c r="AU8" i="5"/>
  <c r="AU7" i="5"/>
  <c r="AU20" i="5"/>
  <c r="AQ42" i="6"/>
  <c r="BO36" i="5" s="1"/>
  <c r="AQ46" i="6"/>
  <c r="AX10" i="5"/>
  <c r="AM24" i="7"/>
  <c r="AU6" i="5"/>
  <c r="K6" i="13"/>
  <c r="AM5" i="7"/>
  <c r="H5" i="12"/>
  <c r="J20" i="13"/>
  <c r="K22" i="13"/>
  <c r="K19" i="13"/>
  <c r="K15" i="13"/>
  <c r="K14" i="13"/>
  <c r="J7" i="13"/>
  <c r="J4" i="13"/>
  <c r="J23" i="13"/>
  <c r="J24" i="13"/>
  <c r="J18" i="13"/>
  <c r="AM4" i="7"/>
  <c r="AM18" i="7"/>
  <c r="AV52" i="4"/>
  <c r="K8" i="13"/>
  <c r="J14" i="13"/>
  <c r="K25" i="13"/>
  <c r="AM20" i="7"/>
  <c r="AM15" i="7"/>
  <c r="AR36" i="6"/>
  <c r="AL17" i="7"/>
  <c r="AL18" i="7"/>
  <c r="AS16" i="5"/>
  <c r="AQ30" i="6"/>
  <c r="BO34" i="5" s="1"/>
  <c r="AM14" i="7"/>
  <c r="AK17" i="7"/>
  <c r="AK10" i="7"/>
  <c r="AQ36" i="6"/>
  <c r="AS47" i="5"/>
  <c r="AK18" i="7"/>
  <c r="AR39" i="4"/>
  <c r="AR58" i="4"/>
  <c r="AQ25" i="6"/>
  <c r="AQ58" i="4"/>
  <c r="AQ74" i="4" s="1"/>
  <c r="AQ84" i="4" s="1"/>
  <c r="AQ88" i="4" s="1"/>
  <c r="AQ90" i="4" s="1"/>
  <c r="AQ92" i="4" s="1"/>
  <c r="AQ50" i="4"/>
  <c r="AQ39" i="4"/>
  <c r="AR27" i="4"/>
  <c r="AR5" i="6" s="1"/>
  <c r="AQ27" i="4"/>
  <c r="AS33" i="5"/>
  <c r="AS32" i="5"/>
  <c r="AO17" i="6"/>
  <c r="BM41" i="5" s="1"/>
  <c r="AP17" i="6"/>
  <c r="BN41" i="5" s="1"/>
  <c r="AO19" i="6"/>
  <c r="AP19" i="6"/>
  <c r="AO20" i="6"/>
  <c r="AP20" i="6"/>
  <c r="AO22" i="6"/>
  <c r="AP22" i="6"/>
  <c r="AO26" i="6"/>
  <c r="AP26" i="6"/>
  <c r="AO27" i="6"/>
  <c r="AP27" i="6"/>
  <c r="AO31" i="6"/>
  <c r="AP31" i="6"/>
  <c r="AO32" i="6"/>
  <c r="AP32" i="6"/>
  <c r="AO39" i="6"/>
  <c r="AP39" i="6"/>
  <c r="AO43" i="6"/>
  <c r="AP43" i="6"/>
  <c r="AO44" i="6"/>
  <c r="AP44" i="6"/>
  <c r="AO49" i="6"/>
  <c r="AO48" i="6" s="1"/>
  <c r="AP49" i="6"/>
  <c r="AP48" i="6" s="1"/>
  <c r="AO5" i="4"/>
  <c r="AO36" i="6" s="1"/>
  <c r="AP5" i="4"/>
  <c r="AO9" i="4"/>
  <c r="AP9" i="4"/>
  <c r="AO14" i="4"/>
  <c r="AP14" i="4"/>
  <c r="AO38" i="6"/>
  <c r="AO6" i="6"/>
  <c r="BM31" i="5" s="1"/>
  <c r="AO32" i="4"/>
  <c r="AO42" i="4"/>
  <c r="AP42" i="4"/>
  <c r="G16" i="12" s="1"/>
  <c r="G14" i="12" s="1"/>
  <c r="G12" i="12" s="1"/>
  <c r="G13" i="12" s="1"/>
  <c r="AO59" i="4"/>
  <c r="AO45" i="6"/>
  <c r="AO78" i="4"/>
  <c r="AP78" i="4"/>
  <c r="AU10" i="5" l="1"/>
  <c r="BO35" i="5"/>
  <c r="AQ14" i="6"/>
  <c r="BP35" i="5"/>
  <c r="AR14" i="6"/>
  <c r="AT6" i="7" s="1"/>
  <c r="AL4" i="7"/>
  <c r="BM40" i="5"/>
  <c r="BO44" i="5"/>
  <c r="AL23" i="7"/>
  <c r="J6" i="13"/>
  <c r="AT20" i="5"/>
  <c r="AT8" i="5"/>
  <c r="AL7" i="7"/>
  <c r="AR74" i="4"/>
  <c r="AR84" i="4" s="1"/>
  <c r="AR88" i="4" s="1"/>
  <c r="AR90" i="4" s="1"/>
  <c r="AR92" i="4" s="1"/>
  <c r="AL13" i="7" s="1"/>
  <c r="AO42" i="6"/>
  <c r="BM36" i="5" s="1"/>
  <c r="AO46" i="6"/>
  <c r="AL25" i="7"/>
  <c r="AT25" i="5"/>
  <c r="AT26" i="5"/>
  <c r="AU30" i="5"/>
  <c r="AT27" i="5"/>
  <c r="AT9" i="5"/>
  <c r="AT21" i="5"/>
  <c r="AK7" i="7"/>
  <c r="AP46" i="6"/>
  <c r="AS41" i="5"/>
  <c r="AT7" i="5"/>
  <c r="AM22" i="7"/>
  <c r="AM19" i="7"/>
  <c r="AU14" i="5"/>
  <c r="AP38" i="6"/>
  <c r="G33" i="12"/>
  <c r="J25" i="13"/>
  <c r="J5" i="13"/>
  <c r="AP45" i="6"/>
  <c r="AP42" i="6" s="1"/>
  <c r="BN36" i="5" s="1"/>
  <c r="G39" i="12"/>
  <c r="G36" i="12" s="1"/>
  <c r="I10" i="13"/>
  <c r="AM13" i="7"/>
  <c r="J13" i="13"/>
  <c r="G48" i="12"/>
  <c r="G41" i="12" s="1"/>
  <c r="AM25" i="7"/>
  <c r="AM8" i="7"/>
  <c r="J8" i="13"/>
  <c r="AJ18" i="7"/>
  <c r="G6" i="12"/>
  <c r="I17" i="13"/>
  <c r="G32" i="12"/>
  <c r="AU15" i="5"/>
  <c r="AR16" i="5"/>
  <c r="I11" i="13"/>
  <c r="AS42" i="5"/>
  <c r="J22" i="13"/>
  <c r="J19" i="13"/>
  <c r="J15" i="13"/>
  <c r="AL5" i="7"/>
  <c r="AL8" i="7"/>
  <c r="AL22" i="7"/>
  <c r="AL19" i="7"/>
  <c r="AL20" i="7"/>
  <c r="AL15" i="7"/>
  <c r="AR51" i="4"/>
  <c r="AR52" i="4" s="1"/>
  <c r="AP58" i="4"/>
  <c r="AP74" i="4" s="1"/>
  <c r="AP84" i="4" s="1"/>
  <c r="AP88" i="4" s="1"/>
  <c r="AP90" i="4" s="1"/>
  <c r="AP92" i="4" s="1"/>
  <c r="AO58" i="4"/>
  <c r="AO74" i="4" s="1"/>
  <c r="AP39" i="4"/>
  <c r="AO25" i="6"/>
  <c r="AQ19" i="5" s="1"/>
  <c r="AQ51" i="4"/>
  <c r="AQ52" i="4" s="1"/>
  <c r="AK4" i="7"/>
  <c r="AS8" i="5"/>
  <c r="AS6" i="5"/>
  <c r="AI17" i="7"/>
  <c r="AK24" i="7"/>
  <c r="AS19" i="5"/>
  <c r="AK23" i="7"/>
  <c r="AS20" i="5"/>
  <c r="AK14" i="7"/>
  <c r="AO39" i="4"/>
  <c r="AQ5" i="6"/>
  <c r="BO43" i="5" s="1"/>
  <c r="AK20" i="7"/>
  <c r="AP25" i="6"/>
  <c r="AR32" i="5"/>
  <c r="AP50" i="4"/>
  <c r="AP16" i="6"/>
  <c r="AP13" i="6" s="1"/>
  <c r="AR41" i="5"/>
  <c r="AR33" i="5"/>
  <c r="AJ11" i="7"/>
  <c r="AJ10" i="7"/>
  <c r="AP30" i="6"/>
  <c r="BN34" i="5" s="1"/>
  <c r="AP27" i="4"/>
  <c r="AP36" i="6"/>
  <c r="AJ17" i="7"/>
  <c r="AO50" i="4"/>
  <c r="AO16" i="6"/>
  <c r="AO13" i="6" s="1"/>
  <c r="AR42" i="5"/>
  <c r="AQ47" i="5"/>
  <c r="AI18" i="7"/>
  <c r="AO30" i="6"/>
  <c r="BM34" i="5" s="1"/>
  <c r="AO27" i="4"/>
  <c r="AO5" i="6" s="1"/>
  <c r="BM43" i="5" s="1"/>
  <c r="AI10" i="7"/>
  <c r="AQ16" i="5"/>
  <c r="AI11" i="7"/>
  <c r="AN67" i="4"/>
  <c r="BM35" i="5" l="1"/>
  <c r="AO14" i="6"/>
  <c r="AQ6" i="7" s="1"/>
  <c r="AS6" i="7"/>
  <c r="BN35" i="5"/>
  <c r="AP14" i="6"/>
  <c r="AT10" i="5"/>
  <c r="BM44" i="5"/>
  <c r="BN44" i="5"/>
  <c r="AO84" i="4"/>
  <c r="AO88" i="4" s="1"/>
  <c r="AO90" i="4" s="1"/>
  <c r="AO92" i="4" s="1"/>
  <c r="AI13" i="7" s="1"/>
  <c r="AL14" i="7"/>
  <c r="AS21" i="5"/>
  <c r="AS36" i="5"/>
  <c r="AI7" i="7"/>
  <c r="AJ7" i="7"/>
  <c r="AS10" i="5"/>
  <c r="AS7" i="5"/>
  <c r="AS25" i="5"/>
  <c r="AS26" i="5"/>
  <c r="AT30" i="5"/>
  <c r="AR47" i="5"/>
  <c r="AP5" i="6"/>
  <c r="BN43" i="5" s="1"/>
  <c r="G5" i="12"/>
  <c r="I4" i="13"/>
  <c r="I7" i="13"/>
  <c r="I14" i="13"/>
  <c r="AR31" i="5"/>
  <c r="AR40" i="5"/>
  <c r="I20" i="13"/>
  <c r="AS40" i="5"/>
  <c r="I18" i="13"/>
  <c r="AS31" i="5"/>
  <c r="AR19" i="5"/>
  <c r="I24" i="13"/>
  <c r="I23" i="13"/>
  <c r="K13" i="13"/>
  <c r="AI24" i="7"/>
  <c r="AP51" i="4"/>
  <c r="AP52" i="4" s="1"/>
  <c r="AK8" i="7"/>
  <c r="AK13" i="7"/>
  <c r="AJ14" i="7"/>
  <c r="AI14" i="7"/>
  <c r="AS35" i="5"/>
  <c r="AS34" i="5"/>
  <c r="AS44" i="5"/>
  <c r="AK5" i="7"/>
  <c r="AO51" i="4"/>
  <c r="AO52" i="4" s="1"/>
  <c r="AS9" i="5"/>
  <c r="AK22" i="7"/>
  <c r="AS24" i="5"/>
  <c r="AK15" i="7"/>
  <c r="AK19" i="7"/>
  <c r="AS15" i="5"/>
  <c r="AS27" i="5"/>
  <c r="AS14" i="5"/>
  <c r="AK25" i="7"/>
  <c r="AJ24" i="7"/>
  <c r="AR20" i="5"/>
  <c r="AJ23" i="7"/>
  <c r="AJ4" i="7"/>
  <c r="AR8" i="5"/>
  <c r="AR6" i="5"/>
  <c r="AJ20" i="7"/>
  <c r="AQ6" i="5"/>
  <c r="AQ20" i="5"/>
  <c r="AI23" i="7"/>
  <c r="AR35" i="5"/>
  <c r="AQ8" i="5"/>
  <c r="AI4" i="7"/>
  <c r="AQ21" i="5"/>
  <c r="AQ26" i="5"/>
  <c r="AQ24" i="5"/>
  <c r="AQ7" i="5"/>
  <c r="AQ9" i="5"/>
  <c r="AR44" i="5"/>
  <c r="AR34" i="5"/>
  <c r="AI25" i="7"/>
  <c r="AI15" i="7"/>
  <c r="AI5" i="7"/>
  <c r="AQ27" i="5"/>
  <c r="AQ14" i="5"/>
  <c r="AQ15" i="5"/>
  <c r="AI22" i="7"/>
  <c r="AQ25" i="5"/>
  <c r="AI19" i="7"/>
  <c r="AI8" i="7"/>
  <c r="AI20" i="7"/>
  <c r="AR36" i="5"/>
  <c r="AR6" i="7" l="1"/>
  <c r="AR27" i="5"/>
  <c r="I5" i="13"/>
  <c r="AJ8" i="7"/>
  <c r="AR30" i="5"/>
  <c r="AR43" i="5"/>
  <c r="AJ15" i="7"/>
  <c r="AR26" i="5"/>
  <c r="AS30" i="5"/>
  <c r="AJ22" i="7"/>
  <c r="AR21" i="5"/>
  <c r="AQ10" i="5"/>
  <c r="AR10" i="5"/>
  <c r="AR14" i="5"/>
  <c r="AR24" i="5"/>
  <c r="AJ5" i="7"/>
  <c r="AR15" i="5"/>
  <c r="AJ13" i="7"/>
  <c r="AR9" i="5"/>
  <c r="AS43" i="5"/>
  <c r="I25" i="13"/>
  <c r="I13" i="13"/>
  <c r="AJ19" i="7"/>
  <c r="AR25" i="5"/>
  <c r="I8" i="13"/>
  <c r="AR7" i="5"/>
  <c r="I6" i="13"/>
  <c r="AJ25" i="7"/>
  <c r="I22" i="13"/>
  <c r="I19" i="13"/>
  <c r="I15" i="13"/>
  <c r="AK7" i="6"/>
  <c r="BI33" i="5" s="1"/>
  <c r="AL7" i="6"/>
  <c r="BJ33" i="5" s="1"/>
  <c r="AM7" i="6"/>
  <c r="BK33" i="5" s="1"/>
  <c r="AN7" i="6"/>
  <c r="BL33" i="5" s="1"/>
  <c r="AK8" i="6"/>
  <c r="BI32" i="5" s="1"/>
  <c r="AL8" i="6"/>
  <c r="BJ32" i="5" s="1"/>
  <c r="BI42" i="5"/>
  <c r="BJ42" i="5"/>
  <c r="BK42" i="5"/>
  <c r="AQ42" i="5"/>
  <c r="AK17" i="6"/>
  <c r="AL17" i="6"/>
  <c r="AM17" i="6"/>
  <c r="AN17" i="6"/>
  <c r="BL41" i="5" s="1"/>
  <c r="AK19" i="6"/>
  <c r="AL19" i="6"/>
  <c r="AM19" i="6"/>
  <c r="AN19" i="6"/>
  <c r="AK20" i="6"/>
  <c r="AL20" i="6"/>
  <c r="AM20" i="6"/>
  <c r="AN20" i="6"/>
  <c r="AK22" i="6"/>
  <c r="AL22" i="6"/>
  <c r="AM22" i="6"/>
  <c r="AN22" i="6"/>
  <c r="AK26" i="6"/>
  <c r="AL26" i="6"/>
  <c r="AM26" i="6"/>
  <c r="AN26" i="6"/>
  <c r="AK27" i="6"/>
  <c r="AL27" i="6"/>
  <c r="AM27" i="6"/>
  <c r="AN27" i="6"/>
  <c r="AK31" i="6"/>
  <c r="AE10" i="7" s="1"/>
  <c r="AL31" i="6"/>
  <c r="AF10" i="7" s="1"/>
  <c r="AM31" i="6"/>
  <c r="H11" i="13" s="1"/>
  <c r="AN31" i="6"/>
  <c r="AP16" i="5" s="1"/>
  <c r="AK32" i="6"/>
  <c r="AL32" i="6"/>
  <c r="AM32" i="6"/>
  <c r="AN32" i="6"/>
  <c r="AK39" i="6"/>
  <c r="AL39" i="6"/>
  <c r="AM39" i="6"/>
  <c r="AN39" i="6"/>
  <c r="AK43" i="6"/>
  <c r="AL43" i="6"/>
  <c r="AM43" i="6"/>
  <c r="AN43" i="6"/>
  <c r="AK44" i="6"/>
  <c r="AL44" i="6"/>
  <c r="AM44" i="6"/>
  <c r="AN44" i="6"/>
  <c r="AK49" i="6"/>
  <c r="AL49" i="6"/>
  <c r="AM49" i="6"/>
  <c r="AN49" i="6"/>
  <c r="AK50" i="6"/>
  <c r="AL50" i="6"/>
  <c r="AK51" i="6"/>
  <c r="AL51" i="6"/>
  <c r="AM51" i="6"/>
  <c r="AN51" i="6"/>
  <c r="AK52" i="6"/>
  <c r="AL52" i="6"/>
  <c r="AK54" i="6"/>
  <c r="AL54" i="6"/>
  <c r="AH10" i="7" l="1"/>
  <c r="AN48" i="6"/>
  <c r="AN46" i="6"/>
  <c r="AL46" i="6"/>
  <c r="BK41" i="5"/>
  <c r="BI41" i="5"/>
  <c r="AM48" i="6"/>
  <c r="AM46" i="6"/>
  <c r="AK46" i="6"/>
  <c r="AQ41" i="5"/>
  <c r="BJ41" i="5"/>
  <c r="AG10" i="7"/>
  <c r="H10" i="13"/>
  <c r="AP33" i="5"/>
  <c r="AQ33" i="5"/>
  <c r="AP32" i="5"/>
  <c r="AQ32" i="5"/>
  <c r="AO33" i="5"/>
  <c r="AO42" i="5"/>
  <c r="AO41" i="5"/>
  <c r="AK30" i="6"/>
  <c r="AP42" i="5"/>
  <c r="AN25" i="6"/>
  <c r="AN33" i="5"/>
  <c r="AN42" i="5"/>
  <c r="AN32" i="5"/>
  <c r="AO32" i="5"/>
  <c r="AE11" i="7"/>
  <c r="AM30" i="6"/>
  <c r="BK44" i="5" s="1"/>
  <c r="AM25" i="6"/>
  <c r="AN41" i="5"/>
  <c r="AL30" i="6"/>
  <c r="AL25" i="6"/>
  <c r="AO16" i="5"/>
  <c r="AK25" i="6"/>
  <c r="AN16" i="5"/>
  <c r="AG11" i="7"/>
  <c r="AN30" i="6"/>
  <c r="BL34" i="5" s="1"/>
  <c r="AM16" i="5"/>
  <c r="AF11" i="7"/>
  <c r="AP41" i="5"/>
  <c r="AH11" i="7"/>
  <c r="AM59" i="4"/>
  <c r="AN59" i="4"/>
  <c r="AK59" i="4"/>
  <c r="AL59" i="4"/>
  <c r="AK62" i="4"/>
  <c r="AK45" i="6" s="1"/>
  <c r="AK42" i="6" s="1"/>
  <c r="BI36" i="5" s="1"/>
  <c r="AL62" i="4"/>
  <c r="AL45" i="6" s="1"/>
  <c r="AL42" i="6" s="1"/>
  <c r="BJ36" i="5" s="1"/>
  <c r="AN45" i="6"/>
  <c r="AM67" i="4"/>
  <c r="AK67" i="4"/>
  <c r="AL67" i="4"/>
  <c r="AK48" i="6"/>
  <c r="AL48" i="6"/>
  <c r="AM78" i="4"/>
  <c r="AN78" i="4"/>
  <c r="AK78" i="4"/>
  <c r="AL78" i="4"/>
  <c r="AK5" i="4"/>
  <c r="AL5" i="4"/>
  <c r="AM5" i="4"/>
  <c r="AN5" i="4"/>
  <c r="AK9" i="4"/>
  <c r="AL9" i="4"/>
  <c r="AM9" i="4"/>
  <c r="AN9" i="4"/>
  <c r="AK14" i="4"/>
  <c r="AL14" i="4"/>
  <c r="AM14" i="4"/>
  <c r="AN14" i="4"/>
  <c r="AK38" i="6"/>
  <c r="AL38" i="6"/>
  <c r="AN38" i="6"/>
  <c r="AK31" i="4"/>
  <c r="AK6" i="6" s="1"/>
  <c r="AL31" i="4"/>
  <c r="AL6" i="6" s="1"/>
  <c r="AM31" i="4"/>
  <c r="AN31" i="4"/>
  <c r="AN6" i="6" s="1"/>
  <c r="AM32" i="4"/>
  <c r="AN32" i="4"/>
  <c r="AK32" i="4"/>
  <c r="AL32" i="4"/>
  <c r="AK42" i="4"/>
  <c r="AL42" i="4"/>
  <c r="AL16" i="6" s="1"/>
  <c r="AM42" i="4"/>
  <c r="AN42" i="4"/>
  <c r="AM45" i="4"/>
  <c r="AK45" i="4"/>
  <c r="AL45" i="4"/>
  <c r="AL13" i="6" l="1"/>
  <c r="AL14" i="6" s="1"/>
  <c r="BL44" i="5"/>
  <c r="BL40" i="5"/>
  <c r="BL31" i="5"/>
  <c r="BJ35" i="5"/>
  <c r="AF7" i="7"/>
  <c r="BJ40" i="5"/>
  <c r="BJ31" i="5"/>
  <c r="BK34" i="5"/>
  <c r="BI34" i="5"/>
  <c r="BI44" i="5"/>
  <c r="BI40" i="5"/>
  <c r="BI31" i="5"/>
  <c r="BJ34" i="5"/>
  <c r="BJ44" i="5"/>
  <c r="AN16" i="6"/>
  <c r="AN42" i="6"/>
  <c r="BL36" i="5" s="1"/>
  <c r="AM45" i="6"/>
  <c r="F39" i="12"/>
  <c r="F36" i="12" s="1"/>
  <c r="AM38" i="6"/>
  <c r="F33" i="12"/>
  <c r="F48" i="12"/>
  <c r="F41" i="12" s="1"/>
  <c r="F16" i="12"/>
  <c r="F14" i="12" s="1"/>
  <c r="F12" i="12" s="1"/>
  <c r="F13" i="12" s="1"/>
  <c r="AM6" i="6"/>
  <c r="AP31" i="5" s="1"/>
  <c r="F6" i="12"/>
  <c r="F32" i="12"/>
  <c r="H17" i="13"/>
  <c r="AQ40" i="5"/>
  <c r="AQ31" i="5"/>
  <c r="AQ34" i="5"/>
  <c r="AQ44" i="5"/>
  <c r="AN44" i="5"/>
  <c r="AO34" i="5"/>
  <c r="AN34" i="5"/>
  <c r="AN36" i="5"/>
  <c r="AM58" i="4"/>
  <c r="AM74" i="4" s="1"/>
  <c r="AG14" i="7" s="1"/>
  <c r="AO44" i="5"/>
  <c r="AG17" i="7"/>
  <c r="AM36" i="6"/>
  <c r="AN40" i="5"/>
  <c r="AN31" i="5"/>
  <c r="AN20" i="5"/>
  <c r="AN19" i="5"/>
  <c r="AF24" i="7"/>
  <c r="AF23" i="7"/>
  <c r="AP34" i="5"/>
  <c r="AP44" i="5"/>
  <c r="AM19" i="5"/>
  <c r="AE24" i="7"/>
  <c r="AN47" i="5"/>
  <c r="AF4" i="7"/>
  <c r="AN6" i="5"/>
  <c r="AN8" i="5"/>
  <c r="AF17" i="7"/>
  <c r="AL36" i="6"/>
  <c r="AF18" i="7"/>
  <c r="AK50" i="4"/>
  <c r="AE18" i="7"/>
  <c r="AK36" i="6"/>
  <c r="AE17" i="7"/>
  <c r="AM47" i="5"/>
  <c r="AN58" i="4"/>
  <c r="AN74" i="4" s="1"/>
  <c r="AN84" i="4" s="1"/>
  <c r="AP47" i="5"/>
  <c r="AP19" i="5"/>
  <c r="AH24" i="7"/>
  <c r="AN36" i="6"/>
  <c r="AH17" i="7"/>
  <c r="AH18" i="7"/>
  <c r="AL27" i="4"/>
  <c r="AF20" i="7" s="1"/>
  <c r="AL58" i="4"/>
  <c r="AL74" i="4" s="1"/>
  <c r="AF14" i="7" s="1"/>
  <c r="AK58" i="4"/>
  <c r="AK74" i="4" s="1"/>
  <c r="AK84" i="4" s="1"/>
  <c r="AK88" i="4" s="1"/>
  <c r="AK90" i="4" s="1"/>
  <c r="AK92" i="4" s="1"/>
  <c r="AN50" i="4"/>
  <c r="AM50" i="4"/>
  <c r="AM39" i="4"/>
  <c r="AK39" i="4"/>
  <c r="AN39" i="4"/>
  <c r="AL39" i="4"/>
  <c r="AK27" i="4"/>
  <c r="AK5" i="6" s="1"/>
  <c r="AM27" i="4"/>
  <c r="F5" i="12" s="1"/>
  <c r="AN27" i="4"/>
  <c r="AL50" i="4"/>
  <c r="AJ60" i="4"/>
  <c r="AJ62" i="4"/>
  <c r="AJ68" i="4"/>
  <c r="AJ71" i="4"/>
  <c r="AJ83" i="4"/>
  <c r="AJ7" i="6"/>
  <c r="AJ8" i="6"/>
  <c r="BH32" i="5" s="1"/>
  <c r="BH42" i="5"/>
  <c r="AJ17" i="6"/>
  <c r="AJ19" i="6"/>
  <c r="AJ27" i="6"/>
  <c r="AJ31" i="6"/>
  <c r="G11" i="13" s="1"/>
  <c r="AJ32" i="6"/>
  <c r="AJ39" i="6"/>
  <c r="AJ44" i="6"/>
  <c r="AJ50" i="6"/>
  <c r="AJ51" i="6"/>
  <c r="AJ54" i="6"/>
  <c r="AJ47" i="4"/>
  <c r="AJ37" i="4"/>
  <c r="AJ34" i="4"/>
  <c r="AJ12" i="4"/>
  <c r="AJ7" i="4"/>
  <c r="AJ5" i="4" s="1"/>
  <c r="AJ14" i="4"/>
  <c r="AJ21" i="4"/>
  <c r="AJ31" i="4"/>
  <c r="AJ42" i="4"/>
  <c r="AN13" i="6" l="1"/>
  <c r="AN14" i="6" s="1"/>
  <c r="AG24" i="7"/>
  <c r="BL35" i="5"/>
  <c r="AP8" i="5"/>
  <c r="G10" i="13"/>
  <c r="AH4" i="7"/>
  <c r="AH23" i="7"/>
  <c r="AP6" i="5"/>
  <c r="AM33" i="5"/>
  <c r="BH33" i="5"/>
  <c r="AK16" i="6"/>
  <c r="AK13" i="6" s="1"/>
  <c r="BK31" i="5"/>
  <c r="BK40" i="5"/>
  <c r="AM16" i="6"/>
  <c r="AM13" i="6" s="1"/>
  <c r="AQ36" i="5"/>
  <c r="AM41" i="5"/>
  <c r="BH41" i="5"/>
  <c r="AM32" i="5"/>
  <c r="AM24" i="5"/>
  <c r="BI43" i="5"/>
  <c r="AM42" i="6"/>
  <c r="AP36" i="5" s="1"/>
  <c r="AH7" i="7"/>
  <c r="AQ35" i="5"/>
  <c r="AO40" i="5"/>
  <c r="AG18" i="7"/>
  <c r="E10" i="12"/>
  <c r="AP40" i="5"/>
  <c r="AO47" i="5"/>
  <c r="AO31" i="5"/>
  <c r="H18" i="13"/>
  <c r="E16" i="12"/>
  <c r="H24" i="13"/>
  <c r="H14" i="13"/>
  <c r="AJ49" i="6"/>
  <c r="E20" i="12"/>
  <c r="E42" i="12"/>
  <c r="AJ45" i="4"/>
  <c r="AJ50" i="4" s="1"/>
  <c r="E18" i="12"/>
  <c r="AJ59" i="4"/>
  <c r="AJ58" i="4" s="1"/>
  <c r="E37" i="12"/>
  <c r="AO19" i="5"/>
  <c r="H20" i="13"/>
  <c r="AJ45" i="6"/>
  <c r="E39" i="12"/>
  <c r="AJ6" i="6"/>
  <c r="E6" i="12"/>
  <c r="AJ38" i="6"/>
  <c r="E33" i="12"/>
  <c r="E32" i="12"/>
  <c r="AJ78" i="4"/>
  <c r="E46" i="12"/>
  <c r="AJ26" i="6"/>
  <c r="AJ25" i="6" s="1"/>
  <c r="E23" i="12"/>
  <c r="E22" i="12" s="1"/>
  <c r="E48" i="12"/>
  <c r="AM42" i="5"/>
  <c r="AJ52" i="6"/>
  <c r="E45" i="12"/>
  <c r="AM14" i="5"/>
  <c r="AJ20" i="6"/>
  <c r="AE25" i="7"/>
  <c r="AJ67" i="4"/>
  <c r="AJ32" i="4"/>
  <c r="AJ39" i="4" s="1"/>
  <c r="AM5" i="6"/>
  <c r="BK43" i="5" s="1"/>
  <c r="AE13" i="7"/>
  <c r="AE14" i="7"/>
  <c r="AG20" i="7"/>
  <c r="AN5" i="6"/>
  <c r="BL43" i="5" s="1"/>
  <c r="AM27" i="5"/>
  <c r="AE22" i="7"/>
  <c r="AM9" i="5"/>
  <c r="AM15" i="5"/>
  <c r="AM21" i="5"/>
  <c r="AE19" i="7"/>
  <c r="AM26" i="5"/>
  <c r="AM25" i="5"/>
  <c r="AE20" i="7"/>
  <c r="AM84" i="4"/>
  <c r="AM88" i="4" s="1"/>
  <c r="AM90" i="4" s="1"/>
  <c r="AM92" i="4" s="1"/>
  <c r="AL84" i="4"/>
  <c r="AL88" i="4" s="1"/>
  <c r="AL90" i="4" s="1"/>
  <c r="AL92" i="4" s="1"/>
  <c r="AE15" i="7"/>
  <c r="AL5" i="6"/>
  <c r="AN6" i="7" s="1"/>
  <c r="AJ9" i="4"/>
  <c r="AJ27" i="4" s="1"/>
  <c r="AK51" i="4"/>
  <c r="AH20" i="7"/>
  <c r="AN88" i="4"/>
  <c r="AN90" i="4" s="1"/>
  <c r="AN92" i="4" s="1"/>
  <c r="AH14" i="7"/>
  <c r="AN51" i="4"/>
  <c r="AN52" i="4" s="1"/>
  <c r="AD10" i="7"/>
  <c r="AD34" i="7" s="1"/>
  <c r="AM51" i="4"/>
  <c r="AM52" i="4" s="1"/>
  <c r="AL51" i="4"/>
  <c r="AL52" i="4" s="1"/>
  <c r="AJ10" i="6"/>
  <c r="AJ22" i="6"/>
  <c r="AJ43" i="6"/>
  <c r="AJ46" i="6" s="1"/>
  <c r="AJ36" i="6"/>
  <c r="AL16" i="5"/>
  <c r="AD11" i="7"/>
  <c r="AD35" i="7" s="1"/>
  <c r="AJ30" i="6"/>
  <c r="AJ53" i="6"/>
  <c r="AP20" i="5" l="1"/>
  <c r="AO20" i="5"/>
  <c r="AM14" i="6"/>
  <c r="AO6" i="7" s="1"/>
  <c r="AE8" i="7"/>
  <c r="AK14" i="6"/>
  <c r="AM6" i="7" s="1"/>
  <c r="AP6" i="7"/>
  <c r="AP35" i="5"/>
  <c r="H4" i="13"/>
  <c r="AG23" i="7"/>
  <c r="AO35" i="5"/>
  <c r="H7" i="13"/>
  <c r="AM6" i="5"/>
  <c r="AM8" i="5"/>
  <c r="AO8" i="5"/>
  <c r="AM20" i="5"/>
  <c r="AG4" i="7"/>
  <c r="AO6" i="5"/>
  <c r="AM7" i="5"/>
  <c r="AE23" i="7"/>
  <c r="AE4" i="7"/>
  <c r="AE5" i="7"/>
  <c r="AJ16" i="6"/>
  <c r="BH44" i="5"/>
  <c r="BH34" i="5"/>
  <c r="AN10" i="5"/>
  <c r="BJ43" i="5"/>
  <c r="AM40" i="5"/>
  <c r="BH40" i="5"/>
  <c r="BH31" i="5"/>
  <c r="BK35" i="5"/>
  <c r="AG7" i="7"/>
  <c r="BI35" i="5"/>
  <c r="AE7" i="7"/>
  <c r="H5" i="13"/>
  <c r="BK36" i="5"/>
  <c r="AO36" i="5"/>
  <c r="AP10" i="5"/>
  <c r="H23" i="13"/>
  <c r="AN35" i="5"/>
  <c r="AL47" i="5"/>
  <c r="H25" i="13"/>
  <c r="AJ5" i="6"/>
  <c r="AM43" i="5" s="1"/>
  <c r="E5" i="12"/>
  <c r="H22" i="13"/>
  <c r="H19" i="13"/>
  <c r="H15" i="13"/>
  <c r="AD24" i="7"/>
  <c r="G24" i="13"/>
  <c r="G18" i="13"/>
  <c r="G20" i="13"/>
  <c r="E41" i="12"/>
  <c r="E36" i="12"/>
  <c r="E40" i="12"/>
  <c r="E14" i="12"/>
  <c r="E12" i="12" s="1"/>
  <c r="E13" i="12" s="1"/>
  <c r="AM31" i="5"/>
  <c r="AD18" i="7"/>
  <c r="AD42" i="7" s="1"/>
  <c r="G17" i="13"/>
  <c r="AJ48" i="6"/>
  <c r="H13" i="13"/>
  <c r="H8" i="13"/>
  <c r="AL19" i="5"/>
  <c r="AG13" i="7"/>
  <c r="AH8" i="7"/>
  <c r="AQ30" i="5"/>
  <c r="AQ43" i="5"/>
  <c r="AH5" i="7"/>
  <c r="AJ74" i="4"/>
  <c r="AJ84" i="4" s="1"/>
  <c r="AJ88" i="4" s="1"/>
  <c r="AJ90" i="4" s="1"/>
  <c r="AJ92" i="4" s="1"/>
  <c r="AJ42" i="6"/>
  <c r="AF13" i="7"/>
  <c r="AH19" i="7"/>
  <c r="AP30" i="5"/>
  <c r="AH15" i="7"/>
  <c r="AP26" i="5"/>
  <c r="AH13" i="7"/>
  <c r="AP24" i="5"/>
  <c r="AP21" i="5"/>
  <c r="AG22" i="7"/>
  <c r="AO26" i="5"/>
  <c r="AO9" i="5"/>
  <c r="AO15" i="5"/>
  <c r="AO30" i="5"/>
  <c r="AO27" i="5"/>
  <c r="AO43" i="5"/>
  <c r="AO25" i="5"/>
  <c r="AG19" i="7"/>
  <c r="AO21" i="5"/>
  <c r="AO7" i="5"/>
  <c r="AG25" i="7"/>
  <c r="AG8" i="7"/>
  <c r="AG15" i="7"/>
  <c r="AO14" i="5"/>
  <c r="AO24" i="5"/>
  <c r="AG5" i="7"/>
  <c r="AP25" i="5"/>
  <c r="AP7" i="5"/>
  <c r="AP15" i="5"/>
  <c r="AF22" i="7"/>
  <c r="AN27" i="5"/>
  <c r="AN15" i="5"/>
  <c r="AN30" i="5"/>
  <c r="AN9" i="5"/>
  <c r="AN26" i="5"/>
  <c r="AN21" i="5"/>
  <c r="AN25" i="5"/>
  <c r="AN43" i="5"/>
  <c r="AF19" i="7"/>
  <c r="AF25" i="7"/>
  <c r="AF15" i="7"/>
  <c r="AN24" i="5"/>
  <c r="AN7" i="5"/>
  <c r="AF5" i="7"/>
  <c r="AN14" i="5"/>
  <c r="AF8" i="7"/>
  <c r="AP14" i="5"/>
  <c r="AP9" i="5"/>
  <c r="AP27" i="5"/>
  <c r="AP43" i="5"/>
  <c r="AM34" i="5"/>
  <c r="AM44" i="5"/>
  <c r="AH25" i="7"/>
  <c r="AH22" i="7"/>
  <c r="AD17" i="7"/>
  <c r="AJ51" i="4"/>
  <c r="AD20" i="7"/>
  <c r="AD44" i="7" s="1"/>
  <c r="AJ13" i="6" l="1"/>
  <c r="AJ14" i="6" s="1"/>
  <c r="AO10" i="5"/>
  <c r="AM10" i="5"/>
  <c r="AD15" i="7"/>
  <c r="AD39" i="7" s="1"/>
  <c r="AL14" i="5"/>
  <c r="H6" i="13"/>
  <c r="AL27" i="5"/>
  <c r="AM30" i="5"/>
  <c r="AL15" i="5"/>
  <c r="AL26" i="5"/>
  <c r="AD25" i="7"/>
  <c r="AD49" i="7" s="1"/>
  <c r="AD14" i="7"/>
  <c r="AD38" i="7" s="1"/>
  <c r="G4" i="13"/>
  <c r="G23" i="13"/>
  <c r="AL7" i="5"/>
  <c r="AD4" i="7"/>
  <c r="AL20" i="5"/>
  <c r="AM35" i="5"/>
  <c r="G7" i="13"/>
  <c r="AL8" i="5"/>
  <c r="AL6" i="5"/>
  <c r="AD23" i="7"/>
  <c r="AD47" i="7" s="1"/>
  <c r="AL25" i="5"/>
  <c r="AL21" i="5"/>
  <c r="AL24" i="5"/>
  <c r="AL9" i="5"/>
  <c r="AD19" i="7"/>
  <c r="AD43" i="7" s="1"/>
  <c r="AD22" i="7"/>
  <c r="AD46" i="7" s="1"/>
  <c r="AM36" i="5"/>
  <c r="BH36" i="5"/>
  <c r="G8" i="13"/>
  <c r="BH43" i="5"/>
  <c r="BH35" i="5"/>
  <c r="AD7" i="7"/>
  <c r="AD31" i="7" s="1"/>
  <c r="G25" i="13"/>
  <c r="G15" i="13"/>
  <c r="G5" i="13"/>
  <c r="G14" i="13"/>
  <c r="AD13" i="7"/>
  <c r="G13" i="13"/>
  <c r="G22" i="13"/>
  <c r="G19" i="13"/>
  <c r="AD41" i="7"/>
  <c r="AD37" i="7"/>
  <c r="AI7" i="6"/>
  <c r="BG33" i="5" s="1"/>
  <c r="AI8" i="6"/>
  <c r="BG32" i="5" s="1"/>
  <c r="BG42" i="5"/>
  <c r="AI17" i="6"/>
  <c r="AI19" i="6"/>
  <c r="AI27" i="6"/>
  <c r="AI31" i="6"/>
  <c r="AI32" i="6"/>
  <c r="AI39" i="6"/>
  <c r="AI44" i="6"/>
  <c r="AI50" i="6"/>
  <c r="AI51" i="6"/>
  <c r="AI54" i="6"/>
  <c r="AL6" i="7" l="1"/>
  <c r="G6" i="13"/>
  <c r="AD5" i="7"/>
  <c r="AD29" i="7" s="1"/>
  <c r="AD8" i="7"/>
  <c r="AD32" i="7" s="1"/>
  <c r="AD48" i="7"/>
  <c r="AL10" i="5"/>
  <c r="BG41" i="5"/>
  <c r="AI30" i="6"/>
  <c r="AK16" i="5"/>
  <c r="AL41" i="5"/>
  <c r="AL42" i="5"/>
  <c r="AL32" i="5"/>
  <c r="AL33" i="5"/>
  <c r="AC11" i="7"/>
  <c r="BG34" i="5" l="1"/>
  <c r="BG44" i="5"/>
  <c r="AL34" i="5"/>
  <c r="AL44" i="5"/>
  <c r="AI83" i="4"/>
  <c r="AI71" i="4"/>
  <c r="AI68" i="4"/>
  <c r="AI60" i="4"/>
  <c r="AI26" i="4"/>
  <c r="AI7" i="4"/>
  <c r="AI47" i="4"/>
  <c r="AI43" i="6" l="1"/>
  <c r="AI46" i="6" s="1"/>
  <c r="AI52" i="6"/>
  <c r="AI53" i="6"/>
  <c r="AI20" i="6"/>
  <c r="AI22" i="6"/>
  <c r="AI49" i="6"/>
  <c r="AI37" i="4"/>
  <c r="AI44" i="4"/>
  <c r="AI34" i="4"/>
  <c r="AI5" i="4"/>
  <c r="AI12" i="4"/>
  <c r="AI9" i="4" s="1"/>
  <c r="AI14" i="4"/>
  <c r="AI21" i="4"/>
  <c r="AI31" i="4"/>
  <c r="AI45" i="4"/>
  <c r="AI59" i="4"/>
  <c r="AI62" i="4"/>
  <c r="AI67" i="4"/>
  <c r="AI78" i="4"/>
  <c r="AH7" i="6"/>
  <c r="AH8" i="6"/>
  <c r="BF32" i="5" s="1"/>
  <c r="AH10" i="6"/>
  <c r="AH17" i="6"/>
  <c r="AH19" i="6"/>
  <c r="AH20" i="6"/>
  <c r="AH22" i="6"/>
  <c r="AH26" i="6"/>
  <c r="AH27" i="6"/>
  <c r="AH31" i="6"/>
  <c r="AH32" i="6"/>
  <c r="AH39" i="6"/>
  <c r="AH43" i="6"/>
  <c r="AH44" i="6"/>
  <c r="AH49" i="6"/>
  <c r="AH50" i="6"/>
  <c r="AH51" i="6"/>
  <c r="AH52" i="6"/>
  <c r="AH53" i="6"/>
  <c r="AH54" i="6"/>
  <c r="AH5" i="4"/>
  <c r="BF41" i="5" l="1"/>
  <c r="AK42" i="5"/>
  <c r="BF42" i="5"/>
  <c r="AK33" i="5"/>
  <c r="BF33" i="5"/>
  <c r="AK32" i="5"/>
  <c r="AI42" i="4"/>
  <c r="AI50" i="4" s="1"/>
  <c r="AI6" i="6"/>
  <c r="AI38" i="6"/>
  <c r="AI26" i="6"/>
  <c r="AI25" i="6" s="1"/>
  <c r="AI45" i="6"/>
  <c r="AI42" i="6" s="1"/>
  <c r="AI10" i="6"/>
  <c r="AC17" i="7" s="1"/>
  <c r="AB17" i="7"/>
  <c r="AI48" i="6"/>
  <c r="AH25" i="6"/>
  <c r="AH36" i="6"/>
  <c r="AI32" i="4"/>
  <c r="AH30" i="6"/>
  <c r="AH46" i="6"/>
  <c r="AI36" i="6"/>
  <c r="AB10" i="7"/>
  <c r="AJ16" i="5"/>
  <c r="AK41" i="5"/>
  <c r="AB11" i="7"/>
  <c r="AI58" i="4"/>
  <c r="AI27" i="4"/>
  <c r="AH9" i="4"/>
  <c r="AH14" i="4"/>
  <c r="AH21" i="4"/>
  <c r="AH38" i="6" s="1"/>
  <c r="AH31" i="4"/>
  <c r="AH6" i="6" s="1"/>
  <c r="AH32" i="4"/>
  <c r="AH42" i="4"/>
  <c r="AH45" i="4"/>
  <c r="AH59" i="4"/>
  <c r="AH62" i="4"/>
  <c r="AH45" i="6" s="1"/>
  <c r="AH42" i="6" s="1"/>
  <c r="BF36" i="5" s="1"/>
  <c r="AH67" i="4"/>
  <c r="AH48" i="6"/>
  <c r="AH78" i="4"/>
  <c r="AK19" i="5" l="1"/>
  <c r="AL31" i="5"/>
  <c r="BG40" i="5"/>
  <c r="BG31" i="5"/>
  <c r="BF40" i="5"/>
  <c r="BF31" i="5"/>
  <c r="AK34" i="5"/>
  <c r="BF34" i="5"/>
  <c r="BF44" i="5"/>
  <c r="AL36" i="5"/>
  <c r="BG36" i="5"/>
  <c r="AH16" i="6"/>
  <c r="AK31" i="5"/>
  <c r="AL40" i="5"/>
  <c r="AC18" i="7"/>
  <c r="AC24" i="7"/>
  <c r="AC20" i="7"/>
  <c r="AI39" i="4"/>
  <c r="AK47" i="5"/>
  <c r="AH50" i="4"/>
  <c r="AK44" i="5"/>
  <c r="AK40" i="5"/>
  <c r="AB18" i="7"/>
  <c r="AK36" i="5"/>
  <c r="AB24" i="7"/>
  <c r="AI5" i="6"/>
  <c r="BG43" i="5" s="1"/>
  <c r="AJ47" i="5"/>
  <c r="AJ19" i="5"/>
  <c r="AI74" i="4"/>
  <c r="AH27" i="4"/>
  <c r="AH58" i="4"/>
  <c r="AH74" i="4" s="1"/>
  <c r="AH84" i="4" s="1"/>
  <c r="AH88" i="4" s="1"/>
  <c r="AH90" i="4" s="1"/>
  <c r="AH92" i="4" s="1"/>
  <c r="AH39" i="4"/>
  <c r="AF7" i="6"/>
  <c r="BD33" i="5" s="1"/>
  <c r="AG7" i="6"/>
  <c r="BE33" i="5" s="1"/>
  <c r="AF8" i="6"/>
  <c r="BD32" i="5" s="1"/>
  <c r="AG8" i="6"/>
  <c r="BE32" i="5" s="1"/>
  <c r="BD42" i="5"/>
  <c r="BE42" i="5"/>
  <c r="AF10" i="6"/>
  <c r="AG10" i="6"/>
  <c r="AF17" i="6"/>
  <c r="BD41" i="5" s="1"/>
  <c r="AG17" i="6"/>
  <c r="BE41" i="5" s="1"/>
  <c r="AF19" i="6"/>
  <c r="AG19" i="6"/>
  <c r="AF20" i="6"/>
  <c r="AG20" i="6"/>
  <c r="AF22" i="6"/>
  <c r="AG22" i="6"/>
  <c r="AF26" i="6"/>
  <c r="AG26" i="6"/>
  <c r="AF27" i="6"/>
  <c r="AG27" i="6"/>
  <c r="AF31" i="6"/>
  <c r="AG31" i="6"/>
  <c r="AF32" i="6"/>
  <c r="AG32" i="6"/>
  <c r="AF39" i="6"/>
  <c r="AG39" i="6"/>
  <c r="AF43" i="6"/>
  <c r="AG43" i="6"/>
  <c r="AF44" i="6"/>
  <c r="AG44" i="6"/>
  <c r="AF49" i="6"/>
  <c r="AG49" i="6"/>
  <c r="AF50" i="6"/>
  <c r="AG50" i="6"/>
  <c r="AF51" i="6"/>
  <c r="AG51" i="6"/>
  <c r="AF52" i="6"/>
  <c r="AG52" i="6"/>
  <c r="AF53" i="6"/>
  <c r="AG53" i="6"/>
  <c r="AF54" i="6"/>
  <c r="AG54" i="6"/>
  <c r="AH13" i="6" l="1"/>
  <c r="AH14" i="6" s="1"/>
  <c r="AB7" i="7"/>
  <c r="BF35" i="5"/>
  <c r="AJ8" i="5"/>
  <c r="AB23" i="7"/>
  <c r="AJ6" i="5"/>
  <c r="AJ20" i="5"/>
  <c r="AI16" i="6"/>
  <c r="AI51" i="4"/>
  <c r="AC14" i="7"/>
  <c r="AH51" i="4"/>
  <c r="AH50" i="5"/>
  <c r="AH57" i="6"/>
  <c r="AH16" i="5"/>
  <c r="Z11" i="7"/>
  <c r="AH5" i="6"/>
  <c r="AB20" i="7"/>
  <c r="AI32" i="5"/>
  <c r="AJ32" i="5"/>
  <c r="AB14" i="7"/>
  <c r="AI16" i="5"/>
  <c r="AA11" i="7"/>
  <c r="AJ42" i="5"/>
  <c r="AI42" i="5"/>
  <c r="AI41" i="5"/>
  <c r="AJ41" i="5"/>
  <c r="AI33" i="5"/>
  <c r="AJ33" i="5"/>
  <c r="AL30" i="5"/>
  <c r="AL43" i="5"/>
  <c r="AC22" i="7"/>
  <c r="AK15" i="5"/>
  <c r="AK27" i="5"/>
  <c r="AK25" i="5"/>
  <c r="AK9" i="5"/>
  <c r="AK26" i="5"/>
  <c r="AC19" i="7"/>
  <c r="AK21" i="5"/>
  <c r="AK14" i="5"/>
  <c r="AC15" i="7"/>
  <c r="AC25" i="7"/>
  <c r="AK24" i="5"/>
  <c r="AI84" i="4"/>
  <c r="AG30" i="6"/>
  <c r="AF25" i="6"/>
  <c r="AG46" i="6"/>
  <c r="AF30" i="6"/>
  <c r="AG25" i="6"/>
  <c r="AF46" i="6"/>
  <c r="AJ6" i="7" l="1"/>
  <c r="AI14" i="6"/>
  <c r="AK6" i="7" s="1"/>
  <c r="AI13" i="6"/>
  <c r="AK35" i="5" s="1"/>
  <c r="AB4" i="7"/>
  <c r="AC4" i="7"/>
  <c r="AC28" i="7" s="1"/>
  <c r="BG35" i="5"/>
  <c r="AC7" i="7"/>
  <c r="AC31" i="7" s="1"/>
  <c r="AL35" i="5"/>
  <c r="AC23" i="7"/>
  <c r="AK20" i="5"/>
  <c r="AK7" i="5"/>
  <c r="AC5" i="7"/>
  <c r="AC29" i="7" s="1"/>
  <c r="AC8" i="7"/>
  <c r="AC32" i="7" s="1"/>
  <c r="AK8" i="5"/>
  <c r="AK6" i="5"/>
  <c r="BD44" i="5"/>
  <c r="BD34" i="5"/>
  <c r="AK43" i="5"/>
  <c r="BF43" i="5"/>
  <c r="BE34" i="5"/>
  <c r="BE44" i="5"/>
  <c r="AI52" i="4"/>
  <c r="AJ10" i="5"/>
  <c r="AI44" i="5"/>
  <c r="AB22" i="7"/>
  <c r="AJ21" i="5"/>
  <c r="AB19" i="7"/>
  <c r="AJ26" i="5"/>
  <c r="AJ15" i="5"/>
  <c r="AJ25" i="5"/>
  <c r="AJ9" i="5"/>
  <c r="AJ27" i="5"/>
  <c r="AB8" i="7"/>
  <c r="AB5" i="7"/>
  <c r="AJ14" i="5"/>
  <c r="AB15" i="7"/>
  <c r="AJ24" i="5"/>
  <c r="AB25" i="7"/>
  <c r="AJ7" i="5"/>
  <c r="AI34" i="5"/>
  <c r="AJ44" i="5"/>
  <c r="AJ34" i="5"/>
  <c r="AK30" i="5"/>
  <c r="AB13" i="7"/>
  <c r="AI88" i="4"/>
  <c r="AF59" i="4"/>
  <c r="AG59" i="4"/>
  <c r="AF62" i="4"/>
  <c r="AF45" i="6" s="1"/>
  <c r="AF42" i="6" s="1"/>
  <c r="BD36" i="5" s="1"/>
  <c r="AG62" i="4"/>
  <c r="AG45" i="6" s="1"/>
  <c r="AG42" i="6" s="1"/>
  <c r="BE36" i="5" s="1"/>
  <c r="AF78" i="4"/>
  <c r="AG78" i="4"/>
  <c r="AF75" i="4"/>
  <c r="AF55" i="6" s="1"/>
  <c r="AF48" i="6" s="1"/>
  <c r="AG75" i="4"/>
  <c r="AG55" i="6" s="1"/>
  <c r="AG48" i="6" s="1"/>
  <c r="AF67" i="4"/>
  <c r="AG67" i="4"/>
  <c r="AK10" i="5" l="1"/>
  <c r="AI36" i="5"/>
  <c r="AJ36" i="5"/>
  <c r="AI90" i="4"/>
  <c r="AI92" i="4" s="1"/>
  <c r="AF58" i="4"/>
  <c r="AF74" i="4" s="1"/>
  <c r="Z14" i="7" s="1"/>
  <c r="AG58" i="4"/>
  <c r="AG45" i="4"/>
  <c r="AG5" i="4"/>
  <c r="AG21" i="4"/>
  <c r="AG38" i="6" s="1"/>
  <c r="AG14" i="4"/>
  <c r="AG9" i="4"/>
  <c r="AF42" i="4"/>
  <c r="AF16" i="6" s="1"/>
  <c r="AG42" i="4"/>
  <c r="AG16" i="6" s="1"/>
  <c r="AF31" i="4"/>
  <c r="AG31" i="4"/>
  <c r="AG6" i="6" s="1"/>
  <c r="AF32" i="4"/>
  <c r="AG32" i="4"/>
  <c r="AF21" i="4"/>
  <c r="AF38" i="6" s="1"/>
  <c r="AF14" i="4"/>
  <c r="AF9" i="4"/>
  <c r="AF5" i="4"/>
  <c r="AF45" i="4"/>
  <c r="AG13" i="6" l="1"/>
  <c r="AI35" i="5" s="1"/>
  <c r="AF13" i="6"/>
  <c r="AF14" i="6" s="1"/>
  <c r="BE31" i="5"/>
  <c r="BE40" i="5"/>
  <c r="BD35" i="5"/>
  <c r="AH6" i="5"/>
  <c r="Z4" i="7"/>
  <c r="AH20" i="5"/>
  <c r="Z23" i="7"/>
  <c r="AG36" i="6"/>
  <c r="AA17" i="7"/>
  <c r="AA18" i="7"/>
  <c r="AJ40" i="5"/>
  <c r="AJ31" i="5"/>
  <c r="AI47" i="5"/>
  <c r="AA24" i="7"/>
  <c r="AI19" i="5"/>
  <c r="Z17" i="7"/>
  <c r="AG50" i="4"/>
  <c r="AF84" i="4"/>
  <c r="AF88" i="4" s="1"/>
  <c r="AF90" i="4" s="1"/>
  <c r="AF92" i="4" s="1"/>
  <c r="AA4" i="7"/>
  <c r="AF39" i="4"/>
  <c r="AF6" i="6"/>
  <c r="AF27" i="4"/>
  <c r="AF5" i="6" s="1"/>
  <c r="AF36" i="6"/>
  <c r="AG74" i="4"/>
  <c r="AG27" i="4"/>
  <c r="AG5" i="6" s="1"/>
  <c r="AG39" i="4"/>
  <c r="AF50" i="4"/>
  <c r="AV22" i="9"/>
  <c r="AX22" i="9" s="1"/>
  <c r="AU22" i="9"/>
  <c r="AV21" i="9"/>
  <c r="AX21" i="9" s="1"/>
  <c r="AU21" i="9"/>
  <c r="AV20" i="9"/>
  <c r="AX20" i="9" s="1"/>
  <c r="AU20" i="9"/>
  <c r="AV19" i="9"/>
  <c r="AX19" i="9" s="1"/>
  <c r="AU19" i="9"/>
  <c r="AV18" i="9"/>
  <c r="AX18" i="9" s="1"/>
  <c r="AU18" i="9"/>
  <c r="AV15" i="9"/>
  <c r="AX15" i="9" s="1"/>
  <c r="AU15" i="9"/>
  <c r="AV14" i="9"/>
  <c r="AX14" i="9" s="1"/>
  <c r="AU14" i="9"/>
  <c r="AV13" i="9"/>
  <c r="AU13" i="9"/>
  <c r="AV12" i="9"/>
  <c r="AX12" i="9" s="1"/>
  <c r="AU12" i="9"/>
  <c r="AV11" i="9"/>
  <c r="AX11" i="9" s="1"/>
  <c r="AU11" i="9"/>
  <c r="AH6" i="7" l="1"/>
  <c r="AG14" i="6"/>
  <c r="BE35" i="5"/>
  <c r="AI20" i="5"/>
  <c r="AA7" i="7"/>
  <c r="AI6" i="7"/>
  <c r="AI6" i="5"/>
  <c r="AI8" i="5"/>
  <c r="AA23" i="7"/>
  <c r="AJ35" i="5"/>
  <c r="AA25" i="7"/>
  <c r="BE43" i="5"/>
  <c r="BD40" i="5"/>
  <c r="BD31" i="5"/>
  <c r="Z25" i="7"/>
  <c r="BD43" i="5"/>
  <c r="Z7" i="7"/>
  <c r="AI7" i="5"/>
  <c r="AA20" i="7"/>
  <c r="AG51" i="4"/>
  <c r="AI40" i="5"/>
  <c r="AA5" i="7"/>
  <c r="AG84" i="4"/>
  <c r="AG88" i="4" s="1"/>
  <c r="AG90" i="4" s="1"/>
  <c r="AG92" i="4" s="1"/>
  <c r="AA14" i="7"/>
  <c r="Z5" i="7"/>
  <c r="Z20" i="7"/>
  <c r="AH14" i="5"/>
  <c r="AH7" i="5"/>
  <c r="AH24" i="5"/>
  <c r="AH47" i="5"/>
  <c r="Z24" i="7"/>
  <c r="AH19" i="5"/>
  <c r="AI57" i="6"/>
  <c r="AC13" i="7"/>
  <c r="AI31" i="5"/>
  <c r="AI14" i="5"/>
  <c r="AF57" i="6"/>
  <c r="Z13" i="7"/>
  <c r="AA8" i="7"/>
  <c r="Z18" i="7"/>
  <c r="AI24" i="5"/>
  <c r="AI10" i="5"/>
  <c r="Z22" i="7"/>
  <c r="Z19" i="7"/>
  <c r="AH26" i="5"/>
  <c r="AH27" i="5"/>
  <c r="AH15" i="5"/>
  <c r="AH9" i="5"/>
  <c r="AH25" i="5"/>
  <c r="AH21" i="5"/>
  <c r="Z15" i="7"/>
  <c r="AI30" i="5"/>
  <c r="AA22" i="7"/>
  <c r="AI43" i="5"/>
  <c r="AI25" i="5"/>
  <c r="AI26" i="5"/>
  <c r="AI9" i="5"/>
  <c r="AI15" i="5"/>
  <c r="AA19" i="7"/>
  <c r="AI27" i="5"/>
  <c r="AJ43" i="5"/>
  <c r="AI21" i="5"/>
  <c r="AJ30" i="5"/>
  <c r="AA15" i="7"/>
  <c r="Z8" i="7"/>
  <c r="AH8" i="5"/>
  <c r="AH10" i="5"/>
  <c r="AF51" i="4"/>
  <c r="AU23" i="9"/>
  <c r="AF34" i="6" s="1"/>
  <c r="Z10" i="7" s="1"/>
  <c r="AU16" i="9"/>
  <c r="AV16" i="9"/>
  <c r="AX23" i="9"/>
  <c r="AX13" i="9"/>
  <c r="AX16" i="9" s="1"/>
  <c r="AV23" i="9"/>
  <c r="AE7" i="6"/>
  <c r="AE8" i="6"/>
  <c r="BC32" i="5" s="1"/>
  <c r="AE10" i="6"/>
  <c r="AE17" i="6"/>
  <c r="AE19" i="6"/>
  <c r="AE20" i="6"/>
  <c r="AE22" i="6"/>
  <c r="AE26" i="6"/>
  <c r="AE27" i="6"/>
  <c r="AE31" i="6"/>
  <c r="AE32" i="6"/>
  <c r="AE34" i="6"/>
  <c r="AE39" i="6"/>
  <c r="AE43" i="6"/>
  <c r="AE44" i="6"/>
  <c r="AE49" i="6"/>
  <c r="AE50" i="6"/>
  <c r="AE51" i="6"/>
  <c r="AE52" i="6"/>
  <c r="AE53" i="6"/>
  <c r="AE54" i="6"/>
  <c r="AE59" i="4"/>
  <c r="AE62" i="4"/>
  <c r="AE45" i="6" s="1"/>
  <c r="AE67" i="4"/>
  <c r="AE75" i="4"/>
  <c r="AE55" i="6" s="1"/>
  <c r="AE78" i="4"/>
  <c r="AE5" i="4"/>
  <c r="AE9" i="4"/>
  <c r="AE14" i="4"/>
  <c r="AE21" i="4"/>
  <c r="AE38" i="6" s="1"/>
  <c r="AE31" i="4"/>
  <c r="AE6" i="6" s="1"/>
  <c r="AE32" i="4"/>
  <c r="AE42" i="4"/>
  <c r="AE45" i="4"/>
  <c r="AI34" i="6" l="1"/>
  <c r="AG34" i="6"/>
  <c r="AA10" i="7" s="1"/>
  <c r="AH40" i="5"/>
  <c r="BC40" i="5"/>
  <c r="BC31" i="5"/>
  <c r="AH32" i="5"/>
  <c r="AH41" i="5"/>
  <c r="BC41" i="5"/>
  <c r="AH42" i="5"/>
  <c r="BC42" i="5"/>
  <c r="AH33" i="5"/>
  <c r="BC33" i="5"/>
  <c r="AV24" i="9"/>
  <c r="AX24" i="9"/>
  <c r="AC10" i="7"/>
  <c r="AH31" i="5"/>
  <c r="AE39" i="4"/>
  <c r="AG57" i="6"/>
  <c r="AA13" i="7"/>
  <c r="Y17" i="7"/>
  <c r="AE30" i="6"/>
  <c r="AE25" i="6"/>
  <c r="Y24" i="7" s="1"/>
  <c r="AU24" i="9"/>
  <c r="AX35" i="6" s="1"/>
  <c r="AZ50" i="5" s="1"/>
  <c r="AE48" i="6"/>
  <c r="AE42" i="6"/>
  <c r="AE16" i="6"/>
  <c r="AG47" i="5"/>
  <c r="AG16" i="5"/>
  <c r="Y11" i="7"/>
  <c r="Y10" i="7"/>
  <c r="AE46" i="6"/>
  <c r="AE27" i="4"/>
  <c r="AE5" i="6" s="1"/>
  <c r="BC43" i="5" s="1"/>
  <c r="Y18" i="7"/>
  <c r="AE36" i="6"/>
  <c r="AE58" i="4"/>
  <c r="AE74" i="4" s="1"/>
  <c r="AE50" i="4"/>
  <c r="AD7" i="6"/>
  <c r="BB33" i="5" s="1"/>
  <c r="AD8" i="6"/>
  <c r="BB32" i="5" s="1"/>
  <c r="AD10" i="6"/>
  <c r="AD17" i="6"/>
  <c r="AD19" i="6"/>
  <c r="AD20" i="6"/>
  <c r="AD22" i="6"/>
  <c r="AD26" i="6"/>
  <c r="AD27" i="6"/>
  <c r="AD31" i="6"/>
  <c r="AD32" i="6"/>
  <c r="AD39" i="6"/>
  <c r="AD43" i="6"/>
  <c r="AD44" i="6"/>
  <c r="AD49" i="6"/>
  <c r="AD50" i="6"/>
  <c r="AD51" i="6"/>
  <c r="AD52" i="6"/>
  <c r="AD53" i="6"/>
  <c r="AD54" i="6"/>
  <c r="AE14" i="6" l="1"/>
  <c r="AG6" i="7" s="1"/>
  <c r="AE13" i="6"/>
  <c r="AY35" i="6"/>
  <c r="BA50" i="5" s="1"/>
  <c r="BA35" i="6"/>
  <c r="BC50" i="5" s="1"/>
  <c r="AG41" i="5"/>
  <c r="BB41" i="5"/>
  <c r="AG42" i="5"/>
  <c r="BB42" i="5"/>
  <c r="AH36" i="5"/>
  <c r="BC36" i="5"/>
  <c r="BC34" i="5"/>
  <c r="BC44" i="5"/>
  <c r="AG32" i="5"/>
  <c r="Y7" i="7"/>
  <c r="BC35" i="5"/>
  <c r="AE51" i="4"/>
  <c r="AG14" i="5"/>
  <c r="AH43" i="5"/>
  <c r="AH30" i="5"/>
  <c r="AH44" i="5"/>
  <c r="AH34" i="5"/>
  <c r="AH35" i="5"/>
  <c r="Y14" i="7"/>
  <c r="AE84" i="4"/>
  <c r="AE88" i="4" s="1"/>
  <c r="AE90" i="4" s="1"/>
  <c r="AE92" i="4" s="1"/>
  <c r="AE57" i="6" s="1"/>
  <c r="AD25" i="6"/>
  <c r="AD30" i="6"/>
  <c r="AG19" i="5"/>
  <c r="X11" i="7"/>
  <c r="AD46" i="6"/>
  <c r="AG33" i="5"/>
  <c r="AF16" i="5"/>
  <c r="Y23" i="7"/>
  <c r="AG20" i="5"/>
  <c r="Y4" i="7"/>
  <c r="AG8" i="5"/>
  <c r="AG6" i="5"/>
  <c r="Y20" i="7"/>
  <c r="Y15" i="7"/>
  <c r="AG9" i="5"/>
  <c r="Y8" i="7"/>
  <c r="AG15" i="5"/>
  <c r="Y5" i="7"/>
  <c r="AG21" i="5"/>
  <c r="AG26" i="5"/>
  <c r="AG24" i="5"/>
  <c r="Y25" i="7"/>
  <c r="Y19" i="7"/>
  <c r="AG7" i="5"/>
  <c r="AG25" i="5"/>
  <c r="AG27" i="5"/>
  <c r="Y22" i="7"/>
  <c r="AD78" i="4"/>
  <c r="AD75" i="4"/>
  <c r="AD55" i="6" s="1"/>
  <c r="AD48" i="6" s="1"/>
  <c r="AD67" i="4"/>
  <c r="AD62" i="4"/>
  <c r="AD45" i="6" s="1"/>
  <c r="AD42" i="6" s="1"/>
  <c r="BB36" i="5" s="1"/>
  <c r="AD59" i="4"/>
  <c r="AG44" i="5" l="1"/>
  <c r="BB44" i="5"/>
  <c r="BB34" i="5"/>
  <c r="AG10" i="5"/>
  <c r="AD58" i="4"/>
  <c r="AD74" i="4" s="1"/>
  <c r="AG34" i="5"/>
  <c r="AG36" i="5"/>
  <c r="Y13" i="7"/>
  <c r="AD45" i="4"/>
  <c r="AD42" i="4"/>
  <c r="AD16" i="6" s="1"/>
  <c r="AD31" i="4"/>
  <c r="AD6" i="6" s="1"/>
  <c r="AD32" i="4"/>
  <c r="AD21" i="4"/>
  <c r="AD38" i="6" s="1"/>
  <c r="AD14" i="4"/>
  <c r="AD5" i="4"/>
  <c r="AD9" i="4"/>
  <c r="AD13" i="6" l="1"/>
  <c r="AD14" i="6" s="1"/>
  <c r="X7" i="7"/>
  <c r="BB35" i="5"/>
  <c r="BB40" i="5"/>
  <c r="BB31" i="5"/>
  <c r="AD84" i="4"/>
  <c r="AD88" i="4" s="1"/>
  <c r="AD90" i="4" s="1"/>
  <c r="AD92" i="4" s="1"/>
  <c r="AD57" i="6" s="1"/>
  <c r="X14" i="7"/>
  <c r="AF6" i="5"/>
  <c r="AF8" i="5"/>
  <c r="X23" i="7"/>
  <c r="AF20" i="5"/>
  <c r="AG35" i="5"/>
  <c r="X17" i="7"/>
  <c r="X18" i="7"/>
  <c r="AD36" i="6"/>
  <c r="AG31" i="5"/>
  <c r="AG40" i="5"/>
  <c r="AF19" i="5"/>
  <c r="X24" i="7"/>
  <c r="AF47" i="5"/>
  <c r="AD50" i="4"/>
  <c r="AD39" i="4"/>
  <c r="AD27" i="4"/>
  <c r="AD5" i="6" s="1"/>
  <c r="K26" i="9"/>
  <c r="O26" i="9"/>
  <c r="S26" i="9"/>
  <c r="W26" i="9"/>
  <c r="AA26" i="9"/>
  <c r="AE26" i="9"/>
  <c r="AI26" i="9"/>
  <c r="AM26" i="9"/>
  <c r="AF6" i="7" l="1"/>
  <c r="X4" i="7"/>
  <c r="AF24" i="5"/>
  <c r="BB43" i="5"/>
  <c r="AD51" i="4"/>
  <c r="X13" i="7"/>
  <c r="AF10" i="5"/>
  <c r="X20" i="7"/>
  <c r="AF26" i="5"/>
  <c r="X22" i="7"/>
  <c r="AF15" i="5"/>
  <c r="AF9" i="5"/>
  <c r="AF27" i="5"/>
  <c r="X19" i="7"/>
  <c r="AF21" i="5"/>
  <c r="AG30" i="5"/>
  <c r="AF25" i="5"/>
  <c r="AG43" i="5"/>
  <c r="X15" i="7"/>
  <c r="AF7" i="5"/>
  <c r="X25" i="7"/>
  <c r="AF14" i="5"/>
  <c r="X8" i="7"/>
  <c r="X5" i="7"/>
  <c r="AR29" i="9"/>
  <c r="AC78" i="4" l="1"/>
  <c r="AC75" i="4"/>
  <c r="AC67" i="4"/>
  <c r="AC62" i="4"/>
  <c r="AC59" i="4"/>
  <c r="AC45" i="4"/>
  <c r="AC42" i="4"/>
  <c r="AC32" i="4"/>
  <c r="AC31" i="4"/>
  <c r="AC21" i="4"/>
  <c r="AC14" i="4"/>
  <c r="AC9" i="4"/>
  <c r="AC5" i="4"/>
  <c r="AC50" i="4" l="1"/>
  <c r="AC39" i="4"/>
  <c r="AC27" i="4"/>
  <c r="AC93" i="4"/>
  <c r="AC58" i="4"/>
  <c r="AC74" i="4" s="1"/>
  <c r="AC84" i="4" s="1"/>
  <c r="AC88" i="4" s="1"/>
  <c r="AC90" i="4" s="1"/>
  <c r="AC92" i="4" s="1"/>
  <c r="AC6" i="6"/>
  <c r="AC7" i="6"/>
  <c r="AC8" i="6"/>
  <c r="BA32" i="5" s="1"/>
  <c r="AC10" i="6"/>
  <c r="W17" i="7" s="1"/>
  <c r="AC17" i="6"/>
  <c r="AC19" i="6"/>
  <c r="AC20" i="6"/>
  <c r="AC22" i="6"/>
  <c r="AC26" i="6"/>
  <c r="AC27" i="6"/>
  <c r="AC31" i="6"/>
  <c r="AE16" i="5" s="1"/>
  <c r="AC32" i="6"/>
  <c r="AC34" i="6"/>
  <c r="AC36" i="6"/>
  <c r="AC38" i="6"/>
  <c r="AC39" i="6"/>
  <c r="AC43" i="6"/>
  <c r="AC44" i="6"/>
  <c r="AC45" i="6"/>
  <c r="AC49" i="6"/>
  <c r="AC50" i="6"/>
  <c r="AC51" i="6"/>
  <c r="AC52" i="6"/>
  <c r="AC53" i="6"/>
  <c r="AC54" i="6"/>
  <c r="AC55" i="6"/>
  <c r="AF32" i="5" l="1"/>
  <c r="BA31" i="5"/>
  <c r="BA40" i="5"/>
  <c r="AF41" i="5"/>
  <c r="BA41" i="5"/>
  <c r="AF42" i="5"/>
  <c r="BA42" i="5"/>
  <c r="AF33" i="5"/>
  <c r="BA33" i="5"/>
  <c r="AC51" i="4"/>
  <c r="AC53" i="4" s="1"/>
  <c r="W18" i="7"/>
  <c r="W42" i="7" s="1"/>
  <c r="AF40" i="5"/>
  <c r="AF31" i="5"/>
  <c r="W14" i="7"/>
  <c r="W38" i="7" s="1"/>
  <c r="AC42" i="6"/>
  <c r="AC48" i="6"/>
  <c r="AC57" i="6"/>
  <c r="W20" i="7"/>
  <c r="W44" i="7" s="1"/>
  <c r="AC16" i="6"/>
  <c r="W37" i="7"/>
  <c r="W41" i="7"/>
  <c r="AE47" i="5"/>
  <c r="AC46" i="6"/>
  <c r="AC30" i="6"/>
  <c r="W10" i="7"/>
  <c r="W34" i="7" s="1"/>
  <c r="W11" i="7"/>
  <c r="W35" i="7" s="1"/>
  <c r="AC25" i="6"/>
  <c r="AC5" i="6"/>
  <c r="BA43" i="5" s="1"/>
  <c r="Y34" i="6"/>
  <c r="AR23" i="9"/>
  <c r="AS24" i="9"/>
  <c r="AV35" i="6" s="1"/>
  <c r="AX50" i="5" s="1"/>
  <c r="AT22" i="9"/>
  <c r="AT21" i="9"/>
  <c r="AT20" i="9"/>
  <c r="AT19" i="9"/>
  <c r="AT18" i="9"/>
  <c r="AR16" i="9"/>
  <c r="AQ16" i="9"/>
  <c r="AQ24" i="9" s="1"/>
  <c r="AT35" i="6" s="1"/>
  <c r="AV50" i="5" s="1"/>
  <c r="AT15" i="9"/>
  <c r="AT14" i="9"/>
  <c r="AT13" i="9"/>
  <c r="AT12" i="9"/>
  <c r="AT11" i="9"/>
  <c r="AB7" i="6"/>
  <c r="AB8" i="6"/>
  <c r="AZ32" i="5" s="1"/>
  <c r="AB10" i="6"/>
  <c r="AB17" i="6"/>
  <c r="AB19" i="6"/>
  <c r="AB20" i="6"/>
  <c r="AB22" i="6"/>
  <c r="AB26" i="6"/>
  <c r="AB27" i="6"/>
  <c r="AB31" i="6"/>
  <c r="AD16" i="5" s="1"/>
  <c r="AB32" i="6"/>
  <c r="AB39" i="6"/>
  <c r="AB43" i="6"/>
  <c r="AB44" i="6"/>
  <c r="AB49" i="6"/>
  <c r="AB50" i="6"/>
  <c r="AB51" i="6"/>
  <c r="AB52" i="6"/>
  <c r="AB53" i="6"/>
  <c r="AB54" i="6"/>
  <c r="AB78" i="4"/>
  <c r="AB75" i="4"/>
  <c r="AB55" i="6" s="1"/>
  <c r="AB67" i="4"/>
  <c r="AB62" i="4"/>
  <c r="AB45" i="6" s="1"/>
  <c r="AB59" i="4"/>
  <c r="AB45" i="4"/>
  <c r="AB42" i="4"/>
  <c r="AB32" i="4"/>
  <c r="AB31" i="4"/>
  <c r="AB6" i="6" s="1"/>
  <c r="AB21" i="4"/>
  <c r="AB38" i="6" s="1"/>
  <c r="AB14" i="4"/>
  <c r="AB9" i="4"/>
  <c r="AB5" i="4"/>
  <c r="AC13" i="6" l="1"/>
  <c r="AC14" i="6" s="1"/>
  <c r="AE6" i="7" s="1"/>
  <c r="AE41" i="5"/>
  <c r="AZ41" i="5"/>
  <c r="AE42" i="5"/>
  <c r="AZ42" i="5"/>
  <c r="AE33" i="5"/>
  <c r="AZ33" i="5"/>
  <c r="AF35" i="5"/>
  <c r="W7" i="7"/>
  <c r="W31" i="7" s="1"/>
  <c r="BA35" i="5"/>
  <c r="AF36" i="5"/>
  <c r="BA36" i="5"/>
  <c r="AZ31" i="5"/>
  <c r="AZ40" i="5"/>
  <c r="AE32" i="5"/>
  <c r="BA34" i="5"/>
  <c r="BA44" i="5"/>
  <c r="AB50" i="4"/>
  <c r="V17" i="7"/>
  <c r="V37" i="7" s="1"/>
  <c r="AB25" i="6"/>
  <c r="AD19" i="5" s="1"/>
  <c r="AF44" i="5"/>
  <c r="AF34" i="5"/>
  <c r="AF43" i="5"/>
  <c r="AF30" i="5"/>
  <c r="AB39" i="4"/>
  <c r="AE31" i="5"/>
  <c r="AE40" i="5"/>
  <c r="AB93" i="4"/>
  <c r="AB34" i="6"/>
  <c r="V10" i="7" s="1"/>
  <c r="V34" i="7" s="1"/>
  <c r="AQ26" i="9"/>
  <c r="V18" i="7"/>
  <c r="V42" i="7" s="1"/>
  <c r="AB36" i="6"/>
  <c r="AB27" i="4"/>
  <c r="AB5" i="6" s="1"/>
  <c r="AB30" i="6"/>
  <c r="AD47" i="5"/>
  <c r="W4" i="7"/>
  <c r="W28" i="7" s="1"/>
  <c r="AE8" i="5"/>
  <c r="AE6" i="5"/>
  <c r="W24" i="7"/>
  <c r="W23" i="7"/>
  <c r="AE19" i="5"/>
  <c r="AE20" i="5"/>
  <c r="W8" i="7"/>
  <c r="W32" i="7" s="1"/>
  <c r="W19" i="7"/>
  <c r="W43" i="7" s="1"/>
  <c r="W22" i="7"/>
  <c r="W46" i="7" s="1"/>
  <c r="W5" i="7"/>
  <c r="W29" i="7" s="1"/>
  <c r="W13" i="7"/>
  <c r="W15" i="7"/>
  <c r="W39" i="7" s="1"/>
  <c r="W25" i="7"/>
  <c r="W49" i="7" s="1"/>
  <c r="AE7" i="5"/>
  <c r="AE9" i="5"/>
  <c r="AE14" i="5"/>
  <c r="AE24" i="5"/>
  <c r="AE26" i="5"/>
  <c r="AE15" i="5"/>
  <c r="AE21" i="5"/>
  <c r="AE25" i="5"/>
  <c r="AE27" i="5"/>
  <c r="AB16" i="6"/>
  <c r="V11" i="7"/>
  <c r="V35" i="7" s="1"/>
  <c r="AB42" i="6"/>
  <c r="AB48" i="6"/>
  <c r="AR24" i="9"/>
  <c r="AT23" i="9"/>
  <c r="AD34" i="6" s="1"/>
  <c r="X10" i="7" s="1"/>
  <c r="AT16" i="9"/>
  <c r="AB46" i="6"/>
  <c r="AB58" i="4"/>
  <c r="AB74" i="4" s="1"/>
  <c r="AB84" i="4" s="1"/>
  <c r="AB88" i="4" s="1"/>
  <c r="AB90" i="4" s="1"/>
  <c r="AB92" i="4" s="1"/>
  <c r="AA7" i="6"/>
  <c r="AY33" i="5" s="1"/>
  <c r="AA8" i="6"/>
  <c r="AY32" i="5" s="1"/>
  <c r="AY42" i="5"/>
  <c r="AA10" i="6"/>
  <c r="AA17" i="6"/>
  <c r="AY41" i="5" s="1"/>
  <c r="AA19" i="6"/>
  <c r="AA20" i="6"/>
  <c r="AA22" i="6"/>
  <c r="AA26" i="6"/>
  <c r="AA27" i="6"/>
  <c r="AA31" i="6"/>
  <c r="U10" i="7" s="1"/>
  <c r="U34" i="7" s="1"/>
  <c r="AA32" i="6"/>
  <c r="AA39" i="6"/>
  <c r="AA43" i="6"/>
  <c r="AA44" i="6"/>
  <c r="AA49" i="6"/>
  <c r="AA50" i="6"/>
  <c r="AA51" i="6"/>
  <c r="AA52" i="6"/>
  <c r="AA53" i="6"/>
  <c r="AA54" i="6"/>
  <c r="AA78" i="4"/>
  <c r="AA93" i="4" s="1"/>
  <c r="AA75" i="4"/>
  <c r="AA55" i="6" s="1"/>
  <c r="AA67" i="4"/>
  <c r="AA62" i="4"/>
  <c r="AA45" i="6" s="1"/>
  <c r="AA59" i="4"/>
  <c r="AA45" i="4"/>
  <c r="AA42" i="4"/>
  <c r="AA32" i="4"/>
  <c r="AA31" i="4"/>
  <c r="AA6" i="6" s="1"/>
  <c r="AA21" i="4"/>
  <c r="AA38" i="6" s="1"/>
  <c r="AA14" i="4"/>
  <c r="AA9" i="4"/>
  <c r="AA5" i="4"/>
  <c r="AB13" i="6" l="1"/>
  <c r="AB14" i="6" s="1"/>
  <c r="AD6" i="7" s="1"/>
  <c r="AD30" i="7" s="1"/>
  <c r="AR30" i="9"/>
  <c r="AU35" i="6"/>
  <c r="AW50" i="5" s="1"/>
  <c r="AE44" i="5"/>
  <c r="AZ44" i="5"/>
  <c r="AZ34" i="5"/>
  <c r="AY31" i="5"/>
  <c r="AY40" i="5"/>
  <c r="AE36" i="5"/>
  <c r="AZ36" i="5"/>
  <c r="V7" i="7"/>
  <c r="V31" i="7" s="1"/>
  <c r="AZ35" i="5"/>
  <c r="V25" i="7"/>
  <c r="V49" i="7" s="1"/>
  <c r="AZ43" i="5"/>
  <c r="AD42" i="5"/>
  <c r="AD32" i="5"/>
  <c r="AD33" i="5"/>
  <c r="AD41" i="5"/>
  <c r="AQ27" i="9"/>
  <c r="V24" i="7"/>
  <c r="AB51" i="4"/>
  <c r="AB53" i="4" s="1"/>
  <c r="AA36" i="6"/>
  <c r="U17" i="7"/>
  <c r="V20" i="7"/>
  <c r="V44" i="7" s="1"/>
  <c r="AA50" i="4"/>
  <c r="AD24" i="5"/>
  <c r="AE34" i="5"/>
  <c r="AD20" i="5"/>
  <c r="V23" i="7"/>
  <c r="AE10" i="5"/>
  <c r="AE30" i="5"/>
  <c r="V41" i="7"/>
  <c r="AE43" i="5"/>
  <c r="AE35" i="5"/>
  <c r="AA39" i="4"/>
  <c r="V19" i="7"/>
  <c r="V43" i="7" s="1"/>
  <c r="AD15" i="5"/>
  <c r="AD14" i="5"/>
  <c r="AA27" i="4"/>
  <c r="AA5" i="6" s="1"/>
  <c r="AY43" i="5" s="1"/>
  <c r="AA30" i="6"/>
  <c r="AT24" i="9"/>
  <c r="W48" i="7"/>
  <c r="W47" i="7"/>
  <c r="AD31" i="5"/>
  <c r="AD40" i="5"/>
  <c r="AC47" i="5"/>
  <c r="AA42" i="6"/>
  <c r="AY36" i="5" s="1"/>
  <c r="AD26" i="5"/>
  <c r="AD21" i="5"/>
  <c r="AD27" i="5"/>
  <c r="V22" i="7"/>
  <c r="V46" i="7" s="1"/>
  <c r="AC16" i="5"/>
  <c r="U18" i="7"/>
  <c r="U42" i="7" s="1"/>
  <c r="AA16" i="6"/>
  <c r="V15" i="7"/>
  <c r="V39" i="7" s="1"/>
  <c r="AD9" i="5"/>
  <c r="AA48" i="6"/>
  <c r="AD6" i="5"/>
  <c r="AD7" i="5"/>
  <c r="AD8" i="5"/>
  <c r="V5" i="7"/>
  <c r="V29" i="7" s="1"/>
  <c r="V8" i="7"/>
  <c r="V32" i="7" s="1"/>
  <c r="V4" i="7"/>
  <c r="V28" i="7" s="1"/>
  <c r="AD25" i="5"/>
  <c r="V13" i="7"/>
  <c r="AB57" i="6"/>
  <c r="AA25" i="6"/>
  <c r="U11" i="7"/>
  <c r="U35" i="7" s="1"/>
  <c r="V14" i="7"/>
  <c r="V38" i="7" s="1"/>
  <c r="AA46" i="6"/>
  <c r="AA58" i="4"/>
  <c r="AA74" i="4" s="1"/>
  <c r="AA84" i="4" s="1"/>
  <c r="AA88" i="4" s="1"/>
  <c r="AA90" i="4" s="1"/>
  <c r="AA92" i="4" s="1"/>
  <c r="AO24" i="9"/>
  <c r="AR35" i="6" s="1"/>
  <c r="AT50" i="5" s="1"/>
  <c r="AP22" i="9"/>
  <c r="AP21" i="9"/>
  <c r="AP20" i="9"/>
  <c r="AP19" i="9"/>
  <c r="AP18" i="9"/>
  <c r="AN16" i="9"/>
  <c r="AN24" i="9" s="1"/>
  <c r="AM16" i="9"/>
  <c r="AM24" i="9" s="1"/>
  <c r="AP35" i="6" s="1"/>
  <c r="AR50" i="5" s="1"/>
  <c r="AP15" i="9"/>
  <c r="AP14" i="9"/>
  <c r="AP13" i="9"/>
  <c r="AP12" i="9"/>
  <c r="AP11" i="9"/>
  <c r="AA13" i="6" l="1"/>
  <c r="AA14" i="6" s="1"/>
  <c r="AC6" i="7" s="1"/>
  <c r="AC30" i="7" s="1"/>
  <c r="AM27" i="9"/>
  <c r="AQ35" i="6"/>
  <c r="AS50" i="5" s="1"/>
  <c r="AD50" i="5"/>
  <c r="AW35" i="6"/>
  <c r="AY50" i="5" s="1"/>
  <c r="U7" i="7"/>
  <c r="U31" i="7" s="1"/>
  <c r="AY35" i="5"/>
  <c r="AY34" i="5"/>
  <c r="AY44" i="5"/>
  <c r="AD36" i="5"/>
  <c r="AC15" i="5"/>
  <c r="AD44" i="5"/>
  <c r="U15" i="7"/>
  <c r="U39" i="7" s="1"/>
  <c r="AA51" i="4"/>
  <c r="AA53" i="4" s="1"/>
  <c r="U25" i="7"/>
  <c r="U49" i="7" s="1"/>
  <c r="AD34" i="5"/>
  <c r="V47" i="7"/>
  <c r="V48" i="7"/>
  <c r="AC27" i="5"/>
  <c r="AD43" i="5"/>
  <c r="AC21" i="5"/>
  <c r="AC9" i="5"/>
  <c r="U19" i="7"/>
  <c r="U43" i="7" s="1"/>
  <c r="AC26" i="5"/>
  <c r="AD30" i="5"/>
  <c r="U20" i="7"/>
  <c r="U44" i="7" s="1"/>
  <c r="AP23" i="9"/>
  <c r="U22" i="7"/>
  <c r="U46" i="7" s="1"/>
  <c r="AC25" i="5"/>
  <c r="AC14" i="5"/>
  <c r="AC24" i="5"/>
  <c r="AC8" i="5"/>
  <c r="U4" i="7"/>
  <c r="U28" i="7" s="1"/>
  <c r="U5" i="7"/>
  <c r="U29" i="7" s="1"/>
  <c r="AC7" i="5"/>
  <c r="U8" i="7"/>
  <c r="U32" i="7" s="1"/>
  <c r="AC6" i="5"/>
  <c r="AD35" i="5"/>
  <c r="AD10" i="5"/>
  <c r="U23" i="7"/>
  <c r="U24" i="7"/>
  <c r="AC19" i="5"/>
  <c r="AC20" i="5"/>
  <c r="U37" i="7"/>
  <c r="U41" i="7"/>
  <c r="AA57" i="6"/>
  <c r="U13" i="7"/>
  <c r="U14" i="7"/>
  <c r="U38" i="7" s="1"/>
  <c r="AP16" i="9"/>
  <c r="W7" i="6"/>
  <c r="AU33" i="5" s="1"/>
  <c r="X7" i="6"/>
  <c r="AV33" i="5" s="1"/>
  <c r="Y7" i="6"/>
  <c r="AW33" i="5" s="1"/>
  <c r="Z7" i="6"/>
  <c r="AX33" i="5" s="1"/>
  <c r="W8" i="6"/>
  <c r="AU32" i="5" s="1"/>
  <c r="X8" i="6"/>
  <c r="AV32" i="5" s="1"/>
  <c r="Y8" i="6"/>
  <c r="AW32" i="5" s="1"/>
  <c r="Z8" i="6"/>
  <c r="AX32" i="5" s="1"/>
  <c r="AU42" i="5"/>
  <c r="AV42" i="5"/>
  <c r="AW42" i="5"/>
  <c r="AX42" i="5"/>
  <c r="W10" i="6"/>
  <c r="X10" i="6"/>
  <c r="Y10" i="6"/>
  <c r="Z10" i="6"/>
  <c r="W17" i="6"/>
  <c r="AU41" i="5" s="1"/>
  <c r="X17" i="6"/>
  <c r="AV41" i="5" s="1"/>
  <c r="Y17" i="6"/>
  <c r="AW41" i="5" s="1"/>
  <c r="Z17" i="6"/>
  <c r="AX41" i="5" s="1"/>
  <c r="W19" i="6"/>
  <c r="X19" i="6"/>
  <c r="Y19" i="6"/>
  <c r="Z19" i="6"/>
  <c r="W20" i="6"/>
  <c r="X20" i="6"/>
  <c r="Y20" i="6"/>
  <c r="Z20" i="6"/>
  <c r="W22" i="6"/>
  <c r="X22" i="6"/>
  <c r="Y22" i="6"/>
  <c r="Z22" i="6"/>
  <c r="W26" i="6"/>
  <c r="X26" i="6"/>
  <c r="Y26" i="6"/>
  <c r="Z26" i="6"/>
  <c r="W27" i="6"/>
  <c r="X27" i="6"/>
  <c r="Y27" i="6"/>
  <c r="Z27" i="6"/>
  <c r="W31" i="6"/>
  <c r="X31" i="6"/>
  <c r="R11" i="7" s="1"/>
  <c r="R35" i="7" s="1"/>
  <c r="Y31" i="6"/>
  <c r="S11" i="7" s="1"/>
  <c r="S35" i="7" s="1"/>
  <c r="Z31" i="6"/>
  <c r="T10" i="7" s="1"/>
  <c r="T34" i="7" s="1"/>
  <c r="W32" i="6"/>
  <c r="X32" i="6"/>
  <c r="Y32" i="6"/>
  <c r="Z32" i="6"/>
  <c r="W39" i="6"/>
  <c r="X39" i="6"/>
  <c r="Y39" i="6"/>
  <c r="Z39" i="6"/>
  <c r="W40" i="6"/>
  <c r="W43" i="6"/>
  <c r="X43" i="6"/>
  <c r="Y43" i="6"/>
  <c r="Z43" i="6"/>
  <c r="W44" i="6"/>
  <c r="X44" i="6"/>
  <c r="Y44" i="6"/>
  <c r="Z44" i="6"/>
  <c r="W49" i="6"/>
  <c r="X49" i="6"/>
  <c r="Y49" i="6"/>
  <c r="Z49" i="6"/>
  <c r="W50" i="6"/>
  <c r="X50" i="6"/>
  <c r="Y50" i="6"/>
  <c r="Z50" i="6"/>
  <c r="W51" i="6"/>
  <c r="X51" i="6"/>
  <c r="Y51" i="6"/>
  <c r="Z51" i="6"/>
  <c r="W52" i="6"/>
  <c r="X52" i="6"/>
  <c r="Y52" i="6"/>
  <c r="Z52" i="6"/>
  <c r="W53" i="6"/>
  <c r="X53" i="6"/>
  <c r="Y53" i="6"/>
  <c r="Z53" i="6"/>
  <c r="W54" i="6"/>
  <c r="X54" i="6"/>
  <c r="Y54" i="6"/>
  <c r="Z54" i="6"/>
  <c r="W9" i="4"/>
  <c r="X9" i="4"/>
  <c r="Y9" i="4"/>
  <c r="Z9" i="4"/>
  <c r="W59" i="4"/>
  <c r="X59" i="4"/>
  <c r="Y59" i="4"/>
  <c r="Z59" i="4"/>
  <c r="W62" i="4"/>
  <c r="W45" i="6" s="1"/>
  <c r="X62" i="4"/>
  <c r="X45" i="6" s="1"/>
  <c r="Y62" i="4"/>
  <c r="Y45" i="6" s="1"/>
  <c r="Z62" i="4"/>
  <c r="Z45" i="6" s="1"/>
  <c r="W67" i="4"/>
  <c r="X67" i="4"/>
  <c r="Y67" i="4"/>
  <c r="Z67" i="4"/>
  <c r="W75" i="4"/>
  <c r="W55" i="6" s="1"/>
  <c r="X75" i="4"/>
  <c r="X55" i="6" s="1"/>
  <c r="Y75" i="4"/>
  <c r="Y55" i="6" s="1"/>
  <c r="Z75" i="4"/>
  <c r="Z55" i="6" s="1"/>
  <c r="W78" i="4"/>
  <c r="X78" i="4"/>
  <c r="Y78" i="4"/>
  <c r="Z78" i="4"/>
  <c r="W5" i="4"/>
  <c r="X5" i="4"/>
  <c r="Y5" i="4"/>
  <c r="Z5" i="4"/>
  <c r="W14" i="4"/>
  <c r="X14" i="4"/>
  <c r="Y14" i="4"/>
  <c r="Z14" i="4"/>
  <c r="W21" i="4"/>
  <c r="W38" i="6" s="1"/>
  <c r="X21" i="4"/>
  <c r="X38" i="6" s="1"/>
  <c r="Y21" i="4"/>
  <c r="Y38" i="6" s="1"/>
  <c r="Z21" i="4"/>
  <c r="Z38" i="6" s="1"/>
  <c r="W31" i="4"/>
  <c r="W6" i="6" s="1"/>
  <c r="AU40" i="5" s="1"/>
  <c r="X31" i="4"/>
  <c r="X6" i="6" s="1"/>
  <c r="Y31" i="4"/>
  <c r="Y6" i="6" s="1"/>
  <c r="Z31" i="4"/>
  <c r="Z6" i="6" s="1"/>
  <c r="W32" i="4"/>
  <c r="X32" i="4"/>
  <c r="Y32" i="4"/>
  <c r="Z32" i="4"/>
  <c r="W42" i="4"/>
  <c r="X42" i="4"/>
  <c r="Y42" i="4"/>
  <c r="Z42" i="4"/>
  <c r="W45" i="4"/>
  <c r="X45" i="4"/>
  <c r="Y45" i="4"/>
  <c r="Z45" i="4"/>
  <c r="AX40" i="5" l="1"/>
  <c r="AX31" i="5"/>
  <c r="AV31" i="5"/>
  <c r="AV40" i="5"/>
  <c r="AW40" i="5"/>
  <c r="AW31" i="5"/>
  <c r="S17" i="7"/>
  <c r="S37" i="7" s="1"/>
  <c r="AC32" i="5"/>
  <c r="AC41" i="5"/>
  <c r="AC33" i="5"/>
  <c r="AU31" i="5"/>
  <c r="T17" i="7"/>
  <c r="T41" i="7" s="1"/>
  <c r="AC42" i="5"/>
  <c r="X36" i="6"/>
  <c r="R17" i="7"/>
  <c r="R37" i="7" s="1"/>
  <c r="W36" i="6"/>
  <c r="Q17" i="7"/>
  <c r="Q37" i="7" s="1"/>
  <c r="Y93" i="4"/>
  <c r="Z93" i="4"/>
  <c r="X93" i="4"/>
  <c r="W93" i="4"/>
  <c r="Y39" i="4"/>
  <c r="W30" i="6"/>
  <c r="AU44" i="5" s="1"/>
  <c r="AP24" i="9"/>
  <c r="AS35" i="6" s="1"/>
  <c r="AU50" i="5" s="1"/>
  <c r="AC31" i="5"/>
  <c r="AC40" i="5"/>
  <c r="U47" i="7"/>
  <c r="U48" i="7"/>
  <c r="AC10" i="5"/>
  <c r="Z50" i="5"/>
  <c r="Z41" i="5"/>
  <c r="AB32" i="5"/>
  <c r="Z32" i="5"/>
  <c r="AB33" i="5"/>
  <c r="Q10" i="7"/>
  <c r="Q34" i="7" s="1"/>
  <c r="W42" i="6"/>
  <c r="AU36" i="5" s="1"/>
  <c r="X25" i="6"/>
  <c r="R24" i="7" s="1"/>
  <c r="Z42" i="5"/>
  <c r="AA33" i="5"/>
  <c r="Z33" i="5"/>
  <c r="Q18" i="7"/>
  <c r="Q42" i="7" s="1"/>
  <c r="R10" i="7"/>
  <c r="R34" i="7" s="1"/>
  <c r="Y47" i="5"/>
  <c r="AA32" i="5"/>
  <c r="AB47" i="5"/>
  <c r="W48" i="6"/>
  <c r="Y25" i="6"/>
  <c r="AA19" i="5" s="1"/>
  <c r="W25" i="6"/>
  <c r="AA42" i="5"/>
  <c r="Z48" i="6"/>
  <c r="AB42" i="5"/>
  <c r="Z42" i="6"/>
  <c r="AX36" i="5" s="1"/>
  <c r="Z58" i="4"/>
  <c r="Z74" i="4" s="1"/>
  <c r="Z50" i="4"/>
  <c r="Z16" i="6"/>
  <c r="Z39" i="4"/>
  <c r="Z30" i="6"/>
  <c r="AB16" i="5"/>
  <c r="T11" i="7"/>
  <c r="T35" i="7" s="1"/>
  <c r="Z25" i="6"/>
  <c r="Z36" i="6"/>
  <c r="T18" i="7"/>
  <c r="T42" i="7" s="1"/>
  <c r="Y42" i="6"/>
  <c r="AW36" i="5" s="1"/>
  <c r="Y58" i="4"/>
  <c r="Y74" i="4" s="1"/>
  <c r="W16" i="6"/>
  <c r="Y16" i="6"/>
  <c r="AB41" i="5"/>
  <c r="AA41" i="5"/>
  <c r="AA47" i="5"/>
  <c r="AB31" i="5"/>
  <c r="AB40" i="5"/>
  <c r="S10" i="7"/>
  <c r="S34" i="7" s="1"/>
  <c r="AA16" i="5"/>
  <c r="Y30" i="6"/>
  <c r="Y36" i="6"/>
  <c r="S18" i="7"/>
  <c r="S42" i="7" s="1"/>
  <c r="X48" i="6"/>
  <c r="Y48" i="6"/>
  <c r="X42" i="6"/>
  <c r="AV36" i="5" s="1"/>
  <c r="X58" i="4"/>
  <c r="X74" i="4" s="1"/>
  <c r="X16" i="6"/>
  <c r="X39" i="4"/>
  <c r="Z31" i="5"/>
  <c r="Z40" i="5"/>
  <c r="Z47" i="5"/>
  <c r="AA31" i="5"/>
  <c r="AA40" i="5"/>
  <c r="Z16" i="5"/>
  <c r="X30" i="6"/>
  <c r="R18" i="7"/>
  <c r="R42" i="7" s="1"/>
  <c r="Z46" i="6"/>
  <c r="Y46" i="6"/>
  <c r="X46" i="6"/>
  <c r="W46" i="6"/>
  <c r="W58" i="4"/>
  <c r="W74" i="4" s="1"/>
  <c r="W39" i="4"/>
  <c r="Y50" i="4"/>
  <c r="X50" i="4"/>
  <c r="W50" i="4"/>
  <c r="X27" i="4"/>
  <c r="X5" i="6" s="1"/>
  <c r="AV43" i="5" s="1"/>
  <c r="W27" i="4"/>
  <c r="Q20" i="7" s="1"/>
  <c r="Q44" i="7" s="1"/>
  <c r="Y27" i="4"/>
  <c r="Z27" i="4"/>
  <c r="T7" i="6"/>
  <c r="U7" i="6"/>
  <c r="V7" i="6"/>
  <c r="Y33" i="5" s="1"/>
  <c r="T8" i="6"/>
  <c r="U8" i="6"/>
  <c r="V8" i="6"/>
  <c r="T10" i="6"/>
  <c r="U10" i="6"/>
  <c r="T17" i="6"/>
  <c r="U17" i="6"/>
  <c r="V17" i="6"/>
  <c r="Y41" i="5" s="1"/>
  <c r="T19" i="6"/>
  <c r="U19" i="6"/>
  <c r="V19" i="6"/>
  <c r="T20" i="6"/>
  <c r="U20" i="6"/>
  <c r="V20" i="6"/>
  <c r="T22" i="6"/>
  <c r="U22" i="6"/>
  <c r="T26" i="6"/>
  <c r="U26" i="6"/>
  <c r="V26" i="6"/>
  <c r="T27" i="6"/>
  <c r="U27" i="6"/>
  <c r="V27" i="6"/>
  <c r="T31" i="6"/>
  <c r="U31" i="6"/>
  <c r="V31" i="6"/>
  <c r="F10" i="13" s="1"/>
  <c r="T32" i="6"/>
  <c r="U32" i="6"/>
  <c r="V32" i="6"/>
  <c r="V33" i="6"/>
  <c r="T35" i="6"/>
  <c r="T39" i="6"/>
  <c r="U39" i="6"/>
  <c r="V39" i="6"/>
  <c r="T40" i="6"/>
  <c r="U40" i="6"/>
  <c r="V40" i="6"/>
  <c r="T43" i="6"/>
  <c r="U43" i="6"/>
  <c r="V43" i="6"/>
  <c r="T44" i="6"/>
  <c r="U44" i="6"/>
  <c r="V44" i="6"/>
  <c r="T49" i="6"/>
  <c r="U49" i="6"/>
  <c r="T50" i="6"/>
  <c r="U50" i="6"/>
  <c r="V50" i="6"/>
  <c r="T51" i="6"/>
  <c r="U51" i="6"/>
  <c r="V51" i="6"/>
  <c r="T52" i="6"/>
  <c r="U52" i="6"/>
  <c r="T53" i="6"/>
  <c r="U53" i="6"/>
  <c r="T54" i="6"/>
  <c r="U54" i="6"/>
  <c r="V54" i="6"/>
  <c r="Z14" i="6" l="1"/>
  <c r="Z13" i="6"/>
  <c r="Y14" i="6"/>
  <c r="Y13" i="6"/>
  <c r="X14" i="6"/>
  <c r="X13" i="6"/>
  <c r="W13" i="6"/>
  <c r="AU35" i="5" s="1"/>
  <c r="Z6" i="7"/>
  <c r="AV34" i="5"/>
  <c r="AV44" i="5"/>
  <c r="R7" i="7"/>
  <c r="R31" i="7" s="1"/>
  <c r="AV35" i="5"/>
  <c r="S7" i="7"/>
  <c r="S31" i="7" s="1"/>
  <c r="AW35" i="5"/>
  <c r="AW34" i="5"/>
  <c r="AW44" i="5"/>
  <c r="AX44" i="5"/>
  <c r="AX34" i="5"/>
  <c r="T7" i="7"/>
  <c r="T31" i="7" s="1"/>
  <c r="AX35" i="5"/>
  <c r="F11" i="13"/>
  <c r="Y42" i="5"/>
  <c r="AU34" i="5"/>
  <c r="AC36" i="5"/>
  <c r="Y51" i="4"/>
  <c r="Y53" i="4" s="1"/>
  <c r="Z19" i="5"/>
  <c r="S41" i="7"/>
  <c r="X51" i="4"/>
  <c r="X53" i="4" s="1"/>
  <c r="Q41" i="7"/>
  <c r="W84" i="4"/>
  <c r="W88" i="4" s="1"/>
  <c r="W90" i="4" s="1"/>
  <c r="W92" i="4" s="1"/>
  <c r="W57" i="6" s="1"/>
  <c r="Q14" i="7"/>
  <c r="Q38" i="7" s="1"/>
  <c r="Z36" i="5"/>
  <c r="AC44" i="5"/>
  <c r="AC34" i="5"/>
  <c r="R41" i="7"/>
  <c r="Z51" i="4"/>
  <c r="Z53" i="4" s="1"/>
  <c r="AB36" i="5"/>
  <c r="S24" i="7"/>
  <c r="Y32" i="5"/>
  <c r="AA36" i="5"/>
  <c r="AT33" i="5"/>
  <c r="AT41" i="5"/>
  <c r="Y19" i="5"/>
  <c r="Q24" i="7"/>
  <c r="AT32" i="5"/>
  <c r="AT42" i="5"/>
  <c r="Z5" i="6"/>
  <c r="AX43" i="5" s="1"/>
  <c r="Y5" i="6"/>
  <c r="AW43" i="5" s="1"/>
  <c r="T37" i="7"/>
  <c r="T24" i="7"/>
  <c r="AB19" i="5"/>
  <c r="T20" i="7"/>
  <c r="T44" i="7" s="1"/>
  <c r="Z84" i="4"/>
  <c r="Z88" i="4" s="1"/>
  <c r="Z90" i="4" s="1"/>
  <c r="Z92" i="4" s="1"/>
  <c r="T14" i="7"/>
  <c r="T38" i="7" s="1"/>
  <c r="Z10" i="5"/>
  <c r="Z20" i="5"/>
  <c r="AB34" i="5"/>
  <c r="AB44" i="5"/>
  <c r="AA6" i="5"/>
  <c r="AA8" i="5"/>
  <c r="S4" i="7"/>
  <c r="S28" i="7" s="1"/>
  <c r="AB35" i="5"/>
  <c r="AA20" i="5"/>
  <c r="AA35" i="5"/>
  <c r="S23" i="7"/>
  <c r="S20" i="7"/>
  <c r="S44" i="7" s="1"/>
  <c r="Y84" i="4"/>
  <c r="Y88" i="4" s="1"/>
  <c r="Y90" i="4" s="1"/>
  <c r="Y92" i="4" s="1"/>
  <c r="S14" i="7"/>
  <c r="S38" i="7" s="1"/>
  <c r="X84" i="4"/>
  <c r="X88" i="4" s="1"/>
  <c r="X90" i="4" s="1"/>
  <c r="X92" i="4" s="1"/>
  <c r="X57" i="6" s="1"/>
  <c r="R14" i="7"/>
  <c r="R38" i="7" s="1"/>
  <c r="R4" i="7"/>
  <c r="R28" i="7" s="1"/>
  <c r="Z8" i="5"/>
  <c r="Z44" i="5"/>
  <c r="Z34" i="5"/>
  <c r="AA34" i="5"/>
  <c r="AA44" i="5"/>
  <c r="R23" i="7"/>
  <c r="R47" i="7" s="1"/>
  <c r="Z6" i="5"/>
  <c r="R15" i="7"/>
  <c r="R39" i="7" s="1"/>
  <c r="R25" i="7"/>
  <c r="R49" i="7" s="1"/>
  <c r="Z15" i="5"/>
  <c r="Z21" i="5"/>
  <c r="Z25" i="5"/>
  <c r="Z27" i="5"/>
  <c r="R19" i="7"/>
  <c r="R43" i="7" s="1"/>
  <c r="R5" i="7"/>
  <c r="R29" i="7" s="1"/>
  <c r="R8" i="7"/>
  <c r="R32" i="7" s="1"/>
  <c r="Z7" i="5"/>
  <c r="Z9" i="5"/>
  <c r="Z14" i="5"/>
  <c r="Z24" i="5"/>
  <c r="Z26" i="5"/>
  <c r="R22" i="7"/>
  <c r="R46" i="7" s="1"/>
  <c r="R20" i="7"/>
  <c r="R44" i="7" s="1"/>
  <c r="W5" i="6"/>
  <c r="AU43" i="5" s="1"/>
  <c r="U46" i="6"/>
  <c r="W50" i="5"/>
  <c r="X33" i="5"/>
  <c r="W51" i="4"/>
  <c r="W53" i="4" s="1"/>
  <c r="T25" i="6"/>
  <c r="X42" i="5"/>
  <c r="U25" i="6"/>
  <c r="X41" i="5"/>
  <c r="T30" i="6"/>
  <c r="T46" i="6"/>
  <c r="V30" i="6"/>
  <c r="U30" i="6"/>
  <c r="V25" i="6"/>
  <c r="X32" i="5"/>
  <c r="V46" i="6"/>
  <c r="V34" i="4"/>
  <c r="V68" i="4"/>
  <c r="V44" i="4"/>
  <c r="W14" i="6" l="1"/>
  <c r="Q23" i="7"/>
  <c r="Q7" i="7"/>
  <c r="Q31" i="7" s="1"/>
  <c r="Y6" i="7"/>
  <c r="AA6" i="7"/>
  <c r="AB6" i="7"/>
  <c r="D42" i="12"/>
  <c r="D20" i="12"/>
  <c r="AA7" i="5"/>
  <c r="AA30" i="5"/>
  <c r="AA43" i="5"/>
  <c r="V22" i="6"/>
  <c r="V49" i="6"/>
  <c r="Y20" i="5"/>
  <c r="Y6" i="5"/>
  <c r="AB27" i="5"/>
  <c r="AC43" i="5"/>
  <c r="AC30" i="5"/>
  <c r="Y10" i="5"/>
  <c r="AB6" i="5"/>
  <c r="AC35" i="5"/>
  <c r="Q4" i="7"/>
  <c r="Q28" i="7" s="1"/>
  <c r="Z35" i="5"/>
  <c r="Y8" i="5"/>
  <c r="AA15" i="5"/>
  <c r="S8" i="7"/>
  <c r="S32" i="7" s="1"/>
  <c r="S25" i="7"/>
  <c r="S49" i="7" s="1"/>
  <c r="AA21" i="5"/>
  <c r="AA14" i="5"/>
  <c r="AA26" i="5"/>
  <c r="S19" i="7"/>
  <c r="S43" i="7" s="1"/>
  <c r="AA27" i="5"/>
  <c r="AB43" i="5"/>
  <c r="AA9" i="5"/>
  <c r="AB30" i="5"/>
  <c r="S15" i="7"/>
  <c r="S39" i="7" s="1"/>
  <c r="AA25" i="5"/>
  <c r="AA24" i="5"/>
  <c r="AA10" i="5"/>
  <c r="AB9" i="5"/>
  <c r="T23" i="7"/>
  <c r="T47" i="7" s="1"/>
  <c r="T4" i="7"/>
  <c r="T28" i="7" s="1"/>
  <c r="S5" i="7"/>
  <c r="S29" i="7" s="1"/>
  <c r="AB21" i="5"/>
  <c r="AB8" i="5"/>
  <c r="AB20" i="5"/>
  <c r="AB14" i="5"/>
  <c r="T22" i="7"/>
  <c r="T46" i="7" s="1"/>
  <c r="Y34" i="5"/>
  <c r="Y44" i="5"/>
  <c r="T25" i="7"/>
  <c r="T49" i="7" s="1"/>
  <c r="T19" i="7"/>
  <c r="T43" i="7" s="1"/>
  <c r="AB7" i="5"/>
  <c r="T5" i="7"/>
  <c r="T29" i="7" s="1"/>
  <c r="AT44" i="5"/>
  <c r="AT34" i="5"/>
  <c r="Y14" i="5"/>
  <c r="Y25" i="5"/>
  <c r="Y27" i="5"/>
  <c r="Q15" i="7"/>
  <c r="Q39" i="7" s="1"/>
  <c r="Q19" i="7"/>
  <c r="Q43" i="7" s="1"/>
  <c r="Y9" i="5"/>
  <c r="Y15" i="5"/>
  <c r="Y24" i="5"/>
  <c r="Y26" i="5"/>
  <c r="Q13" i="7"/>
  <c r="Q25" i="7"/>
  <c r="Q49" i="7" s="1"/>
  <c r="Q22" i="7"/>
  <c r="Q46" i="7" s="1"/>
  <c r="Y21" i="5"/>
  <c r="Z30" i="5"/>
  <c r="Z43" i="5"/>
  <c r="Q5" i="7"/>
  <c r="Q29" i="7" s="1"/>
  <c r="Y7" i="5"/>
  <c r="T15" i="7"/>
  <c r="T39" i="7" s="1"/>
  <c r="AB25" i="5"/>
  <c r="AB24" i="5"/>
  <c r="AB15" i="5"/>
  <c r="AB26" i="5"/>
  <c r="T8" i="7"/>
  <c r="T32" i="7" s="1"/>
  <c r="AB10" i="5"/>
  <c r="S22" i="7"/>
  <c r="S46" i="7" s="1"/>
  <c r="Z57" i="6"/>
  <c r="T13" i="7"/>
  <c r="Q48" i="7"/>
  <c r="Q47" i="7"/>
  <c r="S47" i="7"/>
  <c r="S48" i="7"/>
  <c r="S13" i="7"/>
  <c r="Y57" i="6"/>
  <c r="R13" i="7"/>
  <c r="R48" i="7"/>
  <c r="X34" i="5"/>
  <c r="X44" i="5"/>
  <c r="V7" i="4"/>
  <c r="V37" i="4"/>
  <c r="V10" i="6" s="1"/>
  <c r="D10" i="12" l="1"/>
  <c r="T48" i="7"/>
  <c r="V71" i="4"/>
  <c r="D45" i="12" s="1"/>
  <c r="V83" i="4"/>
  <c r="T78" i="4"/>
  <c r="U78" i="4"/>
  <c r="T75" i="4"/>
  <c r="T55" i="6" s="1"/>
  <c r="T48" i="6" s="1"/>
  <c r="U75" i="4"/>
  <c r="U55" i="6" s="1"/>
  <c r="U48" i="6" s="1"/>
  <c r="V75" i="4"/>
  <c r="T67" i="4"/>
  <c r="U67" i="4"/>
  <c r="T62" i="4"/>
  <c r="T45" i="6" s="1"/>
  <c r="T42" i="6" s="1"/>
  <c r="U62" i="4"/>
  <c r="U45" i="6" s="1"/>
  <c r="U42" i="6" s="1"/>
  <c r="V62" i="4"/>
  <c r="T59" i="4"/>
  <c r="U59" i="4"/>
  <c r="V59" i="4"/>
  <c r="V45" i="4"/>
  <c r="V42" i="4"/>
  <c r="T45" i="4"/>
  <c r="U45" i="4"/>
  <c r="T42" i="4"/>
  <c r="T16" i="6" s="1"/>
  <c r="U42" i="4"/>
  <c r="U16" i="6" s="1"/>
  <c r="T31" i="4"/>
  <c r="T6" i="6" s="1"/>
  <c r="U31" i="4"/>
  <c r="U6" i="6" s="1"/>
  <c r="F24" i="13" s="1"/>
  <c r="V31" i="4"/>
  <c r="T32" i="4"/>
  <c r="U32" i="4"/>
  <c r="V32" i="4"/>
  <c r="T21" i="4"/>
  <c r="T38" i="6" s="1"/>
  <c r="U21" i="4"/>
  <c r="V21" i="4"/>
  <c r="T14" i="4"/>
  <c r="U14" i="4"/>
  <c r="V14" i="4"/>
  <c r="T9" i="4"/>
  <c r="U9" i="4"/>
  <c r="V9" i="4"/>
  <c r="T5" i="4"/>
  <c r="T36" i="6" s="1"/>
  <c r="U5" i="4"/>
  <c r="U36" i="6" s="1"/>
  <c r="V5" i="4"/>
  <c r="T14" i="6" l="1"/>
  <c r="T13" i="6"/>
  <c r="U14" i="6"/>
  <c r="U13" i="6"/>
  <c r="V16" i="6"/>
  <c r="D16" i="12"/>
  <c r="D14" i="12" s="1"/>
  <c r="D12" i="12" s="1"/>
  <c r="D13" i="12" s="1"/>
  <c r="V55" i="6"/>
  <c r="D48" i="12"/>
  <c r="V38" i="6"/>
  <c r="D33" i="12"/>
  <c r="V6" i="6"/>
  <c r="Y40" i="5" s="1"/>
  <c r="D6" i="12"/>
  <c r="V53" i="6"/>
  <c r="D46" i="12"/>
  <c r="V36" i="6"/>
  <c r="D32" i="12"/>
  <c r="X20" i="5"/>
  <c r="F23" i="13"/>
  <c r="V45" i="6"/>
  <c r="V42" i="6" s="1"/>
  <c r="Y36" i="5" s="1"/>
  <c r="D39" i="12"/>
  <c r="D36" i="12" s="1"/>
  <c r="X36" i="5"/>
  <c r="V58" i="4"/>
  <c r="V78" i="4"/>
  <c r="X35" i="5"/>
  <c r="W6" i="5"/>
  <c r="X6" i="5"/>
  <c r="W8" i="5"/>
  <c r="U27" i="4"/>
  <c r="U5" i="6" s="1"/>
  <c r="U38" i="6"/>
  <c r="AT6" i="5"/>
  <c r="V67" i="4"/>
  <c r="V52" i="6"/>
  <c r="U58" i="4"/>
  <c r="U74" i="4" s="1"/>
  <c r="U84" i="4" s="1"/>
  <c r="U88" i="4" s="1"/>
  <c r="U90" i="4" s="1"/>
  <c r="U92" i="4" s="1"/>
  <c r="U57" i="6" s="1"/>
  <c r="W20" i="5"/>
  <c r="AT47" i="5"/>
  <c r="U39" i="4"/>
  <c r="X31" i="5"/>
  <c r="X47" i="5"/>
  <c r="X40" i="5"/>
  <c r="X8" i="5"/>
  <c r="X19" i="5"/>
  <c r="W47" i="5"/>
  <c r="W19" i="5"/>
  <c r="T58" i="4"/>
  <c r="T74" i="4" s="1"/>
  <c r="T84" i="4" s="1"/>
  <c r="T88" i="4" s="1"/>
  <c r="T90" i="4" s="1"/>
  <c r="T92" i="4" s="1"/>
  <c r="T57" i="6" s="1"/>
  <c r="U50" i="4"/>
  <c r="T50" i="4"/>
  <c r="V50" i="4"/>
  <c r="T39" i="4"/>
  <c r="T27" i="4"/>
  <c r="T5" i="6" s="1"/>
  <c r="V39" i="4"/>
  <c r="V27" i="4"/>
  <c r="J7" i="6"/>
  <c r="K7" i="6"/>
  <c r="L7" i="6"/>
  <c r="M7" i="6"/>
  <c r="N7" i="6"/>
  <c r="O7" i="6"/>
  <c r="P7" i="6"/>
  <c r="Q7" i="6"/>
  <c r="R7" i="6"/>
  <c r="S7" i="6"/>
  <c r="J8" i="6"/>
  <c r="K8" i="6"/>
  <c r="L8" i="6"/>
  <c r="M8" i="6"/>
  <c r="N8" i="6"/>
  <c r="O8" i="6"/>
  <c r="P8" i="6"/>
  <c r="Q8" i="6"/>
  <c r="R8" i="6"/>
  <c r="S8" i="6"/>
  <c r="J10" i="6"/>
  <c r="K10" i="6"/>
  <c r="L10" i="6"/>
  <c r="M10" i="6"/>
  <c r="N10" i="6"/>
  <c r="O10" i="6"/>
  <c r="P10" i="6"/>
  <c r="Q10" i="6"/>
  <c r="R10" i="6"/>
  <c r="S10" i="6"/>
  <c r="J17" i="6"/>
  <c r="K17" i="6"/>
  <c r="L17" i="6"/>
  <c r="M17" i="6"/>
  <c r="N17" i="6"/>
  <c r="O17" i="6"/>
  <c r="P17" i="6"/>
  <c r="Q17" i="6"/>
  <c r="R17" i="6"/>
  <c r="S17" i="6"/>
  <c r="J19" i="6"/>
  <c r="K19" i="6"/>
  <c r="L19" i="6"/>
  <c r="M19" i="6"/>
  <c r="N19" i="6"/>
  <c r="O19" i="6"/>
  <c r="P19" i="6"/>
  <c r="Q19" i="6"/>
  <c r="R19" i="6"/>
  <c r="S19" i="6"/>
  <c r="J20" i="6"/>
  <c r="K20" i="6"/>
  <c r="L20" i="6"/>
  <c r="M20" i="6"/>
  <c r="N20" i="6"/>
  <c r="O20" i="6"/>
  <c r="P20" i="6"/>
  <c r="Q20" i="6"/>
  <c r="R20" i="6"/>
  <c r="S20" i="6"/>
  <c r="J22" i="6"/>
  <c r="K22" i="6"/>
  <c r="L22" i="6"/>
  <c r="M22" i="6"/>
  <c r="N22" i="6"/>
  <c r="O22" i="6"/>
  <c r="P22" i="6"/>
  <c r="Q22" i="6"/>
  <c r="R22" i="6"/>
  <c r="S22" i="6"/>
  <c r="J26" i="6"/>
  <c r="K26" i="6"/>
  <c r="L26" i="6"/>
  <c r="M26" i="6"/>
  <c r="N26" i="6"/>
  <c r="O26" i="6"/>
  <c r="P26" i="6"/>
  <c r="Q26" i="6"/>
  <c r="R26" i="6"/>
  <c r="S26" i="6"/>
  <c r="J27" i="6"/>
  <c r="K27" i="6"/>
  <c r="L27" i="6"/>
  <c r="M27" i="6"/>
  <c r="N27" i="6"/>
  <c r="O27" i="6"/>
  <c r="P27" i="6"/>
  <c r="Q27" i="6"/>
  <c r="R27" i="6"/>
  <c r="S27" i="6"/>
  <c r="J31" i="6"/>
  <c r="K31" i="6"/>
  <c r="L31" i="6"/>
  <c r="M31" i="6"/>
  <c r="N31" i="6"/>
  <c r="O31" i="6"/>
  <c r="P31" i="6"/>
  <c r="Q31" i="6"/>
  <c r="R31" i="6"/>
  <c r="S31" i="6"/>
  <c r="J32" i="6"/>
  <c r="K32" i="6"/>
  <c r="L32" i="6"/>
  <c r="M32" i="6"/>
  <c r="N32" i="6"/>
  <c r="O32" i="6"/>
  <c r="P32" i="6"/>
  <c r="Q32" i="6"/>
  <c r="R32" i="6"/>
  <c r="S32" i="6"/>
  <c r="J33" i="6"/>
  <c r="M33" i="6"/>
  <c r="N33" i="6"/>
  <c r="R33" i="6"/>
  <c r="J39" i="6"/>
  <c r="K39" i="6"/>
  <c r="L39" i="6"/>
  <c r="M39" i="6"/>
  <c r="N39" i="6"/>
  <c r="O39" i="6"/>
  <c r="P39" i="6"/>
  <c r="Q39" i="6"/>
  <c r="R39" i="6"/>
  <c r="S39" i="6"/>
  <c r="J40" i="6"/>
  <c r="K40" i="6"/>
  <c r="L40" i="6"/>
  <c r="M40" i="6"/>
  <c r="N40" i="6"/>
  <c r="O40" i="6"/>
  <c r="P40" i="6"/>
  <c r="Q40" i="6"/>
  <c r="R40" i="6"/>
  <c r="S40" i="6"/>
  <c r="J43" i="6"/>
  <c r="K43" i="6"/>
  <c r="L43" i="6"/>
  <c r="M43" i="6"/>
  <c r="N43" i="6"/>
  <c r="O43" i="6"/>
  <c r="P43" i="6"/>
  <c r="Q43" i="6"/>
  <c r="R43" i="6"/>
  <c r="S43" i="6"/>
  <c r="J44" i="6"/>
  <c r="K44" i="6"/>
  <c r="L44" i="6"/>
  <c r="M44" i="6"/>
  <c r="N44" i="6"/>
  <c r="O44" i="6"/>
  <c r="P44" i="6"/>
  <c r="Q44" i="6"/>
  <c r="R44" i="6"/>
  <c r="S44" i="6"/>
  <c r="J49" i="6"/>
  <c r="K49" i="6"/>
  <c r="L49" i="6"/>
  <c r="M49" i="6"/>
  <c r="N49" i="6"/>
  <c r="O49" i="6"/>
  <c r="P49" i="6"/>
  <c r="Q49" i="6"/>
  <c r="R49" i="6"/>
  <c r="S49" i="6"/>
  <c r="J50" i="6"/>
  <c r="K50" i="6"/>
  <c r="L50" i="6"/>
  <c r="M50" i="6"/>
  <c r="N50" i="6"/>
  <c r="O50" i="6"/>
  <c r="P50" i="6"/>
  <c r="Q50" i="6"/>
  <c r="R50" i="6"/>
  <c r="S50" i="6"/>
  <c r="J51" i="6"/>
  <c r="K51" i="6"/>
  <c r="L51" i="6"/>
  <c r="M51" i="6"/>
  <c r="N51" i="6"/>
  <c r="O51" i="6"/>
  <c r="P51" i="6"/>
  <c r="Q51" i="6"/>
  <c r="R51" i="6"/>
  <c r="S51" i="6"/>
  <c r="J52" i="6"/>
  <c r="K52" i="6"/>
  <c r="L52" i="6"/>
  <c r="M52" i="6"/>
  <c r="N52" i="6"/>
  <c r="O52" i="6"/>
  <c r="P52" i="6"/>
  <c r="Q52" i="6"/>
  <c r="R52" i="6"/>
  <c r="S52" i="6"/>
  <c r="J53" i="6"/>
  <c r="K53" i="6"/>
  <c r="L53" i="6"/>
  <c r="M53" i="6"/>
  <c r="N53" i="6"/>
  <c r="O53" i="6"/>
  <c r="P53" i="6"/>
  <c r="Q53" i="6"/>
  <c r="R53" i="6"/>
  <c r="S53" i="6"/>
  <c r="J54" i="6"/>
  <c r="K54" i="6"/>
  <c r="L54" i="6"/>
  <c r="M54" i="6"/>
  <c r="N54" i="6"/>
  <c r="O54" i="6"/>
  <c r="P54" i="6"/>
  <c r="Q54" i="6"/>
  <c r="R54" i="6"/>
  <c r="S54" i="6"/>
  <c r="L62" i="4"/>
  <c r="L45" i="6" s="1"/>
  <c r="M62" i="4"/>
  <c r="M45" i="6" s="1"/>
  <c r="N62" i="4"/>
  <c r="N45" i="6" s="1"/>
  <c r="O62" i="4"/>
  <c r="O45" i="6" s="1"/>
  <c r="P62" i="4"/>
  <c r="P45" i="6" s="1"/>
  <c r="Q62" i="4"/>
  <c r="Q45" i="6" s="1"/>
  <c r="R62" i="4"/>
  <c r="R45" i="6" s="1"/>
  <c r="S62" i="4"/>
  <c r="S45" i="6" s="1"/>
  <c r="M67" i="4"/>
  <c r="N67" i="4"/>
  <c r="O67" i="4"/>
  <c r="P67" i="4"/>
  <c r="Q67" i="4"/>
  <c r="R67" i="4"/>
  <c r="S67" i="4"/>
  <c r="L75" i="4"/>
  <c r="L55" i="6" s="1"/>
  <c r="M75" i="4"/>
  <c r="M55" i="6" s="1"/>
  <c r="N75" i="4"/>
  <c r="N55" i="6" s="1"/>
  <c r="O75" i="4"/>
  <c r="O55" i="6" s="1"/>
  <c r="P75" i="4"/>
  <c r="P55" i="6" s="1"/>
  <c r="Q75" i="4"/>
  <c r="Q55" i="6" s="1"/>
  <c r="R75" i="4"/>
  <c r="R55" i="6" s="1"/>
  <c r="S75" i="4"/>
  <c r="S55" i="6" s="1"/>
  <c r="M78" i="4"/>
  <c r="N78" i="4"/>
  <c r="O78" i="4"/>
  <c r="P78" i="4"/>
  <c r="Q78" i="4"/>
  <c r="R78" i="4"/>
  <c r="S78" i="4"/>
  <c r="I59" i="4"/>
  <c r="J59" i="4"/>
  <c r="K59" i="4"/>
  <c r="L59" i="4"/>
  <c r="M59" i="4"/>
  <c r="N59" i="4"/>
  <c r="O59" i="4"/>
  <c r="P59" i="4"/>
  <c r="Q59" i="4"/>
  <c r="R59" i="4"/>
  <c r="S59" i="4"/>
  <c r="J45" i="4"/>
  <c r="K45" i="4"/>
  <c r="L45" i="4"/>
  <c r="M45" i="4"/>
  <c r="N45" i="4"/>
  <c r="O45" i="4"/>
  <c r="P45" i="4"/>
  <c r="Q45" i="4"/>
  <c r="R45" i="4"/>
  <c r="S45" i="4"/>
  <c r="J42" i="4"/>
  <c r="K42" i="4"/>
  <c r="L42" i="4"/>
  <c r="M42" i="4"/>
  <c r="N42" i="4"/>
  <c r="O42" i="4"/>
  <c r="P42" i="4"/>
  <c r="Q42" i="4"/>
  <c r="R42" i="4"/>
  <c r="S42" i="4"/>
  <c r="K31" i="4"/>
  <c r="K6" i="6" s="1"/>
  <c r="L31" i="4"/>
  <c r="L6" i="6" s="1"/>
  <c r="M31" i="4"/>
  <c r="M6" i="6" s="1"/>
  <c r="N31" i="4"/>
  <c r="N6" i="6" s="1"/>
  <c r="O31" i="4"/>
  <c r="O6" i="6" s="1"/>
  <c r="P31" i="4"/>
  <c r="P6" i="6" s="1"/>
  <c r="Q31" i="4"/>
  <c r="Q6" i="6" s="1"/>
  <c r="R31" i="4"/>
  <c r="R6" i="6" s="1"/>
  <c r="S31" i="4"/>
  <c r="S6" i="6" s="1"/>
  <c r="K32" i="4"/>
  <c r="L32" i="4"/>
  <c r="M32" i="4"/>
  <c r="N32" i="4"/>
  <c r="O32" i="4"/>
  <c r="P32" i="4"/>
  <c r="Q32" i="4"/>
  <c r="R32" i="4"/>
  <c r="S32" i="4"/>
  <c r="J21" i="4"/>
  <c r="J38" i="6" s="1"/>
  <c r="K21" i="4"/>
  <c r="K38" i="6" s="1"/>
  <c r="L21" i="4"/>
  <c r="L38" i="6" s="1"/>
  <c r="M21" i="4"/>
  <c r="M38" i="6" s="1"/>
  <c r="N21" i="4"/>
  <c r="N38" i="6" s="1"/>
  <c r="O21" i="4"/>
  <c r="O38" i="6" s="1"/>
  <c r="P21" i="4"/>
  <c r="P38" i="6" s="1"/>
  <c r="Q21" i="4"/>
  <c r="Q38" i="6" s="1"/>
  <c r="R21" i="4"/>
  <c r="R38" i="6" s="1"/>
  <c r="S21" i="4"/>
  <c r="S38" i="6" s="1"/>
  <c r="K17" i="4"/>
  <c r="L17" i="4"/>
  <c r="M17" i="4"/>
  <c r="N17" i="4"/>
  <c r="O17" i="4"/>
  <c r="P17" i="4"/>
  <c r="Q17" i="4"/>
  <c r="R17" i="4"/>
  <c r="S17" i="4"/>
  <c r="J14" i="4"/>
  <c r="K14" i="4"/>
  <c r="L14" i="4"/>
  <c r="M14" i="4"/>
  <c r="N14" i="4"/>
  <c r="O14" i="4"/>
  <c r="P14" i="4"/>
  <c r="Q14" i="4"/>
  <c r="R14" i="4"/>
  <c r="S14" i="4"/>
  <c r="M9" i="4"/>
  <c r="N9" i="4"/>
  <c r="O9" i="4"/>
  <c r="P9" i="4"/>
  <c r="Q9" i="4"/>
  <c r="R9" i="4"/>
  <c r="S9" i="4"/>
  <c r="M5" i="4"/>
  <c r="M36" i="6" s="1"/>
  <c r="N5" i="4"/>
  <c r="N36" i="6" s="1"/>
  <c r="O5" i="4"/>
  <c r="O36" i="6" s="1"/>
  <c r="P5" i="4"/>
  <c r="P36" i="6" s="1"/>
  <c r="Q5" i="4"/>
  <c r="Q36" i="6" s="1"/>
  <c r="R5" i="4"/>
  <c r="R36" i="6" s="1"/>
  <c r="S5" i="4"/>
  <c r="S36" i="6" s="1"/>
  <c r="W10" i="5" l="1"/>
  <c r="V13" i="6"/>
  <c r="V14" i="6" s="1"/>
  <c r="W6" i="7"/>
  <c r="W30" i="7" s="1"/>
  <c r="V6" i="7"/>
  <c r="V30" i="7" s="1"/>
  <c r="AT35" i="5"/>
  <c r="P7" i="7"/>
  <c r="P31" i="7" s="1"/>
  <c r="Y35" i="5"/>
  <c r="F25" i="13"/>
  <c r="D41" i="12"/>
  <c r="V5" i="6"/>
  <c r="F19" i="13" s="1"/>
  <c r="D5" i="12"/>
  <c r="AT31" i="5"/>
  <c r="AT36" i="5"/>
  <c r="AT40" i="5"/>
  <c r="X24" i="5"/>
  <c r="F22" i="13"/>
  <c r="Y31" i="5"/>
  <c r="F7" i="13"/>
  <c r="F4" i="13"/>
  <c r="V48" i="6"/>
  <c r="AT24" i="5"/>
  <c r="N20" i="7"/>
  <c r="U47" i="5"/>
  <c r="Q47" i="5"/>
  <c r="U51" i="4"/>
  <c r="U53" i="4" s="1"/>
  <c r="V74" i="4"/>
  <c r="V84" i="4" s="1"/>
  <c r="V88" i="4" s="1"/>
  <c r="V90" i="4" s="1"/>
  <c r="V92" i="4" s="1"/>
  <c r="X7" i="5"/>
  <c r="P58" i="4"/>
  <c r="P74" i="4" s="1"/>
  <c r="P84" i="4" s="1"/>
  <c r="P88" i="4" s="1"/>
  <c r="P90" i="4" s="1"/>
  <c r="P92" i="4" s="1"/>
  <c r="P57" i="6" s="1"/>
  <c r="X10" i="5"/>
  <c r="X14" i="5"/>
  <c r="W27" i="5"/>
  <c r="W26" i="5"/>
  <c r="W15" i="5"/>
  <c r="W9" i="5"/>
  <c r="W25" i="5"/>
  <c r="W21" i="5"/>
  <c r="W24" i="5"/>
  <c r="W14" i="5"/>
  <c r="W7" i="5"/>
  <c r="X26" i="5"/>
  <c r="X30" i="5"/>
  <c r="X25" i="5"/>
  <c r="X9" i="5"/>
  <c r="X43" i="5"/>
  <c r="X15" i="5"/>
  <c r="X27" i="5"/>
  <c r="X21" i="5"/>
  <c r="U16" i="5"/>
  <c r="S25" i="6"/>
  <c r="V19" i="5" s="1"/>
  <c r="K25" i="6"/>
  <c r="N19" i="5" s="1"/>
  <c r="M25" i="6"/>
  <c r="P19" i="5" s="1"/>
  <c r="Q16" i="5"/>
  <c r="P16" i="5"/>
  <c r="O33" i="5"/>
  <c r="V41" i="5"/>
  <c r="W42" i="5"/>
  <c r="V32" i="5"/>
  <c r="W32" i="5"/>
  <c r="W41" i="5"/>
  <c r="S42" i="5"/>
  <c r="V33" i="5"/>
  <c r="W33" i="5"/>
  <c r="O25" i="6"/>
  <c r="R19" i="5" s="1"/>
  <c r="Q25" i="6"/>
  <c r="T19" i="5" s="1"/>
  <c r="W31" i="5"/>
  <c r="V31" i="5"/>
  <c r="W40" i="5"/>
  <c r="V40" i="5"/>
  <c r="V47" i="5"/>
  <c r="V42" i="5"/>
  <c r="V51" i="4"/>
  <c r="V53" i="4" s="1"/>
  <c r="Q58" i="4"/>
  <c r="Q74" i="4" s="1"/>
  <c r="Q84" i="4" s="1"/>
  <c r="Q88" i="4" s="1"/>
  <c r="Q90" i="4" s="1"/>
  <c r="Q92" i="4" s="1"/>
  <c r="Q57" i="6" s="1"/>
  <c r="M58" i="4"/>
  <c r="M74" i="4" s="1"/>
  <c r="M84" i="4" s="1"/>
  <c r="M88" i="4" s="1"/>
  <c r="M90" i="4" s="1"/>
  <c r="M92" i="4" s="1"/>
  <c r="M57" i="6" s="1"/>
  <c r="S42" i="6"/>
  <c r="O42" i="6"/>
  <c r="S46" i="6"/>
  <c r="R50" i="4"/>
  <c r="N50" i="4"/>
  <c r="S50" i="4"/>
  <c r="Q50" i="4"/>
  <c r="M50" i="4"/>
  <c r="T51" i="4"/>
  <c r="T53" i="4" s="1"/>
  <c r="P50" i="4"/>
  <c r="R16" i="6"/>
  <c r="R13" i="6" s="1"/>
  <c r="N16" i="6"/>
  <c r="N13" i="6" s="1"/>
  <c r="M16" i="6"/>
  <c r="M13" i="6" s="1"/>
  <c r="Q16" i="6"/>
  <c r="Q13" i="6" s="1"/>
  <c r="L50" i="4"/>
  <c r="O50" i="4"/>
  <c r="P16" i="6"/>
  <c r="P13" i="6" s="1"/>
  <c r="S16" i="6"/>
  <c r="S13" i="6" s="1"/>
  <c r="S41" i="5"/>
  <c r="O41" i="5"/>
  <c r="N41" i="5"/>
  <c r="T42" i="5"/>
  <c r="P42" i="5"/>
  <c r="O42" i="5"/>
  <c r="N42" i="5"/>
  <c r="Q39" i="4"/>
  <c r="M39" i="4"/>
  <c r="N33" i="5"/>
  <c r="R40" i="5"/>
  <c r="R32" i="5"/>
  <c r="N32" i="5"/>
  <c r="R39" i="4"/>
  <c r="N39" i="4"/>
  <c r="R31" i="5"/>
  <c r="P39" i="4"/>
  <c r="N47" i="5"/>
  <c r="S39" i="4"/>
  <c r="O39" i="4"/>
  <c r="K39" i="4"/>
  <c r="T47" i="5"/>
  <c r="P47" i="5"/>
  <c r="L39" i="4"/>
  <c r="U40" i="5"/>
  <c r="Q40" i="5"/>
  <c r="S47" i="5"/>
  <c r="O47" i="5"/>
  <c r="R47" i="5"/>
  <c r="P46" i="6"/>
  <c r="O46" i="6"/>
  <c r="K46" i="6"/>
  <c r="J30" i="6"/>
  <c r="P30" i="6"/>
  <c r="L30" i="6"/>
  <c r="R30" i="6"/>
  <c r="N30" i="6"/>
  <c r="J16" i="6"/>
  <c r="J13" i="6" s="1"/>
  <c r="U33" i="5"/>
  <c r="T40" i="5"/>
  <c r="P40" i="5"/>
  <c r="L46" i="6"/>
  <c r="Q42" i="6"/>
  <c r="M42" i="6"/>
  <c r="O16" i="6"/>
  <c r="O13" i="6" s="1"/>
  <c r="K16" i="6"/>
  <c r="K13" i="6" s="1"/>
  <c r="T32" i="5"/>
  <c r="U32" i="5"/>
  <c r="P32" i="5"/>
  <c r="Q32" i="5"/>
  <c r="T31" i="5"/>
  <c r="U31" i="5"/>
  <c r="P31" i="5"/>
  <c r="Q31" i="5"/>
  <c r="S40" i="5"/>
  <c r="S33" i="5"/>
  <c r="S32" i="5"/>
  <c r="S31" i="5"/>
  <c r="L16" i="6"/>
  <c r="L13" i="6" s="1"/>
  <c r="Q33" i="5"/>
  <c r="R42" i="5"/>
  <c r="R41" i="5"/>
  <c r="R33" i="5"/>
  <c r="U42" i="5"/>
  <c r="Q42" i="5"/>
  <c r="O40" i="5"/>
  <c r="O32" i="5"/>
  <c r="O31" i="5"/>
  <c r="R48" i="6"/>
  <c r="N48" i="6"/>
  <c r="P48" i="6"/>
  <c r="L48" i="6"/>
  <c r="Q30" i="6"/>
  <c r="M30" i="6"/>
  <c r="S30" i="6"/>
  <c r="O30" i="6"/>
  <c r="K30" i="6"/>
  <c r="U41" i="5"/>
  <c r="Q41" i="5"/>
  <c r="Q48" i="6"/>
  <c r="M48" i="6"/>
  <c r="S48" i="6"/>
  <c r="O48" i="6"/>
  <c r="P42" i="6"/>
  <c r="L42" i="6"/>
  <c r="R42" i="6"/>
  <c r="N42" i="6"/>
  <c r="P25" i="6"/>
  <c r="L25" i="6"/>
  <c r="R25" i="6"/>
  <c r="N25" i="6"/>
  <c r="J25" i="6"/>
  <c r="T41" i="5"/>
  <c r="P41" i="5"/>
  <c r="T33" i="5"/>
  <c r="P33" i="5"/>
  <c r="Q46" i="6"/>
  <c r="M46" i="6"/>
  <c r="R46" i="6"/>
  <c r="N46" i="6"/>
  <c r="J46" i="6"/>
  <c r="S58" i="4"/>
  <c r="S74" i="4" s="1"/>
  <c r="S84" i="4" s="1"/>
  <c r="S88" i="4" s="1"/>
  <c r="S90" i="4" s="1"/>
  <c r="S92" i="4" s="1"/>
  <c r="S57" i="6" s="1"/>
  <c r="O58" i="4"/>
  <c r="O74" i="4" s="1"/>
  <c r="O84" i="4" s="1"/>
  <c r="O88" i="4" s="1"/>
  <c r="O90" i="4" s="1"/>
  <c r="O92" i="4" s="1"/>
  <c r="O57" i="6" s="1"/>
  <c r="R58" i="4"/>
  <c r="R74" i="4" s="1"/>
  <c r="R84" i="4" s="1"/>
  <c r="R88" i="4" s="1"/>
  <c r="R90" i="4" s="1"/>
  <c r="R92" i="4" s="1"/>
  <c r="R57" i="6" s="1"/>
  <c r="N58" i="4"/>
  <c r="N74" i="4" s="1"/>
  <c r="N84" i="4" s="1"/>
  <c r="N88" i="4" s="1"/>
  <c r="N90" i="4" s="1"/>
  <c r="N92" i="4" s="1"/>
  <c r="N57" i="6" s="1"/>
  <c r="R27" i="4"/>
  <c r="R5" i="6" s="1"/>
  <c r="U15" i="5" s="1"/>
  <c r="N27" i="4"/>
  <c r="N5" i="6" s="1"/>
  <c r="Q14" i="5" s="1"/>
  <c r="S27" i="4"/>
  <c r="S5" i="6" s="1"/>
  <c r="V27" i="5" s="1"/>
  <c r="O27" i="4"/>
  <c r="O5" i="6" s="1"/>
  <c r="R14" i="5" s="1"/>
  <c r="Q27" i="4"/>
  <c r="P27" i="4"/>
  <c r="M27" i="4"/>
  <c r="K78" i="4"/>
  <c r="L78" i="4"/>
  <c r="K75" i="4"/>
  <c r="K55" i="6" s="1"/>
  <c r="K48" i="6" s="1"/>
  <c r="K67" i="4"/>
  <c r="L67" i="4"/>
  <c r="K62" i="4"/>
  <c r="L58" i="4"/>
  <c r="X6" i="7" l="1"/>
  <c r="F15" i="13"/>
  <c r="F6" i="13"/>
  <c r="F8" i="13"/>
  <c r="Y43" i="5"/>
  <c r="Y30" i="5"/>
  <c r="V57" i="6"/>
  <c r="D50" i="12"/>
  <c r="F5" i="13"/>
  <c r="AT43" i="5"/>
  <c r="AT15" i="5"/>
  <c r="AT14" i="5"/>
  <c r="S51" i="4"/>
  <c r="S53" i="4" s="1"/>
  <c r="M51" i="4"/>
  <c r="M53" i="4" s="1"/>
  <c r="L51" i="4"/>
  <c r="Q51" i="4"/>
  <c r="Q53" i="4" s="1"/>
  <c r="N51" i="4"/>
  <c r="N53" i="4" s="1"/>
  <c r="K14" i="6"/>
  <c r="V24" i="5"/>
  <c r="V9" i="5"/>
  <c r="V15" i="5"/>
  <c r="V14" i="5"/>
  <c r="O34" i="5"/>
  <c r="V21" i="5"/>
  <c r="V34" i="5"/>
  <c r="W44" i="5"/>
  <c r="W34" i="5"/>
  <c r="V36" i="5"/>
  <c r="W36" i="5"/>
  <c r="V44" i="5"/>
  <c r="V43" i="5"/>
  <c r="U44" i="5"/>
  <c r="V30" i="5"/>
  <c r="W30" i="5"/>
  <c r="W43" i="5"/>
  <c r="Q14" i="6"/>
  <c r="V25" i="5"/>
  <c r="V26" i="5"/>
  <c r="J14" i="6"/>
  <c r="K58" i="4"/>
  <c r="K74" i="4" s="1"/>
  <c r="K84" i="4" s="1"/>
  <c r="K45" i="6"/>
  <c r="K42" i="6" s="1"/>
  <c r="O36" i="5" s="1"/>
  <c r="S36" i="5"/>
  <c r="P36" i="5"/>
  <c r="U36" i="5"/>
  <c r="R51" i="4"/>
  <c r="R53" i="4" s="1"/>
  <c r="P51" i="4"/>
  <c r="P53" i="4" s="1"/>
  <c r="O51" i="4"/>
  <c r="O53" i="4" s="1"/>
  <c r="P14" i="6"/>
  <c r="S44" i="5"/>
  <c r="Q44" i="5"/>
  <c r="S34" i="5"/>
  <c r="U24" i="5"/>
  <c r="Q26" i="5"/>
  <c r="U9" i="5"/>
  <c r="U26" i="5"/>
  <c r="Q24" i="5"/>
  <c r="Q27" i="5"/>
  <c r="P5" i="6"/>
  <c r="R30" i="5"/>
  <c r="R43" i="5"/>
  <c r="Q25" i="5"/>
  <c r="Q15" i="5"/>
  <c r="U25" i="5"/>
  <c r="U27" i="5"/>
  <c r="U14" i="5"/>
  <c r="R26" i="5"/>
  <c r="R27" i="5"/>
  <c r="R24" i="5"/>
  <c r="R9" i="5"/>
  <c r="M5" i="6"/>
  <c r="R15" i="5"/>
  <c r="R25" i="5"/>
  <c r="Q5" i="6"/>
  <c r="Q9" i="5"/>
  <c r="U19" i="5"/>
  <c r="T34" i="5"/>
  <c r="S19" i="5"/>
  <c r="R21" i="5"/>
  <c r="R34" i="5"/>
  <c r="R44" i="5"/>
  <c r="T44" i="5"/>
  <c r="U21" i="5"/>
  <c r="U34" i="5"/>
  <c r="Q19" i="5"/>
  <c r="T36" i="5"/>
  <c r="Q36" i="5"/>
  <c r="R36" i="5"/>
  <c r="P34" i="5"/>
  <c r="P44" i="5"/>
  <c r="Q21" i="5"/>
  <c r="Q34" i="5"/>
  <c r="O19" i="5"/>
  <c r="N34" i="5"/>
  <c r="N44" i="5"/>
  <c r="O44" i="5"/>
  <c r="L74" i="4"/>
  <c r="L84" i="4" s="1"/>
  <c r="L88" i="4" s="1"/>
  <c r="L90" i="4" s="1"/>
  <c r="L92" i="4" s="1"/>
  <c r="L57" i="6" s="1"/>
  <c r="L9" i="4"/>
  <c r="L5" i="4"/>
  <c r="L36" i="6" s="1"/>
  <c r="S6" i="7" l="1"/>
  <c r="S30" i="7" s="1"/>
  <c r="O14" i="6"/>
  <c r="Q6" i="7" s="1"/>
  <c r="Q30" i="7" s="1"/>
  <c r="O6" i="5"/>
  <c r="L14" i="6"/>
  <c r="P8" i="5"/>
  <c r="M14" i="6"/>
  <c r="O6" i="7" s="1"/>
  <c r="O30" i="7" s="1"/>
  <c r="R6" i="7"/>
  <c r="R30" i="7" s="1"/>
  <c r="V20" i="5"/>
  <c r="S14" i="6"/>
  <c r="U6" i="7" s="1"/>
  <c r="U30" i="7" s="1"/>
  <c r="U20" i="5"/>
  <c r="R14" i="6"/>
  <c r="T6" i="7" s="1"/>
  <c r="T30" i="7" s="1"/>
  <c r="Q7" i="5"/>
  <c r="N14" i="6"/>
  <c r="P6" i="7" s="1"/>
  <c r="P30" i="7" s="1"/>
  <c r="N6" i="5"/>
  <c r="M7" i="7"/>
  <c r="P20" i="5"/>
  <c r="P6" i="5"/>
  <c r="P7" i="5"/>
  <c r="N20" i="5"/>
  <c r="N8" i="5"/>
  <c r="V8" i="5"/>
  <c r="V6" i="5"/>
  <c r="W35" i="5"/>
  <c r="V7" i="5"/>
  <c r="Q20" i="5"/>
  <c r="Q35" i="5"/>
  <c r="T20" i="5"/>
  <c r="Q8" i="5"/>
  <c r="Q6" i="5"/>
  <c r="R8" i="5"/>
  <c r="R20" i="5"/>
  <c r="R6" i="5"/>
  <c r="R35" i="5"/>
  <c r="T8" i="5"/>
  <c r="R7" i="5"/>
  <c r="T7" i="5"/>
  <c r="T6" i="5"/>
  <c r="N35" i="5"/>
  <c r="T35" i="5"/>
  <c r="V35" i="5"/>
  <c r="S7" i="5"/>
  <c r="S6" i="5"/>
  <c r="S8" i="5"/>
  <c r="S20" i="5"/>
  <c r="S10" i="5"/>
  <c r="P35" i="5"/>
  <c r="S35" i="5"/>
  <c r="O35" i="5"/>
  <c r="O8" i="5"/>
  <c r="O20" i="5"/>
  <c r="T10" i="5"/>
  <c r="U30" i="5"/>
  <c r="T21" i="5"/>
  <c r="P14" i="5"/>
  <c r="P25" i="5"/>
  <c r="P15" i="5"/>
  <c r="P26" i="5"/>
  <c r="P27" i="5"/>
  <c r="P9" i="5"/>
  <c r="P24" i="5"/>
  <c r="Q43" i="5"/>
  <c r="S27" i="5"/>
  <c r="S14" i="5"/>
  <c r="S9" i="5"/>
  <c r="S25" i="5"/>
  <c r="S15" i="5"/>
  <c r="S21" i="5"/>
  <c r="S30" i="5"/>
  <c r="S24" i="5"/>
  <c r="S43" i="5"/>
  <c r="S26" i="5"/>
  <c r="P21" i="5"/>
  <c r="Q30" i="5"/>
  <c r="T30" i="5"/>
  <c r="T24" i="5"/>
  <c r="T26" i="5"/>
  <c r="T14" i="5"/>
  <c r="T15" i="5"/>
  <c r="T27" i="5"/>
  <c r="T9" i="5"/>
  <c r="T43" i="5"/>
  <c r="T25" i="5"/>
  <c r="U43" i="5"/>
  <c r="U6" i="5"/>
  <c r="U7" i="5"/>
  <c r="U8" i="5"/>
  <c r="U35" i="5"/>
  <c r="L27" i="4"/>
  <c r="G40" i="6"/>
  <c r="I40" i="6"/>
  <c r="D22" i="9"/>
  <c r="F22" i="9" s="1"/>
  <c r="C22" i="9"/>
  <c r="D21" i="9"/>
  <c r="F21" i="9" s="1"/>
  <c r="C21" i="9"/>
  <c r="D20" i="9"/>
  <c r="F20" i="9" s="1"/>
  <c r="C20" i="9"/>
  <c r="D19" i="9"/>
  <c r="F19" i="9" s="1"/>
  <c r="C19" i="9"/>
  <c r="D18" i="9"/>
  <c r="F18" i="9" s="1"/>
  <c r="C18" i="9"/>
  <c r="D15" i="9"/>
  <c r="F15" i="9" s="1"/>
  <c r="C15" i="9"/>
  <c r="D14" i="9"/>
  <c r="F14" i="9" s="1"/>
  <c r="C14" i="9"/>
  <c r="D13" i="9"/>
  <c r="C13" i="9"/>
  <c r="D12" i="9"/>
  <c r="C12" i="9"/>
  <c r="D11" i="9"/>
  <c r="F11" i="9" s="1"/>
  <c r="C11" i="9"/>
  <c r="AK24" i="9"/>
  <c r="AN35" i="6" s="1"/>
  <c r="AP50" i="5" s="1"/>
  <c r="AG24" i="9"/>
  <c r="AJ35" i="6" s="1"/>
  <c r="AL50" i="5" s="1"/>
  <c r="M24" i="9"/>
  <c r="P35" i="6" s="1"/>
  <c r="S50" i="5" s="1"/>
  <c r="I24" i="9"/>
  <c r="L35" i="6" s="1"/>
  <c r="O50" i="5" s="1"/>
  <c r="E24" i="9"/>
  <c r="L23" i="9"/>
  <c r="Q33" i="6" s="1"/>
  <c r="T16" i="5" s="1"/>
  <c r="K23" i="9"/>
  <c r="P33" i="6" s="1"/>
  <c r="S16" i="5" s="1"/>
  <c r="G23" i="9"/>
  <c r="AL22" i="9"/>
  <c r="AH22" i="9"/>
  <c r="AD22" i="9"/>
  <c r="Z22" i="9"/>
  <c r="V22" i="9"/>
  <c r="N22" i="9"/>
  <c r="O22" i="9" s="1"/>
  <c r="P22" i="9" s="1"/>
  <c r="R22" i="9" s="1"/>
  <c r="AL21" i="9"/>
  <c r="AH21" i="9"/>
  <c r="AD21" i="9"/>
  <c r="Z21" i="9"/>
  <c r="V21" i="9"/>
  <c r="N21" i="9"/>
  <c r="O21" i="9" s="1"/>
  <c r="AL20" i="9"/>
  <c r="AH20" i="9"/>
  <c r="AD20" i="9"/>
  <c r="Z20" i="9"/>
  <c r="V20" i="9"/>
  <c r="N20" i="9"/>
  <c r="O20" i="9" s="1"/>
  <c r="P20" i="9" s="1"/>
  <c r="R20" i="9" s="1"/>
  <c r="AL19" i="9"/>
  <c r="AH19" i="9"/>
  <c r="AD19" i="9"/>
  <c r="Z19" i="9"/>
  <c r="V19" i="9"/>
  <c r="N19" i="9"/>
  <c r="O19" i="9" s="1"/>
  <c r="AL18" i="9"/>
  <c r="AH18" i="9"/>
  <c r="AD18" i="9"/>
  <c r="Z18" i="9"/>
  <c r="V18" i="9"/>
  <c r="R18" i="9"/>
  <c r="N18" i="9"/>
  <c r="AJ16" i="9"/>
  <c r="AJ24" i="9" s="1"/>
  <c r="AI16" i="9"/>
  <c r="AI24" i="9" s="1"/>
  <c r="AL35" i="6" s="1"/>
  <c r="AN50" i="5" s="1"/>
  <c r="AF16" i="9"/>
  <c r="AF24" i="9" s="1"/>
  <c r="AE16" i="9"/>
  <c r="AE24" i="9" s="1"/>
  <c r="AH35" i="6" s="1"/>
  <c r="AJ50" i="5" s="1"/>
  <c r="AB16" i="9"/>
  <c r="AB24" i="9" s="1"/>
  <c r="AA16" i="9"/>
  <c r="AA24" i="9" s="1"/>
  <c r="AD35" i="6" s="1"/>
  <c r="AF50" i="5" s="1"/>
  <c r="X16" i="9"/>
  <c r="X24" i="9" s="1"/>
  <c r="W16" i="9"/>
  <c r="W24" i="9" s="1"/>
  <c r="Z35" i="6" s="1"/>
  <c r="AB50" i="5" s="1"/>
  <c r="T16" i="9"/>
  <c r="T24" i="9" s="1"/>
  <c r="S16" i="9"/>
  <c r="S24" i="9" s="1"/>
  <c r="V35" i="6" s="1"/>
  <c r="P16" i="9"/>
  <c r="O16" i="9"/>
  <c r="L16" i="9"/>
  <c r="K16" i="9"/>
  <c r="H16" i="9"/>
  <c r="H24" i="9" s="1"/>
  <c r="K35" i="6" s="1"/>
  <c r="N50" i="5" s="1"/>
  <c r="G16" i="9"/>
  <c r="AL15" i="9"/>
  <c r="AH15" i="9"/>
  <c r="AD15" i="9"/>
  <c r="Z15" i="9"/>
  <c r="V15" i="9"/>
  <c r="R15" i="9"/>
  <c r="N15" i="9"/>
  <c r="J15" i="9"/>
  <c r="AL14" i="9"/>
  <c r="AH14" i="9"/>
  <c r="AD14" i="9"/>
  <c r="Z14" i="9"/>
  <c r="V14" i="9"/>
  <c r="R14" i="9"/>
  <c r="N14" i="9"/>
  <c r="J14" i="9"/>
  <c r="AL13" i="9"/>
  <c r="AH13" i="9"/>
  <c r="AD13" i="9"/>
  <c r="Z13" i="9"/>
  <c r="V13" i="9"/>
  <c r="R13" i="9"/>
  <c r="N13" i="9"/>
  <c r="J13" i="9"/>
  <c r="AL12" i="9"/>
  <c r="AH12" i="9"/>
  <c r="AD12" i="9"/>
  <c r="Z12" i="9"/>
  <c r="V12" i="9"/>
  <c r="R12" i="9"/>
  <c r="N12" i="9"/>
  <c r="J12" i="9"/>
  <c r="AL11" i="9"/>
  <c r="AH11" i="9"/>
  <c r="AD11" i="9"/>
  <c r="Z11" i="9"/>
  <c r="V11" i="9"/>
  <c r="R11" i="9"/>
  <c r="N11" i="9"/>
  <c r="J11" i="9"/>
  <c r="I34" i="4"/>
  <c r="I13" i="4"/>
  <c r="I15" i="4"/>
  <c r="I7" i="4"/>
  <c r="I5" i="4" s="1"/>
  <c r="I71" i="4"/>
  <c r="I83" i="4"/>
  <c r="I68" i="4"/>
  <c r="I44" i="4"/>
  <c r="I42" i="4" s="1"/>
  <c r="H7" i="6"/>
  <c r="I7" i="6"/>
  <c r="M33" i="5" s="1"/>
  <c r="H8" i="6"/>
  <c r="I8" i="6"/>
  <c r="H10" i="6"/>
  <c r="H17" i="6"/>
  <c r="I17" i="6"/>
  <c r="M41" i="5" s="1"/>
  <c r="H19" i="6"/>
  <c r="I19" i="6"/>
  <c r="H20" i="6"/>
  <c r="I20" i="6"/>
  <c r="H22" i="6"/>
  <c r="H26" i="6"/>
  <c r="I26" i="6"/>
  <c r="H27" i="6"/>
  <c r="H31" i="6"/>
  <c r="J10" i="7" s="1"/>
  <c r="I31" i="6"/>
  <c r="E10" i="13" s="1"/>
  <c r="L11" i="7"/>
  <c r="H32" i="6"/>
  <c r="I32" i="6"/>
  <c r="H39" i="6"/>
  <c r="I39" i="6"/>
  <c r="H43" i="6"/>
  <c r="I43" i="6"/>
  <c r="H44" i="6"/>
  <c r="I44" i="6"/>
  <c r="H49" i="6"/>
  <c r="H50" i="6"/>
  <c r="I50" i="6"/>
  <c r="H51" i="6"/>
  <c r="I51" i="6"/>
  <c r="H52" i="6"/>
  <c r="H53" i="6"/>
  <c r="H54" i="6"/>
  <c r="I54" i="6"/>
  <c r="H85" i="4"/>
  <c r="I85" i="4"/>
  <c r="J85" i="4"/>
  <c r="K85" i="4"/>
  <c r="K88" i="4" s="1"/>
  <c r="K90" i="4" s="1"/>
  <c r="K92" i="4" s="1"/>
  <c r="K57" i="6" s="1"/>
  <c r="H78" i="4"/>
  <c r="J78" i="4"/>
  <c r="H75" i="4"/>
  <c r="H55" i="6" s="1"/>
  <c r="I75" i="4"/>
  <c r="J75" i="4"/>
  <c r="J55" i="6" s="1"/>
  <c r="J48" i="6" s="1"/>
  <c r="H67" i="4"/>
  <c r="J67" i="4"/>
  <c r="H62" i="4"/>
  <c r="H45" i="6" s="1"/>
  <c r="I62" i="4"/>
  <c r="C39" i="12" s="1"/>
  <c r="C36" i="12" s="1"/>
  <c r="J62" i="4"/>
  <c r="J45" i="6" s="1"/>
  <c r="J42" i="6" s="1"/>
  <c r="N36" i="5" s="1"/>
  <c r="H59" i="4"/>
  <c r="H45" i="4"/>
  <c r="I45" i="4"/>
  <c r="J50" i="4"/>
  <c r="H42" i="4"/>
  <c r="K50" i="4"/>
  <c r="H31" i="4"/>
  <c r="H6" i="6" s="1"/>
  <c r="I31" i="4"/>
  <c r="J31" i="4"/>
  <c r="J6" i="6" s="1"/>
  <c r="L7" i="7" s="1"/>
  <c r="H32" i="4"/>
  <c r="J32" i="4"/>
  <c r="H21" i="4"/>
  <c r="H38" i="6" s="1"/>
  <c r="I21" i="4"/>
  <c r="H17" i="4"/>
  <c r="I17" i="4"/>
  <c r="J17" i="4"/>
  <c r="H14" i="4"/>
  <c r="H9" i="4"/>
  <c r="J9" i="4"/>
  <c r="K9" i="4"/>
  <c r="H5" i="4"/>
  <c r="J5" i="4"/>
  <c r="L17" i="7" s="1"/>
  <c r="K5" i="4"/>
  <c r="U10" i="5" l="1"/>
  <c r="V10" i="5"/>
  <c r="Q10" i="5"/>
  <c r="P10" i="5"/>
  <c r="R10" i="5"/>
  <c r="W27" i="9"/>
  <c r="AA35" i="6"/>
  <c r="AC50" i="5" s="1"/>
  <c r="AA27" i="9"/>
  <c r="AE35" i="6"/>
  <c r="AG50" i="5" s="1"/>
  <c r="AE27" i="9"/>
  <c r="AI35" i="6"/>
  <c r="AK50" i="5" s="1"/>
  <c r="S27" i="9"/>
  <c r="W35" i="6"/>
  <c r="Y50" i="5" s="1"/>
  <c r="AI27" i="9"/>
  <c r="AM35" i="6"/>
  <c r="AO50" i="5" s="1"/>
  <c r="I49" i="6"/>
  <c r="C42" i="12"/>
  <c r="C20" i="12"/>
  <c r="I55" i="6"/>
  <c r="C48" i="12"/>
  <c r="I52" i="6"/>
  <c r="C45" i="12"/>
  <c r="I14" i="4"/>
  <c r="C27" i="12"/>
  <c r="I16" i="6"/>
  <c r="I13" i="6" s="1"/>
  <c r="C16" i="12"/>
  <c r="C14" i="12" s="1"/>
  <c r="M42" i="5"/>
  <c r="I6" i="6"/>
  <c r="M40" i="5" s="1"/>
  <c r="C6" i="12"/>
  <c r="C32" i="12"/>
  <c r="I27" i="6"/>
  <c r="I25" i="6" s="1"/>
  <c r="C24" i="12"/>
  <c r="C22" i="12" s="1"/>
  <c r="D31" i="12"/>
  <c r="I78" i="4"/>
  <c r="C46" i="12"/>
  <c r="I38" i="6"/>
  <c r="C33" i="12"/>
  <c r="I10" i="6"/>
  <c r="C10" i="12"/>
  <c r="K24" i="9"/>
  <c r="N35" i="6" s="1"/>
  <c r="Q50" i="5" s="1"/>
  <c r="L24" i="9"/>
  <c r="O35" i="6" s="1"/>
  <c r="R50" i="5" s="1"/>
  <c r="I53" i="6"/>
  <c r="I32" i="4"/>
  <c r="I39" i="4" s="1"/>
  <c r="I36" i="6"/>
  <c r="AH23" i="9"/>
  <c r="O33" i="6"/>
  <c r="R16" i="5" s="1"/>
  <c r="K36" i="6"/>
  <c r="M17" i="7"/>
  <c r="J17" i="7"/>
  <c r="K27" i="9"/>
  <c r="I9" i="4"/>
  <c r="N23" i="9"/>
  <c r="S33" i="6" s="1"/>
  <c r="V16" i="5" s="1"/>
  <c r="O23" i="9"/>
  <c r="T33" i="6" s="1"/>
  <c r="W16" i="5" s="1"/>
  <c r="AH16" i="9"/>
  <c r="C23" i="9"/>
  <c r="F13" i="9"/>
  <c r="D16" i="9"/>
  <c r="D23" i="9"/>
  <c r="H33" i="6" s="1"/>
  <c r="J11" i="7" s="1"/>
  <c r="J16" i="9"/>
  <c r="J24" i="9" s="1"/>
  <c r="M35" i="6" s="1"/>
  <c r="P50" i="5" s="1"/>
  <c r="F12" i="9"/>
  <c r="AL16" i="9"/>
  <c r="AD16" i="9"/>
  <c r="V23" i="9"/>
  <c r="Z23" i="9"/>
  <c r="G24" i="9"/>
  <c r="J35" i="6" s="1"/>
  <c r="M50" i="5" s="1"/>
  <c r="L33" i="6"/>
  <c r="O16" i="5" s="1"/>
  <c r="R16" i="9"/>
  <c r="AD23" i="9"/>
  <c r="F23" i="9"/>
  <c r="C16" i="9"/>
  <c r="I45" i="6"/>
  <c r="I42" i="6" s="1"/>
  <c r="I58" i="4"/>
  <c r="Z16" i="9"/>
  <c r="V16" i="9"/>
  <c r="N16" i="9"/>
  <c r="AL23" i="9"/>
  <c r="N31" i="5"/>
  <c r="N40" i="5"/>
  <c r="J27" i="4"/>
  <c r="L20" i="7" s="1"/>
  <c r="J36" i="6"/>
  <c r="L5" i="6"/>
  <c r="N6" i="7" s="1"/>
  <c r="N30" i="7" s="1"/>
  <c r="L53" i="4"/>
  <c r="H46" i="6"/>
  <c r="J58" i="4"/>
  <c r="J74" i="4" s="1"/>
  <c r="J39" i="4"/>
  <c r="J51" i="4" s="1"/>
  <c r="K27" i="4"/>
  <c r="K5" i="6" s="1"/>
  <c r="M6" i="7" s="1"/>
  <c r="H36" i="6"/>
  <c r="J18" i="7"/>
  <c r="M19" i="5"/>
  <c r="L10" i="7"/>
  <c r="M16" i="5"/>
  <c r="K10" i="7"/>
  <c r="H25" i="6"/>
  <c r="M47" i="5"/>
  <c r="M32" i="5"/>
  <c r="L18" i="7"/>
  <c r="M10" i="7"/>
  <c r="H16" i="6"/>
  <c r="H13" i="6" s="1"/>
  <c r="K47" i="5"/>
  <c r="H42" i="6"/>
  <c r="H30" i="6"/>
  <c r="M18" i="7"/>
  <c r="H48" i="6"/>
  <c r="P19" i="9"/>
  <c r="P21" i="9"/>
  <c r="R21" i="9" s="1"/>
  <c r="I30" i="6"/>
  <c r="I46" i="6"/>
  <c r="I67" i="4"/>
  <c r="I22" i="6"/>
  <c r="H58" i="4"/>
  <c r="H74" i="4" s="1"/>
  <c r="O14" i="7" s="1"/>
  <c r="H39" i="4"/>
  <c r="K51" i="4"/>
  <c r="I50" i="4"/>
  <c r="H50" i="4"/>
  <c r="H27" i="4"/>
  <c r="H5" i="6" s="1"/>
  <c r="E14" i="7"/>
  <c r="F14" i="7"/>
  <c r="G71" i="4"/>
  <c r="G83" i="4"/>
  <c r="F21" i="4"/>
  <c r="G21" i="4"/>
  <c r="C17" i="4"/>
  <c r="D17" i="4"/>
  <c r="E17" i="4"/>
  <c r="F17" i="4"/>
  <c r="G17" i="4"/>
  <c r="F14" i="13"/>
  <c r="I27" i="4" l="1"/>
  <c r="I5" i="6" s="1"/>
  <c r="E15" i="13" s="1"/>
  <c r="K18" i="7"/>
  <c r="M31" i="5"/>
  <c r="L47" i="5"/>
  <c r="F18" i="13"/>
  <c r="F17" i="13"/>
  <c r="C29" i="12"/>
  <c r="I48" i="6"/>
  <c r="E17" i="13"/>
  <c r="C41" i="12"/>
  <c r="K15" i="5"/>
  <c r="E22" i="13"/>
  <c r="E14" i="13"/>
  <c r="E24" i="13"/>
  <c r="E18" i="13"/>
  <c r="C26" i="12"/>
  <c r="C40" i="12"/>
  <c r="K17" i="7"/>
  <c r="C5" i="12"/>
  <c r="C12" i="12"/>
  <c r="C13" i="12" s="1"/>
  <c r="E20" i="13"/>
  <c r="E25" i="13"/>
  <c r="F16" i="9"/>
  <c r="F24" i="9" s="1"/>
  <c r="C24" i="9"/>
  <c r="P17" i="7"/>
  <c r="O24" i="9"/>
  <c r="R35" i="6" s="1"/>
  <c r="U50" i="5" s="1"/>
  <c r="AD24" i="9"/>
  <c r="AG35" i="6" s="1"/>
  <c r="AI50" i="5" s="1"/>
  <c r="AH24" i="9"/>
  <c r="AK35" i="6" s="1"/>
  <c r="AM50" i="5" s="1"/>
  <c r="N24" i="9"/>
  <c r="Q35" i="6" s="1"/>
  <c r="T50" i="5" s="1"/>
  <c r="I74" i="4"/>
  <c r="L14" i="7" s="1"/>
  <c r="I33" i="6"/>
  <c r="C26" i="9"/>
  <c r="D24" i="9"/>
  <c r="K33" i="6"/>
  <c r="N16" i="5" s="1"/>
  <c r="AL24" i="9"/>
  <c r="AO35" i="6" s="1"/>
  <c r="AQ50" i="5" s="1"/>
  <c r="K16" i="5"/>
  <c r="V24" i="9"/>
  <c r="Y35" i="6" s="1"/>
  <c r="AA50" i="5" s="1"/>
  <c r="Z24" i="9"/>
  <c r="AC35" i="6" s="1"/>
  <c r="AE50" i="5" s="1"/>
  <c r="H51" i="4"/>
  <c r="H53" i="4" s="1"/>
  <c r="J53" i="4"/>
  <c r="O9" i="5"/>
  <c r="O14" i="5"/>
  <c r="O30" i="5"/>
  <c r="O25" i="5"/>
  <c r="O27" i="5"/>
  <c r="O24" i="5"/>
  <c r="O43" i="5"/>
  <c r="O21" i="5"/>
  <c r="O26" i="5"/>
  <c r="O15" i="5"/>
  <c r="O7" i="5"/>
  <c r="O10" i="5"/>
  <c r="P30" i="5"/>
  <c r="P43" i="5"/>
  <c r="N27" i="5"/>
  <c r="N24" i="5"/>
  <c r="N25" i="5"/>
  <c r="N9" i="5"/>
  <c r="N15" i="5"/>
  <c r="N14" i="5"/>
  <c r="N26" i="5"/>
  <c r="N7" i="5"/>
  <c r="N21" i="5"/>
  <c r="N10" i="5"/>
  <c r="J5" i="6"/>
  <c r="H84" i="4"/>
  <c r="H88" i="4" s="1"/>
  <c r="H90" i="4" s="1"/>
  <c r="H92" i="4" s="1"/>
  <c r="H57" i="6" s="1"/>
  <c r="K14" i="7"/>
  <c r="M24" i="7"/>
  <c r="K9" i="5"/>
  <c r="J19" i="7"/>
  <c r="K27" i="5"/>
  <c r="K22" i="7"/>
  <c r="K14" i="5"/>
  <c r="K26" i="5"/>
  <c r="K24" i="5"/>
  <c r="K25" i="5"/>
  <c r="K25" i="7"/>
  <c r="J20" i="7"/>
  <c r="M20" i="7"/>
  <c r="K53" i="4"/>
  <c r="H14" i="6"/>
  <c r="J6" i="7" s="1"/>
  <c r="M14" i="7"/>
  <c r="J84" i="4"/>
  <c r="J88" i="4" s="1"/>
  <c r="J90" i="4" s="1"/>
  <c r="J92" i="4" s="1"/>
  <c r="J57" i="6" s="1"/>
  <c r="M6" i="5"/>
  <c r="M8" i="5"/>
  <c r="L4" i="7"/>
  <c r="M23" i="7"/>
  <c r="M20" i="5"/>
  <c r="M34" i="5"/>
  <c r="M36" i="5"/>
  <c r="K21" i="5"/>
  <c r="K24" i="7"/>
  <c r="K19" i="5"/>
  <c r="M44" i="5"/>
  <c r="L24" i="7"/>
  <c r="L19" i="5"/>
  <c r="P23" i="9"/>
  <c r="R19" i="9"/>
  <c r="R23" i="9" s="1"/>
  <c r="I51" i="4"/>
  <c r="I53" i="4" s="1"/>
  <c r="K20" i="7" l="1"/>
  <c r="K7" i="7"/>
  <c r="I14" i="6"/>
  <c r="K6" i="7" s="1"/>
  <c r="N43" i="5"/>
  <c r="L6" i="7"/>
  <c r="L9" i="5"/>
  <c r="L22" i="7"/>
  <c r="L21" i="5"/>
  <c r="L25" i="7"/>
  <c r="K19" i="7"/>
  <c r="L26" i="5"/>
  <c r="K15" i="7"/>
  <c r="L15" i="5"/>
  <c r="L27" i="5"/>
  <c r="L24" i="5"/>
  <c r="L14" i="5"/>
  <c r="K6" i="5"/>
  <c r="J7" i="7"/>
  <c r="I35" i="6"/>
  <c r="L50" i="5" s="1"/>
  <c r="C31" i="12"/>
  <c r="F13" i="13"/>
  <c r="E23" i="13"/>
  <c r="F20" i="13"/>
  <c r="K5" i="7"/>
  <c r="E5" i="13"/>
  <c r="E7" i="13"/>
  <c r="E4" i="13"/>
  <c r="E8" i="13"/>
  <c r="L25" i="5"/>
  <c r="E19" i="13"/>
  <c r="K11" i="7"/>
  <c r="E11" i="13"/>
  <c r="I84" i="4"/>
  <c r="I88" i="4" s="1"/>
  <c r="I90" i="4" s="1"/>
  <c r="I92" i="4" s="1"/>
  <c r="O20" i="7"/>
  <c r="M7" i="5"/>
  <c r="L8" i="7"/>
  <c r="L16" i="5"/>
  <c r="C27" i="9"/>
  <c r="M35" i="5"/>
  <c r="H35" i="6"/>
  <c r="K50" i="5" s="1"/>
  <c r="M11" i="7"/>
  <c r="R24" i="9"/>
  <c r="U35" i="6" s="1"/>
  <c r="X50" i="5" s="1"/>
  <c r="AT16" i="5"/>
  <c r="W33" i="6"/>
  <c r="P24" i="9"/>
  <c r="U33" i="6"/>
  <c r="X16" i="5" s="1"/>
  <c r="K4" i="7"/>
  <c r="L20" i="5"/>
  <c r="L8" i="5"/>
  <c r="J4" i="7"/>
  <c r="K10" i="5"/>
  <c r="L6" i="5"/>
  <c r="K8" i="7"/>
  <c r="L15" i="7"/>
  <c r="M30" i="5"/>
  <c r="M43" i="5"/>
  <c r="L5" i="7"/>
  <c r="M22" i="7"/>
  <c r="N30" i="5"/>
  <c r="M14" i="5"/>
  <c r="M26" i="5"/>
  <c r="M24" i="5"/>
  <c r="L19" i="7"/>
  <c r="M25" i="5"/>
  <c r="M9" i="5"/>
  <c r="M25" i="7"/>
  <c r="M27" i="5"/>
  <c r="M15" i="5"/>
  <c r="M21" i="5"/>
  <c r="L23" i="7"/>
  <c r="L7" i="5"/>
  <c r="M4" i="7"/>
  <c r="M13" i="7"/>
  <c r="M15" i="7"/>
  <c r="M19" i="7"/>
  <c r="M8" i="7"/>
  <c r="K7" i="5"/>
  <c r="J8" i="7"/>
  <c r="K8" i="5"/>
  <c r="K23" i="7"/>
  <c r="K20" i="5"/>
  <c r="M5" i="7"/>
  <c r="J5" i="7"/>
  <c r="L13" i="7"/>
  <c r="M10" i="5"/>
  <c r="P14" i="7"/>
  <c r="P38" i="7" s="1"/>
  <c r="E7" i="6"/>
  <c r="F7" i="6"/>
  <c r="G7" i="6"/>
  <c r="E8" i="6"/>
  <c r="F8" i="6"/>
  <c r="G8" i="6"/>
  <c r="E10" i="6"/>
  <c r="F10" i="6"/>
  <c r="N17" i="7" s="1"/>
  <c r="G10" i="6"/>
  <c r="O17" i="7" s="1"/>
  <c r="E17" i="6"/>
  <c r="F17" i="6"/>
  <c r="G17" i="6"/>
  <c r="E19" i="6"/>
  <c r="F19" i="6"/>
  <c r="G19" i="6"/>
  <c r="E20" i="6"/>
  <c r="F20" i="6"/>
  <c r="G20" i="6"/>
  <c r="E22" i="6"/>
  <c r="F22" i="6"/>
  <c r="G22" i="6"/>
  <c r="E26" i="6"/>
  <c r="F26" i="6"/>
  <c r="G26" i="6"/>
  <c r="E27" i="6"/>
  <c r="F27" i="6"/>
  <c r="G27" i="6"/>
  <c r="E31" i="6"/>
  <c r="F31" i="6"/>
  <c r="G31" i="6"/>
  <c r="E32" i="6"/>
  <c r="F32" i="6"/>
  <c r="G32" i="6"/>
  <c r="E35" i="6"/>
  <c r="F35" i="6"/>
  <c r="G35" i="6"/>
  <c r="E39" i="6"/>
  <c r="F39" i="6"/>
  <c r="G39" i="6"/>
  <c r="G43" i="6"/>
  <c r="G44" i="6"/>
  <c r="E49" i="6"/>
  <c r="F49" i="6"/>
  <c r="G49" i="6"/>
  <c r="E50" i="6"/>
  <c r="F50" i="6"/>
  <c r="G50" i="6"/>
  <c r="E51" i="6"/>
  <c r="F51" i="6"/>
  <c r="G51" i="6"/>
  <c r="E52" i="6"/>
  <c r="F52" i="6"/>
  <c r="G52" i="6"/>
  <c r="G53" i="6"/>
  <c r="G54" i="6"/>
  <c r="G59" i="4"/>
  <c r="G5" i="4"/>
  <c r="F53" i="6"/>
  <c r="E53" i="6"/>
  <c r="E54" i="6"/>
  <c r="E62" i="4"/>
  <c r="E45" i="6" s="1"/>
  <c r="F44" i="6"/>
  <c r="E44" i="6"/>
  <c r="D44" i="6"/>
  <c r="C44" i="6"/>
  <c r="F43" i="6"/>
  <c r="E43" i="6"/>
  <c r="G45" i="4"/>
  <c r="E31" i="4"/>
  <c r="E6" i="6" s="1"/>
  <c r="D20" i="6"/>
  <c r="D14" i="4"/>
  <c r="O38" i="7"/>
  <c r="AC38" i="7"/>
  <c r="G37" i="5"/>
  <c r="C7" i="6"/>
  <c r="C8" i="6"/>
  <c r="C10" i="6"/>
  <c r="C19" i="6"/>
  <c r="C20" i="6"/>
  <c r="C22" i="6"/>
  <c r="C26" i="6"/>
  <c r="C27" i="6"/>
  <c r="C32" i="6"/>
  <c r="C39" i="6"/>
  <c r="C43" i="6"/>
  <c r="C45" i="6"/>
  <c r="C49" i="6"/>
  <c r="C50" i="6"/>
  <c r="C51" i="6"/>
  <c r="C52" i="6"/>
  <c r="C54" i="6"/>
  <c r="C55" i="6"/>
  <c r="C57" i="6"/>
  <c r="C31" i="4"/>
  <c r="C6" i="6" s="1"/>
  <c r="C17" i="6"/>
  <c r="C45" i="4"/>
  <c r="C42" i="4"/>
  <c r="C21" i="4"/>
  <c r="C38" i="6" s="1"/>
  <c r="C31" i="6"/>
  <c r="C14" i="4"/>
  <c r="C9" i="4"/>
  <c r="C5" i="4"/>
  <c r="E75" i="4"/>
  <c r="E55" i="6" s="1"/>
  <c r="F75" i="4"/>
  <c r="F55" i="6" s="1"/>
  <c r="G75" i="4"/>
  <c r="G55" i="6" s="1"/>
  <c r="D75" i="4"/>
  <c r="D55" i="6" s="1"/>
  <c r="D27" i="6"/>
  <c r="D26" i="6"/>
  <c r="D67" i="4"/>
  <c r="F67" i="4"/>
  <c r="F5" i="4"/>
  <c r="D22" i="6"/>
  <c r="D7" i="6"/>
  <c r="D8" i="6"/>
  <c r="D10" i="6"/>
  <c r="D17" i="6"/>
  <c r="D19" i="6"/>
  <c r="D31" i="6"/>
  <c r="D32" i="6"/>
  <c r="D39" i="6"/>
  <c r="D43" i="6"/>
  <c r="D49" i="6"/>
  <c r="D50" i="6"/>
  <c r="D51" i="6"/>
  <c r="D52" i="6"/>
  <c r="D54" i="6"/>
  <c r="G31" i="4"/>
  <c r="G6" i="6" s="1"/>
  <c r="O18" i="7" s="1"/>
  <c r="G32" i="4"/>
  <c r="G14" i="4"/>
  <c r="G9" i="4"/>
  <c r="G42" i="4"/>
  <c r="D31" i="4"/>
  <c r="D6" i="6" s="1"/>
  <c r="F31" i="4"/>
  <c r="F6" i="6" s="1"/>
  <c r="N18" i="7" s="1"/>
  <c r="D21" i="4"/>
  <c r="D38" i="6" s="1"/>
  <c r="E21" i="4"/>
  <c r="E38" i="6" s="1"/>
  <c r="F38" i="6"/>
  <c r="D9" i="4"/>
  <c r="F9" i="4"/>
  <c r="D5" i="4"/>
  <c r="E5" i="4"/>
  <c r="D35" i="6"/>
  <c r="C35" i="6"/>
  <c r="F45" i="4"/>
  <c r="D45" i="4"/>
  <c r="D32" i="4"/>
  <c r="F14" i="4"/>
  <c r="G62" i="4"/>
  <c r="G45" i="6" s="1"/>
  <c r="G78" i="4"/>
  <c r="D85" i="4"/>
  <c r="E85" i="4"/>
  <c r="F85" i="4"/>
  <c r="G85" i="4"/>
  <c r="E59" i="4"/>
  <c r="I57" i="6" l="1"/>
  <c r="E13" i="13"/>
  <c r="C50" i="12"/>
  <c r="L10" i="5"/>
  <c r="E6" i="13"/>
  <c r="K13" i="7"/>
  <c r="O10" i="7"/>
  <c r="O34" i="7" s="1"/>
  <c r="O11" i="7"/>
  <c r="O35" i="7" s="1"/>
  <c r="N11" i="7"/>
  <c r="N35" i="7" s="1"/>
  <c r="N10" i="7"/>
  <c r="N34" i="7" s="1"/>
  <c r="I17" i="7"/>
  <c r="C36" i="6"/>
  <c r="E17" i="7"/>
  <c r="F36" i="6"/>
  <c r="H17" i="7"/>
  <c r="E36" i="6"/>
  <c r="G17" i="7"/>
  <c r="D36" i="6"/>
  <c r="F17" i="7"/>
  <c r="S35" i="6"/>
  <c r="V50" i="5" s="1"/>
  <c r="O27" i="9"/>
  <c r="Q11" i="7"/>
  <c r="Q35" i="7" s="1"/>
  <c r="Y16" i="5"/>
  <c r="Q8" i="7"/>
  <c r="Q32" i="7" s="1"/>
  <c r="K41" i="5"/>
  <c r="L41" i="5"/>
  <c r="K40" i="5"/>
  <c r="L31" i="5"/>
  <c r="L40" i="5"/>
  <c r="K31" i="5"/>
  <c r="L32" i="5"/>
  <c r="K32" i="5"/>
  <c r="L42" i="5"/>
  <c r="K42" i="5"/>
  <c r="K33" i="5"/>
  <c r="L33" i="5"/>
  <c r="F10" i="7"/>
  <c r="F11" i="7"/>
  <c r="J32" i="5"/>
  <c r="I10" i="7"/>
  <c r="I11" i="7"/>
  <c r="P10" i="7"/>
  <c r="P34" i="7" s="1"/>
  <c r="P11" i="7"/>
  <c r="P35" i="7" s="1"/>
  <c r="H10" i="7"/>
  <c r="H11" i="7"/>
  <c r="AC34" i="7"/>
  <c r="AC35" i="7"/>
  <c r="G10" i="7"/>
  <c r="G11" i="7"/>
  <c r="J50" i="5"/>
  <c r="O37" i="7"/>
  <c r="G36" i="6"/>
  <c r="G27" i="4"/>
  <c r="AC42" i="7"/>
  <c r="G25" i="6"/>
  <c r="J42" i="5"/>
  <c r="E25" i="6"/>
  <c r="H24" i="7" s="1"/>
  <c r="F25" i="6"/>
  <c r="J41" i="5"/>
  <c r="G48" i="6"/>
  <c r="E42" i="6"/>
  <c r="E48" i="6"/>
  <c r="E46" i="6"/>
  <c r="F78" i="4"/>
  <c r="F54" i="6"/>
  <c r="F48" i="6" s="1"/>
  <c r="G42" i="6"/>
  <c r="C16" i="6"/>
  <c r="C13" i="6" s="1"/>
  <c r="D42" i="4"/>
  <c r="G16" i="6"/>
  <c r="G13" i="6" s="1"/>
  <c r="J33" i="5"/>
  <c r="G33" i="5"/>
  <c r="H32" i="5"/>
  <c r="J31" i="5"/>
  <c r="J47" i="5"/>
  <c r="E30" i="6"/>
  <c r="F50" i="5"/>
  <c r="F30" i="6"/>
  <c r="G30" i="6"/>
  <c r="J16" i="5"/>
  <c r="J40" i="5"/>
  <c r="G46" i="6"/>
  <c r="F46" i="6"/>
  <c r="D59" i="4"/>
  <c r="D53" i="6"/>
  <c r="D48" i="6" s="1"/>
  <c r="C53" i="6"/>
  <c r="C48" i="6" s="1"/>
  <c r="H33" i="5"/>
  <c r="E78" i="4"/>
  <c r="O42" i="7"/>
  <c r="C32" i="4"/>
  <c r="C39" i="4" s="1"/>
  <c r="H50" i="5"/>
  <c r="D78" i="4"/>
  <c r="C59" i="4"/>
  <c r="C58" i="4" s="1"/>
  <c r="F62" i="4"/>
  <c r="F45" i="6" s="1"/>
  <c r="F42" i="6" s="1"/>
  <c r="C50" i="4"/>
  <c r="E9" i="4"/>
  <c r="E14" i="4"/>
  <c r="E32" i="4"/>
  <c r="E39" i="4" s="1"/>
  <c r="D39" i="4"/>
  <c r="G39" i="4"/>
  <c r="G16" i="5"/>
  <c r="D30" i="6"/>
  <c r="D25" i="6"/>
  <c r="G19" i="5" s="1"/>
  <c r="D62" i="4"/>
  <c r="D45" i="6" s="1"/>
  <c r="D42" i="6" s="1"/>
  <c r="E24" i="7"/>
  <c r="P18" i="7"/>
  <c r="P42" i="7" s="1"/>
  <c r="N42" i="7"/>
  <c r="C25" i="6"/>
  <c r="F19" i="5" s="1"/>
  <c r="I50" i="5"/>
  <c r="C42" i="6"/>
  <c r="G67" i="4"/>
  <c r="E67" i="4"/>
  <c r="G58" i="4"/>
  <c r="F59" i="4"/>
  <c r="G50" i="4"/>
  <c r="I18" i="7"/>
  <c r="I42" i="5"/>
  <c r="G50" i="5"/>
  <c r="D46" i="6"/>
  <c r="H42" i="5"/>
  <c r="E58" i="4"/>
  <c r="F18" i="7"/>
  <c r="G47" i="5"/>
  <c r="E11" i="7"/>
  <c r="C30" i="6"/>
  <c r="F16" i="5"/>
  <c r="E10" i="7"/>
  <c r="C46" i="6"/>
  <c r="I16" i="5"/>
  <c r="F47" i="5"/>
  <c r="I47" i="5"/>
  <c r="I41" i="5"/>
  <c r="G42" i="5"/>
  <c r="C27" i="4"/>
  <c r="C5" i="6" s="1"/>
  <c r="P37" i="7"/>
  <c r="D27" i="4"/>
  <c r="F32" i="4"/>
  <c r="F39" i="4" s="1"/>
  <c r="H40" i="5"/>
  <c r="G18" i="7"/>
  <c r="G32" i="5"/>
  <c r="E18" i="7"/>
  <c r="G40" i="5"/>
  <c r="G31" i="5"/>
  <c r="H41" i="5"/>
  <c r="H31" i="5"/>
  <c r="I31" i="5"/>
  <c r="I33" i="5"/>
  <c r="I32" i="5"/>
  <c r="I40" i="5"/>
  <c r="G41" i="5"/>
  <c r="F27" i="4"/>
  <c r="H18" i="7"/>
  <c r="I24" i="7" l="1"/>
  <c r="N24" i="7"/>
  <c r="O24" i="7"/>
  <c r="J19" i="5"/>
  <c r="J24" i="7"/>
  <c r="L44" i="5"/>
  <c r="K44" i="5"/>
  <c r="L34" i="5"/>
  <c r="K34" i="5"/>
  <c r="L36" i="5"/>
  <c r="K36" i="5"/>
  <c r="E13" i="7"/>
  <c r="E15" i="7"/>
  <c r="H19" i="5"/>
  <c r="D58" i="4"/>
  <c r="D74" i="4" s="1"/>
  <c r="G14" i="7" s="1"/>
  <c r="O41" i="7"/>
  <c r="E74" i="4"/>
  <c r="H14" i="7" s="1"/>
  <c r="O80" i="7"/>
  <c r="O74" i="7" s="1"/>
  <c r="P24" i="7"/>
  <c r="G14" i="6"/>
  <c r="D5" i="6"/>
  <c r="G27" i="5" s="1"/>
  <c r="AC80" i="7"/>
  <c r="AC74" i="7" s="1"/>
  <c r="J34" i="5"/>
  <c r="H34" i="5"/>
  <c r="J44" i="5"/>
  <c r="J36" i="5"/>
  <c r="D16" i="6"/>
  <c r="D13" i="6" s="1"/>
  <c r="E42" i="4"/>
  <c r="D50" i="4"/>
  <c r="D51" i="4" s="1"/>
  <c r="D53" i="4" s="1"/>
  <c r="C51" i="4"/>
  <c r="C53" i="4" s="1"/>
  <c r="E27" i="4"/>
  <c r="F24" i="7"/>
  <c r="G24" i="7"/>
  <c r="C14" i="6"/>
  <c r="F20" i="7"/>
  <c r="H20" i="7"/>
  <c r="F5" i="6"/>
  <c r="G74" i="4"/>
  <c r="G51" i="4"/>
  <c r="H16" i="5"/>
  <c r="P41" i="7"/>
  <c r="F58" i="4"/>
  <c r="F74" i="4" s="1"/>
  <c r="F84" i="4" s="1"/>
  <c r="F88" i="4" s="1"/>
  <c r="F90" i="4" s="1"/>
  <c r="F92" i="4" s="1"/>
  <c r="H47" i="5"/>
  <c r="I19" i="5"/>
  <c r="H44" i="5"/>
  <c r="E20" i="7"/>
  <c r="E45" i="4"/>
  <c r="G36" i="5"/>
  <c r="N80" i="7"/>
  <c r="N74" i="7" s="1"/>
  <c r="E22" i="7"/>
  <c r="AC41" i="7"/>
  <c r="AC37" i="7"/>
  <c r="G44" i="5"/>
  <c r="G34" i="5"/>
  <c r="N37" i="7"/>
  <c r="N41" i="7"/>
  <c r="H36" i="5"/>
  <c r="I36" i="5"/>
  <c r="I34" i="5"/>
  <c r="I44" i="5"/>
  <c r="P80" i="7"/>
  <c r="P74" i="7" s="1"/>
  <c r="F25" i="7"/>
  <c r="F21" i="5"/>
  <c r="F14" i="5"/>
  <c r="F15" i="5"/>
  <c r="E19" i="7"/>
  <c r="F24" i="5"/>
  <c r="F25" i="5"/>
  <c r="F26" i="5"/>
  <c r="F27" i="5"/>
  <c r="F9" i="5"/>
  <c r="F22" i="7"/>
  <c r="F7" i="7" l="1"/>
  <c r="D14" i="6"/>
  <c r="F6" i="7" s="1"/>
  <c r="F20" i="5"/>
  <c r="E7" i="7"/>
  <c r="O23" i="7"/>
  <c r="O48" i="7" s="1"/>
  <c r="I7" i="7"/>
  <c r="O7" i="7"/>
  <c r="O31" i="7" s="1"/>
  <c r="J14" i="7"/>
  <c r="N14" i="7"/>
  <c r="N38" i="7" s="1"/>
  <c r="N22" i="7"/>
  <c r="N46" i="7" s="1"/>
  <c r="N19" i="7"/>
  <c r="N25" i="7"/>
  <c r="N49" i="7" s="1"/>
  <c r="J23" i="7"/>
  <c r="O4" i="7"/>
  <c r="O28" i="7" s="1"/>
  <c r="E84" i="4"/>
  <c r="E88" i="4" s="1"/>
  <c r="E90" i="4" s="1"/>
  <c r="E92" i="4" s="1"/>
  <c r="E57" i="6" s="1"/>
  <c r="G24" i="5"/>
  <c r="L35" i="5"/>
  <c r="K35" i="5"/>
  <c r="G43" i="5"/>
  <c r="G14" i="5"/>
  <c r="J6" i="5"/>
  <c r="I4" i="7"/>
  <c r="F57" i="6"/>
  <c r="D84" i="4"/>
  <c r="D88" i="4" s="1"/>
  <c r="D90" i="4" s="1"/>
  <c r="D92" i="4" s="1"/>
  <c r="P4" i="7"/>
  <c r="P28" i="7" s="1"/>
  <c r="I14" i="7"/>
  <c r="F15" i="7"/>
  <c r="G84" i="4"/>
  <c r="G88" i="4" s="1"/>
  <c r="G90" i="4" s="1"/>
  <c r="G92" i="4" s="1"/>
  <c r="F4" i="7"/>
  <c r="F5" i="7"/>
  <c r="F8" i="7"/>
  <c r="G26" i="5"/>
  <c r="G25" i="7"/>
  <c r="J8" i="5"/>
  <c r="G25" i="5"/>
  <c r="G21" i="5"/>
  <c r="J20" i="5"/>
  <c r="G15" i="5"/>
  <c r="F19" i="7"/>
  <c r="G22" i="7"/>
  <c r="G30" i="5"/>
  <c r="G9" i="5"/>
  <c r="P23" i="7"/>
  <c r="P48" i="7" s="1"/>
  <c r="E5" i="6"/>
  <c r="G15" i="7" s="1"/>
  <c r="E23" i="7"/>
  <c r="G23" i="7"/>
  <c r="E4" i="7"/>
  <c r="E5" i="7"/>
  <c r="F42" i="4"/>
  <c r="E16" i="6"/>
  <c r="E13" i="6" s="1"/>
  <c r="E50" i="4"/>
  <c r="E51" i="4" s="1"/>
  <c r="E53" i="4" s="1"/>
  <c r="G7" i="5"/>
  <c r="F6" i="5"/>
  <c r="G6" i="5"/>
  <c r="G20" i="5"/>
  <c r="G8" i="5"/>
  <c r="G20" i="7"/>
  <c r="E8" i="7"/>
  <c r="F8" i="5"/>
  <c r="F7" i="5"/>
  <c r="F10" i="5"/>
  <c r="F23" i="7"/>
  <c r="G35" i="5"/>
  <c r="E25" i="7"/>
  <c r="AC47" i="7"/>
  <c r="I25" i="5"/>
  <c r="I9" i="5"/>
  <c r="I14" i="5"/>
  <c r="I15" i="5"/>
  <c r="I24" i="5"/>
  <c r="I25" i="7"/>
  <c r="I22" i="7"/>
  <c r="H19" i="7"/>
  <c r="I27" i="5"/>
  <c r="I26" i="5"/>
  <c r="I21" i="5"/>
  <c r="G7" i="7" l="1"/>
  <c r="E14" i="6"/>
  <c r="G6" i="7" s="1"/>
  <c r="O47" i="7"/>
  <c r="H13" i="7"/>
  <c r="G57" i="6"/>
  <c r="G10" i="5"/>
  <c r="G4" i="7"/>
  <c r="G5" i="7"/>
  <c r="G8" i="7"/>
  <c r="D57" i="6"/>
  <c r="F13" i="7"/>
  <c r="H15" i="7"/>
  <c r="H43" i="5"/>
  <c r="H30" i="5"/>
  <c r="I43" i="5"/>
  <c r="P47" i="7"/>
  <c r="H26" i="5"/>
  <c r="H24" i="5"/>
  <c r="G13" i="7"/>
  <c r="H14" i="5"/>
  <c r="H25" i="7"/>
  <c r="H9" i="5"/>
  <c r="I30" i="5"/>
  <c r="H22" i="7"/>
  <c r="H15" i="5"/>
  <c r="G19" i="7"/>
  <c r="H25" i="5"/>
  <c r="H27" i="5"/>
  <c r="H21" i="5"/>
  <c r="AC48" i="7"/>
  <c r="H8" i="5"/>
  <c r="H6" i="5"/>
  <c r="H23" i="7"/>
  <c r="H35" i="5"/>
  <c r="F16" i="6"/>
  <c r="F50" i="4"/>
  <c r="F51" i="4" s="1"/>
  <c r="F53" i="4" s="1"/>
  <c r="H20" i="5"/>
  <c r="H7" i="5"/>
  <c r="E6" i="7"/>
  <c r="F13" i="6" l="1"/>
  <c r="F14" i="6" s="1"/>
  <c r="H6" i="7" s="1"/>
  <c r="H7" i="7"/>
  <c r="N7" i="7"/>
  <c r="N31" i="7" s="1"/>
  <c r="N4" i="7"/>
  <c r="N28" i="7" s="1"/>
  <c r="N5" i="7"/>
  <c r="N29" i="7" s="1"/>
  <c r="N8" i="7"/>
  <c r="N32" i="7" s="1"/>
  <c r="N23" i="7"/>
  <c r="H4" i="7"/>
  <c r="H5" i="7"/>
  <c r="H8" i="7"/>
  <c r="H10" i="5"/>
  <c r="I23" i="7"/>
  <c r="J35" i="5"/>
  <c r="I8" i="5"/>
  <c r="I20" i="5"/>
  <c r="I7" i="5"/>
  <c r="I6" i="5"/>
  <c r="I35" i="5"/>
  <c r="N48" i="7" l="1"/>
  <c r="N47" i="7"/>
  <c r="I10" i="5"/>
  <c r="N83" i="7" l="1"/>
  <c r="N77" i="7" s="1"/>
  <c r="G38" i="6"/>
  <c r="AC44" i="7"/>
  <c r="P20" i="7"/>
  <c r="P44" i="7" s="1"/>
  <c r="G5" i="6"/>
  <c r="I6" i="7" s="1"/>
  <c r="O25" i="7" l="1"/>
  <c r="O22" i="7"/>
  <c r="O15" i="7"/>
  <c r="O13" i="7"/>
  <c r="O19" i="7"/>
  <c r="O8" i="7"/>
  <c r="O32" i="7" s="1"/>
  <c r="N15" i="7"/>
  <c r="O5" i="7"/>
  <c r="O29" i="7" s="1"/>
  <c r="N13" i="7"/>
  <c r="J25" i="7"/>
  <c r="J22" i="7"/>
  <c r="K30" i="5"/>
  <c r="J13" i="7"/>
  <c r="K43" i="5"/>
  <c r="J15" i="7"/>
  <c r="L30" i="5"/>
  <c r="L43" i="5"/>
  <c r="I15" i="7"/>
  <c r="I8" i="7"/>
  <c r="I5" i="7"/>
  <c r="I13" i="7"/>
  <c r="P8" i="7"/>
  <c r="P32" i="7" s="1"/>
  <c r="P5" i="7"/>
  <c r="P29" i="7" s="1"/>
  <c r="AC39" i="7"/>
  <c r="AC81" i="7" s="1"/>
  <c r="AC75" i="7" s="1"/>
  <c r="P19" i="7"/>
  <c r="P43" i="7" s="1"/>
  <c r="P82" i="7" s="1"/>
  <c r="P76" i="7" s="1"/>
  <c r="AC49" i="7"/>
  <c r="J7" i="5"/>
  <c r="J25" i="5"/>
  <c r="J30" i="5"/>
  <c r="J9" i="5"/>
  <c r="J10" i="5"/>
  <c r="J21" i="5"/>
  <c r="J26" i="5"/>
  <c r="J27" i="5"/>
  <c r="I19" i="7"/>
  <c r="J43" i="5"/>
  <c r="J24" i="5"/>
  <c r="J15" i="5"/>
  <c r="J14" i="5"/>
  <c r="N44" i="7"/>
  <c r="G53" i="4"/>
  <c r="I20" i="7"/>
  <c r="O44" i="7"/>
  <c r="AC46" i="7"/>
  <c r="P15" i="7"/>
  <c r="AC43" i="7"/>
  <c r="P13" i="7" l="1"/>
  <c r="N39" i="7"/>
  <c r="N81" i="7" s="1"/>
  <c r="N75" i="7" s="1"/>
  <c r="O39" i="7"/>
  <c r="O81" i="7" s="1"/>
  <c r="O75" i="7" s="1"/>
  <c r="AC82" i="7"/>
  <c r="AC76" i="7" s="1"/>
  <c r="P39" i="7"/>
  <c r="P81" i="7" s="1"/>
  <c r="P75" i="7" s="1"/>
  <c r="O43" i="7"/>
  <c r="P22" i="7"/>
  <c r="P46" i="7" s="1"/>
  <c r="P25" i="7"/>
  <c r="P49" i="7" s="1"/>
  <c r="AC83" i="7"/>
  <c r="AC77" i="7" s="1"/>
  <c r="O49" i="7"/>
  <c r="O46" i="7"/>
  <c r="N43" i="7"/>
  <c r="P79" i="7"/>
  <c r="AC79" i="7"/>
  <c r="AC85" i="7" l="1"/>
  <c r="AC88" i="7" s="1"/>
  <c r="N82" i="7"/>
  <c r="N76" i="7" s="1"/>
  <c r="N79" i="7"/>
  <c r="P83" i="7"/>
  <c r="P77" i="7" s="1"/>
  <c r="O79" i="7"/>
  <c r="P73" i="7"/>
  <c r="O83" i="7"/>
  <c r="O77" i="7" s="1"/>
  <c r="AC73" i="7"/>
  <c r="O82" i="7"/>
  <c r="O76" i="7" s="1"/>
  <c r="O85" i="7" l="1"/>
  <c r="O88" i="7" s="1"/>
  <c r="P85" i="7"/>
  <c r="P88" i="7" s="1"/>
  <c r="O73" i="7"/>
  <c r="P86" i="7"/>
  <c r="P87" i="7" s="1"/>
  <c r="AC86" i="7"/>
  <c r="AC87" i="7" s="1"/>
  <c r="N85" i="7"/>
  <c r="N88" i="7" s="1"/>
  <c r="N73" i="7"/>
  <c r="N86" i="7" l="1"/>
  <c r="N87" i="7" s="1"/>
  <c r="O86" i="7"/>
  <c r="O87" i="7" s="1"/>
  <c r="BN22" i="6" l="1"/>
  <c r="BN52" i="6"/>
  <c r="BN49" i="6"/>
  <c r="BP40" i="5" s="1"/>
  <c r="BN54" i="6"/>
  <c r="BN51" i="6"/>
  <c r="BN55" i="6"/>
  <c r="BN50" i="6"/>
  <c r="BP41" i="5" s="1"/>
  <c r="BN53" i="6"/>
  <c r="BN84" i="4" l="1"/>
  <c r="BN88" i="4" s="1"/>
  <c r="BN90" i="4" s="1"/>
  <c r="BN92" i="4" s="1"/>
  <c r="BH13" i="7" s="1"/>
  <c r="BP43" i="5"/>
  <c r="BN48" i="6"/>
  <c r="BN45" i="6"/>
  <c r="BN42" i="6" s="1"/>
  <c r="CL36" i="5" s="1"/>
  <c r="BO54" i="6"/>
  <c r="BO52" i="6"/>
  <c r="BO55" i="6"/>
  <c r="BO22" i="6"/>
  <c r="BO49" i="6"/>
  <c r="BQ40" i="5" s="1"/>
  <c r="BO50" i="6"/>
  <c r="BQ41" i="5" s="1"/>
  <c r="BO51" i="6"/>
  <c r="BO53" i="6"/>
  <c r="BP36" i="5" l="1"/>
  <c r="BO84" i="4"/>
  <c r="BO88" i="4" s="1"/>
  <c r="BO90" i="4" s="1"/>
  <c r="BO92" i="4" s="1"/>
  <c r="BI13" i="7" s="1"/>
  <c r="BH14" i="7"/>
  <c r="BQ43" i="5"/>
  <c r="BO48" i="6"/>
  <c r="BO45" i="6"/>
  <c r="BO42" i="6" s="1"/>
  <c r="BQ36" i="5" l="1"/>
  <c r="CM36" i="5"/>
  <c r="BI1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sasra</author>
  </authors>
  <commentList>
    <comment ref="F4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NB:</t>
        </r>
        <r>
          <rPr>
            <sz val="9"/>
            <color indexed="81"/>
            <rFont val="Tahoma"/>
            <family val="2"/>
          </rPr>
          <t xml:space="preserve">
Inclusive of loan protection fund of kshs 4463102 approved by AGM min 10/31/3/2012
</t>
        </r>
      </text>
    </comment>
  </commentList>
</comments>
</file>

<file path=xl/sharedStrings.xml><?xml version="1.0" encoding="utf-8"?>
<sst xmlns="http://schemas.openxmlformats.org/spreadsheetml/2006/main" count="1115" uniqueCount="502">
  <si>
    <t>Nyahururu Umoja(VICTAS)</t>
  </si>
  <si>
    <t>Audited Accounts</t>
  </si>
  <si>
    <t>AUDITED STATEMENTS</t>
  </si>
  <si>
    <t>Audited 2014</t>
  </si>
  <si>
    <t>Jan-15</t>
  </si>
  <si>
    <t>Feb-15</t>
  </si>
  <si>
    <t>Mar-15</t>
  </si>
  <si>
    <t>Apr-15</t>
  </si>
  <si>
    <t>2015 Rev.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</si>
  <si>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</si>
  <si>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</si>
  <si>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</si>
  <si>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</si>
  <si>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</si>
  <si>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</si>
  <si>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</si>
  <si>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</si>
  <si>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Sept-16</t>
  </si>
  <si>
    <t>Oct-16</t>
  </si>
  <si>
    <t>Nov-16</t>
  </si>
  <si>
    <t>Dec-16</t>
  </si>
  <si>
    <t>Aud-2016</t>
  </si>
  <si>
    <t>Jan-2017</t>
  </si>
  <si>
    <t>Feb-2017</t>
  </si>
  <si>
    <t>March-2017</t>
  </si>
  <si>
    <t>Apr-2017</t>
  </si>
  <si>
    <t>May-2017</t>
  </si>
  <si>
    <t>June-2017</t>
  </si>
  <si>
    <t>July-2017</t>
  </si>
  <si>
    <t>Audited 2017</t>
  </si>
  <si>
    <t>Audited-2018</t>
  </si>
  <si>
    <t>Audited-2019</t>
  </si>
  <si>
    <t>Audited 2020</t>
  </si>
  <si>
    <t>Audited-2021</t>
  </si>
  <si>
    <t>Audited-22</t>
  </si>
  <si>
    <t>Cash and Cash Equivalent</t>
  </si>
  <si>
    <t>Cash in Hand</t>
  </si>
  <si>
    <t>Cash at Bank</t>
  </si>
  <si>
    <t>Prepayments and Sundry Receivables</t>
  </si>
  <si>
    <t>Financial Investments</t>
  </si>
  <si>
    <t>Government Securities</t>
  </si>
  <si>
    <t>Other Securities</t>
  </si>
  <si>
    <t>Balances with other SACCO Societies</t>
  </si>
  <si>
    <t>`</t>
  </si>
  <si>
    <t>Investments in companies</t>
  </si>
  <si>
    <t>Net Loan Portfolio</t>
  </si>
  <si>
    <t>Gross Loan Portfolio</t>
  </si>
  <si>
    <t>Allowance for Loan Loss</t>
  </si>
  <si>
    <t>Account Receivables</t>
  </si>
  <si>
    <t>Tax Recoverable</t>
  </si>
  <si>
    <t>Deferred Tax Assets</t>
  </si>
  <si>
    <t>Retirement Benefit Assets</t>
  </si>
  <si>
    <t>Property and Equipment and 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</si>
  <si>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</si>
  <si>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</si>
  <si>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</si>
  <si>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</si>
  <si>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</si>
  <si>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</si>
  <si>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Deposits</t>
  </si>
  <si>
    <t>Short Term Deposits</t>
  </si>
  <si>
    <t>Non withdrawable Deposits</t>
  </si>
  <si>
    <t>Total Deposit Liabilities</t>
  </si>
  <si>
    <t>Accounts Payable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</si>
  <si>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</si>
  <si>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</si>
  <si>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</si>
  <si>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</si>
  <si>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</si>
  <si>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</si>
  <si>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</si>
  <si>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Share Capital</t>
  </si>
  <si>
    <t>Capital Grants</t>
  </si>
  <si>
    <t>Retained Earnings</t>
  </si>
  <si>
    <t>Prior Year Retained Earnings</t>
  </si>
  <si>
    <t>Current Year Surplus</t>
  </si>
  <si>
    <t>Other Equity Accounts</t>
  </si>
  <si>
    <t>Statutory Reserve</t>
  </si>
  <si>
    <t>Other Reserves</t>
  </si>
  <si>
    <t>Revaluation Reserves</t>
  </si>
  <si>
    <t>Dividend Proposed</t>
  </si>
  <si>
    <t>Total Equity</t>
  </si>
  <si>
    <t>Total Liabilities and Equity</t>
  </si>
  <si>
    <t>dfc loan loss</t>
  </si>
  <si>
    <t>Suspense  (Balancing Figure capital side)</t>
  </si>
  <si>
    <t>Adjustment to Equity</t>
  </si>
  <si>
    <t>Sacco Name</t>
  </si>
  <si>
    <t>AUDITED YEAR TO</t>
  </si>
  <si>
    <t>Audited 2021</t>
  </si>
  <si>
    <t>Audited 2022</t>
  </si>
  <si>
    <t>Audited 2023</t>
  </si>
  <si>
    <t>Audited 2024</t>
  </si>
  <si>
    <t>Audited 2025</t>
  </si>
  <si>
    <t>Audited 2026</t>
  </si>
  <si>
    <t>Audited 2027</t>
  </si>
  <si>
    <t>Audited 2028</t>
  </si>
  <si>
    <t>Audited 2029</t>
  </si>
  <si>
    <t>Audited 2030</t>
  </si>
  <si>
    <t>Audited 2031</t>
  </si>
  <si>
    <t>Audited 2032</t>
  </si>
  <si>
    <t>Audited 2033</t>
  </si>
  <si>
    <t>Aud-22</t>
  </si>
  <si>
    <t>Financial Income</t>
  </si>
  <si>
    <t>Financial Income from Loans Portfolio</t>
  </si>
  <si>
    <t>Interest on Loan Portfolio</t>
  </si>
  <si>
    <t>Fees and Commission on Loan Portfolio</t>
  </si>
  <si>
    <t>Financial Income From Investments</t>
  </si>
  <si>
    <t>Deposits with Banks and other Financial Institutions</t>
  </si>
  <si>
    <t>Other Investments</t>
  </si>
  <si>
    <t>Other Operating Income</t>
  </si>
  <si>
    <t>Financial Expense</t>
  </si>
  <si>
    <t>Interest Expense on Deposits</t>
  </si>
  <si>
    <t>Cost of External Borrowings</t>
  </si>
  <si>
    <t>Dividend Expenses</t>
  </si>
  <si>
    <t>Other Financial Expense</t>
  </si>
  <si>
    <t>Fees and Commission Expense</t>
  </si>
  <si>
    <t>Other Expense</t>
  </si>
  <si>
    <t>Net Financial Income</t>
  </si>
  <si>
    <t>Allowance For Loan Loss</t>
  </si>
  <si>
    <t>Provsion for Loan Losses</t>
  </si>
  <si>
    <t>Value of Loans Recovered</t>
  </si>
  <si>
    <t>Operating Expenses</t>
  </si>
  <si>
    <t>Personnel Expenses</t>
  </si>
  <si>
    <t>Governance Expenses</t>
  </si>
  <si>
    <t>Marketing Expenses</t>
  </si>
  <si>
    <t>Depreciation and Amortization Charges</t>
  </si>
  <si>
    <t>Administrative Expenses</t>
  </si>
  <si>
    <t>Net Operating Income</t>
  </si>
  <si>
    <t>Net Non Operating Income</t>
  </si>
  <si>
    <t>Non Operating Income</t>
  </si>
  <si>
    <t>Non Operating Expense</t>
  </si>
  <si>
    <t>Net Income before tax</t>
  </si>
  <si>
    <t>Taxes</t>
  </si>
  <si>
    <t>Net Income After Tax Before Donations</t>
  </si>
  <si>
    <t>Donations</t>
  </si>
  <si>
    <t>Net Income</t>
  </si>
  <si>
    <t>NYAHURURU UMOJA (VICTAS)</t>
  </si>
  <si>
    <t>Year</t>
  </si>
  <si>
    <t>Aud-16</t>
  </si>
  <si>
    <t>Mar-2017</t>
  </si>
  <si>
    <t>Aud-17</t>
  </si>
  <si>
    <t>Audited 2018</t>
  </si>
  <si>
    <t>Membership</t>
  </si>
  <si>
    <t>Total Deposits</t>
  </si>
  <si>
    <t>Deposits-Members(BOSA)</t>
  </si>
  <si>
    <t>Deposits-Customers(FOSA)</t>
  </si>
  <si>
    <t xml:space="preserve">External Borrowing </t>
  </si>
  <si>
    <t>Short term Liabilities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</si>
  <si>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</si>
  <si>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</si>
  <si>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</si>
  <si>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</si>
  <si>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</si>
  <si>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</si>
  <si>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5.3.3</t>
  </si>
  <si>
    <t>5.3.5</t>
  </si>
  <si>
    <t>Statutory Reserves</t>
  </si>
  <si>
    <t>5.3.6</t>
  </si>
  <si>
    <t>Capital Reserve</t>
  </si>
  <si>
    <t>5.3.7</t>
  </si>
  <si>
    <t>Supplementary Capital &amp; reserves</t>
  </si>
  <si>
    <t>a</t>
  </si>
  <si>
    <t>Proposed Dividends</t>
  </si>
  <si>
    <t>b</t>
  </si>
  <si>
    <t>Investments</t>
  </si>
  <si>
    <t>Investments in Coop bank, CIC, Kuscco, Kerussu &amp; Codic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</si>
  <si>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</si>
  <si>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</si>
  <si>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</si>
  <si>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</si>
  <si>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</si>
  <si>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 Performing Loans (A/L NPL30</t>
  </si>
  <si>
    <t>Non Performing Loans NPL30</t>
  </si>
  <si>
    <t>Required loan loss provision</t>
  </si>
  <si>
    <t>Cash and Cash equipments</t>
  </si>
  <si>
    <t>Non-Earning Assets</t>
  </si>
  <si>
    <t>Land and Building</t>
  </si>
  <si>
    <t>Turnover</t>
  </si>
  <si>
    <t>Loan Interest</t>
  </si>
  <si>
    <t>Income from investments</t>
  </si>
  <si>
    <t>Fees &amp; Commissions</t>
  </si>
  <si>
    <t>Average yield on loans</t>
  </si>
  <si>
    <t>Total Expenses (FinCosts + OpEx)</t>
  </si>
  <si>
    <t>Financial Exp. (Interest on deposits)</t>
  </si>
  <si>
    <t>Financial Exp. (Dividends)</t>
  </si>
  <si>
    <t>Financial Exp. (Interest on bank loans)</t>
  </si>
  <si>
    <t>Other Financial Expenses</t>
  </si>
  <si>
    <t>LLP</t>
  </si>
  <si>
    <t>Net Surplus</t>
  </si>
  <si>
    <t>VIKTAS  SACCO SOCIETY LTD</t>
  </si>
  <si>
    <t xml:space="preserve">Financial Performance </t>
  </si>
  <si>
    <t>FINANCIAL SOUNDNESS INDICATORS</t>
  </si>
  <si>
    <t>Prude.  Std</t>
  </si>
  <si>
    <t>Ref. #</t>
  </si>
  <si>
    <t>Jan -2017</t>
  </si>
  <si>
    <t>Aud -2017</t>
  </si>
  <si>
    <t>CAPITAL ADEQUACY REQUIREMENTS</t>
  </si>
  <si>
    <t xml:space="preserve">Core capital </t>
  </si>
  <si>
    <t>≥ Ksh.10M</t>
  </si>
  <si>
    <t>9.a</t>
  </si>
  <si>
    <t>Core capital /Total Assets</t>
  </si>
  <si>
    <t>≥ 10%</t>
  </si>
  <si>
    <t>9.b</t>
  </si>
  <si>
    <t>Core capital /Total Deposits</t>
  </si>
  <si>
    <t>≥ 8%</t>
  </si>
  <si>
    <t>9.d</t>
  </si>
  <si>
    <t>Share Capital/Total Assets</t>
  </si>
  <si>
    <t>≤2%</t>
  </si>
  <si>
    <t>9.c</t>
  </si>
  <si>
    <t>Institutional Capital/Total Assets</t>
  </si>
  <si>
    <t>ASSET MIX AND QUALITY</t>
  </si>
  <si>
    <t>Non Earning Assets</t>
  </si>
  <si>
    <t>2.1.1</t>
  </si>
  <si>
    <t>Non earning Assets/Total assets</t>
  </si>
  <si>
    <t>≤ 10%</t>
  </si>
  <si>
    <t>2.1.2</t>
  </si>
  <si>
    <t xml:space="preserve">Property and Equipment/Total Assets </t>
  </si>
  <si>
    <t>≤ 5%</t>
  </si>
  <si>
    <t>2.1.3</t>
  </si>
  <si>
    <t xml:space="preserve">Non Performing loans/Gross Loans </t>
  </si>
  <si>
    <t>≤ 6%</t>
  </si>
  <si>
    <t>Earning Assets</t>
  </si>
  <si>
    <t>2.2.1</t>
  </si>
  <si>
    <t>Equities &amp; Investments/Deposits</t>
  </si>
  <si>
    <t>2.2.2</t>
  </si>
  <si>
    <t>Equities &amp; Investments/Core Capital</t>
  </si>
  <si>
    <t>≤ 40%</t>
  </si>
  <si>
    <t>2.2.3</t>
  </si>
  <si>
    <t>Net Loans &amp; advances /Total assets</t>
  </si>
  <si>
    <t>NPR</t>
  </si>
  <si>
    <t>FUNDING MIX</t>
  </si>
  <si>
    <t>Total Deposits/Total Assets</t>
  </si>
  <si>
    <t>3.1.1</t>
  </si>
  <si>
    <t>BOSA Deposits/Total Assets</t>
  </si>
  <si>
    <t>3.1.2</t>
  </si>
  <si>
    <t>FOSA Deposits/Total Assets</t>
  </si>
  <si>
    <t>External Borrowing/Total assets</t>
  </si>
  <si>
    <t>≤ 25%</t>
  </si>
  <si>
    <t>GROWTH RATIOS</t>
  </si>
  <si>
    <t>4.2.1</t>
  </si>
  <si>
    <t>FOSA Deposits</t>
  </si>
  <si>
    <t>4.2.2</t>
  </si>
  <si>
    <t>BOSA Deposits</t>
  </si>
  <si>
    <t>Core capital</t>
  </si>
  <si>
    <t>Total Gross Income</t>
  </si>
  <si>
    <t xml:space="preserve">Efficiency Ratios </t>
  </si>
  <si>
    <t>FinCost-Deposits/Average Deposits</t>
  </si>
  <si>
    <t>FinCost-Shares/Average Share capital</t>
  </si>
  <si>
    <t>FinCost-Ext Loans/Average Ext Loans</t>
  </si>
  <si>
    <t>OpEx/Average Total Assets</t>
  </si>
  <si>
    <t xml:space="preserve">Avge yield on Net loans </t>
  </si>
  <si>
    <t>Liquidity Ratio</t>
  </si>
  <si>
    <t xml:space="preserve">Liquid Assets - ST Liabilities/ Deposits </t>
  </si>
  <si>
    <t>Loan Loss Provisions Ratios</t>
  </si>
  <si>
    <t>Actual LLP / Required LLP</t>
  </si>
  <si>
    <t>NYAHURURU UMOJA CAELs</t>
  </si>
  <si>
    <t>Audited 19</t>
  </si>
  <si>
    <t>Audited-20</t>
  </si>
  <si>
    <t>AUDITED-21</t>
  </si>
  <si>
    <t>audited 22</t>
  </si>
  <si>
    <t>INDICATORS</t>
  </si>
  <si>
    <t>CAPITAL ADEQUACY</t>
  </si>
  <si>
    <t>CORE CAPITAL</t>
  </si>
  <si>
    <t>10M</t>
  </si>
  <si>
    <t>CCA</t>
  </si>
  <si>
    <t>Min 10%</t>
  </si>
  <si>
    <t>ICA</t>
  </si>
  <si>
    <t>Min 8%</t>
  </si>
  <si>
    <t>CCD</t>
  </si>
  <si>
    <t>Adjusted CCA</t>
  </si>
  <si>
    <t>ASSET QUALITY</t>
  </si>
  <si>
    <t>NPL30</t>
  </si>
  <si>
    <t>A/L NPL30</t>
  </si>
  <si>
    <t>EARNINGS</t>
  </si>
  <si>
    <t>ROA</t>
  </si>
  <si>
    <t>C/I ratio</t>
  </si>
  <si>
    <t>OE ratio</t>
  </si>
  <si>
    <t>LIQUIDITY</t>
  </si>
  <si>
    <t>W NLIQ ratio</t>
  </si>
  <si>
    <t>Min 15%</t>
  </si>
  <si>
    <t>T NLIQ ratio</t>
  </si>
  <si>
    <t>EB ratio</t>
  </si>
  <si>
    <t>Max 25%</t>
  </si>
  <si>
    <t>LIQ to TA ratio</t>
  </si>
  <si>
    <t>STRUCTURE OF ASSETS</t>
  </si>
  <si>
    <t>LB ratio</t>
  </si>
  <si>
    <t>Max 5%</t>
  </si>
  <si>
    <t>FICC</t>
  </si>
  <si>
    <t>Max 40%</t>
  </si>
  <si>
    <t>FITD</t>
  </si>
  <si>
    <t>NEA</t>
  </si>
  <si>
    <t>Max 10%</t>
  </si>
  <si>
    <t>RATING PARAMETERS</t>
  </si>
  <si>
    <t>CAPITAL</t>
  </si>
  <si>
    <t>INDICATOR WEIGHTS</t>
  </si>
  <si>
    <t>CCA (Min 10%)</t>
  </si>
  <si>
    <t>ICA (Min 8%)</t>
  </si>
  <si>
    <t>CCD (Min 8%)</t>
  </si>
  <si>
    <t>LB ratio (Max 5%)</t>
  </si>
  <si>
    <t>FICC (Max 40%)</t>
  </si>
  <si>
    <t>FITD (Max 5%)</t>
  </si>
  <si>
    <t>NEA (Max 10%)</t>
  </si>
  <si>
    <t>COMPONENT RATINGS</t>
  </si>
  <si>
    <t>STRUCTURE</t>
  </si>
  <si>
    <t>CONDITIONAL COMPONENT RATINGS</t>
  </si>
  <si>
    <t>COMPOSITE RATINGS</t>
  </si>
  <si>
    <t>CONDITION RATING</t>
  </si>
  <si>
    <t>AVERAGE OF COMP RATINGS</t>
  </si>
  <si>
    <t>COMPLIANCE RATING SOFT</t>
  </si>
  <si>
    <t>FINAL RATING</t>
  </si>
  <si>
    <t>In the Law only</t>
  </si>
  <si>
    <t>FORM 4B:</t>
  </si>
  <si>
    <t xml:space="preserve"> SECTORAL LENDING RETURN</t>
  </si>
  <si>
    <t>Sacco Society CS Number:</t>
  </si>
  <si>
    <t>11121 VIKTAS</t>
  </si>
  <si>
    <t>Financial Year:</t>
  </si>
  <si>
    <t>Month</t>
  </si>
  <si>
    <t>SASRA/GG/2/2019  : SECTORAL CLASSIFICATION OF CREDIT FINANCING BY DT-SACCOS</t>
  </si>
  <si>
    <t>LOANS &amp;</t>
  </si>
  <si>
    <t>Code</t>
  </si>
  <si>
    <t>ECONOMIC SECTORS</t>
  </si>
  <si>
    <t>ADVANCES</t>
  </si>
  <si>
    <t>Refinancing</t>
  </si>
  <si>
    <t>AGRICULTURE</t>
  </si>
  <si>
    <t>1100   Crop Farming</t>
  </si>
  <si>
    <t xml:space="preserve">           1110  Tea</t>
  </si>
  <si>
    <t xml:space="preserve">           1120   Coffee</t>
  </si>
  <si>
    <t xml:space="preserve">           1130   Sugarcane</t>
  </si>
  <si>
    <t xml:space="preserve">           1140   Others, cotton, sisal etc</t>
  </si>
  <si>
    <t xml:space="preserve">           1150   Cereals such as maize, wheat, sorghum. Millet etc</t>
  </si>
  <si>
    <t xml:space="preserve">           1160   Legumes such as beans, peas, snow peas, cow peas, french beans etc</t>
  </si>
  <si>
    <t xml:space="preserve">           1170   Horticulture crops such as vegetables, fruits, flowers</t>
  </si>
  <si>
    <t xml:space="preserve">           1180   Roots &amp; tubers such as Irish potatoes, sweet potatoes and cassava</t>
  </si>
  <si>
    <t>1200   Animal Production</t>
  </si>
  <si>
    <t xml:space="preserve">           1210   Dairy farming</t>
  </si>
  <si>
    <t xml:space="preserve">           1220   Beef Production</t>
  </si>
  <si>
    <t xml:space="preserve">           1230   Poultry Farming</t>
  </si>
  <si>
    <t xml:space="preserve">           1240   Bee keeping</t>
  </si>
  <si>
    <t xml:space="preserve">           1250   Rabbit Farming</t>
  </si>
  <si>
    <t xml:space="preserve">           1260   Sheep and Goat Rearing</t>
  </si>
  <si>
    <t xml:space="preserve">           1270   Pig Farming</t>
  </si>
  <si>
    <t xml:space="preserve">           1280   Others</t>
  </si>
  <si>
    <t>1300   Agricultural supporting services</t>
  </si>
  <si>
    <t xml:space="preserve">           1310   Agricultural machinery such as truck, tractors and other farm tools</t>
  </si>
  <si>
    <t xml:space="preserve">           1320   Water, Irrigation and supporting services</t>
  </si>
  <si>
    <t xml:space="preserve">           1330   Veterinary and related services</t>
  </si>
  <si>
    <t>1400   Agribusiness</t>
  </si>
  <si>
    <t xml:space="preserve">           1410   Agricultural equipment and accessories</t>
  </si>
  <si>
    <t xml:space="preserve">           1420   Dealers in agro-chemicals, seeds and other farm inputs</t>
  </si>
  <si>
    <t xml:space="preserve">           1430   Distribution of farm produce</t>
  </si>
  <si>
    <t>1500   Forestry and Logging</t>
  </si>
  <si>
    <t xml:space="preserve">           1510   Agro-forestry</t>
  </si>
  <si>
    <t>TRADE</t>
  </si>
  <si>
    <t>2100   Wholesale and Retail</t>
  </si>
  <si>
    <t xml:space="preserve">           2110   Wholesale</t>
  </si>
  <si>
    <t xml:space="preserve">           2120   Retail</t>
  </si>
  <si>
    <t>2200   Transport</t>
  </si>
  <si>
    <t xml:space="preserve">           2210   Public service transport</t>
  </si>
  <si>
    <t xml:space="preserve">           2220   Purchase of motorvehicle accessories</t>
  </si>
  <si>
    <t xml:space="preserve">           2230   Transportation of goods</t>
  </si>
  <si>
    <t>2300   Hospitality</t>
  </si>
  <si>
    <t xml:space="preserve">           2310   Accomodation, restaurants, conference facilities, event planning &amp; outside                               catering, theme parks (wedding and others)</t>
  </si>
  <si>
    <t xml:space="preserve">           2320   Schools and kindergartens</t>
  </si>
  <si>
    <t xml:space="preserve">           2330   Medical clinics and equipment</t>
  </si>
  <si>
    <t>2400   Foreign Trade</t>
  </si>
  <si>
    <t xml:space="preserve">           2410   Import</t>
  </si>
  <si>
    <t xml:space="preserve">           2420   Export</t>
  </si>
  <si>
    <t>MANUFACTURING AND SERVICING INDUSTRIES</t>
  </si>
  <si>
    <t>3100   Cottage Industry</t>
  </si>
  <si>
    <t xml:space="preserve">           3110   Jua kali Industry</t>
  </si>
  <si>
    <t xml:space="preserve">           3120   Small scale Agricultural Produce processing</t>
  </si>
  <si>
    <t xml:space="preserve">           3130   Dressmaking Industry</t>
  </si>
  <si>
    <t xml:space="preserve">           3140   Leather tanning</t>
  </si>
  <si>
    <t xml:space="preserve">           3150   Carving and handcrafts</t>
  </si>
  <si>
    <t>3200   Servicing Industry</t>
  </si>
  <si>
    <t xml:space="preserve">           3210   Motorvehicle repairs</t>
  </si>
  <si>
    <t xml:space="preserve">           3220   Professional services such as Barber shops</t>
  </si>
  <si>
    <t xml:space="preserve">           3230   Working capital for learning institutions, churches &amp; business enterprises</t>
  </si>
  <si>
    <t xml:space="preserve">           3240   Promotion of local tourism</t>
  </si>
  <si>
    <t>3300   Information, Communication and Technology</t>
  </si>
  <si>
    <t xml:space="preserve">           3310   Computer services and Internet</t>
  </si>
  <si>
    <t xml:space="preserve">           3320   Computer software and hardware</t>
  </si>
  <si>
    <t xml:space="preserve">           3330   Telecommunication Equipment</t>
  </si>
  <si>
    <t xml:space="preserve">EDUCATION </t>
  </si>
  <si>
    <t>4100   Education and related services</t>
  </si>
  <si>
    <t xml:space="preserve">            4110   School fees for primary and secondary schools including shopping and accomodation</t>
  </si>
  <si>
    <t xml:space="preserve">            4120   College fees, University fees, training fees, seminar fees</t>
  </si>
  <si>
    <t xml:space="preserve">            4130   Research and scientific activities etc</t>
  </si>
  <si>
    <t>HUMAN HEALTH</t>
  </si>
  <si>
    <t>5100   Human health and related services</t>
  </si>
  <si>
    <t xml:space="preserve">           5110   Medical Bills, purchase of medicine</t>
  </si>
  <si>
    <t xml:space="preserve">           5120   Maternity Bills and expenses</t>
  </si>
  <si>
    <t>LAND AND HOUSING</t>
  </si>
  <si>
    <t>6100   Land</t>
  </si>
  <si>
    <t xml:space="preserve">           6110   Purchase of plots</t>
  </si>
  <si>
    <t xml:space="preserve">           6120   Land purchase services such as surveying and valuation</t>
  </si>
  <si>
    <t>6200   Housing</t>
  </si>
  <si>
    <t xml:space="preserve">           6210   Construction of multiple residential buildings</t>
  </si>
  <si>
    <t xml:space="preserve">           6220   Construction of commercial buildings</t>
  </si>
  <si>
    <t xml:space="preserve">           6230   Construction of single residential dwelling units</t>
  </si>
  <si>
    <t xml:space="preserve">           6240   Renoivations of the buildings</t>
  </si>
  <si>
    <t>FINANCE, INVESTMENTS AND INSURANCE</t>
  </si>
  <si>
    <t>7100   Microfinance</t>
  </si>
  <si>
    <t xml:space="preserve">           7110   Payment to microfinance loans</t>
  </si>
  <si>
    <t>7200   Commercial Banks</t>
  </si>
  <si>
    <t xml:space="preserve">           7210   Payment to Commercial bank loans</t>
  </si>
  <si>
    <t>7300   Mortgage Finance</t>
  </si>
  <si>
    <t xml:space="preserve">           7310   Purchase of residential property/payments to mortgage loans in other financial institutions</t>
  </si>
  <si>
    <t>7400   Insurance</t>
  </si>
  <si>
    <t xml:space="preserve">           7410   Payment to insurance policies</t>
  </si>
  <si>
    <t>7500   Investments</t>
  </si>
  <si>
    <t xml:space="preserve">           7510   Buying of Sacco shares</t>
  </si>
  <si>
    <t xml:space="preserve">           7520   purchase of quote shares, unquoted shares, treasury bills &amp; bonds, commercial papers, unit trusts and other quoted public funds</t>
  </si>
  <si>
    <t xml:space="preserve">           7530   Paying personal debtsto non-registered institutions</t>
  </si>
  <si>
    <t>CONSUMPTION AND SOCIAL SERVICES</t>
  </si>
  <si>
    <t>8100   Utilities</t>
  </si>
  <si>
    <t xml:space="preserve">           8110   Expenses incurred relating to car and electronic repairs, bills like electricity, sewer, water, telephone, decoder, personal debts to family members and friends etc.</t>
  </si>
  <si>
    <t>8200   Utilities</t>
  </si>
  <si>
    <t xml:space="preserve">           8210   Household necessities like food, beverages and basic household products.</t>
  </si>
  <si>
    <t>8300   Consumer Durables</t>
  </si>
  <si>
    <t xml:space="preserve">           8310   Goods that do not wear out quickly like automobiles(cars), books, household(home appliances, consumer electronics, furniture, tools etc) sports equipment, jewellery, toys etc</t>
  </si>
  <si>
    <t>8400   Social and communal expenses</t>
  </si>
  <si>
    <t xml:space="preserve">           8410   Burial expenses, wedding expenses, rites of passage expenses.</t>
  </si>
  <si>
    <t>TOTAL</t>
  </si>
  <si>
    <t>FORM 4 SASRA2/004</t>
  </si>
  <si>
    <t>RISK CLASSIFICATION OF ASSETS AND PROVISIONING</t>
  </si>
  <si>
    <t>SACCO SOCIETY CS NUMBER</t>
  </si>
  <si>
    <t>1916</t>
  </si>
  <si>
    <t xml:space="preserve">FINANCIAL YEAR </t>
  </si>
  <si>
    <t>START DATE:</t>
  </si>
  <si>
    <t>1/1/2012</t>
  </si>
  <si>
    <t>END DATE:</t>
  </si>
  <si>
    <t>30/6/2012</t>
  </si>
  <si>
    <r>
      <t xml:space="preserve">                                                            </t>
    </r>
    <r>
      <rPr>
        <b/>
        <sz val="10"/>
        <rFont val="Cambria"/>
        <family val="1"/>
        <scheme val="major"/>
      </rPr>
      <t>PORTFOLIO AGEING REPORT</t>
    </r>
  </si>
  <si>
    <t>A</t>
  </si>
  <si>
    <t>B</t>
  </si>
  <si>
    <t>C</t>
  </si>
  <si>
    <t>D</t>
  </si>
  <si>
    <t>NO.</t>
  </si>
  <si>
    <t>CLASSIFICATION</t>
  </si>
  <si>
    <t>NO. OF A/Cs</t>
  </si>
  <si>
    <t>OUTSTANDING LOAN PORTFOLIO(Kshs)</t>
  </si>
  <si>
    <t>REQUIRED PROVISION</t>
  </si>
  <si>
    <t>REQUIRED PROVISION AMOUNT(Kshs)</t>
  </si>
  <si>
    <t>REQD PROVISION AMOUNT</t>
  </si>
  <si>
    <r>
      <t xml:space="preserve">NO Of 
</t>
    </r>
    <r>
      <rPr>
        <b/>
        <sz val="10"/>
        <color indexed="8"/>
        <rFont val="Arial"/>
        <family val="2"/>
      </rPr>
      <t>A/Cs</t>
    </r>
  </si>
  <si>
    <r>
      <t xml:space="preserve">OUTSTANDING LOAN 
</t>
    </r>
    <r>
      <rPr>
        <b/>
        <sz val="10"/>
        <color indexed="8"/>
        <rFont val="Arial"/>
        <family val="2"/>
      </rPr>
      <t>PORTFOLIO(KSH)</t>
    </r>
  </si>
  <si>
    <t>REQUIRED PROVISIONS</t>
  </si>
  <si>
    <t>REQUIRED PROVISION AMOUNT(KSH)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</si>
  <si>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</si>
  <si>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</si>
  <si>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</si>
  <si>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</si>
  <si>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</si>
  <si>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</si>
  <si>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</si>
  <si>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</si>
  <si>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t>NPL</t>
  </si>
  <si>
    <t>PAR</t>
  </si>
  <si>
    <r>
      <t>Note:</t>
    </r>
    <r>
      <rPr>
        <sz val="10"/>
        <rFont val="Cambria"/>
        <family val="1"/>
      </rPr>
      <t xml:space="preserve"> This return should be received on or before the 15th day of the month following end of every  quarter </t>
    </r>
  </si>
  <si>
    <t>AUTHORIZATION:</t>
  </si>
  <si>
    <t xml:space="preserve"> We declare that this return, to the best of our knowledge and belief is correct.</t>
  </si>
  <si>
    <t>…………………………………………………..sign……………………………..date……………………..</t>
  </si>
  <si>
    <t>Name of Authorizing Officer</t>
  </si>
  <si>
    <t>Name of Countersigning Officer</t>
  </si>
  <si>
    <t xml:space="preserve">Performing </t>
  </si>
  <si>
    <t xml:space="preserve">Watch </t>
  </si>
  <si>
    <t xml:space="preserve">Substandard </t>
  </si>
  <si>
    <t xml:space="preserve">Doubtful </t>
  </si>
  <si>
    <t xml:space="preserve">Loss </t>
  </si>
  <si>
    <t>Total Deliquent</t>
  </si>
  <si>
    <t xml:space="preserve">(0 Days) </t>
  </si>
  <si>
    <t xml:space="preserve">(1 - 30 Days) </t>
  </si>
  <si>
    <t xml:space="preserve">(31 - 180 Days) </t>
  </si>
  <si>
    <t xml:space="preserve">(181 - 360 Days) </t>
  </si>
  <si>
    <t xml:space="preserve">Over 360 Days </t>
  </si>
  <si>
    <t>BRIDGING Finance Loan</t>
  </si>
  <si>
    <t>ADVANCE</t>
  </si>
  <si>
    <t>EMERGENCY LOAN</t>
  </si>
  <si>
    <t>GUARANTOR LOAN - BOSA</t>
  </si>
  <si>
    <t>MUSLIM EMERGENCY LOAN</t>
  </si>
  <si>
    <t>MUSLIM LOAN</t>
  </si>
  <si>
    <t>NORMAL LOAN</t>
  </si>
  <si>
    <t>REFINAL/TOP UP LOAN</t>
  </si>
  <si>
    <t>RESCHEDULED LOAN</t>
  </si>
  <si>
    <t>SALARY ADVANCE</t>
  </si>
  <si>
    <t>SCHOOL FEES LOAN</t>
  </si>
  <si>
    <t>SUPER LOAN</t>
  </si>
  <si>
    <t>Total Aged (Amount)</t>
  </si>
  <si>
    <t>Loan Loss Provision</t>
  </si>
  <si>
    <t>Total Aged (%)</t>
  </si>
  <si>
    <t>Total Aged /Total Loans (%)</t>
  </si>
  <si>
    <t>Prudential Standard (%)</t>
  </si>
  <si>
    <t>Nyahururu Umoja SACCO SOCIETY LTD</t>
  </si>
  <si>
    <t>VIKTAS SACCO</t>
  </si>
  <si>
    <t>VIKTAS CAELs</t>
  </si>
  <si>
    <t>3350</t>
  </si>
  <si>
    <t>1/1/2018</t>
  </si>
  <si>
    <t>30/3/2018</t>
  </si>
  <si>
    <t>30/6/2018</t>
  </si>
  <si>
    <t xml:space="preserve">                                                            PORTFOLIO AGEING REPORT</t>
  </si>
  <si>
    <t>Audited-2022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</si>
</sst>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0_);_(* \(#,##0.00\);_(* \-??_);_(@_)"/>
    <numFmt numFmtId="167" formatCode="d/mmm/yy"/>
    <numFmt numFmtId="168" formatCode="\£#,##0;&quot;-£&quot;#,##0"/>
    <numFmt numFmtId="169" formatCode="&quot;£&quot;#,##0;\-&quot;£&quot;#,##0"/>
    <numFmt numFmtId="170" formatCode="_-* #,##0.00_-;\-* #,##0.00_-;_-* \-??_-;_-@_-"/>
    <numFmt numFmtId="171" formatCode="0.0"/>
    <numFmt numFmtId="172" formatCode="0.0%"/>
    <numFmt numFmtId="173" formatCode="[$-10409]#,##0.00;\-\ #,##0.00"/>
    <numFmt numFmtId="174" formatCode="_(* #,##0.0_);_(* \(#,##0.0\);_(* &quot;-&quot;??_);_(@_)"/>
    <numFmt numFmtId="175" formatCode="[$-10409]#,##0.00;\(#,##0.00\)"/>
    <numFmt numFmtId="176" formatCode="[$-10409]#,##0\ %"/>
    <numFmt numFmtId="177" formatCode="[$-10409]0;\(0\)"/>
    <numFmt numFmtId="178" formatCode="[$-10409]0\ %"/>
    <numFmt numFmtId="179" formatCode="[$-10409]#,##0;\(#,##0\)"/>
    <numFmt numFmtId="180" formatCode="[$-10409]0.00;\-\ 0.00"/>
    <numFmt numFmtId="181" formatCode="#,##0.00_);\-#,##0.00"/>
    <numFmt numFmtId="182" formatCode="_(* #,##0.0_);_(* \(#,##0.0\);_(* \-??_);_(@_)"/>
    <numFmt numFmtId="183" formatCode="dd/mm/yyyy;@"/>
  </numFmts>
  <fonts count="7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8"/>
      <color indexed="8"/>
      <name val="Trebuchet MS"/>
      <family val="2"/>
    </font>
    <font>
      <b/>
      <sz val="8.3000000000000007"/>
      <color indexed="8"/>
      <name val="Arial"/>
      <family val="2"/>
    </font>
    <font>
      <sz val="10"/>
      <name val="Arial Narrow"/>
      <family val="2"/>
    </font>
    <font>
      <sz val="11"/>
      <color indexed="62"/>
      <name val="Arial"/>
      <family val="2"/>
    </font>
    <font>
      <sz val="10"/>
      <color indexed="8"/>
      <name val="MS Sans Serif"/>
      <family val="2"/>
    </font>
    <font>
      <b/>
      <sz val="11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8"/>
      <color theme="1"/>
      <name val="Trebuchet MS"/>
      <family val="2"/>
    </font>
    <font>
      <b/>
      <sz val="11"/>
      <color theme="1"/>
      <name val="Arial"/>
      <family val="2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indexed="8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indexed="8"/>
      <name val="Cambria"/>
      <family val="1"/>
      <scheme val="major"/>
    </font>
    <font>
      <i/>
      <sz val="10"/>
      <name val="Cambria"/>
      <family val="1"/>
      <scheme val="major"/>
    </font>
    <font>
      <i/>
      <sz val="10"/>
      <color indexed="8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sz val="10"/>
      <name val="Cambria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ambria"/>
      <family val="1"/>
    </font>
    <font>
      <b/>
      <sz val="10"/>
      <name val="Cambria"/>
      <family val="1"/>
    </font>
    <font>
      <b/>
      <sz val="10"/>
      <color rgb="FFFF0000"/>
      <name val="Cambria"/>
      <family val="1"/>
    </font>
    <font>
      <sz val="10"/>
      <color indexed="17"/>
      <name val="Cambria"/>
      <family val="1"/>
      <scheme val="major"/>
    </font>
    <font>
      <sz val="10"/>
      <name val="Arial"/>
      <family val="2"/>
    </font>
    <font>
      <sz val="8"/>
      <color indexed="8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9"/>
      <name val="Cambria"/>
      <family val="1"/>
      <scheme val="major"/>
    </font>
    <font>
      <i/>
      <sz val="9"/>
      <color theme="1"/>
      <name val="Cambria"/>
      <family val="1"/>
      <scheme val="major"/>
    </font>
    <font>
      <b/>
      <i/>
      <sz val="9"/>
      <color theme="1"/>
      <name val="Cambria"/>
      <family val="1"/>
      <scheme val="major"/>
    </font>
    <font>
      <i/>
      <sz val="9"/>
      <name val="Cambria"/>
      <family val="1"/>
      <scheme val="major"/>
    </font>
    <font>
      <b/>
      <i/>
      <sz val="9"/>
      <name val="Cambria"/>
      <family val="1"/>
      <scheme val="major"/>
    </font>
    <font>
      <b/>
      <sz val="9"/>
      <color rgb="FFFF0000"/>
      <name val="Cambria"/>
      <family val="1"/>
      <scheme val="major"/>
    </font>
    <font>
      <b/>
      <sz val="9"/>
      <name val="Cambria"/>
      <family val="1"/>
      <scheme val="major"/>
    </font>
    <font>
      <sz val="10"/>
      <color rgb="FFFF0000"/>
      <name val="Cambria"/>
      <family val="1"/>
      <scheme val="major"/>
    </font>
    <font>
      <sz val="11"/>
      <name val="Cambria"/>
      <family val="1"/>
    </font>
    <font>
      <sz val="11"/>
      <color theme="1"/>
      <name val="Cambria"/>
      <family val="1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1"/>
      <color indexed="8"/>
      <name val="Cambria"/>
      <family val="1"/>
    </font>
    <font>
      <b/>
      <sz val="11"/>
      <name val="Cambria"/>
      <family val="1"/>
    </font>
    <font>
      <sz val="11"/>
      <color indexed="10"/>
      <name val="Cambria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1"/>
      <color theme="3"/>
      <name val="Cambria"/>
      <family val="1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i/>
      <sz val="12"/>
      <name val="Cambria"/>
      <family val="1"/>
      <scheme val="major"/>
    </font>
    <font>
      <b/>
      <i/>
      <sz val="12"/>
      <name val="Cambria"/>
      <family val="1"/>
      <scheme val="major"/>
    </font>
    <font>
      <b/>
      <sz val="12"/>
      <color rgb="FFFF0000"/>
      <name val="Cambria"/>
      <family val="1"/>
      <scheme val="major"/>
    </font>
    <font>
      <sz val="9"/>
      <color indexed="8"/>
      <name val="Arial"/>
      <family val="2"/>
    </font>
    <font>
      <b/>
      <sz val="12"/>
      <color indexed="8"/>
      <name val="Times New Roman"/>
      <family val="1"/>
    </font>
    <font>
      <b/>
      <sz val="11"/>
      <name val="Book Antiqua"/>
      <family val="1"/>
    </font>
    <font>
      <sz val="11"/>
      <name val="Book Antiqua"/>
      <family val="1"/>
    </font>
  </fonts>
  <fills count="31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FF0000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8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/>
      <right/>
      <top style="medium">
        <color indexed="64"/>
      </top>
      <bottom style="thin">
        <color indexed="59"/>
      </bottom>
      <diagonal/>
    </border>
    <border>
      <left style="medium">
        <color indexed="64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59"/>
      </bottom>
      <diagonal/>
    </border>
    <border>
      <left/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/>
      <top style="thin">
        <color indexed="59"/>
      </top>
      <bottom/>
      <diagonal/>
    </border>
    <border>
      <left/>
      <right/>
      <top/>
      <bottom style="thin">
        <color indexed="59"/>
      </bottom>
      <diagonal/>
    </border>
    <border>
      <left style="medium">
        <color indexed="64"/>
      </left>
      <right style="thin">
        <color indexed="59"/>
      </right>
      <top/>
      <bottom style="medium">
        <color indexed="64"/>
      </bottom>
      <diagonal/>
    </border>
    <border>
      <left style="thin">
        <color indexed="59"/>
      </left>
      <right style="thin">
        <color indexed="59"/>
      </right>
      <top/>
      <bottom style="medium">
        <color indexed="64"/>
      </bottom>
      <diagonal/>
    </border>
    <border>
      <left style="thin">
        <color indexed="59"/>
      </left>
      <right style="medium">
        <color indexed="64"/>
      </right>
      <top/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689">
    <xf numFmtId="0" fontId="0" fillId="0" borderId="0"/>
    <xf numFmtId="0" fontId="3" fillId="2" borderId="0" applyNumberFormat="0" applyBorder="0" applyAlignment="0" applyProtection="0"/>
    <xf numFmtId="0" fontId="13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14" fillId="10" borderId="0" applyNumberFormat="0" applyBorder="0" applyAlignment="0" applyProtection="0"/>
    <xf numFmtId="0" fontId="4" fillId="3" borderId="0" applyNumberFormat="0" applyBorder="0" applyAlignment="0" applyProtection="0"/>
    <xf numFmtId="0" fontId="14" fillId="10" borderId="0" applyNumberFormat="0" applyBorder="0" applyAlignment="0" applyProtection="0"/>
    <xf numFmtId="0" fontId="4" fillId="3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4" fillId="3" borderId="0" applyNumberFormat="0" applyBorder="0" applyAlignment="0" applyProtection="0"/>
    <xf numFmtId="0" fontId="14" fillId="10" borderId="0" applyNumberFormat="0" applyBorder="0" applyAlignment="0" applyProtection="0"/>
    <xf numFmtId="0" fontId="4" fillId="3" borderId="0" applyNumberFormat="0" applyBorder="0" applyAlignment="0" applyProtection="0"/>
    <xf numFmtId="0" fontId="14" fillId="10" borderId="0" applyNumberFormat="0" applyBorder="0" applyAlignment="0" applyProtection="0"/>
    <xf numFmtId="0" fontId="4" fillId="3" borderId="0" applyNumberFormat="0" applyBorder="0" applyAlignment="0" applyProtection="0"/>
    <xf numFmtId="0" fontId="14" fillId="10" borderId="0" applyNumberFormat="0" applyBorder="0" applyAlignment="0" applyProtection="0"/>
    <xf numFmtId="0" fontId="4" fillId="3" borderId="0" applyNumberFormat="0" applyBorder="0" applyAlignment="0" applyProtection="0"/>
    <xf numFmtId="0" fontId="14" fillId="10" borderId="0" applyNumberFormat="0" applyBorder="0" applyAlignment="0" applyProtection="0"/>
    <xf numFmtId="0" fontId="4" fillId="3" borderId="0" applyNumberFormat="0" applyBorder="0" applyAlignment="0" applyProtection="0"/>
    <xf numFmtId="0" fontId="14" fillId="10" borderId="0" applyNumberFormat="0" applyBorder="0" applyAlignment="0" applyProtection="0"/>
    <xf numFmtId="0" fontId="4" fillId="3" borderId="0" applyNumberFormat="0" applyBorder="0" applyAlignment="0" applyProtection="0"/>
    <xf numFmtId="0" fontId="14" fillId="10" borderId="0" applyNumberFormat="0" applyBorder="0" applyAlignment="0" applyProtection="0"/>
    <xf numFmtId="0" fontId="4" fillId="3" borderId="0" applyNumberFormat="0" applyBorder="0" applyAlignment="0" applyProtection="0"/>
    <xf numFmtId="0" fontId="14" fillId="10" borderId="0" applyNumberFormat="0" applyBorder="0" applyAlignment="0" applyProtection="0"/>
    <xf numFmtId="0" fontId="4" fillId="3" borderId="0" applyNumberFormat="0" applyBorder="0" applyAlignment="0" applyProtection="0"/>
    <xf numFmtId="0" fontId="14" fillId="10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14" fillId="11" borderId="0" applyNumberFormat="0" applyBorder="0" applyAlignment="0" applyProtection="0"/>
    <xf numFmtId="0" fontId="4" fillId="4" borderId="0" applyNumberFormat="0" applyBorder="0" applyAlignment="0" applyProtection="0"/>
    <xf numFmtId="0" fontId="14" fillId="11" borderId="0" applyNumberFormat="0" applyBorder="0" applyAlignment="0" applyProtection="0"/>
    <xf numFmtId="0" fontId="4" fillId="4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4" fillId="4" borderId="0" applyNumberFormat="0" applyBorder="0" applyAlignment="0" applyProtection="0"/>
    <xf numFmtId="0" fontId="14" fillId="11" borderId="0" applyNumberFormat="0" applyBorder="0" applyAlignment="0" applyProtection="0"/>
    <xf numFmtId="0" fontId="4" fillId="4" borderId="0" applyNumberFormat="0" applyBorder="0" applyAlignment="0" applyProtection="0"/>
    <xf numFmtId="0" fontId="14" fillId="11" borderId="0" applyNumberFormat="0" applyBorder="0" applyAlignment="0" applyProtection="0"/>
    <xf numFmtId="0" fontId="4" fillId="4" borderId="0" applyNumberFormat="0" applyBorder="0" applyAlignment="0" applyProtection="0"/>
    <xf numFmtId="0" fontId="14" fillId="11" borderId="0" applyNumberFormat="0" applyBorder="0" applyAlignment="0" applyProtection="0"/>
    <xf numFmtId="0" fontId="4" fillId="4" borderId="0" applyNumberFormat="0" applyBorder="0" applyAlignment="0" applyProtection="0"/>
    <xf numFmtId="0" fontId="14" fillId="11" borderId="0" applyNumberFormat="0" applyBorder="0" applyAlignment="0" applyProtection="0"/>
    <xf numFmtId="0" fontId="4" fillId="4" borderId="0" applyNumberFormat="0" applyBorder="0" applyAlignment="0" applyProtection="0"/>
    <xf numFmtId="0" fontId="14" fillId="11" borderId="0" applyNumberFormat="0" applyBorder="0" applyAlignment="0" applyProtection="0"/>
    <xf numFmtId="0" fontId="4" fillId="4" borderId="0" applyNumberFormat="0" applyBorder="0" applyAlignment="0" applyProtection="0"/>
    <xf numFmtId="0" fontId="14" fillId="11" borderId="0" applyNumberFormat="0" applyBorder="0" applyAlignment="0" applyProtection="0"/>
    <xf numFmtId="0" fontId="4" fillId="4" borderId="0" applyNumberFormat="0" applyBorder="0" applyAlignment="0" applyProtection="0"/>
    <xf numFmtId="0" fontId="14" fillId="11" borderId="0" applyNumberFormat="0" applyBorder="0" applyAlignment="0" applyProtection="0"/>
    <xf numFmtId="0" fontId="4" fillId="4" borderId="0" applyNumberFormat="0" applyBorder="0" applyAlignment="0" applyProtection="0"/>
    <xf numFmtId="0" fontId="14" fillId="11" borderId="0" applyNumberFormat="0" applyBorder="0" applyAlignment="0" applyProtection="0"/>
    <xf numFmtId="0" fontId="5" fillId="5" borderId="2" applyNumberFormat="0" applyAlignment="0" applyProtection="0"/>
    <xf numFmtId="0" fontId="15" fillId="12" borderId="35" applyNumberFormat="0" applyAlignment="0" applyProtection="0"/>
    <xf numFmtId="43" fontId="1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6" fillId="0" borderId="0" applyFont="0" applyFill="0" applyBorder="0" applyAlignment="0" applyProtection="0"/>
    <xf numFmtId="170" fontId="2" fillId="0" borderId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ill="0" applyBorder="0" applyAlignment="0" applyProtection="0"/>
    <xf numFmtId="164" fontId="8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0" fontId="9" fillId="6" borderId="1" applyNumberFormat="0" applyAlignment="0" applyProtection="0"/>
    <xf numFmtId="0" fontId="16" fillId="13" borderId="34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17" fillId="0" borderId="0"/>
    <xf numFmtId="0" fontId="6" fillId="0" borderId="0"/>
    <xf numFmtId="0" fontId="17" fillId="0" borderId="0"/>
    <xf numFmtId="0" fontId="6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6" fillId="0" borderId="0"/>
    <xf numFmtId="0" fontId="17" fillId="0" borderId="0"/>
    <xf numFmtId="0" fontId="6" fillId="0" borderId="0"/>
    <xf numFmtId="0" fontId="17" fillId="0" borderId="0"/>
    <xf numFmtId="0" fontId="6" fillId="0" borderId="0"/>
    <xf numFmtId="0" fontId="17" fillId="0" borderId="0"/>
    <xf numFmtId="0" fontId="6" fillId="0" borderId="0"/>
    <xf numFmtId="0" fontId="17" fillId="0" borderId="0"/>
    <xf numFmtId="0" fontId="6" fillId="0" borderId="0"/>
    <xf numFmtId="0" fontId="17" fillId="0" borderId="0"/>
    <xf numFmtId="0" fontId="6" fillId="0" borderId="0"/>
    <xf numFmtId="0" fontId="17" fillId="0" borderId="0"/>
    <xf numFmtId="0" fontId="6" fillId="0" borderId="0"/>
    <xf numFmtId="0" fontId="17" fillId="0" borderId="0"/>
    <xf numFmtId="0" fontId="6" fillId="0" borderId="0"/>
    <xf numFmtId="0" fontId="17" fillId="0" borderId="0"/>
    <xf numFmtId="0" fontId="6" fillId="0" borderId="0"/>
    <xf numFmtId="0" fontId="17" fillId="0" borderId="0"/>
    <xf numFmtId="0" fontId="6" fillId="0" borderId="0"/>
    <xf numFmtId="0" fontId="17" fillId="0" borderId="0"/>
    <xf numFmtId="0" fontId="2" fillId="7" borderId="3" applyNumberFormat="0" applyAlignment="0" applyProtection="0"/>
    <xf numFmtId="0" fontId="2" fillId="14" borderId="36" applyNumberFormat="0" applyFont="0" applyAlignment="0" applyProtection="0"/>
    <xf numFmtId="9" fontId="12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18" fillId="0" borderId="37" applyNumberFormat="0" applyFill="0" applyAlignment="0" applyProtection="0"/>
    <xf numFmtId="0" fontId="18" fillId="0" borderId="37" applyNumberFormat="0" applyFill="0" applyAlignment="0" applyProtection="0"/>
    <xf numFmtId="0" fontId="38" fillId="0" borderId="0"/>
    <xf numFmtId="164" fontId="12" fillId="0" borderId="0" applyFont="0" applyFill="0" applyBorder="0" applyAlignment="0" applyProtection="0"/>
  </cellStyleXfs>
  <cellXfs count="746">
    <xf numFmtId="0" fontId="0" fillId="0" borderId="0" xfId="0"/>
    <xf numFmtId="0" fontId="19" fillId="0" borderId="0" xfId="638" applyFont="1"/>
    <xf numFmtId="0" fontId="20" fillId="0" borderId="0" xfId="638" applyFont="1"/>
    <xf numFmtId="0" fontId="19" fillId="0" borderId="0" xfId="638" applyFont="1" applyAlignment="1">
      <alignment horizontal="center"/>
    </xf>
    <xf numFmtId="165" fontId="19" fillId="0" borderId="0" xfId="638" applyNumberFormat="1" applyFont="1"/>
    <xf numFmtId="0" fontId="21" fillId="0" borderId="0" xfId="638" applyFont="1"/>
    <xf numFmtId="0" fontId="21" fillId="0" borderId="5" xfId="638" applyFont="1" applyBorder="1"/>
    <xf numFmtId="0" fontId="21" fillId="0" borderId="7" xfId="638" applyFont="1" applyBorder="1"/>
    <xf numFmtId="171" fontId="21" fillId="0" borderId="10" xfId="638" applyNumberFormat="1" applyFont="1" applyBorder="1"/>
    <xf numFmtId="0" fontId="21" fillId="0" borderId="10" xfId="638" applyFont="1" applyBorder="1"/>
    <xf numFmtId="0" fontId="21" fillId="0" borderId="11" xfId="638" applyFont="1" applyBorder="1" applyAlignment="1">
      <alignment horizontal="center"/>
    </xf>
    <xf numFmtId="0" fontId="21" fillId="0" borderId="12" xfId="638" applyFont="1" applyBorder="1"/>
    <xf numFmtId="0" fontId="21" fillId="0" borderId="9" xfId="638" applyFont="1" applyBorder="1"/>
    <xf numFmtId="0" fontId="19" fillId="0" borderId="10" xfId="638" applyFont="1" applyBorder="1"/>
    <xf numFmtId="0" fontId="23" fillId="0" borderId="11" xfId="638" applyFont="1" applyBorder="1" applyAlignment="1">
      <alignment horizontal="center"/>
    </xf>
    <xf numFmtId="0" fontId="23" fillId="0" borderId="12" xfId="638" applyFont="1" applyBorder="1" applyAlignment="1">
      <alignment horizontal="center"/>
    </xf>
    <xf numFmtId="165" fontId="19" fillId="0" borderId="9" xfId="53" applyNumberFormat="1" applyFont="1" applyBorder="1" applyAlignment="1">
      <alignment horizontal="right"/>
    </xf>
    <xf numFmtId="172" fontId="23" fillId="0" borderId="13" xfId="678" applyNumberFormat="1" applyFont="1" applyBorder="1"/>
    <xf numFmtId="172" fontId="23" fillId="0" borderId="9" xfId="678" applyNumberFormat="1" applyFont="1" applyBorder="1"/>
    <xf numFmtId="0" fontId="19" fillId="15" borderId="10" xfId="638" applyFont="1" applyFill="1" applyBorder="1"/>
    <xf numFmtId="9" fontId="23" fillId="0" borderId="11" xfId="678" applyFont="1" applyBorder="1" applyAlignment="1">
      <alignment horizontal="center"/>
    </xf>
    <xf numFmtId="9" fontId="23" fillId="0" borderId="12" xfId="678" applyFont="1" applyBorder="1" applyAlignment="1">
      <alignment horizontal="center"/>
    </xf>
    <xf numFmtId="171" fontId="19" fillId="0" borderId="10" xfId="638" applyNumberFormat="1" applyFont="1" applyBorder="1"/>
    <xf numFmtId="0" fontId="19" fillId="0" borderId="10" xfId="638" applyFont="1" applyBorder="1" applyAlignment="1">
      <alignment horizontal="right"/>
    </xf>
    <xf numFmtId="172" fontId="23" fillId="0" borderId="11" xfId="678" applyNumberFormat="1" applyFont="1" applyBorder="1" applyAlignment="1">
      <alignment horizontal="center"/>
    </xf>
    <xf numFmtId="0" fontId="19" fillId="0" borderId="12" xfId="638" applyFont="1" applyBorder="1"/>
    <xf numFmtId="14" fontId="21" fillId="8" borderId="9" xfId="638" applyNumberFormat="1" applyFont="1" applyFill="1" applyBorder="1" applyAlignment="1">
      <alignment horizontal="center"/>
    </xf>
    <xf numFmtId="172" fontId="23" fillId="0" borderId="12" xfId="678" applyNumberFormat="1" applyFont="1" applyBorder="1" applyAlignment="1">
      <alignment horizontal="center"/>
    </xf>
    <xf numFmtId="0" fontId="24" fillId="0" borderId="10" xfId="638" applyFont="1" applyBorder="1"/>
    <xf numFmtId="172" fontId="25" fillId="0" borderId="11" xfId="678" applyNumberFormat="1" applyFont="1" applyBorder="1" applyAlignment="1">
      <alignment horizontal="center"/>
    </xf>
    <xf numFmtId="172" fontId="25" fillId="0" borderId="12" xfId="678" applyNumberFormat="1" applyFont="1" applyBorder="1" applyAlignment="1">
      <alignment horizontal="center"/>
    </xf>
    <xf numFmtId="172" fontId="25" fillId="0" borderId="9" xfId="678" applyNumberFormat="1" applyFont="1" applyBorder="1"/>
    <xf numFmtId="0" fontId="19" fillId="0" borderId="11" xfId="638" applyFont="1" applyBorder="1" applyAlignment="1">
      <alignment horizontal="center"/>
    </xf>
    <xf numFmtId="172" fontId="23" fillId="0" borderId="9" xfId="678" applyNumberFormat="1" applyFont="1" applyBorder="1" applyAlignment="1">
      <alignment horizontal="right"/>
    </xf>
    <xf numFmtId="0" fontId="25" fillId="15" borderId="10" xfId="638" applyFont="1" applyFill="1" applyBorder="1"/>
    <xf numFmtId="9" fontId="23" fillId="0" borderId="9" xfId="678" applyFont="1" applyBorder="1" applyAlignment="1">
      <alignment horizontal="right"/>
    </xf>
    <xf numFmtId="9" fontId="19" fillId="0" borderId="9" xfId="676" applyFont="1" applyBorder="1" applyAlignment="1">
      <alignment horizontal="right"/>
    </xf>
    <xf numFmtId="165" fontId="23" fillId="0" borderId="9" xfId="56" applyNumberFormat="1" applyFont="1" applyBorder="1" applyAlignment="1">
      <alignment horizontal="right"/>
    </xf>
    <xf numFmtId="0" fontId="20" fillId="15" borderId="10" xfId="638" applyFont="1" applyFill="1" applyBorder="1"/>
    <xf numFmtId="14" fontId="21" fillId="8" borderId="9" xfId="638" applyNumberFormat="1" applyFont="1" applyFill="1" applyBorder="1" applyAlignment="1">
      <alignment horizontal="right"/>
    </xf>
    <xf numFmtId="9" fontId="19" fillId="0" borderId="9" xfId="678" applyFont="1" applyBorder="1" applyAlignment="1">
      <alignment horizontal="right"/>
    </xf>
    <xf numFmtId="0" fontId="19" fillId="0" borderId="9" xfId="638" applyFont="1" applyBorder="1" applyAlignment="1">
      <alignment horizontal="right"/>
    </xf>
    <xf numFmtId="9" fontId="23" fillId="0" borderId="11" xfId="638" applyNumberFormat="1" applyFont="1" applyBorder="1" applyAlignment="1">
      <alignment horizontal="center"/>
    </xf>
    <xf numFmtId="172" fontId="19" fillId="15" borderId="10" xfId="678" applyNumberFormat="1" applyFont="1" applyFill="1" applyBorder="1"/>
    <xf numFmtId="172" fontId="19" fillId="0" borderId="9" xfId="678" applyNumberFormat="1" applyFont="1" applyBorder="1" applyAlignment="1">
      <alignment horizontal="right"/>
    </xf>
    <xf numFmtId="171" fontId="19" fillId="0" borderId="14" xfId="638" applyNumberFormat="1" applyFont="1" applyBorder="1"/>
    <xf numFmtId="0" fontId="19" fillId="15" borderId="14" xfId="638" applyFont="1" applyFill="1" applyBorder="1"/>
    <xf numFmtId="9" fontId="23" fillId="0" borderId="15" xfId="638" applyNumberFormat="1" applyFont="1" applyBorder="1" applyAlignment="1">
      <alignment horizontal="center"/>
    </xf>
    <xf numFmtId="0" fontId="23" fillId="0" borderId="16" xfId="638" applyFont="1" applyBorder="1" applyAlignment="1">
      <alignment horizontal="center"/>
    </xf>
    <xf numFmtId="172" fontId="23" fillId="0" borderId="17" xfId="678" applyNumberFormat="1" applyFont="1" applyBorder="1" applyAlignment="1">
      <alignment horizontal="right"/>
    </xf>
    <xf numFmtId="171" fontId="19" fillId="0" borderId="0" xfId="638" applyNumberFormat="1" applyFont="1"/>
    <xf numFmtId="172" fontId="19" fillId="0" borderId="0" xfId="678" applyNumberFormat="1" applyFont="1" applyBorder="1"/>
    <xf numFmtId="0" fontId="26" fillId="0" borderId="0" xfId="0" applyFont="1"/>
    <xf numFmtId="0" fontId="27" fillId="0" borderId="18" xfId="476" applyFont="1" applyBorder="1" applyAlignment="1">
      <alignment horizontal="center"/>
    </xf>
    <xf numFmtId="17" fontId="28" fillId="0" borderId="0" xfId="504" applyNumberFormat="1" applyFont="1"/>
    <xf numFmtId="0" fontId="22" fillId="0" borderId="19" xfId="0" applyFont="1" applyBorder="1"/>
    <xf numFmtId="0" fontId="22" fillId="0" borderId="6" xfId="0" applyFont="1" applyBorder="1"/>
    <xf numFmtId="0" fontId="19" fillId="0" borderId="6" xfId="0" applyFont="1" applyBorder="1"/>
    <xf numFmtId="0" fontId="22" fillId="0" borderId="20" xfId="0" applyFont="1" applyBorder="1"/>
    <xf numFmtId="0" fontId="22" fillId="0" borderId="9" xfId="0" applyFont="1" applyBorder="1"/>
    <xf numFmtId="0" fontId="19" fillId="0" borderId="13" xfId="0" applyFont="1" applyBorder="1"/>
    <xf numFmtId="0" fontId="19" fillId="0" borderId="9" xfId="0" applyFont="1" applyBorder="1"/>
    <xf numFmtId="0" fontId="19" fillId="16" borderId="24" xfId="0" applyFont="1" applyFill="1" applyBorder="1"/>
    <xf numFmtId="0" fontId="26" fillId="16" borderId="0" xfId="0" applyFont="1" applyFill="1"/>
    <xf numFmtId="0" fontId="19" fillId="0" borderId="20" xfId="0" applyFont="1" applyBorder="1"/>
    <xf numFmtId="0" fontId="19" fillId="0" borderId="0" xfId="0" applyFont="1"/>
    <xf numFmtId="171" fontId="19" fillId="0" borderId="25" xfId="0" applyNumberFormat="1" applyFont="1" applyBorder="1"/>
    <xf numFmtId="171" fontId="19" fillId="0" borderId="13" xfId="0" applyNumberFormat="1" applyFont="1" applyBorder="1"/>
    <xf numFmtId="171" fontId="19" fillId="0" borderId="24" xfId="0" applyNumberFormat="1" applyFont="1" applyBorder="1"/>
    <xf numFmtId="171" fontId="19" fillId="0" borderId="20" xfId="0" applyNumberFormat="1" applyFont="1" applyBorder="1"/>
    <xf numFmtId="0" fontId="22" fillId="0" borderId="0" xfId="0" applyFont="1"/>
    <xf numFmtId="171" fontId="19" fillId="0" borderId="19" xfId="0" applyNumberFormat="1" applyFont="1" applyBorder="1"/>
    <xf numFmtId="171" fontId="19" fillId="0" borderId="13" xfId="0" applyNumberFormat="1" applyFont="1" applyBorder="1" applyAlignment="1">
      <alignment horizontal="right"/>
    </xf>
    <xf numFmtId="171" fontId="19" fillId="0" borderId="24" xfId="0" applyNumberFormat="1" applyFont="1" applyBorder="1" applyAlignment="1">
      <alignment horizontal="right"/>
    </xf>
    <xf numFmtId="165" fontId="29" fillId="0" borderId="0" xfId="0" applyNumberFormat="1" applyFont="1"/>
    <xf numFmtId="0" fontId="29" fillId="0" borderId="0" xfId="0" applyFont="1"/>
    <xf numFmtId="0" fontId="19" fillId="0" borderId="24" xfId="0" applyFont="1" applyBorder="1"/>
    <xf numFmtId="0" fontId="24" fillId="0" borderId="0" xfId="0" applyFont="1"/>
    <xf numFmtId="43" fontId="22" fillId="0" borderId="0" xfId="56" applyFont="1" applyBorder="1"/>
    <xf numFmtId="171" fontId="19" fillId="0" borderId="27" xfId="0" applyNumberFormat="1" applyFont="1" applyBorder="1"/>
    <xf numFmtId="171" fontId="19" fillId="0" borderId="28" xfId="0" applyNumberFormat="1" applyFont="1" applyBorder="1"/>
    <xf numFmtId="171" fontId="19" fillId="0" borderId="29" xfId="0" applyNumberFormat="1" applyFont="1" applyBorder="1"/>
    <xf numFmtId="171" fontId="31" fillId="0" borderId="19" xfId="0" applyNumberFormat="1" applyFont="1" applyBorder="1"/>
    <xf numFmtId="0" fontId="31" fillId="0" borderId="6" xfId="0" applyFont="1" applyBorder="1"/>
    <xf numFmtId="0" fontId="19" fillId="0" borderId="12" xfId="0" applyFont="1" applyBorder="1"/>
    <xf numFmtId="0" fontId="19" fillId="0" borderId="30" xfId="0" applyFont="1" applyBorder="1"/>
    <xf numFmtId="0" fontId="19" fillId="0" borderId="16" xfId="0" applyFont="1" applyBorder="1"/>
    <xf numFmtId="43" fontId="26" fillId="0" borderId="0" xfId="53" applyFont="1"/>
    <xf numFmtId="43" fontId="26" fillId="0" borderId="0" xfId="53" applyFont="1" applyBorder="1"/>
    <xf numFmtId="0" fontId="26" fillId="0" borderId="0" xfId="0" applyFont="1" applyAlignment="1">
      <alignment horizontal="center" vertical="center"/>
    </xf>
    <xf numFmtId="0" fontId="22" fillId="17" borderId="9" xfId="0" applyFont="1" applyFill="1" applyBorder="1" applyAlignment="1" applyProtection="1">
      <alignment horizontal="left" vertical="top" wrapText="1" readingOrder="1"/>
      <protection locked="0"/>
    </xf>
    <xf numFmtId="165" fontId="26" fillId="18" borderId="9" xfId="53" applyNumberFormat="1" applyFont="1" applyFill="1" applyBorder="1"/>
    <xf numFmtId="9" fontId="26" fillId="0" borderId="0" xfId="676" applyFont="1" applyBorder="1"/>
    <xf numFmtId="0" fontId="22" fillId="19" borderId="9" xfId="0" applyFont="1" applyFill="1" applyBorder="1" applyAlignment="1" applyProtection="1">
      <alignment horizontal="left" vertical="top" wrapText="1" readingOrder="1"/>
      <protection locked="0"/>
    </xf>
    <xf numFmtId="165" fontId="26" fillId="0" borderId="9" xfId="53" applyNumberFormat="1" applyFont="1" applyBorder="1"/>
    <xf numFmtId="0" fontId="22" fillId="20" borderId="9" xfId="0" applyFont="1" applyFill="1" applyBorder="1" applyAlignment="1" applyProtection="1">
      <alignment horizontal="left" vertical="top" wrapText="1" readingOrder="1"/>
      <protection locked="0"/>
    </xf>
    <xf numFmtId="165" fontId="26" fillId="21" borderId="9" xfId="53" applyNumberFormat="1" applyFont="1" applyFill="1" applyBorder="1"/>
    <xf numFmtId="0" fontId="22" fillId="0" borderId="9" xfId="0" applyFont="1" applyBorder="1" applyAlignment="1" applyProtection="1">
      <alignment horizontal="left" vertical="top" wrapText="1" readingOrder="1"/>
      <protection locked="0"/>
    </xf>
    <xf numFmtId="0" fontId="22" fillId="19" borderId="0" xfId="0" applyFont="1" applyFill="1" applyAlignment="1" applyProtection="1">
      <alignment horizontal="left" vertical="top" wrapText="1" readingOrder="1"/>
      <protection locked="0"/>
    </xf>
    <xf numFmtId="40" fontId="26" fillId="0" borderId="0" xfId="0" applyNumberFormat="1" applyFont="1"/>
    <xf numFmtId="165" fontId="22" fillId="17" borderId="9" xfId="53" applyNumberFormat="1" applyFont="1" applyFill="1" applyBorder="1" applyAlignment="1" applyProtection="1">
      <alignment horizontal="left" vertical="top" wrapText="1" readingOrder="1"/>
      <protection locked="0"/>
    </xf>
    <xf numFmtId="43" fontId="22" fillId="0" borderId="0" xfId="53" applyFont="1" applyBorder="1"/>
    <xf numFmtId="43" fontId="22" fillId="23" borderId="0" xfId="53" applyFont="1" applyFill="1" applyBorder="1"/>
    <xf numFmtId="43" fontId="22" fillId="24" borderId="0" xfId="53" applyFont="1" applyFill="1" applyBorder="1"/>
    <xf numFmtId="0" fontId="26" fillId="24" borderId="0" xfId="0" applyFont="1" applyFill="1"/>
    <xf numFmtId="0" fontId="19" fillId="0" borderId="9" xfId="638" applyFont="1" applyBorder="1"/>
    <xf numFmtId="0" fontId="19" fillId="0" borderId="9" xfId="638" applyFont="1" applyBorder="1" applyAlignment="1">
      <alignment horizontal="center"/>
    </xf>
    <xf numFmtId="0" fontId="19" fillId="0" borderId="31" xfId="638" applyFont="1" applyBorder="1"/>
    <xf numFmtId="0" fontId="19" fillId="0" borderId="31" xfId="638" applyFont="1" applyBorder="1" applyAlignment="1">
      <alignment horizontal="center"/>
    </xf>
    <xf numFmtId="9" fontId="19" fillId="0" borderId="9" xfId="676" applyFont="1" applyBorder="1" applyAlignment="1">
      <alignment horizontal="center"/>
    </xf>
    <xf numFmtId="0" fontId="19" fillId="0" borderId="31" xfId="638" applyFont="1" applyBorder="1" applyAlignment="1">
      <alignment horizontal="center" vertical="center" textRotation="90"/>
    </xf>
    <xf numFmtId="0" fontId="19" fillId="0" borderId="31" xfId="638" applyFont="1" applyBorder="1" applyAlignment="1">
      <alignment horizontal="left" vertical="center"/>
    </xf>
    <xf numFmtId="9" fontId="19" fillId="0" borderId="31" xfId="676" applyFont="1" applyBorder="1" applyAlignment="1">
      <alignment horizontal="center"/>
    </xf>
    <xf numFmtId="9" fontId="19" fillId="0" borderId="0" xfId="676" applyFont="1" applyBorder="1" applyAlignment="1">
      <alignment horizontal="center"/>
    </xf>
    <xf numFmtId="1" fontId="19" fillId="0" borderId="9" xfId="638" applyNumberFormat="1" applyFont="1" applyBorder="1"/>
    <xf numFmtId="0" fontId="20" fillId="0" borderId="31" xfId="638" applyFont="1" applyBorder="1" applyAlignment="1">
      <alignment horizontal="center" vertical="center"/>
    </xf>
    <xf numFmtId="0" fontId="20" fillId="0" borderId="9" xfId="638" applyFont="1" applyBorder="1" applyAlignment="1">
      <alignment horizontal="center" vertical="center"/>
    </xf>
    <xf numFmtId="0" fontId="20" fillId="16" borderId="9" xfId="638" applyFont="1" applyFill="1" applyBorder="1" applyAlignment="1">
      <alignment horizontal="center" vertical="center"/>
    </xf>
    <xf numFmtId="0" fontId="19" fillId="0" borderId="0" xfId="638" applyFont="1" applyAlignment="1">
      <alignment vertical="center"/>
    </xf>
    <xf numFmtId="9" fontId="19" fillId="0" borderId="9" xfId="676" applyFont="1" applyBorder="1"/>
    <xf numFmtId="0" fontId="22" fillId="0" borderId="0" xfId="0" applyFont="1" applyAlignment="1">
      <alignment horizontal="center" vertical="center"/>
    </xf>
    <xf numFmtId="0" fontId="22" fillId="25" borderId="9" xfId="0" applyFont="1" applyFill="1" applyBorder="1" applyAlignment="1">
      <alignment horizontal="center" vertical="center"/>
    </xf>
    <xf numFmtId="165" fontId="26" fillId="0" borderId="0" xfId="0" applyNumberFormat="1" applyFont="1"/>
    <xf numFmtId="0" fontId="34" fillId="0" borderId="0" xfId="0" applyFont="1"/>
    <xf numFmtId="165" fontId="36" fillId="0" borderId="0" xfId="0" applyNumberFormat="1" applyFont="1"/>
    <xf numFmtId="0" fontId="35" fillId="0" borderId="0" xfId="0" applyFont="1" applyAlignment="1" applyProtection="1">
      <alignment wrapText="1"/>
      <protection locked="0"/>
    </xf>
    <xf numFmtId="0" fontId="34" fillId="0" borderId="0" xfId="0" applyFont="1" applyAlignment="1" applyProtection="1">
      <alignment wrapText="1"/>
      <protection locked="0"/>
    </xf>
    <xf numFmtId="165" fontId="35" fillId="0" borderId="0" xfId="0" applyNumberFormat="1" applyFont="1"/>
    <xf numFmtId="0" fontId="22" fillId="0" borderId="0" xfId="0" applyFont="1" applyAlignment="1" applyProtection="1">
      <alignment horizontal="center" vertical="top" wrapText="1" readingOrder="1"/>
      <protection locked="0"/>
    </xf>
    <xf numFmtId="0" fontId="22" fillId="0" borderId="31" xfId="0" applyFont="1" applyBorder="1" applyAlignment="1" applyProtection="1">
      <alignment horizontal="left" vertical="top" wrapText="1" readingOrder="1"/>
      <protection locked="0"/>
    </xf>
    <xf numFmtId="43" fontId="22" fillId="0" borderId="33" xfId="53" applyFont="1" applyFill="1" applyBorder="1" applyAlignment="1">
      <alignment horizontal="center" readingOrder="1"/>
    </xf>
    <xf numFmtId="0" fontId="22" fillId="0" borderId="33" xfId="0" applyFont="1" applyBorder="1"/>
    <xf numFmtId="0" fontId="22" fillId="0" borderId="0" xfId="0" applyFont="1" applyAlignment="1">
      <alignment horizontal="center"/>
    </xf>
    <xf numFmtId="0" fontId="22" fillId="0" borderId="9" xfId="0" applyFont="1" applyBorder="1" applyAlignment="1" applyProtection="1">
      <alignment horizontal="center" vertical="center" wrapText="1"/>
      <protection locked="0"/>
    </xf>
    <xf numFmtId="0" fontId="22" fillId="0" borderId="9" xfId="53" applyNumberFormat="1" applyFont="1" applyFill="1" applyBorder="1" applyAlignment="1">
      <alignment horizontal="center" vertical="center"/>
    </xf>
    <xf numFmtId="17" fontId="22" fillId="0" borderId="9" xfId="53" applyNumberFormat="1" applyFont="1" applyFill="1" applyBorder="1" applyAlignment="1">
      <alignment horizontal="center" vertical="center"/>
    </xf>
    <xf numFmtId="165" fontId="19" fillId="0" borderId="9" xfId="53" applyNumberFormat="1" applyFont="1" applyBorder="1"/>
    <xf numFmtId="165" fontId="19" fillId="0" borderId="9" xfId="53" applyNumberFormat="1" applyFont="1" applyFill="1" applyBorder="1" applyAlignment="1" applyProtection="1"/>
    <xf numFmtId="165" fontId="19" fillId="0" borderId="9" xfId="56" applyNumberFormat="1" applyFont="1" applyBorder="1"/>
    <xf numFmtId="0" fontId="22" fillId="0" borderId="25" xfId="0" applyFont="1" applyBorder="1" applyAlignment="1" applyProtection="1">
      <alignment horizontal="left" vertical="top" wrapText="1" readingOrder="1"/>
      <protection locked="0"/>
    </xf>
    <xf numFmtId="0" fontId="22" fillId="0" borderId="32" xfId="0" applyFont="1" applyBorder="1" applyAlignment="1" applyProtection="1">
      <alignment horizontal="left" vertical="top" wrapText="1" readingOrder="1"/>
      <protection locked="0"/>
    </xf>
    <xf numFmtId="43" fontId="26" fillId="0" borderId="26" xfId="53" applyFont="1" applyFill="1" applyBorder="1"/>
    <xf numFmtId="0" fontId="26" fillId="0" borderId="9" xfId="53" applyNumberFormat="1" applyFont="1" applyFill="1" applyBorder="1"/>
    <xf numFmtId="165" fontId="23" fillId="0" borderId="9" xfId="53" applyNumberFormat="1" applyFont="1" applyBorder="1" applyAlignment="1" applyProtection="1">
      <alignment vertical="top" wrapText="1" readingOrder="1"/>
      <protection locked="0"/>
    </xf>
    <xf numFmtId="43" fontId="19" fillId="0" borderId="9" xfId="56" applyFont="1" applyFill="1" applyBorder="1"/>
    <xf numFmtId="165" fontId="19" fillId="0" borderId="9" xfId="0" applyNumberFormat="1" applyFont="1" applyBorder="1"/>
    <xf numFmtId="3" fontId="19" fillId="0" borderId="9" xfId="638" applyNumberFormat="1" applyFont="1" applyBorder="1"/>
    <xf numFmtId="40" fontId="26" fillId="18" borderId="9" xfId="53" applyNumberFormat="1" applyFont="1" applyFill="1" applyBorder="1"/>
    <xf numFmtId="40" fontId="26" fillId="18" borderId="9" xfId="53" applyNumberFormat="1" applyFont="1" applyFill="1" applyBorder="1" applyAlignment="1"/>
    <xf numFmtId="40" fontId="19" fillId="0" borderId="9" xfId="53" applyNumberFormat="1" applyFont="1" applyBorder="1"/>
    <xf numFmtId="40" fontId="19" fillId="0" borderId="9" xfId="53" applyNumberFormat="1" applyFont="1" applyFill="1" applyBorder="1"/>
    <xf numFmtId="40" fontId="19" fillId="16" borderId="9" xfId="53" applyNumberFormat="1" applyFont="1" applyFill="1" applyBorder="1"/>
    <xf numFmtId="40" fontId="19" fillId="0" borderId="9" xfId="0" applyNumberFormat="1" applyFont="1" applyBorder="1"/>
    <xf numFmtId="40" fontId="26" fillId="19" borderId="9" xfId="53" applyNumberFormat="1" applyFont="1" applyFill="1" applyBorder="1" applyAlignment="1" applyProtection="1">
      <alignment horizontal="left" vertical="top" wrapText="1" readingOrder="1"/>
      <protection locked="0"/>
    </xf>
    <xf numFmtId="40" fontId="19" fillId="0" borderId="9" xfId="56" applyNumberFormat="1" applyFont="1" applyFill="1" applyBorder="1"/>
    <xf numFmtId="40" fontId="19" fillId="0" borderId="9" xfId="53" applyNumberFormat="1" applyFont="1" applyFill="1" applyBorder="1" applyAlignment="1" applyProtection="1"/>
    <xf numFmtId="40" fontId="19" fillId="16" borderId="9" xfId="0" applyNumberFormat="1" applyFont="1" applyFill="1" applyBorder="1"/>
    <xf numFmtId="40" fontId="22" fillId="18" borderId="9" xfId="53" applyNumberFormat="1" applyFont="1" applyFill="1" applyBorder="1" applyAlignment="1" applyProtection="1">
      <alignment vertical="top" wrapText="1" readingOrder="1"/>
      <protection locked="0"/>
    </xf>
    <xf numFmtId="40" fontId="22" fillId="18" borderId="9" xfId="0" applyNumberFormat="1" applyFont="1" applyFill="1" applyBorder="1" applyAlignment="1" applyProtection="1">
      <alignment vertical="top" wrapText="1" readingOrder="1"/>
      <protection locked="0"/>
    </xf>
    <xf numFmtId="40" fontId="22" fillId="19" borderId="9" xfId="53" applyNumberFormat="1" applyFont="1" applyFill="1" applyBorder="1" applyAlignment="1" applyProtection="1">
      <alignment horizontal="left" vertical="top" wrapText="1" readingOrder="1"/>
      <protection locked="0"/>
    </xf>
    <xf numFmtId="40" fontId="19" fillId="0" borderId="9" xfId="56" applyNumberFormat="1" applyFont="1" applyBorder="1"/>
    <xf numFmtId="40" fontId="37" fillId="0" borderId="9" xfId="56" applyNumberFormat="1" applyFont="1" applyBorder="1"/>
    <xf numFmtId="40" fontId="23" fillId="15" borderId="9" xfId="56" applyNumberFormat="1" applyFont="1" applyFill="1" applyBorder="1"/>
    <xf numFmtId="40" fontId="22" fillId="17" borderId="12" xfId="53" applyNumberFormat="1" applyFont="1" applyFill="1" applyBorder="1" applyAlignment="1" applyProtection="1">
      <alignment horizontal="left" vertical="top" wrapText="1" readingOrder="1"/>
      <protection locked="0"/>
    </xf>
    <xf numFmtId="40" fontId="22" fillId="15" borderId="9" xfId="0" applyNumberFormat="1" applyFont="1" applyFill="1" applyBorder="1" applyAlignment="1" applyProtection="1">
      <alignment vertical="top" wrapText="1" readingOrder="1"/>
      <protection locked="0"/>
    </xf>
    <xf numFmtId="40" fontId="23" fillId="0" borderId="9" xfId="0" applyNumberFormat="1" applyFont="1" applyBorder="1" applyAlignment="1" applyProtection="1">
      <alignment vertical="top" wrapText="1" readingOrder="1"/>
      <protection locked="0"/>
    </xf>
    <xf numFmtId="40" fontId="26" fillId="0" borderId="9" xfId="53" applyNumberFormat="1" applyFont="1" applyBorder="1"/>
    <xf numFmtId="40" fontId="37" fillId="15" borderId="9" xfId="56" applyNumberFormat="1" applyFont="1" applyFill="1" applyBorder="1"/>
    <xf numFmtId="40" fontId="26" fillId="0" borderId="9" xfId="0" applyNumberFormat="1" applyFont="1" applyBorder="1"/>
    <xf numFmtId="40" fontId="26" fillId="21" borderId="9" xfId="53" applyNumberFormat="1" applyFont="1" applyFill="1" applyBorder="1"/>
    <xf numFmtId="40" fontId="22" fillId="0" borderId="9" xfId="53" applyNumberFormat="1" applyFont="1" applyFill="1" applyBorder="1" applyAlignment="1" applyProtection="1">
      <alignment horizontal="left" vertical="top" wrapText="1" readingOrder="1"/>
      <protection locked="0"/>
    </xf>
    <xf numFmtId="40" fontId="22" fillId="19" borderId="0" xfId="53" applyNumberFormat="1" applyFont="1" applyFill="1" applyBorder="1" applyAlignment="1" applyProtection="1">
      <alignment horizontal="left" vertical="top" wrapText="1" readingOrder="1"/>
      <protection locked="0"/>
    </xf>
    <xf numFmtId="40" fontId="26" fillId="0" borderId="0" xfId="53" applyNumberFormat="1" applyFont="1" applyBorder="1"/>
    <xf numFmtId="40" fontId="26" fillId="22" borderId="0" xfId="53" applyNumberFormat="1" applyFont="1" applyFill="1" applyBorder="1"/>
    <xf numFmtId="40" fontId="22" fillId="19" borderId="0" xfId="0" applyNumberFormat="1" applyFont="1" applyFill="1" applyAlignment="1" applyProtection="1">
      <alignment horizontal="left" vertical="top" wrapText="1" readingOrder="1"/>
      <protection locked="0"/>
    </xf>
    <xf numFmtId="40" fontId="19" fillId="0" borderId="0" xfId="56" applyNumberFormat="1" applyFont="1"/>
    <xf numFmtId="40" fontId="19" fillId="0" borderId="8" xfId="56" applyNumberFormat="1" applyFont="1" applyFill="1" applyBorder="1"/>
    <xf numFmtId="40" fontId="19" fillId="0" borderId="0" xfId="56" applyNumberFormat="1" applyFont="1" applyBorder="1"/>
    <xf numFmtId="40" fontId="20" fillId="16" borderId="0" xfId="0" applyNumberFormat="1" applyFont="1" applyFill="1"/>
    <xf numFmtId="49" fontId="22" fillId="25" borderId="9" xfId="0" applyNumberFormat="1" applyFont="1" applyFill="1" applyBorder="1" applyAlignment="1">
      <alignment horizontal="center" vertical="center"/>
    </xf>
    <xf numFmtId="165" fontId="19" fillId="0" borderId="12" xfId="53" applyNumberFormat="1" applyFont="1" applyFill="1" applyBorder="1" applyAlignment="1" applyProtection="1"/>
    <xf numFmtId="165" fontId="19" fillId="0" borderId="11" xfId="53" applyNumberFormat="1" applyFont="1" applyFill="1" applyBorder="1" applyAlignment="1" applyProtection="1"/>
    <xf numFmtId="165" fontId="19" fillId="0" borderId="38" xfId="53" applyNumberFormat="1" applyFont="1" applyFill="1" applyBorder="1" applyAlignment="1" applyProtection="1"/>
    <xf numFmtId="165" fontId="19" fillId="16" borderId="9" xfId="53" applyNumberFormat="1" applyFont="1" applyFill="1" applyBorder="1" applyAlignment="1" applyProtection="1"/>
    <xf numFmtId="40" fontId="19" fillId="16" borderId="9" xfId="53" applyNumberFormat="1" applyFont="1" applyFill="1" applyBorder="1" applyAlignment="1" applyProtection="1"/>
    <xf numFmtId="17" fontId="22" fillId="25" borderId="9" xfId="0" applyNumberFormat="1" applyFont="1" applyFill="1" applyBorder="1" applyAlignment="1">
      <alignment horizontal="center" vertical="center"/>
    </xf>
    <xf numFmtId="0" fontId="34" fillId="0" borderId="52" xfId="0" applyFont="1" applyBorder="1"/>
    <xf numFmtId="0" fontId="34" fillId="0" borderId="21" xfId="0" applyFont="1" applyBorder="1"/>
    <xf numFmtId="0" fontId="34" fillId="0" borderId="53" xfId="0" applyFont="1" applyBorder="1"/>
    <xf numFmtId="43" fontId="34" fillId="0" borderId="0" xfId="0" applyNumberFormat="1" applyFont="1"/>
    <xf numFmtId="9" fontId="34" fillId="0" borderId="0" xfId="676" applyFont="1"/>
    <xf numFmtId="173" fontId="39" fillId="0" borderId="62" xfId="687" applyNumberFormat="1" applyFont="1" applyBorder="1" applyAlignment="1" applyProtection="1">
      <alignment vertical="top" readingOrder="1"/>
      <protection locked="0"/>
    </xf>
    <xf numFmtId="173" fontId="39" fillId="26" borderId="62" xfId="687" applyNumberFormat="1" applyFont="1" applyFill="1" applyBorder="1" applyAlignment="1" applyProtection="1">
      <alignment vertical="top" readingOrder="1"/>
      <protection locked="0"/>
    </xf>
    <xf numFmtId="173" fontId="39" fillId="0" borderId="62" xfId="0" applyNumberFormat="1" applyFont="1" applyBorder="1" applyAlignment="1" applyProtection="1">
      <alignment vertical="top" wrapText="1" readingOrder="1"/>
      <protection locked="0"/>
    </xf>
    <xf numFmtId="173" fontId="39" fillId="0" borderId="62" xfId="0" applyNumberFormat="1" applyFont="1" applyBorder="1" applyAlignment="1" applyProtection="1">
      <alignment vertical="top" readingOrder="1"/>
      <protection locked="0"/>
    </xf>
    <xf numFmtId="173" fontId="39" fillId="26" borderId="62" xfId="0" applyNumberFormat="1" applyFont="1" applyFill="1" applyBorder="1" applyAlignment="1" applyProtection="1">
      <alignment vertical="top" wrapText="1" readingOrder="1"/>
      <protection locked="0"/>
    </xf>
    <xf numFmtId="165" fontId="34" fillId="0" borderId="0" xfId="53" applyNumberFormat="1" applyFont="1"/>
    <xf numFmtId="16" fontId="34" fillId="0" borderId="0" xfId="0" applyNumberFormat="1" applyFont="1"/>
    <xf numFmtId="173" fontId="39" fillId="0" borderId="63" xfId="0" applyNumberFormat="1" applyFont="1" applyBorder="1" applyAlignment="1" applyProtection="1">
      <alignment vertical="top" wrapText="1" readingOrder="1"/>
      <protection locked="0"/>
    </xf>
    <xf numFmtId="2" fontId="22" fillId="0" borderId="33" xfId="676" applyNumberFormat="1" applyFont="1" applyFill="1" applyBorder="1" applyAlignment="1">
      <alignment horizontal="center" readingOrder="1"/>
    </xf>
    <xf numFmtId="173" fontId="39" fillId="16" borderId="62" xfId="0" applyNumberFormat="1" applyFont="1" applyFill="1" applyBorder="1" applyAlignment="1" applyProtection="1">
      <alignment vertical="top" wrapText="1" readingOrder="1"/>
      <protection locked="0"/>
    </xf>
    <xf numFmtId="0" fontId="19" fillId="0" borderId="9" xfId="638" applyFont="1" applyBorder="1" applyAlignment="1">
      <alignment horizontal="center" vertical="distributed" textRotation="90"/>
    </xf>
    <xf numFmtId="0" fontId="22" fillId="0" borderId="12" xfId="0" applyFont="1" applyBorder="1" applyAlignment="1" applyProtection="1">
      <alignment vertical="top" wrapText="1" readingOrder="1"/>
      <protection locked="0"/>
    </xf>
    <xf numFmtId="0" fontId="22" fillId="0" borderId="38" xfId="0" applyFont="1" applyBorder="1" applyAlignment="1" applyProtection="1">
      <alignment vertical="top" wrapText="1" readingOrder="1"/>
      <protection locked="0"/>
    </xf>
    <xf numFmtId="2" fontId="26" fillId="0" borderId="0" xfId="676" applyNumberFormat="1" applyFont="1" applyFill="1" applyBorder="1"/>
    <xf numFmtId="174" fontId="26" fillId="0" borderId="9" xfId="53" applyNumberFormat="1" applyFont="1" applyFill="1" applyBorder="1" applyAlignment="1"/>
    <xf numFmtId="165" fontId="20" fillId="0" borderId="9" xfId="56" applyNumberFormat="1" applyFont="1" applyBorder="1"/>
    <xf numFmtId="0" fontId="20" fillId="0" borderId="9" xfId="0" applyFont="1" applyBorder="1"/>
    <xf numFmtId="17" fontId="22" fillId="0" borderId="0" xfId="0" applyNumberFormat="1" applyFont="1" applyAlignment="1">
      <alignment horizontal="center" vertical="center"/>
    </xf>
    <xf numFmtId="49" fontId="22" fillId="0" borderId="9" xfId="0" applyNumberFormat="1" applyFont="1" applyBorder="1" applyAlignment="1">
      <alignment horizontal="center" vertical="center"/>
    </xf>
    <xf numFmtId="0" fontId="20" fillId="0" borderId="9" xfId="638" applyFont="1" applyBorder="1"/>
    <xf numFmtId="0" fontId="26" fillId="0" borderId="9" xfId="0" applyFont="1" applyBorder="1"/>
    <xf numFmtId="9" fontId="26" fillId="0" borderId="9" xfId="0" applyNumberFormat="1" applyFont="1" applyBorder="1"/>
    <xf numFmtId="49" fontId="22" fillId="0" borderId="9" xfId="0" applyNumberFormat="1" applyFont="1" applyBorder="1"/>
    <xf numFmtId="43" fontId="22" fillId="0" borderId="12" xfId="56" applyFont="1" applyBorder="1"/>
    <xf numFmtId="0" fontId="29" fillId="0" borderId="12" xfId="0" applyFont="1" applyBorder="1"/>
    <xf numFmtId="0" fontId="19" fillId="16" borderId="16" xfId="0" applyFont="1" applyFill="1" applyBorder="1"/>
    <xf numFmtId="0" fontId="22" fillId="0" borderId="64" xfId="0" applyFont="1" applyBorder="1"/>
    <xf numFmtId="0" fontId="22" fillId="0" borderId="12" xfId="0" applyFont="1" applyBorder="1"/>
    <xf numFmtId="0" fontId="22" fillId="0" borderId="16" xfId="0" applyFont="1" applyBorder="1"/>
    <xf numFmtId="9" fontId="29" fillId="0" borderId="12" xfId="678" applyFont="1" applyBorder="1"/>
    <xf numFmtId="0" fontId="30" fillId="0" borderId="12" xfId="0" applyFont="1" applyBorder="1"/>
    <xf numFmtId="0" fontId="29" fillId="0" borderId="16" xfId="0" applyFont="1" applyBorder="1"/>
    <xf numFmtId="0" fontId="30" fillId="0" borderId="64" xfId="0" applyFont="1" applyBorder="1"/>
    <xf numFmtId="0" fontId="19" fillId="0" borderId="64" xfId="0" applyFont="1" applyBorder="1"/>
    <xf numFmtId="0" fontId="24" fillId="0" borderId="12" xfId="0" applyFont="1" applyBorder="1"/>
    <xf numFmtId="0" fontId="31" fillId="0" borderId="27" xfId="0" applyFont="1" applyBorder="1"/>
    <xf numFmtId="0" fontId="19" fillId="0" borderId="28" xfId="0" applyFont="1" applyBorder="1"/>
    <xf numFmtId="0" fontId="19" fillId="0" borderId="29" xfId="0" applyFont="1" applyBorder="1"/>
    <xf numFmtId="165" fontId="26" fillId="0" borderId="9" xfId="0" applyNumberFormat="1" applyFont="1" applyBorder="1"/>
    <xf numFmtId="38" fontId="26" fillId="0" borderId="9" xfId="0" applyNumberFormat="1" applyFont="1" applyBorder="1"/>
    <xf numFmtId="43" fontId="26" fillId="0" borderId="9" xfId="0" applyNumberFormat="1" applyFont="1" applyBorder="1"/>
    <xf numFmtId="171" fontId="19" fillId="0" borderId="9" xfId="0" applyNumberFormat="1" applyFont="1" applyBorder="1"/>
    <xf numFmtId="0" fontId="21" fillId="8" borderId="9" xfId="638" applyFont="1" applyFill="1" applyBorder="1"/>
    <xf numFmtId="172" fontId="26" fillId="0" borderId="9" xfId="0" applyNumberFormat="1" applyFont="1" applyBorder="1"/>
    <xf numFmtId="0" fontId="19" fillId="15" borderId="9" xfId="638" applyFont="1" applyFill="1" applyBorder="1"/>
    <xf numFmtId="14" fontId="26" fillId="0" borderId="9" xfId="0" applyNumberFormat="1" applyFont="1" applyBorder="1"/>
    <xf numFmtId="0" fontId="24" fillId="0" borderId="9" xfId="638" applyFont="1" applyBorder="1"/>
    <xf numFmtId="0" fontId="25" fillId="15" borderId="9" xfId="638" applyFont="1" applyFill="1" applyBorder="1"/>
    <xf numFmtId="0" fontId="20" fillId="15" borderId="9" xfId="638" applyFont="1" applyFill="1" applyBorder="1"/>
    <xf numFmtId="172" fontId="19" fillId="15" borderId="9" xfId="678" applyNumberFormat="1" applyFont="1" applyFill="1" applyBorder="1"/>
    <xf numFmtId="17" fontId="22" fillId="0" borderId="9" xfId="0" applyNumberFormat="1" applyFont="1" applyBorder="1"/>
    <xf numFmtId="173" fontId="39" fillId="0" borderId="0" xfId="0" applyNumberFormat="1" applyFont="1" applyAlignment="1" applyProtection="1">
      <alignment vertical="top" wrapText="1" readingOrder="1"/>
      <protection locked="0"/>
    </xf>
    <xf numFmtId="174" fontId="26" fillId="0" borderId="0" xfId="53" applyNumberFormat="1" applyFont="1" applyFill="1" applyBorder="1" applyAlignment="1"/>
    <xf numFmtId="174" fontId="26" fillId="0" borderId="33" xfId="53" applyNumberFormat="1" applyFont="1" applyFill="1" applyBorder="1" applyAlignment="1"/>
    <xf numFmtId="173" fontId="39" fillId="26" borderId="0" xfId="0" applyNumberFormat="1" applyFont="1" applyFill="1" applyAlignment="1" applyProtection="1">
      <alignment vertical="top" wrapText="1" readingOrder="1"/>
      <protection locked="0"/>
    </xf>
    <xf numFmtId="173" fontId="39" fillId="0" borderId="65" xfId="0" applyNumberFormat="1" applyFont="1" applyBorder="1" applyAlignment="1" applyProtection="1">
      <alignment vertical="top" wrapText="1" readingOrder="1"/>
      <protection locked="0"/>
    </xf>
    <xf numFmtId="49" fontId="22" fillId="25" borderId="0" xfId="0" applyNumberFormat="1" applyFont="1" applyFill="1" applyAlignment="1">
      <alignment horizontal="center" vertical="center"/>
    </xf>
    <xf numFmtId="173" fontId="39" fillId="26" borderId="62" xfId="0" applyNumberFormat="1" applyFont="1" applyFill="1" applyBorder="1" applyAlignment="1" applyProtection="1">
      <alignment vertical="top" readingOrder="1"/>
      <protection locked="0"/>
    </xf>
    <xf numFmtId="173" fontId="39" fillId="0" borderId="0" xfId="0" applyNumberFormat="1" applyFont="1" applyAlignment="1" applyProtection="1">
      <alignment vertical="top" readingOrder="1"/>
      <protection locked="0"/>
    </xf>
    <xf numFmtId="173" fontId="39" fillId="26" borderId="0" xfId="0" applyNumberFormat="1" applyFont="1" applyFill="1" applyAlignment="1" applyProtection="1">
      <alignment vertical="top" readingOrder="1"/>
      <protection locked="0"/>
    </xf>
    <xf numFmtId="173" fontId="39" fillId="0" borderId="66" xfId="0" applyNumberFormat="1" applyFont="1" applyBorder="1" applyAlignment="1" applyProtection="1">
      <alignment vertical="top" wrapText="1" readingOrder="1"/>
      <protection locked="0"/>
    </xf>
    <xf numFmtId="0" fontId="34" fillId="0" borderId="0" xfId="0" applyFont="1" applyAlignment="1" applyProtection="1">
      <alignment horizontal="left" wrapText="1"/>
      <protection locked="0"/>
    </xf>
    <xf numFmtId="0" fontId="34" fillId="0" borderId="0" xfId="0" applyFont="1" applyAlignment="1">
      <alignment wrapText="1"/>
    </xf>
    <xf numFmtId="0" fontId="34" fillId="0" borderId="41" xfId="0" applyFont="1" applyBorder="1" applyAlignment="1">
      <alignment wrapText="1"/>
    </xf>
    <xf numFmtId="0" fontId="35" fillId="0" borderId="57" xfId="0" applyFont="1" applyBorder="1" applyAlignment="1">
      <alignment wrapText="1"/>
    </xf>
    <xf numFmtId="165" fontId="34" fillId="0" borderId="0" xfId="53" applyNumberFormat="1" applyFont="1" applyBorder="1" applyAlignment="1">
      <alignment wrapText="1"/>
    </xf>
    <xf numFmtId="43" fontId="35" fillId="0" borderId="20" xfId="0" applyNumberFormat="1" applyFont="1" applyBorder="1" applyAlignment="1">
      <alignment wrapText="1"/>
    </xf>
    <xf numFmtId="43" fontId="35" fillId="0" borderId="0" xfId="0" applyNumberFormat="1" applyFont="1" applyAlignment="1">
      <alignment wrapText="1"/>
    </xf>
    <xf numFmtId="43" fontId="35" fillId="0" borderId="54" xfId="0" applyNumberFormat="1" applyFont="1" applyBorder="1" applyAlignment="1">
      <alignment wrapText="1"/>
    </xf>
    <xf numFmtId="43" fontId="35" fillId="0" borderId="55" xfId="53" applyFont="1" applyBorder="1" applyAlignment="1">
      <alignment wrapText="1"/>
    </xf>
    <xf numFmtId="43" fontId="35" fillId="0" borderId="40" xfId="53" applyFont="1" applyBorder="1" applyAlignment="1">
      <alignment wrapText="1"/>
    </xf>
    <xf numFmtId="43" fontId="35" fillId="0" borderId="40" xfId="0" applyNumberFormat="1" applyFont="1" applyBorder="1" applyAlignment="1">
      <alignment wrapText="1"/>
    </xf>
    <xf numFmtId="43" fontId="35" fillId="0" borderId="56" xfId="0" applyNumberFormat="1" applyFont="1" applyBorder="1" applyAlignment="1">
      <alignment wrapText="1"/>
    </xf>
    <xf numFmtId="43" fontId="35" fillId="0" borderId="55" xfId="53" applyFont="1" applyBorder="1" applyAlignment="1" applyProtection="1">
      <alignment wrapText="1"/>
    </xf>
    <xf numFmtId="43" fontId="35" fillId="0" borderId="40" xfId="53" applyFont="1" applyBorder="1" applyAlignment="1" applyProtection="1">
      <alignment wrapText="1"/>
    </xf>
    <xf numFmtId="0" fontId="35" fillId="0" borderId="40" xfId="0" applyFont="1" applyBorder="1" applyAlignment="1">
      <alignment wrapText="1"/>
    </xf>
    <xf numFmtId="43" fontId="35" fillId="0" borderId="56" xfId="53" applyFont="1" applyBorder="1" applyAlignment="1" applyProtection="1">
      <alignment wrapText="1"/>
    </xf>
    <xf numFmtId="43" fontId="35" fillId="0" borderId="0" xfId="53" applyFont="1" applyBorder="1" applyAlignment="1" applyProtection="1">
      <alignment wrapText="1"/>
    </xf>
    <xf numFmtId="0" fontId="35" fillId="0" borderId="9" xfId="0" applyFont="1" applyBorder="1" applyAlignment="1">
      <alignment wrapText="1"/>
    </xf>
    <xf numFmtId="43" fontId="35" fillId="0" borderId="9" xfId="0" applyNumberFormat="1" applyFont="1" applyBorder="1" applyAlignment="1">
      <alignment wrapText="1"/>
    </xf>
    <xf numFmtId="0" fontId="34" fillId="0" borderId="58" xfId="0" applyFont="1" applyBorder="1" applyAlignment="1">
      <alignment wrapText="1"/>
    </xf>
    <xf numFmtId="43" fontId="35" fillId="0" borderId="59" xfId="53" applyFont="1" applyBorder="1" applyAlignment="1">
      <alignment wrapText="1"/>
    </xf>
    <xf numFmtId="43" fontId="35" fillId="0" borderId="60" xfId="53" applyFont="1" applyBorder="1" applyAlignment="1">
      <alignment wrapText="1"/>
    </xf>
    <xf numFmtId="43" fontId="35" fillId="0" borderId="61" xfId="53" applyFont="1" applyBorder="1" applyAlignment="1">
      <alignment wrapText="1"/>
    </xf>
    <xf numFmtId="0" fontId="35" fillId="0" borderId="0" xfId="0" applyFont="1" applyAlignment="1">
      <alignment horizontal="left" wrapText="1"/>
    </xf>
    <xf numFmtId="0" fontId="40" fillId="0" borderId="0" xfId="0" applyFont="1"/>
    <xf numFmtId="0" fontId="41" fillId="0" borderId="0" xfId="0" applyFont="1" applyAlignment="1">
      <alignment horizontal="center"/>
    </xf>
    <xf numFmtId="164" fontId="40" fillId="0" borderId="0" xfId="53" applyNumberFormat="1" applyFont="1"/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19" fillId="0" borderId="39" xfId="0" applyFont="1" applyBorder="1" applyAlignment="1">
      <alignment wrapText="1"/>
    </xf>
    <xf numFmtId="0" fontId="20" fillId="0" borderId="0" xfId="0" applyFont="1" applyAlignment="1">
      <alignment horizontal="center" wrapText="1"/>
    </xf>
    <xf numFmtId="0" fontId="20" fillId="0" borderId="39" xfId="0" applyFont="1" applyBorder="1" applyAlignment="1">
      <alignment wrapText="1"/>
    </xf>
    <xf numFmtId="49" fontId="20" fillId="0" borderId="39" xfId="0" applyNumberFormat="1" applyFont="1" applyBorder="1" applyAlignment="1" applyProtection="1">
      <alignment horizontal="right" wrapText="1"/>
      <protection locked="0"/>
    </xf>
    <xf numFmtId="49" fontId="20" fillId="0" borderId="0" xfId="0" applyNumberFormat="1" applyFont="1" applyAlignment="1" applyProtection="1">
      <alignment horizontal="right" wrapText="1"/>
      <protection locked="0"/>
    </xf>
    <xf numFmtId="0" fontId="20" fillId="0" borderId="40" xfId="0" applyFont="1" applyBorder="1" applyAlignment="1" applyProtection="1">
      <alignment horizontal="right" wrapText="1"/>
      <protection locked="0"/>
    </xf>
    <xf numFmtId="0" fontId="20" fillId="0" borderId="0" xfId="0" applyFont="1" applyAlignment="1" applyProtection="1">
      <alignment horizontal="right" wrapText="1"/>
      <protection locked="0"/>
    </xf>
    <xf numFmtId="0" fontId="19" fillId="0" borderId="41" xfId="0" applyFont="1" applyBorder="1" applyAlignment="1">
      <alignment wrapText="1"/>
    </xf>
    <xf numFmtId="49" fontId="20" fillId="0" borderId="9" xfId="0" applyNumberFormat="1" applyFont="1" applyBorder="1" applyAlignment="1" applyProtection="1">
      <alignment horizontal="right"/>
      <protection locked="0"/>
    </xf>
    <xf numFmtId="49" fontId="20" fillId="0" borderId="0" xfId="0" applyNumberFormat="1" applyFont="1" applyAlignment="1" applyProtection="1">
      <alignment horizontal="right"/>
      <protection locked="0"/>
    </xf>
    <xf numFmtId="0" fontId="19" fillId="0" borderId="0" xfId="0" applyFont="1" applyAlignment="1">
      <alignment horizontal="center" wrapText="1"/>
    </xf>
    <xf numFmtId="0" fontId="19" fillId="0" borderId="19" xfId="0" applyFont="1" applyBorder="1"/>
    <xf numFmtId="16" fontId="19" fillId="0" borderId="6" xfId="0" applyNumberFormat="1" applyFont="1" applyBorder="1"/>
    <xf numFmtId="0" fontId="19" fillId="0" borderId="67" xfId="0" applyFont="1" applyBorder="1"/>
    <xf numFmtId="0" fontId="20" fillId="0" borderId="41" xfId="0" applyFont="1" applyBorder="1" applyAlignment="1">
      <alignment wrapText="1"/>
    </xf>
    <xf numFmtId="0" fontId="20" fillId="0" borderId="45" xfId="0" applyFont="1" applyBorder="1" applyAlignment="1">
      <alignment wrapText="1"/>
    </xf>
    <xf numFmtId="0" fontId="20" fillId="0" borderId="46" xfId="0" applyFont="1" applyBorder="1" applyAlignment="1">
      <alignment wrapText="1"/>
    </xf>
    <xf numFmtId="0" fontId="19" fillId="0" borderId="39" xfId="0" applyFont="1" applyBorder="1"/>
    <xf numFmtId="0" fontId="20" fillId="0" borderId="39" xfId="0" applyFont="1" applyBorder="1"/>
    <xf numFmtId="165" fontId="19" fillId="0" borderId="39" xfId="53" applyNumberFormat="1" applyFont="1" applyBorder="1" applyAlignment="1" applyProtection="1">
      <protection locked="0"/>
    </xf>
    <xf numFmtId="9" fontId="19" fillId="0" borderId="39" xfId="676" applyFont="1" applyBorder="1" applyAlignment="1" applyProtection="1">
      <alignment horizontal="center"/>
    </xf>
    <xf numFmtId="43" fontId="19" fillId="0" borderId="41" xfId="0" applyNumberFormat="1" applyFont="1" applyBorder="1"/>
    <xf numFmtId="0" fontId="20" fillId="0" borderId="45" xfId="0" applyFont="1" applyBorder="1"/>
    <xf numFmtId="0" fontId="20" fillId="0" borderId="46" xfId="0" applyFont="1" applyBorder="1"/>
    <xf numFmtId="43" fontId="19" fillId="0" borderId="39" xfId="53" applyFont="1" applyBorder="1" applyAlignment="1" applyProtection="1">
      <alignment wrapText="1"/>
      <protection locked="0"/>
    </xf>
    <xf numFmtId="9" fontId="19" fillId="0" borderId="39" xfId="676" applyFont="1" applyBorder="1" applyAlignment="1" applyProtection="1">
      <alignment horizontal="center" wrapText="1"/>
    </xf>
    <xf numFmtId="43" fontId="19" fillId="0" borderId="41" xfId="53" applyFont="1" applyBorder="1" applyAlignment="1" applyProtection="1">
      <alignment wrapText="1"/>
    </xf>
    <xf numFmtId="43" fontId="19" fillId="0" borderId="45" xfId="53" applyFont="1" applyBorder="1" applyAlignment="1">
      <alignment wrapText="1"/>
    </xf>
    <xf numFmtId="43" fontId="19" fillId="0" borderId="39" xfId="53" applyFont="1" applyBorder="1" applyAlignment="1">
      <alignment wrapText="1"/>
    </xf>
    <xf numFmtId="43" fontId="19" fillId="0" borderId="39" xfId="53" applyFont="1" applyBorder="1" applyAlignment="1">
      <alignment horizontal="center" wrapText="1"/>
    </xf>
    <xf numFmtId="43" fontId="19" fillId="0" borderId="46" xfId="53" applyFont="1" applyBorder="1" applyAlignment="1">
      <alignment wrapText="1"/>
    </xf>
    <xf numFmtId="43" fontId="19" fillId="0" borderId="45" xfId="53" applyFont="1" applyBorder="1" applyAlignment="1" applyProtection="1">
      <alignment wrapText="1"/>
      <protection locked="0"/>
    </xf>
    <xf numFmtId="43" fontId="19" fillId="0" borderId="46" xfId="53" applyFont="1" applyBorder="1" applyAlignment="1" applyProtection="1">
      <alignment wrapText="1"/>
    </xf>
    <xf numFmtId="43" fontId="19" fillId="0" borderId="20" xfId="53" applyFont="1" applyBorder="1"/>
    <xf numFmtId="43" fontId="19" fillId="0" borderId="0" xfId="53" applyFont="1" applyBorder="1"/>
    <xf numFmtId="0" fontId="19" fillId="0" borderId="45" xfId="0" applyFont="1" applyBorder="1" applyAlignment="1" applyProtection="1">
      <alignment wrapText="1"/>
      <protection locked="0"/>
    </xf>
    <xf numFmtId="165" fontId="19" fillId="0" borderId="39" xfId="53" applyNumberFormat="1" applyFont="1" applyBorder="1" applyAlignment="1" applyProtection="1">
      <alignment wrapText="1"/>
      <protection locked="0"/>
    </xf>
    <xf numFmtId="165" fontId="19" fillId="0" borderId="39" xfId="53" applyNumberFormat="1" applyFont="1" applyBorder="1" applyAlignment="1" applyProtection="1">
      <alignment horizontal="center" wrapText="1"/>
    </xf>
    <xf numFmtId="165" fontId="19" fillId="0" borderId="46" xfId="53" applyNumberFormat="1" applyFont="1" applyBorder="1" applyAlignment="1" applyProtection="1">
      <alignment wrapText="1"/>
    </xf>
    <xf numFmtId="43" fontId="20" fillId="0" borderId="41" xfId="53" applyFont="1" applyBorder="1" applyAlignment="1" applyProtection="1">
      <alignment wrapText="1"/>
    </xf>
    <xf numFmtId="165" fontId="19" fillId="0" borderId="41" xfId="53" applyNumberFormat="1" applyFont="1" applyBorder="1" applyAlignment="1" applyProtection="1">
      <alignment wrapText="1"/>
      <protection locked="0"/>
    </xf>
    <xf numFmtId="1" fontId="20" fillId="0" borderId="45" xfId="0" applyNumberFormat="1" applyFont="1" applyBorder="1" applyAlignment="1">
      <alignment wrapText="1"/>
    </xf>
    <xf numFmtId="43" fontId="20" fillId="0" borderId="39" xfId="53" applyFont="1" applyBorder="1" applyAlignment="1">
      <alignment wrapText="1"/>
    </xf>
    <xf numFmtId="1" fontId="20" fillId="0" borderId="39" xfId="0" applyNumberFormat="1" applyFont="1" applyBorder="1" applyAlignment="1">
      <alignment wrapText="1"/>
    </xf>
    <xf numFmtId="43" fontId="20" fillId="0" borderId="46" xfId="53" applyFont="1" applyBorder="1" applyAlignment="1">
      <alignment wrapText="1"/>
    </xf>
    <xf numFmtId="43" fontId="20" fillId="0" borderId="45" xfId="53" applyFont="1" applyBorder="1" applyAlignment="1">
      <alignment wrapText="1"/>
    </xf>
    <xf numFmtId="165" fontId="20" fillId="0" borderId="39" xfId="53" applyNumberFormat="1" applyFont="1" applyBorder="1" applyAlignment="1" applyProtection="1">
      <alignment wrapText="1"/>
    </xf>
    <xf numFmtId="165" fontId="20" fillId="0" borderId="46" xfId="53" applyNumberFormat="1" applyFont="1" applyBorder="1" applyAlignment="1" applyProtection="1">
      <alignment wrapText="1"/>
    </xf>
    <xf numFmtId="0" fontId="19" fillId="0" borderId="45" xfId="0" applyFont="1" applyBorder="1" applyAlignment="1">
      <alignment wrapText="1"/>
    </xf>
    <xf numFmtId="4" fontId="19" fillId="0" borderId="39" xfId="0" applyNumberFormat="1" applyFont="1" applyBorder="1" applyAlignment="1">
      <alignment wrapText="1"/>
    </xf>
    <xf numFmtId="4" fontId="19" fillId="0" borderId="46" xfId="0" applyNumberFormat="1" applyFont="1" applyBorder="1" applyAlignment="1">
      <alignment wrapText="1"/>
    </xf>
    <xf numFmtId="9" fontId="19" fillId="0" borderId="39" xfId="676" applyFont="1" applyBorder="1" applyAlignment="1" applyProtection="1">
      <alignment wrapText="1"/>
      <protection locked="0"/>
    </xf>
    <xf numFmtId="0" fontId="19" fillId="0" borderId="46" xfId="0" applyFont="1" applyBorder="1" applyAlignment="1" applyProtection="1">
      <alignment wrapText="1"/>
      <protection locked="0"/>
    </xf>
    <xf numFmtId="43" fontId="19" fillId="0" borderId="46" xfId="53" applyFont="1" applyBorder="1" applyAlignment="1" applyProtection="1">
      <alignment wrapText="1"/>
      <protection locked="0"/>
    </xf>
    <xf numFmtId="165" fontId="19" fillId="0" borderId="46" xfId="53" applyNumberFormat="1" applyFont="1" applyBorder="1" applyAlignment="1" applyProtection="1">
      <alignment wrapText="1"/>
      <protection locked="0"/>
    </xf>
    <xf numFmtId="9" fontId="19" fillId="0" borderId="39" xfId="0" applyNumberFormat="1" applyFont="1" applyBorder="1" applyAlignment="1">
      <alignment horizontal="center" wrapText="1"/>
    </xf>
    <xf numFmtId="9" fontId="19" fillId="0" borderId="39" xfId="676" applyFont="1" applyBorder="1" applyAlignment="1" applyProtection="1">
      <alignment horizontal="center" wrapText="1"/>
      <protection locked="0"/>
    </xf>
    <xf numFmtId="165" fontId="20" fillId="0" borderId="41" xfId="53" applyNumberFormat="1" applyFont="1" applyBorder="1" applyAlignment="1" applyProtection="1">
      <alignment wrapText="1"/>
    </xf>
    <xf numFmtId="0" fontId="19" fillId="0" borderId="46" xfId="0" applyFont="1" applyBorder="1" applyAlignment="1">
      <alignment wrapText="1"/>
    </xf>
    <xf numFmtId="43" fontId="20" fillId="0" borderId="45" xfId="53" applyFont="1" applyBorder="1" applyAlignment="1" applyProtection="1">
      <alignment wrapText="1"/>
    </xf>
    <xf numFmtId="43" fontId="20" fillId="0" borderId="39" xfId="53" applyFont="1" applyBorder="1" applyAlignment="1" applyProtection="1">
      <alignment wrapText="1"/>
    </xf>
    <xf numFmtId="43" fontId="20" fillId="0" borderId="46" xfId="53" applyFont="1" applyBorder="1" applyAlignment="1" applyProtection="1">
      <alignment wrapText="1"/>
    </xf>
    <xf numFmtId="165" fontId="19" fillId="0" borderId="43" xfId="53" applyNumberFormat="1" applyFont="1" applyBorder="1" applyAlignment="1">
      <alignment wrapText="1"/>
    </xf>
    <xf numFmtId="43" fontId="20" fillId="0" borderId="45" xfId="0" applyNumberFormat="1" applyFont="1" applyBorder="1" applyAlignment="1">
      <alignment wrapText="1"/>
    </xf>
    <xf numFmtId="43" fontId="20" fillId="0" borderId="39" xfId="0" applyNumberFormat="1" applyFont="1" applyBorder="1" applyAlignment="1">
      <alignment wrapText="1"/>
    </xf>
    <xf numFmtId="43" fontId="20" fillId="0" borderId="46" xfId="0" applyNumberFormat="1" applyFont="1" applyBorder="1" applyAlignment="1">
      <alignment wrapText="1"/>
    </xf>
    <xf numFmtId="43" fontId="20" fillId="0" borderId="47" xfId="53" applyFont="1" applyBorder="1" applyAlignment="1" applyProtection="1">
      <alignment wrapText="1"/>
    </xf>
    <xf numFmtId="43" fontId="20" fillId="0" borderId="48" xfId="53" applyFont="1" applyBorder="1" applyAlignment="1" applyProtection="1">
      <alignment wrapText="1"/>
    </xf>
    <xf numFmtId="43" fontId="20" fillId="0" borderId="49" xfId="53" applyFont="1" applyBorder="1" applyAlignment="1" applyProtection="1">
      <alignment wrapText="1"/>
    </xf>
    <xf numFmtId="0" fontId="20" fillId="0" borderId="47" xfId="0" applyFont="1" applyBorder="1" applyAlignment="1">
      <alignment wrapText="1"/>
    </xf>
    <xf numFmtId="165" fontId="20" fillId="0" borderId="48" xfId="53" applyNumberFormat="1" applyFont="1" applyBorder="1" applyAlignment="1" applyProtection="1">
      <alignment wrapText="1"/>
    </xf>
    <xf numFmtId="165" fontId="20" fillId="0" borderId="49" xfId="53" applyNumberFormat="1" applyFont="1" applyBorder="1" applyAlignment="1" applyProtection="1">
      <alignment wrapText="1"/>
    </xf>
    <xf numFmtId="0" fontId="42" fillId="0" borderId="68" xfId="0" applyFont="1" applyBorder="1" applyAlignment="1" applyProtection="1">
      <alignment vertical="top" wrapText="1" readingOrder="1"/>
      <protection locked="0"/>
    </xf>
    <xf numFmtId="176" fontId="43" fillId="0" borderId="68" xfId="0" applyNumberFormat="1" applyFont="1" applyBorder="1" applyAlignment="1" applyProtection="1">
      <alignment vertical="top" wrapText="1" readingOrder="1"/>
      <protection locked="0"/>
    </xf>
    <xf numFmtId="175" fontId="43" fillId="0" borderId="68" xfId="0" applyNumberFormat="1" applyFont="1" applyBorder="1" applyAlignment="1" applyProtection="1">
      <alignment vertical="top" wrapText="1" readingOrder="1"/>
      <protection locked="0"/>
    </xf>
    <xf numFmtId="178" fontId="43" fillId="0" borderId="68" xfId="0" applyNumberFormat="1" applyFont="1" applyBorder="1" applyAlignment="1" applyProtection="1">
      <alignment vertical="top" wrapText="1" readingOrder="1"/>
      <protection locked="0"/>
    </xf>
    <xf numFmtId="175" fontId="42" fillId="0" borderId="68" xfId="0" applyNumberFormat="1" applyFont="1" applyBorder="1" applyAlignment="1" applyProtection="1">
      <alignment vertical="top" wrapText="1" readingOrder="1"/>
      <protection locked="0"/>
    </xf>
    <xf numFmtId="0" fontId="43" fillId="0" borderId="68" xfId="0" applyFont="1" applyBorder="1" applyAlignment="1" applyProtection="1">
      <alignment vertical="top" wrapText="1" readingOrder="1"/>
      <protection locked="0"/>
    </xf>
    <xf numFmtId="0" fontId="0" fillId="0" borderId="69" xfId="0" applyBorder="1" applyAlignment="1" applyProtection="1">
      <alignment vertical="top" wrapText="1"/>
      <protection locked="0"/>
    </xf>
    <xf numFmtId="177" fontId="43" fillId="0" borderId="68" xfId="0" applyNumberFormat="1" applyFont="1" applyBorder="1" applyAlignment="1" applyProtection="1">
      <alignment vertical="top" wrapText="1" readingOrder="1"/>
      <protection locked="0"/>
    </xf>
    <xf numFmtId="179" fontId="43" fillId="0" borderId="68" xfId="0" applyNumberFormat="1" applyFont="1" applyBorder="1" applyAlignment="1" applyProtection="1">
      <alignment vertical="top" wrapText="1" readingOrder="1"/>
      <protection locked="0"/>
    </xf>
    <xf numFmtId="179" fontId="42" fillId="0" borderId="68" xfId="0" applyNumberFormat="1" applyFont="1" applyBorder="1" applyAlignment="1" applyProtection="1">
      <alignment vertical="top" wrapText="1" readingOrder="1"/>
      <protection locked="0"/>
    </xf>
    <xf numFmtId="0" fontId="42" fillId="0" borderId="70" xfId="0" applyFont="1" applyBorder="1" applyAlignment="1" applyProtection="1">
      <alignment vertical="top" readingOrder="1"/>
      <protection locked="0"/>
    </xf>
    <xf numFmtId="0" fontId="42" fillId="0" borderId="68" xfId="0" applyFont="1" applyBorder="1" applyAlignment="1" applyProtection="1">
      <alignment vertical="top" readingOrder="1"/>
      <protection locked="0"/>
    </xf>
    <xf numFmtId="0" fontId="43" fillId="0" borderId="70" xfId="0" applyFont="1" applyBorder="1" applyAlignment="1" applyProtection="1">
      <alignment vertical="top" readingOrder="1"/>
      <protection locked="0"/>
    </xf>
    <xf numFmtId="175" fontId="43" fillId="0" borderId="70" xfId="0" applyNumberFormat="1" applyFont="1" applyBorder="1" applyAlignment="1" applyProtection="1">
      <alignment vertical="top" readingOrder="1"/>
      <protection locked="0"/>
    </xf>
    <xf numFmtId="176" fontId="43" fillId="0" borderId="68" xfId="0" applyNumberFormat="1" applyFont="1" applyBorder="1" applyAlignment="1" applyProtection="1">
      <alignment vertical="top" readingOrder="1"/>
      <protection locked="0"/>
    </xf>
    <xf numFmtId="175" fontId="43" fillId="0" borderId="68" xfId="0" applyNumberFormat="1" applyFont="1" applyBorder="1" applyAlignment="1" applyProtection="1">
      <alignment vertical="top" readingOrder="1"/>
      <protection locked="0"/>
    </xf>
    <xf numFmtId="177" fontId="43" fillId="0" borderId="70" xfId="0" applyNumberFormat="1" applyFont="1" applyBorder="1" applyAlignment="1" applyProtection="1">
      <alignment vertical="top" readingOrder="1"/>
      <protection locked="0"/>
    </xf>
    <xf numFmtId="178" fontId="43" fillId="0" borderId="68" xfId="0" applyNumberFormat="1" applyFont="1" applyBorder="1" applyAlignment="1" applyProtection="1">
      <alignment vertical="top" readingOrder="1"/>
      <protection locked="0"/>
    </xf>
    <xf numFmtId="175" fontId="42" fillId="0" borderId="70" xfId="0" applyNumberFormat="1" applyFont="1" applyBorder="1" applyAlignment="1" applyProtection="1">
      <alignment vertical="top" readingOrder="1"/>
      <protection locked="0"/>
    </xf>
    <xf numFmtId="175" fontId="42" fillId="0" borderId="68" xfId="0" applyNumberFormat="1" applyFont="1" applyBorder="1" applyAlignment="1" applyProtection="1">
      <alignment vertical="top" readingOrder="1"/>
      <protection locked="0"/>
    </xf>
    <xf numFmtId="0" fontId="43" fillId="0" borderId="68" xfId="0" applyFont="1" applyBorder="1" applyAlignment="1" applyProtection="1">
      <alignment vertical="top" readingOrder="1"/>
      <protection locked="0"/>
    </xf>
    <xf numFmtId="179" fontId="43" fillId="0" borderId="70" xfId="0" applyNumberFormat="1" applyFont="1" applyBorder="1" applyAlignment="1" applyProtection="1">
      <alignment vertical="top" readingOrder="1"/>
      <protection locked="0"/>
    </xf>
    <xf numFmtId="179" fontId="42" fillId="0" borderId="70" xfId="0" applyNumberFormat="1" applyFont="1" applyBorder="1" applyAlignment="1" applyProtection="1">
      <alignment vertical="top" readingOrder="1"/>
      <protection locked="0"/>
    </xf>
    <xf numFmtId="49" fontId="22" fillId="25" borderId="12" xfId="0" applyNumberFormat="1" applyFont="1" applyFill="1" applyBorder="1" applyAlignment="1">
      <alignment horizontal="center" vertical="center"/>
    </xf>
    <xf numFmtId="40" fontId="19" fillId="0" borderId="12" xfId="53" applyNumberFormat="1" applyFont="1" applyFill="1" applyBorder="1" applyAlignment="1" applyProtection="1"/>
    <xf numFmtId="40" fontId="26" fillId="0" borderId="12" xfId="0" applyNumberFormat="1" applyFont="1" applyBorder="1"/>
    <xf numFmtId="173" fontId="39" fillId="16" borderId="66" xfId="0" applyNumberFormat="1" applyFont="1" applyFill="1" applyBorder="1" applyAlignment="1" applyProtection="1">
      <alignment vertical="top" wrapText="1" readingOrder="1"/>
      <protection locked="0"/>
    </xf>
    <xf numFmtId="40" fontId="19" fillId="0" borderId="12" xfId="53" applyNumberFormat="1" applyFont="1" applyFill="1" applyBorder="1"/>
    <xf numFmtId="173" fontId="39" fillId="26" borderId="66" xfId="0" applyNumberFormat="1" applyFont="1" applyFill="1" applyBorder="1" applyAlignment="1" applyProtection="1">
      <alignment vertical="top" wrapText="1" readingOrder="1"/>
      <protection locked="0"/>
    </xf>
    <xf numFmtId="165" fontId="26" fillId="0" borderId="12" xfId="53" applyNumberFormat="1" applyFont="1" applyBorder="1"/>
    <xf numFmtId="165" fontId="23" fillId="0" borderId="12" xfId="53" applyNumberFormat="1" applyFont="1" applyBorder="1" applyAlignment="1" applyProtection="1">
      <alignment vertical="top" wrapText="1" readingOrder="1"/>
      <protection locked="0"/>
    </xf>
    <xf numFmtId="49" fontId="22" fillId="25" borderId="11" xfId="0" applyNumberFormat="1" applyFont="1" applyFill="1" applyBorder="1" applyAlignment="1">
      <alignment horizontal="center" vertical="center"/>
    </xf>
    <xf numFmtId="40" fontId="22" fillId="17" borderId="38" xfId="53" applyNumberFormat="1" applyFont="1" applyFill="1" applyBorder="1" applyAlignment="1" applyProtection="1">
      <alignment horizontal="left" vertical="top" wrapText="1" readingOrder="1"/>
      <protection locked="0"/>
    </xf>
    <xf numFmtId="40" fontId="19" fillId="0" borderId="11" xfId="53" applyNumberFormat="1" applyFont="1" applyFill="1" applyBorder="1" applyAlignment="1" applyProtection="1"/>
    <xf numFmtId="40" fontId="26" fillId="0" borderId="11" xfId="0" applyNumberFormat="1" applyFont="1" applyBorder="1"/>
    <xf numFmtId="40" fontId="19" fillId="0" borderId="11" xfId="53" applyNumberFormat="1" applyFont="1" applyFill="1" applyBorder="1"/>
    <xf numFmtId="165" fontId="26" fillId="0" borderId="11" xfId="53" applyNumberFormat="1" applyFont="1" applyBorder="1"/>
    <xf numFmtId="165" fontId="23" fillId="0" borderId="11" xfId="53" applyNumberFormat="1" applyFont="1" applyBorder="1" applyAlignment="1" applyProtection="1">
      <alignment vertical="top" wrapText="1" readingOrder="1"/>
      <protection locked="0"/>
    </xf>
    <xf numFmtId="2" fontId="26" fillId="0" borderId="9" xfId="676" applyNumberFormat="1" applyFont="1" applyFill="1" applyBorder="1"/>
    <xf numFmtId="0" fontId="22" fillId="0" borderId="9" xfId="0" applyFont="1" applyBorder="1" applyAlignment="1" applyProtection="1">
      <alignment vertical="top" wrapText="1" readingOrder="1"/>
      <protection locked="0"/>
    </xf>
    <xf numFmtId="2" fontId="22" fillId="0" borderId="9" xfId="676" applyNumberFormat="1" applyFont="1" applyFill="1" applyBorder="1" applyAlignment="1">
      <alignment horizontal="center" readingOrder="1"/>
    </xf>
    <xf numFmtId="173" fontId="39" fillId="0" borderId="9" xfId="0" applyNumberFormat="1" applyFont="1" applyBorder="1" applyAlignment="1" applyProtection="1">
      <alignment vertical="top" wrapText="1" readingOrder="1"/>
      <protection locked="0"/>
    </xf>
    <xf numFmtId="40" fontId="22" fillId="17" borderId="9" xfId="53" applyNumberFormat="1" applyFont="1" applyFill="1" applyBorder="1" applyAlignment="1" applyProtection="1">
      <alignment horizontal="left" vertical="top" wrapText="1" readingOrder="1"/>
      <protection locked="0"/>
    </xf>
    <xf numFmtId="173" fontId="39" fillId="0" borderId="9" xfId="0" applyNumberFormat="1" applyFont="1" applyBorder="1" applyAlignment="1" applyProtection="1">
      <alignment vertical="top" readingOrder="1"/>
      <protection locked="0"/>
    </xf>
    <xf numFmtId="173" fontId="39" fillId="26" borderId="9" xfId="0" applyNumberFormat="1" applyFont="1" applyFill="1" applyBorder="1" applyAlignment="1" applyProtection="1">
      <alignment vertical="top" readingOrder="1"/>
      <protection locked="0"/>
    </xf>
    <xf numFmtId="0" fontId="44" fillId="0" borderId="0" xfId="0" applyFont="1"/>
    <xf numFmtId="17" fontId="45" fillId="0" borderId="0" xfId="504" applyNumberFormat="1" applyFont="1"/>
    <xf numFmtId="0" fontId="45" fillId="0" borderId="19" xfId="0" applyFont="1" applyBorder="1"/>
    <xf numFmtId="0" fontId="45" fillId="0" borderId="6" xfId="0" applyFont="1" applyBorder="1"/>
    <xf numFmtId="43" fontId="44" fillId="0" borderId="0" xfId="53" applyFont="1" applyBorder="1"/>
    <xf numFmtId="0" fontId="45" fillId="0" borderId="20" xfId="0" applyFont="1" applyBorder="1"/>
    <xf numFmtId="43" fontId="45" fillId="0" borderId="9" xfId="56" applyFont="1" applyBorder="1"/>
    <xf numFmtId="0" fontId="45" fillId="0" borderId="9" xfId="53" applyNumberFormat="1" applyFont="1" applyFill="1" applyBorder="1" applyAlignment="1">
      <alignment horizontal="center" vertical="center"/>
    </xf>
    <xf numFmtId="0" fontId="45" fillId="25" borderId="9" xfId="0" applyFont="1" applyFill="1" applyBorder="1" applyAlignment="1">
      <alignment horizontal="center" vertical="center"/>
    </xf>
    <xf numFmtId="49" fontId="45" fillId="25" borderId="9" xfId="0" applyNumberFormat="1" applyFont="1" applyFill="1" applyBorder="1" applyAlignment="1">
      <alignment horizontal="center" vertical="center"/>
    </xf>
    <xf numFmtId="17" fontId="45" fillId="25" borderId="9" xfId="0" applyNumberFormat="1" applyFont="1" applyFill="1" applyBorder="1" applyAlignment="1">
      <alignment horizontal="center" vertical="center"/>
    </xf>
    <xf numFmtId="0" fontId="46" fillId="0" borderId="13" xfId="0" applyFont="1" applyBorder="1"/>
    <xf numFmtId="0" fontId="46" fillId="0" borderId="9" xfId="0" applyFont="1" applyBorder="1"/>
    <xf numFmtId="165" fontId="44" fillId="0" borderId="0" xfId="53" applyNumberFormat="1" applyFont="1" applyBorder="1"/>
    <xf numFmtId="0" fontId="44" fillId="25" borderId="0" xfId="0" applyFont="1" applyFill="1"/>
    <xf numFmtId="38" fontId="44" fillId="0" borderId="9" xfId="53" applyNumberFormat="1" applyFont="1" applyBorder="1"/>
    <xf numFmtId="0" fontId="47" fillId="0" borderId="9" xfId="0" applyFont="1" applyBorder="1"/>
    <xf numFmtId="38" fontId="46" fillId="0" borderId="9" xfId="53" applyNumberFormat="1" applyFont="1" applyBorder="1"/>
    <xf numFmtId="0" fontId="46" fillId="16" borderId="24" xfId="0" applyFont="1" applyFill="1" applyBorder="1"/>
    <xf numFmtId="0" fontId="46" fillId="16" borderId="17" xfId="0" applyFont="1" applyFill="1" applyBorder="1"/>
    <xf numFmtId="38" fontId="44" fillId="16" borderId="17" xfId="53" applyNumberFormat="1" applyFont="1" applyFill="1" applyBorder="1"/>
    <xf numFmtId="0" fontId="44" fillId="16" borderId="0" xfId="0" applyFont="1" applyFill="1"/>
    <xf numFmtId="38" fontId="44" fillId="0" borderId="0" xfId="53" applyNumberFormat="1" applyFont="1" applyBorder="1"/>
    <xf numFmtId="171" fontId="46" fillId="0" borderId="25" xfId="0" applyNumberFormat="1" applyFont="1" applyBorder="1"/>
    <xf numFmtId="0" fontId="45" fillId="0" borderId="26" xfId="0" applyFont="1" applyBorder="1"/>
    <xf numFmtId="38" fontId="44" fillId="0" borderId="26" xfId="53" applyNumberFormat="1" applyFont="1" applyBorder="1"/>
    <xf numFmtId="171" fontId="46" fillId="0" borderId="13" xfId="0" applyNumberFormat="1" applyFont="1" applyBorder="1"/>
    <xf numFmtId="0" fontId="45" fillId="0" borderId="9" xfId="0" applyFont="1" applyBorder="1"/>
    <xf numFmtId="171" fontId="46" fillId="0" borderId="24" xfId="0" applyNumberFormat="1" applyFont="1" applyBorder="1"/>
    <xf numFmtId="0" fontId="45" fillId="0" borderId="17" xfId="0" applyFont="1" applyBorder="1"/>
    <xf numFmtId="38" fontId="44" fillId="0" borderId="17" xfId="53" applyNumberFormat="1" applyFont="1" applyBorder="1"/>
    <xf numFmtId="171" fontId="46" fillId="0" borderId="19" xfId="0" applyNumberFormat="1" applyFont="1" applyBorder="1"/>
    <xf numFmtId="38" fontId="44" fillId="0" borderId="6" xfId="53" applyNumberFormat="1" applyFont="1" applyBorder="1"/>
    <xf numFmtId="9" fontId="47" fillId="0" borderId="9" xfId="678" applyFont="1" applyBorder="1"/>
    <xf numFmtId="0" fontId="48" fillId="0" borderId="9" xfId="0" applyFont="1" applyBorder="1"/>
    <xf numFmtId="171" fontId="46" fillId="0" borderId="13" xfId="0" applyNumberFormat="1" applyFont="1" applyBorder="1" applyAlignment="1">
      <alignment horizontal="right"/>
    </xf>
    <xf numFmtId="171" fontId="46" fillId="0" borderId="24" xfId="0" applyNumberFormat="1" applyFont="1" applyBorder="1" applyAlignment="1">
      <alignment horizontal="right"/>
    </xf>
    <xf numFmtId="0" fontId="47" fillId="0" borderId="17" xfId="0" applyFont="1" applyBorder="1"/>
    <xf numFmtId="0" fontId="48" fillId="0" borderId="26" xfId="0" applyFont="1" applyBorder="1"/>
    <xf numFmtId="0" fontId="46" fillId="0" borderId="26" xfId="0" applyFont="1" applyBorder="1"/>
    <xf numFmtId="0" fontId="46" fillId="0" borderId="24" xfId="0" applyFont="1" applyBorder="1"/>
    <xf numFmtId="38" fontId="44" fillId="0" borderId="18" xfId="53" applyNumberFormat="1" applyFont="1" applyBorder="1"/>
    <xf numFmtId="0" fontId="49" fillId="0" borderId="9" xfId="0" applyFont="1" applyBorder="1"/>
    <xf numFmtId="0" fontId="49" fillId="0" borderId="0" xfId="0" applyFont="1"/>
    <xf numFmtId="0" fontId="46" fillId="0" borderId="17" xfId="0" applyFont="1" applyBorder="1"/>
    <xf numFmtId="165" fontId="44" fillId="0" borderId="0" xfId="53" applyNumberFormat="1" applyFont="1"/>
    <xf numFmtId="171" fontId="46" fillId="0" borderId="27" xfId="0" applyNumberFormat="1" applyFont="1" applyBorder="1"/>
    <xf numFmtId="0" fontId="50" fillId="0" borderId="25" xfId="0" applyFont="1" applyBorder="1"/>
    <xf numFmtId="171" fontId="46" fillId="0" borderId="28" xfId="0" applyNumberFormat="1" applyFont="1" applyBorder="1"/>
    <xf numFmtId="171" fontId="46" fillId="0" borderId="29" xfId="0" applyNumberFormat="1" applyFont="1" applyBorder="1"/>
    <xf numFmtId="9" fontId="51" fillId="0" borderId="17" xfId="676" applyFont="1" applyBorder="1"/>
    <xf numFmtId="171" fontId="50" fillId="0" borderId="19" xfId="0" applyNumberFormat="1" applyFont="1" applyBorder="1"/>
    <xf numFmtId="0" fontId="50" fillId="0" borderId="6" xfId="0" applyFont="1" applyBorder="1"/>
    <xf numFmtId="38" fontId="45" fillId="0" borderId="26" xfId="53" applyNumberFormat="1" applyFont="1" applyBorder="1"/>
    <xf numFmtId="0" fontId="46" fillId="0" borderId="12" xfId="0" applyFont="1" applyBorder="1"/>
    <xf numFmtId="0" fontId="46" fillId="0" borderId="30" xfId="0" applyFont="1" applyBorder="1"/>
    <xf numFmtId="0" fontId="46" fillId="0" borderId="16" xfId="0" applyFont="1" applyBorder="1"/>
    <xf numFmtId="165" fontId="44" fillId="0" borderId="17" xfId="53" applyNumberFormat="1" applyFont="1" applyBorder="1"/>
    <xf numFmtId="43" fontId="44" fillId="0" borderId="0" xfId="53" applyFont="1"/>
    <xf numFmtId="0" fontId="44" fillId="0" borderId="9" xfId="0" applyFont="1" applyBorder="1"/>
    <xf numFmtId="0" fontId="46" fillId="0" borderId="9" xfId="638" applyFont="1" applyBorder="1"/>
    <xf numFmtId="0" fontId="46" fillId="0" borderId="9" xfId="638" applyFont="1" applyBorder="1" applyAlignment="1">
      <alignment horizontal="center"/>
    </xf>
    <xf numFmtId="0" fontId="45" fillId="0" borderId="9" xfId="0" applyFont="1" applyBorder="1" applyAlignment="1">
      <alignment horizontal="center" vertical="center"/>
    </xf>
    <xf numFmtId="49" fontId="45" fillId="0" borderId="9" xfId="0" applyNumberFormat="1" applyFont="1" applyBorder="1" applyAlignment="1">
      <alignment horizontal="center" vertical="center"/>
    </xf>
    <xf numFmtId="0" fontId="46" fillId="0" borderId="0" xfId="638" applyFont="1"/>
    <xf numFmtId="165" fontId="52" fillId="0" borderId="9" xfId="56" applyNumberFormat="1" applyFont="1" applyBorder="1"/>
    <xf numFmtId="1" fontId="46" fillId="0" borderId="9" xfId="638" applyNumberFormat="1" applyFont="1" applyBorder="1"/>
    <xf numFmtId="0" fontId="52" fillId="0" borderId="9" xfId="0" applyFont="1" applyBorder="1"/>
    <xf numFmtId="9" fontId="46" fillId="0" borderId="9" xfId="676" applyFont="1" applyBorder="1"/>
    <xf numFmtId="0" fontId="52" fillId="0" borderId="9" xfId="638" applyFont="1" applyBorder="1"/>
    <xf numFmtId="0" fontId="46" fillId="0" borderId="0" xfId="638" applyFont="1" applyAlignment="1">
      <alignment horizontal="center"/>
    </xf>
    <xf numFmtId="0" fontId="46" fillId="0" borderId="9" xfId="638" applyFont="1" applyBorder="1" applyAlignment="1">
      <alignment horizontal="left"/>
    </xf>
    <xf numFmtId="0" fontId="46" fillId="0" borderId="0" xfId="638" applyFont="1" applyAlignment="1">
      <alignment horizontal="left"/>
    </xf>
    <xf numFmtId="40" fontId="22" fillId="0" borderId="38" xfId="0" applyNumberFormat="1" applyFont="1" applyBorder="1" applyAlignment="1" applyProtection="1">
      <alignment vertical="top" wrapText="1" readingOrder="1"/>
      <protection locked="0"/>
    </xf>
    <xf numFmtId="17" fontId="26" fillId="0" borderId="0" xfId="0" applyNumberFormat="1" applyFont="1" applyAlignment="1">
      <alignment horizontal="center" vertical="center"/>
    </xf>
    <xf numFmtId="174" fontId="26" fillId="0" borderId="12" xfId="53" applyNumberFormat="1" applyFont="1" applyFill="1" applyBorder="1" applyAlignment="1"/>
    <xf numFmtId="2" fontId="26" fillId="0" borderId="12" xfId="676" applyNumberFormat="1" applyFont="1" applyFill="1" applyBorder="1"/>
    <xf numFmtId="2" fontId="26" fillId="0" borderId="31" xfId="676" applyNumberFormat="1" applyFont="1" applyFill="1" applyBorder="1"/>
    <xf numFmtId="17" fontId="19" fillId="0" borderId="0" xfId="638" applyNumberFormat="1" applyFont="1"/>
    <xf numFmtId="0" fontId="53" fillId="0" borderId="0" xfId="0" applyFont="1"/>
    <xf numFmtId="173" fontId="43" fillId="0" borderId="62" xfId="0" applyNumberFormat="1" applyFont="1" applyBorder="1" applyAlignment="1" applyProtection="1">
      <alignment vertical="top" wrapText="1" readingOrder="1"/>
      <protection locked="0"/>
    </xf>
    <xf numFmtId="16" fontId="19" fillId="0" borderId="0" xfId="638" applyNumberFormat="1" applyFont="1"/>
    <xf numFmtId="43" fontId="26" fillId="0" borderId="9" xfId="53" applyFont="1" applyBorder="1"/>
    <xf numFmtId="43" fontId="22" fillId="0" borderId="9" xfId="53" applyFont="1" applyFill="1" applyBorder="1" applyAlignment="1" applyProtection="1">
      <alignment horizontal="center" vertical="top" wrapText="1" readingOrder="1"/>
      <protection locked="0"/>
    </xf>
    <xf numFmtId="43" fontId="22" fillId="0" borderId="9" xfId="53" applyFont="1" applyFill="1" applyBorder="1" applyAlignment="1"/>
    <xf numFmtId="17" fontId="26" fillId="0" borderId="9" xfId="53" applyNumberFormat="1" applyFont="1" applyBorder="1" applyAlignment="1">
      <alignment horizontal="center" vertical="center"/>
    </xf>
    <xf numFmtId="43" fontId="26" fillId="24" borderId="9" xfId="53" applyFont="1" applyFill="1" applyBorder="1"/>
    <xf numFmtId="9" fontId="19" fillId="0" borderId="12" xfId="676" applyFont="1" applyBorder="1" applyAlignment="1">
      <alignment horizontal="right"/>
    </xf>
    <xf numFmtId="172" fontId="23" fillId="0" borderId="12" xfId="678" applyNumberFormat="1" applyFont="1" applyBorder="1" applyAlignment="1">
      <alignment horizontal="right"/>
    </xf>
    <xf numFmtId="0" fontId="54" fillId="0" borderId="39" xfId="0" applyFont="1" applyBorder="1" applyAlignment="1" applyProtection="1">
      <alignment wrapText="1"/>
      <protection locked="0"/>
    </xf>
    <xf numFmtId="0" fontId="0" fillId="0" borderId="9" xfId="0" applyBorder="1"/>
    <xf numFmtId="43" fontId="0" fillId="0" borderId="9" xfId="53" applyFont="1" applyBorder="1"/>
    <xf numFmtId="43" fontId="54" fillId="0" borderId="39" xfId="53" applyFont="1" applyBorder="1" applyAlignment="1" applyProtection="1">
      <alignment wrapText="1"/>
      <protection locked="0"/>
    </xf>
    <xf numFmtId="43" fontId="0" fillId="0" borderId="0" xfId="0" applyNumberFormat="1"/>
    <xf numFmtId="9" fontId="0" fillId="0" borderId="0" xfId="676" applyFont="1"/>
    <xf numFmtId="17" fontId="0" fillId="0" borderId="0" xfId="0" applyNumberFormat="1"/>
    <xf numFmtId="40" fontId="26" fillId="15" borderId="9" xfId="53" applyNumberFormat="1" applyFont="1" applyFill="1" applyBorder="1"/>
    <xf numFmtId="166" fontId="54" fillId="15" borderId="9" xfId="54" applyFont="1" applyFill="1" applyBorder="1" applyAlignment="1" applyProtection="1">
      <protection locked="0"/>
    </xf>
    <xf numFmtId="166" fontId="54" fillId="0" borderId="9" xfId="54" applyFont="1" applyFill="1" applyBorder="1" applyAlignment="1" applyProtection="1">
      <protection locked="0"/>
    </xf>
    <xf numFmtId="166" fontId="55" fillId="15" borderId="9" xfId="54" applyFont="1" applyFill="1" applyBorder="1" applyAlignment="1" applyProtection="1">
      <protection locked="0"/>
    </xf>
    <xf numFmtId="17" fontId="26" fillId="0" borderId="9" xfId="53" applyNumberFormat="1" applyFont="1" applyBorder="1"/>
    <xf numFmtId="173" fontId="57" fillId="0" borderId="62" xfId="0" applyNumberFormat="1" applyFont="1" applyBorder="1" applyAlignment="1" applyProtection="1">
      <alignment vertical="top" wrapText="1" readingOrder="1"/>
      <protection locked="0"/>
    </xf>
    <xf numFmtId="173" fontId="57" fillId="26" borderId="62" xfId="0" applyNumberFormat="1" applyFont="1" applyFill="1" applyBorder="1" applyAlignment="1" applyProtection="1">
      <alignment vertical="top" wrapText="1" readingOrder="1"/>
      <protection locked="0"/>
    </xf>
    <xf numFmtId="173" fontId="56" fillId="0" borderId="9" xfId="0" applyNumberFormat="1" applyFont="1" applyBorder="1" applyAlignment="1" applyProtection="1">
      <alignment vertical="top" wrapText="1" readingOrder="1"/>
      <protection locked="0"/>
    </xf>
    <xf numFmtId="180" fontId="56" fillId="0" borderId="9" xfId="0" applyNumberFormat="1" applyFont="1" applyBorder="1" applyAlignment="1" applyProtection="1">
      <alignment vertical="top" wrapText="1" readingOrder="1"/>
      <protection locked="0"/>
    </xf>
    <xf numFmtId="166" fontId="54" fillId="15" borderId="39" xfId="54" applyFont="1" applyFill="1" applyBorder="1" applyAlignment="1" applyProtection="1">
      <protection locked="0"/>
    </xf>
    <xf numFmtId="166" fontId="55" fillId="15" borderId="39" xfId="54" applyFont="1" applyFill="1" applyBorder="1" applyAlignment="1" applyProtection="1">
      <protection locked="0"/>
    </xf>
    <xf numFmtId="166" fontId="54" fillId="0" borderId="39" xfId="54" applyFont="1" applyFill="1" applyBorder="1" applyAlignment="1" applyProtection="1">
      <protection locked="0"/>
    </xf>
    <xf numFmtId="181" fontId="58" fillId="0" borderId="9" xfId="0" applyNumberFormat="1" applyFont="1" applyBorder="1" applyAlignment="1" applyProtection="1">
      <alignment horizontal="right" vertical="center"/>
      <protection locked="0"/>
    </xf>
    <xf numFmtId="182" fontId="54" fillId="0" borderId="9" xfId="54" applyNumberFormat="1" applyFont="1" applyBorder="1" applyAlignment="1" applyProtection="1">
      <alignment horizontal="right" vertical="center"/>
      <protection locked="0"/>
    </xf>
    <xf numFmtId="182" fontId="54" fillId="0" borderId="9" xfId="54" applyNumberFormat="1" applyFont="1" applyFill="1" applyBorder="1" applyAlignment="1" applyProtection="1">
      <protection locked="0"/>
    </xf>
    <xf numFmtId="182" fontId="54" fillId="15" borderId="9" xfId="54" applyNumberFormat="1" applyFont="1" applyFill="1" applyBorder="1" applyAlignment="1" applyProtection="1">
      <protection locked="0"/>
    </xf>
    <xf numFmtId="0" fontId="0" fillId="15" borderId="0" xfId="0" applyFill="1" applyProtection="1">
      <protection locked="0"/>
    </xf>
    <xf numFmtId="181" fontId="58" fillId="15" borderId="9" xfId="0" applyNumberFormat="1" applyFont="1" applyFill="1" applyBorder="1" applyAlignment="1" applyProtection="1">
      <alignment horizontal="right" vertical="center"/>
      <protection locked="0"/>
    </xf>
    <xf numFmtId="0" fontId="21" fillId="0" borderId="19" xfId="638" applyFont="1" applyBorder="1"/>
    <xf numFmtId="0" fontId="21" fillId="8" borderId="20" xfId="638" applyFont="1" applyFill="1" applyBorder="1"/>
    <xf numFmtId="0" fontId="21" fillId="0" borderId="28" xfId="638" applyFont="1" applyBorder="1"/>
    <xf numFmtId="0" fontId="21" fillId="0" borderId="9" xfId="638" applyFont="1" applyBorder="1" applyAlignment="1">
      <alignment horizontal="center"/>
    </xf>
    <xf numFmtId="0" fontId="21" fillId="16" borderId="9" xfId="638" applyFont="1" applyFill="1" applyBorder="1" applyAlignment="1">
      <alignment horizontal="center"/>
    </xf>
    <xf numFmtId="0" fontId="21" fillId="8" borderId="9" xfId="638" applyFont="1" applyFill="1" applyBorder="1" applyAlignment="1">
      <alignment horizontal="center"/>
    </xf>
    <xf numFmtId="17" fontId="21" fillId="0" borderId="9" xfId="638" applyNumberFormat="1" applyFont="1" applyBorder="1"/>
    <xf numFmtId="9" fontId="21" fillId="16" borderId="9" xfId="678" applyFont="1" applyFill="1" applyBorder="1"/>
    <xf numFmtId="0" fontId="21" fillId="16" borderId="9" xfId="638" applyFont="1" applyFill="1" applyBorder="1"/>
    <xf numFmtId="43" fontId="56" fillId="0" borderId="62" xfId="53" applyFont="1" applyBorder="1" applyAlignment="1" applyProtection="1">
      <alignment vertical="top" wrapText="1" readingOrder="1"/>
      <protection locked="0"/>
    </xf>
    <xf numFmtId="173" fontId="56" fillId="0" borderId="62" xfId="0" applyNumberFormat="1" applyFont="1" applyBorder="1" applyAlignment="1" applyProtection="1">
      <alignment vertical="top" wrapText="1" readingOrder="1"/>
      <protection locked="0"/>
    </xf>
    <xf numFmtId="173" fontId="56" fillId="26" borderId="62" xfId="0" applyNumberFormat="1" applyFont="1" applyFill="1" applyBorder="1" applyAlignment="1" applyProtection="1">
      <alignment vertical="top" wrapText="1" readingOrder="1"/>
      <protection locked="0"/>
    </xf>
    <xf numFmtId="180" fontId="56" fillId="0" borderId="62" xfId="0" applyNumberFormat="1" applyFont="1" applyBorder="1" applyAlignment="1" applyProtection="1">
      <alignment vertical="top" wrapText="1" readingOrder="1"/>
      <protection locked="0"/>
    </xf>
    <xf numFmtId="43" fontId="26" fillId="0" borderId="0" xfId="0" applyNumberFormat="1" applyFont="1"/>
    <xf numFmtId="173" fontId="57" fillId="26" borderId="0" xfId="0" applyNumberFormat="1" applyFont="1" applyFill="1" applyAlignment="1" applyProtection="1">
      <alignment vertical="top" wrapText="1" readingOrder="1"/>
      <protection locked="0"/>
    </xf>
    <xf numFmtId="173" fontId="57" fillId="0" borderId="0" xfId="0" applyNumberFormat="1" applyFont="1" applyAlignment="1" applyProtection="1">
      <alignment vertical="top" wrapText="1" readingOrder="1"/>
      <protection locked="0"/>
    </xf>
    <xf numFmtId="166" fontId="59" fillId="27" borderId="39" xfId="54" applyFont="1" applyFill="1" applyBorder="1" applyAlignment="1" applyProtection="1"/>
    <xf numFmtId="173" fontId="56" fillId="0" borderId="66" xfId="0" applyNumberFormat="1" applyFont="1" applyBorder="1" applyAlignment="1" applyProtection="1">
      <alignment vertical="top" wrapText="1" readingOrder="1"/>
      <protection locked="0"/>
    </xf>
    <xf numFmtId="17" fontId="21" fillId="0" borderId="0" xfId="638" applyNumberFormat="1" applyFont="1"/>
    <xf numFmtId="181" fontId="62" fillId="0" borderId="0" xfId="0" applyNumberFormat="1" applyFont="1" applyAlignment="1" applyProtection="1">
      <alignment horizontal="right" vertical="center"/>
      <protection locked="0"/>
    </xf>
    <xf numFmtId="181" fontId="58" fillId="28" borderId="9" xfId="0" applyNumberFormat="1" applyFont="1" applyFill="1" applyBorder="1" applyAlignment="1" applyProtection="1">
      <alignment horizontal="right" vertical="center"/>
      <protection locked="0"/>
    </xf>
    <xf numFmtId="182" fontId="60" fillId="0" borderId="9" xfId="54" applyNumberFormat="1" applyFont="1" applyBorder="1" applyAlignment="1" applyProtection="1">
      <alignment horizontal="right" vertical="center"/>
      <protection locked="0"/>
    </xf>
    <xf numFmtId="166" fontId="2" fillId="0" borderId="0" xfId="54" applyProtection="1">
      <protection locked="0"/>
    </xf>
    <xf numFmtId="43" fontId="56" fillId="0" borderId="71" xfId="53" applyFont="1" applyBorder="1" applyAlignment="1" applyProtection="1">
      <alignment vertical="top" wrapText="1" readingOrder="1"/>
      <protection locked="0"/>
    </xf>
    <xf numFmtId="43" fontId="0" fillId="0" borderId="71" xfId="53" applyFont="1" applyBorder="1" applyAlignment="1" applyProtection="1">
      <alignment vertical="top" wrapText="1"/>
      <protection locked="0"/>
    </xf>
    <xf numFmtId="43" fontId="54" fillId="28" borderId="39" xfId="53" applyFont="1" applyFill="1" applyBorder="1" applyAlignment="1" applyProtection="1">
      <protection locked="0"/>
    </xf>
    <xf numFmtId="43" fontId="26" fillId="18" borderId="9" xfId="53" applyFont="1" applyFill="1" applyBorder="1"/>
    <xf numFmtId="43" fontId="58" fillId="28" borderId="39" xfId="53" applyFont="1" applyFill="1" applyBorder="1" applyAlignment="1" applyProtection="1">
      <protection locked="0"/>
    </xf>
    <xf numFmtId="43" fontId="56" fillId="26" borderId="62" xfId="53" applyFont="1" applyFill="1" applyBorder="1" applyAlignment="1" applyProtection="1">
      <alignment vertical="top" wrapText="1" readingOrder="1"/>
      <protection locked="0"/>
    </xf>
    <xf numFmtId="43" fontId="60" fillId="28" borderId="39" xfId="53" applyFont="1" applyFill="1" applyBorder="1" applyAlignment="1" applyProtection="1">
      <protection locked="0"/>
    </xf>
    <xf numFmtId="43" fontId="54" fillId="0" borderId="39" xfId="53" applyFont="1" applyFill="1" applyBorder="1" applyAlignment="1" applyProtection="1">
      <protection locked="0"/>
    </xf>
    <xf numFmtId="43" fontId="61" fillId="28" borderId="0" xfId="53" applyFont="1" applyFill="1" applyAlignment="1">
      <alignment horizontal="right" vertical="center"/>
    </xf>
    <xf numFmtId="17" fontId="26" fillId="23" borderId="0" xfId="0" applyNumberFormat="1" applyFont="1" applyFill="1" applyAlignment="1">
      <alignment horizontal="center" vertical="center"/>
    </xf>
    <xf numFmtId="166" fontId="58" fillId="28" borderId="39" xfId="54" applyFont="1" applyFill="1" applyBorder="1" applyAlignment="1" applyProtection="1">
      <protection locked="0"/>
    </xf>
    <xf numFmtId="17" fontId="26" fillId="23" borderId="0" xfId="0" applyNumberFormat="1" applyFont="1" applyFill="1"/>
    <xf numFmtId="40" fontId="26" fillId="18" borderId="12" xfId="53" applyNumberFormat="1" applyFont="1" applyFill="1" applyBorder="1" applyAlignment="1"/>
    <xf numFmtId="40" fontId="22" fillId="18" borderId="12" xfId="0" applyNumberFormat="1" applyFont="1" applyFill="1" applyBorder="1" applyAlignment="1" applyProtection="1">
      <alignment vertical="top" wrapText="1" readingOrder="1"/>
      <protection locked="0"/>
    </xf>
    <xf numFmtId="40" fontId="26" fillId="18" borderId="12" xfId="53" applyNumberFormat="1" applyFont="1" applyFill="1" applyBorder="1"/>
    <xf numFmtId="40" fontId="26" fillId="21" borderId="12" xfId="53" applyNumberFormat="1" applyFont="1" applyFill="1" applyBorder="1"/>
    <xf numFmtId="43" fontId="26" fillId="18" borderId="12" xfId="53" applyFont="1" applyFill="1" applyBorder="1"/>
    <xf numFmtId="165" fontId="26" fillId="18" borderId="12" xfId="53" applyNumberFormat="1" applyFont="1" applyFill="1" applyBorder="1"/>
    <xf numFmtId="165" fontId="22" fillId="17" borderId="12" xfId="53" applyNumberFormat="1" applyFont="1" applyFill="1" applyBorder="1" applyAlignment="1" applyProtection="1">
      <alignment horizontal="left" vertical="top" wrapText="1" readingOrder="1"/>
      <protection locked="0"/>
    </xf>
    <xf numFmtId="165" fontId="26" fillId="21" borderId="12" xfId="53" applyNumberFormat="1" applyFont="1" applyFill="1" applyBorder="1"/>
    <xf numFmtId="17" fontId="26" fillId="23" borderId="9" xfId="0" applyNumberFormat="1" applyFont="1" applyFill="1" applyBorder="1" applyAlignment="1">
      <alignment horizontal="center" vertical="center"/>
    </xf>
    <xf numFmtId="166" fontId="54" fillId="28" borderId="9" xfId="54" applyFont="1" applyFill="1" applyBorder="1" applyAlignment="1" applyProtection="1">
      <protection locked="0"/>
    </xf>
    <xf numFmtId="166" fontId="58" fillId="28" borderId="9" xfId="54" applyFont="1" applyFill="1" applyBorder="1" applyAlignment="1" applyProtection="1">
      <protection locked="0"/>
    </xf>
    <xf numFmtId="181" fontId="61" fillId="28" borderId="9" xfId="0" applyNumberFormat="1" applyFont="1" applyFill="1" applyBorder="1" applyAlignment="1">
      <alignment horizontal="right" vertical="center"/>
    </xf>
    <xf numFmtId="17" fontId="26" fillId="23" borderId="9" xfId="0" applyNumberFormat="1" applyFont="1" applyFill="1" applyBorder="1"/>
    <xf numFmtId="173" fontId="57" fillId="0" borderId="9" xfId="0" applyNumberFormat="1" applyFont="1" applyBorder="1" applyAlignment="1" applyProtection="1">
      <alignment vertical="top" wrapText="1" readingOrder="1"/>
      <protection locked="0"/>
    </xf>
    <xf numFmtId="173" fontId="57" fillId="26" borderId="9" xfId="0" applyNumberFormat="1" applyFont="1" applyFill="1" applyBorder="1" applyAlignment="1" applyProtection="1">
      <alignment vertical="top" wrapText="1" readingOrder="1"/>
      <protection locked="0"/>
    </xf>
    <xf numFmtId="166" fontId="54" fillId="28" borderId="39" xfId="54" applyFont="1" applyFill="1" applyBorder="1" applyAlignment="1" applyProtection="1">
      <protection locked="0"/>
    </xf>
    <xf numFmtId="166" fontId="55" fillId="28" borderId="39" xfId="54" applyFont="1" applyFill="1" applyBorder="1" applyAlignment="1" applyProtection="1">
      <protection locked="0"/>
    </xf>
    <xf numFmtId="181" fontId="61" fillId="28" borderId="0" xfId="0" applyNumberFormat="1" applyFont="1" applyFill="1" applyAlignment="1">
      <alignment horizontal="right" vertical="center"/>
    </xf>
    <xf numFmtId="166" fontId="63" fillId="28" borderId="39" xfId="54" applyFont="1" applyFill="1" applyBorder="1" applyAlignment="1" applyProtection="1">
      <protection locked="0"/>
    </xf>
    <xf numFmtId="181" fontId="62" fillId="0" borderId="0" xfId="0" applyNumberFormat="1" applyFont="1"/>
    <xf numFmtId="181" fontId="61" fillId="15" borderId="0" xfId="0" applyNumberFormat="1" applyFont="1" applyFill="1"/>
    <xf numFmtId="181" fontId="62" fillId="16" borderId="0" xfId="0" applyNumberFormat="1" applyFont="1" applyFill="1"/>
    <xf numFmtId="0" fontId="64" fillId="0" borderId="19" xfId="0" applyFont="1" applyBorder="1"/>
    <xf numFmtId="0" fontId="64" fillId="0" borderId="6" xfId="0" applyFont="1" applyBorder="1"/>
    <xf numFmtId="0" fontId="65" fillId="0" borderId="6" xfId="0" applyFont="1" applyBorder="1"/>
    <xf numFmtId="43" fontId="66" fillId="0" borderId="0" xfId="53" applyFont="1" applyBorder="1"/>
    <xf numFmtId="0" fontId="66" fillId="0" borderId="0" xfId="0" applyFont="1"/>
    <xf numFmtId="0" fontId="64" fillId="0" borderId="20" xfId="0" applyFont="1" applyBorder="1"/>
    <xf numFmtId="43" fontId="64" fillId="0" borderId="9" xfId="56" applyFont="1" applyBorder="1"/>
    <xf numFmtId="0" fontId="64" fillId="0" borderId="9" xfId="53" applyNumberFormat="1" applyFont="1" applyFill="1" applyBorder="1" applyAlignment="1">
      <alignment horizontal="center" vertical="center"/>
    </xf>
    <xf numFmtId="17" fontId="64" fillId="0" borderId="9" xfId="53" applyNumberFormat="1" applyFont="1" applyFill="1" applyBorder="1" applyAlignment="1">
      <alignment horizontal="center" vertical="center"/>
    </xf>
    <xf numFmtId="0" fontId="64" fillId="25" borderId="9" xfId="0" applyFont="1" applyFill="1" applyBorder="1" applyAlignment="1">
      <alignment horizontal="center" vertical="center"/>
    </xf>
    <xf numFmtId="49" fontId="64" fillId="25" borderId="9" xfId="0" applyNumberFormat="1" applyFont="1" applyFill="1" applyBorder="1" applyAlignment="1">
      <alignment horizontal="center" vertical="center"/>
    </xf>
    <xf numFmtId="17" fontId="64" fillId="25" borderId="9" xfId="0" applyNumberFormat="1" applyFont="1" applyFill="1" applyBorder="1" applyAlignment="1">
      <alignment horizontal="center" vertical="center"/>
    </xf>
    <xf numFmtId="17" fontId="66" fillId="0" borderId="0" xfId="0" applyNumberFormat="1" applyFont="1"/>
    <xf numFmtId="0" fontId="65" fillId="0" borderId="13" xfId="0" applyFont="1" applyBorder="1"/>
    <xf numFmtId="0" fontId="65" fillId="0" borderId="9" xfId="0" applyFont="1" applyBorder="1"/>
    <xf numFmtId="165" fontId="65" fillId="0" borderId="21" xfId="53" applyNumberFormat="1" applyFont="1" applyBorder="1"/>
    <xf numFmtId="165" fontId="65" fillId="0" borderId="22" xfId="53" applyNumberFormat="1" applyFont="1" applyBorder="1"/>
    <xf numFmtId="165" fontId="65" fillId="0" borderId="8" xfId="53" applyNumberFormat="1" applyFont="1" applyBorder="1"/>
    <xf numFmtId="165" fontId="66" fillId="0" borderId="23" xfId="53" applyNumberFormat="1" applyFont="1" applyBorder="1"/>
    <xf numFmtId="165" fontId="66" fillId="0" borderId="0" xfId="53" applyNumberFormat="1" applyFont="1" applyBorder="1"/>
    <xf numFmtId="0" fontId="66" fillId="25" borderId="0" xfId="0" applyFont="1" applyFill="1"/>
    <xf numFmtId="38" fontId="66" fillId="0" borderId="9" xfId="53" applyNumberFormat="1" applyFont="1" applyBorder="1"/>
    <xf numFmtId="0" fontId="67" fillId="0" borderId="9" xfId="0" applyFont="1" applyBorder="1"/>
    <xf numFmtId="38" fontId="65" fillId="0" borderId="9" xfId="53" applyNumberFormat="1" applyFont="1" applyBorder="1"/>
    <xf numFmtId="0" fontId="65" fillId="16" borderId="24" xfId="0" applyFont="1" applyFill="1" applyBorder="1"/>
    <xf numFmtId="0" fontId="65" fillId="16" borderId="17" xfId="0" applyFont="1" applyFill="1" applyBorder="1"/>
    <xf numFmtId="38" fontId="66" fillId="16" borderId="17" xfId="53" applyNumberFormat="1" applyFont="1" applyFill="1" applyBorder="1"/>
    <xf numFmtId="0" fontId="65" fillId="0" borderId="20" xfId="0" applyFont="1" applyBorder="1"/>
    <xf numFmtId="0" fontId="65" fillId="0" borderId="0" xfId="0" applyFont="1"/>
    <xf numFmtId="38" fontId="66" fillId="0" borderId="0" xfId="53" applyNumberFormat="1" applyFont="1" applyBorder="1"/>
    <xf numFmtId="171" fontId="65" fillId="0" borderId="25" xfId="0" applyNumberFormat="1" applyFont="1" applyBorder="1"/>
    <xf numFmtId="0" fontId="64" fillId="0" borderId="26" xfId="0" applyFont="1" applyBorder="1"/>
    <xf numFmtId="38" fontId="66" fillId="0" borderId="26" xfId="53" applyNumberFormat="1" applyFont="1" applyBorder="1"/>
    <xf numFmtId="171" fontId="65" fillId="0" borderId="13" xfId="0" applyNumberFormat="1" applyFont="1" applyBorder="1"/>
    <xf numFmtId="0" fontId="64" fillId="0" borderId="9" xfId="0" applyFont="1" applyBorder="1"/>
    <xf numFmtId="171" fontId="65" fillId="0" borderId="24" xfId="0" applyNumberFormat="1" applyFont="1" applyBorder="1"/>
    <xf numFmtId="0" fontId="64" fillId="0" borderId="17" xfId="0" applyFont="1" applyBorder="1"/>
    <xf numFmtId="38" fontId="66" fillId="0" borderId="17" xfId="53" applyNumberFormat="1" applyFont="1" applyBorder="1"/>
    <xf numFmtId="171" fontId="65" fillId="0" borderId="20" xfId="0" applyNumberFormat="1" applyFont="1" applyBorder="1"/>
    <xf numFmtId="0" fontId="64" fillId="0" borderId="0" xfId="0" applyFont="1"/>
    <xf numFmtId="171" fontId="65" fillId="0" borderId="19" xfId="0" applyNumberFormat="1" applyFont="1" applyBorder="1"/>
    <xf numFmtId="38" fontId="66" fillId="0" borderId="6" xfId="53" applyNumberFormat="1" applyFont="1" applyBorder="1"/>
    <xf numFmtId="9" fontId="67" fillId="0" borderId="9" xfId="678" applyFont="1" applyBorder="1"/>
    <xf numFmtId="0" fontId="68" fillId="0" borderId="9" xfId="0" applyFont="1" applyBorder="1"/>
    <xf numFmtId="171" fontId="65" fillId="0" borderId="13" xfId="0" applyNumberFormat="1" applyFont="1" applyBorder="1" applyAlignment="1">
      <alignment horizontal="right"/>
    </xf>
    <xf numFmtId="171" fontId="65" fillId="0" borderId="24" xfId="0" applyNumberFormat="1" applyFont="1" applyBorder="1" applyAlignment="1">
      <alignment horizontal="right"/>
    </xf>
    <xf numFmtId="0" fontId="67" fillId="0" borderId="17" xfId="0" applyFont="1" applyBorder="1"/>
    <xf numFmtId="165" fontId="67" fillId="0" borderId="0" xfId="0" applyNumberFormat="1" applyFont="1"/>
    <xf numFmtId="0" fontId="68" fillId="0" borderId="26" xfId="0" applyFont="1" applyBorder="1"/>
    <xf numFmtId="0" fontId="67" fillId="0" borderId="0" xfId="0" applyFont="1"/>
    <xf numFmtId="0" fontId="65" fillId="0" borderId="26" xfId="0" applyFont="1" applyBorder="1"/>
    <xf numFmtId="0" fontId="65" fillId="0" borderId="24" xfId="0" applyFont="1" applyBorder="1"/>
    <xf numFmtId="38" fontId="66" fillId="0" borderId="18" xfId="53" applyNumberFormat="1" applyFont="1" applyBorder="1"/>
    <xf numFmtId="0" fontId="69" fillId="0" borderId="9" xfId="0" applyFont="1" applyBorder="1"/>
    <xf numFmtId="0" fontId="69" fillId="0" borderId="0" xfId="0" applyFont="1"/>
    <xf numFmtId="43" fontId="64" fillId="0" borderId="0" xfId="56" applyFont="1" applyBorder="1"/>
    <xf numFmtId="0" fontId="65" fillId="0" borderId="17" xfId="0" applyFont="1" applyBorder="1"/>
    <xf numFmtId="165" fontId="66" fillId="0" borderId="0" xfId="53" applyNumberFormat="1" applyFont="1"/>
    <xf numFmtId="9" fontId="66" fillId="0" borderId="0" xfId="676" applyFont="1" applyBorder="1"/>
    <xf numFmtId="171" fontId="65" fillId="0" borderId="27" xfId="0" applyNumberFormat="1" applyFont="1" applyBorder="1"/>
    <xf numFmtId="0" fontId="70" fillId="0" borderId="25" xfId="0" applyFont="1" applyBorder="1"/>
    <xf numFmtId="171" fontId="65" fillId="0" borderId="28" xfId="0" applyNumberFormat="1" applyFont="1" applyBorder="1"/>
    <xf numFmtId="171" fontId="65" fillId="0" borderId="29" xfId="0" applyNumberFormat="1" applyFont="1" applyBorder="1"/>
    <xf numFmtId="9" fontId="71" fillId="0" borderId="17" xfId="676" applyFont="1" applyBorder="1"/>
    <xf numFmtId="38" fontId="64" fillId="0" borderId="0" xfId="53" applyNumberFormat="1" applyFont="1" applyBorder="1"/>
    <xf numFmtId="171" fontId="70" fillId="0" borderId="19" xfId="0" applyNumberFormat="1" applyFont="1" applyBorder="1"/>
    <xf numFmtId="0" fontId="70" fillId="0" borderId="6" xfId="0" applyFont="1" applyBorder="1"/>
    <xf numFmtId="38" fontId="64" fillId="0" borderId="26" xfId="53" applyNumberFormat="1" applyFont="1" applyBorder="1"/>
    <xf numFmtId="0" fontId="65" fillId="0" borderId="12" xfId="0" applyFont="1" applyBorder="1"/>
    <xf numFmtId="0" fontId="65" fillId="0" borderId="30" xfId="0" applyFont="1" applyBorder="1"/>
    <xf numFmtId="0" fontId="65" fillId="0" borderId="16" xfId="0" applyFont="1" applyBorder="1"/>
    <xf numFmtId="165" fontId="66" fillId="0" borderId="17" xfId="53" applyNumberFormat="1" applyFont="1" applyBorder="1"/>
    <xf numFmtId="17" fontId="22" fillId="0" borderId="0" xfId="0" applyNumberFormat="1" applyFont="1"/>
    <xf numFmtId="17" fontId="64" fillId="0" borderId="0" xfId="0" applyNumberFormat="1" applyFont="1"/>
    <xf numFmtId="180" fontId="43" fillId="0" borderId="62" xfId="0" applyNumberFormat="1" applyFont="1" applyBorder="1" applyAlignment="1" applyProtection="1">
      <alignment vertical="top" wrapText="1" readingOrder="1"/>
      <protection locked="0"/>
    </xf>
    <xf numFmtId="43" fontId="22" fillId="23" borderId="9" xfId="53" applyFont="1" applyFill="1" applyBorder="1"/>
    <xf numFmtId="17" fontId="22" fillId="23" borderId="9" xfId="0" applyNumberFormat="1" applyFont="1" applyFill="1" applyBorder="1"/>
    <xf numFmtId="173" fontId="72" fillId="0" borderId="62" xfId="0" applyNumberFormat="1" applyFont="1" applyBorder="1" applyAlignment="1" applyProtection="1">
      <alignment vertical="top" wrapText="1" readingOrder="1"/>
      <protection locked="0"/>
    </xf>
    <xf numFmtId="173" fontId="72" fillId="26" borderId="62" xfId="0" applyNumberFormat="1" applyFont="1" applyFill="1" applyBorder="1" applyAlignment="1" applyProtection="1">
      <alignment vertical="top" wrapText="1" readingOrder="1"/>
      <protection locked="0"/>
    </xf>
    <xf numFmtId="9" fontId="23" fillId="0" borderId="9" xfId="676" applyFont="1" applyBorder="1"/>
    <xf numFmtId="17" fontId="20" fillId="0" borderId="0" xfId="638" applyNumberFormat="1" applyFont="1"/>
    <xf numFmtId="43" fontId="26" fillId="18" borderId="0" xfId="53" applyFont="1" applyFill="1" applyBorder="1"/>
    <xf numFmtId="166" fontId="73" fillId="18" borderId="9" xfId="54" applyFont="1" applyFill="1" applyBorder="1" applyAlignment="1" applyProtection="1"/>
    <xf numFmtId="43" fontId="22" fillId="18" borderId="9" xfId="53" applyFont="1" applyFill="1" applyBorder="1"/>
    <xf numFmtId="43" fontId="26" fillId="15" borderId="0" xfId="53" applyFont="1" applyFill="1" applyBorder="1"/>
    <xf numFmtId="0" fontId="26" fillId="18" borderId="0" xfId="0" applyFont="1" applyFill="1"/>
    <xf numFmtId="43" fontId="22" fillId="23" borderId="0" xfId="53" applyFont="1" applyFill="1" applyBorder="1" applyAlignment="1">
      <alignment horizontal="center" vertical="center"/>
    </xf>
    <xf numFmtId="43" fontId="26" fillId="18" borderId="9" xfId="53" applyFont="1" applyFill="1" applyBorder="1" applyAlignment="1"/>
    <xf numFmtId="43" fontId="22" fillId="18" borderId="9" xfId="53" applyFont="1" applyFill="1" applyBorder="1" applyAlignment="1" applyProtection="1">
      <alignment vertical="top" wrapText="1" readingOrder="1"/>
      <protection locked="0"/>
    </xf>
    <xf numFmtId="43" fontId="26" fillId="21" borderId="9" xfId="53" applyFont="1" applyFill="1" applyBorder="1"/>
    <xf numFmtId="43" fontId="26" fillId="21" borderId="12" xfId="53" applyFont="1" applyFill="1" applyBorder="1"/>
    <xf numFmtId="173" fontId="56" fillId="17" borderId="62" xfId="0" applyNumberFormat="1" applyFont="1" applyFill="1" applyBorder="1" applyAlignment="1" applyProtection="1">
      <alignment vertical="top" wrapText="1" readingOrder="1"/>
      <protection locked="0"/>
    </xf>
    <xf numFmtId="173" fontId="39" fillId="0" borderId="66" xfId="0" applyNumberFormat="1" applyFont="1" applyBorder="1" applyAlignment="1" applyProtection="1">
      <alignment vertical="top" readingOrder="1"/>
      <protection locked="0"/>
    </xf>
    <xf numFmtId="17" fontId="22" fillId="23" borderId="0" xfId="0" applyNumberFormat="1" applyFont="1" applyFill="1" applyAlignment="1">
      <alignment horizontal="center" vertical="center"/>
    </xf>
    <xf numFmtId="17" fontId="26" fillId="0" borderId="0" xfId="0" applyNumberFormat="1" applyFont="1"/>
    <xf numFmtId="17" fontId="22" fillId="23" borderId="0" xfId="0" applyNumberFormat="1" applyFont="1" applyFill="1"/>
    <xf numFmtId="173" fontId="43" fillId="18" borderId="62" xfId="0" applyNumberFormat="1" applyFont="1" applyFill="1" applyBorder="1" applyAlignment="1" applyProtection="1">
      <alignment vertical="top" wrapText="1" readingOrder="1"/>
      <protection locked="0"/>
    </xf>
    <xf numFmtId="3" fontId="0" fillId="0" borderId="0" xfId="0" applyNumberFormat="1"/>
    <xf numFmtId="164" fontId="75" fillId="18" borderId="79" xfId="688" applyFont="1" applyFill="1" applyBorder="1" applyAlignment="1" applyProtection="1">
      <alignment horizontal="center"/>
      <protection locked="0"/>
    </xf>
    <xf numFmtId="0" fontId="74" fillId="0" borderId="0" xfId="0" applyFont="1" applyAlignment="1">
      <alignment horizontal="left"/>
    </xf>
    <xf numFmtId="0" fontId="75" fillId="0" borderId="0" xfId="0" applyFont="1"/>
    <xf numFmtId="49" fontId="75" fillId="29" borderId="9" xfId="0" applyNumberFormat="1" applyFont="1" applyFill="1" applyBorder="1" applyAlignment="1">
      <alignment horizontal="right"/>
    </xf>
    <xf numFmtId="0" fontId="74" fillId="0" borderId="0" xfId="0" applyFont="1"/>
    <xf numFmtId="183" fontId="75" fillId="29" borderId="9" xfId="0" applyNumberFormat="1" applyFont="1" applyFill="1" applyBorder="1"/>
    <xf numFmtId="0" fontId="74" fillId="29" borderId="0" xfId="0" applyFont="1" applyFill="1"/>
    <xf numFmtId="0" fontId="75" fillId="0" borderId="72" xfId="0" applyFont="1" applyBorder="1"/>
    <xf numFmtId="0" fontId="74" fillId="0" borderId="73" xfId="0" applyFont="1" applyBorder="1"/>
    <xf numFmtId="0" fontId="75" fillId="0" borderId="75" xfId="0" applyFont="1" applyBorder="1"/>
    <xf numFmtId="0" fontId="74" fillId="0" borderId="21" xfId="0" applyFont="1" applyBorder="1"/>
    <xf numFmtId="0" fontId="75" fillId="0" borderId="77" xfId="0" applyFont="1" applyBorder="1"/>
    <xf numFmtId="0" fontId="75" fillId="0" borderId="78" xfId="0" applyFont="1" applyBorder="1"/>
    <xf numFmtId="0" fontId="74" fillId="0" borderId="78" xfId="0" applyFont="1" applyBorder="1"/>
    <xf numFmtId="0" fontId="75" fillId="0" borderId="78" xfId="0" applyFont="1" applyBorder="1" applyAlignment="1">
      <alignment wrapText="1"/>
    </xf>
    <xf numFmtId="0" fontId="75" fillId="0" borderId="80" xfId="0" applyFont="1" applyBorder="1"/>
    <xf numFmtId="0" fontId="74" fillId="30" borderId="81" xfId="0" applyFont="1" applyFill="1" applyBorder="1"/>
    <xf numFmtId="164" fontId="75" fillId="0" borderId="0" xfId="0" applyNumberFormat="1" applyFont="1"/>
    <xf numFmtId="164" fontId="75" fillId="29" borderId="0" xfId="0" applyNumberFormat="1" applyFont="1" applyFill="1"/>
    <xf numFmtId="164" fontId="75" fillId="0" borderId="74" xfId="0" applyNumberFormat="1" applyFont="1" applyBorder="1"/>
    <xf numFmtId="164" fontId="75" fillId="0" borderId="76" xfId="0" applyNumberFormat="1" applyFont="1" applyBorder="1"/>
    <xf numFmtId="164" fontId="75" fillId="15" borderId="79" xfId="688" applyFont="1" applyFill="1" applyBorder="1" applyAlignment="1" applyProtection="1">
      <alignment horizontal="center"/>
    </xf>
    <xf numFmtId="164" fontId="75" fillId="15" borderId="79" xfId="688" applyFont="1" applyFill="1" applyBorder="1" applyAlignment="1" applyProtection="1">
      <alignment horizontal="center"/>
      <protection locked="0"/>
    </xf>
    <xf numFmtId="164" fontId="75" fillId="15" borderId="79" xfId="688" applyFont="1" applyFill="1" applyBorder="1" applyAlignment="1">
      <alignment horizontal="center"/>
    </xf>
    <xf numFmtId="164" fontId="0" fillId="0" borderId="0" xfId="0" applyNumberFormat="1"/>
    <xf numFmtId="164" fontId="74" fillId="15" borderId="79" xfId="688" applyFont="1" applyFill="1" applyBorder="1" applyAlignment="1" applyProtection="1">
      <alignment horizontal="center"/>
      <protection locked="0"/>
    </xf>
    <xf numFmtId="38" fontId="66" fillId="0" borderId="0" xfId="0" applyNumberFormat="1" applyFont="1"/>
    <xf numFmtId="43" fontId="22" fillId="23" borderId="0" xfId="53" applyFont="1" applyFill="1" applyAlignment="1">
      <alignment horizontal="center" vertical="center"/>
    </xf>
    <xf numFmtId="43" fontId="22" fillId="23" borderId="0" xfId="53" applyFont="1" applyFill="1"/>
    <xf numFmtId="43" fontId="22" fillId="17" borderId="9" xfId="53" applyFont="1" applyFill="1" applyBorder="1" applyAlignment="1" applyProtection="1">
      <alignment horizontal="left" vertical="top" wrapText="1" readingOrder="1"/>
      <protection locked="0"/>
    </xf>
    <xf numFmtId="43" fontId="22" fillId="23" borderId="9" xfId="53" applyFont="1" applyFill="1" applyBorder="1" applyAlignment="1">
      <alignment horizontal="center" vertical="center"/>
    </xf>
    <xf numFmtId="43" fontId="22" fillId="0" borderId="12" xfId="53" applyFont="1" applyFill="1" applyBorder="1" applyAlignment="1">
      <alignment horizontal="center" readingOrder="1"/>
    </xf>
    <xf numFmtId="43" fontId="22" fillId="0" borderId="38" xfId="53" applyFont="1" applyFill="1" applyBorder="1" applyAlignment="1">
      <alignment horizontal="center" readingOrder="1"/>
    </xf>
    <xf numFmtId="0" fontId="21" fillId="0" borderId="9" xfId="638" applyFont="1" applyBorder="1" applyAlignment="1">
      <alignment horizontal="center"/>
    </xf>
    <xf numFmtId="0" fontId="21" fillId="16" borderId="9" xfId="638" applyFont="1" applyFill="1" applyBorder="1" applyAlignment="1">
      <alignment horizontal="center"/>
    </xf>
    <xf numFmtId="0" fontId="20" fillId="0" borderId="9" xfId="638" applyFont="1" applyBorder="1" applyAlignment="1">
      <alignment horizontal="center" vertical="center" textRotation="90"/>
    </xf>
    <xf numFmtId="0" fontId="19" fillId="0" borderId="9" xfId="638" applyFont="1" applyBorder="1" applyAlignment="1">
      <alignment horizontal="center" vertical="distributed" textRotation="90"/>
    </xf>
    <xf numFmtId="0" fontId="19" fillId="0" borderId="9" xfId="638" applyFont="1" applyBorder="1" applyAlignment="1">
      <alignment horizontal="left" vertical="center"/>
    </xf>
    <xf numFmtId="0" fontId="19" fillId="0" borderId="9" xfId="638" applyFont="1" applyBorder="1" applyAlignment="1">
      <alignment horizontal="center" vertical="center" textRotation="90"/>
    </xf>
    <xf numFmtId="0" fontId="19" fillId="0" borderId="31" xfId="638" applyFont="1" applyBorder="1" applyAlignment="1">
      <alignment horizontal="center" vertical="distributed" textRotation="90"/>
    </xf>
    <xf numFmtId="0" fontId="19" fillId="0" borderId="9" xfId="638" applyFont="1" applyBorder="1" applyAlignment="1">
      <alignment horizontal="center" vertical="center"/>
    </xf>
    <xf numFmtId="0" fontId="20" fillId="0" borderId="9" xfId="638" applyFont="1" applyBorder="1" applyAlignment="1">
      <alignment horizontal="center" vertical="center"/>
    </xf>
    <xf numFmtId="17" fontId="19" fillId="0" borderId="50" xfId="0" applyNumberFormat="1" applyFont="1" applyBorder="1" applyAlignment="1">
      <alignment horizontal="center"/>
    </xf>
    <xf numFmtId="17" fontId="19" fillId="0" borderId="44" xfId="0" applyNumberFormat="1" applyFont="1" applyBorder="1" applyAlignment="1">
      <alignment horizontal="center"/>
    </xf>
    <xf numFmtId="17" fontId="19" fillId="0" borderId="51" xfId="0" applyNumberFormat="1" applyFont="1" applyBorder="1" applyAlignment="1">
      <alignment horizontal="center"/>
    </xf>
    <xf numFmtId="0" fontId="20" fillId="0" borderId="39" xfId="0" applyFont="1" applyBorder="1" applyAlignment="1">
      <alignment horizontal="center" wrapText="1"/>
    </xf>
    <xf numFmtId="0" fontId="19" fillId="0" borderId="39" xfId="0" applyFont="1" applyBorder="1" applyAlignment="1">
      <alignment horizontal="center" wrapText="1"/>
    </xf>
    <xf numFmtId="0" fontId="19" fillId="0" borderId="42" xfId="0" applyFont="1" applyBorder="1" applyAlignment="1">
      <alignment horizontal="center" wrapText="1"/>
    </xf>
    <xf numFmtId="17" fontId="20" fillId="0" borderId="41" xfId="0" applyNumberFormat="1" applyFont="1" applyBorder="1" applyAlignment="1">
      <alignment horizontal="center" wrapText="1"/>
    </xf>
    <xf numFmtId="17" fontId="20" fillId="0" borderId="43" xfId="0" applyNumberFormat="1" applyFont="1" applyBorder="1" applyAlignment="1">
      <alignment horizontal="center" wrapText="1"/>
    </xf>
    <xf numFmtId="17" fontId="20" fillId="0" borderId="50" xfId="0" applyNumberFormat="1" applyFont="1" applyBorder="1" applyAlignment="1">
      <alignment horizontal="center"/>
    </xf>
    <xf numFmtId="0" fontId="20" fillId="0" borderId="44" xfId="0" applyFont="1" applyBorder="1" applyAlignment="1">
      <alignment horizontal="center"/>
    </xf>
    <xf numFmtId="0" fontId="20" fillId="0" borderId="51" xfId="0" applyFont="1" applyBorder="1" applyAlignment="1">
      <alignment horizontal="center"/>
    </xf>
    <xf numFmtId="0" fontId="19" fillId="0" borderId="44" xfId="0" applyFont="1" applyBorder="1" applyAlignment="1">
      <alignment horizontal="center"/>
    </xf>
    <xf numFmtId="0" fontId="19" fillId="0" borderId="51" xfId="0" applyFont="1" applyBorder="1" applyAlignment="1">
      <alignment horizontal="center"/>
    </xf>
    <xf numFmtId="0" fontId="34" fillId="0" borderId="0" xfId="0" applyFont="1" applyAlignment="1" applyProtection="1">
      <alignment horizontal="left" wrapText="1"/>
      <protection locked="0"/>
    </xf>
    <xf numFmtId="0" fontId="35" fillId="0" borderId="39" xfId="0" applyFont="1" applyBorder="1" applyAlignment="1">
      <alignment horizontal="left" wrapText="1"/>
    </xf>
    <xf numFmtId="43" fontId="35" fillId="0" borderId="12" xfId="53" applyFont="1" applyBorder="1" applyAlignment="1" applyProtection="1">
      <alignment horizontal="center" wrapText="1"/>
    </xf>
    <xf numFmtId="43" fontId="35" fillId="0" borderId="38" xfId="53" applyFont="1" applyBorder="1" applyAlignment="1" applyProtection="1">
      <alignment horizontal="center" wrapText="1"/>
    </xf>
    <xf numFmtId="43" fontId="35" fillId="0" borderId="11" xfId="53" applyFont="1" applyBorder="1" applyAlignment="1" applyProtection="1">
      <alignment horizontal="center" wrapText="1"/>
    </xf>
    <xf numFmtId="9" fontId="35" fillId="0" borderId="12" xfId="676" applyFont="1" applyBorder="1" applyAlignment="1" applyProtection="1">
      <alignment horizontal="center" wrapText="1"/>
    </xf>
    <xf numFmtId="9" fontId="35" fillId="0" borderId="38" xfId="676" applyFont="1" applyBorder="1" applyAlignment="1" applyProtection="1">
      <alignment horizontal="center" wrapText="1"/>
    </xf>
    <xf numFmtId="9" fontId="35" fillId="0" borderId="11" xfId="676" applyFont="1" applyBorder="1" applyAlignment="1" applyProtection="1">
      <alignment horizontal="center" wrapText="1"/>
    </xf>
    <xf numFmtId="165" fontId="34" fillId="0" borderId="12" xfId="53" applyNumberFormat="1" applyFont="1" applyBorder="1" applyAlignment="1">
      <alignment horizontal="center" wrapText="1"/>
    </xf>
    <xf numFmtId="165" fontId="34" fillId="0" borderId="38" xfId="53" applyNumberFormat="1" applyFont="1" applyBorder="1" applyAlignment="1">
      <alignment horizontal="center" wrapText="1"/>
    </xf>
    <xf numFmtId="165" fontId="34" fillId="0" borderId="11" xfId="53" applyNumberFormat="1" applyFont="1" applyBorder="1" applyAlignment="1">
      <alignment horizontal="center" wrapText="1"/>
    </xf>
    <xf numFmtId="9" fontId="34" fillId="0" borderId="12" xfId="676" applyFont="1" applyBorder="1" applyAlignment="1">
      <alignment horizontal="center" wrapText="1"/>
    </xf>
    <xf numFmtId="9" fontId="34" fillId="0" borderId="38" xfId="676" applyFont="1" applyBorder="1" applyAlignment="1">
      <alignment horizontal="center" wrapText="1"/>
    </xf>
    <xf numFmtId="9" fontId="34" fillId="0" borderId="11" xfId="676" applyFont="1" applyBorder="1" applyAlignment="1">
      <alignment horizontal="center" wrapText="1"/>
    </xf>
    <xf numFmtId="43" fontId="35" fillId="0" borderId="12" xfId="53" applyFont="1" applyBorder="1" applyAlignment="1">
      <alignment horizontal="center" wrapText="1"/>
    </xf>
    <xf numFmtId="43" fontId="35" fillId="0" borderId="38" xfId="53" applyFont="1" applyBorder="1" applyAlignment="1">
      <alignment horizontal="center" wrapText="1"/>
    </xf>
    <xf numFmtId="43" fontId="35" fillId="0" borderId="11" xfId="53" applyFont="1" applyBorder="1" applyAlignment="1">
      <alignment horizontal="center" wrapText="1"/>
    </xf>
    <xf numFmtId="9" fontId="35" fillId="0" borderId="12" xfId="676" applyFont="1" applyBorder="1" applyAlignment="1">
      <alignment horizontal="center" wrapText="1"/>
    </xf>
    <xf numFmtId="9" fontId="35" fillId="0" borderId="38" xfId="676" applyFont="1" applyBorder="1" applyAlignment="1">
      <alignment horizontal="center" wrapText="1"/>
    </xf>
    <xf numFmtId="9" fontId="35" fillId="0" borderId="11" xfId="676" applyFont="1" applyBorder="1" applyAlignment="1">
      <alignment horizontal="center" wrapText="1"/>
    </xf>
    <xf numFmtId="0" fontId="52" fillId="0" borderId="9" xfId="638" applyFont="1" applyBorder="1" applyAlignment="1">
      <alignment horizontal="center" vertical="center" textRotation="90"/>
    </xf>
    <xf numFmtId="0" fontId="52" fillId="0" borderId="9" xfId="638" applyFont="1" applyBorder="1" applyAlignment="1">
      <alignment horizontal="center" vertical="center"/>
    </xf>
    <xf numFmtId="173" fontId="56" fillId="18" borderId="62" xfId="0" applyNumberFormat="1" applyFont="1" applyFill="1" applyBorder="1" applyAlignment="1" applyProtection="1">
      <alignment vertical="top" wrapText="1" readingOrder="1"/>
      <protection locked="0"/>
    </xf>
    <xf numFmtId="17" fontId="22" fillId="0" borderId="0" xfId="0" applyNumberFormat="1" applyFont="1" applyAlignment="1">
      <alignment horizontal="right"/>
    </xf>
  </cellXfs>
  <cellStyles count="689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2" xfId="70" xr:uid="{00000000-0005-0000-0000-000045000000}"/>
    <cellStyle name="Comma 10 2 2" xfId="71" xr:uid="{00000000-0005-0000-0000-000046000000}"/>
    <cellStyle name="Comma 10 3" xfId="72" xr:uid="{00000000-0005-0000-0000-000047000000}"/>
    <cellStyle name="Comma 10 3 2" xfId="73" xr:uid="{00000000-0005-0000-0000-000048000000}"/>
    <cellStyle name="Comma 10 4" xfId="74" xr:uid="{00000000-0005-0000-0000-000049000000}"/>
    <cellStyle name="Comma 10 4 2" xfId="75" xr:uid="{00000000-0005-0000-0000-00004A000000}"/>
    <cellStyle name="Comma 10 5" xfId="76" xr:uid="{00000000-0005-0000-0000-00004B000000}"/>
    <cellStyle name="Comma 10 5 2" xfId="77" xr:uid="{00000000-0005-0000-0000-00004C000000}"/>
    <cellStyle name="Comma 10 6" xfId="78" xr:uid="{00000000-0005-0000-0000-00004D000000}"/>
    <cellStyle name="Comma 10 6 2" xfId="79" xr:uid="{00000000-0005-0000-0000-00004E000000}"/>
    <cellStyle name="Comma 10 7" xfId="80" xr:uid="{00000000-0005-0000-0000-00004F000000}"/>
    <cellStyle name="Comma 10 7 2" xfId="81" xr:uid="{00000000-0005-0000-0000-000050000000}"/>
    <cellStyle name="Comma 10 8" xfId="82" xr:uid="{00000000-0005-0000-0000-000051000000}"/>
    <cellStyle name="Comma 10 8 2" xfId="83" xr:uid="{00000000-0005-0000-0000-000052000000}"/>
    <cellStyle name="Comma 10 9" xfId="84" xr:uid="{00000000-0005-0000-0000-000053000000}"/>
    <cellStyle name="Comma 10 9 2" xfId="85" xr:uid="{00000000-0005-0000-0000-000054000000}"/>
    <cellStyle name="Comma 11" xfId="86" xr:uid="{00000000-0005-0000-0000-000055000000}"/>
    <cellStyle name="Comma 11 10" xfId="87" xr:uid="{00000000-0005-0000-0000-000056000000}"/>
    <cellStyle name="Comma 11 10 2" xfId="88" xr:uid="{00000000-0005-0000-0000-000057000000}"/>
    <cellStyle name="Comma 11 11" xfId="89" xr:uid="{00000000-0005-0000-0000-000058000000}"/>
    <cellStyle name="Comma 11 11 2" xfId="90" xr:uid="{00000000-0005-0000-0000-000059000000}"/>
    <cellStyle name="Comma 11 12" xfId="91" xr:uid="{00000000-0005-0000-0000-00005A000000}"/>
    <cellStyle name="Comma 11 12 2" xfId="92" xr:uid="{00000000-0005-0000-0000-00005B000000}"/>
    <cellStyle name="Comma 11 13" xfId="93" xr:uid="{00000000-0005-0000-0000-00005C000000}"/>
    <cellStyle name="Comma 11 13 2" xfId="94" xr:uid="{00000000-0005-0000-0000-00005D000000}"/>
    <cellStyle name="Comma 11 14" xfId="95" xr:uid="{00000000-0005-0000-0000-00005E000000}"/>
    <cellStyle name="Comma 11 14 2" xfId="96" xr:uid="{00000000-0005-0000-0000-00005F000000}"/>
    <cellStyle name="Comma 11 15" xfId="97" xr:uid="{00000000-0005-0000-0000-000060000000}"/>
    <cellStyle name="Comma 11 15 2" xfId="98" xr:uid="{00000000-0005-0000-0000-000061000000}"/>
    <cellStyle name="Comma 11 16" xfId="99" xr:uid="{00000000-0005-0000-0000-000062000000}"/>
    <cellStyle name="Comma 11 16 2" xfId="100" xr:uid="{00000000-0005-0000-0000-000063000000}"/>
    <cellStyle name="Comma 11 17" xfId="101" xr:uid="{00000000-0005-0000-0000-000064000000}"/>
    <cellStyle name="Comma 11 17 2" xfId="102" xr:uid="{00000000-0005-0000-0000-000065000000}"/>
    <cellStyle name="Comma 11 18" xfId="103" xr:uid="{00000000-0005-0000-0000-000066000000}"/>
    <cellStyle name="Comma 11 2" xfId="104" xr:uid="{00000000-0005-0000-0000-000067000000}"/>
    <cellStyle name="Comma 11 2 2" xfId="105" xr:uid="{00000000-0005-0000-0000-000068000000}"/>
    <cellStyle name="Comma 11 2 2 2" xfId="106" xr:uid="{00000000-0005-0000-0000-000069000000}"/>
    <cellStyle name="Comma 11 2 3" xfId="107" xr:uid="{00000000-0005-0000-0000-00006A000000}"/>
    <cellStyle name="Comma 11 3" xfId="108" xr:uid="{00000000-0005-0000-0000-00006B000000}"/>
    <cellStyle name="Comma 11 3 2" xfId="109" xr:uid="{00000000-0005-0000-0000-00006C000000}"/>
    <cellStyle name="Comma 11 4" xfId="110" xr:uid="{00000000-0005-0000-0000-00006D000000}"/>
    <cellStyle name="Comma 11 4 2" xfId="111" xr:uid="{00000000-0005-0000-0000-00006E000000}"/>
    <cellStyle name="Comma 11 5" xfId="112" xr:uid="{00000000-0005-0000-0000-00006F000000}"/>
    <cellStyle name="Comma 11 5 2" xfId="113" xr:uid="{00000000-0005-0000-0000-000070000000}"/>
    <cellStyle name="Comma 11 6" xfId="114" xr:uid="{00000000-0005-0000-0000-000071000000}"/>
    <cellStyle name="Comma 11 6 2" xfId="115" xr:uid="{00000000-0005-0000-0000-000072000000}"/>
    <cellStyle name="Comma 11 7" xfId="116" xr:uid="{00000000-0005-0000-0000-000073000000}"/>
    <cellStyle name="Comma 11 7 2" xfId="117" xr:uid="{00000000-0005-0000-0000-000074000000}"/>
    <cellStyle name="Comma 11 8" xfId="118" xr:uid="{00000000-0005-0000-0000-000075000000}"/>
    <cellStyle name="Comma 11 8 2" xfId="119" xr:uid="{00000000-0005-0000-0000-000076000000}"/>
    <cellStyle name="Comma 11 9" xfId="120" xr:uid="{00000000-0005-0000-0000-000077000000}"/>
    <cellStyle name="Comma 11 9 2" xfId="121" xr:uid="{00000000-0005-0000-0000-000078000000}"/>
    <cellStyle name="Comma 12" xfId="122" xr:uid="{00000000-0005-0000-0000-000079000000}"/>
    <cellStyle name="Comma 12 2" xfId="123" xr:uid="{00000000-0005-0000-0000-00007A000000}"/>
    <cellStyle name="Comma 13" xfId="124" xr:uid="{00000000-0005-0000-0000-00007B000000}"/>
    <cellStyle name="Comma 13 2" xfId="125" xr:uid="{00000000-0005-0000-0000-00007C000000}"/>
    <cellStyle name="Comma 14" xfId="126" xr:uid="{00000000-0005-0000-0000-00007D000000}"/>
    <cellStyle name="Comma 14 2" xfId="127" xr:uid="{00000000-0005-0000-0000-00007E000000}"/>
    <cellStyle name="Comma 15" xfId="128" xr:uid="{00000000-0005-0000-0000-00007F000000}"/>
    <cellStyle name="Comma 15 2" xfId="129" xr:uid="{00000000-0005-0000-0000-000080000000}"/>
    <cellStyle name="Comma 16" xfId="130" xr:uid="{00000000-0005-0000-0000-000081000000}"/>
    <cellStyle name="Comma 16 10" xfId="131" xr:uid="{00000000-0005-0000-0000-000082000000}"/>
    <cellStyle name="Comma 16 10 2" xfId="132" xr:uid="{00000000-0005-0000-0000-000083000000}"/>
    <cellStyle name="Comma 16 11" xfId="133" xr:uid="{00000000-0005-0000-0000-000084000000}"/>
    <cellStyle name="Comma 16 11 2" xfId="134" xr:uid="{00000000-0005-0000-0000-000085000000}"/>
    <cellStyle name="Comma 16 12" xfId="135" xr:uid="{00000000-0005-0000-0000-000086000000}"/>
    <cellStyle name="Comma 16 12 2" xfId="136" xr:uid="{00000000-0005-0000-0000-000087000000}"/>
    <cellStyle name="Comma 16 13" xfId="137" xr:uid="{00000000-0005-0000-0000-000088000000}"/>
    <cellStyle name="Comma 16 13 2" xfId="138" xr:uid="{00000000-0005-0000-0000-000089000000}"/>
    <cellStyle name="Comma 16 14" xfId="139" xr:uid="{00000000-0005-0000-0000-00008A000000}"/>
    <cellStyle name="Comma 16 14 2" xfId="140" xr:uid="{00000000-0005-0000-0000-00008B000000}"/>
    <cellStyle name="Comma 16 15" xfId="141" xr:uid="{00000000-0005-0000-0000-00008C000000}"/>
    <cellStyle name="Comma 16 15 2" xfId="142" xr:uid="{00000000-0005-0000-0000-00008D000000}"/>
    <cellStyle name="Comma 16 16" xfId="143" xr:uid="{00000000-0005-0000-0000-00008E000000}"/>
    <cellStyle name="Comma 16 16 2" xfId="144" xr:uid="{00000000-0005-0000-0000-00008F000000}"/>
    <cellStyle name="Comma 16 17" xfId="145" xr:uid="{00000000-0005-0000-0000-000090000000}"/>
    <cellStyle name="Comma 16 2" xfId="146" xr:uid="{00000000-0005-0000-0000-000091000000}"/>
    <cellStyle name="Comma 16 2 2" xfId="147" xr:uid="{00000000-0005-0000-0000-000092000000}"/>
    <cellStyle name="Comma 16 3" xfId="148" xr:uid="{00000000-0005-0000-0000-000093000000}"/>
    <cellStyle name="Comma 16 3 2" xfId="149" xr:uid="{00000000-0005-0000-0000-000094000000}"/>
    <cellStyle name="Comma 16 4" xfId="150" xr:uid="{00000000-0005-0000-0000-000095000000}"/>
    <cellStyle name="Comma 16 4 2" xfId="151" xr:uid="{00000000-0005-0000-0000-000096000000}"/>
    <cellStyle name="Comma 16 5" xfId="152" xr:uid="{00000000-0005-0000-0000-000097000000}"/>
    <cellStyle name="Comma 16 5 2" xfId="153" xr:uid="{00000000-0005-0000-0000-000098000000}"/>
    <cellStyle name="Comma 16 6" xfId="154" xr:uid="{00000000-0005-0000-0000-000099000000}"/>
    <cellStyle name="Comma 16 6 2" xfId="155" xr:uid="{00000000-0005-0000-0000-00009A000000}"/>
    <cellStyle name="Comma 16 7" xfId="156" xr:uid="{00000000-0005-0000-0000-00009B000000}"/>
    <cellStyle name="Comma 16 7 2" xfId="157" xr:uid="{00000000-0005-0000-0000-00009C000000}"/>
    <cellStyle name="Comma 16 8" xfId="158" xr:uid="{00000000-0005-0000-0000-00009D000000}"/>
    <cellStyle name="Comma 16 8 2" xfId="159" xr:uid="{00000000-0005-0000-0000-00009E000000}"/>
    <cellStyle name="Comma 16 9" xfId="160" xr:uid="{00000000-0005-0000-0000-00009F000000}"/>
    <cellStyle name="Comma 16 9 2" xfId="161" xr:uid="{00000000-0005-0000-0000-0000A0000000}"/>
    <cellStyle name="Comma 17" xfId="162" xr:uid="{00000000-0005-0000-0000-0000A1000000}"/>
    <cellStyle name="Comma 17 10" xfId="163" xr:uid="{00000000-0005-0000-0000-0000A2000000}"/>
    <cellStyle name="Comma 17 10 2" xfId="164" xr:uid="{00000000-0005-0000-0000-0000A3000000}"/>
    <cellStyle name="Comma 17 11" xfId="165" xr:uid="{00000000-0005-0000-0000-0000A4000000}"/>
    <cellStyle name="Comma 17 2" xfId="166" xr:uid="{00000000-0005-0000-0000-0000A5000000}"/>
    <cellStyle name="Comma 17 2 2" xfId="167" xr:uid="{00000000-0005-0000-0000-0000A6000000}"/>
    <cellStyle name="Comma 17 3" xfId="168" xr:uid="{00000000-0005-0000-0000-0000A7000000}"/>
    <cellStyle name="Comma 17 3 2" xfId="169" xr:uid="{00000000-0005-0000-0000-0000A8000000}"/>
    <cellStyle name="Comma 17 4" xfId="170" xr:uid="{00000000-0005-0000-0000-0000A9000000}"/>
    <cellStyle name="Comma 17 4 2" xfId="171" xr:uid="{00000000-0005-0000-0000-0000AA000000}"/>
    <cellStyle name="Comma 17 5" xfId="172" xr:uid="{00000000-0005-0000-0000-0000AB000000}"/>
    <cellStyle name="Comma 17 5 2" xfId="173" xr:uid="{00000000-0005-0000-0000-0000AC000000}"/>
    <cellStyle name="Comma 17 6" xfId="174" xr:uid="{00000000-0005-0000-0000-0000AD000000}"/>
    <cellStyle name="Comma 17 6 2" xfId="175" xr:uid="{00000000-0005-0000-0000-0000AE000000}"/>
    <cellStyle name="Comma 17 7" xfId="176" xr:uid="{00000000-0005-0000-0000-0000AF000000}"/>
    <cellStyle name="Comma 17 7 2" xfId="177" xr:uid="{00000000-0005-0000-0000-0000B0000000}"/>
    <cellStyle name="Comma 17 8" xfId="178" xr:uid="{00000000-0005-0000-0000-0000B1000000}"/>
    <cellStyle name="Comma 17 8 2" xfId="179" xr:uid="{00000000-0005-0000-0000-0000B2000000}"/>
    <cellStyle name="Comma 17 9" xfId="180" xr:uid="{00000000-0005-0000-0000-0000B3000000}"/>
    <cellStyle name="Comma 17 9 2" xfId="181" xr:uid="{00000000-0005-0000-0000-0000B4000000}"/>
    <cellStyle name="Comma 18" xfId="182" xr:uid="{00000000-0005-0000-0000-0000B5000000}"/>
    <cellStyle name="Comma 18 2" xfId="183" xr:uid="{00000000-0005-0000-0000-0000B6000000}"/>
    <cellStyle name="Comma 19" xfId="184" xr:uid="{00000000-0005-0000-0000-0000B7000000}"/>
    <cellStyle name="Comma 2" xfId="185" xr:uid="{00000000-0005-0000-0000-0000B8000000}"/>
    <cellStyle name="Comma 2 10" xfId="186" xr:uid="{00000000-0005-0000-0000-0000B9000000}"/>
    <cellStyle name="Comma 2 10 2" xfId="187" xr:uid="{00000000-0005-0000-0000-0000BA000000}"/>
    <cellStyle name="Comma 2 11" xfId="188" xr:uid="{00000000-0005-0000-0000-0000BB000000}"/>
    <cellStyle name="Comma 2 11 2" xfId="189" xr:uid="{00000000-0005-0000-0000-0000BC000000}"/>
    <cellStyle name="Comma 2 12" xfId="190" xr:uid="{00000000-0005-0000-0000-0000BD000000}"/>
    <cellStyle name="Comma 2 12 2" xfId="191" xr:uid="{00000000-0005-0000-0000-0000BE000000}"/>
    <cellStyle name="Comma 2 13" xfId="192" xr:uid="{00000000-0005-0000-0000-0000BF000000}"/>
    <cellStyle name="Comma 2 13 2" xfId="193" xr:uid="{00000000-0005-0000-0000-0000C0000000}"/>
    <cellStyle name="Comma 2 14" xfId="194" xr:uid="{00000000-0005-0000-0000-0000C1000000}"/>
    <cellStyle name="Comma 2 14 2" xfId="195" xr:uid="{00000000-0005-0000-0000-0000C2000000}"/>
    <cellStyle name="Comma 2 15" xfId="196" xr:uid="{00000000-0005-0000-0000-0000C3000000}"/>
    <cellStyle name="Comma 2 15 2" xfId="197" xr:uid="{00000000-0005-0000-0000-0000C4000000}"/>
    <cellStyle name="Comma 2 16" xfId="198" xr:uid="{00000000-0005-0000-0000-0000C5000000}"/>
    <cellStyle name="Comma 2 16 2" xfId="199" xr:uid="{00000000-0005-0000-0000-0000C6000000}"/>
    <cellStyle name="Comma 2 17" xfId="200" xr:uid="{00000000-0005-0000-0000-0000C7000000}"/>
    <cellStyle name="Comma 2 17 2" xfId="201" xr:uid="{00000000-0005-0000-0000-0000C8000000}"/>
    <cellStyle name="Comma 2 18" xfId="202" xr:uid="{00000000-0005-0000-0000-0000C9000000}"/>
    <cellStyle name="Comma 2 18 2" xfId="203" xr:uid="{00000000-0005-0000-0000-0000CA000000}"/>
    <cellStyle name="Comma 2 19" xfId="204" xr:uid="{00000000-0005-0000-0000-0000CB000000}"/>
    <cellStyle name="Comma 2 19 2" xfId="205" xr:uid="{00000000-0005-0000-0000-0000CC000000}"/>
    <cellStyle name="Comma 2 2" xfId="206" xr:uid="{00000000-0005-0000-0000-0000CD000000}"/>
    <cellStyle name="Comma 2 2 2" xfId="207" xr:uid="{00000000-0005-0000-0000-0000CE000000}"/>
    <cellStyle name="Comma 2 20" xfId="208" xr:uid="{00000000-0005-0000-0000-0000CF000000}"/>
    <cellStyle name="Comma 2 20 2" xfId="209" xr:uid="{00000000-0005-0000-0000-0000D0000000}"/>
    <cellStyle name="Comma 2 21" xfId="210" xr:uid="{00000000-0005-0000-0000-0000D1000000}"/>
    <cellStyle name="Comma 2 21 2" xfId="211" xr:uid="{00000000-0005-0000-0000-0000D2000000}"/>
    <cellStyle name="Comma 2 22" xfId="212" xr:uid="{00000000-0005-0000-0000-0000D3000000}"/>
    <cellStyle name="Comma 2 22 2" xfId="213" xr:uid="{00000000-0005-0000-0000-0000D4000000}"/>
    <cellStyle name="Comma 2 23" xfId="214" xr:uid="{00000000-0005-0000-0000-0000D5000000}"/>
    <cellStyle name="Comma 2 23 2" xfId="215" xr:uid="{00000000-0005-0000-0000-0000D6000000}"/>
    <cellStyle name="Comma 2 24" xfId="216" xr:uid="{00000000-0005-0000-0000-0000D7000000}"/>
    <cellStyle name="Comma 2 24 2" xfId="217" xr:uid="{00000000-0005-0000-0000-0000D8000000}"/>
    <cellStyle name="Comma 2 25" xfId="218" xr:uid="{00000000-0005-0000-0000-0000D9000000}"/>
    <cellStyle name="Comma 2 25 2" xfId="219" xr:uid="{00000000-0005-0000-0000-0000DA000000}"/>
    <cellStyle name="Comma 2 26" xfId="220" xr:uid="{00000000-0005-0000-0000-0000DB000000}"/>
    <cellStyle name="Comma 2 26 2" xfId="221" xr:uid="{00000000-0005-0000-0000-0000DC000000}"/>
    <cellStyle name="Comma 2 27" xfId="222" xr:uid="{00000000-0005-0000-0000-0000DD000000}"/>
    <cellStyle name="Comma 2 3" xfId="223" xr:uid="{00000000-0005-0000-0000-0000DE000000}"/>
    <cellStyle name="Comma 2 3 2" xfId="224" xr:uid="{00000000-0005-0000-0000-0000DF000000}"/>
    <cellStyle name="Comma 2 4" xfId="225" xr:uid="{00000000-0005-0000-0000-0000E0000000}"/>
    <cellStyle name="Comma 2 4 2" xfId="226" xr:uid="{00000000-0005-0000-0000-0000E1000000}"/>
    <cellStyle name="Comma 2 5" xfId="227" xr:uid="{00000000-0005-0000-0000-0000E2000000}"/>
    <cellStyle name="Comma 2 5 2" xfId="228" xr:uid="{00000000-0005-0000-0000-0000E3000000}"/>
    <cellStyle name="Comma 2 6" xfId="229" xr:uid="{00000000-0005-0000-0000-0000E4000000}"/>
    <cellStyle name="Comma 2 6 2" xfId="230" xr:uid="{00000000-0005-0000-0000-0000E5000000}"/>
    <cellStyle name="Comma 2 7" xfId="231" xr:uid="{00000000-0005-0000-0000-0000E6000000}"/>
    <cellStyle name="Comma 2 7 2" xfId="232" xr:uid="{00000000-0005-0000-0000-0000E7000000}"/>
    <cellStyle name="Comma 2 8" xfId="233" xr:uid="{00000000-0005-0000-0000-0000E8000000}"/>
    <cellStyle name="Comma 2 8 2" xfId="234" xr:uid="{00000000-0005-0000-0000-0000E9000000}"/>
    <cellStyle name="Comma 2 9" xfId="235" xr:uid="{00000000-0005-0000-0000-0000EA000000}"/>
    <cellStyle name="Comma 2 9 2" xfId="236" xr:uid="{00000000-0005-0000-0000-0000EB000000}"/>
    <cellStyle name="Comma 20" xfId="688" xr:uid="{00000000-0005-0000-0000-0000DC020000}"/>
    <cellStyle name="Comma 24" xfId="237" xr:uid="{00000000-0005-0000-0000-0000EC000000}"/>
    <cellStyle name="Comma 24 2" xfId="238" xr:uid="{00000000-0005-0000-0000-0000ED000000}"/>
    <cellStyle name="Comma 3" xfId="239" xr:uid="{00000000-0005-0000-0000-0000EE000000}"/>
    <cellStyle name="Comma 3 10" xfId="240" xr:uid="{00000000-0005-0000-0000-0000EF000000}"/>
    <cellStyle name="Comma 3 10 2" xfId="241" xr:uid="{00000000-0005-0000-0000-0000F0000000}"/>
    <cellStyle name="Comma 3 11" xfId="242" xr:uid="{00000000-0005-0000-0000-0000F1000000}"/>
    <cellStyle name="Comma 3 11 2" xfId="243" xr:uid="{00000000-0005-0000-0000-0000F2000000}"/>
    <cellStyle name="Comma 3 12" xfId="244" xr:uid="{00000000-0005-0000-0000-0000F3000000}"/>
    <cellStyle name="Comma 3 12 2" xfId="245" xr:uid="{00000000-0005-0000-0000-0000F4000000}"/>
    <cellStyle name="Comma 3 13" xfId="246" xr:uid="{00000000-0005-0000-0000-0000F5000000}"/>
    <cellStyle name="Comma 3 13 2" xfId="247" xr:uid="{00000000-0005-0000-0000-0000F6000000}"/>
    <cellStyle name="Comma 3 14" xfId="248" xr:uid="{00000000-0005-0000-0000-0000F7000000}"/>
    <cellStyle name="Comma 3 14 2" xfId="249" xr:uid="{00000000-0005-0000-0000-0000F8000000}"/>
    <cellStyle name="Comma 3 15" xfId="250" xr:uid="{00000000-0005-0000-0000-0000F9000000}"/>
    <cellStyle name="Comma 3 15 2" xfId="251" xr:uid="{00000000-0005-0000-0000-0000FA000000}"/>
    <cellStyle name="Comma 3 16" xfId="252" xr:uid="{00000000-0005-0000-0000-0000FB000000}"/>
    <cellStyle name="Comma 3 16 2" xfId="253" xr:uid="{00000000-0005-0000-0000-0000FC000000}"/>
    <cellStyle name="Comma 3 17" xfId="254" xr:uid="{00000000-0005-0000-0000-0000FD000000}"/>
    <cellStyle name="Comma 3 17 2" xfId="255" xr:uid="{00000000-0005-0000-0000-0000FE000000}"/>
    <cellStyle name="Comma 3 18" xfId="256" xr:uid="{00000000-0005-0000-0000-0000FF000000}"/>
    <cellStyle name="Comma 3 18 2" xfId="257" xr:uid="{00000000-0005-0000-0000-000000010000}"/>
    <cellStyle name="Comma 3 19" xfId="258" xr:uid="{00000000-0005-0000-0000-000001010000}"/>
    <cellStyle name="Comma 3 19 2" xfId="259" xr:uid="{00000000-0005-0000-0000-000002010000}"/>
    <cellStyle name="Comma 3 2" xfId="260" xr:uid="{00000000-0005-0000-0000-000003010000}"/>
    <cellStyle name="Comma 3 2 2" xfId="261" xr:uid="{00000000-0005-0000-0000-000004010000}"/>
    <cellStyle name="Comma 3 20" xfId="262" xr:uid="{00000000-0005-0000-0000-000005010000}"/>
    <cellStyle name="Comma 3 20 2" xfId="263" xr:uid="{00000000-0005-0000-0000-000006010000}"/>
    <cellStyle name="Comma 3 21" xfId="264" xr:uid="{00000000-0005-0000-0000-000007010000}"/>
    <cellStyle name="Comma 3 3" xfId="265" xr:uid="{00000000-0005-0000-0000-000008010000}"/>
    <cellStyle name="Comma 3 3 2" xfId="266" xr:uid="{00000000-0005-0000-0000-000009010000}"/>
    <cellStyle name="Comma 3 4" xfId="267" xr:uid="{00000000-0005-0000-0000-00000A010000}"/>
    <cellStyle name="Comma 3 4 2" xfId="268" xr:uid="{00000000-0005-0000-0000-00000B010000}"/>
    <cellStyle name="Comma 3 5" xfId="269" xr:uid="{00000000-0005-0000-0000-00000C010000}"/>
    <cellStyle name="Comma 3 5 2" xfId="270" xr:uid="{00000000-0005-0000-0000-00000D010000}"/>
    <cellStyle name="Comma 3 6" xfId="271" xr:uid="{00000000-0005-0000-0000-00000E010000}"/>
    <cellStyle name="Comma 3 6 2" xfId="272" xr:uid="{00000000-0005-0000-0000-00000F010000}"/>
    <cellStyle name="Comma 3 7" xfId="273" xr:uid="{00000000-0005-0000-0000-000010010000}"/>
    <cellStyle name="Comma 3 7 2" xfId="274" xr:uid="{00000000-0005-0000-0000-000011010000}"/>
    <cellStyle name="Comma 3 8" xfId="275" xr:uid="{00000000-0005-0000-0000-000012010000}"/>
    <cellStyle name="Comma 3 8 2" xfId="276" xr:uid="{00000000-0005-0000-0000-000013010000}"/>
    <cellStyle name="Comma 3 9" xfId="277" xr:uid="{00000000-0005-0000-0000-000014010000}"/>
    <cellStyle name="Comma 3 9 2" xfId="278" xr:uid="{00000000-0005-0000-0000-000015010000}"/>
    <cellStyle name="Comma 4" xfId="279" xr:uid="{00000000-0005-0000-0000-000016010000}"/>
    <cellStyle name="Comma 4 2" xfId="280" xr:uid="{00000000-0005-0000-0000-000017010000}"/>
    <cellStyle name="Comma 5" xfId="281" xr:uid="{00000000-0005-0000-0000-000018010000}"/>
    <cellStyle name="Comma 5 10" xfId="282" xr:uid="{00000000-0005-0000-0000-000019010000}"/>
    <cellStyle name="Comma 5 10 2" xfId="283" xr:uid="{00000000-0005-0000-0000-00001A010000}"/>
    <cellStyle name="Comma 5 11" xfId="284" xr:uid="{00000000-0005-0000-0000-00001B010000}"/>
    <cellStyle name="Comma 5 11 2" xfId="285" xr:uid="{00000000-0005-0000-0000-00001C010000}"/>
    <cellStyle name="Comma 5 12" xfId="286" xr:uid="{00000000-0005-0000-0000-00001D010000}"/>
    <cellStyle name="Comma 5 12 2" xfId="287" xr:uid="{00000000-0005-0000-0000-00001E010000}"/>
    <cellStyle name="Comma 5 13" xfId="288" xr:uid="{00000000-0005-0000-0000-00001F010000}"/>
    <cellStyle name="Comma 5 13 2" xfId="289" xr:uid="{00000000-0005-0000-0000-000020010000}"/>
    <cellStyle name="Comma 5 14" xfId="290" xr:uid="{00000000-0005-0000-0000-000021010000}"/>
    <cellStyle name="Comma 5 14 2" xfId="291" xr:uid="{00000000-0005-0000-0000-000022010000}"/>
    <cellStyle name="Comma 5 15" xfId="292" xr:uid="{00000000-0005-0000-0000-000023010000}"/>
    <cellStyle name="Comma 5 15 2" xfId="293" xr:uid="{00000000-0005-0000-0000-000024010000}"/>
    <cellStyle name="Comma 5 16" xfId="294" xr:uid="{00000000-0005-0000-0000-000025010000}"/>
    <cellStyle name="Comma 5 16 2" xfId="295" xr:uid="{00000000-0005-0000-0000-000026010000}"/>
    <cellStyle name="Comma 5 17" xfId="296" xr:uid="{00000000-0005-0000-0000-000027010000}"/>
    <cellStyle name="Comma 5 17 2" xfId="297" xr:uid="{00000000-0005-0000-0000-000028010000}"/>
    <cellStyle name="Comma 5 18" xfId="298" xr:uid="{00000000-0005-0000-0000-000029010000}"/>
    <cellStyle name="Comma 5 18 2" xfId="299" xr:uid="{00000000-0005-0000-0000-00002A010000}"/>
    <cellStyle name="Comma 5 19" xfId="300" xr:uid="{00000000-0005-0000-0000-00002B010000}"/>
    <cellStyle name="Comma 5 19 2" xfId="301" xr:uid="{00000000-0005-0000-0000-00002C010000}"/>
    <cellStyle name="Comma 5 2" xfId="302" xr:uid="{00000000-0005-0000-0000-00002D010000}"/>
    <cellStyle name="Comma 5 2 2" xfId="303" xr:uid="{00000000-0005-0000-0000-00002E010000}"/>
    <cellStyle name="Comma 5 20" xfId="304" xr:uid="{00000000-0005-0000-0000-00002F010000}"/>
    <cellStyle name="Comma 5 20 2" xfId="305" xr:uid="{00000000-0005-0000-0000-000030010000}"/>
    <cellStyle name="Comma 5 21" xfId="306" xr:uid="{00000000-0005-0000-0000-000031010000}"/>
    <cellStyle name="Comma 5 3" xfId="307" xr:uid="{00000000-0005-0000-0000-000032010000}"/>
    <cellStyle name="Comma 5 3 2" xfId="308" xr:uid="{00000000-0005-0000-0000-000033010000}"/>
    <cellStyle name="Comma 5 4" xfId="309" xr:uid="{00000000-0005-0000-0000-000034010000}"/>
    <cellStyle name="Comma 5 4 2" xfId="310" xr:uid="{00000000-0005-0000-0000-000035010000}"/>
    <cellStyle name="Comma 5 5" xfId="311" xr:uid="{00000000-0005-0000-0000-000036010000}"/>
    <cellStyle name="Comma 5 5 2" xfId="312" xr:uid="{00000000-0005-0000-0000-000037010000}"/>
    <cellStyle name="Comma 5 6" xfId="313" xr:uid="{00000000-0005-0000-0000-000038010000}"/>
    <cellStyle name="Comma 5 6 2" xfId="314" xr:uid="{00000000-0005-0000-0000-000039010000}"/>
    <cellStyle name="Comma 5 7" xfId="315" xr:uid="{00000000-0005-0000-0000-00003A010000}"/>
    <cellStyle name="Comma 5 7 2" xfId="316" xr:uid="{00000000-0005-0000-0000-00003B010000}"/>
    <cellStyle name="Comma 5 8" xfId="317" xr:uid="{00000000-0005-0000-0000-00003C010000}"/>
    <cellStyle name="Comma 5 8 2" xfId="318" xr:uid="{00000000-0005-0000-0000-00003D010000}"/>
    <cellStyle name="Comma 5 9" xfId="319" xr:uid="{00000000-0005-0000-0000-00003E010000}"/>
    <cellStyle name="Comma 5 9 2" xfId="320" xr:uid="{00000000-0005-0000-0000-00003F010000}"/>
    <cellStyle name="Comma 6" xfId="321" xr:uid="{00000000-0005-0000-0000-000040010000}"/>
    <cellStyle name="Comma 6 10" xfId="322" xr:uid="{00000000-0005-0000-0000-000041010000}"/>
    <cellStyle name="Comma 6 10 2" xfId="323" xr:uid="{00000000-0005-0000-0000-000042010000}"/>
    <cellStyle name="Comma 6 11" xfId="324" xr:uid="{00000000-0005-0000-0000-000043010000}"/>
    <cellStyle name="Comma 6 11 2" xfId="325" xr:uid="{00000000-0005-0000-0000-000044010000}"/>
    <cellStyle name="Comma 6 12" xfId="326" xr:uid="{00000000-0005-0000-0000-000045010000}"/>
    <cellStyle name="Comma 6 12 2" xfId="327" xr:uid="{00000000-0005-0000-0000-000046010000}"/>
    <cellStyle name="Comma 6 13" xfId="328" xr:uid="{00000000-0005-0000-0000-000047010000}"/>
    <cellStyle name="Comma 6 13 2" xfId="329" xr:uid="{00000000-0005-0000-0000-000048010000}"/>
    <cellStyle name="Comma 6 14" xfId="330" xr:uid="{00000000-0005-0000-0000-000049010000}"/>
    <cellStyle name="Comma 6 14 2" xfId="331" xr:uid="{00000000-0005-0000-0000-00004A010000}"/>
    <cellStyle name="Comma 6 15" xfId="332" xr:uid="{00000000-0005-0000-0000-00004B010000}"/>
    <cellStyle name="Comma 6 15 2" xfId="333" xr:uid="{00000000-0005-0000-0000-00004C010000}"/>
    <cellStyle name="Comma 6 16" xfId="334" xr:uid="{00000000-0005-0000-0000-00004D010000}"/>
    <cellStyle name="Comma 6 16 2" xfId="335" xr:uid="{00000000-0005-0000-0000-00004E010000}"/>
    <cellStyle name="Comma 6 17" xfId="336" xr:uid="{00000000-0005-0000-0000-00004F010000}"/>
    <cellStyle name="Comma 6 17 2" xfId="337" xr:uid="{00000000-0005-0000-0000-000050010000}"/>
    <cellStyle name="Comma 6 18" xfId="338" xr:uid="{00000000-0005-0000-0000-000051010000}"/>
    <cellStyle name="Comma 6 18 2" xfId="339" xr:uid="{00000000-0005-0000-0000-000052010000}"/>
    <cellStyle name="Comma 6 19" xfId="340" xr:uid="{00000000-0005-0000-0000-000053010000}"/>
    <cellStyle name="Comma 6 19 2" xfId="341" xr:uid="{00000000-0005-0000-0000-000054010000}"/>
    <cellStyle name="Comma 6 2" xfId="342" xr:uid="{00000000-0005-0000-0000-000055010000}"/>
    <cellStyle name="Comma 6 2 2" xfId="343" xr:uid="{00000000-0005-0000-0000-000056010000}"/>
    <cellStyle name="Comma 6 20" xfId="344" xr:uid="{00000000-0005-0000-0000-000057010000}"/>
    <cellStyle name="Comma 6 3" xfId="345" xr:uid="{00000000-0005-0000-0000-000058010000}"/>
    <cellStyle name="Comma 6 3 2" xfId="346" xr:uid="{00000000-0005-0000-0000-000059010000}"/>
    <cellStyle name="Comma 6 4" xfId="347" xr:uid="{00000000-0005-0000-0000-00005A010000}"/>
    <cellStyle name="Comma 6 4 2" xfId="348" xr:uid="{00000000-0005-0000-0000-00005B010000}"/>
    <cellStyle name="Comma 6 5" xfId="349" xr:uid="{00000000-0005-0000-0000-00005C010000}"/>
    <cellStyle name="Comma 6 5 2" xfId="350" xr:uid="{00000000-0005-0000-0000-00005D010000}"/>
    <cellStyle name="Comma 6 6" xfId="351" xr:uid="{00000000-0005-0000-0000-00005E010000}"/>
    <cellStyle name="Comma 6 6 2" xfId="352" xr:uid="{00000000-0005-0000-0000-00005F010000}"/>
    <cellStyle name="Comma 6 7" xfId="353" xr:uid="{00000000-0005-0000-0000-000060010000}"/>
    <cellStyle name="Comma 6 7 2" xfId="354" xr:uid="{00000000-0005-0000-0000-000061010000}"/>
    <cellStyle name="Comma 6 8" xfId="355" xr:uid="{00000000-0005-0000-0000-000062010000}"/>
    <cellStyle name="Comma 6 8 2" xfId="356" xr:uid="{00000000-0005-0000-0000-000063010000}"/>
    <cellStyle name="Comma 6 9" xfId="357" xr:uid="{00000000-0005-0000-0000-000064010000}"/>
    <cellStyle name="Comma 6 9 2" xfId="358" xr:uid="{00000000-0005-0000-0000-000065010000}"/>
    <cellStyle name="Comma 7" xfId="359" xr:uid="{00000000-0005-0000-0000-000066010000}"/>
    <cellStyle name="Comma 7 10" xfId="360" xr:uid="{00000000-0005-0000-0000-000067010000}"/>
    <cellStyle name="Comma 7 10 2" xfId="361" xr:uid="{00000000-0005-0000-0000-000068010000}"/>
    <cellStyle name="Comma 7 11" xfId="362" xr:uid="{00000000-0005-0000-0000-000069010000}"/>
    <cellStyle name="Comma 7 11 2" xfId="363" xr:uid="{00000000-0005-0000-0000-00006A010000}"/>
    <cellStyle name="Comma 7 12" xfId="364" xr:uid="{00000000-0005-0000-0000-00006B010000}"/>
    <cellStyle name="Comma 7 12 2" xfId="365" xr:uid="{00000000-0005-0000-0000-00006C010000}"/>
    <cellStyle name="Comma 7 13" xfId="366" xr:uid="{00000000-0005-0000-0000-00006D010000}"/>
    <cellStyle name="Comma 7 13 2" xfId="367" xr:uid="{00000000-0005-0000-0000-00006E010000}"/>
    <cellStyle name="Comma 7 14" xfId="368" xr:uid="{00000000-0005-0000-0000-00006F010000}"/>
    <cellStyle name="Comma 7 14 2" xfId="369" xr:uid="{00000000-0005-0000-0000-000070010000}"/>
    <cellStyle name="Comma 7 15" xfId="370" xr:uid="{00000000-0005-0000-0000-000071010000}"/>
    <cellStyle name="Comma 7 15 2" xfId="371" xr:uid="{00000000-0005-0000-0000-000072010000}"/>
    <cellStyle name="Comma 7 16" xfId="372" xr:uid="{00000000-0005-0000-0000-000073010000}"/>
    <cellStyle name="Comma 7 16 2" xfId="373" xr:uid="{00000000-0005-0000-0000-000074010000}"/>
    <cellStyle name="Comma 7 17" xfId="374" xr:uid="{00000000-0005-0000-0000-000075010000}"/>
    <cellStyle name="Comma 7 17 2" xfId="375" xr:uid="{00000000-0005-0000-0000-000076010000}"/>
    <cellStyle name="Comma 7 18" xfId="376" xr:uid="{00000000-0005-0000-0000-000077010000}"/>
    <cellStyle name="Comma 7 18 2" xfId="377" xr:uid="{00000000-0005-0000-0000-000078010000}"/>
    <cellStyle name="Comma 7 19" xfId="378" xr:uid="{00000000-0005-0000-0000-000079010000}"/>
    <cellStyle name="Comma 7 19 2" xfId="379" xr:uid="{00000000-0005-0000-0000-00007A010000}"/>
    <cellStyle name="Comma 7 2" xfId="380" xr:uid="{00000000-0005-0000-0000-00007B010000}"/>
    <cellStyle name="Comma 7 2 2" xfId="381" xr:uid="{00000000-0005-0000-0000-00007C010000}"/>
    <cellStyle name="Comma 7 20" xfId="382" xr:uid="{00000000-0005-0000-0000-00007D010000}"/>
    <cellStyle name="Comma 7 3" xfId="383" xr:uid="{00000000-0005-0000-0000-00007E010000}"/>
    <cellStyle name="Comma 7 3 2" xfId="384" xr:uid="{00000000-0005-0000-0000-00007F010000}"/>
    <cellStyle name="Comma 7 4" xfId="385" xr:uid="{00000000-0005-0000-0000-000080010000}"/>
    <cellStyle name="Comma 7 4 2" xfId="386" xr:uid="{00000000-0005-0000-0000-000081010000}"/>
    <cellStyle name="Comma 7 5" xfId="387" xr:uid="{00000000-0005-0000-0000-000082010000}"/>
    <cellStyle name="Comma 7 5 2" xfId="388" xr:uid="{00000000-0005-0000-0000-000083010000}"/>
    <cellStyle name="Comma 7 6" xfId="389" xr:uid="{00000000-0005-0000-0000-000084010000}"/>
    <cellStyle name="Comma 7 6 2" xfId="390" xr:uid="{00000000-0005-0000-0000-000085010000}"/>
    <cellStyle name="Comma 7 7" xfId="391" xr:uid="{00000000-0005-0000-0000-000086010000}"/>
    <cellStyle name="Comma 7 7 2" xfId="392" xr:uid="{00000000-0005-0000-0000-000087010000}"/>
    <cellStyle name="Comma 7 8" xfId="393" xr:uid="{00000000-0005-0000-0000-000088010000}"/>
    <cellStyle name="Comma 7 8 2" xfId="394" xr:uid="{00000000-0005-0000-0000-000089010000}"/>
    <cellStyle name="Comma 7 9" xfId="395" xr:uid="{00000000-0005-0000-0000-00008A010000}"/>
    <cellStyle name="Comma 7 9 2" xfId="396" xr:uid="{00000000-0005-0000-0000-00008B010000}"/>
    <cellStyle name="Comma 8" xfId="397" xr:uid="{00000000-0005-0000-0000-00008C010000}"/>
    <cellStyle name="Comma 8 10" xfId="398" xr:uid="{00000000-0005-0000-0000-00008D010000}"/>
    <cellStyle name="Comma 8 10 2" xfId="399" xr:uid="{00000000-0005-0000-0000-00008E010000}"/>
    <cellStyle name="Comma 8 11" xfId="400" xr:uid="{00000000-0005-0000-0000-00008F010000}"/>
    <cellStyle name="Comma 8 11 2" xfId="401" xr:uid="{00000000-0005-0000-0000-000090010000}"/>
    <cellStyle name="Comma 8 12" xfId="402" xr:uid="{00000000-0005-0000-0000-000091010000}"/>
    <cellStyle name="Comma 8 12 2" xfId="403" xr:uid="{00000000-0005-0000-0000-000092010000}"/>
    <cellStyle name="Comma 8 13" xfId="404" xr:uid="{00000000-0005-0000-0000-000093010000}"/>
    <cellStyle name="Comma 8 13 2" xfId="405" xr:uid="{00000000-0005-0000-0000-000094010000}"/>
    <cellStyle name="Comma 8 14" xfId="406" xr:uid="{00000000-0005-0000-0000-000095010000}"/>
    <cellStyle name="Comma 8 14 2" xfId="407" xr:uid="{00000000-0005-0000-0000-000096010000}"/>
    <cellStyle name="Comma 8 15" xfId="408" xr:uid="{00000000-0005-0000-0000-000097010000}"/>
    <cellStyle name="Comma 8 15 2" xfId="409" xr:uid="{00000000-0005-0000-0000-000098010000}"/>
    <cellStyle name="Comma 8 16" xfId="410" xr:uid="{00000000-0005-0000-0000-000099010000}"/>
    <cellStyle name="Comma 8 16 2" xfId="411" xr:uid="{00000000-0005-0000-0000-00009A010000}"/>
    <cellStyle name="Comma 8 17" xfId="412" xr:uid="{00000000-0005-0000-0000-00009B010000}"/>
    <cellStyle name="Comma 8 17 2" xfId="413" xr:uid="{00000000-0005-0000-0000-00009C010000}"/>
    <cellStyle name="Comma 8 18" xfId="414" xr:uid="{00000000-0005-0000-0000-00009D010000}"/>
    <cellStyle name="Comma 8 18 2" xfId="415" xr:uid="{00000000-0005-0000-0000-00009E010000}"/>
    <cellStyle name="Comma 8 19" xfId="416" xr:uid="{00000000-0005-0000-0000-00009F010000}"/>
    <cellStyle name="Comma 8 19 2" xfId="417" xr:uid="{00000000-0005-0000-0000-0000A0010000}"/>
    <cellStyle name="Comma 8 2" xfId="418" xr:uid="{00000000-0005-0000-0000-0000A1010000}"/>
    <cellStyle name="Comma 8 2 2" xfId="419" xr:uid="{00000000-0005-0000-0000-0000A2010000}"/>
    <cellStyle name="Comma 8 20" xfId="420" xr:uid="{00000000-0005-0000-0000-0000A3010000}"/>
    <cellStyle name="Comma 8 3" xfId="421" xr:uid="{00000000-0005-0000-0000-0000A4010000}"/>
    <cellStyle name="Comma 8 3 2" xfId="422" xr:uid="{00000000-0005-0000-0000-0000A5010000}"/>
    <cellStyle name="Comma 8 4" xfId="423" xr:uid="{00000000-0005-0000-0000-0000A6010000}"/>
    <cellStyle name="Comma 8 4 2" xfId="424" xr:uid="{00000000-0005-0000-0000-0000A7010000}"/>
    <cellStyle name="Comma 8 5" xfId="425" xr:uid="{00000000-0005-0000-0000-0000A8010000}"/>
    <cellStyle name="Comma 8 5 2" xfId="426" xr:uid="{00000000-0005-0000-0000-0000A9010000}"/>
    <cellStyle name="Comma 8 6" xfId="427" xr:uid="{00000000-0005-0000-0000-0000AA010000}"/>
    <cellStyle name="Comma 8 6 2" xfId="428" xr:uid="{00000000-0005-0000-0000-0000AB010000}"/>
    <cellStyle name="Comma 8 7" xfId="429" xr:uid="{00000000-0005-0000-0000-0000AC010000}"/>
    <cellStyle name="Comma 8 7 2" xfId="430" xr:uid="{00000000-0005-0000-0000-0000AD010000}"/>
    <cellStyle name="Comma 8 8" xfId="431" xr:uid="{00000000-0005-0000-0000-0000AE010000}"/>
    <cellStyle name="Comma 8 8 2" xfId="432" xr:uid="{00000000-0005-0000-0000-0000AF010000}"/>
    <cellStyle name="Comma 8 9" xfId="433" xr:uid="{00000000-0005-0000-0000-0000B0010000}"/>
    <cellStyle name="Comma 8 9 2" xfId="434" xr:uid="{00000000-0005-0000-0000-0000B1010000}"/>
    <cellStyle name="Comma 9" xfId="435" xr:uid="{00000000-0005-0000-0000-0000B2010000}"/>
    <cellStyle name="Comma 9 10" xfId="436" xr:uid="{00000000-0005-0000-0000-0000B3010000}"/>
    <cellStyle name="Comma 9 10 2" xfId="437" xr:uid="{00000000-0005-0000-0000-0000B4010000}"/>
    <cellStyle name="Comma 9 11" xfId="438" xr:uid="{00000000-0005-0000-0000-0000B5010000}"/>
    <cellStyle name="Comma 9 11 2" xfId="439" xr:uid="{00000000-0005-0000-0000-0000B6010000}"/>
    <cellStyle name="Comma 9 12" xfId="440" xr:uid="{00000000-0005-0000-0000-0000B7010000}"/>
    <cellStyle name="Comma 9 12 2" xfId="441" xr:uid="{00000000-0005-0000-0000-0000B8010000}"/>
    <cellStyle name="Comma 9 13" xfId="442" xr:uid="{00000000-0005-0000-0000-0000B9010000}"/>
    <cellStyle name="Comma 9 13 2" xfId="443" xr:uid="{00000000-0005-0000-0000-0000BA010000}"/>
    <cellStyle name="Comma 9 14" xfId="444" xr:uid="{00000000-0005-0000-0000-0000BB010000}"/>
    <cellStyle name="Comma 9 14 2" xfId="445" xr:uid="{00000000-0005-0000-0000-0000BC010000}"/>
    <cellStyle name="Comma 9 15" xfId="446" xr:uid="{00000000-0005-0000-0000-0000BD010000}"/>
    <cellStyle name="Comma 9 15 2" xfId="447" xr:uid="{00000000-0005-0000-0000-0000BE010000}"/>
    <cellStyle name="Comma 9 16" xfId="448" xr:uid="{00000000-0005-0000-0000-0000BF010000}"/>
    <cellStyle name="Comma 9 16 2" xfId="449" xr:uid="{00000000-0005-0000-0000-0000C0010000}"/>
    <cellStyle name="Comma 9 17" xfId="450" xr:uid="{00000000-0005-0000-0000-0000C1010000}"/>
    <cellStyle name="Comma 9 17 2" xfId="451" xr:uid="{00000000-0005-0000-0000-0000C2010000}"/>
    <cellStyle name="Comma 9 18" xfId="452" xr:uid="{00000000-0005-0000-0000-0000C3010000}"/>
    <cellStyle name="Comma 9 18 2" xfId="453" xr:uid="{00000000-0005-0000-0000-0000C4010000}"/>
    <cellStyle name="Comma 9 19" xfId="454" xr:uid="{00000000-0005-0000-0000-0000C5010000}"/>
    <cellStyle name="Comma 9 19 2" xfId="455" xr:uid="{00000000-0005-0000-0000-0000C6010000}"/>
    <cellStyle name="Comma 9 2" xfId="456" xr:uid="{00000000-0005-0000-0000-0000C7010000}"/>
    <cellStyle name="Comma 9 2 2" xfId="457" xr:uid="{00000000-0005-0000-0000-0000C8010000}"/>
    <cellStyle name="Comma 9 20" xfId="458" xr:uid="{00000000-0005-0000-0000-0000C9010000}"/>
    <cellStyle name="Comma 9 3" xfId="459" xr:uid="{00000000-0005-0000-0000-0000CA010000}"/>
    <cellStyle name="Comma 9 3 2" xfId="460" xr:uid="{00000000-0005-0000-0000-0000CB010000}"/>
    <cellStyle name="Comma 9 4" xfId="461" xr:uid="{00000000-0005-0000-0000-0000CC010000}"/>
    <cellStyle name="Comma 9 4 2" xfId="462" xr:uid="{00000000-0005-0000-0000-0000CD010000}"/>
    <cellStyle name="Comma 9 5" xfId="463" xr:uid="{00000000-0005-0000-0000-0000CE010000}"/>
    <cellStyle name="Comma 9 5 2" xfId="464" xr:uid="{00000000-0005-0000-0000-0000CF010000}"/>
    <cellStyle name="Comma 9 6" xfId="465" xr:uid="{00000000-0005-0000-0000-0000D0010000}"/>
    <cellStyle name="Comma 9 6 2" xfId="466" xr:uid="{00000000-0005-0000-0000-0000D1010000}"/>
    <cellStyle name="Comma 9 7" xfId="467" xr:uid="{00000000-0005-0000-0000-0000D2010000}"/>
    <cellStyle name="Comma 9 7 2" xfId="468" xr:uid="{00000000-0005-0000-0000-0000D3010000}"/>
    <cellStyle name="Comma 9 8" xfId="469" xr:uid="{00000000-0005-0000-0000-0000D4010000}"/>
    <cellStyle name="Comma 9 8 2" xfId="470" xr:uid="{00000000-0005-0000-0000-0000D5010000}"/>
    <cellStyle name="Comma 9 9" xfId="471" xr:uid="{00000000-0005-0000-0000-0000D6010000}"/>
    <cellStyle name="Comma 9 9 2" xfId="472" xr:uid="{00000000-0005-0000-0000-0000D7010000}"/>
    <cellStyle name="Input 2" xfId="473" xr:uid="{00000000-0005-0000-0000-0000D8010000}"/>
    <cellStyle name="Input 2 2" xfId="474" xr:uid="{00000000-0005-0000-0000-0000D9010000}"/>
    <cellStyle name="Jun" xfId="475" xr:uid="{00000000-0005-0000-0000-0000DA010000}"/>
    <cellStyle name="Normal" xfId="0" builtinId="0"/>
    <cellStyle name="Normal 10" xfId="476" xr:uid="{00000000-0005-0000-0000-0000DC010000}"/>
    <cellStyle name="Normal 10 2" xfId="477" xr:uid="{00000000-0005-0000-0000-0000DD010000}"/>
    <cellStyle name="Normal 10 3" xfId="478" xr:uid="{00000000-0005-0000-0000-0000DE010000}"/>
    <cellStyle name="Normal 10 4" xfId="479" xr:uid="{00000000-0005-0000-0000-0000DF010000}"/>
    <cellStyle name="Normal 10 5" xfId="480" xr:uid="{00000000-0005-0000-0000-0000E0010000}"/>
    <cellStyle name="Normal 11" xfId="481" xr:uid="{00000000-0005-0000-0000-0000E1010000}"/>
    <cellStyle name="Normal 12" xfId="482" xr:uid="{00000000-0005-0000-0000-0000E2010000}"/>
    <cellStyle name="Normal 12 2" xfId="483" xr:uid="{00000000-0005-0000-0000-0000E3010000}"/>
    <cellStyle name="Normal 12 3" xfId="484" xr:uid="{00000000-0005-0000-0000-0000E4010000}"/>
    <cellStyle name="Normal 12 4" xfId="485" xr:uid="{00000000-0005-0000-0000-0000E5010000}"/>
    <cellStyle name="Normal 12 5" xfId="486" xr:uid="{00000000-0005-0000-0000-0000E6010000}"/>
    <cellStyle name="Normal 13" xfId="487" xr:uid="{00000000-0005-0000-0000-0000E7010000}"/>
    <cellStyle name="Normal 13 2" xfId="488" xr:uid="{00000000-0005-0000-0000-0000E8010000}"/>
    <cellStyle name="Normal 13 3" xfId="489" xr:uid="{00000000-0005-0000-0000-0000E9010000}"/>
    <cellStyle name="Normal 13 4" xfId="490" xr:uid="{00000000-0005-0000-0000-0000EA010000}"/>
    <cellStyle name="Normal 13 5" xfId="491" xr:uid="{00000000-0005-0000-0000-0000EB010000}"/>
    <cellStyle name="Normal 14" xfId="492" xr:uid="{00000000-0005-0000-0000-0000EC010000}"/>
    <cellStyle name="Normal 14 10" xfId="493" xr:uid="{00000000-0005-0000-0000-0000ED010000}"/>
    <cellStyle name="Normal 14 11" xfId="494" xr:uid="{00000000-0005-0000-0000-0000EE010000}"/>
    <cellStyle name="Normal 14 12" xfId="495" xr:uid="{00000000-0005-0000-0000-0000EF010000}"/>
    <cellStyle name="Normal 14 2" xfId="496" xr:uid="{00000000-0005-0000-0000-0000F0010000}"/>
    <cellStyle name="Normal 14 3" xfId="497" xr:uid="{00000000-0005-0000-0000-0000F1010000}"/>
    <cellStyle name="Normal 14 4" xfId="498" xr:uid="{00000000-0005-0000-0000-0000F2010000}"/>
    <cellStyle name="Normal 14 5" xfId="499" xr:uid="{00000000-0005-0000-0000-0000F3010000}"/>
    <cellStyle name="Normal 14 6" xfId="500" xr:uid="{00000000-0005-0000-0000-0000F4010000}"/>
    <cellStyle name="Normal 14 7" xfId="501" xr:uid="{00000000-0005-0000-0000-0000F5010000}"/>
    <cellStyle name="Normal 14 8" xfId="502" xr:uid="{00000000-0005-0000-0000-0000F6010000}"/>
    <cellStyle name="Normal 14 9" xfId="503" xr:uid="{00000000-0005-0000-0000-0000F7010000}"/>
    <cellStyle name="Normal 15" xfId="504" xr:uid="{00000000-0005-0000-0000-0000F8010000}"/>
    <cellStyle name="Normal 16" xfId="505" xr:uid="{00000000-0005-0000-0000-0000F9010000}"/>
    <cellStyle name="Normal 17" xfId="506" xr:uid="{00000000-0005-0000-0000-0000FA010000}"/>
    <cellStyle name="Normal 17 2" xfId="507" xr:uid="{00000000-0005-0000-0000-0000FB010000}"/>
    <cellStyle name="Normal 17 2 2" xfId="508" xr:uid="{00000000-0005-0000-0000-0000FC010000}"/>
    <cellStyle name="Normal 17 3" xfId="509" xr:uid="{00000000-0005-0000-0000-0000FD010000}"/>
    <cellStyle name="Normal 17 3 2" xfId="510" xr:uid="{00000000-0005-0000-0000-0000FE010000}"/>
    <cellStyle name="Normal 17 4" xfId="511" xr:uid="{00000000-0005-0000-0000-0000FF010000}"/>
    <cellStyle name="Normal 17 4 2" xfId="512" xr:uid="{00000000-0005-0000-0000-000000020000}"/>
    <cellStyle name="Normal 17 5" xfId="513" xr:uid="{00000000-0005-0000-0000-000001020000}"/>
    <cellStyle name="Normal 17 5 2" xfId="514" xr:uid="{00000000-0005-0000-0000-000002020000}"/>
    <cellStyle name="Normal 17 6" xfId="515" xr:uid="{00000000-0005-0000-0000-000003020000}"/>
    <cellStyle name="Normal 18" xfId="516" xr:uid="{00000000-0005-0000-0000-000004020000}"/>
    <cellStyle name="Normal 19" xfId="687" xr:uid="{00000000-0005-0000-0000-000005020000}"/>
    <cellStyle name="Normal 2" xfId="517" xr:uid="{00000000-0005-0000-0000-000006020000}"/>
    <cellStyle name="Normal 2 10" xfId="518" xr:uid="{00000000-0005-0000-0000-000007020000}"/>
    <cellStyle name="Normal 2 11" xfId="519" xr:uid="{00000000-0005-0000-0000-000008020000}"/>
    <cellStyle name="Normal 2 12" xfId="520" xr:uid="{00000000-0005-0000-0000-000009020000}"/>
    <cellStyle name="Normal 2 13" xfId="521" xr:uid="{00000000-0005-0000-0000-00000A020000}"/>
    <cellStyle name="Normal 2 14" xfId="522" xr:uid="{00000000-0005-0000-0000-00000B020000}"/>
    <cellStyle name="Normal 2 15" xfId="523" xr:uid="{00000000-0005-0000-0000-00000C020000}"/>
    <cellStyle name="Normal 2 16" xfId="524" xr:uid="{00000000-0005-0000-0000-00000D020000}"/>
    <cellStyle name="Normal 2 17" xfId="525" xr:uid="{00000000-0005-0000-0000-00000E020000}"/>
    <cellStyle name="Normal 2 18" xfId="526" xr:uid="{00000000-0005-0000-0000-00000F020000}"/>
    <cellStyle name="Normal 2 19" xfId="527" xr:uid="{00000000-0005-0000-0000-000010020000}"/>
    <cellStyle name="Normal 2 2" xfId="528" xr:uid="{00000000-0005-0000-0000-000011020000}"/>
    <cellStyle name="Normal 2 20" xfId="529" xr:uid="{00000000-0005-0000-0000-000012020000}"/>
    <cellStyle name="Normal 2 3" xfId="530" xr:uid="{00000000-0005-0000-0000-000013020000}"/>
    <cellStyle name="Normal 2 4" xfId="531" xr:uid="{00000000-0005-0000-0000-000014020000}"/>
    <cellStyle name="Normal 2 5" xfId="532" xr:uid="{00000000-0005-0000-0000-000015020000}"/>
    <cellStyle name="Normal 2 6" xfId="533" xr:uid="{00000000-0005-0000-0000-000016020000}"/>
    <cellStyle name="Normal 2 7" xfId="534" xr:uid="{00000000-0005-0000-0000-000017020000}"/>
    <cellStyle name="Normal 2 8" xfId="535" xr:uid="{00000000-0005-0000-0000-000018020000}"/>
    <cellStyle name="Normal 2 9" xfId="536" xr:uid="{00000000-0005-0000-0000-000019020000}"/>
    <cellStyle name="Normal 2_deposits mobilized" xfId="537" xr:uid="{00000000-0005-0000-0000-00001A020000}"/>
    <cellStyle name="Normal 21" xfId="538" xr:uid="{00000000-0005-0000-0000-00001B020000}"/>
    <cellStyle name="Normal 21 10" xfId="539" xr:uid="{00000000-0005-0000-0000-00001C020000}"/>
    <cellStyle name="Normal 21 11" xfId="540" xr:uid="{00000000-0005-0000-0000-00001D020000}"/>
    <cellStyle name="Normal 21 12" xfId="541" xr:uid="{00000000-0005-0000-0000-00001E020000}"/>
    <cellStyle name="Normal 21 13" xfId="542" xr:uid="{00000000-0005-0000-0000-00001F020000}"/>
    <cellStyle name="Normal 21 14" xfId="543" xr:uid="{00000000-0005-0000-0000-000020020000}"/>
    <cellStyle name="Normal 21 15" xfId="544" xr:uid="{00000000-0005-0000-0000-000021020000}"/>
    <cellStyle name="Normal 21 16" xfId="545" xr:uid="{00000000-0005-0000-0000-000022020000}"/>
    <cellStyle name="Normal 21 2" xfId="546" xr:uid="{00000000-0005-0000-0000-000023020000}"/>
    <cellStyle name="Normal 21 3" xfId="547" xr:uid="{00000000-0005-0000-0000-000024020000}"/>
    <cellStyle name="Normal 21 4" xfId="548" xr:uid="{00000000-0005-0000-0000-000025020000}"/>
    <cellStyle name="Normal 21 5" xfId="549" xr:uid="{00000000-0005-0000-0000-000026020000}"/>
    <cellStyle name="Normal 21 6" xfId="550" xr:uid="{00000000-0005-0000-0000-000027020000}"/>
    <cellStyle name="Normal 21 7" xfId="551" xr:uid="{00000000-0005-0000-0000-000028020000}"/>
    <cellStyle name="Normal 21 8" xfId="552" xr:uid="{00000000-0005-0000-0000-000029020000}"/>
    <cellStyle name="Normal 21 9" xfId="553" xr:uid="{00000000-0005-0000-0000-00002A020000}"/>
    <cellStyle name="Normal 22" xfId="554" xr:uid="{00000000-0005-0000-0000-00002B020000}"/>
    <cellStyle name="Normal 26" xfId="555" xr:uid="{00000000-0005-0000-0000-00002C020000}"/>
    <cellStyle name="Normal 27" xfId="556" xr:uid="{00000000-0005-0000-0000-00002D020000}"/>
    <cellStyle name="Normal 3" xfId="557" xr:uid="{00000000-0005-0000-0000-00002E020000}"/>
    <cellStyle name="Normal 3 10" xfId="558" xr:uid="{00000000-0005-0000-0000-00002F020000}"/>
    <cellStyle name="Normal 3 11" xfId="559" xr:uid="{00000000-0005-0000-0000-000030020000}"/>
    <cellStyle name="Normal 3 12" xfId="560" xr:uid="{00000000-0005-0000-0000-000031020000}"/>
    <cellStyle name="Normal 3 13" xfId="561" xr:uid="{00000000-0005-0000-0000-000032020000}"/>
    <cellStyle name="Normal 3 14" xfId="562" xr:uid="{00000000-0005-0000-0000-000033020000}"/>
    <cellStyle name="Normal 3 15" xfId="563" xr:uid="{00000000-0005-0000-0000-000034020000}"/>
    <cellStyle name="Normal 3 16" xfId="564" xr:uid="{00000000-0005-0000-0000-000035020000}"/>
    <cellStyle name="Normal 3 17" xfId="565" xr:uid="{00000000-0005-0000-0000-000036020000}"/>
    <cellStyle name="Normal 3 18" xfId="566" xr:uid="{00000000-0005-0000-0000-000037020000}"/>
    <cellStyle name="Normal 3 19" xfId="567" xr:uid="{00000000-0005-0000-0000-000038020000}"/>
    <cellStyle name="Normal 3 2" xfId="568" xr:uid="{00000000-0005-0000-0000-000039020000}"/>
    <cellStyle name="Normal 3 20" xfId="569" xr:uid="{00000000-0005-0000-0000-00003A020000}"/>
    <cellStyle name="Normal 3 21" xfId="570" xr:uid="{00000000-0005-0000-0000-00003B020000}"/>
    <cellStyle name="Normal 3 22" xfId="571" xr:uid="{00000000-0005-0000-0000-00003C020000}"/>
    <cellStyle name="Normal 3 23" xfId="572" xr:uid="{00000000-0005-0000-0000-00003D020000}"/>
    <cellStyle name="Normal 3 24" xfId="573" xr:uid="{00000000-0005-0000-0000-00003E020000}"/>
    <cellStyle name="Normal 3 25" xfId="574" xr:uid="{00000000-0005-0000-0000-00003F020000}"/>
    <cellStyle name="Normal 3 26" xfId="575" xr:uid="{00000000-0005-0000-0000-000040020000}"/>
    <cellStyle name="Normal 3 27" xfId="576" xr:uid="{00000000-0005-0000-0000-000041020000}"/>
    <cellStyle name="Normal 3 28" xfId="577" xr:uid="{00000000-0005-0000-0000-000042020000}"/>
    <cellStyle name="Normal 3 29" xfId="578" xr:uid="{00000000-0005-0000-0000-000043020000}"/>
    <cellStyle name="Normal 3 3" xfId="579" xr:uid="{00000000-0005-0000-0000-000044020000}"/>
    <cellStyle name="Normal 3 30" xfId="580" xr:uid="{00000000-0005-0000-0000-000045020000}"/>
    <cellStyle name="Normal 3 4" xfId="581" xr:uid="{00000000-0005-0000-0000-000046020000}"/>
    <cellStyle name="Normal 3 5" xfId="582" xr:uid="{00000000-0005-0000-0000-000047020000}"/>
    <cellStyle name="Normal 3 6" xfId="583" xr:uid="{00000000-0005-0000-0000-000048020000}"/>
    <cellStyle name="Normal 3 7" xfId="584" xr:uid="{00000000-0005-0000-0000-000049020000}"/>
    <cellStyle name="Normal 3 8" xfId="585" xr:uid="{00000000-0005-0000-0000-00004A020000}"/>
    <cellStyle name="Normal 3 9" xfId="586" xr:uid="{00000000-0005-0000-0000-00004B020000}"/>
    <cellStyle name="Normal 3_deposits mobilized" xfId="587" xr:uid="{00000000-0005-0000-0000-00004C020000}"/>
    <cellStyle name="Normal 4" xfId="588" xr:uid="{00000000-0005-0000-0000-00004D020000}"/>
    <cellStyle name="Normal 4 10" xfId="589" xr:uid="{00000000-0005-0000-0000-00004E020000}"/>
    <cellStyle name="Normal 4 11" xfId="590" xr:uid="{00000000-0005-0000-0000-00004F020000}"/>
    <cellStyle name="Normal 4 12" xfId="591" xr:uid="{00000000-0005-0000-0000-000050020000}"/>
    <cellStyle name="Normal 4 13" xfId="592" xr:uid="{00000000-0005-0000-0000-000051020000}"/>
    <cellStyle name="Normal 4 14" xfId="593" xr:uid="{00000000-0005-0000-0000-000052020000}"/>
    <cellStyle name="Normal 4 15" xfId="594" xr:uid="{00000000-0005-0000-0000-000053020000}"/>
    <cellStyle name="Normal 4 16" xfId="595" xr:uid="{00000000-0005-0000-0000-000054020000}"/>
    <cellStyle name="Normal 4 17" xfId="596" xr:uid="{00000000-0005-0000-0000-000055020000}"/>
    <cellStyle name="Normal 4 18" xfId="597" xr:uid="{00000000-0005-0000-0000-000056020000}"/>
    <cellStyle name="Normal 4 19" xfId="598" xr:uid="{00000000-0005-0000-0000-000057020000}"/>
    <cellStyle name="Normal 4 2" xfId="599" xr:uid="{00000000-0005-0000-0000-000058020000}"/>
    <cellStyle name="Normal 4 20" xfId="600" xr:uid="{00000000-0005-0000-0000-000059020000}"/>
    <cellStyle name="Normal 4 21" xfId="601" xr:uid="{00000000-0005-0000-0000-00005A020000}"/>
    <cellStyle name="Normal 4 22" xfId="602" xr:uid="{00000000-0005-0000-0000-00005B020000}"/>
    <cellStyle name="Normal 4 23" xfId="603" xr:uid="{00000000-0005-0000-0000-00005C020000}"/>
    <cellStyle name="Normal 4 24" xfId="604" xr:uid="{00000000-0005-0000-0000-00005D020000}"/>
    <cellStyle name="Normal 4 25" xfId="605" xr:uid="{00000000-0005-0000-0000-00005E020000}"/>
    <cellStyle name="Normal 4 26" xfId="606" xr:uid="{00000000-0005-0000-0000-00005F020000}"/>
    <cellStyle name="Normal 4 27" xfId="607" xr:uid="{00000000-0005-0000-0000-000060020000}"/>
    <cellStyle name="Normal 4 28" xfId="608" xr:uid="{00000000-0005-0000-0000-000061020000}"/>
    <cellStyle name="Normal 4 29" xfId="609" xr:uid="{00000000-0005-0000-0000-000062020000}"/>
    <cellStyle name="Normal 4 3" xfId="610" xr:uid="{00000000-0005-0000-0000-000063020000}"/>
    <cellStyle name="Normal 4 30" xfId="611" xr:uid="{00000000-0005-0000-0000-000064020000}"/>
    <cellStyle name="Normal 4 4" xfId="612" xr:uid="{00000000-0005-0000-0000-000065020000}"/>
    <cellStyle name="Normal 4 5" xfId="613" xr:uid="{00000000-0005-0000-0000-000066020000}"/>
    <cellStyle name="Normal 4 6" xfId="614" xr:uid="{00000000-0005-0000-0000-000067020000}"/>
    <cellStyle name="Normal 4 7" xfId="615" xr:uid="{00000000-0005-0000-0000-000068020000}"/>
    <cellStyle name="Normal 4 8" xfId="616" xr:uid="{00000000-0005-0000-0000-000069020000}"/>
    <cellStyle name="Normal 4 9" xfId="617" xr:uid="{00000000-0005-0000-0000-00006A020000}"/>
    <cellStyle name="Normal 5" xfId="618" xr:uid="{00000000-0005-0000-0000-00006B020000}"/>
    <cellStyle name="Normal 5 10" xfId="619" xr:uid="{00000000-0005-0000-0000-00006C020000}"/>
    <cellStyle name="Normal 5 11" xfId="620" xr:uid="{00000000-0005-0000-0000-00006D020000}"/>
    <cellStyle name="Normal 5 12" xfId="621" xr:uid="{00000000-0005-0000-0000-00006E020000}"/>
    <cellStyle name="Normal 5 13" xfId="622" xr:uid="{00000000-0005-0000-0000-00006F020000}"/>
    <cellStyle name="Normal 5 14" xfId="623" xr:uid="{00000000-0005-0000-0000-000070020000}"/>
    <cellStyle name="Normal 5 15" xfId="624" xr:uid="{00000000-0005-0000-0000-000071020000}"/>
    <cellStyle name="Normal 5 2" xfId="625" xr:uid="{00000000-0005-0000-0000-000072020000}"/>
    <cellStyle name="Normal 5 3" xfId="626" xr:uid="{00000000-0005-0000-0000-000073020000}"/>
    <cellStyle name="Normal 5 4" xfId="627" xr:uid="{00000000-0005-0000-0000-000074020000}"/>
    <cellStyle name="Normal 5 5" xfId="628" xr:uid="{00000000-0005-0000-0000-000075020000}"/>
    <cellStyle name="Normal 5 6" xfId="629" xr:uid="{00000000-0005-0000-0000-000076020000}"/>
    <cellStyle name="Normal 5 7" xfId="630" xr:uid="{00000000-0005-0000-0000-000077020000}"/>
    <cellStyle name="Normal 5 8" xfId="631" xr:uid="{00000000-0005-0000-0000-000078020000}"/>
    <cellStyle name="Normal 5 9" xfId="632" xr:uid="{00000000-0005-0000-0000-000079020000}"/>
    <cellStyle name="Normal 6" xfId="633" xr:uid="{00000000-0005-0000-0000-00007A020000}"/>
    <cellStyle name="Normal 6 2" xfId="634" xr:uid="{00000000-0005-0000-0000-00007B020000}"/>
    <cellStyle name="Normal 6 3" xfId="635" xr:uid="{00000000-0005-0000-0000-00007C020000}"/>
    <cellStyle name="Normal 6 4" xfId="636" xr:uid="{00000000-0005-0000-0000-00007D020000}"/>
    <cellStyle name="Normal 6 5" xfId="637" xr:uid="{00000000-0005-0000-0000-00007E020000}"/>
    <cellStyle name="Normal 7" xfId="638" xr:uid="{00000000-0005-0000-0000-00007F020000}"/>
    <cellStyle name="Normal 7 2" xfId="639" xr:uid="{00000000-0005-0000-0000-000080020000}"/>
    <cellStyle name="Normal 7 3" xfId="640" xr:uid="{00000000-0005-0000-0000-000081020000}"/>
    <cellStyle name="Normal 7 4" xfId="641" xr:uid="{00000000-0005-0000-0000-000082020000}"/>
    <cellStyle name="Normal 8" xfId="642" xr:uid="{00000000-0005-0000-0000-000083020000}"/>
    <cellStyle name="Normal 9" xfId="643" xr:uid="{00000000-0005-0000-0000-000084020000}"/>
    <cellStyle name="Normal 9 10" xfId="644" xr:uid="{00000000-0005-0000-0000-000085020000}"/>
    <cellStyle name="Normal 9 10 2" xfId="645" xr:uid="{00000000-0005-0000-0000-000086020000}"/>
    <cellStyle name="Normal 9 11" xfId="646" xr:uid="{00000000-0005-0000-0000-000087020000}"/>
    <cellStyle name="Normal 9 11 2" xfId="647" xr:uid="{00000000-0005-0000-0000-000088020000}"/>
    <cellStyle name="Normal 9 12" xfId="648" xr:uid="{00000000-0005-0000-0000-000089020000}"/>
    <cellStyle name="Normal 9 12 2" xfId="649" xr:uid="{00000000-0005-0000-0000-00008A020000}"/>
    <cellStyle name="Normal 9 13" xfId="650" xr:uid="{00000000-0005-0000-0000-00008B020000}"/>
    <cellStyle name="Normal 9 14" xfId="651" xr:uid="{00000000-0005-0000-0000-00008C020000}"/>
    <cellStyle name="Normal 9 15" xfId="652" xr:uid="{00000000-0005-0000-0000-00008D020000}"/>
    <cellStyle name="Normal 9 2" xfId="653" xr:uid="{00000000-0005-0000-0000-00008E020000}"/>
    <cellStyle name="Normal 9 2 2" xfId="654" xr:uid="{00000000-0005-0000-0000-00008F020000}"/>
    <cellStyle name="Normal 9 2 2 2" xfId="655" xr:uid="{00000000-0005-0000-0000-000090020000}"/>
    <cellStyle name="Normal 9 2 3" xfId="656" xr:uid="{00000000-0005-0000-0000-000091020000}"/>
    <cellStyle name="Normal 9 2 3 2" xfId="657" xr:uid="{00000000-0005-0000-0000-000092020000}"/>
    <cellStyle name="Normal 9 2 4" xfId="658" xr:uid="{00000000-0005-0000-0000-000093020000}"/>
    <cellStyle name="Normal 9 2 4 2" xfId="659" xr:uid="{00000000-0005-0000-0000-000094020000}"/>
    <cellStyle name="Normal 9 3" xfId="660" xr:uid="{00000000-0005-0000-0000-000095020000}"/>
    <cellStyle name="Normal 9 3 2" xfId="661" xr:uid="{00000000-0005-0000-0000-000096020000}"/>
    <cellStyle name="Normal 9 4" xfId="662" xr:uid="{00000000-0005-0000-0000-000097020000}"/>
    <cellStyle name="Normal 9 4 2" xfId="663" xr:uid="{00000000-0005-0000-0000-000098020000}"/>
    <cellStyle name="Normal 9 5" xfId="664" xr:uid="{00000000-0005-0000-0000-000099020000}"/>
    <cellStyle name="Normal 9 5 2" xfId="665" xr:uid="{00000000-0005-0000-0000-00009A020000}"/>
    <cellStyle name="Normal 9 6" xfId="666" xr:uid="{00000000-0005-0000-0000-00009B020000}"/>
    <cellStyle name="Normal 9 6 2" xfId="667" xr:uid="{00000000-0005-0000-0000-00009C020000}"/>
    <cellStyle name="Normal 9 7" xfId="668" xr:uid="{00000000-0005-0000-0000-00009D020000}"/>
    <cellStyle name="Normal 9 7 2" xfId="669" xr:uid="{00000000-0005-0000-0000-00009E020000}"/>
    <cellStyle name="Normal 9 8" xfId="670" xr:uid="{00000000-0005-0000-0000-00009F020000}"/>
    <cellStyle name="Normal 9 8 2" xfId="671" xr:uid="{00000000-0005-0000-0000-0000A0020000}"/>
    <cellStyle name="Normal 9 9" xfId="672" xr:uid="{00000000-0005-0000-0000-0000A1020000}"/>
    <cellStyle name="Normal 9 9 2" xfId="673" xr:uid="{00000000-0005-0000-0000-0000A2020000}"/>
    <cellStyle name="Note 2" xfId="674" xr:uid="{00000000-0005-0000-0000-0000A3020000}"/>
    <cellStyle name="Note 2 2" xfId="675" xr:uid="{00000000-0005-0000-0000-0000A4020000}"/>
    <cellStyle name="Percent" xfId="676" builtinId="5"/>
    <cellStyle name="Percent 2" xfId="677" xr:uid="{00000000-0005-0000-0000-0000A6020000}"/>
    <cellStyle name="Percent 2 2" xfId="678" xr:uid="{00000000-0005-0000-0000-0000A7020000}"/>
    <cellStyle name="Percent 3" xfId="679" xr:uid="{00000000-0005-0000-0000-0000A8020000}"/>
    <cellStyle name="Percent 3 2" xfId="680" xr:uid="{00000000-0005-0000-0000-0000A9020000}"/>
    <cellStyle name="Percent 4" xfId="681" xr:uid="{00000000-0005-0000-0000-0000AA020000}"/>
    <cellStyle name="Percent 5" xfId="682" xr:uid="{00000000-0005-0000-0000-0000AB020000}"/>
    <cellStyle name="Total 2" xfId="683" xr:uid="{00000000-0005-0000-0000-0000AC020000}"/>
    <cellStyle name="Total 2 2" xfId="684" xr:uid="{00000000-0005-0000-0000-0000AD020000}"/>
    <cellStyle name="Total 2 2 2" xfId="685" xr:uid="{00000000-0005-0000-0000-0000AE020000}"/>
    <cellStyle name="Total 2 3" xfId="686" xr:uid="{00000000-0005-0000-0000-0000AF02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Francis\My%20Documents\Downloads\Wakenya%20Pamoja%20financials%20(3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upervision_\Saccos\Kwale%20Teachers%20Sacco\Due%20Diligence%20Report\Kwale%20WOCCU%20Kenya%20Diagnostic%20Tool%20-%20Version%2014%20-%20Final%20update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6\Supervision\Users\Millicent\Desktop\income%20statement%2020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llicent/Desktop/income%20statement%20201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6\EXCEL%20RETURNS\saccos\11121\2018\3\form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asra\form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SASRA PEARLS Ratios"/>
      <sheetName val="adjustment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"/>
      <sheetName val="notes"/>
      <sheetName val="CHANGES IN EQUITY"/>
      <sheetName val="balance sheet"/>
      <sheetName val="cashflow"/>
      <sheetName val="Sheet3"/>
      <sheetName val="ppe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14">
          <cell r="D14">
            <v>398800</v>
          </cell>
        </row>
        <row r="22">
          <cell r="D22">
            <v>10590309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"/>
      <sheetName val="notes"/>
      <sheetName val="CHANGES IN EQUITY"/>
      <sheetName val="balance sheet"/>
      <sheetName val="cashflow"/>
      <sheetName val="Sheet3"/>
      <sheetName val="ppe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14">
          <cell r="D14">
            <v>398800</v>
          </cell>
        </row>
        <row r="22">
          <cell r="D22">
            <v>10590309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folio Analysis"/>
    </sheetNames>
    <sheetDataSet>
      <sheetData sheetId="0">
        <row r="12">
          <cell r="D12">
            <v>257939.55</v>
          </cell>
        </row>
        <row r="13">
          <cell r="D13">
            <v>279445.90000000002</v>
          </cell>
        </row>
        <row r="14">
          <cell r="D14">
            <v>5775122.6500000004</v>
          </cell>
        </row>
        <row r="23">
          <cell r="D23">
            <v>132991630.96000001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4"/>
    </sheetNames>
    <sheetDataSet>
      <sheetData sheetId="0" refreshError="1">
        <row r="13">
          <cell r="M13">
            <v>1014</v>
          </cell>
          <cell r="P13">
            <v>76823240.129999995</v>
          </cell>
          <cell r="Q13">
            <v>749</v>
          </cell>
          <cell r="U13">
            <v>44797019.82</v>
          </cell>
        </row>
        <row r="14">
          <cell r="M14">
            <v>5</v>
          </cell>
          <cell r="P14">
            <v>11384</v>
          </cell>
          <cell r="Q14">
            <v>193</v>
          </cell>
          <cell r="U14">
            <v>620084</v>
          </cell>
        </row>
        <row r="15">
          <cell r="M15">
            <v>13</v>
          </cell>
          <cell r="P15">
            <v>165154</v>
          </cell>
          <cell r="Q15">
            <v>183</v>
          </cell>
          <cell r="U15">
            <v>1411314</v>
          </cell>
        </row>
        <row r="16">
          <cell r="M16">
            <v>41</v>
          </cell>
          <cell r="P16">
            <v>1139107</v>
          </cell>
          <cell r="Q16">
            <v>93</v>
          </cell>
          <cell r="U16">
            <v>712469</v>
          </cell>
        </row>
        <row r="17">
          <cell r="M17">
            <v>35</v>
          </cell>
          <cell r="P17">
            <v>1014652</v>
          </cell>
          <cell r="Q17">
            <v>54</v>
          </cell>
          <cell r="U17">
            <v>756111</v>
          </cell>
        </row>
        <row r="20">
          <cell r="M20">
            <v>11</v>
          </cell>
          <cell r="P20">
            <v>1864770</v>
          </cell>
          <cell r="Q20">
            <v>13</v>
          </cell>
          <cell r="U20">
            <v>166517</v>
          </cell>
        </row>
        <row r="21">
          <cell r="M21">
            <v>1</v>
          </cell>
          <cell r="P21">
            <v>0</v>
          </cell>
          <cell r="Q21">
            <v>6</v>
          </cell>
          <cell r="U21">
            <v>10686</v>
          </cell>
        </row>
        <row r="22">
          <cell r="M22">
            <v>1</v>
          </cell>
          <cell r="P22">
            <v>0</v>
          </cell>
          <cell r="Q22">
            <v>7</v>
          </cell>
          <cell r="U22">
            <v>12887</v>
          </cell>
        </row>
        <row r="23">
          <cell r="M23">
            <v>1</v>
          </cell>
          <cell r="P23">
            <v>0</v>
          </cell>
          <cell r="Q23">
            <v>1</v>
          </cell>
          <cell r="U23">
            <v>0</v>
          </cell>
        </row>
        <row r="24">
          <cell r="M24">
            <v>1</v>
          </cell>
          <cell r="P24">
            <v>0</v>
          </cell>
          <cell r="Q24">
            <v>1</v>
          </cell>
          <cell r="U2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W142"/>
  <sheetViews>
    <sheetView zoomScale="115" zoomScaleNormal="100" zoomScaleSheetLayoutView="100" workbookViewId="0">
      <pane xSplit="2" ySplit="6" topLeftCell="CW36" activePane="bottomRight" state="frozen"/>
      <selection pane="topRight" activeCell="C1" sqref="C1"/>
      <selection pane="bottomLeft" activeCell="A7" sqref="A7"/>
      <selection pane="bottomRight" activeCell="DX10" sqref="DX10"/>
    </sheetView>
  </sheetViews>
  <sheetFormatPr defaultColWidth="9.109375" defaultRowHeight="12.75" customHeight="1" x14ac:dyDescent="0.25"/>
  <cols>
    <col min="1" max="1" width="3.5546875" style="52" customWidth="1"/>
    <col min="2" max="2" width="27.44140625" style="70" customWidth="1"/>
    <col min="3" max="3" width="14.5546875" style="70" hidden="1" customWidth="1"/>
    <col min="4" max="4" width="14.5546875" style="88" hidden="1" customWidth="1"/>
    <col min="5" max="5" width="15.5546875" style="88" hidden="1" customWidth="1"/>
    <col min="6" max="6" width="14.44140625" style="88" hidden="1" customWidth="1"/>
    <col min="7" max="7" width="14" style="52" hidden="1" customWidth="1"/>
    <col min="8" max="8" width="18.5546875" style="52" hidden="1" customWidth="1"/>
    <col min="9" max="9" width="14" style="52" hidden="1" customWidth="1"/>
    <col min="10" max="10" width="14.44140625" style="52" hidden="1" customWidth="1"/>
    <col min="11" max="13" width="14" style="52" hidden="1" customWidth="1"/>
    <col min="14" max="21" width="13.109375" style="52" hidden="1" customWidth="1"/>
    <col min="22" max="35" width="13.88671875" style="52" hidden="1" customWidth="1"/>
    <col min="36" max="48" width="14.88671875" style="204" hidden="1" customWidth="1"/>
    <col min="49" max="49" width="14.109375" style="204" hidden="1" customWidth="1"/>
    <col min="50" max="50" width="8.88671875" style="391" hidden="1" customWidth="1"/>
    <col min="51" max="51" width="9.44140625" style="391" hidden="1" customWidth="1"/>
    <col min="52" max="52" width="15.44140625" style="391" hidden="1" customWidth="1"/>
    <col min="53" max="53" width="16.44140625" style="204" hidden="1" customWidth="1"/>
    <col min="54" max="56" width="14.44140625" style="204" hidden="1" customWidth="1"/>
    <col min="57" max="58" width="14.44140625" style="52" hidden="1" customWidth="1"/>
    <col min="59" max="59" width="6.44140625" style="52" hidden="1" customWidth="1"/>
    <col min="60" max="60" width="14.44140625" style="52" hidden="1" customWidth="1"/>
    <col min="61" max="61" width="14.88671875" style="480" hidden="1" customWidth="1"/>
    <col min="62" max="62" width="15.88671875" style="480" bestFit="1" customWidth="1"/>
    <col min="63" max="63" width="17" style="52" hidden="1" customWidth="1"/>
    <col min="64" max="64" width="17.5546875" style="52" hidden="1" customWidth="1"/>
    <col min="65" max="66" width="15.44140625" style="52" hidden="1" customWidth="1"/>
    <col min="67" max="67" width="3.109375" style="52" hidden="1" customWidth="1"/>
    <col min="68" max="68" width="17.44140625" style="52" hidden="1" customWidth="1"/>
    <col min="69" max="69" width="14.88671875" style="88" hidden="1" customWidth="1"/>
    <col min="70" max="70" width="7.88671875" style="52" hidden="1" customWidth="1"/>
    <col min="71" max="71" width="14.44140625" style="52" hidden="1" customWidth="1"/>
    <col min="72" max="72" width="16.44140625" style="52" hidden="1" customWidth="1"/>
    <col min="73" max="74" width="15.44140625" style="52" hidden="1" customWidth="1"/>
    <col min="75" max="75" width="18.88671875" style="52" customWidth="1"/>
    <col min="76" max="77" width="15.109375" style="52" hidden="1" customWidth="1"/>
    <col min="78" max="79" width="14.5546875" style="52" hidden="1" customWidth="1"/>
    <col min="80" max="82" width="16.44140625" style="52" hidden="1" customWidth="1"/>
    <col min="83" max="83" width="19.5546875" style="52" hidden="1" customWidth="1"/>
    <col min="84" max="84" width="16.44140625" style="52" hidden="1" customWidth="1"/>
    <col min="85" max="85" width="16.5546875" style="52" hidden="1" customWidth="1"/>
    <col min="86" max="86" width="16.44140625" style="52" hidden="1" customWidth="1"/>
    <col min="87" max="87" width="15.109375" style="52" hidden="1" customWidth="1"/>
    <col min="88" max="88" width="15.109375" style="52" customWidth="1"/>
    <col min="89" max="90" width="16.44140625" style="52" hidden="1" customWidth="1"/>
    <col min="91" max="91" width="15.109375" style="52" hidden="1" customWidth="1"/>
    <col min="92" max="100" width="16.44140625" style="52" hidden="1" customWidth="1"/>
    <col min="101" max="101" width="17.88671875" style="88" customWidth="1"/>
    <col min="102" max="103" width="15.44140625" style="52" hidden="1" customWidth="1"/>
    <col min="104" max="113" width="14.88671875" style="52" hidden="1" customWidth="1"/>
    <col min="114" max="114" width="14.88671875" style="88" bestFit="1" customWidth="1"/>
    <col min="115" max="116" width="14.88671875" style="52" hidden="1" customWidth="1"/>
    <col min="117" max="117" width="14.88671875" style="52" bestFit="1" customWidth="1"/>
    <col min="118" max="119" width="14.88671875" style="52" hidden="1" customWidth="1"/>
    <col min="120" max="120" width="14.88671875" style="52" bestFit="1" customWidth="1"/>
    <col min="121" max="121" width="14.88671875" style="52" hidden="1" customWidth="1"/>
    <col min="122" max="122" width="15.109375" style="52" hidden="1" customWidth="1"/>
    <col min="123" max="123" width="15.109375" style="52" bestFit="1" customWidth="1"/>
    <col min="124" max="124" width="15.109375" style="52" hidden="1" customWidth="1"/>
    <col min="125" max="125" width="15.21875" style="52" bestFit="1" customWidth="1"/>
    <col min="126" max="126" width="13.109375" style="52" hidden="1" customWidth="1"/>
    <col min="127" max="127" width="15.109375" style="87" bestFit="1" customWidth="1"/>
    <col min="128" max="16384" width="9.109375" style="52"/>
  </cols>
  <sheetData>
    <row r="1" spans="2:127" ht="13.2" x14ac:dyDescent="0.25">
      <c r="B1" s="52"/>
      <c r="C1" s="52"/>
      <c r="CX1" s="52">
        <f>12575870-12590309</f>
        <v>-14439</v>
      </c>
    </row>
    <row r="2" spans="2:127" ht="13.2" x14ac:dyDescent="0.25">
      <c r="B2" s="202" t="s">
        <v>0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3"/>
      <c r="AQ2" s="203"/>
      <c r="AR2" s="203"/>
      <c r="AS2" s="203"/>
      <c r="AT2" s="203"/>
      <c r="AU2" s="203"/>
      <c r="AV2" s="203"/>
      <c r="AW2" s="471">
        <f>2624555-524911-608151-200000</f>
        <v>1291493</v>
      </c>
      <c r="AX2" s="392"/>
      <c r="AY2" s="392"/>
      <c r="AZ2" s="392"/>
      <c r="BA2" s="203"/>
      <c r="BB2" s="203"/>
      <c r="BC2" s="203"/>
      <c r="BD2" s="203"/>
      <c r="BE2" s="128"/>
      <c r="BF2" s="128"/>
      <c r="BG2" s="128"/>
      <c r="BH2" s="128"/>
      <c r="BI2" s="481"/>
      <c r="BJ2" s="481"/>
      <c r="BK2" s="128"/>
    </row>
    <row r="3" spans="2:127" ht="13.2" x14ac:dyDescent="0.25">
      <c r="B3" s="129"/>
      <c r="C3" s="698" t="s">
        <v>1</v>
      </c>
      <c r="D3" s="699"/>
      <c r="E3" s="699"/>
      <c r="F3" s="699"/>
      <c r="G3" s="699"/>
      <c r="H3" s="699"/>
      <c r="I3" s="699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99"/>
      <c r="AK3" s="199"/>
      <c r="AL3" s="199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393"/>
      <c r="AY3" s="393"/>
      <c r="AZ3" s="393"/>
      <c r="BA3" s="199"/>
      <c r="BB3" s="199"/>
      <c r="BC3" s="199"/>
      <c r="BD3" s="199"/>
      <c r="BE3" s="131"/>
      <c r="BF3" s="131"/>
      <c r="BG3" s="131"/>
      <c r="BH3" s="131"/>
      <c r="BI3" s="482"/>
      <c r="BJ3" s="482"/>
      <c r="BK3" s="131"/>
      <c r="BL3" s="132"/>
    </row>
    <row r="4" spans="2:127" s="89" customFormat="1" ht="13.2" x14ac:dyDescent="0.3">
      <c r="B4" s="133" t="s">
        <v>2</v>
      </c>
      <c r="C4" s="134">
        <v>2008</v>
      </c>
      <c r="D4" s="134">
        <v>2009</v>
      </c>
      <c r="E4" s="134">
        <v>2010</v>
      </c>
      <c r="F4" s="134">
        <v>2011</v>
      </c>
      <c r="G4" s="134">
        <v>2012</v>
      </c>
      <c r="H4" s="135">
        <v>41609</v>
      </c>
      <c r="I4" s="134">
        <v>2013</v>
      </c>
      <c r="J4" s="135">
        <v>41640</v>
      </c>
      <c r="K4" s="135">
        <v>41671</v>
      </c>
      <c r="L4" s="135">
        <v>41699</v>
      </c>
      <c r="M4" s="135">
        <v>41730</v>
      </c>
      <c r="N4" s="135">
        <v>41760</v>
      </c>
      <c r="O4" s="135">
        <v>41791</v>
      </c>
      <c r="P4" s="135">
        <v>41821</v>
      </c>
      <c r="Q4" s="135">
        <v>41852</v>
      </c>
      <c r="R4" s="135">
        <v>41883</v>
      </c>
      <c r="S4" s="135">
        <v>41913</v>
      </c>
      <c r="T4" s="135">
        <v>41944</v>
      </c>
      <c r="U4" s="135">
        <v>41974</v>
      </c>
      <c r="V4" s="121" t="s">
        <v>3</v>
      </c>
      <c r="W4" s="179" t="s">
        <v>4</v>
      </c>
      <c r="X4" s="179" t="s">
        <v>5</v>
      </c>
      <c r="Y4" s="179" t="s">
        <v>6</v>
      </c>
      <c r="Z4" s="179" t="s">
        <v>7</v>
      </c>
      <c r="AA4" s="185">
        <v>42125</v>
      </c>
      <c r="AB4" s="185">
        <v>42156</v>
      </c>
      <c r="AC4" s="185">
        <v>42186</v>
      </c>
      <c r="AD4" s="185">
        <v>42217</v>
      </c>
      <c r="AE4" s="185">
        <v>42248</v>
      </c>
      <c r="AF4" s="185">
        <v>42278</v>
      </c>
      <c r="AG4" s="185">
        <v>42309</v>
      </c>
      <c r="AH4" s="185">
        <v>42339</v>
      </c>
      <c r="AI4" s="179">
        <v>2015</v>
      </c>
      <c r="AJ4" s="179" t="s">
        <v>8</v>
      </c>
      <c r="AK4" s="179" t="s">
        <v>9</v>
      </c>
      <c r="AL4" s="179" t="s">
        <v>10</v>
      </c>
      <c r="AM4" s="179" t="s">
        <v>11</v>
      </c>
      <c r="AN4" s="179" t="s">
        <v>12</v>
      </c>
      <c r="AO4" s="179" t="s">
        <v>13</v>
      </c>
      <c r="AP4" s="179" t="s">
        <v>14</v>
      </c>
      <c r="AQ4" s="179" t="s">
        <v>15</v>
      </c>
      <c r="AR4" s="179" t="s">
        <v>16</v>
      </c>
      <c r="AS4" s="179" t="s">
        <v>17</v>
      </c>
      <c r="AT4" s="179" t="s">
        <v>18</v>
      </c>
      <c r="AU4" s="179" t="s">
        <v>19</v>
      </c>
      <c r="AV4" s="179" t="s">
        <v>20</v>
      </c>
      <c r="AW4" s="376" t="s">
        <v>21</v>
      </c>
      <c r="AX4" s="179" t="s">
        <v>22</v>
      </c>
      <c r="AY4" s="179" t="s">
        <v>23</v>
      </c>
      <c r="AZ4" s="179" t="s">
        <v>24</v>
      </c>
      <c r="BA4" s="384" t="s">
        <v>25</v>
      </c>
      <c r="BB4" s="179" t="s">
        <v>26</v>
      </c>
      <c r="BC4" s="179" t="s">
        <v>27</v>
      </c>
      <c r="BD4" s="179" t="s">
        <v>28</v>
      </c>
      <c r="BE4" s="472">
        <v>42948</v>
      </c>
      <c r="BF4" s="472">
        <v>42979</v>
      </c>
      <c r="BG4" s="472">
        <v>43009</v>
      </c>
      <c r="BH4" s="472">
        <v>43040</v>
      </c>
      <c r="BI4" s="483">
        <v>43070</v>
      </c>
      <c r="BJ4" s="697" t="s">
        <v>29</v>
      </c>
      <c r="BK4" s="697">
        <v>43101</v>
      </c>
      <c r="BL4" s="697">
        <v>43132</v>
      </c>
      <c r="BM4" s="697">
        <v>43160</v>
      </c>
      <c r="BN4" s="697">
        <v>43191</v>
      </c>
      <c r="BO4" s="697">
        <v>43221</v>
      </c>
      <c r="BP4" s="697">
        <v>43252</v>
      </c>
      <c r="BQ4" s="697">
        <v>43282</v>
      </c>
      <c r="BR4" s="697">
        <v>43313</v>
      </c>
      <c r="BS4" s="697">
        <v>43344</v>
      </c>
      <c r="BT4" s="697">
        <v>43374</v>
      </c>
      <c r="BU4" s="697">
        <v>43405</v>
      </c>
      <c r="BV4" s="697">
        <v>43435</v>
      </c>
      <c r="BW4" s="697" t="s">
        <v>30</v>
      </c>
      <c r="BX4" s="697">
        <v>43466</v>
      </c>
      <c r="BY4" s="697">
        <v>43497</v>
      </c>
      <c r="BZ4" s="697">
        <v>43525</v>
      </c>
      <c r="CA4" s="697">
        <v>43556</v>
      </c>
      <c r="CB4" s="697">
        <v>43586</v>
      </c>
      <c r="CC4" s="697">
        <v>43617</v>
      </c>
      <c r="CD4" s="697">
        <v>43647</v>
      </c>
      <c r="CE4" s="697">
        <v>43678</v>
      </c>
      <c r="CF4" s="697">
        <v>43709</v>
      </c>
      <c r="CG4" s="697">
        <v>43739</v>
      </c>
      <c r="CH4" s="697">
        <v>43770</v>
      </c>
      <c r="CI4" s="697">
        <v>43800</v>
      </c>
      <c r="CJ4" s="697" t="s">
        <v>31</v>
      </c>
      <c r="CK4" s="544">
        <v>43831</v>
      </c>
      <c r="CL4" s="544">
        <v>43862</v>
      </c>
      <c r="CM4" s="544">
        <v>43891</v>
      </c>
      <c r="CN4" s="544">
        <v>43922</v>
      </c>
      <c r="CO4" s="544">
        <v>43952</v>
      </c>
      <c r="CP4" s="544">
        <v>43983</v>
      </c>
      <c r="CQ4" s="544">
        <v>44013</v>
      </c>
      <c r="CR4" s="555">
        <v>44044</v>
      </c>
      <c r="CS4" s="555">
        <v>44075</v>
      </c>
      <c r="CT4" s="555">
        <v>44105</v>
      </c>
      <c r="CU4" s="555">
        <v>44136</v>
      </c>
      <c r="CV4" s="555">
        <v>44166</v>
      </c>
      <c r="CW4" s="697" t="s">
        <v>32</v>
      </c>
      <c r="CX4" s="544">
        <v>44197</v>
      </c>
      <c r="CY4" s="544">
        <v>44228</v>
      </c>
      <c r="CZ4" s="544">
        <v>44256</v>
      </c>
      <c r="DA4" s="544">
        <v>44287</v>
      </c>
      <c r="DB4" s="544">
        <v>44317</v>
      </c>
      <c r="DC4" s="544">
        <v>44348</v>
      </c>
      <c r="DD4" s="544">
        <v>44378</v>
      </c>
      <c r="DE4" s="544">
        <v>44409</v>
      </c>
      <c r="DF4" s="544">
        <v>44440</v>
      </c>
      <c r="DG4" s="544">
        <v>44470</v>
      </c>
      <c r="DH4" s="544">
        <v>44501</v>
      </c>
      <c r="DI4" s="544">
        <v>44531</v>
      </c>
      <c r="DJ4" s="655" t="s">
        <v>33</v>
      </c>
      <c r="DK4" s="662">
        <v>44562</v>
      </c>
      <c r="DL4" s="662">
        <v>44593</v>
      </c>
      <c r="DM4" s="662">
        <v>44621</v>
      </c>
      <c r="DN4" s="662">
        <v>44652</v>
      </c>
      <c r="DO4" s="662">
        <v>44682</v>
      </c>
      <c r="DP4" s="662">
        <v>44713</v>
      </c>
      <c r="DQ4" s="662">
        <v>44743</v>
      </c>
      <c r="DR4" s="662">
        <v>44774</v>
      </c>
      <c r="DS4" s="662">
        <v>44805</v>
      </c>
      <c r="DT4" s="662">
        <v>44835</v>
      </c>
      <c r="DU4" s="662">
        <v>44866</v>
      </c>
      <c r="DV4" s="662">
        <v>44896</v>
      </c>
      <c r="DW4" s="694" t="s">
        <v>34</v>
      </c>
    </row>
    <row r="5" spans="2:127" ht="13.2" x14ac:dyDescent="0.25">
      <c r="B5" s="90" t="s">
        <v>35</v>
      </c>
      <c r="C5" s="147">
        <f>SUM(C6:C7)</f>
        <v>692551</v>
      </c>
      <c r="D5" s="147">
        <f>SUM(D6:D7)</f>
        <v>2050924</v>
      </c>
      <c r="E5" s="147">
        <f>SUM(E6:E7)</f>
        <v>1466652</v>
      </c>
      <c r="F5" s="147">
        <f>SUM(F6:F7)</f>
        <v>6631870</v>
      </c>
      <c r="G5" s="148">
        <f t="shared" ref="G5:V5" si="0">SUM(G6:G7)</f>
        <v>8447670</v>
      </c>
      <c r="H5" s="148">
        <f t="shared" si="0"/>
        <v>15934406.300000001</v>
      </c>
      <c r="I5" s="148">
        <f t="shared" si="0"/>
        <v>16473429</v>
      </c>
      <c r="J5" s="148">
        <f t="shared" si="0"/>
        <v>32498030.050000001</v>
      </c>
      <c r="K5" s="148">
        <f t="shared" si="0"/>
        <v>16507288.75</v>
      </c>
      <c r="L5" s="148">
        <f t="shared" si="0"/>
        <v>15666078</v>
      </c>
      <c r="M5" s="148">
        <f t="shared" si="0"/>
        <v>14545363</v>
      </c>
      <c r="N5" s="148">
        <f t="shared" si="0"/>
        <v>15900824.5</v>
      </c>
      <c r="O5" s="148">
        <f t="shared" si="0"/>
        <v>16862373.5</v>
      </c>
      <c r="P5" s="148">
        <f t="shared" si="0"/>
        <v>18118898.939999998</v>
      </c>
      <c r="Q5" s="148">
        <f t="shared" si="0"/>
        <v>16342860.939999999</v>
      </c>
      <c r="R5" s="148">
        <f t="shared" si="0"/>
        <v>13456482.74</v>
      </c>
      <c r="S5" s="148">
        <f t="shared" si="0"/>
        <v>11491732.74</v>
      </c>
      <c r="T5" s="148">
        <f t="shared" si="0"/>
        <v>10780265.640000001</v>
      </c>
      <c r="U5" s="148">
        <f t="shared" si="0"/>
        <v>7894662.5999999996</v>
      </c>
      <c r="V5" s="148">
        <f t="shared" si="0"/>
        <v>14001725</v>
      </c>
      <c r="W5" s="148">
        <f t="shared" ref="W5:AD5" si="1">SUM(W6:W7)</f>
        <v>10156122.4</v>
      </c>
      <c r="X5" s="148">
        <f t="shared" si="1"/>
        <v>9526013</v>
      </c>
      <c r="Y5" s="148">
        <f t="shared" si="1"/>
        <v>11722792.35</v>
      </c>
      <c r="Z5" s="148">
        <f t="shared" si="1"/>
        <v>17217798.199999999</v>
      </c>
      <c r="AA5" s="148">
        <f t="shared" si="1"/>
        <v>19086301.899999999</v>
      </c>
      <c r="AB5" s="148">
        <f t="shared" si="1"/>
        <v>19142975.800000001</v>
      </c>
      <c r="AC5" s="148">
        <f t="shared" si="1"/>
        <v>17855809.5</v>
      </c>
      <c r="AD5" s="148">
        <f t="shared" si="1"/>
        <v>10142678.390000001</v>
      </c>
      <c r="AE5" s="148">
        <f t="shared" ref="AE5:AH5" si="2">SUM(AE6:AE7)</f>
        <v>10598883.49</v>
      </c>
      <c r="AF5" s="148">
        <f t="shared" si="2"/>
        <v>9385698.0099999998</v>
      </c>
      <c r="AG5" s="148">
        <f t="shared" si="2"/>
        <v>7527256.2199999997</v>
      </c>
      <c r="AH5" s="148">
        <f t="shared" si="2"/>
        <v>8266552.7999999998</v>
      </c>
      <c r="AI5" s="148">
        <f t="shared" ref="AI5:AJ5" si="3">SUM(AI6:AI7)</f>
        <v>8376130</v>
      </c>
      <c r="AJ5" s="148">
        <f t="shared" si="3"/>
        <v>8376130</v>
      </c>
      <c r="AK5" s="148">
        <f t="shared" ref="AK5:AN5" si="4">SUM(AK6:AK7)</f>
        <v>0</v>
      </c>
      <c r="AL5" s="148">
        <f t="shared" si="4"/>
        <v>5401966.75</v>
      </c>
      <c r="AM5" s="148">
        <f t="shared" si="4"/>
        <v>7175172.9500000002</v>
      </c>
      <c r="AN5" s="148">
        <f t="shared" si="4"/>
        <v>9142768.8000000007</v>
      </c>
      <c r="AO5" s="148">
        <f t="shared" ref="AO5:AP5" si="5">SUM(AO6:AO7)</f>
        <v>19086301.899999999</v>
      </c>
      <c r="AP5" s="148">
        <f t="shared" si="5"/>
        <v>10099765.699999999</v>
      </c>
      <c r="AQ5" s="148">
        <f t="shared" ref="AQ5:AR5" si="6">SUM(AQ6:AQ7)</f>
        <v>9793887.8000000007</v>
      </c>
      <c r="AR5" s="148">
        <f t="shared" si="6"/>
        <v>4265225.4000000004</v>
      </c>
      <c r="AS5" s="148">
        <f t="shared" ref="AS5:CC5" si="7">SUM(AS6:AS7)</f>
        <v>2028730.9</v>
      </c>
      <c r="AT5" s="148">
        <f t="shared" si="7"/>
        <v>0</v>
      </c>
      <c r="AU5" s="148">
        <f t="shared" si="7"/>
        <v>5118861.18</v>
      </c>
      <c r="AV5" s="148">
        <f t="shared" si="7"/>
        <v>5457407.3300000001</v>
      </c>
      <c r="AW5" s="148">
        <f t="shared" si="7"/>
        <v>36432236</v>
      </c>
      <c r="AX5" s="148">
        <f t="shared" si="7"/>
        <v>0</v>
      </c>
      <c r="AY5" s="148">
        <f t="shared" si="7"/>
        <v>0</v>
      </c>
      <c r="AZ5" s="148">
        <f t="shared" si="7"/>
        <v>7498366.8799999999</v>
      </c>
      <c r="BA5" s="148">
        <f t="shared" si="7"/>
        <v>9494883.9600000009</v>
      </c>
      <c r="BB5" s="148">
        <f t="shared" si="7"/>
        <v>8154706.9800000004</v>
      </c>
      <c r="BC5" s="148">
        <f t="shared" si="7"/>
        <v>10296780.199999999</v>
      </c>
      <c r="BD5" s="148">
        <f t="shared" si="7"/>
        <v>6878492</v>
      </c>
      <c r="BE5" s="148">
        <f t="shared" si="7"/>
        <v>10735443.280000001</v>
      </c>
      <c r="BF5" s="148">
        <f t="shared" si="7"/>
        <v>9593659</v>
      </c>
      <c r="BG5" s="148">
        <f t="shared" si="7"/>
        <v>0</v>
      </c>
      <c r="BH5" s="148">
        <f t="shared" si="7"/>
        <v>10793933.48</v>
      </c>
      <c r="BI5" s="148">
        <f t="shared" si="7"/>
        <v>10981808.98</v>
      </c>
      <c r="BJ5" s="148">
        <f t="shared" si="7"/>
        <v>46322972</v>
      </c>
      <c r="BK5" s="148">
        <f t="shared" si="7"/>
        <v>11253203</v>
      </c>
      <c r="BL5" s="148">
        <f t="shared" si="7"/>
        <v>15558586</v>
      </c>
      <c r="BM5" s="148">
        <f t="shared" si="7"/>
        <v>10872819</v>
      </c>
      <c r="BN5" s="148">
        <f t="shared" si="7"/>
        <v>14488992</v>
      </c>
      <c r="BO5" s="148">
        <f t="shared" si="7"/>
        <v>14476597</v>
      </c>
      <c r="BP5" s="148">
        <f t="shared" si="7"/>
        <v>16327550</v>
      </c>
      <c r="BQ5" s="148">
        <f t="shared" si="7"/>
        <v>19523805</v>
      </c>
      <c r="BR5" s="148">
        <f t="shared" si="7"/>
        <v>17723223</v>
      </c>
      <c r="BS5" s="148">
        <f t="shared" si="7"/>
        <v>10285781</v>
      </c>
      <c r="BT5" s="148">
        <f t="shared" si="7"/>
        <v>12769275</v>
      </c>
      <c r="BU5" s="148">
        <f t="shared" si="7"/>
        <v>10665369</v>
      </c>
      <c r="BV5" s="148">
        <f t="shared" si="7"/>
        <v>19242242.460000001</v>
      </c>
      <c r="BW5" s="148">
        <f t="shared" si="7"/>
        <v>57724521</v>
      </c>
      <c r="BX5" s="148">
        <f t="shared" si="7"/>
        <v>16251162</v>
      </c>
      <c r="BY5" s="148">
        <f t="shared" si="7"/>
        <v>6857239</v>
      </c>
      <c r="BZ5" s="148">
        <f t="shared" si="7"/>
        <v>16843190</v>
      </c>
      <c r="CA5" s="148">
        <f t="shared" si="7"/>
        <v>23179790</v>
      </c>
      <c r="CB5" s="148">
        <f t="shared" si="7"/>
        <v>18908991</v>
      </c>
      <c r="CC5" s="148">
        <f t="shared" si="7"/>
        <v>17140450</v>
      </c>
      <c r="CD5" s="148">
        <f t="shared" ref="CD5:DW5" si="8">SUM(CD6:CD7)</f>
        <v>17281349.199999999</v>
      </c>
      <c r="CE5" s="148">
        <f t="shared" si="8"/>
        <v>9065007</v>
      </c>
      <c r="CF5" s="148">
        <f t="shared" si="8"/>
        <v>14600746.58</v>
      </c>
      <c r="CG5" s="148">
        <f t="shared" si="8"/>
        <v>22938976</v>
      </c>
      <c r="CH5" s="148">
        <f t="shared" si="8"/>
        <v>11932460.699999999</v>
      </c>
      <c r="CI5" s="148">
        <f t="shared" si="8"/>
        <v>42411495.310000002</v>
      </c>
      <c r="CJ5" s="148">
        <f t="shared" si="8"/>
        <v>46245910.850000001</v>
      </c>
      <c r="CK5" s="148">
        <f t="shared" si="8"/>
        <v>9584994</v>
      </c>
      <c r="CL5" s="148">
        <f t="shared" si="8"/>
        <v>38031853.879999995</v>
      </c>
      <c r="CM5" s="148">
        <f t="shared" si="8"/>
        <v>16281760</v>
      </c>
      <c r="CN5" s="148">
        <f t="shared" si="8"/>
        <v>14677858</v>
      </c>
      <c r="CO5" s="148">
        <f t="shared" si="8"/>
        <v>26232819.039999999</v>
      </c>
      <c r="CP5" s="148">
        <f t="shared" si="8"/>
        <v>11531817.870000001</v>
      </c>
      <c r="CQ5" s="547">
        <f t="shared" si="8"/>
        <v>10375224.120000001</v>
      </c>
      <c r="CR5" s="148">
        <f t="shared" si="8"/>
        <v>19773282.609999999</v>
      </c>
      <c r="CS5" s="148">
        <f t="shared" si="8"/>
        <v>16406089.82</v>
      </c>
      <c r="CT5" s="148">
        <f t="shared" si="8"/>
        <v>16406089.82</v>
      </c>
      <c r="CU5" s="148">
        <f t="shared" si="8"/>
        <v>10727306.17</v>
      </c>
      <c r="CV5" s="148">
        <f t="shared" si="8"/>
        <v>17025095.079999998</v>
      </c>
      <c r="CW5" s="148">
        <f t="shared" si="8"/>
        <v>31495404.030000001</v>
      </c>
      <c r="CX5" s="148">
        <f t="shared" si="8"/>
        <v>18898852.32</v>
      </c>
      <c r="CY5" s="148">
        <f t="shared" si="8"/>
        <v>31689506.199999999</v>
      </c>
      <c r="CZ5" s="148">
        <f t="shared" si="8"/>
        <v>20939826.41</v>
      </c>
      <c r="DA5" s="148">
        <f t="shared" si="8"/>
        <v>28874468</v>
      </c>
      <c r="DB5" s="148">
        <f t="shared" si="8"/>
        <v>14944011.789999999</v>
      </c>
      <c r="DC5" s="148">
        <f t="shared" si="8"/>
        <v>21759557.850000001</v>
      </c>
      <c r="DD5" s="148">
        <f t="shared" si="8"/>
        <v>14112020.23</v>
      </c>
      <c r="DE5" s="148">
        <f t="shared" si="8"/>
        <v>15735795.140000001</v>
      </c>
      <c r="DF5" s="148">
        <f t="shared" si="8"/>
        <v>21070472</v>
      </c>
      <c r="DG5" s="148">
        <f t="shared" si="8"/>
        <v>12052296.199999999</v>
      </c>
      <c r="DH5" s="148">
        <f t="shared" si="8"/>
        <v>14872401</v>
      </c>
      <c r="DI5" s="148">
        <f t="shared" si="8"/>
        <v>23680357</v>
      </c>
      <c r="DJ5" s="656">
        <f t="shared" si="8"/>
        <v>31354985</v>
      </c>
      <c r="DK5" s="656">
        <f t="shared" si="8"/>
        <v>12748267.52</v>
      </c>
      <c r="DL5" s="656">
        <f t="shared" si="8"/>
        <v>15941345.310000001</v>
      </c>
      <c r="DM5" s="656">
        <f t="shared" si="8"/>
        <v>23816679.75</v>
      </c>
      <c r="DN5" s="656">
        <f t="shared" si="8"/>
        <v>11233153.289999999</v>
      </c>
      <c r="DO5" s="656">
        <f t="shared" si="8"/>
        <v>9384205.9499999993</v>
      </c>
      <c r="DP5" s="656">
        <f t="shared" si="8"/>
        <v>16316325</v>
      </c>
      <c r="DQ5" s="656">
        <f t="shared" si="8"/>
        <v>19595448.130000003</v>
      </c>
      <c r="DR5" s="656">
        <f t="shared" si="8"/>
        <v>19545912.469999999</v>
      </c>
      <c r="DS5" s="656">
        <f t="shared" si="8"/>
        <v>10931445.68</v>
      </c>
      <c r="DT5" s="656">
        <f t="shared" si="8"/>
        <v>12785098.789999999</v>
      </c>
      <c r="DU5" s="656">
        <f t="shared" si="8"/>
        <v>18452131.850000001</v>
      </c>
      <c r="DV5" s="656">
        <f t="shared" si="8"/>
        <v>0</v>
      </c>
      <c r="DW5" s="656">
        <f t="shared" si="8"/>
        <v>40136992</v>
      </c>
    </row>
    <row r="6" spans="2:127" ht="13.8" x14ac:dyDescent="0.25">
      <c r="B6" s="93" t="s">
        <v>36</v>
      </c>
      <c r="C6" s="149">
        <v>692551</v>
      </c>
      <c r="D6" s="149">
        <v>2050924</v>
      </c>
      <c r="E6" s="150">
        <v>1466652</v>
      </c>
      <c r="F6" s="151">
        <v>6631870</v>
      </c>
      <c r="G6" s="152">
        <v>8447670</v>
      </c>
      <c r="H6" s="152">
        <v>2072524.5</v>
      </c>
      <c r="I6" s="152">
        <v>2008272</v>
      </c>
      <c r="J6" s="152">
        <v>3952137</v>
      </c>
      <c r="K6" s="152">
        <v>4296961.5</v>
      </c>
      <c r="L6" s="149">
        <v>1702028.5</v>
      </c>
      <c r="M6" s="149">
        <v>3522013.5</v>
      </c>
      <c r="N6" s="149">
        <v>3800938.5</v>
      </c>
      <c r="O6" s="149">
        <v>1500354</v>
      </c>
      <c r="P6" s="149">
        <v>3681214</v>
      </c>
      <c r="Q6" s="149">
        <v>2737510</v>
      </c>
      <c r="R6" s="149">
        <v>3491663</v>
      </c>
      <c r="S6" s="149">
        <v>2336673</v>
      </c>
      <c r="T6" s="149">
        <v>1558098.25</v>
      </c>
      <c r="U6" s="149">
        <v>1597927</v>
      </c>
      <c r="V6" s="149">
        <v>1137405</v>
      </c>
      <c r="W6" s="149">
        <v>915480</v>
      </c>
      <c r="X6" s="149">
        <v>3071335</v>
      </c>
      <c r="Y6" s="149">
        <v>3011475</v>
      </c>
      <c r="Z6" s="149">
        <v>3824566</v>
      </c>
      <c r="AA6" s="149">
        <v>3938097</v>
      </c>
      <c r="AB6" s="149">
        <v>2621397</v>
      </c>
      <c r="AC6" s="149">
        <v>3484317</v>
      </c>
      <c r="AD6" s="149">
        <v>1825373</v>
      </c>
      <c r="AE6" s="193">
        <v>1811887</v>
      </c>
      <c r="AF6" s="193">
        <v>1549902</v>
      </c>
      <c r="AG6" s="193">
        <v>2789695</v>
      </c>
      <c r="AH6" s="193">
        <v>3288082</v>
      </c>
      <c r="AI6" s="193">
        <v>2528402</v>
      </c>
      <c r="AJ6" s="193">
        <v>2528402</v>
      </c>
      <c r="AK6" s="193"/>
      <c r="AL6" s="193">
        <v>1917754</v>
      </c>
      <c r="AM6" s="193">
        <v>4252295</v>
      </c>
      <c r="AN6" s="193">
        <v>4894024</v>
      </c>
      <c r="AO6" s="193">
        <v>3938097</v>
      </c>
      <c r="AP6" s="193">
        <v>5868133</v>
      </c>
      <c r="AQ6" s="193">
        <v>3957008</v>
      </c>
      <c r="AR6" s="193">
        <v>2552472</v>
      </c>
      <c r="AS6" s="193">
        <v>3339979</v>
      </c>
      <c r="AT6" s="193"/>
      <c r="AU6" s="193">
        <v>2808257</v>
      </c>
      <c r="AV6" s="193">
        <v>3022983</v>
      </c>
      <c r="AW6" s="242">
        <v>7293918</v>
      </c>
      <c r="AX6" s="394"/>
      <c r="AY6" s="394"/>
      <c r="AZ6" s="394">
        <v>3171740</v>
      </c>
      <c r="BA6" s="242">
        <v>6947564</v>
      </c>
      <c r="BB6" s="242">
        <v>4190221</v>
      </c>
      <c r="BC6" s="242">
        <v>4580682.2</v>
      </c>
      <c r="BD6" s="242">
        <v>4758799</v>
      </c>
      <c r="BE6" s="52">
        <v>3573953</v>
      </c>
      <c r="BF6" s="52">
        <v>3754606</v>
      </c>
      <c r="BH6" s="52">
        <v>4123693</v>
      </c>
      <c r="BI6" s="480">
        <v>5045728</v>
      </c>
      <c r="BJ6" s="480">
        <v>7387734</v>
      </c>
      <c r="BK6" s="480">
        <v>11253203</v>
      </c>
      <c r="BL6" s="480">
        <v>6418620</v>
      </c>
      <c r="BM6" s="480">
        <v>2929877</v>
      </c>
      <c r="BN6" s="480">
        <v>5074804</v>
      </c>
      <c r="BO6" s="480">
        <v>3187375</v>
      </c>
      <c r="BP6" s="495">
        <v>7767560</v>
      </c>
      <c r="BQ6" s="480">
        <v>7479361</v>
      </c>
      <c r="BR6" s="211">
        <v>8108751</v>
      </c>
      <c r="BS6" s="211">
        <v>7368918</v>
      </c>
      <c r="BT6" s="503">
        <v>9037659</v>
      </c>
      <c r="BU6" s="88">
        <v>6226073</v>
      </c>
      <c r="BV6" s="88">
        <v>4946234</v>
      </c>
      <c r="BW6" s="88">
        <v>4946324</v>
      </c>
      <c r="BX6" s="88">
        <v>3045083</v>
      </c>
      <c r="BY6" s="88">
        <v>2887803</v>
      </c>
      <c r="BZ6" s="522">
        <v>7680216</v>
      </c>
      <c r="CA6" s="522">
        <v>9262974</v>
      </c>
      <c r="CB6" s="522">
        <v>9250689</v>
      </c>
      <c r="CC6" s="522">
        <v>7124091</v>
      </c>
      <c r="CD6" s="522">
        <v>6858434.6799999997</v>
      </c>
      <c r="CE6" s="522">
        <v>3742037</v>
      </c>
      <c r="CF6" s="522">
        <v>3934900</v>
      </c>
      <c r="CG6" s="522">
        <v>9111685</v>
      </c>
      <c r="CH6" s="503">
        <v>9093178</v>
      </c>
      <c r="CI6" s="522">
        <v>1806997</v>
      </c>
      <c r="CJ6" s="535">
        <v>1806997</v>
      </c>
      <c r="CK6" s="521">
        <v>5344394</v>
      </c>
      <c r="CL6" s="522">
        <v>5530420</v>
      </c>
      <c r="CM6" s="522">
        <v>4429694</v>
      </c>
      <c r="CN6" s="522">
        <v>5733045</v>
      </c>
      <c r="CO6" s="562">
        <v>5974479</v>
      </c>
      <c r="CP6" s="522">
        <v>3318368</v>
      </c>
      <c r="CQ6" s="562">
        <v>4470588</v>
      </c>
      <c r="CR6" s="501">
        <v>5627555</v>
      </c>
      <c r="CS6" s="562">
        <v>7956958</v>
      </c>
      <c r="CT6" s="562">
        <v>7956958</v>
      </c>
      <c r="CU6" s="501">
        <v>2233374</v>
      </c>
      <c r="CV6" s="556">
        <v>3485128</v>
      </c>
      <c r="CW6" s="480">
        <v>3485128</v>
      </c>
      <c r="CX6" s="478">
        <v>6041142</v>
      </c>
      <c r="CY6" s="478">
        <v>9121646</v>
      </c>
      <c r="CZ6" s="478">
        <v>8051194</v>
      </c>
      <c r="DA6" s="478">
        <v>7809168</v>
      </c>
      <c r="DB6" s="478">
        <v>5914677</v>
      </c>
      <c r="DC6" s="478">
        <v>4669718</v>
      </c>
      <c r="DD6" s="478">
        <v>5312352</v>
      </c>
      <c r="DE6" s="522">
        <v>4928248</v>
      </c>
      <c r="DF6" s="522">
        <v>7093659</v>
      </c>
      <c r="DG6" s="522">
        <v>1490080</v>
      </c>
      <c r="DH6" s="522">
        <v>5745704</v>
      </c>
      <c r="DI6" s="522">
        <v>4919895</v>
      </c>
      <c r="DJ6" s="88">
        <v>4919895</v>
      </c>
      <c r="DK6" s="478">
        <v>4234521</v>
      </c>
      <c r="DL6" s="478">
        <v>3860966</v>
      </c>
      <c r="DM6" s="478">
        <v>3933959</v>
      </c>
      <c r="DN6" s="478">
        <v>3825177</v>
      </c>
      <c r="DO6" s="478">
        <v>3858834</v>
      </c>
      <c r="DP6" s="478">
        <v>6253686</v>
      </c>
      <c r="DQ6" s="478">
        <v>7644156</v>
      </c>
      <c r="DR6" s="478">
        <v>5409180</v>
      </c>
      <c r="DS6" s="522">
        <v>4838774</v>
      </c>
      <c r="DT6" s="522">
        <v>6457883</v>
      </c>
      <c r="DU6" s="522">
        <v>8296828</v>
      </c>
      <c r="DW6" s="87">
        <v>3263540</v>
      </c>
    </row>
    <row r="7" spans="2:127" ht="13.8" x14ac:dyDescent="0.25">
      <c r="B7" s="93" t="s">
        <v>37</v>
      </c>
      <c r="C7" s="153"/>
      <c r="D7" s="150"/>
      <c r="E7" s="154"/>
      <c r="F7" s="154"/>
      <c r="G7" s="155"/>
      <c r="H7" s="155">
        <v>13861881.800000001</v>
      </c>
      <c r="I7" s="155">
        <f>85465+10963752+3064382+196412+155146</f>
        <v>14465157</v>
      </c>
      <c r="J7" s="155">
        <v>28545893.050000001</v>
      </c>
      <c r="K7" s="155">
        <v>12210327.25</v>
      </c>
      <c r="L7" s="155">
        <v>13964049.5</v>
      </c>
      <c r="M7" s="155">
        <v>11023349.5</v>
      </c>
      <c r="N7" s="155">
        <v>12099886</v>
      </c>
      <c r="O7" s="155">
        <v>15362019.5</v>
      </c>
      <c r="P7" s="155">
        <v>14437684.939999999</v>
      </c>
      <c r="Q7" s="155">
        <v>13605350.939999999</v>
      </c>
      <c r="R7" s="155">
        <v>9964819.7400000002</v>
      </c>
      <c r="S7" s="155">
        <v>9155059.7400000002</v>
      </c>
      <c r="T7" s="155">
        <v>9222167.3900000006</v>
      </c>
      <c r="U7" s="155">
        <v>6296735.5999999996</v>
      </c>
      <c r="V7" s="155">
        <f>16001725-V6-2000000</f>
        <v>12864320</v>
      </c>
      <c r="W7" s="155">
        <v>9240642.4000000004</v>
      </c>
      <c r="X7" s="155">
        <v>6454678</v>
      </c>
      <c r="Y7" s="155">
        <v>8711317.3499999996</v>
      </c>
      <c r="Z7" s="155">
        <v>13393232.199999999</v>
      </c>
      <c r="AA7" s="155">
        <v>15148204.9</v>
      </c>
      <c r="AB7" s="155">
        <v>16521578.800000001</v>
      </c>
      <c r="AC7" s="155">
        <v>14371492.5</v>
      </c>
      <c r="AD7" s="155">
        <v>8317305.3899999997</v>
      </c>
      <c r="AE7" s="193">
        <v>8786996.4900000002</v>
      </c>
      <c r="AF7" s="193">
        <v>7835796.0099999998</v>
      </c>
      <c r="AG7" s="193">
        <v>4737561.22</v>
      </c>
      <c r="AH7" s="193">
        <v>4978470.8</v>
      </c>
      <c r="AI7" s="193">
        <f>133232+4237489+234544+1012463+230000</f>
        <v>5847728</v>
      </c>
      <c r="AJ7" s="193">
        <f>133232+1012463+4237489+234544+230000</f>
        <v>5847728</v>
      </c>
      <c r="AK7" s="193"/>
      <c r="AL7" s="193">
        <v>3484212.75</v>
      </c>
      <c r="AM7" s="193">
        <v>2922877.95</v>
      </c>
      <c r="AN7" s="193">
        <v>4248744.8</v>
      </c>
      <c r="AO7" s="193">
        <v>15148204.9</v>
      </c>
      <c r="AP7" s="193">
        <v>4231632.7</v>
      </c>
      <c r="AQ7" s="193">
        <v>5836879.7999999998</v>
      </c>
      <c r="AR7" s="193">
        <v>1712753.4</v>
      </c>
      <c r="AS7" s="193">
        <v>-1311248.1000000001</v>
      </c>
      <c r="AT7" s="193"/>
      <c r="AU7" s="193">
        <v>2310604.1800000002</v>
      </c>
      <c r="AV7" s="193">
        <v>2434424.33</v>
      </c>
      <c r="AW7" s="242">
        <f>2189+1916833+378525+168977+7422938+263000+18308+18000000+967548</f>
        <v>29138318</v>
      </c>
      <c r="AX7" s="394"/>
      <c r="AY7" s="394"/>
      <c r="AZ7" s="394">
        <v>4326626.88</v>
      </c>
      <c r="BA7" s="242">
        <v>2547319.96</v>
      </c>
      <c r="BB7" s="242">
        <v>3964485.98</v>
      </c>
      <c r="BC7" s="242">
        <v>5716098</v>
      </c>
      <c r="BD7" s="242">
        <v>2119693</v>
      </c>
      <c r="BE7" s="52">
        <v>7161490.2800000003</v>
      </c>
      <c r="BF7" s="52">
        <v>5839053</v>
      </c>
      <c r="BH7" s="52">
        <v>6670240.4800000004</v>
      </c>
      <c r="BI7" s="480">
        <v>5936080.9800000004</v>
      </c>
      <c r="BJ7" s="480">
        <f>2273464+227046+245650+135664+1446742+2629031+18798925+8000000+1178716+4000000</f>
        <v>38935238</v>
      </c>
      <c r="BK7" s="480">
        <v>0</v>
      </c>
      <c r="BL7" s="480">
        <v>9139966</v>
      </c>
      <c r="BM7" s="480">
        <v>7942942</v>
      </c>
      <c r="BN7" s="480">
        <v>9414188</v>
      </c>
      <c r="BO7" s="480">
        <v>11289222</v>
      </c>
      <c r="BP7" s="495">
        <v>8559990</v>
      </c>
      <c r="BQ7" s="480">
        <v>12044444</v>
      </c>
      <c r="BR7" s="211">
        <v>9614472</v>
      </c>
      <c r="BS7" s="211">
        <v>2916863</v>
      </c>
      <c r="BT7" s="503">
        <v>3731616</v>
      </c>
      <c r="BU7" s="88">
        <v>4439296</v>
      </c>
      <c r="BV7" s="88">
        <v>14296008.460000001</v>
      </c>
      <c r="BW7" s="88">
        <f>57724521-BW6</f>
        <v>52778197</v>
      </c>
      <c r="BX7" s="88">
        <v>13206079</v>
      </c>
      <c r="BY7" s="88">
        <v>3969436</v>
      </c>
      <c r="BZ7" s="522">
        <v>9162974</v>
      </c>
      <c r="CA7" s="522">
        <v>13916816</v>
      </c>
      <c r="CB7" s="522">
        <v>9658302</v>
      </c>
      <c r="CC7" s="522">
        <v>10016359</v>
      </c>
      <c r="CD7" s="522">
        <v>10422914.52</v>
      </c>
      <c r="CE7" s="522">
        <v>5322970</v>
      </c>
      <c r="CF7" s="522">
        <v>10665846.58</v>
      </c>
      <c r="CG7" s="522">
        <v>13827291</v>
      </c>
      <c r="CH7" s="503">
        <v>2839282.7</v>
      </c>
      <c r="CI7" s="522">
        <v>40604498.310000002</v>
      </c>
      <c r="CJ7" s="535">
        <v>44438913.850000001</v>
      </c>
      <c r="CK7" s="521">
        <v>4240600</v>
      </c>
      <c r="CL7" s="522">
        <v>32501433.879999999</v>
      </c>
      <c r="CM7" s="522">
        <v>11852066</v>
      </c>
      <c r="CN7" s="522">
        <v>8944813</v>
      </c>
      <c r="CO7" s="562">
        <v>20258340.039999999</v>
      </c>
      <c r="CP7" s="522">
        <v>8213449.8700000001</v>
      </c>
      <c r="CQ7" s="562">
        <v>5904636.1200000001</v>
      </c>
      <c r="CR7" s="501">
        <v>14145727.609999999</v>
      </c>
      <c r="CS7" s="562">
        <v>8449131.8200000003</v>
      </c>
      <c r="CT7" s="562">
        <v>8449131.8200000003</v>
      </c>
      <c r="CU7" s="501">
        <v>8493932.1699999999</v>
      </c>
      <c r="CV7" s="556">
        <v>13539967.08</v>
      </c>
      <c r="CW7" s="480">
        <f>31495404.03-CW6</f>
        <v>28010276.030000001</v>
      </c>
      <c r="CX7" s="478">
        <v>12857710.32</v>
      </c>
      <c r="CY7" s="478">
        <v>22567860.199999999</v>
      </c>
      <c r="CZ7" s="478">
        <v>12888632.41</v>
      </c>
      <c r="DA7" s="478">
        <v>21065300</v>
      </c>
      <c r="DB7" s="478">
        <v>9029334.7899999991</v>
      </c>
      <c r="DC7" s="478">
        <v>17089839.850000001</v>
      </c>
      <c r="DD7" s="478">
        <v>8799668.2300000004</v>
      </c>
      <c r="DE7" s="522">
        <v>10807547.140000001</v>
      </c>
      <c r="DF7" s="522">
        <v>13976813</v>
      </c>
      <c r="DG7" s="522">
        <v>10562216.199999999</v>
      </c>
      <c r="DH7" s="522">
        <v>9126697</v>
      </c>
      <c r="DI7" s="522">
        <v>18760462</v>
      </c>
      <c r="DJ7" s="88">
        <v>26435090</v>
      </c>
      <c r="DK7" s="478">
        <v>8513746.5199999996</v>
      </c>
      <c r="DL7" s="478">
        <v>12080379.310000001</v>
      </c>
      <c r="DM7" s="478">
        <v>19882720.75</v>
      </c>
      <c r="DN7" s="478">
        <v>7407976.29</v>
      </c>
      <c r="DO7" s="478">
        <v>5525371.9500000002</v>
      </c>
      <c r="DP7" s="478">
        <v>10062639</v>
      </c>
      <c r="DQ7" s="478">
        <v>11951292.130000001</v>
      </c>
      <c r="DR7" s="478">
        <v>14136732.470000001</v>
      </c>
      <c r="DS7" s="522">
        <v>6092671.6799999997</v>
      </c>
      <c r="DT7" s="522">
        <v>6327215.79</v>
      </c>
      <c r="DU7" s="522">
        <v>10155303.85</v>
      </c>
      <c r="DW7" s="87">
        <f>40136992-3263540</f>
        <v>36873452</v>
      </c>
    </row>
    <row r="8" spans="2:127" ht="26.4" x14ac:dyDescent="0.3">
      <c r="B8" s="90" t="s">
        <v>38</v>
      </c>
      <c r="C8" s="149">
        <v>67039</v>
      </c>
      <c r="D8" s="149">
        <v>42292</v>
      </c>
      <c r="E8" s="150">
        <v>49508</v>
      </c>
      <c r="F8" s="156">
        <v>37292</v>
      </c>
      <c r="G8" s="152">
        <v>85800</v>
      </c>
      <c r="H8" s="152">
        <v>818633.95</v>
      </c>
      <c r="I8" s="152">
        <v>85800</v>
      </c>
      <c r="J8" s="152">
        <v>1606266.4</v>
      </c>
      <c r="K8" s="152">
        <v>986486.48</v>
      </c>
      <c r="L8" s="149">
        <v>994092.07</v>
      </c>
      <c r="M8" s="149">
        <v>937436.37</v>
      </c>
      <c r="N8" s="149">
        <v>961317.76</v>
      </c>
      <c r="O8" s="149">
        <v>1101263.76</v>
      </c>
      <c r="P8" s="149">
        <v>1126434.8700000001</v>
      </c>
      <c r="Q8" s="149">
        <v>1925528.43</v>
      </c>
      <c r="R8" s="149">
        <v>2391641.9300000002</v>
      </c>
      <c r="S8" s="149">
        <v>2913196.77</v>
      </c>
      <c r="T8" s="149">
        <v>3372932.27</v>
      </c>
      <c r="U8" s="149">
        <v>906298</v>
      </c>
      <c r="V8" s="149">
        <v>85800</v>
      </c>
      <c r="W8" s="149">
        <v>1074825.1000000001</v>
      </c>
      <c r="X8" s="149">
        <v>1271350.17</v>
      </c>
      <c r="Y8" s="149">
        <v>1520532.53</v>
      </c>
      <c r="Z8" s="149">
        <v>1567860.87</v>
      </c>
      <c r="AA8" s="149">
        <v>1895761.85</v>
      </c>
      <c r="AB8" s="149">
        <v>2047687.6</v>
      </c>
      <c r="AC8" s="149">
        <v>2833915.6</v>
      </c>
      <c r="AD8" s="149">
        <v>3127239.8</v>
      </c>
      <c r="AE8" s="193">
        <v>2086448.45</v>
      </c>
      <c r="AF8" s="193">
        <v>1606975.87</v>
      </c>
      <c r="AG8" s="193">
        <v>2211469.04</v>
      </c>
      <c r="AH8" s="193">
        <v>704228.1</v>
      </c>
      <c r="AI8" s="193">
        <v>85800</v>
      </c>
      <c r="AJ8" s="193">
        <v>85000</v>
      </c>
      <c r="AK8" s="193"/>
      <c r="AL8" s="193">
        <v>2380719.5499999998</v>
      </c>
      <c r="AM8" s="193">
        <v>1727893.95</v>
      </c>
      <c r="AN8" s="193">
        <v>1572852.95</v>
      </c>
      <c r="AO8" s="193">
        <v>1895761.85</v>
      </c>
      <c r="AP8" s="193">
        <v>646861.27</v>
      </c>
      <c r="AQ8" s="193">
        <v>10577806.369999999</v>
      </c>
      <c r="AR8" s="193">
        <v>13238398.869999999</v>
      </c>
      <c r="AS8" s="193">
        <v>14276306.09</v>
      </c>
      <c r="AT8" s="193"/>
      <c r="AU8" s="193">
        <v>18407905.640000001</v>
      </c>
      <c r="AV8" s="193">
        <v>1429677.6</v>
      </c>
      <c r="AW8" s="242">
        <v>85800</v>
      </c>
      <c r="AX8" s="394"/>
      <c r="AY8" s="394"/>
      <c r="AZ8" s="394">
        <v>0</v>
      </c>
      <c r="BA8" s="242">
        <v>0</v>
      </c>
      <c r="BB8" s="242">
        <v>0</v>
      </c>
      <c r="BC8" s="242">
        <v>0</v>
      </c>
      <c r="BD8" s="242">
        <v>0</v>
      </c>
      <c r="BE8" s="52">
        <v>0</v>
      </c>
      <c r="BH8" s="52">
        <v>0</v>
      </c>
      <c r="BI8" s="480">
        <v>0</v>
      </c>
      <c r="BJ8" s="480">
        <v>115800</v>
      </c>
      <c r="BK8" s="480">
        <v>0</v>
      </c>
      <c r="BL8" s="480">
        <v>0</v>
      </c>
      <c r="BM8" s="480">
        <v>0</v>
      </c>
      <c r="BN8" s="480">
        <v>0</v>
      </c>
      <c r="BO8" s="480">
        <v>0</v>
      </c>
      <c r="BP8" s="480"/>
      <c r="BQ8" s="480">
        <v>0</v>
      </c>
      <c r="BR8" s="480">
        <v>0</v>
      </c>
      <c r="BS8" s="480">
        <v>0</v>
      </c>
      <c r="BT8" s="480">
        <v>0</v>
      </c>
      <c r="BU8" s="88">
        <v>0</v>
      </c>
      <c r="BV8" s="88">
        <v>0</v>
      </c>
      <c r="BW8" s="88">
        <v>2747143.36</v>
      </c>
      <c r="BX8" s="88">
        <v>0</v>
      </c>
      <c r="BZ8" s="522">
        <v>0</v>
      </c>
      <c r="CA8" s="522">
        <v>0</v>
      </c>
      <c r="CB8" s="522">
        <v>0</v>
      </c>
      <c r="CC8" s="522">
        <v>0</v>
      </c>
      <c r="CD8" s="522">
        <v>0</v>
      </c>
      <c r="CE8" s="522">
        <v>6681042.0199999996</v>
      </c>
      <c r="CF8" s="522">
        <v>7153115.6299999999</v>
      </c>
      <c r="CG8" s="522">
        <v>7441332</v>
      </c>
      <c r="CH8" s="528">
        <v>8098898.1699999999</v>
      </c>
      <c r="CI8" s="522">
        <v>7527188.5800000001</v>
      </c>
      <c r="CJ8" s="535">
        <v>7527188.5800000001</v>
      </c>
      <c r="CK8" s="521">
        <v>7250638.5800000001</v>
      </c>
      <c r="CL8" s="522">
        <v>8115570.8499999996</v>
      </c>
      <c r="CM8" s="522">
        <v>7825760</v>
      </c>
      <c r="CN8" s="522">
        <v>11397977.01</v>
      </c>
      <c r="CO8" s="522">
        <v>12916309.73</v>
      </c>
      <c r="CP8" s="566">
        <v>11613889.560000001</v>
      </c>
      <c r="CQ8" s="566">
        <v>10266775.720000001</v>
      </c>
      <c r="CR8" s="501">
        <v>11024905.460000001</v>
      </c>
      <c r="CS8" s="567">
        <v>11818196.789999999</v>
      </c>
      <c r="CT8" s="568">
        <v>12692546.24</v>
      </c>
      <c r="CU8" s="501">
        <v>12210434.800000001</v>
      </c>
      <c r="CV8" s="651">
        <v>9885482.5600000005</v>
      </c>
      <c r="CW8" s="652">
        <v>9671737.5</v>
      </c>
      <c r="CX8" s="652">
        <v>9671737.5</v>
      </c>
      <c r="CY8" s="652">
        <v>9671737.5</v>
      </c>
      <c r="CZ8" s="652">
        <v>9671737.5</v>
      </c>
      <c r="DA8" s="652">
        <v>9671737.5</v>
      </c>
      <c r="DB8" s="652">
        <v>9671737.5</v>
      </c>
      <c r="DC8" s="652">
        <v>9671737.5</v>
      </c>
      <c r="DD8" s="652">
        <v>9671737.5</v>
      </c>
      <c r="DE8" s="652">
        <v>9671737.5</v>
      </c>
      <c r="DF8" s="652">
        <v>9671737.5</v>
      </c>
      <c r="DG8" s="652">
        <v>9671737.5</v>
      </c>
      <c r="DH8" s="652">
        <v>9671737.5</v>
      </c>
      <c r="DI8" s="652">
        <v>9671737.5</v>
      </c>
      <c r="DJ8" s="652">
        <v>11288794</v>
      </c>
      <c r="DK8" s="665">
        <v>15891777.939999999</v>
      </c>
      <c r="DL8" s="665">
        <v>16326724.109999999</v>
      </c>
      <c r="DM8" s="665">
        <v>16663417.17</v>
      </c>
      <c r="DN8" s="665">
        <v>16773933.01</v>
      </c>
      <c r="DO8" s="665">
        <v>17404531.390000001</v>
      </c>
      <c r="DP8" s="665">
        <v>17848676.579999998</v>
      </c>
      <c r="DQ8" s="665">
        <v>18770995.18</v>
      </c>
      <c r="DR8" s="522">
        <v>19474740.109999999</v>
      </c>
      <c r="DS8" s="744">
        <v>19866305.59</v>
      </c>
      <c r="DT8" s="522">
        <v>19575118.100000001</v>
      </c>
      <c r="DU8" s="744">
        <v>20514286.739999998</v>
      </c>
      <c r="DV8" s="665"/>
      <c r="DW8" s="652">
        <v>15809279</v>
      </c>
    </row>
    <row r="9" spans="2:127" ht="13.2" x14ac:dyDescent="0.25">
      <c r="B9" s="90" t="s">
        <v>39</v>
      </c>
      <c r="C9" s="157">
        <f t="shared" ref="C9:F9" si="9">SUM(C10:C13)</f>
        <v>69500</v>
      </c>
      <c r="D9" s="158">
        <f t="shared" si="9"/>
        <v>149500</v>
      </c>
      <c r="E9" s="158">
        <f t="shared" si="9"/>
        <v>209500</v>
      </c>
      <c r="F9" s="158">
        <f t="shared" si="9"/>
        <v>219500</v>
      </c>
      <c r="G9" s="158">
        <f>SUM(G10:G13)</f>
        <v>227500</v>
      </c>
      <c r="H9" s="158">
        <f t="shared" ref="H9:AD9" si="10">SUM(H10:H13)</f>
        <v>4870491.8599999994</v>
      </c>
      <c r="I9" s="158">
        <f t="shared" si="10"/>
        <v>1727686</v>
      </c>
      <c r="J9" s="158">
        <f t="shared" si="10"/>
        <v>9740983.7199999988</v>
      </c>
      <c r="K9" s="158">
        <f t="shared" si="10"/>
        <v>5120491.8599999994</v>
      </c>
      <c r="L9" s="158">
        <f t="shared" si="10"/>
        <v>5120491.8599999994</v>
      </c>
      <c r="M9" s="158">
        <f t="shared" si="10"/>
        <v>5120491.8599999994</v>
      </c>
      <c r="N9" s="158">
        <f t="shared" si="10"/>
        <v>5120491.8599999994</v>
      </c>
      <c r="O9" s="158">
        <f t="shared" si="10"/>
        <v>5120491.8599999994</v>
      </c>
      <c r="P9" s="158">
        <f t="shared" si="10"/>
        <v>5228278.45</v>
      </c>
      <c r="Q9" s="158">
        <f t="shared" si="10"/>
        <v>5340476.45</v>
      </c>
      <c r="R9" s="158">
        <f t="shared" si="10"/>
        <v>5340476.45</v>
      </c>
      <c r="S9" s="158">
        <f t="shared" si="10"/>
        <v>5340476.45</v>
      </c>
      <c r="T9" s="158">
        <f t="shared" si="10"/>
        <v>5340476.45</v>
      </c>
      <c r="U9" s="158">
        <f t="shared" si="10"/>
        <v>6093866.4500000002</v>
      </c>
      <c r="V9" s="158">
        <f t="shared" si="10"/>
        <v>2227686</v>
      </c>
      <c r="W9" s="158">
        <f t="shared" si="10"/>
        <v>6093866.4500000002</v>
      </c>
      <c r="X9" s="158">
        <f t="shared" si="10"/>
        <v>6093866.4500000002</v>
      </c>
      <c r="Y9" s="158">
        <f t="shared" si="10"/>
        <v>6093866.4500000002</v>
      </c>
      <c r="Z9" s="158">
        <f t="shared" si="10"/>
        <v>6218188.1699999999</v>
      </c>
      <c r="AA9" s="158">
        <f t="shared" si="10"/>
        <v>8218188.1699999999</v>
      </c>
      <c r="AB9" s="158">
        <f t="shared" si="10"/>
        <v>8218188.1699999999</v>
      </c>
      <c r="AC9" s="158">
        <f t="shared" si="10"/>
        <v>10218188.17</v>
      </c>
      <c r="AD9" s="158">
        <f t="shared" si="10"/>
        <v>20718188.170000002</v>
      </c>
      <c r="AE9" s="158">
        <f t="shared" ref="AE9:AG9" si="11">SUM(AE10:AE13)</f>
        <v>20718188.170000002</v>
      </c>
      <c r="AF9" s="158">
        <f t="shared" si="11"/>
        <v>25718188.170000002</v>
      </c>
      <c r="AG9" s="158">
        <f t="shared" si="11"/>
        <v>26038109.129999999</v>
      </c>
      <c r="AH9" s="158">
        <f t="shared" ref="AH9:AI9" si="12">SUM(AH10:AH13)</f>
        <v>23986378.100000001</v>
      </c>
      <c r="AI9" s="158">
        <f t="shared" si="12"/>
        <v>24053206</v>
      </c>
      <c r="AJ9" s="158">
        <f t="shared" ref="AJ9:AN9" si="13">SUM(AJ10:AJ13)</f>
        <v>24053206</v>
      </c>
      <c r="AK9" s="158">
        <f t="shared" si="13"/>
        <v>0</v>
      </c>
      <c r="AL9" s="158">
        <f t="shared" si="13"/>
        <v>24617943.760000002</v>
      </c>
      <c r="AM9" s="158">
        <f t="shared" si="13"/>
        <v>24687943.760000002</v>
      </c>
      <c r="AN9" s="158">
        <f t="shared" si="13"/>
        <v>6440876.4800000004</v>
      </c>
      <c r="AO9" s="158">
        <f t="shared" ref="AO9:AP9" si="14">SUM(AO10:AO13)</f>
        <v>8218188.1699999999</v>
      </c>
      <c r="AP9" s="158">
        <f t="shared" si="14"/>
        <v>6440876.4800000004</v>
      </c>
      <c r="AQ9" s="158">
        <f t="shared" ref="AQ9:AR9" si="15">SUM(AQ10:AQ13)</f>
        <v>6440876.4800000004</v>
      </c>
      <c r="AR9" s="158">
        <f t="shared" si="15"/>
        <v>9869187.5</v>
      </c>
      <c r="AS9" s="158">
        <f>SUM(AS10:AS13)</f>
        <v>10190687.5</v>
      </c>
      <c r="AT9" s="158">
        <f t="shared" ref="AT9:CC9" si="16">SUM(AT10:AT13)</f>
        <v>0</v>
      </c>
      <c r="AU9" s="158">
        <f t="shared" si="16"/>
        <v>10598627.5</v>
      </c>
      <c r="AV9" s="158">
        <f t="shared" si="16"/>
        <v>29266602.5</v>
      </c>
      <c r="AW9" s="158">
        <f t="shared" si="16"/>
        <v>3532249</v>
      </c>
      <c r="AX9" s="158">
        <f t="shared" si="16"/>
        <v>0</v>
      </c>
      <c r="AY9" s="158">
        <f t="shared" si="16"/>
        <v>0</v>
      </c>
      <c r="AZ9" s="158">
        <f t="shared" si="16"/>
        <v>29643152.5</v>
      </c>
      <c r="BA9" s="158">
        <f t="shared" si="16"/>
        <v>60456735.100000001</v>
      </c>
      <c r="BB9" s="158">
        <f t="shared" si="16"/>
        <v>31204145.969999999</v>
      </c>
      <c r="BC9" s="158">
        <f t="shared" si="16"/>
        <v>31220084.690000001</v>
      </c>
      <c r="BD9" s="158">
        <f t="shared" si="16"/>
        <v>31823085.190000001</v>
      </c>
      <c r="BE9" s="158">
        <f t="shared" si="16"/>
        <v>32104897.489999998</v>
      </c>
      <c r="BF9" s="158">
        <f t="shared" si="16"/>
        <v>32065578</v>
      </c>
      <c r="BG9" s="158">
        <f t="shared" si="16"/>
        <v>0</v>
      </c>
      <c r="BH9" s="158">
        <f t="shared" si="16"/>
        <v>32276882</v>
      </c>
      <c r="BI9" s="158">
        <f t="shared" si="16"/>
        <v>30865916.670000002</v>
      </c>
      <c r="BJ9" s="158">
        <f t="shared" si="16"/>
        <v>579979</v>
      </c>
      <c r="BK9" s="158">
        <f t="shared" si="16"/>
        <v>31315916</v>
      </c>
      <c r="BL9" s="158">
        <f t="shared" si="16"/>
        <v>27415917.57</v>
      </c>
      <c r="BM9" s="158">
        <f t="shared" si="16"/>
        <v>27415916.670000002</v>
      </c>
      <c r="BN9" s="158">
        <f t="shared" si="16"/>
        <v>24864197</v>
      </c>
      <c r="BO9" s="158">
        <f t="shared" si="16"/>
        <v>25619416</v>
      </c>
      <c r="BP9" s="158">
        <f t="shared" si="16"/>
        <v>21619916</v>
      </c>
      <c r="BQ9" s="158">
        <f t="shared" si="16"/>
        <v>21830161</v>
      </c>
      <c r="BR9" s="158">
        <f t="shared" si="16"/>
        <v>30380161</v>
      </c>
      <c r="BS9" s="158">
        <f t="shared" si="16"/>
        <v>36434189</v>
      </c>
      <c r="BT9" s="158">
        <f t="shared" si="16"/>
        <v>37484189</v>
      </c>
      <c r="BU9" s="158">
        <f t="shared" si="16"/>
        <v>42004189</v>
      </c>
      <c r="BV9" s="158">
        <f t="shared" si="16"/>
        <v>38482280.539999999</v>
      </c>
      <c r="BW9" s="158">
        <f t="shared" si="16"/>
        <v>580249</v>
      </c>
      <c r="BX9" s="158">
        <f t="shared" si="16"/>
        <v>39109529</v>
      </c>
      <c r="BY9" s="158">
        <f t="shared" si="16"/>
        <v>44312529</v>
      </c>
      <c r="BZ9" s="158">
        <f t="shared" si="16"/>
        <v>45289798</v>
      </c>
      <c r="CA9" s="158">
        <f t="shared" si="16"/>
        <v>38712322</v>
      </c>
      <c r="CB9" s="158">
        <f t="shared" si="16"/>
        <v>35766323</v>
      </c>
      <c r="CC9" s="158">
        <f t="shared" si="16"/>
        <v>34597295</v>
      </c>
      <c r="CD9" s="158">
        <f t="shared" ref="CD9:DI9" si="17">SUM(CD10:CD13)</f>
        <v>36175664.539999999</v>
      </c>
      <c r="CE9" s="158">
        <f t="shared" si="17"/>
        <v>36280664.539999999</v>
      </c>
      <c r="CF9" s="158">
        <f t="shared" si="17"/>
        <v>32167249.539999999</v>
      </c>
      <c r="CG9" s="158">
        <f t="shared" si="17"/>
        <v>28768172.239999998</v>
      </c>
      <c r="CH9" s="158">
        <f t="shared" si="17"/>
        <v>34073171.939999998</v>
      </c>
      <c r="CI9" s="158">
        <f t="shared" si="17"/>
        <v>3834415.54</v>
      </c>
      <c r="CJ9" s="158">
        <f t="shared" si="17"/>
        <v>580249</v>
      </c>
      <c r="CK9" s="158">
        <f t="shared" si="17"/>
        <v>34259664.5</v>
      </c>
      <c r="CL9" s="158">
        <f t="shared" si="17"/>
        <v>14044415.539999999</v>
      </c>
      <c r="CM9" s="158">
        <f t="shared" si="17"/>
        <v>29769664.539999999</v>
      </c>
      <c r="CN9" s="158">
        <f t="shared" si="17"/>
        <v>33874664</v>
      </c>
      <c r="CO9" s="158">
        <f t="shared" si="17"/>
        <v>24549483.539999999</v>
      </c>
      <c r="CP9" s="158">
        <f t="shared" si="17"/>
        <v>40574415.539999999</v>
      </c>
      <c r="CQ9" s="548">
        <f t="shared" si="17"/>
        <v>38197474.219999999</v>
      </c>
      <c r="CR9" s="158">
        <f t="shared" si="17"/>
        <v>33237974.73</v>
      </c>
      <c r="CS9" s="158">
        <f t="shared" si="17"/>
        <v>39309945</v>
      </c>
      <c r="CT9" s="158">
        <f t="shared" si="17"/>
        <v>39309945</v>
      </c>
      <c r="CU9" s="158">
        <f t="shared" si="17"/>
        <v>41299453.090000004</v>
      </c>
      <c r="CV9" s="158">
        <f t="shared" si="17"/>
        <v>24478541.27</v>
      </c>
      <c r="CW9" s="158">
        <f t="shared" si="17"/>
        <v>10580249</v>
      </c>
      <c r="CX9" s="158">
        <f t="shared" si="17"/>
        <v>25203790.27</v>
      </c>
      <c r="CY9" s="158">
        <f t="shared" si="17"/>
        <v>15912705.73</v>
      </c>
      <c r="CZ9" s="158">
        <f t="shared" si="17"/>
        <v>17006722.890000001</v>
      </c>
      <c r="DA9" s="158">
        <f t="shared" si="17"/>
        <v>17137995.780000001</v>
      </c>
      <c r="DB9" s="158">
        <f t="shared" si="17"/>
        <v>24243995.240000002</v>
      </c>
      <c r="DC9" s="158">
        <f t="shared" si="17"/>
        <v>24347995.240000002</v>
      </c>
      <c r="DD9" s="158">
        <f t="shared" si="17"/>
        <v>26832745.350000001</v>
      </c>
      <c r="DE9" s="158">
        <f t="shared" si="17"/>
        <v>27557995.240000002</v>
      </c>
      <c r="DF9" s="158">
        <f t="shared" si="17"/>
        <v>27662995.240000002</v>
      </c>
      <c r="DG9" s="158">
        <f t="shared" si="17"/>
        <v>27042746.240000002</v>
      </c>
      <c r="DH9" s="158">
        <f t="shared" si="17"/>
        <v>22662995.240000002</v>
      </c>
      <c r="DI9" s="158">
        <f t="shared" si="17"/>
        <v>18021808.34</v>
      </c>
      <c r="DJ9" s="657">
        <f>SUM(DJ10:DJ13)</f>
        <v>10777171</v>
      </c>
      <c r="DK9" s="657">
        <f t="shared" ref="DK9:DW9" si="18">SUM(DK10:DK13)</f>
        <v>24408072.559999999</v>
      </c>
      <c r="DL9" s="657">
        <f t="shared" si="18"/>
        <v>24408072.559999999</v>
      </c>
      <c r="DM9" s="657">
        <f t="shared" si="18"/>
        <v>9408072.5600000005</v>
      </c>
      <c r="DN9" s="657">
        <f t="shared" si="18"/>
        <v>14408072.560000001</v>
      </c>
      <c r="DO9" s="657">
        <f t="shared" si="18"/>
        <v>14708072.560000001</v>
      </c>
      <c r="DP9" s="657">
        <f t="shared" si="18"/>
        <v>14808072.560000001</v>
      </c>
      <c r="DQ9" s="657">
        <f t="shared" si="18"/>
        <v>14908072.560000001</v>
      </c>
      <c r="DR9" s="657">
        <f t="shared" si="18"/>
        <v>15008072.560000001</v>
      </c>
      <c r="DS9" s="657">
        <f t="shared" ref="DS9:DV9" si="19">SUM(DS10:DS13)</f>
        <v>19008072.560000002</v>
      </c>
      <c r="DT9" s="657">
        <f t="shared" si="19"/>
        <v>19008072.560000002</v>
      </c>
      <c r="DU9" s="657">
        <f t="shared" si="19"/>
        <v>19403840.52</v>
      </c>
      <c r="DV9" s="657">
        <f t="shared" si="19"/>
        <v>0</v>
      </c>
      <c r="DW9" s="657">
        <f t="shared" si="18"/>
        <v>777172</v>
      </c>
    </row>
    <row r="10" spans="2:127" ht="13.2" x14ac:dyDescent="0.25">
      <c r="B10" s="93" t="s">
        <v>40</v>
      </c>
      <c r="C10" s="159"/>
      <c r="D10" s="160"/>
      <c r="E10" s="154"/>
      <c r="F10" s="161">
        <v>0</v>
      </c>
      <c r="G10" s="155">
        <v>0</v>
      </c>
      <c r="H10" s="155">
        <v>1500000</v>
      </c>
      <c r="I10" s="155">
        <v>1500000</v>
      </c>
      <c r="J10" s="155">
        <v>3000000</v>
      </c>
      <c r="K10" s="155">
        <v>1500000</v>
      </c>
      <c r="L10" s="155">
        <v>1500000</v>
      </c>
      <c r="M10" s="155">
        <v>1500000</v>
      </c>
      <c r="N10" s="155">
        <v>1500000</v>
      </c>
      <c r="O10" s="155">
        <v>1500000</v>
      </c>
      <c r="P10" s="155">
        <v>1500000</v>
      </c>
      <c r="Q10" s="155">
        <v>1500000</v>
      </c>
      <c r="R10" s="155">
        <v>1500000</v>
      </c>
      <c r="S10" s="155">
        <v>1500000</v>
      </c>
      <c r="T10" s="155">
        <v>1500000</v>
      </c>
      <c r="U10" s="155">
        <v>0</v>
      </c>
      <c r="V10" s="155"/>
      <c r="W10" s="155"/>
      <c r="X10" s="155"/>
      <c r="Y10" s="155"/>
      <c r="Z10" s="155"/>
      <c r="AA10" s="155">
        <v>0</v>
      </c>
      <c r="AB10" s="155"/>
      <c r="AC10" s="155">
        <v>0</v>
      </c>
      <c r="AD10" s="155">
        <v>1500000</v>
      </c>
      <c r="AE10" s="194">
        <v>1500000</v>
      </c>
      <c r="AF10" s="193">
        <v>1500000</v>
      </c>
      <c r="AG10" s="193">
        <v>1500000</v>
      </c>
      <c r="AH10" s="193">
        <v>1500000</v>
      </c>
      <c r="AI10" s="193">
        <v>1500000</v>
      </c>
      <c r="AJ10" s="193">
        <v>1500000</v>
      </c>
      <c r="AK10" s="193"/>
      <c r="AL10" s="193">
        <v>1500000</v>
      </c>
      <c r="AM10" s="193">
        <v>1500000</v>
      </c>
      <c r="AN10" s="193">
        <v>1500000</v>
      </c>
      <c r="AO10" s="193"/>
      <c r="AP10" s="193">
        <v>1500000</v>
      </c>
      <c r="AQ10" s="193">
        <v>1500000</v>
      </c>
      <c r="AR10" s="193">
        <v>3000000</v>
      </c>
      <c r="AS10" s="193">
        <v>3000000</v>
      </c>
      <c r="AT10" s="193"/>
      <c r="AU10" s="193">
        <v>3000000</v>
      </c>
      <c r="AV10" s="193">
        <v>3000000</v>
      </c>
      <c r="AW10" s="251">
        <v>3000000</v>
      </c>
      <c r="AX10" s="394"/>
      <c r="AY10" s="394"/>
      <c r="AZ10" s="394">
        <v>3000000</v>
      </c>
      <c r="BA10" s="242">
        <v>0</v>
      </c>
      <c r="BB10" s="242">
        <v>0</v>
      </c>
      <c r="BC10" s="242">
        <v>0</v>
      </c>
      <c r="BD10" s="242">
        <v>0</v>
      </c>
      <c r="BE10" s="52">
        <v>0</v>
      </c>
      <c r="BH10" s="52">
        <v>0</v>
      </c>
      <c r="BI10" s="480">
        <v>0</v>
      </c>
      <c r="BK10" s="480">
        <v>0</v>
      </c>
      <c r="BL10" s="480">
        <v>0</v>
      </c>
      <c r="BM10" s="480">
        <v>0</v>
      </c>
      <c r="BN10" s="480">
        <v>0</v>
      </c>
      <c r="BO10" s="480">
        <v>0</v>
      </c>
      <c r="BP10" s="480">
        <v>0</v>
      </c>
      <c r="BQ10" s="480">
        <v>0</v>
      </c>
      <c r="BR10" s="480">
        <v>0</v>
      </c>
      <c r="BS10" s="480">
        <v>0</v>
      </c>
      <c r="BT10" s="480">
        <v>0</v>
      </c>
      <c r="BU10" s="88">
        <v>0</v>
      </c>
      <c r="BV10" s="88">
        <v>0</v>
      </c>
      <c r="BW10" s="88"/>
      <c r="BX10" s="88">
        <v>0</v>
      </c>
      <c r="BY10" s="88">
        <v>0</v>
      </c>
      <c r="BZ10" s="522">
        <v>0</v>
      </c>
      <c r="CA10" s="522">
        <v>0</v>
      </c>
      <c r="CB10" s="522"/>
      <c r="CC10" s="522"/>
      <c r="CD10" s="522"/>
      <c r="CE10" s="522"/>
      <c r="CF10" s="522"/>
      <c r="CG10" s="522"/>
      <c r="CH10" s="522"/>
      <c r="CI10" s="522"/>
      <c r="CJ10" s="535"/>
      <c r="CK10" s="521"/>
      <c r="CL10" s="522"/>
      <c r="CM10" s="522"/>
      <c r="CN10" s="522"/>
      <c r="CO10" s="522"/>
      <c r="CP10" s="522"/>
      <c r="CR10" s="501"/>
      <c r="CS10" s="501"/>
      <c r="CT10" s="501"/>
      <c r="CU10" s="501"/>
      <c r="CV10" s="211"/>
      <c r="CW10" s="480"/>
      <c r="CX10" s="478">
        <v>0</v>
      </c>
      <c r="CY10" s="478">
        <v>0</v>
      </c>
      <c r="CZ10" s="478">
        <v>0</v>
      </c>
      <c r="DA10" s="478">
        <v>0</v>
      </c>
      <c r="DB10" s="478">
        <v>0</v>
      </c>
      <c r="DC10" s="478">
        <v>0</v>
      </c>
      <c r="DD10" s="478">
        <v>0</v>
      </c>
      <c r="DE10" s="522">
        <v>0</v>
      </c>
      <c r="DF10" s="522">
        <v>0</v>
      </c>
      <c r="DG10" s="522">
        <v>0</v>
      </c>
      <c r="DH10" s="522">
        <v>0</v>
      </c>
      <c r="DI10" s="522">
        <v>0</v>
      </c>
      <c r="DK10" s="478">
        <v>0</v>
      </c>
      <c r="DL10" s="478">
        <v>0</v>
      </c>
      <c r="DM10" s="478">
        <v>0</v>
      </c>
      <c r="DN10" s="478">
        <v>0</v>
      </c>
      <c r="DO10" s="478">
        <v>0</v>
      </c>
      <c r="DP10" s="478">
        <v>0</v>
      </c>
      <c r="DQ10" s="478">
        <v>0</v>
      </c>
      <c r="DR10" s="478">
        <v>0</v>
      </c>
      <c r="DS10" s="522">
        <v>0</v>
      </c>
      <c r="DT10" s="522">
        <v>0</v>
      </c>
      <c r="DU10" s="522">
        <v>0</v>
      </c>
    </row>
    <row r="11" spans="2:127" ht="14.4" x14ac:dyDescent="0.25">
      <c r="B11" s="93" t="s">
        <v>41</v>
      </c>
      <c r="C11" s="159"/>
      <c r="D11" s="160"/>
      <c r="E11" s="154"/>
      <c r="F11" s="162">
        <v>0</v>
      </c>
      <c r="G11" s="155"/>
      <c r="H11" s="155">
        <v>0</v>
      </c>
      <c r="I11" s="155"/>
      <c r="J11" s="155">
        <v>0</v>
      </c>
      <c r="K11" s="155">
        <v>0</v>
      </c>
      <c r="L11" s="155">
        <v>0</v>
      </c>
      <c r="M11" s="155">
        <v>0</v>
      </c>
      <c r="N11" s="155">
        <v>0</v>
      </c>
      <c r="O11" s="155">
        <v>0</v>
      </c>
      <c r="P11" s="155">
        <v>0</v>
      </c>
      <c r="Q11" s="155">
        <v>0</v>
      </c>
      <c r="R11" s="155">
        <v>0</v>
      </c>
      <c r="S11" s="155">
        <v>0</v>
      </c>
      <c r="T11" s="155">
        <v>0</v>
      </c>
      <c r="U11" s="155">
        <v>0</v>
      </c>
      <c r="V11" s="155"/>
      <c r="W11" s="155"/>
      <c r="X11" s="155"/>
      <c r="Y11" s="155"/>
      <c r="Z11" s="155"/>
      <c r="AA11" s="155">
        <v>0</v>
      </c>
      <c r="AB11" s="155"/>
      <c r="AC11" s="155">
        <v>0</v>
      </c>
      <c r="AD11" s="155">
        <v>0</v>
      </c>
      <c r="AE11" s="194">
        <v>0</v>
      </c>
      <c r="AF11" s="193">
        <v>0</v>
      </c>
      <c r="AG11" s="193">
        <v>0</v>
      </c>
      <c r="AH11" s="193">
        <v>0</v>
      </c>
      <c r="AI11" s="193"/>
      <c r="AJ11" s="193"/>
      <c r="AK11" s="193"/>
      <c r="AL11" s="193">
        <v>0</v>
      </c>
      <c r="AM11" s="193">
        <v>0</v>
      </c>
      <c r="AN11" s="193">
        <v>0</v>
      </c>
      <c r="AO11" s="193">
        <v>0</v>
      </c>
      <c r="AP11" s="193">
        <v>0</v>
      </c>
      <c r="AQ11" s="193">
        <v>0</v>
      </c>
      <c r="AR11" s="193">
        <v>0</v>
      </c>
      <c r="AS11" s="193">
        <v>0</v>
      </c>
      <c r="AT11" s="193"/>
      <c r="AU11" s="193">
        <v>156440</v>
      </c>
      <c r="AV11" s="193">
        <v>271415</v>
      </c>
      <c r="AW11" s="251"/>
      <c r="AX11" s="394"/>
      <c r="AY11" s="394"/>
      <c r="AZ11" s="394">
        <v>3995187.5</v>
      </c>
      <c r="BA11" s="242">
        <v>952860</v>
      </c>
      <c r="BB11" s="242">
        <v>783730</v>
      </c>
      <c r="BC11" s="242">
        <v>0</v>
      </c>
      <c r="BD11" s="242">
        <v>0</v>
      </c>
      <c r="BE11" s="52">
        <v>0</v>
      </c>
      <c r="BH11" s="52">
        <v>0</v>
      </c>
      <c r="BI11" s="480">
        <v>0</v>
      </c>
      <c r="BK11" s="480">
        <v>0</v>
      </c>
      <c r="BL11" s="480">
        <v>0</v>
      </c>
      <c r="BM11" s="480">
        <v>0</v>
      </c>
      <c r="BN11" s="480">
        <v>0</v>
      </c>
      <c r="BO11" s="480">
        <v>0</v>
      </c>
      <c r="BP11" s="480">
        <v>0</v>
      </c>
      <c r="BQ11" s="480">
        <v>0</v>
      </c>
      <c r="BR11" s="480">
        <v>0</v>
      </c>
      <c r="BS11" s="480">
        <v>0</v>
      </c>
      <c r="BT11" s="480">
        <v>0</v>
      </c>
      <c r="BU11" s="88">
        <v>0</v>
      </c>
      <c r="BV11" s="88">
        <v>0</v>
      </c>
      <c r="BW11" s="88"/>
      <c r="BX11" s="88">
        <v>0</v>
      </c>
      <c r="BY11" s="88">
        <v>0</v>
      </c>
      <c r="BZ11" s="522">
        <v>0</v>
      </c>
      <c r="CA11" s="522">
        <v>0</v>
      </c>
      <c r="CB11" s="522">
        <v>0</v>
      </c>
      <c r="CC11" s="522">
        <v>0</v>
      </c>
      <c r="CD11" s="522">
        <v>0</v>
      </c>
      <c r="CE11" s="522">
        <v>0</v>
      </c>
      <c r="CF11" s="522">
        <v>0</v>
      </c>
      <c r="CG11" s="522">
        <v>0</v>
      </c>
      <c r="CH11" s="522">
        <v>0</v>
      </c>
      <c r="CI11" s="522">
        <v>0</v>
      </c>
      <c r="CJ11" s="535"/>
      <c r="CK11" s="536"/>
      <c r="CL11" s="522">
        <v>0</v>
      </c>
      <c r="CM11" s="522">
        <v>0</v>
      </c>
      <c r="CN11" s="522">
        <v>0</v>
      </c>
      <c r="CO11" s="522">
        <v>0</v>
      </c>
      <c r="CP11" s="522">
        <v>0</v>
      </c>
      <c r="CR11" s="501">
        <v>0</v>
      </c>
      <c r="CS11" s="501">
        <v>0</v>
      </c>
      <c r="CT11" s="501">
        <v>0</v>
      </c>
      <c r="CU11" s="501">
        <v>0</v>
      </c>
      <c r="CV11" s="211"/>
      <c r="CW11" s="480"/>
      <c r="CX11" s="478">
        <v>0</v>
      </c>
      <c r="CY11" s="478">
        <v>0</v>
      </c>
      <c r="CZ11" s="478">
        <v>0</v>
      </c>
      <c r="DA11" s="478">
        <v>0</v>
      </c>
      <c r="DB11" s="478">
        <v>0</v>
      </c>
      <c r="DC11" s="478">
        <v>0</v>
      </c>
      <c r="DD11" s="478">
        <v>0</v>
      </c>
      <c r="DE11" s="522">
        <v>0</v>
      </c>
      <c r="DF11" s="522">
        <v>0</v>
      </c>
      <c r="DG11" s="522">
        <v>0</v>
      </c>
      <c r="DH11" s="522">
        <v>0</v>
      </c>
      <c r="DI11" s="522">
        <v>0</v>
      </c>
      <c r="DK11" s="478">
        <v>0</v>
      </c>
      <c r="DL11" s="478">
        <v>0</v>
      </c>
      <c r="DM11" s="478">
        <v>0</v>
      </c>
      <c r="DN11" s="478">
        <v>0</v>
      </c>
      <c r="DO11" s="478">
        <v>0</v>
      </c>
      <c r="DP11" s="478">
        <v>0</v>
      </c>
      <c r="DQ11" s="478">
        <v>0</v>
      </c>
      <c r="DR11" s="478">
        <v>0</v>
      </c>
      <c r="DS11" s="522">
        <v>0</v>
      </c>
      <c r="DT11" s="522">
        <v>0</v>
      </c>
      <c r="DU11" s="522">
        <v>0</v>
      </c>
    </row>
    <row r="12" spans="2:127" ht="26.4" x14ac:dyDescent="0.25">
      <c r="B12" s="93" t="s">
        <v>42</v>
      </c>
      <c r="C12" s="149"/>
      <c r="D12" s="149"/>
      <c r="E12" s="150"/>
      <c r="F12" s="151">
        <v>0</v>
      </c>
      <c r="G12" s="155"/>
      <c r="H12" s="155">
        <v>3370491.86</v>
      </c>
      <c r="I12" s="155"/>
      <c r="J12" s="155">
        <v>6740983.7199999997</v>
      </c>
      <c r="K12" s="155">
        <v>3620491.86</v>
      </c>
      <c r="L12" s="155">
        <v>3620491.86</v>
      </c>
      <c r="M12" s="155">
        <v>3620491.86</v>
      </c>
      <c r="N12" s="155">
        <v>3620491.86</v>
      </c>
      <c r="O12" s="155">
        <v>3620491.86</v>
      </c>
      <c r="P12" s="155">
        <v>3728278.45</v>
      </c>
      <c r="Q12" s="155">
        <v>3840476.45</v>
      </c>
      <c r="R12" s="155">
        <v>3840476.45</v>
      </c>
      <c r="S12" s="155">
        <v>3840476.45</v>
      </c>
      <c r="T12" s="155">
        <v>3840476.45</v>
      </c>
      <c r="U12" s="155">
        <v>4093866.45</v>
      </c>
      <c r="V12" s="155"/>
      <c r="W12" s="155">
        <v>4093866.45</v>
      </c>
      <c r="X12" s="155">
        <v>4093866.45</v>
      </c>
      <c r="Y12" s="155">
        <v>4093866.45</v>
      </c>
      <c r="Z12" s="155">
        <v>4218188.17</v>
      </c>
      <c r="AA12" s="155">
        <v>4218188.17</v>
      </c>
      <c r="AB12" s="155">
        <v>4218188.17</v>
      </c>
      <c r="AC12" s="155">
        <v>4218188.17</v>
      </c>
      <c r="AD12" s="155">
        <v>4218188.17</v>
      </c>
      <c r="AE12" s="194">
        <v>4218188.17</v>
      </c>
      <c r="AF12" s="193">
        <v>4218188.17</v>
      </c>
      <c r="AG12" s="193">
        <v>4538109.13</v>
      </c>
      <c r="AH12" s="193">
        <v>4750876.4800000004</v>
      </c>
      <c r="AI12" s="193">
        <f>4540018+19000+10000+100500+148186</f>
        <v>4817704</v>
      </c>
      <c r="AJ12" s="193">
        <f>148186+19000+10000+100500+4540018</f>
        <v>4817704</v>
      </c>
      <c r="AK12" s="193"/>
      <c r="AL12" s="193">
        <v>4800876.4800000004</v>
      </c>
      <c r="AM12" s="193">
        <v>4870876.4800000004</v>
      </c>
      <c r="AN12" s="193">
        <v>4940876.4800000004</v>
      </c>
      <c r="AO12" s="193">
        <v>4218188.17</v>
      </c>
      <c r="AP12" s="193">
        <v>4940876.4800000004</v>
      </c>
      <c r="AQ12" s="193">
        <v>4940876.4800000004</v>
      </c>
      <c r="AR12" s="193">
        <v>6869187.5</v>
      </c>
      <c r="AS12" s="193">
        <v>7190687.5</v>
      </c>
      <c r="AT12" s="193"/>
      <c r="AU12" s="193">
        <v>7442187.5</v>
      </c>
      <c r="AV12" s="193">
        <v>7995187.5</v>
      </c>
      <c r="AW12" s="251">
        <f>452749+19000+10000+50500</f>
        <v>532249</v>
      </c>
      <c r="AX12" s="394"/>
      <c r="AY12" s="394"/>
      <c r="AZ12" s="394">
        <v>647965</v>
      </c>
      <c r="BA12" s="242">
        <v>9499375</v>
      </c>
      <c r="BB12" s="242">
        <v>5001187.5</v>
      </c>
      <c r="BC12" s="242">
        <v>5001187</v>
      </c>
      <c r="BD12" s="242">
        <v>5504187.5</v>
      </c>
      <c r="BE12" s="52">
        <v>5755687</v>
      </c>
      <c r="BF12" s="52">
        <v>5805687</v>
      </c>
      <c r="BH12" s="52">
        <v>2016991</v>
      </c>
      <c r="BI12" s="480">
        <v>2066991</v>
      </c>
      <c r="BJ12" s="480">
        <v>579979</v>
      </c>
      <c r="BK12" s="480">
        <v>2116991</v>
      </c>
      <c r="BL12" s="480">
        <v>2216991.9</v>
      </c>
      <c r="BM12" s="480">
        <v>2216991</v>
      </c>
      <c r="BN12" s="480">
        <v>2266991</v>
      </c>
      <c r="BO12" s="480">
        <v>2316491</v>
      </c>
      <c r="BP12" s="480">
        <v>2316991</v>
      </c>
      <c r="BQ12" s="480">
        <v>2420636</v>
      </c>
      <c r="BR12" s="211">
        <v>2470636</v>
      </c>
      <c r="BS12" s="211">
        <v>2524664</v>
      </c>
      <c r="BT12" s="503">
        <v>2574664</v>
      </c>
      <c r="BU12" s="88">
        <v>3094664</v>
      </c>
      <c r="BV12" s="88">
        <v>2579415.54</v>
      </c>
      <c r="BW12" s="88">
        <v>580249</v>
      </c>
      <c r="BX12" s="88">
        <v>2684415</v>
      </c>
      <c r="BY12" s="88">
        <v>2789415</v>
      </c>
      <c r="BZ12" s="522">
        <v>3509664</v>
      </c>
      <c r="CA12" s="522">
        <v>4694661</v>
      </c>
      <c r="CB12" s="503">
        <v>3659664</v>
      </c>
      <c r="CC12" s="503">
        <v>3659664</v>
      </c>
      <c r="CD12" s="503">
        <v>3304415.54</v>
      </c>
      <c r="CE12" s="503">
        <v>3409415.54</v>
      </c>
      <c r="CF12" s="503">
        <v>3514415.54</v>
      </c>
      <c r="CG12" s="503">
        <v>3619415.54</v>
      </c>
      <c r="CH12" s="503">
        <v>3724415.54</v>
      </c>
      <c r="CI12" s="522">
        <v>3834415.54</v>
      </c>
      <c r="CJ12" s="536">
        <v>580249</v>
      </c>
      <c r="CK12" s="537">
        <v>3939415.5</v>
      </c>
      <c r="CL12" s="562">
        <v>4044415.54</v>
      </c>
      <c r="CM12" s="522">
        <v>4149415.54</v>
      </c>
      <c r="CN12" s="562">
        <v>4254415</v>
      </c>
      <c r="CO12" s="562">
        <v>4359415.54</v>
      </c>
      <c r="CP12" s="562">
        <v>36110000</v>
      </c>
      <c r="CQ12" s="562">
        <v>4579282.84</v>
      </c>
      <c r="CR12" s="562">
        <v>4702456</v>
      </c>
      <c r="CS12" s="562">
        <v>4912456</v>
      </c>
      <c r="CT12" s="562">
        <v>4912456</v>
      </c>
      <c r="CU12" s="562">
        <v>5017456.7300000004</v>
      </c>
      <c r="CV12" s="556">
        <v>5122456.7300000004</v>
      </c>
      <c r="CW12" s="88" t="s">
        <v>43</v>
      </c>
      <c r="CX12" s="478">
        <v>5227456.7300000004</v>
      </c>
      <c r="CY12" s="478">
        <v>5332456.7300000004</v>
      </c>
      <c r="CZ12" s="478">
        <v>5465456</v>
      </c>
      <c r="DA12" s="478">
        <v>5596728.8899999997</v>
      </c>
      <c r="DB12" s="478">
        <v>5702728.3499999996</v>
      </c>
      <c r="DC12" s="478">
        <v>5806728.3499999996</v>
      </c>
      <c r="DD12" s="478">
        <v>5911728.3499999996</v>
      </c>
      <c r="DE12" s="522">
        <v>6016728.3499999996</v>
      </c>
      <c r="DF12" s="522">
        <v>6121728.3499999996</v>
      </c>
      <c r="DG12" s="522">
        <v>6121728.3499999996</v>
      </c>
      <c r="DH12" s="522">
        <v>6121728.3499999996</v>
      </c>
      <c r="DI12" s="522">
        <v>7441559.3399999999</v>
      </c>
      <c r="DK12" s="478">
        <v>7578433.8200000003</v>
      </c>
      <c r="DL12" s="478">
        <v>7578433.8200000003</v>
      </c>
      <c r="DM12" s="478">
        <v>7578433.8200000003</v>
      </c>
      <c r="DN12" s="478">
        <v>7578433.8200000003</v>
      </c>
      <c r="DO12" s="478">
        <v>7878433.8200000003</v>
      </c>
      <c r="DP12" s="478">
        <v>7978433.8200000003</v>
      </c>
      <c r="DQ12" s="478">
        <v>8078433.8200000003</v>
      </c>
      <c r="DR12" s="478">
        <v>8178433.8200000003</v>
      </c>
      <c r="DS12" s="522">
        <v>8178433.8200000003</v>
      </c>
      <c r="DT12" s="522">
        <v>8178433.8200000003</v>
      </c>
      <c r="DU12" s="522">
        <v>8497858.8599999994</v>
      </c>
      <c r="DW12" s="87">
        <v>777172</v>
      </c>
    </row>
    <row r="13" spans="2:127" ht="13.8" x14ac:dyDescent="0.25">
      <c r="B13" s="93" t="s">
        <v>44</v>
      </c>
      <c r="C13" s="153">
        <v>69500</v>
      </c>
      <c r="D13" s="154">
        <v>149500</v>
      </c>
      <c r="E13" s="150">
        <v>209500</v>
      </c>
      <c r="F13" s="151">
        <v>219500</v>
      </c>
      <c r="G13" s="150">
        <v>227500</v>
      </c>
      <c r="H13" s="150">
        <v>0</v>
      </c>
      <c r="I13" s="150">
        <f>148186+19000+10000+50500+0</f>
        <v>227686</v>
      </c>
      <c r="J13" s="150">
        <v>0</v>
      </c>
      <c r="K13" s="150">
        <v>0</v>
      </c>
      <c r="L13" s="150">
        <v>0</v>
      </c>
      <c r="M13" s="150">
        <v>0</v>
      </c>
      <c r="N13" s="150">
        <v>0</v>
      </c>
      <c r="O13" s="150">
        <v>0</v>
      </c>
      <c r="P13" s="150">
        <v>0</v>
      </c>
      <c r="Q13" s="150">
        <v>0</v>
      </c>
      <c r="R13" s="150">
        <v>0</v>
      </c>
      <c r="S13" s="150">
        <v>0</v>
      </c>
      <c r="T13" s="150">
        <v>0</v>
      </c>
      <c r="U13" s="150">
        <v>2000000</v>
      </c>
      <c r="V13" s="150">
        <v>2227686</v>
      </c>
      <c r="W13" s="150">
        <v>2000000</v>
      </c>
      <c r="X13" s="150">
        <v>2000000</v>
      </c>
      <c r="Y13" s="150">
        <v>2000000</v>
      </c>
      <c r="Z13" s="150">
        <v>2000000</v>
      </c>
      <c r="AA13" s="150">
        <v>4000000</v>
      </c>
      <c r="AB13" s="150">
        <v>4000000</v>
      </c>
      <c r="AC13" s="150">
        <v>6000000</v>
      </c>
      <c r="AD13" s="150">
        <v>15000000</v>
      </c>
      <c r="AE13" s="194">
        <v>15000000</v>
      </c>
      <c r="AF13" s="193">
        <v>20000000</v>
      </c>
      <c r="AG13" s="193">
        <v>20000000</v>
      </c>
      <c r="AH13" s="193">
        <v>17735501.620000001</v>
      </c>
      <c r="AI13" s="193">
        <v>17735502</v>
      </c>
      <c r="AJ13" s="193">
        <v>17735502</v>
      </c>
      <c r="AK13" s="193"/>
      <c r="AL13" s="193">
        <v>18317067.280000001</v>
      </c>
      <c r="AM13" s="193">
        <v>18317067.280000001</v>
      </c>
      <c r="AN13" s="193">
        <v>0</v>
      </c>
      <c r="AO13" s="193">
        <v>4000000</v>
      </c>
      <c r="AP13" s="193">
        <v>0</v>
      </c>
      <c r="AQ13" s="193"/>
      <c r="AR13" s="193"/>
      <c r="AS13" s="193"/>
      <c r="AT13" s="193"/>
      <c r="AU13" s="193"/>
      <c r="AV13" s="193">
        <v>18000000</v>
      </c>
      <c r="AW13" s="251"/>
      <c r="AX13" s="394"/>
      <c r="AY13" s="394"/>
      <c r="AZ13" s="394">
        <v>22000000</v>
      </c>
      <c r="BA13" s="242">
        <v>50004500.100000001</v>
      </c>
      <c r="BB13" s="242">
        <v>25419228.469999999</v>
      </c>
      <c r="BC13" s="242">
        <v>26218897.690000001</v>
      </c>
      <c r="BD13" s="242">
        <v>26318897.690000001</v>
      </c>
      <c r="BE13" s="52">
        <v>26349210.489999998</v>
      </c>
      <c r="BF13" s="52">
        <v>26259891</v>
      </c>
      <c r="BH13" s="52">
        <v>30259891</v>
      </c>
      <c r="BI13" s="480">
        <v>28798925.670000002</v>
      </c>
      <c r="BK13" s="480">
        <v>29198925</v>
      </c>
      <c r="BL13" s="480">
        <v>25198925.670000002</v>
      </c>
      <c r="BM13" s="480">
        <v>25198925.670000002</v>
      </c>
      <c r="BN13" s="480">
        <v>22597206</v>
      </c>
      <c r="BO13" s="480">
        <v>23302925</v>
      </c>
      <c r="BP13" s="480">
        <v>19302925</v>
      </c>
      <c r="BQ13" s="480">
        <v>19409525</v>
      </c>
      <c r="BR13" s="211">
        <v>27909525</v>
      </c>
      <c r="BS13" s="211">
        <v>33909525</v>
      </c>
      <c r="BT13" s="503">
        <v>34909525</v>
      </c>
      <c r="BU13" s="88">
        <v>38909525</v>
      </c>
      <c r="BV13" s="88">
        <v>35902865</v>
      </c>
      <c r="BW13" s="88"/>
      <c r="BX13" s="88">
        <v>36425114</v>
      </c>
      <c r="BY13" s="88">
        <v>41523114</v>
      </c>
      <c r="BZ13" s="522">
        <v>41780134</v>
      </c>
      <c r="CA13" s="522">
        <v>34017661</v>
      </c>
      <c r="CB13" s="503">
        <v>32106659</v>
      </c>
      <c r="CC13" s="503">
        <v>30937631</v>
      </c>
      <c r="CD13" s="503">
        <v>32871249</v>
      </c>
      <c r="CE13" s="503">
        <v>32871249</v>
      </c>
      <c r="CF13" s="503">
        <v>28652834</v>
      </c>
      <c r="CG13" s="503">
        <v>25148756.699999999</v>
      </c>
      <c r="CH13" s="503">
        <v>30348756.399999999</v>
      </c>
      <c r="CI13" s="522"/>
      <c r="CJ13" s="535"/>
      <c r="CK13" s="537">
        <v>30320249</v>
      </c>
      <c r="CL13" s="562">
        <v>10000000</v>
      </c>
      <c r="CM13" s="88">
        <v>25620249</v>
      </c>
      <c r="CN13" s="562">
        <v>29620249</v>
      </c>
      <c r="CO13" s="562">
        <v>20190068</v>
      </c>
      <c r="CP13" s="522">
        <v>4464415.54</v>
      </c>
      <c r="CQ13" s="562">
        <v>33618191.380000003</v>
      </c>
      <c r="CR13" s="562">
        <v>28535518.73</v>
      </c>
      <c r="CS13" s="562">
        <v>34397489</v>
      </c>
      <c r="CT13" s="562">
        <v>34397489</v>
      </c>
      <c r="CU13" s="562">
        <v>36281996.359999999</v>
      </c>
      <c r="CV13" s="556">
        <v>19356084.539999999</v>
      </c>
      <c r="CW13" s="480">
        <v>10580249</v>
      </c>
      <c r="CX13" s="478">
        <v>19976333.539999999</v>
      </c>
      <c r="CY13" s="478">
        <v>10580249</v>
      </c>
      <c r="CZ13" s="478">
        <v>11541266.890000001</v>
      </c>
      <c r="DA13" s="478">
        <v>11541266.890000001</v>
      </c>
      <c r="DB13" s="478">
        <v>18541266.890000001</v>
      </c>
      <c r="DC13" s="478">
        <v>18541266.890000001</v>
      </c>
      <c r="DD13" s="478">
        <v>20921017</v>
      </c>
      <c r="DE13" s="522">
        <v>21541266.890000001</v>
      </c>
      <c r="DF13" s="522">
        <v>21541266.890000001</v>
      </c>
      <c r="DG13" s="522">
        <v>20921017.890000001</v>
      </c>
      <c r="DH13" s="522">
        <v>16541266.890000001</v>
      </c>
      <c r="DI13" s="522">
        <v>10580249</v>
      </c>
      <c r="DJ13" s="653">
        <v>10777171</v>
      </c>
      <c r="DK13" s="478">
        <v>16829638.739999998</v>
      </c>
      <c r="DL13" s="478">
        <v>16829638.739999998</v>
      </c>
      <c r="DM13" s="478">
        <v>1829638.74</v>
      </c>
      <c r="DN13" s="478">
        <v>6829638.7400000002</v>
      </c>
      <c r="DO13" s="478">
        <v>6829638.7400000002</v>
      </c>
      <c r="DP13" s="478">
        <v>6829638.7400000002</v>
      </c>
      <c r="DQ13" s="478">
        <v>6829638.7400000002</v>
      </c>
      <c r="DR13" s="478">
        <v>6829638.7400000002</v>
      </c>
      <c r="DS13" s="522">
        <v>10829638.74</v>
      </c>
      <c r="DT13" s="522">
        <v>10829638.74</v>
      </c>
      <c r="DU13" s="522">
        <v>10905981.66</v>
      </c>
    </row>
    <row r="14" spans="2:127" ht="13.2" x14ac:dyDescent="0.25">
      <c r="B14" s="90" t="s">
        <v>45</v>
      </c>
      <c r="C14" s="147">
        <f>C15-C16</f>
        <v>2617776</v>
      </c>
      <c r="D14" s="147">
        <f>D15-D16</f>
        <v>6440080</v>
      </c>
      <c r="E14" s="147">
        <f t="shared" ref="E14:V14" si="20">E15-E16</f>
        <v>16654373</v>
      </c>
      <c r="F14" s="147">
        <f t="shared" si="20"/>
        <v>26721318</v>
      </c>
      <c r="G14" s="147">
        <f t="shared" si="20"/>
        <v>34118230</v>
      </c>
      <c r="H14" s="147">
        <f t="shared" si="20"/>
        <v>48217665.82</v>
      </c>
      <c r="I14" s="147">
        <f t="shared" si="20"/>
        <v>48346848</v>
      </c>
      <c r="J14" s="147">
        <f t="shared" si="20"/>
        <v>98776710.640000001</v>
      </c>
      <c r="K14" s="147">
        <f t="shared" si="20"/>
        <v>51577328.420000002</v>
      </c>
      <c r="L14" s="147">
        <f t="shared" si="20"/>
        <v>52819121.82</v>
      </c>
      <c r="M14" s="147">
        <f t="shared" si="20"/>
        <v>55743242.869999997</v>
      </c>
      <c r="N14" s="147">
        <f t="shared" si="20"/>
        <v>56055126.170000002</v>
      </c>
      <c r="O14" s="147">
        <f t="shared" si="20"/>
        <v>57484975.670000002</v>
      </c>
      <c r="P14" s="147">
        <f t="shared" si="20"/>
        <v>59249430.210000001</v>
      </c>
      <c r="Q14" s="147">
        <f t="shared" si="20"/>
        <v>61642644.75</v>
      </c>
      <c r="R14" s="147">
        <f t="shared" si="20"/>
        <v>65883220.75</v>
      </c>
      <c r="S14" s="147">
        <f t="shared" si="20"/>
        <v>69919533.200000003</v>
      </c>
      <c r="T14" s="147">
        <f t="shared" si="20"/>
        <v>70498976.420000002</v>
      </c>
      <c r="U14" s="147">
        <f t="shared" si="20"/>
        <v>71533981.469999999</v>
      </c>
      <c r="V14" s="147">
        <f t="shared" si="20"/>
        <v>70141759</v>
      </c>
      <c r="W14" s="147">
        <f t="shared" ref="W14:AD14" si="21">W15-W16</f>
        <v>68823638.420000002</v>
      </c>
      <c r="X14" s="147">
        <f t="shared" si="21"/>
        <v>69677931.450000003</v>
      </c>
      <c r="Y14" s="147">
        <f t="shared" si="21"/>
        <v>67962672.459999993</v>
      </c>
      <c r="Z14" s="147">
        <f t="shared" si="21"/>
        <v>69132582.980000004</v>
      </c>
      <c r="AA14" s="147">
        <f t="shared" si="21"/>
        <v>68701460.780000001</v>
      </c>
      <c r="AB14" s="147">
        <f t="shared" si="21"/>
        <v>71917436.180000007</v>
      </c>
      <c r="AC14" s="147">
        <f t="shared" si="21"/>
        <v>73060452.680000007</v>
      </c>
      <c r="AD14" s="147">
        <f t="shared" si="21"/>
        <v>74933983.200000003</v>
      </c>
      <c r="AE14" s="147">
        <f t="shared" ref="AE14" si="22">AE15-AE16</f>
        <v>77895247.430000007</v>
      </c>
      <c r="AF14" s="147">
        <f>AF15-AF16</f>
        <v>76095690.769999996</v>
      </c>
      <c r="AG14" s="147">
        <f>AG15-AG16</f>
        <v>80558722.459999993</v>
      </c>
      <c r="AH14" s="147">
        <f>AH15-AH16</f>
        <v>82766104.370000005</v>
      </c>
      <c r="AI14" s="147">
        <f>AI15-AI16</f>
        <v>89721216</v>
      </c>
      <c r="AJ14" s="147">
        <f>AJ15-AJ16</f>
        <v>87975748</v>
      </c>
      <c r="AK14" s="147">
        <f t="shared" ref="AK14:AN14" si="23">AK15-AK16</f>
        <v>0</v>
      </c>
      <c r="AL14" s="147">
        <f t="shared" si="23"/>
        <v>86704253.819999993</v>
      </c>
      <c r="AM14" s="147">
        <f t="shared" si="23"/>
        <v>86691772.819999993</v>
      </c>
      <c r="AN14" s="147">
        <f t="shared" si="23"/>
        <v>86691822.819999993</v>
      </c>
      <c r="AO14" s="147">
        <f t="shared" ref="AO14:AP14" si="24">AO15-AO16</f>
        <v>73501460.780000001</v>
      </c>
      <c r="AP14" s="147">
        <f t="shared" si="24"/>
        <v>86713098.819999993</v>
      </c>
      <c r="AQ14" s="147">
        <f t="shared" ref="AQ14:CC14" si="25">AQ15-AQ16</f>
        <v>96446724.239999995</v>
      </c>
      <c r="AR14" s="147">
        <f t="shared" si="25"/>
        <v>98637687.159999996</v>
      </c>
      <c r="AS14" s="147">
        <f t="shared" si="25"/>
        <v>103523370.56</v>
      </c>
      <c r="AT14" s="147">
        <f t="shared" si="25"/>
        <v>0</v>
      </c>
      <c r="AU14" s="147">
        <f t="shared" si="25"/>
        <v>106249977.45999999</v>
      </c>
      <c r="AV14" s="147">
        <f t="shared" si="25"/>
        <v>108678477.81999999</v>
      </c>
      <c r="AW14" s="147">
        <f t="shared" si="25"/>
        <v>104310394</v>
      </c>
      <c r="AX14" s="147">
        <f t="shared" si="25"/>
        <v>0</v>
      </c>
      <c r="AY14" s="147">
        <f t="shared" si="25"/>
        <v>0</v>
      </c>
      <c r="AZ14" s="147">
        <f t="shared" si="25"/>
        <v>104745556.51000001</v>
      </c>
      <c r="BA14" s="147">
        <f t="shared" si="25"/>
        <v>230795323.53999999</v>
      </c>
      <c r="BB14" s="147">
        <f t="shared" si="25"/>
        <v>107611432.95999999</v>
      </c>
      <c r="BC14" s="147">
        <f t="shared" si="25"/>
        <v>108174834.64999999</v>
      </c>
      <c r="BD14" s="147">
        <f t="shared" si="25"/>
        <v>113125122.52</v>
      </c>
      <c r="BE14" s="147">
        <f t="shared" si="25"/>
        <v>113498795.33</v>
      </c>
      <c r="BF14" s="147">
        <f t="shared" si="25"/>
        <v>114600686</v>
      </c>
      <c r="BG14" s="147">
        <f t="shared" si="25"/>
        <v>0</v>
      </c>
      <c r="BH14" s="147">
        <f t="shared" si="25"/>
        <v>115144867.97999999</v>
      </c>
      <c r="BI14" s="147">
        <f t="shared" si="25"/>
        <v>115348724.07000001</v>
      </c>
      <c r="BJ14" s="147">
        <f t="shared" si="25"/>
        <v>112450375</v>
      </c>
      <c r="BK14" s="147">
        <f t="shared" si="25"/>
        <v>122960053.83</v>
      </c>
      <c r="BL14" s="147">
        <f t="shared" si="25"/>
        <v>123779502.01000001</v>
      </c>
      <c r="BM14" s="147">
        <f t="shared" si="25"/>
        <v>125735494.95999999</v>
      </c>
      <c r="BN14" s="147">
        <f t="shared" si="25"/>
        <v>126794589</v>
      </c>
      <c r="BO14" s="147">
        <f t="shared" si="25"/>
        <v>125264734</v>
      </c>
      <c r="BP14" s="147">
        <f t="shared" si="25"/>
        <v>129424977</v>
      </c>
      <c r="BQ14" s="147">
        <f t="shared" si="25"/>
        <v>128830613</v>
      </c>
      <c r="BR14" s="147">
        <f t="shared" si="25"/>
        <v>126634735</v>
      </c>
      <c r="BS14" s="147">
        <f t="shared" si="25"/>
        <v>128560147</v>
      </c>
      <c r="BT14" s="147">
        <f t="shared" si="25"/>
        <v>126212741</v>
      </c>
      <c r="BU14" s="147">
        <f t="shared" si="25"/>
        <v>130184431</v>
      </c>
      <c r="BV14" s="147">
        <f t="shared" si="25"/>
        <v>129903748.83000001</v>
      </c>
      <c r="BW14" s="147">
        <f t="shared" si="25"/>
        <v>139494057.83000001</v>
      </c>
      <c r="BX14" s="147">
        <f t="shared" si="25"/>
        <v>134588460</v>
      </c>
      <c r="BY14" s="147">
        <f t="shared" si="25"/>
        <v>135433139</v>
      </c>
      <c r="BZ14" s="147">
        <f t="shared" si="25"/>
        <v>134174916</v>
      </c>
      <c r="CA14" s="147">
        <f t="shared" si="25"/>
        <v>136578767</v>
      </c>
      <c r="CB14" s="147">
        <f t="shared" si="25"/>
        <v>149176816</v>
      </c>
      <c r="CC14" s="147">
        <f t="shared" si="25"/>
        <v>154318513.63999999</v>
      </c>
      <c r="CD14" s="147">
        <f t="shared" ref="CD14:DW14" si="26">CD15-CD16</f>
        <v>157299998.43000001</v>
      </c>
      <c r="CE14" s="147">
        <f t="shared" si="26"/>
        <v>165476967</v>
      </c>
      <c r="CF14" s="147">
        <f t="shared" si="26"/>
        <v>172428627.25</v>
      </c>
      <c r="CG14" s="147">
        <f t="shared" si="26"/>
        <v>178648239.74000001</v>
      </c>
      <c r="CH14" s="147">
        <f t="shared" si="26"/>
        <v>185970966.53</v>
      </c>
      <c r="CI14" s="147">
        <f t="shared" si="26"/>
        <v>183825784.59999999</v>
      </c>
      <c r="CJ14" s="147">
        <f t="shared" si="26"/>
        <v>183825784.59999999</v>
      </c>
      <c r="CK14" s="147">
        <f t="shared" si="26"/>
        <v>193554184</v>
      </c>
      <c r="CL14" s="147">
        <f t="shared" si="26"/>
        <v>189908730.84</v>
      </c>
      <c r="CM14" s="147">
        <f t="shared" si="26"/>
        <v>190191132.25999999</v>
      </c>
      <c r="CN14" s="147">
        <f t="shared" si="26"/>
        <v>189986635</v>
      </c>
      <c r="CO14" s="147">
        <f t="shared" si="26"/>
        <v>187331708.91999999</v>
      </c>
      <c r="CP14" s="147">
        <f t="shared" si="26"/>
        <v>196931398</v>
      </c>
      <c r="CQ14" s="549">
        <f t="shared" si="26"/>
        <v>201459742.5</v>
      </c>
      <c r="CR14" s="147">
        <f t="shared" si="26"/>
        <v>204231479.69999999</v>
      </c>
      <c r="CS14" s="147">
        <f t="shared" si="26"/>
        <v>209933863</v>
      </c>
      <c r="CT14" s="147">
        <f t="shared" si="26"/>
        <v>209933863</v>
      </c>
      <c r="CU14" s="147">
        <f t="shared" si="26"/>
        <v>220573991.06</v>
      </c>
      <c r="CV14" s="147">
        <f t="shared" si="26"/>
        <v>232258344</v>
      </c>
      <c r="CW14" s="147">
        <f t="shared" si="26"/>
        <v>232294714.68000001</v>
      </c>
      <c r="CX14" s="147">
        <f t="shared" si="26"/>
        <v>237621609.84</v>
      </c>
      <c r="CY14" s="147">
        <f t="shared" si="26"/>
        <v>244046302.5</v>
      </c>
      <c r="CZ14" s="147">
        <f t="shared" si="26"/>
        <v>246254319.5</v>
      </c>
      <c r="DA14" s="147">
        <f t="shared" si="26"/>
        <v>242133062.28999999</v>
      </c>
      <c r="DB14" s="147">
        <f t="shared" si="26"/>
        <v>253834905.87</v>
      </c>
      <c r="DC14" s="147">
        <f t="shared" si="26"/>
        <v>262937482.56</v>
      </c>
      <c r="DD14" s="147">
        <f t="shared" si="26"/>
        <v>275154522.57999998</v>
      </c>
      <c r="DE14" s="147">
        <f t="shared" si="26"/>
        <v>280485986.20999998</v>
      </c>
      <c r="DF14" s="147">
        <f t="shared" si="26"/>
        <v>282798933.98000002</v>
      </c>
      <c r="DG14" s="147">
        <f t="shared" si="26"/>
        <v>284417765.79000002</v>
      </c>
      <c r="DH14" s="147">
        <f t="shared" si="26"/>
        <v>295996303.63</v>
      </c>
      <c r="DI14" s="147">
        <f t="shared" si="26"/>
        <v>291082127.11000001</v>
      </c>
      <c r="DJ14" s="538">
        <f t="shared" si="26"/>
        <v>291082127</v>
      </c>
      <c r="DK14" s="538">
        <f t="shared" si="26"/>
        <v>297898672.85000002</v>
      </c>
      <c r="DL14" s="538">
        <f t="shared" si="26"/>
        <v>300727505.51999998</v>
      </c>
      <c r="DM14" s="538">
        <f t="shared" si="26"/>
        <v>300596112.38</v>
      </c>
      <c r="DN14" s="538">
        <f t="shared" si="26"/>
        <v>311333089.51999998</v>
      </c>
      <c r="DO14" s="538">
        <f t="shared" si="26"/>
        <v>314732075.12</v>
      </c>
      <c r="DP14" s="538">
        <f t="shared" si="26"/>
        <v>315594297.91000003</v>
      </c>
      <c r="DQ14" s="538">
        <f t="shared" si="26"/>
        <v>317656658</v>
      </c>
      <c r="DR14" s="538">
        <f t="shared" si="26"/>
        <v>321951569.45999998</v>
      </c>
      <c r="DS14" s="538">
        <f t="shared" si="26"/>
        <v>332255189.99000001</v>
      </c>
      <c r="DT14" s="538">
        <f t="shared" si="26"/>
        <v>335854754.08999997</v>
      </c>
      <c r="DU14" s="538">
        <f t="shared" si="26"/>
        <v>337160431.49000001</v>
      </c>
      <c r="DV14" s="538">
        <f t="shared" si="26"/>
        <v>0</v>
      </c>
      <c r="DW14" s="538">
        <f t="shared" si="26"/>
        <v>340435332</v>
      </c>
    </row>
    <row r="15" spans="2:127" ht="14.4" x14ac:dyDescent="0.25">
      <c r="B15" s="93" t="s">
        <v>46</v>
      </c>
      <c r="C15" s="149">
        <v>2617776</v>
      </c>
      <c r="D15" s="149">
        <v>6440080</v>
      </c>
      <c r="E15" s="150">
        <v>16654373</v>
      </c>
      <c r="F15" s="151">
        <v>26990740</v>
      </c>
      <c r="G15" s="150">
        <v>34462859</v>
      </c>
      <c r="H15" s="150">
        <v>48487087.82</v>
      </c>
      <c r="I15" s="150">
        <f>34462859+14368860</f>
        <v>48831719</v>
      </c>
      <c r="J15" s="150">
        <v>99315554.640000001</v>
      </c>
      <c r="K15" s="150">
        <v>51846750.420000002</v>
      </c>
      <c r="L15" s="150">
        <v>53088543.82</v>
      </c>
      <c r="M15" s="150">
        <v>56012664.869999997</v>
      </c>
      <c r="N15" s="150">
        <v>56324548.170000002</v>
      </c>
      <c r="O15" s="150">
        <v>57754397.670000002</v>
      </c>
      <c r="P15" s="150">
        <v>59518852.210000001</v>
      </c>
      <c r="Q15" s="150">
        <v>61912066.75</v>
      </c>
      <c r="R15" s="150">
        <v>66152642.75</v>
      </c>
      <c r="S15" s="150">
        <v>70188955.200000003</v>
      </c>
      <c r="T15" s="150">
        <v>70768398.420000002</v>
      </c>
      <c r="U15" s="150">
        <v>71533981.469999999</v>
      </c>
      <c r="V15" s="150">
        <v>72135405</v>
      </c>
      <c r="W15" s="150">
        <v>71223638.420000002</v>
      </c>
      <c r="X15" s="150">
        <v>72077931.450000003</v>
      </c>
      <c r="Y15" s="150">
        <v>70362672.459999993</v>
      </c>
      <c r="Z15" s="150">
        <v>71532582.980000004</v>
      </c>
      <c r="AA15" s="150">
        <v>71101460.780000001</v>
      </c>
      <c r="AB15" s="150">
        <v>74317436.180000007</v>
      </c>
      <c r="AC15" s="150">
        <v>75460452.680000007</v>
      </c>
      <c r="AD15" s="150">
        <v>77333983.200000003</v>
      </c>
      <c r="AE15" s="193">
        <v>80295247.430000007</v>
      </c>
      <c r="AF15" s="193">
        <v>78495690.769999996</v>
      </c>
      <c r="AG15" s="193">
        <v>82958722.459999993</v>
      </c>
      <c r="AH15" s="193">
        <v>85166104.370000005</v>
      </c>
      <c r="AI15" s="193">
        <v>89845305</v>
      </c>
      <c r="AJ15" s="193">
        <v>89845305</v>
      </c>
      <c r="AK15" s="193"/>
      <c r="AL15" s="193">
        <v>89104253.819999993</v>
      </c>
      <c r="AM15" s="193">
        <v>89091772.819999993</v>
      </c>
      <c r="AN15" s="193">
        <v>89091822.819999993</v>
      </c>
      <c r="AO15" s="193">
        <v>71101460.780000001</v>
      </c>
      <c r="AP15" s="193">
        <v>89113098.819999993</v>
      </c>
      <c r="AQ15" s="193">
        <v>98846724.239999995</v>
      </c>
      <c r="AR15" s="193">
        <v>101037687.16</v>
      </c>
      <c r="AS15" s="193">
        <v>105923370.56</v>
      </c>
      <c r="AT15" s="193"/>
      <c r="AU15" s="193">
        <v>108649977.45999999</v>
      </c>
      <c r="AV15" s="193">
        <v>111971045.81999999</v>
      </c>
      <c r="AW15" s="251">
        <v>110900703</v>
      </c>
      <c r="AX15" s="394"/>
      <c r="AY15" s="394"/>
      <c r="AZ15" s="394">
        <v>108038124.51000001</v>
      </c>
      <c r="BA15" s="242">
        <v>237380459.53999999</v>
      </c>
      <c r="BB15" s="242">
        <v>110904000.95999999</v>
      </c>
      <c r="BC15" s="242">
        <v>114774204.59999999</v>
      </c>
      <c r="BD15" s="242">
        <v>119999479.36</v>
      </c>
      <c r="BE15" s="52">
        <v>120885999.48</v>
      </c>
      <c r="BF15" s="52">
        <v>120778872</v>
      </c>
      <c r="BH15" s="52">
        <v>120916172.13</v>
      </c>
      <c r="BI15" s="480">
        <v>121186985.01000001</v>
      </c>
      <c r="BJ15" s="480">
        <v>121040684</v>
      </c>
      <c r="BK15" s="480">
        <v>122960053.83</v>
      </c>
      <c r="BL15" s="480">
        <v>129701372</v>
      </c>
      <c r="BM15" s="480">
        <v>132991630.95999999</v>
      </c>
      <c r="BN15" s="480">
        <v>133743755</v>
      </c>
      <c r="BO15" s="480">
        <v>132448001</v>
      </c>
      <c r="BP15" s="480">
        <v>136981850</v>
      </c>
      <c r="BQ15" s="480">
        <v>137779559</v>
      </c>
      <c r="BR15" s="211">
        <v>135254054</v>
      </c>
      <c r="BS15" s="211">
        <v>136462545</v>
      </c>
      <c r="BT15" s="504">
        <v>134162150</v>
      </c>
      <c r="BU15" s="88">
        <v>138637075</v>
      </c>
      <c r="BV15" s="88">
        <v>139494057.83000001</v>
      </c>
      <c r="BW15" s="88">
        <v>139494057.83000001</v>
      </c>
      <c r="BX15" s="88">
        <v>144178769</v>
      </c>
      <c r="BY15" s="88">
        <v>145023448</v>
      </c>
      <c r="BZ15" s="522">
        <v>143765225</v>
      </c>
      <c r="CA15" s="522">
        <v>146169076</v>
      </c>
      <c r="CB15" s="504">
        <v>158767125</v>
      </c>
      <c r="CC15" s="504">
        <v>163908822.63999999</v>
      </c>
      <c r="CD15" s="504">
        <v>166876684.43000001</v>
      </c>
      <c r="CE15" s="504">
        <v>175053653</v>
      </c>
      <c r="CF15" s="504">
        <v>182005313.25</v>
      </c>
      <c r="CG15" s="504">
        <v>188224925.74000001</v>
      </c>
      <c r="CH15" s="504">
        <v>195547652.53</v>
      </c>
      <c r="CI15" s="522">
        <v>194416093.59999999</v>
      </c>
      <c r="CJ15" s="536">
        <v>194416093.59999999</v>
      </c>
      <c r="CK15" s="539">
        <f>CK16+193554184</f>
        <v>204144493</v>
      </c>
      <c r="CL15" s="545">
        <v>200499039.84</v>
      </c>
      <c r="CM15" s="522">
        <v>200781441.25999999</v>
      </c>
      <c r="CN15" s="545">
        <v>200576944</v>
      </c>
      <c r="CO15" s="545">
        <v>197922017.91999999</v>
      </c>
      <c r="CP15" s="545">
        <v>207508084</v>
      </c>
      <c r="CQ15" s="545">
        <v>212036428.5</v>
      </c>
      <c r="CR15" s="545">
        <v>214807349.69999999</v>
      </c>
      <c r="CS15" s="545">
        <v>220509733</v>
      </c>
      <c r="CT15" s="545">
        <v>220509733</v>
      </c>
      <c r="CU15" s="545">
        <v>231149861.06</v>
      </c>
      <c r="CV15" s="557">
        <v>244834214</v>
      </c>
      <c r="CW15" s="480">
        <v>244870584.68000001</v>
      </c>
      <c r="CX15" s="478">
        <v>250197479.84</v>
      </c>
      <c r="CY15" s="478">
        <v>256622172.5</v>
      </c>
      <c r="CZ15" s="478">
        <v>258830189.5</v>
      </c>
      <c r="DA15" s="478">
        <v>254708932.28999999</v>
      </c>
      <c r="DB15" s="478">
        <v>266410775.87</v>
      </c>
      <c r="DC15" s="478">
        <v>275513352.56</v>
      </c>
      <c r="DD15" s="478">
        <v>287230392.88999999</v>
      </c>
      <c r="DE15" s="522">
        <v>292561856.51999998</v>
      </c>
      <c r="DF15" s="522">
        <v>294874804.29000002</v>
      </c>
      <c r="DG15" s="522">
        <v>296493636.10000002</v>
      </c>
      <c r="DH15" s="522">
        <v>308072173.94</v>
      </c>
      <c r="DI15" s="522">
        <v>305657997.11000001</v>
      </c>
      <c r="DJ15" s="88">
        <v>305657997</v>
      </c>
      <c r="DK15" s="478">
        <v>309974543.16000003</v>
      </c>
      <c r="DL15" s="478">
        <v>314803375.82999998</v>
      </c>
      <c r="DM15" s="478">
        <v>314671982.69</v>
      </c>
      <c r="DN15" s="478">
        <v>325408959.82999998</v>
      </c>
      <c r="DO15" s="478">
        <v>328807945.43000001</v>
      </c>
      <c r="DP15" s="478">
        <v>329670168.22000003</v>
      </c>
      <c r="DQ15" s="478">
        <v>331732528.31</v>
      </c>
      <c r="DR15" s="478">
        <v>336527439.76999998</v>
      </c>
      <c r="DS15" s="522">
        <v>346831060.30000001</v>
      </c>
      <c r="DT15" s="522">
        <v>350430624.39999998</v>
      </c>
      <c r="DU15" s="522">
        <v>351736301.80000001</v>
      </c>
      <c r="DW15" s="87">
        <v>358511202</v>
      </c>
    </row>
    <row r="16" spans="2:127" ht="14.4" x14ac:dyDescent="0.25">
      <c r="B16" s="93" t="s">
        <v>47</v>
      </c>
      <c r="C16" s="149"/>
      <c r="D16" s="149"/>
      <c r="E16" s="150"/>
      <c r="F16" s="151">
        <v>269422</v>
      </c>
      <c r="G16" s="150">
        <v>344629</v>
      </c>
      <c r="H16" s="150">
        <v>269422</v>
      </c>
      <c r="I16" s="150">
        <v>484871</v>
      </c>
      <c r="J16" s="150">
        <v>538844</v>
      </c>
      <c r="K16" s="150">
        <v>269422</v>
      </c>
      <c r="L16" s="150">
        <v>269422</v>
      </c>
      <c r="M16" s="150">
        <v>269422</v>
      </c>
      <c r="N16" s="150">
        <v>269422</v>
      </c>
      <c r="O16" s="150">
        <v>269422</v>
      </c>
      <c r="P16" s="150">
        <v>269422</v>
      </c>
      <c r="Q16" s="150">
        <v>269422</v>
      </c>
      <c r="R16" s="150">
        <v>269422</v>
      </c>
      <c r="S16" s="150">
        <v>269422</v>
      </c>
      <c r="T16" s="150">
        <v>269422</v>
      </c>
      <c r="U16" s="150">
        <v>0</v>
      </c>
      <c r="V16" s="150">
        <v>1993646</v>
      </c>
      <c r="W16" s="151">
        <v>2400000</v>
      </c>
      <c r="X16" s="151">
        <v>2400000</v>
      </c>
      <c r="Y16" s="151">
        <v>2400000</v>
      </c>
      <c r="Z16" s="151">
        <v>2400000</v>
      </c>
      <c r="AA16" s="151">
        <v>2400000</v>
      </c>
      <c r="AB16" s="151">
        <v>2400000</v>
      </c>
      <c r="AC16" s="150">
        <v>2400000</v>
      </c>
      <c r="AD16" s="150">
        <v>2400000</v>
      </c>
      <c r="AE16" s="193">
        <v>2400000</v>
      </c>
      <c r="AF16" s="193">
        <v>2400000</v>
      </c>
      <c r="AG16" s="193">
        <v>2400000</v>
      </c>
      <c r="AH16" s="193">
        <v>2400000</v>
      </c>
      <c r="AI16" s="200">
        <v>124089</v>
      </c>
      <c r="AJ16" s="193">
        <v>1869557</v>
      </c>
      <c r="AK16" s="193"/>
      <c r="AL16" s="193">
        <v>2400000</v>
      </c>
      <c r="AM16" s="193">
        <v>2400000</v>
      </c>
      <c r="AN16" s="193">
        <v>2400000</v>
      </c>
      <c r="AO16" s="193">
        <v>-2400000</v>
      </c>
      <c r="AP16" s="193">
        <v>2400000</v>
      </c>
      <c r="AQ16" s="193">
        <v>2400000</v>
      </c>
      <c r="AR16" s="193">
        <v>2400000</v>
      </c>
      <c r="AS16" s="193">
        <v>2400000</v>
      </c>
      <c r="AT16" s="193"/>
      <c r="AU16" s="193">
        <v>2400000</v>
      </c>
      <c r="AV16" s="193">
        <v>3292568</v>
      </c>
      <c r="AW16" s="251">
        <v>6590309</v>
      </c>
      <c r="AX16" s="394"/>
      <c r="AY16" s="394"/>
      <c r="AZ16" s="394">
        <v>3292568</v>
      </c>
      <c r="BA16" s="242">
        <v>6585136</v>
      </c>
      <c r="BB16" s="242">
        <v>3292568</v>
      </c>
      <c r="BC16" s="242">
        <v>6599369.9500000002</v>
      </c>
      <c r="BD16" s="242">
        <v>6874356.8399999999</v>
      </c>
      <c r="BE16" s="52">
        <v>7387204.1500000004</v>
      </c>
      <c r="BF16" s="52">
        <v>6178186</v>
      </c>
      <c r="BH16" s="52">
        <v>5771304.1500000004</v>
      </c>
      <c r="BI16" s="480">
        <v>5838260.9400000004</v>
      </c>
      <c r="BJ16" s="480">
        <v>8590309</v>
      </c>
      <c r="BK16" s="480">
        <v>0</v>
      </c>
      <c r="BL16" s="480">
        <v>5921869.9900000002</v>
      </c>
      <c r="BM16" s="480">
        <v>7256136</v>
      </c>
      <c r="BN16" s="480">
        <v>6949166</v>
      </c>
      <c r="BO16" s="480">
        <v>7183267</v>
      </c>
      <c r="BP16" s="480">
        <v>7556873</v>
      </c>
      <c r="BQ16" s="480">
        <v>8948946</v>
      </c>
      <c r="BR16" s="211">
        <v>8619319</v>
      </c>
      <c r="BS16" s="211">
        <v>7902398</v>
      </c>
      <c r="BT16" s="504">
        <v>7949409</v>
      </c>
      <c r="BU16" s="88">
        <v>8452644</v>
      </c>
      <c r="BV16" s="88">
        <v>9590309</v>
      </c>
      <c r="BW16" s="88"/>
      <c r="BX16" s="88">
        <v>9590309</v>
      </c>
      <c r="BY16" s="88">
        <v>9590309</v>
      </c>
      <c r="BZ16" s="522">
        <v>9590309</v>
      </c>
      <c r="CA16" s="522">
        <v>9590309</v>
      </c>
      <c r="CB16" s="504">
        <v>9590309</v>
      </c>
      <c r="CC16" s="504">
        <v>9590309</v>
      </c>
      <c r="CD16" s="504">
        <v>9576686</v>
      </c>
      <c r="CE16" s="504">
        <v>9576686</v>
      </c>
      <c r="CF16" s="504">
        <v>9576686</v>
      </c>
      <c r="CG16" s="504">
        <v>9576686</v>
      </c>
      <c r="CH16" s="504">
        <v>9576686</v>
      </c>
      <c r="CI16" s="523">
        <v>10590309</v>
      </c>
      <c r="CJ16" s="536">
        <v>10590309</v>
      </c>
      <c r="CK16" s="539">
        <f>'[3]balance sheet'!$D$22</f>
        <v>10590309</v>
      </c>
      <c r="CL16" s="545">
        <f>'[4]balance sheet'!$D$22</f>
        <v>10590309</v>
      </c>
      <c r="CM16" s="88">
        <v>10590309</v>
      </c>
      <c r="CN16" s="545">
        <v>10590309</v>
      </c>
      <c r="CO16" s="545">
        <f>'[4]balance sheet'!$D$22</f>
        <v>10590309</v>
      </c>
      <c r="CP16" s="545">
        <v>10576686</v>
      </c>
      <c r="CQ16" s="545">
        <v>10576686</v>
      </c>
      <c r="CR16" s="545">
        <v>10575870</v>
      </c>
      <c r="CS16" s="545">
        <v>10575870</v>
      </c>
      <c r="CT16" s="545">
        <v>10575870</v>
      </c>
      <c r="CU16" s="545">
        <v>10575870</v>
      </c>
      <c r="CV16" s="557">
        <v>12575870</v>
      </c>
      <c r="CW16" s="480">
        <v>12575870</v>
      </c>
      <c r="CX16" s="478">
        <v>12575870</v>
      </c>
      <c r="CY16" s="478">
        <v>12575870</v>
      </c>
      <c r="CZ16" s="478">
        <v>12575870</v>
      </c>
      <c r="DA16" s="478">
        <v>12575870</v>
      </c>
      <c r="DB16" s="478">
        <v>12575870</v>
      </c>
      <c r="DC16" s="478">
        <v>12575870</v>
      </c>
      <c r="DD16" s="478">
        <v>12075870.310000001</v>
      </c>
      <c r="DE16" s="522">
        <v>12075870.310000001</v>
      </c>
      <c r="DF16" s="522">
        <v>12075870.310000001</v>
      </c>
      <c r="DG16" s="522">
        <v>12075870.310000001</v>
      </c>
      <c r="DH16" s="522">
        <v>12075870.310000001</v>
      </c>
      <c r="DI16" s="522">
        <v>14575870</v>
      </c>
      <c r="DJ16" s="88">
        <v>14575870</v>
      </c>
      <c r="DK16" s="478">
        <v>12075870.310000001</v>
      </c>
      <c r="DL16" s="478">
        <v>14075870.310000001</v>
      </c>
      <c r="DM16" s="478">
        <v>14075870.310000001</v>
      </c>
      <c r="DN16" s="478">
        <v>14075870.310000001</v>
      </c>
      <c r="DO16" s="478">
        <v>14075870.310000001</v>
      </c>
      <c r="DP16" s="478">
        <v>14075870.310000001</v>
      </c>
      <c r="DQ16" s="478">
        <v>14075870.310000001</v>
      </c>
      <c r="DR16" s="478">
        <v>14575870.310000001</v>
      </c>
      <c r="DS16" s="522">
        <v>14575870.310000001</v>
      </c>
      <c r="DT16" s="522">
        <v>14575870.310000001</v>
      </c>
      <c r="DU16" s="522">
        <v>14575870.310000001</v>
      </c>
      <c r="DW16" s="87">
        <v>18075870</v>
      </c>
    </row>
    <row r="17" spans="2:127" ht="13.2" x14ac:dyDescent="0.25">
      <c r="B17" s="90" t="s">
        <v>48</v>
      </c>
      <c r="C17" s="163">
        <f t="shared" ref="C17:S17" si="27">SUM(C18:C20)</f>
        <v>0</v>
      </c>
      <c r="D17" s="163">
        <f t="shared" si="27"/>
        <v>0</v>
      </c>
      <c r="E17" s="163">
        <f t="shared" si="27"/>
        <v>0</v>
      </c>
      <c r="F17" s="163">
        <f t="shared" si="27"/>
        <v>0</v>
      </c>
      <c r="G17" s="163">
        <f t="shared" si="27"/>
        <v>0</v>
      </c>
      <c r="H17" s="163">
        <f t="shared" si="27"/>
        <v>0</v>
      </c>
      <c r="I17" s="163">
        <f t="shared" si="27"/>
        <v>0</v>
      </c>
      <c r="J17" s="163">
        <f t="shared" si="27"/>
        <v>0</v>
      </c>
      <c r="K17" s="163">
        <f t="shared" si="27"/>
        <v>0</v>
      </c>
      <c r="L17" s="163">
        <f t="shared" si="27"/>
        <v>0</v>
      </c>
      <c r="M17" s="163">
        <f t="shared" si="27"/>
        <v>0</v>
      </c>
      <c r="N17" s="163">
        <f t="shared" si="27"/>
        <v>0</v>
      </c>
      <c r="O17" s="163">
        <f t="shared" si="27"/>
        <v>0</v>
      </c>
      <c r="P17" s="163">
        <f t="shared" si="27"/>
        <v>0</v>
      </c>
      <c r="Q17" s="163">
        <f t="shared" si="27"/>
        <v>0</v>
      </c>
      <c r="R17" s="163">
        <f t="shared" si="27"/>
        <v>0</v>
      </c>
      <c r="S17" s="163">
        <f t="shared" si="27"/>
        <v>0</v>
      </c>
      <c r="T17" s="163"/>
      <c r="U17" s="163"/>
      <c r="V17" s="163"/>
      <c r="W17" s="163"/>
      <c r="X17" s="163"/>
      <c r="Y17" s="163"/>
      <c r="Z17" s="163"/>
      <c r="AA17" s="163">
        <v>0</v>
      </c>
      <c r="AB17" s="163">
        <v>0</v>
      </c>
      <c r="AC17" s="163">
        <v>0</v>
      </c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395"/>
      <c r="AY17" s="395"/>
      <c r="AZ17" s="395">
        <v>0</v>
      </c>
      <c r="BA17" s="385">
        <v>0</v>
      </c>
      <c r="BB17" s="163">
        <v>0</v>
      </c>
      <c r="BC17" s="163">
        <v>0</v>
      </c>
      <c r="BD17" s="163">
        <v>0</v>
      </c>
      <c r="BE17" s="63">
        <v>0</v>
      </c>
      <c r="BF17" s="477"/>
      <c r="BH17" s="52">
        <v>0</v>
      </c>
      <c r="BI17" s="480">
        <v>115800</v>
      </c>
      <c r="BK17" s="480">
        <v>0</v>
      </c>
      <c r="BL17" s="480">
        <v>0</v>
      </c>
      <c r="BM17" s="480">
        <v>0</v>
      </c>
      <c r="BN17" s="480">
        <v>0</v>
      </c>
      <c r="BO17" s="480">
        <v>0</v>
      </c>
      <c r="BP17" s="480">
        <v>0</v>
      </c>
      <c r="BQ17" s="480">
        <v>0</v>
      </c>
      <c r="BR17" s="480">
        <v>0</v>
      </c>
      <c r="BS17" s="480">
        <v>0</v>
      </c>
      <c r="BT17" s="480">
        <v>0</v>
      </c>
      <c r="BU17" s="480">
        <v>0</v>
      </c>
      <c r="BV17" s="480">
        <v>0</v>
      </c>
      <c r="BW17" s="480"/>
      <c r="BX17" s="480">
        <v>0</v>
      </c>
      <c r="BY17" s="480">
        <v>0</v>
      </c>
      <c r="BZ17" s="480">
        <v>0</v>
      </c>
      <c r="CA17" s="480">
        <v>0</v>
      </c>
      <c r="CB17" s="480">
        <v>0</v>
      </c>
      <c r="CC17" s="480">
        <v>0</v>
      </c>
      <c r="CD17" s="480">
        <v>0</v>
      </c>
      <c r="CE17" s="480">
        <v>0</v>
      </c>
      <c r="CF17" s="480">
        <v>0</v>
      </c>
      <c r="CG17" s="480">
        <v>0</v>
      </c>
      <c r="CH17" s="523">
        <v>0</v>
      </c>
      <c r="CI17" s="523">
        <v>0</v>
      </c>
      <c r="CJ17" s="540"/>
      <c r="CK17" s="540"/>
      <c r="CR17" s="211"/>
      <c r="CS17" s="211"/>
      <c r="CT17" s="211"/>
      <c r="CU17" s="211"/>
      <c r="CV17" s="211"/>
      <c r="CW17" s="538"/>
      <c r="CX17" s="660"/>
      <c r="CY17" s="650"/>
      <c r="CZ17" s="654"/>
      <c r="DA17" s="654"/>
      <c r="DB17" s="654"/>
      <c r="DC17" s="654"/>
      <c r="DD17" s="654"/>
      <c r="DE17" s="654"/>
      <c r="DF17" s="654"/>
      <c r="DG17" s="654"/>
      <c r="DH17" s="654"/>
      <c r="DI17" s="654"/>
      <c r="DJ17" s="650"/>
      <c r="DK17" s="650"/>
      <c r="DL17" s="650"/>
      <c r="DM17" s="650"/>
      <c r="DN17" s="650"/>
      <c r="DO17" s="650"/>
      <c r="DP17" s="650"/>
      <c r="DQ17" s="650"/>
      <c r="DR17" s="650"/>
      <c r="DS17" s="523">
        <v>0</v>
      </c>
      <c r="DT17" s="523">
        <v>0</v>
      </c>
      <c r="DU17" s="523">
        <v>0</v>
      </c>
      <c r="DV17" s="650"/>
      <c r="DW17" s="650"/>
    </row>
    <row r="18" spans="2:127" ht="13.2" x14ac:dyDescent="0.25">
      <c r="B18" s="93" t="s">
        <v>49</v>
      </c>
      <c r="C18" s="159"/>
      <c r="D18" s="164"/>
      <c r="E18" s="165"/>
      <c r="F18" s="166"/>
      <c r="G18" s="155">
        <v>0</v>
      </c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>
        <v>0</v>
      </c>
      <c r="AB18" s="155">
        <v>0</v>
      </c>
      <c r="AC18" s="155">
        <v>0</v>
      </c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377"/>
      <c r="AX18" s="155"/>
      <c r="AY18" s="155"/>
      <c r="AZ18" s="155">
        <v>0</v>
      </c>
      <c r="BA18" s="386">
        <v>0</v>
      </c>
      <c r="BB18" s="155">
        <v>0</v>
      </c>
      <c r="BC18" s="155">
        <v>0</v>
      </c>
      <c r="BD18" s="155">
        <v>0</v>
      </c>
      <c r="BE18" s="52">
        <v>0</v>
      </c>
      <c r="BH18" s="52">
        <v>0</v>
      </c>
      <c r="BI18" s="480">
        <v>0</v>
      </c>
      <c r="BK18" s="480">
        <v>0</v>
      </c>
      <c r="BL18" s="480">
        <v>0</v>
      </c>
      <c r="BM18" s="480">
        <v>0</v>
      </c>
      <c r="BN18" s="480">
        <v>0</v>
      </c>
      <c r="BO18" s="480">
        <v>0</v>
      </c>
      <c r="BP18" s="480">
        <v>0</v>
      </c>
      <c r="BQ18" s="480">
        <v>0</v>
      </c>
      <c r="BR18" s="480">
        <v>0</v>
      </c>
      <c r="BS18" s="480">
        <v>0</v>
      </c>
      <c r="BT18" s="480">
        <v>0</v>
      </c>
      <c r="BU18" s="88">
        <v>0</v>
      </c>
      <c r="BV18" s="88">
        <v>0</v>
      </c>
      <c r="BW18" s="88"/>
      <c r="BX18" s="88">
        <v>0</v>
      </c>
      <c r="BY18" s="88">
        <v>0</v>
      </c>
      <c r="BZ18" s="88">
        <v>0</v>
      </c>
      <c r="CA18" s="88">
        <v>0</v>
      </c>
      <c r="CB18" s="88">
        <v>0</v>
      </c>
      <c r="CC18" s="88">
        <v>0</v>
      </c>
      <c r="CD18" s="88">
        <v>0</v>
      </c>
      <c r="CE18" s="88">
        <v>0</v>
      </c>
      <c r="CF18" s="88">
        <v>0</v>
      </c>
      <c r="CG18" s="88">
        <v>0</v>
      </c>
      <c r="CH18" s="522">
        <v>0</v>
      </c>
      <c r="CI18" s="522">
        <v>0</v>
      </c>
      <c r="CJ18" s="522">
        <v>0</v>
      </c>
      <c r="CK18" s="522">
        <v>0</v>
      </c>
      <c r="CL18" s="522">
        <v>0</v>
      </c>
      <c r="CM18" s="522">
        <v>0</v>
      </c>
      <c r="CN18" s="522">
        <v>0</v>
      </c>
      <c r="CO18" s="522">
        <v>0</v>
      </c>
      <c r="CP18" s="522">
        <v>0</v>
      </c>
      <c r="CR18" s="501">
        <v>0</v>
      </c>
      <c r="CS18" s="501">
        <v>0</v>
      </c>
      <c r="CT18" s="501">
        <v>0</v>
      </c>
      <c r="CU18" s="501">
        <v>0</v>
      </c>
      <c r="CV18" s="501">
        <v>0</v>
      </c>
      <c r="CW18" s="501">
        <v>0</v>
      </c>
      <c r="CX18" s="478">
        <v>0</v>
      </c>
      <c r="CY18" s="478">
        <v>0</v>
      </c>
      <c r="CZ18" s="478">
        <v>0</v>
      </c>
      <c r="DA18" s="478">
        <v>0</v>
      </c>
      <c r="DB18" s="478">
        <v>0</v>
      </c>
      <c r="DC18" s="478">
        <v>0</v>
      </c>
      <c r="DD18" s="478">
        <v>0</v>
      </c>
      <c r="DE18" s="522">
        <v>0</v>
      </c>
      <c r="DF18" s="522">
        <v>0</v>
      </c>
      <c r="DG18" s="522">
        <v>0</v>
      </c>
      <c r="DH18" s="522">
        <v>0</v>
      </c>
      <c r="DI18" s="522">
        <v>0</v>
      </c>
      <c r="DK18" s="478">
        <v>0</v>
      </c>
      <c r="DL18" s="478">
        <v>0</v>
      </c>
      <c r="DM18" s="478">
        <v>0</v>
      </c>
      <c r="DN18" s="478">
        <v>0</v>
      </c>
      <c r="DO18" s="478">
        <v>0</v>
      </c>
      <c r="DP18" s="478">
        <v>0</v>
      </c>
      <c r="DQ18" s="478">
        <v>0</v>
      </c>
      <c r="DR18" s="478">
        <v>0</v>
      </c>
      <c r="DS18" s="522">
        <v>0</v>
      </c>
      <c r="DT18" s="522">
        <v>0</v>
      </c>
      <c r="DU18" s="522">
        <v>0</v>
      </c>
    </row>
    <row r="19" spans="2:127" ht="13.2" x14ac:dyDescent="0.25">
      <c r="B19" s="93" t="s">
        <v>50</v>
      </c>
      <c r="C19" s="159"/>
      <c r="D19" s="160"/>
      <c r="E19" s="164"/>
      <c r="F19" s="166"/>
      <c r="G19" s="155">
        <v>0</v>
      </c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>
        <v>0</v>
      </c>
      <c r="AB19" s="155">
        <v>0</v>
      </c>
      <c r="AC19" s="155">
        <v>0</v>
      </c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377"/>
      <c r="AX19" s="155"/>
      <c r="AY19" s="155"/>
      <c r="AZ19" s="155">
        <v>0</v>
      </c>
      <c r="BA19" s="386">
        <v>0</v>
      </c>
      <c r="BB19" s="155">
        <v>0</v>
      </c>
      <c r="BC19" s="155">
        <v>0</v>
      </c>
      <c r="BD19" s="155">
        <v>0</v>
      </c>
      <c r="BE19" s="52">
        <v>0</v>
      </c>
      <c r="BH19" s="52">
        <v>0</v>
      </c>
      <c r="BI19" s="480">
        <v>115800</v>
      </c>
      <c r="BK19" s="480">
        <v>0</v>
      </c>
      <c r="BL19" s="480">
        <v>0</v>
      </c>
      <c r="BM19" s="480">
        <v>0</v>
      </c>
      <c r="BN19" s="480">
        <v>0</v>
      </c>
      <c r="BO19" s="480">
        <v>0</v>
      </c>
      <c r="BP19" s="480">
        <v>0</v>
      </c>
      <c r="BQ19" s="480">
        <v>0</v>
      </c>
      <c r="BR19" s="480">
        <v>0</v>
      </c>
      <c r="BS19" s="480">
        <v>0</v>
      </c>
      <c r="BT19" s="480">
        <v>0</v>
      </c>
      <c r="BU19" s="88">
        <v>0</v>
      </c>
      <c r="BV19" s="88">
        <v>0</v>
      </c>
      <c r="BW19" s="88"/>
      <c r="BX19" s="88">
        <v>0</v>
      </c>
      <c r="BY19" s="88">
        <v>0</v>
      </c>
      <c r="BZ19" s="88">
        <v>0</v>
      </c>
      <c r="CA19" s="88">
        <v>0</v>
      </c>
      <c r="CB19" s="88">
        <v>0</v>
      </c>
      <c r="CC19" s="88">
        <v>0</v>
      </c>
      <c r="CD19" s="88">
        <v>0</v>
      </c>
      <c r="CE19" s="88">
        <v>0</v>
      </c>
      <c r="CF19" s="88">
        <v>0</v>
      </c>
      <c r="CG19" s="88">
        <v>0</v>
      </c>
      <c r="CH19" s="522">
        <v>0</v>
      </c>
      <c r="CI19" s="522">
        <v>0</v>
      </c>
      <c r="CJ19" s="522">
        <v>0</v>
      </c>
      <c r="CK19" s="522">
        <v>0</v>
      </c>
      <c r="CL19" s="522">
        <v>0</v>
      </c>
      <c r="CM19" s="522">
        <v>0</v>
      </c>
      <c r="CN19" s="522">
        <v>0</v>
      </c>
      <c r="CO19" s="522">
        <v>0</v>
      </c>
      <c r="CP19" s="522">
        <v>0</v>
      </c>
      <c r="CR19" s="501">
        <v>0</v>
      </c>
      <c r="CS19" s="501">
        <v>0</v>
      </c>
      <c r="CT19" s="501">
        <v>0</v>
      </c>
      <c r="CU19" s="501">
        <v>0</v>
      </c>
      <c r="CV19" s="501">
        <v>0</v>
      </c>
      <c r="CW19" s="501">
        <v>0</v>
      </c>
      <c r="CX19" s="478">
        <v>0</v>
      </c>
      <c r="CY19" s="478">
        <v>0</v>
      </c>
      <c r="CZ19" s="478">
        <v>0</v>
      </c>
      <c r="DA19" s="478">
        <v>0</v>
      </c>
      <c r="DB19" s="478">
        <v>0</v>
      </c>
      <c r="DC19" s="478">
        <v>0</v>
      </c>
      <c r="DD19" s="478">
        <v>0</v>
      </c>
      <c r="DE19" s="522">
        <v>0</v>
      </c>
      <c r="DF19" s="522">
        <v>0</v>
      </c>
      <c r="DG19" s="522">
        <v>0</v>
      </c>
      <c r="DH19" s="522">
        <v>0</v>
      </c>
      <c r="DI19" s="522">
        <v>0</v>
      </c>
      <c r="DK19" s="478">
        <v>0</v>
      </c>
      <c r="DL19" s="478">
        <v>0</v>
      </c>
      <c r="DM19" s="478">
        <v>0</v>
      </c>
      <c r="DN19" s="478">
        <v>0</v>
      </c>
      <c r="DO19" s="478">
        <v>0</v>
      </c>
      <c r="DP19" s="478">
        <v>0</v>
      </c>
      <c r="DQ19" s="478">
        <v>0</v>
      </c>
      <c r="DR19" s="478">
        <v>0</v>
      </c>
      <c r="DS19" s="522">
        <v>0</v>
      </c>
      <c r="DT19" s="522">
        <v>0</v>
      </c>
      <c r="DU19" s="522">
        <v>0</v>
      </c>
    </row>
    <row r="20" spans="2:127" ht="13.2" x14ac:dyDescent="0.25">
      <c r="B20" s="93" t="s">
        <v>51</v>
      </c>
      <c r="C20" s="159"/>
      <c r="D20" s="164"/>
      <c r="E20" s="164"/>
      <c r="F20" s="160"/>
      <c r="G20" s="155">
        <v>0</v>
      </c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>
        <v>0</v>
      </c>
      <c r="AB20" s="155">
        <v>0</v>
      </c>
      <c r="AC20" s="155">
        <v>0</v>
      </c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377"/>
      <c r="AX20" s="155"/>
      <c r="AY20" s="155"/>
      <c r="AZ20" s="155">
        <v>0</v>
      </c>
      <c r="BA20" s="386">
        <v>0</v>
      </c>
      <c r="BB20" s="155">
        <v>0</v>
      </c>
      <c r="BC20" s="155">
        <v>0</v>
      </c>
      <c r="BD20" s="155">
        <v>0</v>
      </c>
      <c r="BE20" s="52">
        <v>0</v>
      </c>
      <c r="BF20" s="52">
        <v>12194820</v>
      </c>
      <c r="BH20" s="52">
        <v>12934820</v>
      </c>
      <c r="BI20" s="480">
        <v>12943020</v>
      </c>
      <c r="BK20" s="480">
        <v>0</v>
      </c>
      <c r="BL20" s="480">
        <v>0</v>
      </c>
      <c r="BM20" s="480">
        <v>0</v>
      </c>
      <c r="BN20" s="480">
        <v>0</v>
      </c>
      <c r="BO20" s="480">
        <v>0</v>
      </c>
      <c r="BP20" s="480">
        <v>0</v>
      </c>
      <c r="BQ20" s="480">
        <v>0</v>
      </c>
      <c r="BR20" s="480">
        <v>0</v>
      </c>
      <c r="BS20" s="480">
        <v>0</v>
      </c>
      <c r="BT20" s="480">
        <v>0</v>
      </c>
      <c r="BU20" s="88">
        <v>0</v>
      </c>
      <c r="BV20" s="88">
        <v>0</v>
      </c>
      <c r="BW20" s="88"/>
      <c r="BX20" s="88">
        <v>0</v>
      </c>
      <c r="BY20" s="88">
        <v>0</v>
      </c>
      <c r="BZ20" s="88">
        <v>0</v>
      </c>
      <c r="CA20" s="88">
        <v>0</v>
      </c>
      <c r="CB20" s="88">
        <v>0</v>
      </c>
      <c r="CC20" s="88">
        <v>0</v>
      </c>
      <c r="CD20" s="88">
        <v>0</v>
      </c>
      <c r="CE20" s="88">
        <v>0</v>
      </c>
      <c r="CF20" s="88">
        <v>0</v>
      </c>
      <c r="CG20" s="88">
        <v>0</v>
      </c>
      <c r="CH20" s="522">
        <v>0</v>
      </c>
      <c r="CI20" s="522">
        <v>0</v>
      </c>
      <c r="CJ20" s="522">
        <v>0</v>
      </c>
      <c r="CK20" s="522">
        <v>0</v>
      </c>
      <c r="CL20" s="522">
        <v>0</v>
      </c>
      <c r="CM20" s="522">
        <v>0</v>
      </c>
      <c r="CN20" s="522">
        <v>0</v>
      </c>
      <c r="CO20" s="522">
        <v>0</v>
      </c>
      <c r="CP20" s="522">
        <v>0</v>
      </c>
      <c r="CR20" s="501">
        <v>0</v>
      </c>
      <c r="CS20" s="501">
        <v>0</v>
      </c>
      <c r="CT20" s="501">
        <v>0</v>
      </c>
      <c r="CU20" s="501">
        <v>0</v>
      </c>
      <c r="CV20" s="501">
        <v>0</v>
      </c>
      <c r="CW20" s="501">
        <v>0</v>
      </c>
      <c r="CX20" s="478">
        <v>0</v>
      </c>
      <c r="CY20" s="478">
        <v>0</v>
      </c>
      <c r="CZ20" s="478">
        <v>0</v>
      </c>
      <c r="DA20" s="478">
        <v>0</v>
      </c>
      <c r="DB20" s="478">
        <v>0</v>
      </c>
      <c r="DC20" s="478">
        <v>0</v>
      </c>
      <c r="DD20" s="478">
        <v>0</v>
      </c>
      <c r="DE20" s="522">
        <v>0</v>
      </c>
      <c r="DF20" s="522">
        <v>0</v>
      </c>
      <c r="DG20" s="522">
        <v>0</v>
      </c>
      <c r="DH20" s="522">
        <v>0</v>
      </c>
      <c r="DI20" s="522">
        <v>0</v>
      </c>
      <c r="DK20" s="478">
        <v>0</v>
      </c>
      <c r="DL20" s="478">
        <v>0</v>
      </c>
      <c r="DM20" s="478">
        <v>0</v>
      </c>
      <c r="DN20" s="478">
        <v>0</v>
      </c>
      <c r="DO20" s="478">
        <v>0</v>
      </c>
      <c r="DP20" s="478">
        <v>0</v>
      </c>
      <c r="DQ20" s="478">
        <v>0</v>
      </c>
      <c r="DR20" s="478">
        <v>0</v>
      </c>
      <c r="DS20" s="522">
        <v>0</v>
      </c>
      <c r="DT20" s="522">
        <v>0</v>
      </c>
      <c r="DU20" s="522">
        <v>0</v>
      </c>
    </row>
    <row r="21" spans="2:127" ht="26.4" x14ac:dyDescent="0.25">
      <c r="B21" s="90" t="s">
        <v>52</v>
      </c>
      <c r="C21" s="158">
        <f t="shared" ref="C21:V21" si="28">SUM(C22:C26)</f>
        <v>28544</v>
      </c>
      <c r="D21" s="158">
        <f t="shared" si="28"/>
        <v>67851</v>
      </c>
      <c r="E21" s="158">
        <f t="shared" si="28"/>
        <v>635468</v>
      </c>
      <c r="F21" s="158">
        <f t="shared" si="28"/>
        <v>2039439</v>
      </c>
      <c r="G21" s="158">
        <f t="shared" si="28"/>
        <v>5403162</v>
      </c>
      <c r="H21" s="158">
        <f t="shared" si="28"/>
        <v>5517271</v>
      </c>
      <c r="I21" s="158">
        <f t="shared" si="28"/>
        <v>4750838</v>
      </c>
      <c r="J21" s="158">
        <f t="shared" si="28"/>
        <v>11034542</v>
      </c>
      <c r="K21" s="158">
        <f t="shared" si="28"/>
        <v>5527636</v>
      </c>
      <c r="L21" s="158">
        <f t="shared" si="28"/>
        <v>5527921</v>
      </c>
      <c r="M21" s="158">
        <f t="shared" si="28"/>
        <v>5527921</v>
      </c>
      <c r="N21" s="158">
        <f t="shared" si="28"/>
        <v>5539921</v>
      </c>
      <c r="O21" s="158">
        <f t="shared" si="28"/>
        <v>5539921</v>
      </c>
      <c r="P21" s="158">
        <f t="shared" si="28"/>
        <v>5539921</v>
      </c>
      <c r="Q21" s="158">
        <f t="shared" si="28"/>
        <v>5659646</v>
      </c>
      <c r="R21" s="158">
        <f t="shared" si="28"/>
        <v>5659646</v>
      </c>
      <c r="S21" s="158">
        <f t="shared" si="28"/>
        <v>5765836</v>
      </c>
      <c r="T21" s="158">
        <f t="shared" si="28"/>
        <v>5790766</v>
      </c>
      <c r="U21" s="158">
        <f t="shared" si="28"/>
        <v>5813916</v>
      </c>
      <c r="V21" s="158">
        <f t="shared" si="28"/>
        <v>4833389</v>
      </c>
      <c r="W21" s="158">
        <f t="shared" ref="W21:AD21" si="29">SUM(W22:W26)</f>
        <v>5851813</v>
      </c>
      <c r="X21" s="158">
        <f t="shared" si="29"/>
        <v>5852413</v>
      </c>
      <c r="Y21" s="158">
        <f t="shared" si="29"/>
        <v>5852688</v>
      </c>
      <c r="Z21" s="158">
        <f t="shared" si="29"/>
        <v>5908068</v>
      </c>
      <c r="AA21" s="158">
        <f t="shared" si="29"/>
        <v>5931568</v>
      </c>
      <c r="AB21" s="158">
        <f t="shared" si="29"/>
        <v>5936678</v>
      </c>
      <c r="AC21" s="158">
        <f t="shared" si="29"/>
        <v>6039898</v>
      </c>
      <c r="AD21" s="158">
        <f t="shared" si="29"/>
        <v>6040098</v>
      </c>
      <c r="AE21" s="158">
        <f t="shared" ref="AE21:AG21" si="30">SUM(AE22:AE26)</f>
        <v>6045168</v>
      </c>
      <c r="AF21" s="158">
        <f t="shared" si="30"/>
        <v>6492418</v>
      </c>
      <c r="AG21" s="158">
        <f t="shared" si="30"/>
        <v>6540798</v>
      </c>
      <c r="AH21" s="158">
        <f t="shared" ref="AH21:AI21" si="31">SUM(AH22:AH26)</f>
        <v>6587228</v>
      </c>
      <c r="AI21" s="158">
        <f t="shared" si="31"/>
        <v>5609822</v>
      </c>
      <c r="AJ21" s="158">
        <f t="shared" ref="AJ21:CC21" si="32">SUM(AJ22:AJ26)</f>
        <v>5300175</v>
      </c>
      <c r="AK21" s="158">
        <f t="shared" si="32"/>
        <v>0</v>
      </c>
      <c r="AL21" s="158">
        <f t="shared" si="32"/>
        <v>6659848</v>
      </c>
      <c r="AM21" s="158">
        <f t="shared" si="32"/>
        <v>6774098</v>
      </c>
      <c r="AN21" s="158">
        <f t="shared" si="32"/>
        <v>6837878</v>
      </c>
      <c r="AO21" s="158">
        <f t="shared" si="32"/>
        <v>5931568</v>
      </c>
      <c r="AP21" s="158">
        <f t="shared" si="32"/>
        <v>6998118</v>
      </c>
      <c r="AQ21" s="158">
        <f t="shared" si="32"/>
        <v>7124818</v>
      </c>
      <c r="AR21" s="158">
        <f t="shared" si="32"/>
        <v>7191200</v>
      </c>
      <c r="AS21" s="158">
        <f t="shared" si="32"/>
        <v>7249200</v>
      </c>
      <c r="AT21" s="158">
        <f t="shared" si="32"/>
        <v>0</v>
      </c>
      <c r="AU21" s="158">
        <f t="shared" si="32"/>
        <v>7791631</v>
      </c>
      <c r="AV21" s="158">
        <f t="shared" si="32"/>
        <v>7802281</v>
      </c>
      <c r="AW21" s="158">
        <f t="shared" si="32"/>
        <v>5573108</v>
      </c>
      <c r="AX21" s="158">
        <f t="shared" si="32"/>
        <v>0</v>
      </c>
      <c r="AY21" s="158">
        <f t="shared" si="32"/>
        <v>0</v>
      </c>
      <c r="AZ21" s="158">
        <f t="shared" si="32"/>
        <v>11355625</v>
      </c>
      <c r="BA21" s="158">
        <f t="shared" si="32"/>
        <v>22812710</v>
      </c>
      <c r="BB21" s="158">
        <f t="shared" si="32"/>
        <v>11423155</v>
      </c>
      <c r="BC21" s="158">
        <f t="shared" si="32"/>
        <v>38310895.450000003</v>
      </c>
      <c r="BD21" s="158">
        <f t="shared" si="32"/>
        <v>11688855</v>
      </c>
      <c r="BE21" s="158">
        <f t="shared" si="32"/>
        <v>11767055</v>
      </c>
      <c r="BF21" s="158">
        <f t="shared" si="32"/>
        <v>12194820</v>
      </c>
      <c r="BG21" s="158">
        <f t="shared" si="32"/>
        <v>0</v>
      </c>
      <c r="BH21" s="158">
        <f t="shared" si="32"/>
        <v>12934820</v>
      </c>
      <c r="BI21" s="158">
        <f t="shared" si="32"/>
        <v>12943020</v>
      </c>
      <c r="BJ21" s="158">
        <f t="shared" si="32"/>
        <v>9814943</v>
      </c>
      <c r="BK21" s="158">
        <f t="shared" si="32"/>
        <v>12975994</v>
      </c>
      <c r="BL21" s="158">
        <f t="shared" si="32"/>
        <v>12994070</v>
      </c>
      <c r="BM21" s="158">
        <f t="shared" si="32"/>
        <v>13168170</v>
      </c>
      <c r="BN21" s="158">
        <f t="shared" si="32"/>
        <v>13168170</v>
      </c>
      <c r="BO21" s="158">
        <f t="shared" si="32"/>
        <v>13478912</v>
      </c>
      <c r="BP21" s="158">
        <f t="shared" si="32"/>
        <v>13537202</v>
      </c>
      <c r="BQ21" s="158">
        <f t="shared" si="32"/>
        <v>13559712</v>
      </c>
      <c r="BR21" s="158">
        <f t="shared" si="32"/>
        <v>13629712</v>
      </c>
      <c r="BS21" s="158">
        <f t="shared" si="32"/>
        <v>13635577</v>
      </c>
      <c r="BT21" s="158">
        <f t="shared" si="32"/>
        <v>13635527</v>
      </c>
      <c r="BU21" s="158">
        <f t="shared" si="32"/>
        <v>16411027</v>
      </c>
      <c r="BV21" s="158">
        <f t="shared" si="32"/>
        <v>14843739.630000001</v>
      </c>
      <c r="BW21" s="158">
        <f t="shared" si="32"/>
        <v>12594584.550000001</v>
      </c>
      <c r="BX21" s="158">
        <f t="shared" si="32"/>
        <v>15413241</v>
      </c>
      <c r="BY21" s="158">
        <f t="shared" si="32"/>
        <v>15413241</v>
      </c>
      <c r="BZ21" s="158">
        <f t="shared" si="32"/>
        <v>15413241</v>
      </c>
      <c r="CA21" s="158">
        <f t="shared" si="32"/>
        <v>29251878</v>
      </c>
      <c r="CB21" s="158">
        <f t="shared" si="32"/>
        <v>23052863</v>
      </c>
      <c r="CC21" s="158">
        <f t="shared" si="32"/>
        <v>25816323.359999999</v>
      </c>
      <c r="CD21" s="158">
        <f t="shared" ref="CD21:CV21" si="33">SUM(CD22:CD26)</f>
        <v>25816323.359999999</v>
      </c>
      <c r="CE21" s="158">
        <f t="shared" si="33"/>
        <v>23623800</v>
      </c>
      <c r="CF21" s="158">
        <f t="shared" si="33"/>
        <v>23725740</v>
      </c>
      <c r="CG21" s="158">
        <f t="shared" si="33"/>
        <v>24317318.859999999</v>
      </c>
      <c r="CH21" s="158">
        <f t="shared" si="33"/>
        <v>24317318.859999999</v>
      </c>
      <c r="CI21" s="158">
        <f t="shared" si="33"/>
        <v>13406055.93</v>
      </c>
      <c r="CJ21" s="158">
        <f t="shared" si="33"/>
        <v>14705394.93</v>
      </c>
      <c r="CK21" s="158">
        <f t="shared" si="33"/>
        <v>23236695</v>
      </c>
      <c r="CL21" s="158">
        <f t="shared" si="33"/>
        <v>23236695</v>
      </c>
      <c r="CM21" s="158">
        <f t="shared" si="33"/>
        <v>23236695</v>
      </c>
      <c r="CN21" s="158">
        <f t="shared" si="33"/>
        <v>22677435</v>
      </c>
      <c r="CO21" s="158">
        <f t="shared" si="33"/>
        <v>23614661</v>
      </c>
      <c r="CP21" s="158">
        <f>SUM(CP22:CP26)</f>
        <v>26052207</v>
      </c>
      <c r="CQ21" s="548">
        <f t="shared" si="33"/>
        <v>26052207</v>
      </c>
      <c r="CR21" s="158">
        <f t="shared" si="33"/>
        <v>26052207</v>
      </c>
      <c r="CS21" s="158">
        <f t="shared" si="33"/>
        <v>26310791.109999999</v>
      </c>
      <c r="CT21" s="158">
        <f t="shared" si="33"/>
        <v>26310791.109999999</v>
      </c>
      <c r="CU21" s="158">
        <f t="shared" si="33"/>
        <v>23428385.109999999</v>
      </c>
      <c r="CV21" s="158">
        <f t="shared" si="33"/>
        <v>16534745.379999999</v>
      </c>
      <c r="CW21" s="158">
        <f>SUM(CW22:CW26)</f>
        <v>15954496.379999999</v>
      </c>
      <c r="CX21" s="158">
        <f t="shared" ref="CX21:DW21" si="34">SUM(CX22:CX26)</f>
        <v>26018093</v>
      </c>
      <c r="CY21" s="158">
        <f t="shared" si="34"/>
        <v>26018093</v>
      </c>
      <c r="CZ21" s="158">
        <f t="shared" si="34"/>
        <v>26018093</v>
      </c>
      <c r="DA21" s="158">
        <f t="shared" si="34"/>
        <v>26018093</v>
      </c>
      <c r="DB21" s="158">
        <f t="shared" si="34"/>
        <v>26359133</v>
      </c>
      <c r="DC21" s="158">
        <f t="shared" si="34"/>
        <v>26359133</v>
      </c>
      <c r="DD21" s="158">
        <f t="shared" si="34"/>
        <v>26658686.18</v>
      </c>
      <c r="DE21" s="158">
        <f t="shared" si="34"/>
        <v>26658686.18</v>
      </c>
      <c r="DF21" s="158">
        <f t="shared" si="34"/>
        <v>26658686.18</v>
      </c>
      <c r="DG21" s="158">
        <f t="shared" si="34"/>
        <v>26671879.18</v>
      </c>
      <c r="DH21" s="158">
        <f t="shared" si="34"/>
        <v>26671879.18</v>
      </c>
      <c r="DI21" s="158">
        <f t="shared" si="34"/>
        <v>15795963.609999999</v>
      </c>
      <c r="DJ21" s="657">
        <f t="shared" si="34"/>
        <v>16058090</v>
      </c>
      <c r="DK21" s="657">
        <f t="shared" si="34"/>
        <v>15745978.609999999</v>
      </c>
      <c r="DL21" s="657">
        <f t="shared" si="34"/>
        <v>16008105.73</v>
      </c>
      <c r="DM21" s="657">
        <f t="shared" si="34"/>
        <v>16008105.73</v>
      </c>
      <c r="DN21" s="657">
        <f t="shared" si="34"/>
        <v>16708105.73</v>
      </c>
      <c r="DO21" s="657">
        <f t="shared" si="34"/>
        <v>16708105.73</v>
      </c>
      <c r="DP21" s="657">
        <f t="shared" si="34"/>
        <v>19598952.73</v>
      </c>
      <c r="DQ21" s="657">
        <f t="shared" si="34"/>
        <v>19504278.619999997</v>
      </c>
      <c r="DR21" s="657">
        <f t="shared" si="34"/>
        <v>19736376.5</v>
      </c>
      <c r="DS21" s="657">
        <f t="shared" si="34"/>
        <v>19736376.5</v>
      </c>
      <c r="DT21" s="657">
        <f t="shared" si="34"/>
        <v>19866676.5</v>
      </c>
      <c r="DU21" s="657">
        <f t="shared" si="34"/>
        <v>19866676.5</v>
      </c>
      <c r="DV21" s="657">
        <f t="shared" si="34"/>
        <v>0</v>
      </c>
      <c r="DW21" s="657">
        <f t="shared" si="34"/>
        <v>17961747</v>
      </c>
    </row>
    <row r="22" spans="2:127" ht="14.4" x14ac:dyDescent="0.25">
      <c r="B22" s="93" t="s">
        <v>53</v>
      </c>
      <c r="C22" s="149"/>
      <c r="D22" s="149"/>
      <c r="E22" s="154"/>
      <c r="F22" s="167">
        <v>0</v>
      </c>
      <c r="G22" s="168">
        <v>0</v>
      </c>
      <c r="H22" s="168">
        <v>0</v>
      </c>
      <c r="I22" s="168"/>
      <c r="J22" s="168">
        <v>0</v>
      </c>
      <c r="K22" s="168">
        <v>0</v>
      </c>
      <c r="L22" s="168">
        <v>0</v>
      </c>
      <c r="M22" s="168">
        <v>0</v>
      </c>
      <c r="N22" s="168">
        <v>0</v>
      </c>
      <c r="O22" s="168">
        <v>0</v>
      </c>
      <c r="P22" s="168">
        <v>0</v>
      </c>
      <c r="Q22" s="168">
        <v>0</v>
      </c>
      <c r="R22" s="168">
        <v>0</v>
      </c>
      <c r="S22" s="168">
        <v>0</v>
      </c>
      <c r="T22" s="168">
        <v>0</v>
      </c>
      <c r="U22" s="168">
        <v>0</v>
      </c>
      <c r="V22" s="168"/>
      <c r="W22" s="168"/>
      <c r="X22" s="168"/>
      <c r="Y22" s="168"/>
      <c r="Z22" s="168"/>
      <c r="AA22" s="168">
        <v>0</v>
      </c>
      <c r="AB22" s="168">
        <v>0</v>
      </c>
      <c r="AC22" s="168">
        <v>0</v>
      </c>
      <c r="AD22" s="168"/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  <c r="AT22" s="168"/>
      <c r="AU22" s="168"/>
      <c r="AV22" s="168"/>
      <c r="AW22" s="378"/>
      <c r="AX22" s="168"/>
      <c r="AY22" s="168"/>
      <c r="AZ22" s="168">
        <v>0</v>
      </c>
      <c r="BA22" s="387">
        <v>0</v>
      </c>
      <c r="BB22" s="168">
        <v>0</v>
      </c>
      <c r="BC22" s="168">
        <v>0</v>
      </c>
      <c r="BD22" s="168">
        <v>0</v>
      </c>
      <c r="BE22" s="52">
        <v>0</v>
      </c>
      <c r="BH22" s="52">
        <v>0</v>
      </c>
      <c r="BI22" s="480">
        <v>0</v>
      </c>
      <c r="BK22" s="480">
        <v>0</v>
      </c>
      <c r="BL22" s="480">
        <v>0</v>
      </c>
      <c r="BM22" s="480">
        <v>0</v>
      </c>
      <c r="BN22" s="480">
        <v>0</v>
      </c>
      <c r="BO22" s="480">
        <v>0</v>
      </c>
      <c r="BP22" s="480">
        <v>0</v>
      </c>
      <c r="BQ22" s="480">
        <v>0</v>
      </c>
      <c r="BR22" s="480">
        <v>0</v>
      </c>
      <c r="BS22" s="480">
        <v>0</v>
      </c>
      <c r="BU22" s="88">
        <v>0</v>
      </c>
      <c r="BV22" s="88">
        <v>0</v>
      </c>
      <c r="BW22" s="88"/>
      <c r="BX22" s="88">
        <v>0</v>
      </c>
      <c r="BY22" s="88">
        <v>0</v>
      </c>
      <c r="BZ22" s="522">
        <v>0</v>
      </c>
      <c r="CA22" s="522">
        <v>0</v>
      </c>
      <c r="CB22" s="522"/>
      <c r="CC22" s="522"/>
      <c r="CD22" s="522"/>
      <c r="CE22" s="522"/>
      <c r="CF22" s="522"/>
      <c r="CG22" s="522">
        <v>18105794.859999999</v>
      </c>
      <c r="CH22" s="522"/>
      <c r="CI22" s="522"/>
      <c r="CJ22" s="536"/>
      <c r="CK22" s="521"/>
      <c r="CL22" s="522">
        <v>0</v>
      </c>
      <c r="CM22" s="522">
        <v>0</v>
      </c>
      <c r="CN22" s="522">
        <v>0</v>
      </c>
      <c r="CO22" s="522">
        <v>0</v>
      </c>
      <c r="CP22" s="522">
        <v>620249</v>
      </c>
      <c r="CQ22" s="503">
        <v>620249</v>
      </c>
      <c r="CR22" s="501">
        <v>620249</v>
      </c>
      <c r="CS22" s="501">
        <v>620249</v>
      </c>
      <c r="CT22" s="503">
        <v>620249</v>
      </c>
      <c r="CU22" s="503">
        <v>620249</v>
      </c>
      <c r="CV22" s="495">
        <v>580249</v>
      </c>
      <c r="CW22" s="480"/>
      <c r="CX22" s="478">
        <v>0</v>
      </c>
      <c r="CY22" s="478">
        <v>0</v>
      </c>
      <c r="CZ22" s="478">
        <v>0</v>
      </c>
      <c r="DA22" s="478">
        <v>0</v>
      </c>
      <c r="DB22" s="478">
        <v>0</v>
      </c>
      <c r="DC22" s="478">
        <v>0</v>
      </c>
      <c r="DD22" s="478">
        <v>0</v>
      </c>
      <c r="DE22" s="522">
        <v>0</v>
      </c>
      <c r="DF22" s="522">
        <v>0</v>
      </c>
      <c r="DG22" s="522">
        <v>0</v>
      </c>
      <c r="DH22" s="522">
        <v>0</v>
      </c>
      <c r="DI22" s="522">
        <v>0</v>
      </c>
      <c r="DK22" s="478">
        <v>0</v>
      </c>
      <c r="DL22" s="478">
        <v>0</v>
      </c>
      <c r="DM22" s="478">
        <v>0</v>
      </c>
      <c r="DN22" s="478">
        <v>0</v>
      </c>
      <c r="DO22" s="478">
        <v>0</v>
      </c>
      <c r="DP22" s="478">
        <v>620249</v>
      </c>
      <c r="DQ22" s="478">
        <v>620249</v>
      </c>
      <c r="DR22" s="478">
        <v>620249</v>
      </c>
      <c r="DS22" s="522">
        <v>620249</v>
      </c>
      <c r="DT22" s="522">
        <v>620249</v>
      </c>
      <c r="DU22" s="522">
        <v>620249</v>
      </c>
    </row>
    <row r="23" spans="2:127" ht="14.4" x14ac:dyDescent="0.25">
      <c r="B23" s="93" t="s">
        <v>54</v>
      </c>
      <c r="C23" s="149">
        <v>28544</v>
      </c>
      <c r="D23" s="149">
        <v>67851</v>
      </c>
      <c r="E23" s="150">
        <v>609253</v>
      </c>
      <c r="F23" s="151">
        <v>691887</v>
      </c>
      <c r="G23" s="150">
        <v>4364687</v>
      </c>
      <c r="H23" s="150">
        <v>5375271</v>
      </c>
      <c r="I23" s="150">
        <v>4109038</v>
      </c>
      <c r="J23" s="150">
        <v>10750542</v>
      </c>
      <c r="K23" s="150">
        <v>5385636</v>
      </c>
      <c r="L23" s="150">
        <v>5385921</v>
      </c>
      <c r="M23" s="150">
        <v>5385921</v>
      </c>
      <c r="N23" s="150">
        <v>5397921</v>
      </c>
      <c r="O23" s="150">
        <v>5397921</v>
      </c>
      <c r="P23" s="150">
        <v>5397921</v>
      </c>
      <c r="Q23" s="150">
        <v>5517646</v>
      </c>
      <c r="R23" s="150">
        <v>5517646</v>
      </c>
      <c r="S23" s="150">
        <v>5623836</v>
      </c>
      <c r="T23" s="150">
        <v>5648766</v>
      </c>
      <c r="U23" s="150">
        <v>5671916</v>
      </c>
      <c r="V23" s="150">
        <v>4161589</v>
      </c>
      <c r="W23" s="150">
        <v>5709813</v>
      </c>
      <c r="X23" s="150">
        <v>5710413</v>
      </c>
      <c r="Y23" s="150">
        <v>5710688</v>
      </c>
      <c r="Z23" s="150">
        <v>5766068</v>
      </c>
      <c r="AA23" s="150">
        <v>5789568</v>
      </c>
      <c r="AB23" s="150">
        <v>5794678</v>
      </c>
      <c r="AC23" s="150">
        <v>5897898</v>
      </c>
      <c r="AD23" s="150">
        <v>5898098</v>
      </c>
      <c r="AE23" s="193">
        <v>5903168</v>
      </c>
      <c r="AF23" s="193">
        <v>6350418</v>
      </c>
      <c r="AG23" s="193">
        <v>6398798</v>
      </c>
      <c r="AH23" s="193">
        <v>6445228</v>
      </c>
      <c r="AI23" s="193">
        <v>4710275</v>
      </c>
      <c r="AJ23" s="193">
        <v>4710275</v>
      </c>
      <c r="AK23" s="193"/>
      <c r="AL23" s="193">
        <v>6517848</v>
      </c>
      <c r="AM23" s="193">
        <v>6538198</v>
      </c>
      <c r="AN23" s="193">
        <v>6547478</v>
      </c>
      <c r="AO23" s="193">
        <v>5789568</v>
      </c>
      <c r="AP23" s="193">
        <v>6707718</v>
      </c>
      <c r="AQ23" s="193">
        <v>6834418</v>
      </c>
      <c r="AR23" s="193">
        <v>6900800</v>
      </c>
      <c r="AS23" s="193">
        <v>6958800</v>
      </c>
      <c r="AT23" s="193"/>
      <c r="AU23" s="193">
        <v>7476357</v>
      </c>
      <c r="AV23" s="193">
        <v>7487007</v>
      </c>
      <c r="AW23" s="251">
        <v>5040538</v>
      </c>
      <c r="AX23" s="394"/>
      <c r="AY23" s="394"/>
      <c r="AZ23" s="394">
        <v>11040351</v>
      </c>
      <c r="BA23" s="242">
        <v>22128162</v>
      </c>
      <c r="BB23" s="242">
        <v>11080881</v>
      </c>
      <c r="BC23" s="242">
        <v>11423155</v>
      </c>
      <c r="BD23" s="242">
        <v>11287581</v>
      </c>
      <c r="BE23" s="52">
        <v>11365081</v>
      </c>
      <c r="BF23" s="52">
        <v>11792846</v>
      </c>
      <c r="BH23" s="52">
        <v>12512496</v>
      </c>
      <c r="BI23" s="480">
        <v>12513496</v>
      </c>
      <c r="BJ23" s="480">
        <v>9322504</v>
      </c>
      <c r="BK23" s="480">
        <v>12546470</v>
      </c>
      <c r="BL23" s="480">
        <v>12560046</v>
      </c>
      <c r="BM23" s="480">
        <v>12734146</v>
      </c>
      <c r="BN23" s="480">
        <v>12734146</v>
      </c>
      <c r="BO23" s="480">
        <v>13044888</v>
      </c>
      <c r="BP23" s="480">
        <v>13103178</v>
      </c>
      <c r="BQ23" s="480">
        <v>13125688</v>
      </c>
      <c r="BR23" s="501">
        <v>13195688</v>
      </c>
      <c r="BS23" s="501">
        <v>13201553</v>
      </c>
      <c r="BT23" s="503">
        <v>13201503</v>
      </c>
      <c r="BU23" s="88">
        <v>15977003</v>
      </c>
      <c r="BV23" s="88">
        <v>14409715.630000001</v>
      </c>
      <c r="BW23" s="88">
        <v>7872296.5499999998</v>
      </c>
      <c r="BX23" s="88">
        <v>9244217</v>
      </c>
      <c r="BY23" s="88">
        <v>9244217</v>
      </c>
      <c r="BZ23" s="522">
        <v>9244217</v>
      </c>
      <c r="CA23" s="522">
        <v>23082854</v>
      </c>
      <c r="CB23" s="503">
        <v>17283839</v>
      </c>
      <c r="CC23" s="503">
        <v>19647299.359999999</v>
      </c>
      <c r="CD23" s="522">
        <v>19647299.359999999</v>
      </c>
      <c r="CE23" s="503">
        <v>17412276</v>
      </c>
      <c r="CF23" s="503">
        <v>17514216</v>
      </c>
      <c r="CG23" s="522">
        <v>0</v>
      </c>
      <c r="CH23" s="522">
        <v>18105794.859999999</v>
      </c>
      <c r="CI23" s="522">
        <v>9082567.9299999997</v>
      </c>
      <c r="CJ23" s="536">
        <v>9656041.9299999997</v>
      </c>
      <c r="CK23" s="562">
        <v>18272342</v>
      </c>
      <c r="CL23" s="562">
        <v>18272342</v>
      </c>
      <c r="CM23" s="522">
        <v>18272342</v>
      </c>
      <c r="CN23" s="562">
        <v>16423411</v>
      </c>
      <c r="CO23" s="562">
        <v>18650308</v>
      </c>
      <c r="CP23" s="522">
        <v>19012158</v>
      </c>
      <c r="CQ23" s="562">
        <v>19012158</v>
      </c>
      <c r="CR23" s="501">
        <v>19012158</v>
      </c>
      <c r="CS23" s="501">
        <v>19012158</v>
      </c>
      <c r="CT23" s="562">
        <v>19012158</v>
      </c>
      <c r="CU23" s="562">
        <v>16129752</v>
      </c>
      <c r="CV23" s="556">
        <v>10887952.5</v>
      </c>
      <c r="CW23" s="480">
        <v>10887952.5</v>
      </c>
      <c r="CX23" s="478">
        <v>19125047</v>
      </c>
      <c r="CY23" s="478">
        <v>19125047</v>
      </c>
      <c r="CZ23" s="478">
        <v>19125047</v>
      </c>
      <c r="DA23" s="478">
        <v>19125047</v>
      </c>
      <c r="DB23" s="478">
        <v>19466087</v>
      </c>
      <c r="DC23" s="478">
        <v>19466087</v>
      </c>
      <c r="DD23" s="478">
        <v>19721987</v>
      </c>
      <c r="DE23" s="522">
        <v>19721987</v>
      </c>
      <c r="DF23" s="522">
        <v>19721987</v>
      </c>
      <c r="DG23" s="522">
        <v>19735180</v>
      </c>
      <c r="DH23" s="522">
        <v>19735180</v>
      </c>
      <c r="DI23" s="522">
        <v>10208042.32</v>
      </c>
      <c r="DJ23" s="88">
        <v>10470169</v>
      </c>
      <c r="DK23" s="478">
        <v>10208042.32</v>
      </c>
      <c r="DL23" s="478">
        <v>10470169.439999999</v>
      </c>
      <c r="DM23" s="478">
        <v>10470169.439999999</v>
      </c>
      <c r="DN23" s="478">
        <v>10470169.439999999</v>
      </c>
      <c r="DO23" s="478">
        <v>10470169.439999999</v>
      </c>
      <c r="DP23" s="478">
        <v>12041267.439999999</v>
      </c>
      <c r="DQ23" s="478">
        <v>12041267.439999999</v>
      </c>
      <c r="DR23" s="478">
        <v>12273365.32</v>
      </c>
      <c r="DS23" s="522">
        <v>12273365.32</v>
      </c>
      <c r="DT23" s="522">
        <v>12403665.32</v>
      </c>
      <c r="DU23" s="522">
        <v>12403665.32</v>
      </c>
      <c r="DW23" s="87">
        <v>11312245</v>
      </c>
    </row>
    <row r="24" spans="2:127" ht="14.4" x14ac:dyDescent="0.25">
      <c r="B24" s="93" t="s">
        <v>55</v>
      </c>
      <c r="C24" s="149"/>
      <c r="D24" s="149"/>
      <c r="E24" s="150">
        <v>26215</v>
      </c>
      <c r="F24" s="151">
        <v>947552</v>
      </c>
      <c r="G24" s="150"/>
      <c r="H24" s="150">
        <v>0</v>
      </c>
      <c r="I24" s="150"/>
      <c r="J24" s="150">
        <v>0</v>
      </c>
      <c r="K24" s="150">
        <v>0</v>
      </c>
      <c r="L24" s="150">
        <v>0</v>
      </c>
      <c r="M24" s="150">
        <v>0</v>
      </c>
      <c r="N24" s="150">
        <v>0</v>
      </c>
      <c r="O24" s="150">
        <v>0</v>
      </c>
      <c r="P24" s="150">
        <v>0</v>
      </c>
      <c r="Q24" s="150">
        <v>0</v>
      </c>
      <c r="R24" s="150">
        <v>0</v>
      </c>
      <c r="S24" s="150">
        <v>0</v>
      </c>
      <c r="T24" s="150">
        <v>0</v>
      </c>
      <c r="U24" s="150">
        <v>0</v>
      </c>
      <c r="V24" s="150"/>
      <c r="W24" s="150"/>
      <c r="X24" s="150"/>
      <c r="Y24" s="150"/>
      <c r="Z24" s="150"/>
      <c r="AA24" s="150">
        <v>0</v>
      </c>
      <c r="AB24" s="150">
        <v>0</v>
      </c>
      <c r="AC24" s="150">
        <v>0</v>
      </c>
      <c r="AD24" s="150">
        <v>0</v>
      </c>
      <c r="AE24" s="193">
        <v>0</v>
      </c>
      <c r="AF24" s="193">
        <v>0</v>
      </c>
      <c r="AG24" s="193">
        <v>0</v>
      </c>
      <c r="AH24" s="193">
        <v>0</v>
      </c>
      <c r="AI24" s="193"/>
      <c r="AJ24" s="193"/>
      <c r="AK24" s="193"/>
      <c r="AL24" s="193">
        <v>0</v>
      </c>
      <c r="AM24" s="193">
        <v>0</v>
      </c>
      <c r="AN24" s="193">
        <v>0</v>
      </c>
      <c r="AO24" s="193">
        <v>0</v>
      </c>
      <c r="AP24" s="193">
        <v>0</v>
      </c>
      <c r="AQ24" s="193">
        <v>0</v>
      </c>
      <c r="AR24" s="193">
        <v>0</v>
      </c>
      <c r="AS24" s="193">
        <v>0</v>
      </c>
      <c r="AT24" s="193"/>
      <c r="AU24" s="193">
        <v>0</v>
      </c>
      <c r="AV24" s="193">
        <v>0</v>
      </c>
      <c r="AW24" s="251"/>
      <c r="AX24" s="394"/>
      <c r="AY24" s="394"/>
      <c r="AZ24" s="394">
        <v>0</v>
      </c>
      <c r="BA24" s="242">
        <v>0</v>
      </c>
      <c r="BB24" s="242">
        <v>0</v>
      </c>
      <c r="BC24" s="242">
        <v>0</v>
      </c>
      <c r="BD24" s="242">
        <v>0</v>
      </c>
      <c r="BE24" s="52">
        <v>0</v>
      </c>
      <c r="BH24" s="52">
        <v>0</v>
      </c>
      <c r="BI24" s="480">
        <v>0</v>
      </c>
      <c r="BK24" s="480">
        <v>0</v>
      </c>
      <c r="BL24" s="480">
        <v>0</v>
      </c>
      <c r="BM24" s="480">
        <v>0</v>
      </c>
      <c r="BN24" s="480">
        <v>0</v>
      </c>
      <c r="BO24" s="480">
        <v>0</v>
      </c>
      <c r="BP24" s="480">
        <v>0</v>
      </c>
      <c r="BQ24" s="480">
        <v>0</v>
      </c>
      <c r="BR24" s="480">
        <v>0</v>
      </c>
      <c r="BS24" s="480">
        <v>0</v>
      </c>
      <c r="BT24" s="480">
        <v>0</v>
      </c>
      <c r="BU24" s="88">
        <v>0</v>
      </c>
      <c r="BV24" s="88">
        <v>0</v>
      </c>
      <c r="BW24" s="88"/>
      <c r="BX24" s="88">
        <v>0</v>
      </c>
      <c r="BY24" s="88">
        <v>0</v>
      </c>
      <c r="BZ24" s="522">
        <v>0</v>
      </c>
      <c r="CA24" s="522">
        <v>0</v>
      </c>
      <c r="CB24" s="522"/>
      <c r="CC24" s="522"/>
      <c r="CE24" s="522"/>
      <c r="CF24" s="522"/>
      <c r="CJ24" s="536"/>
      <c r="CK24" s="562">
        <v>0</v>
      </c>
      <c r="CL24" s="562">
        <v>0</v>
      </c>
      <c r="CM24" s="522">
        <v>0</v>
      </c>
      <c r="CN24" s="562">
        <v>0</v>
      </c>
      <c r="CO24" s="562">
        <v>0</v>
      </c>
      <c r="CP24" s="522">
        <v>0</v>
      </c>
      <c r="CQ24" s="562">
        <v>0</v>
      </c>
      <c r="CR24" s="501">
        <v>0</v>
      </c>
      <c r="CS24" s="501">
        <v>0</v>
      </c>
      <c r="CT24" s="562">
        <v>0</v>
      </c>
      <c r="CU24" s="562">
        <v>0</v>
      </c>
      <c r="CV24" s="211"/>
      <c r="CW24" s="480"/>
      <c r="CX24" s="478">
        <v>0</v>
      </c>
      <c r="CY24" s="478">
        <v>0</v>
      </c>
      <c r="CZ24" s="478">
        <v>0</v>
      </c>
      <c r="DA24" s="478">
        <v>0</v>
      </c>
      <c r="DB24" s="478">
        <v>0</v>
      </c>
      <c r="DC24" s="478">
        <v>0</v>
      </c>
      <c r="DD24" s="478">
        <v>0</v>
      </c>
      <c r="DE24" s="522">
        <v>0</v>
      </c>
      <c r="DF24" s="522">
        <v>0</v>
      </c>
      <c r="DG24" s="522">
        <v>0</v>
      </c>
      <c r="DH24" s="522">
        <v>0</v>
      </c>
      <c r="DI24" s="522">
        <v>0</v>
      </c>
      <c r="DK24" s="478">
        <v>0</v>
      </c>
      <c r="DL24" s="478">
        <v>0</v>
      </c>
      <c r="DM24" s="478">
        <v>0</v>
      </c>
      <c r="DN24" s="478">
        <v>0</v>
      </c>
      <c r="DO24" s="478">
        <v>0</v>
      </c>
      <c r="DP24" s="478">
        <v>0</v>
      </c>
      <c r="DQ24" s="478">
        <v>0</v>
      </c>
      <c r="DR24" s="478">
        <v>0</v>
      </c>
      <c r="DS24" s="522">
        <v>0</v>
      </c>
      <c r="DT24" s="522">
        <v>0</v>
      </c>
      <c r="DU24" s="522">
        <v>0</v>
      </c>
    </row>
    <row r="25" spans="2:127" ht="14.4" customHeight="1" x14ac:dyDescent="0.25">
      <c r="B25" s="93" t="s">
        <v>56</v>
      </c>
      <c r="C25" s="149"/>
      <c r="D25" s="149"/>
      <c r="E25" s="150"/>
      <c r="F25" s="151">
        <v>0</v>
      </c>
      <c r="G25" s="150">
        <v>490000</v>
      </c>
      <c r="H25" s="150">
        <v>142000</v>
      </c>
      <c r="I25" s="150">
        <v>343000</v>
      </c>
      <c r="J25" s="150">
        <v>284000</v>
      </c>
      <c r="K25" s="150">
        <v>142000</v>
      </c>
      <c r="L25" s="150">
        <v>142000</v>
      </c>
      <c r="M25" s="150">
        <v>142000</v>
      </c>
      <c r="N25" s="150">
        <v>142000</v>
      </c>
      <c r="O25" s="150">
        <v>142000</v>
      </c>
      <c r="P25" s="150">
        <v>142000</v>
      </c>
      <c r="Q25" s="150">
        <v>142000</v>
      </c>
      <c r="R25" s="150">
        <v>142000</v>
      </c>
      <c r="S25" s="150">
        <v>142000</v>
      </c>
      <c r="T25" s="150">
        <v>142000</v>
      </c>
      <c r="U25" s="150">
        <v>142000</v>
      </c>
      <c r="V25" s="150">
        <v>273000</v>
      </c>
      <c r="W25" s="150">
        <v>142000</v>
      </c>
      <c r="X25" s="150">
        <v>142000</v>
      </c>
      <c r="Y25" s="150">
        <v>142000</v>
      </c>
      <c r="Z25" s="150">
        <v>142000</v>
      </c>
      <c r="AA25" s="150">
        <v>142000</v>
      </c>
      <c r="AB25" s="150">
        <v>142000</v>
      </c>
      <c r="AC25" s="150">
        <v>142000</v>
      </c>
      <c r="AD25" s="150">
        <v>142000</v>
      </c>
      <c r="AE25" s="193">
        <v>142000</v>
      </c>
      <c r="AF25" s="193">
        <v>142000</v>
      </c>
      <c r="AG25" s="193">
        <v>142000</v>
      </c>
      <c r="AH25" s="193">
        <v>142000</v>
      </c>
      <c r="AI25" s="193">
        <v>191100</v>
      </c>
      <c r="AJ25" s="193">
        <v>191100</v>
      </c>
      <c r="AK25" s="193"/>
      <c r="AL25" s="193">
        <v>142000</v>
      </c>
      <c r="AM25" s="193">
        <v>142000</v>
      </c>
      <c r="AN25" s="193">
        <v>142000</v>
      </c>
      <c r="AO25" s="193">
        <v>142000</v>
      </c>
      <c r="AP25" s="193">
        <v>142000</v>
      </c>
      <c r="AQ25" s="193">
        <v>142000</v>
      </c>
      <c r="AR25" s="193">
        <v>142000</v>
      </c>
      <c r="AS25" s="193">
        <v>142000</v>
      </c>
      <c r="AT25" s="193"/>
      <c r="AU25" s="193">
        <v>142000</v>
      </c>
      <c r="AV25" s="193">
        <v>142000</v>
      </c>
      <c r="AW25" s="251">
        <v>133770</v>
      </c>
      <c r="AX25" s="394"/>
      <c r="AY25" s="394"/>
      <c r="AZ25" s="394">
        <v>142000</v>
      </c>
      <c r="BA25" s="242">
        <v>284000</v>
      </c>
      <c r="BB25" s="242">
        <v>142000</v>
      </c>
      <c r="BC25" s="242">
        <v>142000</v>
      </c>
      <c r="BD25" s="242">
        <v>201000</v>
      </c>
      <c r="BE25" s="52">
        <v>201000</v>
      </c>
      <c r="BF25" s="99">
        <v>201000</v>
      </c>
      <c r="BH25" s="52">
        <v>201000</v>
      </c>
      <c r="BI25" s="480">
        <v>201000</v>
      </c>
      <c r="BJ25" s="480">
        <v>93639</v>
      </c>
      <c r="BK25" s="480">
        <v>201000</v>
      </c>
      <c r="BL25" s="480">
        <v>201000</v>
      </c>
      <c r="BM25" s="480">
        <v>201000</v>
      </c>
      <c r="BN25" s="480">
        <v>201000</v>
      </c>
      <c r="BO25" s="480">
        <v>201000</v>
      </c>
      <c r="BP25" s="480">
        <v>201000</v>
      </c>
      <c r="BQ25" s="480">
        <v>201000</v>
      </c>
      <c r="BR25" s="501">
        <v>201000</v>
      </c>
      <c r="BS25" s="501">
        <v>201000</v>
      </c>
      <c r="BT25" s="503">
        <v>201000</v>
      </c>
      <c r="BU25" s="88">
        <v>201000</v>
      </c>
      <c r="BV25" s="88">
        <v>201000</v>
      </c>
      <c r="BW25" s="88">
        <v>4323488</v>
      </c>
      <c r="BX25" s="88">
        <v>5936000</v>
      </c>
      <c r="BY25" s="88">
        <v>5936000</v>
      </c>
      <c r="BZ25" s="522">
        <v>5936000</v>
      </c>
      <c r="CA25" s="522">
        <v>5936000</v>
      </c>
      <c r="CB25" s="503">
        <v>5536000</v>
      </c>
      <c r="CC25" s="503">
        <v>5936000</v>
      </c>
      <c r="CD25" s="503">
        <v>5936000</v>
      </c>
      <c r="CE25" s="503">
        <v>5978500</v>
      </c>
      <c r="CF25" s="503">
        <v>5978500</v>
      </c>
      <c r="CG25" s="503">
        <v>5978500</v>
      </c>
      <c r="CH25" s="503">
        <v>5978500</v>
      </c>
      <c r="CI25" s="529">
        <v>4323488</v>
      </c>
      <c r="CJ25" s="535">
        <v>4650553</v>
      </c>
      <c r="CK25" s="562">
        <v>4565553</v>
      </c>
      <c r="CL25" s="562">
        <v>4565553</v>
      </c>
      <c r="CM25" s="522">
        <v>4565553</v>
      </c>
      <c r="CN25" s="562">
        <v>6021000</v>
      </c>
      <c r="CO25" s="562">
        <v>4565553</v>
      </c>
      <c r="CP25" s="562">
        <v>6021000</v>
      </c>
      <c r="CQ25" s="562">
        <v>6021000</v>
      </c>
      <c r="CR25" s="503">
        <v>6021000</v>
      </c>
      <c r="CS25" s="503">
        <v>6395076.1100000003</v>
      </c>
      <c r="CT25" s="503">
        <v>6395076.1100000003</v>
      </c>
      <c r="CU25" s="503">
        <v>6395076.1100000003</v>
      </c>
      <c r="CV25" s="495">
        <v>4783235.88</v>
      </c>
      <c r="CW25" s="480">
        <v>4783235.88</v>
      </c>
      <c r="CX25" s="478">
        <v>6609738</v>
      </c>
      <c r="CY25" s="478">
        <v>6609738</v>
      </c>
      <c r="CZ25" s="478">
        <v>6609738</v>
      </c>
      <c r="DA25" s="478">
        <v>6609738</v>
      </c>
      <c r="DB25" s="478">
        <v>6609738</v>
      </c>
      <c r="DC25" s="478">
        <v>6609738</v>
      </c>
      <c r="DD25" s="478">
        <v>6703675.1799999997</v>
      </c>
      <c r="DE25" s="522">
        <v>6703675.1799999997</v>
      </c>
      <c r="DF25" s="522">
        <v>6703675.1799999997</v>
      </c>
      <c r="DG25" s="522">
        <v>6703675.1799999997</v>
      </c>
      <c r="DH25" s="522">
        <v>6703675.1799999997</v>
      </c>
      <c r="DI25" s="522">
        <v>5304912.29</v>
      </c>
      <c r="DJ25" s="88">
        <v>5304912</v>
      </c>
      <c r="DK25" s="478">
        <v>5304912.29</v>
      </c>
      <c r="DL25" s="478">
        <v>5304912.29</v>
      </c>
      <c r="DM25" s="478">
        <v>5304912.29</v>
      </c>
      <c r="DN25" s="478">
        <v>6004912.29</v>
      </c>
      <c r="DO25" s="478">
        <v>6004912.29</v>
      </c>
      <c r="DP25" s="478">
        <v>6704412.29</v>
      </c>
      <c r="DQ25" s="478">
        <v>6609738.1799999997</v>
      </c>
      <c r="DR25" s="478">
        <v>6609738.1799999997</v>
      </c>
      <c r="DS25" s="522">
        <v>6609738.1799999997</v>
      </c>
      <c r="DT25" s="522">
        <v>6609738.1799999997</v>
      </c>
      <c r="DU25" s="522">
        <v>6609738.1799999997</v>
      </c>
      <c r="DW25" s="87">
        <v>6383993</v>
      </c>
    </row>
    <row r="26" spans="2:127" ht="14.4" x14ac:dyDescent="0.25">
      <c r="B26" s="93" t="s">
        <v>57</v>
      </c>
      <c r="C26" s="153"/>
      <c r="D26" s="160"/>
      <c r="E26" s="150"/>
      <c r="F26" s="151">
        <v>400000</v>
      </c>
      <c r="G26" s="150">
        <v>548475</v>
      </c>
      <c r="H26" s="150">
        <v>0</v>
      </c>
      <c r="I26" s="150">
        <v>298800</v>
      </c>
      <c r="J26" s="150">
        <v>0</v>
      </c>
      <c r="K26" s="150">
        <v>0</v>
      </c>
      <c r="L26" s="150">
        <v>0</v>
      </c>
      <c r="M26" s="150">
        <v>0</v>
      </c>
      <c r="N26" s="150">
        <v>0</v>
      </c>
      <c r="O26" s="150">
        <v>0</v>
      </c>
      <c r="P26" s="150">
        <v>0</v>
      </c>
      <c r="Q26" s="150">
        <v>0</v>
      </c>
      <c r="R26" s="150">
        <v>0</v>
      </c>
      <c r="S26" s="150">
        <v>0</v>
      </c>
      <c r="T26" s="150">
        <v>0</v>
      </c>
      <c r="U26" s="150">
        <v>0</v>
      </c>
      <c r="V26" s="150">
        <v>398800</v>
      </c>
      <c r="W26" s="150"/>
      <c r="X26" s="150"/>
      <c r="Y26" s="150"/>
      <c r="Z26" s="150"/>
      <c r="AA26" s="150">
        <v>0</v>
      </c>
      <c r="AB26" s="150">
        <v>0</v>
      </c>
      <c r="AC26" s="150">
        <v>0</v>
      </c>
      <c r="AD26" s="150"/>
      <c r="AE26" s="150"/>
      <c r="AF26" s="150"/>
      <c r="AG26" s="150"/>
      <c r="AH26" s="150"/>
      <c r="AI26" s="150">
        <f>398800+309647</f>
        <v>708447</v>
      </c>
      <c r="AJ26" s="150">
        <v>398800</v>
      </c>
      <c r="AK26" s="150"/>
      <c r="AL26" s="150"/>
      <c r="AM26" s="193">
        <v>93900</v>
      </c>
      <c r="AN26" s="193">
        <v>148400</v>
      </c>
      <c r="AO26" s="193"/>
      <c r="AP26" s="193">
        <v>148400</v>
      </c>
      <c r="AQ26" s="193">
        <v>148400</v>
      </c>
      <c r="AR26" s="193">
        <v>148400</v>
      </c>
      <c r="AS26" s="193">
        <v>148400</v>
      </c>
      <c r="AT26" s="193"/>
      <c r="AU26" s="193">
        <v>173274</v>
      </c>
      <c r="AV26" s="193">
        <v>173274</v>
      </c>
      <c r="AW26" s="251">
        <v>398800</v>
      </c>
      <c r="AX26" s="394"/>
      <c r="AY26" s="394"/>
      <c r="AZ26" s="394">
        <v>173274</v>
      </c>
      <c r="BA26" s="242">
        <v>400548</v>
      </c>
      <c r="BB26" s="242">
        <v>200274</v>
      </c>
      <c r="BC26" s="242">
        <v>26745740.449999999</v>
      </c>
      <c r="BD26" s="150">
        <v>200274</v>
      </c>
      <c r="BE26" s="122">
        <v>200974</v>
      </c>
      <c r="BF26" s="52">
        <v>200974</v>
      </c>
      <c r="BH26" s="52">
        <v>221324</v>
      </c>
      <c r="BI26" s="480">
        <v>228524</v>
      </c>
      <c r="BJ26" s="480">
        <v>398800</v>
      </c>
      <c r="BK26" s="480">
        <v>228524</v>
      </c>
      <c r="BL26" s="480">
        <v>233024</v>
      </c>
      <c r="BM26" s="480">
        <v>233024</v>
      </c>
      <c r="BN26" s="480">
        <v>233024</v>
      </c>
      <c r="BO26" s="480">
        <v>233024</v>
      </c>
      <c r="BP26" s="480">
        <v>233024</v>
      </c>
      <c r="BQ26" s="480">
        <v>233024</v>
      </c>
      <c r="BR26" s="501">
        <v>233024</v>
      </c>
      <c r="BS26" s="501">
        <v>233024</v>
      </c>
      <c r="BT26" s="503">
        <v>233024</v>
      </c>
      <c r="BU26" s="88">
        <v>233024</v>
      </c>
      <c r="BV26" s="88">
        <v>233024</v>
      </c>
      <c r="BW26" s="88">
        <v>398800</v>
      </c>
      <c r="BX26" s="88">
        <v>233024</v>
      </c>
      <c r="BY26" s="88">
        <v>233024</v>
      </c>
      <c r="BZ26" s="522">
        <v>233024</v>
      </c>
      <c r="CA26" s="522">
        <v>233024</v>
      </c>
      <c r="CB26" s="503">
        <v>233024</v>
      </c>
      <c r="CC26" s="503">
        <v>233024</v>
      </c>
      <c r="CD26" s="503">
        <v>233024</v>
      </c>
      <c r="CE26" s="503">
        <v>233024</v>
      </c>
      <c r="CF26" s="503">
        <v>233024</v>
      </c>
      <c r="CG26" s="503">
        <v>233024</v>
      </c>
      <c r="CH26" s="503">
        <v>233024</v>
      </c>
      <c r="CI26" s="522"/>
      <c r="CJ26" s="536">
        <v>398800</v>
      </c>
      <c r="CK26" s="562">
        <f>'[4]balance sheet'!$D$14</f>
        <v>398800</v>
      </c>
      <c r="CL26" s="562">
        <f>'[4]balance sheet'!$D$14</f>
        <v>398800</v>
      </c>
      <c r="CM26" s="88">
        <v>398800</v>
      </c>
      <c r="CN26" s="562">
        <v>233024</v>
      </c>
      <c r="CO26" s="562">
        <f>'[4]balance sheet'!$D$14</f>
        <v>398800</v>
      </c>
      <c r="CP26" s="562">
        <f>'[4]balance sheet'!$D$14</f>
        <v>398800</v>
      </c>
      <c r="CQ26" s="562">
        <f>'[4]balance sheet'!$D$14</f>
        <v>398800</v>
      </c>
      <c r="CR26" s="562">
        <f>'[4]balance sheet'!$D$14</f>
        <v>398800</v>
      </c>
      <c r="CS26" s="562">
        <v>283308</v>
      </c>
      <c r="CT26" s="562">
        <v>283308</v>
      </c>
      <c r="CU26" s="562">
        <v>283308</v>
      </c>
      <c r="CV26" s="556">
        <v>283308</v>
      </c>
      <c r="CW26" s="480">
        <v>283308</v>
      </c>
      <c r="CX26" s="478">
        <v>283308</v>
      </c>
      <c r="CY26" s="478">
        <v>283308</v>
      </c>
      <c r="CZ26" s="478">
        <v>283308</v>
      </c>
      <c r="DA26" s="478">
        <v>283308</v>
      </c>
      <c r="DB26" s="478">
        <v>283308</v>
      </c>
      <c r="DC26" s="478">
        <v>283308</v>
      </c>
      <c r="DD26" s="478">
        <v>233024</v>
      </c>
      <c r="DE26" s="522">
        <v>233024</v>
      </c>
      <c r="DF26" s="522">
        <v>233024</v>
      </c>
      <c r="DG26" s="522">
        <v>233024</v>
      </c>
      <c r="DH26" s="522">
        <v>233024</v>
      </c>
      <c r="DI26" s="522">
        <v>283009</v>
      </c>
      <c r="DJ26" s="88">
        <v>283009</v>
      </c>
      <c r="DK26" s="478">
        <v>233024</v>
      </c>
      <c r="DL26" s="478">
        <v>233024</v>
      </c>
      <c r="DM26" s="478">
        <v>233024</v>
      </c>
      <c r="DN26" s="478">
        <v>233024</v>
      </c>
      <c r="DO26" s="478">
        <v>233024</v>
      </c>
      <c r="DP26" s="478">
        <v>233024</v>
      </c>
      <c r="DQ26" s="478">
        <v>233024</v>
      </c>
      <c r="DR26" s="478">
        <v>233024</v>
      </c>
      <c r="DS26" s="522">
        <v>233024</v>
      </c>
      <c r="DT26" s="522">
        <v>233024</v>
      </c>
      <c r="DU26" s="522">
        <v>233024</v>
      </c>
      <c r="DW26" s="87">
        <v>265509</v>
      </c>
    </row>
    <row r="27" spans="2:127" ht="13.2" x14ac:dyDescent="0.25">
      <c r="B27" s="95" t="s">
        <v>58</v>
      </c>
      <c r="C27" s="169">
        <f>C5+C8+C9+C14+C17+C21</f>
        <v>3475410</v>
      </c>
      <c r="D27" s="169">
        <f>D5+D8+D9+D14+D17+D21</f>
        <v>8750647</v>
      </c>
      <c r="E27" s="169">
        <f t="shared" ref="E27:V27" si="35">E5+E8+E9+E14+E17+E21</f>
        <v>19015501</v>
      </c>
      <c r="F27" s="169">
        <f t="shared" si="35"/>
        <v>35649419</v>
      </c>
      <c r="G27" s="169">
        <f t="shared" si="35"/>
        <v>48282362</v>
      </c>
      <c r="H27" s="169">
        <f t="shared" si="35"/>
        <v>75358468.930000007</v>
      </c>
      <c r="I27" s="169">
        <f t="shared" si="35"/>
        <v>71384601</v>
      </c>
      <c r="J27" s="169">
        <f t="shared" si="35"/>
        <v>153656532.81</v>
      </c>
      <c r="K27" s="169">
        <f t="shared" si="35"/>
        <v>79719231.510000005</v>
      </c>
      <c r="L27" s="169">
        <f t="shared" si="35"/>
        <v>80127704.75</v>
      </c>
      <c r="M27" s="169">
        <f t="shared" si="35"/>
        <v>81874455.099999994</v>
      </c>
      <c r="N27" s="169">
        <f t="shared" si="35"/>
        <v>83577681.290000007</v>
      </c>
      <c r="O27" s="169">
        <f t="shared" si="35"/>
        <v>86109025.790000007</v>
      </c>
      <c r="P27" s="169">
        <f t="shared" si="35"/>
        <v>89262963.469999999</v>
      </c>
      <c r="Q27" s="169">
        <f t="shared" si="35"/>
        <v>90911156.569999993</v>
      </c>
      <c r="R27" s="169">
        <f t="shared" si="35"/>
        <v>92731467.870000005</v>
      </c>
      <c r="S27" s="169">
        <f t="shared" si="35"/>
        <v>95430775.159999996</v>
      </c>
      <c r="T27" s="169">
        <f t="shared" si="35"/>
        <v>95783416.780000001</v>
      </c>
      <c r="U27" s="169">
        <f t="shared" si="35"/>
        <v>92242724.519999996</v>
      </c>
      <c r="V27" s="169">
        <f t="shared" si="35"/>
        <v>91290359</v>
      </c>
      <c r="W27" s="169">
        <f t="shared" ref="W27:AD27" si="36">W5+W8+W9+W14+W17+W21</f>
        <v>92000265.370000005</v>
      </c>
      <c r="X27" s="169">
        <f t="shared" si="36"/>
        <v>92421574.070000008</v>
      </c>
      <c r="Y27" s="169">
        <f t="shared" si="36"/>
        <v>93152551.789999992</v>
      </c>
      <c r="Z27" s="169">
        <f t="shared" si="36"/>
        <v>100044498.22</v>
      </c>
      <c r="AA27" s="169">
        <f t="shared" si="36"/>
        <v>103833280.7</v>
      </c>
      <c r="AB27" s="169">
        <f t="shared" si="36"/>
        <v>107262965.75</v>
      </c>
      <c r="AC27" s="169">
        <f t="shared" si="36"/>
        <v>110008263.95000002</v>
      </c>
      <c r="AD27" s="169">
        <f t="shared" si="36"/>
        <v>114962187.56</v>
      </c>
      <c r="AE27" s="169">
        <f t="shared" ref="AE27" si="37">AE5+AE8+AE9+AE14+AE17+AE21</f>
        <v>117343935.54000001</v>
      </c>
      <c r="AF27" s="169">
        <f>AF5+AF8+AF9+AF14+AF17+AF21</f>
        <v>119298970.81999999</v>
      </c>
      <c r="AG27" s="169">
        <f>AG5+AG8+AG9+AG14+AG17+AG21</f>
        <v>122876354.84999999</v>
      </c>
      <c r="AH27" s="169">
        <f>AH5+AH8+AH9+AH14+AH17+AH21</f>
        <v>122310491.37</v>
      </c>
      <c r="AI27" s="169">
        <f>AI5+AI8+AI9+AI14+AI17+AI21</f>
        <v>127846174</v>
      </c>
      <c r="AJ27" s="169">
        <f>AJ5+AJ8+AJ9+AJ14+AJ17+AJ21</f>
        <v>125790259</v>
      </c>
      <c r="AK27" s="169">
        <f t="shared" ref="AK27:AN27" si="38">AK5+AK8+AK9+AK14+AK17+AK21</f>
        <v>0</v>
      </c>
      <c r="AL27" s="169">
        <f t="shared" si="38"/>
        <v>125764731.88</v>
      </c>
      <c r="AM27" s="169">
        <f t="shared" si="38"/>
        <v>127056881.47999999</v>
      </c>
      <c r="AN27" s="169">
        <f t="shared" si="38"/>
        <v>110686199.05</v>
      </c>
      <c r="AO27" s="169">
        <f t="shared" ref="AO27:AP27" si="39">AO5+AO8+AO9+AO14+AO17+AO21</f>
        <v>108633280.7</v>
      </c>
      <c r="AP27" s="169">
        <f t="shared" si="39"/>
        <v>110898720.27</v>
      </c>
      <c r="AQ27" s="169">
        <f t="shared" ref="AQ27:AR27" si="40">AQ5+AQ8+AQ9+AQ14+AQ17+AQ21</f>
        <v>130384112.89</v>
      </c>
      <c r="AR27" s="169">
        <f t="shared" si="40"/>
        <v>133201698.92999999</v>
      </c>
      <c r="AS27" s="169">
        <f>AS5+AS8+AS9+AS14+AS17+AS21</f>
        <v>137268295.05000001</v>
      </c>
      <c r="AT27" s="169">
        <f t="shared" ref="AT27:CC27" si="41">AT5+AT8+AT9+AT14+AT17+AT21</f>
        <v>0</v>
      </c>
      <c r="AU27" s="169">
        <f t="shared" si="41"/>
        <v>148167002.78</v>
      </c>
      <c r="AV27" s="169">
        <f t="shared" si="41"/>
        <v>152634446.25</v>
      </c>
      <c r="AW27" s="169">
        <f t="shared" si="41"/>
        <v>149933787</v>
      </c>
      <c r="AX27" s="169">
        <f t="shared" si="41"/>
        <v>0</v>
      </c>
      <c r="AY27" s="169">
        <f t="shared" si="41"/>
        <v>0</v>
      </c>
      <c r="AZ27" s="169">
        <f t="shared" si="41"/>
        <v>153242700.89000002</v>
      </c>
      <c r="BA27" s="169">
        <f t="shared" si="41"/>
        <v>323559652.60000002</v>
      </c>
      <c r="BB27" s="169">
        <f t="shared" si="41"/>
        <v>158393440.91</v>
      </c>
      <c r="BC27" s="169">
        <f t="shared" si="41"/>
        <v>188002594.99000001</v>
      </c>
      <c r="BD27" s="169">
        <f t="shared" si="41"/>
        <v>163515554.70999998</v>
      </c>
      <c r="BE27" s="169">
        <f t="shared" si="41"/>
        <v>168106191.09999999</v>
      </c>
      <c r="BF27" s="169">
        <f t="shared" si="41"/>
        <v>168454743</v>
      </c>
      <c r="BG27" s="169">
        <f t="shared" si="41"/>
        <v>0</v>
      </c>
      <c r="BH27" s="169">
        <f t="shared" si="41"/>
        <v>171150503.45999998</v>
      </c>
      <c r="BI27" s="169">
        <f t="shared" si="41"/>
        <v>170255269.72000003</v>
      </c>
      <c r="BJ27" s="169">
        <f t="shared" si="41"/>
        <v>169284069</v>
      </c>
      <c r="BK27" s="169">
        <f t="shared" si="41"/>
        <v>178505166.82999998</v>
      </c>
      <c r="BL27" s="169">
        <f t="shared" si="41"/>
        <v>179748075.58000001</v>
      </c>
      <c r="BM27" s="169">
        <f t="shared" si="41"/>
        <v>177192400.63</v>
      </c>
      <c r="BN27" s="169">
        <f t="shared" si="41"/>
        <v>179315948</v>
      </c>
      <c r="BO27" s="169">
        <f t="shared" si="41"/>
        <v>178839659</v>
      </c>
      <c r="BP27" s="169">
        <f t="shared" si="41"/>
        <v>180909645</v>
      </c>
      <c r="BQ27" s="169">
        <f t="shared" si="41"/>
        <v>183744291</v>
      </c>
      <c r="BR27" s="169">
        <f t="shared" si="41"/>
        <v>188367831</v>
      </c>
      <c r="BS27" s="169">
        <f t="shared" si="41"/>
        <v>188915694</v>
      </c>
      <c r="BT27" s="169">
        <f t="shared" si="41"/>
        <v>190101732</v>
      </c>
      <c r="BU27" s="169">
        <f t="shared" si="41"/>
        <v>199265016</v>
      </c>
      <c r="BV27" s="169">
        <f t="shared" si="41"/>
        <v>202472011.46000001</v>
      </c>
      <c r="BW27" s="169">
        <f t="shared" si="41"/>
        <v>213140555.74000001</v>
      </c>
      <c r="BX27" s="169">
        <f t="shared" si="41"/>
        <v>205362392</v>
      </c>
      <c r="BY27" s="169">
        <f t="shared" si="41"/>
        <v>202016148</v>
      </c>
      <c r="BZ27" s="169">
        <f t="shared" si="41"/>
        <v>211721145</v>
      </c>
      <c r="CA27" s="169">
        <f t="shared" si="41"/>
        <v>227722757</v>
      </c>
      <c r="CB27" s="169">
        <f t="shared" si="41"/>
        <v>226904993</v>
      </c>
      <c r="CC27" s="169">
        <f t="shared" si="41"/>
        <v>231872582</v>
      </c>
      <c r="CD27" s="169">
        <f t="shared" ref="CD27:DW27" si="42">CD5+CD8+CD9+CD14+CD17+CD21</f>
        <v>236573335.53000003</v>
      </c>
      <c r="CE27" s="169">
        <f t="shared" si="42"/>
        <v>241127480.56</v>
      </c>
      <c r="CF27" s="169">
        <f t="shared" si="42"/>
        <v>250075479</v>
      </c>
      <c r="CG27" s="169">
        <f t="shared" si="42"/>
        <v>262114038.84000003</v>
      </c>
      <c r="CH27" s="169">
        <f t="shared" si="42"/>
        <v>264392816.19999999</v>
      </c>
      <c r="CI27" s="169">
        <f t="shared" si="42"/>
        <v>251004939.96000001</v>
      </c>
      <c r="CJ27" s="169">
        <f>CJ5+CJ8+CJ9+CJ14+CJ17+CJ21</f>
        <v>252884527.96000001</v>
      </c>
      <c r="CK27" s="169">
        <f>CK5+CK8+CK9+CK14+CK17+CK21</f>
        <v>267886176.07999998</v>
      </c>
      <c r="CL27" s="169">
        <f t="shared" si="42"/>
        <v>273337266.11000001</v>
      </c>
      <c r="CM27" s="169">
        <f t="shared" si="42"/>
        <v>267305011.79999998</v>
      </c>
      <c r="CN27" s="169">
        <f t="shared" si="42"/>
        <v>272614569.00999999</v>
      </c>
      <c r="CO27" s="169">
        <f t="shared" si="42"/>
        <v>274644982.23000002</v>
      </c>
      <c r="CP27" s="169">
        <f t="shared" si="42"/>
        <v>286703727.97000003</v>
      </c>
      <c r="CQ27" s="169">
        <f t="shared" si="42"/>
        <v>286351423.56</v>
      </c>
      <c r="CR27" s="169">
        <f t="shared" si="42"/>
        <v>294319849.5</v>
      </c>
      <c r="CS27" s="169">
        <f t="shared" si="42"/>
        <v>303778885.72000003</v>
      </c>
      <c r="CT27" s="169">
        <f t="shared" si="42"/>
        <v>304653235.17000002</v>
      </c>
      <c r="CU27" s="169">
        <f t="shared" si="42"/>
        <v>308239570.23000002</v>
      </c>
      <c r="CV27" s="169">
        <f t="shared" si="42"/>
        <v>300182208.28999996</v>
      </c>
      <c r="CW27" s="169">
        <f t="shared" si="42"/>
        <v>299996601.59000003</v>
      </c>
      <c r="CX27" s="169">
        <f t="shared" si="42"/>
        <v>317414082.93000001</v>
      </c>
      <c r="CY27" s="169">
        <f t="shared" si="42"/>
        <v>327338344.93000001</v>
      </c>
      <c r="CZ27" s="169">
        <f t="shared" si="42"/>
        <v>319890699.30000001</v>
      </c>
      <c r="DA27" s="169">
        <f t="shared" si="42"/>
        <v>323835356.56999999</v>
      </c>
      <c r="DB27" s="169">
        <f t="shared" si="42"/>
        <v>329053783.39999998</v>
      </c>
      <c r="DC27" s="169">
        <f t="shared" si="42"/>
        <v>345075906.14999998</v>
      </c>
      <c r="DD27" s="169">
        <f t="shared" si="42"/>
        <v>352429711.83999997</v>
      </c>
      <c r="DE27" s="169">
        <f t="shared" si="42"/>
        <v>360110200.26999998</v>
      </c>
      <c r="DF27" s="169">
        <f t="shared" si="42"/>
        <v>367862824.90000004</v>
      </c>
      <c r="DG27" s="169">
        <f t="shared" si="42"/>
        <v>359856424.91000003</v>
      </c>
      <c r="DH27" s="169">
        <f t="shared" si="42"/>
        <v>369875316.55000001</v>
      </c>
      <c r="DI27" s="169">
        <f t="shared" si="42"/>
        <v>358251993.56000006</v>
      </c>
      <c r="DJ27" s="169">
        <f t="shared" si="42"/>
        <v>360561167</v>
      </c>
      <c r="DK27" s="169">
        <f t="shared" si="42"/>
        <v>366692769.48000002</v>
      </c>
      <c r="DL27" s="169">
        <f t="shared" si="42"/>
        <v>373411753.23000002</v>
      </c>
      <c r="DM27" s="169">
        <f t="shared" si="42"/>
        <v>366492387.59000003</v>
      </c>
      <c r="DN27" s="169">
        <f t="shared" si="42"/>
        <v>370456354.11000001</v>
      </c>
      <c r="DO27" s="169">
        <f t="shared" si="42"/>
        <v>372936990.75</v>
      </c>
      <c r="DP27" s="169">
        <f t="shared" si="42"/>
        <v>384166324.78000003</v>
      </c>
      <c r="DQ27" s="169">
        <f t="shared" si="42"/>
        <v>390435452.49000001</v>
      </c>
      <c r="DR27" s="169">
        <f t="shared" si="42"/>
        <v>395716671.09999996</v>
      </c>
      <c r="DS27" s="169">
        <f t="shared" si="42"/>
        <v>401797390.31999999</v>
      </c>
      <c r="DT27" s="169">
        <f t="shared" si="42"/>
        <v>407089720.03999996</v>
      </c>
      <c r="DU27" s="169">
        <f t="shared" si="42"/>
        <v>415397367.10000002</v>
      </c>
      <c r="DV27" s="169">
        <f t="shared" si="42"/>
        <v>0</v>
      </c>
      <c r="DW27" s="169">
        <f t="shared" si="42"/>
        <v>415120522</v>
      </c>
    </row>
    <row r="28" spans="2:127" ht="14.4" x14ac:dyDescent="0.25">
      <c r="B28" s="93" t="s">
        <v>59</v>
      </c>
      <c r="C28" s="149">
        <v>97922</v>
      </c>
      <c r="D28" s="149">
        <v>531852</v>
      </c>
      <c r="E28" s="150">
        <v>1324050</v>
      </c>
      <c r="F28" s="151">
        <v>2594007</v>
      </c>
      <c r="G28" s="150">
        <v>8012418</v>
      </c>
      <c r="H28" s="150">
        <v>1189925</v>
      </c>
      <c r="I28" s="150">
        <v>11468318</v>
      </c>
      <c r="J28" s="150">
        <v>2349166</v>
      </c>
      <c r="K28" s="150">
        <v>1377625.3</v>
      </c>
      <c r="L28" s="150">
        <v>1278331.3</v>
      </c>
      <c r="M28" s="150">
        <v>1328033.3</v>
      </c>
      <c r="N28" s="150">
        <v>1329475.3</v>
      </c>
      <c r="O28" s="150">
        <v>1518621.8</v>
      </c>
      <c r="P28" s="150">
        <v>2012881.1</v>
      </c>
      <c r="Q28" s="150">
        <v>2302081.1</v>
      </c>
      <c r="R28" s="150">
        <v>1783425.1</v>
      </c>
      <c r="S28" s="150">
        <v>2105182.1</v>
      </c>
      <c r="T28" s="150">
        <v>2012095.1</v>
      </c>
      <c r="U28" s="150">
        <v>1983098.5</v>
      </c>
      <c r="V28" s="150">
        <v>17644747</v>
      </c>
      <c r="W28" s="150">
        <v>2198600.9500000002</v>
      </c>
      <c r="X28" s="150">
        <v>1844070.5</v>
      </c>
      <c r="Y28" s="150">
        <v>2343143.5</v>
      </c>
      <c r="Z28" s="150">
        <v>2214796.5</v>
      </c>
      <c r="AA28" s="150">
        <v>3183600.5</v>
      </c>
      <c r="AB28" s="150">
        <v>1848801.5</v>
      </c>
      <c r="AC28" s="150">
        <v>2550142.5</v>
      </c>
      <c r="AD28" s="150">
        <v>3045696.5</v>
      </c>
      <c r="AE28" s="193">
        <v>3176476.5</v>
      </c>
      <c r="AF28" s="193">
        <v>2945999.5</v>
      </c>
      <c r="AG28" s="193">
        <v>3315428.5</v>
      </c>
      <c r="AH28" s="193">
        <v>3139236.5</v>
      </c>
      <c r="AI28" s="200">
        <v>31883601</v>
      </c>
      <c r="AJ28" s="193">
        <v>29828486</v>
      </c>
      <c r="AK28" s="193"/>
      <c r="AL28" s="193">
        <v>4912377.5</v>
      </c>
      <c r="AM28" s="193">
        <v>4912377.5</v>
      </c>
      <c r="AN28" s="193">
        <v>4912377.5</v>
      </c>
      <c r="AO28" s="193">
        <v>3183600.5</v>
      </c>
      <c r="AP28" s="193">
        <v>4912377.5</v>
      </c>
      <c r="AQ28" s="193">
        <v>4912377.5</v>
      </c>
      <c r="AR28" s="193">
        <v>4912377.5</v>
      </c>
      <c r="AS28" s="193">
        <v>4912377.5</v>
      </c>
      <c r="AT28" s="193"/>
      <c r="AU28" s="193">
        <v>4912377.5</v>
      </c>
      <c r="AV28" s="193">
        <v>29192641.82</v>
      </c>
      <c r="AW28" s="251">
        <v>30360370</v>
      </c>
      <c r="AX28" s="394"/>
      <c r="AY28" s="394"/>
      <c r="AZ28" s="394">
        <v>-29198403.02</v>
      </c>
      <c r="BA28" s="242">
        <v>-64185018.039999999</v>
      </c>
      <c r="BB28" s="242">
        <v>33494205.32</v>
      </c>
      <c r="BC28" s="242">
        <v>25201033</v>
      </c>
      <c r="BD28" s="242">
        <v>23344433.199999999</v>
      </c>
      <c r="BE28" s="52">
        <v>25309217.149999999</v>
      </c>
      <c r="BF28" s="52">
        <v>25532400.879999999</v>
      </c>
      <c r="BH28" s="52">
        <v>26278985</v>
      </c>
      <c r="BI28" s="480">
        <v>22442804.84</v>
      </c>
      <c r="BJ28" s="480">
        <v>28384296.399999999</v>
      </c>
      <c r="BK28" s="480">
        <v>9580252</v>
      </c>
      <c r="BL28" s="480">
        <v>28082298</v>
      </c>
      <c r="BM28" s="480">
        <v>28008191.66</v>
      </c>
      <c r="BN28" s="480">
        <v>28859163</v>
      </c>
      <c r="BO28" s="480">
        <v>25848317</v>
      </c>
      <c r="BP28" s="480">
        <v>27772412</v>
      </c>
      <c r="BQ28" s="480">
        <v>27420646</v>
      </c>
      <c r="BR28" s="501">
        <v>27389852</v>
      </c>
      <c r="BS28" s="501">
        <v>26153082</v>
      </c>
      <c r="BT28" s="503">
        <v>24495777</v>
      </c>
      <c r="BU28" s="88">
        <v>27357755</v>
      </c>
      <c r="BV28" s="88">
        <v>26798754</v>
      </c>
      <c r="BW28" s="88">
        <v>26798752.52</v>
      </c>
      <c r="BX28" s="88">
        <v>30867006</v>
      </c>
      <c r="BY28" s="88">
        <v>25344162</v>
      </c>
      <c r="BZ28" s="522">
        <v>30618493</v>
      </c>
      <c r="CA28" s="522">
        <v>26162355</v>
      </c>
      <c r="CB28" s="503">
        <v>32755176</v>
      </c>
      <c r="CC28" s="503">
        <v>33545089</v>
      </c>
      <c r="CD28" s="503">
        <v>33829353</v>
      </c>
      <c r="CE28" s="503">
        <v>33520751.23</v>
      </c>
      <c r="CF28" s="503">
        <v>36163641.719999999</v>
      </c>
      <c r="CG28" s="503">
        <v>34149048</v>
      </c>
      <c r="CH28" s="503">
        <v>34248881.869999997</v>
      </c>
      <c r="CI28" s="522">
        <v>30780080.989999998</v>
      </c>
      <c r="CJ28" s="536">
        <v>36226840.43</v>
      </c>
      <c r="CK28" s="541">
        <v>35092536</v>
      </c>
      <c r="CL28" s="522">
        <v>35675590.350000001</v>
      </c>
      <c r="CM28" s="522">
        <v>34961927.259999998</v>
      </c>
      <c r="CN28" s="563">
        <v>36238363</v>
      </c>
      <c r="CO28" s="565">
        <v>35279534.549999997</v>
      </c>
      <c r="CP28" s="522">
        <v>40183834.299999997</v>
      </c>
      <c r="CQ28" s="562">
        <v>35234293.469999999</v>
      </c>
      <c r="CR28" s="501">
        <v>36706312</v>
      </c>
      <c r="CS28" s="562">
        <v>37542852.659999996</v>
      </c>
      <c r="CT28" s="562">
        <v>37542852.659999996</v>
      </c>
      <c r="CU28" s="562">
        <v>37406572.539999999</v>
      </c>
      <c r="CV28" s="556">
        <v>30684412.030000001</v>
      </c>
      <c r="CW28" s="480">
        <v>42490600.719999999</v>
      </c>
      <c r="CX28" s="478">
        <v>40356510.5</v>
      </c>
      <c r="CY28" s="478">
        <v>44126736.200000003</v>
      </c>
      <c r="CZ28" s="478">
        <v>44833373.310000002</v>
      </c>
      <c r="DA28" s="478">
        <v>44757038</v>
      </c>
      <c r="DB28" s="478">
        <v>43973474</v>
      </c>
      <c r="DC28" s="478">
        <v>45969817.990000002</v>
      </c>
      <c r="DD28" s="478">
        <v>47515134.119999997</v>
      </c>
      <c r="DE28" s="522">
        <v>48225265</v>
      </c>
      <c r="DF28" s="522">
        <v>54158548.229999997</v>
      </c>
      <c r="DG28" s="522">
        <v>44673424.009999998</v>
      </c>
      <c r="DH28" s="522">
        <v>46899778.439999998</v>
      </c>
      <c r="DI28" s="522">
        <v>43754700.850000001</v>
      </c>
      <c r="DJ28" s="88">
        <v>53205532</v>
      </c>
      <c r="DK28" s="478">
        <v>47784079.890000001</v>
      </c>
      <c r="DL28" s="478">
        <v>46326759.68</v>
      </c>
      <c r="DM28" s="478">
        <v>47641336.969999999</v>
      </c>
      <c r="DN28" s="478">
        <v>51852990.060000002</v>
      </c>
      <c r="DO28" s="478">
        <v>46366799.579999998</v>
      </c>
      <c r="DP28" s="478">
        <v>46819844.5</v>
      </c>
      <c r="DQ28" s="478">
        <v>46161312.039999999</v>
      </c>
      <c r="DR28" s="478">
        <v>46858157.549999997</v>
      </c>
      <c r="DS28" s="522">
        <v>44492963.100000001</v>
      </c>
      <c r="DT28" s="522">
        <v>46474691.57</v>
      </c>
      <c r="DU28" s="522">
        <v>47956549.159999996</v>
      </c>
      <c r="DW28" s="87">
        <v>42297148</v>
      </c>
    </row>
    <row r="29" spans="2:127" ht="14.4" x14ac:dyDescent="0.25">
      <c r="B29" s="93" t="s">
        <v>60</v>
      </c>
      <c r="C29" s="149"/>
      <c r="D29" s="149"/>
      <c r="E29" s="150"/>
      <c r="F29" s="151">
        <v>0</v>
      </c>
      <c r="G29" s="150">
        <v>0</v>
      </c>
      <c r="H29" s="150">
        <v>1013916</v>
      </c>
      <c r="I29" s="150"/>
      <c r="J29" s="150">
        <v>2030127</v>
      </c>
      <c r="K29" s="150">
        <v>1016211</v>
      </c>
      <c r="L29" s="150">
        <v>1016211</v>
      </c>
      <c r="M29" s="150">
        <v>1016211</v>
      </c>
      <c r="N29" s="150">
        <v>1016211</v>
      </c>
      <c r="O29" s="150">
        <v>1016211</v>
      </c>
      <c r="P29" s="150">
        <v>1016211</v>
      </c>
      <c r="Q29" s="150">
        <v>1016211</v>
      </c>
      <c r="R29" s="150">
        <v>1016211</v>
      </c>
      <c r="S29" s="150">
        <v>1016211</v>
      </c>
      <c r="T29" s="150">
        <v>1016211</v>
      </c>
      <c r="U29" s="150">
        <v>1016211</v>
      </c>
      <c r="V29" s="150"/>
      <c r="W29" s="150">
        <v>1016211</v>
      </c>
      <c r="X29" s="150">
        <v>1016211</v>
      </c>
      <c r="Y29" s="150">
        <v>1016211</v>
      </c>
      <c r="Z29" s="150">
        <v>1016211</v>
      </c>
      <c r="AA29" s="150">
        <v>1016211</v>
      </c>
      <c r="AB29" s="150">
        <v>1016211</v>
      </c>
      <c r="AC29" s="150">
        <v>1016211</v>
      </c>
      <c r="AD29" s="150">
        <v>1016211</v>
      </c>
      <c r="AE29" s="193">
        <v>1016211</v>
      </c>
      <c r="AF29" s="193">
        <v>1016211</v>
      </c>
      <c r="AG29" s="193">
        <v>1016211</v>
      </c>
      <c r="AH29" s="193">
        <v>1016211</v>
      </c>
      <c r="AI29" s="193"/>
      <c r="AJ29" s="193"/>
      <c r="AK29" s="193"/>
      <c r="AL29" s="193">
        <v>1016211</v>
      </c>
      <c r="AM29" s="193">
        <v>1016211</v>
      </c>
      <c r="AN29" s="193">
        <v>1016211</v>
      </c>
      <c r="AO29" s="193">
        <v>1016211</v>
      </c>
      <c r="AP29" s="193">
        <v>1016211</v>
      </c>
      <c r="AQ29" s="193">
        <v>1016211</v>
      </c>
      <c r="AR29" s="193">
        <v>1016211</v>
      </c>
      <c r="AS29" s="193">
        <v>1016211</v>
      </c>
      <c r="AT29" s="193"/>
      <c r="AU29" s="193">
        <v>1016211</v>
      </c>
      <c r="AV29" s="200">
        <v>1159711</v>
      </c>
      <c r="AW29" s="379"/>
      <c r="AX29" s="394"/>
      <c r="AY29" s="394"/>
      <c r="AZ29" s="394">
        <v>-1475411</v>
      </c>
      <c r="BA29" s="242">
        <v>3605506</v>
      </c>
      <c r="BB29" s="242">
        <v>1782753</v>
      </c>
      <c r="BC29" s="242">
        <v>3148622.05</v>
      </c>
      <c r="BD29" s="242">
        <v>8668392.6699999999</v>
      </c>
      <c r="BE29" s="52">
        <v>9277616.7899999991</v>
      </c>
      <c r="BF29" s="52">
        <v>9862176.2699999996</v>
      </c>
      <c r="BH29" s="52">
        <v>7066568.6200000001</v>
      </c>
      <c r="BI29" s="480">
        <v>9132841.2200000007</v>
      </c>
      <c r="BK29" s="480">
        <v>24370316</v>
      </c>
      <c r="BL29" s="480">
        <v>9395007</v>
      </c>
      <c r="BM29" s="480">
        <v>10169514.529999999</v>
      </c>
      <c r="BN29" s="480">
        <v>8778393</v>
      </c>
      <c r="BO29" s="480">
        <v>7731382</v>
      </c>
      <c r="BP29" s="480">
        <v>7631577</v>
      </c>
      <c r="BQ29" s="480">
        <v>8317507</v>
      </c>
      <c r="BR29" s="501">
        <v>10195866</v>
      </c>
      <c r="BS29" s="501">
        <v>10234420</v>
      </c>
      <c r="BT29" s="503">
        <v>9926187</v>
      </c>
      <c r="BU29" s="88">
        <v>9191558</v>
      </c>
      <c r="BV29" s="88">
        <v>0</v>
      </c>
      <c r="BW29" s="88"/>
      <c r="BX29" s="88">
        <v>8600445</v>
      </c>
      <c r="BY29" s="88">
        <v>8176402</v>
      </c>
      <c r="BZ29" s="522">
        <v>9164766</v>
      </c>
      <c r="CA29" s="522">
        <v>9164766</v>
      </c>
      <c r="CB29" s="503">
        <v>10717396</v>
      </c>
      <c r="CC29" s="503">
        <v>11124406</v>
      </c>
      <c r="CD29" s="503">
        <v>10098769.529999999</v>
      </c>
      <c r="CE29" s="503">
        <v>10279537.75</v>
      </c>
      <c r="CF29" s="503">
        <v>11160511.210000001</v>
      </c>
      <c r="CG29" s="503">
        <v>11377844.140000001</v>
      </c>
      <c r="CH29" s="503">
        <v>11248874.300000001</v>
      </c>
      <c r="CI29" s="522">
        <v>5037258.62</v>
      </c>
      <c r="CJ29" s="536"/>
      <c r="CK29" s="537">
        <v>10582010.5</v>
      </c>
      <c r="CL29" s="522">
        <v>10863676</v>
      </c>
      <c r="CM29" s="522">
        <v>11904691.59</v>
      </c>
      <c r="CN29" s="562">
        <v>12897686</v>
      </c>
      <c r="CO29" s="562">
        <v>12194354.75</v>
      </c>
      <c r="CP29" s="522">
        <v>14785156.65</v>
      </c>
      <c r="CQ29" s="562">
        <v>14184351.01</v>
      </c>
      <c r="CR29" s="501">
        <v>14835886</v>
      </c>
      <c r="CS29" s="562">
        <v>15177330.93</v>
      </c>
      <c r="CT29" s="562">
        <v>15177330.93</v>
      </c>
      <c r="CU29" s="562">
        <v>14977594.82</v>
      </c>
      <c r="CV29" s="556">
        <v>11806188.689999999</v>
      </c>
      <c r="CW29" s="480"/>
      <c r="CX29" s="478">
        <v>14977222.699999999</v>
      </c>
      <c r="CY29" s="478">
        <v>14874509.01</v>
      </c>
      <c r="CZ29" s="478">
        <v>15219388.82</v>
      </c>
      <c r="DA29" s="478">
        <v>14921329.199999999</v>
      </c>
      <c r="DB29" s="478">
        <v>15617401.75</v>
      </c>
      <c r="DC29" s="478">
        <v>15532941.4</v>
      </c>
      <c r="DD29" s="478">
        <v>16514933.6</v>
      </c>
      <c r="DE29" s="522">
        <v>14574734.57</v>
      </c>
      <c r="DF29" s="522">
        <v>14527330.84</v>
      </c>
      <c r="DG29" s="522">
        <v>17544251.039999999</v>
      </c>
      <c r="DH29" s="522">
        <v>18873175.199999999</v>
      </c>
      <c r="DI29" s="522">
        <v>8790669.6400000006</v>
      </c>
      <c r="DK29" s="478">
        <v>12549487.789999999</v>
      </c>
      <c r="DL29" s="478">
        <v>9442322.9399999995</v>
      </c>
      <c r="DM29" s="478">
        <v>12515783.92</v>
      </c>
      <c r="DN29" s="478">
        <v>7610901.4400000004</v>
      </c>
      <c r="DO29" s="478">
        <v>8428823.2100000009</v>
      </c>
      <c r="DP29" s="478">
        <v>13122260.58</v>
      </c>
      <c r="DQ29" s="478">
        <v>13735453.060000001</v>
      </c>
      <c r="DR29" s="478">
        <v>10632717.67</v>
      </c>
      <c r="DS29" s="522">
        <v>10933568.99</v>
      </c>
      <c r="DT29" s="522">
        <v>11827027.529999999</v>
      </c>
      <c r="DU29" s="522">
        <v>11884327.300000001</v>
      </c>
      <c r="DW29" s="87">
        <v>16839455</v>
      </c>
    </row>
    <row r="30" spans="2:127" ht="14.4" x14ac:dyDescent="0.25">
      <c r="B30" s="93" t="s">
        <v>61</v>
      </c>
      <c r="C30" s="149">
        <v>2181426</v>
      </c>
      <c r="D30" s="149">
        <v>5388952</v>
      </c>
      <c r="E30" s="150">
        <v>7001000</v>
      </c>
      <c r="F30" s="151">
        <v>14533589</v>
      </c>
      <c r="G30" s="150">
        <v>21381443</v>
      </c>
      <c r="H30" s="150">
        <v>43845984.100000001</v>
      </c>
      <c r="I30" s="150">
        <v>32277459</v>
      </c>
      <c r="J30" s="150">
        <v>89972427.450000003</v>
      </c>
      <c r="K30" s="150">
        <v>46620950.57</v>
      </c>
      <c r="L30" s="150">
        <v>49122629.869999997</v>
      </c>
      <c r="M30" s="150">
        <v>50342189.950000003</v>
      </c>
      <c r="N30" s="150">
        <v>50954932.990000002</v>
      </c>
      <c r="O30" s="150">
        <v>52579322.32</v>
      </c>
      <c r="P30" s="150">
        <v>54490770.579999998</v>
      </c>
      <c r="Q30" s="150">
        <v>55824059.289999999</v>
      </c>
      <c r="R30" s="150">
        <v>57102659.020000003</v>
      </c>
      <c r="S30" s="150">
        <v>59031893.700000003</v>
      </c>
      <c r="T30" s="150">
        <v>58627230.450000003</v>
      </c>
      <c r="U30" s="150">
        <v>59062798.740000002</v>
      </c>
      <c r="V30" s="150">
        <v>44483332</v>
      </c>
      <c r="W30" s="150">
        <v>60320340.600000001</v>
      </c>
      <c r="X30" s="150">
        <v>59372074.350000001</v>
      </c>
      <c r="Y30" s="150">
        <v>62934367.700000003</v>
      </c>
      <c r="Z30" s="150">
        <v>65395641.469999999</v>
      </c>
      <c r="AA30" s="150">
        <v>67369388.329999998</v>
      </c>
      <c r="AB30" s="150">
        <v>70695032.390000001</v>
      </c>
      <c r="AC30" s="150">
        <v>69971661.540000007</v>
      </c>
      <c r="AD30" s="150">
        <v>72391510.689999998</v>
      </c>
      <c r="AE30" s="193">
        <v>75061343.400000006</v>
      </c>
      <c r="AF30" s="193">
        <v>77676333.260000005</v>
      </c>
      <c r="AG30" s="193">
        <v>79274546.950000003</v>
      </c>
      <c r="AH30" s="193">
        <v>79342488.090000004</v>
      </c>
      <c r="AI30" s="193">
        <v>61929319</v>
      </c>
      <c r="AJ30" s="193">
        <v>61929319</v>
      </c>
      <c r="AK30" s="193"/>
      <c r="AL30" s="193">
        <v>82076780.370000005</v>
      </c>
      <c r="AM30" s="193">
        <v>82076780.370000005</v>
      </c>
      <c r="AN30" s="193">
        <v>82089980.370000005</v>
      </c>
      <c r="AO30" s="193">
        <v>67369388.329999998</v>
      </c>
      <c r="AP30" s="193">
        <v>82103180.370000005</v>
      </c>
      <c r="AQ30" s="193">
        <v>81999260.370000005</v>
      </c>
      <c r="AR30" s="193">
        <v>82007260.370000005</v>
      </c>
      <c r="AS30" s="193">
        <v>82020260.370000005</v>
      </c>
      <c r="AT30" s="193"/>
      <c r="AU30" s="193">
        <v>82034260.370000005</v>
      </c>
      <c r="AV30" s="193">
        <v>77417124.959999993</v>
      </c>
      <c r="AW30" s="251">
        <v>81840305</v>
      </c>
      <c r="AX30" s="394"/>
      <c r="AY30" s="394"/>
      <c r="AZ30" s="394">
        <v>-83429353.609999999</v>
      </c>
      <c r="BA30" s="242">
        <v>-184584803.44</v>
      </c>
      <c r="BB30" s="242">
        <v>91498366.739999995</v>
      </c>
      <c r="BC30" s="242">
        <v>91694234.840000004</v>
      </c>
      <c r="BD30" s="242">
        <v>93266975.840000004</v>
      </c>
      <c r="BE30" s="52">
        <v>95468682.340000004</v>
      </c>
      <c r="BF30" s="52">
        <v>93033255.340000004</v>
      </c>
      <c r="BH30" s="52">
        <v>94525853.840000004</v>
      </c>
      <c r="BI30" s="480">
        <v>92858059.840000004</v>
      </c>
      <c r="BJ30" s="480">
        <v>92858059</v>
      </c>
      <c r="BK30" s="480">
        <v>96054149</v>
      </c>
      <c r="BL30" s="480">
        <v>96140020.109999999</v>
      </c>
      <c r="BM30" s="480">
        <v>98721123.079999998</v>
      </c>
      <c r="BN30" s="480">
        <v>100460695</v>
      </c>
      <c r="BO30" s="480">
        <v>101546557</v>
      </c>
      <c r="BP30" s="480">
        <v>102510413</v>
      </c>
      <c r="BQ30" s="480">
        <v>103917025</v>
      </c>
      <c r="BR30" s="501">
        <v>106196242</v>
      </c>
      <c r="BS30" s="501">
        <v>107388717</v>
      </c>
      <c r="BT30" s="503">
        <v>109324774</v>
      </c>
      <c r="BU30" s="88">
        <v>109324774</v>
      </c>
      <c r="BV30" s="88">
        <v>111455182</v>
      </c>
      <c r="BW30" s="88">
        <v>111455182.62</v>
      </c>
      <c r="BX30" s="88">
        <v>113743409</v>
      </c>
      <c r="BY30" s="88">
        <v>114087828</v>
      </c>
      <c r="BZ30" s="522">
        <v>116889196</v>
      </c>
      <c r="CA30" s="522">
        <v>119824972</v>
      </c>
      <c r="CB30" s="503">
        <v>123846171</v>
      </c>
      <c r="CC30" s="503">
        <v>126507301</v>
      </c>
      <c r="CD30" s="503">
        <v>130121236</v>
      </c>
      <c r="CE30" s="503">
        <v>133311673.58</v>
      </c>
      <c r="CF30" s="503">
        <v>136965439.15000001</v>
      </c>
      <c r="CG30" s="503">
        <v>138969105.33000001</v>
      </c>
      <c r="CH30" s="503">
        <v>141111654.97999999</v>
      </c>
      <c r="CI30" s="523">
        <v>35817339.609999999</v>
      </c>
      <c r="CJ30" s="536">
        <v>139148833.55000001</v>
      </c>
      <c r="CK30" s="537">
        <v>143302303.18000001</v>
      </c>
      <c r="CL30" s="562">
        <v>146542503.68000001</v>
      </c>
      <c r="CM30" s="88">
        <v>149802524</v>
      </c>
      <c r="CN30" s="562">
        <v>152117541</v>
      </c>
      <c r="CO30" s="562">
        <v>153933350.43000001</v>
      </c>
      <c r="CP30" s="562">
        <v>156290473.03</v>
      </c>
      <c r="CQ30" s="562">
        <v>158829493.49000001</v>
      </c>
      <c r="CR30" s="562">
        <v>161473507</v>
      </c>
      <c r="CS30" s="562">
        <v>166345084.68000001</v>
      </c>
      <c r="CT30" s="562">
        <v>166345084.68000001</v>
      </c>
      <c r="CU30" s="562">
        <v>169007333.15000001</v>
      </c>
      <c r="CV30" s="556">
        <v>170759538.56999999</v>
      </c>
      <c r="CW30" s="480">
        <v>170759538.56999999</v>
      </c>
      <c r="CX30" s="478">
        <v>174218115.08000001</v>
      </c>
      <c r="CY30" s="478">
        <v>177313996.80000001</v>
      </c>
      <c r="CZ30" s="478">
        <v>181021017.21000001</v>
      </c>
      <c r="DA30" s="478">
        <v>182651926.59</v>
      </c>
      <c r="DB30" s="478">
        <v>185978322.27000001</v>
      </c>
      <c r="DC30" s="478">
        <v>188443334.19999999</v>
      </c>
      <c r="DD30" s="478">
        <v>191888398.06</v>
      </c>
      <c r="DE30" s="522">
        <v>194810759.72</v>
      </c>
      <c r="DF30" s="522">
        <v>197205447.87</v>
      </c>
      <c r="DG30" s="522">
        <v>198007966.09999999</v>
      </c>
      <c r="DH30" s="522">
        <v>201437597.66</v>
      </c>
      <c r="DI30" s="522">
        <v>198723727.88</v>
      </c>
      <c r="DJ30" s="88">
        <v>198723727</v>
      </c>
      <c r="DK30" s="478">
        <v>198763925.25999999</v>
      </c>
      <c r="DL30" s="478">
        <v>202613194.22999999</v>
      </c>
      <c r="DM30" s="478">
        <v>207054449.21000001</v>
      </c>
      <c r="DN30" s="478">
        <v>209411047.34</v>
      </c>
      <c r="DO30" s="478">
        <v>212208002.88999999</v>
      </c>
      <c r="DP30" s="478">
        <v>214818924.94999999</v>
      </c>
      <c r="DQ30" s="478">
        <v>217682182</v>
      </c>
      <c r="DR30" s="478">
        <v>219846748.66</v>
      </c>
      <c r="DS30" s="522">
        <v>224453407.86000001</v>
      </c>
      <c r="DT30" s="522">
        <v>226295341.59</v>
      </c>
      <c r="DU30" s="522">
        <v>229863998.91999999</v>
      </c>
      <c r="DW30" s="87">
        <v>226107824</v>
      </c>
    </row>
    <row r="31" spans="2:127" ht="13.2" x14ac:dyDescent="0.25">
      <c r="B31" s="90" t="s">
        <v>62</v>
      </c>
      <c r="C31" s="147">
        <f>SUM(C28:C30)</f>
        <v>2279348</v>
      </c>
      <c r="D31" s="147">
        <f t="shared" ref="D31:F31" si="43">SUM(D28:D30)</f>
        <v>5920804</v>
      </c>
      <c r="E31" s="147">
        <f t="shared" si="43"/>
        <v>8325050</v>
      </c>
      <c r="F31" s="147">
        <f t="shared" si="43"/>
        <v>17127596</v>
      </c>
      <c r="G31" s="147">
        <f>SUM(G28:G30)</f>
        <v>29393861</v>
      </c>
      <c r="H31" s="147">
        <f t="shared" ref="H31:J31" si="44">SUM(H28:H30)</f>
        <v>46049825.100000001</v>
      </c>
      <c r="I31" s="147">
        <f t="shared" si="44"/>
        <v>43745777</v>
      </c>
      <c r="J31" s="147">
        <f t="shared" si="44"/>
        <v>94351720.450000003</v>
      </c>
      <c r="K31" s="147">
        <f t="shared" ref="K31:S31" si="45">SUM(K28:K30)</f>
        <v>49014786.869999997</v>
      </c>
      <c r="L31" s="147">
        <f t="shared" si="45"/>
        <v>51417172.169999994</v>
      </c>
      <c r="M31" s="147">
        <f t="shared" si="45"/>
        <v>52686434.25</v>
      </c>
      <c r="N31" s="147">
        <f t="shared" si="45"/>
        <v>53300619.289999999</v>
      </c>
      <c r="O31" s="147">
        <f t="shared" si="45"/>
        <v>55114155.119999997</v>
      </c>
      <c r="P31" s="147">
        <f t="shared" si="45"/>
        <v>57519862.68</v>
      </c>
      <c r="Q31" s="147">
        <f t="shared" si="45"/>
        <v>59142351.390000001</v>
      </c>
      <c r="R31" s="147">
        <f t="shared" si="45"/>
        <v>59902295.120000005</v>
      </c>
      <c r="S31" s="147">
        <f t="shared" si="45"/>
        <v>62153286.800000004</v>
      </c>
      <c r="T31" s="147">
        <f t="shared" ref="T31:V31" si="46">SUM(T28:T30)</f>
        <v>61655536.550000004</v>
      </c>
      <c r="U31" s="147">
        <f t="shared" si="46"/>
        <v>62062108.240000002</v>
      </c>
      <c r="V31" s="147">
        <f t="shared" si="46"/>
        <v>62128079</v>
      </c>
      <c r="W31" s="147">
        <f t="shared" ref="W31:AD31" si="47">SUM(W28:W30)</f>
        <v>63535152.550000004</v>
      </c>
      <c r="X31" s="147">
        <f t="shared" si="47"/>
        <v>62232355.850000001</v>
      </c>
      <c r="Y31" s="147">
        <f t="shared" si="47"/>
        <v>66293722.200000003</v>
      </c>
      <c r="Z31" s="147">
        <f t="shared" si="47"/>
        <v>68626648.969999999</v>
      </c>
      <c r="AA31" s="147">
        <f t="shared" si="47"/>
        <v>71569199.829999998</v>
      </c>
      <c r="AB31" s="147">
        <f t="shared" si="47"/>
        <v>73560044.890000001</v>
      </c>
      <c r="AC31" s="147">
        <f t="shared" si="47"/>
        <v>73538015.040000007</v>
      </c>
      <c r="AD31" s="147">
        <f t="shared" si="47"/>
        <v>76453418.189999998</v>
      </c>
      <c r="AE31" s="147">
        <f t="shared" ref="AE31:AG31" si="48">SUM(AE28:AE30)</f>
        <v>79254030.900000006</v>
      </c>
      <c r="AF31" s="147">
        <f t="shared" si="48"/>
        <v>81638543.760000005</v>
      </c>
      <c r="AG31" s="147">
        <f t="shared" si="48"/>
        <v>83606186.450000003</v>
      </c>
      <c r="AH31" s="147">
        <f t="shared" ref="AH31:AI31" si="49">SUM(AH28:AH30)</f>
        <v>83497935.590000004</v>
      </c>
      <c r="AI31" s="147">
        <f t="shared" si="49"/>
        <v>93812920</v>
      </c>
      <c r="AJ31" s="147">
        <f t="shared" ref="AJ31:CC31" si="50">SUM(AJ28:AJ30)</f>
        <v>91757805</v>
      </c>
      <c r="AK31" s="147">
        <f t="shared" si="50"/>
        <v>0</v>
      </c>
      <c r="AL31" s="147">
        <f t="shared" si="50"/>
        <v>88005368.870000005</v>
      </c>
      <c r="AM31" s="147">
        <f t="shared" si="50"/>
        <v>88005368.870000005</v>
      </c>
      <c r="AN31" s="147">
        <f t="shared" si="50"/>
        <v>88018568.870000005</v>
      </c>
      <c r="AO31" s="147">
        <f t="shared" si="50"/>
        <v>71569199.829999998</v>
      </c>
      <c r="AP31" s="147">
        <f t="shared" si="50"/>
        <v>88031768.870000005</v>
      </c>
      <c r="AQ31" s="147">
        <f t="shared" si="50"/>
        <v>87927848.870000005</v>
      </c>
      <c r="AR31" s="147">
        <f t="shared" si="50"/>
        <v>87935848.870000005</v>
      </c>
      <c r="AS31" s="147">
        <f t="shared" si="50"/>
        <v>87948848.870000005</v>
      </c>
      <c r="AT31" s="147">
        <f t="shared" si="50"/>
        <v>0</v>
      </c>
      <c r="AU31" s="147">
        <f t="shared" si="50"/>
        <v>87962848.870000005</v>
      </c>
      <c r="AV31" s="147">
        <f t="shared" si="50"/>
        <v>107769477.78</v>
      </c>
      <c r="AW31" s="147">
        <f t="shared" si="50"/>
        <v>112200675</v>
      </c>
      <c r="AX31" s="147">
        <f t="shared" si="50"/>
        <v>0</v>
      </c>
      <c r="AY31" s="147">
        <f t="shared" si="50"/>
        <v>0</v>
      </c>
      <c r="AZ31" s="147">
        <f t="shared" si="50"/>
        <v>-114103167.63</v>
      </c>
      <c r="BA31" s="147">
        <f t="shared" si="50"/>
        <v>-245164315.47999999</v>
      </c>
      <c r="BB31" s="147">
        <f t="shared" si="50"/>
        <v>126775325.06</v>
      </c>
      <c r="BC31" s="147">
        <f t="shared" si="50"/>
        <v>120043889.89</v>
      </c>
      <c r="BD31" s="147">
        <f t="shared" si="50"/>
        <v>125279801.71000001</v>
      </c>
      <c r="BE31" s="147">
        <f t="shared" si="50"/>
        <v>130055516.28</v>
      </c>
      <c r="BF31" s="147">
        <f t="shared" si="50"/>
        <v>128427832.49000001</v>
      </c>
      <c r="BG31" s="147">
        <f t="shared" si="50"/>
        <v>0</v>
      </c>
      <c r="BH31" s="147">
        <f t="shared" si="50"/>
        <v>127871407.46000001</v>
      </c>
      <c r="BI31" s="147">
        <f t="shared" si="50"/>
        <v>124433705.90000001</v>
      </c>
      <c r="BJ31" s="147">
        <f t="shared" si="50"/>
        <v>121242355.40000001</v>
      </c>
      <c r="BK31" s="147">
        <f t="shared" si="50"/>
        <v>130004717</v>
      </c>
      <c r="BL31" s="147">
        <f t="shared" si="50"/>
        <v>133617325.11</v>
      </c>
      <c r="BM31" s="147">
        <f t="shared" si="50"/>
        <v>136898829.26999998</v>
      </c>
      <c r="BN31" s="147">
        <f t="shared" si="50"/>
        <v>138098251</v>
      </c>
      <c r="BO31" s="147">
        <f t="shared" si="50"/>
        <v>135126256</v>
      </c>
      <c r="BP31" s="147">
        <f t="shared" si="50"/>
        <v>137914402</v>
      </c>
      <c r="BQ31" s="147">
        <f t="shared" si="50"/>
        <v>139655178</v>
      </c>
      <c r="BR31" s="147">
        <f t="shared" si="50"/>
        <v>143781960</v>
      </c>
      <c r="BS31" s="147">
        <f t="shared" si="50"/>
        <v>143776219</v>
      </c>
      <c r="BT31" s="147">
        <f t="shared" si="50"/>
        <v>143746738</v>
      </c>
      <c r="BU31" s="147">
        <f t="shared" si="50"/>
        <v>145874087</v>
      </c>
      <c r="BV31" s="147">
        <f t="shared" si="50"/>
        <v>138253936</v>
      </c>
      <c r="BW31" s="147">
        <f t="shared" si="50"/>
        <v>138253935.14000002</v>
      </c>
      <c r="BX31" s="147">
        <f t="shared" si="50"/>
        <v>153210860</v>
      </c>
      <c r="BY31" s="147">
        <f t="shared" si="50"/>
        <v>147608392</v>
      </c>
      <c r="BZ31" s="147">
        <f t="shared" si="50"/>
        <v>156672455</v>
      </c>
      <c r="CA31" s="147">
        <f t="shared" si="50"/>
        <v>155152093</v>
      </c>
      <c r="CB31" s="147">
        <f t="shared" si="50"/>
        <v>167318743</v>
      </c>
      <c r="CC31" s="147">
        <f t="shared" si="50"/>
        <v>171176796</v>
      </c>
      <c r="CD31" s="147">
        <f t="shared" ref="CD31:DW31" si="51">SUM(CD28:CD30)</f>
        <v>174049358.53</v>
      </c>
      <c r="CE31" s="147">
        <f t="shared" si="51"/>
        <v>177111962.56</v>
      </c>
      <c r="CF31" s="147">
        <f t="shared" si="51"/>
        <v>184289592.08000001</v>
      </c>
      <c r="CG31" s="147">
        <f t="shared" si="51"/>
        <v>184495997.47000003</v>
      </c>
      <c r="CH31" s="147">
        <f t="shared" si="51"/>
        <v>186609411.14999998</v>
      </c>
      <c r="CI31" s="147">
        <f t="shared" si="51"/>
        <v>71634679.219999999</v>
      </c>
      <c r="CJ31" s="147">
        <f t="shared" si="51"/>
        <v>175375673.98000002</v>
      </c>
      <c r="CK31" s="147">
        <f t="shared" si="51"/>
        <v>188976849.68000001</v>
      </c>
      <c r="CL31" s="147">
        <f t="shared" si="51"/>
        <v>193081770.03</v>
      </c>
      <c r="CM31" s="147">
        <f t="shared" si="51"/>
        <v>196669142.84999999</v>
      </c>
      <c r="CN31" s="147">
        <f t="shared" si="51"/>
        <v>201253590</v>
      </c>
      <c r="CO31" s="147">
        <f t="shared" si="51"/>
        <v>201407239.73000002</v>
      </c>
      <c r="CP31" s="147">
        <f t="shared" si="51"/>
        <v>211259463.97999999</v>
      </c>
      <c r="CQ31" s="549">
        <f t="shared" si="51"/>
        <v>208248137.97</v>
      </c>
      <c r="CR31" s="147">
        <f t="shared" si="51"/>
        <v>213015705</v>
      </c>
      <c r="CS31" s="147">
        <f t="shared" si="51"/>
        <v>219065268.27000001</v>
      </c>
      <c r="CT31" s="147">
        <f t="shared" si="51"/>
        <v>219065268.27000001</v>
      </c>
      <c r="CU31" s="147">
        <f t="shared" si="51"/>
        <v>221391500.50999999</v>
      </c>
      <c r="CV31" s="147">
        <f t="shared" si="51"/>
        <v>213250139.28999999</v>
      </c>
      <c r="CW31" s="147">
        <f t="shared" si="51"/>
        <v>213250139.28999999</v>
      </c>
      <c r="CX31" s="147">
        <f t="shared" si="51"/>
        <v>229551848.28000003</v>
      </c>
      <c r="CY31" s="147">
        <f t="shared" si="51"/>
        <v>236315242.01000002</v>
      </c>
      <c r="CZ31" s="147">
        <f t="shared" si="51"/>
        <v>241073779.34</v>
      </c>
      <c r="DA31" s="147">
        <f t="shared" si="51"/>
        <v>242330293.79000002</v>
      </c>
      <c r="DB31" s="147">
        <f t="shared" si="51"/>
        <v>245569198.02000001</v>
      </c>
      <c r="DC31" s="147">
        <f t="shared" si="51"/>
        <v>249946093.58999997</v>
      </c>
      <c r="DD31" s="147">
        <f t="shared" si="51"/>
        <v>255918465.78</v>
      </c>
      <c r="DE31" s="147">
        <f t="shared" si="51"/>
        <v>257610759.28999999</v>
      </c>
      <c r="DF31" s="147">
        <f t="shared" si="51"/>
        <v>265891326.94</v>
      </c>
      <c r="DG31" s="147">
        <f t="shared" si="51"/>
        <v>260225641.14999998</v>
      </c>
      <c r="DH31" s="147">
        <f t="shared" si="51"/>
        <v>267210551.30000001</v>
      </c>
      <c r="DI31" s="147">
        <f t="shared" si="51"/>
        <v>251269098.37</v>
      </c>
      <c r="DJ31" s="538">
        <f t="shared" si="51"/>
        <v>251929259</v>
      </c>
      <c r="DK31" s="538">
        <f t="shared" si="51"/>
        <v>259097492.94</v>
      </c>
      <c r="DL31" s="538">
        <f t="shared" si="51"/>
        <v>258382276.84999999</v>
      </c>
      <c r="DM31" s="538">
        <f t="shared" si="51"/>
        <v>267211570.10000002</v>
      </c>
      <c r="DN31" s="538">
        <f t="shared" si="51"/>
        <v>268874938.84000003</v>
      </c>
      <c r="DO31" s="538">
        <f t="shared" si="51"/>
        <v>267003625.67999998</v>
      </c>
      <c r="DP31" s="538">
        <f t="shared" si="51"/>
        <v>274761030.02999997</v>
      </c>
      <c r="DQ31" s="538">
        <f t="shared" si="51"/>
        <v>277578947.10000002</v>
      </c>
      <c r="DR31" s="538">
        <f t="shared" si="51"/>
        <v>277337623.88</v>
      </c>
      <c r="DS31" s="538">
        <f t="shared" ref="DS31:DV31" si="52">SUM(DS28:DS30)</f>
        <v>279879939.95000005</v>
      </c>
      <c r="DT31" s="538">
        <f t="shared" si="52"/>
        <v>284597060.69</v>
      </c>
      <c r="DU31" s="538">
        <f t="shared" si="52"/>
        <v>289704875.38</v>
      </c>
      <c r="DV31" s="538">
        <f t="shared" si="52"/>
        <v>0</v>
      </c>
      <c r="DW31" s="538">
        <f t="shared" si="51"/>
        <v>285244427</v>
      </c>
    </row>
    <row r="32" spans="2:127" ht="26.4" x14ac:dyDescent="0.25">
      <c r="B32" s="90" t="s">
        <v>63</v>
      </c>
      <c r="C32" s="158">
        <f>SUM(C33:C38)</f>
        <v>756201</v>
      </c>
      <c r="D32" s="158">
        <f t="shared" ref="D32:F32" si="53">SUM(D33:D38)</f>
        <v>2092982</v>
      </c>
      <c r="E32" s="158">
        <f t="shared" si="53"/>
        <v>1853609</v>
      </c>
      <c r="F32" s="158">
        <f t="shared" si="53"/>
        <v>6664957</v>
      </c>
      <c r="G32" s="158">
        <f>SUM(G33:G38)</f>
        <v>2958353</v>
      </c>
      <c r="H32" s="158">
        <f t="shared" ref="H32:J32" si="54">SUM(H33:H38)</f>
        <v>4033865</v>
      </c>
      <c r="I32" s="158">
        <f t="shared" si="54"/>
        <v>7334465</v>
      </c>
      <c r="J32" s="158">
        <f t="shared" si="54"/>
        <v>8185123.3499999996</v>
      </c>
      <c r="K32" s="158">
        <f t="shared" ref="K32:S32" si="55">SUM(K33:K38)</f>
        <v>4119416.16</v>
      </c>
      <c r="L32" s="158">
        <f t="shared" si="55"/>
        <v>4292411.62</v>
      </c>
      <c r="M32" s="158">
        <f t="shared" si="55"/>
        <v>4263847.93</v>
      </c>
      <c r="N32" s="158">
        <f t="shared" si="55"/>
        <v>1128342.5899999999</v>
      </c>
      <c r="O32" s="158">
        <f t="shared" si="55"/>
        <v>1241275.7599999998</v>
      </c>
      <c r="P32" s="158">
        <f t="shared" si="55"/>
        <v>986138.08999999985</v>
      </c>
      <c r="Q32" s="158">
        <f t="shared" si="55"/>
        <v>975581.20000000019</v>
      </c>
      <c r="R32" s="158">
        <f t="shared" si="55"/>
        <v>1115318.67</v>
      </c>
      <c r="S32" s="158">
        <f t="shared" si="55"/>
        <v>1256542.1299999999</v>
      </c>
      <c r="T32" s="158">
        <f t="shared" ref="T32:V32" si="56">SUM(T33:T38)</f>
        <v>1387839.47</v>
      </c>
      <c r="U32" s="158">
        <f t="shared" si="56"/>
        <v>2288090</v>
      </c>
      <c r="V32" s="158">
        <f t="shared" si="56"/>
        <v>6621508</v>
      </c>
      <c r="W32" s="158">
        <f t="shared" ref="W32:AD32" si="57">SUM(W33:W38)</f>
        <v>2429157.27</v>
      </c>
      <c r="X32" s="158">
        <f t="shared" si="57"/>
        <v>2547328.54</v>
      </c>
      <c r="Y32" s="158">
        <f t="shared" si="57"/>
        <v>2831074.85</v>
      </c>
      <c r="Z32" s="158">
        <f t="shared" si="57"/>
        <v>2611881.2400000002</v>
      </c>
      <c r="AA32" s="158">
        <f t="shared" si="57"/>
        <v>2744006.81</v>
      </c>
      <c r="AB32" s="158">
        <f t="shared" si="57"/>
        <v>2708997.63</v>
      </c>
      <c r="AC32" s="158">
        <f t="shared" si="57"/>
        <v>2962375.73</v>
      </c>
      <c r="AD32" s="158">
        <f t="shared" si="57"/>
        <v>3065532.92</v>
      </c>
      <c r="AE32" s="158">
        <f t="shared" ref="AE32:AG32" si="58">SUM(AE33:AE38)</f>
        <v>3188905.1799999997</v>
      </c>
      <c r="AF32" s="158">
        <f t="shared" si="58"/>
        <v>2122866.65</v>
      </c>
      <c r="AG32" s="158">
        <f t="shared" si="58"/>
        <v>1138121.3500000001</v>
      </c>
      <c r="AH32" s="158">
        <f t="shared" ref="AH32:AI32" si="59">SUM(AH33:AH38)</f>
        <v>497729.28000000003</v>
      </c>
      <c r="AI32" s="158">
        <f t="shared" si="59"/>
        <v>6531982</v>
      </c>
      <c r="AJ32" s="158">
        <f t="shared" ref="AJ32:AN32" si="60">SUM(AJ33:AJ38)</f>
        <v>6531982</v>
      </c>
      <c r="AK32" s="158">
        <f t="shared" si="60"/>
        <v>0</v>
      </c>
      <c r="AL32" s="158">
        <f t="shared" si="60"/>
        <v>272405.46000000002</v>
      </c>
      <c r="AM32" s="158">
        <f t="shared" si="60"/>
        <v>230136.46</v>
      </c>
      <c r="AN32" s="158">
        <f t="shared" si="60"/>
        <v>567458.98</v>
      </c>
      <c r="AO32" s="158">
        <f t="shared" ref="AO32:CC32" si="61">SUM(AO33:AO38)</f>
        <v>2744006.81</v>
      </c>
      <c r="AP32" s="158">
        <f t="shared" si="61"/>
        <v>893911.4</v>
      </c>
      <c r="AQ32" s="158">
        <f t="shared" si="61"/>
        <v>1373080.66</v>
      </c>
      <c r="AR32" s="158">
        <f t="shared" si="61"/>
        <v>1396346.42</v>
      </c>
      <c r="AS32" s="158">
        <f t="shared" si="61"/>
        <v>1602061.2</v>
      </c>
      <c r="AT32" s="158">
        <f t="shared" si="61"/>
        <v>0</v>
      </c>
      <c r="AU32" s="158">
        <f t="shared" si="61"/>
        <v>1900720.9</v>
      </c>
      <c r="AV32" s="158">
        <f t="shared" si="61"/>
        <v>63416328.579999998</v>
      </c>
      <c r="AW32" s="158">
        <f t="shared" si="61"/>
        <v>6612189</v>
      </c>
      <c r="AX32" s="158">
        <f t="shared" si="61"/>
        <v>0</v>
      </c>
      <c r="AY32" s="158">
        <f t="shared" si="61"/>
        <v>0</v>
      </c>
      <c r="AZ32" s="158">
        <f t="shared" si="61"/>
        <v>-64080553.770000003</v>
      </c>
      <c r="BA32" s="158">
        <f t="shared" si="61"/>
        <v>-128486827.62</v>
      </c>
      <c r="BB32" s="158">
        <f t="shared" si="61"/>
        <v>5730507</v>
      </c>
      <c r="BC32" s="158">
        <f t="shared" si="61"/>
        <v>30465730</v>
      </c>
      <c r="BD32" s="158">
        <f t="shared" si="61"/>
        <v>3501403</v>
      </c>
      <c r="BE32" s="158">
        <f t="shared" si="61"/>
        <v>0</v>
      </c>
      <c r="BF32" s="158">
        <f t="shared" si="61"/>
        <v>0</v>
      </c>
      <c r="BG32" s="158">
        <f t="shared" si="61"/>
        <v>0</v>
      </c>
      <c r="BH32" s="158">
        <f t="shared" si="61"/>
        <v>0</v>
      </c>
      <c r="BI32" s="158">
        <f t="shared" si="61"/>
        <v>0</v>
      </c>
      <c r="BJ32" s="158">
        <f t="shared" si="61"/>
        <v>10079021.199999999</v>
      </c>
      <c r="BK32" s="158">
        <f t="shared" si="61"/>
        <v>10110854</v>
      </c>
      <c r="BL32" s="158">
        <f t="shared" si="61"/>
        <v>7585315</v>
      </c>
      <c r="BM32" s="158">
        <f t="shared" si="61"/>
        <v>0</v>
      </c>
      <c r="BN32" s="158">
        <f t="shared" si="61"/>
        <v>0</v>
      </c>
      <c r="BO32" s="158">
        <f t="shared" si="61"/>
        <v>0</v>
      </c>
      <c r="BP32" s="158">
        <f t="shared" si="61"/>
        <v>0</v>
      </c>
      <c r="BQ32" s="158">
        <f t="shared" si="61"/>
        <v>0</v>
      </c>
      <c r="BR32" s="158">
        <f t="shared" si="61"/>
        <v>0</v>
      </c>
      <c r="BS32" s="158">
        <f t="shared" si="61"/>
        <v>0</v>
      </c>
      <c r="BT32" s="158">
        <f t="shared" si="61"/>
        <v>0</v>
      </c>
      <c r="BU32" s="158">
        <f t="shared" si="61"/>
        <v>5500000</v>
      </c>
      <c r="BV32" s="158">
        <f t="shared" si="61"/>
        <v>10335060</v>
      </c>
      <c r="BW32" s="158">
        <f t="shared" si="61"/>
        <v>28965560.129999999</v>
      </c>
      <c r="BX32" s="158">
        <f t="shared" si="61"/>
        <v>5347222</v>
      </c>
      <c r="BY32" s="158">
        <f t="shared" si="61"/>
        <v>7158035</v>
      </c>
      <c r="BZ32" s="158">
        <f t="shared" si="61"/>
        <v>7165356</v>
      </c>
      <c r="CA32" s="158">
        <f t="shared" si="61"/>
        <v>6812578</v>
      </c>
      <c r="CB32" s="158">
        <f t="shared" si="61"/>
        <v>6355293</v>
      </c>
      <c r="CC32" s="158">
        <f t="shared" si="61"/>
        <v>6202461</v>
      </c>
      <c r="CD32" s="158">
        <f t="shared" ref="CD32:DW32" si="62">SUM(CD33:CD38)</f>
        <v>6063872</v>
      </c>
      <c r="CE32" s="158">
        <f t="shared" si="62"/>
        <v>5864325</v>
      </c>
      <c r="CF32" s="158">
        <f t="shared" si="62"/>
        <v>5682602.8799999999</v>
      </c>
      <c r="CG32" s="158">
        <f t="shared" si="62"/>
        <v>15542616.5</v>
      </c>
      <c r="CH32" s="158">
        <f t="shared" si="62"/>
        <v>15297339.390000001</v>
      </c>
      <c r="CI32" s="158">
        <f t="shared" si="62"/>
        <v>1722240</v>
      </c>
      <c r="CJ32" s="158">
        <f t="shared" si="62"/>
        <v>27334365.68</v>
      </c>
      <c r="CK32" s="158">
        <f t="shared" si="62"/>
        <v>26533592.245999999</v>
      </c>
      <c r="CL32" s="158">
        <f t="shared" si="62"/>
        <v>25826451.875999998</v>
      </c>
      <c r="CM32" s="158">
        <f t="shared" si="62"/>
        <v>14278571.449999999</v>
      </c>
      <c r="CN32" s="158">
        <f t="shared" si="62"/>
        <v>13230966.206</v>
      </c>
      <c r="CO32" s="158">
        <f t="shared" si="62"/>
        <v>12511705</v>
      </c>
      <c r="CP32" s="158">
        <f t="shared" si="62"/>
        <v>12446662</v>
      </c>
      <c r="CQ32" s="548">
        <f t="shared" si="62"/>
        <v>11448572.02</v>
      </c>
      <c r="CR32" s="158">
        <f t="shared" si="62"/>
        <v>11123968</v>
      </c>
      <c r="CS32" s="158">
        <f t="shared" si="62"/>
        <v>10818975.620000001</v>
      </c>
      <c r="CT32" s="158">
        <f t="shared" si="62"/>
        <v>10994376.449999999</v>
      </c>
      <c r="CU32" s="158">
        <f t="shared" si="62"/>
        <v>9677881.4399999995</v>
      </c>
      <c r="CV32" s="158">
        <f t="shared" si="62"/>
        <v>10747736.199999999</v>
      </c>
      <c r="CW32" s="158">
        <f t="shared" si="62"/>
        <v>26108896.140000001</v>
      </c>
      <c r="CX32" s="158">
        <f t="shared" si="62"/>
        <v>25030334.140000001</v>
      </c>
      <c r="CY32" s="158">
        <f t="shared" si="62"/>
        <v>24472636.390000001</v>
      </c>
      <c r="CZ32" s="158">
        <f t="shared" si="62"/>
        <v>10140443.710000001</v>
      </c>
      <c r="DA32" s="158">
        <f t="shared" si="62"/>
        <v>7973446.1899999995</v>
      </c>
      <c r="DB32" s="158">
        <f t="shared" si="62"/>
        <v>7380804.3200000003</v>
      </c>
      <c r="DC32" s="158">
        <f t="shared" si="62"/>
        <v>16462122.32</v>
      </c>
      <c r="DD32" s="158">
        <f t="shared" si="62"/>
        <v>15188428.529999999</v>
      </c>
      <c r="DE32" s="158">
        <f t="shared" si="62"/>
        <v>14546726.75</v>
      </c>
      <c r="DF32" s="158">
        <f t="shared" si="62"/>
        <v>13856184.93</v>
      </c>
      <c r="DG32" s="158">
        <f t="shared" si="62"/>
        <v>12892754.52</v>
      </c>
      <c r="DH32" s="158">
        <f t="shared" si="62"/>
        <v>12245080.939999999</v>
      </c>
      <c r="DI32" s="158">
        <f t="shared" si="62"/>
        <v>35775757.280000001</v>
      </c>
      <c r="DJ32" s="657">
        <f t="shared" si="62"/>
        <v>35341263</v>
      </c>
      <c r="DK32" s="657">
        <f t="shared" si="62"/>
        <v>34098316</v>
      </c>
      <c r="DL32" s="657">
        <f t="shared" si="62"/>
        <v>34267891.430000007</v>
      </c>
      <c r="DM32" s="657">
        <f t="shared" si="62"/>
        <v>10132777.800000001</v>
      </c>
      <c r="DN32" s="657">
        <f t="shared" si="62"/>
        <v>8664007.0600000005</v>
      </c>
      <c r="DO32" s="657">
        <f t="shared" si="62"/>
        <v>9291194.0600000005</v>
      </c>
      <c r="DP32" s="657">
        <f t="shared" si="62"/>
        <v>8914360.75</v>
      </c>
      <c r="DQ32" s="657">
        <f t="shared" si="62"/>
        <v>8421489.5899999999</v>
      </c>
      <c r="DR32" s="657">
        <f t="shared" si="62"/>
        <v>8377900.4800000004</v>
      </c>
      <c r="DS32" s="657">
        <f t="shared" ref="DS32:DV32" si="63">SUM(DS33:DS38)</f>
        <v>8305749.4100000001</v>
      </c>
      <c r="DT32" s="657">
        <f t="shared" si="63"/>
        <v>7307439.6500000004</v>
      </c>
      <c r="DU32" s="657">
        <f t="shared" si="63"/>
        <v>7246011.9299999997</v>
      </c>
      <c r="DV32" s="657">
        <f t="shared" si="63"/>
        <v>0</v>
      </c>
      <c r="DW32" s="657">
        <f t="shared" si="62"/>
        <v>32358567</v>
      </c>
    </row>
    <row r="33" spans="2:127" ht="14.4" x14ac:dyDescent="0.25">
      <c r="B33" s="93" t="s">
        <v>64</v>
      </c>
      <c r="C33" s="149"/>
      <c r="D33" s="149"/>
      <c r="E33" s="150"/>
      <c r="F33" s="151">
        <v>7092</v>
      </c>
      <c r="G33" s="150">
        <v>5134</v>
      </c>
      <c r="H33" s="150">
        <v>0</v>
      </c>
      <c r="I33" s="150"/>
      <c r="J33" s="150">
        <v>0</v>
      </c>
      <c r="K33" s="150">
        <v>0</v>
      </c>
      <c r="L33" s="150">
        <v>0</v>
      </c>
      <c r="M33" s="150">
        <v>0</v>
      </c>
      <c r="N33" s="150">
        <v>0</v>
      </c>
      <c r="O33" s="150">
        <v>0</v>
      </c>
      <c r="P33" s="150">
        <v>0</v>
      </c>
      <c r="Q33" s="150">
        <v>0</v>
      </c>
      <c r="R33" s="150">
        <v>0</v>
      </c>
      <c r="S33" s="150">
        <v>0</v>
      </c>
      <c r="T33" s="150">
        <v>0</v>
      </c>
      <c r="U33" s="150">
        <v>0</v>
      </c>
      <c r="V33" s="150">
        <v>4862</v>
      </c>
      <c r="W33" s="150"/>
      <c r="X33" s="150"/>
      <c r="Y33" s="150"/>
      <c r="Z33" s="150"/>
      <c r="AA33" s="150">
        <v>0</v>
      </c>
      <c r="AB33" s="150">
        <v>0</v>
      </c>
      <c r="AC33" s="150">
        <v>0</v>
      </c>
      <c r="AD33" s="150"/>
      <c r="AE33" s="150"/>
      <c r="AF33" s="150"/>
      <c r="AG33" s="150"/>
      <c r="AH33" s="150">
        <v>0</v>
      </c>
      <c r="AI33" s="150">
        <v>3866</v>
      </c>
      <c r="AJ33" s="150">
        <v>3866</v>
      </c>
      <c r="AK33" s="150"/>
      <c r="AL33" s="150"/>
      <c r="AM33" s="150"/>
      <c r="AN33" s="150"/>
      <c r="AO33" s="150"/>
      <c r="AP33" s="150"/>
      <c r="AQ33" s="150"/>
      <c r="AR33" s="150"/>
      <c r="AS33" s="150"/>
      <c r="AT33" s="150"/>
      <c r="AU33" s="150"/>
      <c r="AV33" s="150"/>
      <c r="AW33" s="380">
        <v>305555</v>
      </c>
      <c r="AX33" s="150"/>
      <c r="AY33" s="150"/>
      <c r="AZ33" s="150">
        <v>0</v>
      </c>
      <c r="BA33" s="388">
        <v>0</v>
      </c>
      <c r="BB33" s="150">
        <v>0</v>
      </c>
      <c r="BC33" s="150">
        <v>0</v>
      </c>
      <c r="BD33" s="150">
        <v>0</v>
      </c>
      <c r="BE33" s="52">
        <v>0</v>
      </c>
      <c r="BF33" s="52">
        <v>0</v>
      </c>
      <c r="BH33" s="52">
        <v>0</v>
      </c>
      <c r="BI33" s="480">
        <v>0</v>
      </c>
      <c r="BJ33" s="480">
        <v>302193.2</v>
      </c>
      <c r="BK33" s="480">
        <v>302193</v>
      </c>
      <c r="BL33" s="480">
        <v>302193</v>
      </c>
      <c r="BM33" s="480">
        <v>0</v>
      </c>
      <c r="BN33" s="480">
        <v>0</v>
      </c>
      <c r="BO33" s="480">
        <v>0</v>
      </c>
      <c r="BP33" s="480">
        <v>0</v>
      </c>
      <c r="BQ33" s="480">
        <v>0</v>
      </c>
      <c r="BR33" s="480">
        <v>0</v>
      </c>
      <c r="BS33" s="480">
        <v>0</v>
      </c>
      <c r="BT33" s="480">
        <v>0</v>
      </c>
      <c r="BU33" s="88">
        <v>0</v>
      </c>
      <c r="BV33" s="88">
        <v>218211</v>
      </c>
      <c r="BW33" s="88">
        <v>218211.94</v>
      </c>
      <c r="BX33" s="522">
        <v>0</v>
      </c>
      <c r="BY33" s="522">
        <v>0</v>
      </c>
      <c r="BZ33" s="522">
        <v>0</v>
      </c>
      <c r="CA33" s="522">
        <v>0</v>
      </c>
      <c r="CB33" s="522"/>
      <c r="CC33" s="522"/>
      <c r="CD33" s="522"/>
      <c r="CE33" s="522"/>
      <c r="CF33" s="522"/>
      <c r="CG33" s="522"/>
      <c r="CH33" s="522"/>
      <c r="CI33" s="522"/>
      <c r="CJ33" s="536">
        <v>381333.67</v>
      </c>
      <c r="CK33" s="542">
        <v>381333.66599999997</v>
      </c>
      <c r="CL33" s="505">
        <v>381333.66599999997</v>
      </c>
      <c r="CM33" s="522">
        <v>381333.67</v>
      </c>
      <c r="CN33" s="505">
        <v>381333.66599999997</v>
      </c>
      <c r="CO33" s="522"/>
      <c r="CP33" s="522"/>
      <c r="CR33" s="501"/>
      <c r="CS33" s="501"/>
      <c r="CT33" s="501"/>
      <c r="CU33" s="505">
        <v>0</v>
      </c>
      <c r="CV33" s="496">
        <v>368496.03</v>
      </c>
      <c r="CW33" s="480">
        <v>368496.03</v>
      </c>
      <c r="CX33" s="478">
        <v>368496.03</v>
      </c>
      <c r="CY33" s="478">
        <v>368496.03</v>
      </c>
      <c r="CZ33" s="478">
        <v>0</v>
      </c>
      <c r="DA33" s="478">
        <v>0</v>
      </c>
      <c r="DB33" s="478">
        <v>0</v>
      </c>
      <c r="DC33" s="478">
        <v>0</v>
      </c>
      <c r="DD33" s="478">
        <v>44702.03</v>
      </c>
      <c r="DE33" s="522">
        <v>47336.4</v>
      </c>
      <c r="DF33" s="522">
        <v>62669.58</v>
      </c>
      <c r="DG33" s="522">
        <v>70668.44</v>
      </c>
      <c r="DH33" s="522">
        <v>52908.43</v>
      </c>
      <c r="DI33" s="522">
        <v>726933.25</v>
      </c>
      <c r="DJ33" s="88">
        <v>726933</v>
      </c>
      <c r="DK33" s="478">
        <v>726933.25</v>
      </c>
      <c r="DL33" s="478">
        <v>726933.25</v>
      </c>
      <c r="DM33" s="478">
        <v>819744.25</v>
      </c>
      <c r="DN33" s="478">
        <v>0</v>
      </c>
      <c r="DO33" s="478">
        <v>0</v>
      </c>
      <c r="DP33" s="478">
        <v>0</v>
      </c>
      <c r="DQ33" s="478">
        <v>0</v>
      </c>
      <c r="DR33" s="478">
        <v>0</v>
      </c>
      <c r="DS33" s="522">
        <v>0</v>
      </c>
      <c r="DT33" s="522">
        <v>0</v>
      </c>
      <c r="DU33" s="522">
        <v>0</v>
      </c>
      <c r="DW33" s="87">
        <v>322500</v>
      </c>
    </row>
    <row r="34" spans="2:127" ht="15.6" x14ac:dyDescent="0.25">
      <c r="B34" s="93" t="s">
        <v>65</v>
      </c>
      <c r="C34" s="149">
        <v>255924</v>
      </c>
      <c r="D34" s="149">
        <v>457806</v>
      </c>
      <c r="E34" s="150">
        <v>1138470</v>
      </c>
      <c r="F34" s="151">
        <v>1380040</v>
      </c>
      <c r="G34" s="150"/>
      <c r="H34" s="150">
        <v>0</v>
      </c>
      <c r="I34" s="150">
        <f>719039+2565961</f>
        <v>3285000</v>
      </c>
      <c r="J34" s="150">
        <v>377</v>
      </c>
      <c r="K34" s="150">
        <v>10103</v>
      </c>
      <c r="L34" s="150">
        <v>23996</v>
      </c>
      <c r="M34" s="150">
        <v>26089</v>
      </c>
      <c r="N34" s="150">
        <v>-3201704</v>
      </c>
      <c r="O34" s="150">
        <v>-3201409</v>
      </c>
      <c r="P34" s="150">
        <v>-3201221</v>
      </c>
      <c r="Q34" s="150">
        <v>-3201221</v>
      </c>
      <c r="R34" s="150">
        <v>-3200427</v>
      </c>
      <c r="S34" s="150">
        <v>-3193581.5</v>
      </c>
      <c r="T34" s="150">
        <v>-3195198</v>
      </c>
      <c r="U34" s="150">
        <v>0</v>
      </c>
      <c r="V34" s="150">
        <f>160000+3113833+617260</f>
        <v>3891093</v>
      </c>
      <c r="W34" s="150">
        <v>14127.3</v>
      </c>
      <c r="X34" s="150">
        <v>13712.5</v>
      </c>
      <c r="Y34" s="150">
        <v>4380</v>
      </c>
      <c r="Z34" s="150">
        <v>4380</v>
      </c>
      <c r="AA34" s="150">
        <v>2981</v>
      </c>
      <c r="AB34" s="150">
        <v>1657</v>
      </c>
      <c r="AC34" s="150">
        <v>517</v>
      </c>
      <c r="AD34" s="150">
        <v>763</v>
      </c>
      <c r="AE34" s="194">
        <v>-1284.5</v>
      </c>
      <c r="AF34" s="193">
        <v>-1284.5</v>
      </c>
      <c r="AG34" s="193">
        <v>-1284.5</v>
      </c>
      <c r="AH34" s="193">
        <v>-2486</v>
      </c>
      <c r="AI34" s="193">
        <f>4954346+200000+1011357</f>
        <v>6165703</v>
      </c>
      <c r="AJ34" s="193">
        <f>4954346+200000+1011357</f>
        <v>6165703</v>
      </c>
      <c r="AK34" s="193"/>
      <c r="AL34" s="193">
        <v>-2485</v>
      </c>
      <c r="AM34" s="193">
        <v>-2485</v>
      </c>
      <c r="AN34" s="193">
        <v>-2485</v>
      </c>
      <c r="AO34" s="193">
        <v>2981</v>
      </c>
      <c r="AP34" s="193">
        <v>-2485</v>
      </c>
      <c r="AQ34" s="193">
        <v>-894.5</v>
      </c>
      <c r="AR34" s="193">
        <v>-1226</v>
      </c>
      <c r="AS34" s="193">
        <v>-1226</v>
      </c>
      <c r="AT34" s="193"/>
      <c r="AU34" s="193">
        <v>55215</v>
      </c>
      <c r="AV34" s="193"/>
      <c r="AW34" s="251">
        <v>608151</v>
      </c>
      <c r="AX34" s="394"/>
      <c r="AY34" s="394"/>
      <c r="AZ34" s="394">
        <v>-1539</v>
      </c>
      <c r="BA34" s="242">
        <v>-2700</v>
      </c>
      <c r="BB34" s="242">
        <v>1350</v>
      </c>
      <c r="BC34" s="242">
        <v>4839</v>
      </c>
      <c r="BD34" s="242">
        <v>0</v>
      </c>
      <c r="BE34" s="52">
        <v>0</v>
      </c>
      <c r="BF34" s="99">
        <v>0</v>
      </c>
      <c r="BH34" s="52">
        <v>0</v>
      </c>
      <c r="BI34" s="480">
        <v>0</v>
      </c>
      <c r="BJ34" s="480">
        <v>2525539</v>
      </c>
      <c r="BK34" s="480">
        <v>2525539</v>
      </c>
      <c r="BL34" s="480">
        <v>0</v>
      </c>
      <c r="BM34" s="480">
        <v>0</v>
      </c>
      <c r="BN34" s="480">
        <v>0</v>
      </c>
      <c r="BO34" s="480">
        <v>0</v>
      </c>
      <c r="BP34" s="480">
        <v>0</v>
      </c>
      <c r="BQ34" s="480">
        <v>0</v>
      </c>
      <c r="BR34" s="480">
        <v>0</v>
      </c>
      <c r="BS34" s="480">
        <v>0</v>
      </c>
      <c r="BT34" s="480">
        <v>0</v>
      </c>
      <c r="BU34" s="88">
        <v>0</v>
      </c>
      <c r="BV34" s="88">
        <v>2719777</v>
      </c>
      <c r="BW34" s="88">
        <v>2719777.58</v>
      </c>
      <c r="BX34" s="88">
        <v>0</v>
      </c>
      <c r="BY34" s="88">
        <v>0</v>
      </c>
      <c r="BZ34" s="522">
        <v>0</v>
      </c>
      <c r="CA34" s="522">
        <v>0</v>
      </c>
      <c r="CB34" s="522">
        <v>0</v>
      </c>
      <c r="CC34" s="522">
        <v>0</v>
      </c>
      <c r="CD34" s="522">
        <v>0</v>
      </c>
      <c r="CE34" s="522">
        <v>0</v>
      </c>
      <c r="CF34" s="522">
        <v>0</v>
      </c>
      <c r="CG34" s="522">
        <v>0</v>
      </c>
      <c r="CH34" s="522">
        <v>0</v>
      </c>
      <c r="CI34" s="522">
        <v>0</v>
      </c>
      <c r="CJ34" s="536">
        <v>11521824.01</v>
      </c>
      <c r="CK34" s="543">
        <v>11521824.01</v>
      </c>
      <c r="CL34" s="564">
        <v>11521824.01</v>
      </c>
      <c r="CM34" s="522">
        <v>177375.54</v>
      </c>
      <c r="CN34" s="564">
        <v>177375.54</v>
      </c>
      <c r="CO34" s="564">
        <v>0</v>
      </c>
      <c r="CP34" s="522">
        <v>0</v>
      </c>
      <c r="CR34" s="501">
        <v>0</v>
      </c>
      <c r="CS34" s="501">
        <v>0</v>
      </c>
      <c r="CT34" s="501">
        <v>0</v>
      </c>
      <c r="CU34" s="564">
        <v>0</v>
      </c>
      <c r="CV34" s="558">
        <v>0</v>
      </c>
      <c r="CW34" s="480">
        <v>15546767.82</v>
      </c>
      <c r="CX34" s="478">
        <v>15546767.82</v>
      </c>
      <c r="CY34" s="478">
        <v>15546767.82</v>
      </c>
      <c r="CZ34" s="478">
        <v>1316555.55</v>
      </c>
      <c r="DA34" s="478">
        <v>0</v>
      </c>
      <c r="DB34" s="478">
        <v>0</v>
      </c>
      <c r="DC34" s="478">
        <v>0</v>
      </c>
      <c r="DD34" s="478">
        <v>0</v>
      </c>
      <c r="DE34" s="522">
        <v>0</v>
      </c>
      <c r="DF34" s="522">
        <v>0</v>
      </c>
      <c r="DG34" s="522">
        <v>0</v>
      </c>
      <c r="DH34" s="522">
        <v>0</v>
      </c>
      <c r="DI34" s="522">
        <v>20450418.690000001</v>
      </c>
      <c r="DJ34" s="88">
        <v>20052971</v>
      </c>
      <c r="DK34" s="478">
        <v>20450418.690000001</v>
      </c>
      <c r="DL34" s="478">
        <v>20450418.690000001</v>
      </c>
      <c r="DM34" s="478">
        <v>0</v>
      </c>
      <c r="DN34" s="478">
        <v>0</v>
      </c>
      <c r="DO34" s="478">
        <v>0</v>
      </c>
      <c r="DP34" s="478">
        <v>0</v>
      </c>
      <c r="DQ34" s="478">
        <v>0</v>
      </c>
      <c r="DR34" s="478">
        <v>0</v>
      </c>
      <c r="DS34" s="522">
        <v>0</v>
      </c>
      <c r="DT34" s="522">
        <v>0</v>
      </c>
      <c r="DU34" s="522">
        <v>0</v>
      </c>
      <c r="DW34" s="87">
        <v>24345394</v>
      </c>
    </row>
    <row r="35" spans="2:127" ht="14.4" x14ac:dyDescent="0.25">
      <c r="B35" s="93" t="s">
        <v>66</v>
      </c>
      <c r="C35" s="149">
        <v>6107</v>
      </c>
      <c r="D35" s="149">
        <v>7900</v>
      </c>
      <c r="E35" s="150">
        <v>9000</v>
      </c>
      <c r="F35" s="151">
        <v>555360</v>
      </c>
      <c r="G35" s="150">
        <v>33850</v>
      </c>
      <c r="H35" s="150">
        <v>0</v>
      </c>
      <c r="I35" s="150"/>
      <c r="J35" s="150">
        <v>0</v>
      </c>
      <c r="K35" s="150">
        <v>0</v>
      </c>
      <c r="L35" s="150">
        <v>0</v>
      </c>
      <c r="M35" s="150">
        <v>0</v>
      </c>
      <c r="N35" s="150">
        <v>0</v>
      </c>
      <c r="O35" s="150">
        <v>0</v>
      </c>
      <c r="P35" s="150">
        <v>0</v>
      </c>
      <c r="Q35" s="150">
        <v>0</v>
      </c>
      <c r="R35" s="150">
        <v>0</v>
      </c>
      <c r="S35" s="150">
        <v>0</v>
      </c>
      <c r="T35" s="150">
        <v>0</v>
      </c>
      <c r="U35" s="150">
        <v>0</v>
      </c>
      <c r="V35" s="150"/>
      <c r="W35" s="150"/>
      <c r="X35" s="150"/>
      <c r="Y35" s="150"/>
      <c r="Z35" s="150"/>
      <c r="AA35" s="150">
        <v>0</v>
      </c>
      <c r="AB35" s="150">
        <v>0</v>
      </c>
      <c r="AC35" s="150">
        <v>0</v>
      </c>
      <c r="AD35" s="150">
        <v>0</v>
      </c>
      <c r="AE35" s="194">
        <v>0</v>
      </c>
      <c r="AF35" s="193">
        <v>0</v>
      </c>
      <c r="AG35" s="193">
        <v>0</v>
      </c>
      <c r="AH35" s="193">
        <v>0</v>
      </c>
      <c r="AI35" s="193"/>
      <c r="AJ35" s="193"/>
      <c r="AK35" s="193"/>
      <c r="AL35" s="193">
        <v>0</v>
      </c>
      <c r="AM35" s="193">
        <v>0</v>
      </c>
      <c r="AN35" s="193">
        <v>0</v>
      </c>
      <c r="AO35" s="193">
        <v>0</v>
      </c>
      <c r="AP35" s="193">
        <v>0</v>
      </c>
      <c r="AQ35" s="193">
        <v>0</v>
      </c>
      <c r="AR35" s="193">
        <v>0</v>
      </c>
      <c r="AS35" s="193">
        <v>0</v>
      </c>
      <c r="AT35" s="193"/>
      <c r="AU35" s="193">
        <v>0</v>
      </c>
      <c r="AV35" s="193"/>
      <c r="AW35" s="251"/>
      <c r="AX35" s="394"/>
      <c r="AY35" s="394"/>
      <c r="AZ35" s="394">
        <v>0</v>
      </c>
      <c r="BA35" s="242">
        <v>0</v>
      </c>
      <c r="BB35" s="242">
        <v>0</v>
      </c>
      <c r="BC35" s="242">
        <v>0</v>
      </c>
      <c r="BD35" s="242">
        <v>0</v>
      </c>
      <c r="BE35" s="52">
        <v>0</v>
      </c>
      <c r="BF35" s="52">
        <v>0</v>
      </c>
      <c r="BH35" s="52">
        <v>0</v>
      </c>
      <c r="BI35" s="480">
        <v>0</v>
      </c>
      <c r="BK35" s="480">
        <v>0</v>
      </c>
      <c r="BL35" s="480">
        <v>0</v>
      </c>
      <c r="BM35" s="480">
        <v>0</v>
      </c>
      <c r="BN35" s="480">
        <v>0</v>
      </c>
      <c r="BO35" s="480">
        <v>0</v>
      </c>
      <c r="BP35" s="480">
        <v>0</v>
      </c>
      <c r="BQ35" s="480">
        <v>0</v>
      </c>
      <c r="BR35" s="480">
        <v>0</v>
      </c>
      <c r="BS35" s="480">
        <v>0</v>
      </c>
      <c r="BT35" s="480">
        <v>0</v>
      </c>
      <c r="BU35" s="88">
        <v>0</v>
      </c>
      <c r="BV35" s="88">
        <v>0</v>
      </c>
      <c r="BW35" s="88"/>
      <c r="BX35" s="88">
        <v>0</v>
      </c>
      <c r="BY35" s="88">
        <v>0</v>
      </c>
      <c r="BZ35" s="522">
        <v>0</v>
      </c>
      <c r="CA35" s="522">
        <v>0</v>
      </c>
      <c r="CB35" s="522">
        <v>0</v>
      </c>
      <c r="CC35" s="522">
        <v>0</v>
      </c>
      <c r="CD35" s="522">
        <v>0</v>
      </c>
      <c r="CE35" s="522">
        <v>0</v>
      </c>
      <c r="CF35" s="522">
        <v>0</v>
      </c>
      <c r="CG35" s="522">
        <v>0</v>
      </c>
      <c r="CH35" s="522">
        <v>0</v>
      </c>
      <c r="CI35" s="522">
        <v>0</v>
      </c>
      <c r="CJ35" s="536"/>
      <c r="CK35" s="521"/>
      <c r="CL35" s="505"/>
      <c r="CN35" s="505"/>
      <c r="CO35" s="505">
        <v>0</v>
      </c>
      <c r="CP35" s="522">
        <v>0</v>
      </c>
      <c r="CR35" s="501">
        <v>0</v>
      </c>
      <c r="CS35" s="501">
        <v>0</v>
      </c>
      <c r="CT35" s="501">
        <v>0</v>
      </c>
      <c r="CU35" s="505">
        <v>0</v>
      </c>
      <c r="CV35" s="211"/>
      <c r="CW35" s="480"/>
      <c r="CX35" s="478">
        <v>0</v>
      </c>
      <c r="CY35" s="478">
        <v>0</v>
      </c>
      <c r="CZ35" s="478">
        <v>0</v>
      </c>
      <c r="DA35" s="478">
        <v>0</v>
      </c>
      <c r="DB35" s="478">
        <v>0</v>
      </c>
      <c r="DC35" s="478">
        <v>0</v>
      </c>
      <c r="DD35" s="478">
        <v>0</v>
      </c>
      <c r="DE35" s="522">
        <v>0</v>
      </c>
      <c r="DF35" s="522">
        <v>0</v>
      </c>
      <c r="DG35" s="522">
        <v>0</v>
      </c>
      <c r="DH35" s="522">
        <v>0</v>
      </c>
      <c r="DI35" s="522">
        <v>0</v>
      </c>
      <c r="DK35" s="478">
        <v>0</v>
      </c>
      <c r="DL35" s="478">
        <v>0</v>
      </c>
      <c r="DM35" s="478">
        <v>0</v>
      </c>
      <c r="DN35" s="478">
        <v>0</v>
      </c>
      <c r="DO35" s="478">
        <v>0</v>
      </c>
      <c r="DP35" s="478">
        <v>0</v>
      </c>
      <c r="DQ35" s="478">
        <v>0</v>
      </c>
      <c r="DR35" s="478">
        <v>0</v>
      </c>
    </row>
    <row r="36" spans="2:127" ht="14.4" x14ac:dyDescent="0.25">
      <c r="B36" s="93" t="s">
        <v>67</v>
      </c>
      <c r="C36" s="149"/>
      <c r="D36" s="149"/>
      <c r="E36" s="150"/>
      <c r="F36" s="151">
        <v>0</v>
      </c>
      <c r="G36" s="150">
        <v>0</v>
      </c>
      <c r="H36" s="150">
        <v>0</v>
      </c>
      <c r="I36" s="150"/>
      <c r="J36" s="150">
        <v>0</v>
      </c>
      <c r="K36" s="150">
        <v>0</v>
      </c>
      <c r="L36" s="150">
        <v>0</v>
      </c>
      <c r="M36" s="150">
        <v>0</v>
      </c>
      <c r="N36" s="150">
        <v>0</v>
      </c>
      <c r="O36" s="150">
        <v>0</v>
      </c>
      <c r="P36" s="150">
        <v>0</v>
      </c>
      <c r="Q36" s="150">
        <v>0</v>
      </c>
      <c r="R36" s="150">
        <v>0</v>
      </c>
      <c r="S36" s="150">
        <v>0</v>
      </c>
      <c r="T36" s="150">
        <v>0</v>
      </c>
      <c r="U36" s="150">
        <v>0</v>
      </c>
      <c r="V36" s="150"/>
      <c r="W36" s="150"/>
      <c r="X36" s="150"/>
      <c r="Y36" s="150"/>
      <c r="Z36" s="150"/>
      <c r="AA36" s="150">
        <v>0</v>
      </c>
      <c r="AB36" s="150">
        <v>0</v>
      </c>
      <c r="AC36" s="150">
        <v>0</v>
      </c>
      <c r="AD36" s="150">
        <v>0</v>
      </c>
      <c r="AE36" s="194">
        <v>0</v>
      </c>
      <c r="AF36" s="193">
        <v>0</v>
      </c>
      <c r="AG36" s="193">
        <v>0</v>
      </c>
      <c r="AH36" s="193">
        <v>0</v>
      </c>
      <c r="AI36" s="193"/>
      <c r="AJ36" s="193"/>
      <c r="AK36" s="193"/>
      <c r="AL36" s="193">
        <v>0</v>
      </c>
      <c r="AM36" s="193">
        <v>0</v>
      </c>
      <c r="AN36" s="193">
        <v>0</v>
      </c>
      <c r="AO36" s="193">
        <v>0</v>
      </c>
      <c r="AP36" s="193">
        <v>0</v>
      </c>
      <c r="AQ36" s="193">
        <v>0</v>
      </c>
      <c r="AR36" s="193">
        <v>-133500</v>
      </c>
      <c r="AS36" s="193">
        <v>-133500</v>
      </c>
      <c r="AT36" s="193"/>
      <c r="AU36" s="193">
        <v>-133500</v>
      </c>
      <c r="AV36" s="193"/>
      <c r="AW36" s="251"/>
      <c r="AX36" s="394"/>
      <c r="AY36" s="394"/>
      <c r="AZ36" s="394">
        <v>0</v>
      </c>
      <c r="BA36" s="242">
        <v>0</v>
      </c>
      <c r="BB36" s="242">
        <v>0</v>
      </c>
      <c r="BC36" s="242">
        <v>0</v>
      </c>
      <c r="BD36" s="242">
        <v>0</v>
      </c>
      <c r="BE36" s="52">
        <v>0</v>
      </c>
      <c r="BF36" s="52">
        <v>0</v>
      </c>
      <c r="BH36" s="52">
        <v>0</v>
      </c>
      <c r="BI36" s="480">
        <v>0</v>
      </c>
      <c r="BK36" s="480">
        <v>0</v>
      </c>
      <c r="BL36" s="480">
        <v>0</v>
      </c>
      <c r="BM36" s="480">
        <v>0</v>
      </c>
      <c r="BN36" s="480">
        <v>0</v>
      </c>
      <c r="BO36" s="480">
        <v>0</v>
      </c>
      <c r="BP36" s="480">
        <v>0</v>
      </c>
      <c r="BQ36" s="480">
        <v>0</v>
      </c>
      <c r="BR36" s="480">
        <v>0</v>
      </c>
      <c r="BS36" s="480">
        <v>0</v>
      </c>
      <c r="BT36" s="480">
        <v>0</v>
      </c>
      <c r="BU36" s="88">
        <v>0</v>
      </c>
      <c r="BV36" s="88">
        <v>0</v>
      </c>
      <c r="BW36" s="88"/>
      <c r="BX36" s="88">
        <v>0</v>
      </c>
      <c r="BY36" s="88">
        <v>0</v>
      </c>
      <c r="BZ36" s="522">
        <v>0</v>
      </c>
      <c r="CA36" s="522">
        <v>0</v>
      </c>
      <c r="CB36" s="522">
        <v>0</v>
      </c>
      <c r="CC36" s="522">
        <v>0</v>
      </c>
      <c r="CD36" s="522">
        <v>0</v>
      </c>
      <c r="CE36" s="522">
        <v>0</v>
      </c>
      <c r="CF36" s="522">
        <v>0</v>
      </c>
      <c r="CG36" s="522">
        <v>0</v>
      </c>
      <c r="CH36" s="522">
        <v>0</v>
      </c>
      <c r="CI36" s="522">
        <v>0</v>
      </c>
      <c r="CJ36" s="536"/>
      <c r="CK36" s="521"/>
      <c r="CL36" s="505"/>
      <c r="CM36" s="522">
        <v>0</v>
      </c>
      <c r="CN36" s="505"/>
      <c r="CO36" s="505">
        <v>0</v>
      </c>
      <c r="CP36" s="522">
        <v>0</v>
      </c>
      <c r="CR36" s="501">
        <v>0</v>
      </c>
      <c r="CS36" s="501">
        <v>0</v>
      </c>
      <c r="CT36" s="501">
        <v>0</v>
      </c>
      <c r="CU36" s="505">
        <v>0</v>
      </c>
      <c r="CV36" s="496">
        <v>403800</v>
      </c>
      <c r="CW36" s="480"/>
      <c r="CX36" s="478">
        <v>403800</v>
      </c>
      <c r="CY36" s="478">
        <v>403800</v>
      </c>
      <c r="CZ36" s="478">
        <v>403800</v>
      </c>
      <c r="DA36" s="478">
        <v>253800</v>
      </c>
      <c r="DB36" s="478">
        <v>253800</v>
      </c>
      <c r="DC36" s="478">
        <v>253800</v>
      </c>
      <c r="DD36" s="478">
        <v>253800</v>
      </c>
      <c r="DE36" s="522">
        <v>253800</v>
      </c>
      <c r="DF36" s="522">
        <v>253800</v>
      </c>
      <c r="DG36" s="522">
        <v>253800</v>
      </c>
      <c r="DH36" s="522">
        <v>253800</v>
      </c>
      <c r="DI36" s="522">
        <v>373800</v>
      </c>
      <c r="DK36" s="478">
        <v>373800</v>
      </c>
      <c r="DL36" s="478">
        <v>373800</v>
      </c>
      <c r="DM36" s="478">
        <v>373800</v>
      </c>
      <c r="DN36" s="478">
        <v>216800</v>
      </c>
      <c r="DO36" s="478">
        <v>216800</v>
      </c>
      <c r="DP36" s="478">
        <v>216800</v>
      </c>
      <c r="DQ36" s="478">
        <v>216800</v>
      </c>
      <c r="DR36" s="478">
        <v>216800</v>
      </c>
      <c r="DS36" s="522">
        <v>216800</v>
      </c>
      <c r="DT36" s="522">
        <v>216800</v>
      </c>
      <c r="DU36" s="522">
        <v>216800</v>
      </c>
    </row>
    <row r="37" spans="2:127" ht="14.4" x14ac:dyDescent="0.25">
      <c r="B37" s="93" t="s">
        <v>68</v>
      </c>
      <c r="C37" s="149">
        <v>494170</v>
      </c>
      <c r="D37" s="149">
        <v>627276</v>
      </c>
      <c r="E37" s="150">
        <v>706139</v>
      </c>
      <c r="F37" s="151">
        <v>1851747</v>
      </c>
      <c r="G37" s="150">
        <v>2359159</v>
      </c>
      <c r="H37" s="150">
        <v>0</v>
      </c>
      <c r="I37" s="150">
        <v>15600</v>
      </c>
      <c r="J37" s="150">
        <v>117016.35</v>
      </c>
      <c r="K37" s="150">
        <v>224978.16</v>
      </c>
      <c r="L37" s="150">
        <v>384080.62</v>
      </c>
      <c r="M37" s="150">
        <v>513229.93</v>
      </c>
      <c r="N37" s="150">
        <v>605517.59</v>
      </c>
      <c r="O37" s="150">
        <v>718155.76</v>
      </c>
      <c r="P37" s="150">
        <v>822150.09</v>
      </c>
      <c r="Q37" s="150">
        <v>925848.2</v>
      </c>
      <c r="R37" s="150">
        <v>1064791.67</v>
      </c>
      <c r="S37" s="150">
        <v>1199169.6299999999</v>
      </c>
      <c r="T37" s="150">
        <v>1332083.47</v>
      </c>
      <c r="U37" s="150">
        <v>25987</v>
      </c>
      <c r="V37" s="150">
        <f>325156-956+328084</f>
        <v>652284</v>
      </c>
      <c r="W37" s="150">
        <v>152926.97</v>
      </c>
      <c r="X37" s="150">
        <v>271513.03999999998</v>
      </c>
      <c r="Y37" s="150">
        <v>564591.85</v>
      </c>
      <c r="Z37" s="150">
        <v>710727.24</v>
      </c>
      <c r="AA37" s="150">
        <v>844251.81</v>
      </c>
      <c r="AB37" s="150">
        <v>810566.63</v>
      </c>
      <c r="AC37" s="150">
        <v>1065084.73</v>
      </c>
      <c r="AD37" s="150">
        <v>1167995.92</v>
      </c>
      <c r="AE37" s="194">
        <v>1293415.68</v>
      </c>
      <c r="AF37" s="193">
        <v>227377.15</v>
      </c>
      <c r="AG37" s="193">
        <v>362579.85</v>
      </c>
      <c r="AH37" s="193">
        <v>500215.28</v>
      </c>
      <c r="AI37" s="193">
        <f>362413</f>
        <v>362413</v>
      </c>
      <c r="AJ37" s="193">
        <f>362413</f>
        <v>362413</v>
      </c>
      <c r="AK37" s="193"/>
      <c r="AL37" s="193">
        <v>274890.46000000002</v>
      </c>
      <c r="AM37" s="193">
        <v>232621.46</v>
      </c>
      <c r="AN37" s="193">
        <v>569943.98</v>
      </c>
      <c r="AO37" s="193">
        <v>844251.81</v>
      </c>
      <c r="AP37" s="193">
        <v>896396.4</v>
      </c>
      <c r="AQ37" s="193">
        <v>1373975.16</v>
      </c>
      <c r="AR37" s="193">
        <v>1531072.42</v>
      </c>
      <c r="AS37" s="193">
        <v>1736787.2</v>
      </c>
      <c r="AT37" s="193"/>
      <c r="AU37" s="193">
        <v>1979005.9</v>
      </c>
      <c r="AV37" s="200">
        <v>63416328.579999998</v>
      </c>
      <c r="AW37" s="379">
        <f>5434834+200000+63649</f>
        <v>5698483</v>
      </c>
      <c r="AX37" s="394"/>
      <c r="AY37" s="394"/>
      <c r="AZ37" s="394">
        <v>-64079014.770000003</v>
      </c>
      <c r="BA37" s="242">
        <v>-128484127.62</v>
      </c>
      <c r="BB37" s="242">
        <v>5729157</v>
      </c>
      <c r="BC37" s="242">
        <v>30460891</v>
      </c>
      <c r="BD37" s="242">
        <v>3501403</v>
      </c>
      <c r="BE37" s="52">
        <v>0</v>
      </c>
      <c r="BF37" s="52">
        <v>0</v>
      </c>
      <c r="BH37" s="52">
        <v>0</v>
      </c>
      <c r="BI37" s="480">
        <v>0</v>
      </c>
      <c r="BJ37" s="480">
        <f>300000+39600+6911689</f>
        <v>7251289</v>
      </c>
      <c r="BK37" s="480">
        <v>7283122</v>
      </c>
      <c r="BL37" s="480">
        <v>7283122</v>
      </c>
      <c r="BM37" s="480">
        <v>0</v>
      </c>
      <c r="BN37" s="480">
        <v>0</v>
      </c>
      <c r="BO37" s="480">
        <v>0</v>
      </c>
      <c r="BP37" s="480">
        <v>0</v>
      </c>
      <c r="BQ37" s="480">
        <v>0</v>
      </c>
      <c r="BR37" s="480">
        <v>0</v>
      </c>
      <c r="BS37" s="480">
        <v>0</v>
      </c>
      <c r="BT37" s="480">
        <v>0</v>
      </c>
      <c r="BU37" s="88">
        <v>0</v>
      </c>
      <c r="BV37" s="88">
        <v>2049850</v>
      </c>
      <c r="BW37" s="88">
        <f>500000+1549850+9040189.61+9590309</f>
        <v>20680348.609999999</v>
      </c>
      <c r="BX37" s="522">
        <v>0</v>
      </c>
      <c r="BY37" s="522">
        <v>2116369</v>
      </c>
      <c r="BZ37" s="522">
        <v>2276468</v>
      </c>
      <c r="CA37" s="522">
        <v>2076468</v>
      </c>
      <c r="CB37" s="505">
        <v>1771961</v>
      </c>
      <c r="CC37" s="505">
        <v>1771961</v>
      </c>
      <c r="CD37" s="505">
        <v>1795603</v>
      </c>
      <c r="CE37" s="505">
        <v>1796615</v>
      </c>
      <c r="CF37" s="505">
        <v>1829767.88</v>
      </c>
      <c r="CG37" s="505">
        <v>1840835.5</v>
      </c>
      <c r="CH37" s="505">
        <v>1764496.09</v>
      </c>
      <c r="CI37" s="522">
        <v>1722240</v>
      </c>
      <c r="CJ37" s="536">
        <f>300000+1813240</f>
        <v>2113240</v>
      </c>
      <c r="CK37" s="542">
        <v>2374278.5699999998</v>
      </c>
      <c r="CL37" s="505">
        <v>1839218.2</v>
      </c>
      <c r="CM37" s="522">
        <v>1850661.24</v>
      </c>
      <c r="CN37" s="505">
        <v>1736618</v>
      </c>
      <c r="CO37" s="505">
        <v>1730259</v>
      </c>
      <c r="CP37" s="505">
        <v>1820433</v>
      </c>
      <c r="CQ37" s="505">
        <v>1884155.02</v>
      </c>
      <c r="CR37" s="505">
        <v>1754651</v>
      </c>
      <c r="CS37" s="505">
        <v>1849421.62</v>
      </c>
      <c r="CT37" s="505">
        <v>1809947.45</v>
      </c>
      <c r="CU37" s="505">
        <v>1747750.44</v>
      </c>
      <c r="CV37" s="496">
        <v>2222863.17</v>
      </c>
      <c r="CW37" s="480">
        <v>2441055.29</v>
      </c>
      <c r="CX37" s="478">
        <v>2037255.29</v>
      </c>
      <c r="CY37" s="478">
        <v>1660932.54</v>
      </c>
      <c r="CZ37" s="478">
        <v>2106973.5</v>
      </c>
      <c r="DA37" s="478">
        <v>2468343.5299999998</v>
      </c>
      <c r="DB37" s="478">
        <v>2086577.4</v>
      </c>
      <c r="DC37" s="478">
        <v>1382770.4</v>
      </c>
      <c r="DD37" s="478">
        <v>1402311.58</v>
      </c>
      <c r="DE37" s="522">
        <v>1463850.43</v>
      </c>
      <c r="DF37" s="522">
        <v>1463850.43</v>
      </c>
      <c r="DG37" s="522">
        <v>1339358.1599999999</v>
      </c>
      <c r="DH37" s="522">
        <v>1395192.51</v>
      </c>
      <c r="DI37" s="522">
        <v>2062185.02</v>
      </c>
      <c r="DJ37" s="88">
        <v>2469034</v>
      </c>
      <c r="DK37" s="478">
        <v>1865648.08</v>
      </c>
      <c r="DL37" s="478">
        <v>2035223.51</v>
      </c>
      <c r="DM37" s="478">
        <v>1757168.23</v>
      </c>
      <c r="DN37" s="478">
        <v>1756141.74</v>
      </c>
      <c r="DO37" s="478">
        <v>1756141.74</v>
      </c>
      <c r="DP37" s="478">
        <v>1685208.43</v>
      </c>
      <c r="DQ37" s="478">
        <v>1543337.27</v>
      </c>
      <c r="DR37" s="478">
        <v>1553728.48</v>
      </c>
      <c r="DS37" s="522">
        <v>1481577.41</v>
      </c>
      <c r="DT37" s="522">
        <v>1463267.65</v>
      </c>
      <c r="DU37" s="522">
        <v>1426262.93</v>
      </c>
      <c r="DW37" s="87">
        <v>1845338</v>
      </c>
    </row>
    <row r="38" spans="2:127" ht="14.4" x14ac:dyDescent="0.25">
      <c r="B38" s="97" t="s">
        <v>69</v>
      </c>
      <c r="C38" s="170"/>
      <c r="D38" s="154">
        <v>1000000</v>
      </c>
      <c r="E38" s="150"/>
      <c r="F38" s="151">
        <v>2870718</v>
      </c>
      <c r="G38" s="150">
        <v>560210</v>
      </c>
      <c r="H38" s="150">
        <v>4033865</v>
      </c>
      <c r="I38" s="150">
        <v>4033865</v>
      </c>
      <c r="J38" s="150">
        <v>8067730</v>
      </c>
      <c r="K38" s="150">
        <v>3884335</v>
      </c>
      <c r="L38" s="150">
        <v>3884335</v>
      </c>
      <c r="M38" s="150">
        <v>3724529</v>
      </c>
      <c r="N38" s="150">
        <v>3724529</v>
      </c>
      <c r="O38" s="150">
        <v>3724529</v>
      </c>
      <c r="P38" s="150">
        <v>3365209</v>
      </c>
      <c r="Q38" s="150">
        <v>3250954</v>
      </c>
      <c r="R38" s="150">
        <v>3250954</v>
      </c>
      <c r="S38" s="150">
        <v>3250954</v>
      </c>
      <c r="T38" s="150">
        <v>3250954</v>
      </c>
      <c r="U38" s="150">
        <v>2262103</v>
      </c>
      <c r="V38" s="150">
        <v>2073269</v>
      </c>
      <c r="W38" s="150">
        <v>2262103</v>
      </c>
      <c r="X38" s="150">
        <v>2262103</v>
      </c>
      <c r="Y38" s="150">
        <v>2262103</v>
      </c>
      <c r="Z38" s="150">
        <v>1896774</v>
      </c>
      <c r="AA38" s="150">
        <v>1896774</v>
      </c>
      <c r="AB38" s="150">
        <v>1896774</v>
      </c>
      <c r="AC38" s="150">
        <v>1896774</v>
      </c>
      <c r="AD38" s="150">
        <v>1896774</v>
      </c>
      <c r="AE38" s="194">
        <v>1896774</v>
      </c>
      <c r="AF38" s="193">
        <v>1896774</v>
      </c>
      <c r="AG38" s="193">
        <v>776826</v>
      </c>
      <c r="AH38" s="193">
        <v>0</v>
      </c>
      <c r="AI38" s="193"/>
      <c r="AJ38" s="193"/>
      <c r="AK38" s="193"/>
      <c r="AL38" s="193"/>
      <c r="AM38" s="193"/>
      <c r="AN38" s="193"/>
      <c r="AO38" s="193">
        <v>1896774</v>
      </c>
      <c r="AP38" s="193"/>
      <c r="AQ38" s="193"/>
      <c r="AR38" s="193"/>
      <c r="AS38" s="193"/>
      <c r="AT38" s="193"/>
      <c r="AU38" s="193"/>
      <c r="AV38" s="193"/>
      <c r="AW38" s="251"/>
      <c r="AX38" s="394"/>
      <c r="AY38" s="394"/>
      <c r="AZ38" s="394">
        <v>0</v>
      </c>
      <c r="BA38" s="242">
        <v>0</v>
      </c>
      <c r="BB38" s="242">
        <v>0</v>
      </c>
      <c r="BC38" s="242">
        <v>0</v>
      </c>
      <c r="BD38" s="242">
        <v>0</v>
      </c>
      <c r="BE38" s="52">
        <v>0</v>
      </c>
      <c r="BF38" s="52">
        <v>0</v>
      </c>
      <c r="BH38" s="52">
        <v>0</v>
      </c>
      <c r="BI38" s="480">
        <v>0</v>
      </c>
      <c r="BK38" s="211">
        <v>0</v>
      </c>
      <c r="BL38" s="211">
        <v>0</v>
      </c>
      <c r="BM38" s="211"/>
      <c r="BN38" s="211"/>
      <c r="BO38" s="211"/>
      <c r="BP38" s="480">
        <v>0</v>
      </c>
      <c r="BQ38" s="480"/>
      <c r="BR38" s="480"/>
      <c r="BS38" s="480"/>
      <c r="BT38" s="52">
        <v>0</v>
      </c>
      <c r="BU38" s="88">
        <v>5500000</v>
      </c>
      <c r="BV38" s="88">
        <v>5347222</v>
      </c>
      <c r="BW38" s="88">
        <v>5347222</v>
      </c>
      <c r="BX38" s="522">
        <v>5347222</v>
      </c>
      <c r="BY38" s="522">
        <v>5041666</v>
      </c>
      <c r="BZ38" s="522">
        <v>4888888</v>
      </c>
      <c r="CA38" s="522">
        <v>4736110</v>
      </c>
      <c r="CB38" s="505">
        <v>4583332</v>
      </c>
      <c r="CC38" s="505">
        <v>4430500</v>
      </c>
      <c r="CD38" s="505">
        <v>4268269</v>
      </c>
      <c r="CE38" s="505">
        <v>4067710</v>
      </c>
      <c r="CF38" s="505">
        <v>3852835</v>
      </c>
      <c r="CG38" s="505">
        <v>13701781</v>
      </c>
      <c r="CH38" s="505">
        <v>13532843.300000001</v>
      </c>
      <c r="CJ38" s="536">
        <v>13317968</v>
      </c>
      <c r="CK38" s="542">
        <v>12256156</v>
      </c>
      <c r="CL38" s="505">
        <v>12084076</v>
      </c>
      <c r="CM38" s="88">
        <v>11869201</v>
      </c>
      <c r="CN38" s="505">
        <v>10935639</v>
      </c>
      <c r="CO38" s="505">
        <v>10781446</v>
      </c>
      <c r="CP38" s="505">
        <v>10626229</v>
      </c>
      <c r="CQ38" s="505">
        <v>9564417</v>
      </c>
      <c r="CR38" s="505">
        <v>9369317</v>
      </c>
      <c r="CS38" s="505">
        <v>8969554</v>
      </c>
      <c r="CT38" s="505">
        <v>9184429</v>
      </c>
      <c r="CU38" s="505">
        <v>7930131</v>
      </c>
      <c r="CV38" s="496">
        <v>7752577</v>
      </c>
      <c r="CW38" s="480">
        <v>7752577</v>
      </c>
      <c r="CX38" s="478">
        <v>6674015</v>
      </c>
      <c r="CY38" s="478">
        <v>6492640</v>
      </c>
      <c r="CZ38" s="478">
        <v>6313114.6600000001</v>
      </c>
      <c r="DA38" s="478">
        <v>5251302.66</v>
      </c>
      <c r="DB38" s="478">
        <v>5040426.92</v>
      </c>
      <c r="DC38" s="478">
        <v>14825551.92</v>
      </c>
      <c r="DD38" s="478">
        <v>13487614.92</v>
      </c>
      <c r="DE38" s="522">
        <v>12781739.92</v>
      </c>
      <c r="DF38" s="522">
        <v>12075864.92</v>
      </c>
      <c r="DG38" s="522">
        <v>11228927.92</v>
      </c>
      <c r="DH38" s="522">
        <v>10543180</v>
      </c>
      <c r="DI38" s="522">
        <v>12162420.32</v>
      </c>
      <c r="DJ38" s="88">
        <v>12092325</v>
      </c>
      <c r="DK38" s="478">
        <v>10681515.98</v>
      </c>
      <c r="DL38" s="478">
        <v>10681515.98</v>
      </c>
      <c r="DM38" s="478">
        <v>7182065.3200000003</v>
      </c>
      <c r="DN38" s="478">
        <v>6691065.3200000003</v>
      </c>
      <c r="DO38" s="478">
        <v>7318252.3200000003</v>
      </c>
      <c r="DP38" s="478">
        <v>7012352.3200000003</v>
      </c>
      <c r="DQ38" s="478">
        <v>6661352.3200000003</v>
      </c>
      <c r="DR38" s="478">
        <v>6607372</v>
      </c>
      <c r="DS38" s="522">
        <v>6607372</v>
      </c>
      <c r="DT38" s="522">
        <v>5627372</v>
      </c>
      <c r="DU38" s="522">
        <v>5602949</v>
      </c>
      <c r="DW38" s="87">
        <v>5845335</v>
      </c>
    </row>
    <row r="39" spans="2:127" ht="13.2" x14ac:dyDescent="0.25">
      <c r="B39" s="90" t="s">
        <v>70</v>
      </c>
      <c r="C39" s="147">
        <f t="shared" ref="C39:V39" si="64">C32+C31</f>
        <v>3035549</v>
      </c>
      <c r="D39" s="147">
        <f t="shared" si="64"/>
        <v>8013786</v>
      </c>
      <c r="E39" s="147">
        <f t="shared" si="64"/>
        <v>10178659</v>
      </c>
      <c r="F39" s="147">
        <f t="shared" si="64"/>
        <v>23792553</v>
      </c>
      <c r="G39" s="147">
        <f t="shared" si="64"/>
        <v>32352214</v>
      </c>
      <c r="H39" s="147">
        <f t="shared" si="64"/>
        <v>50083690.100000001</v>
      </c>
      <c r="I39" s="147">
        <f t="shared" si="64"/>
        <v>51080242</v>
      </c>
      <c r="J39" s="147">
        <f t="shared" si="64"/>
        <v>102536843.8</v>
      </c>
      <c r="K39" s="147">
        <f t="shared" si="64"/>
        <v>53134203.030000001</v>
      </c>
      <c r="L39" s="147">
        <f t="shared" si="64"/>
        <v>55709583.789999992</v>
      </c>
      <c r="M39" s="147">
        <f t="shared" si="64"/>
        <v>56950282.18</v>
      </c>
      <c r="N39" s="147">
        <f t="shared" si="64"/>
        <v>54428961.879999995</v>
      </c>
      <c r="O39" s="147">
        <f t="shared" si="64"/>
        <v>56355430.879999995</v>
      </c>
      <c r="P39" s="147">
        <f t="shared" si="64"/>
        <v>58506000.769999996</v>
      </c>
      <c r="Q39" s="147">
        <f t="shared" si="64"/>
        <v>60117932.590000004</v>
      </c>
      <c r="R39" s="147">
        <f t="shared" si="64"/>
        <v>61017613.790000007</v>
      </c>
      <c r="S39" s="147">
        <f t="shared" si="64"/>
        <v>63409828.930000007</v>
      </c>
      <c r="T39" s="147">
        <f t="shared" si="64"/>
        <v>63043376.020000003</v>
      </c>
      <c r="U39" s="147">
        <f t="shared" si="64"/>
        <v>64350198.240000002</v>
      </c>
      <c r="V39" s="147">
        <f t="shared" si="64"/>
        <v>68749587</v>
      </c>
      <c r="W39" s="147">
        <f t="shared" ref="W39:AD39" si="65">W32+W31</f>
        <v>65964309.820000008</v>
      </c>
      <c r="X39" s="147">
        <f t="shared" si="65"/>
        <v>64779684.390000001</v>
      </c>
      <c r="Y39" s="147">
        <f t="shared" si="65"/>
        <v>69124797.049999997</v>
      </c>
      <c r="Z39" s="147">
        <f t="shared" si="65"/>
        <v>71238530.209999993</v>
      </c>
      <c r="AA39" s="147">
        <f t="shared" si="65"/>
        <v>74313206.640000001</v>
      </c>
      <c r="AB39" s="147">
        <f t="shared" si="65"/>
        <v>76269042.519999996</v>
      </c>
      <c r="AC39" s="147">
        <f t="shared" si="65"/>
        <v>76500390.770000011</v>
      </c>
      <c r="AD39" s="147">
        <f t="shared" si="65"/>
        <v>79518951.109999999</v>
      </c>
      <c r="AE39" s="147">
        <f t="shared" ref="AE39:AG39" si="66">AE32+AE31</f>
        <v>82442936.080000013</v>
      </c>
      <c r="AF39" s="147">
        <f t="shared" si="66"/>
        <v>83761410.410000011</v>
      </c>
      <c r="AG39" s="147">
        <f t="shared" si="66"/>
        <v>84744307.799999997</v>
      </c>
      <c r="AH39" s="147">
        <f t="shared" ref="AH39:AI39" si="67">AH32+AH31</f>
        <v>83995664.870000005</v>
      </c>
      <c r="AI39" s="147">
        <f t="shared" si="67"/>
        <v>100344902</v>
      </c>
      <c r="AJ39" s="147">
        <f t="shared" ref="AJ39:AN39" si="68">AJ32+AJ31</f>
        <v>98289787</v>
      </c>
      <c r="AK39" s="147">
        <f t="shared" si="68"/>
        <v>0</v>
      </c>
      <c r="AL39" s="147">
        <f t="shared" si="68"/>
        <v>88277774.329999998</v>
      </c>
      <c r="AM39" s="147">
        <f t="shared" si="68"/>
        <v>88235505.329999998</v>
      </c>
      <c r="AN39" s="147">
        <f t="shared" si="68"/>
        <v>88586027.850000009</v>
      </c>
      <c r="AO39" s="147">
        <f t="shared" ref="AO39:AP39" si="69">AO32+AO31</f>
        <v>74313206.640000001</v>
      </c>
      <c r="AP39" s="147">
        <f t="shared" si="69"/>
        <v>88925680.270000011</v>
      </c>
      <c r="AQ39" s="147">
        <f t="shared" ref="AQ39:AR39" si="70">AQ32+AQ31</f>
        <v>89300929.530000001</v>
      </c>
      <c r="AR39" s="147">
        <f t="shared" si="70"/>
        <v>89332195.290000007</v>
      </c>
      <c r="AS39" s="147">
        <f t="shared" ref="AS39:CC39" si="71">AS32+AS31</f>
        <v>89550910.070000008</v>
      </c>
      <c r="AT39" s="147">
        <f t="shared" si="71"/>
        <v>0</v>
      </c>
      <c r="AU39" s="147">
        <f t="shared" si="71"/>
        <v>89863569.770000011</v>
      </c>
      <c r="AV39" s="147">
        <f t="shared" si="71"/>
        <v>171185806.36000001</v>
      </c>
      <c r="AW39" s="147">
        <f t="shared" si="71"/>
        <v>118812864</v>
      </c>
      <c r="AX39" s="147">
        <f t="shared" si="71"/>
        <v>0</v>
      </c>
      <c r="AY39" s="147">
        <f t="shared" si="71"/>
        <v>0</v>
      </c>
      <c r="AZ39" s="147">
        <f t="shared" si="71"/>
        <v>-178183721.40000001</v>
      </c>
      <c r="BA39" s="147">
        <f t="shared" si="71"/>
        <v>-373651143.10000002</v>
      </c>
      <c r="BB39" s="147">
        <f t="shared" si="71"/>
        <v>132505832.06</v>
      </c>
      <c r="BC39" s="147">
        <f t="shared" si="71"/>
        <v>150509619.88999999</v>
      </c>
      <c r="BD39" s="147">
        <f t="shared" si="71"/>
        <v>128781204.71000001</v>
      </c>
      <c r="BE39" s="147">
        <f t="shared" si="71"/>
        <v>130055516.28</v>
      </c>
      <c r="BF39" s="147">
        <f t="shared" si="71"/>
        <v>128427832.49000001</v>
      </c>
      <c r="BG39" s="147">
        <f t="shared" si="71"/>
        <v>0</v>
      </c>
      <c r="BH39" s="147">
        <f t="shared" si="71"/>
        <v>127871407.46000001</v>
      </c>
      <c r="BI39" s="147">
        <f t="shared" si="71"/>
        <v>124433705.90000001</v>
      </c>
      <c r="BJ39" s="147">
        <f t="shared" si="71"/>
        <v>131321376.60000001</v>
      </c>
      <c r="BK39" s="147">
        <f t="shared" si="71"/>
        <v>140115571</v>
      </c>
      <c r="BL39" s="147">
        <f t="shared" si="71"/>
        <v>141202640.11000001</v>
      </c>
      <c r="BM39" s="147">
        <f t="shared" si="71"/>
        <v>136898829.26999998</v>
      </c>
      <c r="BN39" s="147">
        <f t="shared" si="71"/>
        <v>138098251</v>
      </c>
      <c r="BO39" s="147">
        <f t="shared" si="71"/>
        <v>135126256</v>
      </c>
      <c r="BP39" s="147">
        <f t="shared" si="71"/>
        <v>137914402</v>
      </c>
      <c r="BQ39" s="147">
        <f t="shared" si="71"/>
        <v>139655178</v>
      </c>
      <c r="BR39" s="147">
        <f t="shared" si="71"/>
        <v>143781960</v>
      </c>
      <c r="BS39" s="147">
        <f t="shared" si="71"/>
        <v>143776219</v>
      </c>
      <c r="BT39" s="147">
        <f t="shared" si="71"/>
        <v>143746738</v>
      </c>
      <c r="BU39" s="147">
        <f t="shared" si="71"/>
        <v>151374087</v>
      </c>
      <c r="BV39" s="147">
        <f t="shared" si="71"/>
        <v>148588996</v>
      </c>
      <c r="BW39" s="147">
        <f t="shared" si="71"/>
        <v>167219495.27000001</v>
      </c>
      <c r="BX39" s="147">
        <f t="shared" si="71"/>
        <v>158558082</v>
      </c>
      <c r="BY39" s="147">
        <f t="shared" si="71"/>
        <v>154766427</v>
      </c>
      <c r="BZ39" s="147">
        <f t="shared" si="71"/>
        <v>163837811</v>
      </c>
      <c r="CA39" s="147">
        <f t="shared" si="71"/>
        <v>161964671</v>
      </c>
      <c r="CB39" s="147">
        <f t="shared" si="71"/>
        <v>173674036</v>
      </c>
      <c r="CC39" s="147">
        <f t="shared" si="71"/>
        <v>177379257</v>
      </c>
      <c r="CD39" s="147">
        <f t="shared" ref="CD39:DW39" si="72">CD32+CD31</f>
        <v>180113230.53</v>
      </c>
      <c r="CE39" s="147">
        <f t="shared" si="72"/>
        <v>182976287.56</v>
      </c>
      <c r="CF39" s="147">
        <f t="shared" si="72"/>
        <v>189972194.96000001</v>
      </c>
      <c r="CG39" s="147">
        <f t="shared" si="72"/>
        <v>200038613.97000003</v>
      </c>
      <c r="CH39" s="147">
        <f t="shared" si="72"/>
        <v>201906750.53999996</v>
      </c>
      <c r="CI39" s="147">
        <f t="shared" si="72"/>
        <v>73356919.219999999</v>
      </c>
      <c r="CJ39" s="538">
        <f t="shared" si="72"/>
        <v>202710039.66000003</v>
      </c>
      <c r="CK39" s="538">
        <f t="shared" si="72"/>
        <v>215510441.926</v>
      </c>
      <c r="CL39" s="538">
        <f t="shared" si="72"/>
        <v>218908221.90599999</v>
      </c>
      <c r="CM39" s="538">
        <f t="shared" si="72"/>
        <v>210947714.29999998</v>
      </c>
      <c r="CN39" s="538">
        <f t="shared" si="72"/>
        <v>214484556.206</v>
      </c>
      <c r="CO39" s="538">
        <f t="shared" si="72"/>
        <v>213918944.73000002</v>
      </c>
      <c r="CP39" s="538">
        <f t="shared" si="72"/>
        <v>223706125.97999999</v>
      </c>
      <c r="CQ39" s="551">
        <f t="shared" si="72"/>
        <v>219696709.99000001</v>
      </c>
      <c r="CR39" s="538">
        <f t="shared" si="72"/>
        <v>224139673</v>
      </c>
      <c r="CS39" s="538">
        <f t="shared" si="72"/>
        <v>229884243.89000002</v>
      </c>
      <c r="CT39" s="538">
        <f t="shared" si="72"/>
        <v>230059644.72</v>
      </c>
      <c r="CU39" s="538">
        <f t="shared" si="72"/>
        <v>231069381.94999999</v>
      </c>
      <c r="CV39" s="538">
        <f t="shared" si="72"/>
        <v>223997875.48999998</v>
      </c>
      <c r="CW39" s="538">
        <f t="shared" si="72"/>
        <v>239359035.43000001</v>
      </c>
      <c r="CX39" s="538">
        <f t="shared" si="72"/>
        <v>254582182.42000002</v>
      </c>
      <c r="CY39" s="538">
        <f t="shared" si="72"/>
        <v>260787878.40000004</v>
      </c>
      <c r="CZ39" s="538">
        <f t="shared" si="72"/>
        <v>251214223.05000001</v>
      </c>
      <c r="DA39" s="538">
        <f t="shared" si="72"/>
        <v>250303739.98000002</v>
      </c>
      <c r="DB39" s="538">
        <f t="shared" si="72"/>
        <v>252950002.34</v>
      </c>
      <c r="DC39" s="538">
        <f t="shared" si="72"/>
        <v>266408215.90999997</v>
      </c>
      <c r="DD39" s="538">
        <f t="shared" si="72"/>
        <v>271106894.31</v>
      </c>
      <c r="DE39" s="538">
        <f t="shared" si="72"/>
        <v>272157486.03999996</v>
      </c>
      <c r="DF39" s="538">
        <f t="shared" si="72"/>
        <v>279747511.87</v>
      </c>
      <c r="DG39" s="538">
        <f t="shared" si="72"/>
        <v>273118395.66999996</v>
      </c>
      <c r="DH39" s="538">
        <f t="shared" si="72"/>
        <v>279455632.24000001</v>
      </c>
      <c r="DI39" s="538">
        <f t="shared" si="72"/>
        <v>287044855.64999998</v>
      </c>
      <c r="DJ39" s="538">
        <f t="shared" si="72"/>
        <v>287270522</v>
      </c>
      <c r="DK39" s="538">
        <f t="shared" si="72"/>
        <v>293195808.94</v>
      </c>
      <c r="DL39" s="538">
        <f t="shared" si="72"/>
        <v>292650168.27999997</v>
      </c>
      <c r="DM39" s="538">
        <f t="shared" si="72"/>
        <v>277344347.90000004</v>
      </c>
      <c r="DN39" s="538">
        <f t="shared" si="72"/>
        <v>277538945.90000004</v>
      </c>
      <c r="DO39" s="538">
        <f t="shared" si="72"/>
        <v>276294819.73999995</v>
      </c>
      <c r="DP39" s="538">
        <f t="shared" si="72"/>
        <v>283675390.77999997</v>
      </c>
      <c r="DQ39" s="538">
        <f t="shared" si="72"/>
        <v>286000436.69</v>
      </c>
      <c r="DR39" s="538">
        <f t="shared" si="72"/>
        <v>285715524.36000001</v>
      </c>
      <c r="DS39" s="538">
        <f t="shared" si="72"/>
        <v>288185689.36000007</v>
      </c>
      <c r="DT39" s="538">
        <f t="shared" si="72"/>
        <v>291904500.33999997</v>
      </c>
      <c r="DU39" s="538">
        <f t="shared" si="72"/>
        <v>296950887.31</v>
      </c>
      <c r="DV39" s="538">
        <f t="shared" si="72"/>
        <v>0</v>
      </c>
      <c r="DW39" s="538">
        <f t="shared" si="72"/>
        <v>317602994</v>
      </c>
    </row>
    <row r="40" spans="2:127" ht="14.4" x14ac:dyDescent="0.25">
      <c r="B40" s="93" t="s">
        <v>71</v>
      </c>
      <c r="C40" s="149">
        <v>358000</v>
      </c>
      <c r="D40" s="149">
        <v>618000</v>
      </c>
      <c r="E40" s="150">
        <v>7470000</v>
      </c>
      <c r="F40" s="151">
        <v>10188316</v>
      </c>
      <c r="G40" s="150">
        <v>13099989</v>
      </c>
      <c r="H40" s="150">
        <v>16896221.260000002</v>
      </c>
      <c r="I40" s="150">
        <v>15978641</v>
      </c>
      <c r="J40" s="150">
        <v>33927741.520000003</v>
      </c>
      <c r="K40" s="150">
        <v>17383213.260000002</v>
      </c>
      <c r="L40" s="150">
        <v>17974930.260000002</v>
      </c>
      <c r="M40" s="150">
        <v>18032037.260000002</v>
      </c>
      <c r="N40" s="150">
        <v>18444575.260000002</v>
      </c>
      <c r="O40" s="150">
        <v>18585194.260000002</v>
      </c>
      <c r="P40" s="150">
        <v>19175829.260000002</v>
      </c>
      <c r="Q40" s="150">
        <v>18691824.260000002</v>
      </c>
      <c r="R40" s="150">
        <v>18921949.260000002</v>
      </c>
      <c r="S40" s="150">
        <v>19717783.260000002</v>
      </c>
      <c r="T40" s="150">
        <v>20111540.260000002</v>
      </c>
      <c r="U40" s="150">
        <v>19718355.260000002</v>
      </c>
      <c r="V40" s="150">
        <v>18898149</v>
      </c>
      <c r="W40" s="150">
        <v>20128307.260000002</v>
      </c>
      <c r="X40" s="150">
        <v>21027549.260000002</v>
      </c>
      <c r="Y40" s="150">
        <v>21308409.260000002</v>
      </c>
      <c r="Z40" s="150">
        <v>23736308.260000002</v>
      </c>
      <c r="AA40" s="150">
        <v>24389735.260000002</v>
      </c>
      <c r="AB40" s="150">
        <v>25091160.280000001</v>
      </c>
      <c r="AC40" s="150">
        <v>26050348.93</v>
      </c>
      <c r="AD40" s="150">
        <v>26849735.73</v>
      </c>
      <c r="AE40" s="150">
        <v>27104748.530000001</v>
      </c>
      <c r="AF40" s="150">
        <v>26346063.559999999</v>
      </c>
      <c r="AG40" s="150">
        <v>27544270.18</v>
      </c>
      <c r="AH40" s="150">
        <v>27907588.18</v>
      </c>
      <c r="AI40" s="151">
        <v>21766249</v>
      </c>
      <c r="AJ40" s="150">
        <v>21766249</v>
      </c>
      <c r="AK40" s="150"/>
      <c r="AL40" s="150">
        <v>35545041.219999999</v>
      </c>
      <c r="AM40" s="150">
        <v>35304831.799999997</v>
      </c>
      <c r="AN40" s="150">
        <v>36720050.079999998</v>
      </c>
      <c r="AO40" s="193">
        <v>24389735.260000002</v>
      </c>
      <c r="AP40" s="150">
        <v>46118891.619999997</v>
      </c>
      <c r="AQ40" s="193">
        <v>49332735.659999996</v>
      </c>
      <c r="AR40" s="193">
        <v>53888951.82</v>
      </c>
      <c r="AS40" s="193">
        <v>57802514.840000004</v>
      </c>
      <c r="AT40" s="193"/>
      <c r="AU40" s="193">
        <v>60964425.049999997</v>
      </c>
      <c r="AV40" s="193">
        <v>31786378.050000001</v>
      </c>
      <c r="AW40" s="251">
        <v>23368005</v>
      </c>
      <c r="AX40" s="150"/>
      <c r="AY40" s="150"/>
      <c r="AZ40" s="150">
        <v>-32128988</v>
      </c>
      <c r="BA40" s="388">
        <v>-64836010.100000001</v>
      </c>
      <c r="BB40" s="150">
        <v>24212302</v>
      </c>
      <c r="BC40" s="150">
        <v>24338933</v>
      </c>
      <c r="BD40" s="150">
        <v>24484113</v>
      </c>
      <c r="BE40" s="52">
        <v>24627427.899999999</v>
      </c>
      <c r="BF40" s="478">
        <v>24808582.91</v>
      </c>
      <c r="BG40" s="52">
        <v>0</v>
      </c>
      <c r="BH40" s="52">
        <v>25137577</v>
      </c>
      <c r="BI40" s="480">
        <v>25255387.359999999</v>
      </c>
      <c r="BJ40" s="480">
        <v>25255387</v>
      </c>
      <c r="BK40" s="494">
        <v>25332452.359999999</v>
      </c>
      <c r="BL40" s="494">
        <v>25488292</v>
      </c>
      <c r="BM40" s="494">
        <v>25892885.359999999</v>
      </c>
      <c r="BN40" s="494">
        <v>26065897</v>
      </c>
      <c r="BO40" s="494">
        <v>26305008</v>
      </c>
      <c r="BP40" s="480">
        <v>26514691</v>
      </c>
      <c r="BQ40" s="480">
        <v>27608561</v>
      </c>
      <c r="BR40" s="501">
        <v>28155319</v>
      </c>
      <c r="BS40" s="501">
        <v>28590761</v>
      </c>
      <c r="BT40" s="504">
        <v>28850953</v>
      </c>
      <c r="BU40" s="88">
        <v>29309422</v>
      </c>
      <c r="BV40" s="88">
        <v>29583093</v>
      </c>
      <c r="BW40" s="88">
        <v>29583093.039999999</v>
      </c>
      <c r="BX40" s="522">
        <v>29760294</v>
      </c>
      <c r="BY40" s="522">
        <v>29914576</v>
      </c>
      <c r="BZ40" s="522">
        <v>30548189</v>
      </c>
      <c r="CA40" s="522">
        <v>30655114</v>
      </c>
      <c r="CB40" s="522">
        <v>30821674</v>
      </c>
      <c r="CC40" s="522">
        <v>30945348</v>
      </c>
      <c r="CD40" s="504">
        <v>31105148</v>
      </c>
      <c r="CE40" s="522">
        <v>31242651</v>
      </c>
      <c r="CF40" s="522">
        <v>31416532.23</v>
      </c>
      <c r="CG40" s="522">
        <v>31574244.57</v>
      </c>
      <c r="CH40" s="504">
        <v>31850792.460000001</v>
      </c>
      <c r="CI40" s="522">
        <v>31984936.800000001</v>
      </c>
      <c r="CJ40" s="536">
        <v>31984936.800000001</v>
      </c>
      <c r="CK40" s="539">
        <v>32177149.850000001</v>
      </c>
      <c r="CL40" s="522">
        <v>32428751</v>
      </c>
      <c r="CM40" s="522">
        <v>32816015</v>
      </c>
      <c r="CN40" s="522">
        <v>32990257</v>
      </c>
      <c r="CO40" s="522">
        <v>33158169.899999999</v>
      </c>
      <c r="CP40" s="522">
        <v>33451675</v>
      </c>
      <c r="CQ40" s="545">
        <v>33844748.670000002</v>
      </c>
      <c r="CR40" s="501">
        <v>34213651</v>
      </c>
      <c r="CS40" s="545">
        <v>34987928.829999998</v>
      </c>
      <c r="CT40" s="545">
        <v>34582419.159999996</v>
      </c>
      <c r="CU40" s="501">
        <v>35649778.780000001</v>
      </c>
      <c r="CV40" s="557">
        <v>35996598</v>
      </c>
      <c r="CW40" s="480">
        <v>35996598.310000002</v>
      </c>
      <c r="CX40" s="478">
        <v>36244309.640000001</v>
      </c>
      <c r="CY40" s="478">
        <v>36616408.960000001</v>
      </c>
      <c r="CZ40" s="478">
        <v>37617520.350000001</v>
      </c>
      <c r="DA40" s="478">
        <v>38070246.450000003</v>
      </c>
      <c r="DB40" s="478">
        <v>38388354.609999999</v>
      </c>
      <c r="DC40" s="478">
        <v>39005546</v>
      </c>
      <c r="DD40" s="478">
        <v>39438880.420000002</v>
      </c>
      <c r="DE40" s="522">
        <v>39852688.409999996</v>
      </c>
      <c r="DF40" s="522">
        <v>40195569.020000003</v>
      </c>
      <c r="DG40" s="522">
        <v>40528804.68</v>
      </c>
      <c r="DH40" s="522">
        <v>40976875</v>
      </c>
      <c r="DI40" s="522">
        <v>41367361.880000003</v>
      </c>
      <c r="DJ40" s="88">
        <v>41367361</v>
      </c>
      <c r="DK40" s="478">
        <v>41875543.75</v>
      </c>
      <c r="DL40" s="478">
        <v>42391440.399999999</v>
      </c>
      <c r="DM40" s="478">
        <v>46886541.039999999</v>
      </c>
      <c r="DN40" s="478">
        <v>47847276.560000002</v>
      </c>
      <c r="DO40" s="478">
        <v>48264409.359999999</v>
      </c>
      <c r="DP40" s="478">
        <v>49922678.850000001</v>
      </c>
      <c r="DQ40" s="478">
        <v>50966751.850000001</v>
      </c>
      <c r="DR40" s="478">
        <v>51420469.390000001</v>
      </c>
      <c r="DS40" s="522">
        <v>51980327.909999996</v>
      </c>
      <c r="DT40" s="522">
        <v>52440975.549999997</v>
      </c>
      <c r="DU40" s="522">
        <v>52867805.640000001</v>
      </c>
      <c r="DW40" s="87">
        <v>53313338</v>
      </c>
    </row>
    <row r="41" spans="2:127" ht="14.4" x14ac:dyDescent="0.25">
      <c r="B41" s="93" t="s">
        <v>72</v>
      </c>
      <c r="C41" s="159"/>
      <c r="D41" s="164"/>
      <c r="E41" s="164"/>
      <c r="F41" s="160"/>
      <c r="G41" s="155"/>
      <c r="H41" s="155">
        <v>0</v>
      </c>
      <c r="I41" s="155"/>
      <c r="J41" s="155">
        <v>0</v>
      </c>
      <c r="K41" s="155">
        <v>0</v>
      </c>
      <c r="L41" s="155">
        <v>0</v>
      </c>
      <c r="M41" s="155">
        <v>0</v>
      </c>
      <c r="N41" s="155">
        <v>0</v>
      </c>
      <c r="O41" s="155">
        <v>0</v>
      </c>
      <c r="P41" s="155">
        <v>0</v>
      </c>
      <c r="Q41" s="155">
        <v>0</v>
      </c>
      <c r="R41" s="155">
        <v>0</v>
      </c>
      <c r="S41" s="155">
        <v>0</v>
      </c>
      <c r="T41" s="155">
        <v>0</v>
      </c>
      <c r="U41" s="155">
        <v>0</v>
      </c>
      <c r="V41" s="155"/>
      <c r="W41" s="155"/>
      <c r="X41" s="155"/>
      <c r="Y41" s="155"/>
      <c r="Z41" s="155"/>
      <c r="AA41" s="155">
        <v>0</v>
      </c>
      <c r="AB41" s="155">
        <v>0</v>
      </c>
      <c r="AC41" s="155">
        <v>0</v>
      </c>
      <c r="AD41" s="155"/>
      <c r="AE41" s="155"/>
      <c r="AF41" s="155"/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377"/>
      <c r="AX41" s="155"/>
      <c r="AY41" s="155"/>
      <c r="AZ41" s="155">
        <v>0</v>
      </c>
      <c r="BA41" s="386">
        <v>0</v>
      </c>
      <c r="BB41" s="155">
        <v>0</v>
      </c>
      <c r="BC41" s="155">
        <v>0</v>
      </c>
      <c r="BD41" s="155">
        <v>0</v>
      </c>
      <c r="BE41" s="52">
        <v>0</v>
      </c>
      <c r="BF41" s="52">
        <v>0</v>
      </c>
      <c r="BG41" s="52">
        <v>0</v>
      </c>
      <c r="BH41" s="52">
        <v>0</v>
      </c>
      <c r="BI41" s="480">
        <v>0</v>
      </c>
      <c r="BK41" s="480"/>
      <c r="BL41" s="480"/>
      <c r="BM41" s="480"/>
      <c r="BN41" s="480"/>
      <c r="BO41" s="480"/>
      <c r="BP41" s="480">
        <v>0</v>
      </c>
      <c r="BQ41" s="480">
        <v>0</v>
      </c>
      <c r="BR41" s="480">
        <v>0</v>
      </c>
      <c r="BS41" s="480">
        <v>0</v>
      </c>
      <c r="BT41" s="480">
        <v>0</v>
      </c>
      <c r="BU41" s="88">
        <v>0</v>
      </c>
      <c r="BV41" s="88">
        <v>0</v>
      </c>
      <c r="BW41" s="88"/>
      <c r="BX41" s="522">
        <v>0</v>
      </c>
      <c r="BY41" s="522">
        <v>0</v>
      </c>
      <c r="BZ41" s="522">
        <v>0</v>
      </c>
      <c r="CA41" s="522">
        <v>0</v>
      </c>
      <c r="CB41" s="522">
        <v>0</v>
      </c>
      <c r="CD41" s="522"/>
      <c r="CH41" s="522"/>
      <c r="CJ41" s="536"/>
      <c r="CK41" s="521"/>
      <c r="CM41" s="52">
        <v>0</v>
      </c>
      <c r="CR41" s="211"/>
      <c r="CS41" s="211"/>
      <c r="CT41" s="211"/>
      <c r="CU41" s="211"/>
      <c r="CV41" s="211"/>
      <c r="CW41" s="480"/>
      <c r="CX41" s="478">
        <v>0</v>
      </c>
      <c r="CY41" s="478">
        <v>0</v>
      </c>
      <c r="CZ41" s="478">
        <v>0</v>
      </c>
      <c r="DA41" s="478">
        <v>0</v>
      </c>
      <c r="DB41" s="478">
        <v>0</v>
      </c>
      <c r="DC41" s="478">
        <v>0</v>
      </c>
      <c r="DD41" s="478">
        <v>0</v>
      </c>
      <c r="DE41" s="522">
        <v>0</v>
      </c>
      <c r="DF41" s="522">
        <v>0</v>
      </c>
      <c r="DG41" s="522">
        <v>0</v>
      </c>
      <c r="DH41" s="522">
        <v>0</v>
      </c>
      <c r="DI41" s="522">
        <v>0</v>
      </c>
      <c r="DK41" s="478">
        <v>0</v>
      </c>
      <c r="DL41" s="478">
        <v>0</v>
      </c>
      <c r="DM41" s="478">
        <v>0</v>
      </c>
      <c r="DN41" s="478">
        <v>0</v>
      </c>
      <c r="DO41" s="478">
        <v>0</v>
      </c>
      <c r="DP41" s="478">
        <v>0</v>
      </c>
      <c r="DQ41" s="478">
        <v>0</v>
      </c>
      <c r="DR41" s="478">
        <v>0</v>
      </c>
      <c r="DS41" s="522">
        <v>0</v>
      </c>
      <c r="DT41" s="522">
        <v>0</v>
      </c>
      <c r="DU41" s="522">
        <v>0</v>
      </c>
    </row>
    <row r="42" spans="2:127" ht="13.2" x14ac:dyDescent="0.25">
      <c r="B42" s="90" t="s">
        <v>73</v>
      </c>
      <c r="C42" s="147">
        <f t="shared" ref="C42:V42" si="73">SUM(C43:C44)</f>
        <v>24089</v>
      </c>
      <c r="D42" s="147">
        <f t="shared" si="73"/>
        <v>46089</v>
      </c>
      <c r="E42" s="147">
        <f t="shared" si="73"/>
        <v>88005</v>
      </c>
      <c r="F42" s="147">
        <f t="shared" si="73"/>
        <v>211308</v>
      </c>
      <c r="G42" s="147">
        <f t="shared" si="73"/>
        <v>325421</v>
      </c>
      <c r="H42" s="147">
        <f t="shared" si="73"/>
        <v>5055549.07</v>
      </c>
      <c r="I42" s="147">
        <f t="shared" si="73"/>
        <v>394020</v>
      </c>
      <c r="J42" s="147">
        <f t="shared" si="73"/>
        <v>10499630.99</v>
      </c>
      <c r="K42" s="147">
        <f t="shared" si="73"/>
        <v>5804260.2200000007</v>
      </c>
      <c r="L42" s="147">
        <f t="shared" si="73"/>
        <v>2875475.4699999997</v>
      </c>
      <c r="M42" s="147">
        <f t="shared" si="73"/>
        <v>3288520.4299999997</v>
      </c>
      <c r="N42" s="147">
        <f t="shared" si="73"/>
        <v>7086486.9199999999</v>
      </c>
      <c r="O42" s="147">
        <f t="shared" si="73"/>
        <v>7559392.4199999999</v>
      </c>
      <c r="P42" s="147">
        <f t="shared" si="73"/>
        <v>7936642.21</v>
      </c>
      <c r="Q42" s="147">
        <f t="shared" si="73"/>
        <v>8433218.4900000002</v>
      </c>
      <c r="R42" s="147">
        <f t="shared" si="73"/>
        <v>9217216.5899999999</v>
      </c>
      <c r="S42" s="147">
        <f t="shared" si="73"/>
        <v>9046032.2400000002</v>
      </c>
      <c r="T42" s="147">
        <f t="shared" si="73"/>
        <v>9565424.2699999996</v>
      </c>
      <c r="U42" s="147">
        <f t="shared" si="73"/>
        <v>5334126.84</v>
      </c>
      <c r="V42" s="147">
        <f t="shared" si="73"/>
        <v>154751</v>
      </c>
      <c r="W42" s="147">
        <f t="shared" ref="W42:AD42" si="74">SUM(W43:W44)</f>
        <v>8269978.1100000003</v>
      </c>
      <c r="X42" s="147">
        <f t="shared" si="74"/>
        <v>8902893.9400000013</v>
      </c>
      <c r="Y42" s="147">
        <f t="shared" si="74"/>
        <v>5409262.2300000004</v>
      </c>
      <c r="Z42" s="147">
        <f t="shared" si="74"/>
        <v>6016138.75</v>
      </c>
      <c r="AA42" s="147">
        <f t="shared" si="74"/>
        <v>6044267.8000000007</v>
      </c>
      <c r="AB42" s="147">
        <f t="shared" si="74"/>
        <v>6806091.9500000011</v>
      </c>
      <c r="AC42" s="147">
        <f t="shared" si="74"/>
        <v>3522473.2499999995</v>
      </c>
      <c r="AD42" s="147">
        <f t="shared" si="74"/>
        <v>4600139.7200000007</v>
      </c>
      <c r="AE42" s="147">
        <f t="shared" ref="AE42:AG42" si="75">SUM(AE43:AE44)</f>
        <v>3764049.73</v>
      </c>
      <c r="AF42" s="147">
        <f t="shared" si="75"/>
        <v>5122245.8499999996</v>
      </c>
      <c r="AG42" s="147">
        <f t="shared" si="75"/>
        <v>6469531.870000001</v>
      </c>
      <c r="AH42" s="147">
        <f t="shared" ref="AH42:AI42" si="76">SUM(AH43:AH44)</f>
        <v>6218643.3200000003</v>
      </c>
      <c r="AI42" s="147">
        <f t="shared" si="76"/>
        <v>1327040</v>
      </c>
      <c r="AJ42" s="147">
        <f t="shared" ref="AJ42:AN42" si="77">SUM(AJ43:AJ44)</f>
        <v>1327040</v>
      </c>
      <c r="AK42" s="147">
        <f t="shared" si="77"/>
        <v>0</v>
      </c>
      <c r="AL42" s="147">
        <f t="shared" si="77"/>
        <v>1697312.13</v>
      </c>
      <c r="AM42" s="147">
        <f t="shared" si="77"/>
        <v>2654911.38</v>
      </c>
      <c r="AN42" s="147">
        <f t="shared" si="77"/>
        <v>5446528.9900000002</v>
      </c>
      <c r="AO42" s="147">
        <f t="shared" ref="AO42:AP42" si="78">SUM(AO43:AO44)</f>
        <v>6044267.8000000007</v>
      </c>
      <c r="AP42" s="147">
        <f t="shared" si="78"/>
        <v>7644178.4699999997</v>
      </c>
      <c r="AQ42" s="147">
        <f t="shared" ref="AQ42:CC42" si="79">SUM(AQ43:AQ44)</f>
        <v>8722216.6199999992</v>
      </c>
      <c r="AR42" s="147">
        <f t="shared" si="79"/>
        <v>7413966.75</v>
      </c>
      <c r="AS42" s="147">
        <f t="shared" si="79"/>
        <v>7545846.8600000003</v>
      </c>
      <c r="AT42" s="147">
        <f t="shared" si="79"/>
        <v>0</v>
      </c>
      <c r="AU42" s="147">
        <f t="shared" si="79"/>
        <v>11055494.66</v>
      </c>
      <c r="AV42" s="147">
        <f t="shared" si="79"/>
        <v>-57331431.160000004</v>
      </c>
      <c r="AW42" s="147">
        <f t="shared" si="79"/>
        <v>2618533</v>
      </c>
      <c r="AX42" s="147">
        <f t="shared" si="79"/>
        <v>0</v>
      </c>
      <c r="AY42" s="147">
        <f t="shared" si="79"/>
        <v>0</v>
      </c>
      <c r="AZ42" s="147">
        <f t="shared" si="79"/>
        <v>-2350562.41</v>
      </c>
      <c r="BA42" s="147">
        <f t="shared" si="79"/>
        <v>-7564951.54</v>
      </c>
      <c r="BB42" s="147">
        <f t="shared" si="79"/>
        <v>4898332</v>
      </c>
      <c r="BC42" s="147">
        <f t="shared" si="79"/>
        <v>6555399.0999999996</v>
      </c>
      <c r="BD42" s="147">
        <f t="shared" si="79"/>
        <v>2406482</v>
      </c>
      <c r="BE42" s="147">
        <f t="shared" si="79"/>
        <v>6273442.9199999999</v>
      </c>
      <c r="BF42" s="147">
        <f t="shared" si="79"/>
        <v>8088523.5999999996</v>
      </c>
      <c r="BG42" s="147">
        <f t="shared" si="79"/>
        <v>0</v>
      </c>
      <c r="BH42" s="147">
        <f t="shared" si="79"/>
        <v>11056715</v>
      </c>
      <c r="BI42" s="147">
        <f t="shared" si="79"/>
        <v>12665112.460000001</v>
      </c>
      <c r="BJ42" s="147">
        <f t="shared" si="79"/>
        <v>3733306</v>
      </c>
      <c r="BK42" s="147">
        <f t="shared" si="79"/>
        <v>4476409.47</v>
      </c>
      <c r="BL42" s="147">
        <f t="shared" si="79"/>
        <v>4476409.47</v>
      </c>
      <c r="BM42" s="147">
        <f t="shared" si="79"/>
        <v>5819295</v>
      </c>
      <c r="BN42" s="147">
        <f t="shared" si="79"/>
        <v>6570409</v>
      </c>
      <c r="BO42" s="147">
        <f t="shared" si="79"/>
        <v>8697331</v>
      </c>
      <c r="BP42" s="147">
        <f t="shared" si="79"/>
        <v>7804488</v>
      </c>
      <c r="BQ42" s="147">
        <f t="shared" si="79"/>
        <v>7804488</v>
      </c>
      <c r="BR42" s="147">
        <f t="shared" si="79"/>
        <v>7804488</v>
      </c>
      <c r="BS42" s="147">
        <f t="shared" si="79"/>
        <v>7922650</v>
      </c>
      <c r="BT42" s="147">
        <f t="shared" si="79"/>
        <v>8922650</v>
      </c>
      <c r="BU42" s="147">
        <f t="shared" si="79"/>
        <v>10000116</v>
      </c>
      <c r="BV42" s="147">
        <f t="shared" si="79"/>
        <v>6633669.46</v>
      </c>
      <c r="BW42" s="147">
        <f t="shared" si="79"/>
        <v>6169776</v>
      </c>
      <c r="BX42" s="147">
        <f t="shared" si="79"/>
        <v>6875825</v>
      </c>
      <c r="BY42" s="147">
        <f t="shared" si="79"/>
        <v>7166954</v>
      </c>
      <c r="BZ42" s="147">
        <f t="shared" si="79"/>
        <v>7166954</v>
      </c>
      <c r="CA42" s="147">
        <f t="shared" si="79"/>
        <v>7383295</v>
      </c>
      <c r="CB42" s="147">
        <f t="shared" si="79"/>
        <v>12241092</v>
      </c>
      <c r="CC42" s="147">
        <f t="shared" si="79"/>
        <v>13379786</v>
      </c>
      <c r="CD42" s="147">
        <f t="shared" ref="CD42:DW42" si="80">SUM(CD43:CD44)</f>
        <v>15186766</v>
      </c>
      <c r="CE42" s="147">
        <f t="shared" si="80"/>
        <v>16740351</v>
      </c>
      <c r="CF42" s="147">
        <f t="shared" si="80"/>
        <v>18518560.810000002</v>
      </c>
      <c r="CG42" s="147">
        <f t="shared" si="80"/>
        <v>20332989.300000001</v>
      </c>
      <c r="CH42" s="147">
        <f t="shared" si="80"/>
        <v>20467082.199999999</v>
      </c>
      <c r="CI42" s="147">
        <f t="shared" si="80"/>
        <v>25994257</v>
      </c>
      <c r="CJ42" s="147">
        <f t="shared" si="80"/>
        <v>6941524</v>
      </c>
      <c r="CK42" s="147">
        <f t="shared" si="80"/>
        <v>8950556.8000000007</v>
      </c>
      <c r="CL42" s="147">
        <f t="shared" si="80"/>
        <v>10752263.699999999</v>
      </c>
      <c r="CM42" s="147">
        <f t="shared" si="80"/>
        <v>12293253</v>
      </c>
      <c r="CN42" s="147">
        <f t="shared" si="80"/>
        <v>13933729</v>
      </c>
      <c r="CO42" s="147">
        <f t="shared" si="80"/>
        <v>16319838.1</v>
      </c>
      <c r="CP42" s="147">
        <f t="shared" si="80"/>
        <v>18582878.66</v>
      </c>
      <c r="CQ42" s="549">
        <f t="shared" si="80"/>
        <v>21561935.399999999</v>
      </c>
      <c r="CR42" s="147">
        <f t="shared" si="80"/>
        <v>24718496</v>
      </c>
      <c r="CS42" s="147">
        <f t="shared" si="80"/>
        <v>27658683.5</v>
      </c>
      <c r="CT42" s="147">
        <f t="shared" si="80"/>
        <v>25877849.699999999</v>
      </c>
      <c r="CU42" s="147">
        <f t="shared" si="80"/>
        <v>30272380</v>
      </c>
      <c r="CV42" s="147">
        <f t="shared" si="80"/>
        <v>28055613</v>
      </c>
      <c r="CW42" s="147">
        <f t="shared" si="80"/>
        <v>10932919.859999999</v>
      </c>
      <c r="CX42" s="147">
        <f t="shared" si="80"/>
        <v>13459547.559999999</v>
      </c>
      <c r="CY42" s="147">
        <f t="shared" si="80"/>
        <v>16316530.859999999</v>
      </c>
      <c r="CZ42" s="147">
        <f t="shared" si="80"/>
        <v>18652815.559999999</v>
      </c>
      <c r="DA42" s="147">
        <f t="shared" si="80"/>
        <v>21616866.359999999</v>
      </c>
      <c r="DB42" s="147">
        <f t="shared" si="80"/>
        <v>24355039.66</v>
      </c>
      <c r="DC42" s="147">
        <f t="shared" si="80"/>
        <v>26648516.460000001</v>
      </c>
      <c r="DD42" s="147">
        <f t="shared" si="80"/>
        <v>29583311.02</v>
      </c>
      <c r="DE42" s="147">
        <f t="shared" si="80"/>
        <v>33766794</v>
      </c>
      <c r="DF42" s="147">
        <f t="shared" si="80"/>
        <v>37670038.170000002</v>
      </c>
      <c r="DG42" s="147">
        <f t="shared" si="80"/>
        <v>38439766.5</v>
      </c>
      <c r="DH42" s="147">
        <f t="shared" si="80"/>
        <v>41331495.700000003</v>
      </c>
      <c r="DI42" s="147">
        <f t="shared" si="80"/>
        <v>13802700.220000001</v>
      </c>
      <c r="DJ42" s="538">
        <f t="shared" si="80"/>
        <v>14175861</v>
      </c>
      <c r="DK42" s="538">
        <f t="shared" si="80"/>
        <v>13967284</v>
      </c>
      <c r="DL42" s="538">
        <f t="shared" si="80"/>
        <v>20702211.300000001</v>
      </c>
      <c r="DM42" s="538">
        <f t="shared" si="80"/>
        <v>24593565.399999999</v>
      </c>
      <c r="DN42" s="538">
        <f t="shared" si="80"/>
        <v>27402198.399999999</v>
      </c>
      <c r="DO42" s="538">
        <f t="shared" si="80"/>
        <v>30709828.399999999</v>
      </c>
      <c r="DP42" s="538">
        <f t="shared" si="80"/>
        <v>32900321.899999999</v>
      </c>
      <c r="DQ42" s="538">
        <f t="shared" si="80"/>
        <v>35800330.700000003</v>
      </c>
      <c r="DR42" s="538">
        <f t="shared" si="80"/>
        <v>39662744.100000001</v>
      </c>
      <c r="DS42" s="538">
        <f t="shared" si="80"/>
        <v>42713439.799999997</v>
      </c>
      <c r="DT42" s="538">
        <f t="shared" si="80"/>
        <v>43826310.899999999</v>
      </c>
      <c r="DU42" s="538">
        <f t="shared" si="80"/>
        <v>46660740.899999999</v>
      </c>
      <c r="DV42" s="538">
        <f t="shared" si="80"/>
        <v>0</v>
      </c>
      <c r="DW42" s="538">
        <f t="shared" si="80"/>
        <v>17077729</v>
      </c>
    </row>
    <row r="43" spans="2:127" ht="14.4" x14ac:dyDescent="0.25">
      <c r="B43" s="93" t="s">
        <v>74</v>
      </c>
      <c r="C43" s="153">
        <v>4289</v>
      </c>
      <c r="D43" s="154">
        <v>24089</v>
      </c>
      <c r="E43" s="150">
        <v>46089</v>
      </c>
      <c r="F43" s="151">
        <v>88005</v>
      </c>
      <c r="G43" s="155"/>
      <c r="H43" s="155">
        <v>-145885.39000000001</v>
      </c>
      <c r="I43" s="155">
        <v>325421</v>
      </c>
      <c r="J43" s="155">
        <v>-291770.28000000003</v>
      </c>
      <c r="K43" s="155">
        <v>-145884.89000000001</v>
      </c>
      <c r="L43" s="155">
        <v>-145884.89000000001</v>
      </c>
      <c r="M43" s="155">
        <v>-145884.89000000001</v>
      </c>
      <c r="N43" s="155">
        <v>-145884.89000000001</v>
      </c>
      <c r="O43" s="155">
        <v>-145884.89000000001</v>
      </c>
      <c r="P43" s="155">
        <v>-145884.89000000001</v>
      </c>
      <c r="Q43" s="155">
        <v>-145884.89000000001</v>
      </c>
      <c r="R43" s="155">
        <v>-145884.89000000001</v>
      </c>
      <c r="S43" s="155">
        <v>-145884.89000000001</v>
      </c>
      <c r="T43" s="155">
        <v>-145884.89000000001</v>
      </c>
      <c r="U43" s="155">
        <v>-87726.29</v>
      </c>
      <c r="V43" s="155">
        <v>394020</v>
      </c>
      <c r="W43" s="184">
        <v>-7452.29</v>
      </c>
      <c r="X43" s="184">
        <v>-7452.29</v>
      </c>
      <c r="Y43" s="184">
        <v>-3683680.91</v>
      </c>
      <c r="Z43" s="155">
        <v>-3418305.19</v>
      </c>
      <c r="AA43" s="155">
        <v>-3418305.19</v>
      </c>
      <c r="AB43" s="155">
        <v>-3418305.19</v>
      </c>
      <c r="AC43" s="155">
        <v>-2967366.02</v>
      </c>
      <c r="AD43" s="155">
        <v>-2967366.02</v>
      </c>
      <c r="AE43" s="193">
        <v>-2967366.02</v>
      </c>
      <c r="AF43" s="193">
        <v>-2967366.02</v>
      </c>
      <c r="AG43" s="193">
        <v>-2967366.02</v>
      </c>
      <c r="AH43" s="193">
        <v>875509.25</v>
      </c>
      <c r="AI43" s="193">
        <v>154751</v>
      </c>
      <c r="AJ43" s="193">
        <v>154751</v>
      </c>
      <c r="AK43" s="193"/>
      <c r="AL43" s="193">
        <v>875609.25</v>
      </c>
      <c r="AM43" s="193">
        <v>875609.25</v>
      </c>
      <c r="AN43" s="193">
        <v>986609.25</v>
      </c>
      <c r="AO43" s="193">
        <v>-3418305.19</v>
      </c>
      <c r="AP43" s="193">
        <v>986609.25</v>
      </c>
      <c r="AQ43" s="193">
        <v>1006230.95</v>
      </c>
      <c r="AR43" s="193">
        <v>1006230.95</v>
      </c>
      <c r="AS43" s="193">
        <v>1006230.95</v>
      </c>
      <c r="AT43" s="193"/>
      <c r="AU43" s="193">
        <v>1006230.95</v>
      </c>
      <c r="AV43" s="193">
        <v>-66657177.810000002</v>
      </c>
      <c r="AW43" s="251">
        <v>1327040</v>
      </c>
      <c r="AX43" s="394"/>
      <c r="AY43" s="394"/>
      <c r="AZ43" s="394">
        <v>-1327040</v>
      </c>
      <c r="BA43" s="242">
        <v>-2654080</v>
      </c>
      <c r="BB43" s="242">
        <v>1327040</v>
      </c>
      <c r="BC43" s="242">
        <v>1327040</v>
      </c>
      <c r="BD43" s="242">
        <v>2406482</v>
      </c>
      <c r="BE43" s="52">
        <v>2406482</v>
      </c>
      <c r="BF43" s="52">
        <v>2406482</v>
      </c>
      <c r="BG43" s="52">
        <v>0</v>
      </c>
      <c r="BH43" s="52">
        <v>2506482</v>
      </c>
      <c r="BI43" s="480">
        <v>3184803</v>
      </c>
      <c r="BJ43" s="480">
        <v>2618533</v>
      </c>
      <c r="BK43" s="494">
        <v>3733306</v>
      </c>
      <c r="BL43" s="494">
        <v>3733306</v>
      </c>
      <c r="BM43" s="494">
        <v>4883577</v>
      </c>
      <c r="BN43" s="494">
        <v>4883577</v>
      </c>
      <c r="BO43" s="494">
        <v>4883577</v>
      </c>
      <c r="BP43" s="496">
        <v>4883577</v>
      </c>
      <c r="BQ43" s="480">
        <v>4883577</v>
      </c>
      <c r="BR43" s="501">
        <v>4883577</v>
      </c>
      <c r="BS43" s="501">
        <v>4883577</v>
      </c>
      <c r="BT43" s="505">
        <v>4883577</v>
      </c>
      <c r="BU43" s="521">
        <v>4883577</v>
      </c>
      <c r="BV43" s="88">
        <v>4883577</v>
      </c>
      <c r="BW43" s="88">
        <v>6169776</v>
      </c>
      <c r="BX43" s="88">
        <v>6169777</v>
      </c>
      <c r="BY43" s="88">
        <v>6169777</v>
      </c>
      <c r="BZ43" s="522">
        <v>6169777</v>
      </c>
      <c r="CA43" s="522">
        <v>6169777</v>
      </c>
      <c r="CB43" s="505">
        <v>6169777</v>
      </c>
      <c r="CC43" s="505">
        <v>6169777</v>
      </c>
      <c r="CD43" s="505">
        <v>6169777</v>
      </c>
      <c r="CE43" s="505">
        <v>6169777</v>
      </c>
      <c r="CF43" s="505">
        <v>6169777</v>
      </c>
      <c r="CG43" s="505">
        <v>6169777</v>
      </c>
      <c r="CH43" s="505">
        <v>6169777</v>
      </c>
      <c r="CI43" s="522">
        <v>19824480</v>
      </c>
      <c r="CJ43" s="536">
        <v>6941524</v>
      </c>
      <c r="CK43" s="542">
        <v>6941524</v>
      </c>
      <c r="CL43" s="505">
        <v>6941523</v>
      </c>
      <c r="CM43" s="505">
        <v>6941523</v>
      </c>
      <c r="CN43" s="505">
        <v>6941523</v>
      </c>
      <c r="CO43" s="505">
        <v>6941523</v>
      </c>
      <c r="CP43" s="505">
        <v>6941523</v>
      </c>
      <c r="CQ43" s="505">
        <v>6941523</v>
      </c>
      <c r="CR43" s="505">
        <v>6941523</v>
      </c>
      <c r="CS43" s="505">
        <v>6941523</v>
      </c>
      <c r="CT43" s="505">
        <v>6941523</v>
      </c>
      <c r="CU43" s="505">
        <v>6941523</v>
      </c>
      <c r="CV43" s="496">
        <v>6941523</v>
      </c>
      <c r="CW43" s="480">
        <f>10932919.86-6941523</f>
        <v>3991396.8599999994</v>
      </c>
      <c r="CX43" s="478">
        <v>10932919.859999999</v>
      </c>
      <c r="CY43" s="478">
        <v>10932919.859999999</v>
      </c>
      <c r="CZ43" s="478">
        <v>10932919.859999999</v>
      </c>
      <c r="DA43" s="478">
        <v>10932919.859999999</v>
      </c>
      <c r="DB43" s="478">
        <v>10932919.859999999</v>
      </c>
      <c r="DC43" s="478">
        <v>10932919.859999999</v>
      </c>
      <c r="DD43" s="478">
        <v>10932920</v>
      </c>
      <c r="DE43" s="522">
        <v>10932920</v>
      </c>
      <c r="DF43" s="522">
        <v>11989674.689999999</v>
      </c>
      <c r="DG43" s="522">
        <v>10932920</v>
      </c>
      <c r="DH43" s="522">
        <v>10932920</v>
      </c>
      <c r="DI43" s="522">
        <v>10932920</v>
      </c>
      <c r="DJ43" s="88">
        <v>14175861</v>
      </c>
      <c r="DK43" s="478">
        <v>10932920</v>
      </c>
      <c r="DL43" s="478">
        <v>13857903</v>
      </c>
      <c r="DM43" s="478">
        <v>13857903</v>
      </c>
      <c r="DN43" s="478">
        <v>13857903</v>
      </c>
      <c r="DO43" s="478">
        <v>13857903</v>
      </c>
      <c r="DP43" s="478">
        <v>13857903</v>
      </c>
      <c r="DQ43" s="478">
        <v>13857903</v>
      </c>
      <c r="DR43" s="478">
        <v>13857903</v>
      </c>
      <c r="DS43" s="522">
        <v>13857903</v>
      </c>
      <c r="DT43" s="522">
        <v>13857903</v>
      </c>
      <c r="DU43" s="522">
        <v>13857903</v>
      </c>
      <c r="DW43" s="87">
        <v>14175861</v>
      </c>
    </row>
    <row r="44" spans="2:127" ht="14.4" x14ac:dyDescent="0.25">
      <c r="B44" s="93" t="s">
        <v>75</v>
      </c>
      <c r="C44" s="149">
        <v>19800</v>
      </c>
      <c r="D44" s="149">
        <v>22000</v>
      </c>
      <c r="E44" s="150">
        <v>41916</v>
      </c>
      <c r="F44" s="151">
        <v>123303</v>
      </c>
      <c r="G44" s="150">
        <v>325421</v>
      </c>
      <c r="H44" s="150">
        <v>5201434.46</v>
      </c>
      <c r="I44" s="150">
        <f>1147048-229410-719039-130000</f>
        <v>68599</v>
      </c>
      <c r="J44" s="150">
        <v>10791401.27</v>
      </c>
      <c r="K44" s="150">
        <v>5950145.1100000003</v>
      </c>
      <c r="L44" s="150">
        <v>3021360.36</v>
      </c>
      <c r="M44" s="150">
        <v>3434405.32</v>
      </c>
      <c r="N44" s="150">
        <v>7232371.8099999996</v>
      </c>
      <c r="O44" s="150">
        <v>7705277.3099999996</v>
      </c>
      <c r="P44" s="150">
        <v>8082527.0999999996</v>
      </c>
      <c r="Q44" s="150">
        <v>8579103.3800000008</v>
      </c>
      <c r="R44" s="150">
        <v>9363101.4800000004</v>
      </c>
      <c r="S44" s="150">
        <v>9191917.1300000008</v>
      </c>
      <c r="T44" s="150">
        <v>9711309.1600000001</v>
      </c>
      <c r="U44" s="150">
        <v>5421853.1299999999</v>
      </c>
      <c r="V44" s="150">
        <f>672489-134498-617260-160000</f>
        <v>-239269</v>
      </c>
      <c r="W44" s="150">
        <v>8277430.4000000004</v>
      </c>
      <c r="X44" s="150">
        <v>8910346.2300000004</v>
      </c>
      <c r="Y44" s="150">
        <v>9092943.1400000006</v>
      </c>
      <c r="Z44" s="150">
        <v>9434443.9399999995</v>
      </c>
      <c r="AA44" s="150">
        <v>9462572.9900000002</v>
      </c>
      <c r="AB44" s="150">
        <v>10224397.140000001</v>
      </c>
      <c r="AC44" s="150">
        <v>6489839.2699999996</v>
      </c>
      <c r="AD44" s="150">
        <v>7567505.7400000002</v>
      </c>
      <c r="AE44" s="193">
        <v>6731415.75</v>
      </c>
      <c r="AF44" s="193">
        <v>8089611.8700000001</v>
      </c>
      <c r="AG44" s="193">
        <v>9436897.8900000006</v>
      </c>
      <c r="AH44" s="193">
        <v>5343134.07</v>
      </c>
      <c r="AI44" s="193">
        <f>1327040-154751</f>
        <v>1172289</v>
      </c>
      <c r="AJ44" s="193">
        <v>1172289</v>
      </c>
      <c r="AK44" s="193"/>
      <c r="AL44" s="193">
        <v>821702.88</v>
      </c>
      <c r="AM44" s="193">
        <v>1779302.13</v>
      </c>
      <c r="AN44" s="193">
        <v>4459919.74</v>
      </c>
      <c r="AO44" s="193">
        <v>9462572.9900000002</v>
      </c>
      <c r="AP44" s="193">
        <v>6657569.2199999997</v>
      </c>
      <c r="AQ44" s="193">
        <v>7715985.6699999999</v>
      </c>
      <c r="AR44" s="193">
        <v>6407735.7999999998</v>
      </c>
      <c r="AS44" s="193">
        <v>6539615.9100000001</v>
      </c>
      <c r="AT44" s="193"/>
      <c r="AU44" s="193">
        <v>10049263.710000001</v>
      </c>
      <c r="AV44" s="193">
        <v>9325746.6500000004</v>
      </c>
      <c r="AW44" s="251">
        <v>1291493</v>
      </c>
      <c r="AX44" s="394"/>
      <c r="AY44" s="394"/>
      <c r="AZ44" s="394">
        <v>-1023522.41</v>
      </c>
      <c r="BA44" s="242">
        <v>-4910871.54</v>
      </c>
      <c r="BB44" s="242">
        <v>3571292</v>
      </c>
      <c r="BC44" s="242">
        <v>5228359.0999999996</v>
      </c>
      <c r="BD44" s="242">
        <v>0</v>
      </c>
      <c r="BE44" s="52">
        <v>3866960.92</v>
      </c>
      <c r="BF44" s="52">
        <v>5682041.5999999996</v>
      </c>
      <c r="BG44" s="52">
        <v>0</v>
      </c>
      <c r="BH44" s="52">
        <v>8550233</v>
      </c>
      <c r="BI44" s="480">
        <v>9480309.4600000009</v>
      </c>
      <c r="BJ44" s="480">
        <f>5022885-1082573-2525539-300000</f>
        <v>1114773</v>
      </c>
      <c r="BK44" s="480">
        <v>743103.47</v>
      </c>
      <c r="BL44" s="480">
        <v>743103.47</v>
      </c>
      <c r="BM44" s="480">
        <v>935718</v>
      </c>
      <c r="BN44" s="480">
        <v>1686832</v>
      </c>
      <c r="BO44" s="480">
        <v>3813754</v>
      </c>
      <c r="BP44" s="497">
        <v>2920911</v>
      </c>
      <c r="BQ44" s="480">
        <v>2920911</v>
      </c>
      <c r="BR44" s="501">
        <v>2920911</v>
      </c>
      <c r="BS44" s="501">
        <v>3039073</v>
      </c>
      <c r="BT44" s="504">
        <v>4039073</v>
      </c>
      <c r="BU44" s="521">
        <v>5116539</v>
      </c>
      <c r="BV44" s="88">
        <v>1750092.46</v>
      </c>
      <c r="BW44" s="88"/>
      <c r="BX44" s="88">
        <v>706048</v>
      </c>
      <c r="BY44" s="88">
        <v>997177</v>
      </c>
      <c r="BZ44" s="522">
        <v>997177</v>
      </c>
      <c r="CA44" s="522">
        <v>1213518</v>
      </c>
      <c r="CB44" s="504">
        <v>6071315</v>
      </c>
      <c r="CC44" s="504">
        <v>7210009</v>
      </c>
      <c r="CD44" s="504">
        <v>9016989</v>
      </c>
      <c r="CE44" s="504">
        <v>10570574</v>
      </c>
      <c r="CF44" s="504">
        <v>12348783.810000001</v>
      </c>
      <c r="CG44" s="504">
        <v>14163212.300000001</v>
      </c>
      <c r="CH44" s="504">
        <v>14297305.199999999</v>
      </c>
      <c r="CI44" s="522">
        <v>6169777</v>
      </c>
      <c r="CJ44" s="536"/>
      <c r="CK44" s="539">
        <v>2009032.8</v>
      </c>
      <c r="CL44" s="545">
        <v>3810740.7</v>
      </c>
      <c r="CM44" s="545">
        <v>5351730</v>
      </c>
      <c r="CN44" s="545">
        <v>6992206</v>
      </c>
      <c r="CO44" s="545">
        <v>9378315.0999999996</v>
      </c>
      <c r="CP44" s="545">
        <v>11641355.66</v>
      </c>
      <c r="CQ44" s="545">
        <v>14620412.4</v>
      </c>
      <c r="CR44" s="545">
        <v>17776973</v>
      </c>
      <c r="CS44" s="545">
        <v>20717160.5</v>
      </c>
      <c r="CT44" s="545">
        <v>18936326.699999999</v>
      </c>
      <c r="CU44" s="545">
        <v>23330857</v>
      </c>
      <c r="CV44" s="557">
        <v>21114090</v>
      </c>
      <c r="CW44" s="480">
        <v>6941523</v>
      </c>
      <c r="CX44" s="478">
        <v>2526627.7000000002</v>
      </c>
      <c r="CY44" s="478">
        <v>5383611</v>
      </c>
      <c r="CZ44" s="478">
        <v>7719895.7000000002</v>
      </c>
      <c r="DA44" s="478">
        <v>10683946.5</v>
      </c>
      <c r="DB44" s="478">
        <v>13422119.800000001</v>
      </c>
      <c r="DC44" s="478">
        <v>15715596.6</v>
      </c>
      <c r="DD44" s="478">
        <v>18650391.02</v>
      </c>
      <c r="DE44" s="522">
        <v>22833874</v>
      </c>
      <c r="DF44" s="522">
        <v>25680363.48</v>
      </c>
      <c r="DG44" s="522">
        <v>27506846.5</v>
      </c>
      <c r="DH44" s="522">
        <v>30398575.699999999</v>
      </c>
      <c r="DI44" s="522">
        <v>2869780.22</v>
      </c>
      <c r="DK44" s="478">
        <v>3034364</v>
      </c>
      <c r="DL44" s="478">
        <v>6844308.2999999998</v>
      </c>
      <c r="DM44" s="478">
        <v>10735662.4</v>
      </c>
      <c r="DN44" s="478">
        <v>13544295.4</v>
      </c>
      <c r="DO44" s="478">
        <v>16851925.399999999</v>
      </c>
      <c r="DP44" s="478">
        <v>19042418.899999999</v>
      </c>
      <c r="DQ44" s="478">
        <v>21942427.699999999</v>
      </c>
      <c r="DR44" s="478">
        <v>25804841.100000001</v>
      </c>
      <c r="DS44" s="522">
        <v>28855536.800000001</v>
      </c>
      <c r="DT44" s="522">
        <v>29968407.899999999</v>
      </c>
      <c r="DU44" s="522">
        <v>32802837.899999999</v>
      </c>
      <c r="DW44" s="87">
        <f>12260795-2452159-6256768-650000</f>
        <v>2901868</v>
      </c>
    </row>
    <row r="45" spans="2:127" ht="13.2" x14ac:dyDescent="0.25">
      <c r="B45" s="90" t="s">
        <v>76</v>
      </c>
      <c r="C45" s="158">
        <f t="shared" ref="C45:V45" si="81">SUM(C46:C49)</f>
        <v>57772</v>
      </c>
      <c r="D45" s="158">
        <f t="shared" si="81"/>
        <v>72772</v>
      </c>
      <c r="E45" s="158">
        <f t="shared" si="81"/>
        <v>895751</v>
      </c>
      <c r="F45" s="158">
        <f t="shared" si="81"/>
        <v>1457242</v>
      </c>
      <c r="G45" s="158">
        <f t="shared" si="81"/>
        <v>2504738</v>
      </c>
      <c r="H45" s="158">
        <f t="shared" si="81"/>
        <v>3323008</v>
      </c>
      <c r="I45" s="158">
        <f t="shared" si="81"/>
        <v>3352418</v>
      </c>
      <c r="J45" s="158">
        <f t="shared" si="81"/>
        <v>6692316</v>
      </c>
      <c r="K45" s="158">
        <f t="shared" si="81"/>
        <v>3397555</v>
      </c>
      <c r="L45" s="158">
        <f t="shared" si="81"/>
        <v>3567715.23</v>
      </c>
      <c r="M45" s="158">
        <f t="shared" si="81"/>
        <v>3603615.23</v>
      </c>
      <c r="N45" s="158">
        <f t="shared" si="81"/>
        <v>3616465.23</v>
      </c>
      <c r="O45" s="158">
        <f t="shared" si="81"/>
        <v>3633071.23</v>
      </c>
      <c r="P45" s="158">
        <f t="shared" si="81"/>
        <v>3689321.23</v>
      </c>
      <c r="Q45" s="158">
        <f t="shared" si="81"/>
        <v>3726321.23</v>
      </c>
      <c r="R45" s="158">
        <f t="shared" si="81"/>
        <v>3764771.23</v>
      </c>
      <c r="S45" s="158">
        <f t="shared" si="81"/>
        <v>3811551.23</v>
      </c>
      <c r="T45" s="158">
        <f t="shared" si="81"/>
        <v>3857328.23</v>
      </c>
      <c r="U45" s="158">
        <f t="shared" si="81"/>
        <v>3910018.23</v>
      </c>
      <c r="V45" s="158">
        <f t="shared" si="81"/>
        <v>3487872</v>
      </c>
      <c r="W45" s="158">
        <f t="shared" ref="W45:AD45" si="82">SUM(W46:W49)</f>
        <v>3854721.23</v>
      </c>
      <c r="X45" s="158">
        <f t="shared" si="82"/>
        <v>3909701.23</v>
      </c>
      <c r="Y45" s="158">
        <f t="shared" si="82"/>
        <v>3812991</v>
      </c>
      <c r="Z45" s="158">
        <f t="shared" si="82"/>
        <v>3853521</v>
      </c>
      <c r="AA45" s="158">
        <f t="shared" si="82"/>
        <v>3886071</v>
      </c>
      <c r="AB45" s="158">
        <f t="shared" si="82"/>
        <v>3896671</v>
      </c>
      <c r="AC45" s="158">
        <f t="shared" si="82"/>
        <v>3935051</v>
      </c>
      <c r="AD45" s="158">
        <f t="shared" si="82"/>
        <v>3993361</v>
      </c>
      <c r="AE45" s="158">
        <f t="shared" ref="AE45:AG45" si="83">SUM(AE46:AE49)</f>
        <v>4032201</v>
      </c>
      <c r="AF45" s="158">
        <f t="shared" si="83"/>
        <v>4069251</v>
      </c>
      <c r="AG45" s="158">
        <f t="shared" si="83"/>
        <v>4118245</v>
      </c>
      <c r="AH45" s="158">
        <f t="shared" ref="AH45:AI45" si="84">SUM(AH46:AH49)</f>
        <v>4188595</v>
      </c>
      <c r="AI45" s="158">
        <f t="shared" si="84"/>
        <v>4407983</v>
      </c>
      <c r="AJ45" s="158">
        <f t="shared" ref="AJ45:CC45" si="85">SUM(AJ46:AJ49)</f>
        <v>4407983</v>
      </c>
      <c r="AK45" s="158">
        <f t="shared" si="85"/>
        <v>0</v>
      </c>
      <c r="AL45" s="158">
        <f t="shared" si="85"/>
        <v>4169845</v>
      </c>
      <c r="AM45" s="158">
        <f t="shared" si="85"/>
        <v>4152845</v>
      </c>
      <c r="AN45" s="158">
        <f t="shared" si="85"/>
        <v>4152845</v>
      </c>
      <c r="AO45" s="158">
        <f t="shared" si="85"/>
        <v>3886071</v>
      </c>
      <c r="AP45" s="158">
        <f t="shared" si="85"/>
        <v>4140845</v>
      </c>
      <c r="AQ45" s="158">
        <f t="shared" si="85"/>
        <v>4358335</v>
      </c>
      <c r="AR45" s="158">
        <f t="shared" si="85"/>
        <v>4346335</v>
      </c>
      <c r="AS45" s="158">
        <f t="shared" si="85"/>
        <v>4320335</v>
      </c>
      <c r="AT45" s="158">
        <f t="shared" si="85"/>
        <v>0</v>
      </c>
      <c r="AU45" s="158">
        <f t="shared" si="85"/>
        <v>4302335</v>
      </c>
      <c r="AV45" s="158">
        <f t="shared" si="85"/>
        <v>7003643</v>
      </c>
      <c r="AW45" s="158">
        <f t="shared" si="85"/>
        <v>5134384</v>
      </c>
      <c r="AX45" s="158">
        <f t="shared" si="85"/>
        <v>0</v>
      </c>
      <c r="AY45" s="158">
        <f t="shared" si="85"/>
        <v>0</v>
      </c>
      <c r="AZ45" s="158">
        <f t="shared" si="85"/>
        <v>4347529</v>
      </c>
      <c r="BA45" s="158">
        <f t="shared" si="85"/>
        <v>8039058</v>
      </c>
      <c r="BB45" s="158">
        <f t="shared" si="85"/>
        <v>6638643</v>
      </c>
      <c r="BC45" s="158">
        <f t="shared" si="85"/>
        <v>6598643</v>
      </c>
      <c r="BD45" s="158">
        <f t="shared" si="85"/>
        <v>7843755</v>
      </c>
      <c r="BE45" s="158">
        <f t="shared" si="85"/>
        <v>7235604</v>
      </c>
      <c r="BF45" s="158">
        <f t="shared" si="85"/>
        <v>7215604</v>
      </c>
      <c r="BG45" s="158">
        <f t="shared" si="85"/>
        <v>0</v>
      </c>
      <c r="BH45" s="158">
        <f t="shared" si="85"/>
        <v>7170604</v>
      </c>
      <c r="BI45" s="158">
        <f t="shared" si="85"/>
        <v>7785264</v>
      </c>
      <c r="BJ45" s="158">
        <f t="shared" si="85"/>
        <v>17171043</v>
      </c>
      <c r="BK45" s="158">
        <f t="shared" si="85"/>
        <v>8580734</v>
      </c>
      <c r="BL45" s="158">
        <f t="shared" si="85"/>
        <v>8580734</v>
      </c>
      <c r="BM45" s="158">
        <f t="shared" si="85"/>
        <v>8581391</v>
      </c>
      <c r="BN45" s="158">
        <f t="shared" si="85"/>
        <v>8581391</v>
      </c>
      <c r="BO45" s="158">
        <f t="shared" si="85"/>
        <v>8711064</v>
      </c>
      <c r="BP45" s="158">
        <f t="shared" si="85"/>
        <v>8676064</v>
      </c>
      <c r="BQ45" s="158">
        <f t="shared" si="85"/>
        <v>8676064</v>
      </c>
      <c r="BR45" s="158">
        <f t="shared" si="85"/>
        <v>8626064</v>
      </c>
      <c r="BS45" s="158">
        <f t="shared" si="85"/>
        <v>8626064</v>
      </c>
      <c r="BT45" s="158">
        <f t="shared" si="85"/>
        <v>8581391</v>
      </c>
      <c r="BU45" s="158">
        <f t="shared" si="85"/>
        <v>8581391</v>
      </c>
      <c r="BV45" s="158">
        <f t="shared" si="85"/>
        <v>17666253</v>
      </c>
      <c r="BW45" s="158">
        <f t="shared" si="85"/>
        <v>10168191</v>
      </c>
      <c r="BX45" s="158">
        <f t="shared" si="85"/>
        <v>10168191</v>
      </c>
      <c r="BY45" s="158">
        <f t="shared" si="85"/>
        <v>10168191</v>
      </c>
      <c r="BZ45" s="158">
        <f t="shared" si="85"/>
        <v>10168191</v>
      </c>
      <c r="CA45" s="158">
        <f t="shared" si="85"/>
        <v>10168191</v>
      </c>
      <c r="CB45" s="158">
        <f t="shared" si="85"/>
        <v>10168191</v>
      </c>
      <c r="CC45" s="158">
        <f t="shared" si="85"/>
        <v>10168191</v>
      </c>
      <c r="CD45" s="158">
        <f t="shared" ref="CD45:DW45" si="86">SUM(CD46:CD49)</f>
        <v>10168191</v>
      </c>
      <c r="CE45" s="158">
        <f t="shared" si="86"/>
        <v>10168191</v>
      </c>
      <c r="CF45" s="158">
        <f t="shared" si="86"/>
        <v>10168191</v>
      </c>
      <c r="CG45" s="158">
        <f t="shared" si="86"/>
        <v>10168191</v>
      </c>
      <c r="CH45" s="158">
        <f t="shared" si="86"/>
        <v>10168191</v>
      </c>
      <c r="CI45" s="158">
        <f t="shared" si="86"/>
        <v>10168191</v>
      </c>
      <c r="CJ45" s="158">
        <f t="shared" si="86"/>
        <v>11248027.5</v>
      </c>
      <c r="CK45" s="158">
        <f t="shared" si="86"/>
        <v>11248027.5</v>
      </c>
      <c r="CL45" s="158">
        <f t="shared" si="86"/>
        <v>11248029.5</v>
      </c>
      <c r="CM45" s="158">
        <f t="shared" ref="CM45" si="87">SUM(CM46:CM49)</f>
        <v>11248029.5</v>
      </c>
      <c r="CN45" s="158">
        <f t="shared" ref="CN45" si="88">SUM(CN46:CN49)</f>
        <v>11206026.800000001</v>
      </c>
      <c r="CO45" s="158">
        <f t="shared" ref="CO45" si="89">SUM(CO46:CO49)</f>
        <v>11248029.5</v>
      </c>
      <c r="CP45" s="158">
        <f t="shared" si="86"/>
        <v>11248029.5</v>
      </c>
      <c r="CQ45" s="548">
        <f t="shared" si="86"/>
        <v>11248029.5</v>
      </c>
      <c r="CR45" s="158">
        <f t="shared" si="86"/>
        <v>11248029.5</v>
      </c>
      <c r="CS45" s="158">
        <f t="shared" si="86"/>
        <v>11248029.5</v>
      </c>
      <c r="CT45" s="158">
        <f t="shared" si="86"/>
        <v>11248029.5</v>
      </c>
      <c r="CU45" s="158">
        <f t="shared" si="86"/>
        <v>11248029.5</v>
      </c>
      <c r="CV45" s="158">
        <f t="shared" si="86"/>
        <v>12132121.800000001</v>
      </c>
      <c r="CW45" s="158">
        <f t="shared" si="86"/>
        <v>13708048</v>
      </c>
      <c r="CX45" s="158">
        <f t="shared" si="86"/>
        <v>13708048</v>
      </c>
      <c r="CY45" s="158">
        <f t="shared" si="86"/>
        <v>13708048</v>
      </c>
      <c r="CZ45" s="158">
        <f t="shared" si="86"/>
        <v>13708048</v>
      </c>
      <c r="DA45" s="158">
        <f t="shared" si="86"/>
        <v>15008047.98</v>
      </c>
      <c r="DB45" s="158">
        <f t="shared" si="86"/>
        <v>15008047.98</v>
      </c>
      <c r="DC45" s="158">
        <f t="shared" si="86"/>
        <v>15008047.98</v>
      </c>
      <c r="DD45" s="158">
        <f t="shared" si="86"/>
        <v>15019583.5</v>
      </c>
      <c r="DE45" s="158">
        <f t="shared" si="86"/>
        <v>15019582.52</v>
      </c>
      <c r="DF45" s="158">
        <f t="shared" si="86"/>
        <v>15019582.52</v>
      </c>
      <c r="DG45" s="158">
        <f t="shared" si="86"/>
        <v>15008047</v>
      </c>
      <c r="DH45" s="158">
        <f t="shared" si="86"/>
        <v>15008047</v>
      </c>
      <c r="DI45" s="158">
        <f t="shared" si="86"/>
        <v>17654132.789999999</v>
      </c>
      <c r="DJ45" s="657">
        <f t="shared" si="86"/>
        <v>17747422</v>
      </c>
      <c r="DK45" s="657">
        <f t="shared" si="86"/>
        <v>17654132.789999999</v>
      </c>
      <c r="DL45" s="657">
        <f t="shared" si="86"/>
        <v>17667933.25</v>
      </c>
      <c r="DM45" s="657">
        <f t="shared" si="86"/>
        <v>17667933.25</v>
      </c>
      <c r="DN45" s="657">
        <f t="shared" si="86"/>
        <v>17667933.25</v>
      </c>
      <c r="DO45" s="657">
        <f t="shared" si="86"/>
        <v>17667933.25</v>
      </c>
      <c r="DP45" s="657">
        <f t="shared" si="86"/>
        <v>17667933.25</v>
      </c>
      <c r="DQ45" s="657">
        <f t="shared" si="86"/>
        <v>17667933.25</v>
      </c>
      <c r="DR45" s="657">
        <f t="shared" si="86"/>
        <v>18917933.25</v>
      </c>
      <c r="DS45" s="657">
        <f t="shared" si="86"/>
        <v>10319149.25</v>
      </c>
      <c r="DT45" s="657">
        <f t="shared" si="86"/>
        <v>10319149.25</v>
      </c>
      <c r="DU45" s="657">
        <f t="shared" si="86"/>
        <v>10319149.25</v>
      </c>
      <c r="DV45" s="657">
        <f t="shared" si="86"/>
        <v>0</v>
      </c>
      <c r="DW45" s="657">
        <f t="shared" si="86"/>
        <v>27126461</v>
      </c>
    </row>
    <row r="46" spans="2:127" ht="14.4" x14ac:dyDescent="0.25">
      <c r="B46" s="93" t="s">
        <v>77</v>
      </c>
      <c r="C46" s="149">
        <v>19772</v>
      </c>
      <c r="D46" s="149">
        <v>34772</v>
      </c>
      <c r="E46" s="150">
        <v>57751</v>
      </c>
      <c r="F46" s="151">
        <v>211710</v>
      </c>
      <c r="G46" s="150">
        <v>359738</v>
      </c>
      <c r="H46" s="150">
        <v>359738</v>
      </c>
      <c r="I46" s="150">
        <v>589148</v>
      </c>
      <c r="J46" s="150">
        <v>719476</v>
      </c>
      <c r="K46" s="150">
        <v>359738</v>
      </c>
      <c r="L46" s="150">
        <v>359738</v>
      </c>
      <c r="M46" s="150">
        <v>359738</v>
      </c>
      <c r="N46" s="150">
        <v>359738</v>
      </c>
      <c r="O46" s="150">
        <v>359738</v>
      </c>
      <c r="P46" s="150">
        <v>359738</v>
      </c>
      <c r="Q46" s="150">
        <v>359738</v>
      </c>
      <c r="R46" s="150">
        <v>359738</v>
      </c>
      <c r="S46" s="150">
        <v>359738</v>
      </c>
      <c r="T46" s="150">
        <v>359738</v>
      </c>
      <c r="U46" s="150">
        <v>359738</v>
      </c>
      <c r="V46" s="150">
        <v>723646</v>
      </c>
      <c r="W46" s="150">
        <v>359738</v>
      </c>
      <c r="X46" s="150">
        <v>359738</v>
      </c>
      <c r="Y46" s="150">
        <v>359738</v>
      </c>
      <c r="Z46" s="150">
        <v>359738</v>
      </c>
      <c r="AA46" s="150">
        <v>359738</v>
      </c>
      <c r="AB46" s="150">
        <v>359738</v>
      </c>
      <c r="AC46" s="150">
        <v>359738</v>
      </c>
      <c r="AD46" s="150">
        <v>359738</v>
      </c>
      <c r="AE46" s="193">
        <v>359738</v>
      </c>
      <c r="AF46" s="193">
        <v>359738</v>
      </c>
      <c r="AG46" s="193">
        <v>359738</v>
      </c>
      <c r="AH46" s="193">
        <v>359738</v>
      </c>
      <c r="AI46" s="193">
        <v>1319557</v>
      </c>
      <c r="AJ46" s="193">
        <v>1319557</v>
      </c>
      <c r="AK46" s="193"/>
      <c r="AL46" s="193">
        <v>359738</v>
      </c>
      <c r="AM46" s="193">
        <v>359738</v>
      </c>
      <c r="AN46" s="193">
        <v>359738</v>
      </c>
      <c r="AO46" s="193">
        <v>359738</v>
      </c>
      <c r="AP46" s="193">
        <v>359738</v>
      </c>
      <c r="AQ46" s="193">
        <v>359738</v>
      </c>
      <c r="AR46" s="193">
        <v>359738</v>
      </c>
      <c r="AS46" s="193">
        <v>359738</v>
      </c>
      <c r="AT46" s="193"/>
      <c r="AU46" s="193">
        <v>359738</v>
      </c>
      <c r="AV46" s="193">
        <v>1319557</v>
      </c>
      <c r="AW46" s="251">
        <v>1844468</v>
      </c>
      <c r="AX46" s="394"/>
      <c r="AY46" s="394"/>
      <c r="AZ46" s="394">
        <v>-1319557</v>
      </c>
      <c r="BA46" s="242">
        <v>-2639114</v>
      </c>
      <c r="BB46" s="242">
        <v>1319557</v>
      </c>
      <c r="BC46" s="242">
        <v>1319557</v>
      </c>
      <c r="BD46" s="242">
        <v>1956518</v>
      </c>
      <c r="BE46" s="52">
        <v>1956518</v>
      </c>
      <c r="BF46" s="52">
        <v>1956518</v>
      </c>
      <c r="BH46" s="52">
        <v>1956518</v>
      </c>
      <c r="BI46" s="480">
        <v>1956518</v>
      </c>
      <c r="BJ46" s="480">
        <v>2927061</v>
      </c>
      <c r="BK46" s="480">
        <v>2927061</v>
      </c>
      <c r="BL46" s="480">
        <v>2927061</v>
      </c>
      <c r="BM46" s="480">
        <v>2927718</v>
      </c>
      <c r="BN46" s="480">
        <v>2927718</v>
      </c>
      <c r="BO46" s="480">
        <v>2927718</v>
      </c>
      <c r="BP46" s="496">
        <v>2927718</v>
      </c>
      <c r="BQ46" s="480">
        <v>2927718</v>
      </c>
      <c r="BR46" s="501">
        <v>2927718</v>
      </c>
      <c r="BS46" s="501">
        <v>2927718</v>
      </c>
      <c r="BT46" s="52">
        <v>2927718</v>
      </c>
      <c r="BU46" s="88">
        <v>2927718</v>
      </c>
      <c r="BV46" s="88">
        <v>2927718</v>
      </c>
      <c r="BW46" s="88">
        <v>6113979</v>
      </c>
      <c r="BX46" s="88">
        <v>4054212</v>
      </c>
      <c r="BY46" s="88">
        <v>4054212</v>
      </c>
      <c r="BZ46" s="522">
        <v>4054212</v>
      </c>
      <c r="CA46" s="522">
        <v>4054212</v>
      </c>
      <c r="CB46" s="505">
        <v>4054212</v>
      </c>
      <c r="CC46" s="505">
        <v>4054212</v>
      </c>
      <c r="CD46" s="505">
        <v>4054212</v>
      </c>
      <c r="CE46" s="505">
        <v>4054212</v>
      </c>
      <c r="CF46" s="505">
        <v>4054212</v>
      </c>
      <c r="CG46" s="505">
        <v>4054212</v>
      </c>
      <c r="CH46" s="505">
        <v>4054212</v>
      </c>
      <c r="CI46" s="522">
        <v>4054212</v>
      </c>
      <c r="CJ46" s="536">
        <v>5115343.8</v>
      </c>
      <c r="CK46" s="542">
        <v>5115343.8</v>
      </c>
      <c r="CL46" s="522">
        <v>5115343.8</v>
      </c>
      <c r="CM46" s="522">
        <v>5115343.8</v>
      </c>
      <c r="CN46" s="522">
        <v>5115343.8</v>
      </c>
      <c r="CO46" s="522">
        <v>5115343.8</v>
      </c>
      <c r="CP46" s="522">
        <v>5115343.8</v>
      </c>
      <c r="CQ46" s="505">
        <v>5115343.8</v>
      </c>
      <c r="CR46" s="505">
        <v>5115343.8</v>
      </c>
      <c r="CS46" s="505">
        <v>5115343.8</v>
      </c>
      <c r="CT46" s="505">
        <v>5115343.8</v>
      </c>
      <c r="CU46" s="505">
        <v>5115343.8</v>
      </c>
      <c r="CV46" s="496">
        <v>5115343.8</v>
      </c>
      <c r="CW46" s="480">
        <v>6691270</v>
      </c>
      <c r="CX46" s="478">
        <v>6691270</v>
      </c>
      <c r="CY46" s="478">
        <v>6691270</v>
      </c>
      <c r="CZ46" s="478">
        <v>6691270</v>
      </c>
      <c r="DA46" s="478">
        <v>6691270</v>
      </c>
      <c r="DB46" s="478">
        <v>6691270</v>
      </c>
      <c r="DC46" s="478">
        <v>6691270</v>
      </c>
      <c r="DD46" s="478">
        <v>6691270</v>
      </c>
      <c r="DE46" s="522">
        <v>6691270</v>
      </c>
      <c r="DF46" s="522">
        <v>6691270</v>
      </c>
      <c r="DG46" s="522">
        <v>6691270</v>
      </c>
      <c r="DH46" s="522">
        <v>6691270</v>
      </c>
      <c r="DI46" s="522">
        <v>8584983.5399999991</v>
      </c>
      <c r="DJ46" s="88">
        <v>8678273</v>
      </c>
      <c r="DK46" s="478">
        <v>8584983.5399999991</v>
      </c>
      <c r="DL46" s="478">
        <v>8598784</v>
      </c>
      <c r="DM46" s="478">
        <v>8598784</v>
      </c>
      <c r="DN46" s="478">
        <v>8598784</v>
      </c>
      <c r="DO46" s="478">
        <v>8598784</v>
      </c>
      <c r="DP46" s="478">
        <v>8598784</v>
      </c>
      <c r="DQ46" s="478">
        <v>8598784</v>
      </c>
      <c r="DR46" s="478">
        <v>8598784</v>
      </c>
      <c r="DS46" s="522">
        <v>10319149.25</v>
      </c>
      <c r="DT46" s="522">
        <v>10319149.25</v>
      </c>
      <c r="DU46" s="522">
        <v>10319149.25</v>
      </c>
      <c r="DW46" s="87">
        <v>11130433</v>
      </c>
    </row>
    <row r="47" spans="2:127" ht="14.4" x14ac:dyDescent="0.25">
      <c r="B47" s="93" t="s">
        <v>78</v>
      </c>
      <c r="C47" s="149">
        <v>38000</v>
      </c>
      <c r="D47" s="149">
        <v>38000</v>
      </c>
      <c r="E47" s="150">
        <v>838000</v>
      </c>
      <c r="F47" s="151">
        <v>838000</v>
      </c>
      <c r="G47" s="150">
        <v>1667000</v>
      </c>
      <c r="H47" s="150">
        <v>2963270</v>
      </c>
      <c r="I47" s="150">
        <v>2763270</v>
      </c>
      <c r="J47" s="150">
        <v>5972840</v>
      </c>
      <c r="K47" s="150">
        <v>3037817</v>
      </c>
      <c r="L47" s="150">
        <v>3065367</v>
      </c>
      <c r="M47" s="150">
        <v>3101267</v>
      </c>
      <c r="N47" s="150">
        <v>3114117</v>
      </c>
      <c r="O47" s="150">
        <v>3130723</v>
      </c>
      <c r="P47" s="150">
        <v>3186973</v>
      </c>
      <c r="Q47" s="150">
        <v>3223973</v>
      </c>
      <c r="R47" s="150">
        <v>3262423</v>
      </c>
      <c r="S47" s="150">
        <v>3309203</v>
      </c>
      <c r="T47" s="150">
        <v>3354980</v>
      </c>
      <c r="U47" s="150">
        <v>3407670</v>
      </c>
      <c r="V47" s="150">
        <v>2764226</v>
      </c>
      <c r="W47" s="150">
        <v>3352373</v>
      </c>
      <c r="X47" s="150">
        <v>3407353</v>
      </c>
      <c r="Y47" s="150">
        <v>3453253</v>
      </c>
      <c r="Z47" s="150">
        <v>3493783</v>
      </c>
      <c r="AA47" s="150">
        <v>3526333</v>
      </c>
      <c r="AB47" s="150">
        <v>3536933</v>
      </c>
      <c r="AC47" s="150">
        <v>3575313</v>
      </c>
      <c r="AD47" s="150">
        <v>3633623</v>
      </c>
      <c r="AE47" s="193">
        <v>3672463</v>
      </c>
      <c r="AF47" s="193">
        <v>3709513</v>
      </c>
      <c r="AG47" s="193">
        <v>3758507</v>
      </c>
      <c r="AH47" s="193">
        <v>3828857</v>
      </c>
      <c r="AI47" s="193">
        <f>2764226+324200</f>
        <v>3088426</v>
      </c>
      <c r="AJ47" s="193">
        <f>2764226+324200</f>
        <v>3088426</v>
      </c>
      <c r="AK47" s="193"/>
      <c r="AL47" s="193">
        <v>3810107</v>
      </c>
      <c r="AM47" s="193">
        <v>3793107</v>
      </c>
      <c r="AN47" s="193">
        <v>3793107</v>
      </c>
      <c r="AO47" s="193">
        <v>3526333</v>
      </c>
      <c r="AP47" s="193">
        <v>3781107</v>
      </c>
      <c r="AQ47" s="193">
        <v>3998597</v>
      </c>
      <c r="AR47" s="193">
        <v>3986597</v>
      </c>
      <c r="AS47" s="193">
        <v>3960597</v>
      </c>
      <c r="AT47" s="193"/>
      <c r="AU47" s="193">
        <v>3942597</v>
      </c>
      <c r="AV47" s="193">
        <v>5684086</v>
      </c>
      <c r="AW47" s="251">
        <f>2764226+525690</f>
        <v>3289916</v>
      </c>
      <c r="AX47" s="394"/>
      <c r="AY47" s="394"/>
      <c r="AZ47" s="394">
        <v>5667086</v>
      </c>
      <c r="BA47" s="242">
        <v>10678172</v>
      </c>
      <c r="BB47" s="242">
        <v>5319086</v>
      </c>
      <c r="BC47" s="242">
        <v>5279086</v>
      </c>
      <c r="BD47" s="242">
        <v>5279086</v>
      </c>
      <c r="BE47" s="52">
        <v>5279086</v>
      </c>
      <c r="BF47" s="52">
        <v>5259086</v>
      </c>
      <c r="BH47" s="52">
        <v>5214086</v>
      </c>
      <c r="BI47" s="480">
        <v>5828746</v>
      </c>
      <c r="BJ47" s="480">
        <v>5653673</v>
      </c>
      <c r="BK47" s="480">
        <v>5653673</v>
      </c>
      <c r="BL47" s="480">
        <v>5653673</v>
      </c>
      <c r="BM47" s="480">
        <v>5653673</v>
      </c>
      <c r="BN47" s="480">
        <v>5653673</v>
      </c>
      <c r="BO47" s="480">
        <v>5783346</v>
      </c>
      <c r="BP47" s="496">
        <v>5748346</v>
      </c>
      <c r="BQ47" s="480">
        <v>5748346</v>
      </c>
      <c r="BR47" s="501">
        <v>5698346</v>
      </c>
      <c r="BS47" s="501">
        <v>5698346</v>
      </c>
      <c r="BT47" s="52">
        <v>5653673</v>
      </c>
      <c r="BU47" s="88">
        <v>5653673</v>
      </c>
      <c r="BV47" s="88">
        <v>5698346</v>
      </c>
      <c r="BW47" s="88">
        <v>4054212</v>
      </c>
      <c r="BX47" s="88">
        <v>6113979</v>
      </c>
      <c r="BY47" s="88">
        <v>6113979</v>
      </c>
      <c r="BZ47" s="522">
        <v>6113979</v>
      </c>
      <c r="CA47" s="522">
        <v>6113979</v>
      </c>
      <c r="CB47" s="505">
        <v>6113979</v>
      </c>
      <c r="CC47" s="505">
        <v>6113979</v>
      </c>
      <c r="CD47" s="505">
        <v>6113979</v>
      </c>
      <c r="CE47" s="505">
        <v>6113979</v>
      </c>
      <c r="CF47" s="505">
        <v>6113979</v>
      </c>
      <c r="CG47" s="505">
        <v>6113979</v>
      </c>
      <c r="CH47" s="505">
        <v>6113979</v>
      </c>
      <c r="CI47" s="522">
        <v>6113979</v>
      </c>
      <c r="CJ47" s="536">
        <v>6132683.7000000002</v>
      </c>
      <c r="CK47" s="542">
        <v>6132683.7000000002</v>
      </c>
      <c r="CL47" s="522">
        <v>6132685.7000000002</v>
      </c>
      <c r="CM47" s="522">
        <v>6132685.7000000002</v>
      </c>
      <c r="CN47" s="522">
        <v>6090683</v>
      </c>
      <c r="CO47" s="522">
        <v>6132685.7000000002</v>
      </c>
      <c r="CP47" s="522">
        <v>6132685.7000000002</v>
      </c>
      <c r="CQ47" s="505">
        <v>6132685.7000000002</v>
      </c>
      <c r="CR47" s="505">
        <v>6132685.7000000002</v>
      </c>
      <c r="CS47" s="505">
        <v>6132685.7000000002</v>
      </c>
      <c r="CT47" s="505">
        <v>6132685.7000000002</v>
      </c>
      <c r="CU47" s="505">
        <v>6132685.7000000002</v>
      </c>
      <c r="CV47" s="496">
        <v>7016778</v>
      </c>
      <c r="CW47" s="480">
        <v>7016778</v>
      </c>
      <c r="CX47" s="478">
        <v>7016778</v>
      </c>
      <c r="CY47" s="478">
        <v>7016778</v>
      </c>
      <c r="CZ47" s="478">
        <v>7016778</v>
      </c>
      <c r="DA47" s="478">
        <v>8316777.9800000004</v>
      </c>
      <c r="DB47" s="478">
        <v>8316777.9800000004</v>
      </c>
      <c r="DC47" s="478">
        <v>8316777.9800000004</v>
      </c>
      <c r="DD47" s="478">
        <v>8316777.9800000004</v>
      </c>
      <c r="DE47" s="522">
        <v>8316777</v>
      </c>
      <c r="DF47" s="522">
        <v>8316777</v>
      </c>
      <c r="DG47" s="522">
        <v>8316777</v>
      </c>
      <c r="DH47" s="522">
        <v>8316777</v>
      </c>
      <c r="DI47" s="522">
        <v>9069149.25</v>
      </c>
      <c r="DJ47" s="88">
        <v>9069149</v>
      </c>
      <c r="DK47" s="478">
        <v>9069149.25</v>
      </c>
      <c r="DL47" s="478">
        <v>9069149.25</v>
      </c>
      <c r="DM47" s="478">
        <v>9069149.25</v>
      </c>
      <c r="DN47" s="478">
        <v>9069149.25</v>
      </c>
      <c r="DO47" s="478">
        <v>9069149.25</v>
      </c>
      <c r="DP47" s="478">
        <v>9069149.25</v>
      </c>
      <c r="DQ47" s="478">
        <v>9069149.25</v>
      </c>
      <c r="DR47" s="478">
        <v>10319149.25</v>
      </c>
      <c r="DS47" s="522">
        <v>0</v>
      </c>
      <c r="DT47" s="522">
        <v>0</v>
      </c>
      <c r="DU47" s="522">
        <v>0</v>
      </c>
      <c r="DW47" s="87">
        <v>15996028</v>
      </c>
    </row>
    <row r="48" spans="2:127" ht="14.4" x14ac:dyDescent="0.25">
      <c r="B48" s="93" t="s">
        <v>79</v>
      </c>
      <c r="C48" s="153"/>
      <c r="D48" s="160"/>
      <c r="E48" s="150"/>
      <c r="F48" s="151">
        <v>0</v>
      </c>
      <c r="G48" s="150">
        <v>0</v>
      </c>
      <c r="H48" s="150"/>
      <c r="I48" s="150"/>
      <c r="J48" s="150">
        <v>0</v>
      </c>
      <c r="K48" s="150">
        <v>0</v>
      </c>
      <c r="L48" s="150">
        <v>0</v>
      </c>
      <c r="M48" s="150">
        <v>0</v>
      </c>
      <c r="N48" s="150">
        <v>0</v>
      </c>
      <c r="O48" s="150">
        <v>0</v>
      </c>
      <c r="P48" s="150">
        <v>0</v>
      </c>
      <c r="Q48" s="150">
        <v>0</v>
      </c>
      <c r="R48" s="150">
        <v>0</v>
      </c>
      <c r="S48" s="150">
        <v>0</v>
      </c>
      <c r="T48" s="150">
        <v>0</v>
      </c>
      <c r="U48" s="150">
        <v>0</v>
      </c>
      <c r="V48" s="150"/>
      <c r="W48" s="150"/>
      <c r="X48" s="150"/>
      <c r="Y48" s="150"/>
      <c r="Z48" s="150"/>
      <c r="AA48" s="150">
        <v>0</v>
      </c>
      <c r="AB48" s="150">
        <v>0</v>
      </c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93">
        <v>0</v>
      </c>
      <c r="AN48" s="150"/>
      <c r="AO48" s="150"/>
      <c r="AP48" s="150"/>
      <c r="AQ48" s="150"/>
      <c r="AR48" s="150"/>
      <c r="AS48" s="150"/>
      <c r="AT48" s="150"/>
      <c r="AU48" s="193">
        <v>0</v>
      </c>
      <c r="AV48" s="150"/>
      <c r="AW48" s="380"/>
      <c r="AX48" s="150"/>
      <c r="AY48" s="150"/>
      <c r="AZ48" s="150" t="s">
        <v>43</v>
      </c>
      <c r="BA48" s="388">
        <v>0</v>
      </c>
      <c r="BB48" s="150">
        <v>0</v>
      </c>
      <c r="BC48" s="150">
        <v>0</v>
      </c>
      <c r="BD48" s="150">
        <v>0</v>
      </c>
      <c r="BE48" s="52">
        <v>0</v>
      </c>
      <c r="BF48" s="52">
        <v>0</v>
      </c>
      <c r="BH48" s="52">
        <v>0</v>
      </c>
      <c r="BI48" s="480">
        <v>0</v>
      </c>
      <c r="BJ48" s="480">
        <v>8590309</v>
      </c>
      <c r="BK48" s="480"/>
      <c r="BL48" s="480"/>
      <c r="BM48" s="480"/>
      <c r="BN48" s="480"/>
      <c r="BO48" s="480"/>
      <c r="BP48" s="480">
        <v>0</v>
      </c>
      <c r="BQ48" s="480"/>
      <c r="BR48" s="501">
        <v>0</v>
      </c>
      <c r="BS48" s="501">
        <v>0</v>
      </c>
      <c r="BT48" s="52">
        <v>0</v>
      </c>
      <c r="BU48" s="88">
        <v>0</v>
      </c>
      <c r="BV48" s="88">
        <v>0</v>
      </c>
      <c r="BW48" s="88"/>
      <c r="BX48" s="52">
        <v>0</v>
      </c>
      <c r="BY48" s="52">
        <v>0</v>
      </c>
      <c r="BZ48" s="52">
        <v>0</v>
      </c>
      <c r="CA48" s="522">
        <v>0</v>
      </c>
      <c r="CB48" s="522">
        <v>0</v>
      </c>
      <c r="CC48" s="522">
        <v>0</v>
      </c>
      <c r="CD48" s="522"/>
      <c r="CE48" s="522"/>
      <c r="CF48" s="522"/>
      <c r="CG48" s="522"/>
      <c r="CH48" s="522"/>
      <c r="CJ48" s="536"/>
      <c r="CK48" s="521"/>
      <c r="CR48" s="211"/>
      <c r="CS48" s="211"/>
      <c r="CT48" s="211"/>
      <c r="CU48" s="211"/>
      <c r="CV48" s="211"/>
      <c r="CX48" s="478">
        <v>0</v>
      </c>
      <c r="CY48" s="478">
        <v>0</v>
      </c>
      <c r="CZ48" s="478">
        <v>0</v>
      </c>
      <c r="DA48" s="478">
        <v>0</v>
      </c>
      <c r="DB48" s="478">
        <v>0</v>
      </c>
      <c r="DC48" s="478">
        <v>0</v>
      </c>
      <c r="DD48" s="478">
        <v>0</v>
      </c>
      <c r="DE48" s="522">
        <v>0</v>
      </c>
      <c r="DF48" s="522">
        <v>0</v>
      </c>
      <c r="DG48" s="522">
        <v>0</v>
      </c>
      <c r="DH48" s="522">
        <v>0</v>
      </c>
      <c r="DI48" s="522">
        <v>0</v>
      </c>
      <c r="DK48" s="478">
        <v>0</v>
      </c>
      <c r="DL48" s="478">
        <v>0</v>
      </c>
      <c r="DM48" s="478">
        <v>0</v>
      </c>
      <c r="DN48" s="478">
        <v>0</v>
      </c>
      <c r="DO48" s="478">
        <v>0</v>
      </c>
      <c r="DP48" s="478">
        <v>0</v>
      </c>
      <c r="DQ48" s="478">
        <v>0</v>
      </c>
      <c r="DR48" s="478">
        <v>0</v>
      </c>
      <c r="DS48" s="524">
        <v>0</v>
      </c>
      <c r="DT48" s="524">
        <v>0</v>
      </c>
      <c r="DU48" s="524">
        <v>0</v>
      </c>
    </row>
    <row r="49" spans="2:127" ht="14.4" x14ac:dyDescent="0.25">
      <c r="B49" s="52" t="s">
        <v>80</v>
      </c>
      <c r="C49" s="166"/>
      <c r="D49" s="154"/>
      <c r="E49" s="154"/>
      <c r="F49" s="160">
        <v>407532</v>
      </c>
      <c r="G49" s="155">
        <v>478000</v>
      </c>
      <c r="H49" s="155"/>
      <c r="I49" s="155"/>
      <c r="J49" s="155">
        <v>0</v>
      </c>
      <c r="K49" s="155">
        <v>0</v>
      </c>
      <c r="L49" s="155">
        <v>142610.23000000001</v>
      </c>
      <c r="M49" s="155">
        <v>142610.23000000001</v>
      </c>
      <c r="N49" s="155">
        <v>142610.23000000001</v>
      </c>
      <c r="O49" s="155">
        <v>142610.23000000001</v>
      </c>
      <c r="P49" s="155">
        <v>142610.23000000001</v>
      </c>
      <c r="Q49" s="155">
        <v>142610.23000000001</v>
      </c>
      <c r="R49" s="155">
        <v>142610.23000000001</v>
      </c>
      <c r="S49" s="155">
        <v>142610.23000000001</v>
      </c>
      <c r="T49" s="155">
        <v>142610.23000000001</v>
      </c>
      <c r="U49" s="155">
        <v>142610.23000000001</v>
      </c>
      <c r="V49" s="155"/>
      <c r="W49" s="155">
        <v>142610.23000000001</v>
      </c>
      <c r="X49" s="155">
        <v>142610.23000000001</v>
      </c>
      <c r="Y49" s="155"/>
      <c r="Z49" s="155"/>
      <c r="AA49" s="155">
        <v>0</v>
      </c>
      <c r="AB49" s="155">
        <v>0</v>
      </c>
      <c r="AC49" s="155"/>
      <c r="AD49" s="155"/>
      <c r="AE49" s="155"/>
      <c r="AF49" s="155"/>
      <c r="AG49" s="155"/>
      <c r="AH49" s="155"/>
      <c r="AI49" s="155"/>
      <c r="AJ49" s="155"/>
      <c r="AK49" s="155"/>
      <c r="AL49" s="155"/>
      <c r="AM49" s="155"/>
      <c r="AN49" s="155"/>
      <c r="AO49" s="155"/>
      <c r="AP49" s="155"/>
      <c r="AQ49" s="155"/>
      <c r="AR49" s="155"/>
      <c r="AS49" s="155"/>
      <c r="AT49" s="155"/>
      <c r="AU49" s="193">
        <v>0</v>
      </c>
      <c r="AV49" s="155"/>
      <c r="AW49" s="377"/>
      <c r="AX49" s="155"/>
      <c r="AY49" s="155"/>
      <c r="AZ49" s="155">
        <v>0</v>
      </c>
      <c r="BA49" s="386">
        <v>0</v>
      </c>
      <c r="BB49" s="155">
        <v>0</v>
      </c>
      <c r="BC49" s="155">
        <v>0</v>
      </c>
      <c r="BD49" s="155">
        <v>608151</v>
      </c>
      <c r="BE49" s="52">
        <v>0</v>
      </c>
      <c r="BF49" s="52">
        <v>0</v>
      </c>
      <c r="BH49" s="52">
        <v>0</v>
      </c>
      <c r="BI49" s="480">
        <v>0</v>
      </c>
      <c r="BK49" s="211"/>
      <c r="BL49" s="211"/>
      <c r="BM49" s="211"/>
      <c r="BN49" s="211"/>
      <c r="BO49" s="211"/>
      <c r="BP49" s="480"/>
      <c r="BQ49" s="480"/>
      <c r="BR49" s="502">
        <v>0</v>
      </c>
      <c r="BS49" s="502">
        <v>0</v>
      </c>
      <c r="BT49" s="52">
        <v>0</v>
      </c>
      <c r="BU49" s="88"/>
      <c r="BV49" s="88">
        <v>9040189</v>
      </c>
      <c r="BW49" s="88"/>
      <c r="BX49" s="52">
        <v>0</v>
      </c>
      <c r="BY49" s="52">
        <v>0</v>
      </c>
      <c r="BZ49" s="52">
        <v>0</v>
      </c>
      <c r="CA49" s="524">
        <v>0</v>
      </c>
      <c r="CB49" s="524">
        <v>0</v>
      </c>
      <c r="CC49" s="524">
        <v>0</v>
      </c>
      <c r="CD49" s="524">
        <v>0</v>
      </c>
      <c r="CE49" s="524">
        <v>0</v>
      </c>
      <c r="CF49" s="524">
        <v>0</v>
      </c>
      <c r="CG49" s="524">
        <v>0</v>
      </c>
      <c r="CH49" s="524">
        <v>0</v>
      </c>
      <c r="CI49" s="524">
        <v>0</v>
      </c>
      <c r="CJ49" s="536"/>
      <c r="CK49" s="521"/>
      <c r="CL49" s="524">
        <v>0</v>
      </c>
      <c r="CM49" s="524">
        <v>0</v>
      </c>
      <c r="CN49" s="524">
        <v>0</v>
      </c>
      <c r="CO49" s="524">
        <v>0</v>
      </c>
      <c r="CP49" s="524">
        <v>0</v>
      </c>
      <c r="CR49" s="502">
        <v>0</v>
      </c>
      <c r="CS49" s="502">
        <v>0</v>
      </c>
      <c r="CT49" s="502">
        <v>0</v>
      </c>
      <c r="CU49" s="502">
        <v>0</v>
      </c>
      <c r="CV49" s="211"/>
      <c r="CX49" s="643">
        <v>0</v>
      </c>
      <c r="CY49" s="643">
        <v>0</v>
      </c>
      <c r="CZ49" s="643">
        <v>0</v>
      </c>
      <c r="DA49" s="643">
        <v>0</v>
      </c>
      <c r="DB49" s="643">
        <v>0</v>
      </c>
      <c r="DC49" s="643">
        <v>0</v>
      </c>
      <c r="DD49" s="643">
        <v>11535.52</v>
      </c>
      <c r="DE49" s="524">
        <v>11535.52</v>
      </c>
      <c r="DF49" s="524">
        <v>11535.52</v>
      </c>
      <c r="DG49" s="524">
        <v>0</v>
      </c>
      <c r="DH49" s="524">
        <v>0</v>
      </c>
      <c r="DI49" s="524">
        <v>0</v>
      </c>
      <c r="DK49" s="643">
        <v>0</v>
      </c>
      <c r="DL49" s="643">
        <v>0</v>
      </c>
      <c r="DM49" s="643">
        <v>0</v>
      </c>
      <c r="DN49" s="643">
        <v>0</v>
      </c>
      <c r="DO49" s="643">
        <v>0</v>
      </c>
      <c r="DP49" s="643">
        <v>0</v>
      </c>
      <c r="DQ49" s="643">
        <v>0</v>
      </c>
      <c r="DR49" s="643">
        <v>0</v>
      </c>
      <c r="DS49" s="524">
        <v>0</v>
      </c>
      <c r="DT49" s="524">
        <v>0</v>
      </c>
      <c r="DU49" s="524">
        <v>0</v>
      </c>
    </row>
    <row r="50" spans="2:127" ht="13.2" x14ac:dyDescent="0.25">
      <c r="B50" s="90" t="s">
        <v>81</v>
      </c>
      <c r="C50" s="147">
        <f t="shared" ref="C50:G50" si="90">C40+C41+C42+C45</f>
        <v>439861</v>
      </c>
      <c r="D50" s="147">
        <f t="shared" si="90"/>
        <v>736861</v>
      </c>
      <c r="E50" s="147">
        <f t="shared" si="90"/>
        <v>8453756</v>
      </c>
      <c r="F50" s="147">
        <f t="shared" si="90"/>
        <v>11856866</v>
      </c>
      <c r="G50" s="147">
        <f t="shared" si="90"/>
        <v>15930148</v>
      </c>
      <c r="H50" s="147">
        <f t="shared" ref="H50:K50" si="91">H40+H41+H42+H45</f>
        <v>25274778.330000002</v>
      </c>
      <c r="I50" s="147">
        <f t="shared" si="91"/>
        <v>19725079</v>
      </c>
      <c r="J50" s="147">
        <f t="shared" si="91"/>
        <v>51119688.510000005</v>
      </c>
      <c r="K50" s="147">
        <f t="shared" si="91"/>
        <v>26585028.480000004</v>
      </c>
      <c r="L50" s="147">
        <f t="shared" ref="L50:V50" si="92">L40+L41+L42+L45</f>
        <v>24418120.960000001</v>
      </c>
      <c r="M50" s="147">
        <f t="shared" si="92"/>
        <v>24924172.920000002</v>
      </c>
      <c r="N50" s="147">
        <f t="shared" si="92"/>
        <v>29147527.41</v>
      </c>
      <c r="O50" s="147">
        <f t="shared" si="92"/>
        <v>29777657.91</v>
      </c>
      <c r="P50" s="147">
        <f t="shared" si="92"/>
        <v>30801792.700000003</v>
      </c>
      <c r="Q50" s="147">
        <f t="shared" si="92"/>
        <v>30851363.98</v>
      </c>
      <c r="R50" s="147">
        <f t="shared" si="92"/>
        <v>31903937.080000002</v>
      </c>
      <c r="S50" s="147">
        <f t="shared" si="92"/>
        <v>32575366.73</v>
      </c>
      <c r="T50" s="147">
        <f t="shared" si="92"/>
        <v>33534292.760000002</v>
      </c>
      <c r="U50" s="147">
        <f t="shared" si="92"/>
        <v>28962500.330000002</v>
      </c>
      <c r="V50" s="147">
        <f t="shared" si="92"/>
        <v>22540772</v>
      </c>
      <c r="W50" s="147">
        <f t="shared" ref="W50:AC50" si="93">W40+W41+W42+W45</f>
        <v>32253006.600000001</v>
      </c>
      <c r="X50" s="147">
        <f t="shared" si="93"/>
        <v>33840144.43</v>
      </c>
      <c r="Y50" s="147">
        <f t="shared" si="93"/>
        <v>30530662.490000002</v>
      </c>
      <c r="Z50" s="147">
        <f t="shared" si="93"/>
        <v>33605968.010000005</v>
      </c>
      <c r="AA50" s="147">
        <f t="shared" si="93"/>
        <v>34320074.060000002</v>
      </c>
      <c r="AB50" s="147">
        <f t="shared" si="93"/>
        <v>35793923.230000004</v>
      </c>
      <c r="AC50" s="147">
        <f t="shared" si="93"/>
        <v>33507873.18</v>
      </c>
      <c r="AD50" s="147">
        <f t="shared" ref="AD50:AE50" si="94">AD40+AD41+AD42+AD45</f>
        <v>35443236.450000003</v>
      </c>
      <c r="AE50" s="147">
        <f t="shared" si="94"/>
        <v>34900999.260000005</v>
      </c>
      <c r="AF50" s="147">
        <f t="shared" ref="AF50:AG50" si="95">AF40+AF41+AF42+AF45</f>
        <v>35537560.409999996</v>
      </c>
      <c r="AG50" s="147">
        <f t="shared" si="95"/>
        <v>38132047.049999997</v>
      </c>
      <c r="AH50" s="147">
        <f t="shared" ref="AH50:AI50" si="96">AH40+AH41+AH42+AH45</f>
        <v>38314826.5</v>
      </c>
      <c r="AI50" s="147">
        <f t="shared" si="96"/>
        <v>27501272</v>
      </c>
      <c r="AJ50" s="147">
        <f t="shared" ref="AJ50:AN50" si="97">AJ40+AJ41+AJ42+AJ45</f>
        <v>27501272</v>
      </c>
      <c r="AK50" s="147">
        <f t="shared" si="97"/>
        <v>0</v>
      </c>
      <c r="AL50" s="147">
        <f t="shared" si="97"/>
        <v>41412198.350000001</v>
      </c>
      <c r="AM50" s="147">
        <f t="shared" si="97"/>
        <v>42112588.18</v>
      </c>
      <c r="AN50" s="147">
        <f t="shared" si="97"/>
        <v>46319424.07</v>
      </c>
      <c r="AO50" s="147">
        <f t="shared" ref="AO50:AP50" si="98">AO40+AO41+AO42+AO45</f>
        <v>34320074.060000002</v>
      </c>
      <c r="AP50" s="147">
        <f t="shared" si="98"/>
        <v>57903915.089999996</v>
      </c>
      <c r="AQ50" s="147">
        <f t="shared" ref="AQ50:CC50" si="99">AQ40+AQ41+AQ42+AQ45</f>
        <v>62413287.279999994</v>
      </c>
      <c r="AR50" s="147">
        <f t="shared" si="99"/>
        <v>65649253.57</v>
      </c>
      <c r="AS50" s="147">
        <f t="shared" si="99"/>
        <v>69668696.700000003</v>
      </c>
      <c r="AT50" s="147">
        <f t="shared" si="99"/>
        <v>0</v>
      </c>
      <c r="AU50" s="147">
        <f t="shared" si="99"/>
        <v>76322254.709999993</v>
      </c>
      <c r="AV50" s="147">
        <f t="shared" si="99"/>
        <v>-18541410.110000003</v>
      </c>
      <c r="AW50" s="147">
        <f t="shared" si="99"/>
        <v>31120922</v>
      </c>
      <c r="AX50" s="147">
        <f t="shared" si="99"/>
        <v>0</v>
      </c>
      <c r="AY50" s="147">
        <f t="shared" si="99"/>
        <v>0</v>
      </c>
      <c r="AZ50" s="147">
        <f t="shared" si="99"/>
        <v>-30132021.409999996</v>
      </c>
      <c r="BA50" s="147">
        <f t="shared" si="99"/>
        <v>-64361903.640000001</v>
      </c>
      <c r="BB50" s="147">
        <f t="shared" si="99"/>
        <v>35749277</v>
      </c>
      <c r="BC50" s="147">
        <f t="shared" si="99"/>
        <v>37492975.100000001</v>
      </c>
      <c r="BD50" s="147">
        <f t="shared" si="99"/>
        <v>34734350</v>
      </c>
      <c r="BE50" s="147">
        <f t="shared" si="99"/>
        <v>38136474.82</v>
      </c>
      <c r="BF50" s="147">
        <f t="shared" si="99"/>
        <v>40112710.509999998</v>
      </c>
      <c r="BG50" s="147">
        <f t="shared" si="99"/>
        <v>0</v>
      </c>
      <c r="BH50" s="147">
        <f t="shared" si="99"/>
        <v>43364896</v>
      </c>
      <c r="BI50" s="147">
        <f t="shared" si="99"/>
        <v>45705763.82</v>
      </c>
      <c r="BJ50" s="147">
        <f t="shared" si="99"/>
        <v>46159736</v>
      </c>
      <c r="BK50" s="147">
        <f t="shared" si="99"/>
        <v>38389595.829999998</v>
      </c>
      <c r="BL50" s="147">
        <f t="shared" si="99"/>
        <v>38545435.469999999</v>
      </c>
      <c r="BM50" s="147">
        <f t="shared" si="99"/>
        <v>40293571.359999999</v>
      </c>
      <c r="BN50" s="147">
        <f t="shared" si="99"/>
        <v>41217697</v>
      </c>
      <c r="BO50" s="147">
        <f t="shared" si="99"/>
        <v>43713403</v>
      </c>
      <c r="BP50" s="147">
        <f t="shared" si="99"/>
        <v>42995243</v>
      </c>
      <c r="BQ50" s="147">
        <f t="shared" si="99"/>
        <v>44089113</v>
      </c>
      <c r="BR50" s="147">
        <f t="shared" si="99"/>
        <v>44585871</v>
      </c>
      <c r="BS50" s="147">
        <f t="shared" si="99"/>
        <v>45139475</v>
      </c>
      <c r="BT50" s="147">
        <f t="shared" si="99"/>
        <v>46354994</v>
      </c>
      <c r="BU50" s="147">
        <f t="shared" si="99"/>
        <v>47890929</v>
      </c>
      <c r="BV50" s="147">
        <f t="shared" si="99"/>
        <v>53883015.460000001</v>
      </c>
      <c r="BW50" s="147">
        <f t="shared" si="99"/>
        <v>45921060.039999999</v>
      </c>
      <c r="BX50" s="147">
        <f t="shared" si="99"/>
        <v>46804310</v>
      </c>
      <c r="BY50" s="147">
        <f t="shared" si="99"/>
        <v>47249721</v>
      </c>
      <c r="BZ50" s="147">
        <f t="shared" si="99"/>
        <v>47883334</v>
      </c>
      <c r="CA50" s="147">
        <f t="shared" si="99"/>
        <v>48206600</v>
      </c>
      <c r="CB50" s="147">
        <f t="shared" si="99"/>
        <v>53230957</v>
      </c>
      <c r="CC50" s="147">
        <f t="shared" si="99"/>
        <v>54493325</v>
      </c>
      <c r="CD50" s="147">
        <f t="shared" ref="CD50:DW50" si="100">CD40+CD41+CD42+CD45</f>
        <v>56460105</v>
      </c>
      <c r="CE50" s="147">
        <f t="shared" si="100"/>
        <v>58151193</v>
      </c>
      <c r="CF50" s="147">
        <f t="shared" si="100"/>
        <v>60103284.040000007</v>
      </c>
      <c r="CG50" s="147">
        <f t="shared" si="100"/>
        <v>62075424.870000005</v>
      </c>
      <c r="CH50" s="147">
        <f t="shared" si="100"/>
        <v>62486065.659999996</v>
      </c>
      <c r="CI50" s="147">
        <f t="shared" si="100"/>
        <v>68147384.799999997</v>
      </c>
      <c r="CJ50" s="147">
        <f t="shared" si="100"/>
        <v>50174488.299999997</v>
      </c>
      <c r="CK50" s="147">
        <f t="shared" si="100"/>
        <v>52375734.150000006</v>
      </c>
      <c r="CL50" s="147">
        <f t="shared" si="100"/>
        <v>54429044.200000003</v>
      </c>
      <c r="CM50" s="147">
        <f t="shared" si="100"/>
        <v>56357297.5</v>
      </c>
      <c r="CN50" s="147">
        <f t="shared" si="100"/>
        <v>58130012.799999997</v>
      </c>
      <c r="CO50" s="147">
        <f t="shared" si="100"/>
        <v>60726037.5</v>
      </c>
      <c r="CP50" s="147">
        <f t="shared" si="100"/>
        <v>63282583.159999996</v>
      </c>
      <c r="CQ50" s="147">
        <f t="shared" si="100"/>
        <v>66654713.57</v>
      </c>
      <c r="CR50" s="147">
        <f t="shared" si="100"/>
        <v>70180176.5</v>
      </c>
      <c r="CS50" s="147">
        <f t="shared" si="100"/>
        <v>73894641.829999998</v>
      </c>
      <c r="CT50" s="147">
        <f t="shared" si="100"/>
        <v>71708298.359999999</v>
      </c>
      <c r="CU50" s="147">
        <f t="shared" si="100"/>
        <v>77170188.280000001</v>
      </c>
      <c r="CV50" s="147">
        <f t="shared" si="100"/>
        <v>76184332.799999997</v>
      </c>
      <c r="CW50" s="147">
        <f t="shared" si="100"/>
        <v>60637566.170000002</v>
      </c>
      <c r="CX50" s="147">
        <f t="shared" si="100"/>
        <v>63411905.200000003</v>
      </c>
      <c r="CY50" s="147">
        <f t="shared" si="100"/>
        <v>66640987.82</v>
      </c>
      <c r="CZ50" s="147">
        <f t="shared" si="100"/>
        <v>69978383.909999996</v>
      </c>
      <c r="DA50" s="147">
        <f t="shared" si="100"/>
        <v>74695160.790000007</v>
      </c>
      <c r="DB50" s="147">
        <f t="shared" si="100"/>
        <v>77751442.25</v>
      </c>
      <c r="DC50" s="147">
        <f t="shared" si="100"/>
        <v>80662110.439999998</v>
      </c>
      <c r="DD50" s="147">
        <f t="shared" si="100"/>
        <v>84041774.939999998</v>
      </c>
      <c r="DE50" s="147">
        <f t="shared" si="100"/>
        <v>88639064.929999992</v>
      </c>
      <c r="DF50" s="147">
        <f t="shared" si="100"/>
        <v>92885189.709999993</v>
      </c>
      <c r="DG50" s="147">
        <f t="shared" si="100"/>
        <v>93976618.180000007</v>
      </c>
      <c r="DH50" s="147">
        <f t="shared" si="100"/>
        <v>97316417.700000003</v>
      </c>
      <c r="DI50" s="147">
        <f t="shared" si="100"/>
        <v>72824194.890000001</v>
      </c>
      <c r="DJ50" s="538">
        <f t="shared" si="100"/>
        <v>73290644</v>
      </c>
      <c r="DK50" s="523">
        <v>73496960.540000007</v>
      </c>
      <c r="DL50" s="523">
        <v>80761584.950000003</v>
      </c>
      <c r="DM50" s="523">
        <v>89148039.689999998</v>
      </c>
      <c r="DN50" s="523">
        <v>92917408.209999993</v>
      </c>
      <c r="DO50" s="523">
        <v>96642171.010000005</v>
      </c>
      <c r="DP50" s="523">
        <v>100490934</v>
      </c>
      <c r="DQ50" s="523">
        <v>104435015.8</v>
      </c>
      <c r="DR50" s="523">
        <v>110001146.73999999</v>
      </c>
      <c r="DS50" s="523">
        <v>113611700.95999999</v>
      </c>
      <c r="DT50" s="523">
        <v>115185219.7</v>
      </c>
      <c r="DU50" s="523">
        <v>118446479.79000001</v>
      </c>
      <c r="DV50" s="538">
        <f t="shared" si="100"/>
        <v>0</v>
      </c>
      <c r="DW50" s="538">
        <f t="shared" si="100"/>
        <v>97517528</v>
      </c>
    </row>
    <row r="51" spans="2:127" ht="13.2" x14ac:dyDescent="0.25">
      <c r="B51" s="95" t="s">
        <v>82</v>
      </c>
      <c r="C51" s="169">
        <f t="shared" ref="C51:G51" si="101">C39+C50</f>
        <v>3475410</v>
      </c>
      <c r="D51" s="169">
        <f t="shared" si="101"/>
        <v>8750647</v>
      </c>
      <c r="E51" s="169">
        <f t="shared" si="101"/>
        <v>18632415</v>
      </c>
      <c r="F51" s="169">
        <f t="shared" si="101"/>
        <v>35649419</v>
      </c>
      <c r="G51" s="169">
        <f t="shared" si="101"/>
        <v>48282362</v>
      </c>
      <c r="H51" s="169">
        <f t="shared" ref="H51:K51" si="102">H39+H50</f>
        <v>75358468.430000007</v>
      </c>
      <c r="I51" s="169">
        <f t="shared" si="102"/>
        <v>70805321</v>
      </c>
      <c r="J51" s="169">
        <f t="shared" si="102"/>
        <v>153656532.31</v>
      </c>
      <c r="K51" s="169">
        <f t="shared" si="102"/>
        <v>79719231.510000005</v>
      </c>
      <c r="L51" s="169">
        <f t="shared" ref="L51:S51" si="103">L39+L50</f>
        <v>80127704.75</v>
      </c>
      <c r="M51" s="169">
        <f t="shared" si="103"/>
        <v>81874455.099999994</v>
      </c>
      <c r="N51" s="169">
        <f t="shared" si="103"/>
        <v>83576489.289999992</v>
      </c>
      <c r="O51" s="169">
        <f t="shared" si="103"/>
        <v>86133088.789999992</v>
      </c>
      <c r="P51" s="169">
        <f t="shared" si="103"/>
        <v>89307793.469999999</v>
      </c>
      <c r="Q51" s="169">
        <f t="shared" si="103"/>
        <v>90969296.570000008</v>
      </c>
      <c r="R51" s="169">
        <f t="shared" si="103"/>
        <v>92921550.870000005</v>
      </c>
      <c r="S51" s="169">
        <f t="shared" si="103"/>
        <v>95985195.660000011</v>
      </c>
      <c r="T51" s="169">
        <f t="shared" ref="T51:V51" si="104">T39+T50</f>
        <v>96577668.780000001</v>
      </c>
      <c r="U51" s="169">
        <f t="shared" si="104"/>
        <v>93312698.570000008</v>
      </c>
      <c r="V51" s="169">
        <f t="shared" si="104"/>
        <v>91290359</v>
      </c>
      <c r="W51" s="169">
        <f t="shared" ref="W51:AC51" si="105">W39+W50</f>
        <v>98217316.420000017</v>
      </c>
      <c r="X51" s="169">
        <f t="shared" si="105"/>
        <v>98619828.819999993</v>
      </c>
      <c r="Y51" s="169">
        <f t="shared" si="105"/>
        <v>99655459.539999992</v>
      </c>
      <c r="Z51" s="169">
        <f t="shared" si="105"/>
        <v>104844498.22</v>
      </c>
      <c r="AA51" s="169">
        <f t="shared" si="105"/>
        <v>108633280.7</v>
      </c>
      <c r="AB51" s="169">
        <f t="shared" si="105"/>
        <v>112062965.75</v>
      </c>
      <c r="AC51" s="169">
        <f t="shared" si="105"/>
        <v>110008263.95000002</v>
      </c>
      <c r="AD51" s="169">
        <f t="shared" ref="AD51:AE51" si="106">AD39+AD50</f>
        <v>114962187.56</v>
      </c>
      <c r="AE51" s="169">
        <f t="shared" si="106"/>
        <v>117343935.34000002</v>
      </c>
      <c r="AF51" s="169">
        <f t="shared" ref="AF51:AG51" si="107">AF39+AF50</f>
        <v>119298970.82000001</v>
      </c>
      <c r="AG51" s="169">
        <f t="shared" si="107"/>
        <v>122876354.84999999</v>
      </c>
      <c r="AH51" s="169">
        <f t="shared" ref="AH51:AI51" si="108">AH39+AH50</f>
        <v>122310491.37</v>
      </c>
      <c r="AI51" s="169">
        <f t="shared" si="108"/>
        <v>127846174</v>
      </c>
      <c r="AJ51" s="169">
        <f t="shared" ref="AJ51:AN51" si="109">AJ39+AJ50</f>
        <v>125791059</v>
      </c>
      <c r="AK51" s="169">
        <f t="shared" si="109"/>
        <v>0</v>
      </c>
      <c r="AL51" s="169">
        <f t="shared" si="109"/>
        <v>129689972.68000001</v>
      </c>
      <c r="AM51" s="169">
        <f t="shared" si="109"/>
        <v>130348093.50999999</v>
      </c>
      <c r="AN51" s="169">
        <f t="shared" si="109"/>
        <v>134905451.92000002</v>
      </c>
      <c r="AO51" s="169">
        <f t="shared" ref="AO51:AP51" si="110">AO39+AO50</f>
        <v>108633280.7</v>
      </c>
      <c r="AP51" s="169">
        <f t="shared" si="110"/>
        <v>146829595.36000001</v>
      </c>
      <c r="AQ51" s="169">
        <f t="shared" ref="AQ51:AR51" si="111">AQ39+AQ50</f>
        <v>151714216.81</v>
      </c>
      <c r="AR51" s="169">
        <f t="shared" si="111"/>
        <v>154981448.86000001</v>
      </c>
      <c r="AS51" s="169">
        <f t="shared" ref="AS51:CC51" si="112">AS39+AS50</f>
        <v>159219606.77000001</v>
      </c>
      <c r="AT51" s="169">
        <f t="shared" si="112"/>
        <v>0</v>
      </c>
      <c r="AU51" s="169">
        <f t="shared" si="112"/>
        <v>166185824.48000002</v>
      </c>
      <c r="AV51" s="169">
        <f t="shared" si="112"/>
        <v>152644396.25</v>
      </c>
      <c r="AW51" s="169">
        <f t="shared" si="112"/>
        <v>149933786</v>
      </c>
      <c r="AX51" s="169">
        <f t="shared" si="112"/>
        <v>0</v>
      </c>
      <c r="AY51" s="169">
        <f t="shared" si="112"/>
        <v>0</v>
      </c>
      <c r="AZ51" s="169">
        <f t="shared" si="112"/>
        <v>-208315742.81</v>
      </c>
      <c r="BA51" s="169">
        <f t="shared" si="112"/>
        <v>-438013046.74000001</v>
      </c>
      <c r="BB51" s="169">
        <f t="shared" si="112"/>
        <v>168255109.06</v>
      </c>
      <c r="BC51" s="169">
        <f t="shared" si="112"/>
        <v>188002594.98999998</v>
      </c>
      <c r="BD51" s="169">
        <f t="shared" si="112"/>
        <v>163515554.71000001</v>
      </c>
      <c r="BE51" s="169">
        <f t="shared" si="112"/>
        <v>168191991.09999999</v>
      </c>
      <c r="BF51" s="169">
        <f t="shared" si="112"/>
        <v>168540543</v>
      </c>
      <c r="BG51" s="169">
        <f t="shared" si="112"/>
        <v>0</v>
      </c>
      <c r="BH51" s="169">
        <f t="shared" si="112"/>
        <v>171236303.46000001</v>
      </c>
      <c r="BI51" s="169">
        <f t="shared" si="112"/>
        <v>170139469.72</v>
      </c>
      <c r="BJ51" s="169">
        <f t="shared" si="112"/>
        <v>177481112.60000002</v>
      </c>
      <c r="BK51" s="169">
        <f t="shared" si="112"/>
        <v>178505166.82999998</v>
      </c>
      <c r="BL51" s="169">
        <f t="shared" si="112"/>
        <v>179748075.58000001</v>
      </c>
      <c r="BM51" s="169">
        <f t="shared" si="112"/>
        <v>177192400.63</v>
      </c>
      <c r="BN51" s="169">
        <f t="shared" si="112"/>
        <v>179315948</v>
      </c>
      <c r="BO51" s="169">
        <f t="shared" si="112"/>
        <v>178839659</v>
      </c>
      <c r="BP51" s="169">
        <f t="shared" si="112"/>
        <v>180909645</v>
      </c>
      <c r="BQ51" s="169">
        <f t="shared" si="112"/>
        <v>183744291</v>
      </c>
      <c r="BR51" s="169">
        <f t="shared" si="112"/>
        <v>188367831</v>
      </c>
      <c r="BS51" s="169">
        <f t="shared" si="112"/>
        <v>188915694</v>
      </c>
      <c r="BT51" s="169">
        <f t="shared" si="112"/>
        <v>190101732</v>
      </c>
      <c r="BU51" s="169">
        <f t="shared" si="112"/>
        <v>199265016</v>
      </c>
      <c r="BV51" s="169">
        <f t="shared" si="112"/>
        <v>202472011.46000001</v>
      </c>
      <c r="BW51" s="169">
        <f t="shared" si="112"/>
        <v>213140555.31</v>
      </c>
      <c r="BX51" s="169">
        <f t="shared" si="112"/>
        <v>205362392</v>
      </c>
      <c r="BY51" s="169">
        <f t="shared" si="112"/>
        <v>202016148</v>
      </c>
      <c r="BZ51" s="169">
        <f t="shared" si="112"/>
        <v>211721145</v>
      </c>
      <c r="CA51" s="169">
        <f t="shared" si="112"/>
        <v>210171271</v>
      </c>
      <c r="CB51" s="169">
        <f t="shared" si="112"/>
        <v>226904993</v>
      </c>
      <c r="CC51" s="169">
        <f t="shared" si="112"/>
        <v>231872582</v>
      </c>
      <c r="CD51" s="169">
        <f t="shared" ref="CD51:DW51" si="113">CD39+CD50</f>
        <v>236573335.53</v>
      </c>
      <c r="CE51" s="169">
        <f t="shared" si="113"/>
        <v>241127480.56</v>
      </c>
      <c r="CF51" s="169">
        <f t="shared" si="113"/>
        <v>250075479</v>
      </c>
      <c r="CG51" s="169">
        <f t="shared" si="113"/>
        <v>262114038.84000003</v>
      </c>
      <c r="CH51" s="169">
        <f t="shared" si="113"/>
        <v>264392816.19999996</v>
      </c>
      <c r="CI51" s="169">
        <f t="shared" si="113"/>
        <v>141504304.01999998</v>
      </c>
      <c r="CJ51" s="169">
        <f t="shared" si="113"/>
        <v>252884527.96000004</v>
      </c>
      <c r="CK51" s="169">
        <f t="shared" si="113"/>
        <v>267886176.07600001</v>
      </c>
      <c r="CL51" s="169">
        <f t="shared" si="113"/>
        <v>273337266.10600001</v>
      </c>
      <c r="CM51" s="169">
        <f t="shared" si="113"/>
        <v>267305011.79999998</v>
      </c>
      <c r="CN51" s="169">
        <f t="shared" si="113"/>
        <v>272614569.00599998</v>
      </c>
      <c r="CO51" s="169">
        <f t="shared" si="113"/>
        <v>274644982.23000002</v>
      </c>
      <c r="CP51" s="169">
        <f t="shared" si="113"/>
        <v>286988709.13999999</v>
      </c>
      <c r="CQ51" s="550">
        <f t="shared" si="113"/>
        <v>286351423.56</v>
      </c>
      <c r="CR51" s="550">
        <f t="shared" si="113"/>
        <v>294319849.5</v>
      </c>
      <c r="CS51" s="550">
        <f t="shared" si="113"/>
        <v>303778885.72000003</v>
      </c>
      <c r="CT51" s="550">
        <f t="shared" si="113"/>
        <v>301767943.07999998</v>
      </c>
      <c r="CU51" s="550">
        <f t="shared" si="113"/>
        <v>308239570.23000002</v>
      </c>
      <c r="CV51" s="550">
        <f t="shared" si="113"/>
        <v>300182208.28999996</v>
      </c>
      <c r="CW51" s="550">
        <f t="shared" si="113"/>
        <v>299996601.60000002</v>
      </c>
      <c r="CX51" s="550">
        <f t="shared" si="113"/>
        <v>317994087.62</v>
      </c>
      <c r="CY51" s="550">
        <f t="shared" si="113"/>
        <v>327428866.22000003</v>
      </c>
      <c r="CZ51" s="550">
        <f t="shared" si="113"/>
        <v>321192606.96000004</v>
      </c>
      <c r="DA51" s="550">
        <f t="shared" si="113"/>
        <v>324998900.77000004</v>
      </c>
      <c r="DB51" s="550">
        <f t="shared" si="113"/>
        <v>330701444.59000003</v>
      </c>
      <c r="DC51" s="550">
        <f t="shared" si="113"/>
        <v>347070326.34999996</v>
      </c>
      <c r="DD51" s="550">
        <f t="shared" si="113"/>
        <v>355148669.25</v>
      </c>
      <c r="DE51" s="550">
        <f t="shared" si="113"/>
        <v>360796550.96999997</v>
      </c>
      <c r="DF51" s="550">
        <f t="shared" si="113"/>
        <v>372632701.57999998</v>
      </c>
      <c r="DG51" s="550">
        <f t="shared" si="113"/>
        <v>367095013.84999996</v>
      </c>
      <c r="DH51" s="550">
        <f t="shared" si="113"/>
        <v>376772049.94</v>
      </c>
      <c r="DI51" s="550">
        <f t="shared" si="113"/>
        <v>359869050.53999996</v>
      </c>
      <c r="DJ51" s="659">
        <f t="shared" si="113"/>
        <v>360561166</v>
      </c>
      <c r="DK51" s="659">
        <f t="shared" si="113"/>
        <v>366692769.48000002</v>
      </c>
      <c r="DL51" s="659">
        <f t="shared" si="113"/>
        <v>373411753.22999996</v>
      </c>
      <c r="DM51" s="659">
        <f t="shared" si="113"/>
        <v>366492387.59000003</v>
      </c>
      <c r="DN51" s="659">
        <f t="shared" si="113"/>
        <v>370456354.11000001</v>
      </c>
      <c r="DO51" s="659">
        <f t="shared" si="113"/>
        <v>372936990.74999994</v>
      </c>
      <c r="DP51" s="659">
        <f t="shared" si="113"/>
        <v>384166324.77999997</v>
      </c>
      <c r="DQ51" s="659">
        <f t="shared" si="113"/>
        <v>390435452.49000001</v>
      </c>
      <c r="DR51" s="659">
        <f t="shared" si="113"/>
        <v>395716671.10000002</v>
      </c>
      <c r="DS51" s="659">
        <f t="shared" si="113"/>
        <v>401797390.32000005</v>
      </c>
      <c r="DT51" s="659">
        <f t="shared" si="113"/>
        <v>407089720.03999996</v>
      </c>
      <c r="DU51" s="659">
        <f t="shared" si="113"/>
        <v>415397367.10000002</v>
      </c>
      <c r="DV51" s="659">
        <f t="shared" si="113"/>
        <v>0</v>
      </c>
      <c r="DW51" s="659">
        <f t="shared" si="113"/>
        <v>415120522</v>
      </c>
    </row>
    <row r="52" spans="2:127" ht="13.2" x14ac:dyDescent="0.25">
      <c r="B52" s="98"/>
      <c r="C52" s="171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>
        <f>AI51-AI27</f>
        <v>0</v>
      </c>
      <c r="AJ52" s="205"/>
      <c r="AK52" s="243"/>
      <c r="AL52" s="243">
        <f>AL27-AL51</f>
        <v>-3925240.8000000119</v>
      </c>
      <c r="AM52" s="243">
        <f>AM27-AM51</f>
        <v>-3291212.0300000012</v>
      </c>
      <c r="AN52" s="243">
        <f>AN27-AN51</f>
        <v>-24219252.87000002</v>
      </c>
      <c r="AO52" s="243">
        <f t="shared" ref="AO52:AP52" si="114">AO27-AO51</f>
        <v>0</v>
      </c>
      <c r="AP52" s="243">
        <f t="shared" si="114"/>
        <v>-35930875.090000018</v>
      </c>
      <c r="AQ52" s="243">
        <f t="shared" ref="AQ52:AR52" si="115">AQ27-AQ51</f>
        <v>-21330103.920000002</v>
      </c>
      <c r="AR52" s="243">
        <f t="shared" si="115"/>
        <v>-21779749.930000022</v>
      </c>
      <c r="AS52" s="243">
        <f t="shared" ref="AS52:AV52" si="116">AS27-AS51</f>
        <v>-21951311.719999999</v>
      </c>
      <c r="AT52" s="243">
        <f t="shared" si="116"/>
        <v>0</v>
      </c>
      <c r="AU52" s="243">
        <f t="shared" si="116"/>
        <v>-18018821.700000018</v>
      </c>
      <c r="AV52" s="243">
        <f t="shared" si="116"/>
        <v>-9950</v>
      </c>
      <c r="AW52" s="243">
        <f t="shared" ref="AW52" si="117">AW27-AW51</f>
        <v>1</v>
      </c>
      <c r="AX52" s="205"/>
      <c r="AY52" s="205"/>
      <c r="AZ52" s="205"/>
      <c r="BA52" s="243"/>
      <c r="BB52" s="243"/>
      <c r="BC52" s="243"/>
      <c r="BD52" s="243"/>
      <c r="BK52" s="480"/>
      <c r="BL52" s="480"/>
      <c r="BM52" s="480"/>
      <c r="BN52" s="480"/>
      <c r="BO52" s="480"/>
      <c r="BP52" s="480"/>
      <c r="BQ52" s="480"/>
      <c r="BW52" s="52">
        <v>213140555.61000001</v>
      </c>
      <c r="CA52" s="525"/>
      <c r="CB52" s="525">
        <f>CB51-CB27</f>
        <v>0</v>
      </c>
      <c r="CI52" s="99">
        <f>CI51-CI27</f>
        <v>-109500635.94000003</v>
      </c>
      <c r="CJ52" s="88"/>
      <c r="CL52" s="99">
        <f>CL51-CL27</f>
        <v>-4.0000081062316895E-3</v>
      </c>
      <c r="CP52" s="99">
        <f>CP51-CP27</f>
        <v>284981.16999995708</v>
      </c>
      <c r="CR52" s="211"/>
      <c r="CS52" s="168">
        <f>CS51-CS27</f>
        <v>0</v>
      </c>
      <c r="CT52" s="168">
        <f>CT51-CT27</f>
        <v>-2885292.0900000334</v>
      </c>
      <c r="CU52" s="211"/>
      <c r="CV52" s="211"/>
      <c r="CW52" s="480"/>
      <c r="DW52" s="87">
        <f>DW51-DW27</f>
        <v>0</v>
      </c>
    </row>
    <row r="53" spans="2:127" ht="13.2" x14ac:dyDescent="0.25">
      <c r="B53" s="98"/>
      <c r="C53" s="173">
        <f>C27-C51</f>
        <v>0</v>
      </c>
      <c r="D53" s="173">
        <f t="shared" ref="D53:K53" si="118">D27-D51</f>
        <v>0</v>
      </c>
      <c r="E53" s="173">
        <f t="shared" si="118"/>
        <v>383086</v>
      </c>
      <c r="F53" s="173">
        <f t="shared" si="118"/>
        <v>0</v>
      </c>
      <c r="G53" s="173">
        <f t="shared" si="118"/>
        <v>0</v>
      </c>
      <c r="H53" s="173">
        <f t="shared" si="118"/>
        <v>0.5</v>
      </c>
      <c r="I53" s="173">
        <f t="shared" si="118"/>
        <v>579280</v>
      </c>
      <c r="J53" s="173">
        <f t="shared" si="118"/>
        <v>0.5</v>
      </c>
      <c r="K53" s="173">
        <f t="shared" si="118"/>
        <v>0</v>
      </c>
      <c r="L53" s="173">
        <f t="shared" ref="L53:S53" si="119">L27-L51</f>
        <v>0</v>
      </c>
      <c r="M53" s="173">
        <f t="shared" si="119"/>
        <v>0</v>
      </c>
      <c r="N53" s="173">
        <f t="shared" si="119"/>
        <v>1192.0000000149012</v>
      </c>
      <c r="O53" s="173">
        <f t="shared" si="119"/>
        <v>-24062.999999985099</v>
      </c>
      <c r="P53" s="173">
        <f t="shared" si="119"/>
        <v>-44830</v>
      </c>
      <c r="Q53" s="173">
        <f t="shared" si="119"/>
        <v>-58140.000000014901</v>
      </c>
      <c r="R53" s="173">
        <f t="shared" si="119"/>
        <v>-190083</v>
      </c>
      <c r="S53" s="173">
        <f t="shared" si="119"/>
        <v>-554420.5000000149</v>
      </c>
      <c r="T53" s="173">
        <f t="shared" ref="T53:AC53" si="120">T27-T51</f>
        <v>-794252</v>
      </c>
      <c r="U53" s="173">
        <f t="shared" si="120"/>
        <v>-1069974.0500000119</v>
      </c>
      <c r="V53" s="173">
        <f t="shared" si="120"/>
        <v>0</v>
      </c>
      <c r="W53" s="173">
        <f t="shared" si="120"/>
        <v>-6217051.0500000119</v>
      </c>
      <c r="X53" s="173">
        <f t="shared" si="120"/>
        <v>-6198254.7499999851</v>
      </c>
      <c r="Y53" s="173">
        <f t="shared" si="120"/>
        <v>-6502907.75</v>
      </c>
      <c r="Z53" s="173">
        <f t="shared" si="120"/>
        <v>-4800000</v>
      </c>
      <c r="AA53" s="173">
        <f t="shared" si="120"/>
        <v>-4800000</v>
      </c>
      <c r="AB53" s="173">
        <f t="shared" si="120"/>
        <v>-4800000</v>
      </c>
      <c r="AC53" s="173">
        <f t="shared" si="120"/>
        <v>0</v>
      </c>
      <c r="AD53" s="173"/>
      <c r="AE53" s="173"/>
      <c r="AF53" s="173"/>
      <c r="AG53" s="173"/>
      <c r="AH53" s="173"/>
      <c r="AI53" s="173"/>
      <c r="AJ53" s="205"/>
      <c r="AK53" s="243"/>
      <c r="AL53" s="243"/>
      <c r="AM53" s="243"/>
      <c r="AN53" s="243"/>
      <c r="AO53" s="243"/>
      <c r="AP53" s="243"/>
      <c r="AQ53" s="243"/>
      <c r="AR53" s="243"/>
      <c r="AS53" s="243"/>
      <c r="AT53" s="243"/>
      <c r="AU53" s="243"/>
      <c r="AV53" s="243"/>
      <c r="AW53" s="243"/>
      <c r="AX53" s="205"/>
      <c r="AY53" s="205"/>
      <c r="AZ53" s="205"/>
      <c r="BA53" s="243"/>
      <c r="BB53" s="243"/>
      <c r="BC53" s="243"/>
      <c r="BD53" s="243"/>
      <c r="BK53" s="480"/>
      <c r="BL53" s="480"/>
      <c r="BM53" s="480"/>
      <c r="BN53" s="480"/>
      <c r="BO53" s="480"/>
      <c r="BP53" s="480"/>
      <c r="BQ53" s="480"/>
      <c r="BW53" s="99">
        <f>BW52-BW51</f>
        <v>0.30000001192092896</v>
      </c>
      <c r="CJ53" s="99"/>
      <c r="CK53" s="52" t="s">
        <v>83</v>
      </c>
      <c r="CR53" s="211"/>
      <c r="CS53" s="211"/>
      <c r="CT53" s="211"/>
      <c r="CU53" s="211"/>
      <c r="CV53" s="211"/>
      <c r="CW53" s="480"/>
    </row>
    <row r="54" spans="2:127" ht="26.4" x14ac:dyDescent="0.25">
      <c r="B54" s="98" t="s">
        <v>84</v>
      </c>
      <c r="C54" s="174"/>
      <c r="D54" s="175"/>
      <c r="E54" s="176"/>
      <c r="F54" s="177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205"/>
      <c r="AK54" s="243"/>
      <c r="AL54" s="243"/>
      <c r="AM54" s="243"/>
      <c r="AN54" s="243"/>
      <c r="AO54" s="243"/>
      <c r="AP54" s="243"/>
      <c r="AQ54" s="243"/>
      <c r="AR54" s="243"/>
      <c r="AS54" s="243"/>
      <c r="AT54" s="243"/>
      <c r="AU54" s="243"/>
      <c r="AV54" s="243"/>
      <c r="AW54" s="243"/>
      <c r="AX54" s="205"/>
      <c r="AY54" s="205"/>
      <c r="AZ54" s="205"/>
      <c r="BA54" s="243"/>
      <c r="BB54" s="243"/>
      <c r="BC54" s="243"/>
      <c r="BD54" s="243"/>
      <c r="BJ54" s="480">
        <f>BJ53-BK35</f>
        <v>0</v>
      </c>
      <c r="BK54" s="480"/>
      <c r="BL54" s="480"/>
      <c r="BM54" s="480"/>
      <c r="BN54" s="480"/>
      <c r="BO54" s="480"/>
      <c r="BP54" s="480"/>
      <c r="BQ54" s="480"/>
      <c r="BW54" s="88">
        <v>9590309</v>
      </c>
      <c r="BX54" s="525">
        <f>BW53-BW54</f>
        <v>-9590308.6999999881</v>
      </c>
      <c r="CR54" s="211"/>
      <c r="CS54" s="211"/>
      <c r="CT54" s="211"/>
      <c r="CU54" s="211"/>
      <c r="CV54" s="211"/>
      <c r="CW54" s="480"/>
    </row>
    <row r="55" spans="2:127" ht="13.2" x14ac:dyDescent="0.25">
      <c r="B55" s="98" t="s">
        <v>85</v>
      </c>
      <c r="C55" s="174"/>
      <c r="D55" s="154"/>
      <c r="E55" s="154"/>
      <c r="F55" s="160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  <c r="AH55" s="178"/>
      <c r="AI55" s="178"/>
      <c r="AJ55" s="205"/>
      <c r="AK55" s="243"/>
      <c r="AL55" s="243"/>
      <c r="AM55" s="243"/>
      <c r="AN55" s="243"/>
      <c r="AO55" s="243"/>
      <c r="AP55" s="243"/>
      <c r="AQ55" s="243"/>
      <c r="AR55" s="243"/>
      <c r="AS55" s="243"/>
      <c r="AT55" s="243"/>
      <c r="AU55" s="243"/>
      <c r="AV55" s="243"/>
      <c r="AW55" s="243"/>
      <c r="AX55" s="205"/>
      <c r="AY55" s="205"/>
      <c r="AZ55" s="205"/>
      <c r="BA55" s="243"/>
      <c r="BB55" s="243"/>
      <c r="BC55" s="243"/>
      <c r="BD55" s="243"/>
      <c r="BK55" s="480"/>
      <c r="BL55" s="480"/>
      <c r="BM55" s="480"/>
      <c r="BN55" s="480"/>
      <c r="BO55" s="480"/>
      <c r="BP55" s="480"/>
      <c r="BQ55" s="480"/>
      <c r="BW55" s="99"/>
      <c r="CR55" s="211"/>
      <c r="CS55" s="211"/>
      <c r="CT55" s="211"/>
      <c r="CU55" s="211"/>
      <c r="CV55" s="211"/>
      <c r="CW55" s="480"/>
    </row>
    <row r="56" spans="2:127" ht="13.2" x14ac:dyDescent="0.25">
      <c r="B56" s="139" t="s">
        <v>86</v>
      </c>
      <c r="C56" s="140"/>
      <c r="D56" s="141"/>
      <c r="E56" s="14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205"/>
      <c r="AK56" s="244"/>
      <c r="AL56" s="244"/>
      <c r="AM56" s="244"/>
      <c r="AN56" s="244"/>
      <c r="AO56" s="244"/>
      <c r="AP56" s="244"/>
      <c r="AQ56" s="244"/>
      <c r="AR56" s="244"/>
      <c r="AS56" s="244"/>
      <c r="AT56" s="244"/>
      <c r="AU56" s="244"/>
      <c r="AV56" s="244"/>
      <c r="AW56" s="244"/>
      <c r="AX56" s="205"/>
      <c r="AY56" s="205"/>
      <c r="AZ56" s="205"/>
      <c r="BA56" s="244"/>
      <c r="BB56" s="244"/>
      <c r="BC56" s="244"/>
      <c r="BD56" s="244"/>
      <c r="BE56" s="131"/>
      <c r="BF56" s="131"/>
      <c r="BG56" s="131"/>
      <c r="BH56" s="131"/>
      <c r="BI56" s="482"/>
      <c r="BJ56" s="482"/>
      <c r="BK56" s="482"/>
      <c r="BL56" s="480"/>
      <c r="BM56" s="480"/>
      <c r="BN56" s="480"/>
      <c r="BO56" s="480"/>
      <c r="BP56" s="480"/>
      <c r="BQ56" s="480"/>
      <c r="CR56" s="211"/>
      <c r="CS56" s="211"/>
      <c r="CT56" s="211"/>
      <c r="CU56" s="211"/>
      <c r="CV56" s="59"/>
      <c r="CW56" s="480"/>
    </row>
    <row r="57" spans="2:127" ht="13.2" x14ac:dyDescent="0.25">
      <c r="B57" s="97" t="s">
        <v>87</v>
      </c>
      <c r="C57" s="142">
        <v>2008</v>
      </c>
      <c r="D57" s="142">
        <v>2009</v>
      </c>
      <c r="E57" s="142">
        <v>2010</v>
      </c>
      <c r="F57" s="142">
        <v>2011</v>
      </c>
      <c r="G57" s="134">
        <v>2012</v>
      </c>
      <c r="H57" s="135">
        <v>41609</v>
      </c>
      <c r="I57" s="134">
        <v>2013</v>
      </c>
      <c r="J57" s="135">
        <v>41640</v>
      </c>
      <c r="K57" s="135">
        <v>41671</v>
      </c>
      <c r="L57" s="135">
        <v>41699</v>
      </c>
      <c r="M57" s="135">
        <v>41730</v>
      </c>
      <c r="N57" s="135">
        <v>41760</v>
      </c>
      <c r="O57" s="135">
        <v>41791</v>
      </c>
      <c r="P57" s="135">
        <v>41821</v>
      </c>
      <c r="Q57" s="135">
        <v>41852</v>
      </c>
      <c r="R57" s="135">
        <v>41883</v>
      </c>
      <c r="S57" s="135">
        <v>41913</v>
      </c>
      <c r="T57" s="135">
        <v>41944</v>
      </c>
      <c r="U57" s="135">
        <v>41974</v>
      </c>
      <c r="V57" s="121">
        <v>2014</v>
      </c>
      <c r="W57" s="185">
        <v>42005</v>
      </c>
      <c r="X57" s="185">
        <v>42036</v>
      </c>
      <c r="Y57" s="185">
        <v>42064</v>
      </c>
      <c r="Z57" s="185">
        <v>42095</v>
      </c>
      <c r="AA57" s="185">
        <v>42125</v>
      </c>
      <c r="AB57" s="185">
        <v>42156</v>
      </c>
      <c r="AC57" s="185">
        <v>42186</v>
      </c>
      <c r="AD57" s="185">
        <v>42217</v>
      </c>
      <c r="AE57" s="185">
        <v>42248</v>
      </c>
      <c r="AF57" s="185">
        <v>42278</v>
      </c>
      <c r="AG57" s="185">
        <v>42309</v>
      </c>
      <c r="AH57" s="185">
        <v>42339</v>
      </c>
      <c r="AI57" s="179">
        <v>2015</v>
      </c>
      <c r="AJ57" s="179" t="s">
        <v>8</v>
      </c>
      <c r="AK57" s="179" t="s">
        <v>9</v>
      </c>
      <c r="AL57" s="179" t="s">
        <v>10</v>
      </c>
      <c r="AM57" s="179" t="s">
        <v>11</v>
      </c>
      <c r="AN57" s="179" t="s">
        <v>12</v>
      </c>
      <c r="AO57" s="179" t="s">
        <v>13</v>
      </c>
      <c r="AP57" s="179" t="s">
        <v>14</v>
      </c>
      <c r="AQ57" s="179" t="s">
        <v>15</v>
      </c>
      <c r="AR57" s="179" t="s">
        <v>16</v>
      </c>
      <c r="AS57" s="179" t="s">
        <v>17</v>
      </c>
      <c r="AT57" s="179" t="s">
        <v>18</v>
      </c>
      <c r="AU57" s="179" t="s">
        <v>19</v>
      </c>
      <c r="AV57" s="179" t="s">
        <v>20</v>
      </c>
      <c r="AW57" s="376" t="s">
        <v>21</v>
      </c>
      <c r="AX57" s="179"/>
      <c r="AY57" s="179"/>
      <c r="AZ57" s="179"/>
      <c r="BA57" s="384"/>
      <c r="BB57" s="179"/>
      <c r="BC57" s="179"/>
      <c r="BD57" s="179"/>
      <c r="BJ57" s="480" t="s">
        <v>29</v>
      </c>
      <c r="BK57" s="498">
        <v>43101</v>
      </c>
      <c r="BL57" s="498">
        <v>43132</v>
      </c>
      <c r="BM57" s="498">
        <v>43160</v>
      </c>
      <c r="BN57" s="498">
        <v>43191</v>
      </c>
      <c r="BO57" s="498">
        <v>43221</v>
      </c>
      <c r="BP57" s="498">
        <v>43252</v>
      </c>
      <c r="BQ57" s="498">
        <v>43282</v>
      </c>
      <c r="BR57" s="498">
        <v>43313</v>
      </c>
      <c r="BS57" s="498">
        <v>43344</v>
      </c>
      <c r="BT57" s="498">
        <v>43374</v>
      </c>
      <c r="BU57" s="498">
        <v>43405</v>
      </c>
      <c r="BV57" s="498">
        <v>43435</v>
      </c>
      <c r="BW57" s="498" t="s">
        <v>30</v>
      </c>
      <c r="BX57" s="498">
        <v>43466</v>
      </c>
      <c r="BY57" s="498">
        <v>43497</v>
      </c>
      <c r="BZ57" s="498">
        <v>43525</v>
      </c>
      <c r="CA57" s="498">
        <v>43556</v>
      </c>
      <c r="CB57" s="498">
        <v>43586</v>
      </c>
      <c r="CC57" s="498">
        <v>43617</v>
      </c>
      <c r="CD57" s="498">
        <v>43647</v>
      </c>
      <c r="CE57" s="498">
        <v>43678</v>
      </c>
      <c r="CF57" s="498">
        <v>43709</v>
      </c>
      <c r="CG57" s="498">
        <v>43739</v>
      </c>
      <c r="CH57" s="498">
        <v>43770</v>
      </c>
      <c r="CI57" s="498">
        <v>43800</v>
      </c>
      <c r="CJ57" s="52" t="s">
        <v>31</v>
      </c>
      <c r="CK57" s="546">
        <v>43831</v>
      </c>
      <c r="CL57" s="546">
        <v>43862</v>
      </c>
      <c r="CM57" s="546">
        <v>43891</v>
      </c>
      <c r="CN57" s="546">
        <v>43922</v>
      </c>
      <c r="CO57" s="546">
        <v>43952</v>
      </c>
      <c r="CP57" s="546">
        <v>43983</v>
      </c>
      <c r="CQ57" s="546">
        <v>44013</v>
      </c>
      <c r="CR57" s="559">
        <v>44044</v>
      </c>
      <c r="CS57" s="559">
        <v>44075</v>
      </c>
      <c r="CT57" s="559">
        <v>44105</v>
      </c>
      <c r="CU57" s="559">
        <v>44136</v>
      </c>
      <c r="CV57" s="645">
        <v>44166</v>
      </c>
      <c r="CW57" s="644" t="s">
        <v>32</v>
      </c>
      <c r="CX57" s="644" t="s">
        <v>88</v>
      </c>
      <c r="CY57" s="644" t="s">
        <v>89</v>
      </c>
      <c r="CZ57" s="644" t="s">
        <v>90</v>
      </c>
      <c r="DA57" s="644" t="s">
        <v>91</v>
      </c>
      <c r="DB57" s="644" t="s">
        <v>92</v>
      </c>
      <c r="DC57" s="644" t="s">
        <v>93</v>
      </c>
      <c r="DD57" s="644" t="s">
        <v>94</v>
      </c>
      <c r="DE57" s="644" t="s">
        <v>95</v>
      </c>
      <c r="DF57" s="644" t="s">
        <v>96</v>
      </c>
      <c r="DG57" s="644" t="s">
        <v>97</v>
      </c>
      <c r="DH57" s="644" t="s">
        <v>98</v>
      </c>
      <c r="DI57" s="644" t="s">
        <v>99</v>
      </c>
      <c r="DJ57" s="644" t="s">
        <v>100</v>
      </c>
      <c r="DK57" s="664">
        <v>44562</v>
      </c>
      <c r="DL57" s="664">
        <v>44593</v>
      </c>
      <c r="DM57" s="664">
        <v>44621</v>
      </c>
      <c r="DN57" s="664">
        <v>44652</v>
      </c>
      <c r="DO57" s="664">
        <v>44682</v>
      </c>
      <c r="DP57" s="664">
        <v>44713</v>
      </c>
      <c r="DQ57" s="664">
        <v>44743</v>
      </c>
      <c r="DR57" s="664">
        <v>44774</v>
      </c>
      <c r="DS57" s="664">
        <v>44805</v>
      </c>
      <c r="DT57" s="664">
        <v>44835</v>
      </c>
      <c r="DU57" s="664">
        <v>44866</v>
      </c>
      <c r="DV57" s="664">
        <v>44896</v>
      </c>
      <c r="DW57" s="695" t="s">
        <v>101</v>
      </c>
    </row>
    <row r="58" spans="2:127" ht="13.2" x14ac:dyDescent="0.25">
      <c r="B58" s="90" t="s">
        <v>102</v>
      </c>
      <c r="C58" s="91">
        <f t="shared" ref="C58:G58" si="121">C59+C62</f>
        <v>456483</v>
      </c>
      <c r="D58" s="91">
        <f t="shared" si="121"/>
        <v>824264</v>
      </c>
      <c r="E58" s="91">
        <f t="shared" si="121"/>
        <v>1989959</v>
      </c>
      <c r="F58" s="91">
        <f t="shared" si="121"/>
        <v>4601423</v>
      </c>
      <c r="G58" s="91">
        <f t="shared" si="121"/>
        <v>6686491</v>
      </c>
      <c r="H58" s="91">
        <f t="shared" ref="H58" si="122">H59+H62</f>
        <v>9046.74</v>
      </c>
      <c r="I58" s="91">
        <f t="shared" ref="I58:S58" si="123">I59+I62</f>
        <v>8938309</v>
      </c>
      <c r="J58" s="91">
        <f t="shared" si="123"/>
        <v>861242.73</v>
      </c>
      <c r="K58" s="91">
        <f t="shared" si="123"/>
        <v>1741.13</v>
      </c>
      <c r="L58" s="91">
        <f t="shared" si="123"/>
        <v>2656.27</v>
      </c>
      <c r="M58" s="91">
        <f t="shared" si="123"/>
        <v>3578.3099999999995</v>
      </c>
      <c r="N58" s="91">
        <f t="shared" si="123"/>
        <v>4506650.3499999996</v>
      </c>
      <c r="O58" s="91">
        <f t="shared" si="123"/>
        <v>5463009.8499999996</v>
      </c>
      <c r="P58" s="91">
        <f t="shared" si="123"/>
        <v>6449374.6399999997</v>
      </c>
      <c r="Q58" s="91">
        <f t="shared" si="123"/>
        <v>7413194.9199999999</v>
      </c>
      <c r="R58" s="91">
        <f t="shared" si="123"/>
        <v>8486717.0199999996</v>
      </c>
      <c r="S58" s="91">
        <f t="shared" si="123"/>
        <v>9506520.6699999999</v>
      </c>
      <c r="T58" s="91">
        <f t="shared" ref="T58:V58" si="124">T59+T62</f>
        <v>10557421.699999999</v>
      </c>
      <c r="U58" s="91">
        <f t="shared" si="124"/>
        <v>11815817.630000001</v>
      </c>
      <c r="V58" s="91">
        <f t="shared" si="124"/>
        <v>12333933</v>
      </c>
      <c r="W58" s="91">
        <f t="shared" ref="W58:AC58" si="125">W59+W62</f>
        <v>1042625</v>
      </c>
      <c r="X58" s="91">
        <f t="shared" si="125"/>
        <v>2108601.83</v>
      </c>
      <c r="Y58" s="91">
        <f t="shared" si="125"/>
        <v>3276488.74</v>
      </c>
      <c r="Z58" s="91">
        <f t="shared" si="125"/>
        <v>4508581.54</v>
      </c>
      <c r="AA58" s="91">
        <f t="shared" si="125"/>
        <v>5618879.5899999999</v>
      </c>
      <c r="AB58" s="91">
        <f t="shared" si="125"/>
        <v>6892553.7400000002</v>
      </c>
      <c r="AC58" s="91">
        <f t="shared" si="125"/>
        <v>8516596.870000001</v>
      </c>
      <c r="AD58" s="91">
        <f t="shared" ref="AD58:AE58" si="126">AD59+AD62</f>
        <v>10054830.49</v>
      </c>
      <c r="AE58" s="91">
        <f t="shared" si="126"/>
        <v>10416081.699999999</v>
      </c>
      <c r="AF58" s="91">
        <f t="shared" ref="AF58:AG58" si="127">AF59+AF62</f>
        <v>12053453.199999999</v>
      </c>
      <c r="AG58" s="91">
        <f t="shared" si="127"/>
        <v>14057853.420000002</v>
      </c>
      <c r="AH58" s="91">
        <f t="shared" ref="AH58:AI58" si="128">AH59+AH62</f>
        <v>16097022.73</v>
      </c>
      <c r="AI58" s="91">
        <f t="shared" si="128"/>
        <v>16376640</v>
      </c>
      <c r="AJ58" s="91">
        <f t="shared" ref="AJ58:AN58" si="129">AJ59+AJ62</f>
        <v>16376640</v>
      </c>
      <c r="AK58" s="91">
        <f t="shared" si="129"/>
        <v>0</v>
      </c>
      <c r="AL58" s="91">
        <f t="shared" si="129"/>
        <v>1383549.01</v>
      </c>
      <c r="AM58" s="91">
        <f t="shared" si="129"/>
        <v>1695522.01</v>
      </c>
      <c r="AN58" s="91">
        <f t="shared" si="129"/>
        <v>3548475.12</v>
      </c>
      <c r="AO58" s="91">
        <f t="shared" ref="AO58:AP58" si="130">AO59+AO62</f>
        <v>3718788.1500000004</v>
      </c>
      <c r="AP58" s="91">
        <f t="shared" si="130"/>
        <v>0</v>
      </c>
      <c r="AQ58" s="91">
        <f t="shared" ref="AQ58:AR58" si="131">AQ59+AQ62</f>
        <v>3757415.45</v>
      </c>
      <c r="AR58" s="91">
        <f t="shared" si="131"/>
        <v>13776359.68</v>
      </c>
      <c r="AS58" s="91">
        <f t="shared" ref="AS58:CC58" si="132">AS59+AS62</f>
        <v>0</v>
      </c>
      <c r="AT58" s="91">
        <f t="shared" si="132"/>
        <v>0</v>
      </c>
      <c r="AU58" s="91">
        <f t="shared" si="132"/>
        <v>19427580.289999999</v>
      </c>
      <c r="AV58" s="91">
        <f t="shared" si="132"/>
        <v>21399136</v>
      </c>
      <c r="AW58" s="91">
        <f t="shared" si="132"/>
        <v>21928955</v>
      </c>
      <c r="AX58" s="91">
        <f t="shared" si="132"/>
        <v>0</v>
      </c>
      <c r="AY58" s="91">
        <f t="shared" si="132"/>
        <v>0</v>
      </c>
      <c r="AZ58" s="91">
        <f t="shared" si="132"/>
        <v>-3273739.09</v>
      </c>
      <c r="BA58" s="91">
        <f t="shared" si="132"/>
        <v>7034469.419999999</v>
      </c>
      <c r="BB58" s="91">
        <f t="shared" si="132"/>
        <v>10025041.969999999</v>
      </c>
      <c r="BC58" s="91">
        <f t="shared" si="132"/>
        <v>12619962.039999999</v>
      </c>
      <c r="BD58" s="91">
        <f t="shared" si="132"/>
        <v>14857585.189999999</v>
      </c>
      <c r="BE58" s="91">
        <f t="shared" si="132"/>
        <v>17092059.689999998</v>
      </c>
      <c r="BF58" s="91">
        <f t="shared" si="132"/>
        <v>19327991.23</v>
      </c>
      <c r="BG58" s="91">
        <f t="shared" si="132"/>
        <v>0</v>
      </c>
      <c r="BH58" s="91">
        <f t="shared" si="132"/>
        <v>23937677.059999999</v>
      </c>
      <c r="BI58" s="91">
        <f t="shared" si="132"/>
        <v>27886978.16</v>
      </c>
      <c r="BJ58" s="91">
        <f t="shared" si="132"/>
        <v>27743437</v>
      </c>
      <c r="BK58" s="91">
        <f t="shared" si="132"/>
        <v>1982606.92</v>
      </c>
      <c r="BL58" s="91">
        <f t="shared" si="132"/>
        <v>4064171.99</v>
      </c>
      <c r="BM58" s="91">
        <f t="shared" si="132"/>
        <v>6707118.54</v>
      </c>
      <c r="BN58" s="91">
        <f t="shared" si="132"/>
        <v>9040499</v>
      </c>
      <c r="BO58" s="91">
        <f t="shared" si="132"/>
        <v>11455522.67</v>
      </c>
      <c r="BP58" s="91">
        <f t="shared" si="132"/>
        <v>13913447</v>
      </c>
      <c r="BQ58" s="91">
        <f t="shared" si="132"/>
        <v>16029808</v>
      </c>
      <c r="BR58" s="91">
        <f t="shared" si="132"/>
        <v>18614339</v>
      </c>
      <c r="BS58" s="91">
        <f t="shared" si="132"/>
        <v>22693200.640000001</v>
      </c>
      <c r="BT58" s="91">
        <f t="shared" si="132"/>
        <v>24875957</v>
      </c>
      <c r="BU58" s="91">
        <f t="shared" si="132"/>
        <v>28096773</v>
      </c>
      <c r="BV58" s="91">
        <f t="shared" si="132"/>
        <v>33940749</v>
      </c>
      <c r="BW58" s="91">
        <f t="shared" si="132"/>
        <v>33266645.210000001</v>
      </c>
      <c r="BX58" s="91">
        <f t="shared" si="132"/>
        <v>2282479</v>
      </c>
      <c r="BY58" s="91">
        <f t="shared" si="132"/>
        <v>4311548</v>
      </c>
      <c r="BZ58" s="91">
        <f t="shared" si="132"/>
        <v>7467065</v>
      </c>
      <c r="CA58" s="91">
        <f t="shared" si="132"/>
        <v>10300276</v>
      </c>
      <c r="CB58" s="91">
        <f t="shared" si="132"/>
        <v>13659634</v>
      </c>
      <c r="CC58" s="91">
        <f t="shared" si="132"/>
        <v>16348113</v>
      </c>
      <c r="CD58" s="91">
        <f t="shared" ref="CD58:DW58" si="133">CD59+CD62</f>
        <v>20161577</v>
      </c>
      <c r="CE58" s="91">
        <f t="shared" si="133"/>
        <v>22845006.169999998</v>
      </c>
      <c r="CF58" s="91">
        <f t="shared" si="133"/>
        <v>25623155.310000002</v>
      </c>
      <c r="CG58" s="91">
        <f t="shared" si="133"/>
        <v>28584763.979999997</v>
      </c>
      <c r="CH58" s="91">
        <f t="shared" si="133"/>
        <v>31731074.509999998</v>
      </c>
      <c r="CI58" s="91">
        <f t="shared" si="133"/>
        <v>35334760.920000002</v>
      </c>
      <c r="CJ58" s="91">
        <f t="shared" si="133"/>
        <v>35334760.93</v>
      </c>
      <c r="CK58" s="91">
        <f t="shared" si="133"/>
        <v>6295459.8200000003</v>
      </c>
      <c r="CL58" s="91">
        <f t="shared" si="133"/>
        <v>6540320.5800000001</v>
      </c>
      <c r="CM58" s="91">
        <f t="shared" si="133"/>
        <v>9905870</v>
      </c>
      <c r="CN58" s="91">
        <f t="shared" si="133"/>
        <v>12638484</v>
      </c>
      <c r="CO58" s="91">
        <f t="shared" si="133"/>
        <v>16540563.810000001</v>
      </c>
      <c r="CP58" s="91">
        <f t="shared" si="133"/>
        <v>20144196.150000002</v>
      </c>
      <c r="CQ58" s="552">
        <f t="shared" si="133"/>
        <v>0</v>
      </c>
      <c r="CR58" s="91">
        <f t="shared" si="133"/>
        <v>29145313.500000004</v>
      </c>
      <c r="CS58" s="91">
        <f t="shared" si="133"/>
        <v>32649536.75</v>
      </c>
      <c r="CT58" s="91">
        <f t="shared" si="133"/>
        <v>72432613.079999998</v>
      </c>
      <c r="CU58" s="91">
        <f t="shared" si="133"/>
        <v>40180714.190000005</v>
      </c>
      <c r="CV58" s="91">
        <f t="shared" si="133"/>
        <v>45148732.549999997</v>
      </c>
      <c r="CW58" s="91">
        <f t="shared" si="133"/>
        <v>45148733.340000004</v>
      </c>
      <c r="CX58" s="91">
        <f t="shared" si="133"/>
        <v>3966499.2300000004</v>
      </c>
      <c r="CY58" s="91">
        <f t="shared" si="133"/>
        <v>8160510.4900000002</v>
      </c>
      <c r="CZ58" s="91">
        <f t="shared" si="133"/>
        <v>12618041.630000001</v>
      </c>
      <c r="DA58" s="91">
        <f t="shared" si="133"/>
        <v>17194272.030000001</v>
      </c>
      <c r="DB58" s="91">
        <f t="shared" si="133"/>
        <v>21537503.91</v>
      </c>
      <c r="DC58" s="91">
        <f t="shared" si="133"/>
        <v>26576769.34</v>
      </c>
      <c r="DD58" s="91">
        <f t="shared" si="133"/>
        <v>30666913.98</v>
      </c>
      <c r="DE58" s="91">
        <f t="shared" si="133"/>
        <v>32439467.949999999</v>
      </c>
      <c r="DF58" s="91">
        <f t="shared" si="133"/>
        <v>36513348.969999999</v>
      </c>
      <c r="DG58" s="91">
        <f t="shared" si="133"/>
        <v>41657830.07</v>
      </c>
      <c r="DH58" s="91">
        <f t="shared" si="133"/>
        <v>46535090.009999998</v>
      </c>
      <c r="DI58" s="91">
        <f t="shared" si="133"/>
        <v>52354401.140000001</v>
      </c>
      <c r="DJ58" s="91">
        <f t="shared" si="133"/>
        <v>58406413</v>
      </c>
      <c r="DK58" s="91">
        <f t="shared" si="133"/>
        <v>5104583.2</v>
      </c>
      <c r="DL58" s="91">
        <f t="shared" si="133"/>
        <v>10462762.76</v>
      </c>
      <c r="DM58" s="91">
        <f t="shared" si="133"/>
        <v>16837569.009999998</v>
      </c>
      <c r="DN58" s="91">
        <f t="shared" si="133"/>
        <v>21997673.879999999</v>
      </c>
      <c r="DO58" s="91">
        <f t="shared" si="133"/>
        <v>27060093.899999999</v>
      </c>
      <c r="DP58" s="91">
        <f t="shared" si="133"/>
        <v>31869501.719999999</v>
      </c>
      <c r="DQ58" s="91">
        <f t="shared" si="133"/>
        <v>36725947.189999998</v>
      </c>
      <c r="DR58" s="91">
        <f t="shared" si="133"/>
        <v>42729445.560000002</v>
      </c>
      <c r="DS58" s="91">
        <f t="shared" ref="DS58:DV58" si="134">DS59+DS62</f>
        <v>48083601.960000001</v>
      </c>
      <c r="DT58" s="91">
        <f t="shared" si="134"/>
        <v>53732553.389999993</v>
      </c>
      <c r="DU58" s="91">
        <f t="shared" si="134"/>
        <v>59294075.849999994</v>
      </c>
      <c r="DV58" s="91">
        <f t="shared" si="134"/>
        <v>0</v>
      </c>
      <c r="DW58" s="538">
        <f t="shared" si="133"/>
        <v>66839759</v>
      </c>
    </row>
    <row r="59" spans="2:127" ht="26.4" x14ac:dyDescent="0.25">
      <c r="B59" s="90" t="s">
        <v>103</v>
      </c>
      <c r="C59" s="91">
        <f t="shared" ref="C59:G59" si="135">C60+C61</f>
        <v>456483</v>
      </c>
      <c r="D59" s="91">
        <f t="shared" si="135"/>
        <v>810609</v>
      </c>
      <c r="E59" s="91">
        <f t="shared" si="135"/>
        <v>1952307</v>
      </c>
      <c r="F59" s="91">
        <f t="shared" si="135"/>
        <v>4554144</v>
      </c>
      <c r="G59" s="91">
        <f t="shared" si="135"/>
        <v>4723018</v>
      </c>
      <c r="H59" s="91">
        <f t="shared" ref="H59" si="136">H60+H61</f>
        <v>6525.85</v>
      </c>
      <c r="I59" s="91">
        <f t="shared" ref="I59:S59" si="137">I60+I61</f>
        <v>6128410</v>
      </c>
      <c r="J59" s="91">
        <f t="shared" si="137"/>
        <v>673525.85</v>
      </c>
      <c r="K59" s="91">
        <f t="shared" si="137"/>
        <v>1346.99</v>
      </c>
      <c r="L59" s="91">
        <f t="shared" si="137"/>
        <v>2025.8899999999999</v>
      </c>
      <c r="M59" s="91">
        <f t="shared" si="137"/>
        <v>2645.0099999999998</v>
      </c>
      <c r="N59" s="91">
        <f t="shared" si="137"/>
        <v>3310253.35</v>
      </c>
      <c r="O59" s="91">
        <f t="shared" si="137"/>
        <v>4047574.1</v>
      </c>
      <c r="P59" s="91">
        <f t="shared" si="137"/>
        <v>4733767.8499999996</v>
      </c>
      <c r="Q59" s="91">
        <f t="shared" si="137"/>
        <v>5449702.8499999996</v>
      </c>
      <c r="R59" s="91">
        <f t="shared" si="137"/>
        <v>6226175.8499999996</v>
      </c>
      <c r="S59" s="91">
        <f t="shared" si="137"/>
        <v>7035929.3499999996</v>
      </c>
      <c r="T59" s="91">
        <f t="shared" ref="T59:V59" si="138">T60+T61</f>
        <v>7848945.4000000004</v>
      </c>
      <c r="U59" s="91">
        <f t="shared" si="138"/>
        <v>8686219.6500000004</v>
      </c>
      <c r="V59" s="91">
        <f t="shared" si="138"/>
        <v>8211428</v>
      </c>
      <c r="W59" s="91">
        <f t="shared" ref="W59:AC59" si="139">W60+W61</f>
        <v>837413.5</v>
      </c>
      <c r="X59" s="91">
        <f t="shared" si="139"/>
        <v>1707580.5</v>
      </c>
      <c r="Y59" s="91">
        <f t="shared" si="139"/>
        <v>2560659.25</v>
      </c>
      <c r="Z59" s="91">
        <f t="shared" si="139"/>
        <v>3485479.75</v>
      </c>
      <c r="AA59" s="91">
        <f t="shared" si="139"/>
        <v>4377005.75</v>
      </c>
      <c r="AB59" s="91">
        <f t="shared" si="139"/>
        <v>5234232.75</v>
      </c>
      <c r="AC59" s="91">
        <f t="shared" si="139"/>
        <v>6536666.5</v>
      </c>
      <c r="AD59" s="91">
        <f t="shared" ref="AD59:AE59" si="140">AD60+AD61</f>
        <v>7798485.75</v>
      </c>
      <c r="AE59" s="91">
        <f t="shared" si="140"/>
        <v>7894723.25</v>
      </c>
      <c r="AF59" s="91">
        <f t="shared" ref="AF59:AG59" si="141">AF60+AF61</f>
        <v>8846584.3499999996</v>
      </c>
      <c r="AG59" s="91">
        <f t="shared" si="141"/>
        <v>9876381.7100000009</v>
      </c>
      <c r="AH59" s="91">
        <f t="shared" ref="AH59:AI59" si="142">AH60+AH61</f>
        <v>11078323.34</v>
      </c>
      <c r="AI59" s="91">
        <f t="shared" si="142"/>
        <v>10518378</v>
      </c>
      <c r="AJ59" s="91">
        <f t="shared" ref="AJ59:AN59" si="143">AJ60+AJ61</f>
        <v>10518378</v>
      </c>
      <c r="AK59" s="91">
        <f t="shared" si="143"/>
        <v>0</v>
      </c>
      <c r="AL59" s="91">
        <f t="shared" si="143"/>
        <v>370031.25</v>
      </c>
      <c r="AM59" s="91">
        <f t="shared" si="143"/>
        <v>371380.25</v>
      </c>
      <c r="AN59" s="91">
        <f t="shared" si="143"/>
        <v>373080.25</v>
      </c>
      <c r="AO59" s="91">
        <f t="shared" ref="AO59:CC59" si="144">AO60+AO61</f>
        <v>386655.25</v>
      </c>
      <c r="AP59" s="91">
        <f t="shared" si="144"/>
        <v>0</v>
      </c>
      <c r="AQ59" s="91">
        <f t="shared" si="144"/>
        <v>431777.25</v>
      </c>
      <c r="AR59" s="91">
        <f t="shared" si="144"/>
        <v>8511883.8499999996</v>
      </c>
      <c r="AS59" s="91">
        <f t="shared" si="144"/>
        <v>0</v>
      </c>
      <c r="AT59" s="91">
        <f t="shared" si="144"/>
        <v>0</v>
      </c>
      <c r="AU59" s="91">
        <f t="shared" si="144"/>
        <v>12418491.9</v>
      </c>
      <c r="AV59" s="91">
        <f t="shared" si="144"/>
        <v>13132501.300000001</v>
      </c>
      <c r="AW59" s="91">
        <f t="shared" si="144"/>
        <v>13367244</v>
      </c>
      <c r="AX59" s="91">
        <f t="shared" si="144"/>
        <v>0</v>
      </c>
      <c r="AY59" s="91">
        <f t="shared" si="144"/>
        <v>0</v>
      </c>
      <c r="AZ59" s="91">
        <f t="shared" si="144"/>
        <v>-2651434</v>
      </c>
      <c r="BA59" s="91">
        <f t="shared" si="144"/>
        <v>10429982.199999999</v>
      </c>
      <c r="BB59" s="91">
        <f t="shared" si="144"/>
        <v>7350692.7000000002</v>
      </c>
      <c r="BC59" s="91">
        <f t="shared" si="144"/>
        <v>8829098.6999999993</v>
      </c>
      <c r="BD59" s="91">
        <f t="shared" si="144"/>
        <v>10371536</v>
      </c>
      <c r="BE59" s="91">
        <f t="shared" si="144"/>
        <v>12224316.1</v>
      </c>
      <c r="BF59" s="91">
        <f t="shared" si="144"/>
        <v>13899204.779999999</v>
      </c>
      <c r="BG59" s="91">
        <f t="shared" si="144"/>
        <v>0</v>
      </c>
      <c r="BH59" s="91">
        <f t="shared" si="144"/>
        <v>16806475.199999999</v>
      </c>
      <c r="BI59" s="91">
        <f t="shared" si="144"/>
        <v>19062390.699999999</v>
      </c>
      <c r="BJ59" s="91">
        <f t="shared" si="144"/>
        <v>17603250</v>
      </c>
      <c r="BK59" s="91">
        <f t="shared" si="144"/>
        <v>1628062.57</v>
      </c>
      <c r="BL59" s="91">
        <f t="shared" si="144"/>
        <v>3134617.7</v>
      </c>
      <c r="BM59" s="91">
        <f t="shared" si="144"/>
        <v>4888603.7</v>
      </c>
      <c r="BN59" s="91">
        <f t="shared" si="144"/>
        <v>6783539</v>
      </c>
      <c r="BO59" s="91">
        <f t="shared" si="144"/>
        <v>8457609</v>
      </c>
      <c r="BP59" s="91">
        <f t="shared" si="144"/>
        <v>10354797</v>
      </c>
      <c r="BQ59" s="91">
        <f t="shared" si="144"/>
        <v>11990114</v>
      </c>
      <c r="BR59" s="91">
        <f t="shared" si="144"/>
        <v>13962075</v>
      </c>
      <c r="BS59" s="91">
        <f t="shared" si="144"/>
        <v>15702792.6</v>
      </c>
      <c r="BT59" s="91">
        <f t="shared" si="144"/>
        <v>17477174</v>
      </c>
      <c r="BU59" s="91">
        <f t="shared" si="144"/>
        <v>19215025</v>
      </c>
      <c r="BV59" s="91">
        <f t="shared" si="144"/>
        <v>20124656</v>
      </c>
      <c r="BW59" s="91">
        <f t="shared" si="144"/>
        <v>19450551</v>
      </c>
      <c r="BX59" s="91">
        <f t="shared" si="144"/>
        <v>2048729</v>
      </c>
      <c r="BY59" s="91">
        <f t="shared" si="144"/>
        <v>4058957</v>
      </c>
      <c r="BZ59" s="91">
        <f t="shared" si="144"/>
        <v>6158264</v>
      </c>
      <c r="CA59" s="91">
        <f t="shared" si="144"/>
        <v>8491870</v>
      </c>
      <c r="CB59" s="91">
        <f t="shared" si="144"/>
        <v>11251642</v>
      </c>
      <c r="CC59" s="91">
        <f t="shared" si="144"/>
        <v>13629694</v>
      </c>
      <c r="CD59" s="91">
        <f t="shared" ref="CD59:DW59" si="145">CD60+CD61</f>
        <v>16068457</v>
      </c>
      <c r="CE59" s="91">
        <f t="shared" si="145"/>
        <v>18279909.559999999</v>
      </c>
      <c r="CF59" s="91">
        <f t="shared" si="145"/>
        <v>20793972.5</v>
      </c>
      <c r="CG59" s="91">
        <f t="shared" si="145"/>
        <v>23711008.109999999</v>
      </c>
      <c r="CH59" s="91">
        <f t="shared" si="145"/>
        <v>26563583.75</v>
      </c>
      <c r="CI59" s="91">
        <f t="shared" si="145"/>
        <v>29421179.779999997</v>
      </c>
      <c r="CJ59" s="91">
        <f t="shared" si="145"/>
        <v>29421179.789999999</v>
      </c>
      <c r="CK59" s="91">
        <f t="shared" si="145"/>
        <v>3151347.16</v>
      </c>
      <c r="CL59" s="91">
        <f t="shared" si="145"/>
        <v>5761198.1600000001</v>
      </c>
      <c r="CM59" s="91">
        <f t="shared" si="145"/>
        <v>8333575</v>
      </c>
      <c r="CN59" s="91">
        <f t="shared" si="145"/>
        <v>11015084</v>
      </c>
      <c r="CO59" s="91">
        <f t="shared" si="145"/>
        <v>14301089.41</v>
      </c>
      <c r="CP59" s="91">
        <f t="shared" si="145"/>
        <v>17296365.150000002</v>
      </c>
      <c r="CQ59" s="552">
        <f t="shared" si="145"/>
        <v>0</v>
      </c>
      <c r="CR59" s="91">
        <f t="shared" si="145"/>
        <v>24189829.700000003</v>
      </c>
      <c r="CS59" s="91">
        <f t="shared" si="145"/>
        <v>27366004.029999997</v>
      </c>
      <c r="CT59" s="91">
        <f t="shared" si="145"/>
        <v>61104089.079999998</v>
      </c>
      <c r="CU59" s="91">
        <f t="shared" si="145"/>
        <v>33982188.450000003</v>
      </c>
      <c r="CV59" s="91">
        <f t="shared" si="145"/>
        <v>38172069.269999996</v>
      </c>
      <c r="CW59" s="91">
        <f t="shared" si="145"/>
        <v>38172070.060000002</v>
      </c>
      <c r="CX59" s="91">
        <f t="shared" si="145"/>
        <v>3726400.49</v>
      </c>
      <c r="CY59" s="91">
        <f t="shared" si="145"/>
        <v>7483204.1799999997</v>
      </c>
      <c r="CZ59" s="91">
        <f t="shared" si="145"/>
        <v>10961412.530000001</v>
      </c>
      <c r="DA59" s="91">
        <f t="shared" si="145"/>
        <v>14971814.33</v>
      </c>
      <c r="DB59" s="91">
        <f t="shared" si="145"/>
        <v>18924809.75</v>
      </c>
      <c r="DC59" s="91">
        <f t="shared" si="145"/>
        <v>23456432.27</v>
      </c>
      <c r="DD59" s="91">
        <f t="shared" si="145"/>
        <v>27237104.23</v>
      </c>
      <c r="DE59" s="91">
        <f t="shared" si="145"/>
        <v>31297563.829999998</v>
      </c>
      <c r="DF59" s="91">
        <f t="shared" si="145"/>
        <v>35371444.850000001</v>
      </c>
      <c r="DG59" s="91">
        <f t="shared" si="145"/>
        <v>40515925.950000003</v>
      </c>
      <c r="DH59" s="91">
        <f t="shared" si="145"/>
        <v>45393185.890000001</v>
      </c>
      <c r="DI59" s="91">
        <f t="shared" si="145"/>
        <v>50750691.299999997</v>
      </c>
      <c r="DJ59" s="91">
        <f t="shared" si="145"/>
        <v>51044439</v>
      </c>
      <c r="DK59" s="91">
        <f t="shared" si="145"/>
        <v>4714528.66</v>
      </c>
      <c r="DL59" s="91">
        <f t="shared" si="145"/>
        <v>9726987.8200000003</v>
      </c>
      <c r="DM59" s="91">
        <f t="shared" si="145"/>
        <v>14245802.119999999</v>
      </c>
      <c r="DN59" s="91">
        <f t="shared" si="145"/>
        <v>18974466.34</v>
      </c>
      <c r="DO59" s="91">
        <f t="shared" si="145"/>
        <v>23650882.32</v>
      </c>
      <c r="DP59" s="91">
        <f t="shared" si="145"/>
        <v>28068079.899999999</v>
      </c>
      <c r="DQ59" s="91">
        <f t="shared" si="145"/>
        <v>32688448.529999997</v>
      </c>
      <c r="DR59" s="91">
        <f t="shared" si="145"/>
        <v>37775576.82</v>
      </c>
      <c r="DS59" s="91">
        <f t="shared" ref="DS59:DV59" si="146">DS60+DS61</f>
        <v>42782533.32</v>
      </c>
      <c r="DT59" s="91">
        <f t="shared" si="146"/>
        <v>48064610.629999995</v>
      </c>
      <c r="DU59" s="91">
        <f t="shared" si="146"/>
        <v>52977028.079999998</v>
      </c>
      <c r="DV59" s="91">
        <f t="shared" si="146"/>
        <v>0</v>
      </c>
      <c r="DW59" s="538">
        <f t="shared" si="145"/>
        <v>57063371</v>
      </c>
    </row>
    <row r="60" spans="2:127" ht="15.6" x14ac:dyDescent="0.25">
      <c r="B60" s="93" t="s">
        <v>104</v>
      </c>
      <c r="C60" s="138">
        <v>313291</v>
      </c>
      <c r="D60" s="138">
        <v>583891</v>
      </c>
      <c r="E60" s="138">
        <v>1305578</v>
      </c>
      <c r="F60" s="138">
        <v>3611027</v>
      </c>
      <c r="G60" s="136">
        <v>4688789</v>
      </c>
      <c r="H60" s="136">
        <v>6208.39</v>
      </c>
      <c r="I60" s="136">
        <v>5914011</v>
      </c>
      <c r="J60" s="136">
        <v>640880.24</v>
      </c>
      <c r="K60" s="136">
        <v>1289.25</v>
      </c>
      <c r="L60" s="136">
        <v>1926.37</v>
      </c>
      <c r="M60" s="136">
        <v>2499.66</v>
      </c>
      <c r="N60" s="136">
        <v>3123700</v>
      </c>
      <c r="O60" s="136">
        <v>3834744</v>
      </c>
      <c r="P60" s="136">
        <v>4484048</v>
      </c>
      <c r="Q60" s="136">
        <v>5163371</v>
      </c>
      <c r="R60" s="136">
        <v>5875753</v>
      </c>
      <c r="S60" s="136">
        <v>6650077</v>
      </c>
      <c r="T60" s="136">
        <v>7416908</v>
      </c>
      <c r="U60" s="136">
        <v>8211428</v>
      </c>
      <c r="V60" s="136">
        <v>8211428</v>
      </c>
      <c r="W60" s="136">
        <v>782333</v>
      </c>
      <c r="X60" s="136">
        <v>1622777</v>
      </c>
      <c r="Y60" s="136">
        <v>2437577</v>
      </c>
      <c r="Z60" s="136">
        <v>3312456</v>
      </c>
      <c r="AA60" s="136">
        <v>4178674</v>
      </c>
      <c r="AB60" s="136">
        <v>4985182</v>
      </c>
      <c r="AC60" s="136">
        <v>6242563</v>
      </c>
      <c r="AD60" s="191">
        <v>7438738</v>
      </c>
      <c r="AE60" s="193">
        <v>7505251</v>
      </c>
      <c r="AF60" s="193">
        <v>8413548</v>
      </c>
      <c r="AG60" s="193">
        <v>9369633</v>
      </c>
      <c r="AH60" s="193">
        <v>10518378</v>
      </c>
      <c r="AI60" s="193">
        <f>9880025+638353</f>
        <v>10518378</v>
      </c>
      <c r="AJ60" s="193">
        <f>9880025+638353</f>
        <v>10518378</v>
      </c>
      <c r="AK60" s="193"/>
      <c r="AL60" s="193">
        <v>275686</v>
      </c>
      <c r="AM60" s="193">
        <v>277035</v>
      </c>
      <c r="AN60" s="193">
        <v>278735</v>
      </c>
      <c r="AO60" s="193">
        <v>292435</v>
      </c>
      <c r="AP60" s="193"/>
      <c r="AQ60" s="193">
        <v>330557</v>
      </c>
      <c r="AR60" s="193">
        <v>7960883</v>
      </c>
      <c r="AS60" s="193"/>
      <c r="AT60" s="193"/>
      <c r="AU60" s="193">
        <v>11738211</v>
      </c>
      <c r="AV60" s="193">
        <v>12250625</v>
      </c>
      <c r="AW60" s="251">
        <f>12200044+1167200</f>
        <v>13367244</v>
      </c>
      <c r="AX60" s="394"/>
      <c r="AY60" s="394"/>
      <c r="AZ60" s="394">
        <v>-2651434</v>
      </c>
      <c r="BA60" s="242">
        <v>11052488</v>
      </c>
      <c r="BB60" s="242">
        <v>6967350</v>
      </c>
      <c r="BC60" s="242">
        <v>8377132</v>
      </c>
      <c r="BD60" s="242">
        <v>9771838</v>
      </c>
      <c r="BE60" s="52">
        <v>11263639</v>
      </c>
      <c r="BF60" s="52">
        <v>12810950</v>
      </c>
      <c r="BH60" s="52">
        <v>15931198</v>
      </c>
      <c r="BI60" s="480">
        <v>17603250</v>
      </c>
      <c r="BJ60" s="480">
        <v>14651350</v>
      </c>
      <c r="BK60" s="480">
        <v>1562810.77</v>
      </c>
      <c r="BL60" s="480">
        <v>2997105</v>
      </c>
      <c r="BM60" s="480">
        <v>4672848</v>
      </c>
      <c r="BN60" s="480">
        <v>6469959</v>
      </c>
      <c r="BO60" s="480">
        <v>8080915</v>
      </c>
      <c r="BP60" s="480">
        <v>9862767</v>
      </c>
      <c r="BQ60" s="480">
        <v>11433242</v>
      </c>
      <c r="BR60" s="52">
        <v>13287970</v>
      </c>
      <c r="BS60" s="52">
        <v>14897579</v>
      </c>
      <c r="BT60" s="506">
        <v>16578500</v>
      </c>
      <c r="BU60" s="52">
        <v>18173576</v>
      </c>
      <c r="BV60" s="52">
        <v>19450551</v>
      </c>
      <c r="BW60" s="52">
        <v>16299951</v>
      </c>
      <c r="BX60" s="88">
        <v>1495716</v>
      </c>
      <c r="BY60" s="88">
        <v>3145310</v>
      </c>
      <c r="BZ60" s="499">
        <v>4682305</v>
      </c>
      <c r="CA60" s="499">
        <v>6187749</v>
      </c>
      <c r="CB60" s="499">
        <v>7898797</v>
      </c>
      <c r="CC60" s="499">
        <v>9505344</v>
      </c>
      <c r="CD60" s="499">
        <v>11148023</v>
      </c>
      <c r="CE60" s="499">
        <v>12733253.26</v>
      </c>
      <c r="CF60" s="499">
        <v>14601482.1</v>
      </c>
      <c r="CG60" s="499">
        <v>16887688.109999999</v>
      </c>
      <c r="CH60" s="499">
        <v>19010896.850000001</v>
      </c>
      <c r="CI60" s="499">
        <v>21085150.079999998</v>
      </c>
      <c r="CJ60" s="527">
        <v>21085150.079999998</v>
      </c>
      <c r="CK60" s="531">
        <v>2175209.7000000002</v>
      </c>
      <c r="CL60" s="499">
        <v>4137904.26</v>
      </c>
      <c r="CM60" s="499">
        <v>6239563</v>
      </c>
      <c r="CN60" s="499">
        <v>8770310</v>
      </c>
      <c r="CO60" s="499">
        <v>11599090.710000001</v>
      </c>
      <c r="CP60" s="499">
        <v>13945240.960000001</v>
      </c>
      <c r="CR60" s="560">
        <v>19227868.530000001</v>
      </c>
      <c r="CS60" s="560">
        <v>21696233.309999999</v>
      </c>
      <c r="CT60" s="560">
        <v>48411144</v>
      </c>
      <c r="CU60" s="560">
        <v>26986688.609999999</v>
      </c>
      <c r="CV60" s="560">
        <v>30129800.27</v>
      </c>
      <c r="CW60" s="480">
        <v>30129800.27</v>
      </c>
      <c r="CX60" s="646">
        <v>2894385.99</v>
      </c>
      <c r="CY60" s="646">
        <v>5796682.8799999999</v>
      </c>
      <c r="CZ60" s="646">
        <v>8749302.6300000008</v>
      </c>
      <c r="DA60" s="646">
        <v>11925550.43</v>
      </c>
      <c r="DB60" s="646">
        <v>15136676.75</v>
      </c>
      <c r="DC60" s="646">
        <v>18627609.969999999</v>
      </c>
      <c r="DD60" s="646">
        <v>21232272.030000001</v>
      </c>
      <c r="DE60" s="499">
        <v>24431246.329999998</v>
      </c>
      <c r="DF60" s="499">
        <v>27716425.350000001</v>
      </c>
      <c r="DG60" s="499">
        <v>31844100.850000001</v>
      </c>
      <c r="DH60" s="499">
        <v>35454366.490000002</v>
      </c>
      <c r="DI60" s="499">
        <v>39562952.899999999</v>
      </c>
      <c r="DJ60" s="88">
        <v>48530425</v>
      </c>
      <c r="DK60" s="646">
        <v>3644643.76</v>
      </c>
      <c r="DL60" s="646">
        <v>7297174.8200000003</v>
      </c>
      <c r="DM60" s="646">
        <v>10678638.619999999</v>
      </c>
      <c r="DN60" s="646">
        <v>14224512.140000001</v>
      </c>
      <c r="DO60" s="646">
        <v>17958775.32</v>
      </c>
      <c r="DP60" s="646">
        <v>21713522</v>
      </c>
      <c r="DQ60" s="646">
        <v>25575497.329999998</v>
      </c>
      <c r="DR60" s="646">
        <v>29525033.719999999</v>
      </c>
      <c r="DS60" s="499">
        <v>33397079.920000002</v>
      </c>
      <c r="DT60" s="499">
        <v>37319306.93</v>
      </c>
      <c r="DU60" s="499">
        <v>41335716.079999998</v>
      </c>
      <c r="DW60" s="87">
        <v>57063371</v>
      </c>
    </row>
    <row r="61" spans="2:127" ht="26.4" x14ac:dyDescent="0.25">
      <c r="B61" s="93" t="s">
        <v>105</v>
      </c>
      <c r="C61" s="138">
        <v>143192</v>
      </c>
      <c r="D61" s="138">
        <v>226718</v>
      </c>
      <c r="E61" s="138">
        <v>646729</v>
      </c>
      <c r="F61" s="138">
        <v>943117</v>
      </c>
      <c r="G61" s="136">
        <v>34229</v>
      </c>
      <c r="H61" s="136">
        <v>317.45999999999998</v>
      </c>
      <c r="I61" s="136">
        <v>214399</v>
      </c>
      <c r="J61" s="136">
        <v>32645.61</v>
      </c>
      <c r="K61" s="136">
        <v>57.74</v>
      </c>
      <c r="L61" s="136">
        <v>99.52</v>
      </c>
      <c r="M61" s="136">
        <v>145.35</v>
      </c>
      <c r="N61" s="136">
        <v>186553.35</v>
      </c>
      <c r="O61" s="136">
        <v>212830.1</v>
      </c>
      <c r="P61" s="136">
        <v>249719.85</v>
      </c>
      <c r="Q61" s="136">
        <v>286331.84999999998</v>
      </c>
      <c r="R61" s="136">
        <v>350422.85</v>
      </c>
      <c r="S61" s="136">
        <v>385852.35</v>
      </c>
      <c r="T61" s="136">
        <v>432037.4</v>
      </c>
      <c r="U61" s="136">
        <v>474791.65</v>
      </c>
      <c r="V61" s="136"/>
      <c r="W61" s="136">
        <v>55080.5</v>
      </c>
      <c r="X61" s="136">
        <v>84803.5</v>
      </c>
      <c r="Y61" s="136">
        <v>123082.25</v>
      </c>
      <c r="Z61" s="136">
        <v>173023.75</v>
      </c>
      <c r="AA61" s="136">
        <v>198331.75</v>
      </c>
      <c r="AB61" s="136">
        <v>249050.75</v>
      </c>
      <c r="AC61" s="136">
        <v>294103.5</v>
      </c>
      <c r="AD61" s="191">
        <v>359747.75</v>
      </c>
      <c r="AE61" s="193">
        <v>389472.25</v>
      </c>
      <c r="AF61" s="193">
        <v>433036.35</v>
      </c>
      <c r="AG61" s="193">
        <v>506748.71</v>
      </c>
      <c r="AH61" s="193">
        <v>559945.34</v>
      </c>
      <c r="AI61" s="193"/>
      <c r="AJ61" s="193"/>
      <c r="AK61" s="193"/>
      <c r="AL61" s="193">
        <v>94345.25</v>
      </c>
      <c r="AM61" s="193">
        <v>94345.25</v>
      </c>
      <c r="AN61" s="193">
        <v>94345.25</v>
      </c>
      <c r="AO61" s="193">
        <v>94220.25</v>
      </c>
      <c r="AP61" s="193"/>
      <c r="AQ61" s="193">
        <v>101220.25</v>
      </c>
      <c r="AR61" s="193">
        <v>551000.85</v>
      </c>
      <c r="AS61" s="193"/>
      <c r="AT61" s="193"/>
      <c r="AU61" s="193">
        <v>680280.9</v>
      </c>
      <c r="AV61" s="193">
        <v>881876.3</v>
      </c>
      <c r="AW61" s="251"/>
      <c r="AX61" s="394"/>
      <c r="AY61" s="394"/>
      <c r="AZ61" s="394">
        <v>0</v>
      </c>
      <c r="BA61" s="242">
        <v>-622505.80000000005</v>
      </c>
      <c r="BB61" s="242">
        <v>383342.7</v>
      </c>
      <c r="BC61" s="242">
        <v>451966.7</v>
      </c>
      <c r="BD61" s="242">
        <v>599698</v>
      </c>
      <c r="BE61" s="52">
        <v>960677.1</v>
      </c>
      <c r="BF61" s="52">
        <v>1088254.78</v>
      </c>
      <c r="BH61" s="52">
        <v>875277.2</v>
      </c>
      <c r="BI61" s="480">
        <v>1459140.7</v>
      </c>
      <c r="BJ61" s="480">
        <v>2951900</v>
      </c>
      <c r="BK61" s="480">
        <v>65251.8</v>
      </c>
      <c r="BL61" s="480">
        <v>137512.70000000001</v>
      </c>
      <c r="BM61" s="480">
        <v>215755.7</v>
      </c>
      <c r="BN61" s="480">
        <v>313580</v>
      </c>
      <c r="BO61" s="480">
        <v>376694</v>
      </c>
      <c r="BP61" s="480">
        <v>492030</v>
      </c>
      <c r="BQ61" s="480">
        <v>556872</v>
      </c>
      <c r="BR61" s="52">
        <v>674105</v>
      </c>
      <c r="BS61" s="52">
        <v>805213.6</v>
      </c>
      <c r="BT61" s="507">
        <v>898674</v>
      </c>
      <c r="BU61" s="52">
        <v>1041449</v>
      </c>
      <c r="BV61" s="52">
        <v>674105</v>
      </c>
      <c r="BW61" s="52">
        <v>3150600</v>
      </c>
      <c r="BX61" s="88">
        <v>553013</v>
      </c>
      <c r="BY61" s="88">
        <v>913647</v>
      </c>
      <c r="BZ61" s="499">
        <v>1475959</v>
      </c>
      <c r="CA61" s="499">
        <v>2304121</v>
      </c>
      <c r="CB61" s="499">
        <v>3352845</v>
      </c>
      <c r="CC61" s="499">
        <v>4124350</v>
      </c>
      <c r="CD61" s="499">
        <v>4920434</v>
      </c>
      <c r="CE61" s="499">
        <v>5546656.2999999998</v>
      </c>
      <c r="CF61" s="499">
        <v>6192490.4000000004</v>
      </c>
      <c r="CG61" s="499">
        <v>6823320</v>
      </c>
      <c r="CH61" s="499">
        <v>7552686.9000000004</v>
      </c>
      <c r="CI61" s="499">
        <v>8336029.7000000002</v>
      </c>
      <c r="CJ61" s="527">
        <v>8336029.71</v>
      </c>
      <c r="CK61" s="507">
        <v>976137.46</v>
      </c>
      <c r="CL61" s="499">
        <v>1623293.9</v>
      </c>
      <c r="CM61" s="499">
        <v>2094012</v>
      </c>
      <c r="CN61" s="499">
        <v>2244774</v>
      </c>
      <c r="CO61" s="499">
        <v>2701998.7</v>
      </c>
      <c r="CP61" s="499">
        <v>3351124.19</v>
      </c>
      <c r="CR61" s="560">
        <v>4961961.17</v>
      </c>
      <c r="CS61" s="560">
        <v>5669770.7199999997</v>
      </c>
      <c r="CT61" s="560">
        <v>12692945.08</v>
      </c>
      <c r="CU61" s="560">
        <v>6995499.8399999999</v>
      </c>
      <c r="CV61" s="560">
        <v>8042269</v>
      </c>
      <c r="CW61" s="480">
        <v>8042269.79</v>
      </c>
      <c r="CX61" s="646">
        <v>832014.5</v>
      </c>
      <c r="CY61" s="646">
        <v>1686521.3</v>
      </c>
      <c r="CZ61" s="646">
        <v>2212109.9</v>
      </c>
      <c r="DA61" s="646">
        <v>3046263.9</v>
      </c>
      <c r="DB61" s="646">
        <v>3788133</v>
      </c>
      <c r="DC61" s="646">
        <v>4828822.3</v>
      </c>
      <c r="DD61" s="646">
        <v>6004832.2000000002</v>
      </c>
      <c r="DE61" s="499">
        <v>6866317.5</v>
      </c>
      <c r="DF61" s="499">
        <v>7655019.5</v>
      </c>
      <c r="DG61" s="499">
        <v>8671825.0999999996</v>
      </c>
      <c r="DH61" s="499">
        <v>9938819.4000000004</v>
      </c>
      <c r="DI61" s="499">
        <v>11187738.4</v>
      </c>
      <c r="DJ61" s="88">
        <v>2514014</v>
      </c>
      <c r="DK61" s="646">
        <v>1069884.8999999999</v>
      </c>
      <c r="DL61" s="646">
        <v>2429813</v>
      </c>
      <c r="DM61" s="646">
        <v>3567163.5</v>
      </c>
      <c r="DN61" s="646">
        <v>4749954.2</v>
      </c>
      <c r="DO61" s="646">
        <v>5692107</v>
      </c>
      <c r="DP61" s="646">
        <v>6354557.9000000004</v>
      </c>
      <c r="DQ61" s="646">
        <v>7112951.2000000002</v>
      </c>
      <c r="DR61" s="646">
        <v>8250543.0999999996</v>
      </c>
      <c r="DS61" s="499">
        <v>9385453.4000000004</v>
      </c>
      <c r="DT61" s="499">
        <v>10745303.699999999</v>
      </c>
      <c r="DU61" s="499">
        <v>11641312</v>
      </c>
    </row>
    <row r="62" spans="2:127" ht="26.4" x14ac:dyDescent="0.25">
      <c r="B62" s="90" t="s">
        <v>106</v>
      </c>
      <c r="C62" s="90"/>
      <c r="D62" s="100">
        <f>SUM(D63:D66)</f>
        <v>13655</v>
      </c>
      <c r="E62" s="100">
        <f t="shared" ref="E62:V62" si="147">SUM(E63:E66)</f>
        <v>37652</v>
      </c>
      <c r="F62" s="100">
        <f t="shared" si="147"/>
        <v>47279</v>
      </c>
      <c r="G62" s="100">
        <f t="shared" si="147"/>
        <v>1963473</v>
      </c>
      <c r="H62" s="100">
        <f t="shared" si="147"/>
        <v>2520.89</v>
      </c>
      <c r="I62" s="100">
        <f t="shared" si="147"/>
        <v>2809899</v>
      </c>
      <c r="J62" s="100">
        <f t="shared" si="147"/>
        <v>187716.88</v>
      </c>
      <c r="K62" s="100">
        <f t="shared" si="147"/>
        <v>394.14</v>
      </c>
      <c r="L62" s="100">
        <f t="shared" si="147"/>
        <v>630.38</v>
      </c>
      <c r="M62" s="100">
        <f t="shared" si="147"/>
        <v>933.3</v>
      </c>
      <c r="N62" s="100">
        <f t="shared" si="147"/>
        <v>1196397</v>
      </c>
      <c r="O62" s="100">
        <f t="shared" si="147"/>
        <v>1415435.75</v>
      </c>
      <c r="P62" s="100">
        <f t="shared" si="147"/>
        <v>1715606.79</v>
      </c>
      <c r="Q62" s="100">
        <f t="shared" si="147"/>
        <v>1963492.07</v>
      </c>
      <c r="R62" s="100">
        <f t="shared" si="147"/>
        <v>2260541.17</v>
      </c>
      <c r="S62" s="100">
        <f t="shared" si="147"/>
        <v>2470591.3199999998</v>
      </c>
      <c r="T62" s="100">
        <f t="shared" si="147"/>
        <v>2708476.3</v>
      </c>
      <c r="U62" s="100">
        <f t="shared" si="147"/>
        <v>3129597.98</v>
      </c>
      <c r="V62" s="100">
        <f t="shared" si="147"/>
        <v>4122505</v>
      </c>
      <c r="W62" s="100">
        <f t="shared" ref="W62:AD62" si="148">SUM(W63:W66)</f>
        <v>205211.5</v>
      </c>
      <c r="X62" s="100">
        <f t="shared" si="148"/>
        <v>401021.33</v>
      </c>
      <c r="Y62" s="100">
        <f t="shared" si="148"/>
        <v>715829.49</v>
      </c>
      <c r="Z62" s="100">
        <f t="shared" si="148"/>
        <v>1023101.79</v>
      </c>
      <c r="AA62" s="100">
        <f t="shared" si="148"/>
        <v>1241873.8400000001</v>
      </c>
      <c r="AB62" s="100">
        <f t="shared" si="148"/>
        <v>1658320.99</v>
      </c>
      <c r="AC62" s="100">
        <f t="shared" si="148"/>
        <v>1979930.37</v>
      </c>
      <c r="AD62" s="100">
        <f t="shared" si="148"/>
        <v>2256344.7400000002</v>
      </c>
      <c r="AE62" s="100">
        <f t="shared" ref="AE62:AG62" si="149">SUM(AE63:AE66)</f>
        <v>2521358.4500000002</v>
      </c>
      <c r="AF62" s="100">
        <f t="shared" si="149"/>
        <v>3206868.85</v>
      </c>
      <c r="AG62" s="100">
        <f t="shared" si="149"/>
        <v>4181471.71</v>
      </c>
      <c r="AH62" s="100">
        <f t="shared" ref="AH62:AI62" si="150">SUM(AH63:AH66)</f>
        <v>5018699.3900000006</v>
      </c>
      <c r="AI62" s="100">
        <f t="shared" si="150"/>
        <v>5858262</v>
      </c>
      <c r="AJ62" s="100">
        <f t="shared" ref="AJ62:CC62" si="151">SUM(AJ63:AJ66)</f>
        <v>5858262</v>
      </c>
      <c r="AK62" s="100">
        <f t="shared" si="151"/>
        <v>0</v>
      </c>
      <c r="AL62" s="100">
        <f t="shared" si="151"/>
        <v>1013517.76</v>
      </c>
      <c r="AM62" s="100">
        <f t="shared" si="151"/>
        <v>1324141.76</v>
      </c>
      <c r="AN62" s="100">
        <f t="shared" si="151"/>
        <v>3175394.87</v>
      </c>
      <c r="AO62" s="100">
        <f t="shared" si="151"/>
        <v>3332132.9000000004</v>
      </c>
      <c r="AP62" s="100">
        <f t="shared" si="151"/>
        <v>0</v>
      </c>
      <c r="AQ62" s="100">
        <f t="shared" si="151"/>
        <v>3325638.2</v>
      </c>
      <c r="AR62" s="100">
        <f t="shared" si="151"/>
        <v>5264475.83</v>
      </c>
      <c r="AS62" s="100">
        <f t="shared" si="151"/>
        <v>0</v>
      </c>
      <c r="AT62" s="100">
        <f t="shared" si="151"/>
        <v>0</v>
      </c>
      <c r="AU62" s="100">
        <f t="shared" si="151"/>
        <v>7009088.3900000006</v>
      </c>
      <c r="AV62" s="100">
        <f t="shared" si="151"/>
        <v>8266634.7000000002</v>
      </c>
      <c r="AW62" s="100">
        <f t="shared" si="151"/>
        <v>8561711</v>
      </c>
      <c r="AX62" s="100">
        <f t="shared" si="151"/>
        <v>0</v>
      </c>
      <c r="AY62" s="100">
        <f t="shared" si="151"/>
        <v>0</v>
      </c>
      <c r="AZ62" s="100">
        <f t="shared" si="151"/>
        <v>-622305.09</v>
      </c>
      <c r="BA62" s="100">
        <f t="shared" si="151"/>
        <v>-3395512.7800000003</v>
      </c>
      <c r="BB62" s="100">
        <f t="shared" si="151"/>
        <v>2674349.2699999996</v>
      </c>
      <c r="BC62" s="100">
        <f t="shared" si="151"/>
        <v>3790863.34</v>
      </c>
      <c r="BD62" s="100">
        <f t="shared" si="151"/>
        <v>4486049.1899999995</v>
      </c>
      <c r="BE62" s="100">
        <f t="shared" si="151"/>
        <v>4867743.59</v>
      </c>
      <c r="BF62" s="100">
        <f t="shared" si="151"/>
        <v>5428786.4500000002</v>
      </c>
      <c r="BG62" s="100">
        <f t="shared" si="151"/>
        <v>0</v>
      </c>
      <c r="BH62" s="100">
        <f t="shared" si="151"/>
        <v>7131201.8600000003</v>
      </c>
      <c r="BI62" s="100">
        <f t="shared" si="151"/>
        <v>8824587.4600000009</v>
      </c>
      <c r="BJ62" s="100">
        <f t="shared" si="151"/>
        <v>10140187</v>
      </c>
      <c r="BK62" s="100">
        <f t="shared" si="151"/>
        <v>354544.35</v>
      </c>
      <c r="BL62" s="100">
        <f t="shared" si="151"/>
        <v>929554.29</v>
      </c>
      <c r="BM62" s="100">
        <f t="shared" si="151"/>
        <v>1818514.84</v>
      </c>
      <c r="BN62" s="100">
        <f t="shared" si="151"/>
        <v>2256960</v>
      </c>
      <c r="BO62" s="100">
        <f t="shared" si="151"/>
        <v>2997913.67</v>
      </c>
      <c r="BP62" s="100">
        <f t="shared" si="151"/>
        <v>3558650</v>
      </c>
      <c r="BQ62" s="100">
        <f t="shared" si="151"/>
        <v>4039694</v>
      </c>
      <c r="BR62" s="100">
        <f t="shared" si="151"/>
        <v>4652264</v>
      </c>
      <c r="BS62" s="100">
        <f t="shared" si="151"/>
        <v>6990408.04</v>
      </c>
      <c r="BT62" s="100">
        <f t="shared" si="151"/>
        <v>7398783</v>
      </c>
      <c r="BU62" s="100">
        <f t="shared" si="151"/>
        <v>8881748</v>
      </c>
      <c r="BV62" s="100">
        <f t="shared" si="151"/>
        <v>13816093</v>
      </c>
      <c r="BW62" s="100">
        <f t="shared" si="151"/>
        <v>13816094.209999999</v>
      </c>
      <c r="BX62" s="100">
        <f t="shared" si="151"/>
        <v>233750</v>
      </c>
      <c r="BY62" s="100">
        <f t="shared" si="151"/>
        <v>252591</v>
      </c>
      <c r="BZ62" s="100">
        <f t="shared" si="151"/>
        <v>1308801</v>
      </c>
      <c r="CA62" s="100">
        <f t="shared" si="151"/>
        <v>1808406</v>
      </c>
      <c r="CB62" s="100">
        <f t="shared" si="151"/>
        <v>2407992</v>
      </c>
      <c r="CC62" s="100">
        <f t="shared" si="151"/>
        <v>2718419</v>
      </c>
      <c r="CD62" s="100">
        <f t="shared" ref="CD62:DW62" si="152">SUM(CD63:CD66)</f>
        <v>4093120</v>
      </c>
      <c r="CE62" s="100">
        <f t="shared" si="152"/>
        <v>4565096.6099999994</v>
      </c>
      <c r="CF62" s="100">
        <f t="shared" si="152"/>
        <v>4829182.8100000005</v>
      </c>
      <c r="CG62" s="100">
        <f t="shared" si="152"/>
        <v>4873755.8699999992</v>
      </c>
      <c r="CH62" s="100">
        <f t="shared" si="152"/>
        <v>5167490.76</v>
      </c>
      <c r="CI62" s="100">
        <f t="shared" si="152"/>
        <v>5913581.1400000006</v>
      </c>
      <c r="CJ62" s="100">
        <f t="shared" si="152"/>
        <v>5913581.1400000006</v>
      </c>
      <c r="CK62" s="100">
        <f t="shared" si="152"/>
        <v>3144112.66</v>
      </c>
      <c r="CL62" s="100">
        <f t="shared" si="152"/>
        <v>779122.41999999993</v>
      </c>
      <c r="CM62" s="100">
        <f t="shared" si="152"/>
        <v>1572295</v>
      </c>
      <c r="CN62" s="100">
        <f t="shared" si="152"/>
        <v>1623400</v>
      </c>
      <c r="CO62" s="100">
        <f t="shared" si="152"/>
        <v>2239474.4</v>
      </c>
      <c r="CP62" s="100">
        <f t="shared" si="152"/>
        <v>2847831</v>
      </c>
      <c r="CQ62" s="553">
        <f t="shared" si="152"/>
        <v>0</v>
      </c>
      <c r="CR62" s="100">
        <f t="shared" si="152"/>
        <v>4955483.8000000007</v>
      </c>
      <c r="CS62" s="100">
        <f t="shared" si="152"/>
        <v>5283532.7200000007</v>
      </c>
      <c r="CT62" s="100">
        <f t="shared" si="152"/>
        <v>11328524</v>
      </c>
      <c r="CU62" s="100">
        <f t="shared" si="152"/>
        <v>6198525.7400000002</v>
      </c>
      <c r="CV62" s="100">
        <f t="shared" si="152"/>
        <v>6976663.2799999993</v>
      </c>
      <c r="CW62" s="100">
        <f t="shared" si="152"/>
        <v>6976663.2800000003</v>
      </c>
      <c r="CX62" s="100">
        <f t="shared" si="152"/>
        <v>240098.74</v>
      </c>
      <c r="CY62" s="100">
        <f t="shared" si="152"/>
        <v>677306.31</v>
      </c>
      <c r="CZ62" s="100">
        <f t="shared" si="152"/>
        <v>1656629.1</v>
      </c>
      <c r="DA62" s="100">
        <f t="shared" si="152"/>
        <v>2222457.6999999997</v>
      </c>
      <c r="DB62" s="100">
        <f t="shared" si="152"/>
        <v>2612694.1599999997</v>
      </c>
      <c r="DC62" s="100">
        <f t="shared" si="152"/>
        <v>3120337.07</v>
      </c>
      <c r="DD62" s="100">
        <f t="shared" si="152"/>
        <v>3429809.75</v>
      </c>
      <c r="DE62" s="100">
        <f t="shared" si="152"/>
        <v>1141904.1200000001</v>
      </c>
      <c r="DF62" s="100">
        <f t="shared" si="152"/>
        <v>1141904.1200000001</v>
      </c>
      <c r="DG62" s="100">
        <f t="shared" si="152"/>
        <v>1141904.1200000001</v>
      </c>
      <c r="DH62" s="100">
        <f t="shared" si="152"/>
        <v>1141904.1200000001</v>
      </c>
      <c r="DI62" s="100">
        <f t="shared" si="152"/>
        <v>1603709.84</v>
      </c>
      <c r="DJ62" s="100">
        <f t="shared" si="152"/>
        <v>7361974</v>
      </c>
      <c r="DK62" s="100">
        <f t="shared" si="152"/>
        <v>390054.54</v>
      </c>
      <c r="DL62" s="100">
        <f t="shared" si="152"/>
        <v>735774.94</v>
      </c>
      <c r="DM62" s="100">
        <f t="shared" si="152"/>
        <v>2591766.89</v>
      </c>
      <c r="DN62" s="100">
        <f t="shared" si="152"/>
        <v>3023207.54</v>
      </c>
      <c r="DO62" s="100">
        <f t="shared" si="152"/>
        <v>3409211.58</v>
      </c>
      <c r="DP62" s="100">
        <f t="shared" si="152"/>
        <v>3801421.82</v>
      </c>
      <c r="DQ62" s="100">
        <f t="shared" si="152"/>
        <v>4037498.6599999997</v>
      </c>
      <c r="DR62" s="100">
        <f t="shared" si="152"/>
        <v>4953868.74</v>
      </c>
      <c r="DS62" s="100">
        <f t="shared" si="152"/>
        <v>5301068.6399999997</v>
      </c>
      <c r="DT62" s="100">
        <f t="shared" si="152"/>
        <v>5667942.7599999998</v>
      </c>
      <c r="DU62" s="100">
        <f t="shared" si="152"/>
        <v>6317047.7699999996</v>
      </c>
      <c r="DV62" s="100">
        <f t="shared" si="152"/>
        <v>0</v>
      </c>
      <c r="DW62" s="696">
        <f t="shared" si="152"/>
        <v>9776388</v>
      </c>
    </row>
    <row r="63" spans="2:127" ht="13.2" x14ac:dyDescent="0.25">
      <c r="B63" s="93" t="s">
        <v>40</v>
      </c>
      <c r="C63" s="138"/>
      <c r="D63" s="138"/>
      <c r="E63" s="144"/>
      <c r="F63" s="144"/>
      <c r="G63" s="137"/>
      <c r="H63" s="137">
        <v>0</v>
      </c>
      <c r="I63" s="137"/>
      <c r="J63" s="137">
        <v>0</v>
      </c>
      <c r="K63" s="137">
        <v>0</v>
      </c>
      <c r="L63" s="137">
        <v>0</v>
      </c>
      <c r="M63" s="137">
        <v>0</v>
      </c>
      <c r="N63" s="137">
        <v>0</v>
      </c>
      <c r="O63" s="137">
        <v>0</v>
      </c>
      <c r="P63" s="137">
        <v>0</v>
      </c>
      <c r="Q63" s="137">
        <v>0</v>
      </c>
      <c r="R63" s="137">
        <v>0</v>
      </c>
      <c r="S63" s="137">
        <v>0</v>
      </c>
      <c r="T63" s="137">
        <v>0</v>
      </c>
      <c r="U63" s="137">
        <v>0</v>
      </c>
      <c r="V63" s="137"/>
      <c r="W63" s="137"/>
      <c r="X63" s="137"/>
      <c r="Y63" s="137"/>
      <c r="Z63" s="137"/>
      <c r="AA63" s="137">
        <v>0</v>
      </c>
      <c r="AB63" s="137">
        <v>0</v>
      </c>
      <c r="AC63" s="137">
        <v>0</v>
      </c>
      <c r="AD63" s="191">
        <v>-120201.8</v>
      </c>
      <c r="AE63" s="193">
        <v>-120201.8</v>
      </c>
      <c r="AF63" s="193">
        <v>-120201.8</v>
      </c>
      <c r="AG63" s="193">
        <v>-120201.8</v>
      </c>
      <c r="AH63" s="193">
        <v>-120201.8</v>
      </c>
      <c r="AI63" s="193"/>
      <c r="AJ63" s="193"/>
      <c r="AK63" s="193"/>
      <c r="AL63" s="193"/>
      <c r="AM63" s="193"/>
      <c r="AN63" s="194">
        <v>1500000</v>
      </c>
      <c r="AO63" s="193">
        <v>1500000</v>
      </c>
      <c r="AP63" s="194"/>
      <c r="AQ63" s="193">
        <v>1500000</v>
      </c>
      <c r="AR63" s="193">
        <v>124906.5</v>
      </c>
      <c r="AS63" s="194"/>
      <c r="AT63" s="194"/>
      <c r="AU63" s="193">
        <v>124906.5</v>
      </c>
      <c r="AV63" s="193">
        <v>124906.5</v>
      </c>
      <c r="AW63" s="251">
        <v>124908</v>
      </c>
      <c r="AX63" s="396"/>
      <c r="AY63" s="396"/>
      <c r="AZ63" s="396">
        <v>0</v>
      </c>
      <c r="BA63" s="249">
        <v>0</v>
      </c>
      <c r="BB63" s="249">
        <v>0</v>
      </c>
      <c r="BC63" s="249">
        <v>0</v>
      </c>
      <c r="BD63" s="242">
        <v>0</v>
      </c>
      <c r="BE63" s="52">
        <v>0</v>
      </c>
      <c r="BH63" s="52">
        <v>0</v>
      </c>
      <c r="BI63" s="480">
        <v>0</v>
      </c>
      <c r="BK63" s="480">
        <v>0</v>
      </c>
      <c r="BL63" s="480">
        <v>0</v>
      </c>
      <c r="BM63" s="480">
        <v>0</v>
      </c>
      <c r="BN63" s="480">
        <v>0</v>
      </c>
      <c r="BO63" s="480">
        <v>0</v>
      </c>
      <c r="BP63" s="480">
        <v>0</v>
      </c>
      <c r="BQ63" s="480">
        <v>0</v>
      </c>
      <c r="BR63" s="499">
        <v>0</v>
      </c>
      <c r="BS63" s="499">
        <v>0</v>
      </c>
      <c r="BT63" s="52">
        <v>0</v>
      </c>
      <c r="BU63" s="52">
        <v>0</v>
      </c>
      <c r="BV63" s="52">
        <v>0</v>
      </c>
      <c r="BX63" s="88">
        <v>0</v>
      </c>
      <c r="BY63" s="88">
        <v>0</v>
      </c>
      <c r="BZ63" s="499">
        <v>0</v>
      </c>
      <c r="CA63" s="499">
        <v>0</v>
      </c>
      <c r="CB63" s="499">
        <v>0</v>
      </c>
      <c r="CC63" s="499">
        <v>0</v>
      </c>
      <c r="CD63" s="499">
        <v>0</v>
      </c>
      <c r="CE63" s="499">
        <v>0</v>
      </c>
      <c r="CF63" s="499">
        <v>0</v>
      </c>
      <c r="CG63" s="499">
        <v>0</v>
      </c>
      <c r="CH63" s="499">
        <v>0</v>
      </c>
      <c r="CI63" s="499">
        <v>0</v>
      </c>
      <c r="CJ63" s="527">
        <v>0</v>
      </c>
      <c r="CL63" s="499">
        <v>0</v>
      </c>
      <c r="CM63" s="499">
        <v>0</v>
      </c>
      <c r="CN63" s="499">
        <v>0</v>
      </c>
      <c r="CO63" s="499">
        <v>0</v>
      </c>
      <c r="CP63" s="499">
        <v>0</v>
      </c>
      <c r="CR63" s="560">
        <v>0</v>
      </c>
      <c r="CS63" s="560">
        <v>0</v>
      </c>
      <c r="CT63" s="560">
        <v>0</v>
      </c>
      <c r="CU63" s="560">
        <v>0</v>
      </c>
      <c r="CV63" s="560">
        <v>0</v>
      </c>
      <c r="CW63" s="480"/>
      <c r="CX63" s="646">
        <v>0</v>
      </c>
      <c r="CY63" s="646">
        <v>0</v>
      </c>
      <c r="CZ63" s="646">
        <v>0</v>
      </c>
      <c r="DA63" s="646">
        <v>0</v>
      </c>
      <c r="DB63" s="646">
        <v>0</v>
      </c>
      <c r="DC63" s="646">
        <v>0</v>
      </c>
      <c r="DD63" s="646">
        <v>0</v>
      </c>
      <c r="DE63" s="499">
        <v>0</v>
      </c>
      <c r="DF63" s="499">
        <v>0</v>
      </c>
      <c r="DG63" s="499">
        <v>0</v>
      </c>
      <c r="DH63" s="499">
        <v>0</v>
      </c>
      <c r="DI63" s="499">
        <v>0</v>
      </c>
      <c r="DK63" s="646">
        <v>0</v>
      </c>
      <c r="DL63" s="646">
        <v>0</v>
      </c>
      <c r="DM63" s="646">
        <v>0</v>
      </c>
      <c r="DN63" s="646">
        <v>0</v>
      </c>
      <c r="DO63" s="646">
        <v>0</v>
      </c>
      <c r="DP63" s="646">
        <v>0</v>
      </c>
      <c r="DQ63" s="646">
        <v>0</v>
      </c>
      <c r="DR63" s="646">
        <v>0</v>
      </c>
      <c r="DS63" s="499">
        <v>0</v>
      </c>
      <c r="DT63" s="499">
        <v>0</v>
      </c>
      <c r="DU63" s="499">
        <v>0</v>
      </c>
    </row>
    <row r="64" spans="2:127" ht="26.4" x14ac:dyDescent="0.25">
      <c r="B64" s="93" t="s">
        <v>107</v>
      </c>
      <c r="C64" s="138">
        <v>6698</v>
      </c>
      <c r="D64" s="138">
        <v>7565</v>
      </c>
      <c r="E64" s="138"/>
      <c r="F64" s="138"/>
      <c r="G64" s="136"/>
      <c r="H64" s="136">
        <v>0</v>
      </c>
      <c r="I64" s="136">
        <v>31008</v>
      </c>
      <c r="J64" s="136">
        <v>0</v>
      </c>
      <c r="K64" s="136">
        <v>0</v>
      </c>
      <c r="L64" s="136">
        <v>0</v>
      </c>
      <c r="M64" s="136">
        <v>0</v>
      </c>
      <c r="N64" s="136">
        <v>0</v>
      </c>
      <c r="O64" s="136">
        <v>-5075</v>
      </c>
      <c r="P64" s="136">
        <v>2711.59</v>
      </c>
      <c r="Q64" s="136">
        <v>7786.59</v>
      </c>
      <c r="R64" s="136">
        <v>7786.59</v>
      </c>
      <c r="S64" s="136">
        <v>7786.59</v>
      </c>
      <c r="T64" s="136">
        <v>17908.59</v>
      </c>
      <c r="U64" s="136">
        <v>77685.47</v>
      </c>
      <c r="V64" s="136">
        <v>32714</v>
      </c>
      <c r="W64" s="136"/>
      <c r="X64" s="136"/>
      <c r="Y64" s="136"/>
      <c r="Z64" s="136"/>
      <c r="AA64" s="136">
        <v>0</v>
      </c>
      <c r="AB64" s="136">
        <v>0</v>
      </c>
      <c r="AC64" s="136">
        <v>0</v>
      </c>
      <c r="AD64" s="191">
        <v>145815.44</v>
      </c>
      <c r="AE64" s="193">
        <v>147145.44</v>
      </c>
      <c r="AF64" s="193">
        <v>485567.51</v>
      </c>
      <c r="AG64" s="193">
        <v>635841.53</v>
      </c>
      <c r="AH64" s="193">
        <v>942126.78</v>
      </c>
      <c r="AI64" s="193">
        <v>46841</v>
      </c>
      <c r="AJ64" s="193">
        <v>46841</v>
      </c>
      <c r="AK64" s="193"/>
      <c r="AL64" s="193">
        <v>581565.66</v>
      </c>
      <c r="AM64" s="193">
        <v>581565.66</v>
      </c>
      <c r="AN64" s="194">
        <v>923303.57</v>
      </c>
      <c r="AO64" s="193">
        <v>1074980.6000000001</v>
      </c>
      <c r="AP64" s="194"/>
      <c r="AQ64" s="193">
        <v>1074980.6000000001</v>
      </c>
      <c r="AR64" s="193">
        <v>1554565.63</v>
      </c>
      <c r="AS64" s="194"/>
      <c r="AT64" s="194"/>
      <c r="AU64" s="193">
        <v>2026640.53</v>
      </c>
      <c r="AV64" s="193">
        <v>2037037.33</v>
      </c>
      <c r="AW64" s="251">
        <f>2009226+27811</f>
        <v>2037037</v>
      </c>
      <c r="AX64" s="396"/>
      <c r="AY64" s="396"/>
      <c r="AZ64" s="396">
        <v>0</v>
      </c>
      <c r="BA64" s="249">
        <v>-4500.1000000000004</v>
      </c>
      <c r="BB64" s="249">
        <v>419228.47</v>
      </c>
      <c r="BC64" s="249">
        <v>1081025.69</v>
      </c>
      <c r="BD64" s="242">
        <v>1221025.69</v>
      </c>
      <c r="BE64" s="52">
        <v>1251338.49</v>
      </c>
      <c r="BF64" s="52">
        <v>1266653</v>
      </c>
      <c r="BH64" s="52">
        <v>1842636</v>
      </c>
      <c r="BI64" s="480">
        <v>2994656.41</v>
      </c>
      <c r="BJ64" s="480">
        <f>1874621+140000</f>
        <v>2014621</v>
      </c>
      <c r="BK64" s="480">
        <v>25</v>
      </c>
      <c r="BL64" s="480">
        <v>25</v>
      </c>
      <c r="BM64" s="480">
        <v>0</v>
      </c>
      <c r="BN64" s="480">
        <v>0</v>
      </c>
      <c r="BO64" s="480">
        <v>104170</v>
      </c>
      <c r="BP64" s="480">
        <v>128315</v>
      </c>
      <c r="BQ64" s="480">
        <v>214244</v>
      </c>
      <c r="BR64" s="499">
        <v>214244</v>
      </c>
      <c r="BS64" s="499">
        <v>1056416.6299999999</v>
      </c>
      <c r="BT64" s="506">
        <v>1064358</v>
      </c>
      <c r="BU64" s="52">
        <v>1944805</v>
      </c>
      <c r="BV64" s="52">
        <v>1454746</v>
      </c>
      <c r="BW64" s="52">
        <v>1454746.28</v>
      </c>
      <c r="BX64" s="88">
        <v>0</v>
      </c>
      <c r="BY64" s="88">
        <v>0</v>
      </c>
      <c r="BZ64" s="499">
        <v>438041</v>
      </c>
      <c r="CA64" s="499">
        <v>660356</v>
      </c>
      <c r="CB64" s="499">
        <v>1010457</v>
      </c>
      <c r="CC64" s="499">
        <v>1240392</v>
      </c>
      <c r="CD64" s="499">
        <v>2217330</v>
      </c>
      <c r="CE64" s="499">
        <v>2147187.81</v>
      </c>
      <c r="CF64" s="499">
        <v>2147187.81</v>
      </c>
      <c r="CG64" s="499">
        <v>2295944.5099999998</v>
      </c>
      <c r="CH64" s="499">
        <v>2319805.7400000002</v>
      </c>
      <c r="CI64" s="499">
        <v>2542224.44</v>
      </c>
      <c r="CJ64" s="527">
        <v>2542224.44</v>
      </c>
      <c r="CK64" s="506">
        <v>2947968.21</v>
      </c>
      <c r="CL64" s="499">
        <v>0</v>
      </c>
      <c r="CM64" s="499">
        <v>0</v>
      </c>
      <c r="CN64" s="499">
        <v>0</v>
      </c>
      <c r="CO64" s="499">
        <v>714070</v>
      </c>
      <c r="CP64" s="499">
        <v>921415</v>
      </c>
      <c r="CR64" s="560">
        <v>2287179.35</v>
      </c>
      <c r="CS64" s="560">
        <v>2337545.04</v>
      </c>
      <c r="CT64" s="560">
        <v>4773122</v>
      </c>
      <c r="CU64" s="560">
        <v>2433641.29</v>
      </c>
      <c r="CV64" s="560">
        <v>2947968.21</v>
      </c>
      <c r="CW64" s="480">
        <v>2947968.21</v>
      </c>
      <c r="CX64" s="646">
        <v>0</v>
      </c>
      <c r="CY64" s="646">
        <v>0</v>
      </c>
      <c r="CZ64" s="646">
        <v>0</v>
      </c>
      <c r="DA64" s="646">
        <v>0</v>
      </c>
      <c r="DB64" s="646">
        <v>0</v>
      </c>
      <c r="DC64" s="646">
        <v>0</v>
      </c>
      <c r="DD64" s="646">
        <v>0</v>
      </c>
      <c r="DE64" s="499">
        <v>0</v>
      </c>
      <c r="DF64" s="499">
        <v>0</v>
      </c>
      <c r="DG64" s="499">
        <v>0</v>
      </c>
      <c r="DH64" s="499">
        <v>0</v>
      </c>
      <c r="DI64" s="499">
        <v>0</v>
      </c>
      <c r="DJ64" s="88">
        <v>1724284</v>
      </c>
      <c r="DK64" s="646">
        <v>0</v>
      </c>
      <c r="DL64" s="646">
        <v>0</v>
      </c>
      <c r="DM64" s="646">
        <v>0</v>
      </c>
      <c r="DN64" s="646">
        <v>0</v>
      </c>
      <c r="DO64" s="646">
        <v>0</v>
      </c>
      <c r="DP64" s="646">
        <v>0</v>
      </c>
      <c r="DQ64" s="646">
        <v>0</v>
      </c>
      <c r="DR64" s="646">
        <v>0</v>
      </c>
      <c r="DS64" s="499">
        <v>0</v>
      </c>
      <c r="DT64" s="499">
        <v>0</v>
      </c>
      <c r="DU64" s="499">
        <v>0</v>
      </c>
      <c r="DW64" s="87">
        <v>1412683</v>
      </c>
    </row>
    <row r="65" spans="2:127" ht="13.8" x14ac:dyDescent="0.25">
      <c r="B65" s="93" t="s">
        <v>108</v>
      </c>
      <c r="C65" s="138">
        <v>780</v>
      </c>
      <c r="D65" s="138">
        <v>6090</v>
      </c>
      <c r="E65" s="138"/>
      <c r="F65" s="138"/>
      <c r="G65" s="136"/>
      <c r="H65" s="136">
        <v>0</v>
      </c>
      <c r="I65" s="136"/>
      <c r="J65" s="136">
        <v>0</v>
      </c>
      <c r="K65" s="136">
        <v>0</v>
      </c>
      <c r="L65" s="136">
        <v>0</v>
      </c>
      <c r="M65" s="136">
        <v>0</v>
      </c>
      <c r="N65" s="136">
        <v>0</v>
      </c>
      <c r="O65" s="136">
        <v>0</v>
      </c>
      <c r="P65" s="136">
        <v>0</v>
      </c>
      <c r="Q65" s="136">
        <v>0</v>
      </c>
      <c r="R65" s="136">
        <v>0</v>
      </c>
      <c r="S65" s="136">
        <v>0</v>
      </c>
      <c r="T65" s="136">
        <v>0</v>
      </c>
      <c r="U65" s="136">
        <v>0</v>
      </c>
      <c r="V65" s="136"/>
      <c r="W65" s="136"/>
      <c r="X65" s="136"/>
      <c r="Y65" s="136"/>
      <c r="Z65" s="136"/>
      <c r="AA65" s="136">
        <v>0</v>
      </c>
      <c r="AB65" s="136">
        <v>0</v>
      </c>
      <c r="AC65" s="136">
        <v>0</v>
      </c>
      <c r="AD65" s="191">
        <v>0</v>
      </c>
      <c r="AE65" s="193">
        <v>0</v>
      </c>
      <c r="AF65" s="193">
        <v>0</v>
      </c>
      <c r="AG65" s="193">
        <v>0</v>
      </c>
      <c r="AH65" s="193">
        <v>0</v>
      </c>
      <c r="AI65" s="193"/>
      <c r="AJ65" s="193"/>
      <c r="AK65" s="193"/>
      <c r="AL65" s="193">
        <v>0</v>
      </c>
      <c r="AM65" s="193">
        <v>0</v>
      </c>
      <c r="AN65" s="194">
        <v>0</v>
      </c>
      <c r="AO65" s="193">
        <v>0</v>
      </c>
      <c r="AP65" s="194">
        <v>0</v>
      </c>
      <c r="AQ65" s="193">
        <v>0</v>
      </c>
      <c r="AR65" s="193">
        <v>0</v>
      </c>
      <c r="AS65" s="194"/>
      <c r="AT65" s="194"/>
      <c r="AU65" s="193">
        <v>0</v>
      </c>
      <c r="AV65" s="193">
        <v>0</v>
      </c>
      <c r="AW65" s="251"/>
      <c r="AX65" s="396"/>
      <c r="AY65" s="396"/>
      <c r="AZ65" s="396">
        <v>0</v>
      </c>
      <c r="BA65" s="249">
        <v>0</v>
      </c>
      <c r="BB65" s="249">
        <v>0</v>
      </c>
      <c r="BC65" s="249">
        <v>0</v>
      </c>
      <c r="BD65" s="242">
        <v>0</v>
      </c>
      <c r="BE65" s="52">
        <v>0</v>
      </c>
      <c r="BH65" s="52">
        <v>0</v>
      </c>
      <c r="BI65" s="480">
        <v>0</v>
      </c>
      <c r="BK65" s="480">
        <v>0</v>
      </c>
      <c r="BL65" s="480">
        <v>0</v>
      </c>
      <c r="BM65" s="480">
        <v>0</v>
      </c>
      <c r="BN65" s="480">
        <v>0</v>
      </c>
      <c r="BO65" s="480">
        <v>0</v>
      </c>
      <c r="BP65" s="480">
        <v>0</v>
      </c>
      <c r="BQ65" s="480">
        <v>0</v>
      </c>
      <c r="BR65" s="480">
        <v>0</v>
      </c>
      <c r="BS65" s="480">
        <v>0</v>
      </c>
      <c r="BT65" s="480">
        <v>0</v>
      </c>
      <c r="BU65" s="52">
        <v>0</v>
      </c>
      <c r="BV65" s="52">
        <v>0</v>
      </c>
      <c r="BX65" s="88">
        <v>0</v>
      </c>
      <c r="BY65" s="88">
        <v>0</v>
      </c>
      <c r="BZ65" s="499">
        <v>26665</v>
      </c>
      <c r="CA65" s="499">
        <v>26665</v>
      </c>
      <c r="CB65" s="499">
        <v>26665</v>
      </c>
      <c r="CC65" s="499">
        <v>29857</v>
      </c>
      <c r="CD65" s="499">
        <v>29857</v>
      </c>
      <c r="CE65" s="499">
        <v>0</v>
      </c>
      <c r="CF65" s="499">
        <v>0</v>
      </c>
      <c r="CG65" s="499">
        <v>0</v>
      </c>
      <c r="CH65" s="499">
        <v>0</v>
      </c>
      <c r="CI65" s="499">
        <v>70023</v>
      </c>
      <c r="CJ65" s="527">
        <v>70023</v>
      </c>
      <c r="CK65" s="506">
        <v>0</v>
      </c>
      <c r="CL65" s="499">
        <v>420032.42</v>
      </c>
      <c r="CM65" s="499">
        <v>420032</v>
      </c>
      <c r="CN65" s="499">
        <v>374157</v>
      </c>
      <c r="CO65" s="499">
        <v>0</v>
      </c>
      <c r="CP65" s="499">
        <v>0</v>
      </c>
      <c r="CR65" s="560">
        <v>0</v>
      </c>
      <c r="CS65" s="560">
        <v>0</v>
      </c>
      <c r="CT65" s="560">
        <v>0</v>
      </c>
      <c r="CU65" s="560">
        <v>0</v>
      </c>
      <c r="CV65" s="560">
        <v>34654</v>
      </c>
      <c r="CW65" s="480">
        <v>34654</v>
      </c>
      <c r="CX65" s="646">
        <v>0</v>
      </c>
      <c r="CY65" s="646">
        <v>0</v>
      </c>
      <c r="CZ65" s="646">
        <v>27999.35</v>
      </c>
      <c r="DA65" s="646">
        <v>194819.57</v>
      </c>
      <c r="DB65" s="646">
        <v>194819.57</v>
      </c>
      <c r="DC65" s="646">
        <v>204699.07</v>
      </c>
      <c r="DD65" s="646">
        <v>204917.82</v>
      </c>
      <c r="DE65" s="499">
        <v>1141904.1200000001</v>
      </c>
      <c r="DF65" s="499">
        <v>1141904.1200000001</v>
      </c>
      <c r="DG65" s="499">
        <v>1141904.1200000001</v>
      </c>
      <c r="DH65" s="499">
        <v>1141904.1200000001</v>
      </c>
      <c r="DI65" s="499">
        <v>1603709.84</v>
      </c>
      <c r="DJ65" s="88">
        <v>30352</v>
      </c>
      <c r="DK65" s="646">
        <v>36874.480000000003</v>
      </c>
      <c r="DL65" s="646">
        <v>36874.480000000003</v>
      </c>
      <c r="DM65" s="646">
        <v>806650.56</v>
      </c>
      <c r="DN65" s="646">
        <v>806650.56</v>
      </c>
      <c r="DO65" s="646">
        <v>806650.56</v>
      </c>
      <c r="DP65" s="646">
        <v>811271.36</v>
      </c>
      <c r="DQ65" s="646">
        <v>814463.36</v>
      </c>
      <c r="DR65" s="646">
        <v>940362.79</v>
      </c>
      <c r="DS65" s="499">
        <v>940362.79</v>
      </c>
      <c r="DT65" s="499">
        <v>945777.79</v>
      </c>
      <c r="DU65" s="499">
        <v>1292743.1499999999</v>
      </c>
      <c r="DW65" s="87">
        <v>39398</v>
      </c>
    </row>
    <row r="66" spans="2:127" ht="13.8" x14ac:dyDescent="0.25">
      <c r="B66" s="97" t="s">
        <v>109</v>
      </c>
      <c r="C66" s="138"/>
      <c r="D66" s="138"/>
      <c r="E66" s="138">
        <v>37652</v>
      </c>
      <c r="F66" s="138">
        <v>47279</v>
      </c>
      <c r="G66" s="136">
        <v>1963473</v>
      </c>
      <c r="H66" s="136">
        <v>2520.89</v>
      </c>
      <c r="I66" s="136">
        <v>2778891</v>
      </c>
      <c r="J66" s="136">
        <v>187716.88</v>
      </c>
      <c r="K66" s="136">
        <v>394.14</v>
      </c>
      <c r="L66" s="136">
        <v>630.38</v>
      </c>
      <c r="M66" s="136">
        <v>933.3</v>
      </c>
      <c r="N66" s="136">
        <v>1196397</v>
      </c>
      <c r="O66" s="136">
        <v>1420510.75</v>
      </c>
      <c r="P66" s="136">
        <v>1712895.2</v>
      </c>
      <c r="Q66" s="136">
        <v>1955705.48</v>
      </c>
      <c r="R66" s="136">
        <v>2252754.58</v>
      </c>
      <c r="S66" s="136">
        <v>2462804.73</v>
      </c>
      <c r="T66" s="136">
        <v>2690567.71</v>
      </c>
      <c r="U66" s="136">
        <v>3051912.51</v>
      </c>
      <c r="V66" s="136">
        <v>4089791</v>
      </c>
      <c r="W66" s="136">
        <v>205211.5</v>
      </c>
      <c r="X66" s="136">
        <v>401021.33</v>
      </c>
      <c r="Y66" s="136">
        <v>715829.49</v>
      </c>
      <c r="Z66" s="136">
        <v>1023101.79</v>
      </c>
      <c r="AA66" s="136">
        <v>1241873.8400000001</v>
      </c>
      <c r="AB66" s="136">
        <v>1658320.99</v>
      </c>
      <c r="AC66" s="136">
        <v>1979930.37</v>
      </c>
      <c r="AD66" s="192">
        <v>2230731.1</v>
      </c>
      <c r="AE66" s="195">
        <v>2494414.81</v>
      </c>
      <c r="AF66" s="195">
        <v>2841503.14</v>
      </c>
      <c r="AG66" s="195">
        <v>3665831.98</v>
      </c>
      <c r="AH66" s="195">
        <v>4196774.41</v>
      </c>
      <c r="AI66" s="195">
        <v>5811421</v>
      </c>
      <c r="AJ66" s="195">
        <v>5811421</v>
      </c>
      <c r="AK66" s="195"/>
      <c r="AL66" s="195">
        <v>431952.1</v>
      </c>
      <c r="AM66" s="195">
        <v>742576.1</v>
      </c>
      <c r="AN66" s="248">
        <v>752091.3</v>
      </c>
      <c r="AO66" s="195">
        <v>757152.3</v>
      </c>
      <c r="AP66" s="248"/>
      <c r="AQ66" s="195">
        <v>750657.6</v>
      </c>
      <c r="AR66" s="195">
        <v>3585003.7</v>
      </c>
      <c r="AS66" s="248"/>
      <c r="AT66" s="248"/>
      <c r="AU66" s="195">
        <v>4857541.3600000003</v>
      </c>
      <c r="AV66" s="195">
        <v>6104690.8700000001</v>
      </c>
      <c r="AW66" s="381">
        <f>322850+2994810+2415037+598719+68350</f>
        <v>6399766</v>
      </c>
      <c r="AX66" s="397"/>
      <c r="AY66" s="397"/>
      <c r="AZ66" s="397">
        <v>-622305.09</v>
      </c>
      <c r="BA66" s="250">
        <v>-3391012.68</v>
      </c>
      <c r="BB66" s="250">
        <v>2255120.7999999998</v>
      </c>
      <c r="BC66" s="250">
        <v>2709837.65</v>
      </c>
      <c r="BD66" s="245">
        <v>3265023.5</v>
      </c>
      <c r="BE66" s="52">
        <v>3616405.1</v>
      </c>
      <c r="BF66" s="52">
        <v>4162133.45</v>
      </c>
      <c r="BH66" s="52">
        <v>5288565.8600000003</v>
      </c>
      <c r="BI66" s="480">
        <v>5829931.0499999998</v>
      </c>
      <c r="BJ66" s="480">
        <f>347000+1889083+3207477+2594506+87500</f>
        <v>8125566</v>
      </c>
      <c r="BK66" s="480">
        <v>354519.35</v>
      </c>
      <c r="BL66" s="480">
        <v>929529.29</v>
      </c>
      <c r="BM66" s="480">
        <v>1818514.84</v>
      </c>
      <c r="BN66" s="480">
        <v>2256960</v>
      </c>
      <c r="BO66" s="480">
        <v>2893743.67</v>
      </c>
      <c r="BP66" s="480">
        <v>3430335</v>
      </c>
      <c r="BQ66" s="480">
        <v>3825450</v>
      </c>
      <c r="BR66" s="500">
        <v>4438020</v>
      </c>
      <c r="BS66" s="500">
        <v>5933991.4100000001</v>
      </c>
      <c r="BT66" s="506">
        <v>6334425</v>
      </c>
      <c r="BU66" s="52">
        <v>6936943</v>
      </c>
      <c r="BV66" s="52">
        <v>12361347</v>
      </c>
      <c r="BW66" s="52">
        <v>12361347.93</v>
      </c>
      <c r="BX66" s="88">
        <v>233750</v>
      </c>
      <c r="BY66" s="88">
        <v>252591</v>
      </c>
      <c r="BZ66" s="500">
        <v>844095</v>
      </c>
      <c r="CA66" s="500">
        <v>1121385</v>
      </c>
      <c r="CB66" s="500">
        <v>1370870</v>
      </c>
      <c r="CC66" s="500">
        <v>1448170</v>
      </c>
      <c r="CD66" s="500">
        <v>1845933</v>
      </c>
      <c r="CE66" s="500">
        <v>2417908.7999999998</v>
      </c>
      <c r="CF66" s="500">
        <v>2681995</v>
      </c>
      <c r="CG66" s="500">
        <v>2577811.36</v>
      </c>
      <c r="CH66" s="500">
        <v>2847685.02</v>
      </c>
      <c r="CI66" s="500">
        <v>3301333.7</v>
      </c>
      <c r="CJ66" s="526">
        <v>3301333.7</v>
      </c>
      <c r="CK66" s="506">
        <v>196144.45</v>
      </c>
      <c r="CL66" s="500">
        <v>359090</v>
      </c>
      <c r="CM66" s="500">
        <v>1152263</v>
      </c>
      <c r="CN66" s="500">
        <v>1249243</v>
      </c>
      <c r="CO66" s="500">
        <v>1525404.4</v>
      </c>
      <c r="CP66" s="500">
        <v>1926416</v>
      </c>
      <c r="CR66" s="561">
        <v>2668304.4500000002</v>
      </c>
      <c r="CS66" s="561">
        <v>2945987.68</v>
      </c>
      <c r="CT66" s="561">
        <v>6555402</v>
      </c>
      <c r="CU66" s="561">
        <v>3764884.45</v>
      </c>
      <c r="CV66" s="561">
        <v>3994041.07</v>
      </c>
      <c r="CW66" s="480">
        <f>86200+27000+388300+94800+1772416.58+110620+375944.74+1138759.75</f>
        <v>3994041.0700000003</v>
      </c>
      <c r="CX66" s="647">
        <v>240098.74</v>
      </c>
      <c r="CY66" s="647">
        <v>677306.31</v>
      </c>
      <c r="CZ66" s="647">
        <v>1628629.75</v>
      </c>
      <c r="DA66" s="647">
        <v>2027638.13</v>
      </c>
      <c r="DB66" s="647">
        <v>2417874.59</v>
      </c>
      <c r="DC66" s="647">
        <v>2915638</v>
      </c>
      <c r="DD66" s="647">
        <v>3224891.93</v>
      </c>
      <c r="DJ66" s="88">
        <v>5607338</v>
      </c>
      <c r="DK66" s="647">
        <v>353180.06</v>
      </c>
      <c r="DL66" s="647">
        <v>698900.46</v>
      </c>
      <c r="DM66" s="647">
        <v>1785116.33</v>
      </c>
      <c r="DN66" s="647">
        <v>2216556.98</v>
      </c>
      <c r="DO66" s="647">
        <v>2602561.02</v>
      </c>
      <c r="DP66" s="647">
        <v>2990150.46</v>
      </c>
      <c r="DQ66" s="647">
        <v>3223035.3</v>
      </c>
      <c r="DR66" s="647">
        <v>4013505.95</v>
      </c>
      <c r="DS66" s="500">
        <v>4360705.8499999996</v>
      </c>
      <c r="DT66" s="500">
        <v>4722164.97</v>
      </c>
      <c r="DU66" s="500">
        <v>5024304.62</v>
      </c>
      <c r="DW66" s="87">
        <f>5471788+2852519</f>
        <v>8324307</v>
      </c>
    </row>
    <row r="67" spans="2:127" ht="13.2" x14ac:dyDescent="0.25">
      <c r="B67" s="90" t="s">
        <v>110</v>
      </c>
      <c r="C67" s="90"/>
      <c r="D67" s="91">
        <f t="shared" ref="D67:V67" si="153">SUM(D68:D73)</f>
        <v>404847</v>
      </c>
      <c r="E67" s="91">
        <f t="shared" si="153"/>
        <v>1148641</v>
      </c>
      <c r="F67" s="91">
        <f t="shared" si="153"/>
        <v>1918286</v>
      </c>
      <c r="G67" s="91">
        <f t="shared" si="153"/>
        <v>2325829</v>
      </c>
      <c r="H67" s="91">
        <f t="shared" si="153"/>
        <v>106.34</v>
      </c>
      <c r="I67" s="91">
        <f t="shared" si="153"/>
        <v>3194455</v>
      </c>
      <c r="J67" s="91">
        <f t="shared" si="153"/>
        <v>3603600</v>
      </c>
      <c r="K67" s="91">
        <f t="shared" si="153"/>
        <v>3600</v>
      </c>
      <c r="L67" s="91">
        <f t="shared" si="153"/>
        <v>3254190</v>
      </c>
      <c r="M67" s="91">
        <f t="shared" si="153"/>
        <v>3360130</v>
      </c>
      <c r="N67" s="91">
        <f t="shared" si="153"/>
        <v>164263</v>
      </c>
      <c r="O67" s="91">
        <f t="shared" si="153"/>
        <v>164563</v>
      </c>
      <c r="P67" s="91">
        <f t="shared" si="153"/>
        <v>215746</v>
      </c>
      <c r="Q67" s="91">
        <f t="shared" si="153"/>
        <v>348972</v>
      </c>
      <c r="R67" s="91">
        <f t="shared" si="153"/>
        <v>348972</v>
      </c>
      <c r="S67" s="91">
        <f t="shared" si="153"/>
        <v>400472</v>
      </c>
      <c r="T67" s="91">
        <f t="shared" si="153"/>
        <v>0</v>
      </c>
      <c r="U67" s="91">
        <f t="shared" si="153"/>
        <v>0</v>
      </c>
      <c r="V67" s="91">
        <f t="shared" si="153"/>
        <v>5436530</v>
      </c>
      <c r="W67" s="91">
        <f t="shared" ref="W67:AD67" si="154">SUM(W68:W73)</f>
        <v>97894</v>
      </c>
      <c r="X67" s="91">
        <f t="shared" si="154"/>
        <v>160334</v>
      </c>
      <c r="Y67" s="91">
        <f t="shared" si="154"/>
        <v>185434</v>
      </c>
      <c r="Z67" s="91">
        <f t="shared" si="154"/>
        <v>239164</v>
      </c>
      <c r="AA67" s="91">
        <f t="shared" si="154"/>
        <v>241064</v>
      </c>
      <c r="AB67" s="91">
        <f t="shared" si="154"/>
        <v>846754</v>
      </c>
      <c r="AC67" s="91">
        <f t="shared" si="154"/>
        <v>975611</v>
      </c>
      <c r="AD67" s="91">
        <f t="shared" si="154"/>
        <v>992741</v>
      </c>
      <c r="AE67" s="91">
        <f t="shared" ref="AE67:AG67" si="155">SUM(AE68:AE73)</f>
        <v>1229427</v>
      </c>
      <c r="AF67" s="91">
        <f t="shared" si="155"/>
        <v>1138480.5</v>
      </c>
      <c r="AG67" s="91">
        <f t="shared" si="155"/>
        <v>1291077.5</v>
      </c>
      <c r="AH67" s="91">
        <f t="shared" ref="AH67:AI67" si="156">SUM(AH68:AH73)</f>
        <v>1424151.5</v>
      </c>
      <c r="AI67" s="91">
        <f t="shared" si="156"/>
        <v>6256644</v>
      </c>
      <c r="AJ67" s="91">
        <f t="shared" ref="AJ67:CC67" si="157">SUM(AJ68:AJ73)</f>
        <v>6256645</v>
      </c>
      <c r="AK67" s="91">
        <f t="shared" si="157"/>
        <v>0</v>
      </c>
      <c r="AL67" s="91">
        <f t="shared" si="157"/>
        <v>564433.5</v>
      </c>
      <c r="AM67" s="91">
        <f t="shared" si="157"/>
        <v>677943.5</v>
      </c>
      <c r="AN67" s="91">
        <f t="shared" si="157"/>
        <v>754538.5</v>
      </c>
      <c r="AO67" s="91">
        <f t="shared" si="157"/>
        <v>736893.5</v>
      </c>
      <c r="AP67" s="91">
        <f t="shared" si="157"/>
        <v>0</v>
      </c>
      <c r="AQ67" s="91">
        <f t="shared" si="157"/>
        <v>892718.5</v>
      </c>
      <c r="AR67" s="91">
        <f t="shared" si="157"/>
        <v>6868932.5999999996</v>
      </c>
      <c r="AS67" s="91">
        <f t="shared" si="157"/>
        <v>0</v>
      </c>
      <c r="AT67" s="91">
        <f t="shared" si="157"/>
        <v>0</v>
      </c>
      <c r="AU67" s="91">
        <f t="shared" si="157"/>
        <v>7081676.5999999996</v>
      </c>
      <c r="AV67" s="91">
        <f t="shared" si="157"/>
        <v>1517635.5</v>
      </c>
      <c r="AW67" s="91">
        <f t="shared" si="157"/>
        <v>6600749</v>
      </c>
      <c r="AX67" s="91">
        <f t="shared" si="157"/>
        <v>0</v>
      </c>
      <c r="AY67" s="91">
        <f t="shared" si="157"/>
        <v>0</v>
      </c>
      <c r="AZ67" s="91">
        <f t="shared" si="157"/>
        <v>2828403</v>
      </c>
      <c r="BA67" s="91">
        <f t="shared" si="157"/>
        <v>1125290</v>
      </c>
      <c r="BB67" s="91">
        <f t="shared" si="157"/>
        <v>866103</v>
      </c>
      <c r="BC67" s="91">
        <f t="shared" si="157"/>
        <v>770083</v>
      </c>
      <c r="BD67" s="91">
        <f t="shared" si="157"/>
        <v>824865</v>
      </c>
      <c r="BE67" s="91">
        <f t="shared" si="157"/>
        <v>743260.5</v>
      </c>
      <c r="BF67" s="91">
        <f t="shared" si="157"/>
        <v>743260.5</v>
      </c>
      <c r="BG67" s="91">
        <f t="shared" si="157"/>
        <v>0</v>
      </c>
      <c r="BH67" s="91">
        <f t="shared" si="157"/>
        <v>1065896</v>
      </c>
      <c r="BI67" s="91">
        <f t="shared" si="157"/>
        <v>2268245.2999999998</v>
      </c>
      <c r="BJ67" s="91">
        <f t="shared" si="157"/>
        <v>11880913</v>
      </c>
      <c r="BK67" s="91">
        <f t="shared" si="157"/>
        <v>160281</v>
      </c>
      <c r="BL67" s="91">
        <f t="shared" si="157"/>
        <v>160281</v>
      </c>
      <c r="BM67" s="91">
        <f t="shared" si="157"/>
        <v>386701</v>
      </c>
      <c r="BN67" s="91">
        <f t="shared" si="157"/>
        <v>404501</v>
      </c>
      <c r="BO67" s="91">
        <f t="shared" si="157"/>
        <v>458501</v>
      </c>
      <c r="BP67" s="91">
        <f t="shared" si="157"/>
        <v>514751</v>
      </c>
      <c r="BQ67" s="91">
        <f t="shared" si="157"/>
        <v>568751</v>
      </c>
      <c r="BR67" s="91">
        <f t="shared" si="157"/>
        <v>632751</v>
      </c>
      <c r="BS67" s="91">
        <f t="shared" si="157"/>
        <v>686751</v>
      </c>
      <c r="BT67" s="91">
        <f t="shared" si="157"/>
        <v>686751</v>
      </c>
      <c r="BU67" s="91">
        <f t="shared" si="157"/>
        <v>750751</v>
      </c>
      <c r="BV67" s="91">
        <f t="shared" si="157"/>
        <v>1148751</v>
      </c>
      <c r="BW67" s="91">
        <f t="shared" si="157"/>
        <v>13791105.050000001</v>
      </c>
      <c r="BX67" s="91">
        <f t="shared" si="157"/>
        <v>116307</v>
      </c>
      <c r="BY67" s="91">
        <f t="shared" si="157"/>
        <v>248246</v>
      </c>
      <c r="BZ67" s="91">
        <f t="shared" si="157"/>
        <v>248246</v>
      </c>
      <c r="CA67" s="91">
        <f t="shared" si="157"/>
        <v>436909</v>
      </c>
      <c r="CB67" s="91">
        <f t="shared" si="157"/>
        <v>331575</v>
      </c>
      <c r="CC67" s="91">
        <f t="shared" si="157"/>
        <v>525251</v>
      </c>
      <c r="CD67" s="91">
        <f t="shared" ref="CD67:DW67" si="158">SUM(CD68:CD73)</f>
        <v>764759</v>
      </c>
      <c r="CE67" s="91">
        <f t="shared" si="158"/>
        <v>892166.1</v>
      </c>
      <c r="CF67" s="91">
        <f t="shared" si="158"/>
        <v>980698.76</v>
      </c>
      <c r="CG67" s="91">
        <f t="shared" si="158"/>
        <v>1218671.74</v>
      </c>
      <c r="CH67" s="91">
        <f t="shared" si="158"/>
        <v>1945967.69</v>
      </c>
      <c r="CI67" s="91">
        <f t="shared" si="158"/>
        <v>1326521.7</v>
      </c>
      <c r="CJ67" s="91">
        <f t="shared" si="158"/>
        <v>9675565.6999999993</v>
      </c>
      <c r="CK67" s="91">
        <f t="shared" si="158"/>
        <v>41938.86</v>
      </c>
      <c r="CL67" s="91">
        <f t="shared" si="158"/>
        <v>98663.86</v>
      </c>
      <c r="CM67" s="91">
        <f t="shared" si="158"/>
        <v>222686</v>
      </c>
      <c r="CN67" s="91">
        <f t="shared" si="158"/>
        <v>222686</v>
      </c>
      <c r="CO67" s="91">
        <f t="shared" si="158"/>
        <v>473969.70999999996</v>
      </c>
      <c r="CP67" s="91">
        <f t="shared" si="158"/>
        <v>623151.44999999995</v>
      </c>
      <c r="CQ67" s="552">
        <f t="shared" si="158"/>
        <v>0</v>
      </c>
      <c r="CR67" s="91">
        <f t="shared" si="158"/>
        <v>972168.56</v>
      </c>
      <c r="CS67" s="91">
        <f t="shared" si="158"/>
        <v>1187801.04</v>
      </c>
      <c r="CT67" s="91">
        <f t="shared" si="158"/>
        <v>2506654</v>
      </c>
      <c r="CU67" s="91">
        <f t="shared" si="158"/>
        <v>1346078.6600000001</v>
      </c>
      <c r="CV67" s="91">
        <f t="shared" si="158"/>
        <v>1982450.78</v>
      </c>
      <c r="CW67" s="91">
        <f t="shared" si="158"/>
        <v>15536213.869999999</v>
      </c>
      <c r="CX67" s="91">
        <f t="shared" si="158"/>
        <v>82327.48</v>
      </c>
      <c r="CY67" s="91">
        <f t="shared" si="158"/>
        <v>111379.48</v>
      </c>
      <c r="CZ67" s="91">
        <f t="shared" si="158"/>
        <v>265622.66000000003</v>
      </c>
      <c r="DA67" s="91">
        <f t="shared" si="158"/>
        <v>326442.18</v>
      </c>
      <c r="DB67" s="91">
        <f t="shared" si="158"/>
        <v>362723.6</v>
      </c>
      <c r="DC67" s="91">
        <f t="shared" si="158"/>
        <v>481506.57999999996</v>
      </c>
      <c r="DD67" s="91">
        <f t="shared" si="158"/>
        <v>640506.79</v>
      </c>
      <c r="DE67" s="91">
        <f t="shared" si="158"/>
        <v>904309.29</v>
      </c>
      <c r="DF67" s="91">
        <f t="shared" si="158"/>
        <v>510047.39999999997</v>
      </c>
      <c r="DG67" s="91">
        <f t="shared" si="158"/>
        <v>523582.39999999997</v>
      </c>
      <c r="DH67" s="91">
        <f t="shared" si="158"/>
        <v>1170198.77</v>
      </c>
      <c r="DI67" s="91">
        <f t="shared" si="158"/>
        <v>2139915.25</v>
      </c>
      <c r="DJ67" s="91">
        <f t="shared" si="158"/>
        <v>18147653</v>
      </c>
      <c r="DK67" s="91">
        <f t="shared" si="158"/>
        <v>217661.36</v>
      </c>
      <c r="DL67" s="91">
        <f t="shared" si="158"/>
        <v>242756.36</v>
      </c>
      <c r="DM67" s="91">
        <f t="shared" si="158"/>
        <v>376011.22</v>
      </c>
      <c r="DN67" s="91">
        <f t="shared" si="158"/>
        <v>413389</v>
      </c>
      <c r="DO67" s="91">
        <f t="shared" si="158"/>
        <v>688966</v>
      </c>
      <c r="DP67" s="91">
        <f t="shared" si="158"/>
        <v>798615.83000000007</v>
      </c>
      <c r="DQ67" s="91">
        <f t="shared" si="158"/>
        <v>805183.99</v>
      </c>
      <c r="DR67" s="91">
        <f t="shared" si="158"/>
        <v>1263245.3599999999</v>
      </c>
      <c r="DS67" s="91">
        <f t="shared" si="158"/>
        <v>1297299.78</v>
      </c>
      <c r="DT67" s="91">
        <f t="shared" si="158"/>
        <v>1304266.57</v>
      </c>
      <c r="DU67" s="91">
        <f t="shared" si="158"/>
        <v>1683629.6</v>
      </c>
      <c r="DV67" s="91">
        <f t="shared" si="158"/>
        <v>0</v>
      </c>
      <c r="DW67" s="538">
        <f t="shared" si="158"/>
        <v>21482339</v>
      </c>
    </row>
    <row r="68" spans="2:127" ht="13.2" x14ac:dyDescent="0.25">
      <c r="B68" s="93" t="s">
        <v>111</v>
      </c>
      <c r="C68" s="105"/>
      <c r="D68" s="105"/>
      <c r="E68" s="105">
        <v>1138470</v>
      </c>
      <c r="F68" s="105">
        <v>1235355</v>
      </c>
      <c r="G68" s="136">
        <v>1496701</v>
      </c>
      <c r="H68" s="136">
        <v>0</v>
      </c>
      <c r="I68" s="136">
        <f>147540+2506276</f>
        <v>2653816</v>
      </c>
      <c r="J68" s="136">
        <v>0</v>
      </c>
      <c r="K68" s="136">
        <v>0</v>
      </c>
      <c r="L68" s="136">
        <v>3225290</v>
      </c>
      <c r="M68" s="136">
        <v>3225290</v>
      </c>
      <c r="N68" s="136">
        <v>0</v>
      </c>
      <c r="O68" s="136">
        <v>0</v>
      </c>
      <c r="P68" s="136">
        <v>0</v>
      </c>
      <c r="Q68" s="136">
        <v>0</v>
      </c>
      <c r="R68" s="136">
        <v>0</v>
      </c>
      <c r="S68" s="136">
        <v>0</v>
      </c>
      <c r="T68" s="136"/>
      <c r="U68" s="136"/>
      <c r="V68" s="136">
        <f>93967+3113833</f>
        <v>3207800</v>
      </c>
      <c r="W68" s="136"/>
      <c r="X68" s="136"/>
      <c r="Y68" s="136"/>
      <c r="Z68" s="136"/>
      <c r="AA68" s="136">
        <v>0</v>
      </c>
      <c r="AB68" s="136">
        <v>0</v>
      </c>
      <c r="AC68" s="136">
        <v>0</v>
      </c>
      <c r="AD68" s="136"/>
      <c r="AE68" s="136"/>
      <c r="AF68" s="193">
        <v>-2320</v>
      </c>
      <c r="AG68" s="193">
        <v>-2320</v>
      </c>
      <c r="AH68" s="193">
        <v>-4640</v>
      </c>
      <c r="AI68" s="193">
        <f>4954346+171717</f>
        <v>5126063</v>
      </c>
      <c r="AJ68" s="193">
        <f>4954346+171717</f>
        <v>5126063</v>
      </c>
      <c r="AK68" s="193"/>
      <c r="AL68" s="193"/>
      <c r="AM68" s="193"/>
      <c r="AN68" s="193"/>
      <c r="AO68" s="193"/>
      <c r="AP68" s="193"/>
      <c r="AQ68" s="193"/>
      <c r="AR68" s="194">
        <v>5854534.0999999996</v>
      </c>
      <c r="AS68" s="193"/>
      <c r="AT68" s="193"/>
      <c r="AU68" s="193">
        <v>5854534.0999999996</v>
      </c>
      <c r="AV68" s="193">
        <v>-27920</v>
      </c>
      <c r="AW68" s="193">
        <f>5434834+373902</f>
        <v>5808736</v>
      </c>
      <c r="AX68" s="394"/>
      <c r="AY68" s="394"/>
      <c r="AZ68" s="394">
        <v>0</v>
      </c>
      <c r="BA68" s="242">
        <v>0</v>
      </c>
      <c r="BB68" s="242">
        <v>0</v>
      </c>
      <c r="BC68" s="242">
        <v>33572</v>
      </c>
      <c r="BD68" s="242">
        <v>0</v>
      </c>
      <c r="BE68" s="52">
        <v>0</v>
      </c>
      <c r="BH68" s="52">
        <v>0</v>
      </c>
      <c r="BI68" s="480">
        <v>0</v>
      </c>
      <c r="BJ68" s="480">
        <v>6911689</v>
      </c>
      <c r="BK68" s="480">
        <v>0</v>
      </c>
      <c r="BL68" s="480">
        <v>0</v>
      </c>
      <c r="BM68" s="480">
        <v>0</v>
      </c>
      <c r="BN68" s="480">
        <v>0</v>
      </c>
      <c r="BO68" s="480">
        <v>0</v>
      </c>
      <c r="BP68" s="480">
        <v>0</v>
      </c>
      <c r="BQ68" s="480">
        <v>0</v>
      </c>
      <c r="BR68" s="480">
        <v>0</v>
      </c>
      <c r="BS68" s="480">
        <v>0</v>
      </c>
      <c r="BT68" s="480">
        <v>0</v>
      </c>
      <c r="BU68" s="52">
        <v>0</v>
      </c>
      <c r="BV68" s="52">
        <v>0</v>
      </c>
      <c r="BW68" s="52">
        <v>9040189.5999999996</v>
      </c>
      <c r="BX68" s="88">
        <v>0</v>
      </c>
      <c r="BY68" s="88">
        <v>0</v>
      </c>
      <c r="BZ68" s="499">
        <v>0</v>
      </c>
      <c r="CA68" s="499">
        <v>0</v>
      </c>
      <c r="CB68" s="499">
        <v>0</v>
      </c>
      <c r="CC68" s="499">
        <v>0</v>
      </c>
      <c r="CD68" s="499">
        <v>0</v>
      </c>
      <c r="CE68" s="499">
        <v>0</v>
      </c>
      <c r="CF68" s="499">
        <v>0</v>
      </c>
      <c r="CG68" s="499">
        <v>217011.56</v>
      </c>
      <c r="CH68" s="499">
        <v>828440.51</v>
      </c>
      <c r="CI68" s="499">
        <v>0</v>
      </c>
      <c r="CJ68" s="527">
        <v>8349044.0099999998</v>
      </c>
      <c r="CL68" s="499">
        <v>0</v>
      </c>
      <c r="CM68" s="499">
        <v>0</v>
      </c>
      <c r="CN68" s="499">
        <v>0</v>
      </c>
      <c r="CO68" s="499">
        <v>220061.21</v>
      </c>
      <c r="CP68" s="499">
        <v>266144.95</v>
      </c>
      <c r="CR68" s="560">
        <v>299899.56</v>
      </c>
      <c r="CS68" s="560">
        <v>431545.04</v>
      </c>
      <c r="CT68" s="560">
        <v>962662</v>
      </c>
      <c r="CU68" s="560">
        <v>533428.66</v>
      </c>
      <c r="CV68" s="560">
        <v>604636.78</v>
      </c>
      <c r="CW68" s="480">
        <v>13660763.09</v>
      </c>
      <c r="CX68" s="646">
        <v>49468</v>
      </c>
      <c r="CY68" s="646">
        <v>58230</v>
      </c>
      <c r="CZ68" s="646">
        <v>149854.66</v>
      </c>
      <c r="DA68" s="646">
        <v>206989.7</v>
      </c>
      <c r="DB68" s="646">
        <v>211116.2</v>
      </c>
      <c r="DC68" s="646">
        <v>324259.65999999997</v>
      </c>
      <c r="DD68" s="646">
        <v>377959.39</v>
      </c>
      <c r="DE68" s="499">
        <v>395521.89</v>
      </c>
      <c r="DF68" s="499">
        <v>0</v>
      </c>
      <c r="DG68" s="499">
        <v>0</v>
      </c>
      <c r="DH68" s="499">
        <v>581163.29</v>
      </c>
      <c r="DI68" s="499">
        <v>725467.4</v>
      </c>
      <c r="DJ68" s="88">
        <v>15897898</v>
      </c>
      <c r="DK68" s="646">
        <v>122665.36</v>
      </c>
      <c r="DL68" s="646">
        <v>147220.35999999999</v>
      </c>
      <c r="DM68" s="646">
        <v>161738.10999999999</v>
      </c>
      <c r="DN68" s="646">
        <v>195435.89</v>
      </c>
      <c r="DO68" s="646">
        <v>234835.89</v>
      </c>
      <c r="DP68" s="646">
        <v>256265.72</v>
      </c>
      <c r="DQ68" s="646">
        <v>261813.88</v>
      </c>
      <c r="DR68" s="646">
        <v>305118.88</v>
      </c>
      <c r="DS68" s="499">
        <v>340323.3</v>
      </c>
      <c r="DT68" s="499">
        <v>344242.34</v>
      </c>
      <c r="DU68" s="499">
        <v>397523.37</v>
      </c>
      <c r="DW68" s="87">
        <v>19727218</v>
      </c>
    </row>
    <row r="69" spans="2:127" ht="13.2" x14ac:dyDescent="0.25">
      <c r="B69" s="93" t="s">
        <v>112</v>
      </c>
      <c r="C69" s="105"/>
      <c r="D69" s="105"/>
      <c r="E69" s="105"/>
      <c r="F69" s="105">
        <v>152793</v>
      </c>
      <c r="G69" s="137">
        <v>257234</v>
      </c>
      <c r="H69" s="137">
        <v>0</v>
      </c>
      <c r="I69" s="137">
        <v>304823</v>
      </c>
      <c r="J69" s="137">
        <v>0</v>
      </c>
      <c r="K69" s="137">
        <v>0</v>
      </c>
      <c r="L69" s="137">
        <v>0</v>
      </c>
      <c r="M69" s="137">
        <v>95650</v>
      </c>
      <c r="N69" s="137">
        <v>95650</v>
      </c>
      <c r="O69" s="137">
        <v>95650</v>
      </c>
      <c r="P69" s="137">
        <v>145633</v>
      </c>
      <c r="Q69" s="137">
        <v>276559</v>
      </c>
      <c r="R69" s="137">
        <v>276559</v>
      </c>
      <c r="S69" s="137">
        <v>276559</v>
      </c>
      <c r="T69" s="137"/>
      <c r="U69" s="137"/>
      <c r="V69" s="137">
        <v>514256</v>
      </c>
      <c r="W69" s="137"/>
      <c r="X69" s="137"/>
      <c r="Y69" s="137"/>
      <c r="Z69" s="137">
        <v>52230</v>
      </c>
      <c r="AA69" s="137">
        <v>52230</v>
      </c>
      <c r="AB69" s="137">
        <v>61830</v>
      </c>
      <c r="AC69" s="137">
        <v>65030</v>
      </c>
      <c r="AD69" s="191">
        <v>71430</v>
      </c>
      <c r="AE69" s="193">
        <v>71430</v>
      </c>
      <c r="AF69" s="193">
        <v>71430</v>
      </c>
      <c r="AG69" s="193">
        <v>160482</v>
      </c>
      <c r="AH69" s="193">
        <v>173771</v>
      </c>
      <c r="AI69" s="193">
        <v>137397</v>
      </c>
      <c r="AJ69" s="193">
        <v>137398</v>
      </c>
      <c r="AK69" s="193"/>
      <c r="AL69" s="193"/>
      <c r="AM69" s="193"/>
      <c r="AN69" s="193">
        <v>7200</v>
      </c>
      <c r="AO69" s="193">
        <v>7200</v>
      </c>
      <c r="AP69" s="193"/>
      <c r="AQ69" s="194">
        <v>7200</v>
      </c>
      <c r="AR69" s="194">
        <v>18400</v>
      </c>
      <c r="AS69" s="193"/>
      <c r="AT69" s="193"/>
      <c r="AU69" s="193">
        <v>18400</v>
      </c>
      <c r="AV69" s="193">
        <v>18400</v>
      </c>
      <c r="AW69" s="251"/>
      <c r="AX69" s="394"/>
      <c r="AY69" s="394"/>
      <c r="AZ69" s="394">
        <v>0</v>
      </c>
      <c r="BA69" s="242">
        <v>0</v>
      </c>
      <c r="BB69" s="242">
        <v>33572</v>
      </c>
      <c r="BC69" s="242">
        <v>0</v>
      </c>
      <c r="BD69" s="242">
        <v>515523</v>
      </c>
      <c r="BE69" s="52">
        <v>0</v>
      </c>
      <c r="BH69" s="52">
        <v>0</v>
      </c>
      <c r="BI69" s="480">
        <v>0</v>
      </c>
      <c r="BJ69" s="480">
        <v>64504</v>
      </c>
      <c r="BK69" s="480">
        <v>0</v>
      </c>
      <c r="BL69" s="480">
        <v>0</v>
      </c>
      <c r="BM69" s="480">
        <v>36200</v>
      </c>
      <c r="BN69" s="480">
        <v>0</v>
      </c>
      <c r="BO69" s="480">
        <v>0</v>
      </c>
      <c r="BP69" s="480">
        <v>0</v>
      </c>
      <c r="BQ69" s="480">
        <v>0</v>
      </c>
      <c r="BR69" s="480">
        <v>0</v>
      </c>
      <c r="BS69" s="480">
        <v>0</v>
      </c>
      <c r="BT69" s="480">
        <v>0</v>
      </c>
      <c r="BU69" s="52">
        <v>0</v>
      </c>
      <c r="BV69" s="52">
        <v>0</v>
      </c>
      <c r="BW69" s="52">
        <f>78665+62097</f>
        <v>140762</v>
      </c>
      <c r="BX69" s="88">
        <v>62097</v>
      </c>
      <c r="BY69" s="88">
        <v>194036</v>
      </c>
      <c r="BZ69" s="499">
        <v>194036</v>
      </c>
      <c r="CA69" s="499">
        <v>382699</v>
      </c>
      <c r="CB69" s="499">
        <v>325485</v>
      </c>
      <c r="CC69" s="499">
        <v>382528</v>
      </c>
      <c r="CD69" s="499">
        <v>435172</v>
      </c>
      <c r="CE69" s="499">
        <v>449488</v>
      </c>
      <c r="CF69" s="499">
        <v>495132</v>
      </c>
      <c r="CG69" s="499">
        <v>513309</v>
      </c>
      <c r="CH69" s="499">
        <v>559246</v>
      </c>
      <c r="CI69" s="499">
        <v>559246</v>
      </c>
      <c r="CJ69" s="527">
        <v>828440.51</v>
      </c>
      <c r="CL69" s="499">
        <v>42795</v>
      </c>
      <c r="CM69" s="499">
        <v>85590</v>
      </c>
      <c r="CN69" s="499">
        <v>85590</v>
      </c>
      <c r="CO69" s="499">
        <v>163782</v>
      </c>
      <c r="CP69" s="499">
        <v>243440</v>
      </c>
      <c r="CR69" s="560">
        <v>311160</v>
      </c>
      <c r="CS69" s="560">
        <v>341147</v>
      </c>
      <c r="CT69" s="560">
        <v>682294</v>
      </c>
      <c r="CU69" s="560">
        <v>363599</v>
      </c>
      <c r="CV69" s="560">
        <v>400920</v>
      </c>
      <c r="CW69" s="480">
        <v>1005556.78</v>
      </c>
      <c r="CX69" s="646">
        <v>28750</v>
      </c>
      <c r="CY69" s="646">
        <v>41900</v>
      </c>
      <c r="CZ69" s="646">
        <v>52099</v>
      </c>
      <c r="DA69" s="646">
        <v>52099</v>
      </c>
      <c r="DB69" s="646">
        <v>86653.92</v>
      </c>
      <c r="DC69" s="646">
        <v>86653.92</v>
      </c>
      <c r="DD69" s="646">
        <v>86653.92</v>
      </c>
      <c r="DE69" s="499">
        <v>86653.92</v>
      </c>
      <c r="DF69" s="499">
        <v>86653.92</v>
      </c>
      <c r="DG69" s="499">
        <v>86653.92</v>
      </c>
      <c r="DH69" s="499">
        <v>106781</v>
      </c>
      <c r="DI69" s="499">
        <v>430404</v>
      </c>
      <c r="DJ69" s="88">
        <v>686269</v>
      </c>
      <c r="DK69" s="646">
        <v>0</v>
      </c>
      <c r="DL69" s="646">
        <v>0</v>
      </c>
      <c r="DM69" s="646">
        <v>109549.34</v>
      </c>
      <c r="DN69" s="646">
        <v>109549.34</v>
      </c>
      <c r="DO69" s="646">
        <v>336736.34</v>
      </c>
      <c r="DP69" s="646">
        <v>421836.34</v>
      </c>
      <c r="DQ69" s="646">
        <v>421836.34</v>
      </c>
      <c r="DR69" s="646">
        <v>798856.02</v>
      </c>
      <c r="DS69" s="499">
        <v>798856.02</v>
      </c>
      <c r="DT69" s="499">
        <v>798856.02</v>
      </c>
      <c r="DU69" s="499">
        <v>1065433.02</v>
      </c>
      <c r="DW69" s="87">
        <v>1197819</v>
      </c>
    </row>
    <row r="70" spans="2:127" ht="13.2" x14ac:dyDescent="0.25">
      <c r="B70" s="93" t="s">
        <v>113</v>
      </c>
      <c r="C70" s="93"/>
      <c r="D70" s="144">
        <v>404847</v>
      </c>
      <c r="E70" s="144"/>
      <c r="F70" s="144">
        <v>407532</v>
      </c>
      <c r="G70" s="137">
        <v>393000</v>
      </c>
      <c r="H70" s="137">
        <v>0</v>
      </c>
      <c r="I70" s="137"/>
      <c r="J70" s="137">
        <v>0</v>
      </c>
      <c r="K70" s="137">
        <v>0</v>
      </c>
      <c r="L70" s="137">
        <v>0</v>
      </c>
      <c r="M70" s="137">
        <v>0</v>
      </c>
      <c r="N70" s="137">
        <v>0</v>
      </c>
      <c r="O70" s="137">
        <v>0</v>
      </c>
      <c r="P70" s="137">
        <v>0</v>
      </c>
      <c r="Q70" s="137">
        <v>0</v>
      </c>
      <c r="R70" s="137">
        <v>0</v>
      </c>
      <c r="S70" s="137">
        <v>0</v>
      </c>
      <c r="T70" s="137"/>
      <c r="U70" s="137"/>
      <c r="V70" s="137">
        <v>894352</v>
      </c>
      <c r="W70" s="137"/>
      <c r="X70" s="137"/>
      <c r="Y70" s="137"/>
      <c r="Z70" s="137"/>
      <c r="AA70" s="137">
        <v>0</v>
      </c>
      <c r="AB70" s="137">
        <v>675528</v>
      </c>
      <c r="AC70" s="137">
        <v>791435</v>
      </c>
      <c r="AD70" s="191">
        <v>796665</v>
      </c>
      <c r="AE70" s="193">
        <v>971295</v>
      </c>
      <c r="AF70" s="193">
        <v>829855</v>
      </c>
      <c r="AG70" s="193">
        <v>871260</v>
      </c>
      <c r="AH70" s="193">
        <v>926560</v>
      </c>
      <c r="AI70" s="193"/>
      <c r="AJ70" s="193"/>
      <c r="AK70" s="193"/>
      <c r="AL70" s="193">
        <v>414920</v>
      </c>
      <c r="AM70" s="194">
        <v>509145</v>
      </c>
      <c r="AN70" s="193">
        <v>572540</v>
      </c>
      <c r="AO70" s="193">
        <v>566045</v>
      </c>
      <c r="AP70" s="193"/>
      <c r="AQ70" s="194">
        <v>718470</v>
      </c>
      <c r="AR70" s="194">
        <v>877570</v>
      </c>
      <c r="AS70" s="193"/>
      <c r="AT70" s="193"/>
      <c r="AU70" s="193">
        <v>984044</v>
      </c>
      <c r="AV70" s="193">
        <v>1104497</v>
      </c>
      <c r="AW70" s="251"/>
      <c r="AX70" s="394"/>
      <c r="AY70" s="394"/>
      <c r="AZ70" s="394">
        <v>2757782</v>
      </c>
      <c r="BA70" s="242">
        <v>715212</v>
      </c>
      <c r="BB70" s="242">
        <v>608151</v>
      </c>
      <c r="BC70" s="242">
        <v>503431</v>
      </c>
      <c r="BD70" s="242">
        <v>4000</v>
      </c>
      <c r="BE70" s="52">
        <v>0</v>
      </c>
      <c r="BH70" s="52">
        <v>0</v>
      </c>
      <c r="BI70" s="480">
        <v>0</v>
      </c>
      <c r="BK70" s="480">
        <v>0</v>
      </c>
      <c r="BL70" s="480">
        <v>0</v>
      </c>
      <c r="BM70" s="480">
        <v>0</v>
      </c>
      <c r="BN70" s="480">
        <v>0</v>
      </c>
      <c r="BO70" s="480">
        <v>0</v>
      </c>
      <c r="BP70" s="480">
        <v>0</v>
      </c>
      <c r="BQ70" s="480">
        <v>0</v>
      </c>
      <c r="BR70" s="480">
        <v>0</v>
      </c>
      <c r="BS70" s="480">
        <v>0</v>
      </c>
      <c r="BT70" s="480">
        <v>0</v>
      </c>
      <c r="BU70" s="52">
        <v>0</v>
      </c>
      <c r="BV70" s="52">
        <v>0</v>
      </c>
      <c r="BX70" s="88">
        <v>0</v>
      </c>
      <c r="BY70" s="88">
        <v>0</v>
      </c>
      <c r="BZ70" s="499">
        <v>0</v>
      </c>
      <c r="CA70" s="499">
        <v>0</v>
      </c>
      <c r="CB70" s="499">
        <v>0</v>
      </c>
      <c r="CC70" s="499">
        <v>0</v>
      </c>
      <c r="CD70" s="499">
        <v>0</v>
      </c>
      <c r="CE70" s="499">
        <v>0</v>
      </c>
      <c r="CF70" s="499">
        <v>0</v>
      </c>
      <c r="CG70" s="499">
        <v>0</v>
      </c>
      <c r="CH70" s="499">
        <v>0</v>
      </c>
      <c r="CI70" s="499">
        <v>0</v>
      </c>
      <c r="CJ70" s="527">
        <v>0</v>
      </c>
      <c r="CL70" s="499">
        <v>0</v>
      </c>
      <c r="CM70" s="499">
        <v>0</v>
      </c>
      <c r="CN70" s="499">
        <v>0</v>
      </c>
      <c r="CO70" s="499">
        <v>0</v>
      </c>
      <c r="CP70" s="499">
        <v>0</v>
      </c>
      <c r="CR70" s="560">
        <v>0</v>
      </c>
      <c r="CS70" s="560">
        <v>0</v>
      </c>
      <c r="CT70" s="560">
        <v>0</v>
      </c>
      <c r="CU70" s="560">
        <v>0</v>
      </c>
      <c r="CV70" s="560">
        <v>0</v>
      </c>
      <c r="CW70" s="480"/>
      <c r="CX70" s="646">
        <v>0</v>
      </c>
      <c r="CY70" s="646">
        <v>0</v>
      </c>
      <c r="CZ70" s="646">
        <v>0</v>
      </c>
      <c r="DA70" s="646">
        <v>0</v>
      </c>
      <c r="DB70" s="646">
        <v>0</v>
      </c>
      <c r="DC70" s="646">
        <v>0</v>
      </c>
      <c r="DD70" s="646">
        <v>0</v>
      </c>
      <c r="DE70" s="499">
        <v>0</v>
      </c>
      <c r="DF70" s="499">
        <v>0</v>
      </c>
      <c r="DG70" s="499">
        <v>0</v>
      </c>
      <c r="DH70" s="499">
        <v>0</v>
      </c>
      <c r="DI70" s="499">
        <v>0</v>
      </c>
      <c r="DJ70" s="88">
        <v>725467</v>
      </c>
      <c r="DK70" s="646">
        <v>0</v>
      </c>
      <c r="DL70" s="646">
        <v>0</v>
      </c>
      <c r="DM70" s="646">
        <v>0</v>
      </c>
      <c r="DN70" s="646">
        <v>0</v>
      </c>
      <c r="DO70" s="646">
        <v>0</v>
      </c>
      <c r="DP70" s="646">
        <v>0</v>
      </c>
      <c r="DQ70" s="646">
        <v>0</v>
      </c>
      <c r="DR70" s="646">
        <v>0</v>
      </c>
      <c r="DS70" s="499">
        <v>0</v>
      </c>
      <c r="DT70" s="499">
        <v>0</v>
      </c>
      <c r="DU70" s="499">
        <v>0</v>
      </c>
    </row>
    <row r="71" spans="2:127" ht="13.8" x14ac:dyDescent="0.25">
      <c r="B71" s="93" t="s">
        <v>114</v>
      </c>
      <c r="C71" s="93"/>
      <c r="D71" s="144"/>
      <c r="E71" s="144">
        <v>10171</v>
      </c>
      <c r="F71" s="144">
        <v>122606</v>
      </c>
      <c r="G71" s="137">
        <f>15415+163479</f>
        <v>178894</v>
      </c>
      <c r="H71" s="137">
        <v>12.64</v>
      </c>
      <c r="I71" s="137">
        <f>10175+207641+2400+15600</f>
        <v>235816</v>
      </c>
      <c r="J71" s="137">
        <v>3603600</v>
      </c>
      <c r="K71" s="137">
        <v>3600</v>
      </c>
      <c r="L71" s="137">
        <v>6100</v>
      </c>
      <c r="M71" s="137">
        <v>16290</v>
      </c>
      <c r="N71" s="137">
        <v>16289</v>
      </c>
      <c r="O71" s="137">
        <v>16289</v>
      </c>
      <c r="P71" s="137">
        <v>17789</v>
      </c>
      <c r="Q71" s="137">
        <v>20089</v>
      </c>
      <c r="R71" s="137">
        <v>20089</v>
      </c>
      <c r="S71" s="137">
        <v>21589</v>
      </c>
      <c r="T71" s="137"/>
      <c r="U71" s="137"/>
      <c r="V71" s="137">
        <f>60000+2400+746595+11127</f>
        <v>820122</v>
      </c>
      <c r="W71" s="137">
        <v>1350</v>
      </c>
      <c r="X71" s="137">
        <v>1350</v>
      </c>
      <c r="Y71" s="137">
        <v>3600</v>
      </c>
      <c r="Z71" s="137">
        <v>5100</v>
      </c>
      <c r="AA71" s="137">
        <v>6400</v>
      </c>
      <c r="AB71" s="137">
        <v>42550</v>
      </c>
      <c r="AC71" s="137">
        <v>52300</v>
      </c>
      <c r="AD71" s="191">
        <v>57800</v>
      </c>
      <c r="AE71" s="193">
        <v>119856</v>
      </c>
      <c r="AF71" s="193">
        <v>169669.5</v>
      </c>
      <c r="AG71" s="193">
        <v>180609.5</v>
      </c>
      <c r="AH71" s="193">
        <v>197414.5</v>
      </c>
      <c r="AI71" s="193">
        <f>11127+929657+2400+50000</f>
        <v>993184</v>
      </c>
      <c r="AJ71" s="193">
        <f>11127+929657+2400+50000</f>
        <v>993184</v>
      </c>
      <c r="AK71" s="193"/>
      <c r="AL71" s="193">
        <v>35207.5</v>
      </c>
      <c r="AM71" s="194">
        <v>54492.5</v>
      </c>
      <c r="AN71" s="193">
        <v>60492.5</v>
      </c>
      <c r="AO71" s="193">
        <v>49342.5</v>
      </c>
      <c r="AP71" s="193"/>
      <c r="AQ71" s="194">
        <v>52742.5</v>
      </c>
      <c r="AR71" s="194">
        <v>4122.5</v>
      </c>
      <c r="AS71" s="193"/>
      <c r="AT71" s="193"/>
      <c r="AU71" s="193">
        <v>10142.5</v>
      </c>
      <c r="AV71" s="193">
        <v>203302.5</v>
      </c>
      <c r="AW71" s="251">
        <f>75013+578000+89000+50000</f>
        <v>792013</v>
      </c>
      <c r="AX71" s="394"/>
      <c r="AY71" s="394"/>
      <c r="AZ71" s="394">
        <v>18021</v>
      </c>
      <c r="BA71" s="242">
        <v>120362</v>
      </c>
      <c r="BB71" s="242">
        <v>79272</v>
      </c>
      <c r="BC71" s="242">
        <v>87972</v>
      </c>
      <c r="BD71" s="242">
        <v>159034</v>
      </c>
      <c r="BE71" s="52">
        <v>560462.5</v>
      </c>
      <c r="BF71" s="52">
        <v>560462.5</v>
      </c>
      <c r="BH71" s="52">
        <v>0</v>
      </c>
      <c r="BI71" s="480">
        <v>0</v>
      </c>
      <c r="BJ71" s="480">
        <f>4969224-BJ69</f>
        <v>4904720</v>
      </c>
      <c r="BK71" s="480">
        <v>160281</v>
      </c>
      <c r="BL71" s="480">
        <v>160281</v>
      </c>
      <c r="BM71" s="480">
        <v>0</v>
      </c>
      <c r="BN71" s="480">
        <v>0</v>
      </c>
      <c r="BO71" s="480">
        <v>0</v>
      </c>
      <c r="BP71" s="480">
        <v>0</v>
      </c>
      <c r="BQ71" s="480">
        <v>0</v>
      </c>
      <c r="BR71" s="480">
        <v>0</v>
      </c>
      <c r="BS71" s="480">
        <v>0</v>
      </c>
      <c r="BT71" s="480">
        <v>0</v>
      </c>
      <c r="BU71" s="52">
        <v>0</v>
      </c>
      <c r="BV71" s="52">
        <v>0</v>
      </c>
      <c r="BW71" s="52">
        <f>4750915.45-BW69</f>
        <v>4610153.45</v>
      </c>
      <c r="BX71" s="88">
        <v>54210</v>
      </c>
      <c r="BY71" s="88">
        <v>54210</v>
      </c>
      <c r="BZ71" s="499">
        <v>54210</v>
      </c>
      <c r="CA71" s="499">
        <v>54210</v>
      </c>
      <c r="CB71" s="499">
        <v>6090</v>
      </c>
      <c r="CC71" s="499">
        <v>142723</v>
      </c>
      <c r="CD71" s="499">
        <v>329587</v>
      </c>
      <c r="CE71" s="499">
        <v>442678.1</v>
      </c>
      <c r="CF71" s="499">
        <v>482066.76</v>
      </c>
      <c r="CG71" s="499">
        <v>476551.18</v>
      </c>
      <c r="CH71" s="499">
        <v>491081.18</v>
      </c>
      <c r="CI71" s="499">
        <v>767275.7</v>
      </c>
      <c r="CJ71" s="527">
        <v>498081.18</v>
      </c>
      <c r="CK71" s="532">
        <v>31938.86</v>
      </c>
      <c r="CL71" s="499">
        <v>45868.86</v>
      </c>
      <c r="CM71" s="499">
        <v>127096</v>
      </c>
      <c r="CN71" s="499">
        <v>127096</v>
      </c>
      <c r="CO71" s="499">
        <v>80126.5</v>
      </c>
      <c r="CP71" s="499">
        <v>93566.5</v>
      </c>
      <c r="CR71" s="560">
        <v>313109</v>
      </c>
      <c r="CS71" s="560">
        <v>313109</v>
      </c>
      <c r="CT71" s="560">
        <v>647698</v>
      </c>
      <c r="CU71" s="560">
        <v>342051</v>
      </c>
      <c r="CV71" s="560">
        <v>869894</v>
      </c>
      <c r="CW71" s="480">
        <v>869894</v>
      </c>
      <c r="CX71" s="646">
        <v>3959.48</v>
      </c>
      <c r="CY71" s="646">
        <v>11099.48</v>
      </c>
      <c r="CZ71" s="646">
        <v>31219</v>
      </c>
      <c r="DA71" s="646">
        <v>34903.480000000003</v>
      </c>
      <c r="DB71" s="646">
        <v>32503.48</v>
      </c>
      <c r="DC71" s="646">
        <v>38143</v>
      </c>
      <c r="DD71" s="646">
        <v>39343.480000000003</v>
      </c>
      <c r="DE71" s="499">
        <v>285583.48</v>
      </c>
      <c r="DF71" s="499">
        <v>286843.48</v>
      </c>
      <c r="DG71" s="499">
        <v>290323.48</v>
      </c>
      <c r="DH71" s="499">
        <v>335499.48</v>
      </c>
      <c r="DI71" s="499">
        <v>837288.85</v>
      </c>
      <c r="DJ71" s="88">
        <v>838019</v>
      </c>
      <c r="DK71" s="646">
        <v>2196</v>
      </c>
      <c r="DL71" s="646">
        <v>2736</v>
      </c>
      <c r="DM71" s="646">
        <v>4923.7700000000004</v>
      </c>
      <c r="DN71" s="646">
        <v>8603.77</v>
      </c>
      <c r="DO71" s="646">
        <v>17593.77</v>
      </c>
      <c r="DP71" s="646">
        <v>20713.77</v>
      </c>
      <c r="DQ71" s="646">
        <v>21733.77</v>
      </c>
      <c r="DR71" s="646">
        <v>31920.46</v>
      </c>
      <c r="DS71" s="499">
        <v>30770.46</v>
      </c>
      <c r="DT71" s="499">
        <v>33818.21</v>
      </c>
      <c r="DU71" s="499">
        <v>41203.21</v>
      </c>
    </row>
    <row r="72" spans="2:127" ht="26.4" x14ac:dyDescent="0.25">
      <c r="B72" s="93" t="s">
        <v>115</v>
      </c>
      <c r="C72" s="93"/>
      <c r="D72" s="145"/>
      <c r="E72" s="145"/>
      <c r="F72" s="145"/>
      <c r="G72" s="137">
        <v>0</v>
      </c>
      <c r="H72" s="137">
        <v>93.7</v>
      </c>
      <c r="I72" s="137"/>
      <c r="J72" s="137">
        <v>0</v>
      </c>
      <c r="K72" s="137">
        <v>0</v>
      </c>
      <c r="L72" s="137">
        <v>22800</v>
      </c>
      <c r="M72" s="137">
        <v>22900</v>
      </c>
      <c r="N72" s="137">
        <v>52324</v>
      </c>
      <c r="O72" s="137">
        <v>52324</v>
      </c>
      <c r="P72" s="137">
        <v>52324</v>
      </c>
      <c r="Q72" s="137">
        <v>52324</v>
      </c>
      <c r="R72" s="137">
        <v>52324</v>
      </c>
      <c r="S72" s="137">
        <v>102324</v>
      </c>
      <c r="T72" s="137"/>
      <c r="U72" s="137"/>
      <c r="V72" s="137"/>
      <c r="W72" s="137">
        <v>43746</v>
      </c>
      <c r="X72" s="137">
        <v>43746</v>
      </c>
      <c r="Y72" s="137">
        <v>66246</v>
      </c>
      <c r="Z72" s="137">
        <v>66246</v>
      </c>
      <c r="AA72" s="137">
        <v>66846</v>
      </c>
      <c r="AB72" s="137">
        <v>66846</v>
      </c>
      <c r="AC72" s="137">
        <v>66846</v>
      </c>
      <c r="AD72" s="191">
        <v>66846</v>
      </c>
      <c r="AE72" s="193">
        <v>66846</v>
      </c>
      <c r="AF72" s="193">
        <v>69846</v>
      </c>
      <c r="AG72" s="193">
        <v>69846</v>
      </c>
      <c r="AH72" s="193">
        <v>119846</v>
      </c>
      <c r="AI72" s="193"/>
      <c r="AJ72" s="193"/>
      <c r="AK72" s="193"/>
      <c r="AL72" s="193">
        <v>88128</v>
      </c>
      <c r="AM72" s="194">
        <v>88128</v>
      </c>
      <c r="AN72" s="193">
        <v>88128</v>
      </c>
      <c r="AO72" s="193">
        <v>88128</v>
      </c>
      <c r="AP72" s="193"/>
      <c r="AQ72" s="194">
        <v>88128</v>
      </c>
      <c r="AR72" s="194">
        <v>88128</v>
      </c>
      <c r="AS72" s="193"/>
      <c r="AT72" s="193"/>
      <c r="AU72" s="193">
        <v>153578</v>
      </c>
      <c r="AV72" s="193">
        <v>153578</v>
      </c>
      <c r="AW72" s="251"/>
      <c r="AX72" s="394"/>
      <c r="AY72" s="394"/>
      <c r="AZ72" s="394">
        <v>52500</v>
      </c>
      <c r="BA72" s="242">
        <v>288616</v>
      </c>
      <c r="BB72" s="242">
        <v>144308</v>
      </c>
      <c r="BC72" s="242">
        <v>144308</v>
      </c>
      <c r="BD72" s="242">
        <v>144308</v>
      </c>
      <c r="BE72" s="52">
        <v>178478</v>
      </c>
      <c r="BF72" s="52">
        <v>178478</v>
      </c>
      <c r="BH72" s="52">
        <v>1030176</v>
      </c>
      <c r="BI72" s="480">
        <v>2232525.2999999998</v>
      </c>
      <c r="BK72" s="480">
        <v>0</v>
      </c>
      <c r="BL72" s="480">
        <v>0</v>
      </c>
      <c r="BM72" s="480">
        <v>188501</v>
      </c>
      <c r="BN72" s="480">
        <v>188501</v>
      </c>
      <c r="BO72" s="480">
        <v>188501</v>
      </c>
      <c r="BP72" s="480">
        <v>190751</v>
      </c>
      <c r="BQ72" s="480">
        <v>190751</v>
      </c>
      <c r="BR72" s="499">
        <v>200751</v>
      </c>
      <c r="BS72" s="499">
        <v>200751</v>
      </c>
      <c r="BT72" s="507">
        <v>200751</v>
      </c>
      <c r="BU72" s="52">
        <v>210751</v>
      </c>
      <c r="BV72" s="52">
        <v>500751</v>
      </c>
      <c r="BX72" s="88">
        <v>0</v>
      </c>
      <c r="BY72" s="88">
        <v>0</v>
      </c>
      <c r="BZ72" s="499">
        <v>0</v>
      </c>
      <c r="CA72" s="499">
        <v>0</v>
      </c>
      <c r="CB72" s="499">
        <v>0</v>
      </c>
      <c r="CC72" s="499">
        <v>0</v>
      </c>
      <c r="CD72" s="499">
        <v>0</v>
      </c>
      <c r="CE72" s="499">
        <v>0</v>
      </c>
      <c r="CF72" s="499">
        <v>3500</v>
      </c>
      <c r="CG72" s="499">
        <v>11800</v>
      </c>
      <c r="CH72" s="499">
        <v>67200</v>
      </c>
      <c r="CI72" s="499">
        <v>0</v>
      </c>
      <c r="CJ72" s="527">
        <v>0</v>
      </c>
      <c r="CK72" s="533">
        <v>10000</v>
      </c>
      <c r="CL72" s="499">
        <v>10000</v>
      </c>
      <c r="CM72" s="499">
        <v>10000</v>
      </c>
      <c r="CN72" s="499">
        <v>10000</v>
      </c>
      <c r="CO72" s="499">
        <v>10000</v>
      </c>
      <c r="CP72" s="499">
        <v>20000</v>
      </c>
      <c r="CR72" s="560">
        <v>48000</v>
      </c>
      <c r="CS72" s="560">
        <v>102000</v>
      </c>
      <c r="CT72" s="560">
        <v>214000</v>
      </c>
      <c r="CU72" s="560">
        <v>107000</v>
      </c>
      <c r="CV72" s="560">
        <v>107000</v>
      </c>
      <c r="CW72" s="480"/>
      <c r="CX72" s="646">
        <v>150</v>
      </c>
      <c r="CY72" s="646">
        <v>150</v>
      </c>
      <c r="CZ72" s="646">
        <v>32450</v>
      </c>
      <c r="DA72" s="646">
        <v>32450</v>
      </c>
      <c r="DB72" s="646">
        <v>32450</v>
      </c>
      <c r="DC72" s="646">
        <v>32450</v>
      </c>
      <c r="DD72" s="646">
        <v>136550</v>
      </c>
      <c r="DE72" s="499">
        <v>136550</v>
      </c>
      <c r="DF72" s="499">
        <v>136550</v>
      </c>
      <c r="DG72" s="499">
        <v>146605</v>
      </c>
      <c r="DH72" s="499">
        <v>146755</v>
      </c>
      <c r="DI72" s="499">
        <v>146755</v>
      </c>
      <c r="DK72" s="646">
        <v>92800</v>
      </c>
      <c r="DL72" s="646">
        <v>92800</v>
      </c>
      <c r="DM72" s="646">
        <v>99800</v>
      </c>
      <c r="DN72" s="646">
        <v>99800</v>
      </c>
      <c r="DO72" s="646">
        <v>99800</v>
      </c>
      <c r="DP72" s="646">
        <v>99800</v>
      </c>
      <c r="DQ72" s="646">
        <v>99800</v>
      </c>
      <c r="DR72" s="646">
        <v>127350</v>
      </c>
      <c r="DS72" s="499">
        <v>127350</v>
      </c>
      <c r="DT72" s="499">
        <v>127350</v>
      </c>
      <c r="DU72" s="499">
        <v>179470</v>
      </c>
    </row>
    <row r="73" spans="2:127" ht="13.8" x14ac:dyDescent="0.25">
      <c r="B73" s="93" t="s">
        <v>116</v>
      </c>
      <c r="C73" s="105"/>
      <c r="D73" s="105"/>
      <c r="E73" s="105"/>
      <c r="F73" s="105"/>
      <c r="G73" s="137"/>
      <c r="H73" s="137">
        <v>0</v>
      </c>
      <c r="I73" s="137"/>
      <c r="J73" s="137">
        <v>0</v>
      </c>
      <c r="K73" s="137">
        <v>0</v>
      </c>
      <c r="L73" s="137">
        <v>0</v>
      </c>
      <c r="M73" s="137">
        <v>0</v>
      </c>
      <c r="N73" s="137">
        <v>0</v>
      </c>
      <c r="O73" s="137">
        <v>300</v>
      </c>
      <c r="P73" s="137">
        <v>0</v>
      </c>
      <c r="Q73" s="137">
        <v>0</v>
      </c>
      <c r="R73" s="137">
        <v>0</v>
      </c>
      <c r="S73" s="137">
        <v>0</v>
      </c>
      <c r="T73" s="137"/>
      <c r="U73" s="137"/>
      <c r="V73" s="137"/>
      <c r="W73" s="180">
        <v>52798</v>
      </c>
      <c r="X73" s="182">
        <v>115238</v>
      </c>
      <c r="Y73" s="182">
        <v>115588</v>
      </c>
      <c r="Z73" s="182">
        <v>115588</v>
      </c>
      <c r="AA73" s="181">
        <v>115588</v>
      </c>
      <c r="AB73" s="137">
        <v>0</v>
      </c>
      <c r="AC73" s="137">
        <v>0</v>
      </c>
      <c r="AD73" s="137"/>
      <c r="AE73" s="137"/>
      <c r="AF73" s="137"/>
      <c r="AG73" s="198">
        <v>11200</v>
      </c>
      <c r="AH73" s="198">
        <v>11200</v>
      </c>
      <c r="AI73" s="198"/>
      <c r="AJ73" s="198"/>
      <c r="AK73" s="198"/>
      <c r="AL73" s="193">
        <v>26178</v>
      </c>
      <c r="AM73" s="661">
        <v>26178</v>
      </c>
      <c r="AN73" s="193">
        <v>26178</v>
      </c>
      <c r="AO73" s="251">
        <v>26178</v>
      </c>
      <c r="AP73" s="193"/>
      <c r="AQ73" s="661">
        <v>26178</v>
      </c>
      <c r="AR73" s="661">
        <v>26178</v>
      </c>
      <c r="AS73" s="193"/>
      <c r="AT73" s="193"/>
      <c r="AU73" s="251">
        <v>60978</v>
      </c>
      <c r="AV73" s="251">
        <v>65778</v>
      </c>
      <c r="AW73" s="251"/>
      <c r="AX73" s="394"/>
      <c r="AY73" s="394"/>
      <c r="AZ73" s="394">
        <v>100</v>
      </c>
      <c r="BA73" s="242">
        <v>1100</v>
      </c>
      <c r="BB73" s="242">
        <v>800</v>
      </c>
      <c r="BC73" s="242">
        <v>800</v>
      </c>
      <c r="BD73" s="246">
        <v>2000</v>
      </c>
      <c r="BE73" s="52">
        <v>4320</v>
      </c>
      <c r="BF73" s="52">
        <v>4320</v>
      </c>
      <c r="BH73" s="52">
        <v>35720</v>
      </c>
      <c r="BI73" s="480">
        <v>35720</v>
      </c>
      <c r="BK73" s="480">
        <v>0</v>
      </c>
      <c r="BL73" s="480">
        <v>0</v>
      </c>
      <c r="BM73" s="480">
        <v>162000</v>
      </c>
      <c r="BN73" s="480">
        <v>216000</v>
      </c>
      <c r="BO73" s="480">
        <v>270000</v>
      </c>
      <c r="BP73" s="480">
        <v>324000</v>
      </c>
      <c r="BQ73" s="480">
        <v>378000</v>
      </c>
      <c r="BR73" s="499">
        <v>432000</v>
      </c>
      <c r="BS73" s="499">
        <v>486000</v>
      </c>
      <c r="BT73" s="508">
        <v>486000</v>
      </c>
      <c r="BU73" s="52">
        <v>540000</v>
      </c>
      <c r="BV73" s="52">
        <v>648000</v>
      </c>
      <c r="BX73" s="88">
        <v>0</v>
      </c>
      <c r="BY73" s="88">
        <v>0</v>
      </c>
      <c r="BZ73" s="499">
        <v>0</v>
      </c>
      <c r="CA73" s="499">
        <v>0</v>
      </c>
      <c r="CB73" s="499">
        <v>0</v>
      </c>
      <c r="CC73" s="499">
        <v>0</v>
      </c>
      <c r="CD73" s="499">
        <v>0</v>
      </c>
      <c r="CE73" s="499">
        <v>0</v>
      </c>
      <c r="CF73" s="499">
        <v>0</v>
      </c>
      <c r="CG73" s="499">
        <v>0</v>
      </c>
      <c r="CH73" s="499">
        <v>0</v>
      </c>
      <c r="CI73" s="499">
        <v>0</v>
      </c>
      <c r="CJ73" s="527">
        <v>0</v>
      </c>
      <c r="CL73" s="499">
        <v>0</v>
      </c>
      <c r="CM73" s="499">
        <v>0</v>
      </c>
      <c r="CN73" s="499">
        <v>0</v>
      </c>
      <c r="CO73" s="499">
        <v>0</v>
      </c>
      <c r="CP73" s="499">
        <v>0</v>
      </c>
      <c r="CR73" s="560">
        <v>0</v>
      </c>
      <c r="CS73" s="560">
        <v>0</v>
      </c>
      <c r="CT73" s="560">
        <v>0</v>
      </c>
      <c r="CU73" s="560">
        <v>0</v>
      </c>
      <c r="CV73" s="560">
        <v>0</v>
      </c>
      <c r="CW73" s="480"/>
      <c r="CX73" s="646">
        <v>0</v>
      </c>
      <c r="CY73" s="646">
        <v>0</v>
      </c>
      <c r="CZ73" s="646">
        <v>0</v>
      </c>
      <c r="DA73" s="646">
        <v>0</v>
      </c>
      <c r="DB73" s="646">
        <v>0</v>
      </c>
      <c r="DC73" s="646">
        <v>0</v>
      </c>
      <c r="DD73" s="646">
        <v>0</v>
      </c>
      <c r="DE73" s="499">
        <v>0</v>
      </c>
      <c r="DF73" s="499">
        <v>0</v>
      </c>
      <c r="DG73" s="499">
        <v>0</v>
      </c>
      <c r="DH73" s="499">
        <v>0</v>
      </c>
      <c r="DI73" s="499">
        <v>0</v>
      </c>
      <c r="DK73" s="646">
        <v>0</v>
      </c>
      <c r="DL73" s="646">
        <v>0</v>
      </c>
      <c r="DM73" s="646">
        <v>0</v>
      </c>
      <c r="DN73" s="646">
        <v>0</v>
      </c>
      <c r="DO73" s="646">
        <v>0</v>
      </c>
      <c r="DP73" s="646">
        <v>0</v>
      </c>
      <c r="DQ73" s="646">
        <v>0</v>
      </c>
      <c r="DR73" s="646">
        <v>0</v>
      </c>
      <c r="DS73" s="499">
        <v>0</v>
      </c>
      <c r="DT73" s="499">
        <v>0</v>
      </c>
      <c r="DU73" s="499">
        <v>0</v>
      </c>
      <c r="DW73" s="87">
        <v>557302</v>
      </c>
    </row>
    <row r="74" spans="2:127" ht="12.75" customHeight="1" x14ac:dyDescent="0.25">
      <c r="B74" s="90" t="s">
        <v>117</v>
      </c>
      <c r="C74" s="90"/>
      <c r="D74" s="91">
        <f>D58-D67</f>
        <v>419417</v>
      </c>
      <c r="E74" s="91">
        <f t="shared" ref="E74:G74" si="159">E58-E67</f>
        <v>841318</v>
      </c>
      <c r="F74" s="91">
        <f t="shared" si="159"/>
        <v>2683137</v>
      </c>
      <c r="G74" s="91">
        <f t="shared" si="159"/>
        <v>4360662</v>
      </c>
      <c r="H74" s="91">
        <f t="shared" ref="H74:J74" si="160">H58-H67</f>
        <v>8940.4</v>
      </c>
      <c r="I74" s="91">
        <f t="shared" si="160"/>
        <v>5743854</v>
      </c>
      <c r="J74" s="91">
        <f t="shared" si="160"/>
        <v>-2742357.27</v>
      </c>
      <c r="K74" s="91">
        <f t="shared" ref="K74" si="161">K58-K67</f>
        <v>-1858.87</v>
      </c>
      <c r="L74" s="91">
        <f t="shared" ref="L74:S74" si="162">L58-L67</f>
        <v>-3251533.73</v>
      </c>
      <c r="M74" s="91">
        <f t="shared" si="162"/>
        <v>-3356551.69</v>
      </c>
      <c r="N74" s="91">
        <f t="shared" si="162"/>
        <v>4342387.3499999996</v>
      </c>
      <c r="O74" s="91">
        <f t="shared" si="162"/>
        <v>5298446.8499999996</v>
      </c>
      <c r="P74" s="91">
        <f t="shared" si="162"/>
        <v>6233628.6399999997</v>
      </c>
      <c r="Q74" s="91">
        <f t="shared" si="162"/>
        <v>7064222.9199999999</v>
      </c>
      <c r="R74" s="91">
        <f t="shared" si="162"/>
        <v>8137745.0199999996</v>
      </c>
      <c r="S74" s="91">
        <f t="shared" si="162"/>
        <v>9106048.6699999999</v>
      </c>
      <c r="T74" s="91">
        <f t="shared" ref="T74:V74" si="163">T58-T67</f>
        <v>10557421.699999999</v>
      </c>
      <c r="U74" s="91">
        <f t="shared" si="163"/>
        <v>11815817.630000001</v>
      </c>
      <c r="V74" s="91">
        <f t="shared" si="163"/>
        <v>6897403</v>
      </c>
      <c r="W74" s="91">
        <f t="shared" ref="W74:AC74" si="164">W58-W67</f>
        <v>944731</v>
      </c>
      <c r="X74" s="91">
        <f t="shared" si="164"/>
        <v>1948267.83</v>
      </c>
      <c r="Y74" s="91">
        <f t="shared" si="164"/>
        <v>3091054.74</v>
      </c>
      <c r="Z74" s="91">
        <f t="shared" si="164"/>
        <v>4269417.54</v>
      </c>
      <c r="AA74" s="91">
        <f t="shared" si="164"/>
        <v>5377815.5899999999</v>
      </c>
      <c r="AB74" s="91">
        <f t="shared" si="164"/>
        <v>6045799.7400000002</v>
      </c>
      <c r="AC74" s="91">
        <f t="shared" si="164"/>
        <v>7540985.870000001</v>
      </c>
      <c r="AD74" s="91">
        <f t="shared" ref="AD74:AE74" si="165">AD58-AD67</f>
        <v>9062089.4900000002</v>
      </c>
      <c r="AE74" s="91">
        <f t="shared" si="165"/>
        <v>9186654.6999999993</v>
      </c>
      <c r="AF74" s="91">
        <f t="shared" ref="AF74:AG74" si="166">AF58-AF67</f>
        <v>10914972.699999999</v>
      </c>
      <c r="AG74" s="91">
        <f t="shared" si="166"/>
        <v>12766775.920000002</v>
      </c>
      <c r="AH74" s="91">
        <f t="shared" ref="AH74:AI74" si="167">AH58-AH67</f>
        <v>14672871.23</v>
      </c>
      <c r="AI74" s="91">
        <f t="shared" si="167"/>
        <v>10119996</v>
      </c>
      <c r="AJ74" s="91">
        <f t="shared" ref="AJ74:AN74" si="168">AJ58-AJ67</f>
        <v>10119995</v>
      </c>
      <c r="AK74" s="91">
        <f t="shared" si="168"/>
        <v>0</v>
      </c>
      <c r="AL74" s="91">
        <f t="shared" si="168"/>
        <v>819115.51</v>
      </c>
      <c r="AM74" s="91">
        <f t="shared" si="168"/>
        <v>1017578.51</v>
      </c>
      <c r="AN74" s="91">
        <f t="shared" si="168"/>
        <v>2793936.62</v>
      </c>
      <c r="AO74" s="91">
        <f t="shared" ref="AO74:AP74" si="169">AO58-AO67</f>
        <v>2981894.6500000004</v>
      </c>
      <c r="AP74" s="91">
        <f t="shared" si="169"/>
        <v>0</v>
      </c>
      <c r="AQ74" s="91">
        <f t="shared" ref="AQ74:CC74" si="170">AQ58-AQ67</f>
        <v>2864696.95</v>
      </c>
      <c r="AR74" s="91">
        <f t="shared" si="170"/>
        <v>6907427.0800000001</v>
      </c>
      <c r="AS74" s="91">
        <f t="shared" si="170"/>
        <v>0</v>
      </c>
      <c r="AT74" s="91">
        <f t="shared" si="170"/>
        <v>0</v>
      </c>
      <c r="AU74" s="91">
        <f t="shared" si="170"/>
        <v>12345903.689999999</v>
      </c>
      <c r="AV74" s="91">
        <f t="shared" si="170"/>
        <v>19881500.5</v>
      </c>
      <c r="AW74" s="91">
        <f t="shared" si="170"/>
        <v>15328206</v>
      </c>
      <c r="AX74" s="91">
        <f t="shared" si="170"/>
        <v>0</v>
      </c>
      <c r="AY74" s="91">
        <f t="shared" si="170"/>
        <v>0</v>
      </c>
      <c r="AZ74" s="91">
        <f t="shared" si="170"/>
        <v>-6102142.0899999999</v>
      </c>
      <c r="BA74" s="91">
        <f t="shared" si="170"/>
        <v>5909179.419999999</v>
      </c>
      <c r="BB74" s="91">
        <f t="shared" si="170"/>
        <v>9158938.9699999988</v>
      </c>
      <c r="BC74" s="91">
        <f t="shared" si="170"/>
        <v>11849879.039999999</v>
      </c>
      <c r="BD74" s="91">
        <f t="shared" si="170"/>
        <v>14032720.189999999</v>
      </c>
      <c r="BE74" s="91">
        <f t="shared" si="170"/>
        <v>16348799.189999998</v>
      </c>
      <c r="BF74" s="91">
        <f t="shared" si="170"/>
        <v>18584730.73</v>
      </c>
      <c r="BG74" s="91">
        <f t="shared" si="170"/>
        <v>0</v>
      </c>
      <c r="BH74" s="91">
        <f t="shared" si="170"/>
        <v>22871781.059999999</v>
      </c>
      <c r="BI74" s="91">
        <f t="shared" si="170"/>
        <v>25618732.859999999</v>
      </c>
      <c r="BJ74" s="91">
        <f t="shared" si="170"/>
        <v>15862524</v>
      </c>
      <c r="BK74" s="91">
        <f t="shared" si="170"/>
        <v>1822325.92</v>
      </c>
      <c r="BL74" s="91">
        <f t="shared" si="170"/>
        <v>3903890.99</v>
      </c>
      <c r="BM74" s="91">
        <f t="shared" si="170"/>
        <v>6320417.54</v>
      </c>
      <c r="BN74" s="91">
        <f t="shared" si="170"/>
        <v>8635998</v>
      </c>
      <c r="BO74" s="91">
        <f t="shared" si="170"/>
        <v>10997021.67</v>
      </c>
      <c r="BP74" s="91">
        <f t="shared" si="170"/>
        <v>13398696</v>
      </c>
      <c r="BQ74" s="91">
        <f t="shared" si="170"/>
        <v>15461057</v>
      </c>
      <c r="BR74" s="91">
        <f t="shared" si="170"/>
        <v>17981588</v>
      </c>
      <c r="BS74" s="91">
        <f t="shared" si="170"/>
        <v>22006449.640000001</v>
      </c>
      <c r="BT74" s="91">
        <f t="shared" si="170"/>
        <v>24189206</v>
      </c>
      <c r="BU74" s="91">
        <f t="shared" si="170"/>
        <v>27346022</v>
      </c>
      <c r="BV74" s="91">
        <f t="shared" si="170"/>
        <v>32791998</v>
      </c>
      <c r="BW74" s="91">
        <f t="shared" si="170"/>
        <v>19475540.16</v>
      </c>
      <c r="BX74" s="91">
        <f t="shared" si="170"/>
        <v>2166172</v>
      </c>
      <c r="BY74" s="91">
        <f t="shared" si="170"/>
        <v>4063302</v>
      </c>
      <c r="BZ74" s="91">
        <f t="shared" si="170"/>
        <v>7218819</v>
      </c>
      <c r="CA74" s="91">
        <f t="shared" si="170"/>
        <v>9863367</v>
      </c>
      <c r="CB74" s="91">
        <f t="shared" si="170"/>
        <v>13328059</v>
      </c>
      <c r="CC74" s="91">
        <f t="shared" si="170"/>
        <v>15822862</v>
      </c>
      <c r="CD74" s="91">
        <f t="shared" ref="CD74:DW74" si="171">CD58-CD67</f>
        <v>19396818</v>
      </c>
      <c r="CE74" s="91">
        <f t="shared" si="171"/>
        <v>21952840.069999997</v>
      </c>
      <c r="CF74" s="91">
        <f t="shared" si="171"/>
        <v>24642456.550000001</v>
      </c>
      <c r="CG74" s="91">
        <f t="shared" si="171"/>
        <v>27366092.239999998</v>
      </c>
      <c r="CH74" s="91">
        <f t="shared" si="171"/>
        <v>29785106.819999997</v>
      </c>
      <c r="CI74" s="91">
        <f t="shared" si="171"/>
        <v>34008239.219999999</v>
      </c>
      <c r="CJ74" s="91">
        <f t="shared" si="171"/>
        <v>25659195.23</v>
      </c>
      <c r="CK74" s="91">
        <f t="shared" si="171"/>
        <v>6253520.96</v>
      </c>
      <c r="CL74" s="91">
        <f t="shared" si="171"/>
        <v>6441656.7199999997</v>
      </c>
      <c r="CM74" s="91">
        <f t="shared" si="171"/>
        <v>9683184</v>
      </c>
      <c r="CN74" s="91">
        <f t="shared" si="171"/>
        <v>12415798</v>
      </c>
      <c r="CO74" s="91">
        <f t="shared" si="171"/>
        <v>16066594.100000001</v>
      </c>
      <c r="CP74" s="91">
        <f t="shared" si="171"/>
        <v>19521044.700000003</v>
      </c>
      <c r="CQ74" s="552">
        <f t="shared" si="171"/>
        <v>0</v>
      </c>
      <c r="CR74" s="91">
        <f t="shared" si="171"/>
        <v>28173144.940000005</v>
      </c>
      <c r="CS74" s="91">
        <f t="shared" si="171"/>
        <v>31461735.710000001</v>
      </c>
      <c r="CT74" s="91">
        <f t="shared" si="171"/>
        <v>69925959.079999998</v>
      </c>
      <c r="CU74" s="91">
        <f t="shared" si="171"/>
        <v>38834635.530000001</v>
      </c>
      <c r="CV74" s="91">
        <f t="shared" si="171"/>
        <v>43166281.769999996</v>
      </c>
      <c r="CW74" s="91">
        <f t="shared" si="171"/>
        <v>29612519.470000006</v>
      </c>
      <c r="CX74" s="91">
        <f t="shared" si="171"/>
        <v>3884171.7500000005</v>
      </c>
      <c r="CY74" s="91">
        <f t="shared" si="171"/>
        <v>8049131.0099999998</v>
      </c>
      <c r="CZ74" s="91">
        <f t="shared" si="171"/>
        <v>12352418.970000001</v>
      </c>
      <c r="DA74" s="91">
        <f t="shared" si="171"/>
        <v>16867829.850000001</v>
      </c>
      <c r="DB74" s="91">
        <f t="shared" si="171"/>
        <v>21174780.309999999</v>
      </c>
      <c r="DC74" s="91">
        <f t="shared" si="171"/>
        <v>26095262.760000002</v>
      </c>
      <c r="DD74" s="91">
        <f t="shared" si="171"/>
        <v>30026407.190000001</v>
      </c>
      <c r="DE74" s="91">
        <f t="shared" si="171"/>
        <v>31535158.66</v>
      </c>
      <c r="DF74" s="91">
        <f t="shared" si="171"/>
        <v>36003301.57</v>
      </c>
      <c r="DG74" s="91">
        <f t="shared" si="171"/>
        <v>41134247.670000002</v>
      </c>
      <c r="DH74" s="91">
        <f t="shared" si="171"/>
        <v>45364891.239999995</v>
      </c>
      <c r="DI74" s="91">
        <f t="shared" si="171"/>
        <v>50214485.890000001</v>
      </c>
      <c r="DJ74" s="91">
        <f t="shared" si="171"/>
        <v>40258760</v>
      </c>
      <c r="DK74" s="91">
        <f t="shared" si="171"/>
        <v>4886921.84</v>
      </c>
      <c r="DL74" s="91">
        <f t="shared" si="171"/>
        <v>10220006.4</v>
      </c>
      <c r="DM74" s="91">
        <f t="shared" si="171"/>
        <v>16461557.789999997</v>
      </c>
      <c r="DN74" s="91">
        <f t="shared" si="171"/>
        <v>21584284.879999999</v>
      </c>
      <c r="DO74" s="91">
        <f t="shared" si="171"/>
        <v>26371127.899999999</v>
      </c>
      <c r="DP74" s="91">
        <f t="shared" si="171"/>
        <v>31070885.890000001</v>
      </c>
      <c r="DQ74" s="91">
        <f t="shared" si="171"/>
        <v>35920763.199999996</v>
      </c>
      <c r="DR74" s="91">
        <f t="shared" si="171"/>
        <v>41466200.200000003</v>
      </c>
      <c r="DS74" s="91">
        <f t="shared" ref="DS74:DV74" si="172">DS58-DS67</f>
        <v>46786302.18</v>
      </c>
      <c r="DT74" s="91">
        <f t="shared" si="172"/>
        <v>52428286.819999993</v>
      </c>
      <c r="DU74" s="91">
        <f t="shared" si="172"/>
        <v>57610446.249999993</v>
      </c>
      <c r="DV74" s="91">
        <f t="shared" si="172"/>
        <v>0</v>
      </c>
      <c r="DW74" s="538">
        <f t="shared" si="171"/>
        <v>45357420</v>
      </c>
    </row>
    <row r="75" spans="2:127" ht="13.2" x14ac:dyDescent="0.25">
      <c r="B75" s="90" t="s">
        <v>118</v>
      </c>
      <c r="C75" s="90"/>
      <c r="D75" s="91">
        <f>D76-D77</f>
        <v>0</v>
      </c>
      <c r="E75" s="91">
        <f t="shared" ref="E75:G75" si="173">E76-E77</f>
        <v>0</v>
      </c>
      <c r="F75" s="91">
        <f t="shared" si="173"/>
        <v>269422</v>
      </c>
      <c r="G75" s="91">
        <f t="shared" si="173"/>
        <v>344629</v>
      </c>
      <c r="H75" s="91">
        <f t="shared" ref="H75:J75" si="174">H76-H77</f>
        <v>0</v>
      </c>
      <c r="I75" s="91">
        <f t="shared" si="174"/>
        <v>484871</v>
      </c>
      <c r="J75" s="91">
        <f t="shared" si="174"/>
        <v>0</v>
      </c>
      <c r="K75" s="91">
        <f t="shared" ref="K75" si="175">K76-K77</f>
        <v>0</v>
      </c>
      <c r="L75" s="91">
        <f t="shared" ref="L75:S75" si="176">L76-L77</f>
        <v>0</v>
      </c>
      <c r="M75" s="91">
        <f t="shared" si="176"/>
        <v>0</v>
      </c>
      <c r="N75" s="91">
        <f t="shared" si="176"/>
        <v>0</v>
      </c>
      <c r="O75" s="91">
        <f t="shared" si="176"/>
        <v>0</v>
      </c>
      <c r="P75" s="91">
        <f t="shared" si="176"/>
        <v>0</v>
      </c>
      <c r="Q75" s="91">
        <f t="shared" si="176"/>
        <v>0</v>
      </c>
      <c r="R75" s="91">
        <f t="shared" si="176"/>
        <v>0</v>
      </c>
      <c r="S75" s="91">
        <f t="shared" si="176"/>
        <v>0</v>
      </c>
      <c r="T75" s="91">
        <f t="shared" ref="T75:V75" si="177">T76-T77</f>
        <v>0</v>
      </c>
      <c r="U75" s="91">
        <f t="shared" si="177"/>
        <v>0</v>
      </c>
      <c r="V75" s="91">
        <f t="shared" si="177"/>
        <v>1993646</v>
      </c>
      <c r="W75" s="91">
        <f t="shared" ref="W75:AC75" si="178">W76-W77</f>
        <v>2400000</v>
      </c>
      <c r="X75" s="91">
        <f t="shared" si="178"/>
        <v>2400000</v>
      </c>
      <c r="Y75" s="91">
        <f t="shared" si="178"/>
        <v>-2400000</v>
      </c>
      <c r="Z75" s="91">
        <f t="shared" si="178"/>
        <v>2400000</v>
      </c>
      <c r="AA75" s="91">
        <f t="shared" si="178"/>
        <v>-2400000</v>
      </c>
      <c r="AB75" s="91">
        <f t="shared" si="178"/>
        <v>-2400000</v>
      </c>
      <c r="AC75" s="91">
        <f t="shared" si="178"/>
        <v>2400000</v>
      </c>
      <c r="AD75" s="91">
        <f t="shared" ref="AD75:AE75" si="179">AD76-AD77</f>
        <v>2400000</v>
      </c>
      <c r="AE75" s="91">
        <f t="shared" si="179"/>
        <v>2400000</v>
      </c>
      <c r="AF75" s="91">
        <f t="shared" ref="AF75:CC75" si="180">AF76-AF77</f>
        <v>2400000</v>
      </c>
      <c r="AG75" s="91">
        <f t="shared" si="180"/>
        <v>2400000</v>
      </c>
      <c r="AH75" s="91">
        <f t="shared" si="180"/>
        <v>2400000</v>
      </c>
      <c r="AI75" s="91">
        <f t="shared" si="180"/>
        <v>-124098</v>
      </c>
      <c r="AJ75" s="91">
        <f t="shared" si="180"/>
        <v>-124097</v>
      </c>
      <c r="AK75" s="91">
        <f t="shared" si="180"/>
        <v>0</v>
      </c>
      <c r="AL75" s="91">
        <f t="shared" si="180"/>
        <v>0</v>
      </c>
      <c r="AM75" s="91">
        <f t="shared" si="180"/>
        <v>0</v>
      </c>
      <c r="AN75" s="91">
        <f t="shared" si="180"/>
        <v>0</v>
      </c>
      <c r="AO75" s="91">
        <f t="shared" si="180"/>
        <v>0</v>
      </c>
      <c r="AP75" s="91">
        <f t="shared" si="180"/>
        <v>0</v>
      </c>
      <c r="AQ75" s="91">
        <f t="shared" si="180"/>
        <v>0</v>
      </c>
      <c r="AR75" s="91">
        <f t="shared" si="180"/>
        <v>0</v>
      </c>
      <c r="AS75" s="91">
        <f t="shared" si="180"/>
        <v>0</v>
      </c>
      <c r="AT75" s="91">
        <f t="shared" si="180"/>
        <v>0</v>
      </c>
      <c r="AU75" s="91">
        <f t="shared" si="180"/>
        <v>0</v>
      </c>
      <c r="AV75" s="91">
        <f t="shared" si="180"/>
        <v>0</v>
      </c>
      <c r="AW75" s="91">
        <f t="shared" si="180"/>
        <v>4720752</v>
      </c>
      <c r="AX75" s="91">
        <f t="shared" si="180"/>
        <v>0</v>
      </c>
      <c r="AY75" s="91">
        <f t="shared" si="180"/>
        <v>0</v>
      </c>
      <c r="AZ75" s="91">
        <f t="shared" si="180"/>
        <v>0</v>
      </c>
      <c r="BA75" s="91">
        <f t="shared" si="180"/>
        <v>0</v>
      </c>
      <c r="BB75" s="91">
        <f t="shared" si="180"/>
        <v>3292568</v>
      </c>
      <c r="BC75" s="91">
        <f t="shared" si="180"/>
        <v>6599370</v>
      </c>
      <c r="BD75" s="91">
        <f t="shared" si="180"/>
        <v>6874356.7999999998</v>
      </c>
      <c r="BE75" s="91">
        <f t="shared" si="180"/>
        <v>7387204.2000000002</v>
      </c>
      <c r="BF75" s="91">
        <f t="shared" si="180"/>
        <v>7387204.1500000004</v>
      </c>
      <c r="BG75" s="91">
        <f t="shared" si="180"/>
        <v>0</v>
      </c>
      <c r="BH75" s="91">
        <f t="shared" si="180"/>
        <v>5771304.2000000002</v>
      </c>
      <c r="BI75" s="91">
        <f t="shared" si="180"/>
        <v>5838260.9000000004</v>
      </c>
      <c r="BJ75" s="91">
        <f t="shared" si="180"/>
        <v>2000000</v>
      </c>
      <c r="BK75" s="91">
        <f t="shared" si="180"/>
        <v>0</v>
      </c>
      <c r="BL75" s="91">
        <f t="shared" si="180"/>
        <v>0</v>
      </c>
      <c r="BM75" s="91">
        <f t="shared" si="180"/>
        <v>7256136</v>
      </c>
      <c r="BN75" s="91">
        <f t="shared" si="180"/>
        <v>6949166</v>
      </c>
      <c r="BO75" s="91">
        <f t="shared" si="180"/>
        <v>7183267</v>
      </c>
      <c r="BP75" s="91">
        <f t="shared" si="180"/>
        <v>7556873</v>
      </c>
      <c r="BQ75" s="91">
        <f t="shared" si="180"/>
        <v>8948946</v>
      </c>
      <c r="BR75" s="91">
        <f t="shared" si="180"/>
        <v>8619319</v>
      </c>
      <c r="BS75" s="91">
        <f t="shared" si="180"/>
        <v>7902398.7000000002</v>
      </c>
      <c r="BT75" s="91">
        <f t="shared" si="180"/>
        <v>7949409</v>
      </c>
      <c r="BU75" s="91">
        <f t="shared" si="180"/>
        <v>8452644</v>
      </c>
      <c r="BV75" s="91">
        <f t="shared" si="180"/>
        <v>0</v>
      </c>
      <c r="BW75" s="91">
        <f t="shared" si="180"/>
        <v>0</v>
      </c>
      <c r="BX75" s="91">
        <f t="shared" si="180"/>
        <v>0</v>
      </c>
      <c r="BY75" s="91">
        <f t="shared" si="180"/>
        <v>0</v>
      </c>
      <c r="BZ75" s="91">
        <f t="shared" si="180"/>
        <v>0</v>
      </c>
      <c r="CA75" s="91">
        <f t="shared" si="180"/>
        <v>0</v>
      </c>
      <c r="CB75" s="91">
        <f t="shared" si="180"/>
        <v>0</v>
      </c>
      <c r="CC75" s="91">
        <f t="shared" si="180"/>
        <v>0</v>
      </c>
      <c r="CD75" s="91">
        <f t="shared" ref="CD75:CQ75" si="181">CD76-CD77</f>
        <v>0</v>
      </c>
      <c r="CE75" s="91">
        <f t="shared" si="181"/>
        <v>0</v>
      </c>
      <c r="CF75" s="91">
        <f t="shared" si="181"/>
        <v>0</v>
      </c>
      <c r="CG75" s="91">
        <f t="shared" si="181"/>
        <v>0</v>
      </c>
      <c r="CH75" s="91">
        <f t="shared" si="181"/>
        <v>0</v>
      </c>
      <c r="CI75" s="91">
        <f t="shared" si="181"/>
        <v>1000000</v>
      </c>
      <c r="CJ75" s="91">
        <f t="shared" si="181"/>
        <v>1000000</v>
      </c>
      <c r="CK75" s="91">
        <f t="shared" si="181"/>
        <v>2000000</v>
      </c>
      <c r="CL75" s="91">
        <f t="shared" si="181"/>
        <v>0</v>
      </c>
      <c r="CM75" s="91">
        <f t="shared" si="181"/>
        <v>0</v>
      </c>
      <c r="CN75" s="91">
        <f t="shared" si="181"/>
        <v>0</v>
      </c>
      <c r="CO75" s="91">
        <f t="shared" si="181"/>
        <v>0</v>
      </c>
      <c r="CP75" s="91">
        <f t="shared" si="181"/>
        <v>0</v>
      </c>
      <c r="CQ75" s="552">
        <f t="shared" si="181"/>
        <v>0</v>
      </c>
      <c r="CR75" s="91">
        <f t="shared" ref="CR75:DW75" si="182">CR76-CR77</f>
        <v>0</v>
      </c>
      <c r="CS75" s="91">
        <f t="shared" si="182"/>
        <v>0</v>
      </c>
      <c r="CT75" s="91">
        <f t="shared" si="182"/>
        <v>0</v>
      </c>
      <c r="CU75" s="91">
        <f t="shared" si="182"/>
        <v>0</v>
      </c>
      <c r="CV75" s="91">
        <f t="shared" si="182"/>
        <v>2000000</v>
      </c>
      <c r="CW75" s="91">
        <f t="shared" si="182"/>
        <v>2000000</v>
      </c>
      <c r="CX75" s="91">
        <f t="shared" si="182"/>
        <v>0</v>
      </c>
      <c r="CY75" s="91">
        <f t="shared" si="182"/>
        <v>0</v>
      </c>
      <c r="CZ75" s="91">
        <f t="shared" si="182"/>
        <v>0</v>
      </c>
      <c r="DA75" s="91">
        <f t="shared" si="182"/>
        <v>0</v>
      </c>
      <c r="DB75" s="91">
        <f t="shared" si="182"/>
        <v>0</v>
      </c>
      <c r="DC75" s="91">
        <f t="shared" si="182"/>
        <v>0</v>
      </c>
      <c r="DD75" s="91">
        <f t="shared" si="182"/>
        <v>0</v>
      </c>
      <c r="DE75" s="91">
        <f t="shared" si="182"/>
        <v>0</v>
      </c>
      <c r="DF75" s="91">
        <f t="shared" si="182"/>
        <v>0</v>
      </c>
      <c r="DG75" s="91">
        <f t="shared" si="182"/>
        <v>0</v>
      </c>
      <c r="DH75" s="91">
        <f t="shared" si="182"/>
        <v>0</v>
      </c>
      <c r="DI75" s="91">
        <f t="shared" si="182"/>
        <v>2000000</v>
      </c>
      <c r="DJ75" s="91">
        <f t="shared" si="182"/>
        <v>2000000</v>
      </c>
      <c r="DK75" s="91">
        <f t="shared" si="182"/>
        <v>0</v>
      </c>
      <c r="DL75" s="91">
        <f t="shared" si="182"/>
        <v>0</v>
      </c>
      <c r="DM75" s="91">
        <f t="shared" si="182"/>
        <v>0</v>
      </c>
      <c r="DN75" s="91">
        <f t="shared" si="182"/>
        <v>0</v>
      </c>
      <c r="DO75" s="91">
        <f t="shared" si="182"/>
        <v>0</v>
      </c>
      <c r="DP75" s="91">
        <f t="shared" si="182"/>
        <v>0</v>
      </c>
      <c r="DQ75" s="91">
        <f t="shared" si="182"/>
        <v>0</v>
      </c>
      <c r="DR75" s="91">
        <f t="shared" si="182"/>
        <v>0</v>
      </c>
      <c r="DS75" s="91">
        <f t="shared" ref="DS75:DV75" si="183">DS76-DS77</f>
        <v>0</v>
      </c>
      <c r="DT75" s="91">
        <f t="shared" si="183"/>
        <v>0</v>
      </c>
      <c r="DU75" s="91">
        <f t="shared" si="183"/>
        <v>0</v>
      </c>
      <c r="DV75" s="91">
        <f t="shared" si="183"/>
        <v>0</v>
      </c>
      <c r="DW75" s="538">
        <f t="shared" si="182"/>
        <v>3500000</v>
      </c>
    </row>
    <row r="76" spans="2:127" ht="13.8" x14ac:dyDescent="0.25">
      <c r="B76" s="93" t="s">
        <v>119</v>
      </c>
      <c r="C76" s="93"/>
      <c r="D76" s="144"/>
      <c r="E76" s="144"/>
      <c r="F76" s="105">
        <v>269422</v>
      </c>
      <c r="G76" s="137">
        <v>344629</v>
      </c>
      <c r="H76" s="137"/>
      <c r="I76" s="137">
        <v>484871</v>
      </c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>
        <v>1993646</v>
      </c>
      <c r="W76" s="183">
        <v>2400000</v>
      </c>
      <c r="X76" s="183">
        <v>2400000</v>
      </c>
      <c r="Y76" s="183">
        <v>-2400000</v>
      </c>
      <c r="Z76" s="183">
        <v>2400000</v>
      </c>
      <c r="AA76" s="137">
        <v>-2400000</v>
      </c>
      <c r="AB76" s="137">
        <v>-2400000</v>
      </c>
      <c r="AC76" s="137">
        <v>2400000</v>
      </c>
      <c r="AD76" s="191">
        <v>2400000</v>
      </c>
      <c r="AE76" s="191">
        <v>2400000</v>
      </c>
      <c r="AF76" s="137">
        <v>2400000</v>
      </c>
      <c r="AG76" s="137">
        <v>2400000</v>
      </c>
      <c r="AH76" s="137">
        <v>2400000</v>
      </c>
      <c r="AI76" s="137">
        <v>-124098</v>
      </c>
      <c r="AJ76" s="137">
        <v>-124097</v>
      </c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80">
        <v>4720752</v>
      </c>
      <c r="AX76" s="137"/>
      <c r="AY76" s="137"/>
      <c r="AZ76" s="137">
        <v>0</v>
      </c>
      <c r="BA76" s="181">
        <v>0</v>
      </c>
      <c r="BB76" s="137">
        <v>3292568</v>
      </c>
      <c r="BC76" s="137">
        <v>6599370</v>
      </c>
      <c r="BD76" s="137">
        <v>6874356.7999999998</v>
      </c>
      <c r="BE76" s="52">
        <v>7387204.2000000002</v>
      </c>
      <c r="BF76" s="52">
        <v>7387204.1500000004</v>
      </c>
      <c r="BH76" s="52">
        <v>5771304.2000000002</v>
      </c>
      <c r="BI76" s="480">
        <v>5838260.9000000004</v>
      </c>
      <c r="BJ76" s="480">
        <v>2000000</v>
      </c>
      <c r="BK76" s="480">
        <v>0</v>
      </c>
      <c r="BL76" s="480">
        <v>0</v>
      </c>
      <c r="BM76" s="480">
        <v>7256136</v>
      </c>
      <c r="BN76" s="480">
        <v>6949166</v>
      </c>
      <c r="BO76" s="480">
        <v>7183267</v>
      </c>
      <c r="BP76" s="480">
        <v>7556873</v>
      </c>
      <c r="BQ76" s="480">
        <v>8948946</v>
      </c>
      <c r="BR76" s="52">
        <v>8619319</v>
      </c>
      <c r="BS76" s="52">
        <v>7902398.7000000002</v>
      </c>
      <c r="BT76" s="508">
        <v>7949409</v>
      </c>
      <c r="BU76" s="52">
        <v>8452644</v>
      </c>
      <c r="BV76" s="52">
        <v>0</v>
      </c>
      <c r="BX76" s="88">
        <v>0</v>
      </c>
      <c r="BY76" s="88">
        <v>0</v>
      </c>
      <c r="BZ76" s="88">
        <v>0</v>
      </c>
      <c r="CA76" s="88">
        <v>0</v>
      </c>
      <c r="CB76" s="88">
        <v>0</v>
      </c>
      <c r="CC76" s="88">
        <v>0</v>
      </c>
      <c r="CD76" s="88">
        <v>0</v>
      </c>
      <c r="CE76" s="88">
        <v>0</v>
      </c>
      <c r="CF76" s="88">
        <v>0</v>
      </c>
      <c r="CG76" s="88">
        <v>0</v>
      </c>
      <c r="CH76" s="499">
        <v>0</v>
      </c>
      <c r="CI76" s="499">
        <v>1000000</v>
      </c>
      <c r="CJ76" s="527">
        <v>1000000</v>
      </c>
      <c r="CK76" s="52">
        <v>2000000</v>
      </c>
      <c r="CL76" s="499">
        <v>0</v>
      </c>
      <c r="CM76" s="499">
        <v>0</v>
      </c>
      <c r="CN76" s="499">
        <v>0</v>
      </c>
      <c r="CO76" s="499">
        <v>0</v>
      </c>
      <c r="CP76" s="499">
        <v>0</v>
      </c>
      <c r="CR76" s="560">
        <v>0</v>
      </c>
      <c r="CS76" s="560">
        <v>0</v>
      </c>
      <c r="CT76" s="560">
        <v>0</v>
      </c>
      <c r="CU76" s="560">
        <v>0</v>
      </c>
      <c r="CV76" s="560">
        <v>2000000</v>
      </c>
      <c r="CW76" s="480">
        <v>2000000</v>
      </c>
      <c r="CX76" s="646">
        <v>0</v>
      </c>
      <c r="CY76" s="646">
        <v>0</v>
      </c>
      <c r="CZ76" s="646">
        <v>0</v>
      </c>
      <c r="DA76" s="646">
        <v>0</v>
      </c>
      <c r="DB76" s="646">
        <v>0</v>
      </c>
      <c r="DC76" s="646">
        <v>0</v>
      </c>
      <c r="DD76" s="646">
        <v>0</v>
      </c>
      <c r="DE76" s="499">
        <v>0</v>
      </c>
      <c r="DF76" s="499">
        <v>0</v>
      </c>
      <c r="DG76" s="499">
        <v>0</v>
      </c>
      <c r="DH76" s="499">
        <v>0</v>
      </c>
      <c r="DI76" s="499">
        <v>2000000</v>
      </c>
      <c r="DJ76" s="88">
        <v>2000000</v>
      </c>
      <c r="DK76" s="646">
        <v>0</v>
      </c>
      <c r="DL76" s="646">
        <v>0</v>
      </c>
      <c r="DM76" s="646">
        <v>0</v>
      </c>
      <c r="DN76" s="646">
        <v>0</v>
      </c>
      <c r="DO76" s="646">
        <v>0</v>
      </c>
      <c r="DP76" s="646">
        <v>0</v>
      </c>
      <c r="DQ76" s="646">
        <v>0</v>
      </c>
      <c r="DR76" s="646">
        <v>0</v>
      </c>
      <c r="DS76" s="499">
        <v>0</v>
      </c>
      <c r="DT76" s="499">
        <v>0</v>
      </c>
      <c r="DU76" s="499">
        <v>0</v>
      </c>
      <c r="DW76" s="87">
        <v>3500000</v>
      </c>
    </row>
    <row r="77" spans="2:127" ht="13.2" x14ac:dyDescent="0.25">
      <c r="B77" s="93" t="s">
        <v>120</v>
      </c>
      <c r="C77" s="93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>
        <v>0</v>
      </c>
      <c r="AB77" s="94">
        <v>0</v>
      </c>
      <c r="AC77" s="94">
        <v>0</v>
      </c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94"/>
      <c r="AO77" s="94"/>
      <c r="AP77" s="94"/>
      <c r="AQ77" s="94"/>
      <c r="AR77" s="94"/>
      <c r="AS77" s="94"/>
      <c r="AT77" s="94"/>
      <c r="AU77" s="94"/>
      <c r="AV77" s="94"/>
      <c r="AW77" s="382"/>
      <c r="AX77" s="94"/>
      <c r="AY77" s="94"/>
      <c r="AZ77" s="94">
        <v>0</v>
      </c>
      <c r="BA77" s="389">
        <v>0</v>
      </c>
      <c r="BB77" s="94">
        <v>0</v>
      </c>
      <c r="BC77" s="94">
        <v>0</v>
      </c>
      <c r="BD77" s="94">
        <v>0</v>
      </c>
      <c r="BE77" s="52">
        <v>0</v>
      </c>
      <c r="BH77" s="52">
        <v>0</v>
      </c>
      <c r="BI77" s="480">
        <v>0</v>
      </c>
      <c r="BK77" s="480">
        <v>0</v>
      </c>
      <c r="BL77" s="480">
        <v>0</v>
      </c>
      <c r="BM77" s="480">
        <v>0</v>
      </c>
      <c r="BN77" s="480">
        <v>0</v>
      </c>
      <c r="BO77" s="480">
        <v>0</v>
      </c>
      <c r="BP77" s="480">
        <v>0</v>
      </c>
      <c r="BQ77" s="480">
        <v>0</v>
      </c>
      <c r="BR77" s="480">
        <v>0</v>
      </c>
      <c r="BS77" s="480">
        <v>0</v>
      </c>
      <c r="BT77" s="480">
        <v>0</v>
      </c>
      <c r="BU77" s="52">
        <v>0</v>
      </c>
      <c r="BV77" s="52">
        <v>0</v>
      </c>
      <c r="BX77" s="88">
        <v>0</v>
      </c>
      <c r="BY77" s="88">
        <v>0</v>
      </c>
      <c r="BZ77" s="88">
        <v>0</v>
      </c>
      <c r="CA77" s="88">
        <v>0</v>
      </c>
      <c r="CB77" s="88">
        <v>0</v>
      </c>
      <c r="CC77" s="88">
        <v>0</v>
      </c>
      <c r="CD77" s="88">
        <v>0</v>
      </c>
      <c r="CE77" s="88">
        <v>0</v>
      </c>
      <c r="CF77" s="88">
        <v>0</v>
      </c>
      <c r="CG77" s="88">
        <v>0</v>
      </c>
      <c r="CH77" s="499">
        <v>0</v>
      </c>
      <c r="CI77" s="499">
        <v>0</v>
      </c>
      <c r="CJ77" s="527">
        <v>0</v>
      </c>
      <c r="CL77" s="499">
        <v>0</v>
      </c>
      <c r="CM77" s="499">
        <v>0</v>
      </c>
      <c r="CN77" s="499">
        <v>0</v>
      </c>
      <c r="CO77" s="499">
        <v>0</v>
      </c>
      <c r="CP77" s="499">
        <v>0</v>
      </c>
      <c r="CR77" s="560">
        <v>0</v>
      </c>
      <c r="CS77" s="560">
        <v>0</v>
      </c>
      <c r="CT77" s="560">
        <v>0</v>
      </c>
      <c r="CU77" s="560">
        <v>0</v>
      </c>
      <c r="CV77" s="560">
        <v>0</v>
      </c>
      <c r="CW77" s="480"/>
      <c r="CX77" s="646">
        <v>0</v>
      </c>
      <c r="CY77" s="646">
        <v>0</v>
      </c>
      <c r="CZ77" s="646">
        <v>0</v>
      </c>
      <c r="DA77" s="646">
        <v>0</v>
      </c>
      <c r="DB77" s="646">
        <v>0</v>
      </c>
      <c r="DC77" s="646">
        <v>0</v>
      </c>
      <c r="DD77" s="646">
        <v>0</v>
      </c>
      <c r="DE77" s="499">
        <v>0</v>
      </c>
      <c r="DF77" s="499">
        <v>0</v>
      </c>
      <c r="DG77" s="499">
        <v>0</v>
      </c>
      <c r="DH77" s="499">
        <v>0</v>
      </c>
      <c r="DI77" s="499">
        <v>0</v>
      </c>
      <c r="DK77" s="646">
        <v>0</v>
      </c>
      <c r="DL77" s="646">
        <v>0</v>
      </c>
      <c r="DM77" s="646">
        <v>0</v>
      </c>
      <c r="DN77" s="646">
        <v>0</v>
      </c>
      <c r="DO77" s="646">
        <v>0</v>
      </c>
      <c r="DP77" s="646">
        <v>0</v>
      </c>
      <c r="DQ77" s="646">
        <v>0</v>
      </c>
      <c r="DR77" s="646">
        <v>0</v>
      </c>
      <c r="DS77" s="499">
        <v>0</v>
      </c>
      <c r="DT77" s="499">
        <v>0</v>
      </c>
      <c r="DU77" s="499">
        <v>0</v>
      </c>
    </row>
    <row r="78" spans="2:127" ht="13.2" x14ac:dyDescent="0.25">
      <c r="B78" s="90" t="s">
        <v>121</v>
      </c>
      <c r="C78" s="90"/>
      <c r="D78" s="91">
        <f t="shared" ref="D78:V78" si="184">SUM(D79:D83)</f>
        <v>375359</v>
      </c>
      <c r="E78" s="91">
        <f t="shared" si="184"/>
        <v>767775</v>
      </c>
      <c r="F78" s="91">
        <f t="shared" si="184"/>
        <v>2044361</v>
      </c>
      <c r="G78" s="91">
        <f t="shared" si="184"/>
        <v>3663758</v>
      </c>
      <c r="H78" s="91">
        <f t="shared" si="184"/>
        <v>3739</v>
      </c>
      <c r="I78" s="91">
        <f t="shared" si="184"/>
        <v>4107284</v>
      </c>
      <c r="J78" s="91">
        <f t="shared" si="184"/>
        <v>468718300</v>
      </c>
      <c r="K78" s="91">
        <f t="shared" si="184"/>
        <v>988800</v>
      </c>
      <c r="L78" s="91">
        <f t="shared" si="184"/>
        <v>1579100</v>
      </c>
      <c r="M78" s="91">
        <f t="shared" si="184"/>
        <v>1975100</v>
      </c>
      <c r="N78" s="91">
        <f t="shared" si="184"/>
        <v>2294310</v>
      </c>
      <c r="O78" s="91">
        <f t="shared" si="184"/>
        <v>2692486</v>
      </c>
      <c r="P78" s="91">
        <f t="shared" si="184"/>
        <v>3203789</v>
      </c>
      <c r="Q78" s="91">
        <f t="shared" si="184"/>
        <v>3641426</v>
      </c>
      <c r="R78" s="91">
        <f t="shared" si="184"/>
        <v>3883104</v>
      </c>
      <c r="S78" s="91">
        <f t="shared" si="184"/>
        <v>4984427</v>
      </c>
      <c r="T78" s="91">
        <f t="shared" si="184"/>
        <v>0</v>
      </c>
      <c r="U78" s="91">
        <f t="shared" si="184"/>
        <v>0</v>
      </c>
      <c r="V78" s="91">
        <f t="shared" si="184"/>
        <v>5120758</v>
      </c>
      <c r="W78" s="91">
        <f t="shared" ref="W78:AD78" si="185">SUM(W79:W83)</f>
        <v>457614.7</v>
      </c>
      <c r="X78" s="91">
        <f t="shared" si="185"/>
        <v>793887.7</v>
      </c>
      <c r="Y78" s="91">
        <f t="shared" si="185"/>
        <v>1762571.7</v>
      </c>
      <c r="Z78" s="91">
        <f t="shared" si="185"/>
        <v>2623453.7000000002</v>
      </c>
      <c r="AA78" s="91">
        <f t="shared" si="185"/>
        <v>3689590.73</v>
      </c>
      <c r="AB78" s="91">
        <f t="shared" si="185"/>
        <v>3598488.73</v>
      </c>
      <c r="AC78" s="91">
        <f t="shared" si="185"/>
        <v>4015842.73</v>
      </c>
      <c r="AD78" s="91">
        <f t="shared" si="185"/>
        <v>4456394.9000000004</v>
      </c>
      <c r="AE78" s="91">
        <f t="shared" ref="AE78:AG78" si="186">SUM(AE79:AE83)</f>
        <v>5407232.9000000004</v>
      </c>
      <c r="AF78" s="91">
        <f t="shared" si="186"/>
        <v>5801219.0999999996</v>
      </c>
      <c r="AG78" s="91">
        <f t="shared" si="186"/>
        <v>6294834.3000000007</v>
      </c>
      <c r="AH78" s="91">
        <f t="shared" ref="AH78:AI78" si="187">SUM(AH79:AH83)</f>
        <v>6862762.2600000007</v>
      </c>
      <c r="AI78" s="91">
        <f t="shared" si="187"/>
        <v>7260692</v>
      </c>
      <c r="AJ78" s="91">
        <f t="shared" ref="AJ78:AN78" si="188">SUM(AJ79:AJ83)</f>
        <v>7260692</v>
      </c>
      <c r="AK78" s="91">
        <f t="shared" si="188"/>
        <v>0</v>
      </c>
      <c r="AL78" s="91">
        <f t="shared" si="188"/>
        <v>1862275</v>
      </c>
      <c r="AM78" s="91">
        <f t="shared" si="188"/>
        <v>2726341</v>
      </c>
      <c r="AN78" s="91">
        <f t="shared" si="188"/>
        <v>3427604</v>
      </c>
      <c r="AO78" s="91">
        <f t="shared" ref="AO78:AP78" si="189">SUM(AO79:AO83)</f>
        <v>3807547</v>
      </c>
      <c r="AP78" s="91">
        <f t="shared" si="189"/>
        <v>0</v>
      </c>
      <c r="AQ78" s="91">
        <f t="shared" ref="AQ78:CC78" si="190">SUM(AQ79:AQ83)</f>
        <v>4343857</v>
      </c>
      <c r="AR78" s="91">
        <f t="shared" si="190"/>
        <v>5826679</v>
      </c>
      <c r="AS78" s="91">
        <f t="shared" si="190"/>
        <v>0</v>
      </c>
      <c r="AT78" s="91">
        <f t="shared" si="190"/>
        <v>0</v>
      </c>
      <c r="AU78" s="91">
        <f t="shared" si="190"/>
        <v>7501467</v>
      </c>
      <c r="AV78" s="91">
        <f t="shared" si="190"/>
        <v>10522121.5</v>
      </c>
      <c r="AW78" s="91">
        <f t="shared" si="190"/>
        <v>7677343</v>
      </c>
      <c r="AX78" s="91">
        <f t="shared" si="190"/>
        <v>0</v>
      </c>
      <c r="AY78" s="91">
        <f t="shared" si="190"/>
        <v>0</v>
      </c>
      <c r="AZ78" s="91">
        <f t="shared" si="190"/>
        <v>2043722</v>
      </c>
      <c r="BA78" s="91">
        <f t="shared" si="190"/>
        <v>7454546</v>
      </c>
      <c r="BB78" s="91">
        <f t="shared" si="190"/>
        <v>4146258</v>
      </c>
      <c r="BC78" s="91">
        <f t="shared" si="190"/>
        <v>4866444</v>
      </c>
      <c r="BD78" s="91">
        <f t="shared" si="190"/>
        <v>5532071</v>
      </c>
      <c r="BE78" s="91">
        <f t="shared" si="190"/>
        <v>6342843.7999999998</v>
      </c>
      <c r="BF78" s="91">
        <f t="shared" si="190"/>
        <v>6342843.7999999998</v>
      </c>
      <c r="BG78" s="91">
        <f t="shared" si="190"/>
        <v>0</v>
      </c>
      <c r="BH78" s="91">
        <f t="shared" si="190"/>
        <v>9718419.3000000007</v>
      </c>
      <c r="BI78" s="91">
        <f t="shared" si="190"/>
        <v>11845258.300000001</v>
      </c>
      <c r="BJ78" s="91">
        <f t="shared" si="190"/>
        <v>11534139</v>
      </c>
      <c r="BK78" s="91">
        <f t="shared" si="190"/>
        <v>1386604</v>
      </c>
      <c r="BL78" s="91">
        <f t="shared" si="190"/>
        <v>2439562</v>
      </c>
      <c r="BM78" s="91">
        <f t="shared" si="190"/>
        <v>3942474.71</v>
      </c>
      <c r="BN78" s="91">
        <f t="shared" si="190"/>
        <v>4816682</v>
      </c>
      <c r="BO78" s="91">
        <f t="shared" si="190"/>
        <v>6348448</v>
      </c>
      <c r="BP78" s="91">
        <f t="shared" si="190"/>
        <v>6528846</v>
      </c>
      <c r="BQ78" s="91">
        <f t="shared" si="190"/>
        <v>8796217</v>
      </c>
      <c r="BR78" s="91">
        <f t="shared" si="190"/>
        <v>10382264</v>
      </c>
      <c r="BS78" s="91">
        <f t="shared" si="190"/>
        <v>11064978.809999999</v>
      </c>
      <c r="BT78" s="91">
        <f t="shared" si="190"/>
        <v>13187408</v>
      </c>
      <c r="BU78" s="91">
        <f t="shared" si="190"/>
        <v>12007944</v>
      </c>
      <c r="BV78" s="91">
        <f t="shared" si="190"/>
        <v>17427772</v>
      </c>
      <c r="BW78" s="91">
        <f t="shared" si="190"/>
        <v>13624857</v>
      </c>
      <c r="BX78" s="91">
        <f t="shared" si="190"/>
        <v>1460125</v>
      </c>
      <c r="BY78" s="91">
        <f t="shared" si="190"/>
        <v>3066125</v>
      </c>
      <c r="BZ78" s="91">
        <f t="shared" si="190"/>
        <v>5349652</v>
      </c>
      <c r="CA78" s="91">
        <f t="shared" si="190"/>
        <v>6646362</v>
      </c>
      <c r="CB78" s="91">
        <f t="shared" si="190"/>
        <v>7556913</v>
      </c>
      <c r="CC78" s="91">
        <f t="shared" si="190"/>
        <v>8612853</v>
      </c>
      <c r="CD78" s="91">
        <f t="shared" ref="CD78:DW78" si="191">SUM(CD79:CD83)</f>
        <v>10379829</v>
      </c>
      <c r="CE78" s="91">
        <f t="shared" si="191"/>
        <v>11264611</v>
      </c>
      <c r="CF78" s="91">
        <f t="shared" si="191"/>
        <v>12257604</v>
      </c>
      <c r="CG78" s="91">
        <f t="shared" si="191"/>
        <v>13202880</v>
      </c>
      <c r="CH78" s="91">
        <f t="shared" si="191"/>
        <v>16065011.120000001</v>
      </c>
      <c r="CI78" s="91">
        <f t="shared" si="191"/>
        <v>18972202.57</v>
      </c>
      <c r="CJ78" s="91">
        <f t="shared" si="191"/>
        <v>18995137.57</v>
      </c>
      <c r="CK78" s="91">
        <f t="shared" si="191"/>
        <v>1296520</v>
      </c>
      <c r="CL78" s="91">
        <f t="shared" si="191"/>
        <v>2630916</v>
      </c>
      <c r="CM78" s="91">
        <f t="shared" si="191"/>
        <v>4331454</v>
      </c>
      <c r="CN78" s="91">
        <f t="shared" si="191"/>
        <v>5423592</v>
      </c>
      <c r="CO78" s="91">
        <f t="shared" si="191"/>
        <v>6688279</v>
      </c>
      <c r="CP78" s="91">
        <f t="shared" si="191"/>
        <v>7879689</v>
      </c>
      <c r="CQ78" s="552">
        <f t="shared" si="191"/>
        <v>0</v>
      </c>
      <c r="CR78" s="91">
        <f t="shared" si="191"/>
        <v>10396171</v>
      </c>
      <c r="CS78" s="91">
        <f t="shared" si="191"/>
        <v>12525409</v>
      </c>
      <c r="CT78" s="91">
        <f t="shared" si="191"/>
        <v>28491638</v>
      </c>
      <c r="CU78" s="91">
        <f t="shared" si="191"/>
        <v>15503778</v>
      </c>
      <c r="CV78" s="91">
        <f t="shared" si="191"/>
        <v>19734114.48</v>
      </c>
      <c r="CW78" s="91">
        <f t="shared" si="191"/>
        <v>19841114.48</v>
      </c>
      <c r="CX78" s="91">
        <f t="shared" si="191"/>
        <v>1357544</v>
      </c>
      <c r="CY78" s="91">
        <f t="shared" si="191"/>
        <v>2665520</v>
      </c>
      <c r="CZ78" s="91">
        <f t="shared" si="191"/>
        <v>4632523.3</v>
      </c>
      <c r="DA78" s="91">
        <f t="shared" si="191"/>
        <v>6183883.2999999998</v>
      </c>
      <c r="DB78" s="91">
        <f t="shared" si="191"/>
        <v>7752660.5</v>
      </c>
      <c r="DC78" s="91">
        <f t="shared" si="191"/>
        <v>10379666.199999999</v>
      </c>
      <c r="DD78" s="91">
        <f t="shared" si="191"/>
        <v>11376016.199999999</v>
      </c>
      <c r="DE78" s="91">
        <f t="shared" si="191"/>
        <v>12820759.199999999</v>
      </c>
      <c r="DF78" s="91">
        <f t="shared" si="191"/>
        <v>14365943.700000001</v>
      </c>
      <c r="DG78" s="91">
        <f t="shared" si="191"/>
        <v>18257526.5</v>
      </c>
      <c r="DH78" s="91">
        <f t="shared" si="191"/>
        <v>20063757.300000001</v>
      </c>
      <c r="DI78" s="91">
        <f t="shared" si="191"/>
        <v>26424469.700000003</v>
      </c>
      <c r="DJ78" s="91">
        <f t="shared" si="191"/>
        <v>27596808</v>
      </c>
      <c r="DK78" s="91">
        <f t="shared" si="191"/>
        <v>1852557.75</v>
      </c>
      <c r="DL78" s="91">
        <f t="shared" si="191"/>
        <v>3375698.05</v>
      </c>
      <c r="DM78" s="91">
        <f t="shared" si="191"/>
        <v>5725895.4500000002</v>
      </c>
      <c r="DN78" s="91">
        <f t="shared" si="191"/>
        <v>7814173.4500000002</v>
      </c>
      <c r="DO78" s="91">
        <f t="shared" si="191"/>
        <v>9285286.5500000007</v>
      </c>
      <c r="DP78" s="91">
        <f t="shared" si="191"/>
        <v>11584081</v>
      </c>
      <c r="DQ78" s="91">
        <f t="shared" si="191"/>
        <v>13533949.449999999</v>
      </c>
      <c r="DR78" s="91">
        <f t="shared" si="191"/>
        <v>15208123.050000001</v>
      </c>
      <c r="DS78" s="91">
        <f t="shared" si="191"/>
        <v>17469429.43</v>
      </c>
      <c r="DT78" s="91">
        <f t="shared" si="191"/>
        <v>21788640.93</v>
      </c>
      <c r="DU78" s="91">
        <f t="shared" si="191"/>
        <v>24128930.43</v>
      </c>
      <c r="DV78" s="91">
        <f t="shared" si="191"/>
        <v>0</v>
      </c>
      <c r="DW78" s="538">
        <f t="shared" si="191"/>
        <v>30003663</v>
      </c>
    </row>
    <row r="79" spans="2:127" ht="13.8" x14ac:dyDescent="0.25">
      <c r="B79" s="93" t="s">
        <v>122</v>
      </c>
      <c r="C79" s="138">
        <v>4800</v>
      </c>
      <c r="D79" s="138">
        <v>73280</v>
      </c>
      <c r="E79" s="138">
        <v>272910</v>
      </c>
      <c r="F79" s="138">
        <v>756385</v>
      </c>
      <c r="G79" s="136">
        <v>1320054</v>
      </c>
      <c r="H79" s="136">
        <v>1471.5</v>
      </c>
      <c r="I79" s="136">
        <v>1380169</v>
      </c>
      <c r="J79" s="136">
        <v>140340200</v>
      </c>
      <c r="K79" s="136">
        <v>264900</v>
      </c>
      <c r="L79" s="136">
        <v>391100</v>
      </c>
      <c r="M79" s="136">
        <v>564400</v>
      </c>
      <c r="N79" s="136">
        <v>694200</v>
      </c>
      <c r="O79" s="136">
        <v>859170</v>
      </c>
      <c r="P79" s="136">
        <v>1055875</v>
      </c>
      <c r="Q79" s="136">
        <v>1203190</v>
      </c>
      <c r="R79" s="136">
        <v>1344320</v>
      </c>
      <c r="S79" s="136">
        <v>1491410</v>
      </c>
      <c r="T79" s="136"/>
      <c r="U79" s="136"/>
      <c r="V79" s="136">
        <v>1980619</v>
      </c>
      <c r="W79" s="136">
        <v>161865</v>
      </c>
      <c r="X79" s="136">
        <v>300750</v>
      </c>
      <c r="Y79" s="136">
        <v>436135</v>
      </c>
      <c r="Z79" s="136">
        <v>750650</v>
      </c>
      <c r="AA79" s="136">
        <v>977095</v>
      </c>
      <c r="AB79" s="136">
        <v>1282943</v>
      </c>
      <c r="AC79" s="136">
        <v>1520808</v>
      </c>
      <c r="AD79" s="191">
        <v>1759778</v>
      </c>
      <c r="AE79" s="193">
        <v>2015118</v>
      </c>
      <c r="AF79" s="193">
        <v>2252380</v>
      </c>
      <c r="AG79" s="193">
        <v>2490645</v>
      </c>
      <c r="AH79" s="193">
        <v>2766210</v>
      </c>
      <c r="AI79" s="193">
        <v>2751160</v>
      </c>
      <c r="AJ79" s="193">
        <v>2751160</v>
      </c>
      <c r="AK79" s="193"/>
      <c r="AL79" s="193">
        <v>488941</v>
      </c>
      <c r="AM79" s="193">
        <v>758976</v>
      </c>
      <c r="AN79" s="193">
        <v>1159166</v>
      </c>
      <c r="AO79" s="193">
        <v>1430246</v>
      </c>
      <c r="AP79" s="193"/>
      <c r="AQ79" s="193">
        <v>1667621</v>
      </c>
      <c r="AR79" s="193">
        <v>2192889</v>
      </c>
      <c r="AS79" s="193"/>
      <c r="AT79" s="193"/>
      <c r="AU79" s="193">
        <v>2924784</v>
      </c>
      <c r="AV79" s="193">
        <v>3829559</v>
      </c>
      <c r="AW79" s="251">
        <f>2385610+270601+98000+94264+109700</f>
        <v>2958175</v>
      </c>
      <c r="AX79" s="394"/>
      <c r="AY79" s="394"/>
      <c r="AZ79" s="394">
        <v>995929</v>
      </c>
      <c r="BA79" s="242">
        <v>3445110</v>
      </c>
      <c r="BB79" s="242">
        <v>1827725</v>
      </c>
      <c r="BC79" s="242">
        <v>2185210</v>
      </c>
      <c r="BD79" s="242">
        <v>2630810</v>
      </c>
      <c r="BE79" s="52">
        <v>3016170</v>
      </c>
      <c r="BF79" s="52">
        <v>3016170</v>
      </c>
      <c r="BH79" s="52">
        <v>4538670</v>
      </c>
      <c r="BI79" s="480">
        <v>4894841</v>
      </c>
      <c r="BJ79" s="480">
        <v>985445</v>
      </c>
      <c r="BK79" s="480">
        <v>322908</v>
      </c>
      <c r="BL79" s="480">
        <v>760763</v>
      </c>
      <c r="BM79" s="480">
        <v>1484053</v>
      </c>
      <c r="BN79" s="480">
        <v>1563165</v>
      </c>
      <c r="BO79" s="480">
        <v>2853600</v>
      </c>
      <c r="BP79" s="480">
        <v>2619574</v>
      </c>
      <c r="BQ79" s="480">
        <v>3664274</v>
      </c>
      <c r="BR79" s="52">
        <v>3402299</v>
      </c>
      <c r="BS79" s="52">
        <v>3402299</v>
      </c>
      <c r="BT79" s="509">
        <v>4203079</v>
      </c>
      <c r="BU79" s="52">
        <v>4623734</v>
      </c>
      <c r="BV79" s="52">
        <v>5138097</v>
      </c>
      <c r="BW79" s="52">
        <v>2890323</v>
      </c>
      <c r="BX79" s="88">
        <v>392120</v>
      </c>
      <c r="BY79" s="88">
        <v>788932</v>
      </c>
      <c r="BZ79" s="499">
        <v>1281502</v>
      </c>
      <c r="CA79" s="499">
        <v>1696986</v>
      </c>
      <c r="CB79" s="499">
        <v>2094528</v>
      </c>
      <c r="CC79" s="499">
        <v>2610628</v>
      </c>
      <c r="CD79" s="499">
        <v>2667875</v>
      </c>
      <c r="CE79" s="499">
        <v>3546317</v>
      </c>
      <c r="CF79" s="499">
        <v>4000524</v>
      </c>
      <c r="CG79" s="499">
        <v>4461661</v>
      </c>
      <c r="CH79" s="499">
        <v>5118948</v>
      </c>
      <c r="CI79" s="499">
        <v>5576360</v>
      </c>
      <c r="CJ79" s="527">
        <v>5576360</v>
      </c>
      <c r="CK79" s="508">
        <v>445347</v>
      </c>
      <c r="CL79" s="499">
        <v>940592</v>
      </c>
      <c r="CM79" s="499">
        <v>1412319</v>
      </c>
      <c r="CN79" s="499">
        <v>1909386</v>
      </c>
      <c r="CO79" s="499">
        <v>2398176</v>
      </c>
      <c r="CP79" s="499">
        <v>2932938</v>
      </c>
      <c r="CR79" s="560">
        <v>3949484</v>
      </c>
      <c r="CS79" s="560">
        <v>4522672</v>
      </c>
      <c r="CT79" s="560">
        <v>10625986</v>
      </c>
      <c r="CU79" s="560">
        <v>5975095</v>
      </c>
      <c r="CV79" s="560">
        <v>6650515</v>
      </c>
      <c r="CW79" s="480">
        <v>6650515</v>
      </c>
      <c r="CX79" s="646">
        <v>636520</v>
      </c>
      <c r="CY79" s="646">
        <v>1260133</v>
      </c>
      <c r="CZ79" s="646">
        <v>1891831.3</v>
      </c>
      <c r="DA79" s="646">
        <v>2518111.2999999998</v>
      </c>
      <c r="DB79" s="646">
        <v>3111112.3</v>
      </c>
      <c r="DC79" s="646">
        <v>3871738</v>
      </c>
      <c r="DD79" s="646">
        <v>4327958.3</v>
      </c>
      <c r="DE79" s="499">
        <v>4975517.3</v>
      </c>
      <c r="DF79" s="499">
        <v>5735652.2999999998</v>
      </c>
      <c r="DG79" s="499">
        <v>6794071.2999999998</v>
      </c>
      <c r="DH79" s="499">
        <v>7651929.2999999998</v>
      </c>
      <c r="DI79" s="499">
        <v>8698422.3000000007</v>
      </c>
      <c r="DJ79" s="88">
        <v>8577645</v>
      </c>
      <c r="DK79" s="646">
        <v>771051</v>
      </c>
      <c r="DL79" s="646">
        <v>1687223</v>
      </c>
      <c r="DM79" s="646">
        <v>2313088</v>
      </c>
      <c r="DN79" s="646">
        <v>3079006</v>
      </c>
      <c r="DO79" s="646">
        <v>3831864</v>
      </c>
      <c r="DP79" s="646">
        <v>4751649.5</v>
      </c>
      <c r="DQ79" s="646">
        <v>5590102.5</v>
      </c>
      <c r="DR79" s="646">
        <v>6372545</v>
      </c>
      <c r="DS79" s="499">
        <v>7184906.5</v>
      </c>
      <c r="DT79" s="499">
        <v>8134057</v>
      </c>
      <c r="DU79" s="499">
        <v>9378226.5</v>
      </c>
      <c r="DW79" s="87">
        <v>10626352</v>
      </c>
    </row>
    <row r="80" spans="2:127" ht="14.4" x14ac:dyDescent="0.3">
      <c r="B80" s="93" t="s">
        <v>123</v>
      </c>
      <c r="C80" s="138">
        <v>43100</v>
      </c>
      <c r="D80" s="138">
        <v>87359</v>
      </c>
      <c r="E80" s="138">
        <v>167980</v>
      </c>
      <c r="F80" s="138">
        <v>390700</v>
      </c>
      <c r="G80" s="136">
        <v>765660</v>
      </c>
      <c r="H80" s="136">
        <v>795.5</v>
      </c>
      <c r="I80" s="136">
        <v>1212154</v>
      </c>
      <c r="J80" s="136">
        <v>87387300</v>
      </c>
      <c r="K80" s="136">
        <v>366500</v>
      </c>
      <c r="L80" s="136">
        <v>539600</v>
      </c>
      <c r="M80" s="136">
        <v>601200</v>
      </c>
      <c r="N80" s="136">
        <v>669155</v>
      </c>
      <c r="O80" s="136">
        <v>749609</v>
      </c>
      <c r="P80" s="136">
        <v>824809</v>
      </c>
      <c r="Q80" s="136">
        <v>907509</v>
      </c>
      <c r="R80" s="136">
        <v>967809</v>
      </c>
      <c r="S80" s="136">
        <v>1036959</v>
      </c>
      <c r="T80" s="136"/>
      <c r="U80" s="136"/>
      <c r="V80" s="136">
        <v>1358301</v>
      </c>
      <c r="W80" s="136">
        <v>94300</v>
      </c>
      <c r="X80" s="136">
        <v>172010</v>
      </c>
      <c r="Y80" s="136">
        <v>569545</v>
      </c>
      <c r="Z80" s="136">
        <v>644645</v>
      </c>
      <c r="AA80" s="136">
        <v>709245</v>
      </c>
      <c r="AB80" s="136">
        <v>692645</v>
      </c>
      <c r="AC80" s="136">
        <v>745845</v>
      </c>
      <c r="AD80" s="191">
        <v>823693</v>
      </c>
      <c r="AE80" s="193">
        <v>888593</v>
      </c>
      <c r="AF80" s="193">
        <v>960293</v>
      </c>
      <c r="AG80" s="193">
        <v>1045493</v>
      </c>
      <c r="AH80" s="193">
        <v>1283293</v>
      </c>
      <c r="AI80" s="193">
        <v>2076338</v>
      </c>
      <c r="AJ80" s="193">
        <v>2076338</v>
      </c>
      <c r="AK80" s="193"/>
      <c r="AL80" s="193">
        <v>356314</v>
      </c>
      <c r="AM80" s="193">
        <v>588704</v>
      </c>
      <c r="AN80" s="193">
        <v>657504</v>
      </c>
      <c r="AO80" s="193">
        <v>731704</v>
      </c>
      <c r="AP80" s="193"/>
      <c r="AQ80" s="193">
        <v>794004</v>
      </c>
      <c r="AR80" s="193">
        <v>947504</v>
      </c>
      <c r="AS80" s="193"/>
      <c r="AT80" s="193"/>
      <c r="AU80" s="193">
        <v>1175599</v>
      </c>
      <c r="AV80" s="193">
        <v>1503114</v>
      </c>
      <c r="AW80" s="251">
        <f>324100+203750+262400+275600+346604+789557</f>
        <v>2202011</v>
      </c>
      <c r="AX80" s="394"/>
      <c r="AY80" s="394"/>
      <c r="AZ80" s="394">
        <v>190200</v>
      </c>
      <c r="BA80" s="242">
        <v>1225984</v>
      </c>
      <c r="BB80" s="242">
        <v>809092</v>
      </c>
      <c r="BC80" s="242">
        <v>894392</v>
      </c>
      <c r="BD80" s="242">
        <v>948292</v>
      </c>
      <c r="BE80" s="52">
        <v>1072987</v>
      </c>
      <c r="BF80" s="52">
        <v>1072987</v>
      </c>
      <c r="BH80" s="52">
        <v>1500123</v>
      </c>
      <c r="BI80" s="480">
        <v>2882154.07</v>
      </c>
      <c r="BJ80" s="480">
        <v>2675783</v>
      </c>
      <c r="BK80" s="480">
        <v>52100</v>
      </c>
      <c r="BL80" s="480">
        <v>215300</v>
      </c>
      <c r="BM80" s="480">
        <v>610322</v>
      </c>
      <c r="BN80" s="480">
        <v>770915</v>
      </c>
      <c r="BO80" s="480">
        <v>878915</v>
      </c>
      <c r="BP80" s="480">
        <v>1044725</v>
      </c>
      <c r="BQ80" s="480">
        <v>1198505</v>
      </c>
      <c r="BR80" s="52">
        <v>1553155</v>
      </c>
      <c r="BS80" s="52">
        <v>1651875</v>
      </c>
      <c r="BT80" s="510">
        <v>1745775</v>
      </c>
      <c r="BU80" s="52">
        <v>1930595</v>
      </c>
      <c r="BV80" s="52">
        <v>2095515</v>
      </c>
      <c r="BW80" s="52">
        <v>3377915</v>
      </c>
      <c r="BX80" s="88">
        <v>686050</v>
      </c>
      <c r="BY80" s="88">
        <v>831050</v>
      </c>
      <c r="BZ80" s="499">
        <v>1310410</v>
      </c>
      <c r="CA80" s="499">
        <v>1400610</v>
      </c>
      <c r="CB80" s="499">
        <v>1638010</v>
      </c>
      <c r="CC80" s="499">
        <v>1896430</v>
      </c>
      <c r="CD80" s="499">
        <v>2076980</v>
      </c>
      <c r="CE80" s="499">
        <v>2170880</v>
      </c>
      <c r="CF80" s="499">
        <v>2238180</v>
      </c>
      <c r="CG80" s="499">
        <v>2436880</v>
      </c>
      <c r="CH80" s="499">
        <v>2735705</v>
      </c>
      <c r="CI80" s="499">
        <v>3000005</v>
      </c>
      <c r="CJ80" s="527">
        <v>3000005</v>
      </c>
      <c r="CK80" s="534">
        <v>96200</v>
      </c>
      <c r="CL80" s="499">
        <v>357690</v>
      </c>
      <c r="CM80" s="499">
        <v>865360</v>
      </c>
      <c r="CN80" s="499">
        <v>897960</v>
      </c>
      <c r="CO80" s="499">
        <v>928560</v>
      </c>
      <c r="CP80" s="499">
        <v>994360</v>
      </c>
      <c r="CR80" s="560">
        <v>1290110</v>
      </c>
      <c r="CS80" s="560">
        <v>1400310</v>
      </c>
      <c r="CT80" s="560">
        <v>3017220</v>
      </c>
      <c r="CU80" s="560">
        <v>1673510</v>
      </c>
      <c r="CV80" s="560">
        <v>2467460</v>
      </c>
      <c r="CW80" s="480">
        <v>2467460</v>
      </c>
      <c r="CX80" s="646">
        <v>190500</v>
      </c>
      <c r="CY80" s="646">
        <v>442660</v>
      </c>
      <c r="CZ80" s="646">
        <v>826805</v>
      </c>
      <c r="DA80" s="646">
        <v>965105</v>
      </c>
      <c r="DB80" s="646">
        <v>1169015</v>
      </c>
      <c r="DC80" s="646">
        <v>1426265</v>
      </c>
      <c r="DD80" s="646">
        <v>1703805</v>
      </c>
      <c r="DE80" s="499">
        <v>2086360</v>
      </c>
      <c r="DF80" s="499">
        <v>2551495</v>
      </c>
      <c r="DG80" s="499">
        <v>2805995</v>
      </c>
      <c r="DH80" s="499">
        <v>3071210</v>
      </c>
      <c r="DI80" s="499">
        <v>3577410</v>
      </c>
      <c r="DJ80" s="88">
        <v>3697410</v>
      </c>
      <c r="DK80" s="646">
        <v>267300</v>
      </c>
      <c r="DL80" s="646">
        <v>385800</v>
      </c>
      <c r="DM80" s="646">
        <v>916495</v>
      </c>
      <c r="DN80" s="646">
        <v>1261145</v>
      </c>
      <c r="DO80" s="646">
        <v>1478745</v>
      </c>
      <c r="DP80" s="646">
        <v>1749475</v>
      </c>
      <c r="DQ80" s="646">
        <v>1980825</v>
      </c>
      <c r="DR80" s="646">
        <v>2147595</v>
      </c>
      <c r="DS80" s="499">
        <v>2471755</v>
      </c>
      <c r="DT80" s="499">
        <v>2616855</v>
      </c>
      <c r="DU80" s="499">
        <v>2959080</v>
      </c>
      <c r="DW80" s="87">
        <v>3820680</v>
      </c>
    </row>
    <row r="81" spans="2:127" ht="14.4" x14ac:dyDescent="0.3">
      <c r="B81" s="93" t="s">
        <v>124</v>
      </c>
      <c r="C81" s="138">
        <v>1960</v>
      </c>
      <c r="D81" s="138">
        <v>12800</v>
      </c>
      <c r="E81" s="138"/>
      <c r="F81" s="138"/>
      <c r="G81" s="136"/>
      <c r="H81" s="136">
        <v>329.5</v>
      </c>
      <c r="I81" s="136"/>
      <c r="J81" s="136">
        <v>12682700</v>
      </c>
      <c r="K81" s="136">
        <v>32700.000000000004</v>
      </c>
      <c r="L81" s="136">
        <v>167700</v>
      </c>
      <c r="M81" s="136">
        <v>258899.99999999997</v>
      </c>
      <c r="N81" s="136">
        <v>358768</v>
      </c>
      <c r="O81" s="136">
        <v>392444</v>
      </c>
      <c r="P81" s="136">
        <v>289511</v>
      </c>
      <c r="Q81" s="136">
        <v>273011</v>
      </c>
      <c r="R81" s="136">
        <v>273111</v>
      </c>
      <c r="S81" s="136">
        <v>436961</v>
      </c>
      <c r="T81" s="136"/>
      <c r="U81" s="136"/>
      <c r="V81" s="136"/>
      <c r="W81" s="136">
        <v>1110</v>
      </c>
      <c r="X81" s="136">
        <v>36010</v>
      </c>
      <c r="Y81" s="136">
        <v>397590</v>
      </c>
      <c r="Z81" s="136">
        <v>486980</v>
      </c>
      <c r="AA81" s="136">
        <v>580870</v>
      </c>
      <c r="AB81" s="136">
        <v>605790</v>
      </c>
      <c r="AC81" s="136">
        <v>633390</v>
      </c>
      <c r="AD81" s="191">
        <v>688045.2</v>
      </c>
      <c r="AE81" s="193">
        <v>725195.2</v>
      </c>
      <c r="AF81" s="193">
        <v>715665.2</v>
      </c>
      <c r="AG81" s="193">
        <v>729215.2</v>
      </c>
      <c r="AH81" s="193">
        <v>742615.15</v>
      </c>
      <c r="AI81" s="193"/>
      <c r="AJ81" s="193"/>
      <c r="AK81" s="193"/>
      <c r="AL81" s="193">
        <v>304600</v>
      </c>
      <c r="AM81" s="193">
        <v>382690</v>
      </c>
      <c r="AN81" s="193">
        <v>411740</v>
      </c>
      <c r="AO81" s="193">
        <v>402814</v>
      </c>
      <c r="AP81" s="193"/>
      <c r="AQ81" s="193">
        <v>563824</v>
      </c>
      <c r="AR81" s="193">
        <v>745264</v>
      </c>
      <c r="AS81" s="193"/>
      <c r="AT81" s="193"/>
      <c r="AU81" s="193">
        <v>758414</v>
      </c>
      <c r="AV81" s="193">
        <v>851597</v>
      </c>
      <c r="AW81" s="251"/>
      <c r="AX81" s="394"/>
      <c r="AY81" s="394"/>
      <c r="AZ81" s="394">
        <v>182610</v>
      </c>
      <c r="BA81" s="242">
        <v>897640</v>
      </c>
      <c r="BB81" s="242">
        <v>451730</v>
      </c>
      <c r="BC81" s="242">
        <v>457740</v>
      </c>
      <c r="BD81" s="242">
        <v>505030</v>
      </c>
      <c r="BE81" s="52">
        <v>643505</v>
      </c>
      <c r="BF81" s="52">
        <v>643505</v>
      </c>
      <c r="BH81" s="52">
        <v>740775</v>
      </c>
      <c r="BI81" s="480">
        <v>755975</v>
      </c>
      <c r="BJ81" s="480">
        <v>2010974</v>
      </c>
      <c r="BK81" s="480">
        <v>384800</v>
      </c>
      <c r="BL81" s="480">
        <v>383920</v>
      </c>
      <c r="BM81" s="480">
        <v>507330</v>
      </c>
      <c r="BN81" s="480">
        <v>633830</v>
      </c>
      <c r="BO81" s="480">
        <v>661080</v>
      </c>
      <c r="BP81" s="480">
        <v>753590</v>
      </c>
      <c r="BQ81" s="480">
        <v>977550</v>
      </c>
      <c r="BR81" s="52">
        <v>1141950</v>
      </c>
      <c r="BS81" s="52">
        <v>1143350</v>
      </c>
      <c r="BT81" s="510">
        <v>1209400</v>
      </c>
      <c r="BU81" s="52">
        <v>1289880</v>
      </c>
      <c r="BV81" s="52">
        <v>1285400</v>
      </c>
      <c r="BW81" s="52">
        <v>2218522</v>
      </c>
      <c r="BX81" s="88">
        <v>133200</v>
      </c>
      <c r="BY81" s="88">
        <v>353570</v>
      </c>
      <c r="BZ81" s="499">
        <v>506440</v>
      </c>
      <c r="CA81" s="499">
        <v>609910</v>
      </c>
      <c r="CB81" s="499">
        <v>646620</v>
      </c>
      <c r="CC81" s="499">
        <v>928040</v>
      </c>
      <c r="CD81" s="499">
        <v>1307820</v>
      </c>
      <c r="CE81" s="499">
        <v>1196260</v>
      </c>
      <c r="CF81" s="499">
        <v>1374360</v>
      </c>
      <c r="CG81" s="499">
        <v>1412573</v>
      </c>
      <c r="CH81" s="499">
        <v>1517273</v>
      </c>
      <c r="CI81" s="499">
        <v>1538773</v>
      </c>
      <c r="CJ81" s="527">
        <v>1538773</v>
      </c>
      <c r="CK81" s="534">
        <v>151500</v>
      </c>
      <c r="CL81" s="499">
        <v>278800</v>
      </c>
      <c r="CM81" s="499">
        <v>342480</v>
      </c>
      <c r="CN81" s="499">
        <v>377250</v>
      </c>
      <c r="CO81" s="499">
        <v>383000</v>
      </c>
      <c r="CP81" s="499">
        <v>393490</v>
      </c>
      <c r="CR81" s="560">
        <v>517701</v>
      </c>
      <c r="CS81" s="560">
        <v>528701</v>
      </c>
      <c r="CT81" s="560">
        <v>1204742</v>
      </c>
      <c r="CU81" s="560">
        <v>606371</v>
      </c>
      <c r="CV81" s="560">
        <v>790471</v>
      </c>
      <c r="CW81" s="480">
        <v>790471</v>
      </c>
      <c r="CX81" s="646">
        <v>26000</v>
      </c>
      <c r="CY81" s="646">
        <v>104700</v>
      </c>
      <c r="CZ81" s="646">
        <v>146600</v>
      </c>
      <c r="DA81" s="646">
        <v>372285</v>
      </c>
      <c r="DB81" s="646">
        <v>575355</v>
      </c>
      <c r="DC81" s="646">
        <v>899040</v>
      </c>
      <c r="DD81" s="646">
        <v>930290</v>
      </c>
      <c r="DE81" s="499">
        <v>950990</v>
      </c>
      <c r="DF81" s="499">
        <v>968810</v>
      </c>
      <c r="DG81" s="499">
        <v>1042610</v>
      </c>
      <c r="DH81" s="499">
        <v>1080710</v>
      </c>
      <c r="DI81" s="499">
        <v>1114260</v>
      </c>
      <c r="DJ81" s="88">
        <v>1114260</v>
      </c>
      <c r="DK81" s="646">
        <v>170660</v>
      </c>
      <c r="DL81" s="646">
        <v>179160</v>
      </c>
      <c r="DM81" s="646">
        <v>504520</v>
      </c>
      <c r="DN81" s="646">
        <v>546280</v>
      </c>
      <c r="DO81" s="646">
        <v>635440</v>
      </c>
      <c r="DP81" s="646">
        <v>669565</v>
      </c>
      <c r="DQ81" s="646">
        <v>917135</v>
      </c>
      <c r="DR81" s="646">
        <v>1066635</v>
      </c>
      <c r="DS81" s="499">
        <v>1122335</v>
      </c>
      <c r="DT81" s="499">
        <v>1300240</v>
      </c>
      <c r="DU81" s="499">
        <v>1407685</v>
      </c>
      <c r="DW81" s="87">
        <v>1606785</v>
      </c>
    </row>
    <row r="82" spans="2:127" ht="26.4" x14ac:dyDescent="0.25">
      <c r="B82" s="93" t="s">
        <v>125</v>
      </c>
      <c r="C82" s="138">
        <v>4128</v>
      </c>
      <c r="D82" s="138">
        <v>20893</v>
      </c>
      <c r="E82" s="138">
        <v>134348</v>
      </c>
      <c r="F82" s="138">
        <v>491719</v>
      </c>
      <c r="G82" s="136">
        <v>521479</v>
      </c>
      <c r="H82" s="136">
        <v>0</v>
      </c>
      <c r="I82" s="136">
        <v>584058</v>
      </c>
      <c r="J82" s="136">
        <v>0</v>
      </c>
      <c r="K82" s="136">
        <v>0</v>
      </c>
      <c r="L82" s="136">
        <v>0</v>
      </c>
      <c r="M82" s="136">
        <v>0</v>
      </c>
      <c r="N82" s="136">
        <v>0</v>
      </c>
      <c r="O82" s="136">
        <v>0</v>
      </c>
      <c r="P82" s="136">
        <v>0</v>
      </c>
      <c r="Q82" s="136">
        <v>0</v>
      </c>
      <c r="R82" s="136">
        <v>0</v>
      </c>
      <c r="S82" s="136">
        <v>0</v>
      </c>
      <c r="T82" s="136"/>
      <c r="U82" s="136"/>
      <c r="V82" s="136">
        <v>252196</v>
      </c>
      <c r="W82" s="136"/>
      <c r="X82" s="136"/>
      <c r="Y82" s="136"/>
      <c r="Z82" s="136"/>
      <c r="AA82" s="136">
        <v>0</v>
      </c>
      <c r="AB82" s="136">
        <v>0</v>
      </c>
      <c r="AC82" s="136">
        <v>0</v>
      </c>
      <c r="AD82" s="191">
        <v>0</v>
      </c>
      <c r="AE82" s="193">
        <v>0</v>
      </c>
      <c r="AF82" s="193">
        <v>0</v>
      </c>
      <c r="AG82" s="193">
        <v>0</v>
      </c>
      <c r="AH82" s="193">
        <v>0</v>
      </c>
      <c r="AI82" s="193">
        <v>431538</v>
      </c>
      <c r="AJ82" s="193">
        <v>431538</v>
      </c>
      <c r="AK82" s="193"/>
      <c r="AL82" s="193">
        <v>0</v>
      </c>
      <c r="AM82" s="193">
        <v>0</v>
      </c>
      <c r="AN82" s="193">
        <v>0</v>
      </c>
      <c r="AO82" s="193">
        <v>0</v>
      </c>
      <c r="AP82" s="193"/>
      <c r="AQ82" s="193">
        <v>0</v>
      </c>
      <c r="AR82" s="193">
        <v>0</v>
      </c>
      <c r="AS82" s="193"/>
      <c r="AT82" s="193"/>
      <c r="AU82" s="193">
        <v>0</v>
      </c>
      <c r="AV82" s="193">
        <v>0</v>
      </c>
      <c r="AW82" s="251">
        <v>530508</v>
      </c>
      <c r="AX82" s="394"/>
      <c r="AY82" s="394"/>
      <c r="AZ82" s="394">
        <v>0</v>
      </c>
      <c r="BA82" s="242">
        <v>0</v>
      </c>
      <c r="BB82" s="242">
        <v>0</v>
      </c>
      <c r="BC82" s="242">
        <v>0</v>
      </c>
      <c r="BD82" s="242">
        <v>0</v>
      </c>
      <c r="BE82" s="52">
        <v>0</v>
      </c>
      <c r="BH82" s="52">
        <v>0</v>
      </c>
      <c r="BI82" s="480">
        <v>0</v>
      </c>
      <c r="BJ82" s="480">
        <v>1389959</v>
      </c>
      <c r="BK82" s="480">
        <v>0</v>
      </c>
      <c r="BL82" s="480">
        <v>0</v>
      </c>
      <c r="BM82" s="480">
        <v>0</v>
      </c>
      <c r="BN82" s="480">
        <v>0</v>
      </c>
      <c r="BO82" s="480">
        <v>0</v>
      </c>
      <c r="BP82" s="480">
        <v>0</v>
      </c>
      <c r="BQ82" s="480">
        <v>0</v>
      </c>
      <c r="BR82" s="480">
        <v>0</v>
      </c>
      <c r="BS82" s="480">
        <v>0</v>
      </c>
      <c r="BT82" s="511">
        <v>0</v>
      </c>
      <c r="BU82" s="52">
        <v>0</v>
      </c>
      <c r="BV82" s="52">
        <v>1330072</v>
      </c>
      <c r="BX82" s="88">
        <v>0</v>
      </c>
      <c r="BY82" s="88">
        <v>0</v>
      </c>
      <c r="BZ82" s="499">
        <v>0</v>
      </c>
      <c r="CA82" s="499">
        <v>0</v>
      </c>
      <c r="CB82" s="499">
        <v>0</v>
      </c>
      <c r="CC82" s="499">
        <v>0</v>
      </c>
      <c r="CD82" s="499">
        <v>0</v>
      </c>
      <c r="CE82" s="499">
        <v>0</v>
      </c>
      <c r="CF82" s="499">
        <v>0</v>
      </c>
      <c r="CG82" s="499">
        <v>0</v>
      </c>
      <c r="CH82" s="499">
        <v>0</v>
      </c>
      <c r="CI82" s="499">
        <v>1427260.57</v>
      </c>
      <c r="CJ82" s="527">
        <v>1450195.57</v>
      </c>
      <c r="CK82" s="506">
        <v>0</v>
      </c>
      <c r="CL82" s="499">
        <v>0</v>
      </c>
      <c r="CM82" s="499">
        <v>0</v>
      </c>
      <c r="CN82" s="499">
        <v>0</v>
      </c>
      <c r="CO82" s="499">
        <v>0</v>
      </c>
      <c r="CP82" s="499">
        <v>0</v>
      </c>
      <c r="CR82" s="560">
        <v>0</v>
      </c>
      <c r="CS82" s="560">
        <v>0</v>
      </c>
      <c r="CT82" s="560">
        <v>0</v>
      </c>
      <c r="CU82" s="560">
        <v>0</v>
      </c>
      <c r="CV82" s="560">
        <v>1613574.48</v>
      </c>
      <c r="CW82" s="480">
        <v>1613574.48</v>
      </c>
      <c r="CX82" s="646">
        <v>0</v>
      </c>
      <c r="CY82" s="646">
        <v>0</v>
      </c>
      <c r="CZ82" s="646">
        <v>0</v>
      </c>
      <c r="DA82" s="646">
        <v>0</v>
      </c>
      <c r="DB82" s="646">
        <v>0</v>
      </c>
      <c r="DC82" s="646">
        <v>0</v>
      </c>
      <c r="DD82" s="646">
        <v>0</v>
      </c>
      <c r="DE82" s="499">
        <v>0</v>
      </c>
      <c r="DF82" s="499">
        <v>0</v>
      </c>
      <c r="DG82" s="499">
        <v>0</v>
      </c>
      <c r="DH82" s="499">
        <v>0</v>
      </c>
      <c r="DI82" s="499">
        <v>0</v>
      </c>
      <c r="DJ82" s="88">
        <v>1905584</v>
      </c>
      <c r="DK82" s="646">
        <v>0</v>
      </c>
      <c r="DL82" s="646">
        <v>0</v>
      </c>
      <c r="DM82" s="646">
        <v>0</v>
      </c>
      <c r="DN82" s="646">
        <v>0</v>
      </c>
      <c r="DO82" s="646">
        <v>0</v>
      </c>
      <c r="DP82" s="646">
        <v>0</v>
      </c>
      <c r="DQ82" s="646">
        <v>0</v>
      </c>
      <c r="DR82" s="646">
        <v>0</v>
      </c>
      <c r="DS82" s="499">
        <v>0</v>
      </c>
      <c r="DT82" s="499">
        <v>0</v>
      </c>
      <c r="DU82" s="499">
        <v>0</v>
      </c>
      <c r="DW82" s="87">
        <v>2024860</v>
      </c>
    </row>
    <row r="83" spans="2:127" ht="13.8" x14ac:dyDescent="0.25">
      <c r="B83" s="93" t="s">
        <v>126</v>
      </c>
      <c r="C83" s="138">
        <v>132523</v>
      </c>
      <c r="D83" s="138">
        <v>181027</v>
      </c>
      <c r="E83" s="138">
        <v>192537</v>
      </c>
      <c r="F83" s="138">
        <v>405557</v>
      </c>
      <c r="G83" s="136">
        <f>165352+877813+13400</f>
        <v>1056565</v>
      </c>
      <c r="H83" s="136">
        <v>1142.5</v>
      </c>
      <c r="I83" s="136">
        <f>181150+749753</f>
        <v>930903</v>
      </c>
      <c r="J83" s="136">
        <v>228308100</v>
      </c>
      <c r="K83" s="136">
        <v>324700</v>
      </c>
      <c r="L83" s="136">
        <v>480700</v>
      </c>
      <c r="M83" s="136">
        <v>550600</v>
      </c>
      <c r="N83" s="136">
        <v>572187</v>
      </c>
      <c r="O83" s="136">
        <v>691263</v>
      </c>
      <c r="P83" s="136">
        <v>1033594</v>
      </c>
      <c r="Q83" s="136">
        <v>1257716</v>
      </c>
      <c r="R83" s="136">
        <v>1297864</v>
      </c>
      <c r="S83" s="136">
        <v>2019097</v>
      </c>
      <c r="T83" s="136"/>
      <c r="U83" s="136"/>
      <c r="V83" s="136">
        <f>464635+1065007</f>
        <v>1529642</v>
      </c>
      <c r="W83" s="136">
        <v>200339.7</v>
      </c>
      <c r="X83" s="136">
        <v>285117.7</v>
      </c>
      <c r="Y83" s="136">
        <v>359301.7</v>
      </c>
      <c r="Z83" s="136">
        <v>741178.7</v>
      </c>
      <c r="AA83" s="136">
        <v>1422380.73</v>
      </c>
      <c r="AB83" s="136">
        <v>1017110.73</v>
      </c>
      <c r="AC83" s="136">
        <v>1115799.73</v>
      </c>
      <c r="AD83" s="191">
        <v>1184878.7</v>
      </c>
      <c r="AE83" s="193">
        <v>1778326.7</v>
      </c>
      <c r="AF83" s="193">
        <v>1872880.9</v>
      </c>
      <c r="AG83" s="193">
        <v>2029481.1</v>
      </c>
      <c r="AH83" s="193">
        <v>2070644.11</v>
      </c>
      <c r="AI83" s="193">
        <f>1022802+978854</f>
        <v>2001656</v>
      </c>
      <c r="AJ83" s="193">
        <f>1022802+978854</f>
        <v>2001656</v>
      </c>
      <c r="AK83" s="193"/>
      <c r="AL83" s="193">
        <v>712420</v>
      </c>
      <c r="AM83" s="193">
        <v>995971</v>
      </c>
      <c r="AN83" s="193">
        <v>1199194</v>
      </c>
      <c r="AO83" s="193">
        <v>1242783</v>
      </c>
      <c r="AP83" s="193"/>
      <c r="AQ83" s="193">
        <v>1318408</v>
      </c>
      <c r="AR83" s="193">
        <v>1941022</v>
      </c>
      <c r="AS83" s="193"/>
      <c r="AT83" s="193"/>
      <c r="AU83" s="193">
        <v>2642670</v>
      </c>
      <c r="AV83" s="193">
        <v>4337851.5</v>
      </c>
      <c r="AW83" s="251">
        <f>1675939+310710</f>
        <v>1986649</v>
      </c>
      <c r="AX83" s="394"/>
      <c r="AY83" s="394"/>
      <c r="AZ83" s="394">
        <v>674983</v>
      </c>
      <c r="BA83" s="242">
        <v>1885812</v>
      </c>
      <c r="BB83" s="242">
        <v>1057711</v>
      </c>
      <c r="BC83" s="242">
        <v>1329102</v>
      </c>
      <c r="BD83" s="242">
        <v>1447939</v>
      </c>
      <c r="BE83" s="52">
        <v>1610181.8</v>
      </c>
      <c r="BF83" s="52">
        <v>1610181.8</v>
      </c>
      <c r="BH83" s="52">
        <v>2938851.3</v>
      </c>
      <c r="BI83" s="480">
        <v>3312288.23</v>
      </c>
      <c r="BJ83" s="480">
        <v>4471978</v>
      </c>
      <c r="BK83" s="480">
        <v>626796</v>
      </c>
      <c r="BL83" s="480">
        <v>1079579</v>
      </c>
      <c r="BM83" s="480">
        <v>1340769.71</v>
      </c>
      <c r="BN83" s="480">
        <v>1848772</v>
      </c>
      <c r="BO83" s="480">
        <v>1954853</v>
      </c>
      <c r="BP83" s="480">
        <v>2110957</v>
      </c>
      <c r="BQ83" s="480">
        <v>2955888</v>
      </c>
      <c r="BR83" s="52">
        <v>4284860</v>
      </c>
      <c r="BS83" s="52">
        <v>4867454.8099999996</v>
      </c>
      <c r="BT83" s="511">
        <v>6029154</v>
      </c>
      <c r="BU83" s="52">
        <v>4163735</v>
      </c>
      <c r="BV83" s="52">
        <v>7578688</v>
      </c>
      <c r="BW83" s="52">
        <v>5138097</v>
      </c>
      <c r="BX83" s="88">
        <v>248755</v>
      </c>
      <c r="BY83" s="88">
        <v>1092573</v>
      </c>
      <c r="BZ83" s="499">
        <v>2251300</v>
      </c>
      <c r="CA83" s="499">
        <v>2938856</v>
      </c>
      <c r="CB83" s="499">
        <v>3177755</v>
      </c>
      <c r="CC83" s="499">
        <v>3177755</v>
      </c>
      <c r="CD83" s="499">
        <v>4327154</v>
      </c>
      <c r="CE83" s="499">
        <v>4351154</v>
      </c>
      <c r="CF83" s="499">
        <v>4644540</v>
      </c>
      <c r="CG83" s="499">
        <v>4891766</v>
      </c>
      <c r="CH83" s="499">
        <v>6693085.1200000001</v>
      </c>
      <c r="CI83" s="499">
        <v>7429804</v>
      </c>
      <c r="CJ83" s="527">
        <v>7429804</v>
      </c>
      <c r="CK83" s="506">
        <v>603473</v>
      </c>
      <c r="CL83" s="499">
        <v>1053834</v>
      </c>
      <c r="CM83" s="499">
        <v>1711295</v>
      </c>
      <c r="CN83" s="499">
        <v>2238996</v>
      </c>
      <c r="CO83" s="499">
        <v>2978543</v>
      </c>
      <c r="CP83" s="499">
        <v>3558901</v>
      </c>
      <c r="CR83" s="560">
        <v>4638876</v>
      </c>
      <c r="CS83" s="560">
        <v>6073726</v>
      </c>
      <c r="CT83" s="560">
        <v>13643690</v>
      </c>
      <c r="CU83" s="560">
        <v>7248802</v>
      </c>
      <c r="CV83" s="560">
        <v>8212094</v>
      </c>
      <c r="CW83" s="480">
        <v>8319094</v>
      </c>
      <c r="CX83" s="646">
        <v>504524</v>
      </c>
      <c r="CY83" s="646">
        <v>858027</v>
      </c>
      <c r="CZ83" s="646">
        <v>1767287</v>
      </c>
      <c r="DA83" s="646">
        <v>2328382</v>
      </c>
      <c r="DB83" s="646">
        <v>2897178.2</v>
      </c>
      <c r="DC83" s="646">
        <v>4182623.2</v>
      </c>
      <c r="DD83" s="646">
        <v>4413962.9000000004</v>
      </c>
      <c r="DE83" s="499">
        <v>4807891.9000000004</v>
      </c>
      <c r="DF83" s="499">
        <v>5109986.4000000004</v>
      </c>
      <c r="DG83" s="499">
        <v>7614850.2000000002</v>
      </c>
      <c r="DH83" s="499">
        <v>8259908</v>
      </c>
      <c r="DI83" s="499">
        <v>13034377.4</v>
      </c>
      <c r="DJ83" s="88">
        <v>12301909</v>
      </c>
      <c r="DK83" s="646">
        <v>643546.75</v>
      </c>
      <c r="DL83" s="646">
        <v>1123515.05</v>
      </c>
      <c r="DM83" s="646">
        <v>1991792.45</v>
      </c>
      <c r="DN83" s="646">
        <v>2927742.45</v>
      </c>
      <c r="DO83" s="646">
        <v>3339237.55</v>
      </c>
      <c r="DP83" s="646">
        <v>4413391.5</v>
      </c>
      <c r="DQ83" s="646">
        <v>5045886.95</v>
      </c>
      <c r="DR83" s="646">
        <v>5621348.0499999998</v>
      </c>
      <c r="DS83" s="499">
        <v>6690432.9299999997</v>
      </c>
      <c r="DT83" s="499">
        <v>9737488.9299999997</v>
      </c>
      <c r="DU83" s="499">
        <v>10383938.93</v>
      </c>
      <c r="DW83" s="87">
        <v>11924986</v>
      </c>
    </row>
    <row r="84" spans="2:127" ht="13.2" x14ac:dyDescent="0.25">
      <c r="B84" s="90" t="s">
        <v>127</v>
      </c>
      <c r="C84" s="90"/>
      <c r="D84" s="91">
        <f t="shared" ref="D84:G84" si="192">D74-D75-D78</f>
        <v>44058</v>
      </c>
      <c r="E84" s="91">
        <f t="shared" si="192"/>
        <v>73543</v>
      </c>
      <c r="F84" s="91">
        <f t="shared" si="192"/>
        <v>369354</v>
      </c>
      <c r="G84" s="91">
        <f t="shared" si="192"/>
        <v>352275</v>
      </c>
      <c r="H84" s="91">
        <f t="shared" ref="H84:K84" si="193">H74-H75-H78</f>
        <v>5201.3999999999996</v>
      </c>
      <c r="I84" s="91">
        <f t="shared" si="193"/>
        <v>1151699</v>
      </c>
      <c r="J84" s="91">
        <f t="shared" si="193"/>
        <v>-471460657.26999998</v>
      </c>
      <c r="K84" s="91">
        <f t="shared" si="193"/>
        <v>-990658.87</v>
      </c>
      <c r="L84" s="91">
        <f t="shared" ref="L84:S84" si="194">L74-L75-L78</f>
        <v>-4830633.7300000004</v>
      </c>
      <c r="M84" s="91">
        <f t="shared" si="194"/>
        <v>-5331651.6899999995</v>
      </c>
      <c r="N84" s="91">
        <f t="shared" si="194"/>
        <v>2048077.3499999996</v>
      </c>
      <c r="O84" s="91">
        <f t="shared" si="194"/>
        <v>2605960.8499999996</v>
      </c>
      <c r="P84" s="91">
        <f t="shared" si="194"/>
        <v>3029839.6399999997</v>
      </c>
      <c r="Q84" s="91">
        <f t="shared" si="194"/>
        <v>3422796.92</v>
      </c>
      <c r="R84" s="91">
        <f t="shared" si="194"/>
        <v>4254641.0199999996</v>
      </c>
      <c r="S84" s="91">
        <f t="shared" si="194"/>
        <v>4121621.67</v>
      </c>
      <c r="T84" s="91">
        <f t="shared" ref="T84:V84" si="195">T74-T75-T78</f>
        <v>10557421.699999999</v>
      </c>
      <c r="U84" s="91">
        <f t="shared" si="195"/>
        <v>11815817.630000001</v>
      </c>
      <c r="V84" s="91">
        <f t="shared" si="195"/>
        <v>-217001</v>
      </c>
      <c r="W84" s="91">
        <f t="shared" ref="W84:AC84" si="196">W74-W75-W78</f>
        <v>-1912883.7</v>
      </c>
      <c r="X84" s="91">
        <f t="shared" si="196"/>
        <v>-1245619.8699999999</v>
      </c>
      <c r="Y84" s="91">
        <f t="shared" si="196"/>
        <v>3728483.04</v>
      </c>
      <c r="Z84" s="91">
        <f t="shared" si="196"/>
        <v>-754036.16000000015</v>
      </c>
      <c r="AA84" s="91">
        <f t="shared" si="196"/>
        <v>4088224.86</v>
      </c>
      <c r="AB84" s="91">
        <f t="shared" si="196"/>
        <v>4847311.01</v>
      </c>
      <c r="AC84" s="91">
        <f t="shared" si="196"/>
        <v>1125143.1400000011</v>
      </c>
      <c r="AD84" s="91">
        <f t="shared" ref="AD84:AG84" si="197">AD74-AD75-AD78</f>
        <v>2205694.59</v>
      </c>
      <c r="AE84" s="91">
        <f t="shared" si="197"/>
        <v>1379421.7999999989</v>
      </c>
      <c r="AF84" s="91">
        <f t="shared" si="197"/>
        <v>2713753.5999999996</v>
      </c>
      <c r="AG84" s="91">
        <f t="shared" si="197"/>
        <v>4071941.620000001</v>
      </c>
      <c r="AH84" s="91">
        <f t="shared" ref="AH84:AI84" si="198">AH74-AH75-AH78</f>
        <v>5410108.9699999997</v>
      </c>
      <c r="AI84" s="91">
        <f t="shared" si="198"/>
        <v>2983402</v>
      </c>
      <c r="AJ84" s="91">
        <f t="shared" ref="AJ84:CC84" si="199">AJ74-AJ75-AJ78</f>
        <v>2983400</v>
      </c>
      <c r="AK84" s="91">
        <f t="shared" si="199"/>
        <v>0</v>
      </c>
      <c r="AL84" s="91">
        <f t="shared" si="199"/>
        <v>-1043159.49</v>
      </c>
      <c r="AM84" s="91">
        <f t="shared" si="199"/>
        <v>-1708762.49</v>
      </c>
      <c r="AN84" s="91">
        <f t="shared" si="199"/>
        <v>-633667.37999999989</v>
      </c>
      <c r="AO84" s="91">
        <f t="shared" si="199"/>
        <v>-825652.34999999963</v>
      </c>
      <c r="AP84" s="91">
        <f t="shared" si="199"/>
        <v>0</v>
      </c>
      <c r="AQ84" s="91">
        <f t="shared" si="199"/>
        <v>-1479160.0499999998</v>
      </c>
      <c r="AR84" s="91">
        <f t="shared" si="199"/>
        <v>1080748.08</v>
      </c>
      <c r="AS84" s="91">
        <f t="shared" si="199"/>
        <v>0</v>
      </c>
      <c r="AT84" s="91">
        <f t="shared" si="199"/>
        <v>0</v>
      </c>
      <c r="AU84" s="91">
        <f t="shared" si="199"/>
        <v>4844436.6899999995</v>
      </c>
      <c r="AV84" s="91">
        <f t="shared" si="199"/>
        <v>9359379</v>
      </c>
      <c r="AW84" s="91">
        <f t="shared" si="199"/>
        <v>2930111</v>
      </c>
      <c r="AX84" s="91">
        <f t="shared" si="199"/>
        <v>0</v>
      </c>
      <c r="AY84" s="91">
        <f t="shared" si="199"/>
        <v>0</v>
      </c>
      <c r="AZ84" s="91">
        <f t="shared" si="199"/>
        <v>-8145864.0899999999</v>
      </c>
      <c r="BA84" s="91">
        <f t="shared" si="199"/>
        <v>-1545366.580000001</v>
      </c>
      <c r="BB84" s="91">
        <f t="shared" si="199"/>
        <v>1720112.9699999988</v>
      </c>
      <c r="BC84" s="91">
        <f t="shared" si="199"/>
        <v>384065.03999999911</v>
      </c>
      <c r="BD84" s="91">
        <f t="shared" si="199"/>
        <v>1626292.3899999997</v>
      </c>
      <c r="BE84" s="91">
        <f t="shared" si="199"/>
        <v>2618751.1899999985</v>
      </c>
      <c r="BF84" s="91">
        <f t="shared" si="199"/>
        <v>4854682.78</v>
      </c>
      <c r="BG84" s="91">
        <f t="shared" si="199"/>
        <v>0</v>
      </c>
      <c r="BH84" s="91">
        <f t="shared" si="199"/>
        <v>7382057.5599999987</v>
      </c>
      <c r="BI84" s="91">
        <f t="shared" si="199"/>
        <v>7935213.6600000001</v>
      </c>
      <c r="BJ84" s="91">
        <f t="shared" si="199"/>
        <v>2328385</v>
      </c>
      <c r="BK84" s="91">
        <f t="shared" si="199"/>
        <v>435721.91999999993</v>
      </c>
      <c r="BL84" s="91">
        <f t="shared" si="199"/>
        <v>1464328.9900000002</v>
      </c>
      <c r="BM84" s="91">
        <f t="shared" si="199"/>
        <v>-4878193.17</v>
      </c>
      <c r="BN84" s="91">
        <f t="shared" si="199"/>
        <v>-3129850</v>
      </c>
      <c r="BO84" s="91">
        <f t="shared" si="199"/>
        <v>-2534693.33</v>
      </c>
      <c r="BP84" s="91">
        <f t="shared" si="199"/>
        <v>-687023</v>
      </c>
      <c r="BQ84" s="91">
        <f t="shared" si="199"/>
        <v>-2284106</v>
      </c>
      <c r="BR84" s="91">
        <f t="shared" si="199"/>
        <v>-1019995</v>
      </c>
      <c r="BS84" s="91">
        <f t="shared" si="199"/>
        <v>3039072.1300000027</v>
      </c>
      <c r="BT84" s="91">
        <f t="shared" si="199"/>
        <v>3052389</v>
      </c>
      <c r="BU84" s="91">
        <f t="shared" si="199"/>
        <v>6885434</v>
      </c>
      <c r="BV84" s="91">
        <f t="shared" si="199"/>
        <v>15364226</v>
      </c>
      <c r="BW84" s="91">
        <f t="shared" si="199"/>
        <v>5850683.1600000001</v>
      </c>
      <c r="BX84" s="91">
        <f t="shared" si="199"/>
        <v>706047</v>
      </c>
      <c r="BY84" s="91">
        <f t="shared" si="199"/>
        <v>997177</v>
      </c>
      <c r="BZ84" s="91">
        <f t="shared" si="199"/>
        <v>1869167</v>
      </c>
      <c r="CA84" s="91">
        <f t="shared" si="199"/>
        <v>3217005</v>
      </c>
      <c r="CB84" s="91">
        <f t="shared" si="199"/>
        <v>5771146</v>
      </c>
      <c r="CC84" s="91">
        <f t="shared" si="199"/>
        <v>7210009</v>
      </c>
      <c r="CD84" s="91">
        <f t="shared" ref="CD84:DW84" si="200">CD74-CD75-CD78</f>
        <v>9016989</v>
      </c>
      <c r="CE84" s="91">
        <f t="shared" si="200"/>
        <v>10688229.069999997</v>
      </c>
      <c r="CF84" s="91">
        <f t="shared" si="200"/>
        <v>12384852.550000001</v>
      </c>
      <c r="CG84" s="91">
        <f t="shared" si="200"/>
        <v>14163212.239999998</v>
      </c>
      <c r="CH84" s="91">
        <f t="shared" si="200"/>
        <v>13720095.699999996</v>
      </c>
      <c r="CI84" s="91">
        <f t="shared" si="200"/>
        <v>14036036.649999999</v>
      </c>
      <c r="CJ84" s="91">
        <f t="shared" si="200"/>
        <v>5664057.6600000001</v>
      </c>
      <c r="CK84" s="91">
        <f t="shared" si="200"/>
        <v>2957000.96</v>
      </c>
      <c r="CL84" s="91">
        <f t="shared" si="200"/>
        <v>3810740.7199999997</v>
      </c>
      <c r="CM84" s="91">
        <f t="shared" si="200"/>
        <v>5351730</v>
      </c>
      <c r="CN84" s="91">
        <f t="shared" si="200"/>
        <v>6992206</v>
      </c>
      <c r="CO84" s="91">
        <f t="shared" si="200"/>
        <v>9378315.1000000015</v>
      </c>
      <c r="CP84" s="91">
        <f t="shared" si="200"/>
        <v>11641355.700000003</v>
      </c>
      <c r="CQ84" s="552">
        <f t="shared" si="200"/>
        <v>0</v>
      </c>
      <c r="CR84" s="91">
        <f t="shared" si="200"/>
        <v>17776973.940000005</v>
      </c>
      <c r="CS84" s="91">
        <f t="shared" si="200"/>
        <v>18936326.710000001</v>
      </c>
      <c r="CT84" s="91">
        <f t="shared" si="200"/>
        <v>41434321.079999998</v>
      </c>
      <c r="CU84" s="91">
        <f t="shared" si="200"/>
        <v>23330857.530000001</v>
      </c>
      <c r="CV84" s="91">
        <f t="shared" si="200"/>
        <v>21432167.289999995</v>
      </c>
      <c r="CW84" s="91">
        <f t="shared" si="200"/>
        <v>7771404.9900000058</v>
      </c>
      <c r="CX84" s="91">
        <f t="shared" si="200"/>
        <v>2526627.7500000005</v>
      </c>
      <c r="CY84" s="91">
        <f t="shared" si="200"/>
        <v>5383611.0099999998</v>
      </c>
      <c r="CZ84" s="91">
        <f t="shared" si="200"/>
        <v>7719895.6700000009</v>
      </c>
      <c r="DA84" s="91">
        <f t="shared" si="200"/>
        <v>10683946.550000001</v>
      </c>
      <c r="DB84" s="91">
        <f t="shared" si="200"/>
        <v>13422119.809999999</v>
      </c>
      <c r="DC84" s="91">
        <f t="shared" si="200"/>
        <v>15715596.560000002</v>
      </c>
      <c r="DD84" s="91">
        <f t="shared" si="200"/>
        <v>18650390.990000002</v>
      </c>
      <c r="DE84" s="91">
        <f t="shared" si="200"/>
        <v>18714399.460000001</v>
      </c>
      <c r="DF84" s="91">
        <f t="shared" si="200"/>
        <v>21637357.869999997</v>
      </c>
      <c r="DG84" s="91">
        <f t="shared" si="200"/>
        <v>22876721.170000002</v>
      </c>
      <c r="DH84" s="91">
        <f t="shared" si="200"/>
        <v>25301133.939999994</v>
      </c>
      <c r="DI84" s="91">
        <f t="shared" si="200"/>
        <v>21790016.189999998</v>
      </c>
      <c r="DJ84" s="91">
        <f t="shared" si="200"/>
        <v>10661952</v>
      </c>
      <c r="DK84" s="91">
        <f t="shared" si="200"/>
        <v>3034364.09</v>
      </c>
      <c r="DL84" s="91">
        <f t="shared" si="200"/>
        <v>6844308.3500000006</v>
      </c>
      <c r="DM84" s="91">
        <f t="shared" si="200"/>
        <v>10735662.339999996</v>
      </c>
      <c r="DN84" s="91">
        <f t="shared" si="200"/>
        <v>13770111.43</v>
      </c>
      <c r="DO84" s="91">
        <f t="shared" si="200"/>
        <v>17085841.349999998</v>
      </c>
      <c r="DP84" s="91">
        <f t="shared" si="200"/>
        <v>19486804.890000001</v>
      </c>
      <c r="DQ84" s="91">
        <f t="shared" si="200"/>
        <v>22386813.749999996</v>
      </c>
      <c r="DR84" s="91">
        <f t="shared" si="200"/>
        <v>26258077.150000002</v>
      </c>
      <c r="DS84" s="91">
        <f t="shared" ref="DS84:DV84" si="201">DS74-DS75-DS78</f>
        <v>29316872.75</v>
      </c>
      <c r="DT84" s="91">
        <f t="shared" si="201"/>
        <v>30639645.889999993</v>
      </c>
      <c r="DU84" s="91">
        <f t="shared" si="201"/>
        <v>33481515.819999993</v>
      </c>
      <c r="DV84" s="91">
        <f t="shared" si="201"/>
        <v>0</v>
      </c>
      <c r="DW84" s="538">
        <f t="shared" si="200"/>
        <v>11853757</v>
      </c>
    </row>
    <row r="85" spans="2:127" ht="13.2" x14ac:dyDescent="0.25">
      <c r="B85" s="93" t="s">
        <v>128</v>
      </c>
      <c r="C85" s="93"/>
      <c r="D85" s="91">
        <f t="shared" ref="D85:G85" si="202">D86-D87</f>
        <v>0</v>
      </c>
      <c r="E85" s="91">
        <f t="shared" si="202"/>
        <v>0</v>
      </c>
      <c r="F85" s="91">
        <f t="shared" si="202"/>
        <v>0</v>
      </c>
      <c r="G85" s="91">
        <f t="shared" si="202"/>
        <v>0</v>
      </c>
      <c r="H85" s="91">
        <f t="shared" ref="H85:BS85" si="203">H86-H87</f>
        <v>0</v>
      </c>
      <c r="I85" s="91">
        <f t="shared" si="203"/>
        <v>0</v>
      </c>
      <c r="J85" s="91">
        <f t="shared" si="203"/>
        <v>0</v>
      </c>
      <c r="K85" s="91">
        <f t="shared" si="203"/>
        <v>0</v>
      </c>
      <c r="L85" s="91">
        <f t="shared" si="203"/>
        <v>0</v>
      </c>
      <c r="M85" s="91">
        <f t="shared" si="203"/>
        <v>0</v>
      </c>
      <c r="N85" s="91">
        <f t="shared" si="203"/>
        <v>0</v>
      </c>
      <c r="O85" s="91">
        <f t="shared" si="203"/>
        <v>0</v>
      </c>
      <c r="P85" s="91">
        <f t="shared" si="203"/>
        <v>0</v>
      </c>
      <c r="Q85" s="91">
        <f t="shared" si="203"/>
        <v>0</v>
      </c>
      <c r="R85" s="91">
        <f t="shared" si="203"/>
        <v>0</v>
      </c>
      <c r="S85" s="91">
        <f t="shared" si="203"/>
        <v>0</v>
      </c>
      <c r="T85" s="91">
        <f t="shared" si="203"/>
        <v>0</v>
      </c>
      <c r="U85" s="91">
        <f t="shared" si="203"/>
        <v>0</v>
      </c>
      <c r="V85" s="91">
        <f t="shared" si="203"/>
        <v>0</v>
      </c>
      <c r="W85" s="91">
        <f t="shared" si="203"/>
        <v>0</v>
      </c>
      <c r="X85" s="91">
        <f t="shared" si="203"/>
        <v>0</v>
      </c>
      <c r="Y85" s="91">
        <f t="shared" si="203"/>
        <v>0</v>
      </c>
      <c r="Z85" s="91">
        <f t="shared" si="203"/>
        <v>0</v>
      </c>
      <c r="AA85" s="91">
        <f t="shared" si="203"/>
        <v>0</v>
      </c>
      <c r="AB85" s="91">
        <f t="shared" si="203"/>
        <v>0</v>
      </c>
      <c r="AC85" s="91">
        <f t="shared" si="203"/>
        <v>0</v>
      </c>
      <c r="AD85" s="91">
        <f t="shared" si="203"/>
        <v>0</v>
      </c>
      <c r="AE85" s="91">
        <f t="shared" si="203"/>
        <v>0</v>
      </c>
      <c r="AF85" s="91">
        <f t="shared" si="203"/>
        <v>0</v>
      </c>
      <c r="AG85" s="91">
        <f t="shared" si="203"/>
        <v>0</v>
      </c>
      <c r="AH85" s="91">
        <f t="shared" si="203"/>
        <v>0</v>
      </c>
      <c r="AI85" s="91">
        <f t="shared" si="203"/>
        <v>0</v>
      </c>
      <c r="AJ85" s="91">
        <f t="shared" si="203"/>
        <v>0</v>
      </c>
      <c r="AK85" s="91">
        <f t="shared" si="203"/>
        <v>0</v>
      </c>
      <c r="AL85" s="91">
        <f t="shared" si="203"/>
        <v>0</v>
      </c>
      <c r="AM85" s="91">
        <f t="shared" si="203"/>
        <v>0</v>
      </c>
      <c r="AN85" s="91">
        <f t="shared" si="203"/>
        <v>0</v>
      </c>
      <c r="AO85" s="91">
        <f t="shared" si="203"/>
        <v>0</v>
      </c>
      <c r="AP85" s="91">
        <f t="shared" si="203"/>
        <v>0</v>
      </c>
      <c r="AQ85" s="91">
        <f t="shared" si="203"/>
        <v>0</v>
      </c>
      <c r="AR85" s="91">
        <f t="shared" si="203"/>
        <v>0</v>
      </c>
      <c r="AS85" s="91">
        <f t="shared" si="203"/>
        <v>0</v>
      </c>
      <c r="AT85" s="91">
        <f t="shared" si="203"/>
        <v>0</v>
      </c>
      <c r="AU85" s="91">
        <f t="shared" si="203"/>
        <v>0</v>
      </c>
      <c r="AV85" s="91">
        <f t="shared" si="203"/>
        <v>0</v>
      </c>
      <c r="AW85" s="91">
        <f t="shared" si="203"/>
        <v>0</v>
      </c>
      <c r="AX85" s="91">
        <f t="shared" si="203"/>
        <v>0</v>
      </c>
      <c r="AY85" s="91">
        <f t="shared" si="203"/>
        <v>0</v>
      </c>
      <c r="AZ85" s="91">
        <f t="shared" si="203"/>
        <v>0</v>
      </c>
      <c r="BA85" s="91">
        <f t="shared" si="203"/>
        <v>0</v>
      </c>
      <c r="BB85" s="91">
        <f t="shared" si="203"/>
        <v>0</v>
      </c>
      <c r="BC85" s="91">
        <f t="shared" si="203"/>
        <v>0</v>
      </c>
      <c r="BD85" s="91">
        <f t="shared" si="203"/>
        <v>0</v>
      </c>
      <c r="BE85" s="91">
        <f t="shared" si="203"/>
        <v>0</v>
      </c>
      <c r="BF85" s="91">
        <f t="shared" si="203"/>
        <v>0</v>
      </c>
      <c r="BG85" s="91">
        <f t="shared" si="203"/>
        <v>0</v>
      </c>
      <c r="BH85" s="91">
        <f t="shared" si="203"/>
        <v>0</v>
      </c>
      <c r="BI85" s="91">
        <f t="shared" si="203"/>
        <v>0</v>
      </c>
      <c r="BJ85" s="91">
        <f t="shared" si="203"/>
        <v>0</v>
      </c>
      <c r="BK85" s="91">
        <f t="shared" si="203"/>
        <v>0</v>
      </c>
      <c r="BL85" s="91">
        <f t="shared" si="203"/>
        <v>0</v>
      </c>
      <c r="BM85" s="91">
        <f t="shared" si="203"/>
        <v>0</v>
      </c>
      <c r="BN85" s="91">
        <f t="shared" si="203"/>
        <v>0</v>
      </c>
      <c r="BO85" s="91">
        <f t="shared" si="203"/>
        <v>0</v>
      </c>
      <c r="BP85" s="91">
        <f t="shared" si="203"/>
        <v>0</v>
      </c>
      <c r="BQ85" s="91">
        <f t="shared" si="203"/>
        <v>0</v>
      </c>
      <c r="BR85" s="91">
        <f t="shared" si="203"/>
        <v>0</v>
      </c>
      <c r="BS85" s="91">
        <f t="shared" si="203"/>
        <v>0</v>
      </c>
      <c r="BT85" s="91">
        <f t="shared" ref="BT85:BX85" si="204">BT86-BT87</f>
        <v>0</v>
      </c>
      <c r="BU85" s="91">
        <f t="shared" si="204"/>
        <v>0</v>
      </c>
      <c r="BV85" s="91">
        <f t="shared" si="204"/>
        <v>0</v>
      </c>
      <c r="BW85" s="91">
        <f t="shared" si="204"/>
        <v>0</v>
      </c>
      <c r="BX85" s="91">
        <f t="shared" si="204"/>
        <v>0</v>
      </c>
      <c r="BY85" s="91">
        <f t="shared" ref="BY85:CC85" si="205">BY86-BY87</f>
        <v>0</v>
      </c>
      <c r="BZ85" s="91">
        <f t="shared" si="205"/>
        <v>0</v>
      </c>
      <c r="CA85" s="91">
        <f t="shared" si="205"/>
        <v>0</v>
      </c>
      <c r="CB85" s="91">
        <f t="shared" si="205"/>
        <v>0</v>
      </c>
      <c r="CC85" s="91">
        <f t="shared" si="205"/>
        <v>0</v>
      </c>
      <c r="CD85" s="91">
        <f t="shared" ref="CD85:DW85" si="206">CD86-CD87</f>
        <v>0</v>
      </c>
      <c r="CE85" s="91">
        <f t="shared" si="206"/>
        <v>0</v>
      </c>
      <c r="CF85" s="91">
        <f t="shared" si="206"/>
        <v>0</v>
      </c>
      <c r="CG85" s="91">
        <f t="shared" si="206"/>
        <v>0</v>
      </c>
      <c r="CH85" s="91">
        <f t="shared" si="206"/>
        <v>0</v>
      </c>
      <c r="CI85" s="91">
        <f t="shared" si="206"/>
        <v>0</v>
      </c>
      <c r="CJ85" s="91">
        <f t="shared" si="206"/>
        <v>0</v>
      </c>
      <c r="CK85" s="91">
        <f t="shared" si="206"/>
        <v>0</v>
      </c>
      <c r="CL85" s="91">
        <f t="shared" si="206"/>
        <v>0</v>
      </c>
      <c r="CM85" s="91">
        <f t="shared" si="206"/>
        <v>0</v>
      </c>
      <c r="CN85" s="91">
        <f t="shared" si="206"/>
        <v>0</v>
      </c>
      <c r="CO85" s="91">
        <f t="shared" si="206"/>
        <v>0</v>
      </c>
      <c r="CP85" s="91">
        <f t="shared" si="206"/>
        <v>0</v>
      </c>
      <c r="CQ85" s="552">
        <f t="shared" si="206"/>
        <v>0</v>
      </c>
      <c r="CR85" s="91">
        <f t="shared" si="206"/>
        <v>0</v>
      </c>
      <c r="CS85" s="91">
        <f t="shared" si="206"/>
        <v>0</v>
      </c>
      <c r="CT85" s="91">
        <f t="shared" si="206"/>
        <v>0</v>
      </c>
      <c r="CU85" s="91">
        <f t="shared" si="206"/>
        <v>0</v>
      </c>
      <c r="CV85" s="91">
        <f t="shared" si="206"/>
        <v>50418.5</v>
      </c>
      <c r="CW85" s="91">
        <f t="shared" si="206"/>
        <v>550418.5</v>
      </c>
      <c r="CX85" s="91">
        <f t="shared" si="206"/>
        <v>0</v>
      </c>
      <c r="CY85" s="91">
        <f t="shared" si="206"/>
        <v>0</v>
      </c>
      <c r="CZ85" s="91">
        <f t="shared" si="206"/>
        <v>0</v>
      </c>
      <c r="DA85" s="91">
        <f t="shared" si="206"/>
        <v>0</v>
      </c>
      <c r="DB85" s="91">
        <f t="shared" si="206"/>
        <v>0</v>
      </c>
      <c r="DC85" s="91">
        <f t="shared" si="206"/>
        <v>0</v>
      </c>
      <c r="DD85" s="91">
        <f t="shared" si="206"/>
        <v>0</v>
      </c>
      <c r="DE85" s="91">
        <f t="shared" si="206"/>
        <v>0</v>
      </c>
      <c r="DF85" s="91">
        <f t="shared" si="206"/>
        <v>0</v>
      </c>
      <c r="DG85" s="91">
        <f t="shared" si="206"/>
        <v>0</v>
      </c>
      <c r="DH85" s="91">
        <f t="shared" si="206"/>
        <v>0</v>
      </c>
      <c r="DI85" s="91">
        <f t="shared" si="206"/>
        <v>0</v>
      </c>
      <c r="DJ85" s="91">
        <f t="shared" si="206"/>
        <v>0</v>
      </c>
      <c r="DK85" s="91">
        <f t="shared" si="206"/>
        <v>0</v>
      </c>
      <c r="DL85" s="91">
        <f t="shared" si="206"/>
        <v>0</v>
      </c>
      <c r="DM85" s="91">
        <f t="shared" si="206"/>
        <v>0</v>
      </c>
      <c r="DN85" s="91">
        <f t="shared" si="206"/>
        <v>0</v>
      </c>
      <c r="DO85" s="91">
        <f t="shared" si="206"/>
        <v>0</v>
      </c>
      <c r="DP85" s="91">
        <f t="shared" si="206"/>
        <v>0</v>
      </c>
      <c r="DQ85" s="91">
        <f t="shared" si="206"/>
        <v>0</v>
      </c>
      <c r="DR85" s="91">
        <f t="shared" si="206"/>
        <v>0</v>
      </c>
      <c r="DS85" s="91">
        <f t="shared" ref="DS85:DV85" si="207">DS86-DS87</f>
        <v>0</v>
      </c>
      <c r="DT85" s="91">
        <f t="shared" si="207"/>
        <v>0</v>
      </c>
      <c r="DU85" s="91">
        <f t="shared" si="207"/>
        <v>0</v>
      </c>
      <c r="DV85" s="91">
        <f t="shared" si="207"/>
        <v>0</v>
      </c>
      <c r="DW85" s="538">
        <f t="shared" si="206"/>
        <v>0</v>
      </c>
    </row>
    <row r="86" spans="2:127" ht="13.2" x14ac:dyDescent="0.25">
      <c r="B86" s="93" t="s">
        <v>129</v>
      </c>
      <c r="C86" s="105"/>
      <c r="D86" s="105"/>
      <c r="E86" s="105"/>
      <c r="F86" s="105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>
        <v>0</v>
      </c>
      <c r="AB86" s="137">
        <v>0</v>
      </c>
      <c r="AC86" s="137">
        <v>0</v>
      </c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80"/>
      <c r="AX86" s="137"/>
      <c r="AY86" s="137"/>
      <c r="AZ86" s="137">
        <v>0</v>
      </c>
      <c r="BA86" s="181">
        <v>0</v>
      </c>
      <c r="BB86" s="137">
        <v>0</v>
      </c>
      <c r="BC86" s="137">
        <v>0</v>
      </c>
      <c r="BD86" s="137">
        <v>0</v>
      </c>
      <c r="BE86" s="52">
        <v>0</v>
      </c>
      <c r="BH86" s="52">
        <v>0</v>
      </c>
      <c r="BI86" s="480">
        <v>0</v>
      </c>
      <c r="BK86" s="480">
        <v>0</v>
      </c>
      <c r="BL86" s="480">
        <v>0</v>
      </c>
      <c r="BM86" s="480">
        <v>0</v>
      </c>
      <c r="BN86" s="480">
        <v>0</v>
      </c>
      <c r="BO86" s="480">
        <v>0</v>
      </c>
      <c r="BP86" s="480">
        <v>0</v>
      </c>
      <c r="BQ86" s="480">
        <v>0</v>
      </c>
      <c r="BR86" s="480">
        <v>0</v>
      </c>
      <c r="BS86" s="480">
        <v>0</v>
      </c>
      <c r="BT86" s="480">
        <v>0</v>
      </c>
      <c r="BU86" s="480">
        <v>0</v>
      </c>
      <c r="BV86" s="480">
        <v>0</v>
      </c>
      <c r="BW86" s="480"/>
      <c r="BX86" s="480">
        <v>0</v>
      </c>
      <c r="BY86" s="480">
        <v>0</v>
      </c>
      <c r="BZ86" s="480">
        <v>0</v>
      </c>
      <c r="CA86" s="480">
        <v>0</v>
      </c>
      <c r="CB86" s="480">
        <v>0</v>
      </c>
      <c r="CC86" s="480">
        <v>0</v>
      </c>
      <c r="CD86" s="480">
        <v>0</v>
      </c>
      <c r="CE86" s="480">
        <v>0</v>
      </c>
      <c r="CF86" s="480">
        <v>0</v>
      </c>
      <c r="CG86" s="480">
        <v>0</v>
      </c>
      <c r="CH86" s="499">
        <v>0</v>
      </c>
      <c r="CI86" s="499">
        <v>0</v>
      </c>
      <c r="CJ86" s="527">
        <v>0</v>
      </c>
      <c r="CK86" s="527">
        <v>0</v>
      </c>
      <c r="CL86" s="499">
        <v>0</v>
      </c>
      <c r="CM86" s="499">
        <v>0</v>
      </c>
      <c r="CN86" s="499">
        <v>0</v>
      </c>
      <c r="CO86" s="499">
        <v>0</v>
      </c>
      <c r="CP86" s="499">
        <v>0</v>
      </c>
      <c r="CR86" s="560">
        <v>0</v>
      </c>
      <c r="CS86" s="560">
        <v>0</v>
      </c>
      <c r="CT86" s="560">
        <v>0</v>
      </c>
      <c r="CU86" s="560">
        <v>0</v>
      </c>
      <c r="CV86" s="560">
        <v>550418.5</v>
      </c>
      <c r="CW86" s="480">
        <v>550418.5</v>
      </c>
      <c r="CX86" s="646">
        <v>0</v>
      </c>
      <c r="CY86" s="646">
        <v>0</v>
      </c>
      <c r="CZ86" s="646">
        <v>0</v>
      </c>
      <c r="DA86" s="646">
        <v>0</v>
      </c>
      <c r="DB86" s="646">
        <v>0</v>
      </c>
      <c r="DC86" s="646">
        <v>0</v>
      </c>
      <c r="DD86" s="646">
        <v>0</v>
      </c>
      <c r="DE86" s="499">
        <v>0</v>
      </c>
      <c r="DF86" s="499">
        <v>0</v>
      </c>
      <c r="DG86" s="499">
        <v>0</v>
      </c>
      <c r="DH86" s="499">
        <v>0</v>
      </c>
      <c r="DI86" s="499">
        <v>0</v>
      </c>
      <c r="DJ86" s="88">
        <v>0</v>
      </c>
      <c r="DK86" s="646">
        <v>0</v>
      </c>
      <c r="DL86" s="646">
        <v>0</v>
      </c>
      <c r="DM86" s="646">
        <v>0</v>
      </c>
      <c r="DN86" s="646">
        <v>0</v>
      </c>
      <c r="DO86" s="646">
        <v>0</v>
      </c>
      <c r="DP86" s="646">
        <v>0</v>
      </c>
      <c r="DQ86" s="646">
        <v>0</v>
      </c>
      <c r="DR86" s="646">
        <v>0</v>
      </c>
      <c r="DS86" s="499">
        <v>0</v>
      </c>
      <c r="DT86" s="499">
        <v>0</v>
      </c>
      <c r="DU86" s="499">
        <v>0</v>
      </c>
    </row>
    <row r="87" spans="2:127" ht="13.2" x14ac:dyDescent="0.25">
      <c r="B87" s="93" t="s">
        <v>130</v>
      </c>
      <c r="C87" s="93"/>
      <c r="D87" s="144"/>
      <c r="E87" s="144"/>
      <c r="F87" s="105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>
        <v>0</v>
      </c>
      <c r="AB87" s="137">
        <v>0</v>
      </c>
      <c r="AC87" s="137">
        <v>0</v>
      </c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80"/>
      <c r="AX87" s="137"/>
      <c r="AY87" s="137"/>
      <c r="AZ87" s="137">
        <v>0</v>
      </c>
      <c r="BA87" s="181">
        <v>0</v>
      </c>
      <c r="BB87" s="137">
        <v>0</v>
      </c>
      <c r="BC87" s="137">
        <v>0</v>
      </c>
      <c r="BD87" s="137">
        <v>0</v>
      </c>
      <c r="BE87" s="52">
        <v>0</v>
      </c>
      <c r="BH87" s="52">
        <v>0</v>
      </c>
      <c r="BI87" s="480">
        <v>0</v>
      </c>
      <c r="BK87" s="480">
        <v>0</v>
      </c>
      <c r="BL87" s="480">
        <v>0</v>
      </c>
      <c r="BM87" s="480">
        <v>0</v>
      </c>
      <c r="BN87" s="480">
        <v>0</v>
      </c>
      <c r="BO87" s="480">
        <v>0</v>
      </c>
      <c r="BP87" s="480">
        <v>0</v>
      </c>
      <c r="BQ87" s="480">
        <v>0</v>
      </c>
      <c r="BR87" s="480">
        <v>0</v>
      </c>
      <c r="BS87" s="480">
        <v>0</v>
      </c>
      <c r="BT87" s="480">
        <v>0</v>
      </c>
      <c r="BU87" s="480">
        <v>0</v>
      </c>
      <c r="BV87" s="480">
        <v>0</v>
      </c>
      <c r="BW87" s="480"/>
      <c r="BX87" s="480">
        <v>0</v>
      </c>
      <c r="BY87" s="480">
        <v>0</v>
      </c>
      <c r="BZ87" s="480">
        <v>0</v>
      </c>
      <c r="CA87" s="480">
        <v>0</v>
      </c>
      <c r="CB87" s="480">
        <v>0</v>
      </c>
      <c r="CC87" s="480">
        <v>0</v>
      </c>
      <c r="CD87" s="480">
        <v>0</v>
      </c>
      <c r="CE87" s="480">
        <v>0</v>
      </c>
      <c r="CF87" s="480">
        <v>0</v>
      </c>
      <c r="CG87" s="480">
        <v>0</v>
      </c>
      <c r="CH87" s="499">
        <v>0</v>
      </c>
      <c r="CI87" s="499">
        <v>0</v>
      </c>
      <c r="CJ87" s="527">
        <v>0</v>
      </c>
      <c r="CK87" s="527">
        <v>0</v>
      </c>
      <c r="CL87" s="499">
        <v>0</v>
      </c>
      <c r="CM87" s="499">
        <v>0</v>
      </c>
      <c r="CN87" s="499">
        <v>0</v>
      </c>
      <c r="CO87" s="499">
        <v>0</v>
      </c>
      <c r="CP87" s="499">
        <v>0</v>
      </c>
      <c r="CR87" s="560">
        <v>0</v>
      </c>
      <c r="CS87" s="560">
        <v>0</v>
      </c>
      <c r="CT87" s="560">
        <v>0</v>
      </c>
      <c r="CU87" s="560">
        <v>0</v>
      </c>
      <c r="CV87" s="560">
        <v>500000</v>
      </c>
      <c r="CW87" s="480"/>
      <c r="CX87" s="646">
        <v>0</v>
      </c>
      <c r="CY87" s="646">
        <v>0</v>
      </c>
      <c r="CZ87" s="646">
        <v>0</v>
      </c>
      <c r="DA87" s="646">
        <v>0</v>
      </c>
      <c r="DB87" s="646">
        <v>0</v>
      </c>
      <c r="DC87" s="646">
        <v>0</v>
      </c>
      <c r="DD87" s="646">
        <v>0</v>
      </c>
      <c r="DE87" s="499">
        <v>0</v>
      </c>
      <c r="DF87" s="499">
        <v>0</v>
      </c>
      <c r="DG87" s="499">
        <v>0</v>
      </c>
      <c r="DH87" s="499">
        <v>0</v>
      </c>
      <c r="DI87" s="499">
        <v>0</v>
      </c>
      <c r="DK87" s="646">
        <v>0</v>
      </c>
      <c r="DL87" s="646">
        <v>0</v>
      </c>
      <c r="DM87" s="646">
        <v>0</v>
      </c>
      <c r="DN87" s="646">
        <v>0</v>
      </c>
      <c r="DO87" s="646">
        <v>0</v>
      </c>
      <c r="DP87" s="646">
        <v>0</v>
      </c>
      <c r="DQ87" s="646">
        <v>0</v>
      </c>
      <c r="DR87" s="646">
        <v>0</v>
      </c>
      <c r="DS87" s="499">
        <v>0</v>
      </c>
      <c r="DT87" s="499">
        <v>0</v>
      </c>
      <c r="DU87" s="499">
        <v>0</v>
      </c>
    </row>
    <row r="88" spans="2:127" ht="13.2" x14ac:dyDescent="0.25">
      <c r="B88" s="90" t="s">
        <v>131</v>
      </c>
      <c r="C88" s="90"/>
      <c r="D88" s="91">
        <f t="shared" ref="D88:V88" si="208">D84+D85</f>
        <v>44058</v>
      </c>
      <c r="E88" s="91">
        <f t="shared" si="208"/>
        <v>73543</v>
      </c>
      <c r="F88" s="91">
        <f t="shared" si="208"/>
        <v>369354</v>
      </c>
      <c r="G88" s="91">
        <f t="shared" si="208"/>
        <v>352275</v>
      </c>
      <c r="H88" s="91">
        <f t="shared" si="208"/>
        <v>5201.3999999999996</v>
      </c>
      <c r="I88" s="91">
        <f t="shared" si="208"/>
        <v>1151699</v>
      </c>
      <c r="J88" s="91">
        <f t="shared" si="208"/>
        <v>-471460657.26999998</v>
      </c>
      <c r="K88" s="91">
        <f t="shared" si="208"/>
        <v>-990658.87</v>
      </c>
      <c r="L88" s="91">
        <f t="shared" si="208"/>
        <v>-4830633.7300000004</v>
      </c>
      <c r="M88" s="91">
        <f t="shared" si="208"/>
        <v>-5331651.6899999995</v>
      </c>
      <c r="N88" s="91">
        <f t="shared" si="208"/>
        <v>2048077.3499999996</v>
      </c>
      <c r="O88" s="91">
        <f t="shared" si="208"/>
        <v>2605960.8499999996</v>
      </c>
      <c r="P88" s="91">
        <f t="shared" si="208"/>
        <v>3029839.6399999997</v>
      </c>
      <c r="Q88" s="91">
        <f t="shared" si="208"/>
        <v>3422796.92</v>
      </c>
      <c r="R88" s="91">
        <f t="shared" si="208"/>
        <v>4254641.0199999996</v>
      </c>
      <c r="S88" s="91">
        <f t="shared" si="208"/>
        <v>4121621.67</v>
      </c>
      <c r="T88" s="91">
        <f t="shared" si="208"/>
        <v>10557421.699999999</v>
      </c>
      <c r="U88" s="91">
        <f t="shared" si="208"/>
        <v>11815817.630000001</v>
      </c>
      <c r="V88" s="91">
        <f t="shared" si="208"/>
        <v>-217001</v>
      </c>
      <c r="W88" s="91">
        <f t="shared" ref="W88:AD88" si="209">W84+W85</f>
        <v>-1912883.7</v>
      </c>
      <c r="X88" s="91">
        <f t="shared" si="209"/>
        <v>-1245619.8699999999</v>
      </c>
      <c r="Y88" s="91">
        <f t="shared" si="209"/>
        <v>3728483.04</v>
      </c>
      <c r="Z88" s="91">
        <f t="shared" si="209"/>
        <v>-754036.16000000015</v>
      </c>
      <c r="AA88" s="91">
        <f t="shared" si="209"/>
        <v>4088224.86</v>
      </c>
      <c r="AB88" s="91">
        <f t="shared" si="209"/>
        <v>4847311.01</v>
      </c>
      <c r="AC88" s="91">
        <f t="shared" si="209"/>
        <v>1125143.1400000011</v>
      </c>
      <c r="AD88" s="91">
        <f t="shared" si="209"/>
        <v>2205694.59</v>
      </c>
      <c r="AE88" s="91">
        <f t="shared" ref="AE88:AG88" si="210">AE84+AE85</f>
        <v>1379421.7999999989</v>
      </c>
      <c r="AF88" s="91">
        <f t="shared" si="210"/>
        <v>2713753.5999999996</v>
      </c>
      <c r="AG88" s="91">
        <f t="shared" si="210"/>
        <v>4071941.620000001</v>
      </c>
      <c r="AH88" s="91">
        <f t="shared" ref="AH88:AI88" si="211">AH84+AH85</f>
        <v>5410108.9699999997</v>
      </c>
      <c r="AI88" s="91">
        <f t="shared" si="211"/>
        <v>2983402</v>
      </c>
      <c r="AJ88" s="91">
        <f t="shared" ref="AJ88:AN88" si="212">AJ84+AJ85</f>
        <v>2983400</v>
      </c>
      <c r="AK88" s="91">
        <f t="shared" si="212"/>
        <v>0</v>
      </c>
      <c r="AL88" s="91">
        <f t="shared" si="212"/>
        <v>-1043159.49</v>
      </c>
      <c r="AM88" s="91">
        <f t="shared" si="212"/>
        <v>-1708762.49</v>
      </c>
      <c r="AN88" s="91">
        <f t="shared" si="212"/>
        <v>-633667.37999999989</v>
      </c>
      <c r="AO88" s="91">
        <f t="shared" ref="AO88:CC88" si="213">AO84+AO85</f>
        <v>-825652.34999999963</v>
      </c>
      <c r="AP88" s="91">
        <f t="shared" si="213"/>
        <v>0</v>
      </c>
      <c r="AQ88" s="91">
        <f t="shared" si="213"/>
        <v>-1479160.0499999998</v>
      </c>
      <c r="AR88" s="91">
        <f t="shared" si="213"/>
        <v>1080748.08</v>
      </c>
      <c r="AS88" s="91">
        <f t="shared" si="213"/>
        <v>0</v>
      </c>
      <c r="AT88" s="91">
        <f t="shared" si="213"/>
        <v>0</v>
      </c>
      <c r="AU88" s="91">
        <f t="shared" si="213"/>
        <v>4844436.6899999995</v>
      </c>
      <c r="AV88" s="91">
        <f t="shared" si="213"/>
        <v>9359379</v>
      </c>
      <c r="AW88" s="91">
        <f t="shared" si="213"/>
        <v>2930111</v>
      </c>
      <c r="AX88" s="91">
        <f t="shared" si="213"/>
        <v>0</v>
      </c>
      <c r="AY88" s="91">
        <f t="shared" si="213"/>
        <v>0</v>
      </c>
      <c r="AZ88" s="91">
        <f t="shared" si="213"/>
        <v>-8145864.0899999999</v>
      </c>
      <c r="BA88" s="91">
        <f t="shared" si="213"/>
        <v>-1545366.580000001</v>
      </c>
      <c r="BB88" s="91">
        <f t="shared" si="213"/>
        <v>1720112.9699999988</v>
      </c>
      <c r="BC88" s="91">
        <f t="shared" si="213"/>
        <v>384065.03999999911</v>
      </c>
      <c r="BD88" s="91">
        <f t="shared" si="213"/>
        <v>1626292.3899999997</v>
      </c>
      <c r="BE88" s="91">
        <f t="shared" si="213"/>
        <v>2618751.1899999985</v>
      </c>
      <c r="BF88" s="91">
        <f t="shared" si="213"/>
        <v>4854682.78</v>
      </c>
      <c r="BG88" s="91">
        <f t="shared" si="213"/>
        <v>0</v>
      </c>
      <c r="BH88" s="91">
        <f t="shared" si="213"/>
        <v>7382057.5599999987</v>
      </c>
      <c r="BI88" s="91">
        <f t="shared" si="213"/>
        <v>7935213.6600000001</v>
      </c>
      <c r="BJ88" s="91">
        <f t="shared" si="213"/>
        <v>2328385</v>
      </c>
      <c r="BK88" s="91">
        <f t="shared" si="213"/>
        <v>435721.91999999993</v>
      </c>
      <c r="BL88" s="91">
        <f t="shared" si="213"/>
        <v>1464328.9900000002</v>
      </c>
      <c r="BM88" s="91">
        <f t="shared" si="213"/>
        <v>-4878193.17</v>
      </c>
      <c r="BN88" s="91">
        <f t="shared" si="213"/>
        <v>-3129850</v>
      </c>
      <c r="BO88" s="91">
        <f t="shared" si="213"/>
        <v>-2534693.33</v>
      </c>
      <c r="BP88" s="91">
        <f t="shared" si="213"/>
        <v>-687023</v>
      </c>
      <c r="BQ88" s="91">
        <f t="shared" si="213"/>
        <v>-2284106</v>
      </c>
      <c r="BR88" s="91">
        <f t="shared" si="213"/>
        <v>-1019995</v>
      </c>
      <c r="BS88" s="91">
        <f t="shared" si="213"/>
        <v>3039072.1300000027</v>
      </c>
      <c r="BT88" s="91">
        <f t="shared" si="213"/>
        <v>3052389</v>
      </c>
      <c r="BU88" s="91">
        <f t="shared" si="213"/>
        <v>6885434</v>
      </c>
      <c r="BV88" s="91">
        <f t="shared" si="213"/>
        <v>15364226</v>
      </c>
      <c r="BW88" s="91">
        <f t="shared" si="213"/>
        <v>5850683.1600000001</v>
      </c>
      <c r="BX88" s="91">
        <f t="shared" si="213"/>
        <v>706047</v>
      </c>
      <c r="BY88" s="91">
        <f t="shared" si="213"/>
        <v>997177</v>
      </c>
      <c r="BZ88" s="91">
        <f t="shared" si="213"/>
        <v>1869167</v>
      </c>
      <c r="CA88" s="91">
        <f t="shared" si="213"/>
        <v>3217005</v>
      </c>
      <c r="CB88" s="91">
        <f t="shared" si="213"/>
        <v>5771146</v>
      </c>
      <c r="CC88" s="91">
        <f t="shared" si="213"/>
        <v>7210009</v>
      </c>
      <c r="CD88" s="91">
        <f t="shared" ref="CD88:DW88" si="214">CD84+CD85</f>
        <v>9016989</v>
      </c>
      <c r="CE88" s="91">
        <f t="shared" si="214"/>
        <v>10688229.069999997</v>
      </c>
      <c r="CF88" s="91">
        <f t="shared" si="214"/>
        <v>12384852.550000001</v>
      </c>
      <c r="CG88" s="91">
        <f t="shared" si="214"/>
        <v>14163212.239999998</v>
      </c>
      <c r="CH88" s="91">
        <f t="shared" si="214"/>
        <v>13720095.699999996</v>
      </c>
      <c r="CI88" s="91">
        <f t="shared" si="214"/>
        <v>14036036.649999999</v>
      </c>
      <c r="CJ88" s="91">
        <f t="shared" si="214"/>
        <v>5664057.6600000001</v>
      </c>
      <c r="CK88" s="91">
        <f t="shared" si="214"/>
        <v>2957000.96</v>
      </c>
      <c r="CL88" s="91">
        <f t="shared" si="214"/>
        <v>3810740.7199999997</v>
      </c>
      <c r="CM88" s="91">
        <f t="shared" si="214"/>
        <v>5351730</v>
      </c>
      <c r="CN88" s="91">
        <f t="shared" si="214"/>
        <v>6992206</v>
      </c>
      <c r="CO88" s="91">
        <f t="shared" si="214"/>
        <v>9378315.1000000015</v>
      </c>
      <c r="CP88" s="91">
        <f t="shared" si="214"/>
        <v>11641355.700000003</v>
      </c>
      <c r="CQ88" s="552">
        <f t="shared" si="214"/>
        <v>0</v>
      </c>
      <c r="CR88" s="91">
        <f t="shared" si="214"/>
        <v>17776973.940000005</v>
      </c>
      <c r="CS88" s="91">
        <f t="shared" si="214"/>
        <v>18936326.710000001</v>
      </c>
      <c r="CT88" s="91">
        <f t="shared" si="214"/>
        <v>41434321.079999998</v>
      </c>
      <c r="CU88" s="91">
        <f t="shared" si="214"/>
        <v>23330857.530000001</v>
      </c>
      <c r="CV88" s="91">
        <f t="shared" si="214"/>
        <v>21482585.789999995</v>
      </c>
      <c r="CW88" s="91">
        <f t="shared" si="214"/>
        <v>8321823.4900000058</v>
      </c>
      <c r="CX88" s="91">
        <f t="shared" si="214"/>
        <v>2526627.7500000005</v>
      </c>
      <c r="CY88" s="91">
        <f t="shared" si="214"/>
        <v>5383611.0099999998</v>
      </c>
      <c r="CZ88" s="91">
        <f t="shared" si="214"/>
        <v>7719895.6700000009</v>
      </c>
      <c r="DA88" s="91">
        <f t="shared" si="214"/>
        <v>10683946.550000001</v>
      </c>
      <c r="DB88" s="91">
        <f t="shared" si="214"/>
        <v>13422119.809999999</v>
      </c>
      <c r="DC88" s="91">
        <f t="shared" si="214"/>
        <v>15715596.560000002</v>
      </c>
      <c r="DD88" s="91">
        <f t="shared" si="214"/>
        <v>18650390.990000002</v>
      </c>
      <c r="DE88" s="91">
        <f t="shared" si="214"/>
        <v>18714399.460000001</v>
      </c>
      <c r="DF88" s="91">
        <f t="shared" si="214"/>
        <v>21637357.869999997</v>
      </c>
      <c r="DG88" s="91">
        <f t="shared" si="214"/>
        <v>22876721.170000002</v>
      </c>
      <c r="DH88" s="91">
        <f t="shared" si="214"/>
        <v>25301133.939999994</v>
      </c>
      <c r="DI88" s="91">
        <f t="shared" si="214"/>
        <v>21790016.189999998</v>
      </c>
      <c r="DJ88" s="91">
        <f t="shared" si="214"/>
        <v>10661952</v>
      </c>
      <c r="DK88" s="91">
        <f t="shared" si="214"/>
        <v>3034364.09</v>
      </c>
      <c r="DL88" s="91">
        <f t="shared" si="214"/>
        <v>6844308.3500000006</v>
      </c>
      <c r="DM88" s="91">
        <f t="shared" si="214"/>
        <v>10735662.339999996</v>
      </c>
      <c r="DN88" s="91">
        <f t="shared" si="214"/>
        <v>13770111.43</v>
      </c>
      <c r="DO88" s="91">
        <f t="shared" si="214"/>
        <v>17085841.349999998</v>
      </c>
      <c r="DP88" s="91">
        <f t="shared" si="214"/>
        <v>19486804.890000001</v>
      </c>
      <c r="DQ88" s="91">
        <f t="shared" si="214"/>
        <v>22386813.749999996</v>
      </c>
      <c r="DR88" s="91">
        <f t="shared" si="214"/>
        <v>26258077.150000002</v>
      </c>
      <c r="DS88" s="91">
        <f t="shared" si="214"/>
        <v>29316872.75</v>
      </c>
      <c r="DT88" s="91">
        <f t="shared" si="214"/>
        <v>30639645.889999993</v>
      </c>
      <c r="DU88" s="91">
        <f t="shared" si="214"/>
        <v>33481515.819999993</v>
      </c>
      <c r="DV88" s="91">
        <f t="shared" si="214"/>
        <v>0</v>
      </c>
      <c r="DW88" s="538">
        <f t="shared" si="214"/>
        <v>11853757</v>
      </c>
    </row>
    <row r="89" spans="2:127" ht="13.2" x14ac:dyDescent="0.25">
      <c r="B89" s="93" t="s">
        <v>132</v>
      </c>
      <c r="C89" s="93"/>
      <c r="D89" s="144"/>
      <c r="E89" s="144">
        <v>5648</v>
      </c>
      <c r="F89" s="146">
        <v>7092</v>
      </c>
      <c r="G89" s="94">
        <v>5134</v>
      </c>
      <c r="H89" s="94"/>
      <c r="I89" s="94">
        <v>4651</v>
      </c>
      <c r="J89" s="94">
        <v>0</v>
      </c>
      <c r="K89" s="94">
        <v>0</v>
      </c>
      <c r="L89" s="94">
        <v>3000</v>
      </c>
      <c r="M89" s="94">
        <v>10100</v>
      </c>
      <c r="N89" s="94">
        <v>17140</v>
      </c>
      <c r="O89" s="94">
        <v>69118</v>
      </c>
      <c r="P89" s="94">
        <v>82747</v>
      </c>
      <c r="Q89" s="94">
        <v>96128</v>
      </c>
      <c r="R89" s="94">
        <v>110974</v>
      </c>
      <c r="S89" s="94">
        <v>125639</v>
      </c>
      <c r="T89" s="94"/>
      <c r="U89" s="94"/>
      <c r="V89" s="94">
        <v>4862</v>
      </c>
      <c r="W89" s="94">
        <v>16418</v>
      </c>
      <c r="X89" s="94">
        <v>29141</v>
      </c>
      <c r="Y89" s="94">
        <v>19562</v>
      </c>
      <c r="Z89" s="94">
        <v>33373</v>
      </c>
      <c r="AA89" s="94">
        <v>47505</v>
      </c>
      <c r="AB89" s="94">
        <v>44767</v>
      </c>
      <c r="AC89" s="94">
        <v>57157</v>
      </c>
      <c r="AD89" s="191">
        <v>60082</v>
      </c>
      <c r="AE89" s="191">
        <v>69929.2</v>
      </c>
      <c r="AF89" s="94">
        <v>45994.9</v>
      </c>
      <c r="AG89" s="94">
        <v>56896.9</v>
      </c>
      <c r="AH89" s="94">
        <v>66974.899999999994</v>
      </c>
      <c r="AI89" s="94">
        <v>3866</v>
      </c>
      <c r="AJ89" s="94">
        <v>3867</v>
      </c>
      <c r="AK89" s="94"/>
      <c r="AL89" s="94">
        <v>-1310.8</v>
      </c>
      <c r="AM89" s="94">
        <v>-3389.4</v>
      </c>
      <c r="AN89" s="94">
        <v>-4707.5</v>
      </c>
      <c r="AO89" s="193">
        <v>-6266.5</v>
      </c>
      <c r="AP89" s="94"/>
      <c r="AQ89" s="193">
        <v>4647.6000000000004</v>
      </c>
      <c r="AR89" s="193">
        <v>35768.1</v>
      </c>
      <c r="AS89" s="94"/>
      <c r="AT89" s="94"/>
      <c r="AU89" s="193">
        <v>58750.1</v>
      </c>
      <c r="AV89" s="193">
        <v>33632.400000000001</v>
      </c>
      <c r="AW89" s="251">
        <v>305555</v>
      </c>
      <c r="AX89" s="94"/>
      <c r="AY89" s="94"/>
      <c r="AZ89" s="94">
        <v>10191</v>
      </c>
      <c r="BA89" s="389">
        <v>20382</v>
      </c>
      <c r="BB89" s="94">
        <v>-5763</v>
      </c>
      <c r="BC89" s="94">
        <v>0</v>
      </c>
      <c r="BD89" s="94">
        <v>49153</v>
      </c>
      <c r="BE89" s="52">
        <v>0</v>
      </c>
      <c r="BH89" s="52">
        <v>0</v>
      </c>
      <c r="BI89" s="480">
        <v>0</v>
      </c>
      <c r="BJ89" s="480">
        <v>302193</v>
      </c>
      <c r="BK89" s="480">
        <v>0</v>
      </c>
      <c r="BL89" s="480">
        <v>585583</v>
      </c>
      <c r="BM89" s="480">
        <v>0</v>
      </c>
      <c r="BN89" s="480">
        <v>0</v>
      </c>
      <c r="BO89" s="480">
        <v>0</v>
      </c>
      <c r="BP89" s="480">
        <v>0</v>
      </c>
      <c r="BQ89" s="480">
        <v>0</v>
      </c>
      <c r="BR89" s="480">
        <v>0</v>
      </c>
      <c r="BS89" s="480">
        <v>0</v>
      </c>
      <c r="BT89" s="480">
        <v>0</v>
      </c>
      <c r="BU89" s="52">
        <v>0</v>
      </c>
      <c r="BV89" s="52">
        <v>0</v>
      </c>
      <c r="BW89" s="52">
        <v>218211.94</v>
      </c>
      <c r="BX89" s="88">
        <v>0</v>
      </c>
      <c r="BZ89" s="499">
        <v>0</v>
      </c>
      <c r="CA89" s="499">
        <v>0</v>
      </c>
      <c r="CB89" s="499">
        <v>0</v>
      </c>
      <c r="CC89" s="499">
        <v>0</v>
      </c>
      <c r="CD89" s="499">
        <v>0</v>
      </c>
      <c r="CE89" s="499">
        <v>0</v>
      </c>
      <c r="CF89" s="499">
        <v>0</v>
      </c>
      <c r="CG89" s="499">
        <v>0</v>
      </c>
      <c r="CH89" s="499">
        <v>0</v>
      </c>
      <c r="CI89" s="499">
        <v>381333.7</v>
      </c>
      <c r="CJ89" s="527">
        <v>381333.7</v>
      </c>
      <c r="CL89" s="499">
        <v>0</v>
      </c>
      <c r="CM89" s="499">
        <v>0</v>
      </c>
      <c r="CN89" s="499">
        <v>0</v>
      </c>
      <c r="CO89" s="499">
        <v>0</v>
      </c>
      <c r="CP89" s="499">
        <v>0</v>
      </c>
      <c r="CR89" s="560">
        <v>0</v>
      </c>
      <c r="CS89" s="560">
        <v>0</v>
      </c>
      <c r="CT89" s="560">
        <v>0</v>
      </c>
      <c r="CU89" s="560">
        <v>0</v>
      </c>
      <c r="CV89" s="560">
        <v>368496</v>
      </c>
      <c r="CW89" s="480">
        <v>368496.03</v>
      </c>
      <c r="CX89" s="646">
        <v>0</v>
      </c>
      <c r="CY89" s="646">
        <v>0</v>
      </c>
      <c r="CZ89" s="646">
        <v>0</v>
      </c>
      <c r="DA89" s="646">
        <v>0</v>
      </c>
      <c r="DB89" s="646">
        <v>0</v>
      </c>
      <c r="DC89" s="646">
        <v>0</v>
      </c>
      <c r="DD89" s="646">
        <v>0</v>
      </c>
      <c r="DE89" s="499">
        <v>0</v>
      </c>
      <c r="DF89" s="499">
        <v>0</v>
      </c>
      <c r="DG89" s="499">
        <v>0</v>
      </c>
      <c r="DH89" s="499">
        <v>0</v>
      </c>
      <c r="DI89" s="499">
        <v>0</v>
      </c>
      <c r="DJ89" s="88">
        <v>726933</v>
      </c>
      <c r="DK89" s="646">
        <v>0</v>
      </c>
      <c r="DL89" s="646">
        <v>0</v>
      </c>
      <c r="DM89" s="646">
        <v>0</v>
      </c>
      <c r="DN89" s="646">
        <v>225816</v>
      </c>
      <c r="DO89" s="646">
        <v>233916</v>
      </c>
      <c r="DP89" s="646">
        <v>444386</v>
      </c>
      <c r="DQ89" s="646">
        <v>444386</v>
      </c>
      <c r="DR89" s="646">
        <v>453236</v>
      </c>
      <c r="DS89" s="499">
        <v>461336</v>
      </c>
      <c r="DT89" s="499">
        <v>671238</v>
      </c>
      <c r="DU89" s="499">
        <v>678678</v>
      </c>
      <c r="DW89" s="87">
        <v>722500</v>
      </c>
    </row>
    <row r="90" spans="2:127" ht="26.4" x14ac:dyDescent="0.25">
      <c r="B90" s="90" t="s">
        <v>133</v>
      </c>
      <c r="C90" s="90"/>
      <c r="D90" s="91">
        <f t="shared" ref="D90:G90" si="215">D88-D89</f>
        <v>44058</v>
      </c>
      <c r="E90" s="91">
        <f t="shared" si="215"/>
        <v>67895</v>
      </c>
      <c r="F90" s="91">
        <f t="shared" si="215"/>
        <v>362262</v>
      </c>
      <c r="G90" s="91">
        <f t="shared" si="215"/>
        <v>347141</v>
      </c>
      <c r="H90" s="91">
        <f t="shared" ref="H90:V90" si="216">H88-H89</f>
        <v>5201.3999999999996</v>
      </c>
      <c r="I90" s="91">
        <f t="shared" si="216"/>
        <v>1147048</v>
      </c>
      <c r="J90" s="91">
        <f t="shared" si="216"/>
        <v>-471460657.26999998</v>
      </c>
      <c r="K90" s="91">
        <f t="shared" si="216"/>
        <v>-990658.87</v>
      </c>
      <c r="L90" s="91">
        <f t="shared" si="216"/>
        <v>-4833633.7300000004</v>
      </c>
      <c r="M90" s="91">
        <f t="shared" si="216"/>
        <v>-5341751.6899999995</v>
      </c>
      <c r="N90" s="91">
        <f t="shared" si="216"/>
        <v>2030937.3499999996</v>
      </c>
      <c r="O90" s="91">
        <f t="shared" si="216"/>
        <v>2536842.8499999996</v>
      </c>
      <c r="P90" s="91">
        <f t="shared" si="216"/>
        <v>2947092.6399999997</v>
      </c>
      <c r="Q90" s="91">
        <f t="shared" si="216"/>
        <v>3326668.92</v>
      </c>
      <c r="R90" s="91">
        <f t="shared" si="216"/>
        <v>4143667.0199999996</v>
      </c>
      <c r="S90" s="91">
        <f t="shared" si="216"/>
        <v>3995982.67</v>
      </c>
      <c r="T90" s="91">
        <f t="shared" si="216"/>
        <v>10557421.699999999</v>
      </c>
      <c r="U90" s="91">
        <f t="shared" si="216"/>
        <v>11815817.630000001</v>
      </c>
      <c r="V90" s="91">
        <f t="shared" si="216"/>
        <v>-221863</v>
      </c>
      <c r="W90" s="91">
        <f t="shared" ref="W90:AD90" si="217">W88-W89</f>
        <v>-1929301.7</v>
      </c>
      <c r="X90" s="91">
        <f t="shared" si="217"/>
        <v>-1274760.8699999999</v>
      </c>
      <c r="Y90" s="91">
        <f t="shared" si="217"/>
        <v>3708921.04</v>
      </c>
      <c r="Z90" s="91">
        <f t="shared" si="217"/>
        <v>-787409.16000000015</v>
      </c>
      <c r="AA90" s="91">
        <f t="shared" si="217"/>
        <v>4040719.86</v>
      </c>
      <c r="AB90" s="91">
        <f t="shared" si="217"/>
        <v>4802544.01</v>
      </c>
      <c r="AC90" s="91">
        <f t="shared" si="217"/>
        <v>1067986.1400000011</v>
      </c>
      <c r="AD90" s="91">
        <f t="shared" si="217"/>
        <v>2145612.59</v>
      </c>
      <c r="AE90" s="91">
        <f t="shared" ref="AE90:AG90" si="218">AE88-AE89</f>
        <v>1309492.5999999989</v>
      </c>
      <c r="AF90" s="91">
        <f t="shared" si="218"/>
        <v>2667758.6999999997</v>
      </c>
      <c r="AG90" s="91">
        <f t="shared" si="218"/>
        <v>4015044.7200000011</v>
      </c>
      <c r="AH90" s="91">
        <f t="shared" ref="AH90:AI90" si="219">AH88-AH89</f>
        <v>5343134.0699999994</v>
      </c>
      <c r="AI90" s="91">
        <f t="shared" si="219"/>
        <v>2979536</v>
      </c>
      <c r="AJ90" s="91">
        <f t="shared" ref="AJ90:CC90" si="220">AJ88-AJ89</f>
        <v>2979533</v>
      </c>
      <c r="AK90" s="91">
        <f t="shared" si="220"/>
        <v>0</v>
      </c>
      <c r="AL90" s="91">
        <f t="shared" si="220"/>
        <v>-1041848.69</v>
      </c>
      <c r="AM90" s="91">
        <f t="shared" si="220"/>
        <v>-1705373.09</v>
      </c>
      <c r="AN90" s="91">
        <f t="shared" si="220"/>
        <v>-628959.87999999989</v>
      </c>
      <c r="AO90" s="91">
        <f t="shared" si="220"/>
        <v>-819385.84999999963</v>
      </c>
      <c r="AP90" s="91">
        <f t="shared" si="220"/>
        <v>0</v>
      </c>
      <c r="AQ90" s="91">
        <f t="shared" si="220"/>
        <v>-1483807.65</v>
      </c>
      <c r="AR90" s="91">
        <f t="shared" si="220"/>
        <v>1044979.9800000001</v>
      </c>
      <c r="AS90" s="91">
        <f t="shared" si="220"/>
        <v>0</v>
      </c>
      <c r="AT90" s="91">
        <f t="shared" si="220"/>
        <v>0</v>
      </c>
      <c r="AU90" s="91">
        <f t="shared" si="220"/>
        <v>4785686.59</v>
      </c>
      <c r="AV90" s="91">
        <f t="shared" si="220"/>
        <v>9325746.5999999996</v>
      </c>
      <c r="AW90" s="91">
        <f t="shared" si="220"/>
        <v>2624556</v>
      </c>
      <c r="AX90" s="91">
        <f t="shared" si="220"/>
        <v>0</v>
      </c>
      <c r="AY90" s="91">
        <f t="shared" si="220"/>
        <v>0</v>
      </c>
      <c r="AZ90" s="91">
        <f t="shared" si="220"/>
        <v>-8156055.0899999999</v>
      </c>
      <c r="BA90" s="91">
        <f t="shared" si="220"/>
        <v>-1565748.580000001</v>
      </c>
      <c r="BB90" s="91">
        <f t="shared" si="220"/>
        <v>1725875.9699999988</v>
      </c>
      <c r="BC90" s="91">
        <f t="shared" si="220"/>
        <v>384065.03999999911</v>
      </c>
      <c r="BD90" s="91">
        <f t="shared" si="220"/>
        <v>1577139.3899999997</v>
      </c>
      <c r="BE90" s="91">
        <f t="shared" si="220"/>
        <v>2618751.1899999985</v>
      </c>
      <c r="BF90" s="91">
        <f t="shared" si="220"/>
        <v>4854682.78</v>
      </c>
      <c r="BG90" s="91">
        <f t="shared" si="220"/>
        <v>0</v>
      </c>
      <c r="BH90" s="91">
        <f t="shared" si="220"/>
        <v>7382057.5599999987</v>
      </c>
      <c r="BI90" s="91">
        <f t="shared" si="220"/>
        <v>7935213.6600000001</v>
      </c>
      <c r="BJ90" s="91">
        <f t="shared" si="220"/>
        <v>2026192</v>
      </c>
      <c r="BK90" s="91">
        <f t="shared" si="220"/>
        <v>435721.91999999993</v>
      </c>
      <c r="BL90" s="91">
        <f t="shared" si="220"/>
        <v>878745.99000000022</v>
      </c>
      <c r="BM90" s="91">
        <f t="shared" si="220"/>
        <v>-4878193.17</v>
      </c>
      <c r="BN90" s="91">
        <f t="shared" si="220"/>
        <v>-3129850</v>
      </c>
      <c r="BO90" s="91">
        <f t="shared" si="220"/>
        <v>-2534693.33</v>
      </c>
      <c r="BP90" s="91">
        <f t="shared" si="220"/>
        <v>-687023</v>
      </c>
      <c r="BQ90" s="91">
        <f t="shared" si="220"/>
        <v>-2284106</v>
      </c>
      <c r="BR90" s="91">
        <f t="shared" si="220"/>
        <v>-1019995</v>
      </c>
      <c r="BS90" s="91">
        <f t="shared" si="220"/>
        <v>3039072.1300000027</v>
      </c>
      <c r="BT90" s="91">
        <f t="shared" si="220"/>
        <v>3052389</v>
      </c>
      <c r="BU90" s="91">
        <f t="shared" si="220"/>
        <v>6885434</v>
      </c>
      <c r="BV90" s="91">
        <f t="shared" si="220"/>
        <v>15364226</v>
      </c>
      <c r="BW90" s="91">
        <f t="shared" si="220"/>
        <v>5632471.2199999997</v>
      </c>
      <c r="BX90" s="91">
        <f t="shared" si="220"/>
        <v>706047</v>
      </c>
      <c r="BY90" s="91">
        <f t="shared" si="220"/>
        <v>997177</v>
      </c>
      <c r="BZ90" s="91">
        <f t="shared" si="220"/>
        <v>1869167</v>
      </c>
      <c r="CA90" s="91">
        <f t="shared" si="220"/>
        <v>3217005</v>
      </c>
      <c r="CB90" s="91">
        <f t="shared" si="220"/>
        <v>5771146</v>
      </c>
      <c r="CC90" s="91">
        <f t="shared" si="220"/>
        <v>7210009</v>
      </c>
      <c r="CD90" s="91">
        <f t="shared" ref="CD90:DW90" si="221">CD88-CD89</f>
        <v>9016989</v>
      </c>
      <c r="CE90" s="91">
        <f t="shared" si="221"/>
        <v>10688229.069999997</v>
      </c>
      <c r="CF90" s="91">
        <f t="shared" si="221"/>
        <v>12384852.550000001</v>
      </c>
      <c r="CG90" s="91">
        <f t="shared" si="221"/>
        <v>14163212.239999998</v>
      </c>
      <c r="CH90" s="91">
        <f t="shared" si="221"/>
        <v>13720095.699999996</v>
      </c>
      <c r="CI90" s="91">
        <f t="shared" si="221"/>
        <v>13654702.949999999</v>
      </c>
      <c r="CJ90" s="91">
        <f t="shared" si="221"/>
        <v>5282723.96</v>
      </c>
      <c r="CK90" s="91">
        <f t="shared" si="221"/>
        <v>2957000.96</v>
      </c>
      <c r="CL90" s="91">
        <f t="shared" si="221"/>
        <v>3810740.7199999997</v>
      </c>
      <c r="CM90" s="91">
        <f t="shared" si="221"/>
        <v>5351730</v>
      </c>
      <c r="CN90" s="91">
        <f t="shared" si="221"/>
        <v>6992206</v>
      </c>
      <c r="CO90" s="91">
        <f t="shared" si="221"/>
        <v>9378315.1000000015</v>
      </c>
      <c r="CP90" s="91">
        <f t="shared" si="221"/>
        <v>11641355.700000003</v>
      </c>
      <c r="CQ90" s="552">
        <f t="shared" si="221"/>
        <v>0</v>
      </c>
      <c r="CR90" s="91">
        <f t="shared" si="221"/>
        <v>17776973.940000005</v>
      </c>
      <c r="CS90" s="91">
        <f t="shared" si="221"/>
        <v>18936326.710000001</v>
      </c>
      <c r="CT90" s="91">
        <f t="shared" si="221"/>
        <v>41434321.079999998</v>
      </c>
      <c r="CU90" s="91">
        <f t="shared" si="221"/>
        <v>23330857.530000001</v>
      </c>
      <c r="CV90" s="91">
        <f t="shared" si="221"/>
        <v>21114089.789999995</v>
      </c>
      <c r="CW90" s="91">
        <f t="shared" si="221"/>
        <v>7953327.4600000056</v>
      </c>
      <c r="CX90" s="91">
        <f t="shared" si="221"/>
        <v>2526627.7500000005</v>
      </c>
      <c r="CY90" s="91">
        <f t="shared" si="221"/>
        <v>5383611.0099999998</v>
      </c>
      <c r="CZ90" s="91">
        <f t="shared" si="221"/>
        <v>7719895.6700000009</v>
      </c>
      <c r="DA90" s="91">
        <f t="shared" si="221"/>
        <v>10683946.550000001</v>
      </c>
      <c r="DB90" s="91">
        <f t="shared" si="221"/>
        <v>13422119.809999999</v>
      </c>
      <c r="DC90" s="91">
        <f t="shared" si="221"/>
        <v>15715596.560000002</v>
      </c>
      <c r="DD90" s="91">
        <f t="shared" si="221"/>
        <v>18650390.990000002</v>
      </c>
      <c r="DE90" s="91">
        <f t="shared" si="221"/>
        <v>18714399.460000001</v>
      </c>
      <c r="DF90" s="91">
        <f t="shared" si="221"/>
        <v>21637357.869999997</v>
      </c>
      <c r="DG90" s="91">
        <f t="shared" si="221"/>
        <v>22876721.170000002</v>
      </c>
      <c r="DH90" s="91">
        <f t="shared" si="221"/>
        <v>25301133.939999994</v>
      </c>
      <c r="DI90" s="91">
        <f t="shared" si="221"/>
        <v>21790016.189999998</v>
      </c>
      <c r="DJ90" s="91">
        <f t="shared" si="221"/>
        <v>9935019</v>
      </c>
      <c r="DK90" s="91">
        <f t="shared" si="221"/>
        <v>3034364.09</v>
      </c>
      <c r="DL90" s="91">
        <f t="shared" si="221"/>
        <v>6844308.3500000006</v>
      </c>
      <c r="DM90" s="91">
        <f t="shared" si="221"/>
        <v>10735662.339999996</v>
      </c>
      <c r="DN90" s="91">
        <f t="shared" si="221"/>
        <v>13544295.43</v>
      </c>
      <c r="DO90" s="91">
        <f t="shared" si="221"/>
        <v>16851925.349999998</v>
      </c>
      <c r="DP90" s="91">
        <f t="shared" si="221"/>
        <v>19042418.890000001</v>
      </c>
      <c r="DQ90" s="91">
        <f t="shared" si="221"/>
        <v>21942427.749999996</v>
      </c>
      <c r="DR90" s="91">
        <f t="shared" si="221"/>
        <v>25804841.150000002</v>
      </c>
      <c r="DS90" s="91">
        <f t="shared" si="221"/>
        <v>28855536.75</v>
      </c>
      <c r="DT90" s="91">
        <f t="shared" si="221"/>
        <v>29968407.889999993</v>
      </c>
      <c r="DU90" s="91">
        <f t="shared" si="221"/>
        <v>32802837.819999993</v>
      </c>
      <c r="DV90" s="91">
        <f t="shared" si="221"/>
        <v>0</v>
      </c>
      <c r="DW90" s="538">
        <f t="shared" si="221"/>
        <v>11131257</v>
      </c>
    </row>
    <row r="91" spans="2:127" ht="13.2" x14ac:dyDescent="0.25">
      <c r="B91" s="93" t="s">
        <v>134</v>
      </c>
      <c r="C91" s="93"/>
      <c r="D91" s="145"/>
      <c r="E91" s="144"/>
      <c r="F91" s="105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>
        <v>0</v>
      </c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AW91" s="383"/>
      <c r="AX91" s="143"/>
      <c r="AY91" s="143"/>
      <c r="AZ91" s="143">
        <v>0</v>
      </c>
      <c r="BA91" s="390">
        <v>0</v>
      </c>
      <c r="BB91" s="143">
        <v>0</v>
      </c>
      <c r="BC91" s="143">
        <v>0</v>
      </c>
      <c r="BD91" s="143">
        <v>0</v>
      </c>
      <c r="BE91" s="52">
        <v>0</v>
      </c>
      <c r="BH91" s="52">
        <v>0</v>
      </c>
      <c r="BI91" s="480">
        <v>0</v>
      </c>
      <c r="BK91" s="480">
        <v>0</v>
      </c>
      <c r="BL91" s="480">
        <v>0</v>
      </c>
      <c r="BM91" s="480">
        <v>0</v>
      </c>
      <c r="BN91" s="480">
        <v>0</v>
      </c>
      <c r="BO91" s="480">
        <v>0</v>
      </c>
      <c r="BP91" s="480">
        <v>0</v>
      </c>
      <c r="BQ91" s="480">
        <v>0</v>
      </c>
      <c r="BR91" s="480">
        <v>0</v>
      </c>
      <c r="BS91" s="480">
        <v>0</v>
      </c>
      <c r="BT91" s="480">
        <v>0</v>
      </c>
      <c r="BU91" s="52">
        <v>0</v>
      </c>
      <c r="BV91" s="52">
        <v>0</v>
      </c>
      <c r="BX91" s="88">
        <v>0</v>
      </c>
      <c r="BZ91" s="499">
        <v>0</v>
      </c>
      <c r="CA91" s="499">
        <v>0</v>
      </c>
      <c r="CB91" s="499">
        <v>0</v>
      </c>
      <c r="CC91" s="499">
        <v>0</v>
      </c>
      <c r="CD91" s="499">
        <v>0</v>
      </c>
      <c r="CE91" s="499">
        <v>0</v>
      </c>
      <c r="CF91" s="499">
        <v>0</v>
      </c>
      <c r="CG91" s="499">
        <v>0</v>
      </c>
      <c r="CH91" s="499">
        <v>0</v>
      </c>
      <c r="CI91" s="499">
        <v>0</v>
      </c>
      <c r="CJ91" s="527">
        <v>0</v>
      </c>
      <c r="CK91" s="527">
        <v>0</v>
      </c>
      <c r="CL91" s="499">
        <v>0</v>
      </c>
      <c r="CM91" s="499">
        <v>0</v>
      </c>
      <c r="CN91" s="499">
        <v>0</v>
      </c>
      <c r="CO91" s="499">
        <v>0</v>
      </c>
      <c r="CP91" s="499">
        <v>0</v>
      </c>
      <c r="CR91" s="560">
        <v>0</v>
      </c>
      <c r="CS91" s="560">
        <v>0</v>
      </c>
      <c r="CT91" s="560">
        <v>0</v>
      </c>
      <c r="CU91" s="560">
        <v>0</v>
      </c>
      <c r="CV91" s="560">
        <v>0</v>
      </c>
      <c r="CW91" s="480"/>
      <c r="CX91" s="646">
        <v>0</v>
      </c>
      <c r="CY91" s="646">
        <v>0</v>
      </c>
      <c r="CZ91" s="646">
        <v>0</v>
      </c>
      <c r="DA91" s="646">
        <v>0</v>
      </c>
      <c r="DB91" s="646">
        <v>0</v>
      </c>
      <c r="DC91" s="646">
        <v>0</v>
      </c>
      <c r="DD91" s="646">
        <v>0</v>
      </c>
      <c r="DE91" s="499">
        <v>0</v>
      </c>
      <c r="DF91" s="499">
        <v>0</v>
      </c>
      <c r="DG91" s="499">
        <v>0</v>
      </c>
      <c r="DH91" s="499">
        <v>0</v>
      </c>
      <c r="DI91" s="499">
        <v>0</v>
      </c>
      <c r="DK91" s="646">
        <v>0</v>
      </c>
      <c r="DL91" s="646">
        <v>0</v>
      </c>
      <c r="DM91" s="646">
        <v>0</v>
      </c>
      <c r="DN91" s="646">
        <v>0</v>
      </c>
      <c r="DO91" s="646">
        <v>0</v>
      </c>
      <c r="DP91" s="646">
        <v>0</v>
      </c>
      <c r="DQ91" s="646">
        <v>0</v>
      </c>
      <c r="DR91" s="646">
        <v>0</v>
      </c>
      <c r="DS91" s="499">
        <v>0</v>
      </c>
      <c r="DT91" s="499">
        <v>0</v>
      </c>
      <c r="DU91" s="499">
        <v>0</v>
      </c>
    </row>
    <row r="92" spans="2:127" ht="13.2" x14ac:dyDescent="0.25">
      <c r="B92" s="95" t="s">
        <v>135</v>
      </c>
      <c r="C92" s="95"/>
      <c r="D92" s="96">
        <f t="shared" ref="D92:G92" si="222">D90-D91</f>
        <v>44058</v>
      </c>
      <c r="E92" s="96">
        <f t="shared" si="222"/>
        <v>67895</v>
      </c>
      <c r="F92" s="96">
        <f t="shared" si="222"/>
        <v>362262</v>
      </c>
      <c r="G92" s="96">
        <f t="shared" si="222"/>
        <v>347141</v>
      </c>
      <c r="H92" s="96">
        <f t="shared" ref="H92:V92" si="223">H90-H91</f>
        <v>5201.3999999999996</v>
      </c>
      <c r="I92" s="96">
        <f t="shared" si="223"/>
        <v>1147048</v>
      </c>
      <c r="J92" s="96">
        <f t="shared" si="223"/>
        <v>-471460657.26999998</v>
      </c>
      <c r="K92" s="96">
        <f t="shared" si="223"/>
        <v>-990658.87</v>
      </c>
      <c r="L92" s="96">
        <f t="shared" si="223"/>
        <v>-4833633.7300000004</v>
      </c>
      <c r="M92" s="96">
        <f t="shared" si="223"/>
        <v>-5341751.6899999995</v>
      </c>
      <c r="N92" s="96">
        <f t="shared" si="223"/>
        <v>2030937.3499999996</v>
      </c>
      <c r="O92" s="96">
        <f t="shared" si="223"/>
        <v>2536842.8499999996</v>
      </c>
      <c r="P92" s="96">
        <f t="shared" si="223"/>
        <v>2947092.6399999997</v>
      </c>
      <c r="Q92" s="96">
        <f t="shared" si="223"/>
        <v>3326668.92</v>
      </c>
      <c r="R92" s="96">
        <f t="shared" si="223"/>
        <v>4143667.0199999996</v>
      </c>
      <c r="S92" s="96">
        <f t="shared" si="223"/>
        <v>3995982.67</v>
      </c>
      <c r="T92" s="96">
        <f t="shared" si="223"/>
        <v>10557421.699999999</v>
      </c>
      <c r="U92" s="96">
        <f t="shared" si="223"/>
        <v>11815817.630000001</v>
      </c>
      <c r="V92" s="96">
        <f t="shared" si="223"/>
        <v>-221863</v>
      </c>
      <c r="W92" s="96">
        <f t="shared" ref="W92:AD92" si="224">W90-W91</f>
        <v>-1929301.7</v>
      </c>
      <c r="X92" s="96">
        <f t="shared" si="224"/>
        <v>-1274760.8699999999</v>
      </c>
      <c r="Y92" s="96">
        <f t="shared" si="224"/>
        <v>3708921.04</v>
      </c>
      <c r="Z92" s="96">
        <f t="shared" si="224"/>
        <v>-787409.16000000015</v>
      </c>
      <c r="AA92" s="96">
        <f t="shared" si="224"/>
        <v>4040719.86</v>
      </c>
      <c r="AB92" s="96">
        <f t="shared" si="224"/>
        <v>4802544.01</v>
      </c>
      <c r="AC92" s="96">
        <f t="shared" si="224"/>
        <v>1067986.1400000011</v>
      </c>
      <c r="AD92" s="96">
        <f t="shared" si="224"/>
        <v>2145612.59</v>
      </c>
      <c r="AE92" s="96">
        <f t="shared" ref="AE92:BY92" si="225">AE90-AE91</f>
        <v>1309492.5999999989</v>
      </c>
      <c r="AF92" s="96">
        <f t="shared" si="225"/>
        <v>2667758.6999999997</v>
      </c>
      <c r="AG92" s="96">
        <f t="shared" si="225"/>
        <v>4015044.7200000011</v>
      </c>
      <c r="AH92" s="96">
        <f t="shared" si="225"/>
        <v>5343134.0699999994</v>
      </c>
      <c r="AI92" s="96">
        <f t="shared" si="225"/>
        <v>2979536</v>
      </c>
      <c r="AJ92" s="96">
        <f t="shared" si="225"/>
        <v>2979533</v>
      </c>
      <c r="AK92" s="96">
        <f t="shared" si="225"/>
        <v>0</v>
      </c>
      <c r="AL92" s="96">
        <f t="shared" si="225"/>
        <v>-1041848.69</v>
      </c>
      <c r="AM92" s="96">
        <f t="shared" si="225"/>
        <v>-1705373.09</v>
      </c>
      <c r="AN92" s="96">
        <f t="shared" si="225"/>
        <v>-628959.87999999989</v>
      </c>
      <c r="AO92" s="96">
        <f t="shared" si="225"/>
        <v>-819385.84999999963</v>
      </c>
      <c r="AP92" s="96">
        <f t="shared" si="225"/>
        <v>0</v>
      </c>
      <c r="AQ92" s="96">
        <f t="shared" si="225"/>
        <v>-1483807.65</v>
      </c>
      <c r="AR92" s="96">
        <f t="shared" si="225"/>
        <v>1044979.9800000001</v>
      </c>
      <c r="AS92" s="96">
        <f t="shared" si="225"/>
        <v>0</v>
      </c>
      <c r="AT92" s="96">
        <f t="shared" si="225"/>
        <v>0</v>
      </c>
      <c r="AU92" s="96">
        <f t="shared" si="225"/>
        <v>4785686.59</v>
      </c>
      <c r="AV92" s="96">
        <f t="shared" si="225"/>
        <v>9325746.5999999996</v>
      </c>
      <c r="AW92" s="96">
        <f t="shared" si="225"/>
        <v>2624556</v>
      </c>
      <c r="AX92" s="96">
        <f t="shared" si="225"/>
        <v>0</v>
      </c>
      <c r="AY92" s="96">
        <f t="shared" si="225"/>
        <v>0</v>
      </c>
      <c r="AZ92" s="96">
        <f t="shared" si="225"/>
        <v>-8156055.0899999999</v>
      </c>
      <c r="BA92" s="96">
        <f t="shared" si="225"/>
        <v>-1565748.580000001</v>
      </c>
      <c r="BB92" s="96">
        <f t="shared" si="225"/>
        <v>1725875.9699999988</v>
      </c>
      <c r="BC92" s="96">
        <f t="shared" si="225"/>
        <v>384065.03999999911</v>
      </c>
      <c r="BD92" s="96">
        <f t="shared" si="225"/>
        <v>1577139.3899999997</v>
      </c>
      <c r="BE92" s="96">
        <f t="shared" si="225"/>
        <v>2618751.1899999985</v>
      </c>
      <c r="BF92" s="96">
        <f t="shared" si="225"/>
        <v>4854682.78</v>
      </c>
      <c r="BG92" s="96">
        <f t="shared" si="225"/>
        <v>0</v>
      </c>
      <c r="BH92" s="96">
        <f t="shared" si="225"/>
        <v>7382057.5599999987</v>
      </c>
      <c r="BI92" s="96">
        <f t="shared" si="225"/>
        <v>7935213.6600000001</v>
      </c>
      <c r="BJ92" s="96">
        <f t="shared" si="225"/>
        <v>2026192</v>
      </c>
      <c r="BK92" s="96">
        <f t="shared" si="225"/>
        <v>435721.91999999993</v>
      </c>
      <c r="BL92" s="96">
        <f t="shared" si="225"/>
        <v>878745.99000000022</v>
      </c>
      <c r="BM92" s="96">
        <f t="shared" si="225"/>
        <v>-4878193.17</v>
      </c>
      <c r="BN92" s="96">
        <f t="shared" si="225"/>
        <v>-3129850</v>
      </c>
      <c r="BO92" s="96">
        <f t="shared" si="225"/>
        <v>-2534693.33</v>
      </c>
      <c r="BP92" s="96">
        <f t="shared" si="225"/>
        <v>-687023</v>
      </c>
      <c r="BQ92" s="96">
        <f t="shared" si="225"/>
        <v>-2284106</v>
      </c>
      <c r="BR92" s="96">
        <f t="shared" si="225"/>
        <v>-1019995</v>
      </c>
      <c r="BS92" s="96">
        <f t="shared" si="225"/>
        <v>3039072.1300000027</v>
      </c>
      <c r="BT92" s="96">
        <f t="shared" si="225"/>
        <v>3052389</v>
      </c>
      <c r="BU92" s="96">
        <f t="shared" si="225"/>
        <v>6885434</v>
      </c>
      <c r="BV92" s="96">
        <f t="shared" si="225"/>
        <v>15364226</v>
      </c>
      <c r="BW92" s="96">
        <f t="shared" si="225"/>
        <v>5632471.2199999997</v>
      </c>
      <c r="BX92" s="96">
        <f t="shared" si="225"/>
        <v>706047</v>
      </c>
      <c r="BY92" s="96">
        <f t="shared" si="225"/>
        <v>997177</v>
      </c>
      <c r="BZ92" s="96">
        <f t="shared" ref="BZ92:CC92" si="226">BZ90-BZ91</f>
        <v>1869167</v>
      </c>
      <c r="CA92" s="96">
        <f t="shared" si="226"/>
        <v>3217005</v>
      </c>
      <c r="CB92" s="96">
        <f t="shared" si="226"/>
        <v>5771146</v>
      </c>
      <c r="CC92" s="96">
        <f t="shared" si="226"/>
        <v>7210009</v>
      </c>
      <c r="CD92" s="96">
        <f t="shared" ref="CD92:DW92" si="227">CD90-CD91</f>
        <v>9016989</v>
      </c>
      <c r="CE92" s="96">
        <f t="shared" si="227"/>
        <v>10688229.069999997</v>
      </c>
      <c r="CF92" s="96">
        <f t="shared" si="227"/>
        <v>12384852.550000001</v>
      </c>
      <c r="CG92" s="96">
        <f t="shared" si="227"/>
        <v>14163212.239999998</v>
      </c>
      <c r="CH92" s="96">
        <f t="shared" si="227"/>
        <v>13720095.699999996</v>
      </c>
      <c r="CI92" s="96">
        <f t="shared" si="227"/>
        <v>13654702.949999999</v>
      </c>
      <c r="CJ92" s="96">
        <f t="shared" si="227"/>
        <v>5282723.96</v>
      </c>
      <c r="CK92" s="96">
        <f t="shared" si="227"/>
        <v>2957000.96</v>
      </c>
      <c r="CL92" s="96">
        <f t="shared" si="227"/>
        <v>3810740.7199999997</v>
      </c>
      <c r="CM92" s="96">
        <f t="shared" si="227"/>
        <v>5351730</v>
      </c>
      <c r="CN92" s="96">
        <f t="shared" si="227"/>
        <v>6992206</v>
      </c>
      <c r="CO92" s="96">
        <f t="shared" si="227"/>
        <v>9378315.1000000015</v>
      </c>
      <c r="CP92" s="96">
        <f t="shared" si="227"/>
        <v>11641355.700000003</v>
      </c>
      <c r="CQ92" s="554">
        <f t="shared" si="227"/>
        <v>0</v>
      </c>
      <c r="CR92" s="96">
        <f t="shared" si="227"/>
        <v>17776973.940000005</v>
      </c>
      <c r="CS92" s="96">
        <f t="shared" si="227"/>
        <v>18936326.710000001</v>
      </c>
      <c r="CT92" s="96">
        <f t="shared" si="227"/>
        <v>41434321.079999998</v>
      </c>
      <c r="CU92" s="96">
        <f t="shared" si="227"/>
        <v>23330857.530000001</v>
      </c>
      <c r="CV92" s="96">
        <f t="shared" si="227"/>
        <v>21114089.789999995</v>
      </c>
      <c r="CW92" s="96">
        <f t="shared" si="227"/>
        <v>7953327.4600000056</v>
      </c>
      <c r="CX92" s="96">
        <f t="shared" si="227"/>
        <v>2526627.7500000005</v>
      </c>
      <c r="CY92" s="96">
        <f t="shared" si="227"/>
        <v>5383611.0099999998</v>
      </c>
      <c r="CZ92" s="96">
        <f t="shared" si="227"/>
        <v>7719895.6700000009</v>
      </c>
      <c r="DA92" s="96">
        <f t="shared" si="227"/>
        <v>10683946.550000001</v>
      </c>
      <c r="DB92" s="96">
        <f t="shared" si="227"/>
        <v>13422119.809999999</v>
      </c>
      <c r="DC92" s="96">
        <f t="shared" si="227"/>
        <v>15715596.560000002</v>
      </c>
      <c r="DD92" s="96">
        <f t="shared" si="227"/>
        <v>18650390.990000002</v>
      </c>
      <c r="DE92" s="96">
        <f t="shared" si="227"/>
        <v>18714399.460000001</v>
      </c>
      <c r="DF92" s="96">
        <f t="shared" si="227"/>
        <v>21637357.869999997</v>
      </c>
      <c r="DG92" s="96">
        <f t="shared" si="227"/>
        <v>22876721.170000002</v>
      </c>
      <c r="DH92" s="96">
        <f t="shared" si="227"/>
        <v>25301133.939999994</v>
      </c>
      <c r="DI92" s="96">
        <f t="shared" si="227"/>
        <v>21790016.189999998</v>
      </c>
      <c r="DJ92" s="96">
        <f t="shared" si="227"/>
        <v>9935019</v>
      </c>
      <c r="DK92" s="96">
        <f t="shared" si="227"/>
        <v>3034364.09</v>
      </c>
      <c r="DL92" s="96">
        <f t="shared" si="227"/>
        <v>6844308.3500000006</v>
      </c>
      <c r="DM92" s="96">
        <f t="shared" si="227"/>
        <v>10735662.339999996</v>
      </c>
      <c r="DN92" s="96">
        <f t="shared" si="227"/>
        <v>13544295.43</v>
      </c>
      <c r="DO92" s="96">
        <f t="shared" si="227"/>
        <v>16851925.349999998</v>
      </c>
      <c r="DP92" s="96">
        <f t="shared" si="227"/>
        <v>19042418.890000001</v>
      </c>
      <c r="DQ92" s="96">
        <f t="shared" si="227"/>
        <v>21942427.749999996</v>
      </c>
      <c r="DR92" s="96">
        <f t="shared" si="227"/>
        <v>25804841.150000002</v>
      </c>
      <c r="DS92" s="96">
        <f t="shared" si="227"/>
        <v>28855536.75</v>
      </c>
      <c r="DT92" s="96">
        <f t="shared" si="227"/>
        <v>29968407.889999993</v>
      </c>
      <c r="DU92" s="96">
        <f t="shared" si="227"/>
        <v>32802837.819999993</v>
      </c>
      <c r="DV92" s="96">
        <f t="shared" si="227"/>
        <v>0</v>
      </c>
      <c r="DW92" s="658">
        <f t="shared" si="227"/>
        <v>11131257</v>
      </c>
    </row>
    <row r="93" spans="2:127" ht="13.2" x14ac:dyDescent="0.25">
      <c r="W93" s="92">
        <f>X78/W78-1</f>
        <v>0.73483871912331478</v>
      </c>
      <c r="X93" s="92">
        <f t="shared" ref="X93:AC93" si="228">Y78/X78-1</f>
        <v>1.2201776145417043</v>
      </c>
      <c r="Y93" s="92">
        <f t="shared" si="228"/>
        <v>0.48842381844664828</v>
      </c>
      <c r="Z93" s="92">
        <f t="shared" si="228"/>
        <v>0.40638682893469769</v>
      </c>
      <c r="AA93" s="92">
        <f t="shared" si="228"/>
        <v>-2.4691627518264037E-2</v>
      </c>
      <c r="AB93" s="92">
        <f t="shared" si="228"/>
        <v>0.11598035489748493</v>
      </c>
      <c r="AC93" s="92">
        <f t="shared" si="228"/>
        <v>0.10970354160258666</v>
      </c>
      <c r="AJ93" s="205"/>
      <c r="AK93" s="243"/>
      <c r="AL93" s="243"/>
      <c r="AM93" s="243"/>
      <c r="AN93" s="243"/>
      <c r="AO93" s="243"/>
      <c r="AP93" s="243"/>
      <c r="AQ93" s="243"/>
      <c r="AR93" s="243"/>
      <c r="AS93" s="243"/>
      <c r="AT93" s="243"/>
      <c r="AU93" s="243"/>
      <c r="AV93" s="243"/>
      <c r="AW93" s="243"/>
      <c r="AX93" s="205"/>
      <c r="AY93" s="473"/>
      <c r="AZ93" s="243"/>
      <c r="BA93" s="243"/>
      <c r="BB93" s="243"/>
      <c r="BC93" s="243"/>
      <c r="BD93" s="243"/>
    </row>
    <row r="94" spans="2:127" ht="13.2" x14ac:dyDescent="0.25">
      <c r="AY94" s="474"/>
      <c r="AZ94" s="204"/>
      <c r="CJ94" s="122"/>
    </row>
    <row r="95" spans="2:127" ht="13.2" x14ac:dyDescent="0.25">
      <c r="AB95" s="122"/>
      <c r="AY95" s="474"/>
      <c r="AZ95" s="204"/>
      <c r="CI95" s="122"/>
      <c r="DW95" s="87">
        <v>11852756</v>
      </c>
    </row>
    <row r="96" spans="2:127" ht="13.2" x14ac:dyDescent="0.25">
      <c r="AY96" s="474"/>
      <c r="AZ96" s="204"/>
    </row>
    <row r="97" spans="4:127" ht="13.2" x14ac:dyDescent="0.25">
      <c r="AY97" s="474"/>
      <c r="AZ97" s="204"/>
    </row>
    <row r="98" spans="4:127" ht="13.2" x14ac:dyDescent="0.25">
      <c r="AY98" s="474"/>
      <c r="AZ98" s="204"/>
    </row>
    <row r="99" spans="4:127" ht="13.2" x14ac:dyDescent="0.25">
      <c r="AY99" s="474"/>
      <c r="AZ99" s="204"/>
    </row>
    <row r="100" spans="4:127" s="52" customFormat="1" ht="13.2" x14ac:dyDescent="0.25">
      <c r="D100" s="101"/>
      <c r="E100" s="101"/>
      <c r="F100" s="101"/>
      <c r="AJ100" s="204"/>
      <c r="AK100" s="204"/>
      <c r="AL100" s="204"/>
      <c r="AM100" s="204"/>
      <c r="AN100" s="204"/>
      <c r="AO100" s="204"/>
      <c r="AP100" s="204"/>
      <c r="AQ100" s="204"/>
      <c r="AR100" s="204"/>
      <c r="AS100" s="204"/>
      <c r="AT100" s="204"/>
      <c r="AU100" s="204"/>
      <c r="AV100" s="204"/>
      <c r="AW100" s="204"/>
      <c r="AX100" s="391"/>
      <c r="AY100" s="474"/>
      <c r="AZ100" s="204"/>
      <c r="BA100" s="204"/>
      <c r="BB100" s="204"/>
      <c r="BC100" s="204"/>
      <c r="BD100" s="204"/>
      <c r="BI100" s="480"/>
      <c r="BJ100" s="480"/>
      <c r="BQ100" s="88"/>
      <c r="CW100" s="88"/>
      <c r="DJ100" s="88"/>
      <c r="DW100" s="87"/>
    </row>
    <row r="101" spans="4:127" s="52" customFormat="1" ht="13.2" x14ac:dyDescent="0.25">
      <c r="D101" s="102"/>
      <c r="E101" s="102"/>
      <c r="F101" s="102"/>
      <c r="AJ101" s="204"/>
      <c r="AK101" s="204"/>
      <c r="AL101" s="204"/>
      <c r="AM101" s="204"/>
      <c r="AN101" s="204"/>
      <c r="AO101" s="204"/>
      <c r="AP101" s="204"/>
      <c r="AQ101" s="204"/>
      <c r="AR101" s="204"/>
      <c r="AS101" s="204"/>
      <c r="AT101" s="204"/>
      <c r="AU101" s="204"/>
      <c r="AV101" s="204"/>
      <c r="AW101" s="204"/>
      <c r="AX101" s="391"/>
      <c r="AY101" s="474"/>
      <c r="AZ101" s="204"/>
      <c r="BA101" s="204"/>
      <c r="BB101" s="204"/>
      <c r="BC101" s="204"/>
      <c r="BD101" s="204"/>
      <c r="BI101" s="480"/>
      <c r="BJ101" s="480"/>
      <c r="BQ101" s="88"/>
      <c r="CW101" s="88"/>
      <c r="DJ101" s="88"/>
      <c r="DW101" s="87"/>
    </row>
    <row r="102" spans="4:127" s="52" customFormat="1" ht="13.2" x14ac:dyDescent="0.25">
      <c r="D102" s="101"/>
      <c r="E102" s="101"/>
      <c r="F102" s="101"/>
      <c r="AJ102" s="204"/>
      <c r="AK102" s="204"/>
      <c r="AL102" s="204"/>
      <c r="AM102" s="204"/>
      <c r="AN102" s="204"/>
      <c r="AO102" s="204"/>
      <c r="AP102" s="204"/>
      <c r="AQ102" s="204"/>
      <c r="AR102" s="204"/>
      <c r="AS102" s="204"/>
      <c r="AT102" s="204"/>
      <c r="AU102" s="204"/>
      <c r="AV102" s="204"/>
      <c r="AW102" s="204"/>
      <c r="AX102" s="391"/>
      <c r="AY102" s="474"/>
      <c r="AZ102" s="204"/>
      <c r="BA102" s="204"/>
      <c r="BB102" s="204"/>
      <c r="BC102" s="204"/>
      <c r="BD102" s="204"/>
      <c r="BI102" s="480"/>
      <c r="BJ102" s="480"/>
      <c r="BQ102" s="88"/>
      <c r="CW102" s="88"/>
      <c r="DJ102" s="88"/>
      <c r="DW102" s="87"/>
    </row>
    <row r="103" spans="4:127" s="52" customFormat="1" ht="13.2" x14ac:dyDescent="0.25">
      <c r="D103" s="101"/>
      <c r="E103" s="101"/>
      <c r="F103" s="101"/>
      <c r="AJ103" s="204"/>
      <c r="AK103" s="204"/>
      <c r="AL103" s="204"/>
      <c r="AM103" s="204"/>
      <c r="AN103" s="204"/>
      <c r="AO103" s="204"/>
      <c r="AP103" s="204"/>
      <c r="AQ103" s="204"/>
      <c r="AR103" s="204"/>
      <c r="AS103" s="204"/>
      <c r="AT103" s="204"/>
      <c r="AU103" s="204"/>
      <c r="AV103" s="204"/>
      <c r="AW103" s="204"/>
      <c r="AX103" s="391"/>
      <c r="AY103" s="474"/>
      <c r="AZ103" s="204"/>
      <c r="BA103" s="204"/>
      <c r="BB103" s="204"/>
      <c r="BC103" s="204"/>
      <c r="BD103" s="204"/>
      <c r="BI103" s="480"/>
      <c r="BJ103" s="480"/>
      <c r="BQ103" s="88"/>
      <c r="CW103" s="88"/>
      <c r="DJ103" s="88"/>
      <c r="DW103" s="87"/>
    </row>
    <row r="104" spans="4:127" s="52" customFormat="1" ht="13.2" x14ac:dyDescent="0.25">
      <c r="D104" s="103"/>
      <c r="E104" s="103"/>
      <c r="F104" s="103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204"/>
      <c r="AK104" s="204"/>
      <c r="AL104" s="204"/>
      <c r="AM104" s="204"/>
      <c r="AN104" s="204"/>
      <c r="AO104" s="204"/>
      <c r="AP104" s="204"/>
      <c r="AQ104" s="204"/>
      <c r="AR104" s="204"/>
      <c r="AS104" s="204"/>
      <c r="AT104" s="204"/>
      <c r="AU104" s="204"/>
      <c r="AV104" s="204"/>
      <c r="AW104" s="204"/>
      <c r="AX104" s="391"/>
      <c r="AY104" s="474"/>
      <c r="AZ104" s="204"/>
      <c r="BA104" s="204"/>
      <c r="BB104" s="204"/>
      <c r="BC104" s="204"/>
      <c r="BD104" s="204"/>
      <c r="BE104" s="104"/>
      <c r="BF104" s="104"/>
      <c r="BG104" s="104"/>
      <c r="BH104" s="104"/>
      <c r="BI104" s="484"/>
      <c r="BJ104" s="484"/>
      <c r="BK104" s="104"/>
      <c r="BQ104" s="88"/>
      <c r="CW104" s="88"/>
      <c r="DJ104" s="88"/>
      <c r="DW104" s="87"/>
    </row>
    <row r="105" spans="4:127" s="52" customFormat="1" ht="13.2" x14ac:dyDescent="0.25">
      <c r="D105" s="101"/>
      <c r="E105" s="101"/>
      <c r="F105" s="101"/>
      <c r="AJ105" s="204"/>
      <c r="AK105" s="204"/>
      <c r="AL105" s="204"/>
      <c r="AM105" s="204"/>
      <c r="AN105" s="204"/>
      <c r="AO105" s="204"/>
      <c r="AP105" s="204"/>
      <c r="AQ105" s="204"/>
      <c r="AR105" s="204"/>
      <c r="AS105" s="204"/>
      <c r="AT105" s="204"/>
      <c r="AU105" s="204"/>
      <c r="AV105" s="204"/>
      <c r="AW105" s="204"/>
      <c r="AX105" s="391"/>
      <c r="AY105" s="474"/>
      <c r="AZ105" s="204"/>
      <c r="BA105" s="204"/>
      <c r="BB105" s="204"/>
      <c r="BC105" s="204"/>
      <c r="BD105" s="204"/>
      <c r="BI105" s="480"/>
      <c r="BJ105" s="480"/>
      <c r="BQ105" s="88"/>
      <c r="CW105" s="88"/>
      <c r="DJ105" s="88"/>
      <c r="DW105" s="87"/>
    </row>
    <row r="106" spans="4:127" s="52" customFormat="1" ht="13.2" x14ac:dyDescent="0.25">
      <c r="D106" s="101"/>
      <c r="E106" s="101"/>
      <c r="F106" s="101"/>
      <c r="AJ106" s="204"/>
      <c r="AK106" s="204"/>
      <c r="AL106" s="204"/>
      <c r="AM106" s="204"/>
      <c r="AN106" s="204"/>
      <c r="AO106" s="204"/>
      <c r="AP106" s="204"/>
      <c r="AQ106" s="204"/>
      <c r="AR106" s="204"/>
      <c r="AS106" s="204"/>
      <c r="AT106" s="204"/>
      <c r="AU106" s="204"/>
      <c r="AV106" s="204"/>
      <c r="AW106" s="204"/>
      <c r="AX106" s="391"/>
      <c r="AY106" s="474"/>
      <c r="AZ106" s="204"/>
      <c r="BA106" s="204"/>
      <c r="BB106" s="204"/>
      <c r="BC106" s="204"/>
      <c r="BD106" s="204"/>
      <c r="BI106" s="480"/>
      <c r="BJ106" s="480"/>
      <c r="BQ106" s="88"/>
      <c r="CW106" s="88"/>
      <c r="DJ106" s="88"/>
      <c r="DW106" s="87"/>
    </row>
    <row r="107" spans="4:127" ht="13.2" x14ac:dyDescent="0.25">
      <c r="AY107" s="474"/>
      <c r="AZ107" s="204"/>
    </row>
    <row r="108" spans="4:127" ht="13.2" x14ac:dyDescent="0.25">
      <c r="AY108" s="474"/>
      <c r="AZ108" s="204"/>
    </row>
    <row r="109" spans="4:127" ht="13.2" x14ac:dyDescent="0.25">
      <c r="AY109" s="474"/>
      <c r="AZ109" s="204"/>
    </row>
    <row r="110" spans="4:127" ht="13.2" x14ac:dyDescent="0.25">
      <c r="AY110" s="474"/>
      <c r="AZ110" s="204"/>
    </row>
    <row r="111" spans="4:127" ht="13.2" x14ac:dyDescent="0.25">
      <c r="AY111" s="474"/>
      <c r="AZ111" s="204"/>
    </row>
    <row r="112" spans="4:127" ht="13.2" x14ac:dyDescent="0.25">
      <c r="AY112" s="474"/>
      <c r="AZ112" s="204"/>
    </row>
    <row r="113" spans="51:52" ht="13.2" x14ac:dyDescent="0.25">
      <c r="AY113" s="474"/>
      <c r="AZ113" s="204"/>
    </row>
    <row r="114" spans="51:52" ht="13.2" x14ac:dyDescent="0.25">
      <c r="AY114" s="474"/>
      <c r="AZ114" s="204"/>
    </row>
    <row r="115" spans="51:52" ht="13.2" x14ac:dyDescent="0.25">
      <c r="AY115" s="474"/>
      <c r="AZ115" s="204"/>
    </row>
    <row r="116" spans="51:52" ht="13.2" x14ac:dyDescent="0.25">
      <c r="AY116" s="474"/>
      <c r="AZ116" s="204"/>
    </row>
    <row r="117" spans="51:52" ht="13.2" x14ac:dyDescent="0.25">
      <c r="AY117" s="474"/>
      <c r="AZ117" s="204"/>
    </row>
    <row r="118" spans="51:52" ht="13.2" x14ac:dyDescent="0.25">
      <c r="AY118" s="474"/>
      <c r="AZ118" s="204"/>
    </row>
    <row r="119" spans="51:52" ht="13.2" x14ac:dyDescent="0.25">
      <c r="AY119" s="474"/>
      <c r="AZ119" s="204"/>
    </row>
    <row r="120" spans="51:52" ht="13.2" x14ac:dyDescent="0.25">
      <c r="AY120" s="474"/>
      <c r="AZ120" s="204"/>
    </row>
    <row r="121" spans="51:52" ht="13.2" x14ac:dyDescent="0.25">
      <c r="AY121" s="474"/>
      <c r="AZ121" s="204"/>
    </row>
    <row r="122" spans="51:52" ht="13.2" x14ac:dyDescent="0.25">
      <c r="AY122" s="474"/>
      <c r="AZ122" s="204"/>
    </row>
    <row r="123" spans="51:52" ht="13.2" x14ac:dyDescent="0.25">
      <c r="AY123" s="474"/>
      <c r="AZ123" s="204"/>
    </row>
    <row r="124" spans="51:52" ht="13.2" x14ac:dyDescent="0.25">
      <c r="AY124" s="474"/>
      <c r="AZ124" s="204"/>
    </row>
    <row r="125" spans="51:52" ht="13.2" x14ac:dyDescent="0.25">
      <c r="AY125" s="474"/>
      <c r="AZ125" s="204"/>
    </row>
    <row r="126" spans="51:52" ht="13.2" x14ac:dyDescent="0.25">
      <c r="AY126" s="474"/>
      <c r="AZ126" s="204"/>
    </row>
    <row r="127" spans="51:52" ht="13.2" x14ac:dyDescent="0.25">
      <c r="AY127" s="474"/>
      <c r="AZ127" s="204"/>
    </row>
    <row r="128" spans="51:52" ht="13.2" x14ac:dyDescent="0.25">
      <c r="AY128" s="474"/>
      <c r="AZ128" s="204"/>
    </row>
    <row r="129" spans="51:52" ht="13.2" x14ac:dyDescent="0.25">
      <c r="AY129" s="474"/>
      <c r="AZ129" s="204"/>
    </row>
    <row r="130" spans="51:52" ht="13.2" x14ac:dyDescent="0.25">
      <c r="AY130" s="474"/>
      <c r="AZ130" s="204"/>
    </row>
    <row r="131" spans="51:52" ht="13.2" x14ac:dyDescent="0.25">
      <c r="AY131" s="474"/>
      <c r="AZ131" s="204"/>
    </row>
    <row r="132" spans="51:52" ht="13.2" x14ac:dyDescent="0.25">
      <c r="AY132" s="474"/>
      <c r="AZ132" s="204"/>
    </row>
    <row r="133" spans="51:52" ht="13.2" x14ac:dyDescent="0.25">
      <c r="AY133" s="474"/>
      <c r="AZ133" s="204"/>
    </row>
    <row r="134" spans="51:52" ht="13.2" x14ac:dyDescent="0.25">
      <c r="AY134" s="474"/>
      <c r="AZ134" s="204"/>
    </row>
    <row r="135" spans="51:52" ht="13.2" x14ac:dyDescent="0.25">
      <c r="AY135" s="474"/>
      <c r="AZ135" s="204"/>
    </row>
    <row r="136" spans="51:52" ht="13.2" x14ac:dyDescent="0.25">
      <c r="AY136" s="474"/>
      <c r="AZ136" s="204"/>
    </row>
    <row r="137" spans="51:52" ht="13.2" x14ac:dyDescent="0.25">
      <c r="AY137" s="474"/>
      <c r="AZ137" s="204"/>
    </row>
    <row r="138" spans="51:52" ht="13.2" x14ac:dyDescent="0.25">
      <c r="AY138" s="474"/>
      <c r="AZ138" s="204"/>
    </row>
    <row r="139" spans="51:52" ht="13.2" x14ac:dyDescent="0.25">
      <c r="AY139" s="474"/>
      <c r="AZ139" s="204"/>
    </row>
    <row r="140" spans="51:52" ht="13.2" x14ac:dyDescent="0.25">
      <c r="AY140" s="474"/>
      <c r="AZ140" s="204"/>
    </row>
    <row r="141" spans="51:52" ht="13.2" x14ac:dyDescent="0.25">
      <c r="AY141" s="474"/>
      <c r="AZ141" s="204"/>
    </row>
    <row r="142" spans="51:52" ht="13.2" x14ac:dyDescent="0.25">
      <c r="AZ142" s="475"/>
    </row>
  </sheetData>
  <mergeCells count="1">
    <mergeCell ref="C3:I3"/>
  </mergeCells>
  <pageMargins left="0.7" right="0.7" top="0.75" bottom="0.75" header="0.3" footer="0.3"/>
  <pageSetup scale="23" orientation="portrait" r:id="rId1"/>
  <colBreaks count="1" manualBreakCount="1">
    <brk id="64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B57"/>
  <sheetViews>
    <sheetView view="pageBreakPreview" zoomScale="70" zoomScaleNormal="100" zoomScaleSheetLayoutView="70" workbookViewId="0">
      <pane xSplit="2" ySplit="10" topLeftCell="DK11" activePane="bottomRight" state="frozen"/>
      <selection pane="topRight" activeCell="D1" sqref="D1"/>
      <selection pane="bottomLeft" activeCell="A12" sqref="A12"/>
      <selection pane="bottomRight" activeCell="DW13" sqref="DW13"/>
    </sheetView>
  </sheetViews>
  <sheetFormatPr defaultColWidth="9.109375" defaultRowHeight="13.2" x14ac:dyDescent="0.25"/>
  <cols>
    <col min="1" max="1" width="6" style="52" bestFit="1" customWidth="1"/>
    <col min="2" max="2" width="48.5546875" style="52" bestFit="1" customWidth="1"/>
    <col min="3" max="3" width="13.109375" style="52" bestFit="1" customWidth="1"/>
    <col min="4" max="4" width="12.109375" style="52" bestFit="1" customWidth="1"/>
    <col min="5" max="5" width="13.109375" style="52" bestFit="1" customWidth="1"/>
    <col min="6" max="6" width="14.5546875" style="52" bestFit="1" customWidth="1"/>
    <col min="7" max="7" width="14.109375" style="52" bestFit="1" customWidth="1"/>
    <col min="8" max="8" width="11.88671875" style="52" customWidth="1"/>
    <col min="9" max="9" width="14.109375" style="52" bestFit="1" customWidth="1"/>
    <col min="10" max="10" width="14.88671875" style="52" customWidth="1"/>
    <col min="11" max="11" width="11.88671875" style="52" customWidth="1"/>
    <col min="12" max="19" width="13.5546875" style="52" customWidth="1"/>
    <col min="20" max="21" width="11.88671875" style="52" customWidth="1"/>
    <col min="22" max="22" width="15" style="52" bestFit="1" customWidth="1"/>
    <col min="23" max="42" width="14.88671875" style="52" customWidth="1"/>
    <col min="43" max="45" width="13.44140625" style="52" customWidth="1"/>
    <col min="46" max="46" width="8.44140625" style="52" customWidth="1"/>
    <col min="47" max="47" width="13.44140625" style="52" customWidth="1"/>
    <col min="48" max="49" width="14.109375" style="52" bestFit="1" customWidth="1"/>
    <col min="50" max="51" width="11.88671875" style="52" customWidth="1"/>
    <col min="52" max="53" width="15.109375" style="52" bestFit="1" customWidth="1"/>
    <col min="54" max="57" width="14.109375" style="52" bestFit="1" customWidth="1"/>
    <col min="58" max="58" width="15" style="52" bestFit="1" customWidth="1"/>
    <col min="59" max="59" width="13.109375" style="52" bestFit="1" customWidth="1"/>
    <col min="60" max="100" width="14.109375" style="52" bestFit="1" customWidth="1"/>
    <col min="101" max="101" width="15" style="52" customWidth="1"/>
    <col min="102" max="102" width="14.109375" style="52" bestFit="1" customWidth="1"/>
    <col min="103" max="108" width="12.5546875" style="52" bestFit="1" customWidth="1"/>
    <col min="109" max="120" width="14.21875" style="52" bestFit="1" customWidth="1"/>
    <col min="121" max="121" width="16.44140625" style="52" customWidth="1"/>
    <col min="122" max="122" width="17" style="52" customWidth="1"/>
    <col min="123" max="123" width="18.5546875" style="52" customWidth="1"/>
    <col min="124" max="124" width="16.33203125" style="52" customWidth="1"/>
    <col min="125" max="125" width="17" style="52" customWidth="1"/>
    <col min="126" max="126" width="13" style="52" bestFit="1" customWidth="1"/>
    <col min="127" max="127" width="16.6640625" style="52" customWidth="1"/>
    <col min="128" max="128" width="13" style="52" bestFit="1" customWidth="1"/>
    <col min="129" max="132" width="9.44140625" style="52" bestFit="1" customWidth="1"/>
    <col min="133" max="16384" width="9.109375" style="52"/>
  </cols>
  <sheetData>
    <row r="1" spans="1:132" ht="13.8" x14ac:dyDescent="0.25">
      <c r="D1" s="53"/>
      <c r="E1" s="53"/>
      <c r="F1" s="53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132" ht="15" x14ac:dyDescent="0.25">
      <c r="A2" s="569"/>
      <c r="B2" s="570" t="s">
        <v>136</v>
      </c>
      <c r="C2" s="570"/>
      <c r="D2" s="571"/>
      <c r="E2" s="571"/>
      <c r="F2" s="571"/>
      <c r="G2" s="572"/>
      <c r="H2" s="573"/>
      <c r="I2" s="572"/>
      <c r="J2" s="573"/>
      <c r="K2" s="573"/>
      <c r="L2" s="573"/>
      <c r="M2" s="573"/>
      <c r="N2" s="573"/>
      <c r="O2" s="573"/>
      <c r="P2" s="573"/>
      <c r="Q2" s="573"/>
      <c r="R2" s="573"/>
      <c r="S2" s="573"/>
      <c r="T2" s="573"/>
      <c r="U2" s="573"/>
      <c r="V2" s="573"/>
      <c r="W2" s="573"/>
      <c r="X2" s="573"/>
      <c r="Y2" s="573"/>
      <c r="Z2" s="573"/>
      <c r="AA2" s="573"/>
      <c r="AB2" s="573"/>
      <c r="AC2" s="573"/>
      <c r="AD2" s="573"/>
      <c r="AE2" s="573"/>
      <c r="AF2" s="573"/>
      <c r="AG2" s="573"/>
      <c r="AH2" s="573"/>
      <c r="AI2" s="573"/>
      <c r="AJ2" s="573"/>
      <c r="AK2" s="573"/>
      <c r="AL2" s="573"/>
      <c r="AM2" s="573"/>
      <c r="AN2" s="573"/>
      <c r="AO2" s="573"/>
      <c r="AP2" s="573"/>
      <c r="AQ2" s="573"/>
      <c r="AR2" s="573"/>
      <c r="AS2" s="573"/>
      <c r="AT2" s="573"/>
      <c r="AU2" s="573"/>
      <c r="AV2" s="573"/>
      <c r="AW2" s="573"/>
      <c r="AX2" s="573"/>
      <c r="AY2" s="573"/>
      <c r="AZ2" s="573"/>
      <c r="BA2" s="573"/>
      <c r="BB2" s="573"/>
      <c r="BC2" s="573"/>
      <c r="BD2" s="573"/>
      <c r="BE2" s="573"/>
      <c r="BF2" s="573"/>
      <c r="BG2" s="573"/>
      <c r="BH2" s="573"/>
      <c r="BI2" s="573"/>
      <c r="BJ2" s="573"/>
      <c r="BK2" s="573"/>
      <c r="BL2" s="573"/>
      <c r="BM2" s="573"/>
      <c r="BN2" s="573"/>
      <c r="BO2" s="573"/>
      <c r="BP2" s="573"/>
      <c r="BQ2" s="573"/>
      <c r="BR2" s="573"/>
      <c r="BS2" s="573"/>
      <c r="BT2" s="573"/>
      <c r="BU2" s="573"/>
      <c r="BV2" s="573"/>
      <c r="BW2" s="573"/>
      <c r="BX2" s="573"/>
      <c r="BY2" s="573"/>
      <c r="BZ2" s="573"/>
      <c r="CA2" s="573"/>
      <c r="CB2" s="573"/>
      <c r="CC2" s="573"/>
      <c r="CD2" s="573"/>
      <c r="CE2" s="573"/>
      <c r="CF2" s="573"/>
      <c r="CG2" s="573"/>
      <c r="CH2" s="573"/>
      <c r="CI2" s="573"/>
      <c r="CJ2" s="573"/>
      <c r="CK2" s="573"/>
      <c r="CL2" s="573"/>
      <c r="CM2" s="573"/>
      <c r="CN2" s="573"/>
      <c r="CO2" s="573"/>
      <c r="CP2" s="573"/>
      <c r="CQ2" s="573"/>
      <c r="CR2" s="573"/>
      <c r="CS2" s="573"/>
      <c r="CT2" s="573"/>
      <c r="CU2" s="573"/>
      <c r="CV2" s="573"/>
      <c r="CW2" s="573"/>
      <c r="CX2" s="573"/>
    </row>
    <row r="3" spans="1:132" ht="15" x14ac:dyDescent="0.25">
      <c r="A3" s="574"/>
      <c r="B3" s="575" t="s">
        <v>137</v>
      </c>
      <c r="C3" s="576">
        <v>2008</v>
      </c>
      <c r="D3" s="576">
        <v>2009</v>
      </c>
      <c r="E3" s="576">
        <v>2010</v>
      </c>
      <c r="F3" s="576">
        <v>2011</v>
      </c>
      <c r="G3" s="576">
        <v>2012</v>
      </c>
      <c r="H3" s="577">
        <v>41609</v>
      </c>
      <c r="I3" s="576">
        <v>2013</v>
      </c>
      <c r="J3" s="577">
        <v>41640</v>
      </c>
      <c r="K3" s="577">
        <v>41671</v>
      </c>
      <c r="L3" s="577">
        <v>41699</v>
      </c>
      <c r="M3" s="577">
        <v>41730</v>
      </c>
      <c r="N3" s="577">
        <v>41760</v>
      </c>
      <c r="O3" s="577">
        <v>41791</v>
      </c>
      <c r="P3" s="577">
        <v>41821</v>
      </c>
      <c r="Q3" s="577">
        <v>41852</v>
      </c>
      <c r="R3" s="577">
        <v>41883</v>
      </c>
      <c r="S3" s="577">
        <v>41913</v>
      </c>
      <c r="T3" s="577">
        <v>41944</v>
      </c>
      <c r="U3" s="577">
        <v>41974</v>
      </c>
      <c r="V3" s="578">
        <v>2014</v>
      </c>
      <c r="W3" s="579" t="s">
        <v>4</v>
      </c>
      <c r="X3" s="579" t="s">
        <v>5</v>
      </c>
      <c r="Y3" s="579" t="s">
        <v>6</v>
      </c>
      <c r="Z3" s="579" t="s">
        <v>7</v>
      </c>
      <c r="AA3" s="580">
        <v>42125</v>
      </c>
      <c r="AB3" s="580">
        <v>42156</v>
      </c>
      <c r="AC3" s="580">
        <v>42186</v>
      </c>
      <c r="AD3" s="580">
        <v>42217</v>
      </c>
      <c r="AE3" s="580">
        <v>42248</v>
      </c>
      <c r="AF3" s="580">
        <v>42278</v>
      </c>
      <c r="AG3" s="580">
        <v>42309</v>
      </c>
      <c r="AH3" s="580">
        <v>42339</v>
      </c>
      <c r="AI3" s="579">
        <v>2015</v>
      </c>
      <c r="AJ3" s="579" t="s">
        <v>8</v>
      </c>
      <c r="AK3" s="580">
        <v>42385</v>
      </c>
      <c r="AL3" s="580">
        <v>42416</v>
      </c>
      <c r="AM3" s="580">
        <v>42445</v>
      </c>
      <c r="AN3" s="580">
        <v>42476</v>
      </c>
      <c r="AO3" s="580">
        <v>42506</v>
      </c>
      <c r="AP3" s="580">
        <v>42537</v>
      </c>
      <c r="AQ3" s="579" t="s">
        <v>15</v>
      </c>
      <c r="AR3" s="579" t="s">
        <v>16</v>
      </c>
      <c r="AS3" s="579" t="s">
        <v>17</v>
      </c>
      <c r="AT3" s="579" t="s">
        <v>18</v>
      </c>
      <c r="AU3" s="579" t="s">
        <v>19</v>
      </c>
      <c r="AV3" s="579" t="s">
        <v>20</v>
      </c>
      <c r="AW3" s="579" t="s">
        <v>138</v>
      </c>
      <c r="AX3" s="579" t="s">
        <v>22</v>
      </c>
      <c r="AY3" s="579" t="s">
        <v>23</v>
      </c>
      <c r="AZ3" s="579" t="s">
        <v>139</v>
      </c>
      <c r="BA3" s="579" t="s">
        <v>25</v>
      </c>
      <c r="BB3" s="581">
        <v>42856</v>
      </c>
      <c r="BC3" s="581">
        <v>42887</v>
      </c>
      <c r="BD3" s="581">
        <v>42917</v>
      </c>
      <c r="BE3" s="581">
        <v>42948</v>
      </c>
      <c r="BF3" s="581">
        <v>42979</v>
      </c>
      <c r="BG3" s="581">
        <v>43009</v>
      </c>
      <c r="BH3" s="581">
        <v>43040</v>
      </c>
      <c r="BI3" s="581">
        <v>43070</v>
      </c>
      <c r="BJ3" s="573" t="s">
        <v>140</v>
      </c>
      <c r="BK3" s="581">
        <v>43101</v>
      </c>
      <c r="BL3" s="581">
        <v>43132</v>
      </c>
      <c r="BM3" s="581">
        <v>43160</v>
      </c>
      <c r="BN3" s="581">
        <v>43191</v>
      </c>
      <c r="BO3" s="581">
        <v>43221</v>
      </c>
      <c r="BP3" s="581">
        <v>43252</v>
      </c>
      <c r="BQ3" s="581">
        <v>43282</v>
      </c>
      <c r="BR3" s="581">
        <v>43313</v>
      </c>
      <c r="BS3" s="581">
        <v>43344</v>
      </c>
      <c r="BT3" s="581">
        <v>43374</v>
      </c>
      <c r="BU3" s="581">
        <v>43405</v>
      </c>
      <c r="BV3" s="581">
        <v>43435</v>
      </c>
      <c r="BW3" s="573" t="s">
        <v>141</v>
      </c>
      <c r="BX3" s="581">
        <v>43466</v>
      </c>
      <c r="BY3" s="581">
        <v>43497</v>
      </c>
      <c r="BZ3" s="581">
        <v>43525</v>
      </c>
      <c r="CA3" s="581">
        <v>43556</v>
      </c>
      <c r="CB3" s="581">
        <v>43586</v>
      </c>
      <c r="CC3" s="581">
        <v>43617</v>
      </c>
      <c r="CD3" s="581">
        <v>43647</v>
      </c>
      <c r="CE3" s="581">
        <v>43678</v>
      </c>
      <c r="CF3" s="581">
        <v>43709</v>
      </c>
      <c r="CG3" s="581">
        <v>43739</v>
      </c>
      <c r="CH3" s="581">
        <v>43770</v>
      </c>
      <c r="CI3" s="581">
        <v>43800</v>
      </c>
      <c r="CJ3" s="581" t="s">
        <v>31</v>
      </c>
      <c r="CK3" s="581">
        <v>43831</v>
      </c>
      <c r="CL3" s="581">
        <v>43862</v>
      </c>
      <c r="CM3" s="581">
        <v>43891</v>
      </c>
      <c r="CN3" s="581">
        <v>43922</v>
      </c>
      <c r="CO3" s="581">
        <v>43952</v>
      </c>
      <c r="CP3" s="581">
        <v>43983</v>
      </c>
      <c r="CQ3" s="581">
        <v>44013</v>
      </c>
      <c r="CR3" s="642">
        <v>44044</v>
      </c>
      <c r="CS3" s="642">
        <v>44075</v>
      </c>
      <c r="CT3" s="642">
        <v>44105</v>
      </c>
      <c r="CU3" s="642">
        <v>44136</v>
      </c>
      <c r="CV3" s="642">
        <v>44166</v>
      </c>
      <c r="CW3" s="608" t="s">
        <v>88</v>
      </c>
      <c r="CX3" s="642">
        <v>44197</v>
      </c>
      <c r="CY3" s="641">
        <v>44228</v>
      </c>
      <c r="CZ3" s="641">
        <v>44256</v>
      </c>
      <c r="DA3" s="641">
        <v>44287</v>
      </c>
      <c r="DB3" s="641">
        <v>44317</v>
      </c>
      <c r="DC3" s="641">
        <v>44348</v>
      </c>
      <c r="DD3" s="641">
        <v>44378</v>
      </c>
      <c r="DE3" s="641">
        <v>44409</v>
      </c>
      <c r="DF3" s="641">
        <v>44440</v>
      </c>
      <c r="DG3" s="641">
        <v>44470</v>
      </c>
      <c r="DH3" s="641">
        <v>44501</v>
      </c>
      <c r="DI3" s="641">
        <v>44531</v>
      </c>
      <c r="DJ3" s="641" t="s">
        <v>33</v>
      </c>
      <c r="DK3" s="663">
        <v>44562</v>
      </c>
      <c r="DL3" s="663">
        <v>44593</v>
      </c>
      <c r="DM3" s="663">
        <v>44621</v>
      </c>
      <c r="DN3" s="663">
        <v>44652</v>
      </c>
      <c r="DO3" s="663">
        <v>44682</v>
      </c>
      <c r="DP3" s="663">
        <v>44713</v>
      </c>
      <c r="DQ3" s="663">
        <v>44743</v>
      </c>
      <c r="DR3" s="663">
        <v>44774</v>
      </c>
      <c r="DS3" s="663">
        <v>44805</v>
      </c>
      <c r="DT3" s="663">
        <v>44835</v>
      </c>
      <c r="DU3" s="663">
        <v>44866</v>
      </c>
      <c r="DV3" s="663">
        <v>44896</v>
      </c>
      <c r="DW3" s="663" t="s">
        <v>89</v>
      </c>
      <c r="DX3" s="663"/>
      <c r="DY3" s="663"/>
      <c r="DZ3" s="663"/>
      <c r="EA3" s="663"/>
      <c r="EB3" s="663"/>
    </row>
    <row r="4" spans="1:132" ht="15" x14ac:dyDescent="0.25">
      <c r="A4" s="582">
        <v>1</v>
      </c>
      <c r="B4" s="583" t="s">
        <v>142</v>
      </c>
      <c r="C4" s="584">
        <v>179</v>
      </c>
      <c r="D4" s="584">
        <v>309</v>
      </c>
      <c r="E4" s="585">
        <v>697</v>
      </c>
      <c r="F4" s="586">
        <v>882</v>
      </c>
      <c r="G4" s="587">
        <v>1128</v>
      </c>
      <c r="H4" s="588"/>
      <c r="I4" s="588">
        <v>1310</v>
      </c>
      <c r="J4" s="588"/>
      <c r="K4" s="588"/>
      <c r="L4" s="588"/>
      <c r="M4" s="588"/>
      <c r="N4" s="588"/>
      <c r="O4" s="588"/>
      <c r="P4" s="588"/>
      <c r="Q4" s="588"/>
      <c r="R4" s="588"/>
      <c r="S4" s="588"/>
      <c r="T4" s="589"/>
      <c r="U4" s="589"/>
      <c r="V4" s="589"/>
      <c r="W4" s="589"/>
      <c r="X4" s="589"/>
      <c r="Y4" s="589"/>
      <c r="Z4" s="589"/>
      <c r="AA4" s="589"/>
      <c r="AB4" s="589"/>
      <c r="AC4" s="589"/>
      <c r="AD4" s="589"/>
      <c r="AE4" s="589"/>
      <c r="AF4" s="589"/>
      <c r="AG4" s="589"/>
      <c r="AH4" s="589"/>
      <c r="AI4" s="589"/>
      <c r="AJ4" s="589"/>
      <c r="AK4" s="589"/>
      <c r="AL4" s="589"/>
      <c r="AM4" s="589"/>
      <c r="AN4" s="589"/>
      <c r="AO4" s="589"/>
      <c r="AP4" s="589"/>
      <c r="AQ4" s="589"/>
      <c r="AR4" s="589"/>
      <c r="AS4" s="589"/>
      <c r="AT4" s="589"/>
      <c r="AU4" s="589"/>
      <c r="AV4" s="589"/>
      <c r="AW4" s="589"/>
      <c r="AX4" s="589"/>
      <c r="AY4" s="589"/>
      <c r="AZ4" s="589"/>
      <c r="BA4" s="589"/>
      <c r="BB4" s="573"/>
      <c r="BC4" s="573"/>
      <c r="BD4" s="573"/>
      <c r="BE4" s="573"/>
      <c r="BF4" s="573"/>
      <c r="BG4" s="573"/>
      <c r="BH4" s="573"/>
      <c r="BI4" s="573"/>
      <c r="BJ4" s="573"/>
      <c r="BK4" s="573"/>
      <c r="BL4" s="573"/>
      <c r="BM4" s="573"/>
      <c r="BN4" s="573"/>
      <c r="BO4" s="573"/>
      <c r="BP4" s="573"/>
      <c r="BQ4" s="573"/>
      <c r="BR4" s="573"/>
      <c r="BS4" s="573"/>
      <c r="BT4" s="573"/>
      <c r="BU4" s="573"/>
      <c r="BV4" s="573"/>
      <c r="BW4" s="573"/>
      <c r="BX4" s="573"/>
      <c r="BY4" s="573"/>
      <c r="BZ4" s="573"/>
      <c r="CA4" s="573"/>
      <c r="CB4" s="573"/>
      <c r="CC4" s="573"/>
      <c r="CD4" s="573"/>
      <c r="CE4" s="573"/>
      <c r="CF4" s="573"/>
      <c r="CG4" s="573"/>
      <c r="CH4" s="573"/>
      <c r="CI4" s="573"/>
      <c r="CJ4" s="573"/>
      <c r="CK4" s="573"/>
      <c r="CL4" s="573"/>
      <c r="CM4" s="573"/>
      <c r="CN4" s="573"/>
      <c r="CO4" s="573"/>
      <c r="CP4" s="573"/>
      <c r="CQ4" s="573"/>
      <c r="CR4" s="573"/>
      <c r="CS4" s="573"/>
      <c r="CT4" s="573"/>
      <c r="CU4" s="573"/>
      <c r="CV4" s="573"/>
      <c r="CW4" s="573"/>
      <c r="CX4" s="573"/>
    </row>
    <row r="5" spans="1:132" ht="15" x14ac:dyDescent="0.25">
      <c r="A5" s="582">
        <v>2</v>
      </c>
      <c r="B5" s="583" t="s">
        <v>58</v>
      </c>
      <c r="C5" s="590">
        <f>Trend!C27</f>
        <v>3475410</v>
      </c>
      <c r="D5" s="590">
        <f>Trend!D27</f>
        <v>8750647</v>
      </c>
      <c r="E5" s="590">
        <f>Trend!E27</f>
        <v>19015501</v>
      </c>
      <c r="F5" s="590">
        <f>Trend!F27</f>
        <v>35649419</v>
      </c>
      <c r="G5" s="590">
        <f>Trend!G27</f>
        <v>48282362</v>
      </c>
      <c r="H5" s="590">
        <f>Trend!H27</f>
        <v>75358468.930000007</v>
      </c>
      <c r="I5" s="590">
        <f>Trend!I27</f>
        <v>71384601</v>
      </c>
      <c r="J5" s="590">
        <f>Trend!J27</f>
        <v>153656532.81</v>
      </c>
      <c r="K5" s="590">
        <f>Trend!K27</f>
        <v>79719231.510000005</v>
      </c>
      <c r="L5" s="590">
        <f>Trend!L27</f>
        <v>80127704.75</v>
      </c>
      <c r="M5" s="590">
        <f>Trend!M27</f>
        <v>81874455.099999994</v>
      </c>
      <c r="N5" s="590">
        <f>Trend!N27</f>
        <v>83577681.290000007</v>
      </c>
      <c r="O5" s="590">
        <f>Trend!O27</f>
        <v>86109025.790000007</v>
      </c>
      <c r="P5" s="590">
        <f>Trend!P27</f>
        <v>89262963.469999999</v>
      </c>
      <c r="Q5" s="590">
        <f>Trend!Q27</f>
        <v>90911156.569999993</v>
      </c>
      <c r="R5" s="590">
        <f>Trend!R27</f>
        <v>92731467.870000005</v>
      </c>
      <c r="S5" s="590">
        <f>Trend!S27</f>
        <v>95430775.159999996</v>
      </c>
      <c r="T5" s="590">
        <f>Trend!T27</f>
        <v>95783416.780000001</v>
      </c>
      <c r="U5" s="590">
        <f>Trend!U27</f>
        <v>92242724.519999996</v>
      </c>
      <c r="V5" s="590">
        <f>Trend!V27</f>
        <v>91290359</v>
      </c>
      <c r="W5" s="590">
        <f>Trend!W27</f>
        <v>92000265.370000005</v>
      </c>
      <c r="X5" s="590">
        <f>Trend!X27</f>
        <v>92421574.070000008</v>
      </c>
      <c r="Y5" s="590">
        <f>Trend!Y27</f>
        <v>93152551.789999992</v>
      </c>
      <c r="Z5" s="590">
        <f>Trend!Z27</f>
        <v>100044498.22</v>
      </c>
      <c r="AA5" s="590">
        <f>Trend!AA27</f>
        <v>103833280.7</v>
      </c>
      <c r="AB5" s="590">
        <f>Trend!AB27</f>
        <v>107262965.75</v>
      </c>
      <c r="AC5" s="590">
        <f>Trend!AC27</f>
        <v>110008263.95000002</v>
      </c>
      <c r="AD5" s="590">
        <f>Trend!AD27</f>
        <v>114962187.56</v>
      </c>
      <c r="AE5" s="590">
        <f>Trend!AE27</f>
        <v>117343935.54000001</v>
      </c>
      <c r="AF5" s="590">
        <f>Trend!AF27</f>
        <v>119298970.81999999</v>
      </c>
      <c r="AG5" s="590">
        <f>Trend!AG27</f>
        <v>122876354.84999999</v>
      </c>
      <c r="AH5" s="590">
        <f>Trend!AH27</f>
        <v>122310491.37</v>
      </c>
      <c r="AI5" s="590">
        <f>Trend!AI27</f>
        <v>127846174</v>
      </c>
      <c r="AJ5" s="590">
        <f>Trend!AJ27</f>
        <v>125790259</v>
      </c>
      <c r="AK5" s="590">
        <f>Trend!AK27</f>
        <v>0</v>
      </c>
      <c r="AL5" s="590">
        <f>Trend!AL27</f>
        <v>125764731.88</v>
      </c>
      <c r="AM5" s="590">
        <f>Trend!AM27</f>
        <v>127056881.47999999</v>
      </c>
      <c r="AN5" s="590">
        <f>Trend!AN27</f>
        <v>110686199.05</v>
      </c>
      <c r="AO5" s="590">
        <f>Trend!AO27</f>
        <v>108633280.7</v>
      </c>
      <c r="AP5" s="590">
        <f>Trend!AP27</f>
        <v>110898720.27</v>
      </c>
      <c r="AQ5" s="590">
        <f>Trend!AQ27</f>
        <v>130384112.89</v>
      </c>
      <c r="AR5" s="590">
        <f>Trend!AR27</f>
        <v>133201698.92999999</v>
      </c>
      <c r="AS5" s="590">
        <f>Trend!AS27</f>
        <v>137268295.05000001</v>
      </c>
      <c r="AT5" s="590">
        <f>Trend!AT27</f>
        <v>0</v>
      </c>
      <c r="AU5" s="590">
        <f>Trend!AU27</f>
        <v>148167002.78</v>
      </c>
      <c r="AV5" s="590">
        <f>Trend!AV27</f>
        <v>152634446.25</v>
      </c>
      <c r="AW5" s="590">
        <f>Trend!AW27</f>
        <v>149933787</v>
      </c>
      <c r="AX5" s="590">
        <f>Trend!AX27</f>
        <v>0</v>
      </c>
      <c r="AY5" s="590">
        <f>Trend!AY27</f>
        <v>0</v>
      </c>
      <c r="AZ5" s="590">
        <f>Trend!AZ27</f>
        <v>153242700.89000002</v>
      </c>
      <c r="BA5" s="590">
        <f>Trend!BA27</f>
        <v>323559652.60000002</v>
      </c>
      <c r="BB5" s="590">
        <f>Trend!BB27</f>
        <v>158393440.91</v>
      </c>
      <c r="BC5" s="590">
        <f>Trend!BC27</f>
        <v>188002594.99000001</v>
      </c>
      <c r="BD5" s="590">
        <f>Trend!BD27</f>
        <v>163515554.70999998</v>
      </c>
      <c r="BE5" s="590">
        <f>Trend!BE27</f>
        <v>168106191.09999999</v>
      </c>
      <c r="BF5" s="590">
        <f>Trend!BF27</f>
        <v>168454743</v>
      </c>
      <c r="BG5" s="590">
        <f>Trend!BG27</f>
        <v>0</v>
      </c>
      <c r="BH5" s="590">
        <f>Trend!BH27</f>
        <v>171150503.45999998</v>
      </c>
      <c r="BI5" s="590">
        <f>Trend!BI27</f>
        <v>170255269.72000003</v>
      </c>
      <c r="BJ5" s="590">
        <f>Trend!BJ27</f>
        <v>169284069</v>
      </c>
      <c r="BK5" s="590">
        <f>Trend!BK27</f>
        <v>178505166.82999998</v>
      </c>
      <c r="BL5" s="590">
        <f>Trend!BL27</f>
        <v>179748075.58000001</v>
      </c>
      <c r="BM5" s="590">
        <f>Trend!BM27</f>
        <v>177192400.63</v>
      </c>
      <c r="BN5" s="590">
        <f>Trend!BN27</f>
        <v>179315948</v>
      </c>
      <c r="BO5" s="590">
        <f>Trend!BO27</f>
        <v>178839659</v>
      </c>
      <c r="BP5" s="590">
        <f>Trend!BP27</f>
        <v>180909645</v>
      </c>
      <c r="BQ5" s="590">
        <f>Trend!BQ27</f>
        <v>183744291</v>
      </c>
      <c r="BR5" s="590">
        <f>Trend!BR27</f>
        <v>188367831</v>
      </c>
      <c r="BS5" s="590">
        <f>Trend!BS27</f>
        <v>188915694</v>
      </c>
      <c r="BT5" s="590">
        <f>Trend!BT27</f>
        <v>190101732</v>
      </c>
      <c r="BU5" s="590">
        <f>Trend!BU27</f>
        <v>199265016</v>
      </c>
      <c r="BV5" s="590">
        <f>Trend!BV27</f>
        <v>202472011.46000001</v>
      </c>
      <c r="BW5" s="590">
        <f>Trend!BW27</f>
        <v>213140555.74000001</v>
      </c>
      <c r="BX5" s="590">
        <f>Trend!BX27</f>
        <v>205362392</v>
      </c>
      <c r="BY5" s="590">
        <f>Trend!BY27</f>
        <v>202016148</v>
      </c>
      <c r="BZ5" s="590">
        <f>Trend!BZ27</f>
        <v>211721145</v>
      </c>
      <c r="CA5" s="590">
        <f>Trend!CA27</f>
        <v>227722757</v>
      </c>
      <c r="CB5" s="590">
        <f>Trend!CB27</f>
        <v>226904993</v>
      </c>
      <c r="CC5" s="590">
        <f>Trend!CC27</f>
        <v>231872582</v>
      </c>
      <c r="CD5" s="590">
        <f>Trend!CD27</f>
        <v>236573335.53000003</v>
      </c>
      <c r="CE5" s="590">
        <f>Trend!CE27</f>
        <v>241127480.56</v>
      </c>
      <c r="CF5" s="590">
        <f>Trend!CF27</f>
        <v>250075479</v>
      </c>
      <c r="CG5" s="590">
        <f>Trend!CG27</f>
        <v>262114038.84000003</v>
      </c>
      <c r="CH5" s="590">
        <f>Trend!CH27</f>
        <v>264392816.19999999</v>
      </c>
      <c r="CI5" s="590">
        <f>Trend!CI27</f>
        <v>251004939.96000001</v>
      </c>
      <c r="CJ5" s="590">
        <f>Trend!CJ27</f>
        <v>252884527.96000001</v>
      </c>
      <c r="CK5" s="590">
        <f>Trend!CK27</f>
        <v>267886176.07999998</v>
      </c>
      <c r="CL5" s="590">
        <f>Trend!CL27</f>
        <v>273337266.11000001</v>
      </c>
      <c r="CM5" s="590">
        <f>Trend!CM27</f>
        <v>267305011.79999998</v>
      </c>
      <c r="CN5" s="590">
        <f>Trend!CN27</f>
        <v>272614569.00999999</v>
      </c>
      <c r="CO5" s="590">
        <f>Trend!CO27</f>
        <v>274644982.23000002</v>
      </c>
      <c r="CP5" s="590">
        <f>Trend!CP27</f>
        <v>286703727.97000003</v>
      </c>
      <c r="CQ5" s="590">
        <f>Trend!CQ27</f>
        <v>286351423.56</v>
      </c>
      <c r="CR5" s="590">
        <f>Trend!CR27</f>
        <v>294319849.5</v>
      </c>
      <c r="CS5" s="590">
        <f>Trend!CS27</f>
        <v>303778885.72000003</v>
      </c>
      <c r="CT5" s="590">
        <f>Trend!CT27</f>
        <v>304653235.17000002</v>
      </c>
      <c r="CU5" s="590">
        <f>Trend!CU27</f>
        <v>308239570.23000002</v>
      </c>
      <c r="CV5" s="590">
        <f>Trend!CV27</f>
        <v>300182208.28999996</v>
      </c>
      <c r="CW5" s="590">
        <f>Trend!CW27</f>
        <v>299996601.59000003</v>
      </c>
      <c r="CX5" s="590">
        <f>Trend!CX27</f>
        <v>317414082.93000001</v>
      </c>
      <c r="CY5" s="590">
        <f>Trend!CY27</f>
        <v>327338344.93000001</v>
      </c>
      <c r="CZ5" s="590">
        <f>Trend!CZ27</f>
        <v>319890699.30000001</v>
      </c>
      <c r="DA5" s="590">
        <f>Trend!DA27</f>
        <v>323835356.56999999</v>
      </c>
      <c r="DB5" s="590">
        <f>Trend!DB27</f>
        <v>329053783.39999998</v>
      </c>
      <c r="DC5" s="590">
        <f>Trend!DC27</f>
        <v>345075906.14999998</v>
      </c>
      <c r="DD5" s="590">
        <f>Trend!DD27</f>
        <v>352429711.83999997</v>
      </c>
      <c r="DE5" s="590">
        <f>Trend!DE27</f>
        <v>360110200.26999998</v>
      </c>
      <c r="DF5" s="590">
        <f>Trend!DF27</f>
        <v>367862824.90000004</v>
      </c>
      <c r="DG5" s="590">
        <f>Trend!DG27</f>
        <v>359856424.91000003</v>
      </c>
      <c r="DH5" s="590">
        <f>Trend!DH27</f>
        <v>369875316.55000001</v>
      </c>
      <c r="DI5" s="590">
        <f>Trend!DI27</f>
        <v>358251993.56000006</v>
      </c>
      <c r="DJ5" s="590">
        <f>Trend!DJ27</f>
        <v>360561167</v>
      </c>
      <c r="DK5" s="590">
        <f>Trend!DK27</f>
        <v>366692769.48000002</v>
      </c>
      <c r="DL5" s="590">
        <f>Trend!DL27</f>
        <v>373411753.23000002</v>
      </c>
      <c r="DM5" s="590">
        <f>Trend!DM27</f>
        <v>366492387.59000003</v>
      </c>
      <c r="DN5" s="590">
        <f>Trend!DN27</f>
        <v>370456354.11000001</v>
      </c>
      <c r="DO5" s="590">
        <f>Trend!DO27</f>
        <v>372936990.75</v>
      </c>
      <c r="DP5" s="590">
        <f>Trend!DP27</f>
        <v>384166324.78000003</v>
      </c>
      <c r="DQ5" s="590">
        <f>Trend!DQ27</f>
        <v>390435452.49000001</v>
      </c>
      <c r="DR5" s="590">
        <f>Trend!DR27</f>
        <v>395716671.09999996</v>
      </c>
      <c r="DS5" s="590">
        <f>Trend!DS27</f>
        <v>401797390.31999999</v>
      </c>
      <c r="DT5" s="590">
        <f>Trend!DT27</f>
        <v>407089720.03999996</v>
      </c>
      <c r="DU5" s="590">
        <f>Trend!DU27</f>
        <v>415397367.10000002</v>
      </c>
      <c r="DV5" s="590">
        <f>Trend!DV27</f>
        <v>0</v>
      </c>
      <c r="DW5" s="590">
        <f>Trend!DW27</f>
        <v>415120522</v>
      </c>
      <c r="DX5" s="590"/>
      <c r="DY5" s="590"/>
      <c r="DZ5" s="590"/>
      <c r="EA5" s="590"/>
      <c r="EB5" s="590"/>
    </row>
    <row r="6" spans="1:132" ht="15" x14ac:dyDescent="0.25">
      <c r="A6" s="582">
        <v>3</v>
      </c>
      <c r="B6" s="583" t="s">
        <v>143</v>
      </c>
      <c r="C6" s="590">
        <f>Trend!C31</f>
        <v>2279348</v>
      </c>
      <c r="D6" s="590">
        <f>Trend!D31</f>
        <v>5920804</v>
      </c>
      <c r="E6" s="590">
        <f>Trend!E31</f>
        <v>8325050</v>
      </c>
      <c r="F6" s="590">
        <f>Trend!F31</f>
        <v>17127596</v>
      </c>
      <c r="G6" s="590">
        <f>Trend!G31</f>
        <v>29393861</v>
      </c>
      <c r="H6" s="590">
        <f>Trend!H31</f>
        <v>46049825.100000001</v>
      </c>
      <c r="I6" s="590">
        <f>Trend!I31</f>
        <v>43745777</v>
      </c>
      <c r="J6" s="590">
        <f>Trend!J31</f>
        <v>94351720.450000003</v>
      </c>
      <c r="K6" s="590">
        <f>Trend!K31</f>
        <v>49014786.869999997</v>
      </c>
      <c r="L6" s="590">
        <f>Trend!L31</f>
        <v>51417172.169999994</v>
      </c>
      <c r="M6" s="590">
        <f>Trend!M31</f>
        <v>52686434.25</v>
      </c>
      <c r="N6" s="590">
        <f>Trend!N31</f>
        <v>53300619.289999999</v>
      </c>
      <c r="O6" s="590">
        <f>Trend!O31</f>
        <v>55114155.119999997</v>
      </c>
      <c r="P6" s="590">
        <f>Trend!P31</f>
        <v>57519862.68</v>
      </c>
      <c r="Q6" s="590">
        <f>Trend!Q31</f>
        <v>59142351.390000001</v>
      </c>
      <c r="R6" s="590">
        <f>Trend!R31</f>
        <v>59902295.120000005</v>
      </c>
      <c r="S6" s="590">
        <f>Trend!S31</f>
        <v>62153286.800000004</v>
      </c>
      <c r="T6" s="590">
        <f>Trend!T31</f>
        <v>61655536.550000004</v>
      </c>
      <c r="U6" s="590">
        <f>Trend!U31</f>
        <v>62062108.240000002</v>
      </c>
      <c r="V6" s="590">
        <f>Trend!V31</f>
        <v>62128079</v>
      </c>
      <c r="W6" s="590">
        <f>Trend!W31</f>
        <v>63535152.550000004</v>
      </c>
      <c r="X6" s="590">
        <f>Trend!X31</f>
        <v>62232355.850000001</v>
      </c>
      <c r="Y6" s="590">
        <f>Trend!Y31</f>
        <v>66293722.200000003</v>
      </c>
      <c r="Z6" s="590">
        <f>Trend!Z31</f>
        <v>68626648.969999999</v>
      </c>
      <c r="AA6" s="590">
        <f>Trend!AA31</f>
        <v>71569199.829999998</v>
      </c>
      <c r="AB6" s="590">
        <f>Trend!AB31</f>
        <v>73560044.890000001</v>
      </c>
      <c r="AC6" s="590">
        <f>Trend!AC31</f>
        <v>73538015.040000007</v>
      </c>
      <c r="AD6" s="590">
        <f>Trend!AD31</f>
        <v>76453418.189999998</v>
      </c>
      <c r="AE6" s="590">
        <f>Trend!AE31</f>
        <v>79254030.900000006</v>
      </c>
      <c r="AF6" s="590">
        <f>Trend!AF31</f>
        <v>81638543.760000005</v>
      </c>
      <c r="AG6" s="590">
        <f>Trend!AG31</f>
        <v>83606186.450000003</v>
      </c>
      <c r="AH6" s="590">
        <f>Trend!AH31</f>
        <v>83497935.590000004</v>
      </c>
      <c r="AI6" s="590">
        <f>Trend!AI31</f>
        <v>93812920</v>
      </c>
      <c r="AJ6" s="590">
        <f>Trend!AJ31</f>
        <v>91757805</v>
      </c>
      <c r="AK6" s="590">
        <f>Trend!AK31</f>
        <v>0</v>
      </c>
      <c r="AL6" s="590">
        <f>Trend!AL31</f>
        <v>88005368.870000005</v>
      </c>
      <c r="AM6" s="590">
        <f>Trend!AM31</f>
        <v>88005368.870000005</v>
      </c>
      <c r="AN6" s="590">
        <f>Trend!AN31</f>
        <v>88018568.870000005</v>
      </c>
      <c r="AO6" s="590">
        <f>Trend!AO31</f>
        <v>71569199.829999998</v>
      </c>
      <c r="AP6" s="590">
        <f>Trend!AP31</f>
        <v>88031768.870000005</v>
      </c>
      <c r="AQ6" s="590">
        <f>Trend!AQ31</f>
        <v>87927848.870000005</v>
      </c>
      <c r="AR6" s="590">
        <f>Trend!AR31</f>
        <v>87935848.870000005</v>
      </c>
      <c r="AS6" s="590">
        <f>Trend!AS31</f>
        <v>87948848.870000005</v>
      </c>
      <c r="AT6" s="590">
        <f>Trend!AT31</f>
        <v>0</v>
      </c>
      <c r="AU6" s="590">
        <f>Trend!AU31</f>
        <v>87962848.870000005</v>
      </c>
      <c r="AV6" s="590">
        <f>Trend!AV31</f>
        <v>107769477.78</v>
      </c>
      <c r="AW6" s="590">
        <f>Trend!AW31</f>
        <v>112200675</v>
      </c>
      <c r="AX6" s="590">
        <f>Trend!AX31</f>
        <v>0</v>
      </c>
      <c r="AY6" s="590">
        <f>Trend!AY31</f>
        <v>0</v>
      </c>
      <c r="AZ6" s="590">
        <f>Trend!AZ31</f>
        <v>-114103167.63</v>
      </c>
      <c r="BA6" s="590">
        <f>Trend!BA31</f>
        <v>-245164315.47999999</v>
      </c>
      <c r="BB6" s="590">
        <f>Trend!BB31</f>
        <v>126775325.06</v>
      </c>
      <c r="BC6" s="590">
        <f>Trend!BC31</f>
        <v>120043889.89</v>
      </c>
      <c r="BD6" s="590">
        <f>Trend!BD31</f>
        <v>125279801.71000001</v>
      </c>
      <c r="BE6" s="590">
        <f>Trend!BE31</f>
        <v>130055516.28</v>
      </c>
      <c r="BF6" s="590">
        <f>Trend!BF31</f>
        <v>128427832.49000001</v>
      </c>
      <c r="BG6" s="590">
        <f>Trend!BG31</f>
        <v>0</v>
      </c>
      <c r="BH6" s="590">
        <f>Trend!BH31</f>
        <v>127871407.46000001</v>
      </c>
      <c r="BI6" s="590">
        <f>Trend!BI31</f>
        <v>124433705.90000001</v>
      </c>
      <c r="BJ6" s="590">
        <f>Trend!BJ31</f>
        <v>121242355.40000001</v>
      </c>
      <c r="BK6" s="590">
        <f>Trend!BK31</f>
        <v>130004717</v>
      </c>
      <c r="BL6" s="590">
        <f>Trend!BL31</f>
        <v>133617325.11</v>
      </c>
      <c r="BM6" s="590">
        <f>Trend!BM31</f>
        <v>136898829.26999998</v>
      </c>
      <c r="BN6" s="590">
        <f>Trend!BN31</f>
        <v>138098251</v>
      </c>
      <c r="BO6" s="590">
        <f>Trend!BO31</f>
        <v>135126256</v>
      </c>
      <c r="BP6" s="590">
        <f>Trend!BP31</f>
        <v>137914402</v>
      </c>
      <c r="BQ6" s="590">
        <f>Trend!BQ31</f>
        <v>139655178</v>
      </c>
      <c r="BR6" s="590">
        <f>Trend!BR31</f>
        <v>143781960</v>
      </c>
      <c r="BS6" s="590">
        <f>Trend!BS31</f>
        <v>143776219</v>
      </c>
      <c r="BT6" s="590">
        <f>Trend!BT31</f>
        <v>143746738</v>
      </c>
      <c r="BU6" s="590">
        <f>Trend!BU31</f>
        <v>145874087</v>
      </c>
      <c r="BV6" s="590">
        <f>Trend!BV31</f>
        <v>138253936</v>
      </c>
      <c r="BW6" s="590">
        <f>Trend!BW31</f>
        <v>138253935.14000002</v>
      </c>
      <c r="BX6" s="590">
        <f>Trend!BX31</f>
        <v>153210860</v>
      </c>
      <c r="BY6" s="590">
        <f>Trend!BY31</f>
        <v>147608392</v>
      </c>
      <c r="BZ6" s="590">
        <f>Trend!BZ31</f>
        <v>156672455</v>
      </c>
      <c r="CA6" s="590">
        <f>Trend!CA31</f>
        <v>155152093</v>
      </c>
      <c r="CB6" s="590">
        <f>Trend!CB31</f>
        <v>167318743</v>
      </c>
      <c r="CC6" s="590">
        <f>Trend!CC31</f>
        <v>171176796</v>
      </c>
      <c r="CD6" s="590">
        <f>Trend!CD31</f>
        <v>174049358.53</v>
      </c>
      <c r="CE6" s="590">
        <f>Trend!CE31</f>
        <v>177111962.56</v>
      </c>
      <c r="CF6" s="590">
        <f>Trend!CF31</f>
        <v>184289592.08000001</v>
      </c>
      <c r="CG6" s="590">
        <f>Trend!CG31</f>
        <v>184495997.47000003</v>
      </c>
      <c r="CH6" s="590">
        <f>Trend!CH31</f>
        <v>186609411.14999998</v>
      </c>
      <c r="CI6" s="590">
        <f>Trend!CI31</f>
        <v>71634679.219999999</v>
      </c>
      <c r="CJ6" s="590">
        <f>Trend!CJ31</f>
        <v>175375673.98000002</v>
      </c>
      <c r="CK6" s="590">
        <f>Trend!CK31</f>
        <v>188976849.68000001</v>
      </c>
      <c r="CL6" s="590">
        <f>Trend!CL31</f>
        <v>193081770.03</v>
      </c>
      <c r="CM6" s="590">
        <f>Trend!CM31</f>
        <v>196669142.84999999</v>
      </c>
      <c r="CN6" s="590">
        <f>Trend!CN31</f>
        <v>201253590</v>
      </c>
      <c r="CO6" s="590">
        <f>Trend!CO31</f>
        <v>201407239.73000002</v>
      </c>
      <c r="CP6" s="590">
        <f>Trend!CP31</f>
        <v>211259463.97999999</v>
      </c>
      <c r="CQ6" s="590">
        <f>Trend!CQ31</f>
        <v>208248137.97</v>
      </c>
      <c r="CR6" s="590">
        <f>Trend!CR31</f>
        <v>213015705</v>
      </c>
      <c r="CS6" s="590">
        <f>Trend!CS31</f>
        <v>219065268.27000001</v>
      </c>
      <c r="CT6" s="590">
        <f>Trend!CT31</f>
        <v>219065268.27000001</v>
      </c>
      <c r="CU6" s="590">
        <f>Trend!CU31</f>
        <v>221391500.50999999</v>
      </c>
      <c r="CV6" s="590">
        <f>Trend!CV31</f>
        <v>213250139.28999999</v>
      </c>
      <c r="CW6" s="590">
        <f>Trend!CW31</f>
        <v>213250139.28999999</v>
      </c>
      <c r="CX6" s="590">
        <f>Trend!CX31</f>
        <v>229551848.28000003</v>
      </c>
      <c r="CY6" s="590">
        <f>Trend!CY31</f>
        <v>236315242.01000002</v>
      </c>
      <c r="CZ6" s="590">
        <f>Trend!CZ31</f>
        <v>241073779.34</v>
      </c>
      <c r="DA6" s="590">
        <f>Trend!DA31</f>
        <v>242330293.79000002</v>
      </c>
      <c r="DB6" s="590">
        <f>Trend!DB31</f>
        <v>245569198.02000001</v>
      </c>
      <c r="DC6" s="590">
        <f>Trend!DC31</f>
        <v>249946093.58999997</v>
      </c>
      <c r="DD6" s="590">
        <f>Trend!DD31</f>
        <v>255918465.78</v>
      </c>
      <c r="DE6" s="590">
        <f>Trend!DE31</f>
        <v>257610759.28999999</v>
      </c>
      <c r="DF6" s="590">
        <f>Trend!DF31</f>
        <v>265891326.94</v>
      </c>
      <c r="DG6" s="590">
        <f>Trend!DG31</f>
        <v>260225641.14999998</v>
      </c>
      <c r="DH6" s="590">
        <f>Trend!DH31</f>
        <v>267210551.30000001</v>
      </c>
      <c r="DI6" s="590">
        <f>Trend!DI31</f>
        <v>251269098.37</v>
      </c>
      <c r="DJ6" s="590">
        <f>Trend!DJ31</f>
        <v>251929259</v>
      </c>
      <c r="DK6" s="590">
        <f>Trend!DK31</f>
        <v>259097492.94</v>
      </c>
      <c r="DL6" s="590">
        <f>Trend!DL31</f>
        <v>258382276.84999999</v>
      </c>
      <c r="DM6" s="590">
        <f>Trend!DM31</f>
        <v>267211570.10000002</v>
      </c>
      <c r="DN6" s="590">
        <f>Trend!DN31</f>
        <v>268874938.84000003</v>
      </c>
      <c r="DO6" s="590">
        <f>Trend!DO31</f>
        <v>267003625.67999998</v>
      </c>
      <c r="DP6" s="590">
        <f>Trend!DP31</f>
        <v>274761030.02999997</v>
      </c>
      <c r="DQ6" s="590">
        <f>Trend!DQ31</f>
        <v>277578947.10000002</v>
      </c>
      <c r="DR6" s="590">
        <f>Trend!DR31</f>
        <v>277337623.88</v>
      </c>
      <c r="DS6" s="590">
        <f>Trend!DS31</f>
        <v>279879939.95000005</v>
      </c>
      <c r="DT6" s="590">
        <f>Trend!DT31</f>
        <v>284597060.69</v>
      </c>
      <c r="DU6" s="590">
        <f>Trend!DU31</f>
        <v>289704875.38</v>
      </c>
      <c r="DV6" s="590">
        <f>Trend!DV31</f>
        <v>0</v>
      </c>
      <c r="DW6" s="590">
        <f>Trend!DW31</f>
        <v>285244427</v>
      </c>
      <c r="DX6" s="590"/>
      <c r="DY6" s="590"/>
      <c r="DZ6" s="590"/>
      <c r="EA6" s="590"/>
      <c r="EB6" s="590"/>
    </row>
    <row r="7" spans="1:132" ht="15" x14ac:dyDescent="0.25">
      <c r="A7" s="582">
        <v>3.1</v>
      </c>
      <c r="B7" s="591" t="s">
        <v>144</v>
      </c>
      <c r="C7" s="590">
        <f>Trend!C30</f>
        <v>2181426</v>
      </c>
      <c r="D7" s="590">
        <f>Trend!D30</f>
        <v>5388952</v>
      </c>
      <c r="E7" s="590">
        <f>Trend!E30</f>
        <v>7001000</v>
      </c>
      <c r="F7" s="590">
        <f>Trend!F30</f>
        <v>14533589</v>
      </c>
      <c r="G7" s="590">
        <f>Trend!G30</f>
        <v>21381443</v>
      </c>
      <c r="H7" s="590">
        <f>Trend!H30</f>
        <v>43845984.100000001</v>
      </c>
      <c r="I7" s="590">
        <f>Trend!I30</f>
        <v>32277459</v>
      </c>
      <c r="J7" s="590">
        <f>Trend!J30</f>
        <v>89972427.450000003</v>
      </c>
      <c r="K7" s="590">
        <f>Trend!K30</f>
        <v>46620950.57</v>
      </c>
      <c r="L7" s="590">
        <f>Trend!L30</f>
        <v>49122629.869999997</v>
      </c>
      <c r="M7" s="590">
        <f>Trend!M30</f>
        <v>50342189.950000003</v>
      </c>
      <c r="N7" s="590">
        <f>Trend!N30</f>
        <v>50954932.990000002</v>
      </c>
      <c r="O7" s="590">
        <f>Trend!O30</f>
        <v>52579322.32</v>
      </c>
      <c r="P7" s="590">
        <f>Trend!P30</f>
        <v>54490770.579999998</v>
      </c>
      <c r="Q7" s="590">
        <f>Trend!Q30</f>
        <v>55824059.289999999</v>
      </c>
      <c r="R7" s="590">
        <f>Trend!R30</f>
        <v>57102659.020000003</v>
      </c>
      <c r="S7" s="590">
        <f>Trend!S30</f>
        <v>59031893.700000003</v>
      </c>
      <c r="T7" s="590">
        <f>Trend!T30</f>
        <v>58627230.450000003</v>
      </c>
      <c r="U7" s="590">
        <f>Trend!U30</f>
        <v>59062798.740000002</v>
      </c>
      <c r="V7" s="590">
        <f>Trend!V30</f>
        <v>44483332</v>
      </c>
      <c r="W7" s="590">
        <f>Trend!W30</f>
        <v>60320340.600000001</v>
      </c>
      <c r="X7" s="590">
        <f>Trend!X30</f>
        <v>59372074.350000001</v>
      </c>
      <c r="Y7" s="590">
        <f>Trend!Y30</f>
        <v>62934367.700000003</v>
      </c>
      <c r="Z7" s="590">
        <f>Trend!Z30</f>
        <v>65395641.469999999</v>
      </c>
      <c r="AA7" s="590">
        <f>Trend!AA30</f>
        <v>67369388.329999998</v>
      </c>
      <c r="AB7" s="590">
        <f>Trend!AB30</f>
        <v>70695032.390000001</v>
      </c>
      <c r="AC7" s="590">
        <f>Trend!AC30</f>
        <v>69971661.540000007</v>
      </c>
      <c r="AD7" s="590">
        <f>Trend!AD30</f>
        <v>72391510.689999998</v>
      </c>
      <c r="AE7" s="590">
        <f>Trend!AE30</f>
        <v>75061343.400000006</v>
      </c>
      <c r="AF7" s="590">
        <f>Trend!AF30</f>
        <v>77676333.260000005</v>
      </c>
      <c r="AG7" s="590">
        <f>Trend!AG30</f>
        <v>79274546.950000003</v>
      </c>
      <c r="AH7" s="590">
        <f>Trend!AH30</f>
        <v>79342488.090000004</v>
      </c>
      <c r="AI7" s="590">
        <f>Trend!AI30</f>
        <v>61929319</v>
      </c>
      <c r="AJ7" s="590">
        <f>Trend!AJ30</f>
        <v>61929319</v>
      </c>
      <c r="AK7" s="590">
        <f>Trend!AK30</f>
        <v>0</v>
      </c>
      <c r="AL7" s="590">
        <f>Trend!AL30</f>
        <v>82076780.370000005</v>
      </c>
      <c r="AM7" s="590">
        <f>Trend!AM30</f>
        <v>82076780.370000005</v>
      </c>
      <c r="AN7" s="590">
        <f>Trend!AN30</f>
        <v>82089980.370000005</v>
      </c>
      <c r="AO7" s="590">
        <f>Trend!AO30</f>
        <v>67369388.329999998</v>
      </c>
      <c r="AP7" s="590">
        <f>Trend!AP30</f>
        <v>82103180.370000005</v>
      </c>
      <c r="AQ7" s="590">
        <f>Trend!AQ30</f>
        <v>81999260.370000005</v>
      </c>
      <c r="AR7" s="590">
        <f>Trend!AR30</f>
        <v>82007260.370000005</v>
      </c>
      <c r="AS7" s="590">
        <f>Trend!AS30</f>
        <v>82020260.370000005</v>
      </c>
      <c r="AT7" s="590">
        <f>Trend!AT30</f>
        <v>0</v>
      </c>
      <c r="AU7" s="590">
        <f>Trend!AU30</f>
        <v>82034260.370000005</v>
      </c>
      <c r="AV7" s="590">
        <f>Trend!AV30</f>
        <v>77417124.959999993</v>
      </c>
      <c r="AW7" s="590">
        <f>Trend!AW30</f>
        <v>81840305</v>
      </c>
      <c r="AX7" s="590">
        <f>Trend!AX30</f>
        <v>0</v>
      </c>
      <c r="AY7" s="590">
        <f>Trend!AY30</f>
        <v>0</v>
      </c>
      <c r="AZ7" s="590">
        <f>Trend!AZ30</f>
        <v>-83429353.609999999</v>
      </c>
      <c r="BA7" s="590">
        <f>Trend!BA30</f>
        <v>-184584803.44</v>
      </c>
      <c r="BB7" s="590">
        <f>Trend!BB30</f>
        <v>91498366.739999995</v>
      </c>
      <c r="BC7" s="590">
        <f>Trend!BC30</f>
        <v>91694234.840000004</v>
      </c>
      <c r="BD7" s="590">
        <f>Trend!BD30</f>
        <v>93266975.840000004</v>
      </c>
      <c r="BE7" s="590">
        <f>Trend!BE30</f>
        <v>95468682.340000004</v>
      </c>
      <c r="BF7" s="590">
        <f>Trend!BF30</f>
        <v>93033255.340000004</v>
      </c>
      <c r="BG7" s="590">
        <f>Trend!BG30</f>
        <v>0</v>
      </c>
      <c r="BH7" s="590">
        <f>Trend!BH30</f>
        <v>94525853.840000004</v>
      </c>
      <c r="BI7" s="590">
        <f>Trend!BI30</f>
        <v>92858059.840000004</v>
      </c>
      <c r="BJ7" s="590">
        <f>Trend!BJ30</f>
        <v>92858059</v>
      </c>
      <c r="BK7" s="590">
        <f>Trend!BK30</f>
        <v>96054149</v>
      </c>
      <c r="BL7" s="590">
        <f>Trend!BL30</f>
        <v>96140020.109999999</v>
      </c>
      <c r="BM7" s="590">
        <f>Trend!BM30</f>
        <v>98721123.079999998</v>
      </c>
      <c r="BN7" s="590">
        <f>Trend!BN30</f>
        <v>100460695</v>
      </c>
      <c r="BO7" s="590">
        <f>Trend!BO30</f>
        <v>101546557</v>
      </c>
      <c r="BP7" s="590">
        <f>Trend!BP30</f>
        <v>102510413</v>
      </c>
      <c r="BQ7" s="590">
        <f>Trend!BQ30</f>
        <v>103917025</v>
      </c>
      <c r="BR7" s="590">
        <f>Trend!BR30</f>
        <v>106196242</v>
      </c>
      <c r="BS7" s="590">
        <f>Trend!BS30</f>
        <v>107388717</v>
      </c>
      <c r="BT7" s="590">
        <f>Trend!BT30</f>
        <v>109324774</v>
      </c>
      <c r="BU7" s="590">
        <f>Trend!BU30</f>
        <v>109324774</v>
      </c>
      <c r="BV7" s="590">
        <f>Trend!BV30</f>
        <v>111455182</v>
      </c>
      <c r="BW7" s="590">
        <f>Trend!BW30</f>
        <v>111455182.62</v>
      </c>
      <c r="BX7" s="590">
        <f>Trend!BX30</f>
        <v>113743409</v>
      </c>
      <c r="BY7" s="590">
        <f>Trend!BY30</f>
        <v>114087828</v>
      </c>
      <c r="BZ7" s="590">
        <f>Trend!BZ30</f>
        <v>116889196</v>
      </c>
      <c r="CA7" s="590">
        <f>Trend!CA30</f>
        <v>119824972</v>
      </c>
      <c r="CB7" s="590">
        <f>Trend!CB30</f>
        <v>123846171</v>
      </c>
      <c r="CC7" s="590">
        <f>Trend!CC30</f>
        <v>126507301</v>
      </c>
      <c r="CD7" s="590">
        <f>Trend!CD30</f>
        <v>130121236</v>
      </c>
      <c r="CE7" s="590">
        <f>Trend!CE30</f>
        <v>133311673.58</v>
      </c>
      <c r="CF7" s="590">
        <f>Trend!CF30</f>
        <v>136965439.15000001</v>
      </c>
      <c r="CG7" s="590">
        <f>Trend!CG30</f>
        <v>138969105.33000001</v>
      </c>
      <c r="CH7" s="590">
        <f>Trend!CH30</f>
        <v>141111654.97999999</v>
      </c>
      <c r="CI7" s="590">
        <f>Trend!CI30</f>
        <v>35817339.609999999</v>
      </c>
      <c r="CJ7" s="590">
        <f>Trend!CJ30</f>
        <v>139148833.55000001</v>
      </c>
      <c r="CK7" s="590">
        <f>Trend!CK30</f>
        <v>143302303.18000001</v>
      </c>
      <c r="CL7" s="590">
        <f>Trend!CL30</f>
        <v>146542503.68000001</v>
      </c>
      <c r="CM7" s="590">
        <f>Trend!CM30</f>
        <v>149802524</v>
      </c>
      <c r="CN7" s="590">
        <f>Trend!CN30</f>
        <v>152117541</v>
      </c>
      <c r="CO7" s="590">
        <f>Trend!CO30</f>
        <v>153933350.43000001</v>
      </c>
      <c r="CP7" s="590">
        <f>Trend!CP30</f>
        <v>156290473.03</v>
      </c>
      <c r="CQ7" s="590">
        <f>Trend!CQ30</f>
        <v>158829493.49000001</v>
      </c>
      <c r="CR7" s="590">
        <f>Trend!CR30</f>
        <v>161473507</v>
      </c>
      <c r="CS7" s="590">
        <f>Trend!CS30</f>
        <v>166345084.68000001</v>
      </c>
      <c r="CT7" s="590">
        <f>Trend!CT30</f>
        <v>166345084.68000001</v>
      </c>
      <c r="CU7" s="590">
        <f>Trend!CU30</f>
        <v>169007333.15000001</v>
      </c>
      <c r="CV7" s="590">
        <f>Trend!CV30</f>
        <v>170759538.56999999</v>
      </c>
      <c r="CW7" s="590">
        <f>Trend!CW30</f>
        <v>170759538.56999999</v>
      </c>
      <c r="CX7" s="590">
        <f>Trend!CX30</f>
        <v>174218115.08000001</v>
      </c>
      <c r="CY7" s="590">
        <f>Trend!CY30</f>
        <v>177313996.80000001</v>
      </c>
      <c r="CZ7" s="590">
        <f>Trend!CZ30</f>
        <v>181021017.21000001</v>
      </c>
      <c r="DA7" s="590">
        <f>Trend!DA30</f>
        <v>182651926.59</v>
      </c>
      <c r="DB7" s="590">
        <f>Trend!DB30</f>
        <v>185978322.27000001</v>
      </c>
      <c r="DC7" s="590">
        <f>Trend!DC30</f>
        <v>188443334.19999999</v>
      </c>
      <c r="DD7" s="590">
        <f>Trend!DD30</f>
        <v>191888398.06</v>
      </c>
      <c r="DE7" s="590">
        <f>Trend!DE30</f>
        <v>194810759.72</v>
      </c>
      <c r="DF7" s="590">
        <f>Trend!DF30</f>
        <v>197205447.87</v>
      </c>
      <c r="DG7" s="590">
        <f>Trend!DG30</f>
        <v>198007966.09999999</v>
      </c>
      <c r="DH7" s="590">
        <f>Trend!DH30</f>
        <v>201437597.66</v>
      </c>
      <c r="DI7" s="590">
        <f>Trend!DI30</f>
        <v>198723727.88</v>
      </c>
      <c r="DJ7" s="590">
        <f>Trend!DJ30</f>
        <v>198723727</v>
      </c>
      <c r="DK7" s="590">
        <f>Trend!DK30</f>
        <v>198763925.25999999</v>
      </c>
      <c r="DL7" s="590">
        <f>Trend!DL30</f>
        <v>202613194.22999999</v>
      </c>
      <c r="DM7" s="590">
        <f>Trend!DM30</f>
        <v>207054449.21000001</v>
      </c>
      <c r="DN7" s="590">
        <f>Trend!DN30</f>
        <v>209411047.34</v>
      </c>
      <c r="DO7" s="590">
        <f>Trend!DO30</f>
        <v>212208002.88999999</v>
      </c>
      <c r="DP7" s="590">
        <f>Trend!DP30</f>
        <v>214818924.94999999</v>
      </c>
      <c r="DQ7" s="590">
        <f>Trend!DQ30</f>
        <v>217682182</v>
      </c>
      <c r="DR7" s="590">
        <f>Trend!DR30</f>
        <v>219846748.66</v>
      </c>
      <c r="DS7" s="590">
        <f>Trend!DS29</f>
        <v>10933568.99</v>
      </c>
      <c r="DT7" s="590">
        <f>Trend!DT29</f>
        <v>11827027.529999999</v>
      </c>
      <c r="DU7" s="590">
        <f>Trend!DU29</f>
        <v>11884327.300000001</v>
      </c>
      <c r="DV7" s="590">
        <f>Trend!DV30</f>
        <v>0</v>
      </c>
      <c r="DW7" s="590">
        <f>Trend!DW30</f>
        <v>226107824</v>
      </c>
      <c r="DX7" s="590"/>
      <c r="DY7" s="590"/>
      <c r="DZ7" s="590"/>
      <c r="EA7" s="590"/>
      <c r="EB7" s="590"/>
    </row>
    <row r="8" spans="1:132" ht="15" x14ac:dyDescent="0.25">
      <c r="A8" s="582">
        <v>3.2</v>
      </c>
      <c r="B8" s="591" t="s">
        <v>145</v>
      </c>
      <c r="C8" s="590">
        <f>Trend!C28</f>
        <v>97922</v>
      </c>
      <c r="D8" s="590">
        <f>Trend!D28</f>
        <v>531852</v>
      </c>
      <c r="E8" s="590">
        <f>Trend!E28</f>
        <v>1324050</v>
      </c>
      <c r="F8" s="590">
        <f>Trend!F28</f>
        <v>2594007</v>
      </c>
      <c r="G8" s="590">
        <f>Trend!G28</f>
        <v>8012418</v>
      </c>
      <c r="H8" s="590">
        <f>Trend!H28</f>
        <v>1189925</v>
      </c>
      <c r="I8" s="590">
        <f>Trend!I28</f>
        <v>11468318</v>
      </c>
      <c r="J8" s="590">
        <f>Trend!J28</f>
        <v>2349166</v>
      </c>
      <c r="K8" s="590">
        <f>Trend!K28</f>
        <v>1377625.3</v>
      </c>
      <c r="L8" s="590">
        <f>Trend!L28</f>
        <v>1278331.3</v>
      </c>
      <c r="M8" s="590">
        <f>Trend!M28</f>
        <v>1328033.3</v>
      </c>
      <c r="N8" s="590">
        <f>Trend!N28</f>
        <v>1329475.3</v>
      </c>
      <c r="O8" s="590">
        <f>Trend!O28</f>
        <v>1518621.8</v>
      </c>
      <c r="P8" s="590">
        <f>Trend!P28</f>
        <v>2012881.1</v>
      </c>
      <c r="Q8" s="590">
        <f>Trend!Q28</f>
        <v>2302081.1</v>
      </c>
      <c r="R8" s="590">
        <f>Trend!R28</f>
        <v>1783425.1</v>
      </c>
      <c r="S8" s="590">
        <f>Trend!S28</f>
        <v>2105182.1</v>
      </c>
      <c r="T8" s="590">
        <f>Trend!T28</f>
        <v>2012095.1</v>
      </c>
      <c r="U8" s="590">
        <f>Trend!U28</f>
        <v>1983098.5</v>
      </c>
      <c r="V8" s="590">
        <f>Trend!V28</f>
        <v>17644747</v>
      </c>
      <c r="W8" s="590">
        <f>Trend!W28</f>
        <v>2198600.9500000002</v>
      </c>
      <c r="X8" s="590">
        <f>Trend!X28</f>
        <v>1844070.5</v>
      </c>
      <c r="Y8" s="590">
        <f>Trend!Y28</f>
        <v>2343143.5</v>
      </c>
      <c r="Z8" s="590">
        <f>Trend!Z28</f>
        <v>2214796.5</v>
      </c>
      <c r="AA8" s="590">
        <f>Trend!AA28</f>
        <v>3183600.5</v>
      </c>
      <c r="AB8" s="590">
        <f>Trend!AB28</f>
        <v>1848801.5</v>
      </c>
      <c r="AC8" s="590">
        <f>Trend!AC28</f>
        <v>2550142.5</v>
      </c>
      <c r="AD8" s="590">
        <f>Trend!AD28</f>
        <v>3045696.5</v>
      </c>
      <c r="AE8" s="590">
        <f>Trend!AE28</f>
        <v>3176476.5</v>
      </c>
      <c r="AF8" s="590">
        <f>Trend!AF28</f>
        <v>2945999.5</v>
      </c>
      <c r="AG8" s="590">
        <f>Trend!AG28</f>
        <v>3315428.5</v>
      </c>
      <c r="AH8" s="590">
        <f>Trend!AH28</f>
        <v>3139236.5</v>
      </c>
      <c r="AI8" s="590">
        <f>Trend!AI28</f>
        <v>31883601</v>
      </c>
      <c r="AJ8" s="590">
        <f>Trend!AJ28</f>
        <v>29828486</v>
      </c>
      <c r="AK8" s="590">
        <f>Trend!AK28</f>
        <v>0</v>
      </c>
      <c r="AL8" s="590">
        <f>Trend!AL28</f>
        <v>4912377.5</v>
      </c>
      <c r="AM8" s="590">
        <f>Trend!AM28</f>
        <v>4912377.5</v>
      </c>
      <c r="AN8" s="590">
        <f>Trend!AN28</f>
        <v>4912377.5</v>
      </c>
      <c r="AO8" s="590">
        <f>Trend!AO28</f>
        <v>3183600.5</v>
      </c>
      <c r="AP8" s="590">
        <f>Trend!AP28</f>
        <v>4912377.5</v>
      </c>
      <c r="AQ8" s="590">
        <f>Trend!AQ28</f>
        <v>4912377.5</v>
      </c>
      <c r="AR8" s="590">
        <f>Trend!AR28</f>
        <v>4912377.5</v>
      </c>
      <c r="AS8" s="590">
        <f>Trend!AS28</f>
        <v>4912377.5</v>
      </c>
      <c r="AT8" s="590">
        <f>Trend!AT28</f>
        <v>0</v>
      </c>
      <c r="AU8" s="590">
        <f>Trend!AU28</f>
        <v>4912377.5</v>
      </c>
      <c r="AV8" s="590">
        <f>Trend!AV28</f>
        <v>29192641.82</v>
      </c>
      <c r="AW8" s="590">
        <f>Trend!AW28</f>
        <v>30360370</v>
      </c>
      <c r="AX8" s="590">
        <f>Trend!AX28</f>
        <v>0</v>
      </c>
      <c r="AY8" s="590">
        <f>Trend!AY28</f>
        <v>0</v>
      </c>
      <c r="AZ8" s="590">
        <f>Trend!AZ28</f>
        <v>-29198403.02</v>
      </c>
      <c r="BA8" s="590">
        <f>Trend!BA28</f>
        <v>-64185018.039999999</v>
      </c>
      <c r="BB8" s="590">
        <f>Trend!BB28</f>
        <v>33494205.32</v>
      </c>
      <c r="BC8" s="590">
        <f>Trend!BC28</f>
        <v>25201033</v>
      </c>
      <c r="BD8" s="590">
        <f>Trend!BD28</f>
        <v>23344433.199999999</v>
      </c>
      <c r="BE8" s="590">
        <f>Trend!BE28</f>
        <v>25309217.149999999</v>
      </c>
      <c r="BF8" s="590">
        <f>Trend!BF28</f>
        <v>25532400.879999999</v>
      </c>
      <c r="BG8" s="590">
        <f>Trend!BG28</f>
        <v>0</v>
      </c>
      <c r="BH8" s="590">
        <f>Trend!BH28</f>
        <v>26278985</v>
      </c>
      <c r="BI8" s="590">
        <f>Trend!BI28</f>
        <v>22442804.84</v>
      </c>
      <c r="BJ8" s="590">
        <f>Trend!BJ28</f>
        <v>28384296.399999999</v>
      </c>
      <c r="BK8" s="590">
        <f>Trend!BK28</f>
        <v>9580252</v>
      </c>
      <c r="BL8" s="590">
        <f>Trend!BL28</f>
        <v>28082298</v>
      </c>
      <c r="BM8" s="590">
        <f>Trend!BM28</f>
        <v>28008191.66</v>
      </c>
      <c r="BN8" s="590">
        <f>Trend!BN28</f>
        <v>28859163</v>
      </c>
      <c r="BO8" s="590">
        <f>Trend!BO28</f>
        <v>25848317</v>
      </c>
      <c r="BP8" s="590">
        <f>Trend!BP28</f>
        <v>27772412</v>
      </c>
      <c r="BQ8" s="590">
        <f>Trend!BQ28</f>
        <v>27420646</v>
      </c>
      <c r="BR8" s="590">
        <f>Trend!BR28</f>
        <v>27389852</v>
      </c>
      <c r="BS8" s="590">
        <f>Trend!BS28</f>
        <v>26153082</v>
      </c>
      <c r="BT8" s="590">
        <f>Trend!BT28</f>
        <v>24495777</v>
      </c>
      <c r="BU8" s="590">
        <f>Trend!BU28</f>
        <v>27357755</v>
      </c>
      <c r="BV8" s="590">
        <f>Trend!BV28</f>
        <v>26798754</v>
      </c>
      <c r="BW8" s="590">
        <f>Trend!BW28</f>
        <v>26798752.52</v>
      </c>
      <c r="BX8" s="590">
        <f>Trend!BX28</f>
        <v>30867006</v>
      </c>
      <c r="BY8" s="590">
        <f>Trend!BY28</f>
        <v>25344162</v>
      </c>
      <c r="BZ8" s="590">
        <f>Trend!BZ28</f>
        <v>30618493</v>
      </c>
      <c r="CA8" s="590">
        <f>Trend!CA28</f>
        <v>26162355</v>
      </c>
      <c r="CB8" s="590">
        <f>Trend!CB28</f>
        <v>32755176</v>
      </c>
      <c r="CC8" s="590">
        <f>Trend!CC28</f>
        <v>33545089</v>
      </c>
      <c r="CD8" s="590">
        <f>Trend!CD28</f>
        <v>33829353</v>
      </c>
      <c r="CE8" s="590">
        <f>Trend!CE28</f>
        <v>33520751.23</v>
      </c>
      <c r="CF8" s="590">
        <f>Trend!CF28</f>
        <v>36163641.719999999</v>
      </c>
      <c r="CG8" s="590">
        <f>Trend!CG28</f>
        <v>34149048</v>
      </c>
      <c r="CH8" s="590">
        <f>Trend!CH28</f>
        <v>34248881.869999997</v>
      </c>
      <c r="CI8" s="590">
        <f>Trend!CI28</f>
        <v>30780080.989999998</v>
      </c>
      <c r="CJ8" s="590">
        <f>Trend!CJ28</f>
        <v>36226840.43</v>
      </c>
      <c r="CK8" s="590">
        <f>Trend!CK28</f>
        <v>35092536</v>
      </c>
      <c r="CL8" s="590">
        <f>Trend!CL28</f>
        <v>35675590.350000001</v>
      </c>
      <c r="CM8" s="590">
        <f>Trend!CM28</f>
        <v>34961927.259999998</v>
      </c>
      <c r="CN8" s="590">
        <f>Trend!CN28</f>
        <v>36238363</v>
      </c>
      <c r="CO8" s="590">
        <f>Trend!CO28</f>
        <v>35279534.549999997</v>
      </c>
      <c r="CP8" s="590">
        <f>Trend!CP28</f>
        <v>40183834.299999997</v>
      </c>
      <c r="CQ8" s="590">
        <f>Trend!CQ28</f>
        <v>35234293.469999999</v>
      </c>
      <c r="CR8" s="590">
        <f>Trend!CR28</f>
        <v>36706312</v>
      </c>
      <c r="CS8" s="590">
        <f>Trend!CS28</f>
        <v>37542852.659999996</v>
      </c>
      <c r="CT8" s="590">
        <f>Trend!CT28</f>
        <v>37542852.659999996</v>
      </c>
      <c r="CU8" s="590">
        <f>Trend!CU28</f>
        <v>37406572.539999999</v>
      </c>
      <c r="CV8" s="590">
        <f>Trend!CV28</f>
        <v>30684412.030000001</v>
      </c>
      <c r="CW8" s="590">
        <f>Trend!CW28</f>
        <v>42490600.719999999</v>
      </c>
      <c r="CX8" s="590">
        <f>Trend!CX28</f>
        <v>40356510.5</v>
      </c>
      <c r="CY8" s="590">
        <f>Trend!CY28</f>
        <v>44126736.200000003</v>
      </c>
      <c r="CZ8" s="590">
        <f>Trend!CZ28</f>
        <v>44833373.310000002</v>
      </c>
      <c r="DA8" s="590">
        <f>Trend!DA28</f>
        <v>44757038</v>
      </c>
      <c r="DB8" s="590">
        <f>Trend!DB28</f>
        <v>43973474</v>
      </c>
      <c r="DC8" s="590">
        <f>Trend!DC28</f>
        <v>45969817.990000002</v>
      </c>
      <c r="DD8" s="590">
        <f>Trend!DD28</f>
        <v>47515134.119999997</v>
      </c>
      <c r="DE8" s="590">
        <f>Trend!DE28</f>
        <v>48225265</v>
      </c>
      <c r="DF8" s="590">
        <f>Trend!DF28</f>
        <v>54158548.229999997</v>
      </c>
      <c r="DG8" s="590">
        <f>Trend!DG28</f>
        <v>44673424.009999998</v>
      </c>
      <c r="DH8" s="590">
        <f>Trend!DH28</f>
        <v>46899778.439999998</v>
      </c>
      <c r="DI8" s="590">
        <f>Trend!DI28</f>
        <v>43754700.850000001</v>
      </c>
      <c r="DJ8" s="590">
        <f>Trend!DJ28</f>
        <v>53205532</v>
      </c>
      <c r="DK8" s="590">
        <f>Trend!DK28</f>
        <v>47784079.890000001</v>
      </c>
      <c r="DL8" s="590">
        <f>Trend!DL28</f>
        <v>46326759.68</v>
      </c>
      <c r="DM8" s="590">
        <f>Trend!DM28</f>
        <v>47641336.969999999</v>
      </c>
      <c r="DN8" s="590">
        <f>Trend!DN28</f>
        <v>51852990.060000002</v>
      </c>
      <c r="DO8" s="590">
        <f>Trend!DO28</f>
        <v>46366799.579999998</v>
      </c>
      <c r="DP8" s="590">
        <f>Trend!DP28</f>
        <v>46819844.5</v>
      </c>
      <c r="DQ8" s="590">
        <f>Trend!DQ28</f>
        <v>46161312.039999999</v>
      </c>
      <c r="DR8" s="590">
        <f>Trend!DR28</f>
        <v>46858157.549999997</v>
      </c>
      <c r="DS8" s="590">
        <f>Trend!DS27</f>
        <v>401797390.31999999</v>
      </c>
      <c r="DT8" s="590">
        <f>Trend!DT27</f>
        <v>407089720.03999996</v>
      </c>
      <c r="DU8" s="590">
        <f>Trend!DU27</f>
        <v>415397367.10000002</v>
      </c>
      <c r="DV8" s="590">
        <f>Trend!DV28</f>
        <v>0</v>
      </c>
      <c r="DW8" s="590">
        <f>Trend!DW28</f>
        <v>42297148</v>
      </c>
      <c r="DX8" s="590"/>
      <c r="DY8" s="590"/>
      <c r="DZ8" s="590"/>
      <c r="EA8" s="590"/>
      <c r="EB8" s="590"/>
    </row>
    <row r="9" spans="1:132" ht="15" x14ac:dyDescent="0.25">
      <c r="A9" s="582">
        <v>4</v>
      </c>
      <c r="B9" s="583" t="s">
        <v>146</v>
      </c>
      <c r="C9" s="592">
        <f>Trend!C38</f>
        <v>0</v>
      </c>
      <c r="D9" s="592">
        <f>Trend!D38</f>
        <v>1000000</v>
      </c>
      <c r="E9" s="592">
        <f>Trend!E38</f>
        <v>0</v>
      </c>
      <c r="F9" s="592">
        <f>Trend!F38</f>
        <v>2870718</v>
      </c>
      <c r="G9" s="592">
        <f>Trend!G38</f>
        <v>560210</v>
      </c>
      <c r="H9" s="592">
        <f>Trend!H38</f>
        <v>4033865</v>
      </c>
      <c r="I9" s="592">
        <f>Trend!I38</f>
        <v>4033865</v>
      </c>
      <c r="J9" s="592">
        <f>Trend!J38</f>
        <v>8067730</v>
      </c>
      <c r="K9" s="592">
        <f>Trend!K38</f>
        <v>3884335</v>
      </c>
      <c r="L9" s="592">
        <f>Trend!L38</f>
        <v>3884335</v>
      </c>
      <c r="M9" s="592">
        <f>Trend!M38</f>
        <v>3724529</v>
      </c>
      <c r="N9" s="592">
        <f>Trend!N38</f>
        <v>3724529</v>
      </c>
      <c r="O9" s="592">
        <f>Trend!O38</f>
        <v>3724529</v>
      </c>
      <c r="P9" s="592">
        <f>Trend!P38</f>
        <v>3365209</v>
      </c>
      <c r="Q9" s="592">
        <f>Trend!Q38</f>
        <v>3250954</v>
      </c>
      <c r="R9" s="592">
        <f>Trend!R38</f>
        <v>3250954</v>
      </c>
      <c r="S9" s="592">
        <f>Trend!S38</f>
        <v>3250954</v>
      </c>
      <c r="T9" s="592">
        <f>Trend!T38</f>
        <v>3250954</v>
      </c>
      <c r="U9" s="592">
        <f>Trend!U38</f>
        <v>2262103</v>
      </c>
      <c r="V9" s="592">
        <f>Trend!V38</f>
        <v>2073269</v>
      </c>
      <c r="W9" s="592">
        <f>Trend!W38</f>
        <v>2262103</v>
      </c>
      <c r="X9" s="592">
        <f>Trend!X38</f>
        <v>2262103</v>
      </c>
      <c r="Y9" s="592">
        <f>Trend!Y38</f>
        <v>2262103</v>
      </c>
      <c r="Z9" s="592">
        <f>Trend!Z38</f>
        <v>1896774</v>
      </c>
      <c r="AA9" s="592">
        <f>Trend!AA38</f>
        <v>1896774</v>
      </c>
      <c r="AB9" s="592">
        <f>Trend!AB38</f>
        <v>1896774</v>
      </c>
      <c r="AC9" s="592">
        <f>Trend!AC38</f>
        <v>1896774</v>
      </c>
      <c r="AD9" s="592">
        <f>Trend!AD38</f>
        <v>1896774</v>
      </c>
      <c r="AE9" s="592">
        <f>Trend!AE38</f>
        <v>1896774</v>
      </c>
      <c r="AF9" s="592">
        <f>Trend!AF38</f>
        <v>1896774</v>
      </c>
      <c r="AG9" s="592">
        <f>Trend!AG38</f>
        <v>776826</v>
      </c>
      <c r="AH9" s="592">
        <f>Trend!AH38</f>
        <v>0</v>
      </c>
      <c r="AI9" s="592">
        <f>Trend!AI38</f>
        <v>0</v>
      </c>
      <c r="AJ9" s="592">
        <f>Trend!AJ38</f>
        <v>0</v>
      </c>
      <c r="AK9" s="592">
        <f>Trend!AK38</f>
        <v>0</v>
      </c>
      <c r="AL9" s="592">
        <f>Trend!AL38</f>
        <v>0</v>
      </c>
      <c r="AM9" s="592">
        <f>Trend!AM38</f>
        <v>0</v>
      </c>
      <c r="AN9" s="592">
        <f>Trend!AN38</f>
        <v>0</v>
      </c>
      <c r="AO9" s="592">
        <f>Trend!AO38</f>
        <v>1896774</v>
      </c>
      <c r="AP9" s="592">
        <f>Trend!AP38</f>
        <v>0</v>
      </c>
      <c r="AQ9" s="592">
        <f>Trend!AQ38</f>
        <v>0</v>
      </c>
      <c r="AR9" s="592">
        <f>Trend!AR38</f>
        <v>0</v>
      </c>
      <c r="AS9" s="592">
        <f>Trend!AS38</f>
        <v>0</v>
      </c>
      <c r="AT9" s="592">
        <f>Trend!AT38</f>
        <v>0</v>
      </c>
      <c r="AU9" s="592">
        <f>Trend!AU38</f>
        <v>0</v>
      </c>
      <c r="AV9" s="592">
        <f>Trend!AV38</f>
        <v>0</v>
      </c>
      <c r="AW9" s="592">
        <f>Trend!AW38</f>
        <v>0</v>
      </c>
      <c r="AX9" s="592">
        <f>Trend!AX38</f>
        <v>0</v>
      </c>
      <c r="AY9" s="592">
        <f>Trend!AY38</f>
        <v>0</v>
      </c>
      <c r="AZ9" s="592">
        <f>Trend!AZ38</f>
        <v>0</v>
      </c>
      <c r="BA9" s="592">
        <f>Trend!BA38</f>
        <v>0</v>
      </c>
      <c r="BB9" s="592">
        <f>Trend!BB38</f>
        <v>0</v>
      </c>
      <c r="BC9" s="592">
        <f>Trend!BC38</f>
        <v>0</v>
      </c>
      <c r="BD9" s="592">
        <f>Trend!BD38</f>
        <v>0</v>
      </c>
      <c r="BE9" s="592">
        <f>Trend!BE38</f>
        <v>0</v>
      </c>
      <c r="BF9" s="592">
        <f>Trend!BF38</f>
        <v>0</v>
      </c>
      <c r="BG9" s="592">
        <f>Trend!BG38</f>
        <v>0</v>
      </c>
      <c r="BH9" s="592">
        <f>Trend!BH38</f>
        <v>0</v>
      </c>
      <c r="BI9" s="592">
        <f>Trend!BI38</f>
        <v>0</v>
      </c>
      <c r="BJ9" s="592">
        <f>Trend!BJ38</f>
        <v>0</v>
      </c>
      <c r="BK9" s="592">
        <f>Trend!BK38</f>
        <v>0</v>
      </c>
      <c r="BL9" s="592">
        <f>Trend!BL38</f>
        <v>0</v>
      </c>
      <c r="BM9" s="592">
        <f>Trend!BM38</f>
        <v>0</v>
      </c>
      <c r="BN9" s="592">
        <f>Trend!BN38</f>
        <v>0</v>
      </c>
      <c r="BO9" s="592">
        <f>Trend!BO38</f>
        <v>0</v>
      </c>
      <c r="BP9" s="592">
        <f>Trend!BP38</f>
        <v>0</v>
      </c>
      <c r="BQ9" s="592">
        <f>Trend!BQ38</f>
        <v>0</v>
      </c>
      <c r="BR9" s="592">
        <f>Trend!BR38</f>
        <v>0</v>
      </c>
      <c r="BS9" s="592">
        <f>Trend!BS38</f>
        <v>0</v>
      </c>
      <c r="BT9" s="592">
        <f>Trend!BT38</f>
        <v>0</v>
      </c>
      <c r="BU9" s="592">
        <f>Trend!BU38</f>
        <v>5500000</v>
      </c>
      <c r="BV9" s="592">
        <f>Trend!BV38</f>
        <v>5347222</v>
      </c>
      <c r="BW9" s="592">
        <f>Trend!BW38</f>
        <v>5347222</v>
      </c>
      <c r="BX9" s="592">
        <f>Trend!BX38</f>
        <v>5347222</v>
      </c>
      <c r="BY9" s="592">
        <f>Trend!BY38</f>
        <v>5041666</v>
      </c>
      <c r="BZ9" s="592">
        <f>Trend!BZ38</f>
        <v>4888888</v>
      </c>
      <c r="CA9" s="592">
        <f>Trend!CA38</f>
        <v>4736110</v>
      </c>
      <c r="CB9" s="592">
        <f>Trend!CB38</f>
        <v>4583332</v>
      </c>
      <c r="CC9" s="592">
        <f>Trend!CC38</f>
        <v>4430500</v>
      </c>
      <c r="CD9" s="592">
        <f>Trend!CD38</f>
        <v>4268269</v>
      </c>
      <c r="CE9" s="592">
        <f>Trend!CE38</f>
        <v>4067710</v>
      </c>
      <c r="CF9" s="592">
        <f>Trend!CF38</f>
        <v>3852835</v>
      </c>
      <c r="CG9" s="592">
        <f>Trend!CG38</f>
        <v>13701781</v>
      </c>
      <c r="CH9" s="592">
        <f>Trend!CH38</f>
        <v>13532843.300000001</v>
      </c>
      <c r="CI9" s="592">
        <f>Trend!CI38</f>
        <v>0</v>
      </c>
      <c r="CJ9" s="592">
        <f>Trend!CJ38</f>
        <v>13317968</v>
      </c>
      <c r="CK9" s="592">
        <f>Trend!CK38</f>
        <v>12256156</v>
      </c>
      <c r="CL9" s="592">
        <f>Trend!CL38</f>
        <v>12084076</v>
      </c>
      <c r="CM9" s="592">
        <f>Trend!CM38</f>
        <v>11869201</v>
      </c>
      <c r="CN9" s="592">
        <f>Trend!CN38</f>
        <v>10935639</v>
      </c>
      <c r="CO9" s="592">
        <f>Trend!CO38</f>
        <v>10781446</v>
      </c>
      <c r="CP9" s="592">
        <f>Trend!CP38</f>
        <v>10626229</v>
      </c>
      <c r="CQ9" s="592">
        <f>Trend!CQ38</f>
        <v>9564417</v>
      </c>
      <c r="CR9" s="592">
        <f>Trend!CR38</f>
        <v>9369317</v>
      </c>
      <c r="CS9" s="592">
        <f>Trend!CS38</f>
        <v>8969554</v>
      </c>
      <c r="CT9" s="592">
        <f>Trend!CT38</f>
        <v>9184429</v>
      </c>
      <c r="CU9" s="592">
        <f>Trend!CU38</f>
        <v>7930131</v>
      </c>
      <c r="CV9" s="592">
        <f>Trend!CV38</f>
        <v>7752577</v>
      </c>
      <c r="CW9" s="592">
        <f>Trend!CW38</f>
        <v>7752577</v>
      </c>
      <c r="CX9" s="592">
        <f>Trend!CX38</f>
        <v>6674015</v>
      </c>
      <c r="CY9" s="592">
        <f>Trend!CY38</f>
        <v>6492640</v>
      </c>
      <c r="CZ9" s="592">
        <f>Trend!CZ38</f>
        <v>6313114.6600000001</v>
      </c>
      <c r="DA9" s="592">
        <f>Trend!DA38</f>
        <v>5251302.66</v>
      </c>
      <c r="DB9" s="592">
        <f>Trend!DB38</f>
        <v>5040426.92</v>
      </c>
      <c r="DC9" s="592">
        <f>Trend!DC38</f>
        <v>14825551.92</v>
      </c>
      <c r="DD9" s="592">
        <f>Trend!DD38</f>
        <v>13487614.92</v>
      </c>
      <c r="DE9" s="592">
        <f>Trend!DE38</f>
        <v>12781739.92</v>
      </c>
      <c r="DF9" s="592">
        <f>Trend!DF38</f>
        <v>12075864.92</v>
      </c>
      <c r="DG9" s="592">
        <f>Trend!DG38</f>
        <v>11228927.92</v>
      </c>
      <c r="DH9" s="592">
        <f>Trend!DH38</f>
        <v>10543180</v>
      </c>
      <c r="DI9" s="592">
        <f>Trend!DI38</f>
        <v>12162420.32</v>
      </c>
      <c r="DJ9" s="592">
        <f>Trend!DJ38</f>
        <v>12092325</v>
      </c>
      <c r="DK9" s="592">
        <f>Trend!DK38</f>
        <v>10681515.98</v>
      </c>
      <c r="DL9" s="592">
        <f>Trend!DL38</f>
        <v>10681515.98</v>
      </c>
      <c r="DM9" s="592">
        <f>Trend!DM38</f>
        <v>7182065.3200000003</v>
      </c>
      <c r="DN9" s="592">
        <f>Trend!DN38</f>
        <v>6691065.3200000003</v>
      </c>
      <c r="DO9" s="592">
        <f>Trend!DO38</f>
        <v>7318252.3200000003</v>
      </c>
      <c r="DP9" s="592">
        <f>Trend!DP38</f>
        <v>7012352.3200000003</v>
      </c>
      <c r="DQ9" s="592">
        <f>Trend!DQ38</f>
        <v>6661352.3200000003</v>
      </c>
      <c r="DR9" s="592">
        <f>Trend!DR38</f>
        <v>6607372</v>
      </c>
      <c r="DS9" s="592">
        <f>Trend!DS38</f>
        <v>6607372</v>
      </c>
      <c r="DT9" s="592">
        <f>Trend!DT38</f>
        <v>5627372</v>
      </c>
      <c r="DU9" s="592">
        <f>Trend!DU38</f>
        <v>5602949</v>
      </c>
      <c r="DV9" s="592">
        <f>Trend!DV38</f>
        <v>0</v>
      </c>
      <c r="DW9" s="592">
        <f>Trend!DW38</f>
        <v>5845335</v>
      </c>
      <c r="DX9" s="592"/>
      <c r="DY9" s="592"/>
      <c r="DZ9" s="592"/>
      <c r="EA9" s="592"/>
      <c r="EB9" s="592"/>
    </row>
    <row r="10" spans="1:132" s="63" customFormat="1" ht="15" x14ac:dyDescent="0.25">
      <c r="A10" s="593">
        <v>4.0999999999999996</v>
      </c>
      <c r="B10" s="594" t="s">
        <v>147</v>
      </c>
      <c r="C10" s="595">
        <f>Trend!C33+Trend!C34+Trend!C35+Trend!C37</f>
        <v>756201</v>
      </c>
      <c r="D10" s="595">
        <f>Trend!D33+Trend!D34+Trend!D35+Trend!D37</f>
        <v>1092982</v>
      </c>
      <c r="E10" s="595">
        <f>Trend!E33+Trend!E34+Trend!E35+Trend!E37</f>
        <v>1853609</v>
      </c>
      <c r="F10" s="595">
        <f>Trend!F33+Trend!F34+Trend!F35+Trend!F37</f>
        <v>3794239</v>
      </c>
      <c r="G10" s="595">
        <f>Trend!G33+Trend!G34+Trend!G35+Trend!G37</f>
        <v>2398143</v>
      </c>
      <c r="H10" s="595">
        <f>Trend!H33+Trend!H34+Trend!H35+Trend!H37</f>
        <v>0</v>
      </c>
      <c r="I10" s="595">
        <f>Trend!I33+Trend!I34+Trend!I35+Trend!I37</f>
        <v>3300600</v>
      </c>
      <c r="J10" s="595">
        <f>Trend!J33+Trend!J34+Trend!J35+Trend!J37</f>
        <v>117393.35</v>
      </c>
      <c r="K10" s="595">
        <f>Trend!K33+Trend!K34+Trend!K35+Trend!K37</f>
        <v>235081.16</v>
      </c>
      <c r="L10" s="595">
        <f>Trend!L33+Trend!L34+Trend!L35+Trend!L37</f>
        <v>408076.62</v>
      </c>
      <c r="M10" s="595">
        <f>Trend!M33+Trend!M34+Trend!M35+Trend!M37</f>
        <v>539318.92999999993</v>
      </c>
      <c r="N10" s="595">
        <f>Trend!N33+Trend!N34+Trend!N35+Trend!N37</f>
        <v>-2596186.41</v>
      </c>
      <c r="O10" s="595">
        <f>Trend!O33+Trend!O34+Trend!O35+Trend!O37</f>
        <v>-2483253.2400000002</v>
      </c>
      <c r="P10" s="595">
        <f>Trend!P33+Trend!P34+Trend!P35+Trend!P37</f>
        <v>-2379070.91</v>
      </c>
      <c r="Q10" s="595">
        <f>Trend!Q33+Trend!Q34+Trend!Q35+Trend!Q37</f>
        <v>-2275372.7999999998</v>
      </c>
      <c r="R10" s="595">
        <f>Trend!R33+Trend!R34+Trend!R35+Trend!R37</f>
        <v>-2135635.33</v>
      </c>
      <c r="S10" s="595">
        <f>Trend!S33+Trend!S34+Trend!S35+Trend!S37</f>
        <v>-1994411.87</v>
      </c>
      <c r="T10" s="595">
        <f>Trend!T33+Trend!T34+Trend!T35+Trend!T37</f>
        <v>-1863114.53</v>
      </c>
      <c r="U10" s="595">
        <f>Trend!U33+Trend!U34+Trend!U35+Trend!U37</f>
        <v>25987</v>
      </c>
      <c r="V10" s="595">
        <f>Trend!V33+Trend!V34+Trend!V35+Trend!V37</f>
        <v>4548239</v>
      </c>
      <c r="W10" s="595">
        <f>Trend!W33+Trend!W34+Trend!W35+Trend!W37</f>
        <v>167054.26999999999</v>
      </c>
      <c r="X10" s="595">
        <f>Trend!X33+Trend!X34+Trend!X35+Trend!X37</f>
        <v>285225.53999999998</v>
      </c>
      <c r="Y10" s="595">
        <f>Trend!Y33+Trend!Y34+Trend!Y35+Trend!Y37</f>
        <v>568971.85</v>
      </c>
      <c r="Z10" s="595">
        <f>Trend!Z33+Trend!Z34+Trend!Z35+Trend!Z37</f>
        <v>715107.24</v>
      </c>
      <c r="AA10" s="595">
        <f>Trend!AA33+Trend!AA34+Trend!AA35+Trend!AA37</f>
        <v>847232.81</v>
      </c>
      <c r="AB10" s="595">
        <f>Trend!AB33+Trend!AB34+Trend!AB35+Trend!AB37</f>
        <v>812223.63</v>
      </c>
      <c r="AC10" s="595">
        <f>Trend!AC33+Trend!AC34+Trend!AC35+Trend!AC37</f>
        <v>1065601.73</v>
      </c>
      <c r="AD10" s="595">
        <f>Trend!AD33+Trend!AD34+Trend!AD35+Trend!AD37</f>
        <v>1168758.92</v>
      </c>
      <c r="AE10" s="595">
        <f>Trend!AE33+Trend!AE34+Trend!AE35+Trend!AE37</f>
        <v>1292131.18</v>
      </c>
      <c r="AF10" s="595">
        <f>Trend!AF33+Trend!AF34+Trend!AF35+Trend!AF37</f>
        <v>226092.65</v>
      </c>
      <c r="AG10" s="595">
        <f>Trend!AG33+Trend!AG34+Trend!AG35+Trend!AG37</f>
        <v>361295.35</v>
      </c>
      <c r="AH10" s="595">
        <f>Trend!AH33+Trend!AH34+Trend!AH35+Trend!AH37</f>
        <v>497729.28000000003</v>
      </c>
      <c r="AI10" s="595">
        <f>Trend!AI33+Trend!AI34+Trend!AI35+Trend!AI37</f>
        <v>6531982</v>
      </c>
      <c r="AJ10" s="595">
        <f>Trend!AJ33+Trend!AJ34+Trend!AJ35+Trend!AJ37</f>
        <v>6531982</v>
      </c>
      <c r="AK10" s="595">
        <f>Trend!AK33+Trend!AK34+Trend!AK35+Trend!AK37</f>
        <v>0</v>
      </c>
      <c r="AL10" s="595">
        <f>Trend!AL33+Trend!AL34+Trend!AL35+Trend!AL37</f>
        <v>272405.46000000002</v>
      </c>
      <c r="AM10" s="595">
        <f>Trend!AM33+Trend!AM34+Trend!AM35+Trend!AM37</f>
        <v>230136.46</v>
      </c>
      <c r="AN10" s="595">
        <f>Trend!AN33+Trend!AN34+Trend!AN35+Trend!AN37</f>
        <v>567458.98</v>
      </c>
      <c r="AO10" s="595">
        <f>Trend!AO33+Trend!AO34+Trend!AO35+Trend!AO37</f>
        <v>847232.81</v>
      </c>
      <c r="AP10" s="595">
        <f>Trend!AP33+Trend!AP34+Trend!AP35+Trend!AP37</f>
        <v>893911.4</v>
      </c>
      <c r="AQ10" s="595">
        <f>Trend!AQ33+Trend!AQ34+Trend!AQ35+Trend!AQ37</f>
        <v>1373080.66</v>
      </c>
      <c r="AR10" s="595">
        <f>Trend!AR33+Trend!AR34+Trend!AR35+Trend!AR37</f>
        <v>1529846.42</v>
      </c>
      <c r="AS10" s="595">
        <f>Trend!AS33+Trend!AS34+Trend!AS35+Trend!AS37</f>
        <v>1735561.2</v>
      </c>
      <c r="AT10" s="595">
        <f>Trend!AT33+Trend!AT34+Trend!AT35+Trend!AT37</f>
        <v>0</v>
      </c>
      <c r="AU10" s="595">
        <f>Trend!AU33+Trend!AU34+Trend!AU35+Trend!AU37</f>
        <v>2034220.9</v>
      </c>
      <c r="AV10" s="595">
        <f>Trend!AV33+Trend!AV34+Trend!AV35+Trend!AV37</f>
        <v>63416328.579999998</v>
      </c>
      <c r="AW10" s="595">
        <f>Trend!AW33+Trend!AW34+Trend!AW35+Trend!AW37</f>
        <v>6612189</v>
      </c>
      <c r="AX10" s="595">
        <f>Trend!AX33+Trend!AX34+Trend!AX35+Trend!AX37</f>
        <v>0</v>
      </c>
      <c r="AY10" s="595">
        <f>Trend!AY33+Trend!AY34+Trend!AY35+Trend!AY37</f>
        <v>0</v>
      </c>
      <c r="AZ10" s="595">
        <f>Trend!AZ33+Trend!AZ34+Trend!AZ35+Trend!AZ37</f>
        <v>-64080553.770000003</v>
      </c>
      <c r="BA10" s="595">
        <f>Trend!BA33+Trend!BA34+Trend!BA35+Trend!BA37</f>
        <v>-128486827.62</v>
      </c>
      <c r="BB10" s="595">
        <f>Trend!BB33+Trend!BB34+Trend!BB35+Trend!BB37</f>
        <v>5730507</v>
      </c>
      <c r="BC10" s="595">
        <f>Trend!BC33+Trend!BC34+Trend!BC35+Trend!BC37</f>
        <v>30465730</v>
      </c>
      <c r="BD10" s="595">
        <f>Trend!BD33+Trend!BD34+Trend!BD35+Trend!BD37</f>
        <v>3501403</v>
      </c>
      <c r="BE10" s="595">
        <f>Trend!BE33+Trend!BE34+Trend!BE35+Trend!BE37</f>
        <v>0</v>
      </c>
      <c r="BF10" s="595">
        <f>Trend!BF33+Trend!BF34+Trend!BF35+Trend!BF37</f>
        <v>0</v>
      </c>
      <c r="BG10" s="595">
        <f>Trend!BG33+Trend!BG34+Trend!BG35+Trend!BG37</f>
        <v>0</v>
      </c>
      <c r="BH10" s="595">
        <f>Trend!BH33+Trend!BH34+Trend!BH35+Trend!BH37</f>
        <v>0</v>
      </c>
      <c r="BI10" s="595">
        <f>Trend!BI33+Trend!BI34+Trend!BI35+Trend!BI37</f>
        <v>0</v>
      </c>
      <c r="BJ10" s="595">
        <f>Trend!BJ33+Trend!BJ34+Trend!BJ35+Trend!BJ37</f>
        <v>10079021.199999999</v>
      </c>
      <c r="BK10" s="595">
        <f>Trend!BK33+Trend!BK34+Trend!BK35+Trend!BK37</f>
        <v>10110854</v>
      </c>
      <c r="BL10" s="595">
        <f>Trend!BL33+Trend!BL34+Trend!BL35+Trend!BL37</f>
        <v>7585315</v>
      </c>
      <c r="BM10" s="595">
        <f>Trend!BM33+Trend!BM34+Trend!BM35+Trend!BM37</f>
        <v>0</v>
      </c>
      <c r="BN10" s="595">
        <f>Trend!BN33+Trend!BN34+Trend!BN35+Trend!BN37</f>
        <v>0</v>
      </c>
      <c r="BO10" s="595">
        <f>Trend!BO33+Trend!BO34+Trend!BO35+Trend!BO37</f>
        <v>0</v>
      </c>
      <c r="BP10" s="595">
        <f>Trend!BP33+Trend!BP34+Trend!BP35+Trend!BP37</f>
        <v>0</v>
      </c>
      <c r="BQ10" s="595">
        <f>Trend!BQ33+Trend!BQ34+Trend!BQ35+Trend!BQ37</f>
        <v>0</v>
      </c>
      <c r="BR10" s="595">
        <f>Trend!BR33+Trend!BR34+Trend!BR35+Trend!BR37</f>
        <v>0</v>
      </c>
      <c r="BS10" s="595">
        <f>Trend!BS33+Trend!BS34+Trend!BS35+Trend!BS37</f>
        <v>0</v>
      </c>
      <c r="BT10" s="595">
        <f>Trend!BT33+Trend!BT34+Trend!BT35+Trend!BT37</f>
        <v>0</v>
      </c>
      <c r="BU10" s="595">
        <f>Trend!BU33+Trend!BU34+Trend!BU35+Trend!BU37</f>
        <v>0</v>
      </c>
      <c r="BV10" s="595">
        <f>Trend!BV33+Trend!BV34+Trend!BV35+Trend!BV37</f>
        <v>4987838</v>
      </c>
      <c r="BW10" s="595">
        <f>Trend!BW33+Trend!BW34+Trend!BW35+Trend!BW37</f>
        <v>23618338.129999999</v>
      </c>
      <c r="BX10" s="595">
        <f>Trend!BX33+Trend!BX34+Trend!BX35+Trend!BX37</f>
        <v>0</v>
      </c>
      <c r="BY10" s="595">
        <f>Trend!BY33+Trend!BY34+Trend!BY35+Trend!BY37</f>
        <v>2116369</v>
      </c>
      <c r="BZ10" s="595">
        <f>Trend!BZ33+Trend!BZ34+Trend!BZ35+Trend!BZ37</f>
        <v>2276468</v>
      </c>
      <c r="CA10" s="595">
        <f>Trend!CA33+Trend!CA34+Trend!CA35+Trend!CA37</f>
        <v>2076468</v>
      </c>
      <c r="CB10" s="595">
        <f>Trend!CB33+Trend!CB34+Trend!CB35+Trend!CB37</f>
        <v>1771961</v>
      </c>
      <c r="CC10" s="595">
        <f>Trend!CC33+Trend!CC34+Trend!CC35+Trend!CC37</f>
        <v>1771961</v>
      </c>
      <c r="CD10" s="595">
        <f>Trend!CD33+Trend!CD34+Trend!CD35+Trend!CD37</f>
        <v>1795603</v>
      </c>
      <c r="CE10" s="595">
        <f>Trend!CE33+Trend!CE34+Trend!CE35+Trend!CE37</f>
        <v>1796615</v>
      </c>
      <c r="CF10" s="595">
        <f>Trend!CF33+Trend!CF34+Trend!CF35+Trend!CF37</f>
        <v>1829767.88</v>
      </c>
      <c r="CG10" s="595">
        <f>Trend!CG33+Trend!CG34+Trend!CG35+Trend!CG37</f>
        <v>1840835.5</v>
      </c>
      <c r="CH10" s="595">
        <f>Trend!CH33+Trend!CH34+Trend!CH35+Trend!CH37</f>
        <v>1764496.09</v>
      </c>
      <c r="CI10" s="595">
        <f>Trend!CI33+Trend!CI34+Trend!CI35+Trend!CI37</f>
        <v>1722240</v>
      </c>
      <c r="CJ10" s="595">
        <f>Trend!CJ33+Trend!CJ34+Trend!CJ35+Trend!CJ37</f>
        <v>14016397.68</v>
      </c>
      <c r="CK10" s="595">
        <f>Trend!CK33+Trend!CK34+Trend!CK35+Trend!CK37</f>
        <v>14277436.245999999</v>
      </c>
      <c r="CL10" s="595">
        <f>Trend!CL33+Trend!CL34+Trend!CL35+Trend!CL37</f>
        <v>13742375.875999998</v>
      </c>
      <c r="CM10" s="595">
        <f>Trend!CM33+Trend!CM34+Trend!CM35+Trend!CM37</f>
        <v>2409370.4500000002</v>
      </c>
      <c r="CN10" s="595">
        <f>Trend!CN33+Trend!CN34+Trend!CN35+Trend!CN37</f>
        <v>2295327.2060000002</v>
      </c>
      <c r="CO10" s="595">
        <f>Trend!CO33+Trend!CO34+Trend!CO35+Trend!CO37</f>
        <v>1730259</v>
      </c>
      <c r="CP10" s="595">
        <f>Trend!CP33+Trend!CP34+Trend!CP35+Trend!CP37</f>
        <v>1820433</v>
      </c>
      <c r="CQ10" s="595">
        <f>Trend!CQ33+Trend!CQ34+Trend!CQ35+Trend!CQ37</f>
        <v>1884155.02</v>
      </c>
      <c r="CR10" s="595">
        <f>Trend!CR33+Trend!CR34+Trend!CR35+Trend!CR37</f>
        <v>1754651</v>
      </c>
      <c r="CS10" s="595">
        <f>Trend!CS33+Trend!CS34+Trend!CS35+Trend!CS37</f>
        <v>1849421.62</v>
      </c>
      <c r="CT10" s="595">
        <f>Trend!CT33+Trend!CT34+Trend!CT35+Trend!CT37</f>
        <v>1809947.45</v>
      </c>
      <c r="CU10" s="595">
        <f>Trend!CU33+Trend!CU34+Trend!CU35+Trend!CU37</f>
        <v>1747750.44</v>
      </c>
      <c r="CV10" s="595">
        <f>Trend!CV33+Trend!CV34+Trend!CV35+Trend!CV37</f>
        <v>2591359.2000000002</v>
      </c>
      <c r="CW10" s="595">
        <f>Trend!CW33+Trend!CW34+Trend!CW35+Trend!CW37</f>
        <v>18356319.140000001</v>
      </c>
      <c r="CX10" s="595">
        <f>Trend!CX33+Trend!CX34+Trend!CX35+Trend!CX37</f>
        <v>17952519.140000001</v>
      </c>
      <c r="CY10" s="595">
        <f>Trend!CY33+Trend!CY34+Trend!CY35+Trend!CY37</f>
        <v>17576196.390000001</v>
      </c>
      <c r="CZ10" s="595">
        <f>Trend!CZ33+Trend!CZ34+Trend!CZ35+Trend!CZ37</f>
        <v>3423529.05</v>
      </c>
      <c r="DA10" s="595">
        <f>Trend!DA33+Trend!DA34+Trend!DA35+Trend!DA37</f>
        <v>2468343.5299999998</v>
      </c>
      <c r="DB10" s="595">
        <f>Trend!DB33+Trend!DB34+Trend!DB35+Trend!DB37</f>
        <v>2086577.4</v>
      </c>
      <c r="DC10" s="595">
        <f>Trend!DC33+Trend!DC34+Trend!DC35+Trend!DC37</f>
        <v>1382770.4</v>
      </c>
      <c r="DD10" s="595">
        <f>Trend!DD33+Trend!DD34+Trend!DD35+Trend!DD37</f>
        <v>1447013.61</v>
      </c>
      <c r="DE10" s="595">
        <f>Trend!DE33+Trend!DE34+Trend!DE35+Trend!DE37</f>
        <v>1511186.8299999998</v>
      </c>
      <c r="DF10" s="595">
        <f>Trend!DF33+Trend!DF34+Trend!DF35+Trend!DF37</f>
        <v>1526520.01</v>
      </c>
      <c r="DG10" s="595">
        <f>Trend!DG33+Trend!DG34+Trend!DG35+Trend!DG37</f>
        <v>1410026.5999999999</v>
      </c>
      <c r="DH10" s="595">
        <f>Trend!DH33+Trend!DH34+Trend!DH35+Trend!DH37</f>
        <v>1448100.94</v>
      </c>
      <c r="DI10" s="595">
        <f>Trend!DI33+Trend!DI34+Trend!DI35+Trend!DI37</f>
        <v>23239536.960000001</v>
      </c>
      <c r="DJ10" s="595">
        <f>Trend!DJ33+Trend!DJ34+Trend!DJ35+Trend!DJ37</f>
        <v>23248938</v>
      </c>
      <c r="DK10" s="595">
        <f>Trend!DK33+Trend!DK34+Trend!DK35+Trend!DK37</f>
        <v>23043000.020000003</v>
      </c>
      <c r="DL10" s="595">
        <f>Trend!DL33+Trend!DL34+Trend!DL35+Trend!DL37</f>
        <v>23212575.450000003</v>
      </c>
      <c r="DM10" s="595">
        <f>Trend!DM33+Trend!DM34+Trend!DM35+Trend!DM37</f>
        <v>2576912.48</v>
      </c>
      <c r="DN10" s="595">
        <f>Trend!DN33+Trend!DN34+Trend!DN35+Trend!DN37</f>
        <v>1756141.74</v>
      </c>
      <c r="DO10" s="595">
        <f>Trend!DO33+Trend!DO34+Trend!DO35+Trend!DO37</f>
        <v>1756141.74</v>
      </c>
      <c r="DP10" s="595">
        <f>Trend!DP33+Trend!DP34+Trend!DP35+Trend!DP37</f>
        <v>1685208.43</v>
      </c>
      <c r="DQ10" s="595">
        <f>Trend!DQ33+Trend!DQ34+Trend!DQ35+Trend!DQ37</f>
        <v>1543337.27</v>
      </c>
      <c r="DR10" s="595">
        <f>Trend!DR33+Trend!DR34+Trend!DR35+Trend!DR37</f>
        <v>1553728.48</v>
      </c>
      <c r="DS10" s="595">
        <f>Trend!DS33+Trend!DS34+Trend!DS36+Trend!DS38</f>
        <v>6824172</v>
      </c>
      <c r="DT10" s="595">
        <f>Trend!DT33+Trend!DT34+Trend!DT36+Trend!DT38</f>
        <v>5844172</v>
      </c>
      <c r="DU10" s="595">
        <f>Trend!DU33+Trend!DU34+Trend!DU36+Trend!DU38</f>
        <v>5819749</v>
      </c>
      <c r="DV10" s="595">
        <f>Trend!DV33+Trend!DV34+Trend!DV35+Trend!DV37</f>
        <v>0</v>
      </c>
      <c r="DW10" s="595">
        <f>Trend!DW33+Trend!DW34+Trend!DW35+Trend!DW37</f>
        <v>26513232</v>
      </c>
      <c r="DX10" s="595"/>
      <c r="DY10" s="595"/>
      <c r="DZ10" s="595"/>
      <c r="EA10" s="595"/>
      <c r="EB10" s="595"/>
    </row>
    <row r="11" spans="1:132" ht="15" x14ac:dyDescent="0.25">
      <c r="A11" s="596"/>
      <c r="B11" s="597"/>
      <c r="C11" s="598"/>
      <c r="D11" s="598"/>
      <c r="E11" s="598"/>
      <c r="F11" s="598"/>
      <c r="G11" s="598"/>
      <c r="H11" s="598"/>
      <c r="I11" s="598"/>
      <c r="J11" s="598"/>
      <c r="K11" s="598"/>
      <c r="L11" s="598"/>
      <c r="M11" s="598"/>
      <c r="N11" s="598"/>
      <c r="O11" s="598"/>
      <c r="P11" s="598"/>
      <c r="Q11" s="598"/>
      <c r="R11" s="598"/>
      <c r="S11" s="598"/>
      <c r="T11" s="598"/>
      <c r="U11" s="598"/>
      <c r="V11" s="598"/>
      <c r="W11" s="598"/>
      <c r="X11" s="598"/>
      <c r="Y11" s="598"/>
      <c r="Z11" s="598"/>
      <c r="AA11" s="598"/>
      <c r="AB11" s="598"/>
      <c r="AC11" s="598"/>
      <c r="AD11" s="598"/>
      <c r="AE11" s="598"/>
      <c r="AF11" s="598"/>
      <c r="AG11" s="598"/>
      <c r="AH11" s="598"/>
      <c r="AI11" s="598"/>
      <c r="AJ11" s="598"/>
      <c r="AK11" s="598"/>
      <c r="AL11" s="598"/>
      <c r="AM11" s="598"/>
      <c r="AN11" s="598"/>
      <c r="AO11" s="598"/>
      <c r="AP11" s="598"/>
      <c r="AQ11" s="598"/>
      <c r="AR11" s="598"/>
      <c r="AS11" s="598"/>
      <c r="AT11" s="598"/>
      <c r="AU11" s="598"/>
      <c r="AV11" s="598"/>
      <c r="AW11" s="598"/>
      <c r="AX11" s="598"/>
      <c r="AY11" s="598"/>
      <c r="AZ11" s="598"/>
      <c r="BA11" s="598"/>
      <c r="BB11" s="573"/>
      <c r="BC11" s="573"/>
      <c r="BD11" s="573"/>
      <c r="BE11" s="573"/>
      <c r="BF11" s="573"/>
      <c r="BG11" s="573"/>
      <c r="BH11" s="573"/>
      <c r="BI11" s="573"/>
      <c r="BJ11" s="573"/>
      <c r="BK11" s="573"/>
      <c r="BL11" s="573"/>
      <c r="BM11" s="573"/>
      <c r="BN11" s="573"/>
      <c r="BO11" s="573"/>
      <c r="BP11" s="573"/>
      <c r="BQ11" s="573"/>
      <c r="BR11" s="573"/>
      <c r="BS11" s="573"/>
      <c r="BT11" s="573"/>
      <c r="BU11" s="573"/>
      <c r="BV11" s="573"/>
      <c r="BW11" s="573"/>
      <c r="BX11" s="573"/>
      <c r="BY11" s="573"/>
      <c r="BZ11" s="573"/>
      <c r="CA11" s="573"/>
      <c r="CB11" s="573"/>
      <c r="CC11" s="573"/>
      <c r="CD11" s="573"/>
      <c r="CE11" s="573"/>
      <c r="CF11" s="573"/>
      <c r="CG11" s="573"/>
      <c r="CH11" s="573"/>
      <c r="CI11" s="573"/>
      <c r="CJ11" s="573"/>
      <c r="CK11" s="573"/>
      <c r="CL11" s="573"/>
      <c r="CM11" s="573"/>
      <c r="CN11" s="573"/>
      <c r="CO11" s="573"/>
      <c r="CP11" s="573"/>
      <c r="CQ11" s="573"/>
      <c r="CR11" s="573"/>
      <c r="CS11" s="573"/>
      <c r="CT11" s="573"/>
      <c r="CU11" s="573"/>
      <c r="CV11" s="573"/>
      <c r="CW11" s="573"/>
      <c r="CX11" s="573"/>
      <c r="CY11" s="573"/>
      <c r="CZ11" s="573"/>
      <c r="DA11" s="573"/>
      <c r="DB11" s="573"/>
      <c r="DC11" s="573"/>
      <c r="DD11" s="573"/>
      <c r="DE11" s="573"/>
      <c r="DF11" s="573"/>
      <c r="DG11" s="573"/>
      <c r="DH11" s="573"/>
      <c r="DI11" s="573"/>
      <c r="DJ11" s="573"/>
      <c r="DK11" s="573"/>
      <c r="DL11" s="573"/>
      <c r="DM11" s="573"/>
      <c r="DN11" s="573"/>
      <c r="DO11" s="573"/>
      <c r="DP11" s="573"/>
      <c r="DQ11" s="573"/>
      <c r="DR11" s="573"/>
      <c r="DS11" s="573"/>
      <c r="DT11" s="573"/>
      <c r="DU11" s="573"/>
      <c r="DV11" s="573"/>
      <c r="DW11" s="573"/>
      <c r="DX11" s="573"/>
      <c r="DY11" s="573"/>
      <c r="DZ11" s="573"/>
      <c r="EA11" s="573"/>
      <c r="EB11" s="573"/>
    </row>
    <row r="12" spans="1:132" ht="15" x14ac:dyDescent="0.25">
      <c r="A12" s="599">
        <v>5</v>
      </c>
      <c r="B12" s="600" t="s">
        <v>148</v>
      </c>
      <c r="C12" s="601"/>
      <c r="D12" s="601"/>
      <c r="E12" s="601"/>
      <c r="F12" s="601"/>
      <c r="G12" s="601"/>
      <c r="H12" s="601"/>
      <c r="I12" s="601"/>
      <c r="J12" s="601"/>
      <c r="K12" s="601"/>
      <c r="L12" s="601"/>
      <c r="M12" s="601"/>
      <c r="N12" s="601"/>
      <c r="O12" s="601"/>
      <c r="P12" s="601"/>
      <c r="Q12" s="601"/>
      <c r="R12" s="601"/>
      <c r="S12" s="601"/>
      <c r="T12" s="601"/>
      <c r="U12" s="601"/>
      <c r="V12" s="601"/>
      <c r="W12" s="601"/>
      <c r="X12" s="601"/>
      <c r="Y12" s="601"/>
      <c r="Z12" s="601"/>
      <c r="AA12" s="601"/>
      <c r="AB12" s="601"/>
      <c r="AC12" s="601"/>
      <c r="AD12" s="601"/>
      <c r="AE12" s="601"/>
      <c r="AF12" s="601"/>
      <c r="AG12" s="601"/>
      <c r="AH12" s="601"/>
      <c r="AI12" s="601"/>
      <c r="AJ12" s="601"/>
      <c r="AK12" s="601"/>
      <c r="AL12" s="601"/>
      <c r="AM12" s="601"/>
      <c r="AN12" s="601"/>
      <c r="AO12" s="601"/>
      <c r="AP12" s="601"/>
      <c r="AQ12" s="601"/>
      <c r="AR12" s="601"/>
      <c r="AS12" s="601"/>
      <c r="AT12" s="601"/>
      <c r="AU12" s="601"/>
      <c r="AV12" s="601"/>
      <c r="AW12" s="601"/>
      <c r="AX12" s="601"/>
      <c r="AY12" s="601"/>
      <c r="AZ12" s="601"/>
      <c r="BA12" s="601"/>
      <c r="BB12" s="601"/>
      <c r="BC12" s="601"/>
      <c r="BD12" s="601"/>
      <c r="BE12" s="601"/>
      <c r="BF12" s="601"/>
      <c r="BG12" s="601"/>
      <c r="BH12" s="601"/>
      <c r="BI12" s="601"/>
      <c r="BJ12" s="601"/>
      <c r="BK12" s="601"/>
      <c r="BL12" s="601"/>
      <c r="BM12" s="601"/>
      <c r="BN12" s="601"/>
      <c r="BO12" s="601"/>
      <c r="BP12" s="601"/>
      <c r="BQ12" s="573"/>
      <c r="BR12" s="573"/>
      <c r="BS12" s="573"/>
      <c r="BT12" s="573"/>
      <c r="BU12" s="573"/>
      <c r="BV12" s="573"/>
      <c r="BW12" s="573"/>
      <c r="BX12" s="573"/>
      <c r="BY12" s="573"/>
      <c r="BZ12" s="573"/>
      <c r="CA12" s="573"/>
      <c r="CB12" s="573"/>
      <c r="CC12" s="573"/>
      <c r="CD12" s="573"/>
      <c r="CE12" s="573"/>
      <c r="CF12" s="573"/>
      <c r="CG12" s="573"/>
      <c r="CH12" s="573"/>
      <c r="CI12" s="573"/>
      <c r="CJ12" s="573"/>
      <c r="CK12" s="573"/>
      <c r="CL12" s="573"/>
      <c r="CM12" s="573"/>
      <c r="CN12" s="573"/>
      <c r="CO12" s="573"/>
      <c r="CP12" s="573"/>
      <c r="CQ12" s="573"/>
      <c r="CR12" s="573"/>
      <c r="CS12" s="573"/>
      <c r="CT12" s="573"/>
      <c r="CU12" s="573"/>
      <c r="CV12" s="573"/>
      <c r="CW12" s="573"/>
      <c r="CX12" s="573"/>
      <c r="CY12" s="573"/>
      <c r="CZ12" s="573"/>
      <c r="DA12" s="573"/>
      <c r="DB12" s="573"/>
      <c r="DC12" s="573"/>
      <c r="DD12" s="573"/>
      <c r="DE12" s="573"/>
      <c r="DF12" s="573"/>
      <c r="DG12" s="573"/>
      <c r="DH12" s="573"/>
      <c r="DI12" s="573"/>
      <c r="DJ12" s="573"/>
      <c r="DK12" s="573"/>
      <c r="DL12" s="573"/>
      <c r="DM12" s="573"/>
      <c r="DN12" s="573"/>
      <c r="DO12" s="573"/>
      <c r="DP12" s="573"/>
      <c r="DQ12" s="573"/>
      <c r="DR12" s="573"/>
      <c r="DS12" s="573"/>
      <c r="DT12" s="573"/>
      <c r="DU12" s="573"/>
      <c r="DV12" s="573"/>
      <c r="DW12" s="573"/>
      <c r="DX12" s="573"/>
      <c r="DY12" s="573"/>
      <c r="DZ12" s="573"/>
      <c r="EA12" s="573"/>
      <c r="EB12" s="573"/>
    </row>
    <row r="13" spans="1:132" ht="15" x14ac:dyDescent="0.25">
      <c r="A13" s="602">
        <v>5.0999999999999996</v>
      </c>
      <c r="B13" s="603" t="s">
        <v>149</v>
      </c>
      <c r="C13" s="590">
        <f t="shared" ref="C13:BN13" si="0">C16</f>
        <v>439861</v>
      </c>
      <c r="D13" s="590">
        <f t="shared" si="0"/>
        <v>736861</v>
      </c>
      <c r="E13" s="590">
        <f t="shared" si="0"/>
        <v>8453756</v>
      </c>
      <c r="F13" s="590">
        <f t="shared" si="0"/>
        <v>11449334</v>
      </c>
      <c r="G13" s="590">
        <f t="shared" si="0"/>
        <v>15452148</v>
      </c>
      <c r="H13" s="590">
        <f t="shared" si="0"/>
        <v>25274778.330000002</v>
      </c>
      <c r="I13" s="590">
        <f t="shared" si="0"/>
        <v>19725079</v>
      </c>
      <c r="J13" s="590">
        <f t="shared" si="0"/>
        <v>51119688.510000005</v>
      </c>
      <c r="K13" s="590">
        <f t="shared" si="0"/>
        <v>26585028.480000004</v>
      </c>
      <c r="L13" s="590">
        <f t="shared" si="0"/>
        <v>24275510.73</v>
      </c>
      <c r="M13" s="590">
        <f t="shared" si="0"/>
        <v>24781562.690000001</v>
      </c>
      <c r="N13" s="590">
        <f t="shared" si="0"/>
        <v>29004917.18</v>
      </c>
      <c r="O13" s="590">
        <f t="shared" si="0"/>
        <v>29635047.68</v>
      </c>
      <c r="P13" s="590">
        <f t="shared" si="0"/>
        <v>30659182.470000003</v>
      </c>
      <c r="Q13" s="590">
        <f t="shared" si="0"/>
        <v>30708753.75</v>
      </c>
      <c r="R13" s="590">
        <f t="shared" si="0"/>
        <v>31761326.850000001</v>
      </c>
      <c r="S13" s="590">
        <f t="shared" si="0"/>
        <v>32432756.5</v>
      </c>
      <c r="T13" s="590">
        <f t="shared" si="0"/>
        <v>33391682.530000001</v>
      </c>
      <c r="U13" s="590">
        <f t="shared" si="0"/>
        <v>28819890.100000001</v>
      </c>
      <c r="V13" s="590">
        <f t="shared" si="0"/>
        <v>22540772</v>
      </c>
      <c r="W13" s="590">
        <f t="shared" si="0"/>
        <v>32110396.370000001</v>
      </c>
      <c r="X13" s="590">
        <f t="shared" si="0"/>
        <v>33697534.200000003</v>
      </c>
      <c r="Y13" s="590">
        <f t="shared" si="0"/>
        <v>30530662.490000002</v>
      </c>
      <c r="Z13" s="590">
        <f t="shared" si="0"/>
        <v>33605968.010000005</v>
      </c>
      <c r="AA13" s="590">
        <f t="shared" si="0"/>
        <v>34320074.060000002</v>
      </c>
      <c r="AB13" s="590">
        <f t="shared" si="0"/>
        <v>35793923.230000004</v>
      </c>
      <c r="AC13" s="590">
        <f t="shared" si="0"/>
        <v>33507873.18</v>
      </c>
      <c r="AD13" s="590">
        <f t="shared" si="0"/>
        <v>35443236.450000003</v>
      </c>
      <c r="AE13" s="590">
        <f t="shared" si="0"/>
        <v>34900999.260000005</v>
      </c>
      <c r="AF13" s="590">
        <f t="shared" si="0"/>
        <v>35537560.409999996</v>
      </c>
      <c r="AG13" s="590">
        <f t="shared" si="0"/>
        <v>38132047.049999997</v>
      </c>
      <c r="AH13" s="590">
        <f t="shared" si="0"/>
        <v>38314826.5</v>
      </c>
      <c r="AI13" s="590">
        <f t="shared" si="0"/>
        <v>27501272</v>
      </c>
      <c r="AJ13" s="590">
        <f t="shared" si="0"/>
        <v>27501272</v>
      </c>
      <c r="AK13" s="590">
        <f t="shared" si="0"/>
        <v>0</v>
      </c>
      <c r="AL13" s="590">
        <f t="shared" si="0"/>
        <v>41412198.350000001</v>
      </c>
      <c r="AM13" s="590">
        <f t="shared" si="0"/>
        <v>42112588.18</v>
      </c>
      <c r="AN13" s="590">
        <f t="shared" si="0"/>
        <v>46319424.07</v>
      </c>
      <c r="AO13" s="590">
        <f t="shared" si="0"/>
        <v>34320074.060000002</v>
      </c>
      <c r="AP13" s="590">
        <f t="shared" si="0"/>
        <v>57903915.089999996</v>
      </c>
      <c r="AQ13" s="590">
        <f t="shared" si="0"/>
        <v>62413287.279999994</v>
      </c>
      <c r="AR13" s="590">
        <f t="shared" si="0"/>
        <v>65649253.57</v>
      </c>
      <c r="AS13" s="590">
        <f t="shared" si="0"/>
        <v>69668696.700000003</v>
      </c>
      <c r="AT13" s="590">
        <f t="shared" si="0"/>
        <v>0</v>
      </c>
      <c r="AU13" s="590">
        <f t="shared" si="0"/>
        <v>76322254.709999993</v>
      </c>
      <c r="AV13" s="590">
        <f t="shared" si="0"/>
        <v>-18541410.110000003</v>
      </c>
      <c r="AW13" s="590">
        <f t="shared" si="0"/>
        <v>31120922</v>
      </c>
      <c r="AX13" s="590">
        <f t="shared" si="0"/>
        <v>0</v>
      </c>
      <c r="AY13" s="590">
        <f t="shared" si="0"/>
        <v>0</v>
      </c>
      <c r="AZ13" s="590">
        <f t="shared" si="0"/>
        <v>-30132021.409999996</v>
      </c>
      <c r="BA13" s="590">
        <f t="shared" si="0"/>
        <v>-64361903.640000001</v>
      </c>
      <c r="BB13" s="590">
        <f t="shared" si="0"/>
        <v>35749277</v>
      </c>
      <c r="BC13" s="590">
        <f t="shared" si="0"/>
        <v>37492975.100000001</v>
      </c>
      <c r="BD13" s="590">
        <f t="shared" si="0"/>
        <v>34126199</v>
      </c>
      <c r="BE13" s="590">
        <f t="shared" si="0"/>
        <v>38136474.82</v>
      </c>
      <c r="BF13" s="590">
        <f t="shared" si="0"/>
        <v>40112710.509999998</v>
      </c>
      <c r="BG13" s="590">
        <f t="shared" si="0"/>
        <v>0</v>
      </c>
      <c r="BH13" s="590">
        <f t="shared" si="0"/>
        <v>43364896</v>
      </c>
      <c r="BI13" s="590">
        <f t="shared" si="0"/>
        <v>45705763.82</v>
      </c>
      <c r="BJ13" s="590">
        <f t="shared" si="0"/>
        <v>37569427</v>
      </c>
      <c r="BK13" s="590">
        <f t="shared" si="0"/>
        <v>38389595.829999998</v>
      </c>
      <c r="BL13" s="590">
        <f t="shared" si="0"/>
        <v>38545435.469999999</v>
      </c>
      <c r="BM13" s="590">
        <f t="shared" si="0"/>
        <v>40293571.359999999</v>
      </c>
      <c r="BN13" s="590">
        <f t="shared" si="0"/>
        <v>41217697</v>
      </c>
      <c r="BO13" s="590">
        <f t="shared" ref="BO13:DV13" si="1">BO16</f>
        <v>43713403</v>
      </c>
      <c r="BP13" s="590">
        <f t="shared" si="1"/>
        <v>42995243</v>
      </c>
      <c r="BQ13" s="590">
        <f t="shared" si="1"/>
        <v>44089113</v>
      </c>
      <c r="BR13" s="590">
        <f t="shared" si="1"/>
        <v>44585871</v>
      </c>
      <c r="BS13" s="590">
        <f t="shared" si="1"/>
        <v>45139475</v>
      </c>
      <c r="BT13" s="590">
        <f t="shared" si="1"/>
        <v>46354994</v>
      </c>
      <c r="BU13" s="590">
        <f t="shared" si="1"/>
        <v>47890929</v>
      </c>
      <c r="BV13" s="590">
        <f t="shared" si="1"/>
        <v>44842826.460000001</v>
      </c>
      <c r="BW13" s="590">
        <f t="shared" si="1"/>
        <v>45921060.039999999</v>
      </c>
      <c r="BX13" s="590">
        <f t="shared" si="1"/>
        <v>46804310</v>
      </c>
      <c r="BY13" s="590">
        <f t="shared" si="1"/>
        <v>47249721</v>
      </c>
      <c r="BZ13" s="590">
        <f t="shared" si="1"/>
        <v>47883334</v>
      </c>
      <c r="CA13" s="590">
        <f t="shared" si="1"/>
        <v>48206600</v>
      </c>
      <c r="CB13" s="590">
        <f t="shared" si="1"/>
        <v>53230957</v>
      </c>
      <c r="CC13" s="590">
        <f t="shared" si="1"/>
        <v>54493325</v>
      </c>
      <c r="CD13" s="590">
        <f t="shared" si="1"/>
        <v>56460105</v>
      </c>
      <c r="CE13" s="590">
        <f t="shared" si="1"/>
        <v>58151193</v>
      </c>
      <c r="CF13" s="590">
        <f t="shared" si="1"/>
        <v>60103284.040000007</v>
      </c>
      <c r="CG13" s="590">
        <f t="shared" si="1"/>
        <v>62075424.870000005</v>
      </c>
      <c r="CH13" s="590">
        <f t="shared" si="1"/>
        <v>62486065.659999996</v>
      </c>
      <c r="CI13" s="590">
        <f t="shared" si="1"/>
        <v>68147384.799999997</v>
      </c>
      <c r="CJ13" s="590">
        <f t="shared" si="1"/>
        <v>50174488.299999997</v>
      </c>
      <c r="CK13" s="590">
        <f t="shared" si="1"/>
        <v>52375734.150000006</v>
      </c>
      <c r="CL13" s="590" t="e">
        <f t="shared" si="1"/>
        <v>#REF!</v>
      </c>
      <c r="CM13" s="590">
        <f t="shared" si="1"/>
        <v>56357297.5</v>
      </c>
      <c r="CN13" s="590">
        <f t="shared" si="1"/>
        <v>58130012.799999997</v>
      </c>
      <c r="CO13" s="590">
        <f t="shared" si="1"/>
        <v>60726037.5</v>
      </c>
      <c r="CP13" s="590">
        <f t="shared" si="1"/>
        <v>63282583.159999996</v>
      </c>
      <c r="CQ13" s="590">
        <f t="shared" si="1"/>
        <v>66654713.57</v>
      </c>
      <c r="CR13" s="590">
        <f t="shared" si="1"/>
        <v>70180176.5</v>
      </c>
      <c r="CS13" s="590">
        <f t="shared" si="1"/>
        <v>73894641.829999998</v>
      </c>
      <c r="CT13" s="590">
        <f t="shared" si="1"/>
        <v>71708298.359999999</v>
      </c>
      <c r="CU13" s="590">
        <f t="shared" si="1"/>
        <v>77170188.280000001</v>
      </c>
      <c r="CV13" s="590">
        <f t="shared" si="1"/>
        <v>76184332.799999997</v>
      </c>
      <c r="CW13" s="590">
        <f t="shared" si="1"/>
        <v>60637566.170000002</v>
      </c>
      <c r="CX13" s="590">
        <f t="shared" si="1"/>
        <v>63411905.200000003</v>
      </c>
      <c r="CY13" s="590">
        <f t="shared" si="1"/>
        <v>66640987.82</v>
      </c>
      <c r="CZ13" s="590">
        <f t="shared" si="1"/>
        <v>69978383.909999996</v>
      </c>
      <c r="DA13" s="590">
        <f t="shared" si="1"/>
        <v>74695160.790000007</v>
      </c>
      <c r="DB13" s="590">
        <f t="shared" si="1"/>
        <v>77751442.25</v>
      </c>
      <c r="DC13" s="590">
        <f t="shared" si="1"/>
        <v>80662110.440000013</v>
      </c>
      <c r="DD13" s="590">
        <f t="shared" si="1"/>
        <v>84030239.420000002</v>
      </c>
      <c r="DE13" s="590">
        <f t="shared" si="1"/>
        <v>88627529.409999996</v>
      </c>
      <c r="DF13" s="590">
        <f t="shared" si="1"/>
        <v>92873654.189999998</v>
      </c>
      <c r="DG13" s="590">
        <f t="shared" si="1"/>
        <v>93976618.180000007</v>
      </c>
      <c r="DH13" s="590">
        <f t="shared" si="1"/>
        <v>97316417.700000003</v>
      </c>
      <c r="DI13" s="590">
        <f t="shared" si="1"/>
        <v>72824194.890000001</v>
      </c>
      <c r="DJ13" s="590">
        <f t="shared" si="1"/>
        <v>73290644</v>
      </c>
      <c r="DK13" s="590">
        <f t="shared" si="1"/>
        <v>73496960.539999992</v>
      </c>
      <c r="DL13" s="590">
        <f t="shared" si="1"/>
        <v>80761584.950000003</v>
      </c>
      <c r="DM13" s="590">
        <f t="shared" si="1"/>
        <v>89148039.689999998</v>
      </c>
      <c r="DN13" s="590">
        <f t="shared" si="1"/>
        <v>92917408.210000008</v>
      </c>
      <c r="DO13" s="590">
        <f t="shared" si="1"/>
        <v>96642171.00999999</v>
      </c>
      <c r="DP13" s="590">
        <f t="shared" si="1"/>
        <v>100490934</v>
      </c>
      <c r="DQ13" s="590">
        <f t="shared" si="1"/>
        <v>104435015.80000001</v>
      </c>
      <c r="DR13" s="590">
        <f t="shared" si="1"/>
        <v>110001146.74000001</v>
      </c>
      <c r="DS13" s="590">
        <f t="shared" si="1"/>
        <v>105012916.95999999</v>
      </c>
      <c r="DT13" s="590">
        <f t="shared" si="1"/>
        <v>106586435.69999999</v>
      </c>
      <c r="DU13" s="590">
        <f t="shared" si="1"/>
        <v>109847695.78999999</v>
      </c>
      <c r="DV13" s="590">
        <f t="shared" si="1"/>
        <v>0</v>
      </c>
      <c r="DW13" s="590">
        <f t="shared" ref="DE13:EB13" si="2">DW16</f>
        <v>97517528</v>
      </c>
      <c r="DX13" s="590"/>
      <c r="DY13" s="590"/>
      <c r="DZ13" s="590"/>
      <c r="EA13" s="590"/>
      <c r="EB13" s="590"/>
    </row>
    <row r="14" spans="1:132" ht="15" x14ac:dyDescent="0.25">
      <c r="A14" s="604">
        <v>5.2</v>
      </c>
      <c r="B14" s="605" t="s">
        <v>150</v>
      </c>
      <c r="C14" s="606">
        <f>C13-C17</f>
        <v>81861</v>
      </c>
      <c r="D14" s="606">
        <f t="shared" ref="D14:BO14" si="3">D13-D17</f>
        <v>118861</v>
      </c>
      <c r="E14" s="606">
        <f t="shared" si="3"/>
        <v>983756</v>
      </c>
      <c r="F14" s="606">
        <f t="shared" si="3"/>
        <v>1261018</v>
      </c>
      <c r="G14" s="606">
        <f t="shared" si="3"/>
        <v>2352159</v>
      </c>
      <c r="H14" s="606">
        <f t="shared" si="3"/>
        <v>8378557.0700000003</v>
      </c>
      <c r="I14" s="606">
        <f t="shared" si="3"/>
        <v>3746438</v>
      </c>
      <c r="J14" s="606">
        <f t="shared" si="3"/>
        <v>17191946.990000002</v>
      </c>
      <c r="K14" s="606">
        <f t="shared" si="3"/>
        <v>9201815.2200000025</v>
      </c>
      <c r="L14" s="606">
        <f t="shared" si="3"/>
        <v>6300580.4699999988</v>
      </c>
      <c r="M14" s="606">
        <f t="shared" si="3"/>
        <v>6749525.4299999997</v>
      </c>
      <c r="N14" s="606">
        <f t="shared" si="3"/>
        <v>10560341.919999998</v>
      </c>
      <c r="O14" s="606">
        <f t="shared" si="3"/>
        <v>11049853.419999998</v>
      </c>
      <c r="P14" s="606">
        <f t="shared" si="3"/>
        <v>11483353.210000001</v>
      </c>
      <c r="Q14" s="606">
        <f t="shared" si="3"/>
        <v>12016929.489999998</v>
      </c>
      <c r="R14" s="606">
        <f t="shared" si="3"/>
        <v>12839377.59</v>
      </c>
      <c r="S14" s="606">
        <f t="shared" si="3"/>
        <v>12714973.239999998</v>
      </c>
      <c r="T14" s="606">
        <f t="shared" si="3"/>
        <v>13280142.27</v>
      </c>
      <c r="U14" s="606">
        <f t="shared" si="3"/>
        <v>9101534.8399999999</v>
      </c>
      <c r="V14" s="606">
        <f t="shared" si="3"/>
        <v>3642623</v>
      </c>
      <c r="W14" s="606">
        <f t="shared" si="3"/>
        <v>11982089.109999999</v>
      </c>
      <c r="X14" s="606">
        <f t="shared" si="3"/>
        <v>12669984.940000001</v>
      </c>
      <c r="Y14" s="606">
        <f t="shared" si="3"/>
        <v>9222253.2300000004</v>
      </c>
      <c r="Z14" s="606">
        <f t="shared" si="3"/>
        <v>9869659.7500000037</v>
      </c>
      <c r="AA14" s="606">
        <f t="shared" si="3"/>
        <v>9930338.8000000007</v>
      </c>
      <c r="AB14" s="606">
        <f t="shared" si="3"/>
        <v>10702762.950000003</v>
      </c>
      <c r="AC14" s="606">
        <f t="shared" si="3"/>
        <v>7457524.25</v>
      </c>
      <c r="AD14" s="606">
        <f t="shared" si="3"/>
        <v>8593500.7200000025</v>
      </c>
      <c r="AE14" s="606">
        <f t="shared" si="3"/>
        <v>7796250.7300000042</v>
      </c>
      <c r="AF14" s="606">
        <f t="shared" si="3"/>
        <v>9191496.8499999978</v>
      </c>
      <c r="AG14" s="606">
        <f t="shared" si="3"/>
        <v>10587776.869999997</v>
      </c>
      <c r="AH14" s="606">
        <f t="shared" si="3"/>
        <v>10407238.32</v>
      </c>
      <c r="AI14" s="606">
        <f t="shared" si="3"/>
        <v>5735023</v>
      </c>
      <c r="AJ14" s="606">
        <f t="shared" si="3"/>
        <v>5735023</v>
      </c>
      <c r="AK14" s="606">
        <f t="shared" si="3"/>
        <v>0</v>
      </c>
      <c r="AL14" s="606">
        <f t="shared" si="3"/>
        <v>5867157.1300000027</v>
      </c>
      <c r="AM14" s="606">
        <f t="shared" si="3"/>
        <v>6807756.3800000027</v>
      </c>
      <c r="AN14" s="606">
        <f t="shared" si="3"/>
        <v>9599373.9900000021</v>
      </c>
      <c r="AO14" s="606">
        <f t="shared" si="3"/>
        <v>9930338.8000000007</v>
      </c>
      <c r="AP14" s="606">
        <f t="shared" si="3"/>
        <v>11785023.469999999</v>
      </c>
      <c r="AQ14" s="606">
        <f t="shared" si="3"/>
        <v>13080551.619999997</v>
      </c>
      <c r="AR14" s="606">
        <f t="shared" si="3"/>
        <v>11760301.75</v>
      </c>
      <c r="AS14" s="606">
        <f t="shared" si="3"/>
        <v>11866181.859999999</v>
      </c>
      <c r="AT14" s="606">
        <f t="shared" si="3"/>
        <v>0</v>
      </c>
      <c r="AU14" s="606">
        <f t="shared" si="3"/>
        <v>15357829.659999996</v>
      </c>
      <c r="AV14" s="606">
        <f t="shared" si="3"/>
        <v>-50327788.160000004</v>
      </c>
      <c r="AW14" s="606">
        <f t="shared" si="3"/>
        <v>7752917</v>
      </c>
      <c r="AX14" s="606">
        <f t="shared" si="3"/>
        <v>0</v>
      </c>
      <c r="AY14" s="606">
        <f t="shared" si="3"/>
        <v>0</v>
      </c>
      <c r="AZ14" s="606">
        <f t="shared" si="3"/>
        <v>1996966.5900000036</v>
      </c>
      <c r="BA14" s="606">
        <f t="shared" si="3"/>
        <v>474106.46000000089</v>
      </c>
      <c r="BB14" s="606">
        <f t="shared" si="3"/>
        <v>11536975</v>
      </c>
      <c r="BC14" s="606">
        <f t="shared" si="3"/>
        <v>13154042.100000001</v>
      </c>
      <c r="BD14" s="606">
        <f t="shared" si="3"/>
        <v>9642086</v>
      </c>
      <c r="BE14" s="606">
        <f t="shared" si="3"/>
        <v>13509046.920000002</v>
      </c>
      <c r="BF14" s="606">
        <f t="shared" si="3"/>
        <v>15304127.599999998</v>
      </c>
      <c r="BG14" s="606">
        <f t="shared" si="3"/>
        <v>0</v>
      </c>
      <c r="BH14" s="606">
        <f t="shared" si="3"/>
        <v>18227319</v>
      </c>
      <c r="BI14" s="606">
        <f t="shared" si="3"/>
        <v>20450376.460000001</v>
      </c>
      <c r="BJ14" s="606">
        <f t="shared" si="3"/>
        <v>12314040</v>
      </c>
      <c r="BK14" s="606">
        <f t="shared" si="3"/>
        <v>13057143.469999999</v>
      </c>
      <c r="BL14" s="606">
        <f t="shared" si="3"/>
        <v>13057143.469999999</v>
      </c>
      <c r="BM14" s="606">
        <f t="shared" si="3"/>
        <v>14400686</v>
      </c>
      <c r="BN14" s="606">
        <f t="shared" si="3"/>
        <v>15151800</v>
      </c>
      <c r="BO14" s="606">
        <f t="shared" si="3"/>
        <v>17408395</v>
      </c>
      <c r="BP14" s="606">
        <f t="shared" ref="BP14:CM14" si="4">BP13-BP17</f>
        <v>16480552</v>
      </c>
      <c r="BQ14" s="606">
        <f t="shared" si="4"/>
        <v>16480552</v>
      </c>
      <c r="BR14" s="606">
        <f t="shared" si="4"/>
        <v>16430552</v>
      </c>
      <c r="BS14" s="606">
        <f t="shared" si="4"/>
        <v>16548714</v>
      </c>
      <c r="BT14" s="606">
        <f t="shared" si="4"/>
        <v>17504041</v>
      </c>
      <c r="BU14" s="606">
        <f t="shared" si="4"/>
        <v>18581507</v>
      </c>
      <c r="BV14" s="606">
        <f t="shared" si="4"/>
        <v>15259733.460000001</v>
      </c>
      <c r="BW14" s="606">
        <f t="shared" si="4"/>
        <v>16337967</v>
      </c>
      <c r="BX14" s="606">
        <f t="shared" si="4"/>
        <v>17044016</v>
      </c>
      <c r="BY14" s="606">
        <f t="shared" si="4"/>
        <v>17335145</v>
      </c>
      <c r="BZ14" s="606">
        <f t="shared" si="4"/>
        <v>17335145</v>
      </c>
      <c r="CA14" s="606">
        <f t="shared" si="4"/>
        <v>17551486</v>
      </c>
      <c r="CB14" s="606">
        <f t="shared" si="4"/>
        <v>22409283</v>
      </c>
      <c r="CC14" s="606">
        <f t="shared" si="4"/>
        <v>23547977</v>
      </c>
      <c r="CD14" s="606">
        <f t="shared" si="4"/>
        <v>25354957</v>
      </c>
      <c r="CE14" s="606">
        <f t="shared" si="4"/>
        <v>26908542</v>
      </c>
      <c r="CF14" s="606">
        <f t="shared" si="4"/>
        <v>28686751.810000006</v>
      </c>
      <c r="CG14" s="606">
        <f t="shared" si="4"/>
        <v>30501180.300000004</v>
      </c>
      <c r="CH14" s="606">
        <f t="shared" si="4"/>
        <v>30635273.199999996</v>
      </c>
      <c r="CI14" s="606">
        <f t="shared" si="4"/>
        <v>36162448</v>
      </c>
      <c r="CJ14" s="606">
        <f t="shared" si="4"/>
        <v>18189551.499999996</v>
      </c>
      <c r="CK14" s="606">
        <f t="shared" si="4"/>
        <v>20198584.300000004</v>
      </c>
      <c r="CL14" s="606" t="e">
        <f t="shared" si="4"/>
        <v>#REF!</v>
      </c>
      <c r="CM14" s="606">
        <f t="shared" si="4"/>
        <v>23541282.5</v>
      </c>
      <c r="CN14" s="606">
        <f t="shared" ref="CN14" si="5">CN13-CN17</f>
        <v>25139755.799999997</v>
      </c>
      <c r="CO14" s="606">
        <f t="shared" ref="CO14" si="6">CO13-CO17</f>
        <v>27567867.600000001</v>
      </c>
      <c r="CP14" s="606">
        <f t="shared" ref="CP14" si="7">CP13-CP17</f>
        <v>29830908.159999996</v>
      </c>
      <c r="CQ14" s="606">
        <f t="shared" ref="CQ14" si="8">CQ13-CQ17</f>
        <v>32809964.899999999</v>
      </c>
      <c r="CR14" s="606">
        <f t="shared" ref="CR14" si="9">CR13-CR17</f>
        <v>35966525.5</v>
      </c>
      <c r="CS14" s="606">
        <f t="shared" ref="CS14" si="10">CS13-CS17</f>
        <v>38906713</v>
      </c>
      <c r="CT14" s="606">
        <f t="shared" ref="CT14:CW14" si="11">CT13-CT17</f>
        <v>37125879.200000003</v>
      </c>
      <c r="CU14" s="606">
        <f t="shared" si="11"/>
        <v>41520409.5</v>
      </c>
      <c r="CV14" s="606">
        <f t="shared" si="11"/>
        <v>40187734.799999997</v>
      </c>
      <c r="CW14" s="606">
        <f t="shared" si="11"/>
        <v>24640967.859999999</v>
      </c>
      <c r="CX14" s="606">
        <f t="shared" ref="CX14:DD14" si="12">CX13-CX17</f>
        <v>27167595.560000002</v>
      </c>
      <c r="CY14" s="606">
        <f t="shared" si="12"/>
        <v>30024578.859999999</v>
      </c>
      <c r="CZ14" s="606">
        <f t="shared" si="12"/>
        <v>32360863.559999995</v>
      </c>
      <c r="DA14" s="606">
        <f t="shared" si="12"/>
        <v>36624914.340000004</v>
      </c>
      <c r="DB14" s="606">
        <f t="shared" si="12"/>
        <v>39363087.640000001</v>
      </c>
      <c r="DC14" s="606">
        <f t="shared" si="12"/>
        <v>41656564.440000013</v>
      </c>
      <c r="DD14" s="606">
        <f t="shared" si="12"/>
        <v>44591359</v>
      </c>
      <c r="DE14" s="606">
        <f t="shared" ref="DE14:EB14" si="13">DE13-DE17</f>
        <v>48774841</v>
      </c>
      <c r="DF14" s="606">
        <f t="shared" si="13"/>
        <v>52678085.169999994</v>
      </c>
      <c r="DG14" s="606">
        <f t="shared" si="13"/>
        <v>53447813.500000007</v>
      </c>
      <c r="DH14" s="606">
        <f t="shared" si="13"/>
        <v>56339542.700000003</v>
      </c>
      <c r="DI14" s="606">
        <f t="shared" si="13"/>
        <v>31456833.009999998</v>
      </c>
      <c r="DJ14" s="606">
        <f t="shared" si="13"/>
        <v>31923283</v>
      </c>
      <c r="DK14" s="606">
        <f t="shared" si="13"/>
        <v>31621416.789999992</v>
      </c>
      <c r="DL14" s="606">
        <f t="shared" si="13"/>
        <v>38370144.550000004</v>
      </c>
      <c r="DM14" s="606">
        <f t="shared" si="13"/>
        <v>42261498.649999999</v>
      </c>
      <c r="DN14" s="606">
        <f t="shared" si="13"/>
        <v>45070131.650000006</v>
      </c>
      <c r="DO14" s="606">
        <f t="shared" si="13"/>
        <v>48377761.649999991</v>
      </c>
      <c r="DP14" s="606">
        <f t="shared" si="13"/>
        <v>50568255.149999999</v>
      </c>
      <c r="DQ14" s="606">
        <f t="shared" si="13"/>
        <v>53468263.95000001</v>
      </c>
      <c r="DR14" s="606">
        <f t="shared" si="13"/>
        <v>58580677.350000009</v>
      </c>
      <c r="DS14" s="606">
        <f t="shared" si="13"/>
        <v>53032589.049999997</v>
      </c>
      <c r="DT14" s="606">
        <f t="shared" si="13"/>
        <v>54145460.149999991</v>
      </c>
      <c r="DU14" s="606">
        <f t="shared" si="13"/>
        <v>56979890.149999991</v>
      </c>
      <c r="DV14" s="606">
        <f t="shared" si="13"/>
        <v>0</v>
      </c>
      <c r="DW14" s="606">
        <f t="shared" si="13"/>
        <v>44204190</v>
      </c>
      <c r="DX14" s="606"/>
      <c r="DY14" s="606"/>
      <c r="DZ14" s="606"/>
      <c r="EA14" s="606"/>
      <c r="EB14" s="606"/>
    </row>
    <row r="15" spans="1:132" ht="15" x14ac:dyDescent="0.25">
      <c r="A15" s="607"/>
      <c r="B15" s="608"/>
      <c r="C15" s="598"/>
      <c r="D15" s="598"/>
      <c r="E15" s="598"/>
      <c r="F15" s="598"/>
      <c r="G15" s="598"/>
      <c r="H15" s="598"/>
      <c r="I15" s="598"/>
      <c r="J15" s="598"/>
      <c r="K15" s="598"/>
      <c r="L15" s="598"/>
      <c r="M15" s="598"/>
      <c r="N15" s="598"/>
      <c r="O15" s="598"/>
      <c r="P15" s="598"/>
      <c r="Q15" s="598"/>
      <c r="R15" s="598"/>
      <c r="S15" s="598"/>
      <c r="T15" s="598"/>
      <c r="U15" s="598"/>
      <c r="V15" s="598"/>
      <c r="W15" s="598"/>
      <c r="X15" s="598"/>
      <c r="Y15" s="598"/>
      <c r="Z15" s="598"/>
      <c r="AA15" s="598"/>
      <c r="AB15" s="598"/>
      <c r="AC15" s="598"/>
      <c r="AD15" s="598"/>
      <c r="AE15" s="598"/>
      <c r="AF15" s="598"/>
      <c r="AG15" s="598"/>
      <c r="AH15" s="598"/>
      <c r="AI15" s="598"/>
      <c r="AJ15" s="598"/>
      <c r="AK15" s="598"/>
      <c r="AL15" s="598"/>
      <c r="AM15" s="598"/>
      <c r="AN15" s="598"/>
      <c r="AO15" s="598"/>
      <c r="AP15" s="598"/>
      <c r="AQ15" s="598"/>
      <c r="AR15" s="598"/>
      <c r="AS15" s="598"/>
      <c r="AT15" s="598"/>
      <c r="AU15" s="598"/>
      <c r="AV15" s="598"/>
      <c r="AW15" s="598"/>
      <c r="AX15" s="598"/>
      <c r="AY15" s="598"/>
      <c r="AZ15" s="598"/>
      <c r="BA15" s="598"/>
      <c r="BB15" s="598"/>
      <c r="BC15" s="598"/>
      <c r="BD15" s="598"/>
      <c r="BE15" s="598"/>
      <c r="BF15" s="573"/>
      <c r="BG15" s="573"/>
      <c r="BH15" s="573"/>
      <c r="BI15" s="573"/>
      <c r="BJ15" s="573"/>
      <c r="BK15" s="573"/>
      <c r="BL15" s="573"/>
      <c r="BM15" s="573"/>
      <c r="BN15" s="573"/>
      <c r="BO15" s="573"/>
      <c r="BP15" s="573"/>
      <c r="BQ15" s="573"/>
      <c r="BR15" s="573"/>
      <c r="BS15" s="573"/>
      <c r="BT15" s="573"/>
      <c r="BU15" s="573"/>
      <c r="BV15" s="573"/>
      <c r="BW15" s="573"/>
      <c r="BX15" s="573"/>
      <c r="BY15" s="573"/>
      <c r="BZ15" s="573"/>
      <c r="CA15" s="573"/>
      <c r="CB15" s="573"/>
      <c r="CC15" s="573"/>
      <c r="CD15" s="573"/>
      <c r="CE15" s="573"/>
      <c r="CF15" s="573"/>
      <c r="CG15" s="573"/>
      <c r="CH15" s="573"/>
      <c r="CI15" s="573"/>
      <c r="CJ15" s="573"/>
      <c r="CK15" s="573"/>
      <c r="CL15" s="573"/>
      <c r="CM15" s="573"/>
      <c r="CN15" s="573"/>
      <c r="CO15" s="573"/>
      <c r="CP15" s="573"/>
      <c r="CQ15" s="573"/>
      <c r="CR15" s="573"/>
      <c r="CS15" s="573"/>
      <c r="CT15" s="573"/>
      <c r="CU15" s="573"/>
      <c r="CV15" s="573"/>
      <c r="CW15" s="573"/>
      <c r="CX15" s="573"/>
      <c r="CY15" s="573"/>
      <c r="CZ15" s="573"/>
      <c r="DA15" s="573"/>
      <c r="DB15" s="573"/>
      <c r="DC15" s="573"/>
      <c r="DD15" s="573"/>
      <c r="DE15" s="573"/>
      <c r="DF15" s="573"/>
      <c r="DG15" s="573"/>
      <c r="DH15" s="573"/>
      <c r="DI15" s="573"/>
      <c r="DJ15" s="573"/>
      <c r="DK15" s="573"/>
      <c r="DL15" s="573"/>
      <c r="DM15" s="573"/>
      <c r="DN15" s="573"/>
      <c r="DO15" s="573"/>
      <c r="DP15" s="573"/>
      <c r="DQ15" s="573"/>
      <c r="DR15" s="573"/>
      <c r="DS15" s="573"/>
      <c r="DT15" s="573"/>
      <c r="DU15" s="573"/>
      <c r="DV15" s="573"/>
      <c r="DW15" s="573"/>
      <c r="DX15" s="573"/>
      <c r="DY15" s="573"/>
      <c r="DZ15" s="573"/>
      <c r="EA15" s="573"/>
      <c r="EB15" s="573"/>
    </row>
    <row r="16" spans="1:132" ht="15" x14ac:dyDescent="0.25">
      <c r="A16" s="609">
        <v>5.3</v>
      </c>
      <c r="B16" s="570" t="s">
        <v>151</v>
      </c>
      <c r="C16" s="610">
        <f>SUM(C17:C20)</f>
        <v>439861</v>
      </c>
      <c r="D16" s="610">
        <f>SUM(D17:D20)</f>
        <v>736861</v>
      </c>
      <c r="E16" s="610">
        <f t="shared" ref="E16:G16" si="14">SUM(E17:E20)</f>
        <v>8453756</v>
      </c>
      <c r="F16" s="610">
        <f t="shared" si="14"/>
        <v>11449334</v>
      </c>
      <c r="G16" s="610">
        <f t="shared" si="14"/>
        <v>15452148</v>
      </c>
      <c r="H16" s="610">
        <f t="shared" ref="H16:I16" si="15">SUM(H17:H20)</f>
        <v>25274778.330000002</v>
      </c>
      <c r="I16" s="610">
        <f t="shared" si="15"/>
        <v>19725079</v>
      </c>
      <c r="J16" s="610">
        <f t="shared" ref="J16:S16" si="16">SUM(J17:J20)</f>
        <v>51119688.510000005</v>
      </c>
      <c r="K16" s="610">
        <f t="shared" si="16"/>
        <v>26585028.480000004</v>
      </c>
      <c r="L16" s="610">
        <f t="shared" si="16"/>
        <v>24275510.73</v>
      </c>
      <c r="M16" s="610">
        <f t="shared" si="16"/>
        <v>24781562.690000001</v>
      </c>
      <c r="N16" s="610">
        <f t="shared" si="16"/>
        <v>29004917.18</v>
      </c>
      <c r="O16" s="610">
        <f t="shared" si="16"/>
        <v>29635047.68</v>
      </c>
      <c r="P16" s="610">
        <f t="shared" si="16"/>
        <v>30659182.470000003</v>
      </c>
      <c r="Q16" s="610">
        <f t="shared" si="16"/>
        <v>30708753.75</v>
      </c>
      <c r="R16" s="610">
        <f t="shared" si="16"/>
        <v>31761326.850000001</v>
      </c>
      <c r="S16" s="610">
        <f t="shared" si="16"/>
        <v>32432756.5</v>
      </c>
      <c r="T16" s="610">
        <f t="shared" ref="T16:V16" si="17">SUM(T17:T20)</f>
        <v>33391682.530000001</v>
      </c>
      <c r="U16" s="610">
        <f t="shared" si="17"/>
        <v>28819890.100000001</v>
      </c>
      <c r="V16" s="610">
        <f t="shared" si="17"/>
        <v>22540772</v>
      </c>
      <c r="W16" s="610">
        <f t="shared" ref="W16:Z16" si="18">SUM(W17:W20)</f>
        <v>32110396.370000001</v>
      </c>
      <c r="X16" s="610">
        <f t="shared" si="18"/>
        <v>33697534.200000003</v>
      </c>
      <c r="Y16" s="610">
        <f t="shared" si="18"/>
        <v>30530662.490000002</v>
      </c>
      <c r="Z16" s="610">
        <f t="shared" si="18"/>
        <v>33605968.010000005</v>
      </c>
      <c r="AA16" s="610">
        <f t="shared" ref="AA16:AB16" si="19">SUM(AA17:AA20)</f>
        <v>34320074.060000002</v>
      </c>
      <c r="AB16" s="610">
        <f t="shared" si="19"/>
        <v>35793923.230000004</v>
      </c>
      <c r="AC16" s="610">
        <f t="shared" ref="AC16:AD16" si="20">SUM(AC17:AC20)</f>
        <v>33507873.18</v>
      </c>
      <c r="AD16" s="610">
        <f t="shared" si="20"/>
        <v>35443236.450000003</v>
      </c>
      <c r="AE16" s="610">
        <f t="shared" ref="AE16:CP16" si="21">SUM(AE17:AE20)</f>
        <v>34900999.260000005</v>
      </c>
      <c r="AF16" s="610">
        <f t="shared" si="21"/>
        <v>35537560.409999996</v>
      </c>
      <c r="AG16" s="610">
        <f t="shared" si="21"/>
        <v>38132047.049999997</v>
      </c>
      <c r="AH16" s="610">
        <f t="shared" si="21"/>
        <v>38314826.5</v>
      </c>
      <c r="AI16" s="610">
        <f t="shared" si="21"/>
        <v>27501272</v>
      </c>
      <c r="AJ16" s="610">
        <f t="shared" si="21"/>
        <v>27501272</v>
      </c>
      <c r="AK16" s="610">
        <f t="shared" si="21"/>
        <v>0</v>
      </c>
      <c r="AL16" s="610">
        <f t="shared" si="21"/>
        <v>41412198.350000001</v>
      </c>
      <c r="AM16" s="610">
        <f t="shared" si="21"/>
        <v>42112588.18</v>
      </c>
      <c r="AN16" s="610">
        <f t="shared" si="21"/>
        <v>46319424.07</v>
      </c>
      <c r="AO16" s="610">
        <f t="shared" si="21"/>
        <v>34320074.060000002</v>
      </c>
      <c r="AP16" s="610">
        <f t="shared" si="21"/>
        <v>57903915.089999996</v>
      </c>
      <c r="AQ16" s="610">
        <f t="shared" si="21"/>
        <v>62413287.279999994</v>
      </c>
      <c r="AR16" s="610">
        <f t="shared" si="21"/>
        <v>65649253.57</v>
      </c>
      <c r="AS16" s="610">
        <f t="shared" si="21"/>
        <v>69668696.700000003</v>
      </c>
      <c r="AT16" s="610">
        <f t="shared" si="21"/>
        <v>0</v>
      </c>
      <c r="AU16" s="610">
        <f t="shared" si="21"/>
        <v>76322254.709999993</v>
      </c>
      <c r="AV16" s="610">
        <f t="shared" si="21"/>
        <v>-18541410.110000003</v>
      </c>
      <c r="AW16" s="610">
        <f t="shared" si="21"/>
        <v>31120922</v>
      </c>
      <c r="AX16" s="610">
        <f t="shared" si="21"/>
        <v>0</v>
      </c>
      <c r="AY16" s="610">
        <f t="shared" si="21"/>
        <v>0</v>
      </c>
      <c r="AZ16" s="610">
        <f t="shared" si="21"/>
        <v>-30132021.409999996</v>
      </c>
      <c r="BA16" s="610">
        <f t="shared" si="21"/>
        <v>-64361903.640000001</v>
      </c>
      <c r="BB16" s="610">
        <f t="shared" si="21"/>
        <v>35749277</v>
      </c>
      <c r="BC16" s="610">
        <f t="shared" si="21"/>
        <v>37492975.100000001</v>
      </c>
      <c r="BD16" s="610">
        <f t="shared" si="21"/>
        <v>34126199</v>
      </c>
      <c r="BE16" s="610">
        <f t="shared" si="21"/>
        <v>38136474.82</v>
      </c>
      <c r="BF16" s="610">
        <f t="shared" si="21"/>
        <v>40112710.509999998</v>
      </c>
      <c r="BG16" s="610">
        <f t="shared" si="21"/>
        <v>0</v>
      </c>
      <c r="BH16" s="610">
        <f t="shared" si="21"/>
        <v>43364896</v>
      </c>
      <c r="BI16" s="610">
        <f t="shared" si="21"/>
        <v>45705763.82</v>
      </c>
      <c r="BJ16" s="610">
        <f t="shared" si="21"/>
        <v>37569427</v>
      </c>
      <c r="BK16" s="610">
        <f t="shared" si="21"/>
        <v>38389595.829999998</v>
      </c>
      <c r="BL16" s="610">
        <f t="shared" si="21"/>
        <v>38545435.469999999</v>
      </c>
      <c r="BM16" s="610">
        <f t="shared" si="21"/>
        <v>40293571.359999999</v>
      </c>
      <c r="BN16" s="610">
        <f t="shared" si="21"/>
        <v>41217697</v>
      </c>
      <c r="BO16" s="610">
        <f t="shared" si="21"/>
        <v>43713403</v>
      </c>
      <c r="BP16" s="610">
        <f t="shared" si="21"/>
        <v>42995243</v>
      </c>
      <c r="BQ16" s="610">
        <f t="shared" si="21"/>
        <v>44089113</v>
      </c>
      <c r="BR16" s="610">
        <f t="shared" si="21"/>
        <v>44585871</v>
      </c>
      <c r="BS16" s="610">
        <f t="shared" si="21"/>
        <v>45139475</v>
      </c>
      <c r="BT16" s="610">
        <f t="shared" si="21"/>
        <v>46354994</v>
      </c>
      <c r="BU16" s="610">
        <f t="shared" si="21"/>
        <v>47890929</v>
      </c>
      <c r="BV16" s="610">
        <f t="shared" si="21"/>
        <v>44842826.460000001</v>
      </c>
      <c r="BW16" s="610">
        <f t="shared" si="21"/>
        <v>45921060.039999999</v>
      </c>
      <c r="BX16" s="610">
        <f t="shared" si="21"/>
        <v>46804310</v>
      </c>
      <c r="BY16" s="610">
        <f t="shared" si="21"/>
        <v>47249721</v>
      </c>
      <c r="BZ16" s="610">
        <f t="shared" si="21"/>
        <v>47883334</v>
      </c>
      <c r="CA16" s="610">
        <f t="shared" si="21"/>
        <v>48206600</v>
      </c>
      <c r="CB16" s="610">
        <f t="shared" si="21"/>
        <v>53230957</v>
      </c>
      <c r="CC16" s="610">
        <f t="shared" si="21"/>
        <v>54493325</v>
      </c>
      <c r="CD16" s="610">
        <f t="shared" si="21"/>
        <v>56460105</v>
      </c>
      <c r="CE16" s="610">
        <f t="shared" si="21"/>
        <v>58151193</v>
      </c>
      <c r="CF16" s="610">
        <f t="shared" si="21"/>
        <v>60103284.040000007</v>
      </c>
      <c r="CG16" s="610">
        <f t="shared" si="21"/>
        <v>62075424.870000005</v>
      </c>
      <c r="CH16" s="610">
        <f t="shared" si="21"/>
        <v>62486065.659999996</v>
      </c>
      <c r="CI16" s="610">
        <f t="shared" si="21"/>
        <v>68147384.799999997</v>
      </c>
      <c r="CJ16" s="610">
        <f t="shared" si="21"/>
        <v>50174488.299999997</v>
      </c>
      <c r="CK16" s="610">
        <f t="shared" si="21"/>
        <v>52375734.150000006</v>
      </c>
      <c r="CL16" s="610" t="e">
        <f t="shared" si="21"/>
        <v>#REF!</v>
      </c>
      <c r="CM16" s="610">
        <f t="shared" si="21"/>
        <v>56357297.5</v>
      </c>
      <c r="CN16" s="610">
        <f t="shared" si="21"/>
        <v>58130012.799999997</v>
      </c>
      <c r="CO16" s="610">
        <f t="shared" si="21"/>
        <v>60726037.5</v>
      </c>
      <c r="CP16" s="610">
        <f t="shared" si="21"/>
        <v>63282583.159999996</v>
      </c>
      <c r="CQ16" s="610">
        <f t="shared" ref="CQ16:CW16" si="22">SUM(CQ17:CQ20)</f>
        <v>66654713.57</v>
      </c>
      <c r="CR16" s="610">
        <f t="shared" si="22"/>
        <v>70180176.5</v>
      </c>
      <c r="CS16" s="610">
        <f t="shared" si="22"/>
        <v>73894641.829999998</v>
      </c>
      <c r="CT16" s="610">
        <f t="shared" si="22"/>
        <v>71708298.359999999</v>
      </c>
      <c r="CU16" s="610">
        <f t="shared" si="22"/>
        <v>77170188.280000001</v>
      </c>
      <c r="CV16" s="610">
        <f t="shared" si="22"/>
        <v>76184332.799999997</v>
      </c>
      <c r="CW16" s="610">
        <f t="shared" si="22"/>
        <v>60637566.170000002</v>
      </c>
      <c r="CX16" s="610">
        <f t="shared" ref="CX16:DD16" si="23">SUM(CX17:CX20)</f>
        <v>63411905.200000003</v>
      </c>
      <c r="CY16" s="610">
        <f t="shared" si="23"/>
        <v>66640987.82</v>
      </c>
      <c r="CZ16" s="610">
        <f t="shared" si="23"/>
        <v>69978383.909999996</v>
      </c>
      <c r="DA16" s="610">
        <f t="shared" si="23"/>
        <v>74695160.790000007</v>
      </c>
      <c r="DB16" s="610">
        <f t="shared" si="23"/>
        <v>77751442.25</v>
      </c>
      <c r="DC16" s="610">
        <f t="shared" si="23"/>
        <v>80662110.440000013</v>
      </c>
      <c r="DD16" s="610">
        <f t="shared" si="23"/>
        <v>84030239.420000002</v>
      </c>
      <c r="DE16" s="610">
        <f t="shared" ref="DE16:EB16" si="24">SUM(DE17:DE20)</f>
        <v>88627529.409999996</v>
      </c>
      <c r="DF16" s="610">
        <f t="shared" si="24"/>
        <v>92873654.189999998</v>
      </c>
      <c r="DG16" s="610">
        <f t="shared" si="24"/>
        <v>93976618.180000007</v>
      </c>
      <c r="DH16" s="610">
        <f t="shared" si="24"/>
        <v>97316417.700000003</v>
      </c>
      <c r="DI16" s="610">
        <f t="shared" si="24"/>
        <v>72824194.890000001</v>
      </c>
      <c r="DJ16" s="610">
        <f t="shared" si="24"/>
        <v>73290644</v>
      </c>
      <c r="DK16" s="610">
        <f t="shared" si="24"/>
        <v>73496960.539999992</v>
      </c>
      <c r="DL16" s="610">
        <f t="shared" si="24"/>
        <v>80761584.950000003</v>
      </c>
      <c r="DM16" s="610">
        <f t="shared" si="24"/>
        <v>89148039.689999998</v>
      </c>
      <c r="DN16" s="610">
        <f t="shared" si="24"/>
        <v>92917408.210000008</v>
      </c>
      <c r="DO16" s="610">
        <f t="shared" si="24"/>
        <v>96642171.00999999</v>
      </c>
      <c r="DP16" s="610">
        <f t="shared" si="24"/>
        <v>100490934</v>
      </c>
      <c r="DQ16" s="610">
        <f t="shared" si="24"/>
        <v>104435015.80000001</v>
      </c>
      <c r="DR16" s="610">
        <f t="shared" si="24"/>
        <v>110001146.74000001</v>
      </c>
      <c r="DS16" s="610">
        <f t="shared" si="24"/>
        <v>105012916.95999999</v>
      </c>
      <c r="DT16" s="610">
        <f t="shared" si="24"/>
        <v>106586435.69999999</v>
      </c>
      <c r="DU16" s="610">
        <f t="shared" si="24"/>
        <v>109847695.78999999</v>
      </c>
      <c r="DV16" s="610">
        <f t="shared" ref="DV16:DW16" si="25">SUM(DV17:DV20)</f>
        <v>0</v>
      </c>
      <c r="DW16" s="610">
        <f t="shared" si="25"/>
        <v>97517528</v>
      </c>
      <c r="DX16" s="610"/>
      <c r="DY16" s="610"/>
      <c r="DZ16" s="610"/>
      <c r="EA16" s="610"/>
      <c r="EB16" s="610"/>
    </row>
    <row r="17" spans="1:132" ht="15" x14ac:dyDescent="0.25">
      <c r="A17" s="602" t="s">
        <v>152</v>
      </c>
      <c r="B17" s="611" t="s">
        <v>153</v>
      </c>
      <c r="C17" s="590">
        <f>Trend!C40</f>
        <v>358000</v>
      </c>
      <c r="D17" s="590">
        <f>Trend!D40</f>
        <v>618000</v>
      </c>
      <c r="E17" s="590">
        <f>Trend!E40</f>
        <v>7470000</v>
      </c>
      <c r="F17" s="590">
        <f>Trend!F40</f>
        <v>10188316</v>
      </c>
      <c r="G17" s="590">
        <f>Trend!G40</f>
        <v>13099989</v>
      </c>
      <c r="H17" s="590">
        <f>Trend!H40</f>
        <v>16896221.260000002</v>
      </c>
      <c r="I17" s="590">
        <f>Trend!I40</f>
        <v>15978641</v>
      </c>
      <c r="J17" s="590">
        <f>Trend!J40</f>
        <v>33927741.520000003</v>
      </c>
      <c r="K17" s="590">
        <f>Trend!K40</f>
        <v>17383213.260000002</v>
      </c>
      <c r="L17" s="590">
        <f>Trend!L40</f>
        <v>17974930.260000002</v>
      </c>
      <c r="M17" s="590">
        <f>Trend!M40</f>
        <v>18032037.260000002</v>
      </c>
      <c r="N17" s="590">
        <f>Trend!N40</f>
        <v>18444575.260000002</v>
      </c>
      <c r="O17" s="590">
        <f>Trend!O40</f>
        <v>18585194.260000002</v>
      </c>
      <c r="P17" s="590">
        <f>Trend!P40</f>
        <v>19175829.260000002</v>
      </c>
      <c r="Q17" s="590">
        <f>Trend!Q40</f>
        <v>18691824.260000002</v>
      </c>
      <c r="R17" s="590">
        <f>Trend!R40</f>
        <v>18921949.260000002</v>
      </c>
      <c r="S17" s="590">
        <f>Trend!S40</f>
        <v>19717783.260000002</v>
      </c>
      <c r="T17" s="590">
        <f>Trend!T40</f>
        <v>20111540.260000002</v>
      </c>
      <c r="U17" s="590">
        <f>Trend!U40</f>
        <v>19718355.260000002</v>
      </c>
      <c r="V17" s="590">
        <f>Trend!V40</f>
        <v>18898149</v>
      </c>
      <c r="W17" s="590">
        <f>Trend!W40</f>
        <v>20128307.260000002</v>
      </c>
      <c r="X17" s="590">
        <f>Trend!X40</f>
        <v>21027549.260000002</v>
      </c>
      <c r="Y17" s="590">
        <f>Trend!Y40</f>
        <v>21308409.260000002</v>
      </c>
      <c r="Z17" s="590">
        <f>Trend!Z40</f>
        <v>23736308.260000002</v>
      </c>
      <c r="AA17" s="590">
        <f>Trend!AA40</f>
        <v>24389735.260000002</v>
      </c>
      <c r="AB17" s="590">
        <f>Trend!AB40</f>
        <v>25091160.280000001</v>
      </c>
      <c r="AC17" s="590">
        <f>Trend!AC40</f>
        <v>26050348.93</v>
      </c>
      <c r="AD17" s="590">
        <f>Trend!AD40</f>
        <v>26849735.73</v>
      </c>
      <c r="AE17" s="590">
        <f>Trend!AE40</f>
        <v>27104748.530000001</v>
      </c>
      <c r="AF17" s="590">
        <f>Trend!AF40</f>
        <v>26346063.559999999</v>
      </c>
      <c r="AG17" s="590">
        <f>Trend!AG40</f>
        <v>27544270.18</v>
      </c>
      <c r="AH17" s="590">
        <f>Trend!AH40</f>
        <v>27907588.18</v>
      </c>
      <c r="AI17" s="590">
        <f>Trend!AI40</f>
        <v>21766249</v>
      </c>
      <c r="AJ17" s="590">
        <f>Trend!AJ40</f>
        <v>21766249</v>
      </c>
      <c r="AK17" s="590">
        <f>Trend!AK40</f>
        <v>0</v>
      </c>
      <c r="AL17" s="590">
        <f>Trend!AL40</f>
        <v>35545041.219999999</v>
      </c>
      <c r="AM17" s="590">
        <f>Trend!AM40</f>
        <v>35304831.799999997</v>
      </c>
      <c r="AN17" s="590">
        <f>Trend!AN40</f>
        <v>36720050.079999998</v>
      </c>
      <c r="AO17" s="590">
        <f>Trend!AO40</f>
        <v>24389735.260000002</v>
      </c>
      <c r="AP17" s="590">
        <f>Trend!AP40</f>
        <v>46118891.619999997</v>
      </c>
      <c r="AQ17" s="590">
        <f>Trend!AQ40</f>
        <v>49332735.659999996</v>
      </c>
      <c r="AR17" s="590">
        <f>Trend!AR40</f>
        <v>53888951.82</v>
      </c>
      <c r="AS17" s="590">
        <f>Trend!AS40</f>
        <v>57802514.840000004</v>
      </c>
      <c r="AT17" s="590">
        <f>Trend!AT40</f>
        <v>0</v>
      </c>
      <c r="AU17" s="590">
        <f>Trend!AU40</f>
        <v>60964425.049999997</v>
      </c>
      <c r="AV17" s="590">
        <f>Trend!AV40</f>
        <v>31786378.050000001</v>
      </c>
      <c r="AW17" s="590">
        <f>Trend!AW40</f>
        <v>23368005</v>
      </c>
      <c r="AX17" s="590">
        <f>Trend!AX40</f>
        <v>0</v>
      </c>
      <c r="AY17" s="590">
        <f>Trend!AY40</f>
        <v>0</v>
      </c>
      <c r="AZ17" s="590">
        <f>Trend!AZ40</f>
        <v>-32128988</v>
      </c>
      <c r="BA17" s="590">
        <f>Trend!BA40</f>
        <v>-64836010.100000001</v>
      </c>
      <c r="BB17" s="590">
        <f>Trend!BB40</f>
        <v>24212302</v>
      </c>
      <c r="BC17" s="590">
        <f>Trend!BC40</f>
        <v>24338933</v>
      </c>
      <c r="BD17" s="590">
        <f>Trend!BD40</f>
        <v>24484113</v>
      </c>
      <c r="BE17" s="590">
        <f>Trend!BE40</f>
        <v>24627427.899999999</v>
      </c>
      <c r="BF17" s="590">
        <f>Trend!BF40</f>
        <v>24808582.91</v>
      </c>
      <c r="BG17" s="590">
        <f>Trend!BG40</f>
        <v>0</v>
      </c>
      <c r="BH17" s="590">
        <f>Trend!BH40</f>
        <v>25137577</v>
      </c>
      <c r="BI17" s="590">
        <f>Trend!BI40</f>
        <v>25255387.359999999</v>
      </c>
      <c r="BJ17" s="590">
        <f>Trend!BJ40</f>
        <v>25255387</v>
      </c>
      <c r="BK17" s="590">
        <f>Trend!BK40</f>
        <v>25332452.359999999</v>
      </c>
      <c r="BL17" s="590">
        <f>Trend!BL40</f>
        <v>25488292</v>
      </c>
      <c r="BM17" s="590">
        <f>Trend!BM40</f>
        <v>25892885.359999999</v>
      </c>
      <c r="BN17" s="590">
        <f>Trend!BN40</f>
        <v>26065897</v>
      </c>
      <c r="BO17" s="590">
        <f>Trend!BO40</f>
        <v>26305008</v>
      </c>
      <c r="BP17" s="590">
        <f>Trend!BP40</f>
        <v>26514691</v>
      </c>
      <c r="BQ17" s="590">
        <f>Trend!BQ40</f>
        <v>27608561</v>
      </c>
      <c r="BR17" s="590">
        <f>Trend!BR40</f>
        <v>28155319</v>
      </c>
      <c r="BS17" s="590">
        <f>Trend!BS40</f>
        <v>28590761</v>
      </c>
      <c r="BT17" s="590">
        <f>Trend!BT40</f>
        <v>28850953</v>
      </c>
      <c r="BU17" s="590">
        <f>Trend!BU40</f>
        <v>29309422</v>
      </c>
      <c r="BV17" s="590">
        <f>Trend!BV40</f>
        <v>29583093</v>
      </c>
      <c r="BW17" s="590">
        <f>Trend!BW40</f>
        <v>29583093.039999999</v>
      </c>
      <c r="BX17" s="590">
        <f>Trend!BX40</f>
        <v>29760294</v>
      </c>
      <c r="BY17" s="590">
        <f>Trend!BY40</f>
        <v>29914576</v>
      </c>
      <c r="BZ17" s="590">
        <f>Trend!BZ40</f>
        <v>30548189</v>
      </c>
      <c r="CA17" s="590">
        <f>Trend!CA40</f>
        <v>30655114</v>
      </c>
      <c r="CB17" s="590">
        <f>Trend!CB40</f>
        <v>30821674</v>
      </c>
      <c r="CC17" s="590">
        <f>Trend!CC40</f>
        <v>30945348</v>
      </c>
      <c r="CD17" s="590">
        <f>Trend!CD40</f>
        <v>31105148</v>
      </c>
      <c r="CE17" s="590">
        <f>Trend!CE40</f>
        <v>31242651</v>
      </c>
      <c r="CF17" s="590">
        <f>Trend!CF40</f>
        <v>31416532.23</v>
      </c>
      <c r="CG17" s="590">
        <f>Trend!CG40</f>
        <v>31574244.57</v>
      </c>
      <c r="CH17" s="590">
        <f>Trend!CH40</f>
        <v>31850792.460000001</v>
      </c>
      <c r="CI17" s="590">
        <f>Trend!CI40</f>
        <v>31984936.800000001</v>
      </c>
      <c r="CJ17" s="590">
        <f>Trend!CJ40</f>
        <v>31984936.800000001</v>
      </c>
      <c r="CK17" s="590">
        <f>Trend!CK40</f>
        <v>32177149.850000001</v>
      </c>
      <c r="CL17" s="590" t="e">
        <f>Trend!#REF!</f>
        <v>#REF!</v>
      </c>
      <c r="CM17" s="590">
        <f>Trend!CM40</f>
        <v>32816015</v>
      </c>
      <c r="CN17" s="590">
        <f>Trend!CN40</f>
        <v>32990257</v>
      </c>
      <c r="CO17" s="590">
        <f>Trend!CO40</f>
        <v>33158169.899999999</v>
      </c>
      <c r="CP17" s="590">
        <f>Trend!CP40</f>
        <v>33451675</v>
      </c>
      <c r="CQ17" s="590">
        <f>Trend!CQ40</f>
        <v>33844748.670000002</v>
      </c>
      <c r="CR17" s="590">
        <f>Trend!CR40</f>
        <v>34213651</v>
      </c>
      <c r="CS17" s="590">
        <f>Trend!CS40</f>
        <v>34987928.829999998</v>
      </c>
      <c r="CT17" s="590">
        <f>Trend!CT40</f>
        <v>34582419.159999996</v>
      </c>
      <c r="CU17" s="590">
        <f>Trend!CU40</f>
        <v>35649778.780000001</v>
      </c>
      <c r="CV17" s="590">
        <f>Trend!CV40</f>
        <v>35996598</v>
      </c>
      <c r="CW17" s="590">
        <f>Trend!CW40</f>
        <v>35996598.310000002</v>
      </c>
      <c r="CX17" s="590">
        <f>Trend!CX40</f>
        <v>36244309.640000001</v>
      </c>
      <c r="CY17" s="590">
        <f>Trend!CY40</f>
        <v>36616408.960000001</v>
      </c>
      <c r="CZ17" s="590">
        <f>Trend!CZ40</f>
        <v>37617520.350000001</v>
      </c>
      <c r="DA17" s="590">
        <f>Trend!DA40</f>
        <v>38070246.450000003</v>
      </c>
      <c r="DB17" s="590">
        <f>Trend!DB40</f>
        <v>38388354.609999999</v>
      </c>
      <c r="DC17" s="590">
        <f>Trend!DC40</f>
        <v>39005546</v>
      </c>
      <c r="DD17" s="590">
        <f>Trend!DD40</f>
        <v>39438880.420000002</v>
      </c>
      <c r="DE17" s="590">
        <f>Trend!DE40</f>
        <v>39852688.409999996</v>
      </c>
      <c r="DF17" s="590">
        <f>Trend!DF40</f>
        <v>40195569.020000003</v>
      </c>
      <c r="DG17" s="590">
        <f>Trend!DG40</f>
        <v>40528804.68</v>
      </c>
      <c r="DH17" s="590">
        <f>Trend!DH40</f>
        <v>40976875</v>
      </c>
      <c r="DI17" s="590">
        <f>Trend!DI40</f>
        <v>41367361.880000003</v>
      </c>
      <c r="DJ17" s="590">
        <f>Trend!DJ40</f>
        <v>41367361</v>
      </c>
      <c r="DK17" s="590">
        <f>Trend!DK40</f>
        <v>41875543.75</v>
      </c>
      <c r="DL17" s="590">
        <f>Trend!DL40</f>
        <v>42391440.399999999</v>
      </c>
      <c r="DM17" s="590">
        <f>Trend!DM40</f>
        <v>46886541.039999999</v>
      </c>
      <c r="DN17" s="590">
        <f>Trend!DN40</f>
        <v>47847276.560000002</v>
      </c>
      <c r="DO17" s="590">
        <f>Trend!DO40</f>
        <v>48264409.359999999</v>
      </c>
      <c r="DP17" s="590">
        <f>Trend!DP40</f>
        <v>49922678.850000001</v>
      </c>
      <c r="DQ17" s="590">
        <f>Trend!DQ40</f>
        <v>50966751.850000001</v>
      </c>
      <c r="DR17" s="590">
        <f>Trend!DR40</f>
        <v>51420469.390000001</v>
      </c>
      <c r="DS17" s="590">
        <f>Trend!DS40</f>
        <v>51980327.909999996</v>
      </c>
      <c r="DT17" s="590">
        <f>Trend!DT40</f>
        <v>52440975.549999997</v>
      </c>
      <c r="DU17" s="590">
        <f>Trend!DU40</f>
        <v>52867805.640000001</v>
      </c>
      <c r="DV17" s="590">
        <f>Trend!DV40</f>
        <v>0</v>
      </c>
      <c r="DW17" s="590">
        <f>Trend!DW40</f>
        <v>53313338</v>
      </c>
      <c r="DX17" s="590"/>
      <c r="DY17" s="590"/>
      <c r="DZ17" s="590"/>
      <c r="EA17" s="590"/>
      <c r="EB17" s="590"/>
    </row>
    <row r="18" spans="1:132" ht="15" x14ac:dyDescent="0.25">
      <c r="A18" s="602" t="s">
        <v>154</v>
      </c>
      <c r="B18" s="591" t="s">
        <v>73</v>
      </c>
      <c r="C18" s="590">
        <f>Trend!C42</f>
        <v>24089</v>
      </c>
      <c r="D18" s="590">
        <f>Trend!D42</f>
        <v>46089</v>
      </c>
      <c r="E18" s="590">
        <f>Trend!E42</f>
        <v>88005</v>
      </c>
      <c r="F18" s="590">
        <f>Trend!F42</f>
        <v>211308</v>
      </c>
      <c r="G18" s="590">
        <f>Trend!G42</f>
        <v>325421</v>
      </c>
      <c r="H18" s="590">
        <f>Trend!H42</f>
        <v>5055549.07</v>
      </c>
      <c r="I18" s="590">
        <f>Trend!I42</f>
        <v>394020</v>
      </c>
      <c r="J18" s="590">
        <f>Trend!J42</f>
        <v>10499630.99</v>
      </c>
      <c r="K18" s="590">
        <f>Trend!K42</f>
        <v>5804260.2200000007</v>
      </c>
      <c r="L18" s="590">
        <f>Trend!L42</f>
        <v>2875475.4699999997</v>
      </c>
      <c r="M18" s="590">
        <f>Trend!M42</f>
        <v>3288520.4299999997</v>
      </c>
      <c r="N18" s="590">
        <f>Trend!N42</f>
        <v>7086486.9199999999</v>
      </c>
      <c r="O18" s="590">
        <f>Trend!O42</f>
        <v>7559392.4199999999</v>
      </c>
      <c r="P18" s="590">
        <f>Trend!P42</f>
        <v>7936642.21</v>
      </c>
      <c r="Q18" s="590">
        <f>Trend!Q42</f>
        <v>8433218.4900000002</v>
      </c>
      <c r="R18" s="590">
        <f>Trend!R42</f>
        <v>9217216.5899999999</v>
      </c>
      <c r="S18" s="590">
        <f>Trend!S42</f>
        <v>9046032.2400000002</v>
      </c>
      <c r="T18" s="590">
        <f>Trend!T42</f>
        <v>9565424.2699999996</v>
      </c>
      <c r="U18" s="590">
        <f>Trend!U42</f>
        <v>5334126.84</v>
      </c>
      <c r="V18" s="590">
        <f>Trend!V42</f>
        <v>154751</v>
      </c>
      <c r="W18" s="590">
        <f>Trend!W42</f>
        <v>8269978.1100000003</v>
      </c>
      <c r="X18" s="590">
        <f>Trend!X42</f>
        <v>8902893.9400000013</v>
      </c>
      <c r="Y18" s="590">
        <f>Trend!Y42</f>
        <v>5409262.2300000004</v>
      </c>
      <c r="Z18" s="590">
        <f>Trend!Z42</f>
        <v>6016138.75</v>
      </c>
      <c r="AA18" s="590">
        <f>Trend!AA42</f>
        <v>6044267.8000000007</v>
      </c>
      <c r="AB18" s="590">
        <f>Trend!AB42</f>
        <v>6806091.9500000011</v>
      </c>
      <c r="AC18" s="590">
        <f>Trend!AC42</f>
        <v>3522473.2499999995</v>
      </c>
      <c r="AD18" s="590">
        <f>Trend!AD42</f>
        <v>4600139.7200000007</v>
      </c>
      <c r="AE18" s="590">
        <f>Trend!AE42</f>
        <v>3764049.73</v>
      </c>
      <c r="AF18" s="590">
        <f>Trend!AF42</f>
        <v>5122245.8499999996</v>
      </c>
      <c r="AG18" s="590">
        <f>Trend!AG42</f>
        <v>6469531.870000001</v>
      </c>
      <c r="AH18" s="590">
        <f>Trend!AH42</f>
        <v>6218643.3200000003</v>
      </c>
      <c r="AI18" s="590">
        <f>Trend!AI42</f>
        <v>1327040</v>
      </c>
      <c r="AJ18" s="590">
        <f>Trend!AJ42</f>
        <v>1327040</v>
      </c>
      <c r="AK18" s="590">
        <f>Trend!AK42</f>
        <v>0</v>
      </c>
      <c r="AL18" s="590">
        <f>Trend!AL42</f>
        <v>1697312.13</v>
      </c>
      <c r="AM18" s="590">
        <f>Trend!AM42</f>
        <v>2654911.38</v>
      </c>
      <c r="AN18" s="590">
        <f>Trend!AN42</f>
        <v>5446528.9900000002</v>
      </c>
      <c r="AO18" s="590">
        <f>Trend!AO42</f>
        <v>6044267.8000000007</v>
      </c>
      <c r="AP18" s="590">
        <f>Trend!AP42</f>
        <v>7644178.4699999997</v>
      </c>
      <c r="AQ18" s="590">
        <f>Trend!AQ42</f>
        <v>8722216.6199999992</v>
      </c>
      <c r="AR18" s="590">
        <f>Trend!AR42</f>
        <v>7413966.75</v>
      </c>
      <c r="AS18" s="590">
        <f>Trend!AS42</f>
        <v>7545846.8600000003</v>
      </c>
      <c r="AT18" s="590">
        <f>Trend!AT42</f>
        <v>0</v>
      </c>
      <c r="AU18" s="590">
        <f>Trend!AU42</f>
        <v>11055494.66</v>
      </c>
      <c r="AV18" s="590">
        <f>Trend!AV42</f>
        <v>-57331431.160000004</v>
      </c>
      <c r="AW18" s="590">
        <f>Trend!AW42</f>
        <v>2618533</v>
      </c>
      <c r="AX18" s="590">
        <f>Trend!AX42</f>
        <v>0</v>
      </c>
      <c r="AY18" s="590">
        <f>Trend!AY42</f>
        <v>0</v>
      </c>
      <c r="AZ18" s="590">
        <f>Trend!AZ42</f>
        <v>-2350562.41</v>
      </c>
      <c r="BA18" s="590">
        <f>Trend!BA42</f>
        <v>-7564951.54</v>
      </c>
      <c r="BB18" s="590">
        <f>Trend!BB42</f>
        <v>4898332</v>
      </c>
      <c r="BC18" s="590">
        <f>Trend!BC42</f>
        <v>6555399.0999999996</v>
      </c>
      <c r="BD18" s="590">
        <f>Trend!BD42</f>
        <v>2406482</v>
      </c>
      <c r="BE18" s="590">
        <f>Trend!BE42</f>
        <v>6273442.9199999999</v>
      </c>
      <c r="BF18" s="590">
        <f>Trend!BF42</f>
        <v>8088523.5999999996</v>
      </c>
      <c r="BG18" s="590">
        <f>Trend!BG42</f>
        <v>0</v>
      </c>
      <c r="BH18" s="590">
        <f>Trend!BH42</f>
        <v>11056715</v>
      </c>
      <c r="BI18" s="590">
        <f>Trend!BI42</f>
        <v>12665112.460000001</v>
      </c>
      <c r="BJ18" s="590">
        <f>Trend!BJ42</f>
        <v>3733306</v>
      </c>
      <c r="BK18" s="590">
        <f>Trend!BK42</f>
        <v>4476409.47</v>
      </c>
      <c r="BL18" s="590">
        <f>Trend!BL42</f>
        <v>4476409.47</v>
      </c>
      <c r="BM18" s="590">
        <f>Trend!BM42</f>
        <v>5819295</v>
      </c>
      <c r="BN18" s="590">
        <f>Trend!BN42</f>
        <v>6570409</v>
      </c>
      <c r="BO18" s="590">
        <f>Trend!BO42</f>
        <v>8697331</v>
      </c>
      <c r="BP18" s="590">
        <f>Trend!BP42</f>
        <v>7804488</v>
      </c>
      <c r="BQ18" s="590">
        <f>Trend!BQ42</f>
        <v>7804488</v>
      </c>
      <c r="BR18" s="590">
        <f>Trend!BR42</f>
        <v>7804488</v>
      </c>
      <c r="BS18" s="590">
        <f>Trend!BS42</f>
        <v>7922650</v>
      </c>
      <c r="BT18" s="590">
        <f>Trend!BT42</f>
        <v>8922650</v>
      </c>
      <c r="BU18" s="590">
        <f>Trend!BU42</f>
        <v>10000116</v>
      </c>
      <c r="BV18" s="590">
        <f>Trend!BV42</f>
        <v>6633669.46</v>
      </c>
      <c r="BW18" s="590">
        <f>Trend!BW42</f>
        <v>6169776</v>
      </c>
      <c r="BX18" s="590">
        <f>Trend!BX42</f>
        <v>6875825</v>
      </c>
      <c r="BY18" s="590">
        <f>Trend!BY42</f>
        <v>7166954</v>
      </c>
      <c r="BZ18" s="590">
        <f>Trend!BZ42</f>
        <v>7166954</v>
      </c>
      <c r="CA18" s="590">
        <f>Trend!CA42</f>
        <v>7383295</v>
      </c>
      <c r="CB18" s="590">
        <f>Trend!CB42</f>
        <v>12241092</v>
      </c>
      <c r="CC18" s="590">
        <f>Trend!CC42</f>
        <v>13379786</v>
      </c>
      <c r="CD18" s="590">
        <f>Trend!CD42</f>
        <v>15186766</v>
      </c>
      <c r="CE18" s="590">
        <f>Trend!CE42</f>
        <v>16740351</v>
      </c>
      <c r="CF18" s="590">
        <f>Trend!CF42</f>
        <v>18518560.810000002</v>
      </c>
      <c r="CG18" s="590">
        <f>Trend!CG42</f>
        <v>20332989.300000001</v>
      </c>
      <c r="CH18" s="590">
        <f>Trend!CH42</f>
        <v>20467082.199999999</v>
      </c>
      <c r="CI18" s="590">
        <f>Trend!CI42</f>
        <v>25994257</v>
      </c>
      <c r="CJ18" s="590">
        <f>Trend!CJ42</f>
        <v>6941524</v>
      </c>
      <c r="CK18" s="590">
        <f>Trend!CK42</f>
        <v>8950556.8000000007</v>
      </c>
      <c r="CL18" s="590">
        <f>Trend!CL42</f>
        <v>10752263.699999999</v>
      </c>
      <c r="CM18" s="590">
        <f>Trend!CM42</f>
        <v>12293253</v>
      </c>
      <c r="CN18" s="590">
        <f>Trend!CN42</f>
        <v>13933729</v>
      </c>
      <c r="CO18" s="590">
        <f>Trend!CO42</f>
        <v>16319838.1</v>
      </c>
      <c r="CP18" s="590">
        <f>Trend!CP42</f>
        <v>18582878.66</v>
      </c>
      <c r="CQ18" s="590">
        <f>Trend!CQ42</f>
        <v>21561935.399999999</v>
      </c>
      <c r="CR18" s="590">
        <f>Trend!CR42</f>
        <v>24718496</v>
      </c>
      <c r="CS18" s="590">
        <f>Trend!CS42</f>
        <v>27658683.5</v>
      </c>
      <c r="CT18" s="590">
        <f>Trend!CT42</f>
        <v>25877849.699999999</v>
      </c>
      <c r="CU18" s="590">
        <f>Trend!CU42</f>
        <v>30272380</v>
      </c>
      <c r="CV18" s="590">
        <f>Trend!CV42</f>
        <v>28055613</v>
      </c>
      <c r="CW18" s="590">
        <f>Trend!CW42</f>
        <v>10932919.859999999</v>
      </c>
      <c r="CX18" s="590">
        <f>Trend!CX42</f>
        <v>13459547.559999999</v>
      </c>
      <c r="CY18" s="590">
        <f>Trend!CY42</f>
        <v>16316530.859999999</v>
      </c>
      <c r="CZ18" s="590">
        <f>Trend!CZ42</f>
        <v>18652815.559999999</v>
      </c>
      <c r="DA18" s="590">
        <f>Trend!DA42</f>
        <v>21616866.359999999</v>
      </c>
      <c r="DB18" s="590">
        <f>Trend!DB42</f>
        <v>24355039.66</v>
      </c>
      <c r="DC18" s="590">
        <f>Trend!DC42</f>
        <v>26648516.460000001</v>
      </c>
      <c r="DD18" s="590">
        <f>Trend!DD42</f>
        <v>29583311.02</v>
      </c>
      <c r="DE18" s="590">
        <f>Trend!DE42</f>
        <v>33766794</v>
      </c>
      <c r="DF18" s="590">
        <f>Trend!DF42</f>
        <v>37670038.170000002</v>
      </c>
      <c r="DG18" s="590">
        <f>Trend!DG42</f>
        <v>38439766.5</v>
      </c>
      <c r="DH18" s="590">
        <f>Trend!DH42</f>
        <v>41331495.700000003</v>
      </c>
      <c r="DI18" s="590">
        <f>Trend!DI42</f>
        <v>13802700.220000001</v>
      </c>
      <c r="DJ18" s="590">
        <f>Trend!DJ42</f>
        <v>14175861</v>
      </c>
      <c r="DK18" s="590">
        <f>Trend!DK42</f>
        <v>13967284</v>
      </c>
      <c r="DL18" s="590">
        <f>Trend!DL42</f>
        <v>20702211.300000001</v>
      </c>
      <c r="DM18" s="590">
        <f>Trend!DM42</f>
        <v>24593565.399999999</v>
      </c>
      <c r="DN18" s="590">
        <f>Trend!DN42</f>
        <v>27402198.399999999</v>
      </c>
      <c r="DO18" s="590">
        <f>Trend!DO42</f>
        <v>30709828.399999999</v>
      </c>
      <c r="DP18" s="590">
        <f>Trend!DP42</f>
        <v>32900321.899999999</v>
      </c>
      <c r="DQ18" s="590">
        <f>Trend!DQ42</f>
        <v>35800330.700000003</v>
      </c>
      <c r="DR18" s="590">
        <f>Trend!DR42</f>
        <v>39662744.100000001</v>
      </c>
      <c r="DS18" s="590">
        <f>Trend!DS42</f>
        <v>42713439.799999997</v>
      </c>
      <c r="DT18" s="590">
        <f>Trend!DT42</f>
        <v>43826310.899999999</v>
      </c>
      <c r="DU18" s="590">
        <f>Trend!DU42</f>
        <v>46660740.899999999</v>
      </c>
      <c r="DV18" s="590">
        <f>Trend!DV42</f>
        <v>0</v>
      </c>
      <c r="DW18" s="590">
        <f>Trend!DW42</f>
        <v>17077729</v>
      </c>
      <c r="DX18" s="590"/>
      <c r="DY18" s="590"/>
      <c r="DZ18" s="590"/>
      <c r="EA18" s="590"/>
      <c r="EB18" s="590"/>
    </row>
    <row r="19" spans="1:132" ht="15" x14ac:dyDescent="0.25">
      <c r="A19" s="602" t="s">
        <v>155</v>
      </c>
      <c r="B19" s="591" t="s">
        <v>156</v>
      </c>
      <c r="C19" s="590">
        <f>Trend!C46</f>
        <v>19772</v>
      </c>
      <c r="D19" s="590">
        <f>Trend!D46</f>
        <v>34772</v>
      </c>
      <c r="E19" s="590">
        <f>Trend!E46</f>
        <v>57751</v>
      </c>
      <c r="F19" s="590">
        <f>Trend!F46</f>
        <v>211710</v>
      </c>
      <c r="G19" s="590">
        <f>Trend!G46</f>
        <v>359738</v>
      </c>
      <c r="H19" s="590">
        <f>Trend!H46</f>
        <v>359738</v>
      </c>
      <c r="I19" s="590">
        <f>Trend!I46</f>
        <v>589148</v>
      </c>
      <c r="J19" s="590">
        <f>Trend!J46</f>
        <v>719476</v>
      </c>
      <c r="K19" s="590">
        <f>Trend!K46</f>
        <v>359738</v>
      </c>
      <c r="L19" s="590">
        <f>Trend!L46</f>
        <v>359738</v>
      </c>
      <c r="M19" s="590">
        <f>Trend!M46</f>
        <v>359738</v>
      </c>
      <c r="N19" s="590">
        <f>Trend!N46</f>
        <v>359738</v>
      </c>
      <c r="O19" s="590">
        <f>Trend!O46</f>
        <v>359738</v>
      </c>
      <c r="P19" s="590">
        <f>Trend!P46</f>
        <v>359738</v>
      </c>
      <c r="Q19" s="590">
        <f>Trend!Q46</f>
        <v>359738</v>
      </c>
      <c r="R19" s="590">
        <f>Trend!R46</f>
        <v>359738</v>
      </c>
      <c r="S19" s="590">
        <f>Trend!S46</f>
        <v>359738</v>
      </c>
      <c r="T19" s="590">
        <f>Trend!T46</f>
        <v>359738</v>
      </c>
      <c r="U19" s="590">
        <f>Trend!U46</f>
        <v>359738</v>
      </c>
      <c r="V19" s="590">
        <f>Trend!V46</f>
        <v>723646</v>
      </c>
      <c r="W19" s="590">
        <f>Trend!W46</f>
        <v>359738</v>
      </c>
      <c r="X19" s="590">
        <f>Trend!X46</f>
        <v>359738</v>
      </c>
      <c r="Y19" s="590">
        <f>Trend!Y46</f>
        <v>359738</v>
      </c>
      <c r="Z19" s="590">
        <f>Trend!Z46</f>
        <v>359738</v>
      </c>
      <c r="AA19" s="590">
        <f>Trend!AA46</f>
        <v>359738</v>
      </c>
      <c r="AB19" s="590">
        <f>Trend!AB46</f>
        <v>359738</v>
      </c>
      <c r="AC19" s="590">
        <f>Trend!AC46</f>
        <v>359738</v>
      </c>
      <c r="AD19" s="590">
        <f>Trend!AD46</f>
        <v>359738</v>
      </c>
      <c r="AE19" s="590">
        <f>Trend!AE46</f>
        <v>359738</v>
      </c>
      <c r="AF19" s="590">
        <f>Trend!AF46</f>
        <v>359738</v>
      </c>
      <c r="AG19" s="590">
        <f>Trend!AG46</f>
        <v>359738</v>
      </c>
      <c r="AH19" s="590">
        <f>Trend!AH46</f>
        <v>359738</v>
      </c>
      <c r="AI19" s="590">
        <f>Trend!AI46</f>
        <v>1319557</v>
      </c>
      <c r="AJ19" s="590">
        <f>Trend!AJ46</f>
        <v>1319557</v>
      </c>
      <c r="AK19" s="590">
        <f>Trend!AK46</f>
        <v>0</v>
      </c>
      <c r="AL19" s="590">
        <f>Trend!AL46</f>
        <v>359738</v>
      </c>
      <c r="AM19" s="590">
        <f>Trend!AM46</f>
        <v>359738</v>
      </c>
      <c r="AN19" s="590">
        <f>Trend!AN46</f>
        <v>359738</v>
      </c>
      <c r="AO19" s="590">
        <f>Trend!AO46</f>
        <v>359738</v>
      </c>
      <c r="AP19" s="590">
        <f>Trend!AP46</f>
        <v>359738</v>
      </c>
      <c r="AQ19" s="590">
        <f>Trend!AQ46</f>
        <v>359738</v>
      </c>
      <c r="AR19" s="590">
        <f>Trend!AR46</f>
        <v>359738</v>
      </c>
      <c r="AS19" s="590">
        <f>Trend!AS46</f>
        <v>359738</v>
      </c>
      <c r="AT19" s="590">
        <f>Trend!AT46</f>
        <v>0</v>
      </c>
      <c r="AU19" s="590">
        <f>Trend!AU46</f>
        <v>359738</v>
      </c>
      <c r="AV19" s="590">
        <f>Trend!AV46</f>
        <v>1319557</v>
      </c>
      <c r="AW19" s="590">
        <f>Trend!AW46</f>
        <v>1844468</v>
      </c>
      <c r="AX19" s="590">
        <f>Trend!AX46</f>
        <v>0</v>
      </c>
      <c r="AY19" s="590">
        <f>Trend!AY46</f>
        <v>0</v>
      </c>
      <c r="AZ19" s="590">
        <f>Trend!AZ46</f>
        <v>-1319557</v>
      </c>
      <c r="BA19" s="590">
        <f>Trend!BA46</f>
        <v>-2639114</v>
      </c>
      <c r="BB19" s="590">
        <f>Trend!BB46</f>
        <v>1319557</v>
      </c>
      <c r="BC19" s="590">
        <f>Trend!BC46</f>
        <v>1319557</v>
      </c>
      <c r="BD19" s="590">
        <f>Trend!BD46</f>
        <v>1956518</v>
      </c>
      <c r="BE19" s="590">
        <f>Trend!BE46</f>
        <v>1956518</v>
      </c>
      <c r="BF19" s="590">
        <f>Trend!BF46</f>
        <v>1956518</v>
      </c>
      <c r="BG19" s="590">
        <f>Trend!BG46</f>
        <v>0</v>
      </c>
      <c r="BH19" s="590">
        <f>Trend!BH46</f>
        <v>1956518</v>
      </c>
      <c r="BI19" s="590">
        <f>Trend!BI46</f>
        <v>1956518</v>
      </c>
      <c r="BJ19" s="590">
        <f>Trend!BJ46</f>
        <v>2927061</v>
      </c>
      <c r="BK19" s="590">
        <f>Trend!BK46</f>
        <v>2927061</v>
      </c>
      <c r="BL19" s="590">
        <f>Trend!BL46</f>
        <v>2927061</v>
      </c>
      <c r="BM19" s="590">
        <f>Trend!BM46</f>
        <v>2927718</v>
      </c>
      <c r="BN19" s="590">
        <f>Trend!BN46</f>
        <v>2927718</v>
      </c>
      <c r="BO19" s="590">
        <f>Trend!BO46</f>
        <v>2927718</v>
      </c>
      <c r="BP19" s="590">
        <f>Trend!BP46</f>
        <v>2927718</v>
      </c>
      <c r="BQ19" s="590">
        <f>Trend!BQ46</f>
        <v>2927718</v>
      </c>
      <c r="BR19" s="590">
        <f>Trend!BR46</f>
        <v>2927718</v>
      </c>
      <c r="BS19" s="590">
        <f>Trend!BS46</f>
        <v>2927718</v>
      </c>
      <c r="BT19" s="590">
        <f>Trend!BT46</f>
        <v>2927718</v>
      </c>
      <c r="BU19" s="590">
        <f>Trend!BU46</f>
        <v>2927718</v>
      </c>
      <c r="BV19" s="590">
        <f>Trend!BV46</f>
        <v>2927718</v>
      </c>
      <c r="BW19" s="590">
        <f>Trend!BW46</f>
        <v>6113979</v>
      </c>
      <c r="BX19" s="590">
        <f>Trend!BX46</f>
        <v>4054212</v>
      </c>
      <c r="BY19" s="590">
        <f>Trend!BY46</f>
        <v>4054212</v>
      </c>
      <c r="BZ19" s="590">
        <f>Trend!BZ46</f>
        <v>4054212</v>
      </c>
      <c r="CA19" s="590">
        <f>Trend!CA46</f>
        <v>4054212</v>
      </c>
      <c r="CB19" s="590">
        <f>Trend!CB46</f>
        <v>4054212</v>
      </c>
      <c r="CC19" s="590">
        <f>Trend!CC46</f>
        <v>4054212</v>
      </c>
      <c r="CD19" s="590">
        <f>Trend!CD46</f>
        <v>4054212</v>
      </c>
      <c r="CE19" s="590">
        <f>Trend!CE46</f>
        <v>4054212</v>
      </c>
      <c r="CF19" s="590">
        <f>Trend!CF46</f>
        <v>4054212</v>
      </c>
      <c r="CG19" s="590">
        <f>Trend!CG46</f>
        <v>4054212</v>
      </c>
      <c r="CH19" s="590">
        <f>Trend!CH46</f>
        <v>4054212</v>
      </c>
      <c r="CI19" s="590">
        <f>Trend!CI46</f>
        <v>4054212</v>
      </c>
      <c r="CJ19" s="590">
        <f>Trend!CJ46</f>
        <v>5115343.8</v>
      </c>
      <c r="CK19" s="590">
        <f>Trend!CK46</f>
        <v>5115343.8</v>
      </c>
      <c r="CL19" s="590">
        <f>Trend!CL46</f>
        <v>5115343.8</v>
      </c>
      <c r="CM19" s="590">
        <f>Trend!CM46</f>
        <v>5115343.8</v>
      </c>
      <c r="CN19" s="590">
        <f>Trend!CN46</f>
        <v>5115343.8</v>
      </c>
      <c r="CO19" s="590">
        <f>Trend!CO46</f>
        <v>5115343.8</v>
      </c>
      <c r="CP19" s="590">
        <f>Trend!CP46</f>
        <v>5115343.8</v>
      </c>
      <c r="CQ19" s="590">
        <f>Trend!CQ46</f>
        <v>5115343.8</v>
      </c>
      <c r="CR19" s="590">
        <f>Trend!CR46</f>
        <v>5115343.8</v>
      </c>
      <c r="CS19" s="590">
        <f>Trend!CS46</f>
        <v>5115343.8</v>
      </c>
      <c r="CT19" s="590">
        <f>Trend!CT46</f>
        <v>5115343.8</v>
      </c>
      <c r="CU19" s="590">
        <f>Trend!CU46</f>
        <v>5115343.8</v>
      </c>
      <c r="CV19" s="590">
        <f>Trend!CV46</f>
        <v>5115343.8</v>
      </c>
      <c r="CW19" s="590">
        <f>Trend!CW46</f>
        <v>6691270</v>
      </c>
      <c r="CX19" s="590">
        <f>Trend!CX46</f>
        <v>6691270</v>
      </c>
      <c r="CY19" s="590">
        <f>Trend!CY46</f>
        <v>6691270</v>
      </c>
      <c r="CZ19" s="590">
        <f>Trend!CZ46</f>
        <v>6691270</v>
      </c>
      <c r="DA19" s="590">
        <f>Trend!DA46</f>
        <v>6691270</v>
      </c>
      <c r="DB19" s="590">
        <f>Trend!DB46</f>
        <v>6691270</v>
      </c>
      <c r="DC19" s="590">
        <f>Trend!DC46</f>
        <v>6691270</v>
      </c>
      <c r="DD19" s="590">
        <f>Trend!DD46</f>
        <v>6691270</v>
      </c>
      <c r="DE19" s="590">
        <f>Trend!DE46</f>
        <v>6691270</v>
      </c>
      <c r="DF19" s="590">
        <f>Trend!DF46</f>
        <v>6691270</v>
      </c>
      <c r="DG19" s="590">
        <f>Trend!DG46</f>
        <v>6691270</v>
      </c>
      <c r="DH19" s="590">
        <f>Trend!DH46</f>
        <v>6691270</v>
      </c>
      <c r="DI19" s="590">
        <f>Trend!DI46</f>
        <v>8584983.5399999991</v>
      </c>
      <c r="DJ19" s="590">
        <f>Trend!DJ46</f>
        <v>8678273</v>
      </c>
      <c r="DK19" s="590">
        <f>Trend!DK46</f>
        <v>8584983.5399999991</v>
      </c>
      <c r="DL19" s="590">
        <f>Trend!DL46</f>
        <v>8598784</v>
      </c>
      <c r="DM19" s="590">
        <f>Trend!DM46</f>
        <v>8598784</v>
      </c>
      <c r="DN19" s="590">
        <f>Trend!DN46</f>
        <v>8598784</v>
      </c>
      <c r="DO19" s="590">
        <f>Trend!DO46</f>
        <v>8598784</v>
      </c>
      <c r="DP19" s="590">
        <f>Trend!DP46</f>
        <v>8598784</v>
      </c>
      <c r="DQ19" s="590">
        <f>Trend!DQ46</f>
        <v>8598784</v>
      </c>
      <c r="DR19" s="590">
        <f>Trend!DR46</f>
        <v>8598784</v>
      </c>
      <c r="DS19" s="590">
        <f>Trend!DS46</f>
        <v>10319149.25</v>
      </c>
      <c r="DT19" s="590">
        <f>Trend!DT46</f>
        <v>10319149.25</v>
      </c>
      <c r="DU19" s="590">
        <f>Trend!DU46</f>
        <v>10319149.25</v>
      </c>
      <c r="DV19" s="590">
        <f>Trend!DV46</f>
        <v>0</v>
      </c>
      <c r="DW19" s="590">
        <f>Trend!DW46</f>
        <v>11130433</v>
      </c>
      <c r="DX19" s="590"/>
      <c r="DY19" s="590"/>
      <c r="DZ19" s="590"/>
      <c r="EA19" s="590"/>
      <c r="EB19" s="590"/>
    </row>
    <row r="20" spans="1:132" ht="15" x14ac:dyDescent="0.25">
      <c r="A20" s="602" t="s">
        <v>157</v>
      </c>
      <c r="B20" s="591" t="s">
        <v>158</v>
      </c>
      <c r="C20" s="590">
        <f>Trend!C47</f>
        <v>38000</v>
      </c>
      <c r="D20" s="590">
        <f>Trend!D47</f>
        <v>38000</v>
      </c>
      <c r="E20" s="590">
        <f>Trend!E47</f>
        <v>838000</v>
      </c>
      <c r="F20" s="590">
        <f>Trend!F47</f>
        <v>838000</v>
      </c>
      <c r="G20" s="590">
        <f>Trend!G47</f>
        <v>1667000</v>
      </c>
      <c r="H20" s="590">
        <f>Trend!H47</f>
        <v>2963270</v>
      </c>
      <c r="I20" s="590">
        <f>Trend!I47</f>
        <v>2763270</v>
      </c>
      <c r="J20" s="590">
        <f>Trend!J47</f>
        <v>5972840</v>
      </c>
      <c r="K20" s="590">
        <f>Trend!K47</f>
        <v>3037817</v>
      </c>
      <c r="L20" s="590">
        <f>Trend!L47</f>
        <v>3065367</v>
      </c>
      <c r="M20" s="590">
        <f>Trend!M47</f>
        <v>3101267</v>
      </c>
      <c r="N20" s="590">
        <f>Trend!N47</f>
        <v>3114117</v>
      </c>
      <c r="O20" s="590">
        <f>Trend!O47</f>
        <v>3130723</v>
      </c>
      <c r="P20" s="590">
        <f>Trend!P47</f>
        <v>3186973</v>
      </c>
      <c r="Q20" s="590">
        <f>Trend!Q47</f>
        <v>3223973</v>
      </c>
      <c r="R20" s="590">
        <f>Trend!R47</f>
        <v>3262423</v>
      </c>
      <c r="S20" s="590">
        <f>Trend!S47</f>
        <v>3309203</v>
      </c>
      <c r="T20" s="590">
        <f>Trend!T47</f>
        <v>3354980</v>
      </c>
      <c r="U20" s="590">
        <f>Trend!U47</f>
        <v>3407670</v>
      </c>
      <c r="V20" s="590">
        <f>Trend!V47</f>
        <v>2764226</v>
      </c>
      <c r="W20" s="590">
        <f>Trend!W47</f>
        <v>3352373</v>
      </c>
      <c r="X20" s="590">
        <f>Trend!X47</f>
        <v>3407353</v>
      </c>
      <c r="Y20" s="590">
        <f>Trend!Y47</f>
        <v>3453253</v>
      </c>
      <c r="Z20" s="590">
        <f>Trend!Z47</f>
        <v>3493783</v>
      </c>
      <c r="AA20" s="590">
        <f>Trend!AA47</f>
        <v>3526333</v>
      </c>
      <c r="AB20" s="590">
        <f>Trend!AB47</f>
        <v>3536933</v>
      </c>
      <c r="AC20" s="590">
        <f>Trend!AC47</f>
        <v>3575313</v>
      </c>
      <c r="AD20" s="590">
        <f>Trend!AD47</f>
        <v>3633623</v>
      </c>
      <c r="AE20" s="590">
        <f>Trend!AE47</f>
        <v>3672463</v>
      </c>
      <c r="AF20" s="590">
        <f>Trend!AF47</f>
        <v>3709513</v>
      </c>
      <c r="AG20" s="590">
        <f>Trend!AG47</f>
        <v>3758507</v>
      </c>
      <c r="AH20" s="590">
        <f>Trend!AH47</f>
        <v>3828857</v>
      </c>
      <c r="AI20" s="590">
        <f>Trend!AI47</f>
        <v>3088426</v>
      </c>
      <c r="AJ20" s="590">
        <f>Trend!AJ47</f>
        <v>3088426</v>
      </c>
      <c r="AK20" s="590">
        <f>Trend!AK47</f>
        <v>0</v>
      </c>
      <c r="AL20" s="590">
        <f>Trend!AL47</f>
        <v>3810107</v>
      </c>
      <c r="AM20" s="590">
        <f>Trend!AM47</f>
        <v>3793107</v>
      </c>
      <c r="AN20" s="590">
        <f>Trend!AN47</f>
        <v>3793107</v>
      </c>
      <c r="AO20" s="590">
        <f>Trend!AO47</f>
        <v>3526333</v>
      </c>
      <c r="AP20" s="590">
        <f>Trend!AP47</f>
        <v>3781107</v>
      </c>
      <c r="AQ20" s="590">
        <f>Trend!AQ47</f>
        <v>3998597</v>
      </c>
      <c r="AR20" s="590">
        <f>Trend!AR47</f>
        <v>3986597</v>
      </c>
      <c r="AS20" s="590">
        <f>Trend!AS47</f>
        <v>3960597</v>
      </c>
      <c r="AT20" s="590">
        <f>Trend!AT47</f>
        <v>0</v>
      </c>
      <c r="AU20" s="590">
        <f>Trend!AU47</f>
        <v>3942597</v>
      </c>
      <c r="AV20" s="590">
        <f>Trend!AV47</f>
        <v>5684086</v>
      </c>
      <c r="AW20" s="590">
        <f>Trend!AW47</f>
        <v>3289916</v>
      </c>
      <c r="AX20" s="590">
        <f>Trend!AX47</f>
        <v>0</v>
      </c>
      <c r="AY20" s="590">
        <f>Trend!AY47</f>
        <v>0</v>
      </c>
      <c r="AZ20" s="590">
        <f>Trend!AZ47</f>
        <v>5667086</v>
      </c>
      <c r="BA20" s="590">
        <f>Trend!BA47</f>
        <v>10678172</v>
      </c>
      <c r="BB20" s="590">
        <f>Trend!BB47</f>
        <v>5319086</v>
      </c>
      <c r="BC20" s="590">
        <f>Trend!BC47</f>
        <v>5279086</v>
      </c>
      <c r="BD20" s="590">
        <f>Trend!BD47</f>
        <v>5279086</v>
      </c>
      <c r="BE20" s="590">
        <f>Trend!BE47</f>
        <v>5279086</v>
      </c>
      <c r="BF20" s="590">
        <f>Trend!BF47</f>
        <v>5259086</v>
      </c>
      <c r="BG20" s="590">
        <f>Trend!BG47</f>
        <v>0</v>
      </c>
      <c r="BH20" s="590">
        <f>Trend!BH47</f>
        <v>5214086</v>
      </c>
      <c r="BI20" s="590">
        <f>Trend!BI47</f>
        <v>5828746</v>
      </c>
      <c r="BJ20" s="590">
        <f>Trend!BJ47</f>
        <v>5653673</v>
      </c>
      <c r="BK20" s="590">
        <f>Trend!BK47</f>
        <v>5653673</v>
      </c>
      <c r="BL20" s="590">
        <f>Trend!BL47</f>
        <v>5653673</v>
      </c>
      <c r="BM20" s="590">
        <f>Trend!BM47</f>
        <v>5653673</v>
      </c>
      <c r="BN20" s="590">
        <f>Trend!BN47</f>
        <v>5653673</v>
      </c>
      <c r="BO20" s="590">
        <f>Trend!BO47</f>
        <v>5783346</v>
      </c>
      <c r="BP20" s="590">
        <f>Trend!BP47</f>
        <v>5748346</v>
      </c>
      <c r="BQ20" s="590">
        <f>Trend!BQ47</f>
        <v>5748346</v>
      </c>
      <c r="BR20" s="590">
        <f>Trend!BR47</f>
        <v>5698346</v>
      </c>
      <c r="BS20" s="590">
        <f>Trend!BS47</f>
        <v>5698346</v>
      </c>
      <c r="BT20" s="590">
        <f>Trend!BT47</f>
        <v>5653673</v>
      </c>
      <c r="BU20" s="590">
        <f>Trend!BU47</f>
        <v>5653673</v>
      </c>
      <c r="BV20" s="590">
        <f>Trend!BV47</f>
        <v>5698346</v>
      </c>
      <c r="BW20" s="590">
        <f>Trend!BW47</f>
        <v>4054212</v>
      </c>
      <c r="BX20" s="590">
        <f>Trend!BX47</f>
        <v>6113979</v>
      </c>
      <c r="BY20" s="590">
        <f>Trend!BY47</f>
        <v>6113979</v>
      </c>
      <c r="BZ20" s="590">
        <f>Trend!BZ47</f>
        <v>6113979</v>
      </c>
      <c r="CA20" s="590">
        <f>Trend!CA47</f>
        <v>6113979</v>
      </c>
      <c r="CB20" s="590">
        <f>Trend!CB47</f>
        <v>6113979</v>
      </c>
      <c r="CC20" s="590">
        <f>Trend!CC47</f>
        <v>6113979</v>
      </c>
      <c r="CD20" s="590">
        <f>Trend!CD47</f>
        <v>6113979</v>
      </c>
      <c r="CE20" s="590">
        <f>Trend!CE47</f>
        <v>6113979</v>
      </c>
      <c r="CF20" s="590">
        <f>Trend!CF47</f>
        <v>6113979</v>
      </c>
      <c r="CG20" s="590">
        <f>Trend!CG47</f>
        <v>6113979</v>
      </c>
      <c r="CH20" s="590">
        <f>Trend!CH47</f>
        <v>6113979</v>
      </c>
      <c r="CI20" s="590">
        <f>Trend!CI47</f>
        <v>6113979</v>
      </c>
      <c r="CJ20" s="590">
        <f>Trend!CJ47</f>
        <v>6132683.7000000002</v>
      </c>
      <c r="CK20" s="590">
        <f>Trend!CK47</f>
        <v>6132683.7000000002</v>
      </c>
      <c r="CL20" s="590">
        <f>Trend!CL47</f>
        <v>6132685.7000000002</v>
      </c>
      <c r="CM20" s="590">
        <f>Trend!CM47</f>
        <v>6132685.7000000002</v>
      </c>
      <c r="CN20" s="590">
        <f>Trend!CN47</f>
        <v>6090683</v>
      </c>
      <c r="CO20" s="590">
        <f>Trend!CO47</f>
        <v>6132685.7000000002</v>
      </c>
      <c r="CP20" s="590">
        <f>Trend!CP47</f>
        <v>6132685.7000000002</v>
      </c>
      <c r="CQ20" s="590">
        <f>Trend!CQ47</f>
        <v>6132685.7000000002</v>
      </c>
      <c r="CR20" s="590">
        <f>Trend!CR47</f>
        <v>6132685.7000000002</v>
      </c>
      <c r="CS20" s="590">
        <f>Trend!CS47</f>
        <v>6132685.7000000002</v>
      </c>
      <c r="CT20" s="590">
        <f>Trend!CT47</f>
        <v>6132685.7000000002</v>
      </c>
      <c r="CU20" s="590">
        <f>Trend!CU47</f>
        <v>6132685.7000000002</v>
      </c>
      <c r="CV20" s="590">
        <f>Trend!CV47</f>
        <v>7016778</v>
      </c>
      <c r="CW20" s="590">
        <f>Trend!CW47</f>
        <v>7016778</v>
      </c>
      <c r="CX20" s="590">
        <f>Trend!CX47</f>
        <v>7016778</v>
      </c>
      <c r="CY20" s="590">
        <f>Trend!CY47</f>
        <v>7016778</v>
      </c>
      <c r="CZ20" s="590">
        <f>Trend!CZ47</f>
        <v>7016778</v>
      </c>
      <c r="DA20" s="590">
        <f>Trend!DA47</f>
        <v>8316777.9800000004</v>
      </c>
      <c r="DB20" s="590">
        <f>Trend!DB47</f>
        <v>8316777.9800000004</v>
      </c>
      <c r="DC20" s="590">
        <f>Trend!DC47</f>
        <v>8316777.9800000004</v>
      </c>
      <c r="DD20" s="590">
        <f>Trend!DD47</f>
        <v>8316777.9800000004</v>
      </c>
      <c r="DE20" s="590">
        <f>Trend!DE47</f>
        <v>8316777</v>
      </c>
      <c r="DF20" s="590">
        <f>Trend!DF47</f>
        <v>8316777</v>
      </c>
      <c r="DG20" s="590">
        <f>Trend!DG47</f>
        <v>8316777</v>
      </c>
      <c r="DH20" s="590">
        <f>Trend!DH47</f>
        <v>8316777</v>
      </c>
      <c r="DI20" s="590">
        <f>Trend!DI47</f>
        <v>9069149.25</v>
      </c>
      <c r="DJ20" s="590">
        <f>Trend!DJ47</f>
        <v>9069149</v>
      </c>
      <c r="DK20" s="590">
        <f>Trend!DK47</f>
        <v>9069149.25</v>
      </c>
      <c r="DL20" s="590">
        <f>Trend!DL47</f>
        <v>9069149.25</v>
      </c>
      <c r="DM20" s="590">
        <f>Trend!DM47</f>
        <v>9069149.25</v>
      </c>
      <c r="DN20" s="590">
        <f>Trend!DN47</f>
        <v>9069149.25</v>
      </c>
      <c r="DO20" s="590">
        <f>Trend!DO47</f>
        <v>9069149.25</v>
      </c>
      <c r="DP20" s="590">
        <f>Trend!DP47</f>
        <v>9069149.25</v>
      </c>
      <c r="DQ20" s="590">
        <f>Trend!DQ47</f>
        <v>9069149.25</v>
      </c>
      <c r="DR20" s="590">
        <f>Trend!DR47</f>
        <v>10319149.25</v>
      </c>
      <c r="DS20" s="590">
        <f>Trend!DS47</f>
        <v>0</v>
      </c>
      <c r="DT20" s="590">
        <f>Trend!DT47</f>
        <v>0</v>
      </c>
      <c r="DU20" s="590">
        <f>Trend!DU47</f>
        <v>0</v>
      </c>
      <c r="DV20" s="590">
        <f>Trend!DV47</f>
        <v>0</v>
      </c>
      <c r="DW20" s="590">
        <f>Trend!DW47</f>
        <v>15996028</v>
      </c>
      <c r="DX20" s="590"/>
      <c r="DY20" s="590"/>
      <c r="DZ20" s="590"/>
      <c r="EA20" s="590"/>
      <c r="EB20" s="590"/>
    </row>
    <row r="21" spans="1:132" ht="15" x14ac:dyDescent="0.25">
      <c r="A21" s="602" t="s">
        <v>159</v>
      </c>
      <c r="B21" s="612" t="s">
        <v>160</v>
      </c>
      <c r="C21" s="590"/>
      <c r="D21" s="590"/>
      <c r="E21" s="590"/>
      <c r="F21" s="590"/>
      <c r="G21" s="590"/>
      <c r="H21" s="590"/>
      <c r="I21" s="590"/>
      <c r="J21" s="590"/>
      <c r="K21" s="590"/>
      <c r="L21" s="590"/>
      <c r="M21" s="590"/>
      <c r="N21" s="590"/>
      <c r="O21" s="590"/>
      <c r="P21" s="590"/>
      <c r="Q21" s="590"/>
      <c r="R21" s="590"/>
      <c r="S21" s="590"/>
      <c r="T21" s="590"/>
      <c r="U21" s="590"/>
      <c r="V21" s="590"/>
      <c r="W21" s="590"/>
      <c r="X21" s="590"/>
      <c r="Y21" s="590"/>
      <c r="Z21" s="590"/>
      <c r="AA21" s="590"/>
      <c r="AB21" s="590"/>
      <c r="AC21" s="590"/>
      <c r="AD21" s="590"/>
      <c r="AE21" s="590"/>
      <c r="AF21" s="590"/>
      <c r="AG21" s="590"/>
      <c r="AH21" s="590"/>
      <c r="AI21" s="590"/>
      <c r="AJ21" s="590"/>
      <c r="AK21" s="590"/>
      <c r="AL21" s="590"/>
      <c r="AM21" s="590"/>
      <c r="AN21" s="590"/>
      <c r="AO21" s="590"/>
      <c r="AP21" s="590"/>
      <c r="AQ21" s="590"/>
      <c r="AR21" s="590"/>
      <c r="AS21" s="590"/>
      <c r="AT21" s="590"/>
      <c r="AU21" s="590"/>
      <c r="AV21" s="590"/>
      <c r="AW21" s="590"/>
      <c r="AX21" s="590"/>
      <c r="AY21" s="590"/>
      <c r="AZ21" s="590"/>
      <c r="BA21" s="590"/>
      <c r="BB21" s="590"/>
      <c r="BC21" s="590"/>
      <c r="BD21" s="590"/>
      <c r="BE21" s="590"/>
      <c r="BF21" s="590"/>
      <c r="BG21" s="590"/>
      <c r="BH21" s="590"/>
      <c r="BI21" s="590"/>
      <c r="BJ21" s="590"/>
      <c r="BK21" s="590"/>
      <c r="BL21" s="590"/>
      <c r="BM21" s="590"/>
      <c r="BN21" s="590"/>
      <c r="BO21" s="590"/>
      <c r="BP21" s="590"/>
      <c r="BQ21" s="573"/>
      <c r="BR21" s="573"/>
      <c r="BS21" s="573"/>
      <c r="BT21" s="573"/>
      <c r="BU21" s="573"/>
      <c r="BV21" s="573"/>
      <c r="BW21" s="573"/>
      <c r="BX21" s="573"/>
      <c r="BY21" s="573"/>
      <c r="BZ21" s="573"/>
      <c r="CA21" s="573"/>
      <c r="CB21" s="573"/>
      <c r="CC21" s="573"/>
      <c r="CD21" s="573"/>
      <c r="CE21" s="573"/>
      <c r="CF21" s="573"/>
      <c r="CG21" s="573"/>
      <c r="CH21" s="573"/>
      <c r="CI21" s="573"/>
      <c r="CJ21" s="573"/>
      <c r="CK21" s="573"/>
      <c r="CL21" s="573"/>
      <c r="CM21" s="573"/>
      <c r="CN21" s="573"/>
      <c r="CO21" s="573"/>
      <c r="CP21" s="573"/>
      <c r="CQ21" s="573"/>
      <c r="CR21" s="573"/>
      <c r="CS21" s="573"/>
      <c r="CT21" s="573"/>
      <c r="CU21" s="573"/>
      <c r="CV21" s="573"/>
      <c r="CW21" s="573"/>
      <c r="CX21" s="573"/>
      <c r="CY21" s="573"/>
      <c r="CZ21" s="573"/>
      <c r="DA21" s="573"/>
      <c r="DB21" s="573"/>
      <c r="DC21" s="573"/>
      <c r="DD21" s="573"/>
      <c r="DE21" s="573"/>
      <c r="DF21" s="573"/>
      <c r="DG21" s="573"/>
      <c r="DH21" s="573"/>
      <c r="DI21" s="573"/>
      <c r="DJ21" s="573"/>
      <c r="DK21" s="573"/>
      <c r="DL21" s="573"/>
      <c r="DM21" s="573"/>
      <c r="DN21" s="573"/>
      <c r="DO21" s="573"/>
      <c r="DP21" s="573"/>
      <c r="DQ21" s="573"/>
      <c r="DR21" s="573"/>
      <c r="DS21" s="573"/>
      <c r="DT21" s="573"/>
      <c r="DU21" s="573"/>
      <c r="DV21" s="573"/>
      <c r="DW21" s="573"/>
      <c r="DX21" s="573"/>
      <c r="DY21" s="573"/>
      <c r="DZ21" s="573"/>
      <c r="EA21" s="573"/>
      <c r="EB21" s="573"/>
    </row>
    <row r="22" spans="1:132" ht="15" x14ac:dyDescent="0.25">
      <c r="A22" s="613" t="s">
        <v>161</v>
      </c>
      <c r="B22" s="591" t="s">
        <v>162</v>
      </c>
      <c r="C22" s="590">
        <f>Trend!C68+Trend!C69</f>
        <v>0</v>
      </c>
      <c r="D22" s="590">
        <f>Trend!D68+Trend!D69</f>
        <v>0</v>
      </c>
      <c r="E22" s="590">
        <f>Trend!E68+Trend!E69</f>
        <v>1138470</v>
      </c>
      <c r="F22" s="590">
        <f>Trend!F68+Trend!F69</f>
        <v>1388148</v>
      </c>
      <c r="G22" s="590">
        <f>Trend!G68+Trend!G69</f>
        <v>1753935</v>
      </c>
      <c r="H22" s="590">
        <f>Trend!H68+Trend!H69</f>
        <v>0</v>
      </c>
      <c r="I22" s="590">
        <f>Trend!I68+Trend!I69</f>
        <v>2958639</v>
      </c>
      <c r="J22" s="590">
        <f>Trend!J68+Trend!J69</f>
        <v>0</v>
      </c>
      <c r="K22" s="590">
        <f>Trend!K68+Trend!K69</f>
        <v>0</v>
      </c>
      <c r="L22" s="590">
        <f>Trend!L68+Trend!L69</f>
        <v>3225290</v>
      </c>
      <c r="M22" s="590">
        <f>Trend!M68+Trend!M69</f>
        <v>3320940</v>
      </c>
      <c r="N22" s="590">
        <f>Trend!N68+Trend!N69</f>
        <v>95650</v>
      </c>
      <c r="O22" s="590">
        <f>Trend!O68+Trend!O69</f>
        <v>95650</v>
      </c>
      <c r="P22" s="590">
        <f>Trend!P68+Trend!P69</f>
        <v>145633</v>
      </c>
      <c r="Q22" s="590">
        <f>Trend!Q68+Trend!Q69</f>
        <v>276559</v>
      </c>
      <c r="R22" s="590">
        <f>Trend!R68+Trend!R69</f>
        <v>276559</v>
      </c>
      <c r="S22" s="590">
        <f>Trend!S68+Trend!S69</f>
        <v>276559</v>
      </c>
      <c r="T22" s="590">
        <f>Trend!T68+Trend!T69</f>
        <v>0</v>
      </c>
      <c r="U22" s="590">
        <f>Trend!U68+Trend!U69</f>
        <v>0</v>
      </c>
      <c r="V22" s="590">
        <f>Trend!V68+Trend!V69</f>
        <v>3722056</v>
      </c>
      <c r="W22" s="590">
        <f>Trend!W68+Trend!W69</f>
        <v>0</v>
      </c>
      <c r="X22" s="590">
        <f>Trend!X68+Trend!X69</f>
        <v>0</v>
      </c>
      <c r="Y22" s="590">
        <f>Trend!Y68+Trend!Y69</f>
        <v>0</v>
      </c>
      <c r="Z22" s="590">
        <f>Trend!Z68+Trend!Z69</f>
        <v>52230</v>
      </c>
      <c r="AA22" s="590">
        <f>Trend!AA68+Trend!AA69</f>
        <v>52230</v>
      </c>
      <c r="AB22" s="590">
        <f>Trend!AB68+Trend!AB69</f>
        <v>61830</v>
      </c>
      <c r="AC22" s="590">
        <f>Trend!AC68+Trend!AC69</f>
        <v>65030</v>
      </c>
      <c r="AD22" s="590">
        <f>Trend!AD68+Trend!AD69</f>
        <v>71430</v>
      </c>
      <c r="AE22" s="590">
        <f>Trend!AE68+Trend!AE69</f>
        <v>71430</v>
      </c>
      <c r="AF22" s="590">
        <f>Trend!AF68+Trend!AF69</f>
        <v>69110</v>
      </c>
      <c r="AG22" s="590">
        <f>Trend!AG68+Trend!AG69</f>
        <v>158162</v>
      </c>
      <c r="AH22" s="590">
        <f>Trend!AH68+Trend!AH69</f>
        <v>169131</v>
      </c>
      <c r="AI22" s="590">
        <f>Trend!AI68+Trend!AI69</f>
        <v>5263460</v>
      </c>
      <c r="AJ22" s="590">
        <f>Trend!AJ68+Trend!AJ69</f>
        <v>5263461</v>
      </c>
      <c r="AK22" s="590">
        <f>Trend!AK68+Trend!AK69</f>
        <v>0</v>
      </c>
      <c r="AL22" s="590">
        <f>Trend!AL68+Trend!AL69</f>
        <v>0</v>
      </c>
      <c r="AM22" s="590">
        <f>Trend!AM68+Trend!AM69</f>
        <v>0</v>
      </c>
      <c r="AN22" s="590">
        <f>Trend!AN68+Trend!AN69</f>
        <v>7200</v>
      </c>
      <c r="AO22" s="590">
        <f>Trend!AO68+Trend!AO69</f>
        <v>7200</v>
      </c>
      <c r="AP22" s="590">
        <f>Trend!AP68+Trend!AP69</f>
        <v>0</v>
      </c>
      <c r="AQ22" s="590">
        <f>Trend!AQ68+Trend!AQ69</f>
        <v>7200</v>
      </c>
      <c r="AR22" s="590">
        <f>Trend!AR68+Trend!AR69</f>
        <v>5872934.0999999996</v>
      </c>
      <c r="AS22" s="590">
        <f>Trend!AS68+Trend!AS69</f>
        <v>0</v>
      </c>
      <c r="AT22" s="590">
        <f>Trend!AT68+Trend!AT69</f>
        <v>0</v>
      </c>
      <c r="AU22" s="590">
        <f>Trend!AU68+Trend!AU69</f>
        <v>5872934.0999999996</v>
      </c>
      <c r="AV22" s="590">
        <f>Trend!AV68+Trend!AV69</f>
        <v>-9520</v>
      </c>
      <c r="AW22" s="590">
        <f>Trend!AW68+Trend!AW69</f>
        <v>5808736</v>
      </c>
      <c r="AX22" s="590">
        <f>Trend!AX68+Trend!AX69</f>
        <v>0</v>
      </c>
      <c r="AY22" s="590">
        <f>Trend!AY68+Trend!AY69</f>
        <v>0</v>
      </c>
      <c r="AZ22" s="590">
        <f>Trend!AZ68+Trend!AZ69</f>
        <v>0</v>
      </c>
      <c r="BA22" s="590">
        <f>Trend!BA68+Trend!BA69</f>
        <v>0</v>
      </c>
      <c r="BB22" s="590">
        <f>Trend!BB68+Trend!BB69</f>
        <v>33572</v>
      </c>
      <c r="BC22" s="590">
        <f>Trend!BC68+Trend!BC69</f>
        <v>33572</v>
      </c>
      <c r="BD22" s="590">
        <f>Trend!BD68+Trend!BD69</f>
        <v>515523</v>
      </c>
      <c r="BE22" s="590">
        <f>Trend!BE68+Trend!BE69</f>
        <v>0</v>
      </c>
      <c r="BF22" s="590">
        <f>Trend!BF68+Trend!BF69</f>
        <v>0</v>
      </c>
      <c r="BG22" s="590">
        <f>Trend!BG68+Trend!BG69</f>
        <v>0</v>
      </c>
      <c r="BH22" s="590">
        <f>Trend!BH68+Trend!BH69</f>
        <v>0</v>
      </c>
      <c r="BI22" s="590">
        <f>Trend!BI68+Trend!BI69</f>
        <v>0</v>
      </c>
      <c r="BJ22" s="590">
        <f>Trend!BJ68+Trend!BJ69</f>
        <v>6976193</v>
      </c>
      <c r="BK22" s="590">
        <f>Trend!BK68+Trend!BK69</f>
        <v>0</v>
      </c>
      <c r="BL22" s="590">
        <f>Trend!BL68+Trend!BL69</f>
        <v>0</v>
      </c>
      <c r="BM22" s="590">
        <f>Trend!BM68+Trend!BM69</f>
        <v>36200</v>
      </c>
      <c r="BN22" s="590">
        <f>Trend!BN68+Trend!BN69</f>
        <v>0</v>
      </c>
      <c r="BO22" s="590">
        <f>Trend!BO68+Trend!BO69</f>
        <v>0</v>
      </c>
      <c r="BP22" s="590">
        <f>Trend!BP68+Trend!BP69</f>
        <v>0</v>
      </c>
      <c r="BQ22" s="590">
        <f>Trend!BQ68+Trend!BQ69</f>
        <v>0</v>
      </c>
      <c r="BR22" s="590">
        <f>Trend!BR68+Trend!BR69</f>
        <v>0</v>
      </c>
      <c r="BS22" s="590">
        <f>Trend!BS68+Trend!BS69</f>
        <v>0</v>
      </c>
      <c r="BT22" s="590">
        <f>Trend!BT68+Trend!BT69</f>
        <v>0</v>
      </c>
      <c r="BU22" s="590">
        <f>Trend!BU68+Trend!BU69</f>
        <v>0</v>
      </c>
      <c r="BV22" s="590">
        <f>Trend!BV68+Trend!BV69</f>
        <v>0</v>
      </c>
      <c r="BW22" s="590">
        <f>Trend!BW68+Trend!BW69</f>
        <v>9180951.5999999996</v>
      </c>
      <c r="BX22" s="590">
        <f>Trend!BX68+Trend!BX69</f>
        <v>62097</v>
      </c>
      <c r="BY22" s="590">
        <f>Trend!BY68+Trend!BY69</f>
        <v>194036</v>
      </c>
      <c r="BZ22" s="590">
        <f>Trend!BZ68+Trend!BZ69</f>
        <v>194036</v>
      </c>
      <c r="CA22" s="590">
        <f>Trend!CA68+Trend!CA69</f>
        <v>382699</v>
      </c>
      <c r="CB22" s="590">
        <f>Trend!CB68+Trend!CB69</f>
        <v>325485</v>
      </c>
      <c r="CC22" s="590">
        <f>Trend!CC68+Trend!CC69</f>
        <v>382528</v>
      </c>
      <c r="CD22" s="590">
        <f>Trend!CD68+Trend!CD69</f>
        <v>435172</v>
      </c>
      <c r="CE22" s="590">
        <f>Trend!CE68+Trend!CE69</f>
        <v>449488</v>
      </c>
      <c r="CF22" s="590">
        <f>Trend!CF68+Trend!CF69</f>
        <v>495132</v>
      </c>
      <c r="CG22" s="590">
        <f>Trend!CG68+Trend!CG69</f>
        <v>730320.56</v>
      </c>
      <c r="CH22" s="590">
        <f>Trend!CH68+Trend!CH69</f>
        <v>1387686.51</v>
      </c>
      <c r="CI22" s="590">
        <f>Trend!CI68+Trend!CI69</f>
        <v>559246</v>
      </c>
      <c r="CJ22" s="590">
        <f>Trend!CJ68+Trend!CJ69</f>
        <v>9177484.5199999996</v>
      </c>
      <c r="CK22" s="590">
        <f>Trend!CK68+Trend!CK69</f>
        <v>0</v>
      </c>
      <c r="CL22" s="590">
        <f>Trend!CL68+Trend!CL69</f>
        <v>42795</v>
      </c>
      <c r="CM22" s="590">
        <f>Trend!CM68+Trend!CM69</f>
        <v>85590</v>
      </c>
      <c r="CN22" s="590">
        <f>Trend!CN68+Trend!CN69</f>
        <v>85590</v>
      </c>
      <c r="CO22" s="590">
        <f>Trend!CO68+Trend!CO69</f>
        <v>383843.20999999996</v>
      </c>
      <c r="CP22" s="590">
        <f>Trend!CP68+Trend!CP69</f>
        <v>509584.95</v>
      </c>
      <c r="CQ22" s="590">
        <f>Trend!CQ68+Trend!CQ69</f>
        <v>0</v>
      </c>
      <c r="CR22" s="590">
        <f>Trend!CR68+Trend!CR69</f>
        <v>611059.56000000006</v>
      </c>
      <c r="CS22" s="590">
        <f>Trend!CS68+Trend!CS69</f>
        <v>772692.04</v>
      </c>
      <c r="CT22" s="590">
        <f>Trend!CT68+Trend!CT69</f>
        <v>1644956</v>
      </c>
      <c r="CU22" s="590">
        <f>Trend!CU68+Trend!CU69</f>
        <v>897027.66</v>
      </c>
      <c r="CV22" s="590">
        <f>Trend!CV68+Trend!CV69</f>
        <v>1005556.78</v>
      </c>
      <c r="CW22" s="590">
        <f>Trend!CW68+Trend!CW69</f>
        <v>14666319.869999999</v>
      </c>
      <c r="CX22" s="590">
        <f>Trend!CX68+Trend!CX69</f>
        <v>78218</v>
      </c>
      <c r="CY22" s="590">
        <f>Trend!CY68+Trend!CY69</f>
        <v>100130</v>
      </c>
      <c r="CZ22" s="590">
        <f>Trend!CZ68+Trend!CZ69</f>
        <v>201953.66</v>
      </c>
      <c r="DA22" s="590">
        <f>Trend!DA68+Trend!DA69</f>
        <v>259088.7</v>
      </c>
      <c r="DB22" s="590">
        <f>Trend!DB68+Trend!DB69</f>
        <v>297770.12</v>
      </c>
      <c r="DC22" s="590">
        <f>Trend!DC68+Trend!DC69</f>
        <v>410913.57999999996</v>
      </c>
      <c r="DD22" s="590">
        <f>Trend!DD68+Trend!DD69</f>
        <v>464613.31</v>
      </c>
      <c r="DE22" s="590">
        <f>Trend!DE68+Trend!DE69</f>
        <v>482175.81</v>
      </c>
      <c r="DF22" s="590">
        <f>Trend!DF68+Trend!DF69</f>
        <v>86653.92</v>
      </c>
      <c r="DG22" s="590">
        <f>Trend!DG68+Trend!DG69</f>
        <v>86653.92</v>
      </c>
      <c r="DH22" s="590">
        <f>Trend!DH68+Trend!DH69</f>
        <v>687944.29</v>
      </c>
      <c r="DI22" s="590">
        <f>Trend!DI68+Trend!DI69</f>
        <v>1155871.3999999999</v>
      </c>
      <c r="DJ22" s="590">
        <f>Trend!DJ68+Trend!DJ69</f>
        <v>16584167</v>
      </c>
      <c r="DK22" s="590">
        <f>Trend!DK68+Trend!DK69</f>
        <v>122665.36</v>
      </c>
      <c r="DL22" s="590">
        <f>Trend!DL68+Trend!DL69</f>
        <v>147220.35999999999</v>
      </c>
      <c r="DM22" s="590">
        <f>Trend!DM68+Trend!DM69</f>
        <v>271287.44999999995</v>
      </c>
      <c r="DN22" s="590">
        <f>Trend!DN68+Trend!DN69</f>
        <v>304985.23</v>
      </c>
      <c r="DO22" s="590">
        <f>Trend!DO68+Trend!DO69</f>
        <v>571572.23</v>
      </c>
      <c r="DP22" s="590">
        <f>Trend!DP68+Trend!DP69</f>
        <v>678102.06</v>
      </c>
      <c r="DQ22" s="590">
        <f>Trend!DQ68+Trend!DQ69</f>
        <v>683650.22</v>
      </c>
      <c r="DR22" s="590">
        <f>Trend!DR68+Trend!DR69</f>
        <v>1103974.8999999999</v>
      </c>
      <c r="DS22" s="590">
        <f>Trend!DS68+Trend!DS69</f>
        <v>1139179.32</v>
      </c>
      <c r="DT22" s="590">
        <f>Trend!DT68+Trend!DT69</f>
        <v>1143098.3600000001</v>
      </c>
      <c r="DU22" s="590">
        <f>Trend!DU68+Trend!DU69</f>
        <v>1462956.3900000001</v>
      </c>
      <c r="DV22" s="590">
        <f>Trend!DV68+Trend!DV69</f>
        <v>0</v>
      </c>
      <c r="DW22" s="590">
        <f>Trend!DW68+Trend!DW69</f>
        <v>20925037</v>
      </c>
      <c r="DX22" s="590"/>
      <c r="DY22" s="590"/>
      <c r="DZ22" s="590"/>
      <c r="EA22" s="590"/>
      <c r="EB22" s="590"/>
    </row>
    <row r="23" spans="1:132" ht="15" x14ac:dyDescent="0.25">
      <c r="A23" s="614" t="s">
        <v>163</v>
      </c>
      <c r="B23" s="615"/>
      <c r="C23" s="606"/>
      <c r="D23" s="606"/>
      <c r="E23" s="606"/>
      <c r="F23" s="606"/>
      <c r="G23" s="606"/>
      <c r="H23" s="606"/>
      <c r="I23" s="606"/>
      <c r="J23" s="606"/>
      <c r="K23" s="606"/>
      <c r="L23" s="606"/>
      <c r="M23" s="606"/>
      <c r="N23" s="606"/>
      <c r="O23" s="606"/>
      <c r="P23" s="606"/>
      <c r="Q23" s="606"/>
      <c r="R23" s="606"/>
      <c r="S23" s="606"/>
      <c r="T23" s="606"/>
      <c r="U23" s="606"/>
      <c r="V23" s="606"/>
      <c r="W23" s="606"/>
      <c r="X23" s="606"/>
      <c r="Y23" s="606"/>
      <c r="Z23" s="606"/>
      <c r="AA23" s="606"/>
      <c r="AB23" s="606"/>
      <c r="AC23" s="606"/>
      <c r="AD23" s="606"/>
      <c r="AE23" s="606"/>
      <c r="AF23" s="606"/>
      <c r="AG23" s="606"/>
      <c r="AH23" s="606"/>
      <c r="AI23" s="606"/>
      <c r="AJ23" s="606"/>
      <c r="AK23" s="606"/>
      <c r="AL23" s="606"/>
      <c r="AM23" s="606"/>
      <c r="AN23" s="606"/>
      <c r="AO23" s="606"/>
      <c r="AP23" s="606"/>
      <c r="AQ23" s="606"/>
      <c r="AR23" s="606"/>
      <c r="AS23" s="606"/>
      <c r="AT23" s="606"/>
      <c r="AU23" s="606"/>
      <c r="AV23" s="606"/>
      <c r="AW23" s="606"/>
      <c r="AX23" s="606"/>
      <c r="AY23" s="606"/>
      <c r="AZ23" s="606"/>
      <c r="BA23" s="606"/>
      <c r="BB23" s="606"/>
      <c r="BC23" s="606"/>
      <c r="BD23" s="606"/>
      <c r="BE23" s="606"/>
      <c r="BF23" s="606"/>
      <c r="BG23" s="606"/>
      <c r="BH23" s="606"/>
      <c r="BI23" s="606"/>
      <c r="BJ23" s="606"/>
      <c r="BK23" s="606"/>
      <c r="BL23" s="606"/>
      <c r="BM23" s="606"/>
      <c r="BN23" s="606"/>
      <c r="BO23" s="606"/>
      <c r="BP23" s="606"/>
      <c r="BQ23" s="606"/>
      <c r="BR23" s="573"/>
      <c r="BS23" s="573"/>
      <c r="BT23" s="573"/>
      <c r="BU23" s="573"/>
      <c r="BV23" s="573"/>
      <c r="BW23" s="573"/>
      <c r="BX23" s="573"/>
      <c r="BY23" s="573"/>
      <c r="BZ23" s="573"/>
      <c r="CA23" s="573"/>
      <c r="CB23" s="573"/>
      <c r="CC23" s="573"/>
      <c r="CD23" s="573"/>
      <c r="CE23" s="573"/>
      <c r="CF23" s="573"/>
      <c r="CG23" s="573"/>
      <c r="CH23" s="573"/>
      <c r="CI23" s="573"/>
      <c r="CJ23" s="573"/>
      <c r="CK23" s="573"/>
      <c r="CL23" s="573"/>
      <c r="CM23" s="573"/>
      <c r="CN23" s="573"/>
      <c r="CO23" s="573"/>
      <c r="CP23" s="573"/>
      <c r="CQ23" s="573"/>
      <c r="CR23" s="573"/>
      <c r="CS23" s="573"/>
      <c r="CT23" s="573"/>
      <c r="CU23" s="573"/>
      <c r="CV23" s="573"/>
      <c r="CW23" s="573"/>
      <c r="CX23" s="573"/>
      <c r="CY23" s="573"/>
      <c r="CZ23" s="573"/>
      <c r="DA23" s="573"/>
      <c r="DB23" s="573"/>
      <c r="DC23" s="573"/>
      <c r="DD23" s="573"/>
      <c r="DE23" s="573"/>
      <c r="DF23" s="573"/>
      <c r="DG23" s="573"/>
      <c r="DH23" s="573"/>
      <c r="DI23" s="573"/>
      <c r="DJ23" s="573"/>
      <c r="DK23" s="573"/>
      <c r="DL23" s="573"/>
      <c r="DM23" s="573"/>
      <c r="DN23" s="573"/>
      <c r="DO23" s="573"/>
      <c r="DP23" s="573"/>
      <c r="DQ23" s="573"/>
      <c r="DR23" s="573"/>
      <c r="DS23" s="573"/>
      <c r="DT23" s="573"/>
      <c r="DU23" s="573"/>
      <c r="DV23" s="573"/>
      <c r="DW23" s="573"/>
      <c r="DX23" s="573"/>
      <c r="DY23" s="573"/>
      <c r="DZ23" s="573"/>
      <c r="EA23" s="573"/>
      <c r="EB23" s="573"/>
    </row>
    <row r="24" spans="1:132" ht="15" x14ac:dyDescent="0.25">
      <c r="A24" s="596"/>
      <c r="B24" s="616"/>
      <c r="C24" s="598"/>
      <c r="D24" s="598"/>
      <c r="E24" s="598"/>
      <c r="F24" s="598"/>
      <c r="G24" s="598"/>
      <c r="H24" s="598"/>
      <c r="I24" s="598"/>
      <c r="J24" s="598"/>
      <c r="K24" s="598"/>
      <c r="L24" s="598"/>
      <c r="M24" s="598"/>
      <c r="N24" s="598"/>
      <c r="O24" s="598"/>
      <c r="P24" s="598"/>
      <c r="Q24" s="598"/>
      <c r="R24" s="598"/>
      <c r="S24" s="598"/>
      <c r="T24" s="598"/>
      <c r="U24" s="598"/>
      <c r="V24" s="598"/>
      <c r="W24" s="598"/>
      <c r="X24" s="598"/>
      <c r="Y24" s="598"/>
      <c r="Z24" s="598"/>
      <c r="AA24" s="598"/>
      <c r="AB24" s="598"/>
      <c r="AC24" s="598"/>
      <c r="AD24" s="598"/>
      <c r="AE24" s="598"/>
      <c r="AF24" s="598"/>
      <c r="AG24" s="598"/>
      <c r="AH24" s="598"/>
      <c r="AI24" s="598"/>
      <c r="AJ24" s="598"/>
      <c r="AK24" s="598"/>
      <c r="AL24" s="598"/>
      <c r="AM24" s="598"/>
      <c r="AN24" s="598"/>
      <c r="AO24" s="598"/>
      <c r="AP24" s="598"/>
      <c r="AQ24" s="598"/>
      <c r="AR24" s="598"/>
      <c r="AS24" s="598"/>
      <c r="AT24" s="598"/>
      <c r="AU24" s="598"/>
      <c r="AV24" s="598"/>
      <c r="AW24" s="598"/>
      <c r="AX24" s="598"/>
      <c r="AY24" s="598"/>
      <c r="AZ24" s="598"/>
      <c r="BA24" s="598"/>
      <c r="BB24" s="598"/>
      <c r="BC24" s="598"/>
      <c r="BD24" s="598"/>
      <c r="BE24" s="598"/>
      <c r="BF24" s="598"/>
      <c r="BG24" s="598"/>
      <c r="BH24" s="598"/>
      <c r="BI24" s="598"/>
      <c r="BJ24" s="598"/>
      <c r="BK24" s="598"/>
      <c r="BL24" s="598"/>
      <c r="BM24" s="598"/>
      <c r="BN24" s="598"/>
      <c r="BO24" s="598"/>
      <c r="BP24" s="598"/>
      <c r="BQ24" s="598"/>
      <c r="BR24" s="573"/>
      <c r="BS24" s="573"/>
      <c r="BT24" s="573"/>
      <c r="BU24" s="573"/>
      <c r="BV24" s="573"/>
      <c r="BW24" s="573"/>
      <c r="BX24" s="573"/>
      <c r="BY24" s="573"/>
      <c r="BZ24" s="573"/>
      <c r="CA24" s="573"/>
      <c r="CB24" s="573"/>
      <c r="CC24" s="573"/>
      <c r="CD24" s="573"/>
      <c r="CE24" s="573"/>
      <c r="CF24" s="573"/>
      <c r="CG24" s="573"/>
      <c r="CH24" s="573"/>
      <c r="CI24" s="573"/>
      <c r="CJ24" s="573"/>
      <c r="CK24" s="573"/>
      <c r="CL24" s="573"/>
      <c r="CM24" s="573"/>
      <c r="CN24" s="573"/>
      <c r="CO24" s="573"/>
      <c r="CP24" s="573"/>
      <c r="CQ24" s="573"/>
      <c r="CR24" s="573"/>
      <c r="CS24" s="573"/>
      <c r="CT24" s="573"/>
      <c r="CU24" s="573"/>
      <c r="CV24" s="573"/>
      <c r="CW24" s="573"/>
      <c r="CX24" s="573"/>
      <c r="CY24" s="573"/>
      <c r="CZ24" s="573"/>
      <c r="DA24" s="573"/>
      <c r="DB24" s="573"/>
      <c r="DC24" s="573"/>
      <c r="DD24" s="573"/>
      <c r="DE24" s="573"/>
      <c r="DF24" s="573"/>
      <c r="DG24" s="573"/>
      <c r="DH24" s="573"/>
      <c r="DI24" s="573"/>
      <c r="DJ24" s="573"/>
      <c r="DK24" s="573"/>
      <c r="DL24" s="573"/>
      <c r="DM24" s="573"/>
      <c r="DN24" s="573"/>
      <c r="DO24" s="573"/>
      <c r="DP24" s="573"/>
      <c r="DQ24" s="573"/>
      <c r="DR24" s="573"/>
      <c r="DS24" s="573"/>
      <c r="DT24" s="573"/>
      <c r="DU24" s="573"/>
      <c r="DV24" s="573"/>
      <c r="DW24" s="573"/>
      <c r="DX24" s="573"/>
      <c r="DY24" s="573"/>
      <c r="DZ24" s="573"/>
      <c r="EA24" s="573"/>
      <c r="EB24" s="573"/>
    </row>
    <row r="25" spans="1:132" ht="15" x14ac:dyDescent="0.25">
      <c r="A25" s="599">
        <v>6</v>
      </c>
      <c r="B25" s="617" t="s">
        <v>164</v>
      </c>
      <c r="C25" s="601">
        <f>SUM(C26:C27)</f>
        <v>69500</v>
      </c>
      <c r="D25" s="601">
        <f>SUM(D26:D27)</f>
        <v>149500</v>
      </c>
      <c r="E25" s="601">
        <f t="shared" ref="E25:G25" si="26">SUM(E26:E27)</f>
        <v>209500</v>
      </c>
      <c r="F25" s="601">
        <f t="shared" si="26"/>
        <v>219500</v>
      </c>
      <c r="G25" s="601">
        <f t="shared" si="26"/>
        <v>227500</v>
      </c>
      <c r="H25" s="601">
        <f t="shared" ref="H25:I25" si="27">SUM(H26:H27)</f>
        <v>3370491.86</v>
      </c>
      <c r="I25" s="601">
        <f t="shared" si="27"/>
        <v>227686</v>
      </c>
      <c r="J25" s="601">
        <f t="shared" ref="J25:S25" si="28">SUM(J26:J27)</f>
        <v>6740983.7199999997</v>
      </c>
      <c r="K25" s="601">
        <f t="shared" si="28"/>
        <v>3620491.86</v>
      </c>
      <c r="L25" s="601">
        <f t="shared" si="28"/>
        <v>3620491.86</v>
      </c>
      <c r="M25" s="601">
        <f t="shared" si="28"/>
        <v>3620491.86</v>
      </c>
      <c r="N25" s="601">
        <f t="shared" si="28"/>
        <v>3620491.86</v>
      </c>
      <c r="O25" s="601">
        <f t="shared" si="28"/>
        <v>3620491.86</v>
      </c>
      <c r="P25" s="601">
        <f t="shared" si="28"/>
        <v>3728278.45</v>
      </c>
      <c r="Q25" s="601">
        <f t="shared" si="28"/>
        <v>3840476.45</v>
      </c>
      <c r="R25" s="601">
        <f t="shared" si="28"/>
        <v>3840476.45</v>
      </c>
      <c r="S25" s="601">
        <f t="shared" si="28"/>
        <v>3840476.45</v>
      </c>
      <c r="T25" s="601">
        <f t="shared" ref="T25:V25" si="29">SUM(T26:T27)</f>
        <v>3840476.45</v>
      </c>
      <c r="U25" s="601">
        <f t="shared" si="29"/>
        <v>6093866.4500000002</v>
      </c>
      <c r="V25" s="601">
        <f t="shared" si="29"/>
        <v>2227686</v>
      </c>
      <c r="W25" s="601">
        <f t="shared" ref="W25:Z25" si="30">SUM(W26:W27)</f>
        <v>6093866.4500000002</v>
      </c>
      <c r="X25" s="601">
        <f t="shared" si="30"/>
        <v>6093866.4500000002</v>
      </c>
      <c r="Y25" s="601">
        <f t="shared" si="30"/>
        <v>6093866.4500000002</v>
      </c>
      <c r="Z25" s="601">
        <f t="shared" si="30"/>
        <v>6218188.1699999999</v>
      </c>
      <c r="AA25" s="601">
        <f t="shared" ref="AA25:AB25" si="31">SUM(AA26:AA27)</f>
        <v>8218188.1699999999</v>
      </c>
      <c r="AB25" s="601">
        <f t="shared" si="31"/>
        <v>8218188.1699999999</v>
      </c>
      <c r="AC25" s="601">
        <f t="shared" ref="AC25:AD25" si="32">SUM(AC26:AC27)</f>
        <v>10218188.17</v>
      </c>
      <c r="AD25" s="601">
        <f t="shared" si="32"/>
        <v>19218188.170000002</v>
      </c>
      <c r="AE25" s="601">
        <f t="shared" ref="AE25:AG25" si="33">SUM(AE26:AE27)</f>
        <v>19218188.170000002</v>
      </c>
      <c r="AF25" s="601">
        <f t="shared" si="33"/>
        <v>24218188.170000002</v>
      </c>
      <c r="AG25" s="601">
        <f t="shared" si="33"/>
        <v>24538109.129999999</v>
      </c>
      <c r="AH25" s="601">
        <f t="shared" ref="AH25:AI25" si="34">SUM(AH26:AH27)</f>
        <v>22486378.100000001</v>
      </c>
      <c r="AI25" s="601">
        <f t="shared" si="34"/>
        <v>22553206</v>
      </c>
      <c r="AJ25" s="601">
        <f t="shared" ref="AJ25:AN25" si="35">SUM(AJ26:AJ27)</f>
        <v>22553206</v>
      </c>
      <c r="AK25" s="601">
        <f t="shared" si="35"/>
        <v>0</v>
      </c>
      <c r="AL25" s="601">
        <f t="shared" si="35"/>
        <v>23117943.760000002</v>
      </c>
      <c r="AM25" s="601">
        <f t="shared" si="35"/>
        <v>23187943.760000002</v>
      </c>
      <c r="AN25" s="601">
        <f t="shared" si="35"/>
        <v>4940876.4800000004</v>
      </c>
      <c r="AO25" s="601">
        <f t="shared" ref="AO25:AP25" si="36">SUM(AO26:AO27)</f>
        <v>8218188.1699999999</v>
      </c>
      <c r="AP25" s="601">
        <f t="shared" si="36"/>
        <v>4940876.4800000004</v>
      </c>
      <c r="AQ25" s="601">
        <f t="shared" ref="AQ25:AU25" si="37">SUM(AQ26:AQ27)</f>
        <v>4940876.4800000004</v>
      </c>
      <c r="AR25" s="601">
        <f t="shared" si="37"/>
        <v>6869187.5</v>
      </c>
      <c r="AS25" s="601">
        <f t="shared" si="37"/>
        <v>7190687.5</v>
      </c>
      <c r="AT25" s="601">
        <f t="shared" si="37"/>
        <v>0</v>
      </c>
      <c r="AU25" s="601">
        <f t="shared" si="37"/>
        <v>7442187.5</v>
      </c>
      <c r="AV25" s="601">
        <f t="shared" ref="AV25:CW25" si="38">SUM(AV26:AV27)</f>
        <v>25995187.5</v>
      </c>
      <c r="AW25" s="601">
        <f t="shared" si="38"/>
        <v>532249</v>
      </c>
      <c r="AX25" s="601">
        <f t="shared" si="38"/>
        <v>0</v>
      </c>
      <c r="AY25" s="601">
        <f t="shared" si="38"/>
        <v>0</v>
      </c>
      <c r="AZ25" s="601">
        <f t="shared" si="38"/>
        <v>22647965</v>
      </c>
      <c r="BA25" s="601">
        <f t="shared" si="38"/>
        <v>59503875.100000001</v>
      </c>
      <c r="BB25" s="601">
        <f t="shared" si="38"/>
        <v>30420415.969999999</v>
      </c>
      <c r="BC25" s="601">
        <f t="shared" si="38"/>
        <v>31220084.690000001</v>
      </c>
      <c r="BD25" s="601">
        <f t="shared" si="38"/>
        <v>31823085.190000001</v>
      </c>
      <c r="BE25" s="601">
        <f t="shared" si="38"/>
        <v>32104897.489999998</v>
      </c>
      <c r="BF25" s="601">
        <f t="shared" si="38"/>
        <v>32065578</v>
      </c>
      <c r="BG25" s="601">
        <f t="shared" si="38"/>
        <v>0</v>
      </c>
      <c r="BH25" s="601">
        <f t="shared" si="38"/>
        <v>32276882</v>
      </c>
      <c r="BI25" s="601">
        <f t="shared" si="38"/>
        <v>30865916.670000002</v>
      </c>
      <c r="BJ25" s="601">
        <f t="shared" si="38"/>
        <v>579979</v>
      </c>
      <c r="BK25" s="601">
        <f t="shared" si="38"/>
        <v>31315916</v>
      </c>
      <c r="BL25" s="601">
        <f t="shared" si="38"/>
        <v>27415917.57</v>
      </c>
      <c r="BM25" s="601">
        <f t="shared" si="38"/>
        <v>27415916.670000002</v>
      </c>
      <c r="BN25" s="601">
        <f t="shared" si="38"/>
        <v>24864197</v>
      </c>
      <c r="BO25" s="601">
        <f t="shared" si="38"/>
        <v>25619416</v>
      </c>
      <c r="BP25" s="601">
        <f t="shared" si="38"/>
        <v>21619916</v>
      </c>
      <c r="BQ25" s="601">
        <f t="shared" si="38"/>
        <v>21830161</v>
      </c>
      <c r="BR25" s="601">
        <f t="shared" si="38"/>
        <v>30380161</v>
      </c>
      <c r="BS25" s="601">
        <f t="shared" si="38"/>
        <v>36434189</v>
      </c>
      <c r="BT25" s="601">
        <f t="shared" si="38"/>
        <v>37484189</v>
      </c>
      <c r="BU25" s="601">
        <f t="shared" si="38"/>
        <v>42004189</v>
      </c>
      <c r="BV25" s="601">
        <f t="shared" si="38"/>
        <v>38482280.539999999</v>
      </c>
      <c r="BW25" s="601">
        <f t="shared" si="38"/>
        <v>580249</v>
      </c>
      <c r="BX25" s="601">
        <f t="shared" si="38"/>
        <v>39109529</v>
      </c>
      <c r="BY25" s="601">
        <f t="shared" si="38"/>
        <v>44312529</v>
      </c>
      <c r="BZ25" s="601">
        <f t="shared" si="38"/>
        <v>45289798</v>
      </c>
      <c r="CA25" s="601">
        <f t="shared" si="38"/>
        <v>38712322</v>
      </c>
      <c r="CB25" s="601">
        <f t="shared" si="38"/>
        <v>35766323</v>
      </c>
      <c r="CC25" s="601">
        <f t="shared" si="38"/>
        <v>34597295</v>
      </c>
      <c r="CD25" s="601">
        <f t="shared" si="38"/>
        <v>36175664.539999999</v>
      </c>
      <c r="CE25" s="601">
        <f t="shared" si="38"/>
        <v>36280664.539999999</v>
      </c>
      <c r="CF25" s="601">
        <f t="shared" si="38"/>
        <v>32167249.539999999</v>
      </c>
      <c r="CG25" s="601">
        <f t="shared" si="38"/>
        <v>28768172.239999998</v>
      </c>
      <c r="CH25" s="601">
        <f t="shared" si="38"/>
        <v>34073171.939999998</v>
      </c>
      <c r="CI25" s="601">
        <f t="shared" si="38"/>
        <v>3834415.54</v>
      </c>
      <c r="CJ25" s="601">
        <f t="shared" si="38"/>
        <v>580249</v>
      </c>
      <c r="CK25" s="601">
        <f t="shared" si="38"/>
        <v>34259664.5</v>
      </c>
      <c r="CL25" s="601">
        <f t="shared" si="38"/>
        <v>14044415.539999999</v>
      </c>
      <c r="CM25" s="601" t="e">
        <f t="shared" si="38"/>
        <v>#REF!</v>
      </c>
      <c r="CN25" s="601">
        <f t="shared" si="38"/>
        <v>33874664</v>
      </c>
      <c r="CO25" s="601">
        <f t="shared" si="38"/>
        <v>24549483.539999999</v>
      </c>
      <c r="CP25" s="601">
        <f t="shared" si="38"/>
        <v>40574415.539999999</v>
      </c>
      <c r="CQ25" s="601">
        <f t="shared" si="38"/>
        <v>38197474.219999999</v>
      </c>
      <c r="CR25" s="601">
        <f t="shared" si="38"/>
        <v>33237974.73</v>
      </c>
      <c r="CS25" s="601">
        <f t="shared" si="38"/>
        <v>39309945</v>
      </c>
      <c r="CT25" s="601">
        <f t="shared" si="38"/>
        <v>39309945</v>
      </c>
      <c r="CU25" s="601">
        <f t="shared" si="38"/>
        <v>41299453.090000004</v>
      </c>
      <c r="CV25" s="601">
        <f t="shared" si="38"/>
        <v>24478541.27</v>
      </c>
      <c r="CW25" s="601">
        <f t="shared" si="38"/>
        <v>10580249</v>
      </c>
      <c r="CX25" s="601">
        <f t="shared" ref="CX25:DD25" si="39">SUM(CX26:CX27)</f>
        <v>19976333.539999999</v>
      </c>
      <c r="CY25" s="601">
        <f t="shared" si="39"/>
        <v>10580249</v>
      </c>
      <c r="CZ25" s="601">
        <f t="shared" si="39"/>
        <v>11541266.890000001</v>
      </c>
      <c r="DA25" s="601">
        <f t="shared" si="39"/>
        <v>11541266.890000001</v>
      </c>
      <c r="DB25" s="601">
        <f t="shared" si="39"/>
        <v>18541266.890000001</v>
      </c>
      <c r="DC25" s="601">
        <f t="shared" si="39"/>
        <v>18541266.890000001</v>
      </c>
      <c r="DD25" s="601">
        <f t="shared" si="39"/>
        <v>20921017</v>
      </c>
      <c r="DE25" s="601">
        <f t="shared" ref="DE25:EB25" si="40">SUM(DE26:DE27)</f>
        <v>21541266.890000001</v>
      </c>
      <c r="DF25" s="601">
        <f t="shared" si="40"/>
        <v>21541266.890000001</v>
      </c>
      <c r="DG25" s="601">
        <f t="shared" si="40"/>
        <v>20921017.890000001</v>
      </c>
      <c r="DH25" s="601">
        <f t="shared" si="40"/>
        <v>16541266.890000001</v>
      </c>
      <c r="DI25" s="601">
        <f t="shared" si="40"/>
        <v>10580249</v>
      </c>
      <c r="DJ25" s="601">
        <f t="shared" si="40"/>
        <v>10777171</v>
      </c>
      <c r="DK25" s="601">
        <f t="shared" si="40"/>
        <v>16829638.739999998</v>
      </c>
      <c r="DL25" s="601">
        <f t="shared" si="40"/>
        <v>16829638.739999998</v>
      </c>
      <c r="DM25" s="601">
        <f t="shared" si="40"/>
        <v>1829638.74</v>
      </c>
      <c r="DN25" s="601">
        <f t="shared" si="40"/>
        <v>6829638.7400000002</v>
      </c>
      <c r="DO25" s="601">
        <f t="shared" si="40"/>
        <v>6829638.7400000002</v>
      </c>
      <c r="DP25" s="601">
        <f t="shared" si="40"/>
        <v>7449887.7400000002</v>
      </c>
      <c r="DQ25" s="601">
        <f t="shared" si="40"/>
        <v>7449887.7400000002</v>
      </c>
      <c r="DR25" s="601">
        <f t="shared" si="40"/>
        <v>7449887.7400000002</v>
      </c>
      <c r="DS25" s="601">
        <f t="shared" si="40"/>
        <v>30566015.240000002</v>
      </c>
      <c r="DT25" s="601">
        <f t="shared" si="40"/>
        <v>30696315.240000002</v>
      </c>
      <c r="DU25" s="601">
        <f t="shared" si="40"/>
        <v>30772658.16</v>
      </c>
      <c r="DV25" s="601">
        <f t="shared" si="40"/>
        <v>0</v>
      </c>
      <c r="DW25" s="601">
        <f t="shared" si="40"/>
        <v>17961747</v>
      </c>
      <c r="DX25" s="601"/>
      <c r="DY25" s="601"/>
      <c r="DZ25" s="601"/>
      <c r="EA25" s="601"/>
      <c r="EB25" s="601"/>
    </row>
    <row r="26" spans="1:132" ht="15" x14ac:dyDescent="0.25">
      <c r="A26" s="602">
        <v>6.1</v>
      </c>
      <c r="B26" s="591" t="s">
        <v>165</v>
      </c>
      <c r="C26" s="590">
        <f>Trend!C12</f>
        <v>0</v>
      </c>
      <c r="D26" s="590">
        <f>Trend!D12</f>
        <v>0</v>
      </c>
      <c r="E26" s="590">
        <f>Trend!E12</f>
        <v>0</v>
      </c>
      <c r="F26" s="590">
        <f>Trend!F12</f>
        <v>0</v>
      </c>
      <c r="G26" s="590">
        <f>Trend!G12</f>
        <v>0</v>
      </c>
      <c r="H26" s="590">
        <f>Trend!H12</f>
        <v>3370491.86</v>
      </c>
      <c r="I26" s="590">
        <f>Trend!I12</f>
        <v>0</v>
      </c>
      <c r="J26" s="590">
        <f>Trend!J12</f>
        <v>6740983.7199999997</v>
      </c>
      <c r="K26" s="590">
        <f>Trend!K12</f>
        <v>3620491.86</v>
      </c>
      <c r="L26" s="590">
        <f>Trend!L12</f>
        <v>3620491.86</v>
      </c>
      <c r="M26" s="590">
        <f>Trend!M12</f>
        <v>3620491.86</v>
      </c>
      <c r="N26" s="590">
        <f>Trend!N12</f>
        <v>3620491.86</v>
      </c>
      <c r="O26" s="590">
        <f>Trend!O12</f>
        <v>3620491.86</v>
      </c>
      <c r="P26" s="590">
        <f>Trend!P12</f>
        <v>3728278.45</v>
      </c>
      <c r="Q26" s="590">
        <f>Trend!Q12</f>
        <v>3840476.45</v>
      </c>
      <c r="R26" s="590">
        <f>Trend!R12</f>
        <v>3840476.45</v>
      </c>
      <c r="S26" s="590">
        <f>Trend!S12</f>
        <v>3840476.45</v>
      </c>
      <c r="T26" s="590">
        <f>Trend!T12</f>
        <v>3840476.45</v>
      </c>
      <c r="U26" s="590">
        <f>Trend!U12</f>
        <v>4093866.45</v>
      </c>
      <c r="V26" s="590">
        <f>Trend!V12</f>
        <v>0</v>
      </c>
      <c r="W26" s="590">
        <f>Trend!W12</f>
        <v>4093866.45</v>
      </c>
      <c r="X26" s="590">
        <f>Trend!X12</f>
        <v>4093866.45</v>
      </c>
      <c r="Y26" s="590">
        <f>Trend!Y12</f>
        <v>4093866.45</v>
      </c>
      <c r="Z26" s="590">
        <f>Trend!Z12</f>
        <v>4218188.17</v>
      </c>
      <c r="AA26" s="590">
        <f>Trend!AA12</f>
        <v>4218188.17</v>
      </c>
      <c r="AB26" s="590">
        <f>Trend!AB12</f>
        <v>4218188.17</v>
      </c>
      <c r="AC26" s="590">
        <f>Trend!AC12</f>
        <v>4218188.17</v>
      </c>
      <c r="AD26" s="590">
        <f>Trend!AD12</f>
        <v>4218188.17</v>
      </c>
      <c r="AE26" s="590">
        <f>Trend!AE12</f>
        <v>4218188.17</v>
      </c>
      <c r="AF26" s="590">
        <f>Trend!AF12</f>
        <v>4218188.17</v>
      </c>
      <c r="AG26" s="590">
        <f>Trend!AG12</f>
        <v>4538109.13</v>
      </c>
      <c r="AH26" s="590">
        <f>Trend!AH12</f>
        <v>4750876.4800000004</v>
      </c>
      <c r="AI26" s="590">
        <f>Trend!AI12</f>
        <v>4817704</v>
      </c>
      <c r="AJ26" s="590">
        <f>Trend!AJ12</f>
        <v>4817704</v>
      </c>
      <c r="AK26" s="590">
        <f>Trend!AK12</f>
        <v>0</v>
      </c>
      <c r="AL26" s="590">
        <f>Trend!AL12</f>
        <v>4800876.4800000004</v>
      </c>
      <c r="AM26" s="590">
        <f>Trend!AM12</f>
        <v>4870876.4800000004</v>
      </c>
      <c r="AN26" s="590">
        <f>Trend!AN12</f>
        <v>4940876.4800000004</v>
      </c>
      <c r="AO26" s="590">
        <f>Trend!AO12</f>
        <v>4218188.17</v>
      </c>
      <c r="AP26" s="590">
        <f>Trend!AP12</f>
        <v>4940876.4800000004</v>
      </c>
      <c r="AQ26" s="590">
        <f>Trend!AQ12</f>
        <v>4940876.4800000004</v>
      </c>
      <c r="AR26" s="590">
        <f>Trend!AR12</f>
        <v>6869187.5</v>
      </c>
      <c r="AS26" s="590">
        <f>Trend!AS12</f>
        <v>7190687.5</v>
      </c>
      <c r="AT26" s="590">
        <f>Trend!AT12</f>
        <v>0</v>
      </c>
      <c r="AU26" s="590">
        <f>Trend!AU12</f>
        <v>7442187.5</v>
      </c>
      <c r="AV26" s="590">
        <f>Trend!AV12</f>
        <v>7995187.5</v>
      </c>
      <c r="AW26" s="590">
        <f>Trend!AW12</f>
        <v>532249</v>
      </c>
      <c r="AX26" s="590">
        <f>Trend!AX12</f>
        <v>0</v>
      </c>
      <c r="AY26" s="590">
        <f>Trend!AY12</f>
        <v>0</v>
      </c>
      <c r="AZ26" s="590">
        <f>Trend!AZ12</f>
        <v>647965</v>
      </c>
      <c r="BA26" s="590">
        <f>Trend!BA12</f>
        <v>9499375</v>
      </c>
      <c r="BB26" s="590">
        <f>Trend!BB12</f>
        <v>5001187.5</v>
      </c>
      <c r="BC26" s="590">
        <f>Trend!BC12</f>
        <v>5001187</v>
      </c>
      <c r="BD26" s="590">
        <f>Trend!BD12</f>
        <v>5504187.5</v>
      </c>
      <c r="BE26" s="590">
        <f>Trend!BE12</f>
        <v>5755687</v>
      </c>
      <c r="BF26" s="590">
        <f>Trend!BF12</f>
        <v>5805687</v>
      </c>
      <c r="BG26" s="590">
        <f>Trend!BG12</f>
        <v>0</v>
      </c>
      <c r="BH26" s="590">
        <f>Trend!BH12</f>
        <v>2016991</v>
      </c>
      <c r="BI26" s="590">
        <f>Trend!BI12</f>
        <v>2066991</v>
      </c>
      <c r="BJ26" s="590">
        <f>Trend!BJ12</f>
        <v>579979</v>
      </c>
      <c r="BK26" s="590">
        <f>Trend!BK12</f>
        <v>2116991</v>
      </c>
      <c r="BL26" s="590">
        <f>Trend!BL12</f>
        <v>2216991.9</v>
      </c>
      <c r="BM26" s="590">
        <f>Trend!BM12</f>
        <v>2216991</v>
      </c>
      <c r="BN26" s="590">
        <f>Trend!BN12</f>
        <v>2266991</v>
      </c>
      <c r="BO26" s="590">
        <f>Trend!BO12</f>
        <v>2316491</v>
      </c>
      <c r="BP26" s="590">
        <f>Trend!BP12</f>
        <v>2316991</v>
      </c>
      <c r="BQ26" s="590">
        <f>Trend!BQ12</f>
        <v>2420636</v>
      </c>
      <c r="BR26" s="590">
        <f>Trend!BR12</f>
        <v>2470636</v>
      </c>
      <c r="BS26" s="590">
        <f>Trend!BS12</f>
        <v>2524664</v>
      </c>
      <c r="BT26" s="590">
        <f>Trend!BT12</f>
        <v>2574664</v>
      </c>
      <c r="BU26" s="590">
        <f>Trend!BU12</f>
        <v>3094664</v>
      </c>
      <c r="BV26" s="590">
        <f>Trend!BV12</f>
        <v>2579415.54</v>
      </c>
      <c r="BW26" s="590">
        <f>Trend!BW12</f>
        <v>580249</v>
      </c>
      <c r="BX26" s="590">
        <f>Trend!BX12</f>
        <v>2684415</v>
      </c>
      <c r="BY26" s="590">
        <f>Trend!BY12</f>
        <v>2789415</v>
      </c>
      <c r="BZ26" s="590">
        <f>Trend!BZ12</f>
        <v>3509664</v>
      </c>
      <c r="CA26" s="590">
        <f>Trend!CA12</f>
        <v>4694661</v>
      </c>
      <c r="CB26" s="590">
        <f>Trend!CB12</f>
        <v>3659664</v>
      </c>
      <c r="CC26" s="590">
        <f>Trend!CC12</f>
        <v>3659664</v>
      </c>
      <c r="CD26" s="590">
        <f>Trend!CD12</f>
        <v>3304415.54</v>
      </c>
      <c r="CE26" s="590">
        <f>Trend!CE12</f>
        <v>3409415.54</v>
      </c>
      <c r="CF26" s="590">
        <f>Trend!CF12</f>
        <v>3514415.54</v>
      </c>
      <c r="CG26" s="590">
        <f>Trend!CG12</f>
        <v>3619415.54</v>
      </c>
      <c r="CH26" s="590">
        <f>Trend!CH12</f>
        <v>3724415.54</v>
      </c>
      <c r="CI26" s="590">
        <f>Trend!CI12</f>
        <v>3834415.54</v>
      </c>
      <c r="CJ26" s="590">
        <f>Trend!CJ12</f>
        <v>580249</v>
      </c>
      <c r="CK26" s="590">
        <f>Trend!CK12</f>
        <v>3939415.5</v>
      </c>
      <c r="CL26" s="590">
        <f>Trend!CL12</f>
        <v>4044415.54</v>
      </c>
      <c r="CM26" s="590" t="e">
        <f>Trend!#REF!</f>
        <v>#REF!</v>
      </c>
      <c r="CN26" s="590">
        <f>Trend!CN12</f>
        <v>4254415</v>
      </c>
      <c r="CO26" s="590">
        <f>Trend!CO12</f>
        <v>4359415.54</v>
      </c>
      <c r="CP26" s="590">
        <f>Trend!CP12</f>
        <v>36110000</v>
      </c>
      <c r="CQ26" s="590">
        <f>Trend!CQ12</f>
        <v>4579282.84</v>
      </c>
      <c r="CR26" s="590">
        <f>Trend!CR12</f>
        <v>4702456</v>
      </c>
      <c r="CS26" s="590">
        <f>Trend!CS12</f>
        <v>4912456</v>
      </c>
      <c r="CT26" s="590">
        <f>Trend!CT12</f>
        <v>4912456</v>
      </c>
      <c r="CU26" s="590">
        <f>Trend!CU12</f>
        <v>5017456.7300000004</v>
      </c>
      <c r="CV26" s="590">
        <f>Trend!CV12</f>
        <v>5122456.7300000004</v>
      </c>
      <c r="CW26" s="590">
        <f>Trend!CW22</f>
        <v>0</v>
      </c>
      <c r="CX26" s="590">
        <f>Trend!CX22</f>
        <v>0</v>
      </c>
      <c r="CY26" s="590">
        <f>Trend!CY22</f>
        <v>0</v>
      </c>
      <c r="CZ26" s="590">
        <f>Trend!CZ22</f>
        <v>0</v>
      </c>
      <c r="DA26" s="590">
        <f>Trend!DA22</f>
        <v>0</v>
      </c>
      <c r="DB26" s="590">
        <f>Trend!DB22</f>
        <v>0</v>
      </c>
      <c r="DC26" s="590">
        <f>Trend!DC22</f>
        <v>0</v>
      </c>
      <c r="DD26" s="590">
        <f>Trend!DD22</f>
        <v>0</v>
      </c>
      <c r="DE26" s="590">
        <f>Trend!DE22</f>
        <v>0</v>
      </c>
      <c r="DF26" s="590">
        <f>Trend!DF22</f>
        <v>0</v>
      </c>
      <c r="DG26" s="590">
        <f>Trend!DG22</f>
        <v>0</v>
      </c>
      <c r="DH26" s="590">
        <f>Trend!DH22</f>
        <v>0</v>
      </c>
      <c r="DI26" s="590">
        <f>Trend!DI22</f>
        <v>0</v>
      </c>
      <c r="DJ26" s="590">
        <f>Trend!DJ22</f>
        <v>0</v>
      </c>
      <c r="DK26" s="590">
        <f>Trend!DK22</f>
        <v>0</v>
      </c>
      <c r="DL26" s="590">
        <f>Trend!DL22</f>
        <v>0</v>
      </c>
      <c r="DM26" s="590">
        <f>Trend!DM22</f>
        <v>0</v>
      </c>
      <c r="DN26" s="590">
        <f>Trend!DN22</f>
        <v>0</v>
      </c>
      <c r="DO26" s="590">
        <f>Trend!DO22</f>
        <v>0</v>
      </c>
      <c r="DP26" s="590">
        <f>Trend!DP22</f>
        <v>620249</v>
      </c>
      <c r="DQ26" s="590">
        <f>Trend!DQ22</f>
        <v>620249</v>
      </c>
      <c r="DR26" s="590">
        <f>Trend!DR22</f>
        <v>620249</v>
      </c>
      <c r="DS26" s="590">
        <f>Trend!DS21</f>
        <v>19736376.5</v>
      </c>
      <c r="DT26" s="590">
        <f>Trend!DT21</f>
        <v>19866676.5</v>
      </c>
      <c r="DU26" s="590">
        <f>Trend!DU21</f>
        <v>19866676.5</v>
      </c>
      <c r="DV26" s="590">
        <f>Trend!DV21</f>
        <v>0</v>
      </c>
      <c r="DW26" s="590">
        <f>Trend!DW21</f>
        <v>17961747</v>
      </c>
      <c r="DX26" s="590"/>
      <c r="DY26" s="590"/>
      <c r="DZ26" s="590"/>
      <c r="EA26" s="590"/>
      <c r="EB26" s="590"/>
    </row>
    <row r="27" spans="1:132" ht="15" x14ac:dyDescent="0.25">
      <c r="A27" s="602">
        <v>6.2</v>
      </c>
      <c r="B27" s="591" t="s">
        <v>166</v>
      </c>
      <c r="C27" s="590">
        <f>Trend!C13</f>
        <v>69500</v>
      </c>
      <c r="D27" s="590">
        <f>Trend!D13</f>
        <v>149500</v>
      </c>
      <c r="E27" s="590">
        <f>Trend!E13</f>
        <v>209500</v>
      </c>
      <c r="F27" s="590">
        <f>Trend!F13</f>
        <v>219500</v>
      </c>
      <c r="G27" s="590">
        <f>Trend!G13</f>
        <v>227500</v>
      </c>
      <c r="H27" s="590">
        <f>Trend!H13</f>
        <v>0</v>
      </c>
      <c r="I27" s="590">
        <f>Trend!I13</f>
        <v>227686</v>
      </c>
      <c r="J27" s="590">
        <f>Trend!J13</f>
        <v>0</v>
      </c>
      <c r="K27" s="590">
        <f>Trend!K13</f>
        <v>0</v>
      </c>
      <c r="L27" s="590">
        <f>Trend!L13</f>
        <v>0</v>
      </c>
      <c r="M27" s="590">
        <f>Trend!M13</f>
        <v>0</v>
      </c>
      <c r="N27" s="590">
        <f>Trend!N13</f>
        <v>0</v>
      </c>
      <c r="O27" s="590">
        <f>Trend!O13</f>
        <v>0</v>
      </c>
      <c r="P27" s="590">
        <f>Trend!P13</f>
        <v>0</v>
      </c>
      <c r="Q27" s="590">
        <f>Trend!Q13</f>
        <v>0</v>
      </c>
      <c r="R27" s="590">
        <f>Trend!R13</f>
        <v>0</v>
      </c>
      <c r="S27" s="590">
        <f>Trend!S13</f>
        <v>0</v>
      </c>
      <c r="T27" s="590">
        <f>Trend!T13</f>
        <v>0</v>
      </c>
      <c r="U27" s="590">
        <f>Trend!U13</f>
        <v>2000000</v>
      </c>
      <c r="V27" s="590">
        <f>Trend!V13</f>
        <v>2227686</v>
      </c>
      <c r="W27" s="590">
        <f>Trend!W13</f>
        <v>2000000</v>
      </c>
      <c r="X27" s="590">
        <f>Trend!X13</f>
        <v>2000000</v>
      </c>
      <c r="Y27" s="590">
        <f>Trend!Y13</f>
        <v>2000000</v>
      </c>
      <c r="Z27" s="590">
        <f>Trend!Z13</f>
        <v>2000000</v>
      </c>
      <c r="AA27" s="590">
        <f>Trend!AA13</f>
        <v>4000000</v>
      </c>
      <c r="AB27" s="590">
        <f>Trend!AB13</f>
        <v>4000000</v>
      </c>
      <c r="AC27" s="590">
        <f>Trend!AC13</f>
        <v>6000000</v>
      </c>
      <c r="AD27" s="590">
        <f>Trend!AD13</f>
        <v>15000000</v>
      </c>
      <c r="AE27" s="590">
        <f>Trend!AE13</f>
        <v>15000000</v>
      </c>
      <c r="AF27" s="590">
        <f>Trend!AF13</f>
        <v>20000000</v>
      </c>
      <c r="AG27" s="590">
        <f>Trend!AG13</f>
        <v>20000000</v>
      </c>
      <c r="AH27" s="590">
        <f>Trend!AH13</f>
        <v>17735501.620000001</v>
      </c>
      <c r="AI27" s="590">
        <f>Trend!AI13</f>
        <v>17735502</v>
      </c>
      <c r="AJ27" s="590">
        <f>Trend!AJ13</f>
        <v>17735502</v>
      </c>
      <c r="AK27" s="590">
        <f>Trend!AK13</f>
        <v>0</v>
      </c>
      <c r="AL27" s="590">
        <f>Trend!AL13</f>
        <v>18317067.280000001</v>
      </c>
      <c r="AM27" s="590">
        <f>Trend!AM13</f>
        <v>18317067.280000001</v>
      </c>
      <c r="AN27" s="590">
        <f>Trend!AN13</f>
        <v>0</v>
      </c>
      <c r="AO27" s="590">
        <f>Trend!AO13</f>
        <v>4000000</v>
      </c>
      <c r="AP27" s="590">
        <f>Trend!AP13</f>
        <v>0</v>
      </c>
      <c r="AQ27" s="590">
        <f>Trend!AQ13</f>
        <v>0</v>
      </c>
      <c r="AR27" s="590">
        <f>Trend!AR13</f>
        <v>0</v>
      </c>
      <c r="AS27" s="590">
        <f>Trend!AS13</f>
        <v>0</v>
      </c>
      <c r="AT27" s="590">
        <f>Trend!AT13</f>
        <v>0</v>
      </c>
      <c r="AU27" s="590">
        <f>Trend!AU13</f>
        <v>0</v>
      </c>
      <c r="AV27" s="590">
        <f>Trend!AV13</f>
        <v>18000000</v>
      </c>
      <c r="AW27" s="590">
        <f>Trend!AW13</f>
        <v>0</v>
      </c>
      <c r="AX27" s="590">
        <f>Trend!AX13</f>
        <v>0</v>
      </c>
      <c r="AY27" s="590">
        <f>Trend!AY13</f>
        <v>0</v>
      </c>
      <c r="AZ27" s="590">
        <f>Trend!AZ13</f>
        <v>22000000</v>
      </c>
      <c r="BA27" s="590">
        <f>Trend!BA13</f>
        <v>50004500.100000001</v>
      </c>
      <c r="BB27" s="590">
        <f>Trend!BB13</f>
        <v>25419228.469999999</v>
      </c>
      <c r="BC27" s="590">
        <f>Trend!BC13</f>
        <v>26218897.690000001</v>
      </c>
      <c r="BD27" s="590">
        <f>Trend!BD13</f>
        <v>26318897.690000001</v>
      </c>
      <c r="BE27" s="590">
        <f>Trend!BE13</f>
        <v>26349210.489999998</v>
      </c>
      <c r="BF27" s="590">
        <f>Trend!BF13</f>
        <v>26259891</v>
      </c>
      <c r="BG27" s="590">
        <f>Trend!BG13</f>
        <v>0</v>
      </c>
      <c r="BH27" s="590">
        <f>Trend!BH13</f>
        <v>30259891</v>
      </c>
      <c r="BI27" s="590">
        <f>Trend!BI13</f>
        <v>28798925.670000002</v>
      </c>
      <c r="BJ27" s="590">
        <f>Trend!BJ13</f>
        <v>0</v>
      </c>
      <c r="BK27" s="590">
        <f>Trend!BK13</f>
        <v>29198925</v>
      </c>
      <c r="BL27" s="590">
        <f>Trend!BL13</f>
        <v>25198925.670000002</v>
      </c>
      <c r="BM27" s="590">
        <f>Trend!BM13</f>
        <v>25198925.670000002</v>
      </c>
      <c r="BN27" s="590">
        <f>Trend!BN13</f>
        <v>22597206</v>
      </c>
      <c r="BO27" s="590">
        <f>Trend!BO13</f>
        <v>23302925</v>
      </c>
      <c r="BP27" s="590">
        <f>Trend!BP13</f>
        <v>19302925</v>
      </c>
      <c r="BQ27" s="590">
        <f>Trend!BQ13</f>
        <v>19409525</v>
      </c>
      <c r="BR27" s="590">
        <f>Trend!BR13</f>
        <v>27909525</v>
      </c>
      <c r="BS27" s="590">
        <f>Trend!BS13</f>
        <v>33909525</v>
      </c>
      <c r="BT27" s="590">
        <f>Trend!BT13</f>
        <v>34909525</v>
      </c>
      <c r="BU27" s="590">
        <f>Trend!BU13</f>
        <v>38909525</v>
      </c>
      <c r="BV27" s="590">
        <f>Trend!BV13</f>
        <v>35902865</v>
      </c>
      <c r="BW27" s="590">
        <f>Trend!BW13</f>
        <v>0</v>
      </c>
      <c r="BX27" s="590">
        <f>Trend!BX13</f>
        <v>36425114</v>
      </c>
      <c r="BY27" s="590">
        <f>Trend!BY13</f>
        <v>41523114</v>
      </c>
      <c r="BZ27" s="590">
        <f>Trend!BZ13</f>
        <v>41780134</v>
      </c>
      <c r="CA27" s="590">
        <f>Trend!CA13</f>
        <v>34017661</v>
      </c>
      <c r="CB27" s="590">
        <f>Trend!CB13</f>
        <v>32106659</v>
      </c>
      <c r="CC27" s="590">
        <f>Trend!CC13</f>
        <v>30937631</v>
      </c>
      <c r="CD27" s="590">
        <f>Trend!CD13</f>
        <v>32871249</v>
      </c>
      <c r="CE27" s="590">
        <f>Trend!CE13</f>
        <v>32871249</v>
      </c>
      <c r="CF27" s="590">
        <f>Trend!CF13</f>
        <v>28652834</v>
      </c>
      <c r="CG27" s="590">
        <f>Trend!CG13</f>
        <v>25148756.699999999</v>
      </c>
      <c r="CH27" s="590">
        <f>Trend!CH13</f>
        <v>30348756.399999999</v>
      </c>
      <c r="CI27" s="590">
        <f>Trend!CI13</f>
        <v>0</v>
      </c>
      <c r="CJ27" s="590">
        <f>Trend!CJ13</f>
        <v>0</v>
      </c>
      <c r="CK27" s="590">
        <f>Trend!CK13</f>
        <v>30320249</v>
      </c>
      <c r="CL27" s="590">
        <f>Trend!CL13</f>
        <v>10000000</v>
      </c>
      <c r="CM27" s="590">
        <f>Trend!CM12</f>
        <v>4149415.54</v>
      </c>
      <c r="CN27" s="590">
        <f>Trend!CN13</f>
        <v>29620249</v>
      </c>
      <c r="CO27" s="590">
        <f>Trend!CO13</f>
        <v>20190068</v>
      </c>
      <c r="CP27" s="590">
        <f>Trend!CP13</f>
        <v>4464415.54</v>
      </c>
      <c r="CQ27" s="590">
        <f>Trend!CQ13</f>
        <v>33618191.380000003</v>
      </c>
      <c r="CR27" s="590">
        <f>Trend!CR13</f>
        <v>28535518.73</v>
      </c>
      <c r="CS27" s="590">
        <f>Trend!CS13</f>
        <v>34397489</v>
      </c>
      <c r="CT27" s="590">
        <f>Trend!CT13</f>
        <v>34397489</v>
      </c>
      <c r="CU27" s="590">
        <f>Trend!CU13</f>
        <v>36281996.359999999</v>
      </c>
      <c r="CV27" s="590">
        <f>Trend!CV13</f>
        <v>19356084.539999999</v>
      </c>
      <c r="CW27" s="590">
        <f>Trend!CW13</f>
        <v>10580249</v>
      </c>
      <c r="CX27" s="590">
        <f>Trend!CX13</f>
        <v>19976333.539999999</v>
      </c>
      <c r="CY27" s="590">
        <f>Trend!CY13</f>
        <v>10580249</v>
      </c>
      <c r="CZ27" s="590">
        <f>Trend!CZ13</f>
        <v>11541266.890000001</v>
      </c>
      <c r="DA27" s="590">
        <f>Trend!DA13</f>
        <v>11541266.890000001</v>
      </c>
      <c r="DB27" s="590">
        <f>Trend!DB13</f>
        <v>18541266.890000001</v>
      </c>
      <c r="DC27" s="590">
        <f>Trend!DC13</f>
        <v>18541266.890000001</v>
      </c>
      <c r="DD27" s="590">
        <f>Trend!DD13</f>
        <v>20921017</v>
      </c>
      <c r="DE27" s="590">
        <f>Trend!DE13</f>
        <v>21541266.890000001</v>
      </c>
      <c r="DF27" s="590">
        <f>Trend!DF13</f>
        <v>21541266.890000001</v>
      </c>
      <c r="DG27" s="590">
        <f>Trend!DG13</f>
        <v>20921017.890000001</v>
      </c>
      <c r="DH27" s="590">
        <f>Trend!DH13</f>
        <v>16541266.890000001</v>
      </c>
      <c r="DI27" s="590">
        <f>Trend!DI13</f>
        <v>10580249</v>
      </c>
      <c r="DJ27" s="590">
        <f>Trend!DJ13</f>
        <v>10777171</v>
      </c>
      <c r="DK27" s="590">
        <f>Trend!DK13</f>
        <v>16829638.739999998</v>
      </c>
      <c r="DL27" s="590">
        <f>Trend!DL13</f>
        <v>16829638.739999998</v>
      </c>
      <c r="DM27" s="590">
        <f>Trend!DM13</f>
        <v>1829638.74</v>
      </c>
      <c r="DN27" s="590">
        <f>Trend!DN13</f>
        <v>6829638.7400000002</v>
      </c>
      <c r="DO27" s="590">
        <f>Trend!DO13</f>
        <v>6829638.7400000002</v>
      </c>
      <c r="DP27" s="590">
        <f>Trend!DP13</f>
        <v>6829638.7400000002</v>
      </c>
      <c r="DQ27" s="590">
        <f>Trend!DQ13</f>
        <v>6829638.7400000002</v>
      </c>
      <c r="DR27" s="590">
        <f>Trend!DR13</f>
        <v>6829638.7400000002</v>
      </c>
      <c r="DS27" s="590">
        <f>Trend!DS13</f>
        <v>10829638.74</v>
      </c>
      <c r="DT27" s="590">
        <f>Trend!DT13</f>
        <v>10829638.74</v>
      </c>
      <c r="DU27" s="590">
        <f>Trend!DU13</f>
        <v>10905981.66</v>
      </c>
      <c r="DV27" s="590">
        <f>Trend!DV13</f>
        <v>0</v>
      </c>
      <c r="DW27" s="590">
        <f>Trend!DW13</f>
        <v>0</v>
      </c>
      <c r="DX27" s="590"/>
      <c r="DY27" s="590"/>
      <c r="DZ27" s="590"/>
      <c r="EA27" s="590"/>
      <c r="EB27" s="590"/>
    </row>
    <row r="28" spans="1:132" ht="15" x14ac:dyDescent="0.25">
      <c r="A28" s="604">
        <v>6.3</v>
      </c>
      <c r="B28" s="615" t="s">
        <v>167</v>
      </c>
      <c r="C28" s="606"/>
      <c r="D28" s="606"/>
      <c r="E28" s="606"/>
      <c r="F28" s="606"/>
      <c r="G28" s="606"/>
      <c r="H28" s="606"/>
      <c r="I28" s="606"/>
      <c r="J28" s="606"/>
      <c r="K28" s="606"/>
      <c r="L28" s="606"/>
      <c r="M28" s="606"/>
      <c r="N28" s="606"/>
      <c r="O28" s="606"/>
      <c r="P28" s="606"/>
      <c r="Q28" s="606"/>
      <c r="R28" s="606"/>
      <c r="S28" s="606"/>
      <c r="T28" s="606"/>
      <c r="U28" s="606"/>
      <c r="V28" s="606"/>
      <c r="W28" s="606"/>
      <c r="X28" s="606"/>
      <c r="Y28" s="606"/>
      <c r="Z28" s="606"/>
      <c r="AA28" s="606"/>
      <c r="AB28" s="606"/>
      <c r="AC28" s="606"/>
      <c r="AD28" s="606"/>
      <c r="AE28" s="606"/>
      <c r="AF28" s="606"/>
      <c r="AG28" s="606"/>
      <c r="AH28" s="606"/>
      <c r="AI28" s="606"/>
      <c r="AJ28" s="606"/>
      <c r="AK28" s="606"/>
      <c r="AL28" s="606"/>
      <c r="AM28" s="606"/>
      <c r="AN28" s="606"/>
      <c r="AO28" s="606"/>
      <c r="AP28" s="606"/>
      <c r="AQ28" s="606"/>
      <c r="AR28" s="606"/>
      <c r="AS28" s="606"/>
      <c r="AT28" s="606"/>
      <c r="AU28" s="606"/>
      <c r="AV28" s="606"/>
      <c r="AW28" s="606"/>
      <c r="AX28" s="606"/>
      <c r="AY28" s="606"/>
      <c r="AZ28" s="606"/>
      <c r="BA28" s="606"/>
      <c r="BB28" s="606"/>
      <c r="BC28" s="606"/>
      <c r="BD28" s="606"/>
      <c r="BE28" s="606"/>
      <c r="BF28" s="606"/>
      <c r="BG28" s="606"/>
      <c r="BH28" s="606"/>
      <c r="BI28" s="606"/>
      <c r="BJ28" s="606"/>
      <c r="BK28" s="606"/>
      <c r="BL28" s="606"/>
      <c r="BM28" s="606"/>
      <c r="BN28" s="606"/>
      <c r="BO28" s="606"/>
      <c r="BP28" s="606"/>
      <c r="BQ28" s="606"/>
      <c r="BR28" s="573"/>
      <c r="BS28" s="573"/>
      <c r="BT28" s="573"/>
      <c r="BU28" s="573"/>
      <c r="BV28" s="573"/>
      <c r="BW28" s="573"/>
      <c r="BX28" s="573"/>
      <c r="BY28" s="573"/>
      <c r="BZ28" s="573"/>
      <c r="CA28" s="573"/>
      <c r="CB28" s="573"/>
      <c r="CC28" s="573"/>
      <c r="CD28" s="573"/>
      <c r="CE28" s="573"/>
      <c r="CF28" s="573"/>
      <c r="CG28" s="573"/>
      <c r="CH28" s="573"/>
      <c r="CI28" s="573"/>
      <c r="CJ28" s="573"/>
      <c r="CK28" s="573"/>
      <c r="CL28" s="573"/>
      <c r="CM28" s="573"/>
      <c r="CN28" s="573"/>
      <c r="CO28" s="573"/>
      <c r="CP28" s="573"/>
      <c r="CQ28" s="573"/>
      <c r="CR28" s="573"/>
      <c r="CS28" s="573"/>
      <c r="CT28" s="573"/>
      <c r="CU28" s="573"/>
      <c r="CV28" s="573"/>
      <c r="CW28" s="573"/>
      <c r="CX28" s="573"/>
      <c r="CY28" s="573"/>
      <c r="CZ28" s="573"/>
      <c r="DA28" s="573"/>
      <c r="DB28" s="573"/>
      <c r="DC28" s="573"/>
      <c r="DD28" s="573"/>
      <c r="DE28" s="573"/>
      <c r="DF28" s="573"/>
      <c r="DG28" s="573"/>
      <c r="DH28" s="573"/>
      <c r="DI28" s="573"/>
      <c r="DJ28" s="573"/>
      <c r="DK28" s="573"/>
      <c r="DL28" s="573"/>
      <c r="DM28" s="573"/>
      <c r="DN28" s="573"/>
      <c r="DO28" s="573"/>
      <c r="DP28" s="573"/>
      <c r="DQ28" s="573"/>
      <c r="DR28" s="573"/>
      <c r="DS28" s="573"/>
      <c r="DT28" s="573"/>
      <c r="DU28" s="573"/>
      <c r="DV28" s="573"/>
      <c r="DW28" s="573"/>
      <c r="DX28" s="573"/>
      <c r="DY28" s="573"/>
      <c r="DZ28" s="573"/>
      <c r="EA28" s="573"/>
      <c r="EB28" s="573"/>
    </row>
    <row r="29" spans="1:132" ht="15" x14ac:dyDescent="0.25">
      <c r="A29" s="596"/>
      <c r="B29" s="618"/>
      <c r="C29" s="598"/>
      <c r="D29" s="598"/>
      <c r="E29" s="598"/>
      <c r="F29" s="598"/>
      <c r="G29" s="598"/>
      <c r="H29" s="598"/>
      <c r="I29" s="598"/>
      <c r="J29" s="598"/>
      <c r="K29" s="598"/>
      <c r="L29" s="598"/>
      <c r="M29" s="598"/>
      <c r="N29" s="598"/>
      <c r="O29" s="598"/>
      <c r="P29" s="598"/>
      <c r="Q29" s="598"/>
      <c r="R29" s="598"/>
      <c r="S29" s="598"/>
      <c r="T29" s="598"/>
      <c r="U29" s="598"/>
      <c r="V29" s="598"/>
      <c r="W29" s="598"/>
      <c r="X29" s="598"/>
      <c r="Y29" s="598"/>
      <c r="Z29" s="598"/>
      <c r="AA29" s="598"/>
      <c r="AB29" s="598"/>
      <c r="AC29" s="598"/>
      <c r="AD29" s="598"/>
      <c r="AE29" s="598"/>
      <c r="AF29" s="598"/>
      <c r="AG29" s="598"/>
      <c r="AH29" s="598"/>
      <c r="AI29" s="598"/>
      <c r="AJ29" s="598"/>
      <c r="AK29" s="598"/>
      <c r="AL29" s="598"/>
      <c r="AM29" s="598"/>
      <c r="AN29" s="598"/>
      <c r="AO29" s="598"/>
      <c r="AP29" s="598"/>
      <c r="AQ29" s="598"/>
      <c r="AR29" s="598"/>
      <c r="AS29" s="598"/>
      <c r="AT29" s="598"/>
      <c r="AU29" s="598"/>
      <c r="AV29" s="598"/>
      <c r="AW29" s="598"/>
      <c r="AX29" s="598"/>
      <c r="AY29" s="598"/>
      <c r="AZ29" s="598"/>
      <c r="BA29" s="598"/>
      <c r="BB29" s="598"/>
      <c r="BC29" s="598"/>
      <c r="BD29" s="598"/>
      <c r="BE29" s="598"/>
      <c r="BF29" s="573"/>
      <c r="BG29" s="573"/>
      <c r="BH29" s="573"/>
      <c r="BI29" s="573"/>
      <c r="BJ29" s="573"/>
      <c r="BK29" s="573"/>
      <c r="BL29" s="573"/>
      <c r="BM29" s="573"/>
      <c r="BN29" s="573"/>
      <c r="BO29" s="573"/>
      <c r="BP29" s="573"/>
      <c r="BQ29" s="573"/>
      <c r="BR29" s="573"/>
      <c r="BS29" s="573"/>
      <c r="BT29" s="573"/>
      <c r="BU29" s="573"/>
      <c r="BV29" s="573"/>
      <c r="BW29" s="573"/>
      <c r="BX29" s="573"/>
      <c r="BY29" s="573"/>
      <c r="BZ29" s="573"/>
      <c r="CA29" s="573"/>
      <c r="CB29" s="573"/>
      <c r="CC29" s="573"/>
      <c r="CD29" s="573"/>
      <c r="CE29" s="573"/>
      <c r="CF29" s="573"/>
      <c r="CG29" s="573"/>
      <c r="CH29" s="573"/>
      <c r="CI29" s="573"/>
      <c r="CJ29" s="573"/>
      <c r="CK29" s="573"/>
      <c r="CL29" s="573"/>
      <c r="CM29" s="573"/>
      <c r="CN29" s="573"/>
      <c r="CO29" s="573"/>
      <c r="CP29" s="573"/>
      <c r="CQ29" s="573"/>
      <c r="CR29" s="573"/>
      <c r="CS29" s="573"/>
      <c r="CT29" s="573"/>
      <c r="CU29" s="573"/>
      <c r="CV29" s="573"/>
      <c r="CW29" s="573"/>
      <c r="CX29" s="573"/>
      <c r="CY29" s="573"/>
      <c r="CZ29" s="573"/>
      <c r="DA29" s="573"/>
      <c r="DB29" s="573"/>
      <c r="DC29" s="573"/>
      <c r="DD29" s="573"/>
      <c r="DE29" s="573"/>
      <c r="DF29" s="573"/>
      <c r="DG29" s="573"/>
      <c r="DH29" s="573"/>
      <c r="DI29" s="573"/>
      <c r="DJ29" s="573"/>
      <c r="DK29" s="573"/>
      <c r="DL29" s="573"/>
      <c r="DM29" s="573"/>
      <c r="DN29" s="573"/>
      <c r="DO29" s="573"/>
      <c r="DP29" s="573"/>
      <c r="DQ29" s="693">
        <f>DM30-DP30</f>
        <v>-14998185.530000031</v>
      </c>
      <c r="DR29" s="573"/>
      <c r="DS29" s="573"/>
      <c r="DT29" s="573"/>
      <c r="DU29" s="573"/>
      <c r="DV29" s="573"/>
      <c r="DW29" s="573"/>
      <c r="DX29" s="573"/>
      <c r="DY29" s="573"/>
      <c r="DZ29" s="573"/>
      <c r="EA29" s="573"/>
      <c r="EB29" s="573"/>
    </row>
    <row r="30" spans="1:132" ht="15" x14ac:dyDescent="0.25">
      <c r="A30" s="599">
        <v>7</v>
      </c>
      <c r="B30" s="619" t="s">
        <v>168</v>
      </c>
      <c r="C30" s="601">
        <f>C31-C32</f>
        <v>2617776</v>
      </c>
      <c r="D30" s="601">
        <f>D31-D32</f>
        <v>6440080</v>
      </c>
      <c r="E30" s="601">
        <f t="shared" ref="E30:G30" si="41">E31-E32</f>
        <v>16654373</v>
      </c>
      <c r="F30" s="601">
        <f t="shared" si="41"/>
        <v>26721318</v>
      </c>
      <c r="G30" s="601">
        <f t="shared" si="41"/>
        <v>34118230</v>
      </c>
      <c r="H30" s="601">
        <f t="shared" ref="H30:I30" si="42">H31-H32</f>
        <v>48217665.82</v>
      </c>
      <c r="I30" s="601">
        <f t="shared" si="42"/>
        <v>48346848</v>
      </c>
      <c r="J30" s="601">
        <f t="shared" ref="J30:S30" si="43">J31-J32</f>
        <v>98776710.640000001</v>
      </c>
      <c r="K30" s="601">
        <f t="shared" si="43"/>
        <v>51577328.420000002</v>
      </c>
      <c r="L30" s="601">
        <f t="shared" si="43"/>
        <v>52819121.82</v>
      </c>
      <c r="M30" s="601">
        <f t="shared" si="43"/>
        <v>55743242.869999997</v>
      </c>
      <c r="N30" s="601">
        <f t="shared" si="43"/>
        <v>56055126.170000002</v>
      </c>
      <c r="O30" s="601">
        <f t="shared" si="43"/>
        <v>57484975.670000002</v>
      </c>
      <c r="P30" s="601">
        <f t="shared" si="43"/>
        <v>59249430.210000001</v>
      </c>
      <c r="Q30" s="601">
        <f t="shared" si="43"/>
        <v>61642644.75</v>
      </c>
      <c r="R30" s="601">
        <f t="shared" si="43"/>
        <v>65883220.75</v>
      </c>
      <c r="S30" s="601">
        <f t="shared" si="43"/>
        <v>69919533.200000003</v>
      </c>
      <c r="T30" s="601">
        <f t="shared" ref="T30:V30" si="44">T31-T32</f>
        <v>70498976.420000002</v>
      </c>
      <c r="U30" s="601">
        <f t="shared" si="44"/>
        <v>71533981.469999999</v>
      </c>
      <c r="V30" s="601">
        <f t="shared" si="44"/>
        <v>70141759</v>
      </c>
      <c r="W30" s="601">
        <f t="shared" ref="W30:Z30" si="45">W31-W32</f>
        <v>68823638.420000002</v>
      </c>
      <c r="X30" s="601">
        <f t="shared" si="45"/>
        <v>69677931.450000003</v>
      </c>
      <c r="Y30" s="601">
        <f t="shared" si="45"/>
        <v>67962672.459999993</v>
      </c>
      <c r="Z30" s="601">
        <f t="shared" si="45"/>
        <v>69132582.980000004</v>
      </c>
      <c r="AA30" s="601">
        <f t="shared" ref="AA30:AB30" si="46">AA31-AA32</f>
        <v>68701460.780000001</v>
      </c>
      <c r="AB30" s="601">
        <f t="shared" si="46"/>
        <v>71917436.180000007</v>
      </c>
      <c r="AC30" s="601">
        <f t="shared" ref="AC30:AD30" si="47">AC31-AC32</f>
        <v>73060452.680000007</v>
      </c>
      <c r="AD30" s="601">
        <f t="shared" si="47"/>
        <v>74933983.200000003</v>
      </c>
      <c r="AE30" s="601">
        <f t="shared" ref="AE30:AG30" si="48">AE31-AE32</f>
        <v>77895247.430000007</v>
      </c>
      <c r="AF30" s="601">
        <f t="shared" si="48"/>
        <v>76095690.769999996</v>
      </c>
      <c r="AG30" s="601">
        <f t="shared" si="48"/>
        <v>80558722.459999993</v>
      </c>
      <c r="AH30" s="601">
        <f t="shared" ref="AH30:AI30" si="49">AH31-AH32</f>
        <v>82766104.370000005</v>
      </c>
      <c r="AI30" s="601">
        <f t="shared" si="49"/>
        <v>89721216</v>
      </c>
      <c r="AJ30" s="601">
        <f t="shared" ref="AJ30:AN30" si="50">AJ31-AJ32</f>
        <v>87975748</v>
      </c>
      <c r="AK30" s="601">
        <f t="shared" si="50"/>
        <v>0</v>
      </c>
      <c r="AL30" s="601">
        <f t="shared" si="50"/>
        <v>86704253.819999993</v>
      </c>
      <c r="AM30" s="601">
        <f t="shared" si="50"/>
        <v>86691772.819999993</v>
      </c>
      <c r="AN30" s="601">
        <f t="shared" si="50"/>
        <v>86691822.819999993</v>
      </c>
      <c r="AO30" s="601">
        <f t="shared" ref="AO30:AP30" si="51">AO31-AO32</f>
        <v>73501460.780000001</v>
      </c>
      <c r="AP30" s="601">
        <f t="shared" si="51"/>
        <v>86713098.819999993</v>
      </c>
      <c r="AQ30" s="601">
        <f t="shared" ref="AQ30:AU30" si="52">AQ31-AQ32</f>
        <v>96446724.239999995</v>
      </c>
      <c r="AR30" s="601">
        <f t="shared" si="52"/>
        <v>98637687.159999996</v>
      </c>
      <c r="AS30" s="601">
        <f t="shared" si="52"/>
        <v>103523370.56</v>
      </c>
      <c r="AT30" s="601">
        <f t="shared" si="52"/>
        <v>0</v>
      </c>
      <c r="AU30" s="601">
        <f t="shared" si="52"/>
        <v>106249977.45999999</v>
      </c>
      <c r="AV30" s="601">
        <f t="shared" ref="AV30:CW30" si="53">AV31-AV32</f>
        <v>108678477.81999999</v>
      </c>
      <c r="AW30" s="601">
        <f t="shared" si="53"/>
        <v>104310394</v>
      </c>
      <c r="AX30" s="601">
        <f t="shared" si="53"/>
        <v>0</v>
      </c>
      <c r="AY30" s="601">
        <f t="shared" si="53"/>
        <v>0</v>
      </c>
      <c r="AZ30" s="601">
        <f t="shared" si="53"/>
        <v>104745556.51000001</v>
      </c>
      <c r="BA30" s="601">
        <f t="shared" si="53"/>
        <v>230795323.53999999</v>
      </c>
      <c r="BB30" s="601">
        <f t="shared" si="53"/>
        <v>107611432.95999999</v>
      </c>
      <c r="BC30" s="601">
        <f t="shared" si="53"/>
        <v>108174834.64999999</v>
      </c>
      <c r="BD30" s="601">
        <f t="shared" si="53"/>
        <v>113125122.52</v>
      </c>
      <c r="BE30" s="601">
        <f t="shared" si="53"/>
        <v>113498795.33</v>
      </c>
      <c r="BF30" s="601">
        <f t="shared" si="53"/>
        <v>114600686</v>
      </c>
      <c r="BG30" s="601">
        <f t="shared" si="53"/>
        <v>0</v>
      </c>
      <c r="BH30" s="601">
        <f t="shared" si="53"/>
        <v>115144867.97999999</v>
      </c>
      <c r="BI30" s="601">
        <f t="shared" si="53"/>
        <v>115348724.07000001</v>
      </c>
      <c r="BJ30" s="601">
        <f t="shared" si="53"/>
        <v>112450375</v>
      </c>
      <c r="BK30" s="601">
        <f t="shared" si="53"/>
        <v>122960053.83</v>
      </c>
      <c r="BL30" s="601">
        <f t="shared" si="53"/>
        <v>123779502.01000001</v>
      </c>
      <c r="BM30" s="601">
        <f t="shared" si="53"/>
        <v>125735494.95999999</v>
      </c>
      <c r="BN30" s="601">
        <f t="shared" si="53"/>
        <v>126794589</v>
      </c>
      <c r="BO30" s="601">
        <f t="shared" si="53"/>
        <v>125264734</v>
      </c>
      <c r="BP30" s="601">
        <f t="shared" si="53"/>
        <v>129424977</v>
      </c>
      <c r="BQ30" s="601">
        <f t="shared" si="53"/>
        <v>128830613</v>
      </c>
      <c r="BR30" s="601">
        <f t="shared" si="53"/>
        <v>126634735</v>
      </c>
      <c r="BS30" s="601">
        <f t="shared" si="53"/>
        <v>128560147</v>
      </c>
      <c r="BT30" s="601">
        <f t="shared" si="53"/>
        <v>126212741</v>
      </c>
      <c r="BU30" s="601">
        <f t="shared" si="53"/>
        <v>130184431</v>
      </c>
      <c r="BV30" s="601">
        <f t="shared" si="53"/>
        <v>129903748.83000001</v>
      </c>
      <c r="BW30" s="601">
        <f t="shared" si="53"/>
        <v>139494057.83000001</v>
      </c>
      <c r="BX30" s="601">
        <f t="shared" si="53"/>
        <v>134588460</v>
      </c>
      <c r="BY30" s="601">
        <f t="shared" si="53"/>
        <v>135433139</v>
      </c>
      <c r="BZ30" s="601">
        <f t="shared" si="53"/>
        <v>134174916</v>
      </c>
      <c r="CA30" s="601">
        <f t="shared" si="53"/>
        <v>136578767</v>
      </c>
      <c r="CB30" s="601">
        <f t="shared" si="53"/>
        <v>149176816</v>
      </c>
      <c r="CC30" s="601">
        <f t="shared" si="53"/>
        <v>154318513.63999999</v>
      </c>
      <c r="CD30" s="601">
        <f t="shared" si="53"/>
        <v>157299998.43000001</v>
      </c>
      <c r="CE30" s="601">
        <f t="shared" si="53"/>
        <v>165476967</v>
      </c>
      <c r="CF30" s="601">
        <f t="shared" si="53"/>
        <v>172428627.25</v>
      </c>
      <c r="CG30" s="601">
        <f t="shared" si="53"/>
        <v>178648239.74000001</v>
      </c>
      <c r="CH30" s="601">
        <f t="shared" si="53"/>
        <v>185970966.53</v>
      </c>
      <c r="CI30" s="601">
        <f t="shared" si="53"/>
        <v>183825784.59999999</v>
      </c>
      <c r="CJ30" s="601">
        <f t="shared" si="53"/>
        <v>183825784.59999999</v>
      </c>
      <c r="CK30" s="601">
        <f t="shared" si="53"/>
        <v>193554184</v>
      </c>
      <c r="CL30" s="601">
        <f t="shared" si="53"/>
        <v>189908730.84</v>
      </c>
      <c r="CM30" s="601" t="e">
        <f t="shared" si="53"/>
        <v>#REF!</v>
      </c>
      <c r="CN30" s="601">
        <f t="shared" si="53"/>
        <v>189986635</v>
      </c>
      <c r="CO30" s="601">
        <f t="shared" si="53"/>
        <v>187331708.91999999</v>
      </c>
      <c r="CP30" s="601">
        <f t="shared" si="53"/>
        <v>196931398</v>
      </c>
      <c r="CQ30" s="601">
        <f t="shared" si="53"/>
        <v>201459742.5</v>
      </c>
      <c r="CR30" s="601">
        <f t="shared" si="53"/>
        <v>204231479.69999999</v>
      </c>
      <c r="CS30" s="601">
        <f t="shared" si="53"/>
        <v>209933863</v>
      </c>
      <c r="CT30" s="601">
        <f t="shared" si="53"/>
        <v>209933863</v>
      </c>
      <c r="CU30" s="601">
        <f t="shared" si="53"/>
        <v>220573991.06</v>
      </c>
      <c r="CV30" s="601">
        <f t="shared" si="53"/>
        <v>232258344</v>
      </c>
      <c r="CW30" s="601">
        <f t="shared" si="53"/>
        <v>232294714.68000001</v>
      </c>
      <c r="CX30" s="601">
        <f t="shared" ref="CX30:DD30" si="54">CX31-CX32</f>
        <v>237621609.84</v>
      </c>
      <c r="CY30" s="601">
        <f t="shared" si="54"/>
        <v>244046302.5</v>
      </c>
      <c r="CZ30" s="601">
        <f t="shared" si="54"/>
        <v>246254319.5</v>
      </c>
      <c r="DA30" s="601">
        <f t="shared" si="54"/>
        <v>242133062.28999999</v>
      </c>
      <c r="DB30" s="601">
        <f t="shared" si="54"/>
        <v>253834905.87</v>
      </c>
      <c r="DC30" s="601">
        <f t="shared" si="54"/>
        <v>262937482.56</v>
      </c>
      <c r="DD30" s="601">
        <f t="shared" si="54"/>
        <v>275154522.57999998</v>
      </c>
      <c r="DE30" s="601">
        <f t="shared" ref="DE30:DU30" si="55">DE31-DE32</f>
        <v>280485986.20999998</v>
      </c>
      <c r="DF30" s="601">
        <f t="shared" si="55"/>
        <v>282798933.98000002</v>
      </c>
      <c r="DG30" s="601">
        <f t="shared" si="55"/>
        <v>284417765.79000002</v>
      </c>
      <c r="DH30" s="601">
        <f t="shared" si="55"/>
        <v>295996303.63</v>
      </c>
      <c r="DI30" s="601">
        <f t="shared" si="55"/>
        <v>291082127.11000001</v>
      </c>
      <c r="DJ30" s="601">
        <f t="shared" si="55"/>
        <v>291082127</v>
      </c>
      <c r="DK30" s="601">
        <f t="shared" si="55"/>
        <v>297898672.85000002</v>
      </c>
      <c r="DL30" s="601">
        <f t="shared" si="55"/>
        <v>300727505.51999998</v>
      </c>
      <c r="DM30" s="601">
        <f t="shared" si="55"/>
        <v>300596112.38</v>
      </c>
      <c r="DN30" s="601">
        <f t="shared" si="55"/>
        <v>311333089.51999998</v>
      </c>
      <c r="DO30" s="601">
        <f t="shared" si="55"/>
        <v>314732075.12</v>
      </c>
      <c r="DP30" s="601">
        <f t="shared" si="55"/>
        <v>315594297.91000003</v>
      </c>
      <c r="DQ30" s="601">
        <f t="shared" si="55"/>
        <v>317656658</v>
      </c>
      <c r="DR30" s="601">
        <f t="shared" si="55"/>
        <v>321951569.45999998</v>
      </c>
      <c r="DS30" s="601">
        <f t="shared" si="55"/>
        <v>332255189.99000001</v>
      </c>
      <c r="DT30" s="601">
        <f t="shared" si="55"/>
        <v>335854754.08999997</v>
      </c>
      <c r="DU30" s="601">
        <f t="shared" si="55"/>
        <v>337160431.49000001</v>
      </c>
      <c r="DV30" s="601">
        <f t="shared" ref="DV30:EB30" si="56">DV31-DV32</f>
        <v>0</v>
      </c>
      <c r="DW30" s="601">
        <f t="shared" si="56"/>
        <v>340435332</v>
      </c>
      <c r="DX30" s="601"/>
      <c r="DY30" s="601"/>
      <c r="DZ30" s="601"/>
      <c r="EA30" s="601"/>
      <c r="EB30" s="601"/>
    </row>
    <row r="31" spans="1:132" ht="15" x14ac:dyDescent="0.25">
      <c r="A31" s="602">
        <v>7.1</v>
      </c>
      <c r="B31" s="583" t="s">
        <v>169</v>
      </c>
      <c r="C31" s="590">
        <f>Trend!C15</f>
        <v>2617776</v>
      </c>
      <c r="D31" s="590">
        <f>Trend!D15</f>
        <v>6440080</v>
      </c>
      <c r="E31" s="590">
        <f>Trend!E15</f>
        <v>16654373</v>
      </c>
      <c r="F31" s="590">
        <f>Trend!F15</f>
        <v>26990740</v>
      </c>
      <c r="G31" s="590">
        <f>Trend!G15</f>
        <v>34462859</v>
      </c>
      <c r="H31" s="590">
        <f>Trend!H15</f>
        <v>48487087.82</v>
      </c>
      <c r="I31" s="590">
        <f>Trend!I15</f>
        <v>48831719</v>
      </c>
      <c r="J31" s="590">
        <f>Trend!J15</f>
        <v>99315554.640000001</v>
      </c>
      <c r="K31" s="590">
        <f>Trend!K15</f>
        <v>51846750.420000002</v>
      </c>
      <c r="L31" s="590">
        <f>Trend!L15</f>
        <v>53088543.82</v>
      </c>
      <c r="M31" s="590">
        <f>Trend!M15</f>
        <v>56012664.869999997</v>
      </c>
      <c r="N31" s="590">
        <f>Trend!N15</f>
        <v>56324548.170000002</v>
      </c>
      <c r="O31" s="590">
        <f>Trend!O15</f>
        <v>57754397.670000002</v>
      </c>
      <c r="P31" s="590">
        <f>Trend!P15</f>
        <v>59518852.210000001</v>
      </c>
      <c r="Q31" s="590">
        <f>Trend!Q15</f>
        <v>61912066.75</v>
      </c>
      <c r="R31" s="590">
        <f>Trend!R15</f>
        <v>66152642.75</v>
      </c>
      <c r="S31" s="590">
        <f>Trend!S15</f>
        <v>70188955.200000003</v>
      </c>
      <c r="T31" s="590">
        <f>Trend!T15</f>
        <v>70768398.420000002</v>
      </c>
      <c r="U31" s="590">
        <f>Trend!U15</f>
        <v>71533981.469999999</v>
      </c>
      <c r="V31" s="590">
        <f>Trend!V15</f>
        <v>72135405</v>
      </c>
      <c r="W31" s="590">
        <f>Trend!W15</f>
        <v>71223638.420000002</v>
      </c>
      <c r="X31" s="590">
        <f>Trend!X15</f>
        <v>72077931.450000003</v>
      </c>
      <c r="Y31" s="590">
        <f>Trend!Y15</f>
        <v>70362672.459999993</v>
      </c>
      <c r="Z31" s="590">
        <f>Trend!Z15</f>
        <v>71532582.980000004</v>
      </c>
      <c r="AA31" s="590">
        <f>Trend!AA15</f>
        <v>71101460.780000001</v>
      </c>
      <c r="AB31" s="590">
        <f>Trend!AB15</f>
        <v>74317436.180000007</v>
      </c>
      <c r="AC31" s="590">
        <f>Trend!AC15</f>
        <v>75460452.680000007</v>
      </c>
      <c r="AD31" s="590">
        <f>Trend!AD15</f>
        <v>77333983.200000003</v>
      </c>
      <c r="AE31" s="590">
        <f>Trend!AE15</f>
        <v>80295247.430000007</v>
      </c>
      <c r="AF31" s="590">
        <f>Trend!AF15</f>
        <v>78495690.769999996</v>
      </c>
      <c r="AG31" s="590">
        <f>Trend!AG15</f>
        <v>82958722.459999993</v>
      </c>
      <c r="AH31" s="590">
        <f>Trend!AH15</f>
        <v>85166104.370000005</v>
      </c>
      <c r="AI31" s="590">
        <f>Trend!AI15</f>
        <v>89845305</v>
      </c>
      <c r="AJ31" s="590">
        <f>Trend!AJ15</f>
        <v>89845305</v>
      </c>
      <c r="AK31" s="590">
        <f>Trend!AK15</f>
        <v>0</v>
      </c>
      <c r="AL31" s="590">
        <f>Trend!AL15</f>
        <v>89104253.819999993</v>
      </c>
      <c r="AM31" s="590">
        <f>Trend!AM15</f>
        <v>89091772.819999993</v>
      </c>
      <c r="AN31" s="590">
        <f>Trend!AN15</f>
        <v>89091822.819999993</v>
      </c>
      <c r="AO31" s="590">
        <f>Trend!AO15</f>
        <v>71101460.780000001</v>
      </c>
      <c r="AP31" s="590">
        <f>Trend!AP15</f>
        <v>89113098.819999993</v>
      </c>
      <c r="AQ31" s="590">
        <f>Trend!AQ15</f>
        <v>98846724.239999995</v>
      </c>
      <c r="AR31" s="590">
        <f>Trend!AR15</f>
        <v>101037687.16</v>
      </c>
      <c r="AS31" s="590">
        <f>Trend!AS15</f>
        <v>105923370.56</v>
      </c>
      <c r="AT31" s="590">
        <f>Trend!AT15</f>
        <v>0</v>
      </c>
      <c r="AU31" s="590">
        <f>Trend!AU15</f>
        <v>108649977.45999999</v>
      </c>
      <c r="AV31" s="590">
        <f>Trend!AV15</f>
        <v>111971045.81999999</v>
      </c>
      <c r="AW31" s="590">
        <f>Trend!AW15</f>
        <v>110900703</v>
      </c>
      <c r="AX31" s="590">
        <f>Trend!AX15</f>
        <v>0</v>
      </c>
      <c r="AY31" s="590">
        <f>Trend!AY15</f>
        <v>0</v>
      </c>
      <c r="AZ31" s="590">
        <f>Trend!AZ15</f>
        <v>108038124.51000001</v>
      </c>
      <c r="BA31" s="590">
        <f>Trend!BA15</f>
        <v>237380459.53999999</v>
      </c>
      <c r="BB31" s="590">
        <f>Trend!BB15</f>
        <v>110904000.95999999</v>
      </c>
      <c r="BC31" s="590">
        <f>Trend!BC15</f>
        <v>114774204.59999999</v>
      </c>
      <c r="BD31" s="590">
        <f>Trend!BD15</f>
        <v>119999479.36</v>
      </c>
      <c r="BE31" s="590">
        <f>Trend!BE15</f>
        <v>120885999.48</v>
      </c>
      <c r="BF31" s="590">
        <f>Trend!BF15</f>
        <v>120778872</v>
      </c>
      <c r="BG31" s="590">
        <f>Trend!BG15</f>
        <v>0</v>
      </c>
      <c r="BH31" s="590">
        <f>Trend!BH15</f>
        <v>120916172.13</v>
      </c>
      <c r="BI31" s="590">
        <f>Trend!BI15</f>
        <v>121186985.01000001</v>
      </c>
      <c r="BJ31" s="590">
        <f>Trend!BJ15</f>
        <v>121040684</v>
      </c>
      <c r="BK31" s="590">
        <f>Trend!BK15</f>
        <v>122960053.83</v>
      </c>
      <c r="BL31" s="590">
        <f>Trend!BL15</f>
        <v>129701372</v>
      </c>
      <c r="BM31" s="590">
        <f>Trend!BM15</f>
        <v>132991630.95999999</v>
      </c>
      <c r="BN31" s="590">
        <f>Trend!BN15</f>
        <v>133743755</v>
      </c>
      <c r="BO31" s="590">
        <f>Trend!BO15</f>
        <v>132448001</v>
      </c>
      <c r="BP31" s="590">
        <f>Trend!BP15</f>
        <v>136981850</v>
      </c>
      <c r="BQ31" s="590">
        <f>Trend!BQ15</f>
        <v>137779559</v>
      </c>
      <c r="BR31" s="590">
        <f>Trend!BR15</f>
        <v>135254054</v>
      </c>
      <c r="BS31" s="590">
        <f>Trend!BS15</f>
        <v>136462545</v>
      </c>
      <c r="BT31" s="590">
        <f>Trend!BT15</f>
        <v>134162150</v>
      </c>
      <c r="BU31" s="590">
        <f>Trend!BU15</f>
        <v>138637075</v>
      </c>
      <c r="BV31" s="590">
        <f>Trend!BV15</f>
        <v>139494057.83000001</v>
      </c>
      <c r="BW31" s="590">
        <f>Trend!BW15</f>
        <v>139494057.83000001</v>
      </c>
      <c r="BX31" s="590">
        <f>Trend!BX15</f>
        <v>144178769</v>
      </c>
      <c r="BY31" s="590">
        <f>Trend!BY15</f>
        <v>145023448</v>
      </c>
      <c r="BZ31" s="590">
        <f>Trend!BZ15</f>
        <v>143765225</v>
      </c>
      <c r="CA31" s="590">
        <f>Trend!CA15</f>
        <v>146169076</v>
      </c>
      <c r="CB31" s="590">
        <f>Trend!CB15</f>
        <v>158767125</v>
      </c>
      <c r="CC31" s="590">
        <f>Trend!CC15</f>
        <v>163908822.63999999</v>
      </c>
      <c r="CD31" s="590">
        <f>Trend!CD15</f>
        <v>166876684.43000001</v>
      </c>
      <c r="CE31" s="590">
        <f>Trend!CE15</f>
        <v>175053653</v>
      </c>
      <c r="CF31" s="590">
        <f>Trend!CF15</f>
        <v>182005313.25</v>
      </c>
      <c r="CG31" s="590">
        <f>Trend!CG15</f>
        <v>188224925.74000001</v>
      </c>
      <c r="CH31" s="590">
        <f>Trend!CH15</f>
        <v>195547652.53</v>
      </c>
      <c r="CI31" s="590">
        <f>Trend!CI15</f>
        <v>194416093.59999999</v>
      </c>
      <c r="CJ31" s="590">
        <f>Trend!CJ15</f>
        <v>194416093.59999999</v>
      </c>
      <c r="CK31" s="590">
        <f>Trend!CK15</f>
        <v>204144493</v>
      </c>
      <c r="CL31" s="590">
        <f>Trend!CL15</f>
        <v>200499039.84</v>
      </c>
      <c r="CM31" s="590" t="e">
        <f>Trend!#REF!</f>
        <v>#REF!</v>
      </c>
      <c r="CN31" s="590">
        <f>Trend!CN15</f>
        <v>200576944</v>
      </c>
      <c r="CO31" s="590">
        <f>Trend!CO15</f>
        <v>197922017.91999999</v>
      </c>
      <c r="CP31" s="590">
        <f>Trend!CP15</f>
        <v>207508084</v>
      </c>
      <c r="CQ31" s="590">
        <f>Trend!CQ15</f>
        <v>212036428.5</v>
      </c>
      <c r="CR31" s="590">
        <f>Trend!CR15</f>
        <v>214807349.69999999</v>
      </c>
      <c r="CS31" s="590">
        <f>Trend!CS15</f>
        <v>220509733</v>
      </c>
      <c r="CT31" s="590">
        <f>Trend!CT15</f>
        <v>220509733</v>
      </c>
      <c r="CU31" s="590">
        <f>Trend!CU15</f>
        <v>231149861.06</v>
      </c>
      <c r="CV31" s="590">
        <f>Trend!CV15</f>
        <v>244834214</v>
      </c>
      <c r="CW31" s="590">
        <f>Trend!CW15</f>
        <v>244870584.68000001</v>
      </c>
      <c r="CX31" s="590">
        <f>Trend!CX15</f>
        <v>250197479.84</v>
      </c>
      <c r="CY31" s="590">
        <f>Trend!CY15</f>
        <v>256622172.5</v>
      </c>
      <c r="CZ31" s="590">
        <f>Trend!CZ15</f>
        <v>258830189.5</v>
      </c>
      <c r="DA31" s="590">
        <f>Trend!DA15</f>
        <v>254708932.28999999</v>
      </c>
      <c r="DB31" s="590">
        <f>Trend!DB15</f>
        <v>266410775.87</v>
      </c>
      <c r="DC31" s="590">
        <f>Trend!DC15</f>
        <v>275513352.56</v>
      </c>
      <c r="DD31" s="590">
        <f>Trend!DD15</f>
        <v>287230392.88999999</v>
      </c>
      <c r="DE31" s="590">
        <f>Trend!DE15</f>
        <v>292561856.51999998</v>
      </c>
      <c r="DF31" s="590">
        <f>Trend!DF15</f>
        <v>294874804.29000002</v>
      </c>
      <c r="DG31" s="590">
        <f>Trend!DG15</f>
        <v>296493636.10000002</v>
      </c>
      <c r="DH31" s="590">
        <f>Trend!DH15</f>
        <v>308072173.94</v>
      </c>
      <c r="DI31" s="590">
        <f>Trend!DI15</f>
        <v>305657997.11000001</v>
      </c>
      <c r="DJ31" s="590">
        <f>Trend!DJ15</f>
        <v>305657997</v>
      </c>
      <c r="DK31" s="590">
        <f>Trend!DK15</f>
        <v>309974543.16000003</v>
      </c>
      <c r="DL31" s="590">
        <f>Trend!DL15</f>
        <v>314803375.82999998</v>
      </c>
      <c r="DM31" s="590">
        <f>Trend!DM15</f>
        <v>314671982.69</v>
      </c>
      <c r="DN31" s="590">
        <f>Trend!DN15</f>
        <v>325408959.82999998</v>
      </c>
      <c r="DO31" s="590">
        <f>Trend!DO15</f>
        <v>328807945.43000001</v>
      </c>
      <c r="DP31" s="590">
        <f>Trend!DP15</f>
        <v>329670168.22000003</v>
      </c>
      <c r="DQ31" s="590">
        <f>Trend!DQ15</f>
        <v>331732528.31</v>
      </c>
      <c r="DR31" s="590">
        <f>Trend!DR15</f>
        <v>336527439.76999998</v>
      </c>
      <c r="DS31" s="590">
        <f>Trend!DS15</f>
        <v>346831060.30000001</v>
      </c>
      <c r="DT31" s="590">
        <f>Trend!DT15</f>
        <v>350430624.39999998</v>
      </c>
      <c r="DU31" s="590">
        <f>Trend!DU15</f>
        <v>351736301.80000001</v>
      </c>
      <c r="DV31" s="590">
        <f>Trend!DV15</f>
        <v>0</v>
      </c>
      <c r="DW31" s="590">
        <f>Trend!DW15</f>
        <v>358511202</v>
      </c>
      <c r="DX31" s="590"/>
      <c r="DY31" s="590"/>
      <c r="DZ31" s="590"/>
      <c r="EA31" s="590"/>
      <c r="EB31" s="590"/>
    </row>
    <row r="32" spans="1:132" ht="15" x14ac:dyDescent="0.25">
      <c r="A32" s="602">
        <v>7.3</v>
      </c>
      <c r="B32" s="583" t="s">
        <v>170</v>
      </c>
      <c r="C32" s="590">
        <f>Trend!C16</f>
        <v>0</v>
      </c>
      <c r="D32" s="590">
        <f>Trend!D16</f>
        <v>0</v>
      </c>
      <c r="E32" s="590">
        <f>Trend!E16</f>
        <v>0</v>
      </c>
      <c r="F32" s="590">
        <f>Trend!F16</f>
        <v>269422</v>
      </c>
      <c r="G32" s="590">
        <f>Trend!G16</f>
        <v>344629</v>
      </c>
      <c r="H32" s="590">
        <f>Trend!H16</f>
        <v>269422</v>
      </c>
      <c r="I32" s="590">
        <f>Trend!I16</f>
        <v>484871</v>
      </c>
      <c r="J32" s="590">
        <f>Trend!J16</f>
        <v>538844</v>
      </c>
      <c r="K32" s="590">
        <f>Trend!K16</f>
        <v>269422</v>
      </c>
      <c r="L32" s="590">
        <f>Trend!L16</f>
        <v>269422</v>
      </c>
      <c r="M32" s="590">
        <f>Trend!M16</f>
        <v>269422</v>
      </c>
      <c r="N32" s="590">
        <f>Trend!N16</f>
        <v>269422</v>
      </c>
      <c r="O32" s="590">
        <f>Trend!O16</f>
        <v>269422</v>
      </c>
      <c r="P32" s="590">
        <f>Trend!P16</f>
        <v>269422</v>
      </c>
      <c r="Q32" s="590">
        <f>Trend!Q16</f>
        <v>269422</v>
      </c>
      <c r="R32" s="590">
        <f>Trend!R16</f>
        <v>269422</v>
      </c>
      <c r="S32" s="590">
        <f>Trend!S16</f>
        <v>269422</v>
      </c>
      <c r="T32" s="590">
        <f>Trend!T16</f>
        <v>269422</v>
      </c>
      <c r="U32" s="590">
        <f>Trend!U16</f>
        <v>0</v>
      </c>
      <c r="V32" s="590">
        <f>Trend!V16</f>
        <v>1993646</v>
      </c>
      <c r="W32" s="590">
        <f>Trend!W16</f>
        <v>2400000</v>
      </c>
      <c r="X32" s="590">
        <f>Trend!X16</f>
        <v>2400000</v>
      </c>
      <c r="Y32" s="590">
        <f>Trend!Y16</f>
        <v>2400000</v>
      </c>
      <c r="Z32" s="590">
        <f>Trend!Z16</f>
        <v>2400000</v>
      </c>
      <c r="AA32" s="590">
        <f>Trend!AA16</f>
        <v>2400000</v>
      </c>
      <c r="AB32" s="590">
        <f>Trend!AB16</f>
        <v>2400000</v>
      </c>
      <c r="AC32" s="590">
        <f>Trend!AC16</f>
        <v>2400000</v>
      </c>
      <c r="AD32" s="590">
        <f>Trend!AD16</f>
        <v>2400000</v>
      </c>
      <c r="AE32" s="590">
        <f>Trend!AE16</f>
        <v>2400000</v>
      </c>
      <c r="AF32" s="590">
        <f>Trend!AF16</f>
        <v>2400000</v>
      </c>
      <c r="AG32" s="590">
        <f>Trend!AG16</f>
        <v>2400000</v>
      </c>
      <c r="AH32" s="590">
        <f>Trend!AH16</f>
        <v>2400000</v>
      </c>
      <c r="AI32" s="590">
        <f>Trend!AI16</f>
        <v>124089</v>
      </c>
      <c r="AJ32" s="590">
        <f>Trend!AJ16</f>
        <v>1869557</v>
      </c>
      <c r="AK32" s="590">
        <f>Trend!AK16</f>
        <v>0</v>
      </c>
      <c r="AL32" s="590">
        <f>Trend!AL16</f>
        <v>2400000</v>
      </c>
      <c r="AM32" s="590">
        <f>Trend!AM16</f>
        <v>2400000</v>
      </c>
      <c r="AN32" s="590">
        <f>Trend!AN16</f>
        <v>2400000</v>
      </c>
      <c r="AO32" s="590">
        <f>Trend!AO16</f>
        <v>-2400000</v>
      </c>
      <c r="AP32" s="590">
        <f>Trend!AP16</f>
        <v>2400000</v>
      </c>
      <c r="AQ32" s="590">
        <f>Trend!AQ16</f>
        <v>2400000</v>
      </c>
      <c r="AR32" s="590">
        <f>Trend!AR16</f>
        <v>2400000</v>
      </c>
      <c r="AS32" s="590">
        <f>Trend!AS16</f>
        <v>2400000</v>
      </c>
      <c r="AT32" s="590">
        <f>Trend!AT16</f>
        <v>0</v>
      </c>
      <c r="AU32" s="590">
        <f>Trend!AU16</f>
        <v>2400000</v>
      </c>
      <c r="AV32" s="590">
        <f>Trend!AV16</f>
        <v>3292568</v>
      </c>
      <c r="AW32" s="590">
        <f>Trend!AW16</f>
        <v>6590309</v>
      </c>
      <c r="AX32" s="590">
        <f>Trend!AX16</f>
        <v>0</v>
      </c>
      <c r="AY32" s="590">
        <f>Trend!AY16</f>
        <v>0</v>
      </c>
      <c r="AZ32" s="590">
        <f>Trend!AZ16</f>
        <v>3292568</v>
      </c>
      <c r="BA32" s="590">
        <f>Trend!BA16</f>
        <v>6585136</v>
      </c>
      <c r="BB32" s="590">
        <f>Trend!BB16</f>
        <v>3292568</v>
      </c>
      <c r="BC32" s="590">
        <f>Trend!BC16</f>
        <v>6599369.9500000002</v>
      </c>
      <c r="BD32" s="590">
        <f>Trend!BD16</f>
        <v>6874356.8399999999</v>
      </c>
      <c r="BE32" s="590">
        <f>Trend!BE16</f>
        <v>7387204.1500000004</v>
      </c>
      <c r="BF32" s="590">
        <f>Trend!BF16</f>
        <v>6178186</v>
      </c>
      <c r="BG32" s="590">
        <f>Trend!BG16</f>
        <v>0</v>
      </c>
      <c r="BH32" s="590">
        <f>Trend!BH16</f>
        <v>5771304.1500000004</v>
      </c>
      <c r="BI32" s="590">
        <f>Trend!BI16</f>
        <v>5838260.9400000004</v>
      </c>
      <c r="BJ32" s="590">
        <f>Trend!BJ16</f>
        <v>8590309</v>
      </c>
      <c r="BK32" s="590">
        <f>Trend!BK16</f>
        <v>0</v>
      </c>
      <c r="BL32" s="590">
        <f>Trend!BL16</f>
        <v>5921869.9900000002</v>
      </c>
      <c r="BM32" s="590">
        <f>Trend!BM16</f>
        <v>7256136</v>
      </c>
      <c r="BN32" s="590">
        <f>Trend!BN16</f>
        <v>6949166</v>
      </c>
      <c r="BO32" s="590">
        <f>Trend!BO16</f>
        <v>7183267</v>
      </c>
      <c r="BP32" s="590">
        <f>Trend!BP16</f>
        <v>7556873</v>
      </c>
      <c r="BQ32" s="590">
        <f>Trend!BQ16</f>
        <v>8948946</v>
      </c>
      <c r="BR32" s="590">
        <f>Trend!BR16</f>
        <v>8619319</v>
      </c>
      <c r="BS32" s="590">
        <f>Trend!BS16</f>
        <v>7902398</v>
      </c>
      <c r="BT32" s="590">
        <f>Trend!BT16</f>
        <v>7949409</v>
      </c>
      <c r="BU32" s="590">
        <f>Trend!BU16</f>
        <v>8452644</v>
      </c>
      <c r="BV32" s="590">
        <f>Trend!BV16</f>
        <v>9590309</v>
      </c>
      <c r="BW32" s="590">
        <f>Trend!BW16</f>
        <v>0</v>
      </c>
      <c r="BX32" s="590">
        <f>Trend!BX16</f>
        <v>9590309</v>
      </c>
      <c r="BY32" s="590">
        <f>Trend!BY16</f>
        <v>9590309</v>
      </c>
      <c r="BZ32" s="590">
        <f>Trend!BZ16</f>
        <v>9590309</v>
      </c>
      <c r="CA32" s="590">
        <f>Trend!CA16</f>
        <v>9590309</v>
      </c>
      <c r="CB32" s="590">
        <f>Trend!CB16</f>
        <v>9590309</v>
      </c>
      <c r="CC32" s="590">
        <f>Trend!CC16</f>
        <v>9590309</v>
      </c>
      <c r="CD32" s="590">
        <f>Trend!CD16</f>
        <v>9576686</v>
      </c>
      <c r="CE32" s="590">
        <f>Trend!CE16</f>
        <v>9576686</v>
      </c>
      <c r="CF32" s="590">
        <f>Trend!CF16</f>
        <v>9576686</v>
      </c>
      <c r="CG32" s="590">
        <f>Trend!CG16</f>
        <v>9576686</v>
      </c>
      <c r="CH32" s="590">
        <f>Trend!CH16</f>
        <v>9576686</v>
      </c>
      <c r="CI32" s="590">
        <f>Trend!CI16</f>
        <v>10590309</v>
      </c>
      <c r="CJ32" s="590">
        <f>Trend!CJ16</f>
        <v>10590309</v>
      </c>
      <c r="CK32" s="590">
        <f>Trend!CK16</f>
        <v>10590309</v>
      </c>
      <c r="CL32" s="590">
        <f>Trend!CL16</f>
        <v>10590309</v>
      </c>
      <c r="CM32" s="590">
        <f>Trend!CM15</f>
        <v>200781441.25999999</v>
      </c>
      <c r="CN32" s="590">
        <f>Trend!CN16</f>
        <v>10590309</v>
      </c>
      <c r="CO32" s="590">
        <f>Trend!CO16</f>
        <v>10590309</v>
      </c>
      <c r="CP32" s="590">
        <f>Trend!CP16</f>
        <v>10576686</v>
      </c>
      <c r="CQ32" s="590">
        <f>Trend!CQ16</f>
        <v>10576686</v>
      </c>
      <c r="CR32" s="590">
        <f>Trend!CR16</f>
        <v>10575870</v>
      </c>
      <c r="CS32" s="590">
        <f>Trend!CS16</f>
        <v>10575870</v>
      </c>
      <c r="CT32" s="590">
        <f>Trend!CT16</f>
        <v>10575870</v>
      </c>
      <c r="CU32" s="590">
        <f>Trend!CU16</f>
        <v>10575870</v>
      </c>
      <c r="CV32" s="590">
        <f>Trend!CV16</f>
        <v>12575870</v>
      </c>
      <c r="CW32" s="590">
        <f>Trend!CW16</f>
        <v>12575870</v>
      </c>
      <c r="CX32" s="590">
        <f>Trend!CX16</f>
        <v>12575870</v>
      </c>
      <c r="CY32" s="590">
        <f>Trend!CY16</f>
        <v>12575870</v>
      </c>
      <c r="CZ32" s="590">
        <f>Trend!CZ16</f>
        <v>12575870</v>
      </c>
      <c r="DA32" s="590">
        <f>Trend!DA16</f>
        <v>12575870</v>
      </c>
      <c r="DB32" s="590">
        <f>Trend!DB16</f>
        <v>12575870</v>
      </c>
      <c r="DC32" s="590">
        <f>Trend!DC16</f>
        <v>12575870</v>
      </c>
      <c r="DD32" s="590">
        <f>Trend!DD16</f>
        <v>12075870.310000001</v>
      </c>
      <c r="DE32" s="590">
        <f>Trend!DE16</f>
        <v>12075870.310000001</v>
      </c>
      <c r="DF32" s="590">
        <f>Trend!DF16</f>
        <v>12075870.310000001</v>
      </c>
      <c r="DG32" s="590">
        <f>Trend!DG16</f>
        <v>12075870.310000001</v>
      </c>
      <c r="DH32" s="590">
        <f>Trend!DH16</f>
        <v>12075870.310000001</v>
      </c>
      <c r="DI32" s="590">
        <f>Trend!DI16</f>
        <v>14575870</v>
      </c>
      <c r="DJ32" s="590">
        <f>Trend!DJ16</f>
        <v>14575870</v>
      </c>
      <c r="DK32" s="590">
        <f>Trend!DK16</f>
        <v>12075870.310000001</v>
      </c>
      <c r="DL32" s="590">
        <f>Trend!DL16</f>
        <v>14075870.310000001</v>
      </c>
      <c r="DM32" s="590">
        <f>Trend!DM16</f>
        <v>14075870.310000001</v>
      </c>
      <c r="DN32" s="590">
        <f>Trend!DN16</f>
        <v>14075870.310000001</v>
      </c>
      <c r="DO32" s="590">
        <f>Trend!DO16</f>
        <v>14075870.310000001</v>
      </c>
      <c r="DP32" s="590">
        <f>Trend!DP16</f>
        <v>14075870.310000001</v>
      </c>
      <c r="DQ32" s="590">
        <f>Trend!DQ16</f>
        <v>14075870.310000001</v>
      </c>
      <c r="DR32" s="590">
        <f>Trend!DR16</f>
        <v>14575870.310000001</v>
      </c>
      <c r="DS32" s="590">
        <f>Trend!DS16</f>
        <v>14575870.310000001</v>
      </c>
      <c r="DT32" s="590">
        <f>Trend!DT16</f>
        <v>14575870.310000001</v>
      </c>
      <c r="DU32" s="590">
        <f>Trend!DU16</f>
        <v>14575870.310000001</v>
      </c>
      <c r="DV32" s="590">
        <f>Trend!DV16</f>
        <v>0</v>
      </c>
      <c r="DW32" s="590">
        <f>Trend!DW16</f>
        <v>18075870</v>
      </c>
      <c r="DX32" s="590"/>
      <c r="DY32" s="590"/>
      <c r="DZ32" s="590"/>
      <c r="EA32" s="590"/>
      <c r="EB32" s="590"/>
    </row>
    <row r="33" spans="1:132" ht="15" x14ac:dyDescent="0.25">
      <c r="A33" s="620">
        <v>7.4</v>
      </c>
      <c r="B33" s="583" t="s">
        <v>171</v>
      </c>
      <c r="C33" s="621">
        <v>0</v>
      </c>
      <c r="D33" s="621">
        <v>0</v>
      </c>
      <c r="E33" s="621">
        <v>0</v>
      </c>
      <c r="F33" s="621">
        <v>0</v>
      </c>
      <c r="G33" s="621">
        <v>0</v>
      </c>
      <c r="H33" s="621">
        <f>+RCAP!D13+RCAP!D14+RCAP!D15+RCAP!D23</f>
        <v>3069984</v>
      </c>
      <c r="I33" s="621">
        <f>+RCAP!D13+RCAP!D14+RCAP!D15+RCAP!D23</f>
        <v>3069984</v>
      </c>
      <c r="J33" s="621">
        <f>+RCAP!E13+RCAP!E14+RCAP!E15+RCAP!E23</f>
        <v>1.75</v>
      </c>
      <c r="K33" s="621">
        <f>+RCAP!F13+RCAP!F14+RCAP!F15+RCAP!F23</f>
        <v>1470595.22</v>
      </c>
      <c r="L33" s="621">
        <f>+RCAP!G13+RCAP!G14+RCAP!G15+RCAP!G23</f>
        <v>0</v>
      </c>
      <c r="M33" s="621">
        <f>+RCAP!H13+RCAP!H14+RCAP!H15+RCAP!H23</f>
        <v>0</v>
      </c>
      <c r="N33" s="621">
        <f>+RCAP!I13+RCAP!I14+RCAP!I15+RCAP!I23</f>
        <v>1.75</v>
      </c>
      <c r="O33" s="621">
        <f>+RCAP!J13+RCAP!J14+RCAP!J15+RCAP!J23</f>
        <v>0</v>
      </c>
      <c r="P33" s="621">
        <f>+RCAP!K13+RCAP!K14+RCAP!K15+RCAP!K23</f>
        <v>992</v>
      </c>
      <c r="Q33" s="621">
        <f>+RCAP!L13+RCAP!L14+RCAP!L15+RCAP!L23</f>
        <v>26259950.560000002</v>
      </c>
      <c r="R33" s="621">
        <f>+RCAP!M13+RCAP!M14+RCAP!M15+RCAP!M23</f>
        <v>1.75</v>
      </c>
      <c r="S33" s="621">
        <f>+RCAP!N13+RCAP!N14+RCAP!N15+RCAP!N23</f>
        <v>19064243.865000002</v>
      </c>
      <c r="T33" s="621">
        <f>+RCAP!O13+RCAP!O14+RCAP!O15+RCAP!O23</f>
        <v>3003</v>
      </c>
      <c r="U33" s="621">
        <f>+RCAP!P13+RCAP!P14+RCAP!P15+RCAP!P23</f>
        <v>18093821.719999999</v>
      </c>
      <c r="V33" s="621">
        <f>+RCAP!Q13+RCAP!Q14+RCAP!Q15+RCAP!Q23</f>
        <v>1.75</v>
      </c>
      <c r="W33" s="621">
        <f>+RCAP!R13+RCAP!R14+RCAP!R15+RCAP!R23</f>
        <v>13543904.942500001</v>
      </c>
      <c r="X33" s="621"/>
      <c r="Y33" s="621"/>
      <c r="Z33" s="621"/>
      <c r="AA33" s="621"/>
      <c r="AB33" s="621"/>
      <c r="AC33" s="621"/>
      <c r="AD33" s="621"/>
      <c r="AE33" s="621"/>
      <c r="AF33" s="621"/>
      <c r="AG33" s="621"/>
      <c r="AH33" s="621"/>
      <c r="AI33" s="621"/>
      <c r="AJ33" s="621"/>
      <c r="AK33" s="621"/>
      <c r="AL33" s="621"/>
      <c r="AM33" s="621"/>
      <c r="AN33" s="621"/>
      <c r="AO33" s="621"/>
      <c r="AP33" s="621"/>
      <c r="AQ33" s="621"/>
      <c r="AR33" s="621"/>
      <c r="AS33" s="621"/>
      <c r="AT33" s="621"/>
      <c r="AU33" s="621"/>
      <c r="AV33" s="621"/>
      <c r="AW33" s="621"/>
      <c r="AX33" s="621"/>
      <c r="AY33" s="621"/>
      <c r="AZ33" s="621"/>
      <c r="BA33" s="621"/>
      <c r="BB33" s="621"/>
      <c r="BC33" s="621"/>
      <c r="BD33" s="621"/>
      <c r="BE33" s="621"/>
      <c r="BF33" s="621"/>
      <c r="BG33" s="621"/>
      <c r="BH33" s="621"/>
      <c r="BI33" s="621"/>
      <c r="BJ33" s="621"/>
      <c r="BK33" s="621"/>
      <c r="BL33" s="621"/>
      <c r="BM33" s="621"/>
      <c r="BN33" s="621"/>
      <c r="BO33" s="621"/>
      <c r="BP33" s="621"/>
      <c r="BQ33" s="621"/>
      <c r="BR33" s="573"/>
      <c r="BS33" s="573"/>
      <c r="BT33" s="573"/>
      <c r="BU33" s="573"/>
      <c r="BV33" s="573"/>
      <c r="BW33" s="573"/>
      <c r="BX33" s="573"/>
      <c r="BY33" s="573"/>
      <c r="BZ33" s="573"/>
      <c r="CA33" s="573"/>
      <c r="CB33" s="573"/>
      <c r="CC33" s="573"/>
      <c r="CD33" s="573"/>
      <c r="CE33" s="573"/>
      <c r="CF33" s="573"/>
      <c r="CG33" s="573"/>
      <c r="CH33" s="573"/>
      <c r="CI33" s="573"/>
      <c r="CJ33" s="573"/>
      <c r="CK33" s="573"/>
      <c r="CL33" s="573"/>
      <c r="CM33" s="573"/>
      <c r="CN33" s="573"/>
      <c r="CO33" s="573"/>
      <c r="CP33" s="573"/>
      <c r="CQ33" s="573"/>
      <c r="CR33" s="573"/>
      <c r="CS33" s="573"/>
      <c r="CT33" s="573"/>
      <c r="CU33" s="573"/>
      <c r="CV33" s="573"/>
      <c r="CW33" s="573"/>
      <c r="CX33" s="573"/>
      <c r="CY33" s="573"/>
      <c r="CZ33" s="573"/>
      <c r="DA33" s="573"/>
      <c r="DB33" s="573"/>
      <c r="DC33" s="573"/>
      <c r="DD33" s="573"/>
      <c r="DE33" s="573"/>
      <c r="DF33" s="573"/>
      <c r="DG33" s="573"/>
      <c r="DH33" s="573"/>
      <c r="DI33" s="573"/>
      <c r="DJ33" s="573"/>
      <c r="DK33" s="573"/>
      <c r="DL33" s="573"/>
      <c r="DM33" s="573"/>
      <c r="DN33" s="573"/>
      <c r="DO33" s="573"/>
      <c r="DP33" s="573"/>
      <c r="DQ33" s="573"/>
      <c r="DR33" s="573"/>
      <c r="DS33" s="573"/>
      <c r="DT33" s="573"/>
      <c r="DU33" s="573"/>
      <c r="DV33" s="573"/>
      <c r="DW33" s="573">
        <f>17997602+5748129+7800512+217017+96266+704499</f>
        <v>32564025</v>
      </c>
      <c r="DX33" s="573"/>
      <c r="DY33" s="573"/>
      <c r="DZ33" s="573"/>
      <c r="EA33" s="573"/>
      <c r="EB33" s="573"/>
    </row>
    <row r="34" spans="1:132" ht="15" x14ac:dyDescent="0.25">
      <c r="A34" s="602">
        <v>7.56666666666667</v>
      </c>
      <c r="B34" s="583" t="s">
        <v>172</v>
      </c>
      <c r="C34" s="621"/>
      <c r="D34" s="621"/>
      <c r="E34" s="621"/>
      <c r="F34" s="621"/>
      <c r="G34" s="621"/>
      <c r="H34" s="621"/>
      <c r="I34" s="621"/>
      <c r="J34" s="621"/>
      <c r="K34" s="621"/>
      <c r="L34" s="621"/>
      <c r="M34" s="621"/>
      <c r="N34" s="621"/>
      <c r="O34" s="621"/>
      <c r="P34" s="621"/>
      <c r="Q34" s="621"/>
      <c r="R34" s="621"/>
      <c r="S34" s="621"/>
      <c r="T34" s="621"/>
      <c r="U34" s="621"/>
      <c r="V34" s="621"/>
      <c r="W34" s="621"/>
      <c r="X34" s="621"/>
      <c r="Y34" s="621">
        <f>SUM(RCAP!AN13:AN15)</f>
        <v>2731146</v>
      </c>
      <c r="Z34" s="621"/>
      <c r="AA34" s="621"/>
      <c r="AB34" s="621">
        <f>SUM(RCAP!AR13:AR15)+RCAP!AR23</f>
        <v>4653070</v>
      </c>
      <c r="AC34" s="621">
        <f>SUM(RCAP!AS13:AS15)+RCAP!AS23</f>
        <v>1.75</v>
      </c>
      <c r="AD34" s="621">
        <f>SUM(RCAP!AT13:AT15)+RCAP!AT23</f>
        <v>2025639.18</v>
      </c>
      <c r="AE34" s="621" t="e">
        <f>SUM(RCAP!#REF!)+RCAP!#REF!</f>
        <v>#REF!</v>
      </c>
      <c r="AF34" s="621">
        <f>SUM(RCAP!AU13:AU15)+RCAP!AU23</f>
        <v>104</v>
      </c>
      <c r="AG34" s="621">
        <f>SUM(RCAP!AV13:AV15)+RCAP!AV23</f>
        <v>4183683</v>
      </c>
      <c r="AH34" s="621">
        <f>SUM(RCAP!AW13:AW15)+RCAP!AW23</f>
        <v>1.75</v>
      </c>
      <c r="AI34" s="621">
        <f>SUM(RCAP!AX13:AX15)+RCAP!AX23</f>
        <v>1644141.7</v>
      </c>
      <c r="AJ34" s="621">
        <f>SUM(RCAP!AY13:AY15)+RCAP!AY23</f>
        <v>0</v>
      </c>
      <c r="AK34" s="621">
        <f>SUM(RCAP!AZ13:AZ15)+RCAP!AZ23</f>
        <v>0</v>
      </c>
      <c r="AL34" s="621">
        <f>SUM(RCAP!BA13:BA15)+RCAP!BA23</f>
        <v>0</v>
      </c>
      <c r="AM34" s="621">
        <f>SUM(RCAP!BB13:BB15)+RCAP!BB23</f>
        <v>0</v>
      </c>
      <c r="AN34" s="621">
        <f>SUM(RCAP!BC13:BC15)+RCAP!BC23</f>
        <v>0</v>
      </c>
      <c r="AO34" s="621">
        <f>SUM(RCAP!BD13:BD15)+RCAP!BD23</f>
        <v>0</v>
      </c>
      <c r="AP34" s="621">
        <f>SUM(RCAP!BE13:BE15)+RCAP!BE23</f>
        <v>0</v>
      </c>
      <c r="AQ34" s="621">
        <f>SUM(RCAP!BF13:BF15)+RCAP!BF23</f>
        <v>0</v>
      </c>
      <c r="AR34" s="621">
        <f>SUM(RCAP!BG13:BG15)+RCAP!BG23</f>
        <v>63</v>
      </c>
      <c r="AS34" s="621">
        <f>SUM(RCAP!BH13:BH15)+RCAP!BH23</f>
        <v>0</v>
      </c>
      <c r="AT34" s="621">
        <f>SUM(RCAP!BI13:BI15)+RCAP!BI23</f>
        <v>2801078</v>
      </c>
      <c r="AU34" s="621">
        <f>SUM(RCAP!BJ13:BJ15)+RCAP!BJ23</f>
        <v>1.75</v>
      </c>
      <c r="AV34" s="621">
        <f>SUM(RCAP!BK13:BK15)+RCAP!BK23</f>
        <v>1025141.06</v>
      </c>
      <c r="AW34" s="621">
        <f>SUM(RCAP!BL13:BL15)+RCAP!BL23</f>
        <v>63</v>
      </c>
      <c r="AX34" s="621">
        <f>SUM(RCAP!BM13:BM15)+RCAP!BM23</f>
        <v>2801078</v>
      </c>
      <c r="AY34" s="621">
        <f>SUM(RCAP!BN13:BN15)+RCAP!BN23</f>
        <v>1.75</v>
      </c>
      <c r="AZ34" s="621">
        <f>SUM(RCAP!BO13:BO15)+RCAP!BO23</f>
        <v>1025141.06</v>
      </c>
      <c r="BA34" s="621">
        <f>SUM(RCAP!BP13:BP15)+RCAP!BP23</f>
        <v>63</v>
      </c>
      <c r="BB34" s="621">
        <f>SUM(RCAP!BQ13:BQ15)+RCAP!BQ23</f>
        <v>2801078</v>
      </c>
      <c r="BC34" s="621">
        <f>SUM(RCAP!BR13:BR15)+RCAP!BR23</f>
        <v>1.75</v>
      </c>
      <c r="BD34" s="621">
        <f>SUM(RCAP!BS13:BS15)+RCAP!BS23</f>
        <v>1025141.06</v>
      </c>
      <c r="BE34" s="621">
        <f>SUM(RCAP!BT13:BT15)+RCAP!BT23</f>
        <v>0</v>
      </c>
      <c r="BF34" s="621">
        <f>SUM(RCAP!BU13:BU15)+RCAP!BU23</f>
        <v>0</v>
      </c>
      <c r="BG34" s="621">
        <f>SUM(RCAP!BV13:BV15)+RCAP!BV23</f>
        <v>0</v>
      </c>
      <c r="BH34" s="621">
        <f>SUM(RCAP!BW13:BW15)+RCAP!BW23</f>
        <v>0</v>
      </c>
      <c r="BI34" s="621">
        <f>SUM(RCAP!BX13:BX15)+RCAP!BX23</f>
        <v>0</v>
      </c>
      <c r="BJ34" s="621">
        <f>SUM(RCAP!BY13:BY15)+RCAP!BY23</f>
        <v>0</v>
      </c>
      <c r="BK34" s="621">
        <f>SUM(RCAP!BZ13:BZ15)+RCAP!BZ23</f>
        <v>0</v>
      </c>
      <c r="BL34" s="621">
        <f>SUM(RCAP!CA13:CA15)+RCAP!CA23</f>
        <v>0</v>
      </c>
      <c r="BM34" s="621">
        <f>SUM(RCAP!CB13:CB15)+RCAP!CB23</f>
        <v>0</v>
      </c>
      <c r="BN34" s="621">
        <f>SUM(RCAP!CC13:CC15)+RCAP!CC23</f>
        <v>0</v>
      </c>
      <c r="BO34" s="621">
        <f>SUM(RCAP!CD13:CD15)+RCAP!CD23</f>
        <v>0</v>
      </c>
      <c r="BP34" s="621">
        <f>SUM(RCAP!CE13:CE15)+RCAP!CE23</f>
        <v>0</v>
      </c>
      <c r="BQ34" s="621">
        <f>SUM(RCAP!CF13:CF15)+RCAP!CF23</f>
        <v>0</v>
      </c>
      <c r="BR34" s="621">
        <f>SUM(RCAP!CG13:CG15)+RCAP!CG23</f>
        <v>0</v>
      </c>
      <c r="BS34" s="621">
        <f>SUM(RCAP!CH13:CH15)+RCAP!CH23</f>
        <v>0</v>
      </c>
      <c r="BT34" s="621">
        <f>SUM(RCAP!CI13:CI15)+RCAP!CI23</f>
        <v>0</v>
      </c>
      <c r="BU34" s="621">
        <f>SUM(RCAP!CJ13:CJ15)+RCAP!CJ23</f>
        <v>0</v>
      </c>
      <c r="BV34" s="621">
        <f>SUM(RCAP!CK13:CK15)+RCAP!CK23</f>
        <v>0</v>
      </c>
      <c r="BW34" s="621">
        <f>SUM(RCAP!CL13:CL15)+RCAP!CL23</f>
        <v>0</v>
      </c>
      <c r="BX34" s="621">
        <f>SUM(RCAP!CM13:CM15)+RCAP!CM23</f>
        <v>0</v>
      </c>
      <c r="BY34" s="621">
        <f>SUM(RCAP!CN13:CN15)+RCAP!CN23</f>
        <v>0</v>
      </c>
      <c r="BZ34" s="621">
        <f>SUM(RCAP!CO13:CO15)+RCAP!CO23</f>
        <v>0</v>
      </c>
      <c r="CA34" s="621">
        <f>SUM(RCAP!CP13:CP15)+RCAP!CP23</f>
        <v>0</v>
      </c>
      <c r="CB34" s="621">
        <f>SUM(RCAP!CQ13:CQ15)+RCAP!CQ23</f>
        <v>0</v>
      </c>
      <c r="CC34" s="621">
        <f>SUM(RCAP!CR13:CR15)+RCAP!CR23</f>
        <v>0</v>
      </c>
      <c r="CD34" s="621">
        <f>SUM(RCAP!CS13:CS15)+RCAP!CS23</f>
        <v>0</v>
      </c>
      <c r="CE34" s="621">
        <f>SUM(RCAP!CT13:CT15)+RCAP!CT23</f>
        <v>0</v>
      </c>
      <c r="CF34" s="621">
        <f>SUM(RCAP!CU13:CU15)+RCAP!CU23</f>
        <v>0</v>
      </c>
      <c r="CG34" s="621">
        <f>SUM(RCAP!CV13:CV15)+RCAP!CV23</f>
        <v>0</v>
      </c>
      <c r="CH34" s="621">
        <f>SUM(RCAP!CW13:CW15)+RCAP!CW23</f>
        <v>0</v>
      </c>
      <c r="CI34" s="621">
        <f>SUM(RCAP!CX13:CX15)+RCAP!CX23</f>
        <v>0</v>
      </c>
      <c r="CJ34" s="621">
        <f>SUM(RCAP!CY13:CY15)+RCAP!CY23</f>
        <v>0</v>
      </c>
      <c r="CK34" s="621">
        <f>SUM(RCAP!CZ13:CZ15)+RCAP!CZ23</f>
        <v>0</v>
      </c>
      <c r="CL34" s="621">
        <f>SUM(RCAP!DA13:DA15)+RCAP!DA23</f>
        <v>0</v>
      </c>
      <c r="CM34" s="621">
        <f>SUM(RCAP!DB13:DB15)+RCAP!DB23</f>
        <v>0</v>
      </c>
      <c r="CN34" s="621">
        <f>SUM(RCAP!DC13:DC15)+RCAP!DC23</f>
        <v>0</v>
      </c>
      <c r="CO34" s="621">
        <f>SUM(RCAP!DD13:DD15)+RCAP!DD23</f>
        <v>0</v>
      </c>
      <c r="CP34" s="621">
        <f>SUM(RCAP!DE13:DE15)+RCAP!DE23</f>
        <v>0</v>
      </c>
      <c r="CQ34" s="621">
        <f>SUM(RCAP!DF13:DF15)+RCAP!DF23</f>
        <v>0</v>
      </c>
      <c r="CR34" s="621">
        <f>SUM(RCAP!DG13:DG15)+RCAP!DG23</f>
        <v>0</v>
      </c>
      <c r="CS34" s="621">
        <f>SUM(RCAP!DH13:DH15)+RCAP!DH23</f>
        <v>0</v>
      </c>
      <c r="CT34" s="621">
        <f>SUM(RCAP!DI13:DI15)+RCAP!DI23</f>
        <v>0</v>
      </c>
      <c r="CU34" s="621">
        <f>SUM(RCAP!DJ13:DJ15)+RCAP!DJ23</f>
        <v>0</v>
      </c>
      <c r="CV34" s="621">
        <f>SUM(RCAP!DK13:DK15)+RCAP!DK23</f>
        <v>0</v>
      </c>
      <c r="CW34" s="621">
        <f>SUM(RCAP!DL13:DL15)+RCAP!DL23</f>
        <v>0</v>
      </c>
      <c r="CX34" s="621">
        <f>SUM(RCAP!DM13:DM15)+RCAP!DM23</f>
        <v>0</v>
      </c>
      <c r="CY34" s="621">
        <f>SUM(RCAP!DN13:DN15)+RCAP!DN23</f>
        <v>0</v>
      </c>
      <c r="CZ34" s="621">
        <f>SUM(RCAP!DO13:DO15)+RCAP!DO23</f>
        <v>0</v>
      </c>
      <c r="DA34" s="621">
        <f>SUM(RCAP!DP13:DP15)+RCAP!DP23</f>
        <v>0</v>
      </c>
      <c r="DB34" s="621">
        <f>SUM(RCAP!DQ13:DQ15)+RCAP!DQ23</f>
        <v>0</v>
      </c>
      <c r="DC34" s="621">
        <f>SUM(RCAP!DR13:DR15)+RCAP!DR23</f>
        <v>0</v>
      </c>
      <c r="DD34" s="621">
        <f>SUM(RCAP!DS13:DS15)+RCAP!DS23</f>
        <v>0</v>
      </c>
      <c r="DE34" s="621">
        <f>SUM(RCAP!DT13:DT15)+RCAP!DT23</f>
        <v>0</v>
      </c>
      <c r="DF34" s="621">
        <f>SUM(RCAP!DU13:DU15)+RCAP!DU23</f>
        <v>0</v>
      </c>
      <c r="DG34" s="621">
        <f>SUM(RCAP!DV13:DV15)+RCAP!DV23</f>
        <v>0</v>
      </c>
      <c r="DH34" s="621">
        <f>SUM(RCAP!DW13:DW15)+RCAP!DW23</f>
        <v>0</v>
      </c>
      <c r="DI34" s="621">
        <f>SUM(RCAP!DX13:DX15)+RCAP!DX23</f>
        <v>0</v>
      </c>
      <c r="DJ34" s="621">
        <f>SUM(RCAP!DY13:DY15)+RCAP!DY23</f>
        <v>0</v>
      </c>
      <c r="DK34" s="621">
        <f>SUM(RCAP!DZ13:DZ15)+RCAP!DZ23</f>
        <v>0</v>
      </c>
      <c r="DL34" s="621">
        <f>SUM(RCAP!EA13:EA15)+RCAP!EA23</f>
        <v>0</v>
      </c>
      <c r="DM34" s="621">
        <f>SUM(RCAP!EB13:EB15)+RCAP!EB23</f>
        <v>0</v>
      </c>
      <c r="DN34" s="621">
        <f>SUM(RCAP!EC13:EC15)+RCAP!EC23</f>
        <v>0</v>
      </c>
      <c r="DO34" s="621">
        <f>SUM(RCAP!ED13:ED15)+RCAP!ED23</f>
        <v>0</v>
      </c>
      <c r="DP34" s="621">
        <f>SUM(RCAP!EE13:EE15)+RCAP!EE23</f>
        <v>0</v>
      </c>
      <c r="DQ34" s="621">
        <f>SUM(RCAP!EF13:EF15)+RCAP!EF23</f>
        <v>0</v>
      </c>
      <c r="DR34" s="621">
        <f>SUM(RCAP!EG13:EG15)+RCAP!EG23</f>
        <v>0</v>
      </c>
      <c r="DS34" s="621">
        <f>SUM(RCAP!EH13:EH15)+RCAP!EH23</f>
        <v>0</v>
      </c>
      <c r="DT34" s="621">
        <f>SUM(RCAP!EI13:EI15)+RCAP!EI23</f>
        <v>0</v>
      </c>
      <c r="DU34" s="621">
        <f>SUM(RCAP!EJ13:EJ15)+RCAP!EJ23</f>
        <v>0</v>
      </c>
      <c r="DV34" s="621">
        <f>SUM(RCAP!EK13:EK15)+RCAP!EK23</f>
        <v>0</v>
      </c>
      <c r="DW34" s="621">
        <f>SUM(RCAP!EL13:EL15)+RCAP!EL23</f>
        <v>0</v>
      </c>
      <c r="DX34" s="621"/>
      <c r="DY34" s="621"/>
      <c r="DZ34" s="621"/>
      <c r="EA34" s="621"/>
      <c r="EB34" s="621"/>
    </row>
    <row r="35" spans="1:132" ht="15" x14ac:dyDescent="0.25">
      <c r="A35" s="602">
        <v>7.7166666666666703</v>
      </c>
      <c r="B35" s="622" t="s">
        <v>173</v>
      </c>
      <c r="C35" s="621" t="e">
        <f>SUM(#REF!)</f>
        <v>#REF!</v>
      </c>
      <c r="D35" s="621" t="e">
        <f>SUM(#REF!)</f>
        <v>#REF!</v>
      </c>
      <c r="E35" s="621" t="e">
        <f>SUM(#REF!)</f>
        <v>#REF!</v>
      </c>
      <c r="F35" s="621" t="e">
        <f>SUM(#REF!)</f>
        <v>#REF!</v>
      </c>
      <c r="G35" s="621" t="e">
        <f>SUM(#REF!)</f>
        <v>#REF!</v>
      </c>
      <c r="H35" s="621">
        <f>RCAP!F24</f>
        <v>1949569.6181999999</v>
      </c>
      <c r="I35" s="621">
        <f>RCAP!F24</f>
        <v>1949569.6181999999</v>
      </c>
      <c r="J35" s="621">
        <f>RCAP!G24</f>
        <v>0</v>
      </c>
      <c r="K35" s="621">
        <f>RCAP!H24</f>
        <v>0</v>
      </c>
      <c r="L35" s="621">
        <f>RCAP!I24</f>
        <v>0</v>
      </c>
      <c r="M35" s="621">
        <f>RCAP!J24</f>
        <v>0</v>
      </c>
      <c r="N35" s="621">
        <f>RCAP!K24</f>
        <v>5318</v>
      </c>
      <c r="O35" s="621">
        <f>RCAP!L24</f>
        <v>732375850.65999985</v>
      </c>
      <c r="P35" s="621">
        <f>RCAP!M24</f>
        <v>0</v>
      </c>
      <c r="Q35" s="621">
        <f>RCAP!N24</f>
        <v>26801976.078400001</v>
      </c>
      <c r="R35" s="621">
        <f>RCAP!O24</f>
        <v>7660</v>
      </c>
      <c r="S35" s="621">
        <f>RCAP!P24</f>
        <v>741542541.13</v>
      </c>
      <c r="T35" s="621">
        <f>RCAP!Q24</f>
        <v>0</v>
      </c>
      <c r="U35" s="621">
        <f>RCAP!R24</f>
        <v>21119832.345000003</v>
      </c>
      <c r="V35" s="621">
        <f>RCAP!S24</f>
        <v>7660</v>
      </c>
      <c r="W35" s="621">
        <f>RCAP!T24</f>
        <v>708731360.13999999</v>
      </c>
      <c r="X35" s="621">
        <f>RCAP!U24</f>
        <v>0</v>
      </c>
      <c r="Y35" s="621">
        <f>RCAP!V24</f>
        <v>17546532.038000003</v>
      </c>
      <c r="Z35" s="621">
        <f>RCAP!W24</f>
        <v>6153</v>
      </c>
      <c r="AA35" s="621">
        <f>RCAP!X24</f>
        <v>797023460.46999991</v>
      </c>
      <c r="AB35" s="621">
        <f>RCAP!Y24</f>
        <v>0</v>
      </c>
      <c r="AC35" s="621">
        <f>RCAP!Z24</f>
        <v>23617878.4485</v>
      </c>
      <c r="AD35" s="621">
        <f>RCAP!AA24</f>
        <v>6706</v>
      </c>
      <c r="AE35" s="621">
        <f>RCAP!AB24</f>
        <v>852054122.64999998</v>
      </c>
      <c r="AF35" s="621">
        <f>RCAP!AC24</f>
        <v>0</v>
      </c>
      <c r="AG35" s="621">
        <f>RCAP!AD24</f>
        <v>66330439.304799996</v>
      </c>
      <c r="AH35" s="621">
        <f>RCAP!AE24</f>
        <v>7058</v>
      </c>
      <c r="AI35" s="621">
        <f>RCAP!AF24</f>
        <v>861358159.94000006</v>
      </c>
      <c r="AJ35" s="621">
        <f>RCAP!AG24</f>
        <v>0</v>
      </c>
      <c r="AK35" s="621">
        <f>RCAP!AH24</f>
        <v>23891055.315200001</v>
      </c>
      <c r="AL35" s="621">
        <f>RCAP!AI24</f>
        <v>7268</v>
      </c>
      <c r="AM35" s="621">
        <f>RCAP!AJ24</f>
        <v>902491783.98000002</v>
      </c>
      <c r="AN35" s="621">
        <f>RCAP!AK24</f>
        <v>0</v>
      </c>
      <c r="AO35" s="621">
        <f>RCAP!AL24</f>
        <v>27925008.209100001</v>
      </c>
      <c r="AP35" s="621">
        <f>RCAP!AM24</f>
        <v>1050</v>
      </c>
      <c r="AQ35" s="621">
        <f>RCAP!AN24</f>
        <v>69766044.460000008</v>
      </c>
      <c r="AR35" s="621">
        <f>RCAP!AO24</f>
        <v>0</v>
      </c>
      <c r="AS35" s="621">
        <f>RCAP!AP24</f>
        <v>2329820.1846000003</v>
      </c>
      <c r="AT35" s="621">
        <f>RCAP!AQ24</f>
        <v>1072</v>
      </c>
      <c r="AU35" s="621">
        <f>RCAP!AR24</f>
        <v>74946295.879999995</v>
      </c>
      <c r="AV35" s="621">
        <f>RCAP!AS24</f>
        <v>0</v>
      </c>
      <c r="AW35" s="621">
        <f>RCAP!AT24</f>
        <v>2728618.1187999998</v>
      </c>
      <c r="AX35" s="621">
        <f>RCAP!AU24</f>
        <v>1123</v>
      </c>
      <c r="AY35" s="621">
        <f>RCAP!AV24</f>
        <v>81018307.129999995</v>
      </c>
      <c r="AZ35" s="621">
        <f>RCAP!AW24</f>
        <v>0</v>
      </c>
      <c r="BA35" s="621">
        <f>RCAP!AX24</f>
        <v>2412943.3012999999</v>
      </c>
      <c r="BB35" s="621">
        <f>RCAP!AY24</f>
        <v>0</v>
      </c>
      <c r="BC35" s="621">
        <f>RCAP!AZ24</f>
        <v>0</v>
      </c>
      <c r="BD35" s="621">
        <f>RCAP!BA24</f>
        <v>0</v>
      </c>
      <c r="BE35" s="621">
        <f>RCAP!BB24</f>
        <v>0</v>
      </c>
      <c r="BF35" s="621">
        <f>RCAP!BC24</f>
        <v>0</v>
      </c>
      <c r="BG35" s="621">
        <f>RCAP!BD24</f>
        <v>0</v>
      </c>
      <c r="BH35" s="621">
        <f>RCAP!BE24</f>
        <v>0</v>
      </c>
      <c r="BI35" s="621">
        <f>RCAP!BF24</f>
        <v>0</v>
      </c>
      <c r="BJ35" s="621">
        <f>RCAP!BG24</f>
        <v>1161</v>
      </c>
      <c r="BK35" s="621">
        <f>RCAP!BH24</f>
        <v>0</v>
      </c>
      <c r="BL35" s="621">
        <f>RCAP!BI24</f>
        <v>87223696.069999993</v>
      </c>
      <c r="BM35" s="621">
        <f>RCAP!BJ24</f>
        <v>0</v>
      </c>
      <c r="BN35" s="621">
        <f>RCAP!BK24</f>
        <v>1869557.8407000001</v>
      </c>
      <c r="BO35" s="621">
        <f>RCAP!BL24</f>
        <v>1161</v>
      </c>
      <c r="BP35" s="621">
        <f>RCAP!BM24</f>
        <v>87223696.069999993</v>
      </c>
      <c r="BQ35" s="621">
        <f>RCAP!BN24</f>
        <v>0</v>
      </c>
      <c r="BR35" s="621">
        <f>RCAP!BO24</f>
        <v>1869557.8407000001</v>
      </c>
      <c r="BS35" s="621">
        <f>RCAP!BP24</f>
        <v>1161</v>
      </c>
      <c r="BT35" s="621">
        <f>RCAP!BQ24</f>
        <v>87223696.069999993</v>
      </c>
      <c r="BU35" s="621">
        <f>RCAP!BR24</f>
        <v>0</v>
      </c>
      <c r="BV35" s="621">
        <f>RCAP!BS24</f>
        <v>1869557.8407000001</v>
      </c>
      <c r="BW35" s="621">
        <f>RCAP!BT24</f>
        <v>0</v>
      </c>
      <c r="BX35" s="621">
        <f>RCAP!BU24</f>
        <v>0</v>
      </c>
      <c r="BY35" s="621">
        <f>RCAP!BV24</f>
        <v>0</v>
      </c>
      <c r="BZ35" s="621">
        <f>RCAP!BW24</f>
        <v>0</v>
      </c>
      <c r="CA35" s="621">
        <f>RCAP!BX24</f>
        <v>0</v>
      </c>
      <c r="CB35" s="621">
        <f>RCAP!BY24</f>
        <v>0</v>
      </c>
      <c r="CC35" s="621">
        <f>RCAP!BZ24</f>
        <v>0</v>
      </c>
      <c r="CD35" s="621">
        <f>RCAP!CA24</f>
        <v>0</v>
      </c>
      <c r="CE35" s="621">
        <f>RCAP!CB24</f>
        <v>0</v>
      </c>
      <c r="CF35" s="621">
        <f>RCAP!CC24</f>
        <v>0</v>
      </c>
      <c r="CG35" s="621">
        <f>RCAP!CD24</f>
        <v>0</v>
      </c>
      <c r="CH35" s="621">
        <f>RCAP!CE24</f>
        <v>0</v>
      </c>
      <c r="CI35" s="621">
        <f>RCAP!CF24</f>
        <v>0</v>
      </c>
      <c r="CJ35" s="621">
        <f>RCAP!CG24</f>
        <v>0</v>
      </c>
      <c r="CK35" s="621">
        <f>RCAP!CH24</f>
        <v>0</v>
      </c>
      <c r="CL35" s="621">
        <f>RCAP!CI24</f>
        <v>0</v>
      </c>
      <c r="CM35" s="621">
        <f>RCAP!CJ24</f>
        <v>0</v>
      </c>
      <c r="CN35" s="621">
        <f>RCAP!CK24</f>
        <v>0</v>
      </c>
      <c r="CO35" s="621">
        <f>RCAP!CL24</f>
        <v>0</v>
      </c>
      <c r="CP35" s="621">
        <f>RCAP!CM24</f>
        <v>0</v>
      </c>
      <c r="CQ35" s="621">
        <f>RCAP!CN24</f>
        <v>0</v>
      </c>
      <c r="CR35" s="621">
        <f>RCAP!CO24</f>
        <v>0</v>
      </c>
      <c r="CS35" s="621">
        <f>RCAP!CP24</f>
        <v>0</v>
      </c>
      <c r="CT35" s="621">
        <f>RCAP!CQ24</f>
        <v>0</v>
      </c>
      <c r="CU35" s="621">
        <f>RCAP!CR24</f>
        <v>0</v>
      </c>
      <c r="CV35" s="621">
        <f>RCAP!CS24</f>
        <v>0</v>
      </c>
      <c r="CW35" s="621">
        <f>RCAP!CT24</f>
        <v>0</v>
      </c>
      <c r="CX35" s="621">
        <f>RCAP!CU24</f>
        <v>0</v>
      </c>
      <c r="CY35" s="621">
        <f>RCAP!CV24</f>
        <v>0</v>
      </c>
      <c r="CZ35" s="621">
        <f>RCAP!CW24</f>
        <v>0</v>
      </c>
      <c r="DA35" s="621">
        <f>RCAP!CX24</f>
        <v>0</v>
      </c>
      <c r="DB35" s="621">
        <f>RCAP!CY24</f>
        <v>0</v>
      </c>
      <c r="DC35" s="621">
        <f>RCAP!CZ24</f>
        <v>0</v>
      </c>
      <c r="DD35" s="621">
        <f>RCAP!DA24</f>
        <v>0</v>
      </c>
      <c r="DE35" s="621">
        <f>RCAP!DB24</f>
        <v>0</v>
      </c>
      <c r="DF35" s="621">
        <f>RCAP!DC24</f>
        <v>0</v>
      </c>
      <c r="DG35" s="621">
        <f>RCAP!DD24</f>
        <v>0</v>
      </c>
      <c r="DH35" s="621">
        <f>RCAP!DE24</f>
        <v>0</v>
      </c>
      <c r="DI35" s="621">
        <f>RCAP!DF24</f>
        <v>0</v>
      </c>
      <c r="DJ35" s="621">
        <f>RCAP!DG24</f>
        <v>0</v>
      </c>
      <c r="DK35" s="621">
        <f>RCAP!DH24</f>
        <v>0</v>
      </c>
      <c r="DL35" s="621">
        <f>RCAP!DI24</f>
        <v>0</v>
      </c>
      <c r="DM35" s="621">
        <f>RCAP!DJ24</f>
        <v>0</v>
      </c>
      <c r="DN35" s="621">
        <f>RCAP!DK24</f>
        <v>0</v>
      </c>
      <c r="DO35" s="621">
        <f>RCAP!DL24</f>
        <v>0</v>
      </c>
      <c r="DP35" s="621">
        <f>RCAP!DM24</f>
        <v>0</v>
      </c>
      <c r="DQ35" s="621">
        <f>RCAP!DN24</f>
        <v>0</v>
      </c>
      <c r="DR35" s="621">
        <f>RCAP!DO24</f>
        <v>0</v>
      </c>
      <c r="DS35" s="621">
        <f>RCAP!DP24</f>
        <v>0</v>
      </c>
      <c r="DT35" s="621">
        <f>RCAP!DQ24</f>
        <v>0</v>
      </c>
      <c r="DU35" s="621">
        <f>RCAP!DR24</f>
        <v>0</v>
      </c>
      <c r="DV35" s="621">
        <f>RCAP!DS24</f>
        <v>0</v>
      </c>
      <c r="DW35" s="621">
        <f>RCAP!DT24</f>
        <v>0</v>
      </c>
      <c r="DX35" s="621"/>
      <c r="DY35" s="621"/>
      <c r="DZ35" s="621"/>
      <c r="EA35" s="621"/>
      <c r="EB35" s="621"/>
    </row>
    <row r="36" spans="1:132" ht="15" x14ac:dyDescent="0.25">
      <c r="A36" s="602">
        <v>7.8666666666666698</v>
      </c>
      <c r="B36" s="623" t="s">
        <v>174</v>
      </c>
      <c r="C36" s="598">
        <f>Trend!C5</f>
        <v>692551</v>
      </c>
      <c r="D36" s="598">
        <f>Trend!D5</f>
        <v>2050924</v>
      </c>
      <c r="E36" s="598">
        <f>Trend!E5</f>
        <v>1466652</v>
      </c>
      <c r="F36" s="598">
        <f>Trend!F5</f>
        <v>6631870</v>
      </c>
      <c r="G36" s="598">
        <f>Trend!G5</f>
        <v>8447670</v>
      </c>
      <c r="H36" s="598">
        <f>Trend!H5</f>
        <v>15934406.300000001</v>
      </c>
      <c r="I36" s="598">
        <f>Trend!I5</f>
        <v>16473429</v>
      </c>
      <c r="J36" s="598">
        <f>Trend!J5</f>
        <v>32498030.050000001</v>
      </c>
      <c r="K36" s="598">
        <f>Trend!K5</f>
        <v>16507288.75</v>
      </c>
      <c r="L36" s="598">
        <f>Trend!L5</f>
        <v>15666078</v>
      </c>
      <c r="M36" s="598">
        <f>Trend!M5</f>
        <v>14545363</v>
      </c>
      <c r="N36" s="598">
        <f>Trend!N5</f>
        <v>15900824.5</v>
      </c>
      <c r="O36" s="598">
        <f>Trend!O5</f>
        <v>16862373.5</v>
      </c>
      <c r="P36" s="598">
        <f>Trend!P5</f>
        <v>18118898.939999998</v>
      </c>
      <c r="Q36" s="598">
        <f>Trend!Q5</f>
        <v>16342860.939999999</v>
      </c>
      <c r="R36" s="598">
        <f>Trend!R5</f>
        <v>13456482.74</v>
      </c>
      <c r="S36" s="598">
        <f>Trend!S5</f>
        <v>11491732.74</v>
      </c>
      <c r="T36" s="598">
        <f>Trend!T5</f>
        <v>10780265.640000001</v>
      </c>
      <c r="U36" s="598">
        <f>Trend!U5</f>
        <v>7894662.5999999996</v>
      </c>
      <c r="V36" s="598">
        <f>Trend!V5</f>
        <v>14001725</v>
      </c>
      <c r="W36" s="598">
        <f>Trend!W5</f>
        <v>10156122.4</v>
      </c>
      <c r="X36" s="598">
        <f>Trend!X5</f>
        <v>9526013</v>
      </c>
      <c r="Y36" s="598">
        <f>Trend!Y5</f>
        <v>11722792.35</v>
      </c>
      <c r="Z36" s="598">
        <f>Trend!Z5</f>
        <v>17217798.199999999</v>
      </c>
      <c r="AA36" s="598">
        <f>Trend!AA5</f>
        <v>19086301.899999999</v>
      </c>
      <c r="AB36" s="598">
        <f>Trend!AB5</f>
        <v>19142975.800000001</v>
      </c>
      <c r="AC36" s="598">
        <f>Trend!AC5</f>
        <v>17855809.5</v>
      </c>
      <c r="AD36" s="598">
        <f>Trend!AD5</f>
        <v>10142678.390000001</v>
      </c>
      <c r="AE36" s="598">
        <f>Trend!AE5</f>
        <v>10598883.49</v>
      </c>
      <c r="AF36" s="598">
        <f>Trend!AF5</f>
        <v>9385698.0099999998</v>
      </c>
      <c r="AG36" s="598">
        <f>Trend!AG5</f>
        <v>7527256.2199999997</v>
      </c>
      <c r="AH36" s="598">
        <f>Trend!AH5</f>
        <v>8266552.7999999998</v>
      </c>
      <c r="AI36" s="598">
        <f>Trend!AI5</f>
        <v>8376130</v>
      </c>
      <c r="AJ36" s="598">
        <f>Trend!AJ5</f>
        <v>8376130</v>
      </c>
      <c r="AK36" s="598">
        <f>Trend!AK5</f>
        <v>0</v>
      </c>
      <c r="AL36" s="598">
        <f>Trend!AL5</f>
        <v>5401966.75</v>
      </c>
      <c r="AM36" s="598">
        <f>Trend!AM5</f>
        <v>7175172.9500000002</v>
      </c>
      <c r="AN36" s="598">
        <f>Trend!AN5</f>
        <v>9142768.8000000007</v>
      </c>
      <c r="AO36" s="598">
        <f>Trend!AO5</f>
        <v>19086301.899999999</v>
      </c>
      <c r="AP36" s="598">
        <f>Trend!AP5</f>
        <v>10099765.699999999</v>
      </c>
      <c r="AQ36" s="598">
        <f>Trend!AQ5</f>
        <v>9793887.8000000007</v>
      </c>
      <c r="AR36" s="598">
        <f>Trend!AR5</f>
        <v>4265225.4000000004</v>
      </c>
      <c r="AS36" s="598">
        <f>Trend!AS5</f>
        <v>2028730.9</v>
      </c>
      <c r="AT36" s="598">
        <f>Trend!AT5</f>
        <v>0</v>
      </c>
      <c r="AU36" s="598">
        <f>Trend!AU5</f>
        <v>5118861.18</v>
      </c>
      <c r="AV36" s="598">
        <f>Trend!AV5</f>
        <v>5457407.3300000001</v>
      </c>
      <c r="AW36" s="598">
        <f>Trend!AW5</f>
        <v>36432236</v>
      </c>
      <c r="AX36" s="598">
        <f>Trend!AX5</f>
        <v>0</v>
      </c>
      <c r="AY36" s="598">
        <f>Trend!AY5</f>
        <v>0</v>
      </c>
      <c r="AZ36" s="598">
        <f>Trend!AZ5</f>
        <v>7498366.8799999999</v>
      </c>
      <c r="BA36" s="598">
        <f>Trend!BA5</f>
        <v>9494883.9600000009</v>
      </c>
      <c r="BB36" s="598">
        <f>Trend!BB5</f>
        <v>8154706.9800000004</v>
      </c>
      <c r="BC36" s="598">
        <f>Trend!BC5</f>
        <v>10296780.199999999</v>
      </c>
      <c r="BD36" s="598">
        <f>Trend!BD5</f>
        <v>6878492</v>
      </c>
      <c r="BE36" s="598">
        <f>Trend!BE5</f>
        <v>10735443.280000001</v>
      </c>
      <c r="BF36" s="598">
        <f>Trend!BF5</f>
        <v>9593659</v>
      </c>
      <c r="BG36" s="598">
        <f>Trend!BG5</f>
        <v>0</v>
      </c>
      <c r="BH36" s="598">
        <f>Trend!BH5</f>
        <v>10793933.48</v>
      </c>
      <c r="BI36" s="598">
        <f>Trend!BI5</f>
        <v>10981808.98</v>
      </c>
      <c r="BJ36" s="598">
        <f>Trend!BJ5</f>
        <v>46322972</v>
      </c>
      <c r="BK36" s="598">
        <f>Trend!BK5</f>
        <v>11253203</v>
      </c>
      <c r="BL36" s="598">
        <f>Trend!BL5</f>
        <v>15558586</v>
      </c>
      <c r="BM36" s="598">
        <f>Trend!BM5</f>
        <v>10872819</v>
      </c>
      <c r="BN36" s="598">
        <f>Trend!BN5</f>
        <v>14488992</v>
      </c>
      <c r="BO36" s="598">
        <f>Trend!BO5</f>
        <v>14476597</v>
      </c>
      <c r="BP36" s="598">
        <f>Trend!BP5</f>
        <v>16327550</v>
      </c>
      <c r="BQ36" s="598">
        <f>Trend!BQ5</f>
        <v>19523805</v>
      </c>
      <c r="BR36" s="598">
        <f>Trend!BR5</f>
        <v>17723223</v>
      </c>
      <c r="BS36" s="598">
        <f>Trend!BS5</f>
        <v>10285781</v>
      </c>
      <c r="BT36" s="598">
        <f>Trend!BT5</f>
        <v>12769275</v>
      </c>
      <c r="BU36" s="598">
        <f>Trend!BU5</f>
        <v>10665369</v>
      </c>
      <c r="BV36" s="598">
        <f>Trend!BV5</f>
        <v>19242242.460000001</v>
      </c>
      <c r="BW36" s="598">
        <f>Trend!BW5</f>
        <v>57724521</v>
      </c>
      <c r="BX36" s="598">
        <f>Trend!BX5</f>
        <v>16251162</v>
      </c>
      <c r="BY36" s="598">
        <f>Trend!BY5</f>
        <v>6857239</v>
      </c>
      <c r="BZ36" s="598">
        <f>Trend!BZ5</f>
        <v>16843190</v>
      </c>
      <c r="CA36" s="598">
        <f>Trend!CA5</f>
        <v>23179790</v>
      </c>
      <c r="CB36" s="598">
        <f>Trend!CB5</f>
        <v>18908991</v>
      </c>
      <c r="CC36" s="598">
        <f>Trend!CC5</f>
        <v>17140450</v>
      </c>
      <c r="CD36" s="598">
        <f>Trend!CD5</f>
        <v>17281349.199999999</v>
      </c>
      <c r="CE36" s="598">
        <f>Trend!CE5</f>
        <v>9065007</v>
      </c>
      <c r="CF36" s="598">
        <f>Trend!CF5</f>
        <v>14600746.58</v>
      </c>
      <c r="CG36" s="598">
        <f>Trend!CG5</f>
        <v>22938976</v>
      </c>
      <c r="CH36" s="598">
        <f>Trend!CH5</f>
        <v>11932460.699999999</v>
      </c>
      <c r="CI36" s="598">
        <f>Trend!CI5</f>
        <v>42411495.310000002</v>
      </c>
      <c r="CJ36" s="598">
        <f>Trend!CJ5</f>
        <v>46245910.850000001</v>
      </c>
      <c r="CK36" s="598">
        <f>Trend!CK5</f>
        <v>9584994</v>
      </c>
      <c r="CL36" s="598">
        <f>Trend!CL5</f>
        <v>38031853.879999995</v>
      </c>
      <c r="CM36" s="598">
        <f>Trend!CM5</f>
        <v>16281760</v>
      </c>
      <c r="CN36" s="598">
        <f>Trend!CN5</f>
        <v>14677858</v>
      </c>
      <c r="CO36" s="598">
        <f>Trend!CO5</f>
        <v>26232819.039999999</v>
      </c>
      <c r="CP36" s="598">
        <f>Trend!CP5</f>
        <v>11531817.870000001</v>
      </c>
      <c r="CQ36" s="598">
        <f>Trend!CQ5</f>
        <v>10375224.120000001</v>
      </c>
      <c r="CR36" s="598">
        <f>Trend!CR5</f>
        <v>19773282.609999999</v>
      </c>
      <c r="CS36" s="598">
        <f>Trend!CS5</f>
        <v>16406089.82</v>
      </c>
      <c r="CT36" s="598">
        <f>Trend!CT5</f>
        <v>16406089.82</v>
      </c>
      <c r="CU36" s="598">
        <f>Trend!CU5</f>
        <v>10727306.17</v>
      </c>
      <c r="CV36" s="598">
        <f>Trend!CV5</f>
        <v>17025095.079999998</v>
      </c>
      <c r="CW36" s="598">
        <f>Trend!CW5</f>
        <v>31495404.030000001</v>
      </c>
      <c r="CX36" s="598">
        <f>Trend!CX5</f>
        <v>18898852.32</v>
      </c>
      <c r="CY36" s="598">
        <f>Trend!CY5</f>
        <v>31689506.199999999</v>
      </c>
      <c r="CZ36" s="598">
        <f>Trend!CZ5</f>
        <v>20939826.41</v>
      </c>
      <c r="DA36" s="598">
        <f>Trend!DA5</f>
        <v>28874468</v>
      </c>
      <c r="DB36" s="598">
        <f>Trend!DB5</f>
        <v>14944011.789999999</v>
      </c>
      <c r="DC36" s="598">
        <f>Trend!DC5</f>
        <v>21759557.850000001</v>
      </c>
      <c r="DD36" s="598">
        <f>Trend!DD5</f>
        <v>14112020.23</v>
      </c>
      <c r="DE36" s="598">
        <f>Trend!DE5</f>
        <v>15735795.140000001</v>
      </c>
      <c r="DF36" s="598">
        <f>Trend!DF5</f>
        <v>21070472</v>
      </c>
      <c r="DG36" s="598">
        <f>Trend!DG5</f>
        <v>12052296.199999999</v>
      </c>
      <c r="DH36" s="598">
        <f>Trend!DH5</f>
        <v>14872401</v>
      </c>
      <c r="DI36" s="598">
        <f>Trend!DI5</f>
        <v>23680357</v>
      </c>
      <c r="DJ36" s="598">
        <f>Trend!DJ5</f>
        <v>31354985</v>
      </c>
      <c r="DK36" s="598">
        <f>Trend!DK5</f>
        <v>12748267.52</v>
      </c>
      <c r="DL36" s="598">
        <f>Trend!DL5</f>
        <v>15941345.310000001</v>
      </c>
      <c r="DM36" s="598">
        <f>Trend!DM5</f>
        <v>23816679.75</v>
      </c>
      <c r="DN36" s="598">
        <f>Trend!DN5</f>
        <v>11233153.289999999</v>
      </c>
      <c r="DO36" s="598">
        <f>Trend!DO5</f>
        <v>9384205.9499999993</v>
      </c>
      <c r="DP36" s="598">
        <f>Trend!DP5</f>
        <v>16316325</v>
      </c>
      <c r="DQ36" s="598">
        <f>Trend!DQ5</f>
        <v>19595448.130000003</v>
      </c>
      <c r="DR36" s="598">
        <f>Trend!DR5</f>
        <v>19545912.469999999</v>
      </c>
      <c r="DS36" s="598">
        <f>Trend!DS5</f>
        <v>10931445.68</v>
      </c>
      <c r="DT36" s="598">
        <f>Trend!DT5</f>
        <v>12785098.789999999</v>
      </c>
      <c r="DU36" s="598">
        <f>Trend!DU5</f>
        <v>18452131.850000001</v>
      </c>
      <c r="DV36" s="598">
        <f>Trend!DV5</f>
        <v>0</v>
      </c>
      <c r="DW36" s="598">
        <f>Trend!DW5</f>
        <v>40136992</v>
      </c>
      <c r="DX36" s="598"/>
      <c r="DY36" s="598"/>
      <c r="DZ36" s="598"/>
      <c r="EA36" s="598"/>
      <c r="EB36" s="598"/>
    </row>
    <row r="37" spans="1:132" ht="15" x14ac:dyDescent="0.25">
      <c r="A37" s="596"/>
      <c r="B37" s="624"/>
      <c r="C37" s="598"/>
      <c r="D37" s="598"/>
      <c r="E37" s="598"/>
      <c r="F37" s="598"/>
      <c r="G37" s="598"/>
      <c r="H37" s="598"/>
      <c r="I37" s="598"/>
      <c r="J37" s="598"/>
      <c r="K37" s="598"/>
      <c r="L37" s="598"/>
      <c r="M37" s="598"/>
      <c r="N37" s="598"/>
      <c r="O37" s="598"/>
      <c r="P37" s="598"/>
      <c r="Q37" s="598"/>
      <c r="R37" s="598"/>
      <c r="S37" s="598"/>
      <c r="T37" s="598"/>
      <c r="U37" s="598"/>
      <c r="V37" s="598"/>
      <c r="W37" s="598"/>
      <c r="X37" s="598"/>
      <c r="Y37" s="598"/>
      <c r="Z37" s="598"/>
      <c r="AA37" s="598"/>
      <c r="AB37" s="598"/>
      <c r="AC37" s="598"/>
      <c r="AD37" s="598"/>
      <c r="AE37" s="598"/>
      <c r="AF37" s="598"/>
      <c r="AG37" s="598"/>
      <c r="AH37" s="598"/>
      <c r="AI37" s="598"/>
      <c r="AJ37" s="598"/>
      <c r="AK37" s="598"/>
      <c r="AL37" s="598"/>
      <c r="AM37" s="598"/>
      <c r="AN37" s="598"/>
      <c r="AO37" s="598"/>
      <c r="AP37" s="598"/>
      <c r="AQ37" s="598"/>
      <c r="AR37" s="598"/>
      <c r="AS37" s="598"/>
      <c r="AT37" s="598"/>
      <c r="AU37" s="598"/>
      <c r="AV37" s="598"/>
      <c r="AW37" s="598"/>
      <c r="AX37" s="598"/>
      <c r="AY37" s="598"/>
      <c r="AZ37" s="598"/>
      <c r="BA37" s="598"/>
      <c r="BB37" s="598"/>
      <c r="BC37" s="598"/>
      <c r="BD37" s="598"/>
      <c r="BE37" s="598"/>
      <c r="BF37" s="573"/>
      <c r="BG37" s="573"/>
      <c r="BH37" s="573"/>
      <c r="BI37" s="573"/>
      <c r="BJ37" s="573"/>
      <c r="BK37" s="573"/>
      <c r="BL37" s="573"/>
      <c r="BM37" s="573"/>
      <c r="BN37" s="573"/>
      <c r="BO37" s="573"/>
      <c r="BP37" s="573"/>
      <c r="BQ37" s="573"/>
      <c r="BR37" s="573"/>
      <c r="BS37" s="573"/>
      <c r="BT37" s="573"/>
      <c r="BU37" s="573"/>
      <c r="BV37" s="573"/>
      <c r="BW37" s="573"/>
      <c r="BX37" s="573"/>
      <c r="BY37" s="573"/>
      <c r="BZ37" s="573"/>
      <c r="CA37" s="573"/>
      <c r="CB37" s="573"/>
      <c r="CC37" s="573"/>
      <c r="CD37" s="573"/>
      <c r="CE37" s="573"/>
      <c r="CF37" s="573"/>
      <c r="CG37" s="573"/>
      <c r="CH37" s="573"/>
      <c r="CI37" s="573"/>
      <c r="CJ37" s="573"/>
      <c r="CK37" s="573"/>
      <c r="CL37" s="573"/>
      <c r="CM37" s="573"/>
      <c r="CN37" s="573"/>
      <c r="CO37" s="573"/>
      <c r="CP37" s="573"/>
      <c r="CQ37" s="573"/>
      <c r="CR37" s="573"/>
      <c r="CS37" s="573"/>
      <c r="CT37" s="573"/>
      <c r="CU37" s="573"/>
      <c r="CV37" s="573"/>
      <c r="CW37" s="573"/>
      <c r="CX37" s="573"/>
      <c r="CY37" s="573"/>
      <c r="CZ37" s="573"/>
      <c r="DA37" s="573"/>
      <c r="DB37" s="573"/>
      <c r="DC37" s="573"/>
      <c r="DD37" s="573"/>
      <c r="DE37" s="573"/>
      <c r="DF37" s="573"/>
      <c r="DG37" s="573"/>
      <c r="DH37" s="573"/>
      <c r="DI37" s="573"/>
      <c r="DJ37" s="573"/>
      <c r="DK37" s="573"/>
      <c r="DL37" s="573"/>
      <c r="DM37" s="573"/>
      <c r="DN37" s="573"/>
      <c r="DO37" s="573"/>
      <c r="DP37" s="573"/>
      <c r="DQ37" s="573"/>
      <c r="DR37" s="573"/>
      <c r="DS37" s="573"/>
      <c r="DT37" s="573"/>
      <c r="DU37" s="573"/>
      <c r="DV37" s="573"/>
      <c r="DW37" s="573"/>
      <c r="DX37" s="573"/>
      <c r="DY37" s="573"/>
      <c r="DZ37" s="573"/>
      <c r="EA37" s="573"/>
      <c r="EB37" s="573"/>
    </row>
    <row r="38" spans="1:132" ht="15" x14ac:dyDescent="0.25">
      <c r="A38" s="599">
        <v>8</v>
      </c>
      <c r="B38" s="619" t="s">
        <v>175</v>
      </c>
      <c r="C38" s="601">
        <f>Trend!C8+Trend!C21</f>
        <v>95583</v>
      </c>
      <c r="D38" s="601">
        <f>Trend!D8+Trend!D21</f>
        <v>110143</v>
      </c>
      <c r="E38" s="601">
        <f>Trend!E8+Trend!E21</f>
        <v>684976</v>
      </c>
      <c r="F38" s="601">
        <f>Trend!F8+Trend!F21</f>
        <v>2076731</v>
      </c>
      <c r="G38" s="601">
        <f>Trend!G8+Trend!G21</f>
        <v>5488962</v>
      </c>
      <c r="H38" s="601">
        <f>Trend!H8+Trend!H21</f>
        <v>6335904.9500000002</v>
      </c>
      <c r="I38" s="601">
        <f>Trend!I8+Trend!I21</f>
        <v>4836638</v>
      </c>
      <c r="J38" s="601">
        <f>Trend!J8+Trend!J21</f>
        <v>12640808.4</v>
      </c>
      <c r="K38" s="601">
        <f>Trend!K8+Trend!K21</f>
        <v>6514122.4800000004</v>
      </c>
      <c r="L38" s="601">
        <f>Trend!L8+Trend!L21</f>
        <v>6522013.0700000003</v>
      </c>
      <c r="M38" s="601">
        <f>Trend!M8+Trend!M21</f>
        <v>6465357.3700000001</v>
      </c>
      <c r="N38" s="601">
        <f>Trend!N8+Trend!N21</f>
        <v>6501238.7599999998</v>
      </c>
      <c r="O38" s="601">
        <f>Trend!O8+Trend!O21</f>
        <v>6641184.7599999998</v>
      </c>
      <c r="P38" s="601">
        <f>Trend!P8+Trend!P21</f>
        <v>6666355.8700000001</v>
      </c>
      <c r="Q38" s="601">
        <f>Trend!Q8+Trend!Q21</f>
        <v>7585174.4299999997</v>
      </c>
      <c r="R38" s="601">
        <f>Trend!R8+Trend!R21</f>
        <v>8051287.9299999997</v>
      </c>
      <c r="S38" s="601">
        <f>Trend!S8+Trend!S21</f>
        <v>8679032.7699999996</v>
      </c>
      <c r="T38" s="601">
        <f>Trend!T8+Trend!T21</f>
        <v>9163698.2699999996</v>
      </c>
      <c r="U38" s="601">
        <f>Trend!U8+Trend!U21</f>
        <v>6720214</v>
      </c>
      <c r="V38" s="601">
        <f>Trend!V8+Trend!V21</f>
        <v>4919189</v>
      </c>
      <c r="W38" s="601">
        <f>Trend!W8+Trend!W21</f>
        <v>6926638.0999999996</v>
      </c>
      <c r="X38" s="601">
        <f>Trend!X8+Trend!X21</f>
        <v>7123763.1699999999</v>
      </c>
      <c r="Y38" s="601">
        <f>Trend!Y8+Trend!Y21</f>
        <v>7373220.5300000003</v>
      </c>
      <c r="Z38" s="601">
        <f>Trend!Z8+Trend!Z21</f>
        <v>7475928.8700000001</v>
      </c>
      <c r="AA38" s="601">
        <f>Trend!AA8+Trend!AA21</f>
        <v>7827329.8499999996</v>
      </c>
      <c r="AB38" s="601">
        <f>Trend!AB8+Trend!AB21</f>
        <v>7984365.5999999996</v>
      </c>
      <c r="AC38" s="601">
        <f>Trend!AC8+Trend!AC21</f>
        <v>8873813.5999999996</v>
      </c>
      <c r="AD38" s="601">
        <f>Trend!AD8+Trend!AD21</f>
        <v>9167337.8000000007</v>
      </c>
      <c r="AE38" s="601">
        <f>Trend!AE8+Trend!AE21</f>
        <v>8131616.4500000002</v>
      </c>
      <c r="AF38" s="601">
        <f>Trend!AF8+Trend!AF21</f>
        <v>8099393.8700000001</v>
      </c>
      <c r="AG38" s="601">
        <f>Trend!AG8+Trend!AG21</f>
        <v>8752267.0399999991</v>
      </c>
      <c r="AH38" s="601">
        <f>Trend!AH8+Trend!AH21</f>
        <v>7291456.0999999996</v>
      </c>
      <c r="AI38" s="601">
        <f>Trend!AI8+Trend!AI21</f>
        <v>5695622</v>
      </c>
      <c r="AJ38" s="601">
        <f>Trend!AJ8+Trend!AJ21</f>
        <v>5385175</v>
      </c>
      <c r="AK38" s="601">
        <f>Trend!AK8+Trend!AK21</f>
        <v>0</v>
      </c>
      <c r="AL38" s="601">
        <f>Trend!AL8+Trend!AL21</f>
        <v>9040567.5500000007</v>
      </c>
      <c r="AM38" s="601">
        <f>Trend!AM8+Trend!AM21</f>
        <v>8501991.9499999993</v>
      </c>
      <c r="AN38" s="601">
        <f>Trend!AN8+Trend!AN21</f>
        <v>8410730.9499999993</v>
      </c>
      <c r="AO38" s="601">
        <f>Trend!AO8+Trend!AO21</f>
        <v>7827329.8499999996</v>
      </c>
      <c r="AP38" s="601">
        <f>Trend!AP8+Trend!AP21</f>
        <v>7644979.2699999996</v>
      </c>
      <c r="AQ38" s="601">
        <f>Trend!AQ8+Trend!AQ21</f>
        <v>17702624.369999997</v>
      </c>
      <c r="AR38" s="601">
        <f>Trend!AR8+Trend!AR21</f>
        <v>20429598.869999997</v>
      </c>
      <c r="AS38" s="601">
        <f>Trend!AS8+Trend!AS21</f>
        <v>21525506.09</v>
      </c>
      <c r="AT38" s="601">
        <f>Trend!AT8+Trend!AT21</f>
        <v>0</v>
      </c>
      <c r="AU38" s="601">
        <f>Trend!AU8+Trend!AU21</f>
        <v>26199536.640000001</v>
      </c>
      <c r="AV38" s="601">
        <f>Trend!AV8+Trend!AV21</f>
        <v>9231958.5999999996</v>
      </c>
      <c r="AW38" s="601">
        <f>Trend!AW8+Trend!AW21</f>
        <v>5658908</v>
      </c>
      <c r="AX38" s="601">
        <f>Trend!AX8+Trend!AX21</f>
        <v>0</v>
      </c>
      <c r="AY38" s="601">
        <f>Trend!AY8+Trend!AY21</f>
        <v>0</v>
      </c>
      <c r="AZ38" s="601">
        <f>Trend!AZ8+Trend!AZ21</f>
        <v>11355625</v>
      </c>
      <c r="BA38" s="601">
        <f>Trend!BA8+Trend!BA21</f>
        <v>22812710</v>
      </c>
      <c r="BB38" s="601">
        <f>Trend!BB8+Trend!BB21</f>
        <v>11423155</v>
      </c>
      <c r="BC38" s="601">
        <f>Trend!BC8+Trend!BC21</f>
        <v>38310895.450000003</v>
      </c>
      <c r="BD38" s="601">
        <f>Trend!BD8+Trend!BD21</f>
        <v>11688855</v>
      </c>
      <c r="BE38" s="601">
        <f>Trend!BE8+Trend!BE21</f>
        <v>11767055</v>
      </c>
      <c r="BF38" s="601">
        <f>Trend!BF8+Trend!BF21</f>
        <v>12194820</v>
      </c>
      <c r="BG38" s="601">
        <f>Trend!BG8+Trend!BG21</f>
        <v>0</v>
      </c>
      <c r="BH38" s="601">
        <f>Trend!BH8+Trend!BH21</f>
        <v>12934820</v>
      </c>
      <c r="BI38" s="601">
        <f>Trend!BI8+Trend!BI21</f>
        <v>12943020</v>
      </c>
      <c r="BJ38" s="601">
        <f>Trend!BJ8+Trend!BJ21</f>
        <v>9930743</v>
      </c>
      <c r="BK38" s="601">
        <f>Trend!BK8+Trend!BK21</f>
        <v>12975994</v>
      </c>
      <c r="BL38" s="601">
        <f>Trend!BL8+Trend!BL21</f>
        <v>12994070</v>
      </c>
      <c r="BM38" s="601">
        <f>Trend!BM8+Trend!BM21</f>
        <v>13168170</v>
      </c>
      <c r="BN38" s="601">
        <f>Trend!BN8+Trend!BN21</f>
        <v>13168170</v>
      </c>
      <c r="BO38" s="601">
        <f>Trend!BO8+Trend!BO21</f>
        <v>13478912</v>
      </c>
      <c r="BP38" s="601">
        <f>Trend!BP8+Trend!BP21</f>
        <v>13537202</v>
      </c>
      <c r="BQ38" s="601">
        <f>Trend!BQ8+Trend!BQ21</f>
        <v>13559712</v>
      </c>
      <c r="BR38" s="601">
        <f>Trend!BR8+Trend!BR21</f>
        <v>13629712</v>
      </c>
      <c r="BS38" s="601">
        <f>Trend!BS8+Trend!BS21</f>
        <v>13635577</v>
      </c>
      <c r="BT38" s="601">
        <f>Trend!BT8+Trend!BT21</f>
        <v>13635527</v>
      </c>
      <c r="BU38" s="601">
        <f>Trend!BU8+Trend!BU21</f>
        <v>16411027</v>
      </c>
      <c r="BV38" s="601">
        <f>Trend!BV8+Trend!BV21</f>
        <v>14843739.630000001</v>
      </c>
      <c r="BW38" s="601">
        <f>Trend!BW8+Trend!BW21</f>
        <v>15341727.91</v>
      </c>
      <c r="BX38" s="601">
        <f>Trend!BX8+Trend!BX21</f>
        <v>15413241</v>
      </c>
      <c r="BY38" s="601">
        <f>Trend!BY8+Trend!BY21</f>
        <v>15413241</v>
      </c>
      <c r="BZ38" s="601">
        <f>Trend!BZ8+Trend!BZ21</f>
        <v>15413241</v>
      </c>
      <c r="CA38" s="601">
        <f>Trend!CA8+Trend!CA21</f>
        <v>29251878</v>
      </c>
      <c r="CB38" s="601">
        <f>Trend!CB8+Trend!CB21</f>
        <v>23052863</v>
      </c>
      <c r="CC38" s="601">
        <f>Trend!CC8+Trend!CC21</f>
        <v>25816323.359999999</v>
      </c>
      <c r="CD38" s="601">
        <f>Trend!CD8+Trend!CD21</f>
        <v>25816323.359999999</v>
      </c>
      <c r="CE38" s="601">
        <f>Trend!CE8+Trend!CE21</f>
        <v>30304842.02</v>
      </c>
      <c r="CF38" s="601">
        <f>Trend!CF8+Trend!CF21</f>
        <v>30878855.629999999</v>
      </c>
      <c r="CG38" s="601">
        <f>Trend!CG8+Trend!CG21</f>
        <v>31758650.859999999</v>
      </c>
      <c r="CH38" s="601">
        <f>Trend!CH8+Trend!CH21</f>
        <v>32416217.030000001</v>
      </c>
      <c r="CI38" s="601">
        <f>Trend!CI8+Trend!CI21</f>
        <v>20933244.509999998</v>
      </c>
      <c r="CJ38" s="601">
        <f>Trend!CJ8+Trend!CJ21</f>
        <v>22232583.509999998</v>
      </c>
      <c r="CK38" s="601">
        <f>Trend!CK8+Trend!CK21</f>
        <v>30487333.579999998</v>
      </c>
      <c r="CL38" s="601">
        <f>Trend!CL8+Trend!CL21</f>
        <v>31352265.850000001</v>
      </c>
      <c r="CM38" s="601">
        <f>Trend!CM8+Trend!CM21</f>
        <v>31062455</v>
      </c>
      <c r="CN38" s="601">
        <f>Trend!CN8+Trend!CN21</f>
        <v>34075412.009999998</v>
      </c>
      <c r="CO38" s="601">
        <f>Trend!CO8+Trend!CO21</f>
        <v>36530970.730000004</v>
      </c>
      <c r="CP38" s="601" t="e">
        <f>Trend!#REF!+Trend!CP21</f>
        <v>#REF!</v>
      </c>
      <c r="CQ38" s="601">
        <f>Trend!CQ8+Trend!CQ21</f>
        <v>36318982.719999999</v>
      </c>
      <c r="CR38" s="601">
        <f>Trend!CR8+Trend!CR21</f>
        <v>37077112.460000001</v>
      </c>
      <c r="CS38" s="601">
        <f>Trend!CS8+Trend!CS21</f>
        <v>38128987.899999999</v>
      </c>
      <c r="CT38" s="601">
        <f>Trend!CT8+Trend!CT21</f>
        <v>39003337.350000001</v>
      </c>
      <c r="CU38" s="601">
        <f>Trend!CU8+Trend!CU21</f>
        <v>35638819.909999996</v>
      </c>
      <c r="CV38" s="601">
        <f>Trend!CV8+Trend!CV21</f>
        <v>26420227.939999998</v>
      </c>
      <c r="CW38" s="601">
        <f>Trend!CW8+Trend!CW21</f>
        <v>25626233.879999999</v>
      </c>
      <c r="CX38" s="601">
        <f>Trend!CX8+Trend!CX21</f>
        <v>35689830.5</v>
      </c>
      <c r="CY38" s="601">
        <f>Trend!CY8+Trend!CY21</f>
        <v>35689830.5</v>
      </c>
      <c r="CZ38" s="601">
        <f>Trend!CZ8+Trend!CZ21</f>
        <v>35689830.5</v>
      </c>
      <c r="DA38" s="601">
        <f>Trend!DA8+Trend!DA21</f>
        <v>35689830.5</v>
      </c>
      <c r="DB38" s="601">
        <f>Trend!DB8+Trend!DB21</f>
        <v>36030870.5</v>
      </c>
      <c r="DC38" s="601">
        <f>Trend!DC8+Trend!DC21</f>
        <v>36030870.5</v>
      </c>
      <c r="DD38" s="601">
        <f>Trend!DD8+Trend!DD21</f>
        <v>36330423.68</v>
      </c>
      <c r="DE38" s="601">
        <f>Trend!DE8+Trend!DE21</f>
        <v>36330423.68</v>
      </c>
      <c r="DF38" s="601">
        <f>Trend!DF8+Trend!DF21</f>
        <v>36330423.68</v>
      </c>
      <c r="DG38" s="601">
        <f>Trend!DG8+Trend!DG21</f>
        <v>36343616.68</v>
      </c>
      <c r="DH38" s="601">
        <f>Trend!DH8+Trend!DH21</f>
        <v>36343616.68</v>
      </c>
      <c r="DI38" s="601">
        <f>Trend!DI8+Trend!DI21</f>
        <v>25467701.109999999</v>
      </c>
      <c r="DJ38" s="601">
        <f>Trend!DJ8+Trend!DJ21</f>
        <v>27346884</v>
      </c>
      <c r="DK38" s="601">
        <f>Trend!DK8+Trend!DK21</f>
        <v>31637756.549999997</v>
      </c>
      <c r="DL38" s="601">
        <f>Trend!DL8+Trend!DL21</f>
        <v>32334829.84</v>
      </c>
      <c r="DM38" s="601">
        <f>Trend!DM8+Trend!DM21</f>
        <v>32671522.899999999</v>
      </c>
      <c r="DN38" s="601">
        <f>Trend!DN8+Trend!DN21</f>
        <v>33482038.740000002</v>
      </c>
      <c r="DO38" s="601">
        <f>Trend!DO8+Trend!DO21</f>
        <v>34112637.120000005</v>
      </c>
      <c r="DP38" s="601">
        <f>Trend!DP8+Trend!DP21</f>
        <v>37447629.310000002</v>
      </c>
      <c r="DQ38" s="601">
        <f>Trend!DQ8+Trend!DQ21</f>
        <v>38275273.799999997</v>
      </c>
      <c r="DR38" s="601">
        <f>Trend!DR8+Trend!DR21</f>
        <v>39211116.609999999</v>
      </c>
      <c r="DS38" s="601">
        <f>Trend!DS8+Trend!DS21</f>
        <v>39602682.090000004</v>
      </c>
      <c r="DT38" s="601">
        <f>Trend!DT8+Trend!DT21</f>
        <v>39441794.600000001</v>
      </c>
      <c r="DU38" s="601">
        <f>Trend!DU8+Trend!DU21</f>
        <v>40380963.239999995</v>
      </c>
      <c r="DV38" s="601">
        <f>Trend!DV8+Trend!DV21</f>
        <v>0</v>
      </c>
      <c r="DW38" s="601">
        <f>Trend!DW8+Trend!DW21</f>
        <v>33771026</v>
      </c>
      <c r="DX38" s="601"/>
      <c r="DY38" s="601"/>
      <c r="DZ38" s="601"/>
      <c r="EA38" s="601"/>
      <c r="EB38" s="601"/>
    </row>
    <row r="39" spans="1:132" ht="15" x14ac:dyDescent="0.25">
      <c r="A39" s="604">
        <v>8.1</v>
      </c>
      <c r="B39" s="625" t="s">
        <v>54</v>
      </c>
      <c r="C39" s="606">
        <f>Trend!C23</f>
        <v>28544</v>
      </c>
      <c r="D39" s="606">
        <f>Trend!D23</f>
        <v>67851</v>
      </c>
      <c r="E39" s="606">
        <f>Trend!E23</f>
        <v>609253</v>
      </c>
      <c r="F39" s="606">
        <f>Trend!F23</f>
        <v>691887</v>
      </c>
      <c r="G39" s="606">
        <f>Trend!G23</f>
        <v>4364687</v>
      </c>
      <c r="H39" s="606">
        <f>Trend!H23</f>
        <v>5375271</v>
      </c>
      <c r="I39" s="606">
        <f>Trend!I23</f>
        <v>4109038</v>
      </c>
      <c r="J39" s="606">
        <f>Trend!J23</f>
        <v>10750542</v>
      </c>
      <c r="K39" s="606">
        <f>Trend!K23</f>
        <v>5385636</v>
      </c>
      <c r="L39" s="606">
        <f>Trend!L23</f>
        <v>5385921</v>
      </c>
      <c r="M39" s="606">
        <f>Trend!M23</f>
        <v>5385921</v>
      </c>
      <c r="N39" s="606">
        <f>Trend!N23</f>
        <v>5397921</v>
      </c>
      <c r="O39" s="606">
        <f>Trend!O23</f>
        <v>5397921</v>
      </c>
      <c r="P39" s="606">
        <f>Trend!P23</f>
        <v>5397921</v>
      </c>
      <c r="Q39" s="606">
        <f>Trend!Q23</f>
        <v>5517646</v>
      </c>
      <c r="R39" s="606">
        <f>Trend!R23</f>
        <v>5517646</v>
      </c>
      <c r="S39" s="606">
        <f>Trend!S23</f>
        <v>5623836</v>
      </c>
      <c r="T39" s="606">
        <f>Trend!T23</f>
        <v>5648766</v>
      </c>
      <c r="U39" s="606">
        <f>Trend!U23</f>
        <v>5671916</v>
      </c>
      <c r="V39" s="606">
        <f>Trend!V23</f>
        <v>4161589</v>
      </c>
      <c r="W39" s="606">
        <f>Trend!W23</f>
        <v>5709813</v>
      </c>
      <c r="X39" s="606">
        <f>Trend!X23</f>
        <v>5710413</v>
      </c>
      <c r="Y39" s="606">
        <f>Trend!Y23</f>
        <v>5710688</v>
      </c>
      <c r="Z39" s="606">
        <f>Trend!Z23</f>
        <v>5766068</v>
      </c>
      <c r="AA39" s="606">
        <f>Trend!AA23</f>
        <v>5789568</v>
      </c>
      <c r="AB39" s="606">
        <f>Trend!AB23</f>
        <v>5794678</v>
      </c>
      <c r="AC39" s="606">
        <f>Trend!AC23</f>
        <v>5897898</v>
      </c>
      <c r="AD39" s="606">
        <f>Trend!AD23</f>
        <v>5898098</v>
      </c>
      <c r="AE39" s="606">
        <f>Trend!AE23</f>
        <v>5903168</v>
      </c>
      <c r="AF39" s="606">
        <f>Trend!AF23</f>
        <v>6350418</v>
      </c>
      <c r="AG39" s="606">
        <f>Trend!AG23</f>
        <v>6398798</v>
      </c>
      <c r="AH39" s="606">
        <f>Trend!AH23</f>
        <v>6445228</v>
      </c>
      <c r="AI39" s="606">
        <f>Trend!AI23</f>
        <v>4710275</v>
      </c>
      <c r="AJ39" s="606">
        <f>Trend!AJ23</f>
        <v>4710275</v>
      </c>
      <c r="AK39" s="606">
        <f>Trend!AK23</f>
        <v>0</v>
      </c>
      <c r="AL39" s="606">
        <f>Trend!AL23</f>
        <v>6517848</v>
      </c>
      <c r="AM39" s="606">
        <f>Trend!AM23</f>
        <v>6538198</v>
      </c>
      <c r="AN39" s="606">
        <f>Trend!AN23</f>
        <v>6547478</v>
      </c>
      <c r="AO39" s="606">
        <f>Trend!AO23</f>
        <v>5789568</v>
      </c>
      <c r="AP39" s="606">
        <f>Trend!AP23</f>
        <v>6707718</v>
      </c>
      <c r="AQ39" s="606">
        <f>Trend!AQ23</f>
        <v>6834418</v>
      </c>
      <c r="AR39" s="606">
        <f>Trend!AR23</f>
        <v>6900800</v>
      </c>
      <c r="AS39" s="606">
        <f>Trend!AS23</f>
        <v>6958800</v>
      </c>
      <c r="AT39" s="606">
        <f>Trend!AT23</f>
        <v>0</v>
      </c>
      <c r="AU39" s="606">
        <f>Trend!AU23</f>
        <v>7476357</v>
      </c>
      <c r="AV39" s="606">
        <f>Trend!AV23</f>
        <v>7487007</v>
      </c>
      <c r="AW39" s="606">
        <f>Trend!AW23</f>
        <v>5040538</v>
      </c>
      <c r="AX39" s="606">
        <f>Trend!AX23</f>
        <v>0</v>
      </c>
      <c r="AY39" s="606">
        <f>Trend!AY23</f>
        <v>0</v>
      </c>
      <c r="AZ39" s="606">
        <f>Trend!AZ23</f>
        <v>11040351</v>
      </c>
      <c r="BA39" s="606">
        <f>Trend!BA23</f>
        <v>22128162</v>
      </c>
      <c r="BB39" s="606">
        <f>Trend!BB23</f>
        <v>11080881</v>
      </c>
      <c r="BC39" s="606">
        <f>Trend!BC23</f>
        <v>11423155</v>
      </c>
      <c r="BD39" s="606">
        <f>Trend!BD23</f>
        <v>11287581</v>
      </c>
      <c r="BE39" s="606">
        <f>Trend!BE23</f>
        <v>11365081</v>
      </c>
      <c r="BF39" s="606">
        <f>Trend!BF23</f>
        <v>11792846</v>
      </c>
      <c r="BG39" s="606">
        <f>Trend!BG23</f>
        <v>0</v>
      </c>
      <c r="BH39" s="606">
        <f>Trend!BH23</f>
        <v>12512496</v>
      </c>
      <c r="BI39" s="606">
        <f>Trend!BI23</f>
        <v>12513496</v>
      </c>
      <c r="BJ39" s="606">
        <f>Trend!BJ23</f>
        <v>9322504</v>
      </c>
      <c r="BK39" s="606">
        <f>Trend!BK23</f>
        <v>12546470</v>
      </c>
      <c r="BL39" s="606">
        <f>Trend!BL23</f>
        <v>12560046</v>
      </c>
      <c r="BM39" s="606">
        <f>Trend!BM23</f>
        <v>12734146</v>
      </c>
      <c r="BN39" s="606">
        <f>Trend!BN23</f>
        <v>12734146</v>
      </c>
      <c r="BO39" s="606">
        <f>Trend!BO23</f>
        <v>13044888</v>
      </c>
      <c r="BP39" s="606">
        <f>Trend!BP23</f>
        <v>13103178</v>
      </c>
      <c r="BQ39" s="606">
        <f>Trend!BQ23</f>
        <v>13125688</v>
      </c>
      <c r="BR39" s="606">
        <f>Trend!BR23</f>
        <v>13195688</v>
      </c>
      <c r="BS39" s="606">
        <f>Trend!BS23</f>
        <v>13201553</v>
      </c>
      <c r="BT39" s="606">
        <f>Trend!BT23</f>
        <v>13201503</v>
      </c>
      <c r="BU39" s="606">
        <f>Trend!BU23</f>
        <v>15977003</v>
      </c>
      <c r="BV39" s="606">
        <f>Trend!BV23</f>
        <v>14409715.630000001</v>
      </c>
      <c r="BW39" s="606">
        <f>Trend!BW23</f>
        <v>7872296.5499999998</v>
      </c>
      <c r="BX39" s="606">
        <f>Trend!BX23</f>
        <v>9244217</v>
      </c>
      <c r="BY39" s="606">
        <f>Trend!BY23</f>
        <v>9244217</v>
      </c>
      <c r="BZ39" s="606">
        <f>Trend!BZ23</f>
        <v>9244217</v>
      </c>
      <c r="CA39" s="606">
        <f>Trend!CA23</f>
        <v>23082854</v>
      </c>
      <c r="CB39" s="606">
        <f>Trend!CB23</f>
        <v>17283839</v>
      </c>
      <c r="CC39" s="606">
        <f>Trend!CC23</f>
        <v>19647299.359999999</v>
      </c>
      <c r="CD39" s="606">
        <f>Trend!CD23</f>
        <v>19647299.359999999</v>
      </c>
      <c r="CE39" s="606">
        <f>Trend!CE23</f>
        <v>17412276</v>
      </c>
      <c r="CF39" s="606">
        <f>Trend!CF23</f>
        <v>17514216</v>
      </c>
      <c r="CG39" s="606">
        <f>Trend!CG23</f>
        <v>0</v>
      </c>
      <c r="CH39" s="606">
        <f>Trend!CH23</f>
        <v>18105794.859999999</v>
      </c>
      <c r="CI39" s="606">
        <f>Trend!CI23</f>
        <v>9082567.9299999997</v>
      </c>
      <c r="CJ39" s="606">
        <f>Trend!CJ23</f>
        <v>9656041.9299999997</v>
      </c>
      <c r="CK39" s="606">
        <f>Trend!CK23</f>
        <v>18272342</v>
      </c>
      <c r="CL39" s="606">
        <f>Trend!CL23</f>
        <v>18272342</v>
      </c>
      <c r="CM39" s="606">
        <f>Trend!CM23</f>
        <v>18272342</v>
      </c>
      <c r="CN39" s="606">
        <f>Trend!CN23</f>
        <v>16423411</v>
      </c>
      <c r="CO39" s="606">
        <f>Trend!CO23</f>
        <v>18650308</v>
      </c>
      <c r="CP39" s="606">
        <f>Trend!CP23</f>
        <v>19012158</v>
      </c>
      <c r="CQ39" s="606">
        <f>Trend!CQ23</f>
        <v>19012158</v>
      </c>
      <c r="CR39" s="606">
        <f>Trend!CR23</f>
        <v>19012158</v>
      </c>
      <c r="CS39" s="606">
        <f>Trend!CS23</f>
        <v>19012158</v>
      </c>
      <c r="CT39" s="606">
        <f>Trend!CT23</f>
        <v>19012158</v>
      </c>
      <c r="CU39" s="606">
        <f>Trend!CU23</f>
        <v>16129752</v>
      </c>
      <c r="CV39" s="606">
        <f>Trend!CV23</f>
        <v>10887952.5</v>
      </c>
      <c r="CW39" s="606">
        <f>Trend!CW23</f>
        <v>10887952.5</v>
      </c>
      <c r="CX39" s="606">
        <f>Trend!CX23</f>
        <v>19125047</v>
      </c>
      <c r="CY39" s="606">
        <f>Trend!CY23</f>
        <v>19125047</v>
      </c>
      <c r="CZ39" s="606">
        <f>Trend!CZ23</f>
        <v>19125047</v>
      </c>
      <c r="DA39" s="606">
        <f>Trend!DA23</f>
        <v>19125047</v>
      </c>
      <c r="DB39" s="606">
        <f>Trend!DB23</f>
        <v>19466087</v>
      </c>
      <c r="DC39" s="606">
        <f>Trend!DC23</f>
        <v>19466087</v>
      </c>
      <c r="DD39" s="606">
        <f>Trend!DD23</f>
        <v>19721987</v>
      </c>
      <c r="DE39" s="606">
        <f>Trend!DE23</f>
        <v>19721987</v>
      </c>
      <c r="DF39" s="606">
        <f>Trend!DF23</f>
        <v>19721987</v>
      </c>
      <c r="DG39" s="606">
        <f>Trend!DG23</f>
        <v>19735180</v>
      </c>
      <c r="DH39" s="606">
        <f>Trend!DH23</f>
        <v>19735180</v>
      </c>
      <c r="DI39" s="606">
        <f>Trend!DI23</f>
        <v>10208042.32</v>
      </c>
      <c r="DJ39" s="606">
        <f>Trend!DJ23</f>
        <v>10470169</v>
      </c>
      <c r="DK39" s="606">
        <f>Trend!DK23</f>
        <v>10208042.32</v>
      </c>
      <c r="DL39" s="606">
        <f>Trend!DL23</f>
        <v>10470169.439999999</v>
      </c>
      <c r="DM39" s="606">
        <f>Trend!DM23</f>
        <v>10470169.439999999</v>
      </c>
      <c r="DN39" s="606">
        <f>Trend!DN23</f>
        <v>10470169.439999999</v>
      </c>
      <c r="DO39" s="606">
        <f>Trend!DO23</f>
        <v>10470169.439999999</v>
      </c>
      <c r="DP39" s="606">
        <f>Trend!DP23</f>
        <v>12041267.439999999</v>
      </c>
      <c r="DQ39" s="606">
        <f>Trend!DQ23</f>
        <v>12041267.439999999</v>
      </c>
      <c r="DR39" s="606">
        <f>Trend!DR23</f>
        <v>12273365.32</v>
      </c>
      <c r="DS39" s="606">
        <f>Trend!DS22</f>
        <v>620249</v>
      </c>
      <c r="DT39" s="606">
        <f>Trend!DT22</f>
        <v>620249</v>
      </c>
      <c r="DU39" s="606">
        <f>Trend!DU22</f>
        <v>620249</v>
      </c>
      <c r="DV39" s="606">
        <f>Trend!DV22</f>
        <v>0</v>
      </c>
      <c r="DW39" s="606">
        <f>Trend!DW22</f>
        <v>0</v>
      </c>
      <c r="DX39" s="606"/>
      <c r="DY39" s="606"/>
      <c r="DZ39" s="606"/>
      <c r="EA39" s="606"/>
      <c r="EB39" s="606"/>
    </row>
    <row r="40" spans="1:132" ht="15" x14ac:dyDescent="0.25">
      <c r="A40" s="599">
        <v>8.1999999999999993</v>
      </c>
      <c r="B40" s="573" t="s">
        <v>176</v>
      </c>
      <c r="C40" s="573"/>
      <c r="D40" s="573"/>
      <c r="E40" s="573"/>
      <c r="F40" s="573"/>
      <c r="G40" s="626">
        <f>2472280+562959</f>
        <v>3035239</v>
      </c>
      <c r="H40" s="626"/>
      <c r="I40" s="626">
        <f>2602400+625510</f>
        <v>3227910</v>
      </c>
      <c r="J40" s="626">
        <f t="shared" ref="J40:W40" si="57">2602400+625510</f>
        <v>3227910</v>
      </c>
      <c r="K40" s="626">
        <f t="shared" si="57"/>
        <v>3227910</v>
      </c>
      <c r="L40" s="626">
        <f t="shared" si="57"/>
        <v>3227910</v>
      </c>
      <c r="M40" s="626">
        <f t="shared" si="57"/>
        <v>3227910</v>
      </c>
      <c r="N40" s="626">
        <f t="shared" si="57"/>
        <v>3227910</v>
      </c>
      <c r="O40" s="626">
        <f t="shared" si="57"/>
        <v>3227910</v>
      </c>
      <c r="P40" s="626">
        <f t="shared" si="57"/>
        <v>3227910</v>
      </c>
      <c r="Q40" s="626">
        <f t="shared" si="57"/>
        <v>3227910</v>
      </c>
      <c r="R40" s="626">
        <f t="shared" si="57"/>
        <v>3227910</v>
      </c>
      <c r="S40" s="626">
        <f t="shared" si="57"/>
        <v>3227910</v>
      </c>
      <c r="T40" s="626">
        <f t="shared" si="57"/>
        <v>3227910</v>
      </c>
      <c r="U40" s="626">
        <f t="shared" si="57"/>
        <v>3227910</v>
      </c>
      <c r="V40" s="626">
        <f t="shared" si="57"/>
        <v>3227910</v>
      </c>
      <c r="W40" s="626">
        <f t="shared" si="57"/>
        <v>3227910</v>
      </c>
      <c r="X40" s="626"/>
      <c r="Y40" s="626"/>
      <c r="Z40" s="626"/>
      <c r="AA40" s="626"/>
      <c r="AB40" s="626"/>
      <c r="AC40" s="626"/>
      <c r="AD40" s="626"/>
      <c r="AE40" s="626"/>
      <c r="AF40" s="626"/>
      <c r="AG40" s="626"/>
      <c r="AH40" s="626"/>
      <c r="AI40" s="626"/>
      <c r="AJ40" s="626"/>
      <c r="AK40" s="626"/>
      <c r="AL40" s="626"/>
      <c r="AM40" s="626"/>
      <c r="AN40" s="626"/>
      <c r="AO40" s="626"/>
      <c r="AP40" s="626"/>
      <c r="AQ40" s="626"/>
      <c r="AR40" s="626"/>
      <c r="AS40" s="626"/>
      <c r="AT40" s="626"/>
      <c r="AU40" s="626"/>
      <c r="AV40" s="626"/>
      <c r="AW40" s="626"/>
      <c r="AX40" s="626"/>
      <c r="AY40" s="626"/>
      <c r="AZ40" s="626"/>
      <c r="BA40" s="626"/>
      <c r="BB40" s="626"/>
      <c r="BC40" s="626"/>
      <c r="BD40" s="626"/>
      <c r="BE40" s="626"/>
      <c r="BF40" s="573"/>
      <c r="BG40" s="573"/>
      <c r="BH40" s="573"/>
      <c r="BI40" s="573"/>
      <c r="BJ40" s="573"/>
      <c r="BK40" s="573"/>
      <c r="BL40" s="573"/>
      <c r="BM40" s="573"/>
      <c r="BN40" s="573"/>
      <c r="BO40" s="573"/>
      <c r="BP40" s="573"/>
      <c r="BQ40" s="573"/>
      <c r="BR40" s="573"/>
      <c r="BS40" s="573"/>
      <c r="BT40" s="573"/>
      <c r="BU40" s="573"/>
      <c r="BV40" s="573"/>
      <c r="BW40" s="573"/>
      <c r="BX40" s="573"/>
      <c r="BY40" s="573"/>
      <c r="BZ40" s="573"/>
      <c r="CA40" s="573"/>
      <c r="CB40" s="573"/>
      <c r="CC40" s="573"/>
      <c r="CD40" s="573"/>
      <c r="CE40" s="573"/>
      <c r="CF40" s="573"/>
      <c r="CG40" s="573"/>
      <c r="CH40" s="573"/>
      <c r="CI40" s="573"/>
      <c r="CJ40" s="573"/>
      <c r="CK40" s="573"/>
      <c r="CL40" s="573"/>
      <c r="CM40" s="573"/>
      <c r="CN40" s="573"/>
      <c r="CO40" s="573"/>
      <c r="CP40" s="573"/>
      <c r="CQ40" s="573"/>
      <c r="CR40" s="573"/>
      <c r="CS40" s="573"/>
      <c r="CT40" s="573"/>
      <c r="CU40" s="573"/>
      <c r="CV40" s="573"/>
      <c r="CW40" s="573"/>
      <c r="CX40" s="573"/>
      <c r="CY40" s="573"/>
      <c r="CZ40" s="573"/>
      <c r="DA40" s="573"/>
      <c r="DB40" s="573"/>
      <c r="DC40" s="573"/>
      <c r="DD40" s="573"/>
      <c r="DE40" s="573"/>
      <c r="DF40" s="573"/>
      <c r="DG40" s="573"/>
      <c r="DH40" s="573"/>
      <c r="DI40" s="573"/>
      <c r="DJ40" s="573"/>
      <c r="DK40" s="573"/>
      <c r="DL40" s="573"/>
      <c r="DM40" s="573"/>
      <c r="DN40" s="573"/>
      <c r="DO40" s="573"/>
      <c r="DP40" s="573"/>
      <c r="DQ40" s="573"/>
      <c r="DR40" s="573"/>
      <c r="DS40" s="573"/>
      <c r="DT40" s="573"/>
      <c r="DU40" s="573"/>
      <c r="DV40" s="573"/>
      <c r="DW40" s="573"/>
      <c r="DX40" s="573"/>
      <c r="DY40" s="573"/>
      <c r="DZ40" s="573"/>
      <c r="EA40" s="573"/>
      <c r="EB40" s="573"/>
    </row>
    <row r="41" spans="1:132" ht="15" x14ac:dyDescent="0.25">
      <c r="A41" s="596"/>
      <c r="B41" s="597"/>
      <c r="C41" s="598"/>
      <c r="D41" s="598"/>
      <c r="E41" s="598"/>
      <c r="F41" s="598"/>
      <c r="G41" s="627"/>
      <c r="H41" s="627"/>
      <c r="I41" s="627"/>
      <c r="J41" s="627"/>
      <c r="K41" s="627"/>
      <c r="L41" s="627"/>
      <c r="M41" s="627"/>
      <c r="N41" s="627"/>
      <c r="O41" s="627"/>
      <c r="P41" s="627"/>
      <c r="Q41" s="627"/>
      <c r="R41" s="627"/>
      <c r="S41" s="627"/>
      <c r="T41" s="627"/>
      <c r="U41" s="627"/>
      <c r="V41" s="627"/>
      <c r="W41" s="627"/>
      <c r="X41" s="627"/>
      <c r="Y41" s="627"/>
      <c r="Z41" s="627"/>
      <c r="AA41" s="627"/>
      <c r="AB41" s="627"/>
      <c r="AC41" s="627"/>
      <c r="AD41" s="627"/>
      <c r="AE41" s="627"/>
      <c r="AF41" s="627"/>
      <c r="AG41" s="627"/>
      <c r="AH41" s="627"/>
      <c r="AI41" s="627"/>
      <c r="AJ41" s="627"/>
      <c r="AK41" s="627"/>
      <c r="AL41" s="627"/>
      <c r="AM41" s="627"/>
      <c r="AN41" s="627"/>
      <c r="AO41" s="627"/>
      <c r="AP41" s="627"/>
      <c r="AQ41" s="627"/>
      <c r="AR41" s="627"/>
      <c r="AS41" s="627"/>
      <c r="AT41" s="627"/>
      <c r="AU41" s="627"/>
      <c r="AV41" s="627"/>
      <c r="AW41" s="627"/>
      <c r="AX41" s="627"/>
      <c r="AY41" s="627"/>
      <c r="AZ41" s="627"/>
      <c r="BA41" s="627"/>
      <c r="BB41" s="573"/>
      <c r="BC41" s="573"/>
      <c r="BD41" s="573"/>
      <c r="BE41" s="573"/>
      <c r="BF41" s="573"/>
      <c r="BG41" s="573"/>
      <c r="BH41" s="573"/>
      <c r="BI41" s="573"/>
      <c r="BJ41" s="573"/>
      <c r="BK41" s="573"/>
      <c r="BL41" s="573"/>
      <c r="BM41" s="573"/>
      <c r="BN41" s="573"/>
      <c r="BO41" s="573"/>
      <c r="BP41" s="573"/>
      <c r="BQ41" s="573"/>
      <c r="BR41" s="573"/>
      <c r="BS41" s="573"/>
      <c r="BT41" s="573"/>
      <c r="BU41" s="573"/>
      <c r="BV41" s="573"/>
      <c r="BW41" s="573"/>
      <c r="BX41" s="573"/>
      <c r="BY41" s="573"/>
      <c r="BZ41" s="573"/>
      <c r="CA41" s="573"/>
      <c r="CB41" s="573"/>
      <c r="CC41" s="573"/>
      <c r="CD41" s="573"/>
      <c r="CE41" s="573"/>
      <c r="CF41" s="573"/>
      <c r="CG41" s="573"/>
      <c r="CH41" s="573"/>
      <c r="CI41" s="573"/>
      <c r="CJ41" s="573"/>
      <c r="CK41" s="573"/>
      <c r="CL41" s="573"/>
      <c r="CM41" s="573"/>
      <c r="CN41" s="573"/>
      <c r="CO41" s="573"/>
      <c r="CP41" s="573"/>
      <c r="CQ41" s="573"/>
      <c r="CR41" s="573"/>
      <c r="CS41" s="573"/>
      <c r="CT41" s="573"/>
      <c r="CU41" s="573"/>
      <c r="CV41" s="573"/>
      <c r="CW41" s="573"/>
      <c r="CX41" s="573"/>
      <c r="CY41" s="573"/>
      <c r="CZ41" s="573"/>
      <c r="DA41" s="573"/>
      <c r="DB41" s="573"/>
      <c r="DC41" s="573"/>
      <c r="DD41" s="573"/>
      <c r="DE41" s="573"/>
      <c r="DF41" s="573"/>
      <c r="DG41" s="573"/>
      <c r="DH41" s="573"/>
      <c r="DI41" s="573"/>
      <c r="DJ41" s="573"/>
      <c r="DK41" s="573"/>
      <c r="DL41" s="573"/>
      <c r="DM41" s="573"/>
      <c r="DN41" s="573"/>
      <c r="DO41" s="573"/>
      <c r="DP41" s="573"/>
      <c r="DQ41" s="573"/>
      <c r="DR41" s="573"/>
      <c r="DS41" s="573"/>
      <c r="DT41" s="573"/>
      <c r="DU41" s="573"/>
      <c r="DV41" s="573"/>
      <c r="DW41" s="573"/>
      <c r="DX41" s="573"/>
      <c r="DY41" s="573"/>
      <c r="DZ41" s="573"/>
      <c r="EA41" s="573"/>
      <c r="EB41" s="573"/>
    </row>
    <row r="42" spans="1:132" ht="15" x14ac:dyDescent="0.25">
      <c r="A42" s="628">
        <v>9</v>
      </c>
      <c r="B42" s="629" t="s">
        <v>177</v>
      </c>
      <c r="C42" s="601">
        <f>C43+C44+C45</f>
        <v>456483</v>
      </c>
      <c r="D42" s="601">
        <f>D43+D44+D45</f>
        <v>824264</v>
      </c>
      <c r="E42" s="601">
        <f t="shared" ref="E42:G42" si="58">E43+E44+E45</f>
        <v>1989959</v>
      </c>
      <c r="F42" s="601">
        <f t="shared" si="58"/>
        <v>4601423</v>
      </c>
      <c r="G42" s="601">
        <f t="shared" si="58"/>
        <v>6686491</v>
      </c>
      <c r="H42" s="601">
        <f t="shared" ref="H42:I42" si="59">H43+H44+H45</f>
        <v>9046.74</v>
      </c>
      <c r="I42" s="601">
        <f t="shared" si="59"/>
        <v>8938309</v>
      </c>
      <c r="J42" s="601">
        <f t="shared" ref="J42:S42" si="60">J43+J44+J45</f>
        <v>861242.73</v>
      </c>
      <c r="K42" s="601">
        <f t="shared" si="60"/>
        <v>1741.13</v>
      </c>
      <c r="L42" s="601">
        <f t="shared" si="60"/>
        <v>2656.27</v>
      </c>
      <c r="M42" s="601">
        <f t="shared" si="60"/>
        <v>3578.3099999999995</v>
      </c>
      <c r="N42" s="601">
        <f t="shared" si="60"/>
        <v>4506650.3499999996</v>
      </c>
      <c r="O42" s="601">
        <f t="shared" si="60"/>
        <v>5463009.8499999996</v>
      </c>
      <c r="P42" s="601">
        <f t="shared" si="60"/>
        <v>6449374.6399999997</v>
      </c>
      <c r="Q42" s="601">
        <f t="shared" si="60"/>
        <v>7413194.9199999999</v>
      </c>
      <c r="R42" s="601">
        <f t="shared" si="60"/>
        <v>8486717.0199999996</v>
      </c>
      <c r="S42" s="601">
        <f t="shared" si="60"/>
        <v>9506520.6699999999</v>
      </c>
      <c r="T42" s="601">
        <f t="shared" ref="T42:V42" si="61">T43+T44+T45</f>
        <v>10557421.699999999</v>
      </c>
      <c r="U42" s="601">
        <f t="shared" si="61"/>
        <v>11815817.630000001</v>
      </c>
      <c r="V42" s="601">
        <f t="shared" si="61"/>
        <v>12333933</v>
      </c>
      <c r="W42" s="601">
        <f t="shared" ref="W42:Z42" si="62">W43+W44+W45</f>
        <v>1042625</v>
      </c>
      <c r="X42" s="601">
        <f t="shared" si="62"/>
        <v>2108601.83</v>
      </c>
      <c r="Y42" s="601">
        <f t="shared" si="62"/>
        <v>3276488.74</v>
      </c>
      <c r="Z42" s="601">
        <f t="shared" si="62"/>
        <v>4508581.54</v>
      </c>
      <c r="AA42" s="601">
        <f t="shared" ref="AA42:AB42" si="63">AA43+AA44+AA45</f>
        <v>5618879.5899999999</v>
      </c>
      <c r="AB42" s="601">
        <f t="shared" si="63"/>
        <v>6892553.7400000002</v>
      </c>
      <c r="AC42" s="601">
        <f t="shared" ref="AC42:AD42" si="64">AC43+AC44+AC45</f>
        <v>8516596.870000001</v>
      </c>
      <c r="AD42" s="601">
        <f t="shared" si="64"/>
        <v>10054830.49</v>
      </c>
      <c r="AE42" s="601">
        <f t="shared" ref="AE42:AG42" si="65">AE43+AE44+AE45</f>
        <v>10416081.699999999</v>
      </c>
      <c r="AF42" s="601">
        <f t="shared" si="65"/>
        <v>12053453.199999999</v>
      </c>
      <c r="AG42" s="601">
        <f t="shared" si="65"/>
        <v>14057853.420000002</v>
      </c>
      <c r="AH42" s="601">
        <f t="shared" ref="AH42:AI42" si="66">AH43+AH44+AH45</f>
        <v>16097022.73</v>
      </c>
      <c r="AI42" s="601">
        <f t="shared" si="66"/>
        <v>16376640</v>
      </c>
      <c r="AJ42" s="601">
        <f t="shared" ref="AJ42:CV42" si="67">AJ43+AJ44+AJ45</f>
        <v>16376640</v>
      </c>
      <c r="AK42" s="601">
        <f t="shared" si="67"/>
        <v>0</v>
      </c>
      <c r="AL42" s="601">
        <f t="shared" si="67"/>
        <v>1383549.01</v>
      </c>
      <c r="AM42" s="601">
        <f t="shared" si="67"/>
        <v>1695522.01</v>
      </c>
      <c r="AN42" s="601">
        <f t="shared" si="67"/>
        <v>3548475.12</v>
      </c>
      <c r="AO42" s="601">
        <f t="shared" si="67"/>
        <v>3718788.1500000004</v>
      </c>
      <c r="AP42" s="601">
        <f t="shared" si="67"/>
        <v>0</v>
      </c>
      <c r="AQ42" s="601">
        <f t="shared" si="67"/>
        <v>3757415.45</v>
      </c>
      <c r="AR42" s="601">
        <f t="shared" si="67"/>
        <v>13776359.68</v>
      </c>
      <c r="AS42" s="601">
        <f t="shared" si="67"/>
        <v>0</v>
      </c>
      <c r="AT42" s="601">
        <f t="shared" si="67"/>
        <v>0</v>
      </c>
      <c r="AU42" s="601">
        <f t="shared" si="67"/>
        <v>19427580.289999999</v>
      </c>
      <c r="AV42" s="601">
        <f t="shared" si="67"/>
        <v>21399136</v>
      </c>
      <c r="AW42" s="601">
        <f t="shared" si="67"/>
        <v>21928955</v>
      </c>
      <c r="AX42" s="601">
        <f t="shared" si="67"/>
        <v>0</v>
      </c>
      <c r="AY42" s="601">
        <f t="shared" si="67"/>
        <v>0</v>
      </c>
      <c r="AZ42" s="601">
        <f t="shared" si="67"/>
        <v>-3273739.09</v>
      </c>
      <c r="BA42" s="601">
        <f t="shared" si="67"/>
        <v>7034469.419999999</v>
      </c>
      <c r="BB42" s="601">
        <f t="shared" si="67"/>
        <v>10025041.969999999</v>
      </c>
      <c r="BC42" s="601">
        <f t="shared" si="67"/>
        <v>12619962.039999999</v>
      </c>
      <c r="BD42" s="601">
        <f t="shared" si="67"/>
        <v>14857585.189999999</v>
      </c>
      <c r="BE42" s="601">
        <f t="shared" si="67"/>
        <v>17092059.689999998</v>
      </c>
      <c r="BF42" s="601">
        <f t="shared" si="67"/>
        <v>19327991.23</v>
      </c>
      <c r="BG42" s="601">
        <f t="shared" si="67"/>
        <v>0</v>
      </c>
      <c r="BH42" s="601">
        <f t="shared" si="67"/>
        <v>23937677.059999999</v>
      </c>
      <c r="BI42" s="601">
        <f t="shared" si="67"/>
        <v>27886978.16</v>
      </c>
      <c r="BJ42" s="601">
        <f t="shared" si="67"/>
        <v>27743437</v>
      </c>
      <c r="BK42" s="601">
        <f t="shared" si="67"/>
        <v>1982606.92</v>
      </c>
      <c r="BL42" s="601">
        <f t="shared" si="67"/>
        <v>4064171.99</v>
      </c>
      <c r="BM42" s="601">
        <f t="shared" si="67"/>
        <v>6707118.54</v>
      </c>
      <c r="BN42" s="601">
        <f t="shared" si="67"/>
        <v>9040499</v>
      </c>
      <c r="BO42" s="601">
        <f t="shared" si="67"/>
        <v>11455522.67</v>
      </c>
      <c r="BP42" s="601">
        <f t="shared" si="67"/>
        <v>13913447</v>
      </c>
      <c r="BQ42" s="601">
        <f t="shared" si="67"/>
        <v>16029808</v>
      </c>
      <c r="BR42" s="601">
        <f t="shared" si="67"/>
        <v>18614339</v>
      </c>
      <c r="BS42" s="601">
        <f t="shared" si="67"/>
        <v>22693200.640000001</v>
      </c>
      <c r="BT42" s="601">
        <f t="shared" si="67"/>
        <v>24875957</v>
      </c>
      <c r="BU42" s="601">
        <f t="shared" si="67"/>
        <v>28096773</v>
      </c>
      <c r="BV42" s="601">
        <f t="shared" si="67"/>
        <v>33940749</v>
      </c>
      <c r="BW42" s="601">
        <f t="shared" si="67"/>
        <v>33266645.210000001</v>
      </c>
      <c r="BX42" s="601">
        <f t="shared" si="67"/>
        <v>2282479</v>
      </c>
      <c r="BY42" s="601">
        <f t="shared" si="67"/>
        <v>4311548</v>
      </c>
      <c r="BZ42" s="601">
        <f t="shared" si="67"/>
        <v>7467065</v>
      </c>
      <c r="CA42" s="601">
        <f t="shared" si="67"/>
        <v>10300276</v>
      </c>
      <c r="CB42" s="601">
        <f t="shared" si="67"/>
        <v>13659634</v>
      </c>
      <c r="CC42" s="601">
        <f t="shared" si="67"/>
        <v>16348113</v>
      </c>
      <c r="CD42" s="601">
        <f t="shared" si="67"/>
        <v>20161577</v>
      </c>
      <c r="CE42" s="601">
        <f t="shared" si="67"/>
        <v>22845006.169999998</v>
      </c>
      <c r="CF42" s="601">
        <f t="shared" si="67"/>
        <v>25623155.310000002</v>
      </c>
      <c r="CG42" s="601">
        <f t="shared" si="67"/>
        <v>28584763.979999997</v>
      </c>
      <c r="CH42" s="601">
        <f t="shared" si="67"/>
        <v>31731074.509999998</v>
      </c>
      <c r="CI42" s="601">
        <f t="shared" si="67"/>
        <v>35334760.920000002</v>
      </c>
      <c r="CJ42" s="601">
        <f t="shared" si="67"/>
        <v>35334760.93</v>
      </c>
      <c r="CK42" s="601">
        <f t="shared" si="67"/>
        <v>6295459.8200000003</v>
      </c>
      <c r="CL42" s="601">
        <f t="shared" si="67"/>
        <v>6540320.5800000001</v>
      </c>
      <c r="CM42" s="601">
        <f t="shared" si="67"/>
        <v>9905870</v>
      </c>
      <c r="CN42" s="601">
        <f t="shared" si="67"/>
        <v>12638484</v>
      </c>
      <c r="CO42" s="601">
        <f t="shared" si="67"/>
        <v>16540563.810000001</v>
      </c>
      <c r="CP42" s="601">
        <f t="shared" si="67"/>
        <v>20144196.150000002</v>
      </c>
      <c r="CQ42" s="601">
        <f t="shared" si="67"/>
        <v>0</v>
      </c>
      <c r="CR42" s="601">
        <f t="shared" si="67"/>
        <v>29145313.500000004</v>
      </c>
      <c r="CS42" s="601">
        <f t="shared" si="67"/>
        <v>32649536.75</v>
      </c>
      <c r="CT42" s="601">
        <f t="shared" si="67"/>
        <v>72432613.079999998</v>
      </c>
      <c r="CU42" s="601">
        <f t="shared" si="67"/>
        <v>40180714.190000005</v>
      </c>
      <c r="CV42" s="601">
        <f t="shared" si="67"/>
        <v>45148732.549999997</v>
      </c>
      <c r="CW42" s="601">
        <f t="shared" ref="CW42" si="68">CW43+CW44+CW45</f>
        <v>45148733.340000004</v>
      </c>
      <c r="CX42" s="601">
        <f t="shared" ref="CX42:DD42" si="69">CX43+CX44+CX45</f>
        <v>3966499.2300000004</v>
      </c>
      <c r="CY42" s="601">
        <f t="shared" si="69"/>
        <v>8160510.4900000002</v>
      </c>
      <c r="CZ42" s="601">
        <f t="shared" si="69"/>
        <v>12618041.630000001</v>
      </c>
      <c r="DA42" s="601">
        <f t="shared" si="69"/>
        <v>17194272.030000001</v>
      </c>
      <c r="DB42" s="601">
        <f t="shared" si="69"/>
        <v>21537503.91</v>
      </c>
      <c r="DC42" s="601">
        <f t="shared" si="69"/>
        <v>26576769.34</v>
      </c>
      <c r="DD42" s="601">
        <f t="shared" si="69"/>
        <v>30666913.98</v>
      </c>
      <c r="DE42" s="601">
        <f t="shared" ref="DE42:DU42" si="70">DE43+DE44+DE45</f>
        <v>32439467.949999999</v>
      </c>
      <c r="DF42" s="601">
        <f t="shared" si="70"/>
        <v>36513348.969999999</v>
      </c>
      <c r="DG42" s="601">
        <f t="shared" si="70"/>
        <v>41657830.07</v>
      </c>
      <c r="DH42" s="601">
        <f t="shared" si="70"/>
        <v>46535090.009999998</v>
      </c>
      <c r="DI42" s="601">
        <f t="shared" si="70"/>
        <v>52354401.140000001</v>
      </c>
      <c r="DJ42" s="601">
        <f t="shared" si="70"/>
        <v>58406413</v>
      </c>
      <c r="DK42" s="601">
        <f t="shared" si="70"/>
        <v>5104583.2</v>
      </c>
      <c r="DL42" s="601">
        <f t="shared" si="70"/>
        <v>10462762.76</v>
      </c>
      <c r="DM42" s="601">
        <f t="shared" si="70"/>
        <v>16837569.009999998</v>
      </c>
      <c r="DN42" s="601">
        <f t="shared" si="70"/>
        <v>21997673.879999999</v>
      </c>
      <c r="DO42" s="601">
        <f t="shared" si="70"/>
        <v>27060093.899999999</v>
      </c>
      <c r="DP42" s="601">
        <f t="shared" si="70"/>
        <v>31869501.719999999</v>
      </c>
      <c r="DQ42" s="601">
        <f t="shared" si="70"/>
        <v>36725947.189999998</v>
      </c>
      <c r="DR42" s="601">
        <f t="shared" si="70"/>
        <v>42729445.560000002</v>
      </c>
      <c r="DS42" s="601">
        <f t="shared" si="70"/>
        <v>48083601.960000001</v>
      </c>
      <c r="DT42" s="601">
        <f t="shared" si="70"/>
        <v>53732553.389999993</v>
      </c>
      <c r="DU42" s="601">
        <f t="shared" si="70"/>
        <v>59294075.849999994</v>
      </c>
      <c r="DV42" s="601">
        <f t="shared" ref="DV42:EB42" si="71">DV43+DV44+DV45</f>
        <v>0</v>
      </c>
      <c r="DW42" s="601">
        <f t="shared" si="71"/>
        <v>66839759</v>
      </c>
      <c r="DX42" s="601"/>
      <c r="DY42" s="601"/>
      <c r="DZ42" s="601"/>
      <c r="EA42" s="601"/>
      <c r="EB42" s="601"/>
    </row>
    <row r="43" spans="1:132" ht="15" x14ac:dyDescent="0.25">
      <c r="A43" s="630">
        <v>9.1</v>
      </c>
      <c r="B43" s="582" t="s">
        <v>178</v>
      </c>
      <c r="C43" s="590">
        <f>Trend!C60</f>
        <v>313291</v>
      </c>
      <c r="D43" s="590">
        <f>Trend!D60</f>
        <v>583891</v>
      </c>
      <c r="E43" s="590">
        <f>Trend!E60</f>
        <v>1305578</v>
      </c>
      <c r="F43" s="590">
        <f>Trend!F60</f>
        <v>3611027</v>
      </c>
      <c r="G43" s="590">
        <f>Trend!G60</f>
        <v>4688789</v>
      </c>
      <c r="H43" s="590">
        <f>Trend!H60</f>
        <v>6208.39</v>
      </c>
      <c r="I43" s="590">
        <f>Trend!I60</f>
        <v>5914011</v>
      </c>
      <c r="J43" s="590">
        <f>Trend!J60</f>
        <v>640880.24</v>
      </c>
      <c r="K43" s="590">
        <f>Trend!K60</f>
        <v>1289.25</v>
      </c>
      <c r="L43" s="590">
        <f>Trend!L60</f>
        <v>1926.37</v>
      </c>
      <c r="M43" s="590">
        <f>Trend!M60</f>
        <v>2499.66</v>
      </c>
      <c r="N43" s="590">
        <f>Trend!N60</f>
        <v>3123700</v>
      </c>
      <c r="O43" s="590">
        <f>Trend!O60</f>
        <v>3834744</v>
      </c>
      <c r="P43" s="590">
        <f>Trend!P60</f>
        <v>4484048</v>
      </c>
      <c r="Q43" s="590">
        <f>Trend!Q60</f>
        <v>5163371</v>
      </c>
      <c r="R43" s="590">
        <f>Trend!R60</f>
        <v>5875753</v>
      </c>
      <c r="S43" s="590">
        <f>Trend!S60</f>
        <v>6650077</v>
      </c>
      <c r="T43" s="590">
        <f>Trend!T60</f>
        <v>7416908</v>
      </c>
      <c r="U43" s="590">
        <f>Trend!U60</f>
        <v>8211428</v>
      </c>
      <c r="V43" s="590">
        <f>Trend!V60</f>
        <v>8211428</v>
      </c>
      <c r="W43" s="590">
        <f>Trend!W60</f>
        <v>782333</v>
      </c>
      <c r="X43" s="590">
        <f>Trend!X60</f>
        <v>1622777</v>
      </c>
      <c r="Y43" s="590">
        <f>Trend!Y60</f>
        <v>2437577</v>
      </c>
      <c r="Z43" s="590">
        <f>Trend!Z60</f>
        <v>3312456</v>
      </c>
      <c r="AA43" s="590">
        <f>Trend!AA60</f>
        <v>4178674</v>
      </c>
      <c r="AB43" s="590">
        <f>Trend!AB60</f>
        <v>4985182</v>
      </c>
      <c r="AC43" s="590">
        <f>Trend!AC60</f>
        <v>6242563</v>
      </c>
      <c r="AD43" s="590">
        <f>Trend!AD60</f>
        <v>7438738</v>
      </c>
      <c r="AE43" s="590">
        <f>Trend!AE60</f>
        <v>7505251</v>
      </c>
      <c r="AF43" s="590">
        <f>Trend!AF60</f>
        <v>8413548</v>
      </c>
      <c r="AG43" s="590">
        <f>Trend!AG60</f>
        <v>9369633</v>
      </c>
      <c r="AH43" s="590">
        <f>Trend!AH60</f>
        <v>10518378</v>
      </c>
      <c r="AI43" s="590">
        <f>Trend!AI60</f>
        <v>10518378</v>
      </c>
      <c r="AJ43" s="590">
        <f>Trend!AJ60</f>
        <v>10518378</v>
      </c>
      <c r="AK43" s="590">
        <f>Trend!AK60</f>
        <v>0</v>
      </c>
      <c r="AL43" s="590">
        <f>Trend!AL60</f>
        <v>275686</v>
      </c>
      <c r="AM43" s="590">
        <f>Trend!AM60</f>
        <v>277035</v>
      </c>
      <c r="AN43" s="590">
        <f>Trend!AN60</f>
        <v>278735</v>
      </c>
      <c r="AO43" s="590">
        <f>Trend!AO60</f>
        <v>292435</v>
      </c>
      <c r="AP43" s="590">
        <f>Trend!AP60</f>
        <v>0</v>
      </c>
      <c r="AQ43" s="590">
        <f>Trend!AQ60</f>
        <v>330557</v>
      </c>
      <c r="AR43" s="590">
        <f>Trend!AR60</f>
        <v>7960883</v>
      </c>
      <c r="AS43" s="590">
        <f>Trend!AS60</f>
        <v>0</v>
      </c>
      <c r="AT43" s="590">
        <f>Trend!AT60</f>
        <v>0</v>
      </c>
      <c r="AU43" s="590">
        <f>Trend!AU60</f>
        <v>11738211</v>
      </c>
      <c r="AV43" s="590">
        <f>Trend!AV60</f>
        <v>12250625</v>
      </c>
      <c r="AW43" s="590">
        <f>Trend!AW60</f>
        <v>13367244</v>
      </c>
      <c r="AX43" s="590">
        <f>Trend!AX60</f>
        <v>0</v>
      </c>
      <c r="AY43" s="590">
        <f>Trend!AY60</f>
        <v>0</v>
      </c>
      <c r="AZ43" s="590">
        <f>Trend!AZ60</f>
        <v>-2651434</v>
      </c>
      <c r="BA43" s="590">
        <f>Trend!BA60</f>
        <v>11052488</v>
      </c>
      <c r="BB43" s="590">
        <f>Trend!BB60</f>
        <v>6967350</v>
      </c>
      <c r="BC43" s="590">
        <f>Trend!BC60</f>
        <v>8377132</v>
      </c>
      <c r="BD43" s="590">
        <f>Trend!BD60</f>
        <v>9771838</v>
      </c>
      <c r="BE43" s="590">
        <f>Trend!BE60</f>
        <v>11263639</v>
      </c>
      <c r="BF43" s="590">
        <f>Trend!BF60</f>
        <v>12810950</v>
      </c>
      <c r="BG43" s="590">
        <f>Trend!BG60</f>
        <v>0</v>
      </c>
      <c r="BH43" s="590">
        <f>Trend!BH60</f>
        <v>15931198</v>
      </c>
      <c r="BI43" s="590">
        <f>Trend!BI60</f>
        <v>17603250</v>
      </c>
      <c r="BJ43" s="590">
        <f>Trend!BJ60</f>
        <v>14651350</v>
      </c>
      <c r="BK43" s="590">
        <f>Trend!BK60</f>
        <v>1562810.77</v>
      </c>
      <c r="BL43" s="590">
        <f>Trend!BL60</f>
        <v>2997105</v>
      </c>
      <c r="BM43" s="590">
        <f>Trend!BM60</f>
        <v>4672848</v>
      </c>
      <c r="BN43" s="590">
        <f>Trend!BN60</f>
        <v>6469959</v>
      </c>
      <c r="BO43" s="590">
        <f>Trend!BO60</f>
        <v>8080915</v>
      </c>
      <c r="BP43" s="590">
        <f>Trend!BP60</f>
        <v>9862767</v>
      </c>
      <c r="BQ43" s="590">
        <f>Trend!BQ60</f>
        <v>11433242</v>
      </c>
      <c r="BR43" s="590">
        <f>Trend!BR60</f>
        <v>13287970</v>
      </c>
      <c r="BS43" s="590">
        <f>Trend!BS60</f>
        <v>14897579</v>
      </c>
      <c r="BT43" s="590">
        <f>Trend!BT60</f>
        <v>16578500</v>
      </c>
      <c r="BU43" s="590">
        <f>Trend!BU60</f>
        <v>18173576</v>
      </c>
      <c r="BV43" s="590">
        <f>Trend!BV60</f>
        <v>19450551</v>
      </c>
      <c r="BW43" s="590">
        <f>Trend!BW60</f>
        <v>16299951</v>
      </c>
      <c r="BX43" s="590">
        <f>Trend!BX60</f>
        <v>1495716</v>
      </c>
      <c r="BY43" s="590">
        <f>Trend!BY60</f>
        <v>3145310</v>
      </c>
      <c r="BZ43" s="590">
        <f>Trend!BZ60</f>
        <v>4682305</v>
      </c>
      <c r="CA43" s="590">
        <f>Trend!CA60</f>
        <v>6187749</v>
      </c>
      <c r="CB43" s="590">
        <f>Trend!CB60</f>
        <v>7898797</v>
      </c>
      <c r="CC43" s="590">
        <f>Trend!CC60</f>
        <v>9505344</v>
      </c>
      <c r="CD43" s="590">
        <f>Trend!CD60</f>
        <v>11148023</v>
      </c>
      <c r="CE43" s="590">
        <f>Trend!CE60</f>
        <v>12733253.26</v>
      </c>
      <c r="CF43" s="590">
        <f>Trend!CF60</f>
        <v>14601482.1</v>
      </c>
      <c r="CG43" s="590">
        <f>Trend!CG60</f>
        <v>16887688.109999999</v>
      </c>
      <c r="CH43" s="590">
        <f>Trend!CH60</f>
        <v>19010896.850000001</v>
      </c>
      <c r="CI43" s="590">
        <f>Trend!CI60</f>
        <v>21085150.079999998</v>
      </c>
      <c r="CJ43" s="590">
        <f>Trend!CJ60</f>
        <v>21085150.079999998</v>
      </c>
      <c r="CK43" s="590">
        <f>Trend!CK60</f>
        <v>2175209.7000000002</v>
      </c>
      <c r="CL43" s="590">
        <f>Trend!CL60</f>
        <v>4137904.26</v>
      </c>
      <c r="CM43" s="590">
        <f>Trend!CM60</f>
        <v>6239563</v>
      </c>
      <c r="CN43" s="590">
        <f>Trend!CN60</f>
        <v>8770310</v>
      </c>
      <c r="CO43" s="590">
        <f>Trend!CO60</f>
        <v>11599090.710000001</v>
      </c>
      <c r="CP43" s="590">
        <f>Trend!CP60</f>
        <v>13945240.960000001</v>
      </c>
      <c r="CQ43" s="590">
        <f>Trend!CQ60</f>
        <v>0</v>
      </c>
      <c r="CR43" s="590">
        <f>Trend!CR60</f>
        <v>19227868.530000001</v>
      </c>
      <c r="CS43" s="590">
        <f>Trend!CS60</f>
        <v>21696233.309999999</v>
      </c>
      <c r="CT43" s="590">
        <f>Trend!CT60</f>
        <v>48411144</v>
      </c>
      <c r="CU43" s="590">
        <f>Trend!CU60</f>
        <v>26986688.609999999</v>
      </c>
      <c r="CV43" s="590">
        <f>Trend!CV60</f>
        <v>30129800.27</v>
      </c>
      <c r="CW43" s="590">
        <f>Trend!CW60</f>
        <v>30129800.27</v>
      </c>
      <c r="CX43" s="590">
        <f>Trend!CX60</f>
        <v>2894385.99</v>
      </c>
      <c r="CY43" s="590">
        <f>Trend!CY60</f>
        <v>5796682.8799999999</v>
      </c>
      <c r="CZ43" s="590">
        <f>Trend!CZ60</f>
        <v>8749302.6300000008</v>
      </c>
      <c r="DA43" s="590">
        <f>Trend!DA60</f>
        <v>11925550.43</v>
      </c>
      <c r="DB43" s="590">
        <f>Trend!DB60</f>
        <v>15136676.75</v>
      </c>
      <c r="DC43" s="590">
        <f>Trend!DC60</f>
        <v>18627609.969999999</v>
      </c>
      <c r="DD43" s="590">
        <f>Trend!DD60</f>
        <v>21232272.030000001</v>
      </c>
      <c r="DE43" s="590">
        <f>Trend!DE60</f>
        <v>24431246.329999998</v>
      </c>
      <c r="DF43" s="590">
        <f>Trend!DF60</f>
        <v>27716425.350000001</v>
      </c>
      <c r="DG43" s="590">
        <f>Trend!DG60</f>
        <v>31844100.850000001</v>
      </c>
      <c r="DH43" s="590">
        <f>Trend!DH60</f>
        <v>35454366.490000002</v>
      </c>
      <c r="DI43" s="590">
        <f>Trend!DI60</f>
        <v>39562952.899999999</v>
      </c>
      <c r="DJ43" s="590">
        <f>Trend!DJ60</f>
        <v>48530425</v>
      </c>
      <c r="DK43" s="590">
        <f>Trend!DK60</f>
        <v>3644643.76</v>
      </c>
      <c r="DL43" s="590">
        <f>Trend!DL60</f>
        <v>7297174.8200000003</v>
      </c>
      <c r="DM43" s="590">
        <f>Trend!DM60</f>
        <v>10678638.619999999</v>
      </c>
      <c r="DN43" s="590">
        <f>Trend!DN60</f>
        <v>14224512.140000001</v>
      </c>
      <c r="DO43" s="590">
        <f>Trend!DO60</f>
        <v>17958775.32</v>
      </c>
      <c r="DP43" s="590">
        <f>Trend!DP60</f>
        <v>21713522</v>
      </c>
      <c r="DQ43" s="590">
        <f>Trend!DQ60</f>
        <v>25575497.329999998</v>
      </c>
      <c r="DR43" s="590">
        <f>Trend!DR60</f>
        <v>29525033.719999999</v>
      </c>
      <c r="DS43" s="590">
        <f>Trend!DS60</f>
        <v>33397079.920000002</v>
      </c>
      <c r="DT43" s="590">
        <f>Trend!DT60</f>
        <v>37319306.93</v>
      </c>
      <c r="DU43" s="590">
        <f>Trend!DU60</f>
        <v>41335716.079999998</v>
      </c>
      <c r="DV43" s="590">
        <f>Trend!DV60</f>
        <v>0</v>
      </c>
      <c r="DW43" s="590">
        <f>Trend!DW60</f>
        <v>57063371</v>
      </c>
      <c r="DX43" s="590"/>
      <c r="DY43" s="590"/>
      <c r="DZ43" s="590"/>
      <c r="EA43" s="590"/>
      <c r="EB43" s="590"/>
    </row>
    <row r="44" spans="1:132" ht="15" x14ac:dyDescent="0.25">
      <c r="A44" s="630"/>
      <c r="B44" s="582" t="s">
        <v>179</v>
      </c>
      <c r="C44" s="590">
        <f>Trend!C61</f>
        <v>143192</v>
      </c>
      <c r="D44" s="590">
        <f>Trend!D61</f>
        <v>226718</v>
      </c>
      <c r="E44" s="590">
        <f>Trend!E61</f>
        <v>646729</v>
      </c>
      <c r="F44" s="590">
        <f>Trend!F61</f>
        <v>943117</v>
      </c>
      <c r="G44" s="590">
        <f>Trend!G61</f>
        <v>34229</v>
      </c>
      <c r="H44" s="590">
        <f>Trend!H61</f>
        <v>317.45999999999998</v>
      </c>
      <c r="I44" s="590">
        <f>Trend!I61</f>
        <v>214399</v>
      </c>
      <c r="J44" s="590">
        <f>Trend!J61</f>
        <v>32645.61</v>
      </c>
      <c r="K44" s="590">
        <f>Trend!K61</f>
        <v>57.74</v>
      </c>
      <c r="L44" s="590">
        <f>Trend!L61</f>
        <v>99.52</v>
      </c>
      <c r="M44" s="590">
        <f>Trend!M61</f>
        <v>145.35</v>
      </c>
      <c r="N44" s="590">
        <f>Trend!N61</f>
        <v>186553.35</v>
      </c>
      <c r="O44" s="590">
        <f>Trend!O61</f>
        <v>212830.1</v>
      </c>
      <c r="P44" s="590">
        <f>Trend!P61</f>
        <v>249719.85</v>
      </c>
      <c r="Q44" s="590">
        <f>Trend!Q61</f>
        <v>286331.84999999998</v>
      </c>
      <c r="R44" s="590">
        <f>Trend!R61</f>
        <v>350422.85</v>
      </c>
      <c r="S44" s="590">
        <f>Trend!S61</f>
        <v>385852.35</v>
      </c>
      <c r="T44" s="590">
        <f>Trend!T61</f>
        <v>432037.4</v>
      </c>
      <c r="U44" s="590">
        <f>Trend!U61</f>
        <v>474791.65</v>
      </c>
      <c r="V44" s="590">
        <f>Trend!V61</f>
        <v>0</v>
      </c>
      <c r="W44" s="590">
        <f>Trend!W61</f>
        <v>55080.5</v>
      </c>
      <c r="X44" s="590">
        <f>Trend!X61</f>
        <v>84803.5</v>
      </c>
      <c r="Y44" s="590">
        <f>Trend!Y61</f>
        <v>123082.25</v>
      </c>
      <c r="Z44" s="590">
        <f>Trend!Z61</f>
        <v>173023.75</v>
      </c>
      <c r="AA44" s="590">
        <f>Trend!AA61</f>
        <v>198331.75</v>
      </c>
      <c r="AB44" s="590">
        <f>Trend!AB61</f>
        <v>249050.75</v>
      </c>
      <c r="AC44" s="590">
        <f>Trend!AC61</f>
        <v>294103.5</v>
      </c>
      <c r="AD44" s="590">
        <f>Trend!AD61</f>
        <v>359747.75</v>
      </c>
      <c r="AE44" s="590">
        <f>Trend!AE61</f>
        <v>389472.25</v>
      </c>
      <c r="AF44" s="590">
        <f>Trend!AF61</f>
        <v>433036.35</v>
      </c>
      <c r="AG44" s="590">
        <f>Trend!AG61</f>
        <v>506748.71</v>
      </c>
      <c r="AH44" s="590">
        <f>Trend!AH61</f>
        <v>559945.34</v>
      </c>
      <c r="AI44" s="590">
        <f>Trend!AI61</f>
        <v>0</v>
      </c>
      <c r="AJ44" s="590">
        <f>Trend!AJ61</f>
        <v>0</v>
      </c>
      <c r="AK44" s="590">
        <f>Trend!AK61</f>
        <v>0</v>
      </c>
      <c r="AL44" s="590">
        <f>Trend!AL61</f>
        <v>94345.25</v>
      </c>
      <c r="AM44" s="590">
        <f>Trend!AM61</f>
        <v>94345.25</v>
      </c>
      <c r="AN44" s="590">
        <f>Trend!AN61</f>
        <v>94345.25</v>
      </c>
      <c r="AO44" s="590">
        <f>Trend!AO61</f>
        <v>94220.25</v>
      </c>
      <c r="AP44" s="590">
        <f>Trend!AP61</f>
        <v>0</v>
      </c>
      <c r="AQ44" s="590">
        <f>Trend!AQ61</f>
        <v>101220.25</v>
      </c>
      <c r="AR44" s="590">
        <f>Trend!AR61</f>
        <v>551000.85</v>
      </c>
      <c r="AS44" s="590">
        <f>Trend!AS61</f>
        <v>0</v>
      </c>
      <c r="AT44" s="590">
        <f>Trend!AT61</f>
        <v>0</v>
      </c>
      <c r="AU44" s="590">
        <f>Trend!AU61</f>
        <v>680280.9</v>
      </c>
      <c r="AV44" s="590">
        <f>Trend!AV61</f>
        <v>881876.3</v>
      </c>
      <c r="AW44" s="590">
        <f>Trend!AW61</f>
        <v>0</v>
      </c>
      <c r="AX44" s="590">
        <f>Trend!AX61</f>
        <v>0</v>
      </c>
      <c r="AY44" s="590">
        <f>Trend!AY61</f>
        <v>0</v>
      </c>
      <c r="AZ44" s="590">
        <f>Trend!AZ61</f>
        <v>0</v>
      </c>
      <c r="BA44" s="590">
        <f>Trend!BA61</f>
        <v>-622505.80000000005</v>
      </c>
      <c r="BB44" s="590">
        <f>Trend!BB61</f>
        <v>383342.7</v>
      </c>
      <c r="BC44" s="590">
        <f>Trend!BC61</f>
        <v>451966.7</v>
      </c>
      <c r="BD44" s="590">
        <f>Trend!BD61</f>
        <v>599698</v>
      </c>
      <c r="BE44" s="590">
        <f>Trend!BE61</f>
        <v>960677.1</v>
      </c>
      <c r="BF44" s="590">
        <f>Trend!BF61</f>
        <v>1088254.78</v>
      </c>
      <c r="BG44" s="590">
        <f>Trend!BG61</f>
        <v>0</v>
      </c>
      <c r="BH44" s="590">
        <f>Trend!BH61</f>
        <v>875277.2</v>
      </c>
      <c r="BI44" s="590">
        <f>Trend!BI61</f>
        <v>1459140.7</v>
      </c>
      <c r="BJ44" s="590">
        <f>Trend!BJ61</f>
        <v>2951900</v>
      </c>
      <c r="BK44" s="590">
        <f>Trend!BK61</f>
        <v>65251.8</v>
      </c>
      <c r="BL44" s="590">
        <f>Trend!BL61</f>
        <v>137512.70000000001</v>
      </c>
      <c r="BM44" s="590">
        <f>Trend!BM61</f>
        <v>215755.7</v>
      </c>
      <c r="BN44" s="590">
        <f>Trend!BN61</f>
        <v>313580</v>
      </c>
      <c r="BO44" s="590">
        <f>Trend!BO61</f>
        <v>376694</v>
      </c>
      <c r="BP44" s="590">
        <f>Trend!BP61</f>
        <v>492030</v>
      </c>
      <c r="BQ44" s="590">
        <f>Trend!BQ61</f>
        <v>556872</v>
      </c>
      <c r="BR44" s="590">
        <f>Trend!BR61</f>
        <v>674105</v>
      </c>
      <c r="BS44" s="590">
        <f>Trend!BS61</f>
        <v>805213.6</v>
      </c>
      <c r="BT44" s="590">
        <f>Trend!BT61</f>
        <v>898674</v>
      </c>
      <c r="BU44" s="590">
        <f>Trend!BU61</f>
        <v>1041449</v>
      </c>
      <c r="BV44" s="590">
        <f>Trend!BV61</f>
        <v>674105</v>
      </c>
      <c r="BW44" s="590">
        <f>Trend!BW61</f>
        <v>3150600</v>
      </c>
      <c r="BX44" s="590">
        <f>Trend!BX61</f>
        <v>553013</v>
      </c>
      <c r="BY44" s="590">
        <f>Trend!BY61</f>
        <v>913647</v>
      </c>
      <c r="BZ44" s="590">
        <f>Trend!BZ61</f>
        <v>1475959</v>
      </c>
      <c r="CA44" s="590">
        <f>Trend!CA61</f>
        <v>2304121</v>
      </c>
      <c r="CB44" s="590">
        <f>Trend!CB61</f>
        <v>3352845</v>
      </c>
      <c r="CC44" s="590">
        <f>Trend!CC61</f>
        <v>4124350</v>
      </c>
      <c r="CD44" s="590">
        <f>Trend!CD61</f>
        <v>4920434</v>
      </c>
      <c r="CE44" s="590">
        <f>Trend!CE61</f>
        <v>5546656.2999999998</v>
      </c>
      <c r="CF44" s="590">
        <f>Trend!CF61</f>
        <v>6192490.4000000004</v>
      </c>
      <c r="CG44" s="590">
        <f>Trend!CG61</f>
        <v>6823320</v>
      </c>
      <c r="CH44" s="590">
        <f>Trend!CH61</f>
        <v>7552686.9000000004</v>
      </c>
      <c r="CI44" s="590">
        <f>Trend!CI61</f>
        <v>8336029.7000000002</v>
      </c>
      <c r="CJ44" s="590">
        <f>Trend!CJ61</f>
        <v>8336029.71</v>
      </c>
      <c r="CK44" s="590">
        <f>Trend!CK61</f>
        <v>976137.46</v>
      </c>
      <c r="CL44" s="590">
        <f>Trend!CL61</f>
        <v>1623293.9</v>
      </c>
      <c r="CM44" s="590">
        <f>Trend!CM61</f>
        <v>2094012</v>
      </c>
      <c r="CN44" s="590">
        <f>Trend!CN61</f>
        <v>2244774</v>
      </c>
      <c r="CO44" s="590">
        <f>Trend!CO61</f>
        <v>2701998.7</v>
      </c>
      <c r="CP44" s="590">
        <f>Trend!CP61</f>
        <v>3351124.19</v>
      </c>
      <c r="CQ44" s="590">
        <f>Trend!CQ61</f>
        <v>0</v>
      </c>
      <c r="CR44" s="590">
        <f>Trend!CR61</f>
        <v>4961961.17</v>
      </c>
      <c r="CS44" s="590">
        <f>Trend!CS61</f>
        <v>5669770.7199999997</v>
      </c>
      <c r="CT44" s="590">
        <f>Trend!CT61</f>
        <v>12692945.08</v>
      </c>
      <c r="CU44" s="590">
        <f>Trend!CU61</f>
        <v>6995499.8399999999</v>
      </c>
      <c r="CV44" s="590">
        <f>Trend!CV61</f>
        <v>8042269</v>
      </c>
      <c r="CW44" s="590">
        <f>Trend!CW61</f>
        <v>8042269.79</v>
      </c>
      <c r="CX44" s="590">
        <f>Trend!CX61</f>
        <v>832014.5</v>
      </c>
      <c r="CY44" s="590">
        <f>Trend!CY61</f>
        <v>1686521.3</v>
      </c>
      <c r="CZ44" s="590">
        <f>Trend!CZ61</f>
        <v>2212109.9</v>
      </c>
      <c r="DA44" s="590">
        <f>Trend!DA61</f>
        <v>3046263.9</v>
      </c>
      <c r="DB44" s="590">
        <f>Trend!DB61</f>
        <v>3788133</v>
      </c>
      <c r="DC44" s="590">
        <f>Trend!DC61</f>
        <v>4828822.3</v>
      </c>
      <c r="DD44" s="590">
        <f>Trend!DD61</f>
        <v>6004832.2000000002</v>
      </c>
      <c r="DE44" s="590">
        <f>Trend!DE61</f>
        <v>6866317.5</v>
      </c>
      <c r="DF44" s="590">
        <f>Trend!DF61</f>
        <v>7655019.5</v>
      </c>
      <c r="DG44" s="590">
        <f>Trend!DG61</f>
        <v>8671825.0999999996</v>
      </c>
      <c r="DH44" s="590">
        <f>Trend!DH61</f>
        <v>9938819.4000000004</v>
      </c>
      <c r="DI44" s="590">
        <f>Trend!DI61</f>
        <v>11187738.4</v>
      </c>
      <c r="DJ44" s="590">
        <f>Trend!DJ61</f>
        <v>2514014</v>
      </c>
      <c r="DK44" s="590">
        <f>Trend!DK61</f>
        <v>1069884.8999999999</v>
      </c>
      <c r="DL44" s="590">
        <f>Trend!DL61</f>
        <v>2429813</v>
      </c>
      <c r="DM44" s="590">
        <f>Trend!DM61</f>
        <v>3567163.5</v>
      </c>
      <c r="DN44" s="590">
        <f>Trend!DN61</f>
        <v>4749954.2</v>
      </c>
      <c r="DO44" s="590">
        <f>Trend!DO61</f>
        <v>5692107</v>
      </c>
      <c r="DP44" s="590">
        <f>Trend!DP61</f>
        <v>6354557.9000000004</v>
      </c>
      <c r="DQ44" s="590">
        <f>Trend!DQ61</f>
        <v>7112951.2000000002</v>
      </c>
      <c r="DR44" s="590">
        <f>Trend!DR61</f>
        <v>8250543.0999999996</v>
      </c>
      <c r="DS44" s="590">
        <f>Trend!DS61</f>
        <v>9385453.4000000004</v>
      </c>
      <c r="DT44" s="590">
        <f>Trend!DT61</f>
        <v>10745303.699999999</v>
      </c>
      <c r="DU44" s="590">
        <f>Trend!DU61</f>
        <v>11641312</v>
      </c>
      <c r="DV44" s="590">
        <f>Trend!DV61</f>
        <v>0</v>
      </c>
      <c r="DW44" s="590">
        <f>Trend!DW61</f>
        <v>0</v>
      </c>
      <c r="DX44" s="590"/>
      <c r="DY44" s="590"/>
      <c r="DZ44" s="590"/>
      <c r="EA44" s="590"/>
      <c r="EB44" s="590"/>
    </row>
    <row r="45" spans="1:132" ht="15" x14ac:dyDescent="0.25">
      <c r="A45" s="630">
        <v>9.1999999999999993</v>
      </c>
      <c r="B45" s="582" t="s">
        <v>180</v>
      </c>
      <c r="C45" s="590">
        <f>Trend!C62</f>
        <v>0</v>
      </c>
      <c r="D45" s="590">
        <f>Trend!D62</f>
        <v>13655</v>
      </c>
      <c r="E45" s="590">
        <f>Trend!E62</f>
        <v>37652</v>
      </c>
      <c r="F45" s="590">
        <f>Trend!F62</f>
        <v>47279</v>
      </c>
      <c r="G45" s="590">
        <f>Trend!G62</f>
        <v>1963473</v>
      </c>
      <c r="H45" s="590">
        <f>Trend!H62</f>
        <v>2520.89</v>
      </c>
      <c r="I45" s="590">
        <f>Trend!I62</f>
        <v>2809899</v>
      </c>
      <c r="J45" s="590">
        <f>Trend!J62</f>
        <v>187716.88</v>
      </c>
      <c r="K45" s="590">
        <f>Trend!K62</f>
        <v>394.14</v>
      </c>
      <c r="L45" s="590">
        <f>Trend!L62</f>
        <v>630.38</v>
      </c>
      <c r="M45" s="590">
        <f>Trend!M62</f>
        <v>933.3</v>
      </c>
      <c r="N45" s="590">
        <f>Trend!N62</f>
        <v>1196397</v>
      </c>
      <c r="O45" s="590">
        <f>Trend!O62</f>
        <v>1415435.75</v>
      </c>
      <c r="P45" s="590">
        <f>Trend!P62</f>
        <v>1715606.79</v>
      </c>
      <c r="Q45" s="590">
        <f>Trend!Q62</f>
        <v>1963492.07</v>
      </c>
      <c r="R45" s="590">
        <f>Trend!R62</f>
        <v>2260541.17</v>
      </c>
      <c r="S45" s="590">
        <f>Trend!S62</f>
        <v>2470591.3199999998</v>
      </c>
      <c r="T45" s="590">
        <f>Trend!T62</f>
        <v>2708476.3</v>
      </c>
      <c r="U45" s="590">
        <f>Trend!U62</f>
        <v>3129597.98</v>
      </c>
      <c r="V45" s="590">
        <f>Trend!V62</f>
        <v>4122505</v>
      </c>
      <c r="W45" s="590">
        <f>Trend!W62</f>
        <v>205211.5</v>
      </c>
      <c r="X45" s="590">
        <f>Trend!X62</f>
        <v>401021.33</v>
      </c>
      <c r="Y45" s="590">
        <f>Trend!Y62</f>
        <v>715829.49</v>
      </c>
      <c r="Z45" s="590">
        <f>Trend!Z62</f>
        <v>1023101.79</v>
      </c>
      <c r="AA45" s="590">
        <f>Trend!AA62</f>
        <v>1241873.8400000001</v>
      </c>
      <c r="AB45" s="590">
        <f>Trend!AB62</f>
        <v>1658320.99</v>
      </c>
      <c r="AC45" s="590">
        <f>Trend!AC62</f>
        <v>1979930.37</v>
      </c>
      <c r="AD45" s="590">
        <f>Trend!AD62</f>
        <v>2256344.7400000002</v>
      </c>
      <c r="AE45" s="590">
        <f>Trend!AE62</f>
        <v>2521358.4500000002</v>
      </c>
      <c r="AF45" s="590">
        <f>Trend!AF62</f>
        <v>3206868.85</v>
      </c>
      <c r="AG45" s="590">
        <f>Trend!AG62</f>
        <v>4181471.71</v>
      </c>
      <c r="AH45" s="590">
        <f>Trend!AH62</f>
        <v>5018699.3900000006</v>
      </c>
      <c r="AI45" s="590">
        <f>Trend!AI62</f>
        <v>5858262</v>
      </c>
      <c r="AJ45" s="590">
        <f>Trend!AJ62</f>
        <v>5858262</v>
      </c>
      <c r="AK45" s="590">
        <f>Trend!AK62</f>
        <v>0</v>
      </c>
      <c r="AL45" s="590">
        <f>Trend!AL62</f>
        <v>1013517.76</v>
      </c>
      <c r="AM45" s="590">
        <f>Trend!AM62</f>
        <v>1324141.76</v>
      </c>
      <c r="AN45" s="590">
        <f>Trend!AN62</f>
        <v>3175394.87</v>
      </c>
      <c r="AO45" s="590">
        <f>Trend!AO62</f>
        <v>3332132.9000000004</v>
      </c>
      <c r="AP45" s="590">
        <f>Trend!AP62</f>
        <v>0</v>
      </c>
      <c r="AQ45" s="590">
        <f>Trend!AQ62</f>
        <v>3325638.2</v>
      </c>
      <c r="AR45" s="590">
        <f>Trend!AR62</f>
        <v>5264475.83</v>
      </c>
      <c r="AS45" s="590">
        <f>Trend!AS62</f>
        <v>0</v>
      </c>
      <c r="AT45" s="590">
        <f>Trend!AT62</f>
        <v>0</v>
      </c>
      <c r="AU45" s="590">
        <f>Trend!AU62</f>
        <v>7009088.3900000006</v>
      </c>
      <c r="AV45" s="590">
        <f>Trend!AV62</f>
        <v>8266634.7000000002</v>
      </c>
      <c r="AW45" s="590">
        <f>Trend!AW62</f>
        <v>8561711</v>
      </c>
      <c r="AX45" s="590">
        <f>Trend!AX62</f>
        <v>0</v>
      </c>
      <c r="AY45" s="590">
        <f>Trend!AY62</f>
        <v>0</v>
      </c>
      <c r="AZ45" s="590">
        <f>Trend!AZ62</f>
        <v>-622305.09</v>
      </c>
      <c r="BA45" s="590">
        <f>Trend!BA62</f>
        <v>-3395512.7800000003</v>
      </c>
      <c r="BB45" s="590">
        <f>Trend!BB62</f>
        <v>2674349.2699999996</v>
      </c>
      <c r="BC45" s="590">
        <f>Trend!BC62</f>
        <v>3790863.34</v>
      </c>
      <c r="BD45" s="590">
        <f>Trend!BD62</f>
        <v>4486049.1899999995</v>
      </c>
      <c r="BE45" s="590">
        <f>Trend!BE62</f>
        <v>4867743.59</v>
      </c>
      <c r="BF45" s="590">
        <f>Trend!BF62</f>
        <v>5428786.4500000002</v>
      </c>
      <c r="BG45" s="590">
        <f>Trend!BG62</f>
        <v>0</v>
      </c>
      <c r="BH45" s="590">
        <f>Trend!BH62</f>
        <v>7131201.8600000003</v>
      </c>
      <c r="BI45" s="590">
        <f>Trend!BI62</f>
        <v>8824587.4600000009</v>
      </c>
      <c r="BJ45" s="590">
        <f>Trend!BJ62</f>
        <v>10140187</v>
      </c>
      <c r="BK45" s="590">
        <f>Trend!BK62</f>
        <v>354544.35</v>
      </c>
      <c r="BL45" s="590">
        <f>Trend!BL62</f>
        <v>929554.29</v>
      </c>
      <c r="BM45" s="590">
        <f>Trend!BM62</f>
        <v>1818514.84</v>
      </c>
      <c r="BN45" s="590">
        <f>Trend!BN62</f>
        <v>2256960</v>
      </c>
      <c r="BO45" s="590">
        <f>Trend!BO62</f>
        <v>2997913.67</v>
      </c>
      <c r="BP45" s="590">
        <f>Trend!BP62</f>
        <v>3558650</v>
      </c>
      <c r="BQ45" s="590">
        <f>Trend!BQ62</f>
        <v>4039694</v>
      </c>
      <c r="BR45" s="590">
        <f>Trend!BR62</f>
        <v>4652264</v>
      </c>
      <c r="BS45" s="590">
        <f>Trend!BS62</f>
        <v>6990408.04</v>
      </c>
      <c r="BT45" s="590">
        <f>Trend!BT62</f>
        <v>7398783</v>
      </c>
      <c r="BU45" s="590">
        <f>Trend!BU62</f>
        <v>8881748</v>
      </c>
      <c r="BV45" s="590">
        <f>Trend!BV62</f>
        <v>13816093</v>
      </c>
      <c r="BW45" s="590">
        <f>Trend!BW62</f>
        <v>13816094.209999999</v>
      </c>
      <c r="BX45" s="590">
        <f>Trend!BX62</f>
        <v>233750</v>
      </c>
      <c r="BY45" s="590">
        <f>Trend!BY62</f>
        <v>252591</v>
      </c>
      <c r="BZ45" s="590">
        <f>Trend!BZ62</f>
        <v>1308801</v>
      </c>
      <c r="CA45" s="590">
        <f>Trend!CA62</f>
        <v>1808406</v>
      </c>
      <c r="CB45" s="590">
        <f>Trend!CB62</f>
        <v>2407992</v>
      </c>
      <c r="CC45" s="590">
        <f>Trend!CC62</f>
        <v>2718419</v>
      </c>
      <c r="CD45" s="590">
        <f>Trend!CD62</f>
        <v>4093120</v>
      </c>
      <c r="CE45" s="590">
        <f>Trend!CE62</f>
        <v>4565096.6099999994</v>
      </c>
      <c r="CF45" s="590">
        <f>Trend!CF62</f>
        <v>4829182.8100000005</v>
      </c>
      <c r="CG45" s="590">
        <f>Trend!CG62</f>
        <v>4873755.8699999992</v>
      </c>
      <c r="CH45" s="590">
        <f>Trend!CH62</f>
        <v>5167490.76</v>
      </c>
      <c r="CI45" s="590">
        <f>Trend!CI62</f>
        <v>5913581.1400000006</v>
      </c>
      <c r="CJ45" s="590">
        <f>Trend!CJ62</f>
        <v>5913581.1400000006</v>
      </c>
      <c r="CK45" s="590">
        <f>Trend!CK62</f>
        <v>3144112.66</v>
      </c>
      <c r="CL45" s="590">
        <f>Trend!CL62</f>
        <v>779122.41999999993</v>
      </c>
      <c r="CM45" s="590">
        <f>Trend!CM62</f>
        <v>1572295</v>
      </c>
      <c r="CN45" s="590">
        <f>Trend!CN62</f>
        <v>1623400</v>
      </c>
      <c r="CO45" s="590">
        <f>Trend!CO62</f>
        <v>2239474.4</v>
      </c>
      <c r="CP45" s="590">
        <f>Trend!CP62</f>
        <v>2847831</v>
      </c>
      <c r="CQ45" s="590">
        <f>Trend!CQ62</f>
        <v>0</v>
      </c>
      <c r="CR45" s="590">
        <f>Trend!CR62</f>
        <v>4955483.8000000007</v>
      </c>
      <c r="CS45" s="590">
        <f>Trend!CS62</f>
        <v>5283532.7200000007</v>
      </c>
      <c r="CT45" s="590">
        <f>Trend!CT62</f>
        <v>11328524</v>
      </c>
      <c r="CU45" s="590">
        <f>Trend!CU62</f>
        <v>6198525.7400000002</v>
      </c>
      <c r="CV45" s="590">
        <f>Trend!CV62</f>
        <v>6976663.2799999993</v>
      </c>
      <c r="CW45" s="590">
        <f>Trend!CW62</f>
        <v>6976663.2800000003</v>
      </c>
      <c r="CX45" s="590">
        <f>Trend!CX62</f>
        <v>240098.74</v>
      </c>
      <c r="CY45" s="590">
        <f>Trend!CY62</f>
        <v>677306.31</v>
      </c>
      <c r="CZ45" s="590">
        <f>Trend!CZ62</f>
        <v>1656629.1</v>
      </c>
      <c r="DA45" s="590">
        <f>Trend!DA62</f>
        <v>2222457.6999999997</v>
      </c>
      <c r="DB45" s="590">
        <f>Trend!DB62</f>
        <v>2612694.1599999997</v>
      </c>
      <c r="DC45" s="590">
        <f>Trend!DC62</f>
        <v>3120337.07</v>
      </c>
      <c r="DD45" s="590">
        <f>Trend!DD62</f>
        <v>3429809.75</v>
      </c>
      <c r="DE45" s="590">
        <f>Trend!DE62</f>
        <v>1141904.1200000001</v>
      </c>
      <c r="DF45" s="590">
        <f>Trend!DF62</f>
        <v>1141904.1200000001</v>
      </c>
      <c r="DG45" s="590">
        <f>Trend!DG62</f>
        <v>1141904.1200000001</v>
      </c>
      <c r="DH45" s="590">
        <f>Trend!DH62</f>
        <v>1141904.1200000001</v>
      </c>
      <c r="DI45" s="590">
        <f>Trend!DI62</f>
        <v>1603709.84</v>
      </c>
      <c r="DJ45" s="590">
        <f>Trend!DJ62</f>
        <v>7361974</v>
      </c>
      <c r="DK45" s="590">
        <f>Trend!DK62</f>
        <v>390054.54</v>
      </c>
      <c r="DL45" s="590">
        <f>Trend!DL62</f>
        <v>735774.94</v>
      </c>
      <c r="DM45" s="590">
        <f>Trend!DM62</f>
        <v>2591766.89</v>
      </c>
      <c r="DN45" s="590">
        <f>Trend!DN62</f>
        <v>3023207.54</v>
      </c>
      <c r="DO45" s="590">
        <f>Trend!DO62</f>
        <v>3409211.58</v>
      </c>
      <c r="DP45" s="590">
        <f>Trend!DP62</f>
        <v>3801421.82</v>
      </c>
      <c r="DQ45" s="590">
        <f>Trend!DQ62</f>
        <v>4037498.6599999997</v>
      </c>
      <c r="DR45" s="590">
        <f>Trend!DR62</f>
        <v>4953868.74</v>
      </c>
      <c r="DS45" s="590">
        <f>Trend!DS62</f>
        <v>5301068.6399999997</v>
      </c>
      <c r="DT45" s="590">
        <f>Trend!DT62</f>
        <v>5667942.7599999998</v>
      </c>
      <c r="DU45" s="590">
        <f>Trend!DU62</f>
        <v>6317047.7699999996</v>
      </c>
      <c r="DV45" s="590">
        <f>Trend!DV62</f>
        <v>0</v>
      </c>
      <c r="DW45" s="590">
        <f>Trend!DW62</f>
        <v>9776388</v>
      </c>
      <c r="DX45" s="590"/>
      <c r="DY45" s="590"/>
      <c r="DZ45" s="590"/>
      <c r="EA45" s="590"/>
      <c r="EB45" s="590"/>
    </row>
    <row r="46" spans="1:132" ht="15" x14ac:dyDescent="0.25">
      <c r="A46" s="631"/>
      <c r="B46" s="620" t="s">
        <v>181</v>
      </c>
      <c r="C46" s="632">
        <f>C43/C31</f>
        <v>0.11967830708204216</v>
      </c>
      <c r="D46" s="632">
        <f>D43/D31</f>
        <v>9.0665178072322078E-2</v>
      </c>
      <c r="E46" s="632">
        <f t="shared" ref="E46:G46" si="72">E43/E31</f>
        <v>7.8392503878711009E-2</v>
      </c>
      <c r="F46" s="632">
        <f t="shared" si="72"/>
        <v>0.13378762494099827</v>
      </c>
      <c r="G46" s="632">
        <f t="shared" si="72"/>
        <v>0.13605339591819704</v>
      </c>
      <c r="H46" s="632">
        <f t="shared" ref="H46:I46" si="73">H43/H31</f>
        <v>1.2804212995937359E-4</v>
      </c>
      <c r="I46" s="632">
        <f t="shared" si="73"/>
        <v>0.12111003096163786</v>
      </c>
      <c r="J46" s="632">
        <f t="shared" ref="J46:S46" si="74">J43/J31</f>
        <v>6.4529694499826235E-3</v>
      </c>
      <c r="K46" s="632">
        <f t="shared" si="74"/>
        <v>2.4866553632697275E-5</v>
      </c>
      <c r="L46" s="632">
        <f t="shared" si="74"/>
        <v>3.6285983027364183E-5</v>
      </c>
      <c r="M46" s="632">
        <f t="shared" si="74"/>
        <v>4.4626693013115341E-5</v>
      </c>
      <c r="N46" s="632">
        <f t="shared" si="74"/>
        <v>5.5458944660718434E-2</v>
      </c>
      <c r="O46" s="632">
        <f t="shared" si="74"/>
        <v>6.6397437333017548E-2</v>
      </c>
      <c r="P46" s="632">
        <f t="shared" si="74"/>
        <v>7.5338280788395592E-2</v>
      </c>
      <c r="Q46" s="632">
        <f t="shared" si="74"/>
        <v>8.3398459638726247E-2</v>
      </c>
      <c r="R46" s="632">
        <f t="shared" si="74"/>
        <v>8.8821137837308856E-2</v>
      </c>
      <c r="S46" s="632">
        <f t="shared" si="74"/>
        <v>9.4745348196891233E-2</v>
      </c>
      <c r="T46" s="632">
        <f t="shared" ref="T46:V46" si="75">T43/T31</f>
        <v>0.10480536744638116</v>
      </c>
      <c r="U46" s="632">
        <f t="shared" si="75"/>
        <v>0.1147905908668556</v>
      </c>
      <c r="V46" s="632">
        <f t="shared" si="75"/>
        <v>0.11383353292325731</v>
      </c>
      <c r="W46" s="632">
        <f t="shared" ref="W46:Z46" si="76">W43/W31</f>
        <v>1.0984176284096103E-2</v>
      </c>
      <c r="X46" s="632">
        <f t="shared" si="76"/>
        <v>2.2514200495968865E-2</v>
      </c>
      <c r="Y46" s="632">
        <f t="shared" si="76"/>
        <v>3.4643041754642306E-2</v>
      </c>
      <c r="Z46" s="632">
        <f t="shared" si="76"/>
        <v>4.6306953586817058E-2</v>
      </c>
      <c r="AA46" s="632">
        <f t="shared" ref="AA46:AB46" si="77">AA43/AA31</f>
        <v>5.8770578749844919E-2</v>
      </c>
      <c r="AB46" s="632">
        <f t="shared" si="77"/>
        <v>6.7079574541910672E-2</v>
      </c>
      <c r="AC46" s="632">
        <f t="shared" ref="AC46:AD46" si="78">AC43/AC31</f>
        <v>8.2726286131258861E-2</v>
      </c>
      <c r="AD46" s="632">
        <f t="shared" si="78"/>
        <v>9.6189769260456248E-2</v>
      </c>
      <c r="AE46" s="632">
        <f t="shared" ref="AE46:AG46" si="79">AE43/AE31</f>
        <v>9.3470675291746838E-2</v>
      </c>
      <c r="AF46" s="632">
        <f t="shared" si="79"/>
        <v>0.10718483928821665</v>
      </c>
      <c r="AG46" s="632">
        <f t="shared" si="79"/>
        <v>0.11294331351977765</v>
      </c>
      <c r="AH46" s="632">
        <f t="shared" ref="AH46:CT46" si="80">AH43/AH31</f>
        <v>0.12350427529599591</v>
      </c>
      <c r="AI46" s="632">
        <f t="shared" si="80"/>
        <v>0.11707209408438204</v>
      </c>
      <c r="AJ46" s="632">
        <f t="shared" si="80"/>
        <v>0.11707209408438204</v>
      </c>
      <c r="AK46" s="632" t="e">
        <f t="shared" si="80"/>
        <v>#DIV/0!</v>
      </c>
      <c r="AL46" s="632">
        <f t="shared" si="80"/>
        <v>3.0939712548058015E-3</v>
      </c>
      <c r="AM46" s="632">
        <f t="shared" si="80"/>
        <v>3.1095463838138947E-3</v>
      </c>
      <c r="AN46" s="632">
        <f t="shared" si="80"/>
        <v>3.1286260756293281E-3</v>
      </c>
      <c r="AO46" s="632">
        <f t="shared" si="80"/>
        <v>4.1129253434728091E-3</v>
      </c>
      <c r="AP46" s="632">
        <f t="shared" si="80"/>
        <v>0</v>
      </c>
      <c r="AQ46" s="632">
        <f t="shared" si="80"/>
        <v>3.344137122818629E-3</v>
      </c>
      <c r="AR46" s="632">
        <f t="shared" si="80"/>
        <v>7.879122358960379E-2</v>
      </c>
      <c r="AS46" s="632">
        <f t="shared" si="80"/>
        <v>0</v>
      </c>
      <c r="AT46" s="632" t="e">
        <f t="shared" si="80"/>
        <v>#DIV/0!</v>
      </c>
      <c r="AU46" s="632">
        <f t="shared" si="80"/>
        <v>0.10803693911783349</v>
      </c>
      <c r="AV46" s="632">
        <f t="shared" si="80"/>
        <v>0.10940886467822759</v>
      </c>
      <c r="AW46" s="632">
        <f t="shared" si="80"/>
        <v>0.12053344693405596</v>
      </c>
      <c r="AX46" s="632" t="e">
        <f t="shared" si="80"/>
        <v>#DIV/0!</v>
      </c>
      <c r="AY46" s="632" t="e">
        <f t="shared" si="80"/>
        <v>#DIV/0!</v>
      </c>
      <c r="AZ46" s="632">
        <f t="shared" si="80"/>
        <v>-2.4541651495945612E-2</v>
      </c>
      <c r="BA46" s="632">
        <f t="shared" si="80"/>
        <v>4.6560226656472505E-2</v>
      </c>
      <c r="BB46" s="632">
        <f t="shared" si="80"/>
        <v>6.2823251998933113E-2</v>
      </c>
      <c r="BC46" s="632">
        <f t="shared" si="80"/>
        <v>7.2987933387952231E-2</v>
      </c>
      <c r="BD46" s="632">
        <f t="shared" si="80"/>
        <v>8.1432336641097905E-2</v>
      </c>
      <c r="BE46" s="632">
        <f t="shared" si="80"/>
        <v>9.3175711401248862E-2</v>
      </c>
      <c r="BF46" s="632">
        <f t="shared" si="80"/>
        <v>0.1060694622152126</v>
      </c>
      <c r="BG46" s="632" t="e">
        <f t="shared" si="80"/>
        <v>#DIV/0!</v>
      </c>
      <c r="BH46" s="632">
        <f t="shared" si="80"/>
        <v>0.13175407159657659</v>
      </c>
      <c r="BI46" s="632">
        <f t="shared" si="80"/>
        <v>0.14525693496333314</v>
      </c>
      <c r="BJ46" s="632">
        <f t="shared" si="80"/>
        <v>0.12104483811410055</v>
      </c>
      <c r="BK46" s="632">
        <f t="shared" si="80"/>
        <v>1.2709906358374599E-2</v>
      </c>
      <c r="BL46" s="632">
        <f t="shared" si="80"/>
        <v>2.3107735514162488E-2</v>
      </c>
      <c r="BM46" s="632">
        <f t="shared" si="80"/>
        <v>3.513640645106049E-2</v>
      </c>
      <c r="BN46" s="632">
        <f t="shared" si="80"/>
        <v>4.8375783975857414E-2</v>
      </c>
      <c r="BO46" s="632">
        <f t="shared" si="80"/>
        <v>6.1011981600235701E-2</v>
      </c>
      <c r="BP46" s="632">
        <f t="shared" si="80"/>
        <v>7.2000538757506921E-2</v>
      </c>
      <c r="BQ46" s="632">
        <f t="shared" si="80"/>
        <v>8.298213525273368E-2</v>
      </c>
      <c r="BR46" s="632">
        <f t="shared" si="80"/>
        <v>9.8244522859181727E-2</v>
      </c>
      <c r="BS46" s="632">
        <f t="shared" si="80"/>
        <v>0.10916972858743035</v>
      </c>
      <c r="BT46" s="632">
        <f t="shared" si="80"/>
        <v>0.12357061958234868</v>
      </c>
      <c r="BU46" s="632">
        <f t="shared" si="80"/>
        <v>0.13108741655145278</v>
      </c>
      <c r="BV46" s="632">
        <f t="shared" si="80"/>
        <v>0.13943641257969705</v>
      </c>
      <c r="BW46" s="632">
        <f t="shared" si="80"/>
        <v>0.11685050426925414</v>
      </c>
      <c r="BX46" s="632">
        <f t="shared" si="80"/>
        <v>1.0374037803027713E-2</v>
      </c>
      <c r="BY46" s="632">
        <f t="shared" si="80"/>
        <v>2.1688285883259373E-2</v>
      </c>
      <c r="BZ46" s="632">
        <f t="shared" si="80"/>
        <v>3.2569107028490377E-2</v>
      </c>
      <c r="CA46" s="632">
        <f t="shared" si="80"/>
        <v>4.2332818742043629E-2</v>
      </c>
      <c r="CB46" s="632">
        <f t="shared" si="80"/>
        <v>4.9750834752471586E-2</v>
      </c>
      <c r="CC46" s="632">
        <f t="shared" si="80"/>
        <v>5.7991655646731088E-2</v>
      </c>
      <c r="CD46" s="632">
        <f t="shared" si="80"/>
        <v>6.6803957893088878E-2</v>
      </c>
      <c r="CE46" s="632">
        <f t="shared" si="80"/>
        <v>7.273914620907683E-2</v>
      </c>
      <c r="CF46" s="632">
        <f t="shared" si="80"/>
        <v>8.0225581546312361E-2</v>
      </c>
      <c r="CG46" s="632">
        <f t="shared" si="80"/>
        <v>8.9720785085219815E-2</v>
      </c>
      <c r="CH46" s="632">
        <f t="shared" si="80"/>
        <v>9.721874235786819E-2</v>
      </c>
      <c r="CI46" s="632">
        <f t="shared" si="80"/>
        <v>0.10845372772164372</v>
      </c>
      <c r="CJ46" s="632">
        <f t="shared" si="80"/>
        <v>0.10845372772164372</v>
      </c>
      <c r="CK46" s="632">
        <f t="shared" si="80"/>
        <v>1.0655245547084144E-2</v>
      </c>
      <c r="CL46" s="632">
        <f t="shared" si="80"/>
        <v>2.0638025315742579E-2</v>
      </c>
      <c r="CM46" s="632" t="e">
        <f t="shared" si="80"/>
        <v>#REF!</v>
      </c>
      <c r="CN46" s="632">
        <f t="shared" si="80"/>
        <v>4.3725414422507103E-2</v>
      </c>
      <c r="CO46" s="632">
        <f t="shared" si="80"/>
        <v>5.8604347469256045E-2</v>
      </c>
      <c r="CP46" s="632">
        <f t="shared" si="80"/>
        <v>6.7203362351897583E-2</v>
      </c>
      <c r="CQ46" s="632">
        <f t="shared" si="80"/>
        <v>0</v>
      </c>
      <c r="CR46" s="632">
        <f t="shared" si="80"/>
        <v>8.9512153829250485E-2</v>
      </c>
      <c r="CS46" s="632">
        <f t="shared" si="80"/>
        <v>9.8391272869574414E-2</v>
      </c>
      <c r="CT46" s="632">
        <f t="shared" si="80"/>
        <v>0.21954198275683368</v>
      </c>
      <c r="CU46" s="632">
        <f t="shared" ref="CU46:CW46" si="81">CU43/CU31</f>
        <v>0.11674975051356408</v>
      </c>
      <c r="CV46" s="632">
        <f t="shared" si="81"/>
        <v>0.12306204993882106</v>
      </c>
      <c r="CW46" s="632">
        <f t="shared" si="81"/>
        <v>0.12304377150638166</v>
      </c>
      <c r="CX46" s="632">
        <f t="shared" ref="CX46:DD46" si="82">CX43/CX31</f>
        <v>1.1568405852252968E-2</v>
      </c>
      <c r="CY46" s="632">
        <f t="shared" si="82"/>
        <v>2.2588394539446898E-2</v>
      </c>
      <c r="CZ46" s="632">
        <f t="shared" si="82"/>
        <v>3.3803253967018408E-2</v>
      </c>
      <c r="DA46" s="632">
        <f t="shared" si="82"/>
        <v>4.6820307096345215E-2</v>
      </c>
      <c r="DB46" s="632">
        <f t="shared" si="82"/>
        <v>5.6817058921769054E-2</v>
      </c>
      <c r="DC46" s="632">
        <f t="shared" si="82"/>
        <v>6.7610552435724017E-2</v>
      </c>
      <c r="DD46" s="632">
        <f t="shared" si="82"/>
        <v>7.3920701136008543E-2</v>
      </c>
      <c r="DE46" s="632">
        <f t="shared" ref="DE46:DU46" si="83">DE43/DE31</f>
        <v>8.3507968607417701E-2</v>
      </c>
      <c r="DF46" s="632">
        <f t="shared" si="83"/>
        <v>9.3993874507981953E-2</v>
      </c>
      <c r="DG46" s="632">
        <f t="shared" si="83"/>
        <v>0.1074023080861667</v>
      </c>
      <c r="DH46" s="632">
        <f t="shared" si="83"/>
        <v>0.11508461162384981</v>
      </c>
      <c r="DI46" s="632">
        <f t="shared" si="83"/>
        <v>0.1294353600235171</v>
      </c>
      <c r="DJ46" s="632">
        <f t="shared" si="83"/>
        <v>0.15877361455064432</v>
      </c>
      <c r="DK46" s="632">
        <f t="shared" si="83"/>
        <v>1.1757880898363769E-2</v>
      </c>
      <c r="DL46" s="632">
        <f t="shared" si="83"/>
        <v>2.3180103455881038E-2</v>
      </c>
      <c r="DM46" s="632">
        <f t="shared" si="83"/>
        <v>3.3935778230755581E-2</v>
      </c>
      <c r="DN46" s="632">
        <f t="shared" si="83"/>
        <v>4.371272428218069E-2</v>
      </c>
      <c r="DO46" s="632">
        <f t="shared" si="83"/>
        <v>5.4617826514241727E-2</v>
      </c>
      <c r="DP46" s="632">
        <f t="shared" si="83"/>
        <v>6.586438232260626E-2</v>
      </c>
      <c r="DQ46" s="632">
        <f t="shared" si="83"/>
        <v>7.7096742548261682E-2</v>
      </c>
      <c r="DR46" s="632">
        <f t="shared" si="83"/>
        <v>8.7734402104562154E-2</v>
      </c>
      <c r="DS46" s="632">
        <f t="shared" si="83"/>
        <v>9.6292067645592005E-2</v>
      </c>
      <c r="DT46" s="632">
        <f t="shared" si="83"/>
        <v>0.10649556383349013</v>
      </c>
      <c r="DU46" s="632">
        <f t="shared" si="83"/>
        <v>0.1175190501192675</v>
      </c>
      <c r="DV46" s="632" t="e">
        <f t="shared" ref="DV46:EB46" si="84">DV43/DV31</f>
        <v>#DIV/0!</v>
      </c>
      <c r="DW46" s="632">
        <f t="shared" si="84"/>
        <v>0.15916760949634148</v>
      </c>
      <c r="DX46" s="632"/>
      <c r="DY46" s="632"/>
      <c r="DZ46" s="632"/>
      <c r="EA46" s="632"/>
      <c r="EB46" s="632"/>
    </row>
    <row r="47" spans="1:132" ht="15" x14ac:dyDescent="0.25">
      <c r="A47" s="607"/>
      <c r="B47" s="597"/>
      <c r="C47" s="633"/>
      <c r="D47" s="633"/>
      <c r="E47" s="633"/>
      <c r="F47" s="633"/>
      <c r="G47" s="633"/>
      <c r="H47" s="633"/>
      <c r="I47" s="633"/>
      <c r="J47" s="633"/>
      <c r="K47" s="633"/>
      <c r="L47" s="633"/>
      <c r="M47" s="633"/>
      <c r="N47" s="633"/>
      <c r="O47" s="633"/>
      <c r="P47" s="633"/>
      <c r="Q47" s="633"/>
      <c r="R47" s="633"/>
      <c r="S47" s="633"/>
      <c r="T47" s="633"/>
      <c r="U47" s="633"/>
      <c r="V47" s="633"/>
      <c r="W47" s="633"/>
      <c r="X47" s="633"/>
      <c r="Y47" s="633"/>
      <c r="Z47" s="633"/>
      <c r="AA47" s="633"/>
      <c r="AB47" s="633"/>
      <c r="AC47" s="633"/>
      <c r="AD47" s="633"/>
      <c r="AE47" s="633"/>
      <c r="AF47" s="633"/>
      <c r="AG47" s="633"/>
      <c r="AH47" s="633"/>
      <c r="AI47" s="633"/>
      <c r="AJ47" s="633"/>
      <c r="AK47" s="633"/>
      <c r="AL47" s="633"/>
      <c r="AM47" s="633"/>
      <c r="AN47" s="633"/>
      <c r="AO47" s="633"/>
      <c r="AP47" s="633"/>
      <c r="AQ47" s="633"/>
      <c r="AR47" s="633"/>
      <c r="AS47" s="633"/>
      <c r="AT47" s="633"/>
      <c r="AU47" s="633"/>
      <c r="AV47" s="633"/>
      <c r="AW47" s="633"/>
      <c r="AX47" s="633"/>
      <c r="AY47" s="633"/>
      <c r="AZ47" s="633"/>
      <c r="BA47" s="633"/>
      <c r="BB47" s="573"/>
      <c r="BC47" s="573"/>
      <c r="BD47" s="573"/>
      <c r="BE47" s="573"/>
      <c r="BF47" s="573"/>
      <c r="BG47" s="573"/>
      <c r="BH47" s="573"/>
      <c r="BI47" s="573"/>
      <c r="BJ47" s="573"/>
      <c r="BK47" s="573"/>
      <c r="BL47" s="573"/>
      <c r="BM47" s="573"/>
      <c r="BN47" s="573"/>
      <c r="BO47" s="573"/>
      <c r="BP47" s="573"/>
      <c r="BQ47" s="573"/>
      <c r="BR47" s="573"/>
      <c r="BS47" s="573"/>
      <c r="BT47" s="573"/>
      <c r="BU47" s="573"/>
      <c r="BV47" s="573"/>
      <c r="BW47" s="573"/>
      <c r="BX47" s="573"/>
      <c r="BY47" s="573"/>
      <c r="BZ47" s="573"/>
      <c r="CA47" s="573"/>
      <c r="CB47" s="573"/>
      <c r="CC47" s="573"/>
      <c r="CD47" s="573"/>
      <c r="CE47" s="573"/>
      <c r="CF47" s="573"/>
      <c r="CG47" s="573"/>
      <c r="CH47" s="573"/>
      <c r="CI47" s="573"/>
      <c r="CJ47" s="573"/>
      <c r="CK47" s="573"/>
      <c r="CL47" s="573"/>
      <c r="CM47" s="573"/>
      <c r="CN47" s="573"/>
      <c r="CO47" s="573"/>
      <c r="CP47" s="573"/>
      <c r="CQ47" s="573"/>
      <c r="CR47" s="573"/>
      <c r="CS47" s="573"/>
      <c r="CT47" s="573"/>
      <c r="CU47" s="573"/>
      <c r="CV47" s="573"/>
      <c r="CW47" s="573"/>
      <c r="CX47" s="573"/>
      <c r="CY47" s="573"/>
      <c r="CZ47" s="573"/>
      <c r="DA47" s="573"/>
      <c r="DB47" s="573"/>
      <c r="DC47" s="573"/>
      <c r="DD47" s="573"/>
      <c r="DE47" s="573"/>
      <c r="DF47" s="573"/>
      <c r="DG47" s="573"/>
      <c r="DH47" s="573"/>
      <c r="DI47" s="573"/>
      <c r="DJ47" s="573"/>
      <c r="DK47" s="573"/>
      <c r="DL47" s="573"/>
      <c r="DM47" s="573"/>
      <c r="DN47" s="573"/>
      <c r="DO47" s="573"/>
      <c r="DP47" s="573"/>
      <c r="DQ47" s="573"/>
      <c r="DR47" s="573"/>
      <c r="DS47" s="573"/>
      <c r="DT47" s="573"/>
      <c r="DU47" s="573"/>
      <c r="DV47" s="573"/>
      <c r="DW47" s="573"/>
      <c r="DX47" s="573"/>
      <c r="DY47" s="573"/>
      <c r="DZ47" s="573"/>
      <c r="EA47" s="573"/>
      <c r="EB47" s="573"/>
    </row>
    <row r="48" spans="1:132" ht="15" x14ac:dyDescent="0.25">
      <c r="A48" s="634">
        <v>10</v>
      </c>
      <c r="B48" s="635" t="s">
        <v>182</v>
      </c>
      <c r="C48" s="636">
        <f>SUM(C49:C55)</f>
        <v>186511</v>
      </c>
      <c r="D48" s="636">
        <f>SUM(D49:D55)</f>
        <v>780206</v>
      </c>
      <c r="E48" s="636">
        <f t="shared" ref="E48:G48" si="85">SUM(E49:E55)</f>
        <v>1916416</v>
      </c>
      <c r="F48" s="636">
        <f t="shared" si="85"/>
        <v>4232069</v>
      </c>
      <c r="G48" s="636">
        <f t="shared" si="85"/>
        <v>6334216</v>
      </c>
      <c r="H48" s="636">
        <f t="shared" ref="H48:I48" si="86">SUM(H49:H55)</f>
        <v>3845.34</v>
      </c>
      <c r="I48" s="636">
        <f t="shared" si="86"/>
        <v>7786610</v>
      </c>
      <c r="J48" s="636">
        <f t="shared" ref="J48:S48" si="87">SUM(J49:J55)</f>
        <v>472321900</v>
      </c>
      <c r="K48" s="636">
        <f t="shared" si="87"/>
        <v>992400</v>
      </c>
      <c r="L48" s="636">
        <f t="shared" si="87"/>
        <v>4833290</v>
      </c>
      <c r="M48" s="636">
        <f t="shared" si="87"/>
        <v>5335230</v>
      </c>
      <c r="N48" s="636">
        <f t="shared" si="87"/>
        <v>2458573</v>
      </c>
      <c r="O48" s="636">
        <f t="shared" si="87"/>
        <v>2857049</v>
      </c>
      <c r="P48" s="636">
        <f t="shared" si="87"/>
        <v>3419535</v>
      </c>
      <c r="Q48" s="636">
        <f t="shared" si="87"/>
        <v>3990398</v>
      </c>
      <c r="R48" s="636">
        <f t="shared" si="87"/>
        <v>4232076</v>
      </c>
      <c r="S48" s="636">
        <f t="shared" si="87"/>
        <v>5384899</v>
      </c>
      <c r="T48" s="636">
        <f t="shared" ref="T48:V48" si="88">SUM(T49:T55)</f>
        <v>0</v>
      </c>
      <c r="U48" s="636">
        <f t="shared" si="88"/>
        <v>0</v>
      </c>
      <c r="V48" s="636">
        <f t="shared" si="88"/>
        <v>12550934</v>
      </c>
      <c r="W48" s="636">
        <f t="shared" ref="W48:Z48" si="89">SUM(W49:W55)</f>
        <v>2955508.7</v>
      </c>
      <c r="X48" s="636">
        <f t="shared" si="89"/>
        <v>3354221.7</v>
      </c>
      <c r="Y48" s="636">
        <f t="shared" si="89"/>
        <v>-451994.30000000005</v>
      </c>
      <c r="Z48" s="636">
        <f t="shared" si="89"/>
        <v>5262617.7</v>
      </c>
      <c r="AA48" s="636">
        <f t="shared" ref="AA48:AB48" si="90">SUM(AA49:AA55)</f>
        <v>1530654.73</v>
      </c>
      <c r="AB48" s="636">
        <f t="shared" si="90"/>
        <v>2045242.7300000004</v>
      </c>
      <c r="AC48" s="636">
        <f t="shared" ref="AC48:AD48" si="91">SUM(AC49:AC55)</f>
        <v>7391453.7300000004</v>
      </c>
      <c r="AD48" s="636">
        <f t="shared" si="91"/>
        <v>7849135.9000000004</v>
      </c>
      <c r="AE48" s="636">
        <f t="shared" ref="AE48:AG48" si="92">SUM(AE49:AE55)</f>
        <v>9036659.9000000004</v>
      </c>
      <c r="AF48" s="636">
        <f t="shared" si="92"/>
        <v>9339699.5999999996</v>
      </c>
      <c r="AG48" s="636">
        <f t="shared" si="92"/>
        <v>9985911.8000000007</v>
      </c>
      <c r="AH48" s="636">
        <f t="shared" ref="AH48:AI48" si="93">SUM(AH49:AH55)</f>
        <v>10686913.76</v>
      </c>
      <c r="AI48" s="636">
        <f t="shared" si="93"/>
        <v>13393238</v>
      </c>
      <c r="AJ48" s="636">
        <f t="shared" ref="AJ48:CU48" si="94">SUM(AJ49:AJ55)</f>
        <v>13393240</v>
      </c>
      <c r="AK48" s="636">
        <f t="shared" si="94"/>
        <v>0</v>
      </c>
      <c r="AL48" s="636">
        <f t="shared" si="94"/>
        <v>2426708.5</v>
      </c>
      <c r="AM48" s="636">
        <f t="shared" si="94"/>
        <v>3404284.5</v>
      </c>
      <c r="AN48" s="636">
        <f t="shared" si="94"/>
        <v>4182142.5</v>
      </c>
      <c r="AO48" s="636">
        <f t="shared" si="94"/>
        <v>4544440.5</v>
      </c>
      <c r="AP48" s="636">
        <f t="shared" si="94"/>
        <v>0</v>
      </c>
      <c r="AQ48" s="636">
        <f t="shared" si="94"/>
        <v>5236575.5</v>
      </c>
      <c r="AR48" s="636">
        <f t="shared" si="94"/>
        <v>12695611.6</v>
      </c>
      <c r="AS48" s="636">
        <f t="shared" si="94"/>
        <v>0</v>
      </c>
      <c r="AT48" s="636">
        <f t="shared" si="94"/>
        <v>0</v>
      </c>
      <c r="AU48" s="636">
        <f t="shared" si="94"/>
        <v>14583143.6</v>
      </c>
      <c r="AV48" s="636">
        <f t="shared" si="94"/>
        <v>12039757</v>
      </c>
      <c r="AW48" s="636">
        <f t="shared" si="94"/>
        <v>18998844</v>
      </c>
      <c r="AX48" s="636">
        <f t="shared" si="94"/>
        <v>0</v>
      </c>
      <c r="AY48" s="636">
        <f t="shared" si="94"/>
        <v>0</v>
      </c>
      <c r="AZ48" s="636">
        <f t="shared" si="94"/>
        <v>4872125</v>
      </c>
      <c r="BA48" s="636">
        <f t="shared" si="94"/>
        <v>8579836</v>
      </c>
      <c r="BB48" s="636">
        <f t="shared" si="94"/>
        <v>8304929</v>
      </c>
      <c r="BC48" s="636">
        <f t="shared" si="94"/>
        <v>12235897</v>
      </c>
      <c r="BD48" s="636">
        <f t="shared" si="94"/>
        <v>13231292.800000001</v>
      </c>
      <c r="BE48" s="636">
        <f t="shared" si="94"/>
        <v>14473308.5</v>
      </c>
      <c r="BF48" s="636">
        <f t="shared" si="94"/>
        <v>14473308.449999999</v>
      </c>
      <c r="BG48" s="636">
        <f t="shared" si="94"/>
        <v>0</v>
      </c>
      <c r="BH48" s="636">
        <f t="shared" si="94"/>
        <v>16555619.5</v>
      </c>
      <c r="BI48" s="636">
        <f t="shared" si="94"/>
        <v>19951764.5</v>
      </c>
      <c r="BJ48" s="636">
        <f t="shared" si="94"/>
        <v>25415052</v>
      </c>
      <c r="BK48" s="636">
        <f t="shared" si="94"/>
        <v>1546885</v>
      </c>
      <c r="BL48" s="636">
        <f t="shared" si="94"/>
        <v>2599843</v>
      </c>
      <c r="BM48" s="636">
        <f t="shared" si="94"/>
        <v>11585311.710000001</v>
      </c>
      <c r="BN48" s="636">
        <f t="shared" si="94"/>
        <v>12170349</v>
      </c>
      <c r="BO48" s="636">
        <f t="shared" si="94"/>
        <v>13990216</v>
      </c>
      <c r="BP48" s="636">
        <f t="shared" si="94"/>
        <v>14600470</v>
      </c>
      <c r="BQ48" s="636">
        <f t="shared" si="94"/>
        <v>18313914</v>
      </c>
      <c r="BR48" s="636">
        <f t="shared" si="94"/>
        <v>19634334</v>
      </c>
      <c r="BS48" s="636">
        <f t="shared" si="94"/>
        <v>19654128.509999998</v>
      </c>
      <c r="BT48" s="636">
        <f t="shared" si="94"/>
        <v>21823568</v>
      </c>
      <c r="BU48" s="636">
        <f t="shared" si="94"/>
        <v>21211339</v>
      </c>
      <c r="BV48" s="636">
        <f t="shared" si="94"/>
        <v>18576523</v>
      </c>
      <c r="BW48" s="636">
        <f t="shared" si="94"/>
        <v>27415962.050000001</v>
      </c>
      <c r="BX48" s="636">
        <f t="shared" si="94"/>
        <v>1576432</v>
      </c>
      <c r="BY48" s="636">
        <f t="shared" si="94"/>
        <v>3314371</v>
      </c>
      <c r="BZ48" s="636">
        <f t="shared" si="94"/>
        <v>5597898</v>
      </c>
      <c r="CA48" s="636">
        <f t="shared" si="94"/>
        <v>7083271</v>
      </c>
      <c r="CB48" s="636">
        <f t="shared" si="94"/>
        <v>7888488</v>
      </c>
      <c r="CC48" s="636">
        <f t="shared" si="94"/>
        <v>9138104</v>
      </c>
      <c r="CD48" s="636">
        <f t="shared" si="94"/>
        <v>11144588</v>
      </c>
      <c r="CE48" s="636">
        <f t="shared" si="94"/>
        <v>12156777.1</v>
      </c>
      <c r="CF48" s="636">
        <f t="shared" si="94"/>
        <v>13238302.76</v>
      </c>
      <c r="CG48" s="636">
        <f t="shared" si="94"/>
        <v>14421551.74</v>
      </c>
      <c r="CH48" s="636">
        <f t="shared" si="94"/>
        <v>18010978.810000002</v>
      </c>
      <c r="CI48" s="636">
        <f t="shared" si="94"/>
        <v>21298724.27</v>
      </c>
      <c r="CJ48" s="636">
        <f t="shared" si="94"/>
        <v>29670703.27</v>
      </c>
      <c r="CK48" s="636">
        <f t="shared" si="94"/>
        <v>3338458.8600000003</v>
      </c>
      <c r="CL48" s="636">
        <f t="shared" si="94"/>
        <v>2729579.86</v>
      </c>
      <c r="CM48" s="636">
        <f t="shared" si="94"/>
        <v>4554140</v>
      </c>
      <c r="CN48" s="636">
        <f t="shared" si="94"/>
        <v>5646278</v>
      </c>
      <c r="CO48" s="636">
        <f t="shared" si="94"/>
        <v>7162248.71</v>
      </c>
      <c r="CP48" s="636">
        <f t="shared" si="94"/>
        <v>8502840.4499999993</v>
      </c>
      <c r="CQ48" s="636">
        <f t="shared" si="94"/>
        <v>0</v>
      </c>
      <c r="CR48" s="636">
        <f t="shared" si="94"/>
        <v>11368339.560000001</v>
      </c>
      <c r="CS48" s="636">
        <f t="shared" si="94"/>
        <v>13713210.039999999</v>
      </c>
      <c r="CT48" s="636">
        <f t="shared" si="94"/>
        <v>30998292</v>
      </c>
      <c r="CU48" s="636">
        <f t="shared" si="94"/>
        <v>16849856.66</v>
      </c>
      <c r="CV48" s="636">
        <f t="shared" ref="CV48:CW48" si="95">SUM(CV49:CV55)</f>
        <v>23716565.260000002</v>
      </c>
      <c r="CW48" s="636">
        <f t="shared" si="95"/>
        <v>37377328.350000001</v>
      </c>
      <c r="CX48" s="636">
        <f t="shared" ref="CX48:DD48" si="96">SUM(CX49:CX55)</f>
        <v>1439871.48</v>
      </c>
      <c r="CY48" s="636">
        <f t="shared" si="96"/>
        <v>2776899.48</v>
      </c>
      <c r="CZ48" s="636">
        <f t="shared" si="96"/>
        <v>4898145.96</v>
      </c>
      <c r="DA48" s="636">
        <f t="shared" si="96"/>
        <v>6510325.4799999995</v>
      </c>
      <c r="DB48" s="636">
        <f t="shared" si="96"/>
        <v>8115384.0999999996</v>
      </c>
      <c r="DC48" s="636">
        <f t="shared" si="96"/>
        <v>10861172.779999999</v>
      </c>
      <c r="DD48" s="636">
        <f t="shared" si="96"/>
        <v>12016522.989999998</v>
      </c>
      <c r="DE48" s="636">
        <f t="shared" ref="DE48:DU48" si="97">SUM(DE49:DE55)</f>
        <v>13725068.489999998</v>
      </c>
      <c r="DF48" s="636">
        <f t="shared" si="97"/>
        <v>14875991.1</v>
      </c>
      <c r="DG48" s="636">
        <f t="shared" si="97"/>
        <v>18781108.899999999</v>
      </c>
      <c r="DH48" s="636">
        <f t="shared" si="97"/>
        <v>21233956.07</v>
      </c>
      <c r="DI48" s="636">
        <f t="shared" si="97"/>
        <v>30564384.950000003</v>
      </c>
      <c r="DJ48" s="636">
        <f t="shared" si="97"/>
        <v>47744461</v>
      </c>
      <c r="DK48" s="636">
        <f t="shared" si="97"/>
        <v>2070219.1099999999</v>
      </c>
      <c r="DL48" s="636">
        <f t="shared" si="97"/>
        <v>3618454.4099999997</v>
      </c>
      <c r="DM48" s="636">
        <f t="shared" si="97"/>
        <v>6101906.6699999999</v>
      </c>
      <c r="DN48" s="636">
        <f t="shared" si="97"/>
        <v>8227562.4500000002</v>
      </c>
      <c r="DO48" s="636">
        <f t="shared" si="97"/>
        <v>9974252.5500000007</v>
      </c>
      <c r="DP48" s="636">
        <f t="shared" si="97"/>
        <v>12382696.83</v>
      </c>
      <c r="DQ48" s="636">
        <f t="shared" si="97"/>
        <v>14339133.439999999</v>
      </c>
      <c r="DR48" s="636">
        <f t="shared" si="97"/>
        <v>16471368.41</v>
      </c>
      <c r="DS48" s="636">
        <f t="shared" si="97"/>
        <v>18766729.210000001</v>
      </c>
      <c r="DT48" s="636">
        <f t="shared" si="97"/>
        <v>23092907.5</v>
      </c>
      <c r="DU48" s="636">
        <f t="shared" si="97"/>
        <v>25812560.030000001</v>
      </c>
      <c r="DV48" s="636">
        <f t="shared" ref="DV48:EB48" si="98">SUM(DV49:DV55)</f>
        <v>0</v>
      </c>
      <c r="DW48" s="636">
        <f t="shared" si="98"/>
        <v>54986002</v>
      </c>
      <c r="DX48" s="636"/>
      <c r="DY48" s="636"/>
      <c r="DZ48" s="636"/>
      <c r="EA48" s="636"/>
      <c r="EB48" s="636"/>
    </row>
    <row r="49" spans="1:132" ht="15" x14ac:dyDescent="0.25">
      <c r="A49" s="602">
        <v>10.1</v>
      </c>
      <c r="B49" s="637" t="s">
        <v>183</v>
      </c>
      <c r="C49" s="590">
        <f>Trend!C68</f>
        <v>0</v>
      </c>
      <c r="D49" s="590">
        <f>Trend!D68</f>
        <v>0</v>
      </c>
      <c r="E49" s="590">
        <f>Trend!E68</f>
        <v>1138470</v>
      </c>
      <c r="F49" s="590">
        <f>Trend!F68</f>
        <v>1235355</v>
      </c>
      <c r="G49" s="590">
        <f>Trend!G68</f>
        <v>1496701</v>
      </c>
      <c r="H49" s="590">
        <f>Trend!H68</f>
        <v>0</v>
      </c>
      <c r="I49" s="590">
        <f>Trend!I68</f>
        <v>2653816</v>
      </c>
      <c r="J49" s="590">
        <f>Trend!J68</f>
        <v>0</v>
      </c>
      <c r="K49" s="590">
        <f>Trend!K68</f>
        <v>0</v>
      </c>
      <c r="L49" s="590">
        <f>Trend!L68</f>
        <v>3225290</v>
      </c>
      <c r="M49" s="590">
        <f>Trend!M68</f>
        <v>3225290</v>
      </c>
      <c r="N49" s="590">
        <f>Trend!N68</f>
        <v>0</v>
      </c>
      <c r="O49" s="590">
        <f>Trend!O68</f>
        <v>0</v>
      </c>
      <c r="P49" s="590">
        <f>Trend!P68</f>
        <v>0</v>
      </c>
      <c r="Q49" s="590">
        <f>Trend!Q68</f>
        <v>0</v>
      </c>
      <c r="R49" s="590">
        <f>Trend!R68</f>
        <v>0</v>
      </c>
      <c r="S49" s="590">
        <f>Trend!S68</f>
        <v>0</v>
      </c>
      <c r="T49" s="590">
        <f>Trend!T68</f>
        <v>0</v>
      </c>
      <c r="U49" s="590">
        <f>Trend!U68</f>
        <v>0</v>
      </c>
      <c r="V49" s="590">
        <f>Trend!V68</f>
        <v>3207800</v>
      </c>
      <c r="W49" s="590">
        <f>Trend!W68</f>
        <v>0</v>
      </c>
      <c r="X49" s="590">
        <f>Trend!X68</f>
        <v>0</v>
      </c>
      <c r="Y49" s="590">
        <f>Trend!Y68</f>
        <v>0</v>
      </c>
      <c r="Z49" s="590">
        <f>Trend!Z68</f>
        <v>0</v>
      </c>
      <c r="AA49" s="590">
        <f>Trend!AA68</f>
        <v>0</v>
      </c>
      <c r="AB49" s="590">
        <f>Trend!AB68</f>
        <v>0</v>
      </c>
      <c r="AC49" s="590">
        <f>Trend!AC68</f>
        <v>0</v>
      </c>
      <c r="AD49" s="590">
        <f>Trend!AD68</f>
        <v>0</v>
      </c>
      <c r="AE49" s="590">
        <f>Trend!AE68</f>
        <v>0</v>
      </c>
      <c r="AF49" s="590">
        <f>Trend!AF68</f>
        <v>-2320</v>
      </c>
      <c r="AG49" s="590">
        <f>Trend!AG68</f>
        <v>-2320</v>
      </c>
      <c r="AH49" s="590">
        <f>Trend!AH68</f>
        <v>-4640</v>
      </c>
      <c r="AI49" s="590">
        <f>Trend!AI68</f>
        <v>5126063</v>
      </c>
      <c r="AJ49" s="590">
        <f>Trend!AJ68</f>
        <v>5126063</v>
      </c>
      <c r="AK49" s="590">
        <f>Trend!AK68</f>
        <v>0</v>
      </c>
      <c r="AL49" s="590">
        <f>Trend!AL68</f>
        <v>0</v>
      </c>
      <c r="AM49" s="590">
        <f>Trend!AM68</f>
        <v>0</v>
      </c>
      <c r="AN49" s="590">
        <f>Trend!AN68</f>
        <v>0</v>
      </c>
      <c r="AO49" s="590">
        <f>Trend!AO68</f>
        <v>0</v>
      </c>
      <c r="AP49" s="590">
        <f>Trend!AP68</f>
        <v>0</v>
      </c>
      <c r="AQ49" s="590">
        <f>Trend!AQ68</f>
        <v>0</v>
      </c>
      <c r="AR49" s="590">
        <f>Trend!AR68</f>
        <v>5854534.0999999996</v>
      </c>
      <c r="AS49" s="590">
        <f>Trend!AS68</f>
        <v>0</v>
      </c>
      <c r="AT49" s="590">
        <f>Trend!AT68</f>
        <v>0</v>
      </c>
      <c r="AU49" s="590">
        <f>Trend!AU68</f>
        <v>5854534.0999999996</v>
      </c>
      <c r="AV49" s="590">
        <f>Trend!AV68</f>
        <v>-27920</v>
      </c>
      <c r="AW49" s="590">
        <f>Trend!AW68</f>
        <v>5808736</v>
      </c>
      <c r="AX49" s="590">
        <f>Trend!AX68</f>
        <v>0</v>
      </c>
      <c r="AY49" s="590">
        <f>Trend!AY68</f>
        <v>0</v>
      </c>
      <c r="AZ49" s="590">
        <f>Trend!AZ68</f>
        <v>0</v>
      </c>
      <c r="BA49" s="590">
        <f>Trend!BA68</f>
        <v>0</v>
      </c>
      <c r="BB49" s="590">
        <f>Trend!BB68</f>
        <v>0</v>
      </c>
      <c r="BC49" s="590">
        <f>Trend!BC68</f>
        <v>33572</v>
      </c>
      <c r="BD49" s="590">
        <f>Trend!BD68</f>
        <v>0</v>
      </c>
      <c r="BE49" s="590">
        <f>Trend!BE68</f>
        <v>0</v>
      </c>
      <c r="BF49" s="590">
        <f>Trend!BF68</f>
        <v>0</v>
      </c>
      <c r="BG49" s="590">
        <f>Trend!BG68</f>
        <v>0</v>
      </c>
      <c r="BH49" s="590">
        <f>Trend!BH68</f>
        <v>0</v>
      </c>
      <c r="BI49" s="590">
        <f>Trend!BI68</f>
        <v>0</v>
      </c>
      <c r="BJ49" s="590">
        <f>Trend!BJ68</f>
        <v>6911689</v>
      </c>
      <c r="BK49" s="590">
        <f>Trend!BK68</f>
        <v>0</v>
      </c>
      <c r="BL49" s="590">
        <f>Trend!BL68</f>
        <v>0</v>
      </c>
      <c r="BM49" s="590">
        <f>Trend!BM68</f>
        <v>0</v>
      </c>
      <c r="BN49" s="590">
        <f>Trend!BN68</f>
        <v>0</v>
      </c>
      <c r="BO49" s="590">
        <f>Trend!BO68</f>
        <v>0</v>
      </c>
      <c r="BP49" s="590">
        <f>Trend!BP68</f>
        <v>0</v>
      </c>
      <c r="BQ49" s="590">
        <f>Trend!BQ68</f>
        <v>0</v>
      </c>
      <c r="BR49" s="590">
        <f>Trend!BR68</f>
        <v>0</v>
      </c>
      <c r="BS49" s="590">
        <f>Trend!BS68</f>
        <v>0</v>
      </c>
      <c r="BT49" s="590">
        <f>Trend!BT68</f>
        <v>0</v>
      </c>
      <c r="BU49" s="590">
        <f>Trend!BU68</f>
        <v>0</v>
      </c>
      <c r="BV49" s="590">
        <f>Trend!BV68</f>
        <v>0</v>
      </c>
      <c r="BW49" s="590">
        <f>Trend!BW68</f>
        <v>9040189.5999999996</v>
      </c>
      <c r="BX49" s="590">
        <f>Trend!BX68</f>
        <v>0</v>
      </c>
      <c r="BY49" s="590">
        <f>Trend!BY68</f>
        <v>0</v>
      </c>
      <c r="BZ49" s="590">
        <f>Trend!BZ68</f>
        <v>0</v>
      </c>
      <c r="CA49" s="590">
        <f>Trend!CA68</f>
        <v>0</v>
      </c>
      <c r="CB49" s="590">
        <f>Trend!CB68</f>
        <v>0</v>
      </c>
      <c r="CC49" s="590">
        <f>Trend!CC68</f>
        <v>0</v>
      </c>
      <c r="CD49" s="590">
        <f>Trend!CD68</f>
        <v>0</v>
      </c>
      <c r="CE49" s="590">
        <f>Trend!CE68</f>
        <v>0</v>
      </c>
      <c r="CF49" s="590">
        <f>Trend!CF68</f>
        <v>0</v>
      </c>
      <c r="CG49" s="590">
        <f>Trend!CG68</f>
        <v>217011.56</v>
      </c>
      <c r="CH49" s="590">
        <f>Trend!CH68</f>
        <v>828440.51</v>
      </c>
      <c r="CI49" s="590">
        <f>Trend!CI68</f>
        <v>0</v>
      </c>
      <c r="CJ49" s="590">
        <f>Trend!CJ68</f>
        <v>8349044.0099999998</v>
      </c>
      <c r="CK49" s="590">
        <f>Trend!CK68</f>
        <v>0</v>
      </c>
      <c r="CL49" s="590">
        <f>Trend!CL68</f>
        <v>0</v>
      </c>
      <c r="CM49" s="590">
        <f>Trend!CM68</f>
        <v>0</v>
      </c>
      <c r="CN49" s="590">
        <f>Trend!CN68</f>
        <v>0</v>
      </c>
      <c r="CO49" s="590">
        <f>Trend!CO68</f>
        <v>220061.21</v>
      </c>
      <c r="CP49" s="590">
        <f>Trend!CP68</f>
        <v>266144.95</v>
      </c>
      <c r="CQ49" s="590">
        <f>Trend!CQ68</f>
        <v>0</v>
      </c>
      <c r="CR49" s="590">
        <f>Trend!CR68</f>
        <v>299899.56</v>
      </c>
      <c r="CS49" s="590">
        <f>Trend!CS68</f>
        <v>431545.04</v>
      </c>
      <c r="CT49" s="590">
        <f>Trend!CT68</f>
        <v>962662</v>
      </c>
      <c r="CU49" s="590">
        <f>Trend!CU68</f>
        <v>533428.66</v>
      </c>
      <c r="CV49" s="590">
        <f>Trend!CV68</f>
        <v>604636.78</v>
      </c>
      <c r="CW49" s="590">
        <f>Trend!CW68</f>
        <v>13660763.09</v>
      </c>
      <c r="CX49" s="590">
        <f>Trend!CX68</f>
        <v>49468</v>
      </c>
      <c r="CY49" s="590">
        <f>Trend!CY68</f>
        <v>58230</v>
      </c>
      <c r="CZ49" s="590">
        <f>Trend!CZ68</f>
        <v>149854.66</v>
      </c>
      <c r="DA49" s="590">
        <f>Trend!DA68</f>
        <v>206989.7</v>
      </c>
      <c r="DB49" s="590">
        <f>Trend!DB68</f>
        <v>211116.2</v>
      </c>
      <c r="DC49" s="590">
        <f>Trend!DC68</f>
        <v>324259.65999999997</v>
      </c>
      <c r="DD49" s="590">
        <f>Trend!DD68</f>
        <v>377959.39</v>
      </c>
      <c r="DE49" s="590">
        <f>Trend!DE68</f>
        <v>395521.89</v>
      </c>
      <c r="DF49" s="590">
        <f>Trend!DF68</f>
        <v>0</v>
      </c>
      <c r="DG49" s="590">
        <f>Trend!DG68</f>
        <v>0</v>
      </c>
      <c r="DH49" s="590">
        <f>Trend!DH68</f>
        <v>581163.29</v>
      </c>
      <c r="DI49" s="590">
        <f>Trend!DI68</f>
        <v>725467.4</v>
      </c>
      <c r="DJ49" s="590">
        <f>Trend!DJ68</f>
        <v>15897898</v>
      </c>
      <c r="DK49" s="590">
        <f>Trend!DK68</f>
        <v>122665.36</v>
      </c>
      <c r="DL49" s="590">
        <f>Trend!DL68</f>
        <v>147220.35999999999</v>
      </c>
      <c r="DM49" s="590">
        <f>Trend!DM68</f>
        <v>161738.10999999999</v>
      </c>
      <c r="DN49" s="590">
        <f>Trend!DN68</f>
        <v>195435.89</v>
      </c>
      <c r="DO49" s="590">
        <f>Trend!DO68</f>
        <v>234835.89</v>
      </c>
      <c r="DP49" s="590">
        <f>Trend!DP68</f>
        <v>256265.72</v>
      </c>
      <c r="DQ49" s="590">
        <f>Trend!DQ68</f>
        <v>261813.88</v>
      </c>
      <c r="DR49" s="590">
        <f>Trend!DR68</f>
        <v>305118.88</v>
      </c>
      <c r="DS49" s="590">
        <f>Trend!DS68</f>
        <v>340323.3</v>
      </c>
      <c r="DT49" s="590">
        <f>Trend!DT68</f>
        <v>344242.34</v>
      </c>
      <c r="DU49" s="590">
        <f>Trend!DU68</f>
        <v>397523.37</v>
      </c>
      <c r="DV49" s="590">
        <f>Trend!DV68</f>
        <v>0</v>
      </c>
      <c r="DW49" s="590">
        <f>Trend!DW68</f>
        <v>19727218</v>
      </c>
      <c r="DX49" s="590"/>
      <c r="DY49" s="590"/>
      <c r="DZ49" s="590"/>
      <c r="EA49" s="590"/>
      <c r="EB49" s="590"/>
    </row>
    <row r="50" spans="1:132" ht="15" x14ac:dyDescent="0.25">
      <c r="A50" s="602">
        <v>10.199999999999999</v>
      </c>
      <c r="B50" s="637" t="s">
        <v>184</v>
      </c>
      <c r="C50" s="621">
        <f>Trend!C70</f>
        <v>0</v>
      </c>
      <c r="D50" s="621">
        <f>Trend!D70</f>
        <v>404847</v>
      </c>
      <c r="E50" s="621">
        <f>Trend!E70</f>
        <v>0</v>
      </c>
      <c r="F50" s="621">
        <f>Trend!F70</f>
        <v>407532</v>
      </c>
      <c r="G50" s="621">
        <f>Trend!G70</f>
        <v>393000</v>
      </c>
      <c r="H50" s="621">
        <f>Trend!H70</f>
        <v>0</v>
      </c>
      <c r="I50" s="621">
        <f>Trend!I70</f>
        <v>0</v>
      </c>
      <c r="J50" s="621">
        <f>Trend!J70</f>
        <v>0</v>
      </c>
      <c r="K50" s="621">
        <f>Trend!K70</f>
        <v>0</v>
      </c>
      <c r="L50" s="621">
        <f>Trend!L70</f>
        <v>0</v>
      </c>
      <c r="M50" s="621">
        <f>Trend!M70</f>
        <v>0</v>
      </c>
      <c r="N50" s="621">
        <f>Trend!N70</f>
        <v>0</v>
      </c>
      <c r="O50" s="621">
        <f>Trend!O70</f>
        <v>0</v>
      </c>
      <c r="P50" s="621">
        <f>Trend!P70</f>
        <v>0</v>
      </c>
      <c r="Q50" s="621">
        <f>Trend!Q70</f>
        <v>0</v>
      </c>
      <c r="R50" s="621">
        <f>Trend!R70</f>
        <v>0</v>
      </c>
      <c r="S50" s="621">
        <f>Trend!S70</f>
        <v>0</v>
      </c>
      <c r="T50" s="621">
        <f>Trend!T70</f>
        <v>0</v>
      </c>
      <c r="U50" s="621">
        <f>Trend!U70</f>
        <v>0</v>
      </c>
      <c r="V50" s="621">
        <f>Trend!V70</f>
        <v>894352</v>
      </c>
      <c r="W50" s="621">
        <f>Trend!W70</f>
        <v>0</v>
      </c>
      <c r="X50" s="621">
        <f>Trend!X70</f>
        <v>0</v>
      </c>
      <c r="Y50" s="621">
        <f>Trend!Y70</f>
        <v>0</v>
      </c>
      <c r="Z50" s="621">
        <f>Trend!Z70</f>
        <v>0</v>
      </c>
      <c r="AA50" s="621">
        <f>Trend!AA70</f>
        <v>0</v>
      </c>
      <c r="AB50" s="621">
        <f>Trend!AB70</f>
        <v>675528</v>
      </c>
      <c r="AC50" s="621">
        <f>Trend!AC70</f>
        <v>791435</v>
      </c>
      <c r="AD50" s="621">
        <f>Trend!AD70</f>
        <v>796665</v>
      </c>
      <c r="AE50" s="621">
        <f>Trend!AE70</f>
        <v>971295</v>
      </c>
      <c r="AF50" s="621">
        <f>Trend!AF70</f>
        <v>829855</v>
      </c>
      <c r="AG50" s="621">
        <f>Trend!AG70</f>
        <v>871260</v>
      </c>
      <c r="AH50" s="621">
        <f>Trend!AH70</f>
        <v>926560</v>
      </c>
      <c r="AI50" s="621">
        <f>Trend!AI70</f>
        <v>0</v>
      </c>
      <c r="AJ50" s="621">
        <f>Trend!AJ70</f>
        <v>0</v>
      </c>
      <c r="AK50" s="621">
        <f>Trend!AK70</f>
        <v>0</v>
      </c>
      <c r="AL50" s="621">
        <f>Trend!AL70</f>
        <v>414920</v>
      </c>
      <c r="AM50" s="621">
        <f>Trend!AM70</f>
        <v>509145</v>
      </c>
      <c r="AN50" s="621">
        <f>Trend!AN70</f>
        <v>572540</v>
      </c>
      <c r="AO50" s="621">
        <f>Trend!AO70</f>
        <v>566045</v>
      </c>
      <c r="AP50" s="621">
        <f>Trend!AP70</f>
        <v>0</v>
      </c>
      <c r="AQ50" s="621">
        <f>Trend!AQ70</f>
        <v>718470</v>
      </c>
      <c r="AR50" s="621">
        <f>Trend!AR70</f>
        <v>877570</v>
      </c>
      <c r="AS50" s="621">
        <f>Trend!AS70</f>
        <v>0</v>
      </c>
      <c r="AT50" s="621">
        <f>Trend!AT70</f>
        <v>0</v>
      </c>
      <c r="AU50" s="621">
        <f>Trend!AU70</f>
        <v>984044</v>
      </c>
      <c r="AV50" s="621">
        <f>Trend!AV70</f>
        <v>1104497</v>
      </c>
      <c r="AW50" s="621">
        <f>Trend!AW70</f>
        <v>0</v>
      </c>
      <c r="AX50" s="621">
        <f>Trend!AX70</f>
        <v>0</v>
      </c>
      <c r="AY50" s="621">
        <f>Trend!AY70</f>
        <v>0</v>
      </c>
      <c r="AZ50" s="621">
        <f>Trend!AZ70</f>
        <v>2757782</v>
      </c>
      <c r="BA50" s="621">
        <f>Trend!BA70</f>
        <v>715212</v>
      </c>
      <c r="BB50" s="621">
        <f>Trend!BB70</f>
        <v>608151</v>
      </c>
      <c r="BC50" s="621">
        <f>Trend!BC70</f>
        <v>503431</v>
      </c>
      <c r="BD50" s="621">
        <f>Trend!BD70</f>
        <v>4000</v>
      </c>
      <c r="BE50" s="621">
        <f>Trend!BE70</f>
        <v>0</v>
      </c>
      <c r="BF50" s="621">
        <f>Trend!BF70</f>
        <v>0</v>
      </c>
      <c r="BG50" s="621">
        <f>Trend!BG70</f>
        <v>0</v>
      </c>
      <c r="BH50" s="621">
        <f>Trend!BH70</f>
        <v>0</v>
      </c>
      <c r="BI50" s="621">
        <f>Trend!BI70</f>
        <v>0</v>
      </c>
      <c r="BJ50" s="621">
        <f>Trend!BJ70</f>
        <v>0</v>
      </c>
      <c r="BK50" s="621">
        <f>Trend!BK70</f>
        <v>0</v>
      </c>
      <c r="BL50" s="621">
        <f>Trend!BL70</f>
        <v>0</v>
      </c>
      <c r="BM50" s="621">
        <f>Trend!BM70</f>
        <v>0</v>
      </c>
      <c r="BN50" s="621">
        <f>Trend!BN70</f>
        <v>0</v>
      </c>
      <c r="BO50" s="621">
        <f>Trend!BO70</f>
        <v>0</v>
      </c>
      <c r="BP50" s="621">
        <f>Trend!BP70</f>
        <v>0</v>
      </c>
      <c r="BQ50" s="621">
        <f>Trend!BQ70</f>
        <v>0</v>
      </c>
      <c r="BR50" s="621">
        <f>Trend!BR70</f>
        <v>0</v>
      </c>
      <c r="BS50" s="621">
        <f>Trend!BS70</f>
        <v>0</v>
      </c>
      <c r="BT50" s="621">
        <f>Trend!BT70</f>
        <v>0</v>
      </c>
      <c r="BU50" s="621">
        <f>Trend!BU70</f>
        <v>0</v>
      </c>
      <c r="BV50" s="621">
        <f>Trend!BV70</f>
        <v>0</v>
      </c>
      <c r="BW50" s="621">
        <f>Trend!BW70</f>
        <v>0</v>
      </c>
      <c r="BX50" s="621">
        <f>Trend!BX70</f>
        <v>0</v>
      </c>
      <c r="BY50" s="621">
        <f>Trend!BY70</f>
        <v>0</v>
      </c>
      <c r="BZ50" s="621">
        <f>Trend!BZ70</f>
        <v>0</v>
      </c>
      <c r="CA50" s="621">
        <f>Trend!CA70</f>
        <v>0</v>
      </c>
      <c r="CB50" s="621">
        <f>Trend!CB70</f>
        <v>0</v>
      </c>
      <c r="CC50" s="621">
        <f>Trend!CC70</f>
        <v>0</v>
      </c>
      <c r="CD50" s="621">
        <f>Trend!CD70</f>
        <v>0</v>
      </c>
      <c r="CE50" s="621">
        <f>Trend!CE70</f>
        <v>0</v>
      </c>
      <c r="CF50" s="621">
        <f>Trend!CF70</f>
        <v>0</v>
      </c>
      <c r="CG50" s="621">
        <f>Trend!CG70</f>
        <v>0</v>
      </c>
      <c r="CH50" s="621">
        <f>Trend!CH70</f>
        <v>0</v>
      </c>
      <c r="CI50" s="621">
        <f>Trend!CI70</f>
        <v>0</v>
      </c>
      <c r="CJ50" s="621">
        <f>Trend!CJ70</f>
        <v>0</v>
      </c>
      <c r="CK50" s="621">
        <f>Trend!CK70</f>
        <v>0</v>
      </c>
      <c r="CL50" s="621">
        <f>Trend!CL70</f>
        <v>0</v>
      </c>
      <c r="CM50" s="621">
        <f>Trend!CM70</f>
        <v>0</v>
      </c>
      <c r="CN50" s="621">
        <f>Trend!CN70</f>
        <v>0</v>
      </c>
      <c r="CO50" s="621">
        <f>Trend!CO70</f>
        <v>0</v>
      </c>
      <c r="CP50" s="621">
        <f>Trend!CP70</f>
        <v>0</v>
      </c>
      <c r="CQ50" s="621">
        <f>Trend!CQ70</f>
        <v>0</v>
      </c>
      <c r="CR50" s="621">
        <f>Trend!CR70</f>
        <v>0</v>
      </c>
      <c r="CS50" s="621">
        <f>Trend!CS70</f>
        <v>0</v>
      </c>
      <c r="CT50" s="621">
        <f>Trend!CT70</f>
        <v>0</v>
      </c>
      <c r="CU50" s="621">
        <f>Trend!CU70</f>
        <v>0</v>
      </c>
      <c r="CV50" s="621">
        <f>Trend!CV70</f>
        <v>0</v>
      </c>
      <c r="CW50" s="621">
        <f>Trend!CW70</f>
        <v>0</v>
      </c>
      <c r="CX50" s="621">
        <f>Trend!CX70</f>
        <v>0</v>
      </c>
      <c r="CY50" s="621">
        <f>Trend!CY70</f>
        <v>0</v>
      </c>
      <c r="CZ50" s="621">
        <f>Trend!CZ70</f>
        <v>0</v>
      </c>
      <c r="DA50" s="621">
        <f>Trend!DA70</f>
        <v>0</v>
      </c>
      <c r="DB50" s="621">
        <f>Trend!DB70</f>
        <v>0</v>
      </c>
      <c r="DC50" s="621">
        <f>Trend!DC70</f>
        <v>0</v>
      </c>
      <c r="DD50" s="621">
        <f>Trend!DD70</f>
        <v>0</v>
      </c>
      <c r="DE50" s="621">
        <f>Trend!DE70</f>
        <v>0</v>
      </c>
      <c r="DF50" s="621">
        <f>Trend!DF70</f>
        <v>0</v>
      </c>
      <c r="DG50" s="621">
        <f>Trend!DG70</f>
        <v>0</v>
      </c>
      <c r="DH50" s="621">
        <f>Trend!DH70</f>
        <v>0</v>
      </c>
      <c r="DI50" s="621">
        <f>Trend!DI70</f>
        <v>0</v>
      </c>
      <c r="DJ50" s="621">
        <f>Trend!DJ70</f>
        <v>725467</v>
      </c>
      <c r="DK50" s="621">
        <f>Trend!DK70</f>
        <v>0</v>
      </c>
      <c r="DL50" s="621">
        <f>Trend!DL70</f>
        <v>0</v>
      </c>
      <c r="DM50" s="621">
        <f>Trend!DM70</f>
        <v>0</v>
      </c>
      <c r="DN50" s="621">
        <f>Trend!DN70</f>
        <v>0</v>
      </c>
      <c r="DO50" s="621">
        <f>Trend!DO70</f>
        <v>0</v>
      </c>
      <c r="DP50" s="621">
        <f>Trend!DP70</f>
        <v>0</v>
      </c>
      <c r="DQ50" s="621">
        <f>Trend!DQ70</f>
        <v>0</v>
      </c>
      <c r="DR50" s="621">
        <f>Trend!DR70</f>
        <v>0</v>
      </c>
      <c r="DS50" s="621">
        <f>Trend!DS70</f>
        <v>0</v>
      </c>
      <c r="DT50" s="621">
        <f>Trend!DT70</f>
        <v>0</v>
      </c>
      <c r="DU50" s="621">
        <f>Trend!DU70</f>
        <v>0</v>
      </c>
      <c r="DV50" s="621">
        <f>Trend!DV70</f>
        <v>0</v>
      </c>
      <c r="DW50" s="621">
        <f>Trend!DW70</f>
        <v>0</v>
      </c>
      <c r="DX50" s="621"/>
      <c r="DY50" s="621"/>
      <c r="DZ50" s="621"/>
      <c r="EA50" s="621"/>
      <c r="EB50" s="621"/>
    </row>
    <row r="51" spans="1:132" ht="15" x14ac:dyDescent="0.25">
      <c r="A51" s="602">
        <v>10.3</v>
      </c>
      <c r="B51" s="637" t="s">
        <v>185</v>
      </c>
      <c r="C51" s="592">
        <f>Trend!C69</f>
        <v>0</v>
      </c>
      <c r="D51" s="592">
        <f>Trend!D69</f>
        <v>0</v>
      </c>
      <c r="E51" s="592">
        <f>Trend!E69</f>
        <v>0</v>
      </c>
      <c r="F51" s="592">
        <f>Trend!F69</f>
        <v>152793</v>
      </c>
      <c r="G51" s="592">
        <f>Trend!G69</f>
        <v>257234</v>
      </c>
      <c r="H51" s="592">
        <f>Trend!H69</f>
        <v>0</v>
      </c>
      <c r="I51" s="592">
        <f>Trend!I69</f>
        <v>304823</v>
      </c>
      <c r="J51" s="592">
        <f>Trend!J69</f>
        <v>0</v>
      </c>
      <c r="K51" s="592">
        <f>Trend!K69</f>
        <v>0</v>
      </c>
      <c r="L51" s="592">
        <f>Trend!L69</f>
        <v>0</v>
      </c>
      <c r="M51" s="592">
        <f>Trend!M69</f>
        <v>95650</v>
      </c>
      <c r="N51" s="592">
        <f>Trend!N69</f>
        <v>95650</v>
      </c>
      <c r="O51" s="592">
        <f>Trend!O69</f>
        <v>95650</v>
      </c>
      <c r="P51" s="592">
        <f>Trend!P69</f>
        <v>145633</v>
      </c>
      <c r="Q51" s="592">
        <f>Trend!Q69</f>
        <v>276559</v>
      </c>
      <c r="R51" s="592">
        <f>Trend!R69</f>
        <v>276559</v>
      </c>
      <c r="S51" s="592">
        <f>Trend!S69</f>
        <v>276559</v>
      </c>
      <c r="T51" s="592">
        <f>Trend!T69</f>
        <v>0</v>
      </c>
      <c r="U51" s="592">
        <f>Trend!U69</f>
        <v>0</v>
      </c>
      <c r="V51" s="592">
        <f>Trend!V69</f>
        <v>514256</v>
      </c>
      <c r="W51" s="592">
        <f>Trend!W69</f>
        <v>0</v>
      </c>
      <c r="X51" s="592">
        <f>Trend!X69</f>
        <v>0</v>
      </c>
      <c r="Y51" s="592">
        <f>Trend!Y69</f>
        <v>0</v>
      </c>
      <c r="Z51" s="592">
        <f>Trend!Z69</f>
        <v>52230</v>
      </c>
      <c r="AA51" s="592">
        <f>Trend!AA69</f>
        <v>52230</v>
      </c>
      <c r="AB51" s="592">
        <f>Trend!AB69</f>
        <v>61830</v>
      </c>
      <c r="AC51" s="592">
        <f>Trend!AC69</f>
        <v>65030</v>
      </c>
      <c r="AD51" s="592">
        <f>Trend!AD69</f>
        <v>71430</v>
      </c>
      <c r="AE51" s="592">
        <f>Trend!AE69</f>
        <v>71430</v>
      </c>
      <c r="AF51" s="592">
        <f>Trend!AF69</f>
        <v>71430</v>
      </c>
      <c r="AG51" s="592">
        <f>Trend!AG69</f>
        <v>160482</v>
      </c>
      <c r="AH51" s="592">
        <f>Trend!AH69</f>
        <v>173771</v>
      </c>
      <c r="AI51" s="592">
        <f>Trend!AI69</f>
        <v>137397</v>
      </c>
      <c r="AJ51" s="592">
        <f>Trend!AJ69</f>
        <v>137398</v>
      </c>
      <c r="AK51" s="592">
        <f>Trend!AK69</f>
        <v>0</v>
      </c>
      <c r="AL51" s="592">
        <f>Trend!AL69</f>
        <v>0</v>
      </c>
      <c r="AM51" s="592">
        <f>Trend!AM69</f>
        <v>0</v>
      </c>
      <c r="AN51" s="592">
        <f>Trend!AN69</f>
        <v>7200</v>
      </c>
      <c r="AO51" s="592">
        <f>Trend!AO69</f>
        <v>7200</v>
      </c>
      <c r="AP51" s="592">
        <f>Trend!AP69</f>
        <v>0</v>
      </c>
      <c r="AQ51" s="592">
        <f>Trend!AQ69</f>
        <v>7200</v>
      </c>
      <c r="AR51" s="592">
        <f>Trend!AR69</f>
        <v>18400</v>
      </c>
      <c r="AS51" s="592">
        <f>Trend!AS69</f>
        <v>0</v>
      </c>
      <c r="AT51" s="592">
        <f>Trend!AT69</f>
        <v>0</v>
      </c>
      <c r="AU51" s="592">
        <f>Trend!AU69</f>
        <v>18400</v>
      </c>
      <c r="AV51" s="592">
        <f>Trend!AV69</f>
        <v>18400</v>
      </c>
      <c r="AW51" s="592">
        <f>Trend!AW69</f>
        <v>0</v>
      </c>
      <c r="AX51" s="592">
        <f>Trend!AX69</f>
        <v>0</v>
      </c>
      <c r="AY51" s="592">
        <f>Trend!AY69</f>
        <v>0</v>
      </c>
      <c r="AZ51" s="592">
        <f>Trend!AZ69</f>
        <v>0</v>
      </c>
      <c r="BA51" s="592">
        <f>Trend!BA69</f>
        <v>0</v>
      </c>
      <c r="BB51" s="592">
        <f>Trend!BB69</f>
        <v>33572</v>
      </c>
      <c r="BC51" s="592">
        <f>Trend!BC69</f>
        <v>0</v>
      </c>
      <c r="BD51" s="592">
        <f>Trend!BD69</f>
        <v>515523</v>
      </c>
      <c r="BE51" s="592">
        <f>Trend!BE69</f>
        <v>0</v>
      </c>
      <c r="BF51" s="592">
        <f>Trend!BF69</f>
        <v>0</v>
      </c>
      <c r="BG51" s="592">
        <f>Trend!BG69</f>
        <v>0</v>
      </c>
      <c r="BH51" s="592">
        <f>Trend!BH69</f>
        <v>0</v>
      </c>
      <c r="BI51" s="592">
        <f>Trend!BI69</f>
        <v>0</v>
      </c>
      <c r="BJ51" s="592">
        <f>Trend!BJ69</f>
        <v>64504</v>
      </c>
      <c r="BK51" s="592">
        <f>Trend!BK69</f>
        <v>0</v>
      </c>
      <c r="BL51" s="592">
        <f>Trend!BL69</f>
        <v>0</v>
      </c>
      <c r="BM51" s="592">
        <f>Trend!BM69</f>
        <v>36200</v>
      </c>
      <c r="BN51" s="592">
        <f>Trend!BN69</f>
        <v>0</v>
      </c>
      <c r="BO51" s="592">
        <f>Trend!BO69</f>
        <v>0</v>
      </c>
      <c r="BP51" s="592">
        <f>Trend!BP69</f>
        <v>0</v>
      </c>
      <c r="BQ51" s="592">
        <f>Trend!BQ69</f>
        <v>0</v>
      </c>
      <c r="BR51" s="592">
        <f>Trend!BR69</f>
        <v>0</v>
      </c>
      <c r="BS51" s="592">
        <f>Trend!BS69</f>
        <v>0</v>
      </c>
      <c r="BT51" s="592">
        <f>Trend!BT69</f>
        <v>0</v>
      </c>
      <c r="BU51" s="592">
        <f>Trend!BU69</f>
        <v>0</v>
      </c>
      <c r="BV51" s="592">
        <f>Trend!BV69</f>
        <v>0</v>
      </c>
      <c r="BW51" s="592">
        <f>Trend!BW69</f>
        <v>140762</v>
      </c>
      <c r="BX51" s="592">
        <f>Trend!BX69</f>
        <v>62097</v>
      </c>
      <c r="BY51" s="592">
        <f>Trend!BY69</f>
        <v>194036</v>
      </c>
      <c r="BZ51" s="592">
        <f>Trend!BZ69</f>
        <v>194036</v>
      </c>
      <c r="CA51" s="592">
        <f>Trend!CA69</f>
        <v>382699</v>
      </c>
      <c r="CB51" s="592">
        <f>Trend!CB69</f>
        <v>325485</v>
      </c>
      <c r="CC51" s="592">
        <f>Trend!CC69</f>
        <v>382528</v>
      </c>
      <c r="CD51" s="592">
        <f>Trend!CD69</f>
        <v>435172</v>
      </c>
      <c r="CE51" s="592">
        <f>Trend!CE69</f>
        <v>449488</v>
      </c>
      <c r="CF51" s="592">
        <f>Trend!CF69</f>
        <v>495132</v>
      </c>
      <c r="CG51" s="592">
        <f>Trend!CG69</f>
        <v>513309</v>
      </c>
      <c r="CH51" s="592">
        <f>Trend!CH69</f>
        <v>559246</v>
      </c>
      <c r="CI51" s="592">
        <f>Trend!CI69</f>
        <v>559246</v>
      </c>
      <c r="CJ51" s="592">
        <f>Trend!CJ69</f>
        <v>828440.51</v>
      </c>
      <c r="CK51" s="592">
        <f>Trend!CK69</f>
        <v>0</v>
      </c>
      <c r="CL51" s="592">
        <f>Trend!CL69</f>
        <v>42795</v>
      </c>
      <c r="CM51" s="592">
        <f>Trend!CM69</f>
        <v>85590</v>
      </c>
      <c r="CN51" s="592">
        <f>Trend!CN69</f>
        <v>85590</v>
      </c>
      <c r="CO51" s="592">
        <f>Trend!CO69</f>
        <v>163782</v>
      </c>
      <c r="CP51" s="592">
        <f>Trend!CP69</f>
        <v>243440</v>
      </c>
      <c r="CQ51" s="592">
        <f>Trend!CQ69</f>
        <v>0</v>
      </c>
      <c r="CR51" s="592">
        <f>Trend!CR69</f>
        <v>311160</v>
      </c>
      <c r="CS51" s="592">
        <f>Trend!CS69</f>
        <v>341147</v>
      </c>
      <c r="CT51" s="592">
        <f>Trend!CT69</f>
        <v>682294</v>
      </c>
      <c r="CU51" s="592">
        <f>Trend!CU69</f>
        <v>363599</v>
      </c>
      <c r="CV51" s="592">
        <f>Trend!CV69</f>
        <v>400920</v>
      </c>
      <c r="CW51" s="592">
        <f>Trend!CW69</f>
        <v>1005556.78</v>
      </c>
      <c r="CX51" s="592">
        <f>Trend!CX69</f>
        <v>28750</v>
      </c>
      <c r="CY51" s="592">
        <f>Trend!CY69</f>
        <v>41900</v>
      </c>
      <c r="CZ51" s="592">
        <f>Trend!CZ69</f>
        <v>52099</v>
      </c>
      <c r="DA51" s="592">
        <f>Trend!DA69</f>
        <v>52099</v>
      </c>
      <c r="DB51" s="592">
        <f>Trend!DB69</f>
        <v>86653.92</v>
      </c>
      <c r="DC51" s="592">
        <f>Trend!DC69</f>
        <v>86653.92</v>
      </c>
      <c r="DD51" s="592">
        <f>Trend!DD69</f>
        <v>86653.92</v>
      </c>
      <c r="DE51" s="592">
        <f>Trend!DE69</f>
        <v>86653.92</v>
      </c>
      <c r="DF51" s="592">
        <f>Trend!DF69</f>
        <v>86653.92</v>
      </c>
      <c r="DG51" s="592">
        <f>Trend!DG69</f>
        <v>86653.92</v>
      </c>
      <c r="DH51" s="592">
        <f>Trend!DH69</f>
        <v>106781</v>
      </c>
      <c r="DI51" s="592">
        <f>Trend!DI69</f>
        <v>430404</v>
      </c>
      <c r="DJ51" s="592">
        <f>Trend!DJ69</f>
        <v>686269</v>
      </c>
      <c r="DK51" s="592">
        <f>Trend!DK69</f>
        <v>0</v>
      </c>
      <c r="DL51" s="592">
        <f>Trend!DL69</f>
        <v>0</v>
      </c>
      <c r="DM51" s="592">
        <f>Trend!DM69</f>
        <v>109549.34</v>
      </c>
      <c r="DN51" s="592">
        <f>Trend!DN69</f>
        <v>109549.34</v>
      </c>
      <c r="DO51" s="592">
        <f>Trend!DO69</f>
        <v>336736.34</v>
      </c>
      <c r="DP51" s="592">
        <f>Trend!DP69</f>
        <v>421836.34</v>
      </c>
      <c r="DQ51" s="592">
        <f>Trend!DQ69</f>
        <v>421836.34</v>
      </c>
      <c r="DR51" s="592">
        <f>Trend!DR69</f>
        <v>798856.02</v>
      </c>
      <c r="DS51" s="592">
        <f>Trend!DS69</f>
        <v>798856.02</v>
      </c>
      <c r="DT51" s="592">
        <f>Trend!DT69</f>
        <v>798856.02</v>
      </c>
      <c r="DU51" s="592">
        <f>Trend!DU69</f>
        <v>1065433.02</v>
      </c>
      <c r="DV51" s="592">
        <f>Trend!DV69</f>
        <v>0</v>
      </c>
      <c r="DW51" s="592">
        <f>Trend!DW69</f>
        <v>1197819</v>
      </c>
      <c r="DX51" s="592"/>
      <c r="DY51" s="592"/>
      <c r="DZ51" s="592"/>
      <c r="EA51" s="592"/>
      <c r="EB51" s="592"/>
    </row>
    <row r="52" spans="1:132" ht="15" x14ac:dyDescent="0.25">
      <c r="A52" s="602">
        <v>10.4</v>
      </c>
      <c r="B52" s="637" t="s">
        <v>186</v>
      </c>
      <c r="C52" s="621">
        <f>Trend!C71+Trend!C72+Trend!C73</f>
        <v>0</v>
      </c>
      <c r="D52" s="621">
        <f>Trend!D71+Trend!D72+Trend!D73</f>
        <v>0</v>
      </c>
      <c r="E52" s="621">
        <f>Trend!E71+Trend!E72+Trend!E73</f>
        <v>10171</v>
      </c>
      <c r="F52" s="621">
        <f>Trend!F71+Trend!F72+Trend!F73</f>
        <v>122606</v>
      </c>
      <c r="G52" s="621">
        <f>Trend!G71+Trend!G72+Trend!G73</f>
        <v>178894</v>
      </c>
      <c r="H52" s="621">
        <f>Trend!H71+Trend!H72+Trend!H73</f>
        <v>106.34</v>
      </c>
      <c r="I52" s="621">
        <f>Trend!I71+Trend!I72+Trend!I73</f>
        <v>235816</v>
      </c>
      <c r="J52" s="621">
        <f>Trend!J71+Trend!J72+Trend!J73</f>
        <v>3603600</v>
      </c>
      <c r="K52" s="621">
        <f>Trend!K71+Trend!K72+Trend!K73</f>
        <v>3600</v>
      </c>
      <c r="L52" s="621">
        <f>Trend!L71+Trend!L72+Trend!L73</f>
        <v>28900</v>
      </c>
      <c r="M52" s="621">
        <f>Trend!M71+Trend!M72+Trend!M73</f>
        <v>39190</v>
      </c>
      <c r="N52" s="621">
        <f>Trend!N71+Trend!N72+Trend!N73</f>
        <v>68613</v>
      </c>
      <c r="O52" s="621">
        <f>Trend!O71+Trend!O72+Trend!O73</f>
        <v>68913</v>
      </c>
      <c r="P52" s="621">
        <f>Trend!P71+Trend!P72+Trend!P73</f>
        <v>70113</v>
      </c>
      <c r="Q52" s="621">
        <f>Trend!Q71+Trend!Q72+Trend!Q73</f>
        <v>72413</v>
      </c>
      <c r="R52" s="621">
        <f>Trend!R71+Trend!R72+Trend!R73</f>
        <v>72413</v>
      </c>
      <c r="S52" s="621">
        <f>Trend!S71+Trend!S72+Trend!S73</f>
        <v>123913</v>
      </c>
      <c r="T52" s="621">
        <f>Trend!T71+Trend!T72+Trend!T73</f>
        <v>0</v>
      </c>
      <c r="U52" s="621">
        <f>Trend!U71+Trend!U72+Trend!U73</f>
        <v>0</v>
      </c>
      <c r="V52" s="621">
        <f>Trend!V71+Trend!V72+Trend!V73</f>
        <v>820122</v>
      </c>
      <c r="W52" s="621">
        <f>Trend!W71+Trend!W72+Trend!W73</f>
        <v>97894</v>
      </c>
      <c r="X52" s="621">
        <f>Trend!X71+Trend!X72+Trend!X73</f>
        <v>160334</v>
      </c>
      <c r="Y52" s="621">
        <f>Trend!Y71+Trend!Y72+Trend!Y73</f>
        <v>185434</v>
      </c>
      <c r="Z52" s="621">
        <f>Trend!Z71+Trend!Z72+Trend!Z73</f>
        <v>186934</v>
      </c>
      <c r="AA52" s="621">
        <f>Trend!AA71+Trend!AA72+Trend!AA73</f>
        <v>188834</v>
      </c>
      <c r="AB52" s="621">
        <f>Trend!AB71+Trend!AB72+Trend!AB73</f>
        <v>109396</v>
      </c>
      <c r="AC52" s="621">
        <f>Trend!AC71+Trend!AC72+Trend!AC73</f>
        <v>119146</v>
      </c>
      <c r="AD52" s="621">
        <f>Trend!AD71+Trend!AD72+Trend!AD73</f>
        <v>124646</v>
      </c>
      <c r="AE52" s="621">
        <f>Trend!AE71+Trend!AE72+Trend!AE73</f>
        <v>186702</v>
      </c>
      <c r="AF52" s="621">
        <f>Trend!AF71+Trend!AF72+Trend!AF73</f>
        <v>239515.5</v>
      </c>
      <c r="AG52" s="621">
        <f>Trend!AG71+Trend!AG72+Trend!AG73</f>
        <v>261655.5</v>
      </c>
      <c r="AH52" s="621">
        <f>Trend!AH71+Trend!AH72+Trend!AH73</f>
        <v>328460.5</v>
      </c>
      <c r="AI52" s="621">
        <f>Trend!AI71+Trend!AI72+Trend!AI73</f>
        <v>993184</v>
      </c>
      <c r="AJ52" s="621">
        <f>Trend!AJ71+Trend!AJ72+Trend!AJ73</f>
        <v>993184</v>
      </c>
      <c r="AK52" s="621">
        <f>Trend!AK71+Trend!AK72+Trend!AK73</f>
        <v>0</v>
      </c>
      <c r="AL52" s="621">
        <f>Trend!AL71+Trend!AL72+Trend!AL73</f>
        <v>149513.5</v>
      </c>
      <c r="AM52" s="621">
        <f>Trend!AM71+Trend!AM72+Trend!AM73</f>
        <v>168798.5</v>
      </c>
      <c r="AN52" s="621">
        <f>Trend!AN71+Trend!AN72+Trend!AN73</f>
        <v>174798.5</v>
      </c>
      <c r="AO52" s="621">
        <f>Trend!AO71+Trend!AO72+Trend!AO73</f>
        <v>163648.5</v>
      </c>
      <c r="AP52" s="621">
        <f>Trend!AP71+Trend!AP72+Trend!AP73</f>
        <v>0</v>
      </c>
      <c r="AQ52" s="621">
        <f>Trend!AQ71+Trend!AQ72+Trend!AQ73</f>
        <v>167048.5</v>
      </c>
      <c r="AR52" s="621">
        <f>Trend!AR71+Trend!AR72+Trend!AR73</f>
        <v>118428.5</v>
      </c>
      <c r="AS52" s="621">
        <f>Trend!AS71+Trend!AS72+Trend!AS73</f>
        <v>0</v>
      </c>
      <c r="AT52" s="621">
        <f>Trend!AT71+Trend!AT72+Trend!AT73</f>
        <v>0</v>
      </c>
      <c r="AU52" s="621">
        <f>Trend!AU71+Trend!AU72+Trend!AU73</f>
        <v>224698.5</v>
      </c>
      <c r="AV52" s="621">
        <f>Trend!AV71+Trend!AV72+Trend!AV73</f>
        <v>422658.5</v>
      </c>
      <c r="AW52" s="621">
        <f>Trend!AW71+Trend!AW72+Trend!AW73</f>
        <v>792013</v>
      </c>
      <c r="AX52" s="621">
        <f>Trend!AX71+Trend!AX72+Trend!AX73</f>
        <v>0</v>
      </c>
      <c r="AY52" s="621">
        <f>Trend!AY71+Trend!AY72+Trend!AY73</f>
        <v>0</v>
      </c>
      <c r="AZ52" s="621">
        <f>Trend!AZ71+Trend!AZ72+Trend!AZ73</f>
        <v>70621</v>
      </c>
      <c r="BA52" s="621">
        <f>Trend!BA71+Trend!BA72+Trend!BA73</f>
        <v>410078</v>
      </c>
      <c r="BB52" s="621">
        <f>Trend!BB71+Trend!BB72+Trend!BB73</f>
        <v>224380</v>
      </c>
      <c r="BC52" s="621">
        <f>Trend!BC71+Trend!BC72+Trend!BC73</f>
        <v>233080</v>
      </c>
      <c r="BD52" s="621">
        <f>Trend!BD71+Trend!BD72+Trend!BD73</f>
        <v>305342</v>
      </c>
      <c r="BE52" s="621">
        <f>Trend!BE71+Trend!BE72+Trend!BE73</f>
        <v>743260.5</v>
      </c>
      <c r="BF52" s="621">
        <f>Trend!BF71+Trend!BF72+Trend!BF73</f>
        <v>743260.5</v>
      </c>
      <c r="BG52" s="621">
        <f>Trend!BG71+Trend!BG72+Trend!BG73</f>
        <v>0</v>
      </c>
      <c r="BH52" s="621">
        <f>Trend!BH71+Trend!BH72+Trend!BH73</f>
        <v>1065896</v>
      </c>
      <c r="BI52" s="621">
        <f>Trend!BI71+Trend!BI72+Trend!BI73</f>
        <v>2268245.2999999998</v>
      </c>
      <c r="BJ52" s="621">
        <f>Trend!BJ71+Trend!BJ72+Trend!BJ73</f>
        <v>4904720</v>
      </c>
      <c r="BK52" s="621">
        <f>Trend!BK71+Trend!BK72+Trend!BK73</f>
        <v>160281</v>
      </c>
      <c r="BL52" s="621">
        <f>Trend!BL71+Trend!BL72+Trend!BL73</f>
        <v>160281</v>
      </c>
      <c r="BM52" s="621">
        <f>Trend!BM71+Trend!BM72+Trend!BM73</f>
        <v>350501</v>
      </c>
      <c r="BN52" s="621">
        <f>Trend!BN71+Trend!BN72+Trend!BN73</f>
        <v>404501</v>
      </c>
      <c r="BO52" s="621">
        <f>Trend!BO71+Trend!BO72+Trend!BO73</f>
        <v>458501</v>
      </c>
      <c r="BP52" s="621">
        <f>Trend!BP71+Trend!BP72+Trend!BP73</f>
        <v>514751</v>
      </c>
      <c r="BQ52" s="621">
        <f>Trend!BQ71+Trend!BQ72+Trend!BQ73</f>
        <v>568751</v>
      </c>
      <c r="BR52" s="621">
        <f>Trend!BR71+Trend!BR72+Trend!BR73</f>
        <v>632751</v>
      </c>
      <c r="BS52" s="621">
        <f>Trend!BS71+Trend!BS72+Trend!BS73</f>
        <v>686751</v>
      </c>
      <c r="BT52" s="621">
        <f>Trend!BT71+Trend!BT72+Trend!BT73</f>
        <v>686751</v>
      </c>
      <c r="BU52" s="621">
        <f>Trend!BU71+Trend!BU72+Trend!BU73</f>
        <v>750751</v>
      </c>
      <c r="BV52" s="621">
        <f>Trend!BV71+Trend!BV72+Trend!BV73</f>
        <v>1148751</v>
      </c>
      <c r="BW52" s="621">
        <f>Trend!BW71+Trend!BW72+Trend!BW73</f>
        <v>4610153.45</v>
      </c>
      <c r="BX52" s="621">
        <f>Trend!BX71+Trend!BX72+Trend!BX73</f>
        <v>54210</v>
      </c>
      <c r="BY52" s="621">
        <f>Trend!BY71+Trend!BY72+Trend!BY73</f>
        <v>54210</v>
      </c>
      <c r="BZ52" s="621">
        <f>Trend!BZ71+Trend!BZ72+Trend!BZ73</f>
        <v>54210</v>
      </c>
      <c r="CA52" s="621">
        <f>Trend!CA71+Trend!CA72+Trend!CA73</f>
        <v>54210</v>
      </c>
      <c r="CB52" s="621">
        <f>Trend!CB71+Trend!CB72+Trend!CB73</f>
        <v>6090</v>
      </c>
      <c r="CC52" s="621">
        <f>Trend!CC71+Trend!CC72+Trend!CC73</f>
        <v>142723</v>
      </c>
      <c r="CD52" s="621">
        <f>Trend!CD71+Trend!CD72+Trend!CD73</f>
        <v>329587</v>
      </c>
      <c r="CE52" s="621">
        <f>Trend!CE71+Trend!CE72+Trend!CE73</f>
        <v>442678.1</v>
      </c>
      <c r="CF52" s="621">
        <f>Trend!CF71+Trend!CF72+Trend!CF73</f>
        <v>485566.76</v>
      </c>
      <c r="CG52" s="621">
        <f>Trend!CG71+Trend!CG72+Trend!CG73</f>
        <v>488351.18</v>
      </c>
      <c r="CH52" s="621">
        <f>Trend!CH71+Trend!CH72+Trend!CH73</f>
        <v>558281.17999999993</v>
      </c>
      <c r="CI52" s="621">
        <f>Trend!CI71+Trend!CI72+Trend!CI73</f>
        <v>767275.7</v>
      </c>
      <c r="CJ52" s="621">
        <f>Trend!CJ71+Trend!CJ72+Trend!CJ73</f>
        <v>498081.18</v>
      </c>
      <c r="CK52" s="621">
        <f>Trend!CK71+Trend!CK72+Trend!CK73</f>
        <v>41938.86</v>
      </c>
      <c r="CL52" s="621">
        <f>Trend!CL71+Trend!CL72+Trend!CL73</f>
        <v>55868.86</v>
      </c>
      <c r="CM52" s="621">
        <f>Trend!CM71+Trend!CM72+Trend!CM73</f>
        <v>137096</v>
      </c>
      <c r="CN52" s="621">
        <f>Trend!CN71+Trend!CN72+Trend!CN73</f>
        <v>137096</v>
      </c>
      <c r="CO52" s="621">
        <f>Trend!CO71+Trend!CO72+Trend!CO73</f>
        <v>90126.5</v>
      </c>
      <c r="CP52" s="621">
        <f>Trend!CP71+Trend!CP72+Trend!CP73</f>
        <v>113566.5</v>
      </c>
      <c r="CQ52" s="621">
        <f>Trend!CQ71+Trend!CQ72+Trend!CQ73</f>
        <v>0</v>
      </c>
      <c r="CR52" s="621">
        <f>Trend!CR71+Trend!CR72+Trend!CR73</f>
        <v>361109</v>
      </c>
      <c r="CS52" s="621">
        <f>Trend!CS71+Trend!CS72+Trend!CS73</f>
        <v>415109</v>
      </c>
      <c r="CT52" s="621">
        <f>Trend!CT71+Trend!CT72+Trend!CT73</f>
        <v>861698</v>
      </c>
      <c r="CU52" s="621">
        <f>Trend!CU71+Trend!CU72+Trend!CU73</f>
        <v>449051</v>
      </c>
      <c r="CV52" s="621">
        <f>Trend!CV71+Trend!CV72+Trend!CV73</f>
        <v>976894</v>
      </c>
      <c r="CW52" s="621">
        <f>Trend!CW71+Trend!CW72+Trend!CW73</f>
        <v>869894</v>
      </c>
      <c r="CX52" s="621">
        <f>Trend!CX71+Trend!CX72+Trend!CX73</f>
        <v>4109.4799999999996</v>
      </c>
      <c r="CY52" s="621">
        <f>Trend!CY71+Trend!CY72+Trend!CY73</f>
        <v>11249.48</v>
      </c>
      <c r="CZ52" s="621">
        <f>Trend!CZ71+Trend!CZ72+Trend!CZ73</f>
        <v>63669</v>
      </c>
      <c r="DA52" s="621">
        <f>Trend!DA71+Trend!DA72+Trend!DA73</f>
        <v>67353.48000000001</v>
      </c>
      <c r="DB52" s="621">
        <f>Trend!DB71+Trend!DB72+Trend!DB73</f>
        <v>64953.479999999996</v>
      </c>
      <c r="DC52" s="621">
        <f>Trend!DC71+Trend!DC72+Trend!DC73</f>
        <v>70593</v>
      </c>
      <c r="DD52" s="621">
        <f>Trend!DD71+Trend!DD72+Trend!DD73</f>
        <v>175893.48</v>
      </c>
      <c r="DE52" s="621">
        <f>Trend!DE71+Trend!DE72+Trend!DE73</f>
        <v>422133.48</v>
      </c>
      <c r="DF52" s="621">
        <f>Trend!DF71+Trend!DF72+Trend!DF73</f>
        <v>423393.48</v>
      </c>
      <c r="DG52" s="621">
        <f>Trend!DG71+Trend!DG72+Trend!DG73</f>
        <v>436928.48</v>
      </c>
      <c r="DH52" s="621">
        <f>Trend!DH71+Trend!DH72+Trend!DH73</f>
        <v>482254.48</v>
      </c>
      <c r="DI52" s="621">
        <f>Trend!DI71+Trend!DI72+Trend!DI73</f>
        <v>984043.85</v>
      </c>
      <c r="DJ52" s="621">
        <f>Trend!DJ71+Trend!DJ72+Trend!DJ73</f>
        <v>838019</v>
      </c>
      <c r="DK52" s="621">
        <f>Trend!DK71+Trend!DK72+Trend!DK73</f>
        <v>94996</v>
      </c>
      <c r="DL52" s="621">
        <f>Trend!DL71+Trend!DL72+Trend!DL73</f>
        <v>95536</v>
      </c>
      <c r="DM52" s="621">
        <f>Trend!DM71+Trend!DM72+Trend!DM73</f>
        <v>104723.77</v>
      </c>
      <c r="DN52" s="621">
        <f>Trend!DN71+Trend!DN72+Trend!DN73</f>
        <v>108403.77</v>
      </c>
      <c r="DO52" s="621">
        <f>Trend!DO71+Trend!DO72+Trend!DO73</f>
        <v>117393.77</v>
      </c>
      <c r="DP52" s="621">
        <f>Trend!DP71+Trend!DP72+Trend!DP73</f>
        <v>120513.77</v>
      </c>
      <c r="DQ52" s="621">
        <f>Trend!DQ71+Trend!DQ72+Trend!DQ73</f>
        <v>121533.77</v>
      </c>
      <c r="DR52" s="621">
        <f>Trend!DR71+Trend!DR72+Trend!DR73</f>
        <v>159270.46</v>
      </c>
      <c r="DS52" s="621">
        <f>Trend!DS71+Trend!DS72+Trend!DS73</f>
        <v>158120.46</v>
      </c>
      <c r="DT52" s="621">
        <f>Trend!DT71+Trend!DT72+Trend!DT73</f>
        <v>161168.21</v>
      </c>
      <c r="DU52" s="621">
        <f>Trend!DU71+Trend!DU72+Trend!DU73</f>
        <v>220673.21</v>
      </c>
      <c r="DV52" s="621">
        <f>Trend!DV71+Trend!DV72+Trend!DV73</f>
        <v>0</v>
      </c>
      <c r="DW52" s="621">
        <f>Trend!DW71+Trend!DW72+Trend!DW73</f>
        <v>557302</v>
      </c>
      <c r="DX52" s="621"/>
      <c r="DY52" s="621"/>
      <c r="DZ52" s="621"/>
      <c r="EA52" s="621"/>
      <c r="EB52" s="621"/>
    </row>
    <row r="53" spans="1:132" ht="15" x14ac:dyDescent="0.25">
      <c r="A53" s="602">
        <v>10.5</v>
      </c>
      <c r="B53" s="638" t="s">
        <v>126</v>
      </c>
      <c r="C53" s="590">
        <f>Trend!C83+Trend!C82+Trend!C81+Trend!C79</f>
        <v>143411</v>
      </c>
      <c r="D53" s="590">
        <f>Trend!D83+Trend!D82+Trend!D81+Trend!D79</f>
        <v>288000</v>
      </c>
      <c r="E53" s="590">
        <f>Trend!E83+Trend!E82+Trend!E81+Trend!E79</f>
        <v>599795</v>
      </c>
      <c r="F53" s="590">
        <f>Trend!F83+Trend!F82+Trend!F81+Trend!F79</f>
        <v>1653661</v>
      </c>
      <c r="G53" s="590">
        <f>Trend!G83+Trend!G82+Trend!G81+Trend!G79</f>
        <v>2898098</v>
      </c>
      <c r="H53" s="590">
        <f>Trend!H83+Trend!H82+Trend!H81+Trend!H79</f>
        <v>2943.5</v>
      </c>
      <c r="I53" s="590">
        <f>Trend!I83+Trend!I82+Trend!I81+Trend!I79</f>
        <v>2895130</v>
      </c>
      <c r="J53" s="590">
        <f>Trend!J83+Trend!J82+Trend!J81+Trend!J79</f>
        <v>381331000</v>
      </c>
      <c r="K53" s="590">
        <f>Trend!K83+Trend!K82+Trend!K81+Trend!K79</f>
        <v>622300</v>
      </c>
      <c r="L53" s="590">
        <f>Trend!L83+Trend!L82+Trend!L81+Trend!L79</f>
        <v>1039500</v>
      </c>
      <c r="M53" s="590">
        <f>Trend!M83+Trend!M82+Trend!M81+Trend!M79</f>
        <v>1373900</v>
      </c>
      <c r="N53" s="590">
        <f>Trend!N83+Trend!N82+Trend!N81+Trend!N79</f>
        <v>1625155</v>
      </c>
      <c r="O53" s="590">
        <f>Trend!O83+Trend!O82+Trend!O81+Trend!O79</f>
        <v>1942877</v>
      </c>
      <c r="P53" s="590">
        <f>Trend!P83+Trend!P82+Trend!P81+Trend!P79</f>
        <v>2378980</v>
      </c>
      <c r="Q53" s="590">
        <f>Trend!Q83+Trend!Q82+Trend!Q81+Trend!Q79</f>
        <v>2733917</v>
      </c>
      <c r="R53" s="590">
        <f>Trend!R83+Trend!R82+Trend!R81+Trend!R79</f>
        <v>2915295</v>
      </c>
      <c r="S53" s="590">
        <f>Trend!S83+Trend!S82+Trend!S81+Trend!S79</f>
        <v>3947468</v>
      </c>
      <c r="T53" s="590">
        <f>Trend!T83+Trend!T82+Trend!T81+Trend!T79</f>
        <v>0</v>
      </c>
      <c r="U53" s="590">
        <f>Trend!U83+Trend!U82+Trend!U81+Trend!U79</f>
        <v>0</v>
      </c>
      <c r="V53" s="590">
        <f>Trend!V83+Trend!V82+Trend!V81+Trend!V79</f>
        <v>3762457</v>
      </c>
      <c r="W53" s="590">
        <f>Trend!W83+Trend!W82+Trend!W81+Trend!W79</f>
        <v>363314.7</v>
      </c>
      <c r="X53" s="590">
        <f>Trend!X83+Trend!X82+Trend!X81+Trend!X79</f>
        <v>621877.69999999995</v>
      </c>
      <c r="Y53" s="590">
        <f>Trend!Y83+Trend!Y82+Trend!Y81+Trend!Y79</f>
        <v>1193026.7</v>
      </c>
      <c r="Z53" s="590">
        <f>Trend!Z83+Trend!Z82+Trend!Z81+Trend!Z79</f>
        <v>1978808.7</v>
      </c>
      <c r="AA53" s="590">
        <f>Trend!AA83+Trend!AA82+Trend!AA81+Trend!AA79</f>
        <v>2980345.73</v>
      </c>
      <c r="AB53" s="590">
        <f>Trend!AB83+Trend!AB82+Trend!AB81+Trend!AB79</f>
        <v>2905843.73</v>
      </c>
      <c r="AC53" s="590">
        <f>Trend!AC83+Trend!AC82+Trend!AC81+Trend!AC79</f>
        <v>3269997.73</v>
      </c>
      <c r="AD53" s="590">
        <f>Trend!AD83+Trend!AD82+Trend!AD81+Trend!AD79</f>
        <v>3632701.9</v>
      </c>
      <c r="AE53" s="590">
        <f>Trend!AE83+Trend!AE82+Trend!AE81+Trend!AE79</f>
        <v>4518639.9000000004</v>
      </c>
      <c r="AF53" s="590">
        <f>Trend!AF83+Trend!AF82+Trend!AF81+Trend!AF79</f>
        <v>4840926.0999999996</v>
      </c>
      <c r="AG53" s="590">
        <f>Trend!AG83+Trend!AG82+Trend!AG81+Trend!AG79</f>
        <v>5249341.3</v>
      </c>
      <c r="AH53" s="590">
        <f>Trend!AH83+Trend!AH82+Trend!AH81+Trend!AH79</f>
        <v>5579469.2599999998</v>
      </c>
      <c r="AI53" s="590">
        <f>Trend!AI83+Trend!AI82+Trend!AI81+Trend!AI79</f>
        <v>5184354</v>
      </c>
      <c r="AJ53" s="590">
        <f>Trend!AJ83+Trend!AJ82+Trend!AJ81+Trend!AJ79</f>
        <v>5184354</v>
      </c>
      <c r="AK53" s="590">
        <f>Trend!AK83+Trend!AK82+Trend!AK81+Trend!AK79</f>
        <v>0</v>
      </c>
      <c r="AL53" s="590">
        <f>Trend!AL83+Trend!AL82+Trend!AL81+Trend!AL79</f>
        <v>1505961</v>
      </c>
      <c r="AM53" s="590">
        <f>Trend!AM83+Trend!AM82+Trend!AM81+Trend!AM79</f>
        <v>2137637</v>
      </c>
      <c r="AN53" s="590">
        <f>Trend!AN83+Trend!AN82+Trend!AN81+Trend!AN79</f>
        <v>2770100</v>
      </c>
      <c r="AO53" s="590">
        <f>Trend!AO83+Trend!AO82+Trend!AO81+Trend!AO79</f>
        <v>3075843</v>
      </c>
      <c r="AP53" s="590">
        <f>Trend!AP83+Trend!AP82+Trend!AP81+Trend!AP79</f>
        <v>0</v>
      </c>
      <c r="AQ53" s="590">
        <f>Trend!AQ83+Trend!AQ82+Trend!AQ81+Trend!AQ79</f>
        <v>3549853</v>
      </c>
      <c r="AR53" s="590">
        <f>Trend!AR83+Trend!AR82+Trend!AR81+Trend!AR79</f>
        <v>4879175</v>
      </c>
      <c r="AS53" s="590">
        <f>Trend!AS83+Trend!AS82+Trend!AS81+Trend!AS79</f>
        <v>0</v>
      </c>
      <c r="AT53" s="590">
        <f>Trend!AT83+Trend!AT82+Trend!AT81+Trend!AT79</f>
        <v>0</v>
      </c>
      <c r="AU53" s="590">
        <f>Trend!AU83+Trend!AU82+Trend!AU81+Trend!AU79</f>
        <v>6325868</v>
      </c>
      <c r="AV53" s="590">
        <f>Trend!AV83+Trend!AV82+Trend!AV81+Trend!AV79</f>
        <v>9019007.5</v>
      </c>
      <c r="AW53" s="590">
        <f>Trend!AW83+Trend!AW82+Trend!AW81+Trend!AW79</f>
        <v>5475332</v>
      </c>
      <c r="AX53" s="590">
        <f>Trend!AX83+Trend!AX82+Trend!AX81+Trend!AX79</f>
        <v>0</v>
      </c>
      <c r="AY53" s="590">
        <f>Trend!AY83+Trend!AY82+Trend!AY81+Trend!AY79</f>
        <v>0</v>
      </c>
      <c r="AZ53" s="590">
        <f>Trend!AZ83+Trend!AZ82+Trend!AZ81+Trend!AZ79</f>
        <v>1853522</v>
      </c>
      <c r="BA53" s="590">
        <f>Trend!BA83+Trend!BA82+Trend!BA81+Trend!BA79</f>
        <v>6228562</v>
      </c>
      <c r="BB53" s="590">
        <f>Trend!BB83+Trend!BB82+Trend!BB81+Trend!BB79</f>
        <v>3337166</v>
      </c>
      <c r="BC53" s="590">
        <f>Trend!BC83+Trend!BC82+Trend!BC81+Trend!BC79</f>
        <v>3972052</v>
      </c>
      <c r="BD53" s="590">
        <f>Trend!BD83+Trend!BD82+Trend!BD81+Trend!BD79</f>
        <v>4583779</v>
      </c>
      <c r="BE53" s="590">
        <f>Trend!BE83+Trend!BE82+Trend!BE81+Trend!BE79</f>
        <v>5269856.8</v>
      </c>
      <c r="BF53" s="590">
        <f>Trend!BF83+Trend!BF82+Trend!BF81+Trend!BF79</f>
        <v>5269856.8</v>
      </c>
      <c r="BG53" s="590">
        <f>Trend!BG83+Trend!BG82+Trend!BG81+Trend!BG79</f>
        <v>0</v>
      </c>
      <c r="BH53" s="590">
        <f>Trend!BH83+Trend!BH82+Trend!BH81+Trend!BH79</f>
        <v>8218296.2999999998</v>
      </c>
      <c r="BI53" s="590">
        <f>Trend!BI83+Trend!BI82+Trend!BI81+Trend!BI79</f>
        <v>8963104.2300000004</v>
      </c>
      <c r="BJ53" s="590">
        <f>Trend!BJ83+Trend!BJ82+Trend!BJ81+Trend!BJ79</f>
        <v>8858356</v>
      </c>
      <c r="BK53" s="590">
        <f>Trend!BK83+Trend!BK82+Trend!BK81+Trend!BK79</f>
        <v>1334504</v>
      </c>
      <c r="BL53" s="590">
        <f>Trend!BL83+Trend!BL82+Trend!BL81+Trend!BL79</f>
        <v>2224262</v>
      </c>
      <c r="BM53" s="590">
        <f>Trend!BM83+Trend!BM82+Trend!BM81+Trend!BM79</f>
        <v>3332152.71</v>
      </c>
      <c r="BN53" s="590">
        <f>Trend!BN83+Trend!BN82+Trend!BN81+Trend!BN79</f>
        <v>4045767</v>
      </c>
      <c r="BO53" s="590">
        <f>Trend!BO83+Trend!BO82+Trend!BO81+Trend!BO79</f>
        <v>5469533</v>
      </c>
      <c r="BP53" s="590">
        <f>Trend!BP83+Trend!BP82+Trend!BP81+Trend!BP79</f>
        <v>5484121</v>
      </c>
      <c r="BQ53" s="590">
        <f>Trend!BQ83+Trend!BQ82+Trend!BQ81+Trend!BQ79</f>
        <v>7597712</v>
      </c>
      <c r="BR53" s="590">
        <f>Trend!BR83+Trend!BR82+Trend!BR81+Trend!BR79</f>
        <v>8829109</v>
      </c>
      <c r="BS53" s="590">
        <f>Trend!BS83+Trend!BS82+Trend!BS81+Trend!BS79</f>
        <v>9413103.8099999987</v>
      </c>
      <c r="BT53" s="590">
        <f>Trend!BT83+Trend!BT82+Trend!BT81+Trend!BT79</f>
        <v>11441633</v>
      </c>
      <c r="BU53" s="590">
        <f>Trend!BU83+Trend!BU82+Trend!BU81+Trend!BU79</f>
        <v>10077349</v>
      </c>
      <c r="BV53" s="590">
        <f>Trend!BV83+Trend!BV82+Trend!BV81+Trend!BV79</f>
        <v>15332257</v>
      </c>
      <c r="BW53" s="590">
        <f>Trend!BW83+Trend!BW82+Trend!BW81+Trend!BW79</f>
        <v>10246942</v>
      </c>
      <c r="BX53" s="590">
        <f>Trend!BX83+Trend!BX82+Trend!BX81+Trend!BX79</f>
        <v>774075</v>
      </c>
      <c r="BY53" s="590">
        <f>Trend!BY83+Trend!BY82+Trend!BY81+Trend!BY79</f>
        <v>2235075</v>
      </c>
      <c r="BZ53" s="590">
        <f>Trend!BZ83+Trend!BZ82+Trend!BZ81+Trend!BZ79</f>
        <v>4039242</v>
      </c>
      <c r="CA53" s="590">
        <f>Trend!CA83+Trend!CA82+Trend!CA81+Trend!CA79</f>
        <v>5245752</v>
      </c>
      <c r="CB53" s="590">
        <f>Trend!CB83+Trend!CB82+Trend!CB81+Trend!CB79</f>
        <v>5918903</v>
      </c>
      <c r="CC53" s="590">
        <f>Trend!CC83+Trend!CC82+Trend!CC81+Trend!CC79</f>
        <v>6716423</v>
      </c>
      <c r="CD53" s="590">
        <f>Trend!CD83+Trend!CD82+Trend!CD81+Trend!CD79</f>
        <v>8302849</v>
      </c>
      <c r="CE53" s="590">
        <f>Trend!CE83+Trend!CE82+Trend!CE81+Trend!CE79</f>
        <v>9093731</v>
      </c>
      <c r="CF53" s="590">
        <f>Trend!CF83+Trend!CF82+Trend!CF81+Trend!CF79</f>
        <v>10019424</v>
      </c>
      <c r="CG53" s="590">
        <f>Trend!CG83+Trend!CG82+Trend!CG81+Trend!CG79</f>
        <v>10766000</v>
      </c>
      <c r="CH53" s="590">
        <f>Trend!CH83+Trend!CH82+Trend!CH81+Trend!CH79</f>
        <v>13329306.120000001</v>
      </c>
      <c r="CI53" s="590">
        <f>Trend!CI83+Trend!CI82+Trend!CI81+Trend!CI79</f>
        <v>15972197.57</v>
      </c>
      <c r="CJ53" s="590">
        <f>Trend!CJ83+Trend!CJ82+Trend!CJ81+Trend!CJ79</f>
        <v>15995132.57</v>
      </c>
      <c r="CK53" s="590">
        <f>Trend!CK83+Trend!CK82+Trend!CK81+Trend!CK79</f>
        <v>1200320</v>
      </c>
      <c r="CL53" s="590">
        <f>Trend!CL83+Trend!CL82+Trend!CL81+Trend!CL79</f>
        <v>2273226</v>
      </c>
      <c r="CM53" s="590">
        <f>Trend!CM83+Trend!CM82+Trend!CM81+Trend!CM79</f>
        <v>3466094</v>
      </c>
      <c r="CN53" s="590">
        <f>Trend!CN83+Trend!CN82+Trend!CN81+Trend!CN79</f>
        <v>4525632</v>
      </c>
      <c r="CO53" s="590">
        <f>Trend!CO83+Trend!CO82+Trend!CO81+Trend!CO79</f>
        <v>5759719</v>
      </c>
      <c r="CP53" s="590">
        <f>Trend!CP83+Trend!CP82+Trend!CP81+Trend!CP79</f>
        <v>6885329</v>
      </c>
      <c r="CQ53" s="590">
        <f>Trend!CQ83+Trend!CQ82+Trend!CQ81+Trend!CQ79</f>
        <v>0</v>
      </c>
      <c r="CR53" s="590">
        <f>Trend!CR83+Trend!CR82+Trend!CR81+Trend!CR79</f>
        <v>9106061</v>
      </c>
      <c r="CS53" s="590">
        <f>Trend!CS83+Trend!CS82+Trend!CS81+Trend!CS79</f>
        <v>11125099</v>
      </c>
      <c r="CT53" s="590">
        <f>Trend!CT83+Trend!CT82+Trend!CT81+Trend!CT79</f>
        <v>25474418</v>
      </c>
      <c r="CU53" s="590">
        <f>Trend!CU83+Trend!CU82+Trend!CU81+Trend!CU79</f>
        <v>13830268</v>
      </c>
      <c r="CV53" s="590">
        <f>Trend!CV83+Trend!CV82+Trend!CV81+Trend!CV79</f>
        <v>17266654.48</v>
      </c>
      <c r="CW53" s="590">
        <f>Trend!CW83+Trend!CW82+Trend!CW81+Trend!CW79</f>
        <v>17373654.48</v>
      </c>
      <c r="CX53" s="590">
        <f>Trend!CX83+Trend!CX82+Trend!CX81+Trend!CX79</f>
        <v>1167044</v>
      </c>
      <c r="CY53" s="590">
        <f>Trend!CY83+Trend!CY82+Trend!CY81+Trend!CY79</f>
        <v>2222860</v>
      </c>
      <c r="CZ53" s="590">
        <f>Trend!CZ83+Trend!CZ82+Trend!CZ81+Trend!CZ79</f>
        <v>3805718.3</v>
      </c>
      <c r="DA53" s="590">
        <f>Trend!DA83+Trend!DA82+Trend!DA81+Trend!DA79</f>
        <v>5218778.3</v>
      </c>
      <c r="DB53" s="590">
        <f>Trend!DB83+Trend!DB82+Trend!DB81+Trend!DB79</f>
        <v>6583645.5</v>
      </c>
      <c r="DC53" s="590">
        <f>Trend!DC83+Trend!DC82+Trend!DC81+Trend!DC79</f>
        <v>8953401.1999999993</v>
      </c>
      <c r="DD53" s="590">
        <f>Trend!DD83+Trend!DD82+Trend!DD81+Trend!DD79</f>
        <v>9672211.1999999993</v>
      </c>
      <c r="DE53" s="590">
        <f>Trend!DE83+Trend!DE82+Trend!DE81+Trend!DE79</f>
        <v>10734399.199999999</v>
      </c>
      <c r="DF53" s="590">
        <f>Trend!DF83+Trend!DF82+Trend!DF81+Trend!DF79</f>
        <v>11814448.699999999</v>
      </c>
      <c r="DG53" s="590">
        <f>Trend!DG83+Trend!DG82+Trend!DG81+Trend!DG79</f>
        <v>15451531.5</v>
      </c>
      <c r="DH53" s="590">
        <f>Trend!DH83+Trend!DH82+Trend!DH81+Trend!DH79</f>
        <v>16992547.300000001</v>
      </c>
      <c r="DI53" s="590">
        <f>Trend!DI83+Trend!DI82+Trend!DI81+Trend!DI79</f>
        <v>22847059.700000003</v>
      </c>
      <c r="DJ53" s="590">
        <f>Trend!DJ83+Trend!DJ82+Trend!DJ81+Trend!DJ79</f>
        <v>23899398</v>
      </c>
      <c r="DK53" s="590">
        <f>Trend!DK83+Trend!DK82+Trend!DK81+Trend!DK79</f>
        <v>1585257.75</v>
      </c>
      <c r="DL53" s="590">
        <f>Trend!DL83+Trend!DL82+Trend!DL81+Trend!DL79</f>
        <v>2989898.05</v>
      </c>
      <c r="DM53" s="590">
        <f>Trend!DM83+Trend!DM82+Trend!DM81+Trend!DM79</f>
        <v>4809400.45</v>
      </c>
      <c r="DN53" s="590">
        <f>Trend!DN83+Trend!DN82+Trend!DN81+Trend!DN79</f>
        <v>6553028.4500000002</v>
      </c>
      <c r="DO53" s="590">
        <f>Trend!DO83+Trend!DO82+Trend!DO81+Trend!DO79</f>
        <v>7806541.5499999998</v>
      </c>
      <c r="DP53" s="590">
        <f>Trend!DP83+Trend!DP82+Trend!DP81+Trend!DP79</f>
        <v>9834606</v>
      </c>
      <c r="DQ53" s="590">
        <f>Trend!DQ83+Trend!DQ82+Trend!DQ81+Trend!DQ79</f>
        <v>11553124.449999999</v>
      </c>
      <c r="DR53" s="590">
        <f>Trend!DR83+Trend!DR82+Trend!DR81+Trend!DR79</f>
        <v>13060528.050000001</v>
      </c>
      <c r="DS53" s="590">
        <f>Trend!DS83+Trend!DS82+Trend!DS81+Trend!DS79</f>
        <v>14997674.43</v>
      </c>
      <c r="DT53" s="590">
        <f>Trend!DT83+Trend!DT82+Trend!DT81+Trend!DT79</f>
        <v>19171785.93</v>
      </c>
      <c r="DU53" s="590">
        <f>Trend!DU83+Trend!DU82+Trend!DU81+Trend!DU79</f>
        <v>21169850.43</v>
      </c>
      <c r="DV53" s="590">
        <f>Trend!DV83+Trend!DV82+Trend!DV81+Trend!DV79</f>
        <v>0</v>
      </c>
      <c r="DW53" s="590">
        <f>Trend!DW83+Trend!DW82+Trend!DW81+Trend!DW79</f>
        <v>26182983</v>
      </c>
      <c r="DX53" s="590"/>
      <c r="DY53" s="590"/>
      <c r="DZ53" s="590"/>
      <c r="EA53" s="590"/>
      <c r="EB53" s="590"/>
    </row>
    <row r="54" spans="1:132" ht="15" x14ac:dyDescent="0.25">
      <c r="A54" s="602">
        <v>10.6</v>
      </c>
      <c r="B54" s="638" t="s">
        <v>123</v>
      </c>
      <c r="C54" s="590">
        <f>Trend!C80</f>
        <v>43100</v>
      </c>
      <c r="D54" s="590">
        <f>Trend!D80</f>
        <v>87359</v>
      </c>
      <c r="E54" s="590">
        <f>Trend!E80</f>
        <v>167980</v>
      </c>
      <c r="F54" s="590">
        <f>Trend!F80</f>
        <v>390700</v>
      </c>
      <c r="G54" s="590">
        <f>Trend!G80</f>
        <v>765660</v>
      </c>
      <c r="H54" s="590">
        <f>Trend!H80</f>
        <v>795.5</v>
      </c>
      <c r="I54" s="590">
        <f>Trend!I80</f>
        <v>1212154</v>
      </c>
      <c r="J54" s="590">
        <f>Trend!J80</f>
        <v>87387300</v>
      </c>
      <c r="K54" s="590">
        <f>Trend!K80</f>
        <v>366500</v>
      </c>
      <c r="L54" s="590">
        <f>Trend!L80</f>
        <v>539600</v>
      </c>
      <c r="M54" s="590">
        <f>Trend!M80</f>
        <v>601200</v>
      </c>
      <c r="N54" s="590">
        <f>Trend!N80</f>
        <v>669155</v>
      </c>
      <c r="O54" s="590">
        <f>Trend!O80</f>
        <v>749609</v>
      </c>
      <c r="P54" s="590">
        <f>Trend!P80</f>
        <v>824809</v>
      </c>
      <c r="Q54" s="590">
        <f>Trend!Q80</f>
        <v>907509</v>
      </c>
      <c r="R54" s="590">
        <f>Trend!R80</f>
        <v>967809</v>
      </c>
      <c r="S54" s="590">
        <f>Trend!S80</f>
        <v>1036959</v>
      </c>
      <c r="T54" s="590">
        <f>Trend!T80</f>
        <v>0</v>
      </c>
      <c r="U54" s="590">
        <f>Trend!U80</f>
        <v>0</v>
      </c>
      <c r="V54" s="590">
        <f>Trend!V80</f>
        <v>1358301</v>
      </c>
      <c r="W54" s="590">
        <f>Trend!W80</f>
        <v>94300</v>
      </c>
      <c r="X54" s="590">
        <f>Trend!X80</f>
        <v>172010</v>
      </c>
      <c r="Y54" s="590">
        <f>Trend!Y80</f>
        <v>569545</v>
      </c>
      <c r="Z54" s="590">
        <f>Trend!Z80</f>
        <v>644645</v>
      </c>
      <c r="AA54" s="590">
        <f>Trend!AA80</f>
        <v>709245</v>
      </c>
      <c r="AB54" s="590">
        <f>Trend!AB80</f>
        <v>692645</v>
      </c>
      <c r="AC54" s="590">
        <f>Trend!AC80</f>
        <v>745845</v>
      </c>
      <c r="AD54" s="590">
        <f>Trend!AD80</f>
        <v>823693</v>
      </c>
      <c r="AE54" s="590">
        <f>Trend!AE80</f>
        <v>888593</v>
      </c>
      <c r="AF54" s="590">
        <f>Trend!AF80</f>
        <v>960293</v>
      </c>
      <c r="AG54" s="590">
        <f>Trend!AG80</f>
        <v>1045493</v>
      </c>
      <c r="AH54" s="590">
        <f>Trend!AH80</f>
        <v>1283293</v>
      </c>
      <c r="AI54" s="590">
        <f>Trend!AI80</f>
        <v>2076338</v>
      </c>
      <c r="AJ54" s="590">
        <f>Trend!AJ80</f>
        <v>2076338</v>
      </c>
      <c r="AK54" s="590">
        <f>Trend!AK80</f>
        <v>0</v>
      </c>
      <c r="AL54" s="590">
        <f>Trend!AL80</f>
        <v>356314</v>
      </c>
      <c r="AM54" s="590">
        <f>Trend!AM80</f>
        <v>588704</v>
      </c>
      <c r="AN54" s="590">
        <f>Trend!AN80</f>
        <v>657504</v>
      </c>
      <c r="AO54" s="590">
        <f>Trend!AO80</f>
        <v>731704</v>
      </c>
      <c r="AP54" s="590">
        <f>Trend!AP80</f>
        <v>0</v>
      </c>
      <c r="AQ54" s="590">
        <f>Trend!AQ80</f>
        <v>794004</v>
      </c>
      <c r="AR54" s="590">
        <f>Trend!AR80</f>
        <v>947504</v>
      </c>
      <c r="AS54" s="590">
        <f>Trend!AS80</f>
        <v>0</v>
      </c>
      <c r="AT54" s="590">
        <f>Trend!AT80</f>
        <v>0</v>
      </c>
      <c r="AU54" s="590">
        <f>Trend!AU80</f>
        <v>1175599</v>
      </c>
      <c r="AV54" s="590">
        <f>Trend!AV80</f>
        <v>1503114</v>
      </c>
      <c r="AW54" s="590">
        <f>Trend!AW80</f>
        <v>2202011</v>
      </c>
      <c r="AX54" s="590">
        <f>Trend!AX80</f>
        <v>0</v>
      </c>
      <c r="AY54" s="590">
        <f>Trend!AY80</f>
        <v>0</v>
      </c>
      <c r="AZ54" s="590">
        <f>Trend!AZ80</f>
        <v>190200</v>
      </c>
      <c r="BA54" s="590">
        <f>Trend!BA80</f>
        <v>1225984</v>
      </c>
      <c r="BB54" s="590">
        <f>Trend!BB80</f>
        <v>809092</v>
      </c>
      <c r="BC54" s="590">
        <f>Trend!BC80</f>
        <v>894392</v>
      </c>
      <c r="BD54" s="590">
        <f>Trend!BD80</f>
        <v>948292</v>
      </c>
      <c r="BE54" s="590">
        <f>Trend!BE80</f>
        <v>1072987</v>
      </c>
      <c r="BF54" s="590">
        <f>Trend!BF80</f>
        <v>1072987</v>
      </c>
      <c r="BG54" s="590">
        <f>Trend!BG80</f>
        <v>0</v>
      </c>
      <c r="BH54" s="590">
        <f>Trend!BH80</f>
        <v>1500123</v>
      </c>
      <c r="BI54" s="590">
        <f>Trend!BI80</f>
        <v>2882154.07</v>
      </c>
      <c r="BJ54" s="590">
        <f>Trend!BJ80</f>
        <v>2675783</v>
      </c>
      <c r="BK54" s="590">
        <f>Trend!BK80</f>
        <v>52100</v>
      </c>
      <c r="BL54" s="590">
        <f>Trend!BL80</f>
        <v>215300</v>
      </c>
      <c r="BM54" s="590">
        <f>Trend!BM80</f>
        <v>610322</v>
      </c>
      <c r="BN54" s="590">
        <f>Trend!BN80</f>
        <v>770915</v>
      </c>
      <c r="BO54" s="590">
        <f>Trend!BO80</f>
        <v>878915</v>
      </c>
      <c r="BP54" s="590">
        <f>Trend!BP80</f>
        <v>1044725</v>
      </c>
      <c r="BQ54" s="590">
        <f>Trend!BQ80</f>
        <v>1198505</v>
      </c>
      <c r="BR54" s="590">
        <f>Trend!BR80</f>
        <v>1553155</v>
      </c>
      <c r="BS54" s="590">
        <f>Trend!BS80</f>
        <v>1651875</v>
      </c>
      <c r="BT54" s="590">
        <f>Trend!BT80</f>
        <v>1745775</v>
      </c>
      <c r="BU54" s="590">
        <f>Trend!BU80</f>
        <v>1930595</v>
      </c>
      <c r="BV54" s="590">
        <f>Trend!BV80</f>
        <v>2095515</v>
      </c>
      <c r="BW54" s="590">
        <f>Trend!BW80</f>
        <v>3377915</v>
      </c>
      <c r="BX54" s="590">
        <f>Trend!BX80</f>
        <v>686050</v>
      </c>
      <c r="BY54" s="590">
        <f>Trend!BY80</f>
        <v>831050</v>
      </c>
      <c r="BZ54" s="590">
        <f>Trend!BZ80</f>
        <v>1310410</v>
      </c>
      <c r="CA54" s="590">
        <f>Trend!CA80</f>
        <v>1400610</v>
      </c>
      <c r="CB54" s="590">
        <f>Trend!CB80</f>
        <v>1638010</v>
      </c>
      <c r="CC54" s="590">
        <f>Trend!CC80</f>
        <v>1896430</v>
      </c>
      <c r="CD54" s="590">
        <f>Trend!CD80</f>
        <v>2076980</v>
      </c>
      <c r="CE54" s="590">
        <f>Trend!CE80</f>
        <v>2170880</v>
      </c>
      <c r="CF54" s="590">
        <f>Trend!CF80</f>
        <v>2238180</v>
      </c>
      <c r="CG54" s="590">
        <f>Trend!CG80</f>
        <v>2436880</v>
      </c>
      <c r="CH54" s="590">
        <f>Trend!CH80</f>
        <v>2735705</v>
      </c>
      <c r="CI54" s="590">
        <f>Trend!CI80</f>
        <v>3000005</v>
      </c>
      <c r="CJ54" s="590">
        <f>Trend!CJ80</f>
        <v>3000005</v>
      </c>
      <c r="CK54" s="590">
        <f>Trend!CK80</f>
        <v>96200</v>
      </c>
      <c r="CL54" s="590">
        <f>Trend!CL80</f>
        <v>357690</v>
      </c>
      <c r="CM54" s="590">
        <f>Trend!CM80</f>
        <v>865360</v>
      </c>
      <c r="CN54" s="590">
        <f>Trend!CN80</f>
        <v>897960</v>
      </c>
      <c r="CO54" s="590">
        <f>Trend!CO80</f>
        <v>928560</v>
      </c>
      <c r="CP54" s="590">
        <f>Trend!CP80</f>
        <v>994360</v>
      </c>
      <c r="CQ54" s="590">
        <f>Trend!CQ80</f>
        <v>0</v>
      </c>
      <c r="CR54" s="590">
        <f>Trend!CR80</f>
        <v>1290110</v>
      </c>
      <c r="CS54" s="590">
        <f>Trend!CS80</f>
        <v>1400310</v>
      </c>
      <c r="CT54" s="590">
        <f>Trend!CT80</f>
        <v>3017220</v>
      </c>
      <c r="CU54" s="590">
        <f>Trend!CU80</f>
        <v>1673510</v>
      </c>
      <c r="CV54" s="590">
        <f>Trend!CV80</f>
        <v>2467460</v>
      </c>
      <c r="CW54" s="590">
        <f>Trend!CW80</f>
        <v>2467460</v>
      </c>
      <c r="CX54" s="590">
        <f>Trend!CX80</f>
        <v>190500</v>
      </c>
      <c r="CY54" s="590">
        <f>Trend!CY80</f>
        <v>442660</v>
      </c>
      <c r="CZ54" s="590">
        <f>Trend!CZ80</f>
        <v>826805</v>
      </c>
      <c r="DA54" s="590">
        <f>Trend!DA80</f>
        <v>965105</v>
      </c>
      <c r="DB54" s="590">
        <f>Trend!DB80</f>
        <v>1169015</v>
      </c>
      <c r="DC54" s="590">
        <f>Trend!DC80</f>
        <v>1426265</v>
      </c>
      <c r="DD54" s="590">
        <f>Trend!DD80</f>
        <v>1703805</v>
      </c>
      <c r="DE54" s="590">
        <f>Trend!DE80</f>
        <v>2086360</v>
      </c>
      <c r="DF54" s="590">
        <f>Trend!DF80</f>
        <v>2551495</v>
      </c>
      <c r="DG54" s="590">
        <f>Trend!DG80</f>
        <v>2805995</v>
      </c>
      <c r="DH54" s="590">
        <f>Trend!DH80</f>
        <v>3071210</v>
      </c>
      <c r="DI54" s="590">
        <f>Trend!DI80</f>
        <v>3577410</v>
      </c>
      <c r="DJ54" s="590">
        <f>Trend!DJ80</f>
        <v>3697410</v>
      </c>
      <c r="DK54" s="590">
        <f>Trend!DK80</f>
        <v>267300</v>
      </c>
      <c r="DL54" s="590">
        <f>Trend!DL80</f>
        <v>385800</v>
      </c>
      <c r="DM54" s="590">
        <f>Trend!DM80</f>
        <v>916495</v>
      </c>
      <c r="DN54" s="590">
        <f>Trend!DN80</f>
        <v>1261145</v>
      </c>
      <c r="DO54" s="590">
        <f>Trend!DO80</f>
        <v>1478745</v>
      </c>
      <c r="DP54" s="590">
        <f>Trend!DP80</f>
        <v>1749475</v>
      </c>
      <c r="DQ54" s="590">
        <f>Trend!DQ80</f>
        <v>1980825</v>
      </c>
      <c r="DR54" s="590">
        <f>Trend!DR80</f>
        <v>2147595</v>
      </c>
      <c r="DS54" s="590">
        <f>Trend!DS80</f>
        <v>2471755</v>
      </c>
      <c r="DT54" s="590">
        <f>Trend!DT80</f>
        <v>2616855</v>
      </c>
      <c r="DU54" s="590">
        <f>Trend!DU80</f>
        <v>2959080</v>
      </c>
      <c r="DV54" s="590">
        <f>Trend!DV80</f>
        <v>0</v>
      </c>
      <c r="DW54" s="590">
        <f>Trend!DW80</f>
        <v>3820680</v>
      </c>
      <c r="DX54" s="590"/>
      <c r="DY54" s="590"/>
      <c r="DZ54" s="590"/>
      <c r="EA54" s="590"/>
      <c r="EB54" s="590"/>
    </row>
    <row r="55" spans="1:132" ht="15" x14ac:dyDescent="0.25">
      <c r="A55" s="602"/>
      <c r="B55" s="639" t="s">
        <v>187</v>
      </c>
      <c r="C55" s="640">
        <f>Trend!C75</f>
        <v>0</v>
      </c>
      <c r="D55" s="640">
        <f>Trend!D75</f>
        <v>0</v>
      </c>
      <c r="E55" s="640">
        <f>Trend!E75</f>
        <v>0</v>
      </c>
      <c r="F55" s="640">
        <f>Trend!F75</f>
        <v>269422</v>
      </c>
      <c r="G55" s="640">
        <f>Trend!G75</f>
        <v>344629</v>
      </c>
      <c r="H55" s="640">
        <f>Trend!H75</f>
        <v>0</v>
      </c>
      <c r="I55" s="640">
        <f>Trend!I75</f>
        <v>484871</v>
      </c>
      <c r="J55" s="640">
        <f>Trend!J75</f>
        <v>0</v>
      </c>
      <c r="K55" s="640">
        <f>Trend!K75</f>
        <v>0</v>
      </c>
      <c r="L55" s="640">
        <f>Trend!L75</f>
        <v>0</v>
      </c>
      <c r="M55" s="640">
        <f>Trend!M75</f>
        <v>0</v>
      </c>
      <c r="N55" s="640">
        <f>Trend!N75</f>
        <v>0</v>
      </c>
      <c r="O55" s="640">
        <f>Trend!O75</f>
        <v>0</v>
      </c>
      <c r="P55" s="640">
        <f>Trend!P75</f>
        <v>0</v>
      </c>
      <c r="Q55" s="640">
        <f>Trend!Q75</f>
        <v>0</v>
      </c>
      <c r="R55" s="640">
        <f>Trend!R75</f>
        <v>0</v>
      </c>
      <c r="S55" s="640">
        <f>Trend!S75</f>
        <v>0</v>
      </c>
      <c r="T55" s="640">
        <f>Trend!T75</f>
        <v>0</v>
      </c>
      <c r="U55" s="640">
        <f>Trend!U75</f>
        <v>0</v>
      </c>
      <c r="V55" s="640">
        <f>Trend!V75</f>
        <v>1993646</v>
      </c>
      <c r="W55" s="640">
        <f>Trend!W75</f>
        <v>2400000</v>
      </c>
      <c r="X55" s="640">
        <f>Trend!X75</f>
        <v>2400000</v>
      </c>
      <c r="Y55" s="640">
        <f>Trend!Y75</f>
        <v>-2400000</v>
      </c>
      <c r="Z55" s="640">
        <f>Trend!Z75</f>
        <v>2400000</v>
      </c>
      <c r="AA55" s="640">
        <f>Trend!AA75</f>
        <v>-2400000</v>
      </c>
      <c r="AB55" s="640">
        <f>Trend!AB75</f>
        <v>-2400000</v>
      </c>
      <c r="AC55" s="640">
        <f>Trend!AC75</f>
        <v>2400000</v>
      </c>
      <c r="AD55" s="640">
        <f>Trend!AD75</f>
        <v>2400000</v>
      </c>
      <c r="AE55" s="640">
        <f>Trend!AE75</f>
        <v>2400000</v>
      </c>
      <c r="AF55" s="640">
        <f>Trend!AF75</f>
        <v>2400000</v>
      </c>
      <c r="AG55" s="640">
        <f>Trend!AG75</f>
        <v>2400000</v>
      </c>
      <c r="AH55" s="640">
        <f>Trend!AH75</f>
        <v>2400000</v>
      </c>
      <c r="AI55" s="640">
        <f>Trend!AI75</f>
        <v>-124098</v>
      </c>
      <c r="AJ55" s="640">
        <f>Trend!AJ75</f>
        <v>-124097</v>
      </c>
      <c r="AK55" s="640">
        <f>Trend!AK75</f>
        <v>0</v>
      </c>
      <c r="AL55" s="640">
        <f>Trend!AL75</f>
        <v>0</v>
      </c>
      <c r="AM55" s="640">
        <f>Trend!AM75</f>
        <v>0</v>
      </c>
      <c r="AN55" s="640">
        <f>Trend!AN75</f>
        <v>0</v>
      </c>
      <c r="AO55" s="640">
        <f>Trend!AO75</f>
        <v>0</v>
      </c>
      <c r="AP55" s="640">
        <f>Trend!AP75</f>
        <v>0</v>
      </c>
      <c r="AQ55" s="640">
        <f>Trend!AQ75</f>
        <v>0</v>
      </c>
      <c r="AR55" s="640">
        <f>Trend!AR75</f>
        <v>0</v>
      </c>
      <c r="AS55" s="640">
        <f>Trend!AS75</f>
        <v>0</v>
      </c>
      <c r="AT55" s="640">
        <f>Trend!AT75</f>
        <v>0</v>
      </c>
      <c r="AU55" s="640">
        <f>Trend!AU75</f>
        <v>0</v>
      </c>
      <c r="AV55" s="640">
        <f>Trend!AV75</f>
        <v>0</v>
      </c>
      <c r="AW55" s="640">
        <f>Trend!AW75</f>
        <v>4720752</v>
      </c>
      <c r="AX55" s="640">
        <f>Trend!AX75</f>
        <v>0</v>
      </c>
      <c r="AY55" s="640">
        <f>Trend!AY75</f>
        <v>0</v>
      </c>
      <c r="AZ55" s="640">
        <f>Trend!AZ75</f>
        <v>0</v>
      </c>
      <c r="BA55" s="640">
        <f>Trend!BA75</f>
        <v>0</v>
      </c>
      <c r="BB55" s="640">
        <f>Trend!BB75</f>
        <v>3292568</v>
      </c>
      <c r="BC55" s="640">
        <f>Trend!BC75</f>
        <v>6599370</v>
      </c>
      <c r="BD55" s="640">
        <f>Trend!BD75</f>
        <v>6874356.7999999998</v>
      </c>
      <c r="BE55" s="640">
        <f>Trend!BE75</f>
        <v>7387204.2000000002</v>
      </c>
      <c r="BF55" s="640">
        <f>Trend!BF75</f>
        <v>7387204.1500000004</v>
      </c>
      <c r="BG55" s="640">
        <f>Trend!BG75</f>
        <v>0</v>
      </c>
      <c r="BH55" s="640">
        <f>Trend!BH75</f>
        <v>5771304.2000000002</v>
      </c>
      <c r="BI55" s="640">
        <f>Trend!BI75</f>
        <v>5838260.9000000004</v>
      </c>
      <c r="BJ55" s="640">
        <f>Trend!BJ75</f>
        <v>2000000</v>
      </c>
      <c r="BK55" s="640">
        <f>Trend!BK75</f>
        <v>0</v>
      </c>
      <c r="BL55" s="640">
        <f>Trend!BL75</f>
        <v>0</v>
      </c>
      <c r="BM55" s="640">
        <f>Trend!BM75</f>
        <v>7256136</v>
      </c>
      <c r="BN55" s="640">
        <f>Trend!BN75</f>
        <v>6949166</v>
      </c>
      <c r="BO55" s="640">
        <f>Trend!BO75</f>
        <v>7183267</v>
      </c>
      <c r="BP55" s="640">
        <f>Trend!BP75</f>
        <v>7556873</v>
      </c>
      <c r="BQ55" s="640">
        <f>Trend!BQ75</f>
        <v>8948946</v>
      </c>
      <c r="BR55" s="640">
        <f>Trend!BR75</f>
        <v>8619319</v>
      </c>
      <c r="BS55" s="640">
        <f>Trend!BS75</f>
        <v>7902398.7000000002</v>
      </c>
      <c r="BT55" s="640">
        <f>Trend!BT75</f>
        <v>7949409</v>
      </c>
      <c r="BU55" s="640">
        <f>Trend!BU75</f>
        <v>8452644</v>
      </c>
      <c r="BV55" s="640">
        <f>Trend!BV75</f>
        <v>0</v>
      </c>
      <c r="BW55" s="640">
        <f>Trend!BW75</f>
        <v>0</v>
      </c>
      <c r="BX55" s="640">
        <f>Trend!BX75</f>
        <v>0</v>
      </c>
      <c r="BY55" s="640">
        <f>Trend!BY75</f>
        <v>0</v>
      </c>
      <c r="BZ55" s="640">
        <f>Trend!BZ75</f>
        <v>0</v>
      </c>
      <c r="CA55" s="640">
        <f>Trend!CA75</f>
        <v>0</v>
      </c>
      <c r="CB55" s="640">
        <f>Trend!CB75</f>
        <v>0</v>
      </c>
      <c r="CC55" s="640">
        <f>Trend!CC75</f>
        <v>0</v>
      </c>
      <c r="CD55" s="640">
        <f>Trend!CD75</f>
        <v>0</v>
      </c>
      <c r="CE55" s="640">
        <f>Trend!CE75</f>
        <v>0</v>
      </c>
      <c r="CF55" s="640">
        <f>Trend!CF75</f>
        <v>0</v>
      </c>
      <c r="CG55" s="640">
        <f>Trend!CG75</f>
        <v>0</v>
      </c>
      <c r="CH55" s="640">
        <f>Trend!CH75</f>
        <v>0</v>
      </c>
      <c r="CI55" s="640">
        <f>Trend!CI75</f>
        <v>1000000</v>
      </c>
      <c r="CJ55" s="640">
        <f>Trend!CJ75</f>
        <v>1000000</v>
      </c>
      <c r="CK55" s="640">
        <f>Trend!CK75</f>
        <v>2000000</v>
      </c>
      <c r="CL55" s="640">
        <f>Trend!CL75</f>
        <v>0</v>
      </c>
      <c r="CM55" s="640">
        <f>Trend!CM75</f>
        <v>0</v>
      </c>
      <c r="CN55" s="640">
        <f>Trend!CN75</f>
        <v>0</v>
      </c>
      <c r="CO55" s="640">
        <f>Trend!CO75</f>
        <v>0</v>
      </c>
      <c r="CP55" s="640">
        <f>Trend!CP75</f>
        <v>0</v>
      </c>
      <c r="CQ55" s="640">
        <f>Trend!CQ75</f>
        <v>0</v>
      </c>
      <c r="CR55" s="640">
        <f>Trend!CR75</f>
        <v>0</v>
      </c>
      <c r="CS55" s="640">
        <f>Trend!CS75</f>
        <v>0</v>
      </c>
      <c r="CT55" s="640">
        <f>Trend!CT75</f>
        <v>0</v>
      </c>
      <c r="CU55" s="640">
        <f>Trend!CU75</f>
        <v>0</v>
      </c>
      <c r="CV55" s="640">
        <f>Trend!CV75</f>
        <v>2000000</v>
      </c>
      <c r="CW55" s="640">
        <f>Trend!CW75</f>
        <v>2000000</v>
      </c>
      <c r="CX55" s="640">
        <f>Trend!CX75</f>
        <v>0</v>
      </c>
      <c r="CY55" s="640">
        <f>Trend!CY75</f>
        <v>0</v>
      </c>
      <c r="CZ55" s="640">
        <f>Trend!CZ75</f>
        <v>0</v>
      </c>
      <c r="DA55" s="640">
        <f>Trend!DA75</f>
        <v>0</v>
      </c>
      <c r="DB55" s="640">
        <f>Trend!DB75</f>
        <v>0</v>
      </c>
      <c r="DC55" s="640">
        <f>Trend!DC75</f>
        <v>0</v>
      </c>
      <c r="DD55" s="640">
        <f>Trend!DD75</f>
        <v>0</v>
      </c>
      <c r="DE55" s="640">
        <f>Trend!DE75</f>
        <v>0</v>
      </c>
      <c r="DF55" s="640">
        <f>Trend!DF75</f>
        <v>0</v>
      </c>
      <c r="DG55" s="640">
        <f>Trend!DG75</f>
        <v>0</v>
      </c>
      <c r="DH55" s="640">
        <f>Trend!DH75</f>
        <v>0</v>
      </c>
      <c r="DI55" s="640">
        <f>Trend!DI75</f>
        <v>2000000</v>
      </c>
      <c r="DJ55" s="640">
        <f>Trend!DJ75</f>
        <v>2000000</v>
      </c>
      <c r="DK55" s="640">
        <f>Trend!DK75</f>
        <v>0</v>
      </c>
      <c r="DL55" s="640">
        <f>Trend!DL75</f>
        <v>0</v>
      </c>
      <c r="DM55" s="640">
        <f>Trend!DM75</f>
        <v>0</v>
      </c>
      <c r="DN55" s="640">
        <f>Trend!DN75</f>
        <v>0</v>
      </c>
      <c r="DO55" s="640">
        <f>Trend!DO75</f>
        <v>0</v>
      </c>
      <c r="DP55" s="640">
        <f>Trend!DP75</f>
        <v>0</v>
      </c>
      <c r="DQ55" s="640">
        <f>Trend!DQ75</f>
        <v>0</v>
      </c>
      <c r="DR55" s="640">
        <f>Trend!DR75</f>
        <v>0</v>
      </c>
      <c r="DS55" s="640">
        <f>Trend!DS75</f>
        <v>0</v>
      </c>
      <c r="DT55" s="640">
        <f>Trend!DT75</f>
        <v>0</v>
      </c>
      <c r="DU55" s="640">
        <f>Trend!DU75</f>
        <v>0</v>
      </c>
      <c r="DV55" s="640">
        <f>Trend!DV75</f>
        <v>0</v>
      </c>
      <c r="DW55" s="640">
        <f>Trend!DW75</f>
        <v>3500000</v>
      </c>
      <c r="DX55" s="640"/>
      <c r="DY55" s="640"/>
      <c r="DZ55" s="640"/>
      <c r="EA55" s="640"/>
      <c r="EB55" s="640"/>
    </row>
    <row r="57" spans="1:132" x14ac:dyDescent="0.25">
      <c r="B57" s="52" t="s">
        <v>188</v>
      </c>
      <c r="C57" s="87">
        <f>Trend!C92</f>
        <v>0</v>
      </c>
      <c r="D57" s="87">
        <f>Trend!D92</f>
        <v>44058</v>
      </c>
      <c r="E57" s="87">
        <f>Trend!E92</f>
        <v>67895</v>
      </c>
      <c r="F57" s="87">
        <f>Trend!F92</f>
        <v>362262</v>
      </c>
      <c r="G57" s="87">
        <f>Trend!G92</f>
        <v>347141</v>
      </c>
      <c r="H57" s="87">
        <f>Trend!H92</f>
        <v>5201.3999999999996</v>
      </c>
      <c r="I57" s="87">
        <f>Trend!I92</f>
        <v>1147048</v>
      </c>
      <c r="J57" s="87">
        <f>Trend!J92</f>
        <v>-471460657.26999998</v>
      </c>
      <c r="K57" s="87">
        <f>Trend!K92</f>
        <v>-990658.87</v>
      </c>
      <c r="L57" s="87">
        <f>Trend!L92</f>
        <v>-4833633.7300000004</v>
      </c>
      <c r="M57" s="87">
        <f>Trend!M92</f>
        <v>-5341751.6899999995</v>
      </c>
      <c r="N57" s="87">
        <f>Trend!N92</f>
        <v>2030937.3499999996</v>
      </c>
      <c r="O57" s="87">
        <f>Trend!O92</f>
        <v>2536842.8499999996</v>
      </c>
      <c r="P57" s="87">
        <f>Trend!P92</f>
        <v>2947092.6399999997</v>
      </c>
      <c r="Q57" s="87">
        <f>Trend!Q92</f>
        <v>3326668.92</v>
      </c>
      <c r="R57" s="87">
        <f>Trend!R92</f>
        <v>4143667.0199999996</v>
      </c>
      <c r="S57" s="87">
        <f>Trend!S92</f>
        <v>3995982.67</v>
      </c>
      <c r="T57" s="87">
        <f>Trend!T92</f>
        <v>10557421.699999999</v>
      </c>
      <c r="U57" s="87">
        <f>Trend!U92</f>
        <v>11815817.630000001</v>
      </c>
      <c r="V57" s="87">
        <f>Trend!V92</f>
        <v>-221863</v>
      </c>
      <c r="W57" s="87">
        <f>Trend!W92</f>
        <v>-1929301.7</v>
      </c>
      <c r="X57" s="87">
        <f>Trend!X92</f>
        <v>-1274760.8699999999</v>
      </c>
      <c r="Y57" s="87">
        <f>Trend!Y92</f>
        <v>3708921.04</v>
      </c>
      <c r="Z57" s="87">
        <f>Trend!Z92</f>
        <v>-787409.16000000015</v>
      </c>
      <c r="AA57" s="87">
        <f>Trend!AA92</f>
        <v>4040719.86</v>
      </c>
      <c r="AB57" s="87">
        <f>Trend!AB92</f>
        <v>4802544.01</v>
      </c>
      <c r="AC57" s="87">
        <f>Trend!AC92</f>
        <v>1067986.1400000011</v>
      </c>
      <c r="AD57" s="87">
        <f>Trend!AD92</f>
        <v>2145612.59</v>
      </c>
      <c r="AE57" s="87">
        <f>Trend!AE92</f>
        <v>1309492.5999999989</v>
      </c>
      <c r="AF57" s="87">
        <f>Trend!AF92</f>
        <v>2667758.6999999997</v>
      </c>
      <c r="AG57" s="87">
        <f>Trend!AG92</f>
        <v>4015044.7200000011</v>
      </c>
      <c r="AH57" s="87">
        <f>Trend!AH92</f>
        <v>5343134.0699999994</v>
      </c>
      <c r="AI57" s="87">
        <f>Trend!AI92</f>
        <v>2979536</v>
      </c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</row>
  </sheetData>
  <pageMargins left="0.7" right="0.7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Y51"/>
  <sheetViews>
    <sheetView tabSelected="1" view="pageBreakPreview" topLeftCell="C1" zoomScaleNormal="100" zoomScaleSheetLayoutView="100" workbookViewId="0">
      <pane xSplit="1" topLeftCell="BY1" activePane="topRight" state="frozen"/>
      <selection activeCell="C1" sqref="C1"/>
      <selection pane="topRight" activeCell="DL21" sqref="DL21"/>
    </sheetView>
  </sheetViews>
  <sheetFormatPr defaultColWidth="9.109375" defaultRowHeight="13.2" x14ac:dyDescent="0.25"/>
  <cols>
    <col min="1" max="1" width="9.109375" style="1"/>
    <col min="2" max="2" width="4.88671875" style="1" bestFit="1" customWidth="1"/>
    <col min="3" max="3" width="34" style="1" customWidth="1"/>
    <col min="4" max="4" width="9.88671875" style="3" hidden="1" customWidth="1"/>
    <col min="5" max="5" width="0.109375" style="1" hidden="1" customWidth="1"/>
    <col min="6" max="6" width="7.5546875" style="1" hidden="1" customWidth="1"/>
    <col min="7" max="8" width="8.109375" style="1" hidden="1" customWidth="1"/>
    <col min="9" max="9" width="7.5546875" style="1" hidden="1" customWidth="1"/>
    <col min="10" max="11" width="7.109375" style="1" hidden="1" customWidth="1"/>
    <col min="12" max="12" width="6.5546875" style="1" hidden="1" customWidth="1"/>
    <col min="13" max="24" width="7.5546875" style="1" hidden="1" customWidth="1"/>
    <col min="25" max="47" width="9.109375" style="1" hidden="1" customWidth="1"/>
    <col min="48" max="48" width="8.109375" style="1" hidden="1" customWidth="1"/>
    <col min="49" max="49" width="7.5546875" style="1" hidden="1" customWidth="1"/>
    <col min="50" max="50" width="8" style="1" hidden="1" customWidth="1"/>
    <col min="51" max="51" width="7.5546875" style="1" hidden="1" customWidth="1"/>
    <col min="52" max="52" width="0.109375" style="1" hidden="1" customWidth="1"/>
    <col min="53" max="55" width="9.109375" style="1" hidden="1" customWidth="1"/>
    <col min="56" max="56" width="12.88671875" style="1" hidden="1" customWidth="1"/>
    <col min="57" max="60" width="9.109375" style="1" hidden="1" customWidth="1"/>
    <col min="61" max="61" width="8.109375" style="1" hidden="1" customWidth="1"/>
    <col min="62" max="62" width="7.5546875" style="1" hidden="1" customWidth="1"/>
    <col min="63" max="63" width="0" style="1" hidden="1" customWidth="1"/>
    <col min="64" max="64" width="10.5546875" style="1" hidden="1" customWidth="1"/>
    <col min="65" max="67" width="0" style="1" hidden="1" customWidth="1"/>
    <col min="68" max="68" width="9.109375" style="1" hidden="1" customWidth="1"/>
    <col min="69" max="69" width="10.109375" style="1" hidden="1" customWidth="1"/>
    <col min="70" max="72" width="0" style="1" hidden="1" customWidth="1"/>
    <col min="73" max="73" width="10.109375" style="1" hidden="1" customWidth="1"/>
    <col min="74" max="74" width="0" style="1" hidden="1" customWidth="1"/>
    <col min="75" max="76" width="7.5546875" style="1" hidden="1" customWidth="1"/>
    <col min="77" max="77" width="12.88671875" style="1" bestFit="1" customWidth="1"/>
    <col min="78" max="89" width="0" style="1" hidden="1" customWidth="1"/>
    <col min="90" max="90" width="12.88671875" style="1" bestFit="1" customWidth="1"/>
    <col min="91" max="101" width="0" style="1" hidden="1" customWidth="1"/>
    <col min="102" max="102" width="12.5546875" style="1" bestFit="1" customWidth="1"/>
    <col min="103" max="115" width="0" style="1" hidden="1" customWidth="1"/>
    <col min="116" max="116" width="12.88671875" style="1" bestFit="1" customWidth="1"/>
    <col min="117" max="128" width="0" style="1" hidden="1" customWidth="1"/>
    <col min="129" max="129" width="12.88671875" style="1" bestFit="1" customWidth="1"/>
    <col min="130" max="16384" width="9.109375" style="1"/>
  </cols>
  <sheetData>
    <row r="1" spans="2:129" x14ac:dyDescent="0.25">
      <c r="C1" s="2" t="s">
        <v>189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</row>
    <row r="2" spans="2:129" ht="13.8" thickBot="1" x14ac:dyDescent="0.3">
      <c r="C2" s="5" t="s">
        <v>190</v>
      </c>
    </row>
    <row r="3" spans="2:129" s="5" customFormat="1" ht="15" customHeight="1" x14ac:dyDescent="0.25">
      <c r="B3" s="6"/>
      <c r="C3" s="512"/>
      <c r="D3" s="515"/>
      <c r="E3" s="12"/>
      <c r="F3" s="700"/>
      <c r="G3" s="700"/>
      <c r="H3" s="700"/>
      <c r="I3" s="700"/>
      <c r="J3" s="700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701"/>
      <c r="W3" s="701"/>
      <c r="X3" s="701"/>
      <c r="Y3" s="701"/>
      <c r="Z3" s="516"/>
      <c r="AA3" s="516"/>
      <c r="AB3" s="516"/>
      <c r="AC3" s="516"/>
      <c r="AD3" s="516"/>
      <c r="AE3" s="516"/>
      <c r="AF3" s="516"/>
      <c r="AG3" s="516"/>
      <c r="AH3" s="516"/>
      <c r="AI3" s="516"/>
      <c r="AJ3" s="516"/>
      <c r="AK3" s="516"/>
      <c r="AL3" s="516"/>
      <c r="AM3" s="516"/>
      <c r="AN3" s="516"/>
      <c r="AO3" s="516"/>
      <c r="AP3" s="516"/>
      <c r="AQ3" s="516"/>
      <c r="AR3" s="516"/>
      <c r="AS3" s="516"/>
      <c r="AT3" s="516"/>
      <c r="AU3" s="516"/>
      <c r="AV3" s="516"/>
      <c r="AW3" s="516"/>
      <c r="AX3" s="516"/>
      <c r="AY3" s="516"/>
      <c r="AZ3" s="516"/>
      <c r="BA3" s="516"/>
      <c r="BB3" s="516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</row>
    <row r="4" spans="2:129" s="5" customFormat="1" x14ac:dyDescent="0.25">
      <c r="B4" s="7"/>
      <c r="C4" s="513" t="s">
        <v>191</v>
      </c>
      <c r="D4" s="517" t="s">
        <v>192</v>
      </c>
      <c r="E4" s="517" t="s">
        <v>193</v>
      </c>
      <c r="F4" s="134">
        <v>2008</v>
      </c>
      <c r="G4" s="134">
        <v>2009</v>
      </c>
      <c r="H4" s="134">
        <v>2010</v>
      </c>
      <c r="I4" s="134">
        <v>2011</v>
      </c>
      <c r="J4" s="134">
        <v>2012</v>
      </c>
      <c r="K4" s="135">
        <v>41609</v>
      </c>
      <c r="L4" s="134">
        <v>2013</v>
      </c>
      <c r="M4" s="135">
        <v>41640</v>
      </c>
      <c r="N4" s="135">
        <v>41671</v>
      </c>
      <c r="O4" s="135">
        <v>41699</v>
      </c>
      <c r="P4" s="135">
        <v>41730</v>
      </c>
      <c r="Q4" s="135">
        <v>41760</v>
      </c>
      <c r="R4" s="135">
        <v>41791</v>
      </c>
      <c r="S4" s="135">
        <v>41821</v>
      </c>
      <c r="T4" s="135">
        <v>41852</v>
      </c>
      <c r="U4" s="135">
        <v>41883</v>
      </c>
      <c r="V4" s="135">
        <v>41913</v>
      </c>
      <c r="W4" s="135">
        <v>41944</v>
      </c>
      <c r="X4" s="135">
        <v>41974</v>
      </c>
      <c r="Y4" s="179" t="s">
        <v>4</v>
      </c>
      <c r="Z4" s="179" t="s">
        <v>5</v>
      </c>
      <c r="AA4" s="179" t="s">
        <v>6</v>
      </c>
      <c r="AB4" s="179" t="s">
        <v>7</v>
      </c>
      <c r="AC4" s="185">
        <v>42125</v>
      </c>
      <c r="AD4" s="185">
        <v>42156</v>
      </c>
      <c r="AE4" s="185">
        <v>42186</v>
      </c>
      <c r="AF4" s="185">
        <v>42217</v>
      </c>
      <c r="AG4" s="185">
        <v>42248</v>
      </c>
      <c r="AH4" s="185">
        <v>42278</v>
      </c>
      <c r="AI4" s="185">
        <v>42309</v>
      </c>
      <c r="AJ4" s="185">
        <v>42339</v>
      </c>
      <c r="AK4" s="185"/>
      <c r="AL4" s="179" t="s">
        <v>8</v>
      </c>
      <c r="AM4" s="179"/>
      <c r="AN4" s="185">
        <v>42416</v>
      </c>
      <c r="AO4" s="185">
        <v>42445</v>
      </c>
      <c r="AP4" s="185">
        <v>42476</v>
      </c>
      <c r="AQ4" s="179" t="s">
        <v>13</v>
      </c>
      <c r="AR4" s="179" t="s">
        <v>14</v>
      </c>
      <c r="AS4" s="179" t="s">
        <v>15</v>
      </c>
      <c r="AT4" s="179" t="s">
        <v>16</v>
      </c>
      <c r="AU4" s="179" t="s">
        <v>17</v>
      </c>
      <c r="AV4" s="179" t="s">
        <v>18</v>
      </c>
      <c r="AW4" s="179" t="s">
        <v>19</v>
      </c>
      <c r="AX4" s="179" t="s">
        <v>20</v>
      </c>
      <c r="AY4" s="179" t="s">
        <v>138</v>
      </c>
      <c r="AZ4" s="179" t="s">
        <v>194</v>
      </c>
      <c r="BA4" s="179" t="s">
        <v>23</v>
      </c>
      <c r="BB4" s="179" t="s">
        <v>139</v>
      </c>
      <c r="BC4" s="518">
        <v>42826</v>
      </c>
      <c r="BD4" s="518">
        <v>42856</v>
      </c>
      <c r="BE4" s="518">
        <v>42887</v>
      </c>
      <c r="BF4" s="518">
        <v>42917</v>
      </c>
      <c r="BG4" s="518">
        <v>42948</v>
      </c>
      <c r="BH4" s="518">
        <v>42979</v>
      </c>
      <c r="BI4" s="518">
        <v>43009</v>
      </c>
      <c r="BJ4" s="518">
        <v>43040</v>
      </c>
      <c r="BK4" s="518">
        <v>43070</v>
      </c>
      <c r="BL4" s="12" t="s">
        <v>195</v>
      </c>
      <c r="BM4" s="518">
        <v>43101</v>
      </c>
      <c r="BN4" s="518">
        <v>43132</v>
      </c>
      <c r="BO4" s="518">
        <v>43160</v>
      </c>
      <c r="BP4" s="518">
        <v>43191</v>
      </c>
      <c r="BQ4" s="518">
        <v>43221</v>
      </c>
      <c r="BR4" s="518">
        <v>43252</v>
      </c>
      <c r="BS4" s="518">
        <v>43282</v>
      </c>
      <c r="BT4" s="518">
        <v>43313</v>
      </c>
      <c r="BU4" s="518">
        <v>43344</v>
      </c>
      <c r="BV4" s="518">
        <v>43374</v>
      </c>
      <c r="BW4" s="518">
        <v>43405</v>
      </c>
      <c r="BX4" s="518">
        <v>43435</v>
      </c>
      <c r="BY4" s="5" t="s">
        <v>30</v>
      </c>
      <c r="BZ4" s="530">
        <v>43466</v>
      </c>
      <c r="CA4" s="530">
        <v>43497</v>
      </c>
      <c r="CB4" s="530">
        <v>43525</v>
      </c>
      <c r="CC4" s="530">
        <v>43556</v>
      </c>
      <c r="CD4" s="530">
        <v>43586</v>
      </c>
      <c r="CE4" s="530">
        <v>43617</v>
      </c>
      <c r="CF4" s="530">
        <v>43647</v>
      </c>
      <c r="CG4" s="530">
        <v>43678</v>
      </c>
      <c r="CH4" s="530">
        <v>43709</v>
      </c>
      <c r="CI4" s="530">
        <v>43739</v>
      </c>
      <c r="CJ4" s="530">
        <v>43770</v>
      </c>
      <c r="CK4" s="530">
        <v>43800</v>
      </c>
      <c r="CL4" s="530" t="s">
        <v>31</v>
      </c>
      <c r="CM4" s="530">
        <v>43862</v>
      </c>
      <c r="CN4" s="530">
        <v>43891</v>
      </c>
      <c r="CO4" s="530">
        <v>43922</v>
      </c>
      <c r="CP4" s="530">
        <v>43952</v>
      </c>
      <c r="CQ4" s="530">
        <v>43983</v>
      </c>
      <c r="CR4" s="530">
        <v>44013</v>
      </c>
      <c r="CS4" s="530">
        <v>44044</v>
      </c>
      <c r="CT4" s="530">
        <v>44075</v>
      </c>
      <c r="CU4" s="530">
        <v>44105</v>
      </c>
      <c r="CV4" s="530">
        <v>44136</v>
      </c>
      <c r="CW4" s="530">
        <v>44166</v>
      </c>
      <c r="CX4" s="530" t="s">
        <v>32</v>
      </c>
      <c r="CY4" s="530">
        <v>44197</v>
      </c>
      <c r="CZ4" s="530">
        <v>44228</v>
      </c>
      <c r="DA4" s="530">
        <v>44256</v>
      </c>
      <c r="DB4" s="530">
        <v>44287</v>
      </c>
      <c r="DC4" s="530">
        <v>44317</v>
      </c>
      <c r="DD4" s="530">
        <v>44348</v>
      </c>
      <c r="DE4" s="530">
        <v>44378</v>
      </c>
      <c r="DF4" s="641">
        <v>44378</v>
      </c>
      <c r="DG4" s="641">
        <v>44409</v>
      </c>
      <c r="DH4" s="641">
        <v>44440</v>
      </c>
      <c r="DI4" s="641">
        <v>44470</v>
      </c>
      <c r="DJ4" s="641">
        <v>44501</v>
      </c>
      <c r="DK4" s="641">
        <v>44531</v>
      </c>
      <c r="DL4" s="641" t="s">
        <v>33</v>
      </c>
      <c r="DM4" s="663">
        <v>44562</v>
      </c>
      <c r="DN4" s="663">
        <v>44593</v>
      </c>
      <c r="DO4" s="663">
        <v>44621</v>
      </c>
      <c r="DP4" s="663">
        <v>44652</v>
      </c>
      <c r="DQ4" s="663">
        <v>44682</v>
      </c>
      <c r="DR4" s="663">
        <v>44713</v>
      </c>
      <c r="DS4" s="663">
        <v>44743</v>
      </c>
      <c r="DT4" s="663">
        <v>44774</v>
      </c>
      <c r="DU4" s="663">
        <v>44805</v>
      </c>
      <c r="DV4" s="663">
        <v>44835</v>
      </c>
      <c r="DW4" s="663">
        <v>44866</v>
      </c>
      <c r="DX4" s="663">
        <v>44896</v>
      </c>
      <c r="DY4" s="745" t="s">
        <v>501</v>
      </c>
    </row>
    <row r="5" spans="2:129" s="5" customFormat="1" x14ac:dyDescent="0.25">
      <c r="B5" s="8">
        <v>1</v>
      </c>
      <c r="C5" s="514" t="s">
        <v>196</v>
      </c>
      <c r="D5" s="515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519"/>
      <c r="W5" s="520"/>
      <c r="X5" s="520"/>
      <c r="Y5" s="520"/>
      <c r="Z5" s="520"/>
      <c r="AA5" s="520"/>
      <c r="AB5" s="520"/>
      <c r="AC5" s="520"/>
      <c r="AD5" s="520"/>
      <c r="AE5" s="520"/>
      <c r="AF5" s="520"/>
      <c r="AG5" s="520"/>
      <c r="AH5" s="520"/>
      <c r="AI5" s="520"/>
      <c r="AJ5" s="520"/>
      <c r="AK5" s="520"/>
      <c r="AL5" s="520"/>
      <c r="AM5" s="520"/>
      <c r="AN5" s="520"/>
      <c r="AO5" s="520"/>
      <c r="AP5" s="520"/>
      <c r="AQ5" s="520"/>
      <c r="AR5" s="520"/>
      <c r="AS5" s="520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</row>
    <row r="6" spans="2:129" s="5" customFormat="1" x14ac:dyDescent="0.25">
      <c r="B6" s="13">
        <v>1.1000000000000001</v>
      </c>
      <c r="C6" s="13" t="s">
        <v>197</v>
      </c>
      <c r="D6" s="14" t="s">
        <v>198</v>
      </c>
      <c r="E6" s="15" t="s">
        <v>199</v>
      </c>
      <c r="F6" s="16">
        <f>Financials!C13/1000000</f>
        <v>0.439861</v>
      </c>
      <c r="G6" s="16">
        <f>Financials!D13/1000000</f>
        <v>0.73686099999999999</v>
      </c>
      <c r="H6" s="16">
        <f>Financials!E13/1000000</f>
        <v>8.4537560000000003</v>
      </c>
      <c r="I6" s="16">
        <f>Financials!F13/1000000</f>
        <v>11.449334</v>
      </c>
      <c r="J6" s="16">
        <f>Financials!G13/1000000</f>
        <v>15.452147999999999</v>
      </c>
      <c r="K6" s="16">
        <f>Financials!H13/1000000</f>
        <v>25.27477833</v>
      </c>
      <c r="L6" s="16">
        <f>Financials!I13/1000000</f>
        <v>19.725079000000001</v>
      </c>
      <c r="M6" s="16">
        <f>Financials!J13/1000000</f>
        <v>51.119688510000003</v>
      </c>
      <c r="N6" s="16">
        <f>Financials!K13/1000000</f>
        <v>26.585028480000005</v>
      </c>
      <c r="O6" s="16">
        <f>Financials!L13/1000000</f>
        <v>24.275510730000001</v>
      </c>
      <c r="P6" s="16">
        <f>Financials!M13/1000000</f>
        <v>24.781562690000001</v>
      </c>
      <c r="Q6" s="16">
        <f>Financials!N13/1000000</f>
        <v>29.00491718</v>
      </c>
      <c r="R6" s="16">
        <f>Financials!O13/1000000</f>
        <v>29.63504768</v>
      </c>
      <c r="S6" s="16">
        <f>Financials!P13/1000000</f>
        <v>30.659182470000001</v>
      </c>
      <c r="T6" s="16">
        <f>Financials!Q13/1000000</f>
        <v>30.70875375</v>
      </c>
      <c r="U6" s="16">
        <f>Financials!R13/1000000</f>
        <v>31.761326850000003</v>
      </c>
      <c r="V6" s="16">
        <f>Financials!S13/1000000</f>
        <v>32.432756500000004</v>
      </c>
      <c r="W6" s="16">
        <f>Financials!T13/1000000</f>
        <v>33.391682530000004</v>
      </c>
      <c r="X6" s="16">
        <f>Financials!U13/1000000</f>
        <v>28.819890100000002</v>
      </c>
      <c r="Y6" s="16">
        <f>Financials!W13/1000000</f>
        <v>32.110396370000004</v>
      </c>
      <c r="Z6" s="16">
        <f>Financials!X13/1000000</f>
        <v>33.6975342</v>
      </c>
      <c r="AA6" s="16">
        <f>Financials!Y13/1000000</f>
        <v>30.530662490000001</v>
      </c>
      <c r="AB6" s="16">
        <f>Financials!Z13/1000000</f>
        <v>33.605968010000005</v>
      </c>
      <c r="AC6" s="16">
        <f>Financials!AA13/1000000</f>
        <v>34.320074060000003</v>
      </c>
      <c r="AD6" s="16">
        <f>Financials!AB13/1000000</f>
        <v>35.793923230000004</v>
      </c>
      <c r="AE6" s="16">
        <f>Financials!AC13/1000000</f>
        <v>33.507873179999997</v>
      </c>
      <c r="AF6" s="16">
        <f>Financials!AD13/1000000</f>
        <v>35.443236450000001</v>
      </c>
      <c r="AG6" s="16">
        <f>Financials!AE13/1000000</f>
        <v>34.900999260000006</v>
      </c>
      <c r="AH6" s="16">
        <f>Financials!AF13/1000000</f>
        <v>35.537560409999998</v>
      </c>
      <c r="AI6" s="16">
        <f>Financials!AG13/1000000</f>
        <v>38.132047049999997</v>
      </c>
      <c r="AJ6" s="16">
        <f>Financials!AH13/1000000</f>
        <v>38.314826500000002</v>
      </c>
      <c r="AK6" s="16">
        <f>Financials!AI13/1000000</f>
        <v>27.501272</v>
      </c>
      <c r="AL6" s="16">
        <f>Financials!AJ13/1000000</f>
        <v>27.501272</v>
      </c>
      <c r="AM6" s="16">
        <f>Financials!AK13/1000000</f>
        <v>0</v>
      </c>
      <c r="AN6" s="16">
        <f>Financials!AL13/1000000</f>
        <v>41.412198350000004</v>
      </c>
      <c r="AO6" s="16">
        <f>Financials!AM13/1000000</f>
        <v>42.112588180000003</v>
      </c>
      <c r="AP6" s="16">
        <f>Financials!AN13/1000000</f>
        <v>46.319424070000004</v>
      </c>
      <c r="AQ6" s="16">
        <f>Financials!AO13/1000000</f>
        <v>34.320074060000003</v>
      </c>
      <c r="AR6" s="16">
        <f>Financials!AP13/1000000</f>
        <v>57.903915089999998</v>
      </c>
      <c r="AS6" s="16">
        <f>Financials!AQ13/1000000</f>
        <v>62.413287279999992</v>
      </c>
      <c r="AT6" s="16">
        <f>Financials!AR13/1000000</f>
        <v>65.649253569999999</v>
      </c>
      <c r="AU6" s="16">
        <f>Financials!AS13/1000000</f>
        <v>69.668696699999998</v>
      </c>
      <c r="AV6" s="16">
        <f>Financials!AT13/1000000</f>
        <v>0</v>
      </c>
      <c r="AW6" s="16">
        <f>Financials!AU13/1000000</f>
        <v>76.322254709999996</v>
      </c>
      <c r="AX6" s="16">
        <f>Financials!AV13/1000000</f>
        <v>-18.541410110000005</v>
      </c>
      <c r="AY6" s="16">
        <f>Financials!AW13/1000000</f>
        <v>31.120922</v>
      </c>
      <c r="AZ6" s="16">
        <f>Financials!AX13/1000000</f>
        <v>0</v>
      </c>
      <c r="BA6" s="16">
        <f>Financials!AY13/1000000</f>
        <v>0</v>
      </c>
      <c r="BB6" s="16">
        <f>Financials!AZ13/1000000</f>
        <v>-30.132021409999997</v>
      </c>
      <c r="BC6" s="16">
        <f>Financials!BA13/1000000</f>
        <v>-64.361903639999994</v>
      </c>
      <c r="BD6" s="16">
        <f>Financials!BB13/1000000</f>
        <v>35.749276999999999</v>
      </c>
      <c r="BE6" s="16">
        <f>Financials!BC13/1000000</f>
        <v>37.492975100000002</v>
      </c>
      <c r="BF6" s="16">
        <f>Financials!BD13/1000000</f>
        <v>34.126199</v>
      </c>
      <c r="BG6" s="16">
        <f>Financials!BE13/1000000</f>
        <v>38.136474820000004</v>
      </c>
      <c r="BH6" s="16">
        <f>Financials!BF13/1000000</f>
        <v>40.112710509999999</v>
      </c>
      <c r="BI6" s="16">
        <f>Financials!BG13/1000000</f>
        <v>0</v>
      </c>
      <c r="BJ6" s="16">
        <f>Financials!BH13/1000000</f>
        <v>43.364896000000002</v>
      </c>
      <c r="BK6" s="16">
        <f>Financials!BI13/1000000</f>
        <v>45.705763820000001</v>
      </c>
      <c r="BL6" s="16">
        <f>Financials!BJ13/1000000</f>
        <v>37.569426999999997</v>
      </c>
      <c r="BM6" s="16">
        <f>Financials!BK13/1000000</f>
        <v>38.389595829999998</v>
      </c>
      <c r="BN6" s="16">
        <f>Financials!BL13/1000000</f>
        <v>38.545435470000001</v>
      </c>
      <c r="BO6" s="16">
        <f>Financials!BM13/1000000</f>
        <v>40.293571360000001</v>
      </c>
      <c r="BP6" s="16">
        <f>Financials!BN13/1000000</f>
        <v>41.217697000000001</v>
      </c>
      <c r="BQ6" s="16">
        <f>Financials!BO13/1000000</f>
        <v>43.713403</v>
      </c>
      <c r="BR6" s="16">
        <f>Financials!BP13/1000000</f>
        <v>42.995243000000002</v>
      </c>
      <c r="BS6" s="16">
        <f>Financials!BQ13/1000000</f>
        <v>44.089112999999998</v>
      </c>
      <c r="BT6" s="16">
        <f>Financials!BR13/1000000</f>
        <v>44.585870999999997</v>
      </c>
      <c r="BU6" s="16">
        <f>Financials!BS13/1000000</f>
        <v>45.139474999999997</v>
      </c>
      <c r="BV6" s="16">
        <f>Financials!BT13/1000000</f>
        <v>46.354993999999998</v>
      </c>
      <c r="BW6" s="16">
        <f>Financials!BU13/1000000</f>
        <v>47.890929</v>
      </c>
      <c r="BX6" s="16">
        <f>Financials!BV13/1000000</f>
        <v>44.842826459999998</v>
      </c>
      <c r="BY6" s="16">
        <f>Financials!BW13/1000000</f>
        <v>45.92106004</v>
      </c>
      <c r="BZ6" s="16">
        <f>Financials!BX13/1000000</f>
        <v>46.804310000000001</v>
      </c>
      <c r="CA6" s="16">
        <f>Financials!BY13/1000000</f>
        <v>47.249721000000001</v>
      </c>
      <c r="CB6" s="16">
        <f>Financials!BZ13/1000000</f>
        <v>47.883333999999998</v>
      </c>
      <c r="CC6" s="16">
        <f>Financials!CA13/1000000</f>
        <v>48.206600000000002</v>
      </c>
      <c r="CD6" s="16">
        <f>Financials!CB13/1000000</f>
        <v>53.230956999999997</v>
      </c>
      <c r="CE6" s="16">
        <f>Financials!CC13/1000000</f>
        <v>54.493324999999999</v>
      </c>
      <c r="CF6" s="16">
        <f>Financials!CD13/1000000</f>
        <v>56.460104999999999</v>
      </c>
      <c r="CG6" s="16">
        <f>Financials!CE13/1000000</f>
        <v>58.151192999999999</v>
      </c>
      <c r="CH6" s="16">
        <f>Financials!CF13/1000000</f>
        <v>60.103284040000005</v>
      </c>
      <c r="CI6" s="16">
        <f>Financials!CG13/1000000</f>
        <v>62.075424870000006</v>
      </c>
      <c r="CJ6" s="16">
        <f>Financials!CH13/1000000</f>
        <v>62.486065659999994</v>
      </c>
      <c r="CK6" s="16">
        <f>Financials!CI13/1000000</f>
        <v>68.147384799999998</v>
      </c>
      <c r="CL6" s="16">
        <f>Financials!CJ13/1000000</f>
        <v>50.1744883</v>
      </c>
      <c r="CM6" s="16">
        <f>Financials!CK13/1000000</f>
        <v>52.375734150000007</v>
      </c>
      <c r="CN6" s="16" t="e">
        <f>Financials!CL13/1000000</f>
        <v>#REF!</v>
      </c>
      <c r="CO6" s="16">
        <f>Financials!CM13/1000000</f>
        <v>56.357297500000001</v>
      </c>
      <c r="CP6" s="16">
        <f>Financials!CN13/1000000</f>
        <v>58.130012799999996</v>
      </c>
      <c r="CQ6" s="16">
        <f>Financials!CO13/1000000</f>
        <v>60.726037499999997</v>
      </c>
      <c r="CR6" s="16">
        <f>Financials!CP13/1000000</f>
        <v>63.282583159999994</v>
      </c>
      <c r="CS6" s="16">
        <f>Financials!CQ13/1000000</f>
        <v>66.654713569999998</v>
      </c>
      <c r="CT6" s="16">
        <f>Financials!CR13/1000000</f>
        <v>70.180176500000002</v>
      </c>
      <c r="CU6" s="16">
        <f>Financials!CS13/1000000</f>
        <v>73.894641829999998</v>
      </c>
      <c r="CV6" s="16">
        <f>Financials!CT13/1000000</f>
        <v>71.708298360000001</v>
      </c>
      <c r="CW6" s="16">
        <f>Financials!CU13/1000000</f>
        <v>77.170188280000005</v>
      </c>
      <c r="CX6" s="16">
        <f>Financials!CV13/1000000</f>
        <v>76.184332799999993</v>
      </c>
      <c r="CY6" s="16">
        <f>Financials!CW13/1000000</f>
        <v>60.637566169999999</v>
      </c>
      <c r="CZ6" s="16">
        <f>Financials!CX13/1000000</f>
        <v>63.4119052</v>
      </c>
      <c r="DA6" s="16">
        <f>Financials!CY13/1000000</f>
        <v>66.640987820000007</v>
      </c>
      <c r="DB6" s="16">
        <f>Financials!CZ13/1000000</f>
        <v>69.978383909999991</v>
      </c>
      <c r="DC6" s="16">
        <f>Financials!DA13/1000000</f>
        <v>74.695160790000003</v>
      </c>
      <c r="DD6" s="16">
        <f>Financials!DB13/1000000</f>
        <v>77.751442249999997</v>
      </c>
      <c r="DE6" s="16">
        <f>Financials!DC13/1000000</f>
        <v>80.662110440000006</v>
      </c>
      <c r="DF6" s="16">
        <f>Financials!DD13/1000000</f>
        <v>84.030239420000001</v>
      </c>
      <c r="DG6" s="16">
        <f>Financials!DE13/1000000</f>
        <v>88.627529409999994</v>
      </c>
      <c r="DH6" s="16">
        <f>Financials!DF13/1000000</f>
        <v>92.873654189999996</v>
      </c>
      <c r="DI6" s="16">
        <f>Financials!DG13/1000000</f>
        <v>93.976618180000003</v>
      </c>
      <c r="DJ6" s="16">
        <f>Financials!DH13/1000000</f>
        <v>97.316417700000002</v>
      </c>
      <c r="DK6" s="16">
        <f>Financials!DI13/1000000</f>
        <v>72.824194890000001</v>
      </c>
      <c r="DL6" s="16">
        <f>Financials!DJ13/1000000</f>
        <v>73.290644</v>
      </c>
      <c r="DM6" s="16">
        <f>Financials!DK13/1000000</f>
        <v>73.496960539999989</v>
      </c>
      <c r="DN6" s="16">
        <f>Financials!DL13/1000000</f>
        <v>80.76158495</v>
      </c>
      <c r="DO6" s="16">
        <f>Financials!DM13/1000000</f>
        <v>89.148039690000004</v>
      </c>
      <c r="DP6" s="16">
        <f>Financials!DN13/1000000</f>
        <v>92.917408210000005</v>
      </c>
      <c r="DQ6" s="16">
        <f>Financials!DO13/1000000</f>
        <v>96.642171009999984</v>
      </c>
      <c r="DR6" s="16">
        <f>Financials!DP13/1000000</f>
        <v>100.490934</v>
      </c>
      <c r="DS6" s="16">
        <f>Financials!DQ13/1000000</f>
        <v>104.43501580000002</v>
      </c>
      <c r="DT6" s="16">
        <f>Financials!DR13/1000000</f>
        <v>110.00114674000001</v>
      </c>
      <c r="DU6" s="16">
        <f>Financials!DS13/1000000</f>
        <v>105.01291696</v>
      </c>
      <c r="DV6" s="16">
        <f>Financials!DT13/1000000</f>
        <v>106.58643569999998</v>
      </c>
      <c r="DW6" s="16">
        <f>Financials!DU13/1000000</f>
        <v>109.84769578999999</v>
      </c>
      <c r="DX6" s="16">
        <f>Financials!DV13/1000000</f>
        <v>0</v>
      </c>
      <c r="DY6" s="16">
        <f>Financials!DW13/1000000</f>
        <v>97.517527999999999</v>
      </c>
    </row>
    <row r="7" spans="2:129" s="5" customFormat="1" x14ac:dyDescent="0.25">
      <c r="B7" s="13">
        <v>1.2</v>
      </c>
      <c r="C7" s="13" t="s">
        <v>200</v>
      </c>
      <c r="D7" s="14" t="s">
        <v>201</v>
      </c>
      <c r="E7" s="15" t="s">
        <v>202</v>
      </c>
      <c r="F7" s="18">
        <f>Financials!C13/Financials!C5</f>
        <v>0.12656377233189753</v>
      </c>
      <c r="G7" s="18">
        <f>Financials!D13/Financials!D5</f>
        <v>8.4206459248099025E-2</v>
      </c>
      <c r="H7" s="18">
        <f>Financials!E13/Financials!E5</f>
        <v>0.44457182590140537</v>
      </c>
      <c r="I7" s="18">
        <f>Financials!F13/Financials!F5</f>
        <v>0.3211646731185156</v>
      </c>
      <c r="J7" s="18">
        <f>Financials!G13/Financials!G5</f>
        <v>0.32003711831662252</v>
      </c>
      <c r="K7" s="18">
        <f>Financials!H13/Financials!H5</f>
        <v>0.33539400002244713</v>
      </c>
      <c r="L7" s="18">
        <f>Financials!I13/Financials!I5</f>
        <v>0.27632120546558775</v>
      </c>
      <c r="M7" s="18">
        <f>Financials!J13/Financials!J5</f>
        <v>0.33268802552775761</v>
      </c>
      <c r="N7" s="18">
        <f>Financials!K13/Financials!K5</f>
        <v>0.33348325085980252</v>
      </c>
      <c r="O7" s="18">
        <f>Financials!L13/Financials!L5</f>
        <v>0.30296026581243113</v>
      </c>
      <c r="P7" s="18">
        <f>Financials!M13/Financials!M5</f>
        <v>0.30267758923991916</v>
      </c>
      <c r="Q7" s="18">
        <f>Financials!N13/Financials!N5</f>
        <v>0.34704141981826447</v>
      </c>
      <c r="R7" s="18">
        <f>Financials!O13/Financials!O5</f>
        <v>0.34415727513017075</v>
      </c>
      <c r="S7" s="18">
        <f>Financials!P13/Financials!P5</f>
        <v>0.34347036305045053</v>
      </c>
      <c r="T7" s="18">
        <f>Financials!Q13/Financials!Q5</f>
        <v>0.33778861592586601</v>
      </c>
      <c r="U7" s="18">
        <f>Financials!R13/Financials!R5</f>
        <v>0.34250861740403077</v>
      </c>
      <c r="V7" s="18">
        <f>Financials!S13/Financials!S5</f>
        <v>0.33985636651932233</v>
      </c>
      <c r="W7" s="18">
        <f>Financials!T13/Financials!T5</f>
        <v>0.34861653146802685</v>
      </c>
      <c r="X7" s="18">
        <f>Financials!U13/Financials!U5</f>
        <v>0.31243537362939983</v>
      </c>
      <c r="Y7" s="18">
        <f>Financials!W13/Financials!W5</f>
        <v>0.34902504075244495</v>
      </c>
      <c r="Z7" s="18">
        <f>Financials!X13/Financials!X5</f>
        <v>0.36460679813219288</v>
      </c>
      <c r="AA7" s="18">
        <f>Financials!Y13/Financials!Y5</f>
        <v>0.32774907292746325</v>
      </c>
      <c r="AB7" s="18">
        <f>Financials!Z13/Financials!Z5</f>
        <v>0.33591020603751504</v>
      </c>
      <c r="AC7" s="18">
        <f>Financials!AA13/Financials!AA5</f>
        <v>0.33053057582914264</v>
      </c>
      <c r="AD7" s="18">
        <f>Financials!AB13/Financials!AB5</f>
        <v>0.33370253171467995</v>
      </c>
      <c r="AE7" s="18">
        <f>Financials!AC13/Financials!AC5</f>
        <v>0.30459414572008608</v>
      </c>
      <c r="AF7" s="18">
        <f>Financials!AD13/Financials!AD5</f>
        <v>0.30830342743349237</v>
      </c>
      <c r="AG7" s="18">
        <f>Financials!AE13/Financials!AE5</f>
        <v>0.29742482301612433</v>
      </c>
      <c r="AH7" s="18">
        <f>Financials!AF13/Financials!AF5</f>
        <v>0.29788656319273349</v>
      </c>
      <c r="AI7" s="18">
        <f>Financials!AG13/Financials!AG5</f>
        <v>0.31032859899326676</v>
      </c>
      <c r="AJ7" s="18">
        <f>Financials!AH13/Financials!AH5</f>
        <v>0.31325870798846089</v>
      </c>
      <c r="AK7" s="18">
        <f>Financials!AI13/Financials!AI5</f>
        <v>0.21511220194982136</v>
      </c>
      <c r="AL7" s="18">
        <f>Financials!AJ13/Financials!AJ5</f>
        <v>0.21862799408020933</v>
      </c>
      <c r="AM7" s="18" t="e">
        <f>Financials!AK13/Financials!AK5</f>
        <v>#DIV/0!</v>
      </c>
      <c r="AN7" s="18">
        <f>Financials!AL13/Financials!AL5</f>
        <v>0.32928308064548634</v>
      </c>
      <c r="AO7" s="18">
        <f>Financials!AM13/Financials!AM5</f>
        <v>0.33144673227816424</v>
      </c>
      <c r="AP7" s="18">
        <f>Financials!AN13/Financials!AN5</f>
        <v>0.41847515288763548</v>
      </c>
      <c r="AQ7" s="18">
        <f>Financials!AO13/Financials!AO5</f>
        <v>0.31592596521850236</v>
      </c>
      <c r="AR7" s="18">
        <f>Financials!AP13/Financials!AP5</f>
        <v>0.5221333027921693</v>
      </c>
      <c r="AS7" s="18">
        <f>Financials!AQ13/Financials!AQ5</f>
        <v>0.47868782397327542</v>
      </c>
      <c r="AT7" s="18">
        <f>Financials!AR13/Financials!AR5</f>
        <v>0.49285597779424661</v>
      </c>
      <c r="AU7" s="18">
        <f>Financials!AS13/Financials!AS5</f>
        <v>0.50753669428634751</v>
      </c>
      <c r="AV7" s="18" t="e">
        <f>Financials!AT13/Financials!AT5</f>
        <v>#DIV/0!</v>
      </c>
      <c r="AW7" s="18">
        <f>Financials!AU13/Financials!AU5</f>
        <v>0.51510966192198759</v>
      </c>
      <c r="AX7" s="18">
        <f>Financials!AV13/Financials!AV5</f>
        <v>-0.1214759221495194</v>
      </c>
      <c r="AY7" s="18">
        <f>Financials!AW13/Financials!AW5</f>
        <v>0.20756443642686087</v>
      </c>
      <c r="AZ7" s="18" t="e">
        <f>Financials!AX13/Financials!AX5</f>
        <v>#DIV/0!</v>
      </c>
      <c r="BA7" s="18" t="e">
        <f>Financials!AY13/Financials!AY5</f>
        <v>#DIV/0!</v>
      </c>
      <c r="BB7" s="18">
        <f>Financials!AZ13/Financials!AZ5</f>
        <v>-0.19662940704516313</v>
      </c>
      <c r="BC7" s="18">
        <f>Financials!BA13/Financials!BA5</f>
        <v>-0.19891819985221482</v>
      </c>
      <c r="BD7" s="18">
        <f>Financials!BB13/Financials!BB5</f>
        <v>0.22569922589353261</v>
      </c>
      <c r="BE7" s="18">
        <f>Financials!BC13/Financials!BC5</f>
        <v>0.19942796588522771</v>
      </c>
      <c r="BF7" s="18">
        <f>Financials!BD13/Financials!BD5</f>
        <v>0.20870307452109921</v>
      </c>
      <c r="BG7" s="18">
        <f>Financials!BE13/Financials!BE5</f>
        <v>0.22685943075894247</v>
      </c>
      <c r="BH7" s="18">
        <f>Financials!BF13/Financials!BF5</f>
        <v>0.23812158562967858</v>
      </c>
      <c r="BI7" s="18" t="e">
        <f>Financials!BG13/Financials!BG5</f>
        <v>#DIV/0!</v>
      </c>
      <c r="BJ7" s="18">
        <f>Financials!BH13/Financials!BH5</f>
        <v>0.25337288014542664</v>
      </c>
      <c r="BK7" s="18">
        <f>Financials!BI13/Financials!BI5</f>
        <v>0.26845432681858955</v>
      </c>
      <c r="BL7" s="18">
        <f>Financials!BJ13/Financials!BJ5</f>
        <v>0.22193126158847234</v>
      </c>
      <c r="BM7" s="18">
        <f>Financials!BK13/Financials!BK5</f>
        <v>0.21506153861955415</v>
      </c>
      <c r="BN7" s="18">
        <f>Financials!BL13/Financials!BL5</f>
        <v>0.21444143613568026</v>
      </c>
      <c r="BO7" s="18">
        <f>Financials!BM13/Financials!BM5</f>
        <v>0.22740010980571362</v>
      </c>
      <c r="BP7" s="18">
        <f>Financials!BN13/Financials!BN5</f>
        <v>0.22986074278234303</v>
      </c>
      <c r="BQ7" s="18">
        <f>Financials!BO13/Financials!BO5</f>
        <v>0.2444279039919216</v>
      </c>
      <c r="BR7" s="18">
        <f>Financials!BP13/Financials!BP5</f>
        <v>0.23766141932344181</v>
      </c>
      <c r="BS7" s="18">
        <f>Financials!BQ13/Financials!BQ5</f>
        <v>0.23994820606426351</v>
      </c>
      <c r="BT7" s="18">
        <f>Financials!BR13/Financials!BR5</f>
        <v>0.23669578166985422</v>
      </c>
      <c r="BU7" s="18">
        <f>Financials!BS13/Financials!BS5</f>
        <v>0.23893978337236502</v>
      </c>
      <c r="BV7" s="18">
        <f>Financials!BT13/Financials!BT5</f>
        <v>0.24384309134016727</v>
      </c>
      <c r="BW7" s="18">
        <f>Financials!BU13/Financials!BU5</f>
        <v>0.24033786743579716</v>
      </c>
      <c r="BX7" s="18">
        <f>Financials!BV13/Financials!BV5</f>
        <v>0.22147666799299351</v>
      </c>
      <c r="BY7" s="18">
        <f>Financials!BW13/Financials!BW5</f>
        <v>0.21544965893781806</v>
      </c>
      <c r="BZ7" s="18">
        <f>Financials!BX13/Financials!BX5</f>
        <v>0.22791081436176494</v>
      </c>
      <c r="CA7" s="18">
        <f>Financials!BY13/Financials!BY5</f>
        <v>0.23389081253049138</v>
      </c>
      <c r="CB7" s="18">
        <f>Financials!BZ13/Financials!BZ5</f>
        <v>0.22616226640943207</v>
      </c>
      <c r="CC7" s="18">
        <f>Financials!CA13/Financials!CA5</f>
        <v>0.21168986637554191</v>
      </c>
      <c r="CD7" s="18">
        <f>Financials!CB13/Financials!CB5</f>
        <v>0.23459579402027525</v>
      </c>
      <c r="CE7" s="18">
        <f>Financials!CC13/Financials!CC5</f>
        <v>0.23501409493943531</v>
      </c>
      <c r="CF7" s="18">
        <f>Financials!CD13/Financials!CD5</f>
        <v>0.23865794035287741</v>
      </c>
      <c r="CG7" s="18">
        <f>Financials!CE13/Financials!CE5</f>
        <v>0.24116369011507247</v>
      </c>
      <c r="CH7" s="18">
        <f>Financials!CF13/Financials!CF5</f>
        <v>0.24034057349541257</v>
      </c>
      <c r="CI7" s="18">
        <f>Financials!CG13/Financials!CG5</f>
        <v>0.23682602101252639</v>
      </c>
      <c r="CJ7" s="18">
        <f>Financials!CH13/Financials!CH5</f>
        <v>0.23633798587300647</v>
      </c>
      <c r="CK7" s="18">
        <f>Financials!CI13/Financials!CI5</f>
        <v>0.27149818171251899</v>
      </c>
      <c r="CL7" s="18">
        <f>Financials!CJ13/Financials!CJ5</f>
        <v>0.19840869152713186</v>
      </c>
      <c r="CM7" s="18">
        <f>Financials!CK13/Financials!CK5</f>
        <v>0.1955148821653224</v>
      </c>
      <c r="CN7" s="18" t="e">
        <f>Financials!CL13/Financials!CL5</f>
        <v>#REF!</v>
      </c>
      <c r="CO7" s="18">
        <f>Financials!CM13/Financials!CM5</f>
        <v>0.2108351696082939</v>
      </c>
      <c r="CP7" s="18">
        <f>Financials!CN13/Financials!CN5</f>
        <v>0.21323149753551024</v>
      </c>
      <c r="CQ7" s="18">
        <f>Financials!CO13/Financials!CO5</f>
        <v>0.22110739838365331</v>
      </c>
      <c r="CR7" s="18">
        <f>Financials!CP13/Financials!CP5</f>
        <v>0.22072466098739299</v>
      </c>
      <c r="CS7" s="18">
        <f>Financials!CQ13/Financials!CQ5</f>
        <v>0.23277241908327254</v>
      </c>
      <c r="CT7" s="18">
        <f>Financials!CR13/Financials!CR5</f>
        <v>0.23844866942961657</v>
      </c>
      <c r="CU7" s="18">
        <f>Financials!CS13/Financials!CS5</f>
        <v>0.243251408519914</v>
      </c>
      <c r="CV7" s="18">
        <f>Financials!CT13/Financials!CT5</f>
        <v>0.23537678278711185</v>
      </c>
      <c r="CW7" s="18">
        <f>Financials!CU13/Financials!CU5</f>
        <v>0.25035782467000489</v>
      </c>
      <c r="CX7" s="18">
        <f>Financials!CV13/Financials!CV5</f>
        <v>0.25379363165454449</v>
      </c>
      <c r="CY7" s="18">
        <f>Financials!CW13/Financials!CW5</f>
        <v>0.20212751027384063</v>
      </c>
      <c r="CZ7" s="648">
        <f>Financials!CX13/Financials!CX5</f>
        <v>0.1997765965979032</v>
      </c>
      <c r="DA7" s="18">
        <f>Financials!CY13/Financials!CY5</f>
        <v>0.20358442221075843</v>
      </c>
      <c r="DB7" s="18">
        <f>Financials!CZ13/Financials!CZ5</f>
        <v>0.21875716944296916</v>
      </c>
      <c r="DC7" s="18">
        <f>Financials!DA13/Financials!DA5</f>
        <v>0.23065783051349417</v>
      </c>
      <c r="DD7" s="18">
        <f>Financials!DB13/Financials!DB5</f>
        <v>0.23628794492687788</v>
      </c>
      <c r="DE7" s="18">
        <f>Financials!DC13/Financials!DC5</f>
        <v>0.23375178910618363</v>
      </c>
      <c r="DF7" s="18">
        <f>Financials!DD13/Financials!DD5</f>
        <v>0.23843120088055741</v>
      </c>
      <c r="DG7" s="18">
        <f>Financials!DE13/Financials!DE5</f>
        <v>0.24611224381744726</v>
      </c>
      <c r="DH7" s="18">
        <f>Financials!DF13/Financials!DF5</f>
        <v>0.25246816993602655</v>
      </c>
      <c r="DI7" s="18">
        <f>Financials!DG13/Financials!DG5</f>
        <v>0.26115031349934498</v>
      </c>
      <c r="DJ7" s="18">
        <f>Financials!DH13/Financials!DH5</f>
        <v>0.26310600720187471</v>
      </c>
      <c r="DK7" s="18">
        <f>Financials!DI13/Financials!DI5</f>
        <v>0.20327645400193259</v>
      </c>
      <c r="DL7" s="18">
        <f>Financials!DJ13/Financials!DJ5</f>
        <v>0.20326826821036997</v>
      </c>
      <c r="DM7" s="18">
        <f>Financials!DK13/Financials!DK5</f>
        <v>0.20043198736703924</v>
      </c>
      <c r="DN7" s="18">
        <f>Financials!DL13/Financials!DL5</f>
        <v>0.2162802435954809</v>
      </c>
      <c r="DO7" s="18">
        <f>Financials!DM13/Financials!DM5</f>
        <v>0.24324663406032626</v>
      </c>
      <c r="DP7" s="18">
        <f>Financials!DN13/Financials!DN5</f>
        <v>0.25081877305959216</v>
      </c>
      <c r="DQ7" s="18">
        <f>Financials!DO13/Financials!DO5</f>
        <v>0.25913806730634698</v>
      </c>
      <c r="DR7" s="18">
        <f>Financials!DP13/Financials!DP5</f>
        <v>0.26158183973451604</v>
      </c>
      <c r="DS7" s="18">
        <f>Financials!DQ13/Financials!DQ5</f>
        <v>0.2674834345445995</v>
      </c>
      <c r="DT7" s="18">
        <f>Financials!DR13/Financials!DR5</f>
        <v>0.27797956157425086</v>
      </c>
      <c r="DU7" s="18">
        <f>Financials!DS13/Financials!DS5</f>
        <v>0.26135788705935964</v>
      </c>
      <c r="DV7" s="18">
        <f>Financials!DT13/Financials!DT5</f>
        <v>0.26182541698554063</v>
      </c>
      <c r="DW7" s="18">
        <f>Financials!DU13/Financials!DU5</f>
        <v>0.26444003859936838</v>
      </c>
      <c r="DX7" s="18" t="e">
        <f>Financials!DV13/Financials!DV5</f>
        <v>#DIV/0!</v>
      </c>
      <c r="DY7" s="18">
        <f>Financials!DW13/Financials!DW5</f>
        <v>0.23491377282475087</v>
      </c>
    </row>
    <row r="8" spans="2:129" s="5" customFormat="1" x14ac:dyDescent="0.25">
      <c r="B8" s="13">
        <v>1.3</v>
      </c>
      <c r="C8" s="13" t="s">
        <v>203</v>
      </c>
      <c r="D8" s="14" t="s">
        <v>204</v>
      </c>
      <c r="E8" s="15" t="s">
        <v>205</v>
      </c>
      <c r="F8" s="18">
        <f>Financials!C13/Financials!C6</f>
        <v>0.19297667578623362</v>
      </c>
      <c r="G8" s="18">
        <f>Financials!D13/Financials!D6</f>
        <v>0.12445286146948961</v>
      </c>
      <c r="H8" s="18">
        <f>Financials!E13/Financials!E6</f>
        <v>1.0154600873268029</v>
      </c>
      <c r="I8" s="18">
        <f>Financials!F13/Financials!F6</f>
        <v>0.66847291353672755</v>
      </c>
      <c r="J8" s="18">
        <f>Financials!G13/Financials!G6</f>
        <v>0.52569303501843467</v>
      </c>
      <c r="K8" s="18">
        <f>Financials!H13/Financials!H6</f>
        <v>0.54885720575733521</v>
      </c>
      <c r="L8" s="18">
        <f>Financials!I13/Financials!I6</f>
        <v>0.45090247225463614</v>
      </c>
      <c r="M8" s="18">
        <f>Financials!J13/Financials!J6</f>
        <v>0.54179921962408695</v>
      </c>
      <c r="N8" s="18">
        <f>Financials!K13/Financials!K6</f>
        <v>0.54238792367924471</v>
      </c>
      <c r="O8" s="18">
        <f>Financials!L13/Financials!L6</f>
        <v>0.47212846808724063</v>
      </c>
      <c r="P8" s="18">
        <f>Financials!M13/Financials!M6</f>
        <v>0.47035945861149259</v>
      </c>
      <c r="Q8" s="18">
        <f>Financials!N13/Financials!N6</f>
        <v>0.54417598831617631</v>
      </c>
      <c r="R8" s="18">
        <f>Financials!O13/Financials!O6</f>
        <v>0.53770302049402074</v>
      </c>
      <c r="S8" s="18">
        <f>Financials!P13/Financials!P6</f>
        <v>0.53301904840361147</v>
      </c>
      <c r="T8" s="18">
        <f>Financials!Q13/Financials!Q6</f>
        <v>0.5192345760400785</v>
      </c>
      <c r="U8" s="18">
        <f>Financials!R13/Financials!R6</f>
        <v>0.53021886367415028</v>
      </c>
      <c r="V8" s="18">
        <f>Financials!S13/Financials!S6</f>
        <v>0.52181884772021414</v>
      </c>
      <c r="W8" s="18">
        <f>Financials!T13/Financials!T6</f>
        <v>0.54158449343670501</v>
      </c>
      <c r="X8" s="18">
        <f>Financials!U13/Financials!U6</f>
        <v>0.4643717546389301</v>
      </c>
      <c r="Y8" s="18">
        <f>Financials!W13/Financials!W6</f>
        <v>0.50539575465298858</v>
      </c>
      <c r="Z8" s="18">
        <f>Financials!X13/Financials!X6</f>
        <v>0.54147932759000639</v>
      </c>
      <c r="AA8" s="18">
        <f>Financials!Y13/Financials!Y6</f>
        <v>0.46053625406479287</v>
      </c>
      <c r="AB8" s="18">
        <f>Financials!Z13/Financials!Z6</f>
        <v>0.4896926851942135</v>
      </c>
      <c r="AC8" s="18">
        <f>Financials!AA13/Financials!AA6</f>
        <v>0.47953692568201517</v>
      </c>
      <c r="AD8" s="18">
        <f>Financials!AB13/Financials!AB6</f>
        <v>0.48659463549166415</v>
      </c>
      <c r="AE8" s="18">
        <f>Financials!AC13/Financials!AC6</f>
        <v>0.45565376168739186</v>
      </c>
      <c r="AF8" s="18">
        <f>Financials!AD13/Financials!AD6</f>
        <v>0.46359256772427643</v>
      </c>
      <c r="AG8" s="18">
        <f>Financials!AE13/Financials!AE6</f>
        <v>0.44036875933839731</v>
      </c>
      <c r="AH8" s="18">
        <f>Financials!AF13/Financials!AF6</f>
        <v>0.43530370304586619</v>
      </c>
      <c r="AI8" s="18">
        <f>Financials!AG13/Financials!AG6</f>
        <v>0.45609121369032368</v>
      </c>
      <c r="AJ8" s="18">
        <f>Financials!AH13/Financials!AH6</f>
        <v>0.45887154250300666</v>
      </c>
      <c r="AK8" s="18">
        <f>Financials!AI13/Financials!AI6</f>
        <v>0.29315015458425131</v>
      </c>
      <c r="AL8" s="18">
        <f>Financials!AJ13/Financials!AJ6</f>
        <v>0.2997158879290977</v>
      </c>
      <c r="AM8" s="18" t="e">
        <f>Financials!AK13/Financials!AK6</f>
        <v>#DIV/0!</v>
      </c>
      <c r="AN8" s="18">
        <f>Financials!AL13/Financials!AL6</f>
        <v>0.47056445398431745</v>
      </c>
      <c r="AO8" s="18">
        <f>Financials!AM13/Financials!AM6</f>
        <v>0.47852294377866855</v>
      </c>
      <c r="AP8" s="18">
        <f>Financials!AN13/Financials!AN6</f>
        <v>0.52624604858563406</v>
      </c>
      <c r="AQ8" s="18">
        <f>Financials!AO13/Financials!AO6</f>
        <v>0.47953692568201517</v>
      </c>
      <c r="AR8" s="18">
        <f>Financials!AP13/Financials!AP6</f>
        <v>0.65776157668158408</v>
      </c>
      <c r="AS8" s="18">
        <f>Financials!AQ13/Financials!AQ6</f>
        <v>0.70982388494772686</v>
      </c>
      <c r="AT8" s="18">
        <f>Financials!AR13/Financials!AR6</f>
        <v>0.74655847886397952</v>
      </c>
      <c r="AU8" s="18">
        <f>Financials!AS13/Financials!AS6</f>
        <v>0.79215018269289139</v>
      </c>
      <c r="AV8" s="18" t="e">
        <f>Financials!AT13/Financials!AT6</f>
        <v>#DIV/0!</v>
      </c>
      <c r="AW8" s="18">
        <f>Financials!AU13/Financials!AU6</f>
        <v>0.86766465263984793</v>
      </c>
      <c r="AX8" s="18">
        <f>Financials!AV13/Financials!AV6</f>
        <v>-0.17204695143693963</v>
      </c>
      <c r="AY8" s="18">
        <f>Financials!AW13/Financials!AW6</f>
        <v>0.27736840264107143</v>
      </c>
      <c r="AZ8" s="18" t="e">
        <f>Financials!AX13/Financials!AX6</f>
        <v>#DIV/0!</v>
      </c>
      <c r="BA8" s="18" t="e">
        <f>Financials!AY13/Financials!AY6</f>
        <v>#DIV/0!</v>
      </c>
      <c r="BB8" s="18">
        <f>Financials!AZ13/Financials!AZ6</f>
        <v>0.26407699309197519</v>
      </c>
      <c r="BC8" s="18">
        <f>Financials!BA13/Financials!BA6</f>
        <v>0.26252557805563065</v>
      </c>
      <c r="BD8" s="18">
        <f>Financials!BB13/Financials!BB6</f>
        <v>0.28198923554785321</v>
      </c>
      <c r="BE8" s="18">
        <f>Financials!BC13/Financials!BC6</f>
        <v>0.31232722577014121</v>
      </c>
      <c r="BF8" s="18">
        <f>Financials!BD13/Financials!BD6</f>
        <v>0.2723998484527933</v>
      </c>
      <c r="BG8" s="18">
        <f>Financials!BE13/Financials!BE6</f>
        <v>0.29323227426889731</v>
      </c>
      <c r="BH8" s="18">
        <f>Financials!BF13/Financials!BF6</f>
        <v>0.31233658415221921</v>
      </c>
      <c r="BI8" s="18" t="e">
        <f>Financials!BG13/Financials!BG6</f>
        <v>#DIV/0!</v>
      </c>
      <c r="BJ8" s="18">
        <f>Financials!BH13/Financials!BH6</f>
        <v>0.33912894885093958</v>
      </c>
      <c r="BK8" s="18">
        <f>Financials!BI13/Financials!BI6</f>
        <v>0.36731015514985155</v>
      </c>
      <c r="BL8" s="18">
        <f>Financials!BJ13/Financials!BJ6</f>
        <v>0.30987048112065957</v>
      </c>
      <c r="BM8" s="18">
        <f>Financials!BK13/Financials!BK6</f>
        <v>0.2952938686832417</v>
      </c>
      <c r="BN8" s="18">
        <f>Financials!BL13/Financials!BL6</f>
        <v>0.28847632923550598</v>
      </c>
      <c r="BO8" s="18">
        <f>Financials!BM13/Financials!BM6</f>
        <v>0.29433101491708619</v>
      </c>
      <c r="BP8" s="18">
        <f>Financials!BN13/Financials!BN6</f>
        <v>0.29846646645800023</v>
      </c>
      <c r="BQ8" s="18">
        <f>Financials!BO13/Financials!BO6</f>
        <v>0.32350043799037842</v>
      </c>
      <c r="BR8" s="18">
        <f>Financials!BP13/Financials!BP6</f>
        <v>0.31175310465400125</v>
      </c>
      <c r="BS8" s="18">
        <f>Financials!BQ13/Financials!BQ6</f>
        <v>0.31569980885348914</v>
      </c>
      <c r="BT8" s="18">
        <f>Financials!BR13/Financials!BR6</f>
        <v>0.31009363761629066</v>
      </c>
      <c r="BU8" s="18">
        <f>Financials!BS13/Financials!BS6</f>
        <v>0.31395647565332069</v>
      </c>
      <c r="BV8" s="18">
        <f>Financials!BT13/Financials!BT6</f>
        <v>0.3224768411788238</v>
      </c>
      <c r="BW8" s="18">
        <f>Financials!BU13/Financials!BU6</f>
        <v>0.32830319616670506</v>
      </c>
      <c r="BX8" s="18">
        <f>Financials!BV13/Financials!BV6</f>
        <v>0.32435117405988356</v>
      </c>
      <c r="BY8" s="18">
        <f>Financials!BW13/Financials!BW6</f>
        <v>0.33215011199138006</v>
      </c>
      <c r="BZ8" s="18">
        <f>Financials!BX13/Financials!BX6</f>
        <v>0.30548950642271705</v>
      </c>
      <c r="CA8" s="18">
        <f>Financials!BY13/Financials!BY6</f>
        <v>0.32010186114621453</v>
      </c>
      <c r="CB8" s="18">
        <f>Financials!BZ13/Financials!BZ6</f>
        <v>0.30562701018503857</v>
      </c>
      <c r="CC8" s="18">
        <f>Financials!CA13/Financials!CA6</f>
        <v>0.31070544436677372</v>
      </c>
      <c r="CD8" s="18">
        <f>Financials!CB13/Financials!CB6</f>
        <v>0.31814102858757431</v>
      </c>
      <c r="CE8" s="18">
        <f>Financials!CC13/Financials!CC6</f>
        <v>0.31834527969550264</v>
      </c>
      <c r="CF8" s="18">
        <f>Financials!CD13/Financials!CD6</f>
        <v>0.32439134207017639</v>
      </c>
      <c r="CG8" s="18">
        <f>Financials!CE13/Financials!CE6</f>
        <v>0.32833012609354489</v>
      </c>
      <c r="CH8" s="18">
        <f>Financials!CF13/Financials!CF6</f>
        <v>0.32613498875134089</v>
      </c>
      <c r="CI8" s="18">
        <f>Financials!CG13/Financials!CG6</f>
        <v>0.33645946644503105</v>
      </c>
      <c r="CJ8" s="18">
        <f>Financials!CH13/Financials!CH6</f>
        <v>0.33484948735930892</v>
      </c>
      <c r="CK8" s="18">
        <f>Financials!CI13/Financials!CI6</f>
        <v>0.9513183494646491</v>
      </c>
      <c r="CL8" s="18">
        <f>Financials!CJ13/Financials!CJ6</f>
        <v>0.28609719444740056</v>
      </c>
      <c r="CM8" s="18">
        <f>Financials!CK13/Financials!CK6</f>
        <v>0.27715423470488243</v>
      </c>
      <c r="CN8" s="18" t="e">
        <f>Financials!CL13/Financials!CL6</f>
        <v>#REF!</v>
      </c>
      <c r="CO8" s="18">
        <f>Financials!CM13/Financials!CM6</f>
        <v>0.28655892166563129</v>
      </c>
      <c r="CP8" s="18">
        <f>Financials!CN13/Financials!CN6</f>
        <v>0.28883963163091897</v>
      </c>
      <c r="CQ8" s="18">
        <f>Financials!CO13/Financials!CO6</f>
        <v>0.30150871230551268</v>
      </c>
      <c r="CR8" s="18">
        <f>Financials!CP13/Financials!CP6</f>
        <v>0.29954910406281721</v>
      </c>
      <c r="CS8" s="18">
        <f>Financials!CQ13/Financials!CQ6</f>
        <v>0.32007351527725164</v>
      </c>
      <c r="CT8" s="18">
        <f>Financials!CR13/Financials!CR6</f>
        <v>0.32946010483123767</v>
      </c>
      <c r="CU8" s="18">
        <f>Financials!CS13/Financials!CS6</f>
        <v>0.33731792544550765</v>
      </c>
      <c r="CV8" s="18">
        <f>Financials!CT13/Financials!CT6</f>
        <v>0.32733759635333359</v>
      </c>
      <c r="CW8" s="18">
        <f>Financials!CU13/Financials!CU6</f>
        <v>0.34856888409098757</v>
      </c>
      <c r="CX8" s="18">
        <f>Financials!CV13/Financials!CV6</f>
        <v>0.35725337884256442</v>
      </c>
      <c r="CY8" s="18">
        <f>Financials!CW13/Financials!CW6</f>
        <v>0.28434947977941838</v>
      </c>
      <c r="CZ8" s="18">
        <f>Financials!CX13/Financials!CX6</f>
        <v>0.27624218961919306</v>
      </c>
      <c r="DA8" s="18">
        <f>Financials!CY13/Financials!CY6</f>
        <v>0.28200037904106073</v>
      </c>
      <c r="DB8" s="18">
        <f>Financials!CZ13/Financials!CZ6</f>
        <v>0.29027787302950736</v>
      </c>
      <c r="DC8" s="18">
        <f>Financials!DA13/Financials!DA6</f>
        <v>0.30823699184192699</v>
      </c>
      <c r="DD8" s="18">
        <f>Financials!DB13/Financials!DB6</f>
        <v>0.31661724221483045</v>
      </c>
      <c r="DE8" s="18">
        <f>Financials!DC13/Financials!DC6</f>
        <v>0.32271802804133604</v>
      </c>
      <c r="DF8" s="18">
        <f>Financials!DD13/Financials!DD6</f>
        <v>0.32834769919352552</v>
      </c>
      <c r="DG8" s="18">
        <f>Financials!DE13/Financials!DE6</f>
        <v>0.3440365986819261</v>
      </c>
      <c r="DH8" s="18">
        <f>Financials!DF13/Financials!DF6</f>
        <v>0.34929177742964707</v>
      </c>
      <c r="DI8" s="18">
        <f>Financials!DG13/Financials!DG6</f>
        <v>0.36113512013917853</v>
      </c>
      <c r="DJ8" s="18">
        <f>Financials!DH13/Financials!DH6</f>
        <v>0.36419376864629072</v>
      </c>
      <c r="DK8" s="18">
        <f>Financials!DI13/Financials!DI6</f>
        <v>0.28982551122448236</v>
      </c>
      <c r="DL8" s="18">
        <f>Financials!DJ13/Financials!DJ6</f>
        <v>0.29091755475690895</v>
      </c>
      <c r="DM8" s="18">
        <f>Financials!DK13/Financials!DK6</f>
        <v>0.28366527096045624</v>
      </c>
      <c r="DN8" s="18">
        <f>Financials!DL13/Financials!DL6</f>
        <v>0.31256627170634055</v>
      </c>
      <c r="DO8" s="18">
        <f>Financials!DM13/Financials!DM6</f>
        <v>0.33362342677241724</v>
      </c>
      <c r="DP8" s="18">
        <f>Financials!DN13/Financials!DN6</f>
        <v>0.34557853777994746</v>
      </c>
      <c r="DQ8" s="18">
        <f>Financials!DO13/Financials!DO6</f>
        <v>0.36195078161906402</v>
      </c>
      <c r="DR8" s="18">
        <f>Financials!DP13/Financials!DP6</f>
        <v>0.36573939902986907</v>
      </c>
      <c r="DS8" s="18">
        <f>Financials!DQ13/Financials!DQ6</f>
        <v>0.37623536255570733</v>
      </c>
      <c r="DT8" s="18">
        <f>Financials!DR13/Financials!DR6</f>
        <v>0.3966326140718503</v>
      </c>
      <c r="DU8" s="18">
        <f>Financials!DS13/Financials!DS6</f>
        <v>0.37520701547513668</v>
      </c>
      <c r="DV8" s="18">
        <f>Financials!DT13/Financials!DT6</f>
        <v>0.37451699410241013</v>
      </c>
      <c r="DW8" s="18">
        <f>Financials!DU13/Financials!DU6</f>
        <v>0.37917102929633134</v>
      </c>
      <c r="DX8" s="18" t="e">
        <f>Financials!DV13/Financials!DV6</f>
        <v>#DIV/0!</v>
      </c>
      <c r="DY8" s="18">
        <f>Financials!DW13/Financials!DW6</f>
        <v>0.34187356095128896</v>
      </c>
    </row>
    <row r="9" spans="2:129" s="5" customFormat="1" x14ac:dyDescent="0.25">
      <c r="B9" s="13">
        <v>1.4</v>
      </c>
      <c r="C9" s="19" t="s">
        <v>206</v>
      </c>
      <c r="D9" s="14" t="s">
        <v>207</v>
      </c>
      <c r="E9" s="15" t="s">
        <v>208</v>
      </c>
      <c r="F9" s="18">
        <f>Financials!C17/Financials!C5</f>
        <v>0.10300942910332882</v>
      </c>
      <c r="G9" s="18">
        <f>Financials!D17/Financials!D5</f>
        <v>7.0623349336340499E-2</v>
      </c>
      <c r="H9" s="18">
        <f>Financials!E17/Financials!E5</f>
        <v>0.39283740144422175</v>
      </c>
      <c r="I9" s="18">
        <f>Financials!F17/Financials!F5</f>
        <v>0.28579192272390191</v>
      </c>
      <c r="J9" s="18">
        <f>Financials!G17/Financials!G5</f>
        <v>0.27132038403589287</v>
      </c>
      <c r="K9" s="18">
        <f>Financials!H17/Financials!H5</f>
        <v>0.22421131294074978</v>
      </c>
      <c r="L9" s="18">
        <f>Financials!I17/Financials!I5</f>
        <v>0.22383876601061342</v>
      </c>
      <c r="M9" s="18">
        <f>Financials!J17/Financials!J5</f>
        <v>0.22080246703179532</v>
      </c>
      <c r="N9" s="18">
        <f>Financials!K17/Financials!K5</f>
        <v>0.21805545450873351</v>
      </c>
      <c r="O9" s="18">
        <f>Financials!L17/Financials!L5</f>
        <v>0.22432853051366108</v>
      </c>
      <c r="P9" s="18">
        <f>Financials!M17/Financials!M5</f>
        <v>0.22024008877953441</v>
      </c>
      <c r="Q9" s="18">
        <f>Financials!N17/Financials!N5</f>
        <v>0.2206878077414057</v>
      </c>
      <c r="R9" s="18">
        <f>Financials!O17/Financials!O5</f>
        <v>0.21583328912958544</v>
      </c>
      <c r="S9" s="18">
        <f>Financials!P17/Financials!P5</f>
        <v>0.21482402683667032</v>
      </c>
      <c r="T9" s="18">
        <f>Financials!Q17/Financials!Q5</f>
        <v>0.20560539503870051</v>
      </c>
      <c r="U9" s="18">
        <f>Financials!R17/Financials!R5</f>
        <v>0.20405100549606991</v>
      </c>
      <c r="V9" s="18">
        <f>Financials!S17/Financials!S5</f>
        <v>0.2066187058309126</v>
      </c>
      <c r="W9" s="18">
        <f>Financials!T17/Financials!T5</f>
        <v>0.20996891670917486</v>
      </c>
      <c r="X9" s="18">
        <f>Financials!U17/Financials!U5</f>
        <v>0.21376596758831298</v>
      </c>
      <c r="Y9" s="18">
        <f>Financials!W17/Financials!W5</f>
        <v>0.21878531740152524</v>
      </c>
      <c r="Z9" s="18">
        <f>Financials!X17/Financials!X5</f>
        <v>0.22751775731577301</v>
      </c>
      <c r="AA9" s="18">
        <f>Financials!Y17/Financials!Y5</f>
        <v>0.228747456194619</v>
      </c>
      <c r="AB9" s="18">
        <f>Financials!Z17/Financials!Z5</f>
        <v>0.23725750723246519</v>
      </c>
      <c r="AC9" s="18">
        <f>Financials!AA17/Financials!AA5</f>
        <v>0.2348932355365711</v>
      </c>
      <c r="AD9" s="18">
        <f>Financials!AB17/Financials!AB5</f>
        <v>0.23392193292958618</v>
      </c>
      <c r="AE9" s="18">
        <f>Financials!AC17/Financials!AC5</f>
        <v>0.23680356361082266</v>
      </c>
      <c r="AF9" s="18">
        <f>Financials!AD17/Financials!AD5</f>
        <v>0.23355275590930136</v>
      </c>
      <c r="AG9" s="18">
        <f>Financials!AE17/Financials!AE5</f>
        <v>0.23098550773218765</v>
      </c>
      <c r="AH9" s="18">
        <f>Financials!AF17/Financials!AF5</f>
        <v>0.22084066089514987</v>
      </c>
      <c r="AI9" s="18">
        <f>Financials!AG17/Financials!AG5</f>
        <v>0.22416249418876705</v>
      </c>
      <c r="AJ9" s="18">
        <f>Financials!AH17/Financials!AH5</f>
        <v>0.22817002750464871</v>
      </c>
      <c r="AK9" s="18">
        <f>Financials!AI17/Financials!AI5</f>
        <v>0.17025342502623506</v>
      </c>
      <c r="AL9" s="18">
        <f>Financials!AJ17/Financials!AJ5</f>
        <v>0.17303604566073752</v>
      </c>
      <c r="AM9" s="18" t="e">
        <f>Financials!AK17/Financials!AK5</f>
        <v>#DIV/0!</v>
      </c>
      <c r="AN9" s="18">
        <f>Financials!AL17/Financials!AL5</f>
        <v>0.28263123284766151</v>
      </c>
      <c r="AO9" s="18">
        <f>Financials!AM17/Financials!AM5</f>
        <v>0.27786634921900966</v>
      </c>
      <c r="AP9" s="18">
        <f>Financials!AN17/Financials!AN5</f>
        <v>0.3317491285739475</v>
      </c>
      <c r="AQ9" s="18">
        <f>Financials!AO17/Financials!AO5</f>
        <v>0.22451439469414827</v>
      </c>
      <c r="AR9" s="18">
        <f>Financials!AP17/Financials!AP5</f>
        <v>0.41586495775349308</v>
      </c>
      <c r="AS9" s="18">
        <f>Financials!AQ17/Financials!AQ5</f>
        <v>0.37836462254891517</v>
      </c>
      <c r="AT9" s="18">
        <f>Financials!AR17/Financials!AR5</f>
        <v>0.40456655022335458</v>
      </c>
      <c r="AU9" s="18">
        <f>Financials!AS17/Financials!AS5</f>
        <v>0.42109151875854089</v>
      </c>
      <c r="AV9" s="18" t="e">
        <f>Financials!AT17/Financials!AT5</f>
        <v>#DIV/0!</v>
      </c>
      <c r="AW9" s="18">
        <f>Financials!AU17/Financials!AU5</f>
        <v>0.4114575033991924</v>
      </c>
      <c r="AX9" s="18">
        <f>Financials!AV17/Financials!AV5</f>
        <v>0.20825166815842527</v>
      </c>
      <c r="AY9" s="18">
        <f>Financials!AW17/Financials!AW5</f>
        <v>0.15585549773380966</v>
      </c>
      <c r="AZ9" s="18" t="e">
        <f>Financials!AX17/Financials!AX5</f>
        <v>#DIV/0!</v>
      </c>
      <c r="BA9" s="18" t="e">
        <f>Financials!AY17/Financials!AY5</f>
        <v>#DIV/0!</v>
      </c>
      <c r="BB9" s="18">
        <f>Financials!AZ17/Financials!AZ5</f>
        <v>-0.2096608048109429</v>
      </c>
      <c r="BC9" s="18">
        <f>Financials!BA17/Financials!BA5</f>
        <v>-0.20038348285703406</v>
      </c>
      <c r="BD9" s="18">
        <f>Financials!BB17/Financials!BB5</f>
        <v>0.15286177168003795</v>
      </c>
      <c r="BE9" s="18">
        <f>Financials!BC17/Financials!BC5</f>
        <v>0.12946062261159005</v>
      </c>
      <c r="BF9" s="18">
        <f>Financials!BD17/Financials!BD5</f>
        <v>0.14973568137553245</v>
      </c>
      <c r="BG9" s="18">
        <f>Financials!BE17/Financials!BE5</f>
        <v>0.14649923205594537</v>
      </c>
      <c r="BH9" s="18">
        <f>Financials!BF17/Financials!BF5</f>
        <v>0.14727150134324207</v>
      </c>
      <c r="BI9" s="18" t="e">
        <f>Financials!BG17/Financials!BG5</f>
        <v>#DIV/0!</v>
      </c>
      <c r="BJ9" s="18">
        <f>Financials!BH17/Financials!BH5</f>
        <v>0.14687410490659156</v>
      </c>
      <c r="BK9" s="18">
        <f>Financials!BI17/Financials!BI5</f>
        <v>0.14833835922691108</v>
      </c>
      <c r="BL9" s="18">
        <f>Financials!BJ17/Financials!BJ5</f>
        <v>0.14918939005418164</v>
      </c>
      <c r="BM9" s="18">
        <f>Financials!BK17/Financials!BK5</f>
        <v>0.14191439278687909</v>
      </c>
      <c r="BN9" s="18">
        <f>Financials!BL17/Financials!BL5</f>
        <v>0.14180008279785999</v>
      </c>
      <c r="BO9" s="18">
        <f>Financials!BM17/Financials!BM5</f>
        <v>0.1461286447270817</v>
      </c>
      <c r="BP9" s="18">
        <f>Financials!BN17/Financials!BN5</f>
        <v>0.14536296013113123</v>
      </c>
      <c r="BQ9" s="18">
        <f>Financials!BO17/Financials!BO5</f>
        <v>0.14708710666910857</v>
      </c>
      <c r="BR9" s="18">
        <f>Financials!BP17/Financials!BP5</f>
        <v>0.14656316969722649</v>
      </c>
      <c r="BS9" s="18">
        <f>Financials!BQ17/Financials!BQ5</f>
        <v>0.15025534045027827</v>
      </c>
      <c r="BT9" s="18">
        <f>Financials!BR17/Financials!BR5</f>
        <v>0.14946989011090753</v>
      </c>
      <c r="BU9" s="18">
        <f>Financials!BS17/Financials!BS5</f>
        <v>0.15134137558735591</v>
      </c>
      <c r="BV9" s="18">
        <f>Financials!BT17/Financials!BT5</f>
        <v>0.15176586081814342</v>
      </c>
      <c r="BW9" s="18">
        <f>Financials!BU17/Financials!BU5</f>
        <v>0.14708764532957455</v>
      </c>
      <c r="BX9" s="18">
        <f>Financials!BV17/Financials!BV5</f>
        <v>0.14610954268039353</v>
      </c>
      <c r="BY9" s="18">
        <f>Financials!BW17/Financials!BW5</f>
        <v>0.13879617108668424</v>
      </c>
      <c r="BZ9" s="18">
        <f>Financials!BX17/Financials!BX5</f>
        <v>0.14491598831786104</v>
      </c>
      <c r="CA9" s="18">
        <f>Financials!BY17/Financials!BY5</f>
        <v>0.14808012278305593</v>
      </c>
      <c r="CB9" s="18">
        <f>Financials!BZ17/Financials!BZ5</f>
        <v>0.1442850169736235</v>
      </c>
      <c r="CC9" s="18">
        <f>Financials!CA17/Financials!CA5</f>
        <v>0.13461594442227837</v>
      </c>
      <c r="CD9" s="18">
        <f>Financials!CB17/Financials!CB5</f>
        <v>0.13583515105813471</v>
      </c>
      <c r="CE9" s="18">
        <f>Financials!CC17/Financials!CC5</f>
        <v>0.13345841812379525</v>
      </c>
      <c r="CF9" s="18">
        <f>Financials!CD17/Financials!CD5</f>
        <v>0.13148205367403096</v>
      </c>
      <c r="CG9" s="18">
        <f>Financials!CE17/Financials!CE5</f>
        <v>0.12956901854339187</v>
      </c>
      <c r="CH9" s="18">
        <f>Financials!CF17/Financials!CF5</f>
        <v>0.12562819975644235</v>
      </c>
      <c r="CI9" s="18">
        <f>Financials!CG17/Financials!CG5</f>
        <v>0.12045995212516483</v>
      </c>
      <c r="CJ9" s="18">
        <f>Financials!CH17/Financials!CH5</f>
        <v>0.12046769241985177</v>
      </c>
      <c r="CK9" s="18">
        <f>Financials!CI17/Financials!CI5</f>
        <v>0.12742751917590586</v>
      </c>
      <c r="CL9" s="18">
        <f>Financials!CJ17/Financials!CJ5</f>
        <v>0.12648040217414652</v>
      </c>
      <c r="CM9" s="18">
        <f>Financials!CK17/Financials!CK5</f>
        <v>0.12011500675716393</v>
      </c>
      <c r="CN9" s="18" t="e">
        <f>Financials!CL17/Financials!CL5</f>
        <v>#REF!</v>
      </c>
      <c r="CO9" s="18">
        <f>Financials!CM17/Financials!CM5</f>
        <v>0.12276617927595476</v>
      </c>
      <c r="CP9" s="18">
        <f>Financials!CN17/Financials!CN5</f>
        <v>0.12101428445223651</v>
      </c>
      <c r="CQ9" s="18">
        <f>Financials!CO17/Financials!CO5</f>
        <v>0.12073102385038974</v>
      </c>
      <c r="CR9" s="18">
        <f>Financials!CP17/Financials!CP5</f>
        <v>0.11667680513557989</v>
      </c>
      <c r="CS9" s="18">
        <f>Financials!CQ17/Financials!CQ5</f>
        <v>0.11819305191234161</v>
      </c>
      <c r="CT9" s="18">
        <f>Financials!CR17/Financials!CR5</f>
        <v>0.11624649529456899</v>
      </c>
      <c r="CU9" s="18">
        <f>Financials!CS17/Financials!CS5</f>
        <v>0.11517564411059554</v>
      </c>
      <c r="CV9" s="18">
        <f>Financials!CT17/Financials!CT5</f>
        <v>0.11351403880776978</v>
      </c>
      <c r="CW9" s="18">
        <f>Financials!CU17/Financials!CU5</f>
        <v>0.11565607476483017</v>
      </c>
      <c r="CX9" s="18">
        <f>Financials!CV17/Financials!CV5</f>
        <v>0.11991582780690457</v>
      </c>
      <c r="CY9" s="18">
        <f>Financials!CW17/Financials!CW5</f>
        <v>0.11999002028428278</v>
      </c>
      <c r="CZ9" s="18">
        <f>Financials!CX17/Financials!CX5</f>
        <v>0.11418620530454861</v>
      </c>
      <c r="DA9" s="18">
        <f>Financials!CY17/Financials!CY5</f>
        <v>0.11186104386221625</v>
      </c>
      <c r="DB9" s="18">
        <f>Financials!CZ17/Financials!CZ5</f>
        <v>0.11759491736495135</v>
      </c>
      <c r="DC9" s="18">
        <f>Financials!DA17/Financials!DA5</f>
        <v>0.11756050004308523</v>
      </c>
      <c r="DD9" s="18">
        <f>Financials!DB17/Financials!DB5</f>
        <v>0.11666285740083669</v>
      </c>
      <c r="DE9" s="18">
        <f>Financials!DC17/Financials!DC5</f>
        <v>0.1130346839777472</v>
      </c>
      <c r="DF9" s="18">
        <f>Financials!DD17/Financials!DD5</f>
        <v>0.11190566259040302</v>
      </c>
      <c r="DG9" s="18">
        <f>Financials!DE17/Financials!DE5</f>
        <v>0.11066803545170237</v>
      </c>
      <c r="DH9" s="18">
        <f>Financials!DF17/Financials!DF5</f>
        <v>0.10926782022871373</v>
      </c>
      <c r="DI9" s="18">
        <f>Financials!DG17/Financials!DG5</f>
        <v>0.11262493004018545</v>
      </c>
      <c r="DJ9" s="18">
        <f>Financials!DH17/Financials!DH5</f>
        <v>0.11078564361150257</v>
      </c>
      <c r="DK9" s="18">
        <f>Financials!DI17/Financials!DI5</f>
        <v>0.11547001167788838</v>
      </c>
      <c r="DL9" s="18">
        <f>Financials!DJ17/Financials!DJ5</f>
        <v>0.11473049453492588</v>
      </c>
      <c r="DM9" s="18">
        <f>Financials!DK17/Financials!DK5</f>
        <v>0.11419789871881822</v>
      </c>
      <c r="DN9" s="18">
        <f>Financials!DL17/Financials!DL5</f>
        <v>0.11352465484365545</v>
      </c>
      <c r="DO9" s="18">
        <f>Financials!DM17/Financials!DM5</f>
        <v>0.12793319214164034</v>
      </c>
      <c r="DP9" s="18">
        <f>Financials!DN17/Financials!DN5</f>
        <v>0.12915766197329864</v>
      </c>
      <c r="DQ9" s="18">
        <f>Financials!DO17/Financials!DO5</f>
        <v>0.12941706121170013</v>
      </c>
      <c r="DR9" s="18">
        <f>Financials!DP17/Financials!DP5</f>
        <v>0.12995068966179987</v>
      </c>
      <c r="DS9" s="18">
        <f>Financials!DQ17/Financials!DQ5</f>
        <v>0.13053822731762654</v>
      </c>
      <c r="DT9" s="18">
        <f>Financials!DR17/Financials!DR5</f>
        <v>0.1299426411504552</v>
      </c>
      <c r="DU9" s="18">
        <f>Financials!DS17/Financials!DS5</f>
        <v>0.12936950105276135</v>
      </c>
      <c r="DV9" s="18">
        <f>Financials!DT17/Financials!DT5</f>
        <v>0.12881920856377124</v>
      </c>
      <c r="DW9" s="18">
        <f>Financials!DU17/Financials!DU5</f>
        <v>0.12727043989008469</v>
      </c>
      <c r="DX9" s="18" t="e">
        <f>Financials!DV17/Financials!DV5</f>
        <v>#DIV/0!</v>
      </c>
      <c r="DY9" s="18">
        <f>Financials!DW17/Financials!DW5</f>
        <v>0.12842857718318249</v>
      </c>
    </row>
    <row r="10" spans="2:129" s="5" customFormat="1" x14ac:dyDescent="0.25">
      <c r="B10" s="13">
        <v>1.5</v>
      </c>
      <c r="C10" s="19" t="s">
        <v>209</v>
      </c>
      <c r="D10" s="14" t="s">
        <v>204</v>
      </c>
      <c r="E10" s="15" t="s">
        <v>208</v>
      </c>
      <c r="F10" s="18">
        <f>Financials!C14/Financials!C5</f>
        <v>2.3554343228568714E-2</v>
      </c>
      <c r="G10" s="18">
        <f>Financials!D14/Financials!D5</f>
        <v>1.3583109911758524E-2</v>
      </c>
      <c r="H10" s="18">
        <f>Financials!E14/Financials!E5</f>
        <v>5.1734424457183639E-2</v>
      </c>
      <c r="I10" s="18">
        <f>Financials!F14/Financials!F5</f>
        <v>3.5372750394613725E-2</v>
      </c>
      <c r="J10" s="18">
        <f>Financials!G14/Financials!G5</f>
        <v>4.871673428072968E-2</v>
      </c>
      <c r="K10" s="18">
        <f>Financials!H14/Financials!H5</f>
        <v>0.11118268708169732</v>
      </c>
      <c r="L10" s="18">
        <f>Financials!I14/Financials!I5</f>
        <v>5.2482439454974328E-2</v>
      </c>
      <c r="M10" s="18">
        <f>Financials!J14/Financials!J5</f>
        <v>0.11188555849596228</v>
      </c>
      <c r="N10" s="18">
        <f>Financials!K14/Financials!K5</f>
        <v>0.11542779635106899</v>
      </c>
      <c r="O10" s="18">
        <f>Financials!L14/Financials!L5</f>
        <v>7.8631735298770045E-2</v>
      </c>
      <c r="P10" s="18">
        <f>Financials!M14/Financials!M5</f>
        <v>8.2437500460384741E-2</v>
      </c>
      <c r="Q10" s="18">
        <f>Financials!N14/Financials!N5</f>
        <v>0.12635361207685877</v>
      </c>
      <c r="R10" s="18">
        <f>Financials!O14/Financials!O5</f>
        <v>0.12832398600058528</v>
      </c>
      <c r="S10" s="18">
        <f>Financials!P14/Financials!P5</f>
        <v>0.12864633621378022</v>
      </c>
      <c r="T10" s="18">
        <f>Financials!Q14/Financials!Q5</f>
        <v>0.13218322088716553</v>
      </c>
      <c r="U10" s="18">
        <f>Financials!R14/Financials!R5</f>
        <v>0.13845761190796083</v>
      </c>
      <c r="V10" s="18">
        <f>Financials!S14/Financials!S5</f>
        <v>0.13323766068840973</v>
      </c>
      <c r="W10" s="18">
        <f>Financials!T14/Financials!T5</f>
        <v>0.13864761475885198</v>
      </c>
      <c r="X10" s="18">
        <f>Financials!U14/Financials!U5</f>
        <v>9.8669406041086871E-2</v>
      </c>
      <c r="Y10" s="18">
        <f>Financials!W14/Financials!W5</f>
        <v>0.13023972335091971</v>
      </c>
      <c r="Z10" s="18">
        <f>Financials!X14/Financials!X5</f>
        <v>0.13708904081641984</v>
      </c>
      <c r="AA10" s="18">
        <f>Financials!Y14/Financials!Y5</f>
        <v>9.9001616732844216E-2</v>
      </c>
      <c r="AB10" s="18">
        <f>Financials!Z14/Financials!Z5</f>
        <v>9.8652698805049829E-2</v>
      </c>
      <c r="AC10" s="18">
        <f>Financials!AA14/Financials!AA5</f>
        <v>9.5637340292571538E-2</v>
      </c>
      <c r="AD10" s="18">
        <f>Financials!AB14/Financials!AB5</f>
        <v>9.9780598785093752E-2</v>
      </c>
      <c r="AE10" s="18">
        <f>Financials!AC14/Financials!AC5</f>
        <v>6.7790582109263434E-2</v>
      </c>
      <c r="AF10" s="18">
        <f>Financials!AD14/Financials!AD5</f>
        <v>7.4750671524191042E-2</v>
      </c>
      <c r="AG10" s="18">
        <f>Financials!AE14/Financials!AE5</f>
        <v>6.6439315283936692E-2</v>
      </c>
      <c r="AH10" s="18">
        <f>Financials!AF14/Financials!AF5</f>
        <v>7.704590229758361E-2</v>
      </c>
      <c r="AI10" s="18">
        <f>Financials!AG14/Financials!AG5</f>
        <v>8.6166104804499724E-2</v>
      </c>
      <c r="AJ10" s="18">
        <f>Financials!AH14/Financials!AH5</f>
        <v>8.5088680483812199E-2</v>
      </c>
      <c r="AK10" s="18">
        <f>Financials!AI14/Financials!AI5</f>
        <v>4.4858776923586308E-2</v>
      </c>
      <c r="AL10" s="18">
        <f>Financials!AJ14/Financials!AJ5</f>
        <v>4.5591948419471812E-2</v>
      </c>
      <c r="AM10" s="18" t="e">
        <f>Financials!AK14/Financials!AK5</f>
        <v>#DIV/0!</v>
      </c>
      <c r="AN10" s="18">
        <f>Financials!AL14/Financials!AL5</f>
        <v>4.6651847797824789E-2</v>
      </c>
      <c r="AO10" s="18">
        <f>Financials!AM14/Financials!AM5</f>
        <v>5.3580383059154579E-2</v>
      </c>
      <c r="AP10" s="18">
        <f>Financials!AN14/Financials!AN5</f>
        <v>8.6726024313687936E-2</v>
      </c>
      <c r="AQ10" s="18">
        <f>Financials!AO14/Financials!AO5</f>
        <v>9.1411570524354058E-2</v>
      </c>
      <c r="AR10" s="18">
        <f>Financials!AP14/Financials!AP5</f>
        <v>0.10626834503867624</v>
      </c>
      <c r="AS10" s="18">
        <f>Financials!AQ14/Financials!AQ5</f>
        <v>0.10032320142436026</v>
      </c>
      <c r="AT10" s="18">
        <f>Financials!AR14/Financials!AR5</f>
        <v>8.8289427570892018E-2</v>
      </c>
      <c r="AU10" s="18">
        <f>Financials!AS14/Financials!AS5</f>
        <v>8.6445175527806617E-2</v>
      </c>
      <c r="AV10" s="18" t="e">
        <f>Financials!AT14/Financials!AT5</f>
        <v>#DIV/0!</v>
      </c>
      <c r="AW10" s="18">
        <f>Financials!AU14/Financials!AU5</f>
        <v>0.10365215852279519</v>
      </c>
      <c r="AX10" s="18">
        <f>Financials!AV14/Financials!AV5</f>
        <v>-0.32972759030794468</v>
      </c>
      <c r="AY10" s="18">
        <f>Financials!AW14/Financials!AW5</f>
        <v>5.1708938693051217E-2</v>
      </c>
      <c r="AZ10" s="18" t="e">
        <f>Financials!AX14/Financials!AX5</f>
        <v>#DIV/0!</v>
      </c>
      <c r="BA10" s="18" t="e">
        <f>Financials!AY14/Financials!AY5</f>
        <v>#DIV/0!</v>
      </c>
      <c r="BB10" s="18">
        <f>Financials!AZ14/Financials!AZ5</f>
        <v>1.303139776577977E-2</v>
      </c>
      <c r="BC10" s="18">
        <f>Financials!BA14/Financials!BA5</f>
        <v>1.4652830048192506E-3</v>
      </c>
      <c r="BD10" s="18">
        <f>Financials!BB14/Financials!BB5</f>
        <v>7.2837454213494676E-2</v>
      </c>
      <c r="BE10" s="18">
        <f>Financials!BC14/Financials!BC5</f>
        <v>6.9967343273637655E-2</v>
      </c>
      <c r="BF10" s="18">
        <f>Financials!BD14/Financials!BD5</f>
        <v>5.8967393145566767E-2</v>
      </c>
      <c r="BG10" s="18">
        <f>Financials!BE14/Financials!BE5</f>
        <v>8.0360198702997099E-2</v>
      </c>
      <c r="BH10" s="18">
        <f>Financials!BF14/Financials!BF5</f>
        <v>9.0850084286436497E-2</v>
      </c>
      <c r="BI10" s="18" t="e">
        <f>Financials!BG14/Financials!BG5</f>
        <v>#DIV/0!</v>
      </c>
      <c r="BJ10" s="18">
        <f>Financials!BH14/Financials!BH5</f>
        <v>0.10649877523883507</v>
      </c>
      <c r="BK10" s="18">
        <f>Financials!BI14/Financials!BI5</f>
        <v>0.12011596759167847</v>
      </c>
      <c r="BL10" s="18">
        <f>Financials!BJ14/Financials!BJ5</f>
        <v>7.2741871534290681E-2</v>
      </c>
      <c r="BM10" s="18">
        <f>Financials!BK14/Financials!BK5</f>
        <v>7.3147145832675051E-2</v>
      </c>
      <c r="BN10" s="18">
        <f>Financials!BL14/Financials!BL5</f>
        <v>7.2641353337820236E-2</v>
      </c>
      <c r="BO10" s="18">
        <f>Financials!BM14/Financials!BM5</f>
        <v>8.1271465078631908E-2</v>
      </c>
      <c r="BP10" s="18">
        <f>Financials!BN14/Financials!BN5</f>
        <v>8.4497782651211814E-2</v>
      </c>
      <c r="BQ10" s="18">
        <f>Financials!BO14/Financials!BO5</f>
        <v>9.7340797322813061E-2</v>
      </c>
      <c r="BR10" s="18">
        <f>Financials!BP14/Financials!BP5</f>
        <v>9.1098249626215336E-2</v>
      </c>
      <c r="BS10" s="18">
        <f>Financials!BQ14/Financials!BQ5</f>
        <v>8.9692865613985248E-2</v>
      </c>
      <c r="BT10" s="18">
        <f>Financials!BR14/Financials!BR5</f>
        <v>8.7225891558946708E-2</v>
      </c>
      <c r="BU10" s="18">
        <f>Financials!BS14/Financials!BS5</f>
        <v>8.7598407785009116E-2</v>
      </c>
      <c r="BV10" s="18">
        <f>Financials!BT14/Financials!BT5</f>
        <v>9.2077230522023865E-2</v>
      </c>
      <c r="BW10" s="18">
        <f>Financials!BU14/Financials!BU5</f>
        <v>9.3250222106222594E-2</v>
      </c>
      <c r="BX10" s="18">
        <f>Financials!BV14/Financials!BV5</f>
        <v>7.5367125312599981E-2</v>
      </c>
      <c r="BY10" s="18">
        <f>Financials!BW14/Financials!BW5</f>
        <v>7.6653487851133809E-2</v>
      </c>
      <c r="BZ10" s="18">
        <f>Financials!BX14/Financials!BX5</f>
        <v>8.2994826043903888E-2</v>
      </c>
      <c r="CA10" s="18">
        <f>Financials!BY14/Financials!BY5</f>
        <v>8.5810689747435442E-2</v>
      </c>
      <c r="CB10" s="18">
        <f>Financials!BZ14/Financials!BZ5</f>
        <v>8.1877249435808597E-2</v>
      </c>
      <c r="CC10" s="18">
        <f>Financials!CA14/Financials!CA5</f>
        <v>7.7073921953263541E-2</v>
      </c>
      <c r="CD10" s="18">
        <f>Financials!CB14/Financials!CB5</f>
        <v>9.8760642962140543E-2</v>
      </c>
      <c r="CE10" s="18">
        <f>Financials!CC14/Financials!CC5</f>
        <v>0.10155567681564007</v>
      </c>
      <c r="CF10" s="18">
        <f>Financials!CD14/Financials!CD5</f>
        <v>0.10717588667884644</v>
      </c>
      <c r="CG10" s="18">
        <f>Financials!CE14/Financials!CE5</f>
        <v>0.1115946715716806</v>
      </c>
      <c r="CH10" s="18">
        <f>Financials!CF14/Financials!CF5</f>
        <v>0.11471237373897025</v>
      </c>
      <c r="CI10" s="18">
        <f>Financials!CG14/Financials!CG5</f>
        <v>0.11636606888736155</v>
      </c>
      <c r="CJ10" s="18">
        <f>Financials!CH14/Financials!CH5</f>
        <v>0.11587029345315471</v>
      </c>
      <c r="CK10" s="18">
        <f>Financials!CI14/Financials!CI5</f>
        <v>0.14407066253661313</v>
      </c>
      <c r="CL10" s="18">
        <f>Financials!CJ14/Financials!CJ5</f>
        <v>7.1928289352985356E-2</v>
      </c>
      <c r="CM10" s="18">
        <f>Financials!CK14/Financials!CK5</f>
        <v>7.5399875408158484E-2</v>
      </c>
      <c r="CN10" s="18" t="e">
        <f>Financials!CL14/Financials!CL5</f>
        <v>#REF!</v>
      </c>
      <c r="CO10" s="18">
        <f>Financials!CM14/Financials!CM5</f>
        <v>8.8068990332339142E-2</v>
      </c>
      <c r="CP10" s="18">
        <f>Financials!CN14/Financials!CN5</f>
        <v>9.2217213083273714E-2</v>
      </c>
      <c r="CQ10" s="18">
        <f>Financials!CO14/Financials!CO5</f>
        <v>0.10037637453326358</v>
      </c>
      <c r="CR10" s="18">
        <f>Financials!CP14/Financials!CP5</f>
        <v>0.10404785585181309</v>
      </c>
      <c r="CS10" s="18">
        <f>Financials!CR14/Financials!CR5</f>
        <v>0.12220217413504759</v>
      </c>
      <c r="CT10" s="18">
        <f>Financials!CS14/Financials!CS5</f>
        <v>0.12807576440931845</v>
      </c>
      <c r="CU10" s="18">
        <f>Financials!CT14/Financials!CT5</f>
        <v>0.12186274397934208</v>
      </c>
      <c r="CV10" s="18">
        <f>Financials!CU14/Financials!CU5</f>
        <v>0.13470174990517472</v>
      </c>
      <c r="CW10" s="18">
        <f>Financials!CV14/Financials!CV5</f>
        <v>0.13387780384763989</v>
      </c>
      <c r="CX10" s="18">
        <f>Financials!CW14/Financials!CW5</f>
        <v>8.2137489989557846E-2</v>
      </c>
      <c r="CY10" s="18">
        <f>Financials!CX14/Financials!CX5</f>
        <v>8.5590391293354579E-2</v>
      </c>
      <c r="CZ10" s="18">
        <f>Financials!CY14/Financials!CY5</f>
        <v>9.1723378348542189E-2</v>
      </c>
      <c r="DA10" s="18">
        <f>Financials!CZ14/Financials!CZ5</f>
        <v>0.10116225207801781</v>
      </c>
      <c r="DB10" s="18">
        <f>Financials!DA14/Financials!DA5</f>
        <v>0.11309733047040894</v>
      </c>
      <c r="DC10" s="18">
        <f>Financials!DB14/Financials!DB5</f>
        <v>0.1196250875260412</v>
      </c>
      <c r="DD10" s="18">
        <f>Financials!DC14/Financials!DC5</f>
        <v>0.12071710512843643</v>
      </c>
      <c r="DE10" s="18">
        <f>Financials!DD14/Financials!DD5</f>
        <v>0.12652553829015439</v>
      </c>
      <c r="DF10" s="18">
        <f>Financials!DE14/Financials!DE5</f>
        <v>0.13544420836574489</v>
      </c>
      <c r="DG10" s="18">
        <f>Financials!DF14/Financials!DF5</f>
        <v>0.14320034970731285</v>
      </c>
      <c r="DH10" s="18">
        <f>Financials!DG14/Financials!DG5</f>
        <v>0.14852538345915955</v>
      </c>
      <c r="DI10" s="18">
        <f>Financials!DH14/Financials!DH5</f>
        <v>0.15232036359037218</v>
      </c>
      <c r="DJ10" s="18">
        <f>Financials!DI14/Financials!DI5</f>
        <v>8.7806442324044193E-2</v>
      </c>
      <c r="DK10" s="18">
        <f>Financials!DJ14/Financials!DJ5</f>
        <v>8.853777367544409E-2</v>
      </c>
      <c r="DL10" s="18">
        <f>Financials!DK14/Financials!DK5</f>
        <v>8.6234088648221005E-2</v>
      </c>
      <c r="DM10" s="18">
        <f>Financials!DL14/Financials!DL5</f>
        <v>0.10275558875182543</v>
      </c>
      <c r="DN10" s="18">
        <f>Financials!DM14/Financials!DM5</f>
        <v>0.11531344191868592</v>
      </c>
      <c r="DO10" s="18">
        <f>Financials!DN14/Financials!DN5</f>
        <v>0.12166111108629353</v>
      </c>
      <c r="DP10" s="18">
        <f>Financials!DO14/Financials!DO5</f>
        <v>0.12972100609464682</v>
      </c>
      <c r="DQ10" s="18">
        <f>Financials!DP14/Financials!DP5</f>
        <v>0.13163115007271614</v>
      </c>
      <c r="DR10" s="18">
        <f>Financials!DQ14/Financials!DQ5</f>
        <v>0.13694520722697298</v>
      </c>
      <c r="DS10" s="18">
        <f>Financials!DR14/Financials!DR5</f>
        <v>0.14803692042379565</v>
      </c>
      <c r="DT10" s="18">
        <f>Financials!DS14/Financials!DS5</f>
        <v>0.13198838600659829</v>
      </c>
      <c r="DU10" s="18">
        <f>Financials!DT14/Financials!DT5</f>
        <v>0.13300620842176941</v>
      </c>
      <c r="DV10" s="18">
        <f>Financials!DU14/Financials!DU5</f>
        <v>0.13716959870928366</v>
      </c>
      <c r="DW10" s="18" t="e">
        <f>Financials!DV14/Financials!DV5</f>
        <v>#DIV/0!</v>
      </c>
      <c r="DX10" s="18">
        <f>Financials!DW14/Financials!DW5</f>
        <v>0.1064851956415684</v>
      </c>
      <c r="DY10" s="18">
        <f>Financials!DW14/Financials!DW5</f>
        <v>0.1064851956415684</v>
      </c>
    </row>
    <row r="11" spans="2:129" s="5" customFormat="1" x14ac:dyDescent="0.25">
      <c r="B11" s="9"/>
      <c r="C11" s="13"/>
      <c r="D11" s="20"/>
      <c r="E11" s="21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</row>
    <row r="12" spans="2:129" s="5" customFormat="1" x14ac:dyDescent="0.25">
      <c r="B12" s="8">
        <v>2</v>
      </c>
      <c r="C12" s="9" t="s">
        <v>210</v>
      </c>
      <c r="D12" s="10"/>
      <c r="E12" s="11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</row>
    <row r="13" spans="2:129" s="5" customFormat="1" x14ac:dyDescent="0.25">
      <c r="B13" s="22">
        <v>2.1</v>
      </c>
      <c r="C13" s="9" t="s">
        <v>211</v>
      </c>
      <c r="D13" s="10"/>
      <c r="E13" s="11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</row>
    <row r="14" spans="2:129" s="5" customFormat="1" x14ac:dyDescent="0.25">
      <c r="B14" s="23" t="s">
        <v>212</v>
      </c>
      <c r="C14" s="19" t="s">
        <v>213</v>
      </c>
      <c r="D14" s="14" t="s">
        <v>214</v>
      </c>
      <c r="E14" s="15">
        <v>48.1</v>
      </c>
      <c r="F14" s="18">
        <f>Financials!C38/Financials!C5</f>
        <v>2.750265436308234E-2</v>
      </c>
      <c r="G14" s="18">
        <f>Financials!D38/Financials!D5</f>
        <v>1.258684072160607E-2</v>
      </c>
      <c r="H14" s="18">
        <f>Financials!E38/Financials!E5</f>
        <v>3.6021980172912617E-2</v>
      </c>
      <c r="I14" s="18">
        <f>Financials!F38/Financials!F5</f>
        <v>5.8254273372589885E-2</v>
      </c>
      <c r="J14" s="18">
        <f>Financials!G38/Financials!G5</f>
        <v>0.11368462048314869</v>
      </c>
      <c r="K14" s="18">
        <f>Financials!H38/Financials!H5</f>
        <v>8.4076880010465468E-2</v>
      </c>
      <c r="L14" s="18">
        <f>Financials!I38/Financials!I5</f>
        <v>6.7754640808316627E-2</v>
      </c>
      <c r="M14" s="18">
        <f>Financials!J38/Financials!J5</f>
        <v>8.2266651269755409E-2</v>
      </c>
      <c r="N14" s="18">
        <f>Financials!K38/Financials!K5</f>
        <v>8.1713312542192121E-2</v>
      </c>
      <c r="O14" s="18">
        <f>Financials!L38/Financials!L5</f>
        <v>8.1395231404029461E-2</v>
      </c>
      <c r="P14" s="18">
        <f>Financials!M38/Financials!M5</f>
        <v>7.8966722430131947E-2</v>
      </c>
      <c r="Q14" s="18">
        <f>Financials!N38/Financials!N5</f>
        <v>7.7786780629170993E-2</v>
      </c>
      <c r="R14" s="18">
        <f>Financials!O38/Financials!O5</f>
        <v>7.7125303637696624E-2</v>
      </c>
      <c r="S14" s="18">
        <f>Financials!P38/Financials!P5</f>
        <v>7.4682215454794601E-2</v>
      </c>
      <c r="T14" s="18">
        <f>Financials!Q38/Financials!Q5</f>
        <v>8.3435022896882288E-2</v>
      </c>
      <c r="U14" s="18">
        <f>Financials!R38/Financials!R5</f>
        <v>8.6823686877113587E-2</v>
      </c>
      <c r="V14" s="18">
        <f>Financials!S38/Financials!S5</f>
        <v>9.0945847976700009E-2</v>
      </c>
      <c r="W14" s="18">
        <f>Financials!T38/Financials!T5</f>
        <v>9.5671031354494548E-2</v>
      </c>
      <c r="X14" s="18">
        <f>Financials!U38/Financials!U5</f>
        <v>7.2853593982286677E-2</v>
      </c>
      <c r="Y14" s="18">
        <f>Financials!W38/Financials!W5</f>
        <v>7.5289327396425951E-2</v>
      </c>
      <c r="Z14" s="18">
        <f>Financials!X38/Financials!X5</f>
        <v>7.7079007165626379E-2</v>
      </c>
      <c r="AA14" s="18">
        <f>Financials!Y38/Financials!Y5</f>
        <v>7.9152104674726928E-2</v>
      </c>
      <c r="AB14" s="18">
        <f>Financials!Z38/Financials!Z5</f>
        <v>7.4726036943683516E-2</v>
      </c>
      <c r="AC14" s="18">
        <f>Financials!AA38/Financials!AA5</f>
        <v>7.5383632273115675E-2</v>
      </c>
      <c r="AD14" s="18">
        <f>Financials!AB38/Financials!AB5</f>
        <v>7.4437300368976597E-2</v>
      </c>
      <c r="AE14" s="18">
        <f>Financials!AC38/Financials!AC5</f>
        <v>8.0664972624540712E-2</v>
      </c>
      <c r="AF14" s="18">
        <f>Financials!AD38/Financials!AD5</f>
        <v>7.9742200410160682E-2</v>
      </c>
      <c r="AG14" s="18">
        <f>Financials!AE38/Financials!AE5</f>
        <v>6.9297287606551322E-2</v>
      </c>
      <c r="AH14" s="18">
        <f>Financials!AF38/Financials!AF5</f>
        <v>6.7891565319708261E-2</v>
      </c>
      <c r="AI14" s="18">
        <f>Financials!AG38/Financials!AG5</f>
        <v>7.1228244446901415E-2</v>
      </c>
      <c r="AJ14" s="18">
        <f>Financials!AH38/Financials!AH5</f>
        <v>5.9614314506698393E-2</v>
      </c>
      <c r="AK14" s="18">
        <f>Financials!AI38/Financials!AI5</f>
        <v>4.4550586238114566E-2</v>
      </c>
      <c r="AL14" s="18">
        <f>Financials!AJ38/Financials!AJ5</f>
        <v>4.2810747372735755E-2</v>
      </c>
      <c r="AM14" s="18" t="e">
        <f>Financials!AK38/Financials!AK5</f>
        <v>#DIV/0!</v>
      </c>
      <c r="AN14" s="18">
        <f>Financials!AL38/Financials!AL5</f>
        <v>7.1884759859593805E-2</v>
      </c>
      <c r="AO14" s="18">
        <f>Financials!AM38/Financials!AM5</f>
        <v>6.6914848302319599E-2</v>
      </c>
      <c r="AP14" s="18">
        <f>Financials!AN38/Financials!AN5</f>
        <v>7.5987169332652219E-2</v>
      </c>
      <c r="AQ14" s="18">
        <f>Financials!AO38/Financials!AO5</f>
        <v>7.2052779770278991E-2</v>
      </c>
      <c r="AR14" s="18">
        <f>Financials!AP38/Financials!AP5</f>
        <v>6.8936586927127036E-2</v>
      </c>
      <c r="AS14" s="18">
        <f>Financials!AQ38/Financials!AQ5</f>
        <v>0.1357728635614909</v>
      </c>
      <c r="AT14" s="18">
        <f>Financials!AR38/Financials!AR5</f>
        <v>0.15337341065549123</v>
      </c>
      <c r="AU14" s="18">
        <f>Financials!AS38/Financials!AS5</f>
        <v>0.15681338565587435</v>
      </c>
      <c r="AV14" s="18" t="e">
        <f>Financials!AT38/Financials!AT5</f>
        <v>#DIV/0!</v>
      </c>
      <c r="AW14" s="18">
        <f>Financials!AU38/Financials!AU5</f>
        <v>0.17682436810104987</v>
      </c>
      <c r="AX14" s="18">
        <f>Financials!AV38/Financials!AV5</f>
        <v>6.0484109759070849E-2</v>
      </c>
      <c r="AY14" s="18">
        <f>Financials!AW38/Financials!AW5</f>
        <v>3.7742713722024507E-2</v>
      </c>
      <c r="AZ14" s="18" t="e">
        <f>Financials!AX38/Financials!AX5</f>
        <v>#DIV/0!</v>
      </c>
      <c r="BA14" s="18" t="e">
        <f>Financials!AY38/Financials!AY5</f>
        <v>#DIV/0!</v>
      </c>
      <c r="BB14" s="18">
        <f>Financials!AZ38/Financials!AZ5</f>
        <v>7.4102224341185713E-2</v>
      </c>
      <c r="BC14" s="18">
        <f>Financials!BA38/Financials!BA5</f>
        <v>7.0505422467498344E-2</v>
      </c>
      <c r="BD14" s="18">
        <f>Financials!BB38/Financials!BB5</f>
        <v>7.2118863851759474E-2</v>
      </c>
      <c r="BE14" s="18">
        <f>Financials!BC38/Financials!BC5</f>
        <v>0.20377854599314327</v>
      </c>
      <c r="BF14" s="18">
        <f>Financials!BD38/Financials!BD5</f>
        <v>7.1484667135983213E-2</v>
      </c>
      <c r="BG14" s="18">
        <f>Financials!BE38/Financials!BE5</f>
        <v>6.9997749178673768E-2</v>
      </c>
      <c r="BH14" s="18">
        <f>Financials!BF38/Financials!BF5</f>
        <v>7.2392262650627773E-2</v>
      </c>
      <c r="BI14" s="18" t="e">
        <f>Financials!BG38/Financials!BG5</f>
        <v>#DIV/0!</v>
      </c>
      <c r="BJ14" s="18">
        <f>Financials!BH38/Financials!BH5</f>
        <v>7.557570523316065E-2</v>
      </c>
      <c r="BK14" s="18">
        <f>Financials!BI38/Financials!BI5</f>
        <v>7.6021259261378232E-2</v>
      </c>
      <c r="BL14" s="18">
        <f>Financials!BJ38/Financials!BJ5</f>
        <v>5.8663187024409251E-2</v>
      </c>
      <c r="BM14" s="18">
        <f>Financials!BK38/Financials!BK5</f>
        <v>7.2692540112061485E-2</v>
      </c>
      <c r="BN14" s="18">
        <f>Financials!BL38/Financials!BL5</f>
        <v>7.2290454059502643E-2</v>
      </c>
      <c r="BO14" s="18">
        <f>Financials!BM38/Financials!BM5</f>
        <v>7.4315658872395968E-2</v>
      </c>
      <c r="BP14" s="18">
        <f>Financials!BN38/Financials!BN5</f>
        <v>7.3435576405061306E-2</v>
      </c>
      <c r="BQ14" s="18">
        <f>Financials!BO38/Financials!BO5</f>
        <v>7.5368696604370067E-2</v>
      </c>
      <c r="BR14" s="18">
        <f>Financials!BP38/Financials!BP5</f>
        <v>7.4828525588008316E-2</v>
      </c>
      <c r="BS14" s="18">
        <f>Financials!BQ38/Financials!BQ5</f>
        <v>7.379664383695056E-2</v>
      </c>
      <c r="BT14" s="18">
        <f>Financials!BR38/Financials!BR5</f>
        <v>7.2356898349591331E-2</v>
      </c>
      <c r="BU14" s="18">
        <f>Financials!BS38/Financials!BS5</f>
        <v>7.2178106070954595E-2</v>
      </c>
      <c r="BV14" s="18">
        <f>Financials!BT38/Financials!BT5</f>
        <v>7.1727526396235045E-2</v>
      </c>
      <c r="BW14" s="18">
        <f>Financials!BU38/Financials!BU5</f>
        <v>8.2357793301760504E-2</v>
      </c>
      <c r="BX14" s="18">
        <f>Financials!BV38/Financials!BV5</f>
        <v>7.3312550821042752E-2</v>
      </c>
      <c r="BY14" s="18">
        <f>Financials!BW38/Financials!BW5</f>
        <v>7.1979393394819902E-2</v>
      </c>
      <c r="BZ14" s="18">
        <f>Financials!BX38/Financials!BX5</f>
        <v>7.5053863805793611E-2</v>
      </c>
      <c r="CA14" s="18">
        <f>Financials!BY38/Financials!BY5</f>
        <v>7.629707403390347E-2</v>
      </c>
      <c r="CB14" s="18">
        <f>Financials!BZ38/Financials!BZ5</f>
        <v>7.2799724373302441E-2</v>
      </c>
      <c r="CC14" s="18">
        <f>Financials!CA38/Financials!CA5</f>
        <v>0.12845390766105999</v>
      </c>
      <c r="CD14" s="18">
        <f>Financials!CB38/Financials!CB5</f>
        <v>0.10159698424970313</v>
      </c>
      <c r="CE14" s="18">
        <f>Financials!CC38/Financials!CC5</f>
        <v>0.11133840464156301</v>
      </c>
      <c r="CF14" s="18">
        <f>Financials!CD38/Financials!CD5</f>
        <v>0.10912609107938208</v>
      </c>
      <c r="CG14" s="18">
        <f>Financials!CE38/Financials!CE5</f>
        <v>0.12567975226058573</v>
      </c>
      <c r="CH14" s="18">
        <f>Financials!CF38/Financials!CF5</f>
        <v>0.12347814249313104</v>
      </c>
      <c r="CI14" s="18">
        <f>Financials!CG38/Financials!CG5</f>
        <v>0.12116348670429726</v>
      </c>
      <c r="CJ14" s="18">
        <f>Financials!CH38/Financials!CH5</f>
        <v>0.12260627007913388</v>
      </c>
      <c r="CK14" s="18">
        <f>Financials!CI38/Financials!CI5</f>
        <v>8.3397739157388323E-2</v>
      </c>
      <c r="CL14" s="18">
        <f>Financials!CJ38/Financials!CJ5</f>
        <v>8.791594997664956E-2</v>
      </c>
      <c r="CM14" s="18">
        <f>Financials!CK38/Financials!CK5</f>
        <v>0.11380704307375472</v>
      </c>
      <c r="CN14" s="18">
        <f>Financials!CL38/Financials!CL5</f>
        <v>0.11470176129362034</v>
      </c>
      <c r="CO14" s="18">
        <f>Financials!CM38/Financials!CM5</f>
        <v>0.11620603291658897</v>
      </c>
      <c r="CP14" s="18">
        <f>Financials!CN38/Financials!CN5</f>
        <v>0.12499483110438625</v>
      </c>
      <c r="CQ14" s="18">
        <f>Financials!CO38/Financials!CO5</f>
        <v>0.13301160805263623</v>
      </c>
      <c r="CR14" s="18" t="e">
        <f>Financials!CP38/Financials!CP5</f>
        <v>#REF!</v>
      </c>
      <c r="CS14" s="18">
        <f>Financials!CQ38/Financials!CQ5</f>
        <v>0.12683360281039421</v>
      </c>
      <c r="CT14" s="18">
        <f>Financials!CR38/Financials!CR5</f>
        <v>0.12597557562966885</v>
      </c>
      <c r="CU14" s="18">
        <f>Financials!CS38/Financials!CS5</f>
        <v>0.12551559602185242</v>
      </c>
      <c r="CV14" s="18">
        <f>Financials!CT38/Financials!CT5</f>
        <v>0.12802535094772813</v>
      </c>
      <c r="CW14" s="18">
        <f>Financials!CU38/Financials!CU5</f>
        <v>0.11562052167217621</v>
      </c>
      <c r="CX14" s="18">
        <f>Financials!CV38/Financials!CV5</f>
        <v>8.801397021663572E-2</v>
      </c>
      <c r="CY14" s="18">
        <f>Financials!CW38/Financials!CW5</f>
        <v>8.5421747260400346E-2</v>
      </c>
      <c r="CZ14" s="18">
        <f>Financials!CX38/Financials!CX5</f>
        <v>0.11243934160246681</v>
      </c>
      <c r="DA14" s="18">
        <f>Financials!CY38/Financials!CY5</f>
        <v>0.10903039944077474</v>
      </c>
      <c r="DB14" s="18">
        <f>Financials!CZ38/Financials!CZ5</f>
        <v>0.11156882828446772</v>
      </c>
      <c r="DC14" s="18">
        <f>Financials!DA38/Financials!DA5</f>
        <v>0.11020980191298325</v>
      </c>
      <c r="DD14" s="18">
        <f>Financials!DB38/Financials!DB5</f>
        <v>0.1094984234118367</v>
      </c>
      <c r="DE14" s="18">
        <f>Financials!DC38/Financials!DC5</f>
        <v>0.10441433278259031</v>
      </c>
      <c r="DF14" s="18">
        <f>Financials!DD38/Financials!DD5</f>
        <v>0.10308558688290645</v>
      </c>
      <c r="DG14" s="18">
        <f>Financials!DE38/Financials!DE5</f>
        <v>0.10088696086020479</v>
      </c>
      <c r="DH14" s="18">
        <f>Financials!DF38/Financials!DF5</f>
        <v>9.87607913082168E-2</v>
      </c>
      <c r="DI14" s="18">
        <f>Financials!DG38/Financials!DG5</f>
        <v>0.10099476948088262</v>
      </c>
      <c r="DJ14" s="18">
        <f>Financials!DH38/Financials!DH5</f>
        <v>9.8259102605153276E-2</v>
      </c>
      <c r="DK14" s="18">
        <f>Financials!DI38/Financials!DI5</f>
        <v>7.1088791040417945E-2</v>
      </c>
      <c r="DL14" s="18">
        <f>Financials!DJ38/Financials!DJ5</f>
        <v>7.584533916266141E-2</v>
      </c>
      <c r="DM14" s="18">
        <f>Financials!DK38/Financials!DK5</f>
        <v>8.6278648457849036E-2</v>
      </c>
      <c r="DN14" s="18">
        <f>Financials!DL38/Financials!DL5</f>
        <v>8.6592962220135627E-2</v>
      </c>
      <c r="DO14" s="18">
        <f>Financials!DM38/Financials!DM5</f>
        <v>8.9146525293043927E-2</v>
      </c>
      <c r="DP14" s="18">
        <f>Financials!DN38/Financials!DN5</f>
        <v>9.03805222087192E-2</v>
      </c>
      <c r="DQ14" s="18">
        <f>Financials!DO38/Financials!DO5</f>
        <v>9.1470242872387961E-2</v>
      </c>
      <c r="DR14" s="18">
        <f>Financials!DP38/Financials!DP5</f>
        <v>9.7477646775638346E-2</v>
      </c>
      <c r="DS14" s="18">
        <f>Financials!DQ38/Financials!DQ5</f>
        <v>9.8032270266185217E-2</v>
      </c>
      <c r="DT14" s="18">
        <f>Financials!DR38/Financials!DR5</f>
        <v>9.9088867044702086E-2</v>
      </c>
      <c r="DU14" s="18">
        <f>Financials!DS38/Financials!DS5</f>
        <v>9.8563811124954256E-2</v>
      </c>
      <c r="DV14" s="18">
        <f>Financials!DT38/Financials!DT5</f>
        <v>9.6887228191673613E-2</v>
      </c>
      <c r="DW14" s="18">
        <f>Financials!DU38/Financials!DU5</f>
        <v>9.7210445800151035E-2</v>
      </c>
      <c r="DX14" s="18" t="e">
        <f>Financials!DV38/Financials!DV5</f>
        <v>#DIV/0!</v>
      </c>
      <c r="DY14" s="18">
        <f>Financials!DW38/Financials!DW5</f>
        <v>8.1352340369238593E-2</v>
      </c>
    </row>
    <row r="15" spans="2:129" s="5" customFormat="1" x14ac:dyDescent="0.25">
      <c r="B15" s="23" t="s">
        <v>215</v>
      </c>
      <c r="C15" s="13" t="s">
        <v>216</v>
      </c>
      <c r="D15" s="14" t="s">
        <v>217</v>
      </c>
      <c r="E15" s="15">
        <v>48.1</v>
      </c>
      <c r="F15" s="18">
        <f>Financials!C39/Financials!C5</f>
        <v>8.2131316880598264E-3</v>
      </c>
      <c r="G15" s="18">
        <f>Financials!D39/Financials!D5</f>
        <v>7.7538266599029761E-3</v>
      </c>
      <c r="H15" s="18">
        <f>Financials!E39/Financials!E5</f>
        <v>3.2039807944055747E-2</v>
      </c>
      <c r="I15" s="18">
        <f>Financials!F39/Financials!F5</f>
        <v>1.9408086286062616E-2</v>
      </c>
      <c r="J15" s="18">
        <f>Financials!G39/Financials!G5</f>
        <v>9.0399202093716963E-2</v>
      </c>
      <c r="K15" s="18">
        <f>Financials!H39/Financials!H5</f>
        <v>7.1329355231368283E-2</v>
      </c>
      <c r="L15" s="18">
        <f>Financials!I39/Financials!I5</f>
        <v>5.7561966340611753E-2</v>
      </c>
      <c r="M15" s="18">
        <f>Financials!J39/Financials!J5</f>
        <v>6.9964757133322175E-2</v>
      </c>
      <c r="N15" s="18">
        <f>Financials!K39/Financials!K5</f>
        <v>6.7557550392648033E-2</v>
      </c>
      <c r="O15" s="18">
        <f>Financials!L39/Financials!L5</f>
        <v>6.7216713829557184E-2</v>
      </c>
      <c r="P15" s="18">
        <f>Financials!M39/Financials!M5</f>
        <v>6.5782679022678467E-2</v>
      </c>
      <c r="Q15" s="18">
        <f>Financials!N39/Financials!N5</f>
        <v>6.4585675466039244E-2</v>
      </c>
      <c r="R15" s="18">
        <f>Financials!O39/Financials!O5</f>
        <v>6.2687052262840368E-2</v>
      </c>
      <c r="S15" s="18">
        <f>Financials!P39/Financials!P5</f>
        <v>6.0472124049681185E-2</v>
      </c>
      <c r="T15" s="18">
        <f>Financials!Q39/Financials!Q5</f>
        <v>6.0692726923471815E-2</v>
      </c>
      <c r="U15" s="18">
        <f>Financials!R39/Financials!R5</f>
        <v>5.9501333546614112E-2</v>
      </c>
      <c r="V15" s="18">
        <f>Financials!S39/Financials!S5</f>
        <v>5.8931052279215294E-2</v>
      </c>
      <c r="W15" s="18">
        <f>Financials!T39/Financials!T5</f>
        <v>5.8974363098513803E-2</v>
      </c>
      <c r="X15" s="18">
        <f>Financials!U39/Financials!U5</f>
        <v>6.1489033736966646E-2</v>
      </c>
      <c r="Y15" s="18">
        <f>Financials!W39/Financials!W5</f>
        <v>6.2063005764566956E-2</v>
      </c>
      <c r="Z15" s="18">
        <f>Financials!X39/Financials!X5</f>
        <v>6.1786580216378256E-2</v>
      </c>
      <c r="AA15" s="18">
        <f>Financials!Y39/Financials!Y5</f>
        <v>6.1304686670033311E-2</v>
      </c>
      <c r="AB15" s="18">
        <f>Financials!Z39/Financials!Z5</f>
        <v>5.7635033436024566E-2</v>
      </c>
      <c r="AC15" s="18">
        <f>Financials!AA39/Financials!AA5</f>
        <v>5.5758307557742415E-2</v>
      </c>
      <c r="AD15" s="18">
        <f>Financials!AB39/Financials!AB5</f>
        <v>5.4023100699133894E-2</v>
      </c>
      <c r="AE15" s="18">
        <f>Financials!AC39/Financials!AC5</f>
        <v>5.3613226754316026E-2</v>
      </c>
      <c r="AF15" s="18">
        <f>Financials!AD39/Financials!AD5</f>
        <v>5.1304677870031998E-2</v>
      </c>
      <c r="AG15" s="18">
        <f>Financials!AE39/Financials!AE5</f>
        <v>5.0306545223956105E-2</v>
      </c>
      <c r="AH15" s="18">
        <f>Financials!AF39/Financials!AF5</f>
        <v>5.3231121411613874E-2</v>
      </c>
      <c r="AI15" s="18">
        <f>Financials!AG39/Financials!AG5</f>
        <v>5.2075096203913804E-2</v>
      </c>
      <c r="AJ15" s="18">
        <f>Financials!AH39/Financials!AH5</f>
        <v>5.2695626743110839E-2</v>
      </c>
      <c r="AK15" s="18">
        <f>Financials!AI39/Financials!AI5</f>
        <v>3.6843300449491745E-2</v>
      </c>
      <c r="AL15" s="18">
        <f>Financials!AJ39/Financials!AJ5</f>
        <v>3.744546706116568E-2</v>
      </c>
      <c r="AM15" s="18" t="e">
        <f>Financials!AK39/Financials!AK5</f>
        <v>#DIV/0!</v>
      </c>
      <c r="AN15" s="18">
        <f>Financials!AL39/Financials!AL5</f>
        <v>5.1825721747008426E-2</v>
      </c>
      <c r="AO15" s="18">
        <f>Financials!AM39/Financials!AM5</f>
        <v>5.1458826344869618E-2</v>
      </c>
      <c r="AP15" s="18">
        <f>Financials!AN39/Financials!AN5</f>
        <v>5.9153517386953763E-2</v>
      </c>
      <c r="AQ15" s="18">
        <f>Financials!AO39/Financials!AO5</f>
        <v>5.3294606981339192E-2</v>
      </c>
      <c r="AR15" s="18">
        <f>Financials!AP39/Financials!AP5</f>
        <v>6.048508029370428E-2</v>
      </c>
      <c r="AS15" s="18">
        <f>Financials!AQ39/Financials!AQ5</f>
        <v>5.2417567205951941E-2</v>
      </c>
      <c r="AT15" s="18">
        <f>Financials!AR39/Financials!AR5</f>
        <v>5.1807147021649479E-2</v>
      </c>
      <c r="AU15" s="18">
        <f>Financials!AS39/Financials!AS5</f>
        <v>5.069488185502162E-2</v>
      </c>
      <c r="AV15" s="18" t="e">
        <f>Financials!AT39/Financials!AT5</f>
        <v>#DIV/0!</v>
      </c>
      <c r="AW15" s="18">
        <f>Financials!AU39/Financials!AU5</f>
        <v>5.045898789692721E-2</v>
      </c>
      <c r="AX15" s="18">
        <f>Financials!AV39/Financials!AV5</f>
        <v>4.9051883005078872E-2</v>
      </c>
      <c r="AY15" s="18">
        <f>Financials!AW39/Financials!AW5</f>
        <v>3.3618426512497815E-2</v>
      </c>
      <c r="AZ15" s="18" t="e">
        <f>Financials!AX39/Financials!AX5</f>
        <v>#DIV/0!</v>
      </c>
      <c r="BA15" s="18" t="e">
        <f>Financials!AY39/Financials!AY5</f>
        <v>#DIV/0!</v>
      </c>
      <c r="BB15" s="18">
        <f>Financials!AZ39/Financials!AZ5</f>
        <v>7.2044873497269762E-2</v>
      </c>
      <c r="BC15" s="18">
        <f>Financials!BA39/Financials!BA5</f>
        <v>6.8389744587085147E-2</v>
      </c>
      <c r="BD15" s="18">
        <f>Financials!BB39/Financials!BB5</f>
        <v>6.9957953664863029E-2</v>
      </c>
      <c r="BE15" s="18">
        <f>Financials!BC39/Financials!BC5</f>
        <v>6.0760624078660223E-2</v>
      </c>
      <c r="BF15" s="18">
        <f>Financials!BD39/Financials!BD5</f>
        <v>6.9030625373952242E-2</v>
      </c>
      <c r="BG15" s="18">
        <f>Financials!BE39/Financials!BE5</f>
        <v>6.7606558245313794E-2</v>
      </c>
      <c r="BH15" s="18">
        <f>Financials!BF39/Financials!BF5</f>
        <v>7.0006019361532612E-2</v>
      </c>
      <c r="BI15" s="18" t="e">
        <f>Financials!BG39/Financials!BG5</f>
        <v>#DIV/0!</v>
      </c>
      <c r="BJ15" s="18">
        <f>Financials!BH39/Financials!BH5</f>
        <v>7.3108146029639512E-2</v>
      </c>
      <c r="BK15" s="18">
        <f>Financials!BI39/Financials!BI5</f>
        <v>7.3498435734644568E-2</v>
      </c>
      <c r="BL15" s="18">
        <f>Financials!BJ39/Financials!BJ5</f>
        <v>5.5070179108230199E-2</v>
      </c>
      <c r="BM15" s="18">
        <f>Financials!BK39/Financials!BK5</f>
        <v>7.0286312843530596E-2</v>
      </c>
      <c r="BN15" s="18">
        <f>Financials!BL39/Financials!BL5</f>
        <v>6.9875830155466293E-2</v>
      </c>
      <c r="BO15" s="18">
        <f>Financials!BM39/Financials!BM5</f>
        <v>7.186620845320843E-2</v>
      </c>
      <c r="BP15" s="18">
        <f>Financials!BN39/Financials!BN5</f>
        <v>7.101513357863741E-2</v>
      </c>
      <c r="BQ15" s="18">
        <f>Financials!BO39/Financials!BO5</f>
        <v>7.2941807611028822E-2</v>
      </c>
      <c r="BR15" s="18">
        <f>Financials!BP39/Financials!BP5</f>
        <v>7.2429405297876739E-2</v>
      </c>
      <c r="BS15" s="18">
        <f>Financials!BQ39/Financials!BQ5</f>
        <v>7.1434535073527802E-2</v>
      </c>
      <c r="BT15" s="18">
        <f>Financials!BR39/Financials!BR5</f>
        <v>7.0052768192675113E-2</v>
      </c>
      <c r="BU15" s="18">
        <f>Financials!BS39/Financials!BS5</f>
        <v>6.9880657982814287E-2</v>
      </c>
      <c r="BV15" s="18">
        <f>Financials!BT39/Financials!BT5</f>
        <v>6.9444412005672834E-2</v>
      </c>
      <c r="BW15" s="18">
        <f>Financials!BU39/Financials!BU5</f>
        <v>8.0179668868719037E-2</v>
      </c>
      <c r="BX15" s="18">
        <f>Financials!BV39/Financials!BV5</f>
        <v>7.1168926144869943E-2</v>
      </c>
      <c r="BY15" s="18">
        <f>Financials!BW39/Financials!BW5</f>
        <v>3.6934765993587061E-2</v>
      </c>
      <c r="BZ15" s="18">
        <f>Financials!BX39/Financials!BX5</f>
        <v>4.501416695613869E-2</v>
      </c>
      <c r="CA15" s="18">
        <f>Financials!BY39/Financials!BY5</f>
        <v>4.5759792430058614E-2</v>
      </c>
      <c r="CB15" s="18">
        <f>Financials!BZ39/Financials!BZ5</f>
        <v>4.3662228446761896E-2</v>
      </c>
      <c r="CC15" s="18">
        <f>Financials!CA39/Financials!CA5</f>
        <v>0.10136384393062657</v>
      </c>
      <c r="CD15" s="18">
        <f>Financials!CB39/Financials!CB5</f>
        <v>7.617214046938138E-2</v>
      </c>
      <c r="CE15" s="18">
        <f>Financials!CC39/Financials!CC5</f>
        <v>8.4733171945271218E-2</v>
      </c>
      <c r="CF15" s="18">
        <f>Financials!CD39/Financials!CD5</f>
        <v>8.3049509007360259E-2</v>
      </c>
      <c r="CG15" s="18">
        <f>Financials!CE39/Financials!CE5</f>
        <v>7.2211910312177316E-2</v>
      </c>
      <c r="CH15" s="18">
        <f>Financials!CF39/Financials!CF5</f>
        <v>7.0035719095833462E-2</v>
      </c>
      <c r="CI15" s="18">
        <f>Financials!CG39/Financials!CG5</f>
        <v>0</v>
      </c>
      <c r="CJ15" s="18">
        <f>Financials!CH39/Financials!CH5</f>
        <v>6.8480661162532749E-2</v>
      </c>
      <c r="CK15" s="18">
        <f>Financials!CI39/Financials!CI5</f>
        <v>3.6184817444020793E-2</v>
      </c>
      <c r="CL15" s="18">
        <f>Financials!CJ39/Financials!CJ5</f>
        <v>3.8183601060509893E-2</v>
      </c>
      <c r="CM15" s="18">
        <f>Financials!CK39/Financials!CK5</f>
        <v>6.8209350207542083E-2</v>
      </c>
      <c r="CN15" s="18">
        <f>Financials!CL39/Financials!CL5</f>
        <v>6.6849069869040836E-2</v>
      </c>
      <c r="CO15" s="18">
        <f>Financials!CM39/Financials!CM5</f>
        <v>6.8357648354425662E-2</v>
      </c>
      <c r="CP15" s="18">
        <f>Financials!CN39/Financials!CN5</f>
        <v>6.0244069345382491E-2</v>
      </c>
      <c r="CQ15" s="18">
        <f>Financials!CO39/Financials!CO5</f>
        <v>6.7906967928441517E-2</v>
      </c>
      <c r="CR15" s="18">
        <f>Financials!CP39/Financials!CP5</f>
        <v>6.6312908222767808E-2</v>
      </c>
      <c r="CS15" s="18">
        <f>Financials!CQ39/Financials!CQ5</f>
        <v>6.6394494441953875E-2</v>
      </c>
      <c r="CT15" s="18">
        <f>Financials!CR39/Financials!CR5</f>
        <v>6.4596927568080997E-2</v>
      </c>
      <c r="CU15" s="18">
        <f>Financials!CS39/Financials!CS5</f>
        <v>6.2585514970661726E-2</v>
      </c>
      <c r="CV15" s="18">
        <f>Financials!CT39/Financials!CT5</f>
        <v>6.2405895638662744E-2</v>
      </c>
      <c r="CW15" s="18">
        <f>Financials!CU39/Financials!CU5</f>
        <v>5.2328622142719758E-2</v>
      </c>
      <c r="CX15" s="18">
        <f>Financials!CV39/Financials!CV5</f>
        <v>3.6271145322115055E-2</v>
      </c>
      <c r="CY15" s="18">
        <f>Financials!CW39/Financials!CW5</f>
        <v>3.6293586134953516E-2</v>
      </c>
      <c r="CZ15" s="18">
        <f>Financials!CX39/Financials!CX5</f>
        <v>6.0252673175240579E-2</v>
      </c>
      <c r="DA15" s="18">
        <f>Financials!CY39/Financials!CY5</f>
        <v>5.8425929305929054E-2</v>
      </c>
      <c r="DB15" s="18">
        <f>Financials!CZ39/Financials!CZ5</f>
        <v>5.978619272723569E-2</v>
      </c>
      <c r="DC15" s="18">
        <f>Financials!DA39/Financials!DA5</f>
        <v>5.9057933644333073E-2</v>
      </c>
      <c r="DD15" s="18">
        <f>Financials!DB39/Financials!DB5</f>
        <v>5.9157766851557193E-2</v>
      </c>
      <c r="DE15" s="18">
        <f>Financials!DC39/Financials!DC5</f>
        <v>5.6411029147709742E-2</v>
      </c>
      <c r="DF15" s="18">
        <f>Financials!DD39/Financials!DD5</f>
        <v>5.5960057672304345E-2</v>
      </c>
      <c r="DG15" s="18">
        <f>Financials!DE39/Financials!DE5</f>
        <v>5.4766532537020712E-2</v>
      </c>
      <c r="DH15" s="18">
        <f>Financials!DF39/Financials!DF5</f>
        <v>5.361234042978176E-2</v>
      </c>
      <c r="DI15" s="18">
        <f>Financials!DG39/Financials!DG5</f>
        <v>5.4841816440920184E-2</v>
      </c>
      <c r="DJ15" s="18">
        <f>Financials!DH39/Financials!DH5</f>
        <v>5.3356304454374649E-2</v>
      </c>
      <c r="DK15" s="18">
        <f>Financials!DI39/Financials!DI5</f>
        <v>2.8494027956582346E-2</v>
      </c>
      <c r="DL15" s="18">
        <f>Financials!DJ39/Financials!DJ5</f>
        <v>2.9038537586051245E-2</v>
      </c>
      <c r="DM15" s="18">
        <f>Financials!DK39/Financials!DK5</f>
        <v>2.7838133635620439E-2</v>
      </c>
      <c r="DN15" s="18">
        <f>Financials!DL39/Financials!DL5</f>
        <v>2.8039206986479027E-2</v>
      </c>
      <c r="DO15" s="18">
        <f>Financials!DM39/Financials!DM5</f>
        <v>2.8568586400526057E-2</v>
      </c>
      <c r="DP15" s="18">
        <f>Financials!DN39/Financials!DN5</f>
        <v>2.8262896084355137E-2</v>
      </c>
      <c r="DQ15" s="18">
        <f>Financials!DO39/Financials!DO5</f>
        <v>2.8074901926311527E-2</v>
      </c>
      <c r="DR15" s="18">
        <f>Financials!DP39/Financials!DP5</f>
        <v>3.1343891078677064E-2</v>
      </c>
      <c r="DS15" s="18">
        <f>Financials!DQ39/Financials!DQ5</f>
        <v>3.084060979403095E-2</v>
      </c>
      <c r="DT15" s="18">
        <f>Financials!DR39/Financials!DR5</f>
        <v>3.1015537672150404E-2</v>
      </c>
      <c r="DU15" s="18">
        <f>Financials!DS39/Financials!DS5</f>
        <v>1.5436859843863608E-3</v>
      </c>
      <c r="DV15" s="18">
        <f>Financials!DT39/Financials!DT5</f>
        <v>1.5236174471294813E-3</v>
      </c>
      <c r="DW15" s="18">
        <f>Financials!DU39/Financials!DU5</f>
        <v>1.4931461995778257E-3</v>
      </c>
      <c r="DX15" s="18" t="e">
        <f>Financials!DV39/Financials!DV5</f>
        <v>#DIV/0!</v>
      </c>
      <c r="DY15" s="18">
        <f>Financials!DW39/Financials!DW5</f>
        <v>0</v>
      </c>
    </row>
    <row r="16" spans="2:129" s="5" customFormat="1" x14ac:dyDescent="0.25">
      <c r="B16" s="23" t="s">
        <v>218</v>
      </c>
      <c r="C16" s="13" t="s">
        <v>219</v>
      </c>
      <c r="D16" s="14" t="s">
        <v>220</v>
      </c>
      <c r="E16" s="15">
        <v>41</v>
      </c>
      <c r="F16" s="17">
        <f>Financials!C33/Financials!C31</f>
        <v>0</v>
      </c>
      <c r="G16" s="17">
        <f>Financials!D33/Financials!D31</f>
        <v>0</v>
      </c>
      <c r="H16" s="17">
        <f>Financials!E33/Financials!E31</f>
        <v>0</v>
      </c>
      <c r="I16" s="17">
        <f>Financials!F33/Financials!F31</f>
        <v>0</v>
      </c>
      <c r="J16" s="17">
        <f>Financials!G33/Financials!G31</f>
        <v>0</v>
      </c>
      <c r="K16" s="17">
        <f>Financials!H33/Financials!H31</f>
        <v>6.3315495692312748E-2</v>
      </c>
      <c r="L16" s="17">
        <f>Financials!I33/Financials!I31</f>
        <v>6.2868644865850407E-2</v>
      </c>
      <c r="M16" s="17">
        <f>Financials!J33/Financials!J31</f>
        <v>1.7620603402391672E-8</v>
      </c>
      <c r="N16" s="17">
        <f>Financials!K33/Financials!K31</f>
        <v>2.8364269854658328E-2</v>
      </c>
      <c r="O16" s="17">
        <f>Financials!L33/Financials!L31</f>
        <v>0</v>
      </c>
      <c r="P16" s="17">
        <f>Financials!M33/Financials!M31</f>
        <v>0</v>
      </c>
      <c r="Q16" s="17">
        <f>Financials!N33/Financials!N31</f>
        <v>3.1069934102589003E-8</v>
      </c>
      <c r="R16" s="17">
        <f>Financials!O33/Financials!O31</f>
        <v>0</v>
      </c>
      <c r="S16" s="17">
        <f>Financials!P33/Financials!P31</f>
        <v>1.6666988074634447E-5</v>
      </c>
      <c r="T16" s="17">
        <f>Financials!Q33/Financials!Q31</f>
        <v>0.42414915118303659</v>
      </c>
      <c r="U16" s="17">
        <f>Financials!R33/Financials!R31</f>
        <v>2.6453969595946339E-8</v>
      </c>
      <c r="V16" s="17">
        <f>Financials!S33/Financials!S31</f>
        <v>0.27161315923106949</v>
      </c>
      <c r="W16" s="17">
        <f>Financials!T33/Financials!T31</f>
        <v>4.2434194740110384E-5</v>
      </c>
      <c r="X16" s="17">
        <f>Financials!U33/Financials!U31</f>
        <v>0.25294022991839488</v>
      </c>
      <c r="Y16" s="17">
        <f>Financials!W33/Financials!W31</f>
        <v>0.19016025076720589</v>
      </c>
      <c r="Z16" s="17">
        <f>Financials!X33/Financials!X31</f>
        <v>0</v>
      </c>
      <c r="AA16" s="17">
        <f>Financials!Y33/Financials!Y31</f>
        <v>0</v>
      </c>
      <c r="AB16" s="17">
        <f>Financials!Z33/Financials!Z31</f>
        <v>0</v>
      </c>
      <c r="AC16" s="17">
        <f>Financials!AA33/Financials!AA31</f>
        <v>0</v>
      </c>
      <c r="AD16" s="17">
        <f>Financials!AB33/Financials!AB31</f>
        <v>0</v>
      </c>
      <c r="AE16" s="17">
        <f>Financials!AC33/Financials!AC31</f>
        <v>0</v>
      </c>
      <c r="AF16" s="17">
        <f>Financials!AD33/Financials!AD31</f>
        <v>0</v>
      </c>
      <c r="AG16" s="17">
        <f>Financials!AE33/Financials!AE31</f>
        <v>0</v>
      </c>
      <c r="AH16" s="17">
        <f>Financials!AF33/Financials!AF31</f>
        <v>0</v>
      </c>
      <c r="AI16" s="17">
        <f>Financials!AG33/Financials!AG31</f>
        <v>0</v>
      </c>
      <c r="AJ16" s="17">
        <f>Financials!AH33/Financials!AH31</f>
        <v>0</v>
      </c>
      <c r="AK16" s="17">
        <f>Financials!AI33/Financials!AI31</f>
        <v>0</v>
      </c>
      <c r="AL16" s="17">
        <f>Financials!AJ33/Financials!AJ31</f>
        <v>0</v>
      </c>
      <c r="AM16" s="17" t="e">
        <f>Financials!AK33/Financials!AK31</f>
        <v>#DIV/0!</v>
      </c>
      <c r="AN16" s="17">
        <f>Financials!AL33/Financials!AL31</f>
        <v>0</v>
      </c>
      <c r="AO16" s="17">
        <f>Financials!AM33/Financials!AM31</f>
        <v>0</v>
      </c>
      <c r="AP16" s="17">
        <f>Financials!AN33/Financials!AN31</f>
        <v>0</v>
      </c>
      <c r="AQ16" s="17">
        <f>Financials!AO33/Financials!AO31</f>
        <v>0</v>
      </c>
      <c r="AR16" s="17">
        <f>Financials!AP33/Financials!AP31</f>
        <v>0</v>
      </c>
      <c r="AS16" s="17">
        <f>Financials!AQ33/Financials!AQ31</f>
        <v>0</v>
      </c>
      <c r="AT16" s="17">
        <f>Financials!AR33/Financials!AR31</f>
        <v>0</v>
      </c>
      <c r="AU16" s="17">
        <f>Financials!AS33/Financials!AS31</f>
        <v>0</v>
      </c>
      <c r="AV16" s="17" t="e">
        <f>Financials!AT33/Financials!AT31</f>
        <v>#DIV/0!</v>
      </c>
      <c r="AW16" s="17">
        <f>Financials!AU33/Financials!AU31</f>
        <v>0</v>
      </c>
      <c r="AX16" s="17">
        <f>Financials!AV33/Financials!AV31</f>
        <v>0</v>
      </c>
      <c r="AY16" s="17">
        <f>Financials!AW33/Financials!AW31</f>
        <v>0</v>
      </c>
      <c r="AZ16" s="17" t="e">
        <f>Financials!AX33/Financials!AX31</f>
        <v>#DIV/0!</v>
      </c>
      <c r="BA16" s="17" t="e">
        <f>Financials!AY33/Financials!AY31</f>
        <v>#DIV/0!</v>
      </c>
      <c r="BB16" s="17">
        <f>Financials!AZ33/Financials!AZ31</f>
        <v>0</v>
      </c>
      <c r="BC16" s="17">
        <f>Financials!BA33/Financials!BA31</f>
        <v>0</v>
      </c>
      <c r="BD16" s="17">
        <f>Financials!BB33/Financials!BB31</f>
        <v>0</v>
      </c>
      <c r="BE16" s="17">
        <f>Financials!BC33/Financials!BC31</f>
        <v>0</v>
      </c>
      <c r="BF16" s="17">
        <f>Financials!BD33/Financials!BD31</f>
        <v>0</v>
      </c>
      <c r="BG16" s="17">
        <f>Financials!BE33/Financials!BE31</f>
        <v>0</v>
      </c>
      <c r="BH16" s="17">
        <f>Financials!BF33/Financials!BF31</f>
        <v>0</v>
      </c>
      <c r="BI16" s="17" t="e">
        <f>Financials!BG33/Financials!BG31</f>
        <v>#DIV/0!</v>
      </c>
      <c r="BJ16" s="17">
        <f>Financials!BH33/Financials!BH31</f>
        <v>0</v>
      </c>
      <c r="BK16" s="17">
        <f>Financials!BI33/Financials!BI31</f>
        <v>0</v>
      </c>
      <c r="BL16" s="17">
        <f>Financials!BJ33/Financials!BJ31</f>
        <v>0</v>
      </c>
      <c r="BM16" s="17">
        <f>Financials!BK33/Financials!BK31</f>
        <v>0</v>
      </c>
      <c r="BN16" s="17">
        <f>Financials!BL33/Financials!BL31</f>
        <v>0</v>
      </c>
      <c r="BO16" s="17">
        <f>SUM('[5]Portfolio Analysis'!$D$12+'[5]Portfolio Analysis'!$D$13+'[5]Portfolio Analysis'!$D$14)/'[5]Portfolio Analysis'!$D$23</f>
        <v>4.7465453686319693E-2</v>
      </c>
      <c r="BP16" s="17">
        <f>Financials!BN33/Financials!BN31</f>
        <v>0</v>
      </c>
      <c r="BQ16" s="17">
        <f>Financials!BO33/Financials!BO31</f>
        <v>0</v>
      </c>
      <c r="BR16" s="17">
        <f>Financials!BP33/Financials!BP31</f>
        <v>0</v>
      </c>
      <c r="BS16" s="17">
        <f>Financials!BQ33/Financials!BQ31</f>
        <v>0</v>
      </c>
      <c r="BT16" s="17">
        <f>Financials!BR33/Financials!BR31</f>
        <v>0</v>
      </c>
      <c r="BU16" s="17">
        <f>Financials!BS33/Financials!BS31</f>
        <v>0</v>
      </c>
      <c r="BV16" s="17">
        <f>Financials!BT33/Financials!BT31</f>
        <v>0</v>
      </c>
      <c r="BW16" s="17">
        <f>Financials!BU33/Financials!BU31</f>
        <v>0</v>
      </c>
      <c r="BX16" s="17">
        <f>Financials!BV33/Financials!BV31</f>
        <v>0</v>
      </c>
      <c r="BY16" s="17">
        <f>Financials!BW33/Financials!BW31</f>
        <v>0</v>
      </c>
      <c r="BZ16" s="17">
        <f>Financials!BX33/Financials!BX31</f>
        <v>0</v>
      </c>
      <c r="CA16" s="17">
        <f>Financials!BY33/Financials!BY31</f>
        <v>0</v>
      </c>
      <c r="CB16" s="17">
        <f>Financials!BZ33/Financials!BZ31</f>
        <v>0</v>
      </c>
      <c r="CC16" s="17">
        <f>Financials!CA33/Financials!CA31</f>
        <v>0</v>
      </c>
      <c r="CD16" s="17">
        <f>Financials!CB33/Financials!CB31</f>
        <v>0</v>
      </c>
      <c r="CE16" s="17">
        <f>Financials!CC33/Financials!CC31</f>
        <v>0</v>
      </c>
      <c r="CF16" s="17">
        <f>Financials!CD33/Financials!CD31</f>
        <v>0</v>
      </c>
      <c r="CG16" s="17">
        <f>Financials!CE33/Financials!CE31</f>
        <v>0</v>
      </c>
      <c r="CH16" s="17">
        <f>Financials!CF33/Financials!CF31</f>
        <v>0</v>
      </c>
      <c r="CI16" s="17">
        <f>Financials!CG33/Financials!CG31</f>
        <v>0</v>
      </c>
      <c r="CJ16" s="17">
        <f>Financials!CH33/Financials!CH31</f>
        <v>0</v>
      </c>
      <c r="CK16" s="17">
        <f>Financials!CI33/Financials!CI31</f>
        <v>0</v>
      </c>
      <c r="CL16" s="17">
        <f>Financials!CJ33/Financials!CJ31</f>
        <v>0</v>
      </c>
      <c r="CM16" s="17">
        <f>Financials!CK33/Financials!CK31</f>
        <v>0</v>
      </c>
      <c r="CN16" s="17">
        <f>Financials!CL33/Financials!CL31</f>
        <v>0</v>
      </c>
      <c r="CO16" s="17" t="e">
        <f>Financials!CM33/Financials!CM31</f>
        <v>#REF!</v>
      </c>
      <c r="CP16" s="17">
        <f>Financials!CN33/Financials!CN31</f>
        <v>0</v>
      </c>
      <c r="CQ16" s="17">
        <f>Financials!CO33/Financials!CO31</f>
        <v>0</v>
      </c>
      <c r="CR16" s="17">
        <f>Financials!CP33/Financials!CP31</f>
        <v>0</v>
      </c>
      <c r="CS16" s="17">
        <f>Financials!CQ33/Financials!CQ31</f>
        <v>0</v>
      </c>
      <c r="CT16" s="17">
        <f>Financials!CR33/Financials!CR31</f>
        <v>0</v>
      </c>
      <c r="CU16" s="17">
        <f>Financials!CS33/Financials!CS31</f>
        <v>0</v>
      </c>
      <c r="CV16" s="17">
        <f>Financials!CT33/Financials!CT31</f>
        <v>0</v>
      </c>
      <c r="CW16" s="17">
        <f>Financials!CU33/Financials!CU31</f>
        <v>0</v>
      </c>
      <c r="CX16" s="17">
        <f>Financials!CV33/Financials!CV31</f>
        <v>0</v>
      </c>
      <c r="CY16" s="17">
        <f>Financials!CW33/Financials!CW31</f>
        <v>0</v>
      </c>
      <c r="CZ16" s="17">
        <f>Financials!CX33/Financials!CX31</f>
        <v>0</v>
      </c>
      <c r="DA16" s="17">
        <f>Financials!CY33/Financials!CY31</f>
        <v>0</v>
      </c>
      <c r="DB16" s="17">
        <f>Financials!CZ33/Financials!CZ31</f>
        <v>0</v>
      </c>
      <c r="DC16" s="17">
        <f>Financials!DA33/Financials!DA31</f>
        <v>0</v>
      </c>
      <c r="DD16" s="17">
        <f>Financials!DB33/Financials!DB31</f>
        <v>0</v>
      </c>
      <c r="DE16" s="17">
        <f>Financials!DC33/Financials!DC31</f>
        <v>0</v>
      </c>
      <c r="DF16" s="17">
        <f>Financials!DD33/Financials!DD31</f>
        <v>0</v>
      </c>
      <c r="DG16" s="17">
        <f>Financials!DE33/Financials!DE31</f>
        <v>0</v>
      </c>
      <c r="DH16" s="17">
        <f>Financials!DF33/Financials!DF31</f>
        <v>0</v>
      </c>
      <c r="DI16" s="17">
        <f>Financials!DG33/Financials!DG31</f>
        <v>0</v>
      </c>
      <c r="DJ16" s="17">
        <f>Financials!DH33/Financials!DH31</f>
        <v>0</v>
      </c>
      <c r="DK16" s="17">
        <f>Financials!DI33/Financials!DI31</f>
        <v>0</v>
      </c>
      <c r="DL16" s="17">
        <f>Financials!DJ33/Financials!DJ31</f>
        <v>0</v>
      </c>
      <c r="DM16" s="17">
        <f>Financials!DK33/Financials!DK31</f>
        <v>0</v>
      </c>
      <c r="DN16" s="17">
        <f>Financials!DL33/Financials!DL31</f>
        <v>0</v>
      </c>
      <c r="DO16" s="17">
        <f>Financials!DM33/Financials!DM31</f>
        <v>0</v>
      </c>
      <c r="DP16" s="17">
        <f>Financials!DN33/Financials!DN31</f>
        <v>0</v>
      </c>
      <c r="DQ16" s="17">
        <f>Financials!DO33/Financials!DO31</f>
        <v>0</v>
      </c>
      <c r="DR16" s="17">
        <f>Financials!DP33/Financials!DP31</f>
        <v>0</v>
      </c>
      <c r="DS16" s="17">
        <f>Financials!DQ33/Financials!DQ31</f>
        <v>0</v>
      </c>
      <c r="DT16" s="17">
        <f>Financials!DR33/Financials!DR31</f>
        <v>0</v>
      </c>
      <c r="DU16" s="17">
        <f>Financials!DS33/Financials!DS31</f>
        <v>0</v>
      </c>
      <c r="DV16" s="17">
        <f>Financials!DT33/Financials!DT31</f>
        <v>0</v>
      </c>
      <c r="DW16" s="17">
        <f>Financials!DU33/Financials!DU31</f>
        <v>0</v>
      </c>
      <c r="DX16" s="17" t="e">
        <f>Financials!DV33/Financials!DV31</f>
        <v>#DIV/0!</v>
      </c>
      <c r="DY16" s="17">
        <f>Financials!DW33/Financials!DW31</f>
        <v>9.08312622265008E-2</v>
      </c>
    </row>
    <row r="17" spans="2:129" s="5" customFormat="1" x14ac:dyDescent="0.25">
      <c r="B17" s="23"/>
      <c r="C17" s="13"/>
      <c r="D17" s="14"/>
      <c r="E17" s="15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</row>
    <row r="18" spans="2:129" s="5" customFormat="1" x14ac:dyDescent="0.25">
      <c r="B18" s="23">
        <v>2.2000000000000002</v>
      </c>
      <c r="C18" s="9" t="s">
        <v>221</v>
      </c>
      <c r="D18" s="14"/>
      <c r="E18" s="15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</row>
    <row r="19" spans="2:129" s="5" customFormat="1" x14ac:dyDescent="0.25">
      <c r="B19" s="23" t="s">
        <v>222</v>
      </c>
      <c r="C19" s="13" t="s">
        <v>223</v>
      </c>
      <c r="D19" s="14" t="s">
        <v>217</v>
      </c>
      <c r="E19" s="15">
        <v>48.4</v>
      </c>
      <c r="F19" s="18">
        <f>Financials!C25/Financials!C6</f>
        <v>3.0491175546691424E-2</v>
      </c>
      <c r="G19" s="18">
        <f>Financials!D25/Financials!D6</f>
        <v>2.5249949162309715E-2</v>
      </c>
      <c r="H19" s="18">
        <f>Financials!E25/Financials!E6</f>
        <v>2.5165014023939797E-2</v>
      </c>
      <c r="I19" s="18">
        <f>Financials!F25/Financials!F6</f>
        <v>1.2815575519179691E-2</v>
      </c>
      <c r="J19" s="18">
        <f>Financials!G25/Financials!G6</f>
        <v>7.7397113635394822E-3</v>
      </c>
      <c r="K19" s="18">
        <f>Financials!H25/Financials!H6</f>
        <v>7.3192283633667907E-2</v>
      </c>
      <c r="L19" s="18">
        <f>Financials!I25/Financials!I6</f>
        <v>5.2047538211516964E-3</v>
      </c>
      <c r="M19" s="18">
        <f>Financials!J25/Financials!J6</f>
        <v>7.144526552191767E-2</v>
      </c>
      <c r="N19" s="18">
        <f>Financials!K25/Financials!K6</f>
        <v>7.3865298437438665E-2</v>
      </c>
      <c r="O19" s="18">
        <f>Financials!L25/Financials!L6</f>
        <v>7.041406026822343E-2</v>
      </c>
      <c r="P19" s="18">
        <f>Financials!M25/Financials!M6</f>
        <v>6.8717724240372174E-2</v>
      </c>
      <c r="Q19" s="18">
        <f>Financials!N25/Financials!N6</f>
        <v>6.7925887320398518E-2</v>
      </c>
      <c r="R19" s="18">
        <f>Financials!O25/Financials!O6</f>
        <v>6.5690780383317257E-2</v>
      </c>
      <c r="S19" s="18">
        <f>Financials!P25/Financials!P6</f>
        <v>6.4817234887042677E-2</v>
      </c>
      <c r="T19" s="18">
        <f>Financials!Q25/Financials!Q6</f>
        <v>6.4936147443223943E-2</v>
      </c>
      <c r="U19" s="18">
        <f>Financials!R25/Financials!R6</f>
        <v>6.4112342311868326E-2</v>
      </c>
      <c r="V19" s="18">
        <f>Financials!S25/Financials!S6</f>
        <v>6.1790399956772678E-2</v>
      </c>
      <c r="W19" s="18">
        <f>Financials!T25/Financials!T6</f>
        <v>6.2289238970218645E-2</v>
      </c>
      <c r="X19" s="18">
        <f>Financials!U25/Financials!U6</f>
        <v>9.818980732066733E-2</v>
      </c>
      <c r="Y19" s="18">
        <f>Financials!W25/Financials!W6</f>
        <v>9.5913304767850122E-2</v>
      </c>
      <c r="Z19" s="18">
        <f>Financials!X25/Financials!X6</f>
        <v>9.7921191746109998E-2</v>
      </c>
      <c r="AA19" s="18">
        <f>Financials!Y25/Financials!Y6</f>
        <v>9.1922225027817189E-2</v>
      </c>
      <c r="AB19" s="18">
        <f>Financials!Z25/Financials!Z6</f>
        <v>9.0608943658581784E-2</v>
      </c>
      <c r="AC19" s="18">
        <f>Financials!AA25/Financials!AA6</f>
        <v>0.11482856018400171</v>
      </c>
      <c r="AD19" s="18">
        <f>Financials!AB25/Financials!AB6</f>
        <v>0.111720815046936</v>
      </c>
      <c r="AE19" s="18">
        <f>Financials!AC25/Financials!AC6</f>
        <v>0.13895110120176557</v>
      </c>
      <c r="AF19" s="18">
        <f>Financials!AD25/Financials!AD6</f>
        <v>0.25137120909675315</v>
      </c>
      <c r="AG19" s="18">
        <f>Financials!AE25/Financials!AE6</f>
        <v>0.24248846338489516</v>
      </c>
      <c r="AH19" s="18">
        <f>Financials!AF25/Financials!AF6</f>
        <v>0.29665139840314075</v>
      </c>
      <c r="AI19" s="18">
        <f>Financials!AG25/Financials!AG6</f>
        <v>0.29349633289008842</v>
      </c>
      <c r="AJ19" s="18">
        <f>Financials!AH25/Financials!AH6</f>
        <v>0.2693045994623734</v>
      </c>
      <c r="AK19" s="18">
        <f>Financials!AI25/Financials!AI6</f>
        <v>0.24040618285839518</v>
      </c>
      <c r="AL19" s="18">
        <f>Financials!AJ25/Financials!AJ6</f>
        <v>0.24579060059250546</v>
      </c>
      <c r="AM19" s="18" t="e">
        <f>Financials!AK25/Financials!AK6</f>
        <v>#DIV/0!</v>
      </c>
      <c r="AN19" s="18">
        <f>Financials!AL25/Financials!AL6</f>
        <v>0.26268787980594033</v>
      </c>
      <c r="AO19" s="18">
        <f>Financials!AM25/Financials!AM6</f>
        <v>0.26348328582376407</v>
      </c>
      <c r="AP19" s="18">
        <f>Financials!AN25/Financials!AN6</f>
        <v>5.6134478706390718E-2</v>
      </c>
      <c r="AQ19" s="18">
        <f>Financials!AO25/Financials!AO6</f>
        <v>0.11482856018400171</v>
      </c>
      <c r="AR19" s="18">
        <f>Financials!AP25/Financials!AP6</f>
        <v>5.612606157325304E-2</v>
      </c>
      <c r="AS19" s="18">
        <f>Financials!AQ25/Financials!AQ6</f>
        <v>5.619239573692985E-2</v>
      </c>
      <c r="AT19" s="18">
        <f>Financials!AR25/Financials!AR6</f>
        <v>7.8115894578501946E-2</v>
      </c>
      <c r="AU19" s="18">
        <f>Financials!AS25/Financials!AS6</f>
        <v>8.1759881935791839E-2</v>
      </c>
      <c r="AV19" s="18" t="e">
        <f>Financials!AT25/Financials!AT6</f>
        <v>#DIV/0!</v>
      </c>
      <c r="AW19" s="18">
        <f>Financials!AU25/Financials!AU6</f>
        <v>8.46060307914627E-2</v>
      </c>
      <c r="AX19" s="18">
        <f>Financials!AV25/Financials!AV6</f>
        <v>0.241211037071799</v>
      </c>
      <c r="AY19" s="18">
        <f>Financials!AW25/Financials!AW6</f>
        <v>4.7437236897193355E-3</v>
      </c>
      <c r="AZ19" s="18" t="e">
        <f>Financials!AX25/Financials!AX6</f>
        <v>#DIV/0!</v>
      </c>
      <c r="BA19" s="18" t="e">
        <f>Financials!AY25/Financials!AY6</f>
        <v>#DIV/0!</v>
      </c>
      <c r="BB19" s="18">
        <f>Financials!AZ25/Financials!AZ6</f>
        <v>-0.19848673328193739</v>
      </c>
      <c r="BC19" s="18">
        <f>Financials!BA25/Financials!BA6</f>
        <v>-0.24271017983795529</v>
      </c>
      <c r="BD19" s="18">
        <f>Financials!BB25/Financials!BB6</f>
        <v>0.23995533796188398</v>
      </c>
      <c r="BE19" s="18">
        <f>Financials!BC25/Financials!BC6</f>
        <v>0.26007225122917915</v>
      </c>
      <c r="BF19" s="18">
        <f>Financials!BD25/Financials!BD6</f>
        <v>0.25401608843271212</v>
      </c>
      <c r="BG19" s="18">
        <f>Financials!BE25/Financials!BE6</f>
        <v>0.24685533077182598</v>
      </c>
      <c r="BH19" s="18">
        <f>Financials!BF25/Financials!BF6</f>
        <v>0.24967779474512874</v>
      </c>
      <c r="BI19" s="18" t="e">
        <f>Financials!BG25/Financials!BG6</f>
        <v>#DIV/0!</v>
      </c>
      <c r="BJ19" s="18">
        <f>Financials!BH25/Financials!BH6</f>
        <v>0.25241672584308317</v>
      </c>
      <c r="BK19" s="18">
        <f>Financials!BI25/Financials!BI6</f>
        <v>0.24805109232063785</v>
      </c>
      <c r="BL19" s="18">
        <f>Financials!BJ25/Financials!BJ6</f>
        <v>4.7836335584750603E-3</v>
      </c>
      <c r="BM19" s="18">
        <f>Financials!BK25/Financials!BK6</f>
        <v>0.24088292119431329</v>
      </c>
      <c r="BN19" s="18">
        <f>Financials!BL25/Financials!BL6</f>
        <v>0.20518235601131771</v>
      </c>
      <c r="BO19" s="18">
        <f>Financials!BM25/Financials!BM6</f>
        <v>0.20026406957745932</v>
      </c>
      <c r="BP19" s="18">
        <f>Financials!BN25/Financials!BN6</f>
        <v>0.18004715352984449</v>
      </c>
      <c r="BQ19" s="18">
        <f>Financials!BO25/Financials!BO6</f>
        <v>0.18959613592786881</v>
      </c>
      <c r="BR19" s="18">
        <f>Financials!BP25/Financials!BP6</f>
        <v>0.15676329438023448</v>
      </c>
      <c r="BS19" s="18">
        <f>Financials!BQ25/Financials!BQ6</f>
        <v>0.15631472683383069</v>
      </c>
      <c r="BT19" s="18">
        <f>Financials!BR25/Financials!BR6</f>
        <v>0.21129327350941662</v>
      </c>
      <c r="BU19" s="18">
        <f>Financials!BS25/Financials!BS6</f>
        <v>0.25340900778591208</v>
      </c>
      <c r="BV19" s="18">
        <f>Financials!BT25/Financials!BT6</f>
        <v>0.26076549298809132</v>
      </c>
      <c r="BW19" s="18">
        <f>Financials!BU25/Financials!BU6</f>
        <v>0.28794825636166621</v>
      </c>
      <c r="BX19" s="18">
        <f>Financials!BV25/Financials!BV6</f>
        <v>0.27834491844051368</v>
      </c>
      <c r="BY19" s="18">
        <f>Financials!BW25/Financials!BW6</f>
        <v>4.1969799949088081E-3</v>
      </c>
      <c r="BZ19" s="18">
        <f>Financials!BX25/Financials!BX6</f>
        <v>0.25526603662429675</v>
      </c>
      <c r="CA19" s="18">
        <f>Financials!BY25/Financials!BY6</f>
        <v>0.3002033177083861</v>
      </c>
      <c r="CB19" s="18">
        <f>Financials!BZ25/Financials!BZ6</f>
        <v>0.28907313669144968</v>
      </c>
      <c r="CC19" s="18">
        <f>Financials!CA25/Financials!CA6</f>
        <v>0.24951208360431207</v>
      </c>
      <c r="CD19" s="18">
        <f>Financials!CB25/Financials!CB6</f>
        <v>0.21376160469960021</v>
      </c>
      <c r="CE19" s="18">
        <f>Financials!CC25/Financials!CC6</f>
        <v>0.20211439756122085</v>
      </c>
      <c r="CF19" s="18">
        <f>Financials!CD25/Financials!CD6</f>
        <v>0.20784715810236432</v>
      </c>
      <c r="CG19" s="18">
        <f>Financials!CE25/Financials!CE6</f>
        <v>0.20484592918284242</v>
      </c>
      <c r="CH19" s="18">
        <f>Financials!CF25/Financials!CF6</f>
        <v>0.17454729362055463</v>
      </c>
      <c r="CI19" s="18">
        <f>Financials!CG25/Financials!CG6</f>
        <v>0.15592843549182062</v>
      </c>
      <c r="CJ19" s="18">
        <f>Financials!CH25/Financials!CH6</f>
        <v>0.18259085503791325</v>
      </c>
      <c r="CK19" s="18">
        <f>Financials!CI25/Financials!CI6</f>
        <v>5.3527363865537532E-2</v>
      </c>
      <c r="CL19" s="18">
        <f>Financials!CJ25/Financials!CJ6</f>
        <v>3.3086059590349574E-3</v>
      </c>
      <c r="CM19" s="18">
        <f>Financials!CK25/Financials!CK6</f>
        <v>0.18129027210482598</v>
      </c>
      <c r="CN19" s="18">
        <f>Financials!CL25/Financials!CL6</f>
        <v>7.2738174804477154E-2</v>
      </c>
      <c r="CO19" s="18" t="e">
        <f>Financials!CM25/Financials!CM6</f>
        <v>#REF!</v>
      </c>
      <c r="CP19" s="18">
        <f>Financials!CN25/Financials!CN6</f>
        <v>0.16831830925351443</v>
      </c>
      <c r="CQ19" s="18">
        <f>Financials!CO25/Financials!CO6</f>
        <v>0.12188977701551462</v>
      </c>
      <c r="CR19" s="18">
        <f>Financials!CP25/Financials!CP6</f>
        <v>0.19205963498913919</v>
      </c>
      <c r="CS19" s="18">
        <f>Financials!CQ25/Financials!CQ6</f>
        <v>0.18342288479670674</v>
      </c>
      <c r="CT19" s="18">
        <f>Financials!CR25/Financials!CR6</f>
        <v>0.15603532486020222</v>
      </c>
      <c r="CU19" s="18">
        <f>Financials!CS25/Financials!CS6</f>
        <v>0.17944398630799896</v>
      </c>
      <c r="CV19" s="18">
        <f>Financials!CT25/Financials!CT6</f>
        <v>0.17944398630799896</v>
      </c>
      <c r="CW19" s="18">
        <f>Financials!CU25/Financials!CU6</f>
        <v>0.18654488991159152</v>
      </c>
      <c r="CX19" s="18">
        <f>Financials!CV25/Financials!CV6</f>
        <v>0.11478792628928369</v>
      </c>
      <c r="CY19" s="18">
        <f>Financials!CW25/Financials!CW6</f>
        <v>4.9614265365669298E-2</v>
      </c>
      <c r="CZ19" s="18">
        <f>Financials!CX25/Financials!CX6</f>
        <v>8.7023187526826196E-2</v>
      </c>
      <c r="DA19" s="18">
        <f>Financials!CY25/Financials!CY6</f>
        <v>4.477175873214425E-2</v>
      </c>
      <c r="DB19" s="18">
        <f>Financials!CZ25/Financials!CZ6</f>
        <v>4.7874418037486766E-2</v>
      </c>
      <c r="DC19" s="18">
        <f>Financials!DA25/Financials!DA6</f>
        <v>4.7626182882448444E-2</v>
      </c>
      <c r="DD19" s="18">
        <f>Financials!DB25/Financials!DB6</f>
        <v>7.5503226949863375E-2</v>
      </c>
      <c r="DE19" s="18">
        <f>Financials!DC25/Financials!DC6</f>
        <v>7.4181062899163527E-2</v>
      </c>
      <c r="DF19" s="18">
        <f>Financials!DD25/Financials!DD6</f>
        <v>8.1748759067603691E-2</v>
      </c>
      <c r="DG19" s="18">
        <f>Financials!DE25/Financials!DE6</f>
        <v>8.3619437904572783E-2</v>
      </c>
      <c r="DH19" s="18">
        <f>Financials!DF25/Financials!DF6</f>
        <v>8.1015304778485384E-2</v>
      </c>
      <c r="DI19" s="18">
        <f>Financials!DG25/Financials!DG6</f>
        <v>8.0395681984084921E-2</v>
      </c>
      <c r="DJ19" s="18">
        <f>Financials!DH25/Financials!DH6</f>
        <v>6.1903494489740231E-2</v>
      </c>
      <c r="DK19" s="18">
        <f>Financials!DI25/Financials!DI6</f>
        <v>4.2107243065839794E-2</v>
      </c>
      <c r="DL19" s="18">
        <f>Financials!DJ25/Financials!DJ6</f>
        <v>4.2778560310059104E-2</v>
      </c>
      <c r="DM19" s="18">
        <f>Financials!DK25/Financials!DK6</f>
        <v>6.4954849809748222E-2</v>
      </c>
      <c r="DN19" s="18">
        <f>Financials!DL25/Financials!DL6</f>
        <v>6.5134648340335652E-2</v>
      </c>
      <c r="DO19" s="18">
        <f>Financials!DM25/Financials!DM6</f>
        <v>6.8471538837756333E-3</v>
      </c>
      <c r="DP19" s="18">
        <f>Financials!DN25/Financials!DN6</f>
        <v>2.5400800719713516E-2</v>
      </c>
      <c r="DQ19" s="18">
        <f>Financials!DO25/Financials!DO6</f>
        <v>2.5578823967676096E-2</v>
      </c>
      <c r="DR19" s="18">
        <f>Financials!DP25/Financials!DP6</f>
        <v>2.71140624970964E-2</v>
      </c>
      <c r="DS19" s="18">
        <f>Financials!DQ25/Financials!DQ6</f>
        <v>2.6838806825346589E-2</v>
      </c>
      <c r="DT19" s="18">
        <f>Financials!DR25/Financials!DR6</f>
        <v>2.6862160408583653E-2</v>
      </c>
      <c r="DU19" s="18">
        <f>Financials!DS25/Financials!DS6</f>
        <v>0.10921116835118856</v>
      </c>
      <c r="DV19" s="18">
        <f>Financials!DT25/Financials!DT6</f>
        <v>0.10785886251100903</v>
      </c>
      <c r="DW19" s="18">
        <f>Financials!DU25/Financials!DU6</f>
        <v>0.10622071209411346</v>
      </c>
      <c r="DX19" s="18" t="e">
        <f>Financials!DV25/Financials!DV6</f>
        <v>#DIV/0!</v>
      </c>
      <c r="DY19" s="18">
        <f>Financials!DW25/Financials!DW6</f>
        <v>6.2969668466125714E-2</v>
      </c>
    </row>
    <row r="20" spans="2:129" s="5" customFormat="1" x14ac:dyDescent="0.25">
      <c r="B20" s="23" t="s">
        <v>224</v>
      </c>
      <c r="C20" s="13" t="s">
        <v>225</v>
      </c>
      <c r="D20" s="14" t="s">
        <v>226</v>
      </c>
      <c r="E20" s="15">
        <v>48.4</v>
      </c>
      <c r="F20" s="18">
        <f>Financials!C25/Financials!C13</f>
        <v>0.15800446050002159</v>
      </c>
      <c r="G20" s="18">
        <f>Financials!D25/Financials!D13</f>
        <v>0.20288765452371615</v>
      </c>
      <c r="H20" s="18">
        <f>Financials!E25/Financials!E13</f>
        <v>2.4781883934194459E-2</v>
      </c>
      <c r="I20" s="18">
        <f>Financials!F25/Financials!F13</f>
        <v>1.9171420800546127E-2</v>
      </c>
      <c r="J20" s="18">
        <f>Financials!G25/Financials!G13</f>
        <v>1.4722872185795786E-2</v>
      </c>
      <c r="K20" s="18">
        <f>Financials!H25/Financials!H13</f>
        <v>0.13335396322741952</v>
      </c>
      <c r="L20" s="18">
        <f>Financials!I25/Financials!I13</f>
        <v>1.1542970246152119E-2</v>
      </c>
      <c r="M20" s="18">
        <f>Financials!J25/Financials!J13</f>
        <v>0.13186668222129977</v>
      </c>
      <c r="N20" s="18">
        <f>Financials!K25/Financials!K13</f>
        <v>0.13618536699043624</v>
      </c>
      <c r="O20" s="18">
        <f>Financials!L25/Financials!L13</f>
        <v>0.14914173795428112</v>
      </c>
      <c r="P20" s="18">
        <f>Financials!M25/Financials!M13</f>
        <v>0.146096188738774</v>
      </c>
      <c r="Q20" s="18">
        <f>Financials!N25/Financials!N13</f>
        <v>0.12482338210213775</v>
      </c>
      <c r="R20" s="18">
        <f>Financials!O25/Financials!O13</f>
        <v>0.12216926050176005</v>
      </c>
      <c r="S20" s="18">
        <f>Financials!P25/Financials!P13</f>
        <v>0.12160397471942114</v>
      </c>
      <c r="T20" s="18">
        <f>Financials!Q25/Financials!Q13</f>
        <v>0.12506129298718285</v>
      </c>
      <c r="U20" s="18">
        <f>Financials!R25/Financials!R13</f>
        <v>0.12091675099524377</v>
      </c>
      <c r="V20" s="18">
        <f>Financials!S25/Financials!S13</f>
        <v>0.1184135073440335</v>
      </c>
      <c r="W20" s="18">
        <f>Financials!T25/Financials!T13</f>
        <v>0.11501296607469873</v>
      </c>
      <c r="X20" s="18">
        <f>Financials!U25/Financials!U13</f>
        <v>0.21144655405885812</v>
      </c>
      <c r="Y20" s="18">
        <f>Financials!W25/Financials!W13</f>
        <v>0.18977861187952691</v>
      </c>
      <c r="Z20" s="18">
        <f>Financials!X25/Financials!X13</f>
        <v>0.18084012954277229</v>
      </c>
      <c r="AA20" s="18">
        <f>Financials!Y25/Financials!Y13</f>
        <v>0.19959823839381088</v>
      </c>
      <c r="AB20" s="18">
        <f>Financials!Z25/Financials!Z13</f>
        <v>0.18503225879848711</v>
      </c>
      <c r="AC20" s="18">
        <f>Financials!AA25/Financials!AA13</f>
        <v>0.23945718053033827</v>
      </c>
      <c r="AD20" s="18">
        <f>Financials!AB25/Financials!AB13</f>
        <v>0.22959730111708124</v>
      </c>
      <c r="AE20" s="18">
        <f>Financials!AC25/Financials!AC13</f>
        <v>0.30494887321284769</v>
      </c>
      <c r="AF20" s="18">
        <f>Financials!AD25/Financials!AD13</f>
        <v>0.54222441556970169</v>
      </c>
      <c r="AG20" s="18">
        <f>Financials!AE25/Financials!AE13</f>
        <v>0.55064865125583795</v>
      </c>
      <c r="AH20" s="18">
        <f>Financials!AF25/Financials!AF13</f>
        <v>0.6814814492214043</v>
      </c>
      <c r="AI20" s="18">
        <f>Financials!AG25/Financials!AG13</f>
        <v>0.6435035889320293</v>
      </c>
      <c r="AJ20" s="18">
        <f>Financials!AH25/Financials!AH13</f>
        <v>0.58688450801153969</v>
      </c>
      <c r="AK20" s="18">
        <f>Financials!AI25/Financials!AI13</f>
        <v>0.82007864945301434</v>
      </c>
      <c r="AL20" s="18">
        <f>Financials!AJ25/Financials!AJ13</f>
        <v>0.82007864945301434</v>
      </c>
      <c r="AM20" s="18" t="e">
        <f>Financials!AK25/Financials!AK13</f>
        <v>#DIV/0!</v>
      </c>
      <c r="AN20" s="18">
        <f>Financials!AL25/Financials!AL13</f>
        <v>0.55823995540193294</v>
      </c>
      <c r="AO20" s="18">
        <f>Financials!AM25/Financials!AM13</f>
        <v>0.55061787370770909</v>
      </c>
      <c r="AP20" s="18">
        <f>Financials!AN25/Financials!AN13</f>
        <v>0.10666964408998535</v>
      </c>
      <c r="AQ20" s="18">
        <f>Financials!AO25/Financials!AO13</f>
        <v>0.23945718053033827</v>
      </c>
      <c r="AR20" s="18">
        <f>Financials!AP25/Financials!AP13</f>
        <v>8.5328884451429596E-2</v>
      </c>
      <c r="AS20" s="18">
        <f>Financials!AQ25/Financials!AQ13</f>
        <v>7.9163855892321791E-2</v>
      </c>
      <c r="AT20" s="18">
        <f>Financials!AR25/Financials!AR13</f>
        <v>0.10463466264205995</v>
      </c>
      <c r="AU20" s="18">
        <f>Financials!AS25/Financials!AS13</f>
        <v>0.10321260251162413</v>
      </c>
      <c r="AV20" s="18" t="e">
        <f>Financials!AT25/Financials!AT13</f>
        <v>#DIV/0!</v>
      </c>
      <c r="AW20" s="18">
        <f>Financials!AU25/Financials!AU13</f>
        <v>9.7510058216675036E-2</v>
      </c>
      <c r="AX20" s="18">
        <f>Financials!AV25/Financials!AV13</f>
        <v>-1.4020070396900355</v>
      </c>
      <c r="AY20" s="18">
        <f>Financials!AW25/Financials!AW13</f>
        <v>1.7102610263282046E-2</v>
      </c>
      <c r="AZ20" s="18" t="e">
        <f>Financials!AX25/Financials!AX13</f>
        <v>#DIV/0!</v>
      </c>
      <c r="BA20" s="18" t="e">
        <f>Financials!AY25/Financials!AY13</f>
        <v>#DIV/0!</v>
      </c>
      <c r="BB20" s="18">
        <f>Financials!AZ25/Financials!AZ13</f>
        <v>-0.75162448253417735</v>
      </c>
      <c r="BC20" s="18">
        <f>Financials!BA25/Financials!BA13</f>
        <v>-0.92452012346973522</v>
      </c>
      <c r="BD20" s="18">
        <f>Financials!BB25/Financials!BB13</f>
        <v>0.85093793561195652</v>
      </c>
      <c r="BE20" s="18">
        <f>Financials!BC25/Financials!BC13</f>
        <v>0.8326915804022178</v>
      </c>
      <c r="BF20" s="18">
        <f>Financials!BD25/Financials!BD13</f>
        <v>0.93251185665300729</v>
      </c>
      <c r="BG20" s="18">
        <f>Financials!BE25/Financials!BE13</f>
        <v>0.84184229511331632</v>
      </c>
      <c r="BH20" s="18">
        <f>Financials!BF25/Financials!BF13</f>
        <v>0.79938696718104185</v>
      </c>
      <c r="BI20" s="18" t="e">
        <f>Financials!BG25/Financials!BG13</f>
        <v>#DIV/0!</v>
      </c>
      <c r="BJ20" s="18">
        <f>Financials!BH25/Financials!BH13</f>
        <v>0.74430899130946837</v>
      </c>
      <c r="BK20" s="18">
        <f>Financials!BI25/Financials!BI13</f>
        <v>0.67531781749796826</v>
      </c>
      <c r="BL20" s="18">
        <f>Financials!BJ25/Financials!BJ13</f>
        <v>1.5437525837165416E-2</v>
      </c>
      <c r="BM20" s="18">
        <f>Financials!BK25/Financials!BK13</f>
        <v>0.8157396639098714</v>
      </c>
      <c r="BN20" s="18">
        <f>Financials!BL25/Financials!BL13</f>
        <v>0.71126236442024038</v>
      </c>
      <c r="BO20" s="18">
        <f>Financials!BM25/Financials!BM13</f>
        <v>0.68040423682116624</v>
      </c>
      <c r="BP20" s="18">
        <f>Financials!BN25/Financials!BN13</f>
        <v>0.60324081182895783</v>
      </c>
      <c r="BQ20" s="18">
        <f>Financials!BO25/Financials!BO13</f>
        <v>0.58607690643530996</v>
      </c>
      <c r="BR20" s="18">
        <f>Financials!BP25/Financials!BP13</f>
        <v>0.50284437280654515</v>
      </c>
      <c r="BS20" s="18">
        <f>Financials!BQ25/Financials!BQ13</f>
        <v>0.4951372235590224</v>
      </c>
      <c r="BT20" s="18">
        <f>Financials!BR25/Financials!BR13</f>
        <v>0.68138538776106894</v>
      </c>
      <c r="BU20" s="18">
        <f>Financials!BS25/Financials!BS13</f>
        <v>0.80714693735361343</v>
      </c>
      <c r="BV20" s="18">
        <f>Financials!BT25/Financials!BT13</f>
        <v>0.80863324025023064</v>
      </c>
      <c r="BW20" s="18">
        <f>Financials!BU25/Financials!BU13</f>
        <v>0.87708027129730559</v>
      </c>
      <c r="BX20" s="18">
        <f>Financials!BV25/Financials!BV13</f>
        <v>0.85815912104305836</v>
      </c>
      <c r="BY20" s="18">
        <f>Financials!BW25/Financials!BW13</f>
        <v>1.2635792803880578E-2</v>
      </c>
      <c r="BZ20" s="18">
        <f>Financials!BX25/Financials!BX13</f>
        <v>0.83559674312045196</v>
      </c>
      <c r="CA20" s="18">
        <f>Financials!BY25/Financials!BY13</f>
        <v>0.93783683929054307</v>
      </c>
      <c r="CB20" s="18">
        <f>Financials!BZ25/Financials!BZ13</f>
        <v>0.94583635299914581</v>
      </c>
      <c r="CC20" s="18">
        <f>Financials!CA25/Financials!CA13</f>
        <v>0.80305024623184373</v>
      </c>
      <c r="CD20" s="18">
        <f>Financials!CB25/Financials!CB13</f>
        <v>0.67190832206905471</v>
      </c>
      <c r="CE20" s="18">
        <f>Financials!CC25/Financials!CC13</f>
        <v>0.63489051181956691</v>
      </c>
      <c r="CF20" s="18">
        <f>Financials!CD25/Financials!CD13</f>
        <v>0.64072967168587447</v>
      </c>
      <c r="CG20" s="18">
        <f>Financials!CE25/Financials!CE13</f>
        <v>0.62390232544326307</v>
      </c>
      <c r="CH20" s="18">
        <f>Financials!CF25/Financials!CF13</f>
        <v>0.53519953283404642</v>
      </c>
      <c r="CI20" s="18">
        <f>Financials!CG25/Financials!CG13</f>
        <v>0.46343899055458848</v>
      </c>
      <c r="CJ20" s="18">
        <f>Financials!CH25/Financials!CH13</f>
        <v>0.54529232365819591</v>
      </c>
      <c r="CK20" s="18">
        <f>Financials!CI25/Financials!CI13</f>
        <v>5.6266510464830048E-2</v>
      </c>
      <c r="CL20" s="18">
        <f>Financials!CJ25/Financials!CJ13</f>
        <v>1.1564622174731776E-2</v>
      </c>
      <c r="CM20" s="18">
        <f>Financials!CK25/Financials!CK13</f>
        <v>0.65411330372731391</v>
      </c>
      <c r="CN20" s="18" t="e">
        <f>Financials!CL25/Financials!CL13</f>
        <v>#REF!</v>
      </c>
      <c r="CO20" s="18" t="e">
        <f>Financials!CM25/Financials!CM13</f>
        <v>#REF!</v>
      </c>
      <c r="CP20" s="18">
        <f>Financials!CN25/Financials!CN13</f>
        <v>0.58273966180857273</v>
      </c>
      <c r="CQ20" s="18">
        <f>Financials!CO25/Financials!CO13</f>
        <v>0.40426618548921456</v>
      </c>
      <c r="CR20" s="18">
        <f>Financials!CP25/Financials!CP13</f>
        <v>0.64116244176401604</v>
      </c>
      <c r="CS20" s="18">
        <f>Financials!CQ25/Financials!CQ13</f>
        <v>0.57306486179533966</v>
      </c>
      <c r="CT20" s="18">
        <f>Financials!CR25/Financials!CR13</f>
        <v>0.47360916412058324</v>
      </c>
      <c r="CU20" s="18">
        <f>Financials!CS25/Financials!CS13</f>
        <v>0.53197287416908234</v>
      </c>
      <c r="CV20" s="18">
        <f>Financials!CT25/Financials!CT13</f>
        <v>0.54819241146471964</v>
      </c>
      <c r="CW20" s="18">
        <f>Financials!CU25/Financials!CU13</f>
        <v>0.5351736727679266</v>
      </c>
      <c r="CX20" s="18">
        <f>Financials!CV25/Financials!CV13</f>
        <v>0.3213067617755655</v>
      </c>
      <c r="CY20" s="18">
        <f>Financials!CW25/Financials!CW13</f>
        <v>0.1744834047319416</v>
      </c>
      <c r="CZ20" s="18">
        <f>Financials!CX25/Financials!CX13</f>
        <v>0.3150249701060866</v>
      </c>
      <c r="DA20" s="18">
        <f>Financials!CY25/Financials!CY13</f>
        <v>0.15876488848841316</v>
      </c>
      <c r="DB20" s="18">
        <f>Financials!CZ25/Financials!CZ13</f>
        <v>0.16492617069927418</v>
      </c>
      <c r="DC20" s="18">
        <f>Financials!DA25/Financials!DA13</f>
        <v>0.15451157435014337</v>
      </c>
      <c r="DD20" s="18">
        <f>Financials!DB25/Financials!DB13</f>
        <v>0.2384684624933758</v>
      </c>
      <c r="DE20" s="18">
        <f>Financials!DC25/Financials!DC13</f>
        <v>0.22986339917044202</v>
      </c>
      <c r="DF20" s="18">
        <f>Financials!DD25/Financials!DD13</f>
        <v>0.24897009867403277</v>
      </c>
      <c r="DG20" s="18">
        <f>Financials!DE25/Financials!DE13</f>
        <v>0.24305390247704978</v>
      </c>
      <c r="DH20" s="18">
        <f>Financials!DF25/Financials!DF13</f>
        <v>0.23194163164863837</v>
      </c>
      <c r="DI20" s="18">
        <f>Financials!DG25/Financials!DG13</f>
        <v>0.22261939507046857</v>
      </c>
      <c r="DJ20" s="18">
        <f>Financials!DH25/Financials!DH13</f>
        <v>0.16997406276289598</v>
      </c>
      <c r="DK20" s="18">
        <f>Financials!DI25/Financials!DI13</f>
        <v>0.14528480563336579</v>
      </c>
      <c r="DL20" s="18">
        <f>Financials!DJ25/Financials!DJ13</f>
        <v>0.14704702280962356</v>
      </c>
      <c r="DM20" s="18">
        <f>Financials!DK25/Financials!DK13</f>
        <v>0.22898414596125555</v>
      </c>
      <c r="DN20" s="18">
        <f>Financials!DL25/Financials!DL13</f>
        <v>0.20838668223784032</v>
      </c>
      <c r="DO20" s="18">
        <f>Financials!DM25/Financials!DM13</f>
        <v>2.0523600365889325E-2</v>
      </c>
      <c r="DP20" s="18">
        <f>Financials!DN25/Financials!DN13</f>
        <v>7.3502251855373832E-2</v>
      </c>
      <c r="DQ20" s="18">
        <f>Financials!DO25/Financials!DO13</f>
        <v>7.0669343089294914E-2</v>
      </c>
      <c r="DR20" s="18">
        <f>Financials!DP25/Financials!DP13</f>
        <v>7.4134923852931855E-2</v>
      </c>
      <c r="DS20" s="18">
        <f>Financials!DQ25/Financials!DQ13</f>
        <v>7.1335152131992111E-2</v>
      </c>
      <c r="DT20" s="18">
        <f>Financials!DR25/Financials!DR13</f>
        <v>6.7725546149156435E-2</v>
      </c>
      <c r="DU20" s="18">
        <f>Financials!DS25/Financials!DS13</f>
        <v>0.29106910011501508</v>
      </c>
      <c r="DV20" s="18">
        <f>Financials!DT25/Financials!DT13</f>
        <v>0.28799457490443137</v>
      </c>
      <c r="DW20" s="18">
        <f>Financials!DU25/Financials!DU13</f>
        <v>0.28013931415392873</v>
      </c>
      <c r="DX20" s="18" t="e">
        <f>Financials!DV25/Financials!DV13</f>
        <v>#DIV/0!</v>
      </c>
      <c r="DY20" s="18">
        <f>Financials!DW25/Financials!DW13</f>
        <v>0.18418993352661689</v>
      </c>
    </row>
    <row r="21" spans="2:129" s="5" customFormat="1" x14ac:dyDescent="0.25">
      <c r="B21" s="23" t="s">
        <v>227</v>
      </c>
      <c r="C21" s="19" t="s">
        <v>228</v>
      </c>
      <c r="D21" s="24" t="s">
        <v>229</v>
      </c>
      <c r="E21" s="25"/>
      <c r="F21" s="18">
        <f>Financials!C30/Financials!C5</f>
        <v>0.75322796447037899</v>
      </c>
      <c r="G21" s="18">
        <f>Financials!D30/Financials!D5</f>
        <v>0.73595472426210318</v>
      </c>
      <c r="H21" s="18">
        <f>Financials!E30/Financials!E5</f>
        <v>0.87583140722929154</v>
      </c>
      <c r="I21" s="18">
        <f>Financials!F30/Financials!F5</f>
        <v>0.74955830275943625</v>
      </c>
      <c r="J21" s="18">
        <f>Financials!G30/Financials!G5</f>
        <v>0.70663962131761493</v>
      </c>
      <c r="K21" s="18">
        <f>Financials!H30/Financials!H5</f>
        <v>0.63984402157624887</v>
      </c>
      <c r="L21" s="18">
        <f>Financials!I30/Financials!I5</f>
        <v>0.6772727916487199</v>
      </c>
      <c r="M21" s="18">
        <f>Financials!J30/Financials!J5</f>
        <v>0.64284094423853611</v>
      </c>
      <c r="N21" s="18">
        <f>Financials!K30/Financials!K5</f>
        <v>0.64698727575578951</v>
      </c>
      <c r="O21" s="18">
        <f>Financials!L30/Financials!L5</f>
        <v>0.65918675675032357</v>
      </c>
      <c r="P21" s="18">
        <f>Financials!M30/Financials!M5</f>
        <v>0.68083803186129543</v>
      </c>
      <c r="Q21" s="18">
        <f>Financials!N30/Financials!N5</f>
        <v>0.6706949188444038</v>
      </c>
      <c r="R21" s="18">
        <f>Financials!O30/Financials!O5</f>
        <v>0.66758362602072119</v>
      </c>
      <c r="S21" s="18">
        <f>Financials!P30/Financials!P5</f>
        <v>0.66376275116513339</v>
      </c>
      <c r="T21" s="18">
        <f>Financials!Q30/Financials!Q5</f>
        <v>0.67805368533108745</v>
      </c>
      <c r="U21" s="18">
        <f>Financials!R30/Financials!R5</f>
        <v>0.71047317877423777</v>
      </c>
      <c r="V21" s="18">
        <f>Financials!S30/Financials!S5</f>
        <v>0.73267279955310394</v>
      </c>
      <c r="W21" s="18">
        <f>Financials!T30/Financials!T5</f>
        <v>0.73602486515933618</v>
      </c>
      <c r="X21" s="18">
        <f>Financials!U30/Financials!U5</f>
        <v>0.77549727463318863</v>
      </c>
      <c r="Y21" s="18">
        <f>Financials!W30/Financials!W5</f>
        <v>0.74808086849760791</v>
      </c>
      <c r="Z21" s="18">
        <f>Financials!X30/Financials!X5</f>
        <v>0.7539141391081049</v>
      </c>
      <c r="AA21" s="18">
        <f>Financials!Y30/Financials!Y5</f>
        <v>0.72958465607268363</v>
      </c>
      <c r="AB21" s="18">
        <f>Financials!Z30/Financials!Z5</f>
        <v>0.69101833893929854</v>
      </c>
      <c r="AC21" s="18">
        <f>Financials!AA30/Financials!AA5</f>
        <v>0.66165164306515067</v>
      </c>
      <c r="AD21" s="18">
        <f>Financials!AB30/Financials!AB5</f>
        <v>0.67047778958134963</v>
      </c>
      <c r="AE21" s="18">
        <f>Financials!AC30/Financials!AC5</f>
        <v>0.66413603902709339</v>
      </c>
      <c r="AF21" s="18">
        <f>Financials!AD30/Financials!AD5</f>
        <v>0.65181417290699306</v>
      </c>
      <c r="AG21" s="18">
        <f>Financials!AE30/Financials!AE5</f>
        <v>0.66381996710385771</v>
      </c>
      <c r="AH21" s="18">
        <f>Financials!AF30/Financials!AF5</f>
        <v>0.63785705984684704</v>
      </c>
      <c r="AI21" s="18">
        <f>Financials!AG30/Financials!AG5</f>
        <v>0.65560800984323797</v>
      </c>
      <c r="AJ21" s="18">
        <f>Financials!AH30/Financials!AH5</f>
        <v>0.67668851169623101</v>
      </c>
      <c r="AK21" s="18">
        <f>Financials!AI30/Financials!AI5</f>
        <v>0.70179038756372947</v>
      </c>
      <c r="AL21" s="18">
        <f>Financials!AJ30/Financials!AJ5</f>
        <v>0.6993844253075272</v>
      </c>
      <c r="AM21" s="18" t="e">
        <f>Financials!AK30/Financials!AK5</f>
        <v>#DIV/0!</v>
      </c>
      <c r="AN21" s="18">
        <f>Financials!AL30/Financials!AL5</f>
        <v>0.68941628168642666</v>
      </c>
      <c r="AO21" s="18">
        <f>Financials!AM30/Financials!AM5</f>
        <v>0.68230678897660602</v>
      </c>
      <c r="AP21" s="18">
        <f>Financials!AN30/Financials!AN5</f>
        <v>0.78322160815043362</v>
      </c>
      <c r="AQ21" s="18">
        <f>Financials!AO30/Financials!AO5</f>
        <v>0.67660168510403829</v>
      </c>
      <c r="AR21" s="18">
        <f>Financials!AP30/Financials!AP5</f>
        <v>0.7819125289172284</v>
      </c>
      <c r="AS21" s="18">
        <f>Financials!AQ30/Financials!AQ5</f>
        <v>0.73971224025866056</v>
      </c>
      <c r="AT21" s="18">
        <f>Financials!AR30/Financials!AR5</f>
        <v>0.74051373182436631</v>
      </c>
      <c r="AU21" s="18">
        <f>Financials!AS30/Financials!AS5</f>
        <v>0.75416810941151113</v>
      </c>
      <c r="AV21" s="18" t="e">
        <f>Financials!AT30/Financials!AT5</f>
        <v>#DIV/0!</v>
      </c>
      <c r="AW21" s="18">
        <f>Financials!AU30/Financials!AU5</f>
        <v>0.71709608392201285</v>
      </c>
      <c r="AX21" s="18">
        <f>Financials!AV30/Financials!AV5</f>
        <v>0.71201803059576396</v>
      </c>
      <c r="AY21" s="18">
        <f>Financials!AW30/Financials!AW5</f>
        <v>0.69570972685429466</v>
      </c>
      <c r="AZ21" s="18" t="e">
        <f>Financials!AX30/Financials!AX5</f>
        <v>#DIV/0!</v>
      </c>
      <c r="BA21" s="18" t="e">
        <f>Financials!AY30/Financials!AY5</f>
        <v>#DIV/0!</v>
      </c>
      <c r="BB21" s="18">
        <f>Financials!AZ30/Financials!AZ5</f>
        <v>0.68352721468403244</v>
      </c>
      <c r="BC21" s="18">
        <f>Financials!BA30/Financials!BA5</f>
        <v>0.71330069026041465</v>
      </c>
      <c r="BD21" s="18">
        <f>Financials!BB30/Financials!BB5</f>
        <v>0.67939323965533005</v>
      </c>
      <c r="BE21" s="18">
        <f>Financials!BC30/Financials!BC5</f>
        <v>0.57539011445961097</v>
      </c>
      <c r="BF21" s="18">
        <f>Financials!BD30/Financials!BD5</f>
        <v>0.69183095590282517</v>
      </c>
      <c r="BG21" s="18">
        <f>Financials!BE30/Financials!BE5</f>
        <v>0.67516130481169412</v>
      </c>
      <c r="BH21" s="18">
        <f>Financials!BF30/Financials!BF5</f>
        <v>0.68030548715389982</v>
      </c>
      <c r="BI21" s="18" t="e">
        <f>Financials!BG30/Financials!BG5</f>
        <v>#DIV/0!</v>
      </c>
      <c r="BJ21" s="18">
        <f>Financials!BH30/Financials!BH5</f>
        <v>0.67276967144248445</v>
      </c>
      <c r="BK21" s="18">
        <f>Financials!BI30/Financials!BI5</f>
        <v>0.67750457451156298</v>
      </c>
      <c r="BL21" s="18">
        <f>Financials!BJ30/Financials!BJ5</f>
        <v>0.66427027459979116</v>
      </c>
      <c r="BM21" s="18">
        <f>Financials!BK30/Financials!BK5</f>
        <v>0.68883190337622791</v>
      </c>
      <c r="BN21" s="18">
        <f>Financials!BL30/Financials!BL5</f>
        <v>0.68862768967398369</v>
      </c>
      <c r="BO21" s="18">
        <f>Financials!BM30/Financials!BM5</f>
        <v>0.70959868771433099</v>
      </c>
      <c r="BP21" s="18">
        <f>Financials!BN30/Financials!BN5</f>
        <v>0.70710157358675096</v>
      </c>
      <c r="BQ21" s="18">
        <f>Financials!BO30/Financials!BO5</f>
        <v>0.70043040061936146</v>
      </c>
      <c r="BR21" s="18">
        <f>Financials!BP30/Financials!BP5</f>
        <v>0.71541225455392388</v>
      </c>
      <c r="BS21" s="18">
        <f>Financials!BQ30/Financials!BQ5</f>
        <v>0.70114076632726507</v>
      </c>
      <c r="BT21" s="18">
        <f>Financials!BR30/Financials!BR5</f>
        <v>0.67227368031858903</v>
      </c>
      <c r="BU21" s="18">
        <f>Financials!BS30/Financials!BS5</f>
        <v>0.68051597131998998</v>
      </c>
      <c r="BV21" s="18">
        <f>Financials!BT30/Financials!BT5</f>
        <v>0.66392209935257196</v>
      </c>
      <c r="BW21" s="18">
        <f>Financials!BU30/Financials!BU5</f>
        <v>0.65332306499802251</v>
      </c>
      <c r="BX21" s="18">
        <f>Financials!BV30/Financials!BV5</f>
        <v>0.64158867140836184</v>
      </c>
      <c r="BY21" s="18">
        <f>Financials!BW30/Financials!BW5</f>
        <v>0.65446980442409164</v>
      </c>
      <c r="BZ21" s="18">
        <f>Financials!BX30/Financials!BX5</f>
        <v>0.65537053152361024</v>
      </c>
      <c r="CA21" s="18">
        <f>Financials!BY30/Financials!BY5</f>
        <v>0.67040749138529265</v>
      </c>
      <c r="CB21" s="18">
        <f>Financials!BZ30/Financials!BZ5</f>
        <v>0.63373413175146021</v>
      </c>
      <c r="CC21" s="18">
        <f>Financials!CA30/Financials!CA5</f>
        <v>0.59975897358383023</v>
      </c>
      <c r="CD21" s="18">
        <f>Financials!CB30/Financials!CB5</f>
        <v>0.657441751402976</v>
      </c>
      <c r="CE21" s="18">
        <f>Financials!CC30/Financials!CC5</f>
        <v>0.66553152731097798</v>
      </c>
      <c r="CF21" s="18">
        <f>Financials!CD30/Financials!CD5</f>
        <v>0.66491009258333211</v>
      </c>
      <c r="CG21" s="18">
        <f>Financials!CE30/Financials!CE5</f>
        <v>0.68626340977682221</v>
      </c>
      <c r="CH21" s="18">
        <f>Financials!CF30/Financials!CF5</f>
        <v>0.68950633600505873</v>
      </c>
      <c r="CI21" s="18">
        <f>Financials!CG30/Financials!CG5</f>
        <v>0.681566849797964</v>
      </c>
      <c r="CJ21" s="18">
        <f>Financials!CH30/Financials!CH5</f>
        <v>0.70338887872551814</v>
      </c>
      <c r="CK21" s="18">
        <f>Financials!CI30/Financials!CI5</f>
        <v>0.7323592301780768</v>
      </c>
      <c r="CL21" s="18">
        <f>Financials!CJ30/Financials!CJ5</f>
        <v>0.72691590143101448</v>
      </c>
      <c r="CM21" s="18">
        <f>Financials!CK30/Financials!CK5</f>
        <v>0.72252397205519892</v>
      </c>
      <c r="CN21" s="18">
        <f>Financials!CL30/Financials!CL5</f>
        <v>0.69477804304801383</v>
      </c>
      <c r="CO21" s="18" t="e">
        <f>Financials!CM30/Financials!CM5</f>
        <v>#REF!</v>
      </c>
      <c r="CP21" s="18">
        <f>Financials!CN30/Financials!CN5</f>
        <v>0.69690565581266106</v>
      </c>
      <c r="CQ21" s="18">
        <f>Financials!CO30/Financials!CO5</f>
        <v>0.68208677034237608</v>
      </c>
      <c r="CR21" s="18">
        <f>Financials!CP30/Financials!CP5</f>
        <v>0.68688119053898877</v>
      </c>
      <c r="CS21" s="18">
        <f>Financials!CQ30/Financials!CQ5</f>
        <v>0.70354021640750664</v>
      </c>
      <c r="CT21" s="18">
        <f>Financials!CR30/Financials!CR5</f>
        <v>0.69390997599025339</v>
      </c>
      <c r="CU21" s="18">
        <f>Financials!CS30/Financials!CS5</f>
        <v>0.69107457057927613</v>
      </c>
      <c r="CV21" s="18">
        <f>Financials!CT30/Financials!CT5</f>
        <v>0.68909119866347224</v>
      </c>
      <c r="CW21" s="18">
        <f>Financials!CU30/Financials!CU5</f>
        <v>0.71559271541747116</v>
      </c>
      <c r="CX21" s="18">
        <f>Financials!CV30/Financials!CV5</f>
        <v>0.7737245499094334</v>
      </c>
      <c r="CY21" s="18">
        <f>Financials!CW30/Financials!CW5</f>
        <v>0.77432448717360147</v>
      </c>
      <c r="CZ21" s="18">
        <f>Financials!CX30/Financials!CX5</f>
        <v>0.74861709866982551</v>
      </c>
      <c r="DA21" s="18">
        <f>Financials!CY30/Financials!CY5</f>
        <v>0.74554755432697117</v>
      </c>
      <c r="DB21" s="18">
        <f>Financials!CZ30/Financials!CZ5</f>
        <v>0.76980768755973639</v>
      </c>
      <c r="DC21" s="18">
        <f>Financials!DA30/Financials!DA5</f>
        <v>0.74770421875679505</v>
      </c>
      <c r="DD21" s="18">
        <f>Financials!DB30/Financials!DB5</f>
        <v>0.77140856199011276</v>
      </c>
      <c r="DE21" s="18">
        <f>Financials!DC30/Financials!DC5</f>
        <v>0.76196998362935409</v>
      </c>
      <c r="DF21" s="18">
        <f>Financials!DD30/Financials!DD5</f>
        <v>0.78073588388290527</v>
      </c>
      <c r="DG21" s="18">
        <f>Financials!DE30/Financials!DE5</f>
        <v>0.77888931221526048</v>
      </c>
      <c r="DH21" s="18">
        <f>Financials!DF30/Financials!DF5</f>
        <v>0.76876192656019582</v>
      </c>
      <c r="DI21" s="18">
        <f>Financials!DG30/Financials!DG5</f>
        <v>0.7903645623699308</v>
      </c>
      <c r="DJ21" s="18">
        <f>Financials!DH30/Financials!DH5</f>
        <v>0.80025968315727547</v>
      </c>
      <c r="DK21" s="18">
        <f>Financials!DI30/Financials!DI5</f>
        <v>0.81250664990716814</v>
      </c>
      <c r="DL21" s="18">
        <f>Financials!DJ30/Financials!DJ5</f>
        <v>0.80730304214929505</v>
      </c>
      <c r="DM21" s="18">
        <f>Financials!DK30/Financials!DK5</f>
        <v>0.81239309210390054</v>
      </c>
      <c r="DN21" s="18">
        <f>Financials!DL30/Financials!DL5</f>
        <v>0.80535093745367259</v>
      </c>
      <c r="DO21" s="18">
        <f>Financials!DM30/Financials!DM5</f>
        <v>0.82019742444495436</v>
      </c>
      <c r="DP21" s="18">
        <f>Financials!DN30/Financials!DN5</f>
        <v>0.84040423673649689</v>
      </c>
      <c r="DQ21" s="18">
        <f>Financials!DO30/Financials!DO5</f>
        <v>0.84392828527696806</v>
      </c>
      <c r="DR21" s="18">
        <f>Financials!DP30/Financials!DP5</f>
        <v>0.82150432651985039</v>
      </c>
      <c r="DS21" s="18">
        <f>Financials!DQ30/Financials!DQ5</f>
        <v>0.81359583504557886</v>
      </c>
      <c r="DT21" s="18">
        <f>Financials!DR30/Financials!DR5</f>
        <v>0.81359111953774854</v>
      </c>
      <c r="DU21" s="18">
        <f>Financials!DS30/Financials!DS5</f>
        <v>0.82692221999098825</v>
      </c>
      <c r="DV21" s="18">
        <f>Financials!DT30/Financials!DT5</f>
        <v>0.82501408794356057</v>
      </c>
      <c r="DW21" s="18">
        <f>Financials!DU30/Financials!DU5</f>
        <v>0.81165760352263916</v>
      </c>
      <c r="DX21" s="18" t="e">
        <f>Financials!DV30/Financials!DV5</f>
        <v>#DIV/0!</v>
      </c>
      <c r="DY21" s="18">
        <f>Financials!DW30/Financials!DW5</f>
        <v>0.82008793581156658</v>
      </c>
    </row>
    <row r="22" spans="2:129" s="5" customFormat="1" x14ac:dyDescent="0.25">
      <c r="B22" s="9"/>
      <c r="C22" s="9"/>
      <c r="D22" s="10"/>
      <c r="E22" s="11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</row>
    <row r="23" spans="2:129" s="5" customFormat="1" x14ac:dyDescent="0.25">
      <c r="B23" s="8">
        <v>3</v>
      </c>
      <c r="C23" s="9" t="s">
        <v>230</v>
      </c>
      <c r="D23" s="10"/>
      <c r="E23" s="11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</row>
    <row r="24" spans="2:129" s="5" customFormat="1" x14ac:dyDescent="0.25">
      <c r="B24" s="13">
        <v>3.1</v>
      </c>
      <c r="C24" s="19" t="s">
        <v>231</v>
      </c>
      <c r="D24" s="24" t="s">
        <v>229</v>
      </c>
      <c r="E24" s="27"/>
      <c r="F24" s="18">
        <f>Financials!C6/Financials!C5</f>
        <v>0.65585010113914621</v>
      </c>
      <c r="G24" s="18">
        <f>Financials!D6/Financials!D5</f>
        <v>0.67661328356634654</v>
      </c>
      <c r="H24" s="18">
        <f>Financials!E6/Financials!E5</f>
        <v>0.43780334791073872</v>
      </c>
      <c r="I24" s="18">
        <f>Financials!F6/Financials!F5</f>
        <v>0.48044530543401004</v>
      </c>
      <c r="J24" s="18">
        <f>Financials!G6/Financials!G5</f>
        <v>0.60879086652802938</v>
      </c>
      <c r="K24" s="18">
        <f>Financials!H6/Financials!H5</f>
        <v>0.61107697321684418</v>
      </c>
      <c r="L24" s="18">
        <f>Financials!I6/Financials!I5</f>
        <v>0.61281812025537552</v>
      </c>
      <c r="M24" s="18">
        <f>Financials!J6/Financials!J5</f>
        <v>0.61404301349600399</v>
      </c>
      <c r="N24" s="18">
        <f>Financials!K6/Financials!K5</f>
        <v>0.61484269155117943</v>
      </c>
      <c r="O24" s="18">
        <f>Financials!L6/Financials!L5</f>
        <v>0.64169031585794922</v>
      </c>
      <c r="P24" s="18">
        <f>Financials!M6/Financials!M5</f>
        <v>0.64350271627029132</v>
      </c>
      <c r="Q24" s="18">
        <f>Financials!N6/Financials!N5</f>
        <v>0.63773747329811803</v>
      </c>
      <c r="R24" s="18">
        <f>Financials!O6/Financials!O5</f>
        <v>0.64005084965669767</v>
      </c>
      <c r="S24" s="18">
        <f>Financials!P6/Financials!P5</f>
        <v>0.64438665762347902</v>
      </c>
      <c r="T24" s="18">
        <f>Financials!Q6/Financials!Q5</f>
        <v>0.65055108329263667</v>
      </c>
      <c r="U24" s="18">
        <f>Financials!R6/Financials!R5</f>
        <v>0.64597591837947466</v>
      </c>
      <c r="V24" s="18">
        <f>Financials!S6/Financials!S5</f>
        <v>0.65129185732582917</v>
      </c>
      <c r="W24" s="18">
        <f>Financials!T6/Financials!T5</f>
        <v>0.64369740214648463</v>
      </c>
      <c r="X24" s="18">
        <f>Financials!U6/Financials!U5</f>
        <v>0.67281304366225381</v>
      </c>
      <c r="Y24" s="18">
        <f>Financials!W6/Financials!W5</f>
        <v>0.69059749224069</v>
      </c>
      <c r="Z24" s="18">
        <f>Financials!X6/Financials!X5</f>
        <v>0.67335312643415135</v>
      </c>
      <c r="AA24" s="18">
        <f>Financials!Y6/Financials!Y5</f>
        <v>0.71166834322961292</v>
      </c>
      <c r="AB24" s="18">
        <f>Financials!Z6/Financials!Z5</f>
        <v>0.68596124915423662</v>
      </c>
      <c r="AC24" s="18">
        <f>Financials!AA6/Financials!AA5</f>
        <v>0.6892703317039659</v>
      </c>
      <c r="AD24" s="18">
        <f>Financials!AB6/Financials!AB5</f>
        <v>0.68579163717557379</v>
      </c>
      <c r="AE24" s="18">
        <f>Financials!AC6/Financials!AC5</f>
        <v>0.66847718889031693</v>
      </c>
      <c r="AF24" s="18">
        <f>Financials!AD6/Financials!AD5</f>
        <v>0.66503099682317834</v>
      </c>
      <c r="AG24" s="18">
        <f>Financials!AE6/Financials!AE5</f>
        <v>0.67539946172151366</v>
      </c>
      <c r="AH24" s="18">
        <f>Financials!AF6/Financials!AF5</f>
        <v>0.68431892747153211</v>
      </c>
      <c r="AI24" s="18">
        <f>Financials!AG6/Financials!AG5</f>
        <v>0.68040907098897396</v>
      </c>
      <c r="AJ24" s="18">
        <f>Financials!AH6/Financials!AH5</f>
        <v>0.68267190046200854</v>
      </c>
      <c r="AK24" s="18">
        <f>Financials!AI6/Financials!AI5</f>
        <v>0.73379528745224709</v>
      </c>
      <c r="AL24" s="18">
        <f>Financials!AJ6/Financials!AJ5</f>
        <v>0.72945079952494574</v>
      </c>
      <c r="AM24" s="18" t="e">
        <f>Financials!AK6/Financials!AK5</f>
        <v>#DIV/0!</v>
      </c>
      <c r="AN24" s="18">
        <f>Financials!AL6/Financials!AL5</f>
        <v>0.69976190903799196</v>
      </c>
      <c r="AO24" s="18">
        <f>Financials!AM6/Financials!AM5</f>
        <v>0.69264543442971971</v>
      </c>
      <c r="AP24" s="18">
        <f>Financials!AN6/Financials!AN5</f>
        <v>0.79520816168093011</v>
      </c>
      <c r="AQ24" s="18">
        <f>Financials!AO6/Financials!AO5</f>
        <v>0.65881467786694581</v>
      </c>
      <c r="AR24" s="18">
        <f>Financials!AP6/Financials!AP5</f>
        <v>0.79380328876359552</v>
      </c>
      <c r="AS24" s="18">
        <f>Financials!AQ6/Financials!AQ5</f>
        <v>0.67437548119210899</v>
      </c>
      <c r="AT24" s="18">
        <f>Financials!AR6/Financials!AR5</f>
        <v>0.66017062527266979</v>
      </c>
      <c r="AU24" s="18">
        <f>Financials!AS6/Financials!AS5</f>
        <v>0.6407076655098296</v>
      </c>
      <c r="AV24" s="18" t="e">
        <f>Financials!AT6/Financials!AT5</f>
        <v>#DIV/0!</v>
      </c>
      <c r="AW24" s="18">
        <f>Financials!AU6/Financials!AU5</f>
        <v>0.5936736737572279</v>
      </c>
      <c r="AX24" s="18">
        <f>Financials!AV6/Financials!AV5</f>
        <v>0.706062624969231</v>
      </c>
      <c r="AY24" s="18">
        <f>Financials!AW6/Financials!AW5</f>
        <v>0.74833482996064127</v>
      </c>
      <c r="AZ24" s="18" t="e">
        <f>Financials!AX6/Financials!AX5</f>
        <v>#DIV/0!</v>
      </c>
      <c r="BA24" s="18" t="e">
        <f>Financials!AY6/Financials!AY5</f>
        <v>#DIV/0!</v>
      </c>
      <c r="BB24" s="18">
        <f>Financials!AZ6/Financials!AZ5</f>
        <v>-0.74459120706770243</v>
      </c>
      <c r="BC24" s="18">
        <f>Financials!BA6/Financials!BA5</f>
        <v>-0.75770978708239589</v>
      </c>
      <c r="BD24" s="18">
        <f>Financials!BB6/Financials!BB5</f>
        <v>0.8003824169211301</v>
      </c>
      <c r="BE24" s="18">
        <f>Financials!BC6/Financials!BC5</f>
        <v>0.6385225155875387</v>
      </c>
      <c r="BF24" s="18">
        <f>Financials!BD6/Financials!BD5</f>
        <v>0.76616442962987652</v>
      </c>
      <c r="BG24" s="18">
        <f>Financials!BE6/Financials!BE5</f>
        <v>0.7736509609133605</v>
      </c>
      <c r="BH24" s="18">
        <f>Financials!BF6/Financials!BF5</f>
        <v>0.76238774998457604</v>
      </c>
      <c r="BI24" s="18" t="e">
        <f>Financials!BG6/Financials!BG5</f>
        <v>#DIV/0!</v>
      </c>
      <c r="BJ24" s="18">
        <f>Financials!BH6/Financials!BH5</f>
        <v>0.74712843301617959</v>
      </c>
      <c r="BK24" s="18">
        <f>Financials!BI6/Financials!BI5</f>
        <v>0.7308655180226864</v>
      </c>
      <c r="BL24" s="18">
        <f>Financials!BJ6/Financials!BJ5</f>
        <v>0.71620652856589839</v>
      </c>
      <c r="BM24" s="18">
        <f>Financials!BK6/Financials!BK5</f>
        <v>0.72829666114824809</v>
      </c>
      <c r="BN24" s="18">
        <f>Financials!BL6/Financials!BL5</f>
        <v>0.74335886311356514</v>
      </c>
      <c r="BO24" s="18">
        <f>Financials!BM6/Financials!BM5</f>
        <v>0.77259989019428632</v>
      </c>
      <c r="BP24" s="18">
        <f>Financials!BN6/Financials!BN5</f>
        <v>0.77013925721765697</v>
      </c>
      <c r="BQ24" s="18">
        <f>Financials!BO6/Financials!BO5</f>
        <v>0.7555720960080784</v>
      </c>
      <c r="BR24" s="18">
        <f>Financials!BP6/Financials!BP5</f>
        <v>0.76233858067655813</v>
      </c>
      <c r="BS24" s="18">
        <f>Financials!BQ6/Financials!BQ5</f>
        <v>0.76005179393573652</v>
      </c>
      <c r="BT24" s="18">
        <f>Financials!BR6/Financials!BR5</f>
        <v>0.76330421833014572</v>
      </c>
      <c r="BU24" s="18">
        <f>Financials!BS6/Financials!BS5</f>
        <v>0.76106021662763501</v>
      </c>
      <c r="BV24" s="18">
        <f>Financials!BT6/Financials!BT5</f>
        <v>0.75615690865983276</v>
      </c>
      <c r="BW24" s="18">
        <f>Financials!BU6/Financials!BU5</f>
        <v>0.73206069950582797</v>
      </c>
      <c r="BX24" s="18">
        <f>Financials!BV6/Financials!BV5</f>
        <v>0.6828298637578023</v>
      </c>
      <c r="BY24" s="18">
        <f>Financials!BW6/Financials!BW5</f>
        <v>0.64865147160754044</v>
      </c>
      <c r="BZ24" s="18">
        <f>Financials!BX6/Financials!BX5</f>
        <v>0.74605120493532229</v>
      </c>
      <c r="CA24" s="18">
        <f>Financials!BY6/Financials!BY5</f>
        <v>0.7306762031716395</v>
      </c>
      <c r="CB24" s="18">
        <f>Financials!BZ6/Financials!BZ5</f>
        <v>0.73999436853602885</v>
      </c>
      <c r="CC24" s="18">
        <f>Financials!CA6/Financials!CA5</f>
        <v>0.68132010627290973</v>
      </c>
      <c r="CD24" s="18">
        <f>Financials!CB6/Financials!CB5</f>
        <v>0.73739559798933119</v>
      </c>
      <c r="CE24" s="18">
        <f>Financials!CC6/Financials!CC5</f>
        <v>0.73823646816508903</v>
      </c>
      <c r="CF24" s="18">
        <f>Financials!CD6/Financials!CD5</f>
        <v>0.73570995708402087</v>
      </c>
      <c r="CG24" s="18">
        <f>Financials!CE6/Financials!CE5</f>
        <v>0.73451587578765853</v>
      </c>
      <c r="CH24" s="18">
        <f>Financials!CF6/Financials!CF5</f>
        <v>0.73693587558818596</v>
      </c>
      <c r="CI24" s="18">
        <f>Financials!CG6/Financials!CG5</f>
        <v>0.70387682508917537</v>
      </c>
      <c r="CJ24" s="18">
        <f>Financials!CH6/Financials!CH5</f>
        <v>0.70580363654373746</v>
      </c>
      <c r="CK24" s="18">
        <f>Financials!CI6/Financials!CI5</f>
        <v>0.28539151154322162</v>
      </c>
      <c r="CL24" s="18">
        <f>Financials!CJ6/Financials!CJ5</f>
        <v>0.69350100377726565</v>
      </c>
      <c r="CM24" s="18">
        <f>Financials!CK6/Financials!CK5</f>
        <v>0.70543710931752246</v>
      </c>
      <c r="CN24" s="18">
        <f>Financials!CL6/Financials!CL5</f>
        <v>0.70638655598573763</v>
      </c>
      <c r="CO24" s="18">
        <f>Financials!CM6/Financials!CM5</f>
        <v>0.73574805622106931</v>
      </c>
      <c r="CP24" s="18">
        <f>Financials!CN6/Financials!CN5</f>
        <v>0.73823490333202868</v>
      </c>
      <c r="CQ24" s="18">
        <f>Financials!CO6/Financials!CO5</f>
        <v>0.73333668102966676</v>
      </c>
      <c r="CR24" s="18">
        <f>Financials!CP6/Financials!CP5</f>
        <v>0.73685635508062053</v>
      </c>
      <c r="CS24" s="18">
        <f>Financials!CQ6/Financials!CQ5</f>
        <v>0.7272467354308968</v>
      </c>
      <c r="CT24" s="18">
        <f>Financials!CR6/Financials!CR5</f>
        <v>0.72375582333939725</v>
      </c>
      <c r="CU24" s="18">
        <f>Financials!CS6/Financials!CS5</f>
        <v>0.72113395159371774</v>
      </c>
      <c r="CV24" s="18">
        <f>Financials!CT6/Financials!CT5</f>
        <v>0.7190643097807875</v>
      </c>
      <c r="CW24" s="18">
        <f>Financials!CU6/Financials!CU5</f>
        <v>0.71824490393885398</v>
      </c>
      <c r="CX24" s="18">
        <f>Financials!CV6/Financials!CV5</f>
        <v>0.71040232698929096</v>
      </c>
      <c r="CY24" s="18">
        <f>Financials!CW6/Financials!CW5</f>
        <v>0.71084185007350553</v>
      </c>
      <c r="CZ24" s="18">
        <f>Financials!CX6/Financials!CX5</f>
        <v>0.72319364711559941</v>
      </c>
      <c r="DA24" s="18">
        <f>Financials!CY6/Financials!CY5</f>
        <v>0.72192960485742996</v>
      </c>
      <c r="DB24" s="18">
        <f>Financials!CZ6/Financials!CZ5</f>
        <v>0.75361296801541611</v>
      </c>
      <c r="DC24" s="18">
        <f>Financials!DA6/Financials!DA5</f>
        <v>0.74831326744773807</v>
      </c>
      <c r="DD24" s="18">
        <f>Financials!DB6/Financials!DB5</f>
        <v>0.74628893636358662</v>
      </c>
      <c r="DE24" s="18">
        <f>Financials!DC6/Financials!DC5</f>
        <v>0.72432206692909962</v>
      </c>
      <c r="DF24" s="18">
        <f>Financials!DD6/Financials!DD5</f>
        <v>0.72615462653212615</v>
      </c>
      <c r="DG24" s="18">
        <f>Financials!DE6/Financials!DE5</f>
        <v>0.71536646031367912</v>
      </c>
      <c r="DH24" s="18">
        <f>Financials!DF6/Financials!DF5</f>
        <v>0.72280020959519353</v>
      </c>
      <c r="DI24" s="18">
        <f>Financials!DG6/Financials!DG5</f>
        <v>0.72313740463320153</v>
      </c>
      <c r="DJ24" s="18">
        <f>Financials!DH6/Financials!DH5</f>
        <v>0.72243412670085083</v>
      </c>
      <c r="DK24" s="18">
        <f>Financials!DI6/Financials!DI5</f>
        <v>0.70137529696095735</v>
      </c>
      <c r="DL24" s="18">
        <f>Financials!DJ6/Financials!DJ5</f>
        <v>0.69871434324484538</v>
      </c>
      <c r="DM24" s="18">
        <f>Financials!DK6/Financials!DK5</f>
        <v>0.70657922518467209</v>
      </c>
      <c r="DN24" s="18">
        <f>Financials!DL6/Financials!DL5</f>
        <v>0.69195003803442545</v>
      </c>
      <c r="DO24" s="18">
        <f>Financials!DM6/Financials!DM5</f>
        <v>0.72910537612293658</v>
      </c>
      <c r="DP24" s="18">
        <f>Financials!DN6/Financials!DN5</f>
        <v>0.7257938374034818</v>
      </c>
      <c r="DQ24" s="18">
        <f>Financials!DO6/Financials!DO5</f>
        <v>0.71594835669971679</v>
      </c>
      <c r="DR24" s="18">
        <f>Financials!DP6/Financials!DP5</f>
        <v>0.71521372985346121</v>
      </c>
      <c r="DS24" s="18">
        <f>Financials!DQ6/Financials!DQ5</f>
        <v>0.71094708569557852</v>
      </c>
      <c r="DT24" s="18">
        <f>Financials!DR6/Financials!DR5</f>
        <v>0.70084897638774268</v>
      </c>
      <c r="DU24" s="18">
        <f>Financials!DS6/Financials!DS5</f>
        <v>0.69656983019998642</v>
      </c>
      <c r="DV24" s="18">
        <f>Financials!DT6/Financials!DT5</f>
        <v>0.69910156577286198</v>
      </c>
      <c r="DW24" s="18">
        <f>Financials!DU6/Financials!DU5</f>
        <v>0.69741625326734036</v>
      </c>
      <c r="DX24" s="18" t="e">
        <f>Financials!DV6/Financials!DV5</f>
        <v>#DIV/0!</v>
      </c>
      <c r="DY24" s="18">
        <f>Financials!DW6/Financials!DW5</f>
        <v>0.68713641432547634</v>
      </c>
    </row>
    <row r="25" spans="2:129" s="5" customFormat="1" x14ac:dyDescent="0.25">
      <c r="B25" s="23" t="s">
        <v>232</v>
      </c>
      <c r="C25" s="28" t="s">
        <v>233</v>
      </c>
      <c r="D25" s="29" t="s">
        <v>229</v>
      </c>
      <c r="E25" s="30"/>
      <c r="F25" s="31">
        <f>Financials!C7/Financials!C5</f>
        <v>0.6276744326568664</v>
      </c>
      <c r="G25" s="31">
        <f>Financials!D7/Financials!D5</f>
        <v>0.61583469199477481</v>
      </c>
      <c r="H25" s="31">
        <f>Financials!E7/Financials!E5</f>
        <v>0.36817331291981209</v>
      </c>
      <c r="I25" s="31">
        <f>Financials!F7/Financials!F5</f>
        <v>0.40768094986344661</v>
      </c>
      <c r="J25" s="31">
        <f>Financials!G7/Financials!G5</f>
        <v>0.44284169444734289</v>
      </c>
      <c r="K25" s="31">
        <f>Financials!H7/Financials!H5</f>
        <v>0.58183220442984651</v>
      </c>
      <c r="L25" s="31">
        <f>Financials!I7/Financials!I5</f>
        <v>0.45216277107159286</v>
      </c>
      <c r="M25" s="31">
        <f>Financials!J7/Financials!J5</f>
        <v>0.58554248104278828</v>
      </c>
      <c r="N25" s="31">
        <f>Financials!K7/Financials!K5</f>
        <v>0.58481435015027528</v>
      </c>
      <c r="O25" s="31">
        <f>Financials!L7/Financials!L5</f>
        <v>0.61305424912973061</v>
      </c>
      <c r="P25" s="31">
        <f>Financials!M7/Financials!M5</f>
        <v>0.61487053426508853</v>
      </c>
      <c r="Q25" s="31">
        <f>Financials!N7/Financials!N5</f>
        <v>0.60967153196312363</v>
      </c>
      <c r="R25" s="31">
        <f>Financials!O7/Financials!O5</f>
        <v>0.61061336878004868</v>
      </c>
      <c r="S25" s="31">
        <f>Financials!P7/Financials!P5</f>
        <v>0.61045217928837381</v>
      </c>
      <c r="T25" s="31">
        <f>Financials!Q7/Financials!Q5</f>
        <v>0.61405069956421088</v>
      </c>
      <c r="U25" s="31">
        <f>Financials!R7/Financials!R5</f>
        <v>0.615785130243512</v>
      </c>
      <c r="V25" s="31">
        <f>Financials!S7/Financials!S5</f>
        <v>0.61858340353022034</v>
      </c>
      <c r="W25" s="31">
        <f>Financials!T7/Financials!T5</f>
        <v>0.61208121844993135</v>
      </c>
      <c r="X25" s="31">
        <f>Financials!U7/Financials!U5</f>
        <v>0.64029763916171023</v>
      </c>
      <c r="Y25" s="31">
        <f>Financials!W7/Financials!W5</f>
        <v>0.65565398488154381</v>
      </c>
      <c r="Z25" s="31">
        <f>Financials!X7/Financials!X5</f>
        <v>0.64240492490456447</v>
      </c>
      <c r="AA25" s="31">
        <f>Financials!Y7/Financials!Y5</f>
        <v>0.67560540737388652</v>
      </c>
      <c r="AB25" s="31">
        <f>Financials!Z7/Financials!Z5</f>
        <v>0.65366554516764708</v>
      </c>
      <c r="AC25" s="31">
        <f>Financials!AA7/Financials!AA5</f>
        <v>0.6488226884080337</v>
      </c>
      <c r="AD25" s="31">
        <f>Financials!AB7/Financials!AB5</f>
        <v>0.65908146297922032</v>
      </c>
      <c r="AE25" s="31">
        <f>Financials!AC7/Financials!AC5</f>
        <v>0.63605822896907915</v>
      </c>
      <c r="AF25" s="31">
        <f>Financials!AD7/Financials!AD5</f>
        <v>0.62969844456220081</v>
      </c>
      <c r="AG25" s="31">
        <f>Financials!AE7/Financials!AE5</f>
        <v>0.63966955816317594</v>
      </c>
      <c r="AH25" s="31">
        <f>Financials!AF7/Financials!AF5</f>
        <v>0.65110648252950298</v>
      </c>
      <c r="AI25" s="31">
        <f>Financials!AG7/Financials!AG5</f>
        <v>0.64515705276880619</v>
      </c>
      <c r="AJ25" s="31">
        <f>Financials!AH7/Financials!AH5</f>
        <v>0.64869732106612177</v>
      </c>
      <c r="AK25" s="31">
        <f>Financials!AI7/Financials!AI5</f>
        <v>0.48440494590006267</v>
      </c>
      <c r="AL25" s="31">
        <f>Financials!AJ7/Financials!AJ5</f>
        <v>0.49232205651154592</v>
      </c>
      <c r="AM25" s="31" t="e">
        <f>Financials!AK7/Financials!AK5</f>
        <v>#DIV/0!</v>
      </c>
      <c r="AN25" s="31">
        <f>Financials!AL7/Financials!AL5</f>
        <v>0.65262159862364755</v>
      </c>
      <c r="AO25" s="31">
        <f>Financials!AM7/Financials!AM5</f>
        <v>0.64598453396575539</v>
      </c>
      <c r="AP25" s="31">
        <f>Financials!AN7/Financials!AN5</f>
        <v>0.74164603242828586</v>
      </c>
      <c r="AQ25" s="31">
        <f>Financials!AO7/Financials!AO5</f>
        <v>0.6201542280219472</v>
      </c>
      <c r="AR25" s="31">
        <f>Financials!AP7/Financials!AP5</f>
        <v>0.7403438035182659</v>
      </c>
      <c r="AS25" s="31">
        <f>Financials!AQ7/Financials!AQ5</f>
        <v>0.62890530565774982</v>
      </c>
      <c r="AT25" s="31">
        <f>Financials!AR7/Financials!AR5</f>
        <v>0.61566227029203557</v>
      </c>
      <c r="AU25" s="31">
        <f>Financials!AS7/Financials!AS5</f>
        <v>0.59751787796391076</v>
      </c>
      <c r="AV25" s="31" t="e">
        <f>Financials!AT7/Financials!AT5</f>
        <v>#DIV/0!</v>
      </c>
      <c r="AW25" s="31">
        <f>Financials!AU7/Financials!AU5</f>
        <v>0.55366079377204769</v>
      </c>
      <c r="AX25" s="31">
        <f>Financials!AV7/Financials!AV5</f>
        <v>0.50720611802920601</v>
      </c>
      <c r="AY25" s="31">
        <f>Financials!AW7/Financials!AW5</f>
        <v>0.54584297934127413</v>
      </c>
      <c r="AZ25" s="31" t="e">
        <f>Financials!AX7/Financials!AX5</f>
        <v>#DIV/0!</v>
      </c>
      <c r="BA25" s="31" t="e">
        <f>Financials!AY7/Financials!AY5</f>
        <v>#DIV/0!</v>
      </c>
      <c r="BB25" s="31">
        <f>Financials!AZ7/Financials!AZ5</f>
        <v>-0.54442628017817885</v>
      </c>
      <c r="BC25" s="31">
        <f>Financials!BA7/Financials!BA5</f>
        <v>-0.57048152313413625</v>
      </c>
      <c r="BD25" s="31">
        <f>Financials!BB7/Financials!BB5</f>
        <v>0.57766512435315964</v>
      </c>
      <c r="BE25" s="31">
        <f>Financials!BC7/Financials!BC5</f>
        <v>0.48772855951736882</v>
      </c>
      <c r="BF25" s="31">
        <f>Financials!BD7/Financials!BD5</f>
        <v>0.57038595505737633</v>
      </c>
      <c r="BG25" s="31">
        <f>Financials!BE7/Financials!BE5</f>
        <v>0.56790699804273903</v>
      </c>
      <c r="BH25" s="31">
        <f>Financials!BF7/Financials!BF5</f>
        <v>0.55227447849301581</v>
      </c>
      <c r="BI25" s="31" t="e">
        <f>Financials!BG7/Financials!BG5</f>
        <v>#DIV/0!</v>
      </c>
      <c r="BJ25" s="31">
        <f>Financials!BH7/Financials!BH5</f>
        <v>0.55229667414967254</v>
      </c>
      <c r="BK25" s="31">
        <f>Financials!BI7/Financials!BI5</f>
        <v>0.54540490871567948</v>
      </c>
      <c r="BL25" s="31">
        <f>Financials!BJ7/Financials!BJ5</f>
        <v>0.5485339497599151</v>
      </c>
      <c r="BM25" s="31">
        <f>Financials!BK7/Financials!BK5</f>
        <v>0.53810290595945331</v>
      </c>
      <c r="BN25" s="31">
        <f>Financials!BL7/Financials!BL5</f>
        <v>0.53485980197440952</v>
      </c>
      <c r="BO25" s="31">
        <f>Financials!BM7/Financials!BM5</f>
        <v>0.55714084085435533</v>
      </c>
      <c r="BP25" s="31">
        <f>Financials!BN7/Financials!BN5</f>
        <v>0.56024406150422268</v>
      </c>
      <c r="BQ25" s="31">
        <f>Financials!BO7/Financials!BO5</f>
        <v>0.56780782052374634</v>
      </c>
      <c r="BR25" s="31">
        <f>Financials!BP7/Financials!BP5</f>
        <v>0.56663873836024603</v>
      </c>
      <c r="BS25" s="31">
        <f>Financials!BQ7/Financials!BQ5</f>
        <v>0.56555240129882456</v>
      </c>
      <c r="BT25" s="31">
        <f>Financials!BR7/Financials!BR5</f>
        <v>0.56377058352389264</v>
      </c>
      <c r="BU25" s="31">
        <f>Financials!BS7/Financials!BS5</f>
        <v>0.56844783366701124</v>
      </c>
      <c r="BV25" s="31">
        <f>Financials!BT7/Financials!BT5</f>
        <v>0.57508562836239707</v>
      </c>
      <c r="BW25" s="31">
        <f>Financials!BU7/Financials!BU5</f>
        <v>0.54864007839690232</v>
      </c>
      <c r="BX25" s="31">
        <f>Financials!BV7/Financials!BV5</f>
        <v>0.5504720439941837</v>
      </c>
      <c r="BY25" s="31">
        <f>Financials!BW7/Financials!BW5</f>
        <v>0.52291870138482166</v>
      </c>
      <c r="BZ25" s="31">
        <f>Financials!BX7/Financials!BX5</f>
        <v>0.55386679076079326</v>
      </c>
      <c r="CA25" s="31">
        <f>Financials!BY7/Financials!BY5</f>
        <v>0.56474608158551765</v>
      </c>
      <c r="CB25" s="31">
        <f>Financials!BZ7/Financials!BZ5</f>
        <v>0.55209032616935827</v>
      </c>
      <c r="CC25" s="31">
        <f>Financials!CA7/Financials!CA5</f>
        <v>0.52618795582208766</v>
      </c>
      <c r="CD25" s="31">
        <f>Financials!CB7/Financials!CB5</f>
        <v>0.54580628377798635</v>
      </c>
      <c r="CE25" s="31">
        <f>Financials!CC7/Financials!CC5</f>
        <v>0.54558973686677625</v>
      </c>
      <c r="CF25" s="31">
        <f>Financials!CD7/Financials!CD5</f>
        <v>0.55002494557760184</v>
      </c>
      <c r="CG25" s="31">
        <f>Financials!CE7/Financials!CE5</f>
        <v>0.55286802346374586</v>
      </c>
      <c r="CH25" s="31">
        <f>Financials!CF7/Financials!CF5</f>
        <v>0.54769639829421268</v>
      </c>
      <c r="CI25" s="31">
        <f>Financials!CG7/Financials!CG5</f>
        <v>0.53018566248879828</v>
      </c>
      <c r="CJ25" s="31">
        <f>Financials!CH7/Financials!CH5</f>
        <v>0.53371970164747617</v>
      </c>
      <c r="CK25" s="31">
        <f>Financials!CI7/Financials!CI5</f>
        <v>0.14269575577161081</v>
      </c>
      <c r="CL25" s="31">
        <f>Financials!CJ7/Financials!CJ5</f>
        <v>0.55024652821785081</v>
      </c>
      <c r="CM25" s="31">
        <f>Financials!CK7/Financials!CK5</f>
        <v>0.53493728297948839</v>
      </c>
      <c r="CN25" s="31">
        <f>Financials!CL7/Financials!CL5</f>
        <v>0.53612339716980428</v>
      </c>
      <c r="CO25" s="31">
        <f>Financials!CM7/Financials!CM5</f>
        <v>0.56041793975820997</v>
      </c>
      <c r="CP25" s="31">
        <f>Financials!CN7/Financials!CN5</f>
        <v>0.55799490670074958</v>
      </c>
      <c r="CQ25" s="31">
        <f>Financials!CO7/Financials!CO5</f>
        <v>0.56048120442662708</v>
      </c>
      <c r="CR25" s="31">
        <f>Financials!CP7/Financials!CP5</f>
        <v>0.54512884829441022</v>
      </c>
      <c r="CS25" s="31">
        <f>Financials!CQ7/Financials!CQ5</f>
        <v>0.55466633102566021</v>
      </c>
      <c r="CT25" s="31">
        <f>Financials!CR7/Financials!CR5</f>
        <v>0.54863274520667349</v>
      </c>
      <c r="CU25" s="31">
        <f>Financials!CS7/Financials!CS5</f>
        <v>0.54758606506090124</v>
      </c>
      <c r="CV25" s="31">
        <f>Financials!CT7/Financials!CT5</f>
        <v>0.54601450264323481</v>
      </c>
      <c r="CW25" s="31">
        <f>Financials!CU7/Financials!CU5</f>
        <v>0.54829862701888443</v>
      </c>
      <c r="CX25" s="31">
        <f>Financials!CV7/Financials!CV5</f>
        <v>0.56885296281461373</v>
      </c>
      <c r="CY25" s="31">
        <f>Financials!CW7/Financials!CW5</f>
        <v>0.56920490987219241</v>
      </c>
      <c r="CZ25" s="31">
        <f>Financials!CX7/Financials!CX5</f>
        <v>0.54886699881687573</v>
      </c>
      <c r="DA25" s="31">
        <f>Financials!CY7/Financials!CY5</f>
        <v>0.54168416119387996</v>
      </c>
      <c r="DB25" s="31">
        <f>Financials!CZ7/Financials!CZ5</f>
        <v>0.5658839647608348</v>
      </c>
      <c r="DC25" s="31">
        <f>Financials!DA7/Financials!DA5</f>
        <v>0.56402712947904476</v>
      </c>
      <c r="DD25" s="31">
        <f>Financials!DB7/Financials!DB5</f>
        <v>0.56519125946023097</v>
      </c>
      <c r="DE25" s="31">
        <f>Financials!DC7/Financials!DC5</f>
        <v>0.54609241283303667</v>
      </c>
      <c r="DF25" s="31">
        <f>Financials!DD7/Financials!DD5</f>
        <v>0.54447281717018137</v>
      </c>
      <c r="DG25" s="31">
        <f>Financials!DE7/Financials!DE5</f>
        <v>0.54097540023564084</v>
      </c>
      <c r="DH25" s="31">
        <f>Financials!DF7/Financials!DF5</f>
        <v>0.53608419911310257</v>
      </c>
      <c r="DI25" s="31">
        <f>Financials!DG7/Financials!DG5</f>
        <v>0.55024157523246031</v>
      </c>
      <c r="DJ25" s="31">
        <f>Financials!DH7/Financials!DH5</f>
        <v>0.54460946336971772</v>
      </c>
      <c r="DK25" s="31">
        <f>Financials!DI7/Financials!DI5</f>
        <v>0.55470376006914734</v>
      </c>
      <c r="DL25" s="31">
        <f>Financials!DJ7/Financials!DJ5</f>
        <v>0.55115121978734882</v>
      </c>
      <c r="DM25" s="31">
        <f>Financials!DK7/Financials!DK5</f>
        <v>0.54204484463073355</v>
      </c>
      <c r="DN25" s="31">
        <f>Financials!DL7/Financials!DL5</f>
        <v>0.54259993821137709</v>
      </c>
      <c r="DO25" s="31">
        <f>Financials!DM7/Financials!DM5</f>
        <v>0.56496248277231509</v>
      </c>
      <c r="DP25" s="31">
        <f>Financials!DN7/Financials!DN5</f>
        <v>0.56527859494567978</v>
      </c>
      <c r="DQ25" s="31">
        <f>Financials!DO7/Financials!DO5</f>
        <v>0.56901838153205508</v>
      </c>
      <c r="DR25" s="31">
        <f>Financials!DP7/Financials!DP5</f>
        <v>0.55918208102446254</v>
      </c>
      <c r="DS25" s="31">
        <f>Financials!DQ7/Financials!DQ5</f>
        <v>0.55753692604432581</v>
      </c>
      <c r="DT25" s="31">
        <f>Financials!DR7/Financials!DR5</f>
        <v>0.55556605196560804</v>
      </c>
      <c r="DU25" s="31">
        <f>Financials!DS7/Financials!DS5</f>
        <v>2.7211647595053502E-2</v>
      </c>
      <c r="DV25" s="31">
        <f>Financials!DT7/Financials!DT5</f>
        <v>2.9052631269681523E-2</v>
      </c>
      <c r="DW25" s="31">
        <f>Financials!DU7/Financials!DU5</f>
        <v>2.8609539302012585E-2</v>
      </c>
      <c r="DX25" s="31" t="e">
        <f>Financials!DV7/Financials!DV5</f>
        <v>#DIV/0!</v>
      </c>
      <c r="DY25" s="31">
        <f>Financials!DW7/Financials!DW5</f>
        <v>0.54467994718892743</v>
      </c>
    </row>
    <row r="26" spans="2:129" s="5" customFormat="1" x14ac:dyDescent="0.25">
      <c r="B26" s="23" t="s">
        <v>234</v>
      </c>
      <c r="C26" s="28" t="s">
        <v>235</v>
      </c>
      <c r="D26" s="29" t="s">
        <v>229</v>
      </c>
      <c r="E26" s="30"/>
      <c r="F26" s="31">
        <f>Financials!C8/Financials!C5</f>
        <v>2.817566848227979E-2</v>
      </c>
      <c r="G26" s="31">
        <f>Financials!D8/Financials!D5</f>
        <v>6.0778591571571797E-2</v>
      </c>
      <c r="H26" s="31">
        <f>Financials!E8/Financials!E5</f>
        <v>6.9630034990926612E-2</v>
      </c>
      <c r="I26" s="31">
        <f>Financials!F8/Financials!F5</f>
        <v>7.2764355570563433E-2</v>
      </c>
      <c r="J26" s="31">
        <f>Financials!G8/Financials!G5</f>
        <v>0.16594917208068652</v>
      </c>
      <c r="K26" s="31">
        <f>Financials!H8/Financials!H5</f>
        <v>1.5790196070800133E-2</v>
      </c>
      <c r="L26" s="31">
        <f>Financials!I8/Financials!I5</f>
        <v>0.16065534918378266</v>
      </c>
      <c r="M26" s="31">
        <f>Financials!J8/Financials!J5</f>
        <v>1.5288422542403715E-2</v>
      </c>
      <c r="N26" s="31">
        <f>Financials!K8/Financials!K5</f>
        <v>1.7280965632830898E-2</v>
      </c>
      <c r="O26" s="31">
        <f>Financials!L8/Financials!L5</f>
        <v>1.5953674250228665E-2</v>
      </c>
      <c r="P26" s="31">
        <f>Financials!M8/Financials!M5</f>
        <v>1.6220361996644301E-2</v>
      </c>
      <c r="Q26" s="31">
        <f>Financials!N8/Financials!N5</f>
        <v>1.5907061304882966E-2</v>
      </c>
      <c r="R26" s="31">
        <f>Financials!O8/Financials!O5</f>
        <v>1.7636035085376152E-2</v>
      </c>
      <c r="S26" s="31">
        <f>Financials!P8/Financials!P5</f>
        <v>2.2550014269652838E-2</v>
      </c>
      <c r="T26" s="31">
        <f>Financials!Q8/Financials!Q5</f>
        <v>2.5322316719482478E-2</v>
      </c>
      <c r="U26" s="31">
        <f>Financials!R8/Financials!R5</f>
        <v>1.9232145688669339E-2</v>
      </c>
      <c r="V26" s="31">
        <f>Financials!S8/Financials!S5</f>
        <v>2.2059782040651298E-2</v>
      </c>
      <c r="W26" s="31">
        <f>Financials!T8/Financials!T5</f>
        <v>2.1006716691068537E-2</v>
      </c>
      <c r="X26" s="31">
        <f>Financials!U8/Financials!U5</f>
        <v>2.1498698247687017E-2</v>
      </c>
      <c r="Y26" s="31">
        <f>Financials!W8/Financials!W5</f>
        <v>2.3897767480972214E-2</v>
      </c>
      <c r="Z26" s="31">
        <f>Financials!X8/Financials!X5</f>
        <v>1.9952814248795449E-2</v>
      </c>
      <c r="AA26" s="31">
        <f>Financials!Y8/Financials!Y5</f>
        <v>2.5153830517518239E-2</v>
      </c>
      <c r="AB26" s="31">
        <f>Financials!Z8/Financials!Z5</f>
        <v>2.2138113933358083E-2</v>
      </c>
      <c r="AC26" s="31">
        <f>Financials!AA8/Financials!AA5</f>
        <v>3.0660694514682708E-2</v>
      </c>
      <c r="AD26" s="31">
        <f>Financials!AB8/Financials!AB5</f>
        <v>1.7236158697206263E-2</v>
      </c>
      <c r="AE26" s="31">
        <f>Financials!AC8/Financials!AC5</f>
        <v>2.3181372093637149E-2</v>
      </c>
      <c r="AF26" s="31">
        <f>Financials!AD8/Financials!AD5</f>
        <v>2.6493028400407032E-2</v>
      </c>
      <c r="AG26" s="31">
        <f>Financials!AE8/Financials!AE5</f>
        <v>2.7069796878571608E-2</v>
      </c>
      <c r="AH26" s="31">
        <f>Financials!AF8/Financials!AF5</f>
        <v>2.4694257458808815E-2</v>
      </c>
      <c r="AI26" s="31">
        <f>Financials!AG8/Financials!AG5</f>
        <v>2.698182660160512E-2</v>
      </c>
      <c r="AJ26" s="31">
        <f>Financials!AH8/Financials!AH5</f>
        <v>2.5666126142061953E-2</v>
      </c>
      <c r="AK26" s="31">
        <f>Financials!AI8/Financials!AI5</f>
        <v>0.24939034155218442</v>
      </c>
      <c r="AL26" s="31">
        <f>Financials!AJ8/Financials!AJ5</f>
        <v>0.23712874301339978</v>
      </c>
      <c r="AM26" s="31" t="e">
        <f>Financials!AK8/Financials!AK5</f>
        <v>#DIV/0!</v>
      </c>
      <c r="AN26" s="31">
        <f>Financials!AL8/Financials!AL5</f>
        <v>3.9060056238081176E-2</v>
      </c>
      <c r="AO26" s="31">
        <f>Financials!AM8/Financials!AM5</f>
        <v>3.8662821271693633E-2</v>
      </c>
      <c r="AP26" s="31">
        <f>Financials!AN8/Financials!AN5</f>
        <v>4.4381120159171283E-2</v>
      </c>
      <c r="AQ26" s="31">
        <f>Financials!AO8/Financials!AO5</f>
        <v>2.9305940863479787E-2</v>
      </c>
      <c r="AR26" s="31">
        <f>Financials!AP8/Financials!AP5</f>
        <v>4.4296070216500796E-2</v>
      </c>
      <c r="AS26" s="31">
        <f>Financials!AQ8/Financials!AQ5</f>
        <v>3.7676196824258656E-2</v>
      </c>
      <c r="AT26" s="31">
        <f>Financials!AR8/Financials!AR5</f>
        <v>3.6879240576214778E-2</v>
      </c>
      <c r="AU26" s="31">
        <f>Financials!AS8/Financials!AS5</f>
        <v>3.5786686927310241E-2</v>
      </c>
      <c r="AV26" s="31" t="e">
        <f>Financials!AT8/Financials!AT5</f>
        <v>#DIV/0!</v>
      </c>
      <c r="AW26" s="31">
        <f>Financials!AU8/Financials!AU5</f>
        <v>3.3154328614542823E-2</v>
      </c>
      <c r="AX26" s="31">
        <f>Financials!AV8/Financials!AV5</f>
        <v>0.19125854312194618</v>
      </c>
      <c r="AY26" s="31">
        <f>Financials!AW8/Financials!AW5</f>
        <v>0.20249185061936706</v>
      </c>
      <c r="AZ26" s="31" t="e">
        <f>Financials!AX8/Financials!AX5</f>
        <v>#DIV/0!</v>
      </c>
      <c r="BA26" s="31" t="e">
        <f>Financials!AY8/Financials!AY5</f>
        <v>#DIV/0!</v>
      </c>
      <c r="BB26" s="31">
        <f>Financials!AZ8/Financials!AZ5</f>
        <v>-0.19053699034552429</v>
      </c>
      <c r="BC26" s="31">
        <f>Financials!BA8/Financials!BA5</f>
        <v>-0.19837151364279834</v>
      </c>
      <c r="BD26" s="31">
        <f>Financials!BB8/Financials!BB5</f>
        <v>0.21146207271948583</v>
      </c>
      <c r="BE26" s="31">
        <f>Financials!BC8/Financials!BC5</f>
        <v>0.13404619761413644</v>
      </c>
      <c r="BF26" s="31">
        <f>Financials!BD8/Financials!BD5</f>
        <v>0.14276582580416947</v>
      </c>
      <c r="BG26" s="31">
        <f>Financials!BE8/Financials!BE5</f>
        <v>0.1505549378306032</v>
      </c>
      <c r="BH26" s="31">
        <f>Financials!BF8/Financials!BF5</f>
        <v>0.1515683110210794</v>
      </c>
      <c r="BI26" s="31" t="e">
        <f>Financials!BG8/Financials!BG5</f>
        <v>#DIV/0!</v>
      </c>
      <c r="BJ26" s="31">
        <f>Financials!BH8/Financials!BH5</f>
        <v>0.15354313582923074</v>
      </c>
      <c r="BK26" s="31">
        <f>Financials!BI8/Financials!BI5</f>
        <v>0.13181856207393283</v>
      </c>
      <c r="BL26" s="31">
        <f>Financials!BJ8/Financials!BJ5</f>
        <v>0.16767257880598321</v>
      </c>
      <c r="BM26" s="31">
        <f>Financials!BK8/Financials!BK5</f>
        <v>5.3669326048829645E-2</v>
      </c>
      <c r="BN26" s="31">
        <f>Financials!BL8/Financials!BL5</f>
        <v>0.15623142506191384</v>
      </c>
      <c r="BO26" s="31">
        <f>Financials!BM8/Financials!BM5</f>
        <v>0.15806655116369592</v>
      </c>
      <c r="BP26" s="31">
        <f>Financials!BN8/Financials!BN5</f>
        <v>0.160940302978517</v>
      </c>
      <c r="BQ26" s="31">
        <f>Financials!BO8/Financials!BO5</f>
        <v>0.14453347285794144</v>
      </c>
      <c r="BR26" s="31">
        <f>Financials!BP8/Financials!BP5</f>
        <v>0.15351537503707999</v>
      </c>
      <c r="BS26" s="31">
        <f>Financials!BQ8/Financials!BQ5</f>
        <v>0.14923264200899716</v>
      </c>
      <c r="BT26" s="31">
        <f>Financials!BR8/Financials!BR5</f>
        <v>0.14540620792092679</v>
      </c>
      <c r="BU26" s="31">
        <f>Financials!BS8/Financials!BS5</f>
        <v>0.13843784730769906</v>
      </c>
      <c r="BV26" s="31">
        <f>Financials!BT8/Financials!BT5</f>
        <v>0.12885614845423923</v>
      </c>
      <c r="BW26" s="31">
        <f>Financials!BU8/Financials!BU5</f>
        <v>0.13729331695634922</v>
      </c>
      <c r="BX26" s="31">
        <f>Financials!BV8/Financials!BV5</f>
        <v>0.1323578197636186</v>
      </c>
      <c r="BY26" s="31">
        <f>Financials!BW8/Financials!BW5</f>
        <v>0.12573277022271875</v>
      </c>
      <c r="BZ26" s="31">
        <f>Financials!BX8/Financials!BX5</f>
        <v>0.15030505682851611</v>
      </c>
      <c r="CA26" s="31">
        <f>Financials!BY8/Financials!BY5</f>
        <v>0.12545611947813201</v>
      </c>
      <c r="CB26" s="31">
        <f>Financials!BZ8/Financials!BZ5</f>
        <v>0.14461707639074028</v>
      </c>
      <c r="CC26" s="31">
        <f>Financials!CA8/Financials!CA5</f>
        <v>0.11488687096828008</v>
      </c>
      <c r="CD26" s="31">
        <f>Financials!CB8/Financials!CB5</f>
        <v>0.14435634741629508</v>
      </c>
      <c r="CE26" s="31">
        <f>Financials!CC8/Financials!CC5</f>
        <v>0.14467035606650552</v>
      </c>
      <c r="CF26" s="31">
        <f>Financials!CD8/Financials!CD5</f>
        <v>0.14299732015111261</v>
      </c>
      <c r="CG26" s="31">
        <f>Financials!CE8/Financials!CE5</f>
        <v>0.13901671909046051</v>
      </c>
      <c r="CH26" s="31">
        <f>Financials!CF8/Financials!CF5</f>
        <v>0.14461090653354303</v>
      </c>
      <c r="CI26" s="31">
        <f>Financials!CG8/Financials!CG5</f>
        <v>0.13028317045179447</v>
      </c>
      <c r="CJ26" s="31">
        <f>Financials!CH8/Financials!CH5</f>
        <v>0.12953786854818486</v>
      </c>
      <c r="CK26" s="31">
        <f>Financials!CI8/Financials!CI5</f>
        <v>0.12262739129717962</v>
      </c>
      <c r="CL26" s="31">
        <f>Financials!CJ8/Financials!CJ5</f>
        <v>0.14325447555941492</v>
      </c>
      <c r="CM26" s="31">
        <f>Financials!CK8/Financials!CK5</f>
        <v>0.13099793544225352</v>
      </c>
      <c r="CN26" s="31">
        <f>Financials!CL8/Financials!CL5</f>
        <v>0.13051857457169033</v>
      </c>
      <c r="CO26" s="31">
        <f>Financials!CM8/Financials!CM5</f>
        <v>0.13079413298153506</v>
      </c>
      <c r="CP26" s="31">
        <f>Financials!CN8/Financials!CN5</f>
        <v>0.13292893014338758</v>
      </c>
      <c r="CQ26" s="31">
        <f>Financials!CO8/Financials!CO5</f>
        <v>0.12845504863604365</v>
      </c>
      <c r="CR26" s="31">
        <f>Financials!CP8/Financials!CP5</f>
        <v>0.14015804602375012</v>
      </c>
      <c r="CS26" s="31">
        <f>Financials!CQ8/Financials!CQ5</f>
        <v>0.12304563753152517</v>
      </c>
      <c r="CT26" s="31">
        <f>Financials!CR8/Financials!CR5</f>
        <v>0.12471572020153537</v>
      </c>
      <c r="CU26" s="31">
        <f>Financials!CS8/Financials!CS5</f>
        <v>0.123586116168074</v>
      </c>
      <c r="CV26" s="31">
        <f>Financials!CT8/Financials!CT5</f>
        <v>0.12323142617885102</v>
      </c>
      <c r="CW26" s="31">
        <f>Financials!CU8/Financials!CU5</f>
        <v>0.12135551743758347</v>
      </c>
      <c r="CX26" s="31">
        <f>Financials!CV8/Financials!CV5</f>
        <v>0.10221928942689505</v>
      </c>
      <c r="CY26" s="31">
        <f>Financials!CW8/Financials!CW5</f>
        <v>0.14163694020131315</v>
      </c>
      <c r="CZ26" s="31">
        <f>Financials!CX8/Financials!CX5</f>
        <v>0.12714152481035287</v>
      </c>
      <c r="DA26" s="31">
        <f>Financials!CY8/Financials!CY5</f>
        <v>0.13480466582500847</v>
      </c>
      <c r="DB26" s="31">
        <f>Financials!CZ8/Financials!CZ5</f>
        <v>0.1401521626233789</v>
      </c>
      <c r="DC26" s="31">
        <f>Financials!DA8/Financials!DA5</f>
        <v>0.13820923840453275</v>
      </c>
      <c r="DD26" s="31">
        <f>Financials!DB8/Financials!DB5</f>
        <v>0.13363612946685238</v>
      </c>
      <c r="DE26" s="31">
        <f>Financials!DC8/Financials!DC5</f>
        <v>0.13321653923301596</v>
      </c>
      <c r="DF26" s="31">
        <f>Financials!DD8/Financials!DD5</f>
        <v>0.13482159001841323</v>
      </c>
      <c r="DG26" s="31">
        <f>Financials!DE8/Financials!DE5</f>
        <v>0.13391807553310658</v>
      </c>
      <c r="DH26" s="31">
        <f>Financials!DF8/Financials!DF5</f>
        <v>0.14722484731835156</v>
      </c>
      <c r="DI26" s="31">
        <f>Financials!DG8/Financials!DG5</f>
        <v>0.12414235488826636</v>
      </c>
      <c r="DJ26" s="31">
        <f>Financials!DH8/Financials!DH5</f>
        <v>0.12679888692615704</v>
      </c>
      <c r="DK26" s="31">
        <f>Financials!DI8/Financials!DI5</f>
        <v>0.12213386564915782</v>
      </c>
      <c r="DL26" s="31">
        <f>Financials!DJ8/Financials!DJ5</f>
        <v>0.14756312345749648</v>
      </c>
      <c r="DM26" s="31">
        <f>Financials!DK8/Financials!DK5</f>
        <v>0.13031094111226052</v>
      </c>
      <c r="DN26" s="31">
        <f>Financials!DL8/Financials!DL5</f>
        <v>0.12406347491549201</v>
      </c>
      <c r="DO26" s="31">
        <f>Financials!DM8/Financials!DM5</f>
        <v>0.12999270539637239</v>
      </c>
      <c r="DP26" s="31">
        <f>Financials!DN8/Financials!DN5</f>
        <v>0.13997057813888444</v>
      </c>
      <c r="DQ26" s="31">
        <f>Financials!DO8/Financials!DO5</f>
        <v>0.124328775986403</v>
      </c>
      <c r="DR26" s="31">
        <f>Financials!DP8/Financials!DP5</f>
        <v>0.12187389023963059</v>
      </c>
      <c r="DS26" s="31">
        <f>Financials!DQ8/Financials!DQ5</f>
        <v>0.11823032909948746</v>
      </c>
      <c r="DT26" s="31">
        <f>Financials!DR8/Financials!DR5</f>
        <v>0.11841340275037</v>
      </c>
      <c r="DU26" s="31">
        <f>Financials!DS8/Financials!DS5</f>
        <v>1</v>
      </c>
      <c r="DV26" s="31">
        <f>Financials!DT8/Financials!DT5</f>
        <v>1</v>
      </c>
      <c r="DW26" s="31">
        <f>Financials!DU8/Financials!DU5</f>
        <v>1</v>
      </c>
      <c r="DX26" s="31" t="e">
        <f>Financials!DV8/Financials!DV5</f>
        <v>#DIV/0!</v>
      </c>
      <c r="DY26" s="31">
        <f>Financials!DW8/Financials!DW5</f>
        <v>0.10189124786271106</v>
      </c>
    </row>
    <row r="27" spans="2:129" s="5" customFormat="1" x14ac:dyDescent="0.25">
      <c r="B27" s="13">
        <v>3.2</v>
      </c>
      <c r="C27" s="19" t="s">
        <v>236</v>
      </c>
      <c r="D27" s="14" t="s">
        <v>237</v>
      </c>
      <c r="E27" s="15">
        <v>35.1</v>
      </c>
      <c r="F27" s="18">
        <f>Financials!C9/Financials!C5</f>
        <v>0</v>
      </c>
      <c r="G27" s="18">
        <f>Financials!D9/Financials!D5</f>
        <v>0.11427726429828561</v>
      </c>
      <c r="H27" s="18">
        <f>Financials!E9/Financials!E5</f>
        <v>0</v>
      </c>
      <c r="I27" s="18">
        <f>Financials!F9/Financials!F5</f>
        <v>8.0526361453464354E-2</v>
      </c>
      <c r="J27" s="18">
        <f>Financials!G9/Financials!G5</f>
        <v>1.1602787784077341E-2</v>
      </c>
      <c r="K27" s="18">
        <f>Financials!H9/Financials!H5</f>
        <v>5.3529020125754292E-2</v>
      </c>
      <c r="L27" s="18">
        <f>Financials!I9/Financials!I5</f>
        <v>5.6508896085305571E-2</v>
      </c>
      <c r="M27" s="18">
        <f>Financials!J9/Financials!J5</f>
        <v>5.2504959291095957E-2</v>
      </c>
      <c r="N27" s="18">
        <f>Financials!K9/Financials!K5</f>
        <v>4.8725193738386047E-2</v>
      </c>
      <c r="O27" s="18">
        <f>Financials!L9/Financials!L5</f>
        <v>4.8476803524064506E-2</v>
      </c>
      <c r="P27" s="18">
        <f>Financials!M9/Financials!M5</f>
        <v>4.5490733287335189E-2</v>
      </c>
      <c r="Q27" s="18">
        <f>Financials!N9/Financials!N5</f>
        <v>4.4563679471754339E-2</v>
      </c>
      <c r="R27" s="18">
        <f>Financials!O9/Financials!O5</f>
        <v>4.3253642296258984E-2</v>
      </c>
      <c r="S27" s="18">
        <f>Financials!P9/Financials!P5</f>
        <v>3.7699947090945492E-2</v>
      </c>
      <c r="T27" s="18">
        <f>Financials!Q9/Financials!Q5</f>
        <v>3.5759681458862783E-2</v>
      </c>
      <c r="U27" s="18">
        <f>Financials!R9/Financials!R5</f>
        <v>3.5057721770968879E-2</v>
      </c>
      <c r="V27" s="18">
        <f>Financials!S9/Financials!S5</f>
        <v>3.40660965453694E-2</v>
      </c>
      <c r="W27" s="18">
        <f>Financials!T9/Financials!T5</f>
        <v>3.3940676886344001E-2</v>
      </c>
      <c r="X27" s="18">
        <f>Financials!U9/Financials!U5</f>
        <v>2.4523375819298709E-2</v>
      </c>
      <c r="Y27" s="18">
        <f>Financials!W9/Financials!W5</f>
        <v>2.4588005163924669E-2</v>
      </c>
      <c r="Z27" s="18">
        <f>Financials!X9/Financials!X5</f>
        <v>2.4475919424253534E-2</v>
      </c>
      <c r="AA27" s="18">
        <f>Financials!Y9/Financials!Y5</f>
        <v>2.4283854350008679E-2</v>
      </c>
      <c r="AB27" s="18">
        <f>Financials!Z9/Financials!Z5</f>
        <v>1.895930344744149E-2</v>
      </c>
      <c r="AC27" s="18">
        <f>Financials!AA9/Financials!AA5</f>
        <v>1.8267495616171935E-2</v>
      </c>
      <c r="AD27" s="18">
        <f>Financials!AB9/Financials!AB5</f>
        <v>1.7683400666180071E-2</v>
      </c>
      <c r="AE27" s="18">
        <f>Financials!AC9/Financials!AC5</f>
        <v>1.7242104655538468E-2</v>
      </c>
      <c r="AF27" s="18">
        <f>Financials!AD9/Financials!AD5</f>
        <v>1.6499111927650589E-2</v>
      </c>
      <c r="AG27" s="18">
        <f>Financials!AE9/Financials!AE5</f>
        <v>1.616422690504897E-2</v>
      </c>
      <c r="AH27" s="18">
        <f>Financials!AF9/Financials!AF5</f>
        <v>1.5899332466680537E-2</v>
      </c>
      <c r="AI27" s="18">
        <f>Financials!AG9/Financials!AG5</f>
        <v>6.3220137100282806E-3</v>
      </c>
      <c r="AJ27" s="18">
        <f>Financials!AH9/Financials!AH5</f>
        <v>0</v>
      </c>
      <c r="AK27" s="18">
        <f>Financials!AI9/Financials!AI5</f>
        <v>0</v>
      </c>
      <c r="AL27" s="18">
        <f>Financials!AJ9/Financials!AJ5</f>
        <v>0</v>
      </c>
      <c r="AM27" s="18" t="e">
        <f>Financials!AK9/Financials!AK5</f>
        <v>#DIV/0!</v>
      </c>
      <c r="AN27" s="18">
        <f>Financials!AL9/Financials!AL5</f>
        <v>0</v>
      </c>
      <c r="AO27" s="18">
        <f>Financials!AM9/Financials!AM5</f>
        <v>0</v>
      </c>
      <c r="AP27" s="18">
        <f>Financials!AN9/Financials!AN5</f>
        <v>0</v>
      </c>
      <c r="AQ27" s="18">
        <f>Financials!AO9/Financials!AO5</f>
        <v>1.7460339849609274E-2</v>
      </c>
      <c r="AR27" s="18">
        <f>Financials!AP9/Financials!AP5</f>
        <v>0</v>
      </c>
      <c r="AS27" s="18">
        <f>Financials!AQ9/Financials!AQ5</f>
        <v>0</v>
      </c>
      <c r="AT27" s="18">
        <f>Financials!AR9/Financials!AR5</f>
        <v>0</v>
      </c>
      <c r="AU27" s="18">
        <f>Financials!AS9/Financials!AS5</f>
        <v>0</v>
      </c>
      <c r="AV27" s="18" t="e">
        <f>Financials!AT9/Financials!AT5</f>
        <v>#DIV/0!</v>
      </c>
      <c r="AW27" s="18">
        <f>Financials!AU9/Financials!AU5</f>
        <v>0</v>
      </c>
      <c r="AX27" s="18">
        <f>Financials!AV9/Financials!AV5</f>
        <v>0</v>
      </c>
      <c r="AY27" s="18">
        <f>Financials!AW9/Financials!AW5</f>
        <v>0</v>
      </c>
      <c r="AZ27" s="18" t="e">
        <f>Financials!AX9/Financials!AX5</f>
        <v>#DIV/0!</v>
      </c>
      <c r="BA27" s="18" t="e">
        <f>Financials!AY9/Financials!AY5</f>
        <v>#DIV/0!</v>
      </c>
      <c r="BB27" s="18">
        <f>Financials!AZ9/Financials!AZ5</f>
        <v>0</v>
      </c>
      <c r="BC27" s="18">
        <f>Financials!BA9/Financials!BA5</f>
        <v>0</v>
      </c>
      <c r="BD27" s="18">
        <f>Financials!BB9/Financials!BB5</f>
        <v>0</v>
      </c>
      <c r="BE27" s="18">
        <f>Financials!BC9/Financials!BC5</f>
        <v>0</v>
      </c>
      <c r="BF27" s="18">
        <f>Financials!BD9/Financials!BD5</f>
        <v>0</v>
      </c>
      <c r="BG27" s="18">
        <f>Financials!BE9/Financials!BE5</f>
        <v>0</v>
      </c>
      <c r="BH27" s="18">
        <f>Financials!BF9/Financials!BF5</f>
        <v>0</v>
      </c>
      <c r="BI27" s="18" t="e">
        <f>Financials!BG9/Financials!BG5</f>
        <v>#DIV/0!</v>
      </c>
      <c r="BJ27" s="18">
        <f>Financials!BH9/Financials!BH5</f>
        <v>0</v>
      </c>
      <c r="BK27" s="18">
        <f>Financials!BI9/Financials!BI5</f>
        <v>0</v>
      </c>
      <c r="BL27" s="18">
        <f>Financials!BJ9/Financials!BJ5</f>
        <v>0</v>
      </c>
      <c r="BM27" s="18">
        <f>Financials!BK9/Financials!BK5</f>
        <v>0</v>
      </c>
      <c r="BN27" s="18">
        <f>Financials!BL9/Financials!BL5</f>
        <v>0</v>
      </c>
      <c r="BO27" s="18">
        <f>Financials!BM9/Financials!BM5</f>
        <v>0</v>
      </c>
      <c r="BP27" s="18">
        <f>Financials!BN9/Financials!BN5</f>
        <v>0</v>
      </c>
      <c r="BQ27" s="18">
        <f>Financials!BO9/Financials!BO5</f>
        <v>0</v>
      </c>
      <c r="BR27" s="18">
        <f>Financials!BP9/Financials!BP5</f>
        <v>0</v>
      </c>
      <c r="BS27" s="18">
        <f>Financials!BQ9/Financials!BQ5</f>
        <v>0</v>
      </c>
      <c r="BT27" s="18">
        <f>Financials!BR9/Financials!BR5</f>
        <v>0</v>
      </c>
      <c r="BU27" s="18">
        <f>Financials!BS9/Financials!BS5</f>
        <v>0</v>
      </c>
      <c r="BV27" s="18">
        <f>Financials!BT9/Financials!BT5</f>
        <v>0</v>
      </c>
      <c r="BW27" s="18">
        <f>Financials!BU9/Financials!BU5</f>
        <v>2.7601433058374883E-2</v>
      </c>
      <c r="BX27" s="18">
        <f>Financials!BV9/Financials!BV5</f>
        <v>2.6409684782809535E-2</v>
      </c>
      <c r="BY27" s="18">
        <f>Financials!BW9/Financials!BW5</f>
        <v>2.5087773565359475E-2</v>
      </c>
      <c r="BZ27" s="18">
        <f>Financials!BX9/Financials!BX5</f>
        <v>2.603798070291273E-2</v>
      </c>
      <c r="CA27" s="18">
        <f>Financials!BY9/Financials!BY5</f>
        <v>2.4956747517035124E-2</v>
      </c>
      <c r="CB27" s="18">
        <f>Financials!BZ9/Financials!BZ5</f>
        <v>2.3091165504513022E-2</v>
      </c>
      <c r="CC27" s="18">
        <f>Financials!CA9/Financials!CA5</f>
        <v>2.0797701830037128E-2</v>
      </c>
      <c r="CD27" s="18">
        <f>Financials!CB9/Financials!CB5</f>
        <v>2.0199343960668154E-2</v>
      </c>
      <c r="CE27" s="18">
        <f>Financials!CC9/Financials!CC5</f>
        <v>1.9107476881419297E-2</v>
      </c>
      <c r="CF27" s="18">
        <f>Financials!CD9/Financials!CD5</f>
        <v>1.8042054445560025E-2</v>
      </c>
      <c r="CG27" s="18">
        <f>Financials!CE9/Financials!CE5</f>
        <v>1.6869541333708861E-2</v>
      </c>
      <c r="CH27" s="18">
        <f>Financials!CF9/Financials!CF5</f>
        <v>1.540668847424261E-2</v>
      </c>
      <c r="CI27" s="18">
        <f>Financials!CG9/Financials!CG5</f>
        <v>5.2274121068211298E-2</v>
      </c>
      <c r="CJ27" s="18">
        <f>Financials!CH9/Financials!CH5</f>
        <v>5.1184610438746107E-2</v>
      </c>
      <c r="CK27" s="18">
        <f>Financials!CI9/Financials!CI5</f>
        <v>0</v>
      </c>
      <c r="CL27" s="18">
        <f>Financials!CJ9/Financials!CJ5</f>
        <v>5.2664226267360129E-2</v>
      </c>
      <c r="CM27" s="18">
        <f>Financials!CK9/Financials!CK5</f>
        <v>4.5751356711814392E-2</v>
      </c>
      <c r="CN27" s="18">
        <f>Financials!CL9/Financials!CL5</f>
        <v>4.4209398052356921E-2</v>
      </c>
      <c r="CO27" s="18">
        <f>Financials!CM9/Financials!CM5</f>
        <v>4.4403211597396623E-2</v>
      </c>
      <c r="CP27" s="18">
        <f>Financials!CN9/Financials!CN5</f>
        <v>4.0113919955609055E-2</v>
      </c>
      <c r="CQ27" s="18">
        <f>Financials!CO9/Financials!CO5</f>
        <v>3.9255936563847849E-2</v>
      </c>
      <c r="CR27" s="18">
        <f>Financials!CP9/Financials!CP5</f>
        <v>3.7063449000955796E-2</v>
      </c>
      <c r="CS27" s="18">
        <f>Financials!CQ9/Financials!CQ5</f>
        <v>3.3400975909574762E-2</v>
      </c>
      <c r="CT27" s="18">
        <f>Financials!CR9/Financials!CR5</f>
        <v>3.1833792440152768E-2</v>
      </c>
      <c r="CU27" s="18">
        <f>Financials!CS9/Financials!CS5</f>
        <v>2.9526587994227631E-2</v>
      </c>
      <c r="CV27" s="18">
        <f>Financials!CT9/Financials!CT5</f>
        <v>3.0147157291387314E-2</v>
      </c>
      <c r="CW27" s="18">
        <f>Financials!CU9/Financials!CU5</f>
        <v>2.5727167326643853E-2</v>
      </c>
      <c r="CX27" s="18">
        <f>Financials!CV9/Financials!CV5</f>
        <v>2.5826237484769223E-2</v>
      </c>
      <c r="CY27" s="18">
        <f>Financials!CW9/Financials!CW5</f>
        <v>2.5842216074818434E-2</v>
      </c>
      <c r="CZ27" s="18">
        <f>Financials!CX9/Financials!CX5</f>
        <v>2.1026209481297131E-2</v>
      </c>
      <c r="DA27" s="18">
        <f>Financials!CY9/Financials!CY5</f>
        <v>1.9834645407608525E-2</v>
      </c>
      <c r="DB27" s="18">
        <f>Financials!CZ9/Financials!CZ5</f>
        <v>1.9735224168175747E-2</v>
      </c>
      <c r="DC27" s="18">
        <f>Financials!DA9/Financials!DA5</f>
        <v>1.6215964543281371E-2</v>
      </c>
      <c r="DD27" s="18">
        <f>Financials!DB9/Financials!DB5</f>
        <v>1.5317942458886192E-2</v>
      </c>
      <c r="DE27" s="18">
        <f>Financials!DC9/Financials!DC5</f>
        <v>4.2963161599452633E-2</v>
      </c>
      <c r="DF27" s="18">
        <f>Financials!DD9/Financials!DD5</f>
        <v>3.8270368436255059E-2</v>
      </c>
      <c r="DG27" s="18">
        <f>Financials!DE9/Financials!DE5</f>
        <v>3.5493967986512547E-2</v>
      </c>
      <c r="DH27" s="18">
        <f>Financials!DF9/Financials!DF5</f>
        <v>3.2827086899261178E-2</v>
      </c>
      <c r="DI27" s="18">
        <f>Financials!DG9/Financials!DG5</f>
        <v>3.1203911178766228E-2</v>
      </c>
      <c r="DJ27" s="18">
        <f>Financials!DH9/Financials!DH5</f>
        <v>2.8504686655874117E-2</v>
      </c>
      <c r="DK27" s="18">
        <f>Financials!DI9/Financials!DI5</f>
        <v>3.3949344424130994E-2</v>
      </c>
      <c r="DL27" s="18">
        <f>Financials!DJ9/Financials!DJ5</f>
        <v>3.3537513483807867E-2</v>
      </c>
      <c r="DM27" s="18">
        <f>Financials!DK9/Financials!DK5</f>
        <v>2.9129333515758311E-2</v>
      </c>
      <c r="DN27" s="18">
        <f>Financials!DL9/Financials!DL5</f>
        <v>2.8605194902423987E-2</v>
      </c>
      <c r="DO27" s="18">
        <f>Financials!DM9/Financials!DM5</f>
        <v>1.9596765344099515E-2</v>
      </c>
      <c r="DP27" s="18">
        <f>Financials!DN9/Financials!DN5</f>
        <v>1.8061683234115118E-2</v>
      </c>
      <c r="DQ27" s="18">
        <f>Financials!DO9/Financials!DO5</f>
        <v>1.9623294287012209E-2</v>
      </c>
      <c r="DR27" s="18">
        <f>Financials!DP9/Financials!DP5</f>
        <v>1.825342792348016E-2</v>
      </c>
      <c r="DS27" s="18">
        <f>Financials!DQ9/Financials!DQ5</f>
        <v>1.7061340811950508E-2</v>
      </c>
      <c r="DT27" s="18">
        <f>Financials!DR9/Financials!DR5</f>
        <v>1.6697229312156722E-2</v>
      </c>
      <c r="DU27" s="18">
        <f>Financials!DS9/Financials!DS5</f>
        <v>1.6444536871525594E-2</v>
      </c>
      <c r="DV27" s="18">
        <f>Financials!DT9/Financials!DT5</f>
        <v>1.38234195632527E-2</v>
      </c>
      <c r="DW27" s="18">
        <f>Financials!DU9/Financials!DU5</f>
        <v>1.3488166858436498E-2</v>
      </c>
      <c r="DX27" s="18" t="e">
        <f>Financials!DV9/Financials!DV5</f>
        <v>#DIV/0!</v>
      </c>
      <c r="DY27" s="18">
        <f>Financials!DW9/Financials!DW5</f>
        <v>1.4081055236291112E-2</v>
      </c>
    </row>
    <row r="28" spans="2:129" s="5" customFormat="1" hidden="1" x14ac:dyDescent="0.25">
      <c r="B28" s="13"/>
      <c r="C28" s="13"/>
      <c r="D28" s="32"/>
      <c r="E28" s="25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</row>
    <row r="29" spans="2:129" s="5" customFormat="1" hidden="1" x14ac:dyDescent="0.25">
      <c r="B29" s="8">
        <v>4</v>
      </c>
      <c r="C29" s="9" t="s">
        <v>238</v>
      </c>
      <c r="D29" s="10"/>
      <c r="E29" s="11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</row>
    <row r="30" spans="2:129" hidden="1" x14ac:dyDescent="0.25">
      <c r="B30" s="13">
        <v>4.0999999999999996</v>
      </c>
      <c r="C30" s="19" t="s">
        <v>58</v>
      </c>
      <c r="D30" s="24" t="s">
        <v>229</v>
      </c>
      <c r="E30" s="27"/>
      <c r="F30" s="33"/>
      <c r="G30" s="33">
        <f>Financials!D5/Financials!C5-1</f>
        <v>1.5178747255719469</v>
      </c>
      <c r="H30" s="33">
        <f>Financials!E5/Financials!D5-1</f>
        <v>1.1730394335413141</v>
      </c>
      <c r="I30" s="33">
        <f>Financials!F5/Financials!E5-1</f>
        <v>0.8747557058843729</v>
      </c>
      <c r="J30" s="33">
        <f>Financials!G5/Financials!F5-1</f>
        <v>0.35436602767635561</v>
      </c>
      <c r="K30" s="33">
        <f>Financials!H5/Financials!G5-1</f>
        <v>0.56078670985483292</v>
      </c>
      <c r="L30" s="33">
        <f>Financials!I5/Financials!G5-1</f>
        <v>0.47848195579164088</v>
      </c>
      <c r="M30" s="33">
        <f>Financials!J5/Financials!I5-1</f>
        <v>1.1525165183734796</v>
      </c>
      <c r="N30" s="33">
        <f>Financials!K5/Financials!J5-1</f>
        <v>-0.48118553730107427</v>
      </c>
      <c r="O30" s="33">
        <f>Financials!L5/Financials!K5-1</f>
        <v>5.123898365085866E-3</v>
      </c>
      <c r="P30" s="33">
        <f>Financials!M5/Financials!L5-1</f>
        <v>2.1799580500276194E-2</v>
      </c>
      <c r="Q30" s="33">
        <f>Financials!N5/Financials!M5-1</f>
        <v>2.0802901074818969E-2</v>
      </c>
      <c r="R30" s="33">
        <f>Financials!O5/Financials!N5-1</f>
        <v>3.0287326244630819E-2</v>
      </c>
      <c r="S30" s="33">
        <f>Financials!P5/Financials!O5-1</f>
        <v>3.6627260046951493E-2</v>
      </c>
      <c r="T30" s="33">
        <f>Financials!Q5/Financials!P5-1</f>
        <v>1.8464467635044723E-2</v>
      </c>
      <c r="U30" s="33">
        <f>Financials!R5/Financials!Q5-1</f>
        <v>2.002296933268477E-2</v>
      </c>
      <c r="V30" s="33">
        <f>Financials!S5/Financials!R5-1</f>
        <v>2.9108859721536318E-2</v>
      </c>
      <c r="W30" s="33">
        <f>Financials!T5/Financials!S5-1</f>
        <v>3.6952609827256566E-3</v>
      </c>
      <c r="X30" s="33">
        <f>Financials!U5/Financials!T5-1</f>
        <v>-3.6965608233964331E-2</v>
      </c>
      <c r="Y30" s="33">
        <f>Financials!W5/Financials!V5-1</f>
        <v>7.7763564277362196E-3</v>
      </c>
      <c r="Z30" s="33">
        <f>Financials!X5/Financials!W5-1</f>
        <v>4.579429182139938E-3</v>
      </c>
      <c r="AA30" s="33">
        <f>Financials!Y5/Financials!X5-1</f>
        <v>7.9091676089215746E-3</v>
      </c>
      <c r="AB30" s="33">
        <f>Financials!Z5/Financials!Y5-1</f>
        <v>7.3985589203578561E-2</v>
      </c>
      <c r="AC30" s="33">
        <f>Financials!AA5/Financials!Z5-1</f>
        <v>3.787097289116681E-2</v>
      </c>
      <c r="AD30" s="33">
        <f>Financials!AB5/Financials!AA5-1</f>
        <v>3.303069138217074E-2</v>
      </c>
      <c r="AE30" s="33">
        <f>Financials!AC5/Financials!AB5-1</f>
        <v>2.5594091873224256E-2</v>
      </c>
      <c r="AF30" s="33">
        <f>Financials!AD5/Financials!AC5-1</f>
        <v>4.5032286049451642E-2</v>
      </c>
      <c r="AG30" s="33">
        <f>Financials!AE5/Financials!AD5-1</f>
        <v>2.071766404720643E-2</v>
      </c>
      <c r="AH30" s="33">
        <f>Financials!AF5/Financials!AE5-1</f>
        <v>1.6660727041437617E-2</v>
      </c>
      <c r="AI30" s="33">
        <f>Financials!AG5/Financials!AF5-1</f>
        <v>2.9986713258386866E-2</v>
      </c>
      <c r="AJ30" s="33">
        <f>Financials!AH5/Financials!AG5-1</f>
        <v>-4.6051453975075596E-3</v>
      </c>
      <c r="AK30" s="33">
        <f>Financials!AI5/Financials!AH5-1</f>
        <v>4.5259262455696225E-2</v>
      </c>
      <c r="AL30" s="33">
        <f>Financials!AJ5/Financials!AI5-1</f>
        <v>-1.6081161724871063E-2</v>
      </c>
      <c r="AM30" s="33">
        <f>Financials!AK5/Financials!AJ5-1</f>
        <v>-1</v>
      </c>
      <c r="AN30" s="33" t="e">
        <f>Financials!AL5/Financials!AK5-1</f>
        <v>#DIV/0!</v>
      </c>
      <c r="AO30" s="33">
        <f>Financials!AM5/Financials!AL5-1</f>
        <v>1.0274339877994754E-2</v>
      </c>
      <c r="AP30" s="33">
        <f>Financials!AN5/Financials!AM5-1</f>
        <v>-0.12884530329494115</v>
      </c>
      <c r="AQ30" s="33">
        <f>Financials!AO5/Financials!AN5-1</f>
        <v>-1.8547193485907276E-2</v>
      </c>
      <c r="AR30" s="33">
        <f>Financials!AP5/Financials!AO5-1</f>
        <v>2.0854010441387683E-2</v>
      </c>
      <c r="AS30" s="33">
        <f>Financials!AQ5/Financials!AP5-1</f>
        <v>0.17570439561935269</v>
      </c>
      <c r="AT30" s="33">
        <f>Financials!AR5/Financials!AQ5-1</f>
        <v>2.1609887719810539E-2</v>
      </c>
      <c r="AU30" s="33">
        <f>Financials!AS5/Financials!AR5-1</f>
        <v>3.0529611503957499E-2</v>
      </c>
      <c r="AV30" s="33">
        <f>Financials!AT5/Financials!AS5-1</f>
        <v>-1</v>
      </c>
      <c r="AW30" s="33" t="e">
        <f>Financials!AU5/Financials!AT5-1</f>
        <v>#DIV/0!</v>
      </c>
      <c r="AX30" s="33">
        <f>Financials!AV5/Financials!AU5-1</f>
        <v>3.0151406090283883E-2</v>
      </c>
      <c r="AY30" s="33">
        <f>Financials!AW5/Financials!AV5-1</f>
        <v>-1.7693642007758803E-2</v>
      </c>
      <c r="AZ30" s="33">
        <f>Financials!AX5/Financials!AW5-1</f>
        <v>-1</v>
      </c>
      <c r="BA30" s="33" t="e">
        <f>Financials!AY5/Financials!AX5-1</f>
        <v>#DIV/0!</v>
      </c>
      <c r="BB30" s="33" t="e">
        <f>Financials!AZ5/Financials!AY5-1</f>
        <v>#DIV/0!</v>
      </c>
      <c r="BC30" s="33">
        <f>Financials!BA5/Financials!AZ5-1</f>
        <v>1.1114196677612473</v>
      </c>
      <c r="BD30" s="33">
        <f>Financials!BB5/Financials!BA5-1</f>
        <v>-0.51046603110983813</v>
      </c>
      <c r="BE30" s="33">
        <f>Financials!BC5/Financials!BB5-1</f>
        <v>0.18693421842400726</v>
      </c>
      <c r="BF30" s="33">
        <f>Financials!BD5/Financials!BC5-1</f>
        <v>-0.13024841641841445</v>
      </c>
      <c r="BG30" s="33">
        <f>Financials!BE5/Financials!BD5-1</f>
        <v>2.8074615886798382E-2</v>
      </c>
      <c r="BH30" s="33">
        <f>Financials!BF5/Financials!BE5-1</f>
        <v>2.0734031133491371E-3</v>
      </c>
      <c r="BI30" s="33">
        <f>Financials!BG5/Financials!BF5-1</f>
        <v>-1</v>
      </c>
      <c r="BJ30" s="33" t="e">
        <f>Financials!BH5/Financials!BG5-1</f>
        <v>#DIV/0!</v>
      </c>
      <c r="BK30" s="33">
        <f>Financials!BI5/Financials!BH5-1</f>
        <v>-5.2306813120720497E-3</v>
      </c>
      <c r="BL30" s="33">
        <f>Financials!BJ5/Financials!BI5-1</f>
        <v>-5.7043797915756755E-3</v>
      </c>
      <c r="BM30" s="33">
        <f>Financials!BK5/Financials!BJ5-1</f>
        <v>5.4471149497239413E-2</v>
      </c>
      <c r="BN30" s="33">
        <f>Financials!BL5/Financials!BK5-1</f>
        <v>6.962872683588639E-3</v>
      </c>
      <c r="BO30" s="33">
        <f>Financials!BM5/Financials!BL5-1</f>
        <v>-1.4218093527585851E-2</v>
      </c>
      <c r="BP30" s="33">
        <f>Financials!BN5/Financials!BM5-1</f>
        <v>1.1984415598241371E-2</v>
      </c>
      <c r="BQ30" s="33">
        <f>Financials!BO5/Financials!BN5-1</f>
        <v>-2.6561441149673959E-3</v>
      </c>
      <c r="BR30" s="33">
        <f>Financials!BP5/Financials!BO5-1</f>
        <v>1.1574535601188929E-2</v>
      </c>
      <c r="BS30" s="33">
        <f>Financials!BQ5/Financials!BP5-1</f>
        <v>1.5668849496664583E-2</v>
      </c>
      <c r="BT30" s="33">
        <f>Financials!BR5/Financials!BQ5-1</f>
        <v>2.5162904245008555E-2</v>
      </c>
      <c r="BU30" s="33">
        <f>Financials!BS5/Financials!BR5-1</f>
        <v>2.9084743243659172E-3</v>
      </c>
      <c r="BV30" s="33">
        <f>Financials!BT5/Financials!BS5-1</f>
        <v>6.2781337796107284E-3</v>
      </c>
      <c r="BW30" s="33">
        <f>Financials!BU5/Financials!BT5-1</f>
        <v>4.8202001652462689E-2</v>
      </c>
      <c r="BX30" s="33">
        <f>Financials!BV5/Financials!BU5-1</f>
        <v>1.609412191049131E-2</v>
      </c>
      <c r="BY30" s="33">
        <f>Financials!BW5/Financials!BV5-1</f>
        <v>5.2691452033643893E-2</v>
      </c>
      <c r="BZ30" s="33">
        <f>Financials!BX5/Financials!BW5-1</f>
        <v>-3.6493119354949144E-2</v>
      </c>
      <c r="CA30" s="33">
        <f>Financials!BY5/Financials!BX5-1</f>
        <v>-1.6294336891050643E-2</v>
      </c>
      <c r="CB30" s="33">
        <f>Financials!BZ5/Financials!BY5-1</f>
        <v>4.8040699201927106E-2</v>
      </c>
      <c r="CC30" s="33">
        <f>Financials!CA5/Financials!BZ5-1</f>
        <v>7.5578714634289446E-2</v>
      </c>
      <c r="CD30" s="33">
        <f>Financials!CB5/Financials!CA5-1</f>
        <v>-3.5910508496083127E-3</v>
      </c>
      <c r="CE30" s="33">
        <f>Financials!CC5/Financials!CB5-1</f>
        <v>2.1892814848723852E-2</v>
      </c>
      <c r="CF30" s="33">
        <f>Financials!CD5/Financials!CC5-1</f>
        <v>2.0273002911573412E-2</v>
      </c>
      <c r="CG30" s="33">
        <f>Financials!CE5/Financials!CD5-1</f>
        <v>1.9250457875132909E-2</v>
      </c>
      <c r="CH30" s="33">
        <f>Financials!CF5/Financials!CE5-1</f>
        <v>3.7108994873661594E-2</v>
      </c>
      <c r="CI30" s="33">
        <f>Financials!CG5/Financials!CF5-1</f>
        <v>4.8139705212761008E-2</v>
      </c>
      <c r="CJ30" s="33">
        <f>Financials!CH5/Financials!CG5-1</f>
        <v>8.6938394070184E-3</v>
      </c>
      <c r="CK30" s="33">
        <f>Financials!CI5/Financials!CH5-1</f>
        <v>-5.0636308627511006E-2</v>
      </c>
      <c r="CL30" s="33">
        <f>Financials!CJ5/Financials!CI5-1</f>
        <v>7.4882510292408888E-3</v>
      </c>
      <c r="CM30" s="33">
        <f>Financials!CK5/Financials!CJ5-1</f>
        <v>5.9322127142443781E-2</v>
      </c>
      <c r="CN30" s="33">
        <f>Financials!CL5/Financials!CK5-1</f>
        <v>2.0348530520560182E-2</v>
      </c>
      <c r="CO30" s="33">
        <f>Financials!CM5/Financials!CL5-1</f>
        <v>-2.2068905553377594E-2</v>
      </c>
      <c r="CP30" s="33">
        <f>Financials!CN5/Financials!CM5-1</f>
        <v>1.9863290905943298E-2</v>
      </c>
      <c r="CQ30" s="33">
        <f>Financials!CO5/Financials!CN5-1</f>
        <v>7.4479263062625645E-3</v>
      </c>
      <c r="CR30" s="33">
        <f>Financials!CP5/Financials!CO5-1</f>
        <v>4.3906666861663224E-2</v>
      </c>
      <c r="CS30" s="33">
        <f>Financials!CQ5/Financials!CP5-1</f>
        <v>-1.2288100070916297E-3</v>
      </c>
      <c r="CT30" s="33">
        <f>Financials!CR5/Financials!CQ5-1</f>
        <v>2.7827436095600122E-2</v>
      </c>
      <c r="CU30" s="33">
        <f>Financials!CS5/Financials!CR5-1</f>
        <v>3.2138628217122767E-2</v>
      </c>
      <c r="CV30" s="33">
        <f>Financials!CT5/Financials!CS5-1</f>
        <v>2.8782429954854472E-3</v>
      </c>
      <c r="CW30" s="33">
        <f>Financials!CU5/Financials!CT5-1</f>
        <v>1.1771859432245346E-2</v>
      </c>
      <c r="CX30" s="33">
        <f>Financials!CV5/Financials!CU5-1</f>
        <v>-2.6139933733971499E-2</v>
      </c>
      <c r="CY30" s="33">
        <f>Financials!CW5/Financials!CV5-1</f>
        <v>-6.1831346053864422E-4</v>
      </c>
      <c r="CZ30" s="33">
        <f>Financials!CX5/Financials!CW5-1</f>
        <v>5.8058928826814293E-2</v>
      </c>
      <c r="DA30" s="33">
        <f>Financials!CY5/Financials!CX5-1</f>
        <v>3.1265978838716624E-2</v>
      </c>
      <c r="DB30" s="33">
        <f>Financials!CZ5/Financials!CY5-1</f>
        <v>-2.2752133214312686E-2</v>
      </c>
      <c r="DC30" s="33">
        <f>Financials!DA5/Financials!CZ5-1</f>
        <v>1.2331265893731347E-2</v>
      </c>
      <c r="DD30" s="33">
        <f>Financials!DB5/Financials!DA5-1</f>
        <v>1.6114444343794165E-2</v>
      </c>
      <c r="DE30" s="33">
        <f>Financials!DC5/Financials!DB5-1</f>
        <v>4.8691501384511948E-2</v>
      </c>
      <c r="DF30" s="33">
        <f>Financials!DD5/Financials!DC5-1</f>
        <v>2.1310690079890504E-2</v>
      </c>
      <c r="DG30" s="33">
        <f>Financials!DE5/Financials!DD5-1</f>
        <v>2.1792965155806421E-2</v>
      </c>
      <c r="DH30" s="33">
        <f>Financials!DF5/Financials!DE5-1</f>
        <v>2.1528478294109421E-2</v>
      </c>
      <c r="DI30" s="33">
        <f>Financials!DG5/Financials!DF5-1</f>
        <v>-2.1764634662870486E-2</v>
      </c>
      <c r="DJ30" s="33">
        <f>Financials!DH5/Financials!DG5-1</f>
        <v>2.7841358237540748E-2</v>
      </c>
      <c r="DK30" s="33">
        <f>Financials!DI5/Financials!DH5-1</f>
        <v>-3.1424976120104753E-2</v>
      </c>
      <c r="DL30" s="33">
        <f>Financials!DJ5/Financials!DI5-1</f>
        <v>6.4456680814344303E-3</v>
      </c>
      <c r="DM30" s="33">
        <f>Financials!DK5/Financials!DJ5-1</f>
        <v>1.7005720641014133E-2</v>
      </c>
      <c r="DN30" s="33">
        <f>Financials!DL5/Financials!DK5-1</f>
        <v>1.8323196717317414E-2</v>
      </c>
      <c r="DO30" s="33">
        <f>Financials!DM5/Financials!DL5-1</f>
        <v>-1.8530122793799841E-2</v>
      </c>
      <c r="DP30" s="33">
        <f>Financials!DN5/Financials!DM5-1</f>
        <v>1.0815958678068061E-2</v>
      </c>
      <c r="DQ30" s="33">
        <f>Financials!DO5/Financials!DN5-1</f>
        <v>6.6961643726144437E-3</v>
      </c>
      <c r="DR30" s="33">
        <f>Financials!DP5/Financials!DO5-1</f>
        <v>3.0110539604604858E-2</v>
      </c>
      <c r="DS30" s="33">
        <f>Financials!DQ5/Financials!DP5-1</f>
        <v>1.6318785134511904E-2</v>
      </c>
      <c r="DT30" s="33">
        <f>Financials!DR5/Financials!DQ5-1</f>
        <v>1.352648325432293E-2</v>
      </c>
      <c r="DU30" s="33">
        <f>Financials!DS5/Financials!DR5-1</f>
        <v>1.5366345832984685E-2</v>
      </c>
      <c r="DV30" s="33">
        <f>Financials!DT5/Financials!DS5-1</f>
        <v>1.3171637864011654E-2</v>
      </c>
      <c r="DW30" s="33">
        <f>Financials!DU5/Financials!DT5-1</f>
        <v>2.0407410580605578E-2</v>
      </c>
      <c r="DX30" s="33">
        <f>Financials!DV5/Financials!DU5-1</f>
        <v>-1</v>
      </c>
      <c r="DY30" s="33" t="e">
        <f>Financials!DW5/Financials!DV5-1</f>
        <v>#DIV/0!</v>
      </c>
    </row>
    <row r="31" spans="2:129" hidden="1" x14ac:dyDescent="0.25">
      <c r="B31" s="13">
        <v>4.2</v>
      </c>
      <c r="C31" s="19" t="s">
        <v>143</v>
      </c>
      <c r="D31" s="24" t="s">
        <v>229</v>
      </c>
      <c r="E31" s="27"/>
      <c r="F31" s="33"/>
      <c r="G31" s="33">
        <f>Financials!D6/Financials!C6-1</f>
        <v>1.5975866782957233</v>
      </c>
      <c r="H31" s="33">
        <f>Financials!E6/Financials!D6-1</f>
        <v>0.40606748678051163</v>
      </c>
      <c r="I31" s="33">
        <f>Financials!F6/Financials!E6-1</f>
        <v>1.0573565323931988</v>
      </c>
      <c r="J31" s="33">
        <f>Financials!G6/Financials!F6-1</f>
        <v>0.7161696831242399</v>
      </c>
      <c r="K31" s="33">
        <f>Financials!H6/Financials!G6-1</f>
        <v>0.5666477125954974</v>
      </c>
      <c r="L31" s="33">
        <f>Financials!I6/Financials!G6-1</f>
        <v>0.48826236199456741</v>
      </c>
      <c r="M31" s="33">
        <f>Financials!J6/Financials!I6-1</f>
        <v>1.1568189416317831</v>
      </c>
      <c r="N31" s="33">
        <f>Financials!K6/Financials!J6-1</f>
        <v>-0.48050987691343161</v>
      </c>
      <c r="O31" s="33">
        <f>Financials!L6/Financials!K6-1</f>
        <v>4.9013480490525119E-2</v>
      </c>
      <c r="P31" s="33">
        <f>Financials!M6/Financials!L6-1</f>
        <v>2.4685567611603787E-2</v>
      </c>
      <c r="Q31" s="33">
        <f>Financials!N6/Financials!M6-1</f>
        <v>1.1657365861687641E-2</v>
      </c>
      <c r="R31" s="33">
        <f>Financials!O6/Financials!N6-1</f>
        <v>3.4024667145663878E-2</v>
      </c>
      <c r="S31" s="33">
        <f>Financials!P6/Financials!O6-1</f>
        <v>4.3649540753406324E-2</v>
      </c>
      <c r="T31" s="33">
        <f>Financials!Q6/Financials!P6-1</f>
        <v>2.8207451033504416E-2</v>
      </c>
      <c r="U31" s="33">
        <f>Financials!R6/Financials!Q6-1</f>
        <v>1.2849400000834121E-2</v>
      </c>
      <c r="V31" s="33">
        <f>Financials!S6/Financials!R6-1</f>
        <v>3.7577720110568036E-2</v>
      </c>
      <c r="W31" s="33">
        <f>Financials!T6/Financials!S6-1</f>
        <v>-8.0084300545791853E-3</v>
      </c>
      <c r="X31" s="33">
        <f>Financials!U6/Financials!T6-1</f>
        <v>6.594244616950018E-3</v>
      </c>
      <c r="Y31" s="33">
        <f>Financials!W6/Financials!V6-1</f>
        <v>2.2647948764036308E-2</v>
      </c>
      <c r="Z31" s="33">
        <f>Financials!X6/Financials!W6-1</f>
        <v>-2.050513216246308E-2</v>
      </c>
      <c r="AA31" s="33">
        <f>Financials!Y6/Financials!X6-1</f>
        <v>6.5261330613759938E-2</v>
      </c>
      <c r="AB31" s="33">
        <f>Financials!Z6/Financials!Y6-1</f>
        <v>3.5190764563827637E-2</v>
      </c>
      <c r="AC31" s="33">
        <f>Financials!AA6/Financials!Z6-1</f>
        <v>4.2877670761489961E-2</v>
      </c>
      <c r="AD31" s="33">
        <f>Financials!AB6/Financials!AA6-1</f>
        <v>2.7817064669283686E-2</v>
      </c>
      <c r="AE31" s="33">
        <f>Financials!AC6/Financials!AB6-1</f>
        <v>-2.9948119298917053E-4</v>
      </c>
      <c r="AF31" s="33">
        <f>Financials!AD6/Financials!AC6-1</f>
        <v>3.9644844213080788E-2</v>
      </c>
      <c r="AG31" s="33">
        <f>Financials!AE6/Financials!AD6-1</f>
        <v>3.663162192486924E-2</v>
      </c>
      <c r="AH31" s="33">
        <f>Financials!AF6/Financials!AE6-1</f>
        <v>3.0086960031202592E-2</v>
      </c>
      <c r="AI31" s="33">
        <f>Financials!AG6/Financials!AF6-1</f>
        <v>2.4101883735021756E-2</v>
      </c>
      <c r="AJ31" s="33">
        <f>Financials!AH6/Financials!AG6-1</f>
        <v>-1.2947709325881185E-3</v>
      </c>
      <c r="AK31" s="33">
        <f>Financials!AI6/Financials!AH6-1</f>
        <v>0.12353580165921318</v>
      </c>
      <c r="AL31" s="33">
        <f>Financials!AJ6/Financials!AI6-1</f>
        <v>-2.1906524175987707E-2</v>
      </c>
      <c r="AM31" s="33">
        <f>Financials!AK6/Financials!AJ6-1</f>
        <v>-1</v>
      </c>
      <c r="AN31" s="33" t="e">
        <f>Financials!AL6/Financials!AK6-1</f>
        <v>#DIV/0!</v>
      </c>
      <c r="AO31" s="33">
        <f>Financials!AM6/Financials!AL6-1</f>
        <v>0</v>
      </c>
      <c r="AP31" s="33">
        <f>Financials!AN6/Financials!AM6-1</f>
        <v>1.4999084907540983E-4</v>
      </c>
      <c r="AQ31" s="33">
        <f>Financials!AO6/Financials!AN6-1</f>
        <v>-0.18688521355414311</v>
      </c>
      <c r="AR31" s="33">
        <f>Financials!AP6/Financials!AO6-1</f>
        <v>0.23002309763283546</v>
      </c>
      <c r="AS31" s="33">
        <f>Financials!AQ6/Financials!AP6-1</f>
        <v>-1.1804829249024706E-3</v>
      </c>
      <c r="AT31" s="33">
        <f>Financials!AR6/Financials!V6-1</f>
        <v>0.41539623122742952</v>
      </c>
      <c r="AU31" s="33">
        <f>Financials!AS6/Financials!W6-1</f>
        <v>0.38425494140093952</v>
      </c>
      <c r="AV31" s="33">
        <f>Financials!AT6/Financials!X6-1</f>
        <v>-1</v>
      </c>
      <c r="AW31" s="33">
        <f>Financials!AU6/Financials!Y6-1</f>
        <v>0.32686543990737027</v>
      </c>
      <c r="AX31" s="33">
        <f>Financials!AV6/Financials!Z6-1</f>
        <v>0.57037359972379265</v>
      </c>
      <c r="AY31" s="33">
        <f>Financials!AW6/Financials!AA6-1</f>
        <v>0.56772292084462173</v>
      </c>
      <c r="AZ31" s="33">
        <f>Financials!AX6/Financials!AB6-1</f>
        <v>-1</v>
      </c>
      <c r="BA31" s="33">
        <f>Financials!AY6/Financials!AC6-1</f>
        <v>-1</v>
      </c>
      <c r="BB31" s="33">
        <f>Financials!AZ6/Financials!AD6-1</f>
        <v>-2.4924534485356018</v>
      </c>
      <c r="BC31" s="33">
        <f>Financials!BA6/Financials!AE6-1</f>
        <v>-4.0933986914727383</v>
      </c>
      <c r="BD31" s="33">
        <f>Financials!BB6/Financials!AF6-1</f>
        <v>0.55288567410869738</v>
      </c>
      <c r="BE31" s="33">
        <f>Financials!BC6/Financials!AG6-1</f>
        <v>0.43582544530710376</v>
      </c>
      <c r="BF31" s="33">
        <f>Financials!BD6/Financials!AH6-1</f>
        <v>0.500394001657257</v>
      </c>
      <c r="BG31" s="33">
        <f>Financials!BE6/Financials!AI6-1</f>
        <v>0.38632841062830159</v>
      </c>
      <c r="BH31" s="33">
        <f>Financials!BF6/Financials!AJ6-1</f>
        <v>0.39963932757545817</v>
      </c>
      <c r="BI31" s="33" t="e">
        <f>Financials!BG6/Financials!AK6-1</f>
        <v>#DIV/0!</v>
      </c>
      <c r="BJ31" s="33">
        <f>Financials!BH6/Financials!AL6-1</f>
        <v>0.45299552858973202</v>
      </c>
      <c r="BK31" s="33">
        <f>Financials!BI6/Financials!AM6-1</f>
        <v>0.41393312132821469</v>
      </c>
      <c r="BL31" s="33">
        <f>Financials!BJ6/Financials!AN6-1</f>
        <v>0.37746338024502801</v>
      </c>
      <c r="BM31" s="33">
        <f>Financials!BK6/Financials!AO6-1</f>
        <v>0.81648973732839347</v>
      </c>
      <c r="BN31" s="33">
        <f>Financials!BL6/Financials!AP6-1</f>
        <v>0.51783074252793893</v>
      </c>
      <c r="BO31" s="33">
        <f>Financials!BM6/Financials!AQ6-1</f>
        <v>0.55694505244183601</v>
      </c>
      <c r="BP31" s="33">
        <f>Financials!BN6/Financials!AR6-1</f>
        <v>0.57044314434443688</v>
      </c>
      <c r="BQ31" s="33">
        <f>Financials!BO6/Financials!AS6-1</f>
        <v>0.53641869946171128</v>
      </c>
      <c r="BR31" s="33" t="e">
        <f>Financials!BP6/Financials!AT6-1</f>
        <v>#DIV/0!</v>
      </c>
      <c r="BS31" s="33">
        <f>Financials!BQ6/Financials!AU6-1</f>
        <v>0.58766092497067612</v>
      </c>
      <c r="BT31" s="33">
        <f>Financials!BR6/Financials!AV6-1</f>
        <v>0.3341621668940038</v>
      </c>
      <c r="BU31" s="33">
        <f>Financials!BS6/Financials!AW6-1</f>
        <v>0.2814202677479436</v>
      </c>
      <c r="BV31" s="33" t="e">
        <f>Financials!BT6/Financials!AX6-1</f>
        <v>#DIV/0!</v>
      </c>
      <c r="BW31" s="33" t="e">
        <f>Financials!BU6/Financials!AY6-1</f>
        <v>#DIV/0!</v>
      </c>
      <c r="BX31" s="33">
        <f>Financials!BV6/Financials!AZ6-1</f>
        <v>-2.2116572998947164</v>
      </c>
      <c r="BY31" s="33">
        <f>Financials!BW6/Financials!BA6-1</f>
        <v>-1.5639235664020545</v>
      </c>
      <c r="BZ31" s="33">
        <f>Financials!BX6/Financials!BB6-1</f>
        <v>0.20852271471194128</v>
      </c>
      <c r="CA31" s="33">
        <f>Financials!BY6/Financials!BC6-1</f>
        <v>0.22962020087201629</v>
      </c>
      <c r="CB31" s="33">
        <f>Financials!BZ6/Financials!BD6-1</f>
        <v>0.25058032389505436</v>
      </c>
      <c r="CC31" s="33">
        <f>Financials!CA6/Financials!BE6-1</f>
        <v>0.19296818341767907</v>
      </c>
      <c r="CD31" s="33">
        <f>Financials!CB6/Financials!BF6-1</f>
        <v>0.30282307001504694</v>
      </c>
      <c r="CE31" s="33" t="e">
        <f>Financials!CC6/Financials!BG6-1</f>
        <v>#DIV/0!</v>
      </c>
      <c r="CF31" s="33">
        <f>Financials!CD6/Financials!BH6-1</f>
        <v>0.361128042517598</v>
      </c>
      <c r="CG31" s="33">
        <f>Financials!CE6/Financials!BI6-1</f>
        <v>0.42334395073256426</v>
      </c>
      <c r="CH31" s="33">
        <f>Financials!CF6/Financials!BJ6-1</f>
        <v>0.52000999545081417</v>
      </c>
      <c r="CI31" s="33">
        <f>Financials!CG6/Financials!BK6-1</f>
        <v>0.41914848728142706</v>
      </c>
      <c r="CJ31" s="33">
        <f>Financials!CH6/Financials!BL6-1</f>
        <v>0.39659592044949576</v>
      </c>
      <c r="CK31" s="33">
        <f>Financials!CI6/Financials!BM6-1</f>
        <v>-0.47673271128770689</v>
      </c>
      <c r="CL31" s="33">
        <f>Financials!CJ6/Financials!BN6-1</f>
        <v>0.2699340702004982</v>
      </c>
      <c r="CM31" s="33">
        <f>Financials!CK6/Financials!BO6-1</f>
        <v>0.3985205782657073</v>
      </c>
      <c r="CN31" s="33">
        <f>Financials!CL6/Financials!BP6-1</f>
        <v>0.40001165382278203</v>
      </c>
      <c r="CO31" s="33">
        <f>Financials!CM6/Financials!BQ6-1</f>
        <v>0.40824812704044522</v>
      </c>
      <c r="CP31" s="33">
        <f>Financials!CN6/Financials!BR6-1</f>
        <v>0.39971377494088967</v>
      </c>
      <c r="CQ31" s="33">
        <f>Financials!CO6/Financials!BS6-1</f>
        <v>0.40083833843203243</v>
      </c>
      <c r="CR31" s="33">
        <f>Financials!CP6/Financials!BT6-1</f>
        <v>0.46966440365415441</v>
      </c>
      <c r="CS31" s="33">
        <f>Financials!CQ6/Financials!BU6-1</f>
        <v>0.42758828694502804</v>
      </c>
      <c r="CT31" s="33">
        <f>Financials!CR6/Financials!BV6-1</f>
        <v>0.54075689389414561</v>
      </c>
      <c r="CU31" s="33">
        <f>Financials!CS6/Financials!BW6-1</f>
        <v>0.58451380098633754</v>
      </c>
      <c r="CV31" s="33">
        <f>Financials!CT6/Financials!BX6-1</f>
        <v>0.42982859224209058</v>
      </c>
      <c r="CW31" s="33">
        <f>Financials!CU6/Financials!BY6-1</f>
        <v>0.49985713894911887</v>
      </c>
      <c r="CX31" s="33">
        <f>Financials!CV6/Financials!BZ6-1</f>
        <v>0.36112081278103414</v>
      </c>
      <c r="CY31" s="33">
        <f>Financials!CW6/Financials!CA6-1</f>
        <v>0.37445866933938166</v>
      </c>
      <c r="CZ31" s="33">
        <f>Financials!CX6/Financials!CB6-1</f>
        <v>0.37194341867605374</v>
      </c>
      <c r="DA31" s="33">
        <f>Financials!CY6/Financials!CC6-1</f>
        <v>0.38053315362907036</v>
      </c>
      <c r="DB31" s="33">
        <f>Financials!CZ6/Financials!CD6-1</f>
        <v>0.38508858277950697</v>
      </c>
      <c r="DC31" s="33">
        <f>Financials!DA6/Financials!CE6-1</f>
        <v>0.36823222038379311</v>
      </c>
      <c r="DD31" s="33">
        <f>Financials!DB6/Financials!CF6-1</f>
        <v>0.33251799653123415</v>
      </c>
      <c r="DE31" s="33">
        <f>Financials!DC6/Financials!CG6-1</f>
        <v>0.35475076433916919</v>
      </c>
      <c r="DF31" s="33">
        <f>Financials!DD6/Financials!CH6-1</f>
        <v>0.37141242878842884</v>
      </c>
      <c r="DG31" s="33">
        <f>Financials!DE6/Financials!CI6-1</f>
        <v>2.5961738377977759</v>
      </c>
      <c r="DH31" s="33">
        <f>Financials!DF6/Financials!CJ6-1</f>
        <v>0.51612433415550241</v>
      </c>
      <c r="DI31" s="33">
        <f>Financials!DG6/Financials!CK6-1</f>
        <v>0.37702391372619259</v>
      </c>
      <c r="DJ31" s="33">
        <f>Financials!DH6/Financials!CL6-1</f>
        <v>0.38392428896048703</v>
      </c>
      <c r="DK31" s="33">
        <f>Financials!DI6/Financials!CM6-1</f>
        <v>0.27762339698426164</v>
      </c>
      <c r="DL31" s="33">
        <f>Financials!DJ6/Financials!CN6-1</f>
        <v>0.25180007472164845</v>
      </c>
      <c r="DM31" s="33">
        <f>Financials!DK6/Financials!CO6-1</f>
        <v>0.28643584653331056</v>
      </c>
      <c r="DN31" s="33">
        <f>Financials!DL6/Financials!CP6-1</f>
        <v>0.2230565768852899</v>
      </c>
      <c r="DO31" s="33">
        <f>Financials!DM6/Financials!CQ6-1</f>
        <v>0.28314026096355405</v>
      </c>
      <c r="DP31" s="33">
        <f>Financials!DN6/Financials!CR6-1</f>
        <v>0.26223058924223475</v>
      </c>
      <c r="DQ31" s="33">
        <f>Financials!DO6/Financials!CS6-1</f>
        <v>0.21883139115834416</v>
      </c>
      <c r="DR31" s="33">
        <f>Financials!DP6/Financials!CT6-1</f>
        <v>0.25424277522329275</v>
      </c>
      <c r="DS31" s="33">
        <f>Financials!DQ6/Financials!CU6-1</f>
        <v>0.25379224794342137</v>
      </c>
      <c r="DT31" s="33">
        <f>Financials!DR6/Financials!CV6-1</f>
        <v>0.30052728126403272</v>
      </c>
      <c r="DU31" s="33">
        <f>Financials!DS6/Financials!CW6-1</f>
        <v>0.31244903699401494</v>
      </c>
      <c r="DV31" s="33">
        <f>Financials!DT6/Financials!CX6-1</f>
        <v>0.23979424614720402</v>
      </c>
      <c r="DW31" s="33">
        <f>Financials!DU6/Financials!CY6-1</f>
        <v>0.22592547529262075</v>
      </c>
      <c r="DX31" s="33">
        <f>Financials!DV6/Financials!CZ6-1</f>
        <v>-1</v>
      </c>
      <c r="DY31" s="33">
        <f>Financials!DW6/Financials!DA6-1</f>
        <v>0.17708942839473774</v>
      </c>
    </row>
    <row r="32" spans="2:129" hidden="1" x14ac:dyDescent="0.25">
      <c r="B32" s="13" t="s">
        <v>239</v>
      </c>
      <c r="C32" s="34" t="s">
        <v>240</v>
      </c>
      <c r="D32" s="24" t="s">
        <v>229</v>
      </c>
      <c r="E32" s="27"/>
      <c r="F32" s="33"/>
      <c r="G32" s="33">
        <f>Financials!D8/Financials!C8-1</f>
        <v>4.4313841629051698</v>
      </c>
      <c r="H32" s="33">
        <f>Financials!E8/Financials!D8-1</f>
        <v>1.4895083594684237</v>
      </c>
      <c r="I32" s="33">
        <f>Financials!F8/Financials!E8-1</f>
        <v>0.95914580265095739</v>
      </c>
      <c r="J32" s="33">
        <f>Financials!G8/Financials!F8-1</f>
        <v>2.0888189584685009</v>
      </c>
      <c r="K32" s="33">
        <f>Financials!H8/Financials!G8-1</f>
        <v>-0.85148989980303069</v>
      </c>
      <c r="L32" s="33">
        <f>Financials!I8/Financials!G8-1</f>
        <v>0.43131798665521437</v>
      </c>
      <c r="M32" s="33">
        <f>Financials!J8/Financials!I8-1</f>
        <v>-0.7951603713814005</v>
      </c>
      <c r="N32" s="33">
        <f>Financials!K8/Financials!J8-1</f>
        <v>-0.41356834723472069</v>
      </c>
      <c r="O32" s="33">
        <f>Financials!L8/Financials!K8-1</f>
        <v>-7.2076202433274172E-2</v>
      </c>
      <c r="P32" s="33">
        <f>Financials!M8/Financials!L8-1</f>
        <v>3.8880374751052438E-2</v>
      </c>
      <c r="Q32" s="33">
        <f>Financials!N8/Financials!M8-1</f>
        <v>1.0858161463269678E-3</v>
      </c>
      <c r="R32" s="33">
        <f>Financials!O8/Financials!N8-1</f>
        <v>0.14227154126142838</v>
      </c>
      <c r="S32" s="33">
        <f>Financials!P8/Financials!O8-1</f>
        <v>0.32546569527712554</v>
      </c>
      <c r="T32" s="33">
        <f>Financials!Q8/Financials!P8-1</f>
        <v>0.14367465619305575</v>
      </c>
      <c r="U32" s="33">
        <f>Financials!R8/Financials!Q8-1</f>
        <v>-0.22529875250702502</v>
      </c>
      <c r="V32" s="33">
        <f>Financials!S8/Financials!R8-1</f>
        <v>0.18041520218595108</v>
      </c>
      <c r="W32" s="33">
        <f>Financials!T8/Financials!S8-1</f>
        <v>-4.4218027504604018E-2</v>
      </c>
      <c r="X32" s="33">
        <f>Financials!U8/Financials!T8-1</f>
        <v>-1.4411147862742668E-2</v>
      </c>
      <c r="Y32" s="33">
        <f>Financials!W8/Financials!V8-1</f>
        <v>-0.87539628933189007</v>
      </c>
      <c r="Z32" s="33">
        <f>Financials!X8/Financials!W8-1</f>
        <v>-0.16125275030013986</v>
      </c>
      <c r="AA32" s="33">
        <f>Financials!Y8/Financials!X8-1</f>
        <v>0.27063661611635781</v>
      </c>
      <c r="AB32" s="33">
        <f>Financials!Z8/Financials!Y8-1</f>
        <v>-5.4775561121203187E-2</v>
      </c>
      <c r="AC32" s="33">
        <f>Financials!AA8/Financials!Z8-1</f>
        <v>0.43742348337646364</v>
      </c>
      <c r="AD32" s="33">
        <f>Financials!AB8/Financials!AA8-1</f>
        <v>-0.41927339815407116</v>
      </c>
      <c r="AE32" s="33">
        <f>Financials!AC8/Financials!AB8-1</f>
        <v>0.37934899987911086</v>
      </c>
      <c r="AF32" s="33">
        <f>Financials!AD8/Financials!AC8-1</f>
        <v>0.19432404267604664</v>
      </c>
      <c r="AG32" s="33">
        <f>Financials!AE8/Financials!AD8-1</f>
        <v>4.2939275137887201E-2</v>
      </c>
      <c r="AH32" s="33">
        <f>Financials!AF8/Financials!AE8-1</f>
        <v>-7.2557439036618043E-2</v>
      </c>
      <c r="AI32" s="33">
        <f>Financials!AG8/Financials!AF8-1</f>
        <v>0.12540022494912173</v>
      </c>
      <c r="AJ32" s="33">
        <f>Financials!AH8/Financials!AG8-1</f>
        <v>-5.3143055264198935E-2</v>
      </c>
      <c r="AK32" s="33">
        <f>Financials!AI8/Financials!AH8-1</f>
        <v>9.1564826351885245</v>
      </c>
      <c r="AL32" s="33">
        <f>Financials!AJ8/Financials!AI8-1</f>
        <v>-6.4456803357939352E-2</v>
      </c>
      <c r="AM32" s="33">
        <f>Financials!AK8/Financials!AJ8-1</f>
        <v>-1</v>
      </c>
      <c r="AN32" s="33" t="e">
        <f>Financials!AL8/Financials!AK8-1</f>
        <v>#DIV/0!</v>
      </c>
      <c r="AO32" s="33">
        <f>Financials!AM8/Financials!AL8-1</f>
        <v>0</v>
      </c>
      <c r="AP32" s="33">
        <f>Financials!AN8/Financials!AM8-1</f>
        <v>0</v>
      </c>
      <c r="AQ32" s="33">
        <f>Financials!AO8/Financials!AN8-1</f>
        <v>-0.35192266880955303</v>
      </c>
      <c r="AR32" s="33">
        <f>Financials!AP8/Financials!AO8-1</f>
        <v>0.54302573454175551</v>
      </c>
      <c r="AS32" s="33">
        <f>Financials!AQ8/Financials!AP8-1</f>
        <v>0</v>
      </c>
      <c r="AT32" s="33">
        <f>Financials!AR8/Financials!V8-1</f>
        <v>-0.72159546974518818</v>
      </c>
      <c r="AU32" s="33">
        <f>Financials!AS8/Financials!W8-1</f>
        <v>1.234319738650163</v>
      </c>
      <c r="AV32" s="33">
        <f>Financials!AT8/Financials!X8-1</f>
        <v>-1</v>
      </c>
      <c r="AW32" s="33">
        <f>Financials!AU8/Financials!Y8-1</f>
        <v>1.0964902491033945</v>
      </c>
      <c r="AX32" s="33">
        <f>Financials!AV8/Financials!Z8-1</f>
        <v>12.180733227635136</v>
      </c>
      <c r="AY32" s="33">
        <f>Financials!AW8/Financials!AA8-1</f>
        <v>8.5364886391995469</v>
      </c>
      <c r="AZ32" s="33">
        <f>Financials!AX8/Financials!AB8-1</f>
        <v>-1</v>
      </c>
      <c r="BA32" s="33">
        <f>Financials!AY8/Financials!AC8-1</f>
        <v>-1</v>
      </c>
      <c r="BB32" s="33">
        <f>Financials!AZ8/Financials!AD8-1</f>
        <v>-10.586773672294662</v>
      </c>
      <c r="BC32" s="33">
        <f>Financials!BA8/Financials!AE8-1</f>
        <v>-21.206356961872689</v>
      </c>
      <c r="BD32" s="33">
        <f>Financials!BB8/Financials!AF8-1</f>
        <v>10.369385948639842</v>
      </c>
      <c r="BE32" s="33">
        <f>Financials!BC8/Financials!AG8-1</f>
        <v>6.6011390382872079</v>
      </c>
      <c r="BF32" s="33">
        <f>Financials!BD8/Financials!AH8-1</f>
        <v>6.4363410338787785</v>
      </c>
      <c r="BG32" s="33">
        <f>Financials!BE8/Financials!AI8-1</f>
        <v>-0.20619953969440286</v>
      </c>
      <c r="BH32" s="33">
        <f>Financials!BF8/Financials!AJ8-1</f>
        <v>-0.14402625463457985</v>
      </c>
      <c r="BI32" s="33" t="e">
        <f>Financials!BG8/Financials!AK8-1</f>
        <v>#DIV/0!</v>
      </c>
      <c r="BJ32" s="33">
        <f>Financials!BH8/Financials!AL8-1</f>
        <v>4.3495451031603336</v>
      </c>
      <c r="BK32" s="33">
        <f>Financials!BI8/Financials!AM8-1</f>
        <v>3.5686238160646244</v>
      </c>
      <c r="BL32" s="33">
        <f>Financials!BJ8/Financials!AN8-1</f>
        <v>4.778117907265881</v>
      </c>
      <c r="BM32" s="33">
        <f>Financials!BK8/Financials!AO8-1</f>
        <v>2.0092506895887219</v>
      </c>
      <c r="BN32" s="33">
        <f>Financials!BL8/Financials!AP8-1</f>
        <v>4.7166408729785116</v>
      </c>
      <c r="BO32" s="33">
        <f>Financials!BM8/Financials!AQ8-1</f>
        <v>4.701555236746362</v>
      </c>
      <c r="BP32" s="33">
        <f>Financials!BN8/Financials!AR8-1</f>
        <v>4.8747852745437417</v>
      </c>
      <c r="BQ32" s="33">
        <f>Financials!BO8/Financials!AS8-1</f>
        <v>4.261875130728451</v>
      </c>
      <c r="BR32" s="33" t="e">
        <f>Financials!BP8/Financials!AT8-1</f>
        <v>#DIV/0!</v>
      </c>
      <c r="BS32" s="33">
        <f>Financials!BQ8/Financials!AU8-1</f>
        <v>4.5819500842514644</v>
      </c>
      <c r="BT32" s="33">
        <f>Financials!BR8/Financials!AV8-1</f>
        <v>-6.1754939176655865E-2</v>
      </c>
      <c r="BU32" s="33">
        <f>Financials!BS8/Financials!AW8-1</f>
        <v>-0.13857828478374934</v>
      </c>
      <c r="BV32" s="33" t="e">
        <f>Financials!BT8/Financials!AX8-1</f>
        <v>#DIV/0!</v>
      </c>
      <c r="BW32" s="33" t="e">
        <f>Financials!BU8/Financials!AY8-1</f>
        <v>#DIV/0!</v>
      </c>
      <c r="BX32" s="33">
        <f>Financials!BV8/Financials!AZ8-1</f>
        <v>-1.9178157442940864</v>
      </c>
      <c r="BY32" s="33">
        <f>Financials!BW8/Financials!BA8-1</f>
        <v>-1.4175234866070936</v>
      </c>
      <c r="BZ32" s="33">
        <f>Financials!BX8/Financials!BB8-1</f>
        <v>-7.8437428053599767E-2</v>
      </c>
      <c r="CA32" s="33">
        <f>Financials!BY8/Financials!BC8-1</f>
        <v>5.6794894082317082E-3</v>
      </c>
      <c r="CB32" s="33">
        <f>Financials!BZ8/Financials!BD8-1</f>
        <v>0.31159719054562451</v>
      </c>
      <c r="CC32" s="33">
        <f>Financials!CA8/Financials!BE8-1</f>
        <v>3.3708583119885338E-2</v>
      </c>
      <c r="CD32" s="33">
        <f>Financials!CB8/Financials!BF8-1</f>
        <v>0.28288664093699611</v>
      </c>
      <c r="CE32" s="33" t="e">
        <f>Financials!CC8/Financials!BG8-1</f>
        <v>#DIV/0!</v>
      </c>
      <c r="CF32" s="33">
        <f>Financials!CD8/Financials!BH8-1</f>
        <v>0.2873158152797759</v>
      </c>
      <c r="CG32" s="33">
        <f>Financials!CE8/Financials!BI8-1</f>
        <v>0.49360792775133366</v>
      </c>
      <c r="CH32" s="33">
        <f>Financials!CF8/Financials!BJ8-1</f>
        <v>0.27407215632091564</v>
      </c>
      <c r="CI32" s="33">
        <f>Financials!CG8/Financials!BK8-1</f>
        <v>2.5645250250202185</v>
      </c>
      <c r="CJ32" s="33">
        <f>Financials!CH8/Financials!BL8-1</f>
        <v>0.21958971698113872</v>
      </c>
      <c r="CK32" s="33">
        <f>Financials!CI8/Financials!BM8-1</f>
        <v>9.8967093757740932E-2</v>
      </c>
      <c r="CL32" s="33">
        <f>Financials!CJ8/Financials!BN8-1</f>
        <v>0.25529768240333239</v>
      </c>
      <c r="CM32" s="33">
        <f>Financials!CK8/Financials!BO8-1</f>
        <v>0.3576333035531869</v>
      </c>
      <c r="CN32" s="33">
        <f>Financials!CL8/Financials!BP8-1</f>
        <v>0.28456939029998551</v>
      </c>
      <c r="CO32" s="33">
        <f>Financials!CM8/Financials!BQ8-1</f>
        <v>0.27502201297518658</v>
      </c>
      <c r="CP32" s="33">
        <f>Financials!CN8/Financials!BR8-1</f>
        <v>0.32305800703121723</v>
      </c>
      <c r="CQ32" s="33">
        <f>Financials!CO8/Financials!BS8-1</f>
        <v>0.34896279337173319</v>
      </c>
      <c r="CR32" s="33">
        <f>Financials!CP8/Financials!BT8-1</f>
        <v>0.64043926020391173</v>
      </c>
      <c r="CS32" s="33">
        <f>Financials!CQ8/Financials!BU8-1</f>
        <v>0.28790880209286174</v>
      </c>
      <c r="CT32" s="33">
        <f>Financials!CR8/Financials!BV8-1</f>
        <v>0.36970218839278868</v>
      </c>
      <c r="CU32" s="33">
        <f>Financials!CS8/Financials!BW8-1</f>
        <v>0.40091792078685895</v>
      </c>
      <c r="CV32" s="33">
        <f>Financials!CT8/Financials!BX8-1</f>
        <v>0.21627775171974872</v>
      </c>
      <c r="CW32" s="33">
        <f>Financials!CU8/Financials!BY8-1</f>
        <v>0.47594434331661861</v>
      </c>
      <c r="CX32" s="33">
        <f>Financials!CV8/Financials!BZ8-1</f>
        <v>2.1529155598873917E-3</v>
      </c>
      <c r="CY32" s="33">
        <f>Financials!CW8/Financials!CA8-1</f>
        <v>0.62411222995789184</v>
      </c>
      <c r="CZ32" s="33">
        <f>Financials!CX8/Financials!CB8-1</f>
        <v>0.23206513987285549</v>
      </c>
      <c r="DA32" s="33">
        <f>Financials!CY8/Financials!CC8-1</f>
        <v>0.31544549486811624</v>
      </c>
      <c r="DB32" s="33">
        <f>Financials!CZ8/Financials!CD8-1</f>
        <v>0.32528024730475935</v>
      </c>
      <c r="DC32" s="33">
        <f>Financials!DA8/Financials!CE8-1</f>
        <v>0.33520390676518863</v>
      </c>
      <c r="DD32" s="33">
        <f>Financials!DB8/Financials!CF8-1</f>
        <v>0.21595812558005845</v>
      </c>
      <c r="DE32" s="33">
        <f>Financials!DC8/Financials!CG8-1</f>
        <v>0.34615225554750473</v>
      </c>
      <c r="DF32" s="33">
        <f>Financials!DD8/Financials!CH8-1</f>
        <v>0.38734847754607893</v>
      </c>
      <c r="DG32" s="33">
        <f>Financials!DE8/Financials!CI8-1</f>
        <v>0.56676861947399315</v>
      </c>
      <c r="DH32" s="33">
        <f>Financials!DF8/Financials!CJ8-1</f>
        <v>0.49498403910351718</v>
      </c>
      <c r="DI32" s="33">
        <f>Financials!DG8/Financials!CK8-1</f>
        <v>0.27301782948943898</v>
      </c>
      <c r="DJ32" s="33">
        <f>Financials!DH8/Financials!CL8-1</f>
        <v>0.31461814590546777</v>
      </c>
      <c r="DK32" s="33">
        <f>Financials!DI8/Financials!CM8-1</f>
        <v>0.25149567770137859</v>
      </c>
      <c r="DL32" s="33">
        <f>Financials!DJ8/Financials!CN8-1</f>
        <v>0.4682101396246845</v>
      </c>
      <c r="DM32" s="33">
        <f>Financials!DK8/Financials!CO8-1</f>
        <v>0.35444190235213879</v>
      </c>
      <c r="DN32" s="33">
        <f>Financials!DL8/Financials!CP8-1</f>
        <v>0.15287056317569991</v>
      </c>
      <c r="DO32" s="33">
        <f>Financials!DM8/Financials!CQ8-1</f>
        <v>0.35212976558090747</v>
      </c>
      <c r="DP32" s="33">
        <f>Financials!DN8/Financials!CR8-1</f>
        <v>0.41264505298162346</v>
      </c>
      <c r="DQ32" s="33">
        <f>Financials!DO8/Financials!CS8-1</f>
        <v>0.23503666596442385</v>
      </c>
      <c r="DR32" s="33">
        <f>Financials!DP8/Financials!CT8-1</f>
        <v>0.24710407395025058</v>
      </c>
      <c r="DS32" s="33">
        <f>Financials!DQ8/Financials!CU8-1</f>
        <v>0.23404281401719684</v>
      </c>
      <c r="DT32" s="33">
        <f>Financials!DR8/Financials!CV8-1</f>
        <v>0.5270997372928965</v>
      </c>
      <c r="DU32" s="33">
        <f>Financials!DS8/Financials!CW8-1</f>
        <v>8.4561475599679401</v>
      </c>
      <c r="DV32" s="33">
        <f>Financials!DT8/Financials!CX8-1</f>
        <v>9.0873369623966855</v>
      </c>
      <c r="DW32" s="33">
        <f>Financials!DU8/Financials!CY8-1</f>
        <v>8.4137342317195891</v>
      </c>
      <c r="DX32" s="33">
        <f>Financials!DV8/Financials!CZ8-1</f>
        <v>-1</v>
      </c>
      <c r="DY32" s="33">
        <f>Financials!DW8/Financials!DA8-1</f>
        <v>-5.4960965021858654E-2</v>
      </c>
    </row>
    <row r="33" spans="2:129" hidden="1" x14ac:dyDescent="0.25">
      <c r="B33" s="13" t="s">
        <v>241</v>
      </c>
      <c r="C33" s="34" t="s">
        <v>242</v>
      </c>
      <c r="D33" s="24" t="s">
        <v>229</v>
      </c>
      <c r="E33" s="27"/>
      <c r="F33" s="33"/>
      <c r="G33" s="33">
        <f>Financials!D7/Financials!C7-1</f>
        <v>1.4703803842073948</v>
      </c>
      <c r="H33" s="33">
        <f>Financials!E7/Financials!D7-1</f>
        <v>0.29913942451148201</v>
      </c>
      <c r="I33" s="33">
        <f>Financials!F7/Financials!E7-1</f>
        <v>1.0759304385087844</v>
      </c>
      <c r="J33" s="33">
        <f>Financials!G7/Financials!F7-1</f>
        <v>0.47117432590119335</v>
      </c>
      <c r="K33" s="33">
        <f>Financials!H7/Financials!G7-1</f>
        <v>1.0506559870631746</v>
      </c>
      <c r="L33" s="33">
        <f>Financials!I7/Financials!G7-1</f>
        <v>0.50960152689413896</v>
      </c>
      <c r="M33" s="33">
        <f>Financials!J7/Financials!I7-1</f>
        <v>1.7874693435440503</v>
      </c>
      <c r="N33" s="33">
        <f>Financials!K7/Financials!J7-1</f>
        <v>-0.48183069089795916</v>
      </c>
      <c r="O33" s="33">
        <f>Financials!L7/Financials!K7-1</f>
        <v>5.3659980532653417E-2</v>
      </c>
      <c r="P33" s="33">
        <f>Financials!M7/Financials!L7-1</f>
        <v>2.4826848302452298E-2</v>
      </c>
      <c r="Q33" s="33">
        <f>Financials!N7/Financials!M7-1</f>
        <v>1.2171561082435556E-2</v>
      </c>
      <c r="R33" s="33">
        <f>Financials!O7/Financials!N7-1</f>
        <v>3.1878941540729455E-2</v>
      </c>
      <c r="S33" s="33">
        <f>Financials!P7/Financials!O7-1</f>
        <v>3.6353611565528299E-2</v>
      </c>
      <c r="T33" s="33">
        <f>Financials!Q7/Financials!P7-1</f>
        <v>2.4468156640261585E-2</v>
      </c>
      <c r="U33" s="33">
        <f>Financials!R7/Financials!Q7-1</f>
        <v>2.2904098094296943E-2</v>
      </c>
      <c r="V33" s="33">
        <f>Financials!S7/Financials!R7-1</f>
        <v>3.3785373800619301E-2</v>
      </c>
      <c r="W33" s="33">
        <f>Financials!T7/Financials!S7-1</f>
        <v>-6.8549935405510798E-3</v>
      </c>
      <c r="X33" s="33">
        <f>Financials!U7/Financials!T7-1</f>
        <v>7.4294536285739454E-3</v>
      </c>
      <c r="Y33" s="33">
        <f>Financials!W7/Financials!V7-1</f>
        <v>0.35602118564319785</v>
      </c>
      <c r="Z33" s="33">
        <f>Financials!X7/Financials!W7-1</f>
        <v>-1.5720505563590947E-2</v>
      </c>
      <c r="AA33" s="33">
        <f>Financials!Y7/Financials!X7-1</f>
        <v>5.9999475999443552E-2</v>
      </c>
      <c r="AB33" s="33">
        <f>Financials!Z7/Financials!Y7-1</f>
        <v>3.9108580255108993E-2</v>
      </c>
      <c r="AC33" s="33">
        <f>Financials!AA7/Financials!Z7-1</f>
        <v>3.0181627026404367E-2</v>
      </c>
      <c r="AD33" s="33">
        <f>Financials!AB7/Financials!AA7-1</f>
        <v>4.9364320241558124E-2</v>
      </c>
      <c r="AE33" s="33">
        <f>Financials!AC7/Financials!AB7-1</f>
        <v>-1.023227270070981E-2</v>
      </c>
      <c r="AF33" s="33">
        <f>Financials!AD7/Financials!AC7-1</f>
        <v>3.4583274096137595E-2</v>
      </c>
      <c r="AG33" s="33">
        <f>Financials!AE7/Financials!AD7-1</f>
        <v>3.6880466846906268E-2</v>
      </c>
      <c r="AH33" s="33">
        <f>Financials!AF7/Financials!AE7-1</f>
        <v>3.483803701813315E-2</v>
      </c>
      <c r="AI33" s="33">
        <f>Financials!AG7/Financials!AF7-1</f>
        <v>2.0575297814978244E-2</v>
      </c>
      <c r="AJ33" s="33">
        <f>Financials!AH7/Financials!AG7-1</f>
        <v>8.5703599218112103E-4</v>
      </c>
      <c r="AK33" s="33">
        <f>Financials!AI7/Financials!AH7-1</f>
        <v>-0.21946840222917952</v>
      </c>
      <c r="AL33" s="33">
        <f>Financials!AJ7/Financials!AI7-1</f>
        <v>0</v>
      </c>
      <c r="AM33" s="33">
        <f>Financials!AK7/Financials!AJ7-1</f>
        <v>-1</v>
      </c>
      <c r="AN33" s="33" t="e">
        <f>Financials!AL7/Financials!AK7-1</f>
        <v>#DIV/0!</v>
      </c>
      <c r="AO33" s="33">
        <f>Financials!AM7/Financials!AL7-1</f>
        <v>0</v>
      </c>
      <c r="AP33" s="33">
        <f>Financials!AN7/Financials!AM7-1</f>
        <v>1.6082502189407322E-4</v>
      </c>
      <c r="AQ33" s="33">
        <f>Financials!AO7/Financials!AN7-1</f>
        <v>-0.17932264051776636</v>
      </c>
      <c r="AR33" s="33">
        <f>Financials!AP7/Financials!AO7-1</f>
        <v>0.21870158547126017</v>
      </c>
      <c r="AS33" s="33">
        <f>Financials!AQ7/Financials!AP7-1</f>
        <v>-1.2657244156886183E-3</v>
      </c>
      <c r="AT33" s="33">
        <f>Financials!AR7/Financials!V7-1</f>
        <v>0.84355030711278567</v>
      </c>
      <c r="AU33" s="33">
        <f>Financials!AS7/Financials!W7-1</f>
        <v>0.35974464922036598</v>
      </c>
      <c r="AV33" s="33">
        <f>Financials!AT7/Financials!X7-1</f>
        <v>-1</v>
      </c>
      <c r="AW33" s="33">
        <f>Financials!AU7/Financials!Y7-1</f>
        <v>0.30348906913702089</v>
      </c>
      <c r="AX33" s="33">
        <f>Financials!AV7/Financials!Z7-1</f>
        <v>0.18382698326332347</v>
      </c>
      <c r="AY33" s="33">
        <f>Financials!AW7/Financials!AA7-1</f>
        <v>0.21479958522283349</v>
      </c>
      <c r="AZ33" s="33">
        <f>Financials!AX7/Financials!AB7-1</f>
        <v>-1</v>
      </c>
      <c r="BA33" s="33">
        <f>Financials!AY7/Financials!AC7-1</f>
        <v>-1</v>
      </c>
      <c r="BB33" s="33">
        <f>Financials!AZ7/Financials!AD7-1</f>
        <v>-2.1524742723945494</v>
      </c>
      <c r="BC33" s="33">
        <f>Financials!BA7/Financials!AE7-1</f>
        <v>-3.459119369291757</v>
      </c>
      <c r="BD33" s="33">
        <f>Financials!BB7/Financials!AF7-1</f>
        <v>0.17794394894690213</v>
      </c>
      <c r="BE33" s="33">
        <f>Financials!BC7/Financials!AG7-1</f>
        <v>0.15666677852896904</v>
      </c>
      <c r="BF33" s="33">
        <f>Financials!BD7/Financials!AH7-1</f>
        <v>0.17549850130998079</v>
      </c>
      <c r="BG33" s="33">
        <f>Financials!BE7/Financials!AI7-1</f>
        <v>0.54157487732103116</v>
      </c>
      <c r="BH33" s="33">
        <f>Financials!BF7/Financials!AJ7-1</f>
        <v>0.50224896450096601</v>
      </c>
      <c r="BI33" s="33" t="e">
        <f>Financials!BG7/Financials!AK7-1</f>
        <v>#DIV/0!</v>
      </c>
      <c r="BJ33" s="33">
        <f>Financials!BH7/Financials!AL7-1</f>
        <v>0.15167594798285089</v>
      </c>
      <c r="BK33" s="33">
        <f>Financials!BI7/Financials!AM7-1</f>
        <v>0.13135602324309348</v>
      </c>
      <c r="BL33" s="33">
        <f>Financials!BJ7/Financials!AN7-1</f>
        <v>0.1311740919106763</v>
      </c>
      <c r="BM33" s="33">
        <f>Financials!BK7/Financials!AO7-1</f>
        <v>0.42578330278867171</v>
      </c>
      <c r="BN33" s="33">
        <f>Financials!BL7/Financials!AP7-1</f>
        <v>0.17096584659379377</v>
      </c>
      <c r="BO33" s="33">
        <f>Financials!BM7/Financials!AQ7-1</f>
        <v>0.20392699439662021</v>
      </c>
      <c r="BP33" s="33">
        <f>Financials!BN7/Financials!AR7-1</f>
        <v>0.22502196204021296</v>
      </c>
      <c r="BQ33" s="33">
        <f>Financials!BO7/Financials!AS7-1</f>
        <v>0.23806674767813818</v>
      </c>
      <c r="BR33" s="33" t="e">
        <f>Financials!BP7/Financials!AT7-1</f>
        <v>#DIV/0!</v>
      </c>
      <c r="BS33" s="33">
        <f>Financials!BQ7/Financials!AU7-1</f>
        <v>0.26675153199775226</v>
      </c>
      <c r="BT33" s="33">
        <f>Financials!BR7/Financials!AV7-1</f>
        <v>0.37174096887309682</v>
      </c>
      <c r="BU33" s="33">
        <f>Financials!BS7/Financials!AW7-1</f>
        <v>0.3121739587847332</v>
      </c>
      <c r="BV33" s="33" t="e">
        <f>Financials!BT7/Financials!AX7-1</f>
        <v>#DIV/0!</v>
      </c>
      <c r="BW33" s="33" t="e">
        <f>Financials!BU7/Financials!AY7-1</f>
        <v>#DIV/0!</v>
      </c>
      <c r="BX33" s="33">
        <f>Financials!BV7/Financials!AZ7-1</f>
        <v>-2.3359228757903354</v>
      </c>
      <c r="BY33" s="33">
        <f>Financials!BW7/Financials!BA7-1</f>
        <v>-1.6038155933905411</v>
      </c>
      <c r="BZ33" s="33">
        <f>Financials!BX7/Financials!BB7-1</f>
        <v>0.24311955560049614</v>
      </c>
      <c r="CA33" s="33">
        <f>Financials!BY7/Financials!BC7-1</f>
        <v>0.24422029584602822</v>
      </c>
      <c r="CB33" s="33">
        <f>Financials!BZ7/Financials!BD7-1</f>
        <v>0.25327528792746579</v>
      </c>
      <c r="CC33" s="33">
        <f>Financials!CA7/Financials!BE7-1</f>
        <v>0.25512334582411067</v>
      </c>
      <c r="CD33" s="33">
        <f>Financials!CB7/Financials!BF7-1</f>
        <v>0.331203240684107</v>
      </c>
      <c r="CE33" s="33" t="e">
        <f>Financials!CC7/Financials!BG7-1</f>
        <v>#DIV/0!</v>
      </c>
      <c r="CF33" s="33">
        <f>Financials!CD7/Financials!BH7-1</f>
        <v>0.37656768718800282</v>
      </c>
      <c r="CG33" s="33">
        <f>Financials!CE7/Financials!BI7-1</f>
        <v>0.43564999968450757</v>
      </c>
      <c r="CH33" s="33">
        <f>Financials!CF7/Financials!BJ7-1</f>
        <v>0.47499786905948582</v>
      </c>
      <c r="CI33" s="33">
        <f>Financials!CG7/Financials!BK7-1</f>
        <v>0.44677878859766906</v>
      </c>
      <c r="CJ33" s="33">
        <f>Financials!CH7/Financials!BL7-1</f>
        <v>0.4677722640222568</v>
      </c>
      <c r="CK33" s="33">
        <f>Financials!CI7/Financials!BM7-1</f>
        <v>-0.63718666793351875</v>
      </c>
      <c r="CL33" s="33">
        <f>Financials!CJ7/Financials!BN7-1</f>
        <v>0.38510721581211449</v>
      </c>
      <c r="CM33" s="33">
        <f>Financials!CK7/Financials!BO7-1</f>
        <v>0.41119804958035178</v>
      </c>
      <c r="CN33" s="33">
        <f>Financials!CL7/Financials!BP7-1</f>
        <v>0.42953773564447562</v>
      </c>
      <c r="CO33" s="33">
        <f>Financials!CM7/Financials!BQ7-1</f>
        <v>0.4415590130683591</v>
      </c>
      <c r="CP33" s="33">
        <f>Financials!CN7/Financials!BR7-1</f>
        <v>0.43241924700122625</v>
      </c>
      <c r="CQ33" s="33">
        <f>Financials!CO7/Financials!BS7-1</f>
        <v>0.43342200866409475</v>
      </c>
      <c r="CR33" s="33">
        <f>Financials!CP7/Financials!BT7-1</f>
        <v>0.42959795215309571</v>
      </c>
      <c r="CS33" s="33">
        <f>Financials!CQ7/Financials!BU7-1</f>
        <v>0.45282251843484267</v>
      </c>
      <c r="CT33" s="33">
        <f>Financials!CR7/Financials!BV7-1</f>
        <v>0.44877523056756563</v>
      </c>
      <c r="CU33" s="33">
        <f>Financials!CS7/Financials!BW7-1</f>
        <v>0.49248407090358426</v>
      </c>
      <c r="CV33" s="33">
        <f>Financials!CT7/Financials!BX7-1</f>
        <v>0.46245910987246752</v>
      </c>
      <c r="CW33" s="33">
        <f>Financials!CU7/Financials!BY7-1</f>
        <v>0.48137918052046724</v>
      </c>
      <c r="CX33" s="33">
        <f>Financials!CV7/Financials!BZ7-1</f>
        <v>0.46086673887294083</v>
      </c>
      <c r="CY33" s="33">
        <f>Financials!CW7/Financials!CA7-1</f>
        <v>0.42507472123590384</v>
      </c>
      <c r="CZ33" s="33">
        <f>Financials!CX7/Financials!CB7-1</f>
        <v>0.4067299269187743</v>
      </c>
      <c r="DA33" s="33">
        <f>Financials!CY7/Financials!CC7-1</f>
        <v>0.40161077976045045</v>
      </c>
      <c r="DB33" s="33">
        <f>Financials!CZ7/Financials!CD7-1</f>
        <v>0.39117197757021005</v>
      </c>
      <c r="DC33" s="33">
        <f>Financials!DA7/Financials!CE7-1</f>
        <v>0.37011202158819989</v>
      </c>
      <c r="DD33" s="33">
        <f>Financials!DB7/Financials!CF7-1</f>
        <v>0.35784854503567654</v>
      </c>
      <c r="DE33" s="33">
        <f>Financials!DC7/Financials!CG7-1</f>
        <v>0.35600883198115918</v>
      </c>
      <c r="DF33" s="33">
        <f>Financials!DD7/Financials!CH7-1</f>
        <v>0.35983380031363588</v>
      </c>
      <c r="DG33" s="33">
        <f>Financials!DE7/Financials!CI7-1</f>
        <v>4.4390069681671704</v>
      </c>
      <c r="DH33" s="33">
        <f>Financials!DF7/Financials!CJ7-1</f>
        <v>0.41722674088488598</v>
      </c>
      <c r="DI33" s="33">
        <f>Financials!DG7/Financials!CK7-1</f>
        <v>0.38175006057847494</v>
      </c>
      <c r="DJ33" s="33">
        <f>Financials!DH7/Financials!CL7-1</f>
        <v>0.3746018568092202</v>
      </c>
      <c r="DK33" s="33">
        <f>Financials!DI7/Financials!CM7-1</f>
        <v>0.32657129248369676</v>
      </c>
      <c r="DL33" s="33">
        <f>Financials!DJ7/Financials!CN7-1</f>
        <v>0.3063827201887257</v>
      </c>
      <c r="DM33" s="33">
        <f>Financials!DK7/Financials!CO7-1</f>
        <v>0.29123367161677116</v>
      </c>
      <c r="DN33" s="33">
        <f>Financials!DL7/Financials!CP7-1</f>
        <v>0.29638864290281042</v>
      </c>
      <c r="DO33" s="33">
        <f>Financials!DM7/Financials!CQ7-1</f>
        <v>0.30362720840028534</v>
      </c>
      <c r="DP33" s="33">
        <f>Financials!DN7/Financials!CR7-1</f>
        <v>0.29687557563235445</v>
      </c>
      <c r="DQ33" s="33">
        <f>Financials!DO7/Financials!CS7-1</f>
        <v>0.2757094884903093</v>
      </c>
      <c r="DR33" s="33">
        <f>Financials!DP7/Financials!CT7-1</f>
        <v>0.29140530580299195</v>
      </c>
      <c r="DS33" s="33">
        <f>Financials!DQ7/Financials!CU7-1</f>
        <v>0.28800436018240316</v>
      </c>
      <c r="DT33" s="33">
        <f>Financials!DR7/Financials!CV7-1</f>
        <v>0.28746394199160674</v>
      </c>
      <c r="DU33" s="33">
        <f>Financials!DS7/Financials!CW7-1</f>
        <v>-0.93597096196463447</v>
      </c>
      <c r="DV33" s="33">
        <f>Financials!DT7/Financials!CX7-1</f>
        <v>-0.93211367529393208</v>
      </c>
      <c r="DW33" s="33">
        <f>Financials!DU7/Financials!CY7-1</f>
        <v>-0.93297580837115279</v>
      </c>
      <c r="DX33" s="33">
        <f>Financials!DV7/Financials!CZ7-1</f>
        <v>-1</v>
      </c>
      <c r="DY33" s="33">
        <f>Financials!DW7/Financials!DA7-1</f>
        <v>0.23791644698906311</v>
      </c>
    </row>
    <row r="34" spans="2:129" hidden="1" x14ac:dyDescent="0.25">
      <c r="B34" s="13">
        <v>4.3</v>
      </c>
      <c r="C34" s="19" t="s">
        <v>168</v>
      </c>
      <c r="D34" s="24" t="s">
        <v>229</v>
      </c>
      <c r="E34" s="27"/>
      <c r="F34" s="33"/>
      <c r="G34" s="33">
        <f>Financials!D30/Financials!C30-1</f>
        <v>1.4601340985630551</v>
      </c>
      <c r="H34" s="33">
        <f>Financials!E30/Financials!D30-1</f>
        <v>1.5860506391224956</v>
      </c>
      <c r="I34" s="33">
        <f>Financials!F30/Financials!E30-1</f>
        <v>0.60446256367621887</v>
      </c>
      <c r="J34" s="33">
        <f>Financials!G30/Financials!F30-1</f>
        <v>0.2768168845563681</v>
      </c>
      <c r="K34" s="33">
        <f>Financials!H30/Financials!G30-1</f>
        <v>0.41325226484492306</v>
      </c>
      <c r="L34" s="33">
        <f>Financials!I30/Financials!G30-1</f>
        <v>0.41703857439263414</v>
      </c>
      <c r="M34" s="33">
        <f>Financials!J30/Financials!I30-1</f>
        <v>1.0430848075142354</v>
      </c>
      <c r="N34" s="33">
        <f>Financials!K30/Financials!J30-1</f>
        <v>-0.47783917802266263</v>
      </c>
      <c r="O34" s="33">
        <f>Financials!L30/Financials!K30-1</f>
        <v>2.4076342029349274E-2</v>
      </c>
      <c r="P34" s="33">
        <f>Financials!M30/Financials!L30-1</f>
        <v>5.5361031180430897E-2</v>
      </c>
      <c r="Q34" s="33">
        <f>Financials!N30/Financials!M30-1</f>
        <v>5.5949974192810448E-3</v>
      </c>
      <c r="R34" s="33">
        <f>Financials!O30/Financials!N30-1</f>
        <v>2.5507916897085536E-2</v>
      </c>
      <c r="S34" s="33">
        <f>Financials!P30/Financials!O30-1</f>
        <v>3.0694186079665009E-2</v>
      </c>
      <c r="T34" s="33">
        <f>Financials!Q30/Financials!P30-1</f>
        <v>4.0392195022258326E-2</v>
      </c>
      <c r="U34" s="33">
        <f>Financials!R30/Financials!Q30-1</f>
        <v>6.87928951977681E-2</v>
      </c>
      <c r="V34" s="33">
        <f>Financials!S30/Financials!R30-1</f>
        <v>6.1264649846372254E-2</v>
      </c>
      <c r="W34" s="33">
        <f>Financials!T30/Financials!S30-1</f>
        <v>8.2872867349177426E-3</v>
      </c>
      <c r="X34" s="33">
        <f>Financials!U30/Financials!T30-1</f>
        <v>1.4681135848468418E-2</v>
      </c>
      <c r="Y34" s="33">
        <f>Financials!W30/Financials!V30-1</f>
        <v>-1.8792237303315917E-2</v>
      </c>
      <c r="Z34" s="33">
        <f>Financials!X30/Financials!W30-1</f>
        <v>1.2412785049035424E-2</v>
      </c>
      <c r="AA34" s="33">
        <f>Financials!Y30/Financials!X30-1</f>
        <v>-2.4616961989333164E-2</v>
      </c>
      <c r="AB34" s="33">
        <f>Financials!Z30/Financials!Y30-1</f>
        <v>1.7214015836245489E-2</v>
      </c>
      <c r="AC34" s="33">
        <f>Financials!AA30/Financials!Z30-1</f>
        <v>-6.2361650818794079E-3</v>
      </c>
      <c r="AD34" s="33">
        <f>Financials!AB30/Financials!AA30-1</f>
        <v>4.6810873647918472E-2</v>
      </c>
      <c r="AE34" s="33">
        <f>Financials!AC30/Financials!AB30-1</f>
        <v>1.5893454504401161E-2</v>
      </c>
      <c r="AF34" s="33">
        <f>Financials!AD30/Financials!AC30-1</f>
        <v>2.5643565722292205E-2</v>
      </c>
      <c r="AG34" s="33">
        <f>Financials!AE30/Financials!AD30-1</f>
        <v>3.9518308029834026E-2</v>
      </c>
      <c r="AH34" s="33">
        <f>Financials!AF30/Financials!AE30-1</f>
        <v>-2.3102265149323342E-2</v>
      </c>
      <c r="AI34" s="33">
        <f>Financials!AG30/Financials!AF30-1</f>
        <v>5.865025528829948E-2</v>
      </c>
      <c r="AJ34" s="33">
        <f>Financials!AH30/Financials!AG30-1</f>
        <v>2.7400905111126139E-2</v>
      </c>
      <c r="AK34" s="33">
        <f>Financials!AI30/Financials!AH30-1</f>
        <v>8.4033333246031017E-2</v>
      </c>
      <c r="AL34" s="33">
        <f>Financials!AJ30/Financials!AI30-1</f>
        <v>-1.9454350685572552E-2</v>
      </c>
      <c r="AM34" s="33">
        <f>Financials!AK30/Financials!AJ30-1</f>
        <v>-1</v>
      </c>
      <c r="AN34" s="33" t="e">
        <f>Financials!AL30/Financials!AK30-1</f>
        <v>#DIV/0!</v>
      </c>
      <c r="AO34" s="33">
        <f>Financials!AM30/Financials!AL30-1</f>
        <v>-1.4394910803239291E-4</v>
      </c>
      <c r="AP34" s="33">
        <f>Financials!AN30/Financials!AM30-1</f>
        <v>5.7675599851592096E-7</v>
      </c>
      <c r="AQ34" s="33">
        <f>Financials!AO30/Financials!AN30-1</f>
        <v>-0.15215232084100261</v>
      </c>
      <c r="AR34" s="33">
        <f>Financials!AP30/Financials!AO30-1</f>
        <v>0.17974660503067064</v>
      </c>
      <c r="AS34" s="33">
        <f>Financials!AQ30/Financials!AP30-1</f>
        <v>0.11225092347587728</v>
      </c>
      <c r="AT34" s="33">
        <f>Financials!AR30/Financials!V30-1</f>
        <v>0.40626195530682363</v>
      </c>
      <c r="AU34" s="33">
        <f>Financials!AS30/Financials!W30-1</f>
        <v>0.50418334363904149</v>
      </c>
      <c r="AV34" s="33">
        <f>Financials!AT30/Financials!X30-1</f>
        <v>-1</v>
      </c>
      <c r="AW34" s="33">
        <f>Financials!AU30/Financials!Y30-1</f>
        <v>0.56335784945087797</v>
      </c>
      <c r="AX34" s="33">
        <f>Financials!AV30/Financials!Z30-1</f>
        <v>0.57202975985203075</v>
      </c>
      <c r="AY34" s="33">
        <f>Financials!AW30/Financials!AA30-1</f>
        <v>0.51831406225886645</v>
      </c>
      <c r="AZ34" s="33">
        <f>Financials!AX30/Financials!AB30-1</f>
        <v>-1</v>
      </c>
      <c r="BA34" s="33">
        <f>Financials!AY30/Financials!AC30-1</f>
        <v>-1</v>
      </c>
      <c r="BB34" s="33">
        <f>Financials!AZ30/Financials!AD30-1</f>
        <v>0.39783783053988242</v>
      </c>
      <c r="BC34" s="33">
        <f>Financials!BA30/Financials!AE30-1</f>
        <v>1.9628935160312895</v>
      </c>
      <c r="BD34" s="33">
        <f>Financials!BB30/Financials!AF30-1</f>
        <v>0.41415935476894017</v>
      </c>
      <c r="BE34" s="33">
        <f>Financials!BC30/Financials!AG30-1</f>
        <v>0.34280722616613346</v>
      </c>
      <c r="BF34" s="33">
        <f>Financials!BD30/Financials!AH30-1</f>
        <v>0.36680496661147854</v>
      </c>
      <c r="BG34" s="33">
        <f>Financials!BE30/Financials!AI30-1</f>
        <v>0.26501624019451531</v>
      </c>
      <c r="BH34" s="33">
        <f>Financials!BF30/Financials!AJ30-1</f>
        <v>0.30263951833634883</v>
      </c>
      <c r="BI34" s="33" t="e">
        <f>Financials!BG30/Financials!AK30-1</f>
        <v>#DIV/0!</v>
      </c>
      <c r="BJ34" s="33">
        <f>Financials!BH30/Financials!AL30-1</f>
        <v>0.32801867159878184</v>
      </c>
      <c r="BK34" s="33">
        <f>Financials!BI30/Financials!AM30-1</f>
        <v>0.33056137067932689</v>
      </c>
      <c r="BL34" s="33">
        <f>Financials!BJ30/Financials!AN30-1</f>
        <v>0.29712781831203405</v>
      </c>
      <c r="BM34" s="33">
        <f>Financials!BK30/Financials!AO30-1</f>
        <v>0.67289265444718693</v>
      </c>
      <c r="BN34" s="33">
        <f>Financials!BL30/Financials!AP30-1</f>
        <v>0.42746025334583959</v>
      </c>
      <c r="BO34" s="33">
        <f>Financials!BM30/Financials!AQ30-1</f>
        <v>0.30367823221364398</v>
      </c>
      <c r="BP34" s="33">
        <f>Financials!BN30/Financials!AR30-1</f>
        <v>0.28545784730664603</v>
      </c>
      <c r="BQ34" s="33">
        <f>Financials!BO30/Financials!AS30-1</f>
        <v>0.21001406080957485</v>
      </c>
      <c r="BR34" s="33" t="e">
        <f>Financials!BP30/Financials!AT30-1</f>
        <v>#DIV/0!</v>
      </c>
      <c r="BS34" s="33">
        <f>Financials!BQ30/Financials!AU30-1</f>
        <v>0.21252367369678704</v>
      </c>
      <c r="BT34" s="33">
        <f>Financials!BR30/Financials!AV30-1</f>
        <v>0.16522367206633382</v>
      </c>
      <c r="BU34" s="33">
        <f>Financials!BS30/Financials!AW30-1</f>
        <v>0.23247686131834566</v>
      </c>
      <c r="BV34" s="33" t="e">
        <f>Financials!BT30/Financials!AX30-1</f>
        <v>#DIV/0!</v>
      </c>
      <c r="BW34" s="33" t="e">
        <f>Financials!BU30/Financials!AY30-1</f>
        <v>#DIV/0!</v>
      </c>
      <c r="BX34" s="33">
        <f>Financials!BV30/Financials!AZ30-1</f>
        <v>0.24018386228725763</v>
      </c>
      <c r="BY34" s="33">
        <f>Financials!BW30/Financials!BA30-1</f>
        <v>-0.39559408877786995</v>
      </c>
      <c r="BZ34" s="33">
        <f>Financials!BX30/Financials!BB30-1</f>
        <v>0.25068922788183268</v>
      </c>
      <c r="CA34" s="33">
        <f>Financials!BY30/Financials!BC30-1</f>
        <v>0.25198378567616331</v>
      </c>
      <c r="CB34" s="33">
        <f>Financials!BZ30/Financials!BD30-1</f>
        <v>0.18607532094631329</v>
      </c>
      <c r="CC34" s="33">
        <f>Financials!CA30/Financials!BE30-1</f>
        <v>0.20334992633969828</v>
      </c>
      <c r="CD34" s="33">
        <f>Financials!CB30/Financials!BF30-1</f>
        <v>0.30170962501917309</v>
      </c>
      <c r="CE34" s="33" t="e">
        <f>Financials!CC30/Financials!BG30-1</f>
        <v>#DIV/0!</v>
      </c>
      <c r="CF34" s="33">
        <f>Financials!CD30/Financials!BH30-1</f>
        <v>0.36610516117246439</v>
      </c>
      <c r="CG34" s="33">
        <f>Financials!CE30/Financials!BI30-1</f>
        <v>0.43457995165667707</v>
      </c>
      <c r="CH34" s="33">
        <f>Financials!CF30/Financials!BJ30-1</f>
        <v>0.53337529777023862</v>
      </c>
      <c r="CI34" s="33">
        <f>Financials!CG30/Financials!BK30-1</f>
        <v>0.45289656417190916</v>
      </c>
      <c r="CJ34" s="33">
        <f>Financials!CH30/Financials!BL30-1</f>
        <v>0.50243750790801878</v>
      </c>
      <c r="CK34" s="33">
        <f>Financials!CI30/Financials!BM30-1</f>
        <v>0.46200390477231723</v>
      </c>
      <c r="CL34" s="33">
        <f>Financials!CJ30/Financials!BN30-1</f>
        <v>0.44979203016305358</v>
      </c>
      <c r="CM34" s="33">
        <f>Financials!CK30/Financials!BO30-1</f>
        <v>0.54516101874291301</v>
      </c>
      <c r="CN34" s="33">
        <f>Financials!CL30/Financials!BP30-1</f>
        <v>0.46732674976639177</v>
      </c>
      <c r="CO34" s="33" t="e">
        <f>Financials!CM30/Financials!BQ30-1</f>
        <v>#REF!</v>
      </c>
      <c r="CP34" s="33">
        <f>Financials!CN30/Financials!BR30-1</f>
        <v>0.5002726937439399</v>
      </c>
      <c r="CQ34" s="33">
        <f>Financials!CO30/Financials!BS30-1</f>
        <v>0.45715226134581188</v>
      </c>
      <c r="CR34" s="33">
        <f>Financials!CP30/Financials!BT30-1</f>
        <v>0.56031313827500195</v>
      </c>
      <c r="CS34" s="33">
        <f>Financials!CQ30/Financials!BU30-1</f>
        <v>0.54749489591424338</v>
      </c>
      <c r="CT34" s="33">
        <f>Financials!CR30/Financials!BV30-1</f>
        <v>0.57217541094421986</v>
      </c>
      <c r="CU34" s="33">
        <f>Financials!CS30/Financials!BW30-1</f>
        <v>0.50496634957629705</v>
      </c>
      <c r="CV34" s="33">
        <f>Financials!CT30/Financials!BX30-1</f>
        <v>0.55982067853365725</v>
      </c>
      <c r="CW34" s="33">
        <f>Financials!CU30/Financials!BY30-1</f>
        <v>0.62865597510813065</v>
      </c>
      <c r="CX34" s="33">
        <f>Financials!CV30/Financials!BZ30-1</f>
        <v>0.73101165943714852</v>
      </c>
      <c r="CY34" s="33">
        <f>Financials!CW30/Financials!CA30-1</f>
        <v>0.70081133240864601</v>
      </c>
      <c r="CZ34" s="33">
        <f>Financials!CX30/Financials!CB30-1</f>
        <v>0.59288565215120292</v>
      </c>
      <c r="DA34" s="33">
        <f>Financials!CY30/Financials!CC30-1</f>
        <v>0.58144539332021017</v>
      </c>
      <c r="DB34" s="33">
        <f>Financials!CZ30/Financials!CD30-1</f>
        <v>0.5655074504631068</v>
      </c>
      <c r="DC34" s="33">
        <f>Financials!DA30/Financials!CE30-1</f>
        <v>0.46324329409542542</v>
      </c>
      <c r="DD34" s="33">
        <f>Financials!DB30/Financials!CF30-1</f>
        <v>0.4721157960735316</v>
      </c>
      <c r="DE34" s="33">
        <f>Financials!DC30/Financials!CG30-1</f>
        <v>0.47181681130848174</v>
      </c>
      <c r="DF34" s="33">
        <f>Financials!DD30/Financials!CH30-1</f>
        <v>0.47955633997102054</v>
      </c>
      <c r="DG34" s="33">
        <f>Financials!DE30/Financials!CI30-1</f>
        <v>0.52582504581895306</v>
      </c>
      <c r="DH34" s="33">
        <f>Financials!DF30/Financials!CJ30-1</f>
        <v>0.53840732732550522</v>
      </c>
      <c r="DI34" s="33">
        <f>Financials!DG30/Financials!CK30-1</f>
        <v>0.46944777897438805</v>
      </c>
      <c r="DJ34" s="33">
        <f>Financials!DH30/Financials!CL30-1</f>
        <v>0.55862398911706612</v>
      </c>
      <c r="DK34" s="33" t="e">
        <f>Financials!DI30/Financials!CM30-1</f>
        <v>#REF!</v>
      </c>
      <c r="DL34" s="33">
        <f>Financials!DJ30/Financials!CN30-1</f>
        <v>0.53211896721050933</v>
      </c>
      <c r="DM34" s="33">
        <f>Financials!DK30/Financials!CO30-1</f>
        <v>0.59022022789114503</v>
      </c>
      <c r="DN34" s="33">
        <f>Financials!DL30/Financials!CP30-1</f>
        <v>0.5270673370226111</v>
      </c>
      <c r="DO34" s="33">
        <f>Financials!DM30/Financials!CQ30-1</f>
        <v>0.4920902243285652</v>
      </c>
      <c r="DP34" s="33">
        <f>Financials!DN30/Financials!CR30-1</f>
        <v>0.52441283771396963</v>
      </c>
      <c r="DQ34" s="33">
        <f>Financials!DO30/Financials!CS30-1</f>
        <v>0.49919632127190461</v>
      </c>
      <c r="DR34" s="33">
        <f>Financials!DP30/Financials!CT30-1</f>
        <v>0.50330343756881191</v>
      </c>
      <c r="DS34" s="33">
        <f>Financials!DQ30/Financials!CU30-1</f>
        <v>0.44013651144205768</v>
      </c>
      <c r="DT34" s="33">
        <f>Financials!DR30/Financials!CV30-1</f>
        <v>0.38617870047329705</v>
      </c>
      <c r="DU34" s="33">
        <f>Financials!DS30/Financials!CW30-1</f>
        <v>0.4303174760032813</v>
      </c>
      <c r="DV34" s="33">
        <f>Financials!DT30/Financials!CX30-1</f>
        <v>0.41340156022065599</v>
      </c>
      <c r="DW34" s="33">
        <f>Financials!DU30/Financials!CY30-1</f>
        <v>0.38154287951156318</v>
      </c>
      <c r="DX34" s="33">
        <f>Financials!DV30/Financials!CZ30-1</f>
        <v>-1</v>
      </c>
      <c r="DY34" s="33">
        <f>Financials!DW30/Financials!DA30-1</f>
        <v>0.40598449786367663</v>
      </c>
    </row>
    <row r="35" spans="2:129" hidden="1" x14ac:dyDescent="0.25">
      <c r="B35" s="13">
        <v>4.4000000000000004</v>
      </c>
      <c r="C35" s="19" t="s">
        <v>243</v>
      </c>
      <c r="D35" s="24" t="s">
        <v>229</v>
      </c>
      <c r="E35" s="27"/>
      <c r="F35" s="33"/>
      <c r="G35" s="33">
        <f>Financials!D13/Financials!C13-1</f>
        <v>0.67521330602167495</v>
      </c>
      <c r="H35" s="33">
        <f>Financials!E13/Financials!D13-1</f>
        <v>10.472660379637407</v>
      </c>
      <c r="I35" s="33">
        <f>Financials!F13/Financials!E13-1</f>
        <v>0.35434876521158176</v>
      </c>
      <c r="J35" s="33">
        <f>Financials!G13/Financials!F13-1</f>
        <v>0.34961107781465706</v>
      </c>
      <c r="K35" s="33">
        <f>Financials!H13/Financials!G13-1</f>
        <v>0.63568057528312583</v>
      </c>
      <c r="L35" s="33">
        <f>Financials!I13/Financials!G13-1</f>
        <v>0.27652666800758063</v>
      </c>
      <c r="M35" s="33">
        <f>Financials!J13/Financials!I13-1</f>
        <v>1.5916088097796721</v>
      </c>
      <c r="N35" s="33">
        <f>Financials!K13/Financials!J13-1</f>
        <v>-0.47994541330588403</v>
      </c>
      <c r="O35" s="33">
        <f>Financials!L13/Financials!K13-1</f>
        <v>-8.6872871012248942E-2</v>
      </c>
      <c r="P35" s="33">
        <f>Financials!M13/Financials!L13-1</f>
        <v>2.0846192099868599E-2</v>
      </c>
      <c r="Q35" s="33">
        <f>Financials!N13/Financials!M13-1</f>
        <v>0.17042325146445392</v>
      </c>
      <c r="R35" s="33">
        <f>Financials!O13/Financials!N13-1</f>
        <v>2.172495429273269E-2</v>
      </c>
      <c r="S35" s="33">
        <f>Financials!P13/Financials!O13-1</f>
        <v>3.4558229872232227E-2</v>
      </c>
      <c r="T35" s="33">
        <f>Financials!Q13/Financials!P13-1</f>
        <v>1.6168493745227774E-3</v>
      </c>
      <c r="U35" s="33">
        <f>Financials!R13/Financials!Q13-1</f>
        <v>3.4275995325925734E-2</v>
      </c>
      <c r="V35" s="33">
        <f>Financials!S13/Financials!R13-1</f>
        <v>2.1139848885122881E-2</v>
      </c>
      <c r="W35" s="33">
        <f>Financials!T13/Financials!S13-1</f>
        <v>2.9566590493163902E-2</v>
      </c>
      <c r="X35" s="33">
        <f>Financials!U13/Financials!T13-1</f>
        <v>-0.13691410805348236</v>
      </c>
      <c r="Y35" s="33">
        <f>Financials!W13/Financials!V13-1</f>
        <v>0.4245473211831432</v>
      </c>
      <c r="Z35" s="33">
        <f>Financials!X13/Financials!W13-1</f>
        <v>4.9427537789064058E-2</v>
      </c>
      <c r="AA35" s="33">
        <f>Financials!Y13/Financials!X13-1</f>
        <v>-9.3979330689424767E-2</v>
      </c>
      <c r="AB35" s="33">
        <f>Financials!Z13/Financials!Y13-1</f>
        <v>0.10072842412139882</v>
      </c>
      <c r="AC35" s="33">
        <f>Financials!AA13/Financials!Z13-1</f>
        <v>2.1249381948691415E-2</v>
      </c>
      <c r="AD35" s="33">
        <f>Financials!AB13/Financials!AA13-1</f>
        <v>4.2944230464752042E-2</v>
      </c>
      <c r="AE35" s="33">
        <f>Financials!AC13/Financials!AB13-1</f>
        <v>-6.3866987569666467E-2</v>
      </c>
      <c r="AF35" s="33">
        <f>Financials!AD13/Financials!AC13-1</f>
        <v>5.7758463499115065E-2</v>
      </c>
      <c r="AG35" s="33">
        <f>Financials!AE13/Financials!AD13-1</f>
        <v>-1.5298749333033768E-2</v>
      </c>
      <c r="AH35" s="33">
        <f>Financials!AF13/Financials!AE13-1</f>
        <v>1.8239052276350032E-2</v>
      </c>
      <c r="AI35" s="33">
        <f>Financials!AG13/Financials!AF13-1</f>
        <v>7.3006886518578673E-2</v>
      </c>
      <c r="AJ35" s="33">
        <f>Financials!AH13/Financials!AG13-1</f>
        <v>4.7933290798769512E-3</v>
      </c>
      <c r="AK35" s="33">
        <f>Financials!AI13/Financials!AH13-1</f>
        <v>-0.28222898255848816</v>
      </c>
      <c r="AL35" s="33">
        <f>Financials!AJ13/Financials!AI13-1</f>
        <v>0</v>
      </c>
      <c r="AM35" s="33">
        <f>Financials!AK13/Financials!AJ13-1</f>
        <v>-1</v>
      </c>
      <c r="AN35" s="33" t="e">
        <f>Financials!AL13/Financials!AK13-1</f>
        <v>#DIV/0!</v>
      </c>
      <c r="AO35" s="33">
        <f>Financials!AM13/Financials!AL13-1</f>
        <v>1.691264549832816E-2</v>
      </c>
      <c r="AP35" s="33">
        <f>Financials!AN13/Financials!AM13-1</f>
        <v>9.9894973731343928E-2</v>
      </c>
      <c r="AQ35" s="33">
        <f>Financials!AO13/Financials!AN13-1</f>
        <v>-0.25905654595070182</v>
      </c>
      <c r="AR35" s="33">
        <f>Financials!AP13/Financials!AO13-1</f>
        <v>0.68717337231760012</v>
      </c>
      <c r="AS35" s="33">
        <f>Financials!AQ13/Financials!AP13-1</f>
        <v>7.7876809935754521E-2</v>
      </c>
      <c r="AT35" s="33">
        <f>Financials!AR13/Financials!V13-1</f>
        <v>1.9124669541043224</v>
      </c>
      <c r="AU35" s="33">
        <f>Financials!AS13/Financials!W13-1</f>
        <v>1.1696616851821191</v>
      </c>
      <c r="AV35" s="33">
        <f>Financials!AT13/Financials!X13-1</f>
        <v>-1</v>
      </c>
      <c r="AW35" s="33">
        <f>Financials!AU13/Financials!Y13-1</f>
        <v>1.4998558329678744</v>
      </c>
      <c r="AX35" s="33">
        <f>Financials!AV13/Financials!Z13-1</f>
        <v>-1.5517296839800212</v>
      </c>
      <c r="AY35" s="33">
        <f>Financials!AW13/Financials!AA13-1</f>
        <v>-9.3215185212219831E-2</v>
      </c>
      <c r="AZ35" s="33">
        <f>Financials!AX13/Financials!AB13-1</f>
        <v>-1</v>
      </c>
      <c r="BA35" s="33">
        <f>Financials!AY13/Financials!AC13-1</f>
        <v>-1</v>
      </c>
      <c r="BB35" s="33">
        <f>Financials!AZ13/Financials!AD13-1</f>
        <v>-1.8501487005146222</v>
      </c>
      <c r="BC35" s="33">
        <f>Financials!BA13/Financials!AE13-1</f>
        <v>-2.8441278188205086</v>
      </c>
      <c r="BD35" s="33">
        <f>Financials!BB13/Financials!AF13-1</f>
        <v>5.9575442871544482E-3</v>
      </c>
      <c r="BE35" s="33">
        <f>Financials!BC13/Financials!AG13-1</f>
        <v>-1.6759445123993078E-2</v>
      </c>
      <c r="BF35" s="33">
        <f>Financials!BD13/Financials!AH13-1</f>
        <v>-0.10932132238677894</v>
      </c>
      <c r="BG35" s="33">
        <f>Financials!BE13/Financials!AI13-1</f>
        <v>0.3867167605920192</v>
      </c>
      <c r="BH35" s="33">
        <f>Financials!BF13/Financials!AJ13-1</f>
        <v>0.45857655274999631</v>
      </c>
      <c r="BI35" s="33" t="e">
        <f>Financials!BG13/Financials!AK13-1</f>
        <v>#DIV/0!</v>
      </c>
      <c r="BJ35" s="33">
        <f>Financials!BH13/Financials!AL13-1</f>
        <v>4.7152716537686601E-2</v>
      </c>
      <c r="BK35" s="33">
        <f>Financials!BI13/Financials!AM13-1</f>
        <v>8.532307785600457E-2</v>
      </c>
      <c r="BL35" s="33">
        <f>Financials!BJ13/Financials!AN13-1</f>
        <v>-0.18890556706354145</v>
      </c>
      <c r="BM35" s="33">
        <f>Financials!BK13/Financials!AO13-1</f>
        <v>0.11857555327198477</v>
      </c>
      <c r="BN35" s="33">
        <f>Financials!BL13/Financials!AP13-1</f>
        <v>-0.33432073789675765</v>
      </c>
      <c r="BO35" s="33">
        <f>Financials!BM13/Financials!AQ13-1</f>
        <v>-0.3544071604619381</v>
      </c>
      <c r="BP35" s="33">
        <f>Financials!BN13/Financials!AR13-1</f>
        <v>-0.37215284624598666</v>
      </c>
      <c r="BQ35" s="33">
        <f>Financials!BO13/Financials!AS13-1</f>
        <v>-0.3725531684877923</v>
      </c>
      <c r="BR35" s="33" t="e">
        <f>Financials!BP13/Financials!AT13-1</f>
        <v>#DIV/0!</v>
      </c>
      <c r="BS35" s="33">
        <f>Financials!BQ13/Financials!AU13-1</f>
        <v>-0.42232952672160384</v>
      </c>
      <c r="BT35" s="33">
        <f>Financials!BR13/Financials!AV13-1</f>
        <v>-3.4046645177193589</v>
      </c>
      <c r="BU35" s="33">
        <f>Financials!BS13/Financials!AW13-1</f>
        <v>0.45045429566643302</v>
      </c>
      <c r="BV35" s="33" t="e">
        <f>Financials!BT13/Financials!AX13-1</f>
        <v>#DIV/0!</v>
      </c>
      <c r="BW35" s="33" t="e">
        <f>Financials!BU13/Financials!AY13-1</f>
        <v>#DIV/0!</v>
      </c>
      <c r="BX35" s="33">
        <f>Financials!BV13/Financials!AZ13-1</f>
        <v>-2.4882116884835974</v>
      </c>
      <c r="BY35" s="33">
        <f>Financials!BW13/Financials!BA13-1</f>
        <v>-1.7134820047718526</v>
      </c>
      <c r="BZ35" s="33">
        <f>Financials!BX13/Financials!BB13-1</f>
        <v>0.30923794626671741</v>
      </c>
      <c r="CA35" s="33">
        <f>Financials!BY13/Financials!BC13-1</f>
        <v>0.26022863947118458</v>
      </c>
      <c r="CB35" s="33">
        <f>Financials!BZ13/Financials!BD13-1</f>
        <v>0.40312532315714389</v>
      </c>
      <c r="CC35" s="33">
        <f>Financials!CA13/Financials!BE13-1</f>
        <v>0.26405495598452378</v>
      </c>
      <c r="CD35" s="33">
        <f>Financials!CB13/Financials!BF13-1</f>
        <v>0.32703465617786298</v>
      </c>
      <c r="CE35" s="33" t="e">
        <f>Financials!CC13/Financials!BG13-1</f>
        <v>#DIV/0!</v>
      </c>
      <c r="CF35" s="33">
        <f>Financials!CD13/Financials!BH13-1</f>
        <v>0.30197717988300954</v>
      </c>
      <c r="CG35" s="33">
        <f>Financials!CE13/Financials!BI13-1</f>
        <v>0.27229452348751937</v>
      </c>
      <c r="CH35" s="33">
        <f>Financials!CF13/Financials!BJ13-1</f>
        <v>0.59979240673540235</v>
      </c>
      <c r="CI35" s="33">
        <f>Financials!CG13/Financials!BK13-1</f>
        <v>0.61698563185941224</v>
      </c>
      <c r="CJ35" s="33">
        <f>Financials!CH13/Financials!BL13-1</f>
        <v>0.62110156230127544</v>
      </c>
      <c r="CK35" s="33">
        <f>Financials!CI13/Financials!BM13-1</f>
        <v>0.69127189523961818</v>
      </c>
      <c r="CL35" s="33">
        <f>Financials!CJ13/Financials!BN13-1</f>
        <v>0.21730450636288579</v>
      </c>
      <c r="CM35" s="33">
        <f>Financials!CK13/Financials!BO13-1</f>
        <v>0.19816190356994179</v>
      </c>
      <c r="CN35" s="33" t="e">
        <f>Financials!CL13/Financials!BP13-1</f>
        <v>#REF!</v>
      </c>
      <c r="CO35" s="33">
        <f>Financials!CM13/Financials!BQ13-1</f>
        <v>0.27825881867934155</v>
      </c>
      <c r="CP35" s="33">
        <f>Financials!CN13/Financials!BR13-1</f>
        <v>0.30377654391903652</v>
      </c>
      <c r="CQ35" s="33">
        <f>Financials!CO13/Financials!BS13-1</f>
        <v>0.34529782413286814</v>
      </c>
      <c r="CR35" s="33">
        <f>Financials!CP13/Financials!BT13-1</f>
        <v>0.36517293390222405</v>
      </c>
      <c r="CS35" s="33">
        <f>Financials!CQ13/Financials!BU13-1</f>
        <v>0.39180247620588027</v>
      </c>
      <c r="CT35" s="33">
        <f>Financials!CR13/Financials!BV13-1</f>
        <v>0.56502571403702717</v>
      </c>
      <c r="CU35" s="33">
        <f>Financials!CS13/Financials!BW13-1</f>
        <v>0.60916672580365816</v>
      </c>
      <c r="CV35" s="33">
        <f>Financials!CT13/Financials!BX13-1</f>
        <v>0.53208750134335925</v>
      </c>
      <c r="CW35" s="33">
        <f>Financials!CU13/Financials!BY13-1</f>
        <v>0.63324114188949387</v>
      </c>
      <c r="CX35" s="33">
        <f>Financials!CV13/Financials!BZ13-1</f>
        <v>0.59104069069208909</v>
      </c>
      <c r="CY35" s="33">
        <f>Financials!CW13/Financials!CA13-1</f>
        <v>0.25786855264631825</v>
      </c>
      <c r="CZ35" s="33">
        <f>Financials!CX13/Financials!CB13-1</f>
        <v>0.19125991291120314</v>
      </c>
      <c r="DA35" s="33">
        <f>Financials!CY13/Financials!CC13-1</f>
        <v>0.22292019839127097</v>
      </c>
      <c r="DB35" s="33">
        <f>Financials!CZ13/Financials!CD13-1</f>
        <v>0.23943063708436241</v>
      </c>
      <c r="DC35" s="33">
        <f>Financials!DA13/Financials!CE13-1</f>
        <v>0.28449919832255222</v>
      </c>
      <c r="DD35" s="33">
        <f>Financials!DB13/Financials!CF13-1</f>
        <v>0.29363051440341881</v>
      </c>
      <c r="DE35" s="33">
        <f>Financials!DC13/Financials!CG13-1</f>
        <v>0.29942099645592024</v>
      </c>
      <c r="DF35" s="33">
        <f>Financials!DD13/Financials!CH13-1</f>
        <v>0.34478364948157325</v>
      </c>
      <c r="DG35" s="33">
        <f>Financials!DE13/Financials!CI13-1</f>
        <v>0.30052722742193927</v>
      </c>
      <c r="DH35" s="33">
        <f>Financials!DF13/Financials!CJ13-1</f>
        <v>0.85101347989233012</v>
      </c>
      <c r="DI35" s="33">
        <f>Financials!DG13/Financials!CK13-1</f>
        <v>0.79427782168853844</v>
      </c>
      <c r="DJ35" s="33" t="e">
        <f>Financials!DH13/Financials!CL13-1</f>
        <v>#REF!</v>
      </c>
      <c r="DK35" s="33">
        <f>Financials!DI13/Financials!CM13-1</f>
        <v>0.29218749160213009</v>
      </c>
      <c r="DL35" s="33">
        <f>Financials!DJ13/Financials!CN13-1</f>
        <v>0.26080557133474436</v>
      </c>
      <c r="DM35" s="33">
        <f>Financials!DK13/Financials!CO13-1</f>
        <v>0.21030390859933834</v>
      </c>
      <c r="DN35" s="33">
        <f>Financials!DL13/Financials!CP13-1</f>
        <v>0.27620556742772528</v>
      </c>
      <c r="DO35" s="33">
        <f>Financials!DM13/Financials!CQ13-1</f>
        <v>0.33746039725124266</v>
      </c>
      <c r="DP35" s="33">
        <f>Financials!DN13/Financials!CR13-1</f>
        <v>0.32398367806897732</v>
      </c>
      <c r="DQ35" s="33">
        <f>Financials!DO13/Financials!CS13-1</f>
        <v>0.3078373291575367</v>
      </c>
      <c r="DR35" s="33">
        <f>Financials!DP13/Financials!CT13-1</f>
        <v>0.40138500422226442</v>
      </c>
      <c r="DS35" s="33">
        <f>Financials!DQ13/Financials!CU13-1</f>
        <v>0.35330777503190514</v>
      </c>
      <c r="DT35" s="33">
        <f>Financials!DR13/Financials!CV13-1</f>
        <v>0.44388147401351286</v>
      </c>
      <c r="DU35" s="33">
        <f>Financials!DS13/Financials!CW13-1</f>
        <v>0.7318128611163548</v>
      </c>
      <c r="DV35" s="33">
        <f>Financials!DT13/Financials!CX13-1</f>
        <v>0.68085843445057037</v>
      </c>
      <c r="DW35" s="33">
        <f>Financials!DU13/Financials!CY13-1</f>
        <v>0.64835035288947185</v>
      </c>
      <c r="DX35" s="33">
        <f>Financials!DV13/Financials!CZ13-1</f>
        <v>-1</v>
      </c>
      <c r="DY35" s="33">
        <f>Financials!DW13/Financials!DA13-1</f>
        <v>0.30554010418644673</v>
      </c>
    </row>
    <row r="36" spans="2:129" hidden="1" x14ac:dyDescent="0.25">
      <c r="B36" s="13">
        <v>4.5</v>
      </c>
      <c r="C36" s="19" t="s">
        <v>244</v>
      </c>
      <c r="D36" s="24" t="s">
        <v>229</v>
      </c>
      <c r="E36" s="27"/>
      <c r="F36" s="35"/>
      <c r="G36" s="35">
        <f>Financials!D42/Financials!C42-1</f>
        <v>0.80568389184263167</v>
      </c>
      <c r="H36" s="35">
        <f>Financials!E42/Financials!D42-1</f>
        <v>1.414225296749585</v>
      </c>
      <c r="I36" s="35">
        <f>Financials!F42/Financials!E42-1</f>
        <v>1.3123205050958338</v>
      </c>
      <c r="J36" s="35">
        <f>Financials!G42/Financials!F42-1</f>
        <v>0.45313547569958246</v>
      </c>
      <c r="K36" s="35">
        <f>Financials!H42/Financials!G42-1</f>
        <v>-0.99864701231183894</v>
      </c>
      <c r="L36" s="35">
        <f>Financials!I42/Financials!G42-1</f>
        <v>0.33677126014227787</v>
      </c>
      <c r="M36" s="35">
        <f>Financials!J42/Financials!I42-1</f>
        <v>-0.90364589879360846</v>
      </c>
      <c r="N36" s="35">
        <f>Financials!K42/Financials!J42-1</f>
        <v>-0.99797835158504034</v>
      </c>
      <c r="O36" s="35">
        <f>Financials!L42/Financials!K42-1</f>
        <v>0.52560119003176098</v>
      </c>
      <c r="P36" s="35">
        <f>Financials!M42/Financials!L42-1</f>
        <v>0.347118327579651</v>
      </c>
      <c r="Q36" s="35">
        <f>Financials!N42/Financials!M42-1</f>
        <v>1258.4354178369119</v>
      </c>
      <c r="R36" s="35">
        <f>Financials!O42/Financials!N42-1</f>
        <v>0.21221071654693602</v>
      </c>
      <c r="S36" s="35">
        <f>Financials!P42/Financials!O42-1</f>
        <v>0.18055336107439013</v>
      </c>
      <c r="T36" s="35">
        <f>Financials!Q42/Financials!P42-1</f>
        <v>0.14944399012304865</v>
      </c>
      <c r="U36" s="35">
        <f>Financials!R42/Financials!Q42-1</f>
        <v>0.14481233956276429</v>
      </c>
      <c r="V36" s="35">
        <f>Financials!S42/Financials!R42-1</f>
        <v>0.12016468177231632</v>
      </c>
      <c r="W36" s="35">
        <f>Financials!T42/Financials!S42-1</f>
        <v>0.11054528428222521</v>
      </c>
      <c r="X36" s="35">
        <f>Financials!U42/Financials!T42-1</f>
        <v>0.11919538366076643</v>
      </c>
      <c r="Y36" s="35">
        <f>Financials!W42/Financials!V42-1</f>
        <v>-0.91546694797190808</v>
      </c>
      <c r="Z36" s="35">
        <f>Financials!X42/Financials!W42-1</f>
        <v>1.0223971514206931</v>
      </c>
      <c r="AA36" s="35">
        <f>Financials!Y42/Financials!X42-1</f>
        <v>0.55386792014687769</v>
      </c>
      <c r="AB36" s="35">
        <f>Financials!Z42/Financials!Y42-1</f>
        <v>0.37604060253843552</v>
      </c>
      <c r="AC36" s="35">
        <f>Financials!AA42/Financials!Z42-1</f>
        <v>0.24626327374795576</v>
      </c>
      <c r="AD36" s="35">
        <f>Financials!AB42/Financials!AA42-1</f>
        <v>0.2266776017529859</v>
      </c>
      <c r="AE36" s="35">
        <f>Financials!AC42/Financials!AB42-1</f>
        <v>0.23562284622825458</v>
      </c>
      <c r="AF36" s="35">
        <f>Financials!AD42/Financials!AC42-1</f>
        <v>0.18061599527135996</v>
      </c>
      <c r="AG36" s="35">
        <f>Financials!AE42/Financials!AD42-1</f>
        <v>3.5928125328346328E-2</v>
      </c>
      <c r="AH36" s="35">
        <f>Financials!AF42/Financials!AE42-1</f>
        <v>0.15719649165194238</v>
      </c>
      <c r="AI36" s="35">
        <f>Financials!AG42/Financials!AF42-1</f>
        <v>0.16629261231130044</v>
      </c>
      <c r="AJ36" s="35">
        <f>Financials!AH42/Financials!AG42-1</f>
        <v>0.1450555251272494</v>
      </c>
      <c r="AK36" s="35">
        <f>Financials!AI42/Financials!AH42-1</f>
        <v>1.7370744558798279E-2</v>
      </c>
      <c r="AL36" s="35">
        <f>Financials!AJ42/Financials!AI42-1</f>
        <v>0</v>
      </c>
      <c r="AM36" s="35">
        <f>Financials!AK42/Financials!AJ42-1</f>
        <v>-1</v>
      </c>
      <c r="AN36" s="35" t="e">
        <f>Financials!AL42/Financials!AK42-1</f>
        <v>#DIV/0!</v>
      </c>
      <c r="AO36" s="35">
        <f>Financials!AM42/Financials!AL42-1</f>
        <v>0.2254874946569474</v>
      </c>
      <c r="AP36" s="35">
        <f>Financials!AN42/Financials!AM42-1</f>
        <v>1.0928511096119595</v>
      </c>
      <c r="AQ36" s="35">
        <f>Financials!AO42/Financials!AN42-1</f>
        <v>4.7996117836666796E-2</v>
      </c>
      <c r="AR36" s="35">
        <f>Financials!AP42/Financials!AO42-1</f>
        <v>-1</v>
      </c>
      <c r="AS36" s="35" t="e">
        <f>Financials!AQ42/Financials!AP42-1</f>
        <v>#DIV/0!</v>
      </c>
      <c r="AT36" s="35">
        <f>Financials!AR42/Financials!V42-1</f>
        <v>0.11694782840153262</v>
      </c>
      <c r="AU36" s="35">
        <f>Financials!AS42/Financials!W42-1</f>
        <v>-1</v>
      </c>
      <c r="AV36" s="35">
        <f>Financials!AT42/Financials!X42-1</f>
        <v>-1</v>
      </c>
      <c r="AW36" s="35">
        <f>Financials!AU42/Financials!Y42-1</f>
        <v>4.929390219726498</v>
      </c>
      <c r="AX36" s="35">
        <f>Financials!AV42/Financials!Z42-1</f>
        <v>3.7463122958179884</v>
      </c>
      <c r="AY36" s="35">
        <f>Financials!AW42/Financials!AA42-1</f>
        <v>2.902727340701031</v>
      </c>
      <c r="AZ36" s="35">
        <f>Financials!AX42/Financials!AB42-1</f>
        <v>-1</v>
      </c>
      <c r="BA36" s="35">
        <f>Financials!AY42/Financials!AC42-1</f>
        <v>-1</v>
      </c>
      <c r="BB36" s="35">
        <f>Financials!AZ42/Financials!AD42-1</f>
        <v>-1.3255886902574725</v>
      </c>
      <c r="BC36" s="35">
        <f>Financials!BA42/Financials!AE42-1</f>
        <v>-0.32465301035417193</v>
      </c>
      <c r="BD36" s="35">
        <f>Financials!BB42/Financials!AF42-1</f>
        <v>-0.16828465638378221</v>
      </c>
      <c r="BE36" s="35">
        <f>Financials!BC42/Financials!AG42-1</f>
        <v>-0.10228385067341261</v>
      </c>
      <c r="BF36" s="35">
        <f>Financials!BD42/Financials!AH42-1</f>
        <v>-7.6997936872516326E-2</v>
      </c>
      <c r="BG36" s="35">
        <f>Financials!BE42/Financials!AI42-1</f>
        <v>4.3685376853860092E-2</v>
      </c>
      <c r="BH36" s="35">
        <f>Financials!BF42/Financials!AJ42-1</f>
        <v>0.18021714039021441</v>
      </c>
      <c r="BI36" s="35" t="e">
        <f>Financials!BG42/Financials!AK42-1</f>
        <v>#DIV/0!</v>
      </c>
      <c r="BJ36" s="35">
        <f>Financials!BH42/Financials!AL42-1</f>
        <v>16.30164734822079</v>
      </c>
      <c r="BK36" s="35">
        <f>Financials!BI42/Financials!AM42-1</f>
        <v>15.447429166667085</v>
      </c>
      <c r="BL36" s="35">
        <f>Financials!BJ42/Financials!AN42-1</f>
        <v>6.8184110249587997</v>
      </c>
      <c r="BM36" s="35">
        <f>Financials!BK42/Financials!AO42-1</f>
        <v>-0.46686747401838424</v>
      </c>
      <c r="BN36" s="35" t="e">
        <f>Financials!BL42/Financials!AP42-1</f>
        <v>#DIV/0!</v>
      </c>
      <c r="BO36" s="35">
        <f>Financials!BM42/Financials!AQ42-1</f>
        <v>0.78503512035114453</v>
      </c>
      <c r="BP36" s="35">
        <f>Financials!BN42/Financials!AR42-1</f>
        <v>-0.3437672062871111</v>
      </c>
      <c r="BQ36" s="35" t="e">
        <f>Financials!BO42/Financials!AS42-1</f>
        <v>#DIV/0!</v>
      </c>
      <c r="BR36" s="35" t="e">
        <f>Financials!BP42/Financials!AT42-1</f>
        <v>#DIV/0!</v>
      </c>
      <c r="BS36" s="35">
        <f>Financials!BQ42/Financials!AU42-1</f>
        <v>-0.17489426059656754</v>
      </c>
      <c r="BT36" s="35">
        <f>Financials!BR42/Financials!AV42-1</f>
        <v>-0.13013595502173547</v>
      </c>
      <c r="BU36" s="35">
        <f>Financials!BS42/Financials!AW42-1</f>
        <v>3.4850983095181753E-2</v>
      </c>
      <c r="BV36" s="35" t="e">
        <f>Financials!BT42/Financials!AX42-1</f>
        <v>#DIV/0!</v>
      </c>
      <c r="BW36" s="35" t="e">
        <f>Financials!BU42/Financials!AY42-1</f>
        <v>#DIV/0!</v>
      </c>
      <c r="BX36" s="35">
        <f>Financials!BV42/Financials!AZ42-1</f>
        <v>-11.36757910967181</v>
      </c>
      <c r="BY36" s="35">
        <f>Financials!BW42/Financials!BA42-1</f>
        <v>3.7290908842987056</v>
      </c>
      <c r="BZ36" s="35">
        <f>Financials!BX42/Financials!BB42-1</f>
        <v>-0.77232224993867027</v>
      </c>
      <c r="CA36" s="35">
        <f>Financials!BY42/Financials!BC42-1</f>
        <v>-0.65835491530527612</v>
      </c>
      <c r="CB36" s="35">
        <f>Financials!BZ42/Financials!BD42-1</f>
        <v>-0.49742404943262519</v>
      </c>
      <c r="CC36" s="35">
        <f>Financials!CA42/Financials!BE42-1</f>
        <v>-0.39736484737258715</v>
      </c>
      <c r="CD36" s="35">
        <f>Financials!CB42/Financials!BF42-1</f>
        <v>-0.29327192684161829</v>
      </c>
      <c r="CE36" s="35" t="e">
        <f>Financials!CC42/Financials!BG42-1</f>
        <v>#DIV/0!</v>
      </c>
      <c r="CF36" s="35">
        <f>Financials!CD42/Financials!BH42-1</f>
        <v>-0.1577471385604865</v>
      </c>
      <c r="CG36" s="35">
        <f>Financials!CE42/Financials!BI42-1</f>
        <v>-0.18080022729863254</v>
      </c>
      <c r="CH36" s="35">
        <f>Financials!CF42/Financials!BJ42-1</f>
        <v>-7.6424622154781963E-2</v>
      </c>
      <c r="CI36" s="35">
        <f>Financials!CG42/Financials!BK42-1</f>
        <v>13.417766674596292</v>
      </c>
      <c r="CJ36" s="35">
        <f>Financials!CH42/Financials!BL42-1</f>
        <v>6.807512720444687</v>
      </c>
      <c r="CK36" s="35">
        <f>Financials!CI42/Financials!BM42-1</f>
        <v>4.2682475655186503</v>
      </c>
      <c r="CL36" s="35">
        <f>Financials!CJ42/Financials!BN42-1</f>
        <v>2.9084967466950662</v>
      </c>
      <c r="CM36" s="35">
        <f>Financials!CK42/Financials!BO42-1</f>
        <v>-0.45044324895915022</v>
      </c>
      <c r="CN36" s="35">
        <f>Financials!CL42/Financials!BP42-1</f>
        <v>-0.52992809186681056</v>
      </c>
      <c r="CO36" s="35">
        <f>Financials!CM42/Financials!BQ42-1</f>
        <v>-0.38203439492225988</v>
      </c>
      <c r="CP36" s="35">
        <f>Financials!CN42/Financials!BR42-1</f>
        <v>-0.32103503648450804</v>
      </c>
      <c r="CQ36" s="35">
        <f>Financials!CO42/Financials!BS42-1</f>
        <v>-0.27112247970676739</v>
      </c>
      <c r="CR36" s="35">
        <f>Financials!CP42/Financials!BT42-1</f>
        <v>-0.19021422371810648</v>
      </c>
      <c r="CS36" s="35">
        <f>Financials!CQ42/Financials!BU42-1</f>
        <v>-1</v>
      </c>
      <c r="CT36" s="35">
        <f>Financials!CR42/Financials!BV42-1</f>
        <v>-0.14128844062928592</v>
      </c>
      <c r="CU36" s="35">
        <f>Financials!CS42/Financials!BW42-1</f>
        <v>-1.855036647381858E-2</v>
      </c>
      <c r="CV36" s="35">
        <f>Financials!CT42/Financials!BX42-1</f>
        <v>30.734185979367169</v>
      </c>
      <c r="CW36" s="35">
        <f>Financials!CU42/Financials!BY42-1</f>
        <v>8.319324333162939</v>
      </c>
      <c r="CX36" s="35">
        <f>Financials!CV42/Financials!BZ42-1</f>
        <v>5.0463826885128222</v>
      </c>
      <c r="CY36" s="35">
        <f>Financials!CW42/Financials!CA42-1</f>
        <v>3.3832547147280332</v>
      </c>
      <c r="CZ36" s="35">
        <f>Financials!CX42/Financials!CB42-1</f>
        <v>-0.70961892317173358</v>
      </c>
      <c r="DA36" s="35">
        <f>Financials!CY42/Financials!CC42-1</f>
        <v>-0.50082859777149813</v>
      </c>
      <c r="DB36" s="35">
        <f>Financials!CZ42/Financials!CD42-1</f>
        <v>-0.37415403418095716</v>
      </c>
      <c r="DC36" s="35">
        <f>Financials!DA42/Financials!CE42-1</f>
        <v>-0.24735095705163457</v>
      </c>
      <c r="DD36" s="35">
        <f>Financials!DB42/Financials!CF42-1</f>
        <v>-0.15945153321556327</v>
      </c>
      <c r="DE36" s="35">
        <f>Financials!DC42/Financials!CG42-1</f>
        <v>-7.0247025352559778E-2</v>
      </c>
      <c r="DF36" s="35">
        <f>Financials!DD42/Financials!CH42-1</f>
        <v>-3.3536857683928334E-2</v>
      </c>
      <c r="DG36" s="35">
        <f>Financials!DE42/Financials!CI42-1</f>
        <v>-8.1938943256333885E-2</v>
      </c>
      <c r="DH36" s="35">
        <f>Financials!DF42/Financials!CJ42-1</f>
        <v>3.3354917621625901E-2</v>
      </c>
      <c r="DI36" s="35">
        <f>Financials!DG42/Financials!CK42-1</f>
        <v>5.6171226981161162</v>
      </c>
      <c r="DJ36" s="35">
        <f>Financials!DH42/Financials!CL42-1</f>
        <v>6.1151084172085026</v>
      </c>
      <c r="DK36" s="35">
        <f>Financials!DI42/Financials!CM42-1</f>
        <v>4.2851896037400046</v>
      </c>
      <c r="DL36" s="35">
        <f>Financials!DJ42/Financials!CN42-1</f>
        <v>3.6213147874381137</v>
      </c>
      <c r="DM36" s="35">
        <f>Financials!DK42/Financials!CO42-1</f>
        <v>-0.69139001193454486</v>
      </c>
      <c r="DN36" s="35">
        <f>Financials!DL42/Financials!CP42-1</f>
        <v>-0.4806065885135854</v>
      </c>
      <c r="DO36" s="35" t="e">
        <f>Financials!DM42/Financials!CQ42-1</f>
        <v>#DIV/0!</v>
      </c>
      <c r="DP36" s="35">
        <f>Financials!DN42/Financials!CR42-1</f>
        <v>-0.24524147321318068</v>
      </c>
      <c r="DQ36" s="35">
        <f>Financials!DO42/Financials!CS42-1</f>
        <v>-0.17119516557918701</v>
      </c>
      <c r="DR36" s="35">
        <f>Financials!DP42/Financials!CT42-1</f>
        <v>-0.56001170791945698</v>
      </c>
      <c r="DS36" s="35">
        <f>Financials!DQ42/Financials!CU42-1</f>
        <v>-8.5980726566075139E-2</v>
      </c>
      <c r="DT36" s="35">
        <f>Financials!DR42/Financials!CV42-1</f>
        <v>-5.3584826269945762E-2</v>
      </c>
      <c r="DU36" s="35">
        <f>Financials!DS42/Financials!CW42-1</f>
        <v>6.5004450908921152E-2</v>
      </c>
      <c r="DV36" s="35">
        <f>Financials!DT42/Financials!CX42-1</f>
        <v>12.546593677266385</v>
      </c>
      <c r="DW36" s="35">
        <f>Financials!DU42/Financials!CY42-1</f>
        <v>6.2659763041368253</v>
      </c>
      <c r="DX36" s="35">
        <f>Financials!DV42/Financials!CZ42-1</f>
        <v>-1</v>
      </c>
      <c r="DY36" s="35">
        <f>Financials!DW42/Financials!DA42-1</f>
        <v>2.8873270635348902</v>
      </c>
    </row>
    <row r="37" spans="2:129" hidden="1" x14ac:dyDescent="0.25">
      <c r="B37" s="13">
        <v>4.5999999999999996</v>
      </c>
      <c r="C37" s="19" t="s">
        <v>142</v>
      </c>
      <c r="D37" s="24" t="s">
        <v>229</v>
      </c>
      <c r="E37" s="27"/>
      <c r="F37" s="36"/>
      <c r="G37" s="36">
        <f>Financials!D4/Financials!C4-1</f>
        <v>0.72625698324022347</v>
      </c>
      <c r="H37" s="36">
        <f>Financials!E4/Financials!D4-1</f>
        <v>1.2556634304207122</v>
      </c>
      <c r="I37" s="36">
        <f>Financials!F4/Financials!E4-1</f>
        <v>0.26542324246771876</v>
      </c>
      <c r="J37" s="36">
        <f>Financials!G4/Financials!F4-1</f>
        <v>0.27891156462585043</v>
      </c>
      <c r="K37" s="36">
        <f>Financials!H4/Financials!G4-1</f>
        <v>-1</v>
      </c>
      <c r="L37" s="36" t="e">
        <f>Financials!I4/Financials!H4-1</f>
        <v>#DIV/0!</v>
      </c>
      <c r="M37" s="36">
        <f>Financials!J4/Financials!I4-1</f>
        <v>-1</v>
      </c>
      <c r="N37" s="36" t="e">
        <f>Financials!K4/Financials!J4-1</f>
        <v>#DIV/0!</v>
      </c>
      <c r="O37" s="36" t="e">
        <f>Financials!L4/Financials!K4-1</f>
        <v>#DIV/0!</v>
      </c>
      <c r="P37" s="36" t="e">
        <f>Financials!M4/Financials!L4-1</f>
        <v>#DIV/0!</v>
      </c>
      <c r="Q37" s="36" t="e">
        <f>Financials!N4/Financials!M4-1</f>
        <v>#DIV/0!</v>
      </c>
      <c r="R37" s="36" t="e">
        <f>Financials!O4/Financials!N4-1</f>
        <v>#DIV/0!</v>
      </c>
      <c r="S37" s="36" t="e">
        <f>Financials!P4/Financials!O4-1</f>
        <v>#DIV/0!</v>
      </c>
      <c r="T37" s="36" t="e">
        <f>Financials!Q4/Financials!P4-1</f>
        <v>#DIV/0!</v>
      </c>
      <c r="U37" s="36" t="e">
        <f>Financials!R4/Financials!Q4-1</f>
        <v>#DIV/0!</v>
      </c>
      <c r="V37" s="36" t="e">
        <f>Financials!S4/Financials!R4-1</f>
        <v>#DIV/0!</v>
      </c>
      <c r="W37" s="36" t="e">
        <f>Financials!T4/Financials!S4-1</f>
        <v>#DIV/0!</v>
      </c>
      <c r="X37" s="36" t="e">
        <f>Financials!U4/Financials!T4-1</f>
        <v>#DIV/0!</v>
      </c>
      <c r="Y37" s="36" t="e">
        <f>Financials!V4/Financials!U4-1</f>
        <v>#DIV/0!</v>
      </c>
      <c r="Z37" s="36" t="e">
        <f>Financials!W4/Financials!V4-1</f>
        <v>#DIV/0!</v>
      </c>
      <c r="AA37" s="36" t="e">
        <f>Financials!X4/Financials!W4-1</f>
        <v>#DIV/0!</v>
      </c>
      <c r="AB37" s="36" t="e">
        <f>Financials!Y4/Financials!X4-1</f>
        <v>#DIV/0!</v>
      </c>
      <c r="AC37" s="36" t="e">
        <f>Financials!Z4/Financials!Y4-1</f>
        <v>#DIV/0!</v>
      </c>
      <c r="AD37" s="36" t="e">
        <f>Financials!AA4/Financials!Z4-1</f>
        <v>#DIV/0!</v>
      </c>
      <c r="AE37" s="36" t="e">
        <f>Financials!AB4/Financials!AA4-1</f>
        <v>#DIV/0!</v>
      </c>
      <c r="AF37" s="36" t="e">
        <f>Financials!AC4/Financials!AB4-1</f>
        <v>#DIV/0!</v>
      </c>
      <c r="AG37" s="36" t="e">
        <f>Financials!AD4/Financials!AC4-1</f>
        <v>#DIV/0!</v>
      </c>
      <c r="AH37" s="36" t="e">
        <f>Financials!AE4/Financials!AD4-1</f>
        <v>#DIV/0!</v>
      </c>
      <c r="AI37" s="36" t="e">
        <f>Financials!AF4/Financials!AE4-1</f>
        <v>#DIV/0!</v>
      </c>
      <c r="AJ37" s="36" t="e">
        <f>Financials!AG4/Financials!AF4-1</f>
        <v>#DIV/0!</v>
      </c>
      <c r="AK37" s="36" t="e">
        <f>Financials!AH4/Financials!AG4-1</f>
        <v>#DIV/0!</v>
      </c>
      <c r="AL37" s="36" t="e">
        <f>Financials!AI4/Financials!AH4-1</f>
        <v>#DIV/0!</v>
      </c>
      <c r="AM37" s="36" t="e">
        <f>Financials!AJ4/Financials!AI4-1</f>
        <v>#DIV/0!</v>
      </c>
      <c r="AN37" s="36" t="e">
        <f>Financials!AK4/Financials!AJ4-1</f>
        <v>#DIV/0!</v>
      </c>
      <c r="AO37" s="36" t="e">
        <f>Financials!AL4/Financials!AK4-1</f>
        <v>#DIV/0!</v>
      </c>
      <c r="AP37" s="36" t="e">
        <f>Financials!AM4/Financials!AL4-1</f>
        <v>#DIV/0!</v>
      </c>
      <c r="AQ37" s="36" t="e">
        <f>Financials!AN4/Financials!AM4-1</f>
        <v>#DIV/0!</v>
      </c>
      <c r="AR37" s="36" t="e">
        <f>Financials!AO4/Financials!AN4-1</f>
        <v>#DIV/0!</v>
      </c>
      <c r="AS37" s="36" t="e">
        <f>Financials!AP4/Financials!AO4-1</f>
        <v>#DIV/0!</v>
      </c>
      <c r="AT37" s="36" t="e">
        <f>Financials!AQ4/Financials!AP4-1</f>
        <v>#DIV/0!</v>
      </c>
      <c r="AU37" s="36" t="e">
        <f>Financials!AR4/Financials!AQ4-1</f>
        <v>#DIV/0!</v>
      </c>
      <c r="AV37" s="36" t="e">
        <f>Financials!AS4/Financials!AR4-1</f>
        <v>#DIV/0!</v>
      </c>
      <c r="AW37" s="36" t="e">
        <f>Financials!AT4/Financials!AS4-1</f>
        <v>#DIV/0!</v>
      </c>
      <c r="AX37" s="36" t="e">
        <f>Financials!AU4/Financials!AT4-1</f>
        <v>#DIV/0!</v>
      </c>
      <c r="AY37" s="36" t="e">
        <f>Financials!AV4/Financials!AU4-1</f>
        <v>#DIV/0!</v>
      </c>
      <c r="AZ37" s="36" t="e">
        <f>Financials!AW4/Financials!AV4-1</f>
        <v>#DIV/0!</v>
      </c>
      <c r="BA37" s="36" t="e">
        <f>Financials!AX4/Financials!AW4-1</f>
        <v>#DIV/0!</v>
      </c>
      <c r="BB37" s="36" t="e">
        <f>Financials!AY4/Financials!AX4-1</f>
        <v>#DIV/0!</v>
      </c>
      <c r="BC37" s="36" t="e">
        <f>Financials!AZ4/Financials!AY4-1</f>
        <v>#DIV/0!</v>
      </c>
      <c r="BD37" s="36" t="e">
        <f>Financials!BA4/Financials!AZ4-1</f>
        <v>#DIV/0!</v>
      </c>
      <c r="BE37" s="485" t="e">
        <f>Financials!BB4/Financials!BA4-1</f>
        <v>#DIV/0!</v>
      </c>
      <c r="BF37" s="36" t="e">
        <f>Financials!BC4/Financials!BB4-1</f>
        <v>#DIV/0!</v>
      </c>
      <c r="BG37" s="36" t="e">
        <f>Financials!BD4/Financials!BC4-1</f>
        <v>#DIV/0!</v>
      </c>
      <c r="BH37" s="105"/>
      <c r="BI37" s="105"/>
      <c r="BJ37" s="105"/>
      <c r="BK37" s="105"/>
      <c r="BL37" s="105"/>
      <c r="BM37" s="105"/>
      <c r="BN37" s="105"/>
      <c r="BO37" s="105"/>
      <c r="BP37" s="105"/>
      <c r="BQ37" s="105"/>
      <c r="BR37" s="105"/>
      <c r="BS37" s="105"/>
      <c r="BT37" s="105"/>
      <c r="BU37" s="105"/>
      <c r="BV37" s="105"/>
      <c r="BW37" s="105"/>
      <c r="BX37" s="105"/>
      <c r="BY37" s="105"/>
      <c r="BZ37" s="105"/>
      <c r="CA37" s="105"/>
      <c r="CB37" s="105"/>
      <c r="CC37" s="105"/>
      <c r="CD37" s="105"/>
      <c r="CE37" s="105"/>
      <c r="CF37" s="105"/>
      <c r="CG37" s="105"/>
      <c r="CH37" s="105"/>
      <c r="CI37" s="105"/>
      <c r="CJ37" s="105"/>
      <c r="CK37" s="105"/>
      <c r="CL37" s="105"/>
      <c r="CM37" s="105"/>
      <c r="CN37" s="105"/>
      <c r="CO37" s="105"/>
      <c r="CP37" s="105"/>
      <c r="CQ37" s="105"/>
      <c r="CR37" s="105"/>
      <c r="CS37" s="105"/>
      <c r="CT37" s="105"/>
      <c r="CU37" s="105"/>
      <c r="CV37" s="105"/>
      <c r="CW37" s="105"/>
      <c r="CX37" s="105"/>
      <c r="CY37" s="105"/>
      <c r="CZ37" s="105"/>
      <c r="DA37" s="105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5"/>
      <c r="DO37" s="105"/>
      <c r="DP37" s="105"/>
      <c r="DQ37" s="105"/>
      <c r="DR37" s="105"/>
      <c r="DS37" s="105"/>
      <c r="DT37" s="105"/>
      <c r="DU37" s="105"/>
      <c r="DV37" s="105"/>
      <c r="DW37" s="105"/>
      <c r="DX37" s="105"/>
      <c r="DY37" s="105"/>
    </row>
    <row r="38" spans="2:129" x14ac:dyDescent="0.25">
      <c r="B38" s="13"/>
      <c r="C38" s="19"/>
      <c r="D38" s="32"/>
      <c r="E38" s="25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F38" s="105"/>
      <c r="BG38" s="105"/>
      <c r="BH38" s="105"/>
      <c r="BI38" s="105"/>
      <c r="BJ38" s="105"/>
      <c r="BK38" s="105"/>
      <c r="BL38" s="105"/>
      <c r="BM38" s="105"/>
      <c r="BN38" s="105"/>
      <c r="BO38" s="105"/>
      <c r="BP38" s="105"/>
      <c r="BQ38" s="105"/>
      <c r="BR38" s="105"/>
      <c r="BS38" s="105"/>
      <c r="BT38" s="105"/>
      <c r="BU38" s="105"/>
      <c r="BV38" s="105"/>
      <c r="BW38" s="105"/>
      <c r="BX38" s="105"/>
      <c r="BY38" s="105"/>
      <c r="BZ38" s="105"/>
      <c r="CA38" s="105"/>
      <c r="CB38" s="105"/>
      <c r="CC38" s="105"/>
      <c r="CD38" s="105"/>
      <c r="CE38" s="105"/>
      <c r="CF38" s="105"/>
      <c r="CG38" s="105"/>
      <c r="CH38" s="105"/>
      <c r="CI38" s="105"/>
      <c r="CJ38" s="105"/>
      <c r="CK38" s="105"/>
      <c r="CL38" s="105"/>
      <c r="CM38" s="105"/>
      <c r="CN38" s="105"/>
      <c r="CO38" s="105"/>
      <c r="CP38" s="105"/>
      <c r="CQ38" s="105"/>
      <c r="CR38" s="105"/>
      <c r="CS38" s="105"/>
      <c r="CT38" s="105"/>
      <c r="CU38" s="105"/>
      <c r="CV38" s="105"/>
      <c r="CW38" s="105"/>
      <c r="CX38" s="105"/>
      <c r="CY38" s="105"/>
      <c r="CZ38" s="105"/>
      <c r="DA38" s="105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5"/>
      <c r="DO38" s="105"/>
      <c r="DP38" s="105"/>
      <c r="DQ38" s="105"/>
      <c r="DR38" s="105"/>
      <c r="DS38" s="105"/>
      <c r="DT38" s="105"/>
      <c r="DU38" s="105"/>
      <c r="DV38" s="105"/>
      <c r="DW38" s="105"/>
      <c r="DX38" s="105"/>
      <c r="DY38" s="105"/>
    </row>
    <row r="39" spans="2:129" x14ac:dyDescent="0.25">
      <c r="B39" s="22">
        <v>5</v>
      </c>
      <c r="C39" s="38" t="s">
        <v>245</v>
      </c>
      <c r="D39" s="32"/>
      <c r="E39" s="25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F39" s="105"/>
      <c r="BG39" s="105"/>
      <c r="BH39" s="105"/>
      <c r="BI39" s="105"/>
      <c r="BJ39" s="105"/>
      <c r="BK39" s="105"/>
      <c r="BL39" s="105"/>
      <c r="BM39" s="105"/>
      <c r="BN39" s="105"/>
      <c r="BO39" s="105"/>
      <c r="BP39" s="105"/>
      <c r="BQ39" s="105"/>
      <c r="BR39" s="105"/>
      <c r="BS39" s="105"/>
      <c r="BT39" s="105"/>
      <c r="BU39" s="105"/>
      <c r="BV39" s="105"/>
      <c r="BW39" s="105"/>
      <c r="BX39" s="105"/>
      <c r="BY39" s="105"/>
      <c r="BZ39" s="105"/>
      <c r="CA39" s="105"/>
      <c r="CB39" s="105"/>
      <c r="CC39" s="105"/>
      <c r="CD39" s="105"/>
      <c r="CE39" s="105"/>
      <c r="CF39" s="105"/>
      <c r="CG39" s="105"/>
      <c r="CH39" s="105"/>
      <c r="CI39" s="105"/>
      <c r="CJ39" s="105"/>
      <c r="CK39" s="105"/>
      <c r="CL39" s="105"/>
      <c r="CM39" s="105"/>
      <c r="CN39" s="105"/>
      <c r="CO39" s="105"/>
      <c r="CP39" s="105"/>
      <c r="CQ39" s="105"/>
      <c r="CR39" s="105"/>
      <c r="CS39" s="105"/>
      <c r="CT39" s="105"/>
      <c r="CU39" s="105"/>
      <c r="CV39" s="105"/>
      <c r="CW39" s="105"/>
      <c r="CX39" s="105"/>
      <c r="CY39" s="105"/>
      <c r="CZ39" s="105"/>
      <c r="DA39" s="105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5"/>
      <c r="DO39" s="105"/>
      <c r="DP39" s="105"/>
      <c r="DQ39" s="105"/>
      <c r="DR39" s="105"/>
      <c r="DS39" s="105"/>
      <c r="DT39" s="105"/>
      <c r="DU39" s="105"/>
      <c r="DV39" s="105"/>
      <c r="DW39" s="105"/>
      <c r="DX39" s="105"/>
      <c r="DY39" s="105"/>
    </row>
    <row r="40" spans="2:129" x14ac:dyDescent="0.25">
      <c r="B40" s="22">
        <v>5.0999999999999996</v>
      </c>
      <c r="C40" s="19" t="s">
        <v>246</v>
      </c>
      <c r="D40" s="24" t="s">
        <v>229</v>
      </c>
      <c r="E40" s="25"/>
      <c r="F40" s="33"/>
      <c r="G40" s="33">
        <f>Financials!D49/((Financials!D6+Financials!C6)/2)</f>
        <v>0</v>
      </c>
      <c r="H40" s="33">
        <f>Financials!E49/((Financials!E6+Financials!D6)/2)</f>
        <v>0.15983176578954128</v>
      </c>
      <c r="I40" s="33">
        <f>Financials!F49/((Financials!F6+Financials!E6)/2)</f>
        <v>9.7070850708409651E-2</v>
      </c>
      <c r="J40" s="33">
        <f>Financials!G49/((Financials!G6+Financials!F6)/2)</f>
        <v>6.4344545356780206E-2</v>
      </c>
      <c r="K40" s="33">
        <f>Financials!H49/((Financials!H6+Financials!G6)/2)</f>
        <v>0</v>
      </c>
      <c r="L40" s="33">
        <f>Financials!I49/((Financials!I6+Financials!G6)/2)</f>
        <v>7.2568475113316808E-2</v>
      </c>
      <c r="M40" s="33">
        <f>Financials!J49/((Financials!J6+Financials!I6)/2)</f>
        <v>0</v>
      </c>
      <c r="N40" s="33">
        <f>Financials!K49/((Financials!K6+Financials!J6)/2)</f>
        <v>0</v>
      </c>
      <c r="O40" s="33">
        <f>Financials!L49/((Financials!L6+Financials!K6)/2)</f>
        <v>6.4228359793627704E-2</v>
      </c>
      <c r="P40" s="33">
        <f>Financials!M49/((Financials!M6+Financials!L6)/2)</f>
        <v>6.1963079107706487E-2</v>
      </c>
      <c r="Q40" s="33">
        <f>Financials!N49/((Financials!N6+Financials!M6)/2)</f>
        <v>0</v>
      </c>
      <c r="R40" s="33">
        <f>Financials!O49/((Financials!O6+Financials!N6)/2)</f>
        <v>0</v>
      </c>
      <c r="S40" s="33">
        <f>Financials!P49/((Financials!P6+Financials!O6)/2)</f>
        <v>0</v>
      </c>
      <c r="T40" s="33">
        <f>Financials!Q49/((Financials!Q6+Financials!P6)/2)</f>
        <v>0</v>
      </c>
      <c r="U40" s="33">
        <f>Financials!R49/((Financials!R6+Financials!Q6)/2)</f>
        <v>0</v>
      </c>
      <c r="V40" s="33">
        <f>Financials!S49/((Financials!S6+Financials!R6)/2)</f>
        <v>0</v>
      </c>
      <c r="W40" s="33">
        <f>Financials!T49/((Financials!T6+Financials!S6)/2)</f>
        <v>0</v>
      </c>
      <c r="X40" s="33">
        <f>Financials!U49/((Financials!U6+Financials!T6)/2)</f>
        <v>0</v>
      </c>
      <c r="Y40" s="33">
        <f>Financials!W49/((Financials!W6+Financials!V6)/2)</f>
        <v>0</v>
      </c>
      <c r="Z40" s="33">
        <f>Financials!X49/((Financials!X6+Financials!W6)/2)</f>
        <v>0</v>
      </c>
      <c r="AA40" s="33">
        <f>Financials!Y49/((Financials!Y6+Financials!X6)/2)</f>
        <v>0</v>
      </c>
      <c r="AB40" s="33">
        <f>Financials!Z49/((Financials!Z6+Financials!Y6)/2)</f>
        <v>0</v>
      </c>
      <c r="AC40" s="33">
        <f>Financials!AA49/((Financials!AA6+Financials!Z6)/2)</f>
        <v>0</v>
      </c>
      <c r="AD40" s="33">
        <f>Financials!AB49/((Financials!AB6+Financials!AA6)/2)</f>
        <v>0</v>
      </c>
      <c r="AE40" s="33">
        <f>Financials!AC49/((Financials!AC6+Financials!AB6)/2)</f>
        <v>0</v>
      </c>
      <c r="AF40" s="33">
        <f>Financials!AD49/((Financials!AD6+Financials!AC6)/2)</f>
        <v>0</v>
      </c>
      <c r="AG40" s="33">
        <f>Financials!AE49/((Financials!AE6+Financials!AD6)/2)</f>
        <v>0</v>
      </c>
      <c r="AH40" s="33">
        <f>Financials!AF49/((Financials!AF6+Financials!AE6)/2)</f>
        <v>-2.8839118335978521E-5</v>
      </c>
      <c r="AI40" s="33">
        <f>Financials!AG49/((Financials!AG6+Financials!AF6)/2)</f>
        <v>-2.8079564135590232E-5</v>
      </c>
      <c r="AJ40" s="33">
        <f>Financials!AH49/((Financials!AH6+Financials!AG6)/2)</f>
        <v>-5.5534237496419321E-5</v>
      </c>
      <c r="AK40" s="33">
        <f>Financials!AI49/((Financials!AI6+Financials!AH6)/2)</f>
        <v>5.782006953768374E-2</v>
      </c>
      <c r="AL40" s="33">
        <f>Financials!AJ49/((Financials!AJ6+Financials!AI6)/2)</f>
        <v>5.5246461962144083E-2</v>
      </c>
      <c r="AM40" s="33">
        <f>Financials!AK49/((Financials!AK6+Financials!AJ6)/2)</f>
        <v>0</v>
      </c>
      <c r="AN40" s="33">
        <f>Financials!AL49/((Financials!AL6+Financials!AK6)/2)</f>
        <v>0</v>
      </c>
      <c r="AO40" s="33">
        <f>Financials!AM49/((Financials!AM6+Financials!AL6)/2)</f>
        <v>0</v>
      </c>
      <c r="AP40" s="33">
        <f>Financials!AN49/((Financials!AN6+Financials!AM6)/2)</f>
        <v>0</v>
      </c>
      <c r="AQ40" s="33">
        <f>Financials!AO49/((Financials!AO6+Financials!AN6)/2)</f>
        <v>0</v>
      </c>
      <c r="AR40" s="33">
        <f>Financials!AP49/((Financials!AP6+Financials!AO6)/2)</f>
        <v>0</v>
      </c>
      <c r="AS40" s="33">
        <f>Financials!AQ49/((Financials!AQ6+Financials!AP6)/2)</f>
        <v>0</v>
      </c>
      <c r="AT40" s="33">
        <f>Financials!AR49/((Financials!AR6+Financials!V6)/2)</f>
        <v>7.8027200581764961E-2</v>
      </c>
      <c r="AU40" s="33">
        <f>Financials!AS49/((Financials!AS6+Financials!W6)/2)</f>
        <v>0</v>
      </c>
      <c r="AV40" s="33">
        <f>Financials!AT49/((Financials!AT6+Financials!X6)/2)</f>
        <v>0</v>
      </c>
      <c r="AW40" s="33">
        <f>Financials!AU49/((Financials!AU6+Financials!Y6)/2)</f>
        <v>7.5906446764504754E-2</v>
      </c>
      <c r="AX40" s="33">
        <f>Financials!AV49/((Financials!AV6+Financials!Z6)/2)</f>
        <v>-3.1656023875819032E-4</v>
      </c>
      <c r="AY40" s="33">
        <f>Financials!AW49/((Financials!AW6+Financials!AA6)/2)</f>
        <v>6.3217499662264975E-2</v>
      </c>
      <c r="AZ40" s="33">
        <f>Financials!AX49/((Financials!AX6+Financials!AB6)/2)</f>
        <v>0</v>
      </c>
      <c r="BA40" s="33">
        <f>Financials!AY49/((Financials!AY6+Financials!AC6)/2)</f>
        <v>0</v>
      </c>
      <c r="BB40" s="33">
        <f>Financials!AZ49/((Financials!AZ6+Financials!AD6)/2)</f>
        <v>0</v>
      </c>
      <c r="BC40" s="33">
        <f>Financials!BA49/((Financials!BA6+Financials!AE6)/2)</f>
        <v>0</v>
      </c>
      <c r="BD40" s="33">
        <f>Financials!BB49/((Financials!BB6+Financials!AF6)/2)</f>
        <v>0</v>
      </c>
      <c r="BE40" s="486">
        <f>Financials!BC49/((Financials!BC6+Financials!AG6)/2)</f>
        <v>3.2970279808734786E-4</v>
      </c>
      <c r="BF40" s="33">
        <f>Financials!BD49/((Financials!BD6+Financials!AH6)/2)</f>
        <v>0</v>
      </c>
      <c r="BG40" s="33">
        <f>Financials!BE49/((Financials!BE6+Financials!AI6)/2)</f>
        <v>0</v>
      </c>
      <c r="BH40" s="33">
        <f>Financials!BF49/((Financials!BF6+Financials!AJ6)/2)</f>
        <v>0</v>
      </c>
      <c r="BI40" s="33" t="e">
        <f>Financials!BG49/((Financials!BG6+Financials!AK6)/2)</f>
        <v>#DIV/0!</v>
      </c>
      <c r="BJ40" s="33">
        <f>Financials!BH49/((Financials!BH6+Financials!AL6)/2)</f>
        <v>0</v>
      </c>
      <c r="BK40" s="33">
        <f>Financials!BI49/((Financials!BI6+Financials!AM6)/2)</f>
        <v>0</v>
      </c>
      <c r="BL40" s="33">
        <f>Financials!BJ49/((Financials!BJ6+Financials!AN6)/2)</f>
        <v>6.6058094927289507E-2</v>
      </c>
      <c r="BM40" s="33">
        <f>Financials!BK49/((Financials!BK6+Financials!AO6)/2)</f>
        <v>0</v>
      </c>
      <c r="BN40" s="33">
        <f>Financials!BL49/((Financials!BL6+Financials!AP6)/2)</f>
        <v>0</v>
      </c>
      <c r="BO40" s="33">
        <f>Financials!BM49/((Financials!BM6+Financials!AQ6)/2)</f>
        <v>0</v>
      </c>
      <c r="BP40" s="33">
        <f>Financials!BN49/((Financials!BN6+Financials!AR6)/2)</f>
        <v>0</v>
      </c>
      <c r="BQ40" s="33">
        <f>Financials!BO49/((Financials!BO6+Financials!AS6)/2)</f>
        <v>0</v>
      </c>
      <c r="BR40" s="33">
        <f>Financials!BP49/((Financials!BP6+Financials!AT6)/2)</f>
        <v>0</v>
      </c>
      <c r="BS40" s="33">
        <f>Financials!BQ49/((Financials!BQ6+Financials!AU6)/2)</f>
        <v>0</v>
      </c>
      <c r="BT40" s="33">
        <f>Financials!BR49/((Financials!BR6+Financials!AV6)/2)</f>
        <v>0</v>
      </c>
      <c r="BU40" s="33">
        <f>Financials!BS49/((Financials!BS6+Financials!AW6)/2)</f>
        <v>0</v>
      </c>
      <c r="BV40" s="33">
        <f>Financials!BT49/((Financials!BT6+Financials!AX6)/2)</f>
        <v>0</v>
      </c>
      <c r="BW40" s="33">
        <f>Financials!BU49/((Financials!BU6+Financials!AY6)/2)</f>
        <v>0</v>
      </c>
      <c r="BX40" s="33">
        <f>Financials!BV49/((Financials!BV6+Financials!AZ6)/2)</f>
        <v>0</v>
      </c>
      <c r="BY40" s="33">
        <f>Financials!BW49/((Financials!BW6+Financials!BA6)/2)</f>
        <v>-0.16911715347471565</v>
      </c>
      <c r="BZ40" s="33">
        <f>Financials!BX49/((Financials!BX6+Financials!BB6)/2)</f>
        <v>0</v>
      </c>
      <c r="CA40" s="33">
        <f>Financials!BY49/((Financials!BY6+Financials!BC6)/2)</f>
        <v>0</v>
      </c>
      <c r="CB40" s="33">
        <f>Financials!BZ49/((Financials!BZ6+Financials!BD6)/2)</f>
        <v>0</v>
      </c>
      <c r="CC40" s="33">
        <f>Financials!CA49/((Financials!CA6+Financials!BE6)/2)</f>
        <v>0</v>
      </c>
      <c r="CD40" s="33">
        <f>Financials!CB49/((Financials!CB6+Financials!BF6)/2)</f>
        <v>0</v>
      </c>
      <c r="CE40" s="33">
        <f>Financials!CC49/((Financials!CC6+Financials!BG6)/2)</f>
        <v>0</v>
      </c>
      <c r="CF40" s="33">
        <f>Financials!CD49/((Financials!CD6+Financials!BH6)/2)</f>
        <v>0</v>
      </c>
      <c r="CG40" s="33">
        <f>Financials!CE49/((Financials!CE6+Financials!BI6)/2)</f>
        <v>0</v>
      </c>
      <c r="CH40" s="33">
        <f>Financials!CF49/((Financials!CF6+Financials!BJ6)/2)</f>
        <v>0</v>
      </c>
      <c r="CI40" s="33">
        <f>Financials!CG49/((Financials!CG6+Financials!BK6)/2)</f>
        <v>1.3800385818881855E-3</v>
      </c>
      <c r="CJ40" s="33">
        <f>Financials!CH49/((Financials!CH6+Financials!BL6)/2)</f>
        <v>5.1740870838927625E-3</v>
      </c>
      <c r="CK40" s="33">
        <f>Financials!CI49/((Financials!CI6+Financials!BM6)/2)</f>
        <v>0</v>
      </c>
      <c r="CL40" s="33">
        <f>Financials!CJ49/((Financials!CJ6+Financials!BN6)/2)</f>
        <v>5.3267869157108863E-2</v>
      </c>
      <c r="CM40" s="33">
        <f>Financials!CK49/((Financials!CK6+Financials!BO6)/2)</f>
        <v>0</v>
      </c>
      <c r="CN40" s="33">
        <f>Financials!CL49/((Financials!CL6+Financials!BP6)/2)</f>
        <v>0</v>
      </c>
      <c r="CO40" s="33">
        <f>Financials!CM49/((Financials!CM6+Financials!BQ6)/2)</f>
        <v>0</v>
      </c>
      <c r="CP40" s="33">
        <f>Financials!CN49/((Financials!CN6+Financials!BR6)/2)</f>
        <v>0</v>
      </c>
      <c r="CQ40" s="33">
        <f>Financials!CO49/((Financials!CO6+Financials!BS6)/2)</f>
        <v>1.2750391389532386E-3</v>
      </c>
      <c r="CR40" s="33">
        <f>Financials!CP49/((Financials!CP6+Financials!BT6)/2)</f>
        <v>1.4993819742619248E-3</v>
      </c>
      <c r="CS40" s="33">
        <f>Financials!CQ49/((Financials!CQ6+Financials!BU6)/2)</f>
        <v>0</v>
      </c>
      <c r="CT40" s="33">
        <f>Financials!CR49/((Financials!CR6+Financials!BV6)/2)</f>
        <v>1.7075176730117704E-3</v>
      </c>
      <c r="CU40" s="33">
        <f>Financials!CS49/((Financials!CS6+Financials!BW6)/2)</f>
        <v>2.4154595436329277E-3</v>
      </c>
      <c r="CV40" s="33">
        <f>Financials!CT49/((Financials!CT6+Financials!BX6)/2)</f>
        <v>5.1717632525812235E-3</v>
      </c>
      <c r="CW40" s="33">
        <f>Financials!CU49/((Financials!CU6+Financials!BY6)/2)</f>
        <v>2.8912130915352175E-3</v>
      </c>
      <c r="CX40" s="33">
        <f>Financials!CV49/((Financials!CV6+Financials!BZ6)/2)</f>
        <v>3.2689908069037624E-3</v>
      </c>
      <c r="CY40" s="33">
        <f>Financials!CW49/((Financials!CW6+Financials!CA6)/2)</f>
        <v>7.4162216689536667E-2</v>
      </c>
      <c r="CZ40" s="33">
        <f>Financials!CX49/((Financials!CX6+Financials!CB6)/2)</f>
        <v>2.4929032831812599E-4</v>
      </c>
      <c r="DA40" s="33">
        <f>Financials!CY49/((Financials!CY6+Financials!CC6)/2)</f>
        <v>2.8579699512347781E-4</v>
      </c>
      <c r="DB40" s="33">
        <f>Financials!CZ49/((Financials!CZ6+Financials!CD6)/2)</f>
        <v>7.2197690915955888E-4</v>
      </c>
      <c r="DC40" s="33">
        <f>Financials!DA49/((Financials!DA6+Financials!CE6)/2)</f>
        <v>9.8697590367375493E-4</v>
      </c>
      <c r="DD40" s="33">
        <f>Financials!DB49/((Financials!DB6+Financials!CF6)/2)</f>
        <v>9.8225838280932717E-4</v>
      </c>
      <c r="DE40" s="33">
        <f>Financials!DC49/((Financials!DC6+Financials!CG6)/2)</f>
        <v>1.4927635543270463E-3</v>
      </c>
      <c r="DF40" s="33">
        <f>Financials!DD49/((Financials!DD6+Financials!CH6)/2)</f>
        <v>1.7081834148938214E-3</v>
      </c>
      <c r="DG40" s="33">
        <f>Financials!DE49/((Financials!DE6+Financials!CI6)/2)</f>
        <v>2.4025960194919271E-3</v>
      </c>
      <c r="DH40" s="33">
        <f>Financials!DF49/((Financials!DF6+Financials!CJ6)/2)</f>
        <v>0</v>
      </c>
      <c r="DI40" s="33">
        <f>Financials!DG49/((Financials!DG6+Financials!CK6)/2)</f>
        <v>0</v>
      </c>
      <c r="DJ40" s="33">
        <f>Financials!DH49/((Financials!DH6+Financials!CL6)/2)</f>
        <v>2.5251922009941296E-3</v>
      </c>
      <c r="DK40" s="33">
        <f>Financials!DI49/((Financials!DI6+Financials!CM6)/2)</f>
        <v>3.2391402798034141E-3</v>
      </c>
      <c r="DL40" s="33">
        <f>Financials!DJ49/((Financials!DJ6+Financials!CN6)/2)</f>
        <v>7.0161075314657373E-2</v>
      </c>
      <c r="DM40" s="33">
        <f>Financials!DK49/((Financials!DK6+Financials!CO6)/2)</f>
        <v>5.3274310250315106E-4</v>
      </c>
      <c r="DN40" s="33">
        <f>Financials!DL49/((Financials!DL6+Financials!CP6)/2)</f>
        <v>6.2694750998842984E-4</v>
      </c>
      <c r="DO40" s="33">
        <f>Financials!DM49/((Financials!DM6+Financials!CQ6)/2)</f>
        <v>6.8034412697779182E-4</v>
      </c>
      <c r="DP40" s="33">
        <f>Financials!DN49/((Financials!DN6+Financials!CR6)/2)</f>
        <v>8.111213301119401E-4</v>
      </c>
      <c r="DQ40" s="33">
        <f>Financials!DO49/((Financials!DO6+Financials!CS6)/2)</f>
        <v>9.662658644605909E-4</v>
      </c>
      <c r="DR40" s="33">
        <f>Financials!DP49/((Financials!DP6+Financials!CT6)/2)</f>
        <v>1.0378779780752718E-3</v>
      </c>
      <c r="DS40" s="33">
        <f>Financials!DQ49/((Financials!DQ6+Financials!CU6)/2)</f>
        <v>1.0494163782807282E-3</v>
      </c>
      <c r="DT40" s="33">
        <f>Financials!DR49/((Financials!DR6+Financials!CV6)/2)</f>
        <v>1.2438911155403984E-3</v>
      </c>
      <c r="DU40" s="33">
        <f>Financials!DS49/((Financials!DS6+Financials!CW6)/2)</f>
        <v>1.38025772236201E-3</v>
      </c>
      <c r="DV40" s="33">
        <f>Financials!DT49/((Financials!DT6+Financials!CX6)/2)</f>
        <v>1.339076419279482E-3</v>
      </c>
      <c r="DW40" s="33">
        <f>Financials!DU49/((Financials!DU6+Financials!CY6)/2)</f>
        <v>1.5114378969854859E-3</v>
      </c>
      <c r="DX40" s="33">
        <f>Financials!DV49/((Financials!DV6+Financials!CZ6)/2)</f>
        <v>0</v>
      </c>
      <c r="DY40" s="33">
        <f>Financials!DW49/((Financials!DW6+Financials!DA6)/2)</f>
        <v>7.4784546046710143E-2</v>
      </c>
    </row>
    <row r="41" spans="2:129" x14ac:dyDescent="0.25">
      <c r="B41" s="22">
        <v>5.2</v>
      </c>
      <c r="C41" s="19" t="s">
        <v>247</v>
      </c>
      <c r="D41" s="24" t="s">
        <v>229</v>
      </c>
      <c r="E41" s="25"/>
      <c r="F41" s="33"/>
      <c r="G41" s="33">
        <f>Financials!D50/((Financials!D17+Financials!C17)/2)</f>
        <v>0.82960450819672127</v>
      </c>
      <c r="H41" s="33">
        <f>Financials!E50/((Financials!E17+Financials!D17)/2)</f>
        <v>0</v>
      </c>
      <c r="I41" s="33">
        <f>Financials!F50/((Financials!F17+Financials!E17)/2)</f>
        <v>4.6157515812946151E-2</v>
      </c>
      <c r="J41" s="33">
        <f>Financials!G50/((Financials!G17+Financials!F17)/2)</f>
        <v>3.3750846186530105E-2</v>
      </c>
      <c r="K41" s="33">
        <f>Financials!H50/((Financials!H17+Financials!G17)/2)</f>
        <v>0</v>
      </c>
      <c r="L41" s="33">
        <f>Financials!I50/((Financials!I17+Financials!G17)/2)</f>
        <v>0</v>
      </c>
      <c r="M41" s="33">
        <f>Financials!J50/((Financials!J17+Financials!I17)/2)</f>
        <v>0</v>
      </c>
      <c r="N41" s="33">
        <f>Financials!K50/((Financials!K17+Financials!J17)/2)</f>
        <v>0</v>
      </c>
      <c r="O41" s="33">
        <f>Financials!L50/((Financials!L17+Financials!K17)/2)</f>
        <v>0</v>
      </c>
      <c r="P41" s="33">
        <f>Financials!M50/((Financials!M17+Financials!L17)/2)</f>
        <v>0</v>
      </c>
      <c r="Q41" s="33">
        <f>Financials!N50/((Financials!N17+Financials!M17)/2)</f>
        <v>0</v>
      </c>
      <c r="R41" s="33">
        <f>Financials!O50/((Financials!O17+Financials!N17)/2)</f>
        <v>0</v>
      </c>
      <c r="S41" s="33">
        <f>Financials!P50/((Financials!P17+Financials!O17)/2)</f>
        <v>0</v>
      </c>
      <c r="T41" s="33">
        <f>Financials!Q50/((Financials!Q17+Financials!P17)/2)</f>
        <v>0</v>
      </c>
      <c r="U41" s="33">
        <f>Financials!R50/((Financials!R17+Financials!Q17)/2)</f>
        <v>0</v>
      </c>
      <c r="V41" s="33">
        <f>Financials!S50/((Financials!S17+Financials!R17)/2)</f>
        <v>0</v>
      </c>
      <c r="W41" s="33">
        <f>Financials!T50/((Financials!T17+Financials!S17)/2)</f>
        <v>0</v>
      </c>
      <c r="X41" s="33">
        <f>Financials!U50/((Financials!U17+Financials!T17)/2)</f>
        <v>0</v>
      </c>
      <c r="Y41" s="33">
        <f>Financials!W50/((Financials!W17+Financials!V17)/2)</f>
        <v>0</v>
      </c>
      <c r="Z41" s="33">
        <f>Financials!X50/((Financials!X17+Financials!W17)/2)</f>
        <v>0</v>
      </c>
      <c r="AA41" s="33">
        <f>Financials!Y50/((Financials!Y17+Financials!X17)/2)</f>
        <v>0</v>
      </c>
      <c r="AB41" s="33">
        <f>Financials!Z50/((Financials!Z17+Financials!Y17)/2)</f>
        <v>0</v>
      </c>
      <c r="AC41" s="33">
        <f>Financials!AA50/((Financials!AA17+Financials!Z17)/2)</f>
        <v>0</v>
      </c>
      <c r="AD41" s="33">
        <f>Financials!AB50/((Financials!AB17+Financials!AA17)/2)</f>
        <v>2.7304598780105261E-2</v>
      </c>
      <c r="AE41" s="33">
        <f>Financials!AC50/((Financials!AC17+Financials!AB17)/2)</f>
        <v>3.0950787813091993E-2</v>
      </c>
      <c r="AF41" s="33">
        <f>Financials!AD50/((Financials!AD17+Financials!AC17)/2)</f>
        <v>3.0119611532583891E-2</v>
      </c>
      <c r="AG41" s="33">
        <f>Financials!AE50/((Financials!AE17+Financials!AD17)/2)</f>
        <v>3.6004236286253766E-2</v>
      </c>
      <c r="AH41" s="33">
        <f>Financials!AF50/((Financials!AF17+Financials!AE17)/2)</f>
        <v>3.1051165269582716E-2</v>
      </c>
      <c r="AI41" s="33">
        <f>Financials!AG50/((Financials!AG17+Financials!AF17)/2)</f>
        <v>3.2334555736971027E-2</v>
      </c>
      <c r="AJ41" s="33">
        <f>Financials!AH50/((Financials!AH17+Financials!AG17)/2)</f>
        <v>3.3418537354858814E-2</v>
      </c>
      <c r="AK41" s="33">
        <f>Financials!AI50/((Financials!AI17+Financials!AH17)/2)</f>
        <v>0</v>
      </c>
      <c r="AL41" s="33">
        <f>Financials!AJ50/((Financials!AJ17+Financials!AI17)/2)</f>
        <v>0</v>
      </c>
      <c r="AM41" s="33">
        <f>Financials!AK50/((Financials!AK17+Financials!AJ17)/2)</f>
        <v>0</v>
      </c>
      <c r="AN41" s="33">
        <f>Financials!AL50/((Financials!AL17+Financials!AK17)/2)</f>
        <v>2.3346153823928524E-2</v>
      </c>
      <c r="AO41" s="33">
        <f>Financials!AM50/((Financials!AM17+Financials!AL17)/2)</f>
        <v>1.4372502823153261E-2</v>
      </c>
      <c r="AP41" s="33">
        <f>Financials!AN50/((Financials!AN17+Financials!AM17)/2)</f>
        <v>1.5898394695152814E-2</v>
      </c>
      <c r="AQ41" s="33">
        <f>Financials!AO50/((Financials!AO17+Financials!AN17)/2)</f>
        <v>1.8525510991428396E-2</v>
      </c>
      <c r="AR41" s="33">
        <f>Financials!AP50/((Financials!AP17+Financials!AO17)/2)</f>
        <v>0</v>
      </c>
      <c r="AS41" s="33">
        <f>Financials!AQ50/((Financials!AQ17+Financials!AP17)/2)</f>
        <v>1.5054117367583971E-2</v>
      </c>
      <c r="AT41" s="33">
        <f>Financials!AR50/((Financials!AR17+Financials!V17)/2)</f>
        <v>2.411333849304427E-2</v>
      </c>
      <c r="AU41" s="33">
        <f>Financials!AS50/((Financials!AS17+Financials!W17)/2)</f>
        <v>0</v>
      </c>
      <c r="AV41" s="33">
        <f>Financials!AT50/((Financials!AT17+Financials!X17)/2)</f>
        <v>0</v>
      </c>
      <c r="AW41" s="33">
        <f>Financials!AU50/((Financials!AU17+Financials!Y17)/2)</f>
        <v>2.3921480480231676E-2</v>
      </c>
      <c r="AX41" s="33">
        <f>Financials!AV50/((Financials!AV17+Financials!Z17)/2)</f>
        <v>3.9785430907764735E-2</v>
      </c>
      <c r="AY41" s="33">
        <f>Financials!AW50/((Financials!AW17+Financials!AA17)/2)</f>
        <v>0</v>
      </c>
      <c r="AZ41" s="33">
        <f>Financials!AX50/((Financials!AX17+Financials!AB17)/2)</f>
        <v>0</v>
      </c>
      <c r="BA41" s="33">
        <f>Financials!AY50/((Financials!AY17+Financials!AC17)/2)</f>
        <v>0</v>
      </c>
      <c r="BB41" s="33">
        <f>Financials!AZ50/((Financials!AZ17+Financials!AD17)/2)</f>
        <v>-1.0447623485134194</v>
      </c>
      <c r="BC41" s="33">
        <f>Financials!BA50/((Financials!BA17+Financials!AE17)/2)</f>
        <v>-3.7910844760550635E-2</v>
      </c>
      <c r="BD41" s="33">
        <f>Financials!BB50/((Financials!BB17+Financials!AF17)/2)</f>
        <v>2.4057383709458664E-2</v>
      </c>
      <c r="BE41" s="486">
        <f>Financials!BC50/((Financials!BC17+Financials!AG17)/2)</f>
        <v>1.9406319160882618E-2</v>
      </c>
      <c r="BF41" s="33">
        <f>Financials!BD50/((Financials!BD17+Financials!AH17)/2)</f>
        <v>1.5269593885708599E-4</v>
      </c>
      <c r="BG41" s="33">
        <f>Financials!BE50/((Financials!BE17+Financials!AI17)/2)</f>
        <v>0</v>
      </c>
      <c r="BH41" s="33">
        <f>Financials!BF50/((Financials!BF17+Financials!AJ17)/2)</f>
        <v>0</v>
      </c>
      <c r="BI41" s="33" t="e">
        <f>Financials!BG50/((Financials!BG17+Financials!AK17)/2)</f>
        <v>#DIV/0!</v>
      </c>
      <c r="BJ41" s="33">
        <f>Financials!BH50/((Financials!BH17+Financials!AL17)/2)</f>
        <v>0</v>
      </c>
      <c r="BK41" s="33">
        <f>Financials!BI50/((Financials!BI17+Financials!AM17)/2)</f>
        <v>0</v>
      </c>
      <c r="BL41" s="33">
        <f>Financials!BJ50/((Financials!BJ17+Financials!AN17)/2)</f>
        <v>0</v>
      </c>
      <c r="BM41" s="33">
        <f>Financials!BK50/((Financials!BK17+Financials!AO17)/2)</f>
        <v>0</v>
      </c>
      <c r="BN41" s="33">
        <f>Financials!BL50/((Financials!BL17+Financials!AP17)/2)</f>
        <v>0</v>
      </c>
      <c r="BO41" s="33">
        <f>Financials!BM50/((Financials!BM17+Financials!AQ17)/2)</f>
        <v>0</v>
      </c>
      <c r="BP41" s="33">
        <f>Financials!BN50/((Financials!BN17+Financials!AR17)/2)</f>
        <v>0</v>
      </c>
      <c r="BQ41" s="33">
        <f>Financials!BO50/((Financials!BO17+Financials!AS17)/2)</f>
        <v>0</v>
      </c>
      <c r="BR41" s="33">
        <f>Financials!BP50/((Financials!BP17+Financials!AT17)/2)</f>
        <v>0</v>
      </c>
      <c r="BS41" s="33">
        <f>Financials!BQ50/((Financials!BQ17+Financials!AU17)/2)</f>
        <v>0</v>
      </c>
      <c r="BT41" s="33">
        <f>Financials!BR50/((Financials!BR17+Financials!AV17)/2)</f>
        <v>0</v>
      </c>
      <c r="BU41" s="33">
        <f>Financials!BS50/((Financials!BS17+Financials!AW17)/2)</f>
        <v>0</v>
      </c>
      <c r="BV41" s="33">
        <f>Financials!BT50/((Financials!BT17+Financials!AX17)/2)</f>
        <v>0</v>
      </c>
      <c r="BW41" s="33">
        <f>Financials!BU50/((Financials!BU17+Financials!AY17)/2)</f>
        <v>0</v>
      </c>
      <c r="BX41" s="33">
        <f>Financials!BV50/((Financials!BV17+Financials!AZ17)/2)</f>
        <v>0</v>
      </c>
      <c r="BY41" s="33">
        <f>Financials!BW50/((Financials!BW17+Financials!BA17)/2)</f>
        <v>0</v>
      </c>
      <c r="BZ41" s="33">
        <f>Financials!BX50/((Financials!BX17+Financials!BB17)/2)</f>
        <v>0</v>
      </c>
      <c r="CA41" s="33">
        <f>Financials!BY50/((Financials!BY17+Financials!BC17)/2)</f>
        <v>0</v>
      </c>
      <c r="CB41" s="33">
        <f>Financials!BZ50/((Financials!BZ17+Financials!BD17)/2)</f>
        <v>0</v>
      </c>
      <c r="CC41" s="33">
        <f>Financials!CA50/((Financials!CA17+Financials!BE17)/2)</f>
        <v>0</v>
      </c>
      <c r="CD41" s="33">
        <f>Financials!CB50/((Financials!CB17+Financials!BF17)/2)</f>
        <v>0</v>
      </c>
      <c r="CE41" s="33">
        <f>Financials!CC50/((Financials!CC17+Financials!BG17)/2)</f>
        <v>0</v>
      </c>
      <c r="CF41" s="33">
        <f>Financials!CD50/((Financials!CD17+Financials!BH17)/2)</f>
        <v>0</v>
      </c>
      <c r="CG41" s="33">
        <f>Financials!CE50/((Financials!CE17+Financials!BI17)/2)</f>
        <v>0</v>
      </c>
      <c r="CH41" s="33">
        <f>Financials!CF50/((Financials!CF17+Financials!BJ17)/2)</f>
        <v>0</v>
      </c>
      <c r="CI41" s="33">
        <f>Financials!CG50/((Financials!CG17+Financials!BK17)/2)</f>
        <v>0</v>
      </c>
      <c r="CJ41" s="33">
        <f>Financials!CH50/((Financials!CH17+Financials!BL17)/2)</f>
        <v>0</v>
      </c>
      <c r="CK41" s="33">
        <f>Financials!CI50/((Financials!CI17+Financials!BM17)/2)</f>
        <v>0</v>
      </c>
      <c r="CL41" s="33">
        <f>Financials!CJ50/((Financials!CJ17+Financials!BN17)/2)</f>
        <v>0</v>
      </c>
      <c r="CM41" s="33">
        <f>Financials!CK50/((Financials!CK17+Financials!BO17)/2)</f>
        <v>0</v>
      </c>
      <c r="CN41" s="33" t="e">
        <f>Financials!CL50/((Financials!CL17+Financials!BP17)/2)</f>
        <v>#REF!</v>
      </c>
      <c r="CO41" s="33">
        <f>Financials!CM50/((Financials!CM17+Financials!BQ17)/2)</f>
        <v>0</v>
      </c>
      <c r="CP41" s="33">
        <f>Financials!CN50/((Financials!CN17+Financials!BR17)/2)</f>
        <v>0</v>
      </c>
      <c r="CQ41" s="33">
        <f>Financials!CO50/((Financials!CO17+Financials!BS17)/2)</f>
        <v>0</v>
      </c>
      <c r="CR41" s="33">
        <f>Financials!CP50/((Financials!CP17+Financials!BT17)/2)</f>
        <v>0</v>
      </c>
      <c r="CS41" s="33">
        <f>Financials!CQ50/((Financials!CQ17+Financials!BU17)/2)</f>
        <v>0</v>
      </c>
      <c r="CT41" s="33">
        <f>Financials!CR50/((Financials!CR17+Financials!BV17)/2)</f>
        <v>0</v>
      </c>
      <c r="CU41" s="33">
        <f>Financials!CS50/((Financials!CS17+Financials!BW17)/2)</f>
        <v>0</v>
      </c>
      <c r="CV41" s="33">
        <f>Financials!CT50/((Financials!CT17+Financials!BX17)/2)</f>
        <v>0</v>
      </c>
      <c r="CW41" s="33">
        <f>Financials!CU50/((Financials!CU17+Financials!BY17)/2)</f>
        <v>0</v>
      </c>
      <c r="CX41" s="33">
        <f>Financials!CV50/((Financials!CV17+Financials!BZ17)/2)</f>
        <v>0</v>
      </c>
      <c r="CY41" s="33">
        <f>Financials!CW50/((Financials!CW17+Financials!CA17)/2)</f>
        <v>0</v>
      </c>
      <c r="CZ41" s="33">
        <f>Financials!CX50/((Financials!CX17+Financials!CB17)/2)</f>
        <v>0</v>
      </c>
      <c r="DA41" s="33">
        <f>Financials!CY50/((Financials!CY17+Financials!CC17)/2)</f>
        <v>0</v>
      </c>
      <c r="DB41" s="33">
        <f>Financials!CZ50/((Financials!CZ17+Financials!CD17)/2)</f>
        <v>0</v>
      </c>
      <c r="DC41" s="33">
        <f>Financials!DA50/((Financials!DA17+Financials!CE17)/2)</f>
        <v>0</v>
      </c>
      <c r="DD41" s="33">
        <f>Financials!DB50/((Financials!DB17+Financials!CF17)/2)</f>
        <v>0</v>
      </c>
      <c r="DE41" s="33">
        <f>Financials!DC50/((Financials!DC17+Financials!CG17)/2)</f>
        <v>0</v>
      </c>
      <c r="DF41" s="33">
        <f>Financials!DD50/((Financials!DD17+Financials!CH17)/2)</f>
        <v>0</v>
      </c>
      <c r="DG41" s="33">
        <f>Financials!DE50/((Financials!DE17+Financials!CI17)/2)</f>
        <v>0</v>
      </c>
      <c r="DH41" s="33">
        <f>Financials!DF50/((Financials!DF17+Financials!CJ17)/2)</f>
        <v>0</v>
      </c>
      <c r="DI41" s="33">
        <f>Financials!DG50/((Financials!DG17+Financials!CK17)/2)</f>
        <v>0</v>
      </c>
      <c r="DJ41" s="33" t="e">
        <f>Financials!DH50/((Financials!DH17+Financials!CL17)/2)</f>
        <v>#REF!</v>
      </c>
      <c r="DK41" s="33">
        <f>Financials!DI50/((Financials!DI17+Financials!CM17)/2)</f>
        <v>0</v>
      </c>
      <c r="DL41" s="33">
        <f>Financials!DJ50/((Financials!DJ17+Financials!CN17)/2)</f>
        <v>1.9512916618711483E-2</v>
      </c>
      <c r="DM41" s="33">
        <f>Financials!DK50/((Financials!DK17+Financials!CO17)/2)</f>
        <v>0</v>
      </c>
      <c r="DN41" s="33">
        <f>Financials!DL50/((Financials!DL17+Financials!CP17)/2)</f>
        <v>0</v>
      </c>
      <c r="DO41" s="33">
        <f>Financials!DM50/((Financials!DM17+Financials!CQ17)/2)</f>
        <v>0</v>
      </c>
      <c r="DP41" s="33">
        <f>Financials!DN50/((Financials!DN17+Financials!CR17)/2)</f>
        <v>0</v>
      </c>
      <c r="DQ41" s="33">
        <f>Financials!DO50/((Financials!DO17+Financials!CS17)/2)</f>
        <v>0</v>
      </c>
      <c r="DR41" s="33">
        <f>Financials!DP50/((Financials!DP17+Financials!CT17)/2)</f>
        <v>0</v>
      </c>
      <c r="DS41" s="33">
        <f>Financials!DQ50/((Financials!DQ17+Financials!CU17)/2)</f>
        <v>0</v>
      </c>
      <c r="DT41" s="33">
        <f>Financials!DR50/((Financials!DR17+Financials!CV17)/2)</f>
        <v>0</v>
      </c>
      <c r="DU41" s="33">
        <f>Financials!DS50/((Financials!DS17+Financials!CW17)/2)</f>
        <v>0</v>
      </c>
      <c r="DV41" s="33">
        <f>Financials!DT50/((Financials!DT17+Financials!CX17)/2)</f>
        <v>0</v>
      </c>
      <c r="DW41" s="33">
        <f>Financials!DU50/((Financials!DU17+Financials!CY17)/2)</f>
        <v>0</v>
      </c>
      <c r="DX41" s="33">
        <f>Financials!DV50/((Financials!DV17+Financials!CZ17)/2)</f>
        <v>0</v>
      </c>
      <c r="DY41" s="33">
        <f>Financials!DW50/((Financials!DW17+Financials!DA17)/2)</f>
        <v>0</v>
      </c>
    </row>
    <row r="42" spans="2:129" x14ac:dyDescent="0.25">
      <c r="B42" s="22">
        <v>5.3</v>
      </c>
      <c r="C42" s="19" t="s">
        <v>248</v>
      </c>
      <c r="D42" s="24" t="s">
        <v>229</v>
      </c>
      <c r="E42" s="25"/>
      <c r="F42" s="33"/>
      <c r="G42" s="33">
        <f>Financials!D51/((Financials!D9+Financials!C9)/2)</f>
        <v>0</v>
      </c>
      <c r="H42" s="33">
        <f>Financials!E51/((Financials!E9+Financials!D9)/2)</f>
        <v>0</v>
      </c>
      <c r="I42" s="33">
        <f>Financials!F51/((Financials!F9+Financials!E9)/2)</f>
        <v>0.10644932731114655</v>
      </c>
      <c r="J42" s="33">
        <f>Financials!G51/((Financials!G9+Financials!F9)/2)</f>
        <v>0.14995010096393746</v>
      </c>
      <c r="K42" s="33">
        <f>Financials!H51/((Financials!H9+Financials!G9)/2)</f>
        <v>0</v>
      </c>
      <c r="L42" s="33">
        <f>Financials!I51/((Financials!I9+Financials!G9)/2)</f>
        <v>0.1327026659338387</v>
      </c>
      <c r="M42" s="33">
        <f>Financials!J51/((Financials!J9+Financials!I9)/2)</f>
        <v>0</v>
      </c>
      <c r="N42" s="33">
        <f>Financials!K51/((Financials!K9+Financials!J9)/2)</f>
        <v>0</v>
      </c>
      <c r="O42" s="33">
        <f>Financials!L51/((Financials!L9+Financials!K9)/2)</f>
        <v>0</v>
      </c>
      <c r="P42" s="33">
        <f>Financials!M51/((Financials!M9+Financials!L9)/2)</f>
        <v>2.5141729435563573E-2</v>
      </c>
      <c r="Q42" s="33">
        <f>Financials!N51/((Financials!N9+Financials!M9)/2)</f>
        <v>2.5681099543056318E-2</v>
      </c>
      <c r="R42" s="33">
        <f>Financials!O51/((Financials!O9+Financials!N9)/2)</f>
        <v>2.5681099543056318E-2</v>
      </c>
      <c r="S42" s="33">
        <f>Financials!P51/((Financials!P9+Financials!O9)/2)</f>
        <v>4.1082759334689092E-2</v>
      </c>
      <c r="T42" s="33">
        <f>Financials!Q51/((Financials!Q9+Financials!P9)/2)</f>
        <v>8.3601023735358396E-2</v>
      </c>
      <c r="U42" s="33">
        <f>Financials!R51/((Financials!R9+Financials!Q9)/2)</f>
        <v>8.5070105575163479E-2</v>
      </c>
      <c r="V42" s="33">
        <f>Financials!S51/((Financials!S9+Financials!R9)/2)</f>
        <v>8.5070105575163479E-2</v>
      </c>
      <c r="W42" s="33">
        <f>Financials!T51/((Financials!T9+Financials!S9)/2)</f>
        <v>0</v>
      </c>
      <c r="X42" s="33">
        <f>Financials!U51/((Financials!U9+Financials!T9)/2)</f>
        <v>0</v>
      </c>
      <c r="Y42" s="33">
        <f>Financials!W51/((Financials!W9+Financials!V9)/2)</f>
        <v>0</v>
      </c>
      <c r="Z42" s="33">
        <f>Financials!X51/((Financials!X9+Financials!W9)/2)</f>
        <v>0</v>
      </c>
      <c r="AA42" s="33">
        <f>Financials!Y51/((Financials!Y9+Financials!X9)/2)</f>
        <v>0</v>
      </c>
      <c r="AB42" s="33">
        <f>Financials!Z51/((Financials!Z9+Financials!Y9)/2)</f>
        <v>2.5117357402010206E-2</v>
      </c>
      <c r="AC42" s="33">
        <f>Financials!AA51/((Financials!AA9+Financials!Z9)/2)</f>
        <v>2.7536227299615031E-2</v>
      </c>
      <c r="AD42" s="33">
        <f>Financials!AB51/((Financials!AB9+Financials!AA9)/2)</f>
        <v>3.259745230586248E-2</v>
      </c>
      <c r="AE42" s="33">
        <f>Financials!AC51/((Financials!AC9+Financials!AB9)/2)</f>
        <v>3.4284527307944963E-2</v>
      </c>
      <c r="AF42" s="33">
        <f>Financials!AD51/((Financials!AD9+Financials!AC9)/2)</f>
        <v>3.765867731210993E-2</v>
      </c>
      <c r="AG42" s="33">
        <f>Financials!AE51/((Financials!AE9+Financials!AD9)/2)</f>
        <v>3.765867731210993E-2</v>
      </c>
      <c r="AH42" s="33">
        <f>Financials!AF51/((Financials!AF9+Financials!AE9)/2)</f>
        <v>3.765867731210993E-2</v>
      </c>
      <c r="AI42" s="33">
        <f>Financials!AG51/((Financials!AG9+Financials!AF9)/2)</f>
        <v>0.12004937163375225</v>
      </c>
      <c r="AJ42" s="33">
        <f>Financials!AH51/((Financials!AH9+Financials!AG9)/2)</f>
        <v>0.44738718837937969</v>
      </c>
      <c r="AK42" s="33" t="e">
        <f>Financials!AI51/((Financials!AI9+Financials!AH9)/2)</f>
        <v>#DIV/0!</v>
      </c>
      <c r="AL42" s="33" t="e">
        <f>Financials!AJ51/((Financials!AJ9+Financials!AI9)/2)</f>
        <v>#DIV/0!</v>
      </c>
      <c r="AM42" s="33" t="e">
        <f>Financials!AK51/((Financials!AK9+Financials!AJ9)/2)</f>
        <v>#DIV/0!</v>
      </c>
      <c r="AN42" s="33" t="e">
        <f>Financials!AL51/((Financials!AL9+Financials!AK9)/2)</f>
        <v>#DIV/0!</v>
      </c>
      <c r="AO42" s="33" t="e">
        <f>Financials!AM51/((Financials!AM9+Financials!AL9)/2)</f>
        <v>#DIV/0!</v>
      </c>
      <c r="AP42" s="33" t="e">
        <f>Financials!AN51/((Financials!AN9+Financials!AM9)/2)</f>
        <v>#DIV/0!</v>
      </c>
      <c r="AQ42" s="33">
        <f>Financials!AO51/((Financials!AO9+Financials!AN9)/2)</f>
        <v>7.5918375093711743E-3</v>
      </c>
      <c r="AR42" s="33">
        <f>Financials!AP51/((Financials!AP9+Financials!AO9)/2)</f>
        <v>0</v>
      </c>
      <c r="AS42" s="33" t="e">
        <f>Financials!AQ51/((Financials!AQ9+Financials!AP9)/2)</f>
        <v>#DIV/0!</v>
      </c>
      <c r="AT42" s="33">
        <f>Financials!AR51/((Financials!AR9+Financials!V9)/2)</f>
        <v>1.7749746897291186E-2</v>
      </c>
      <c r="AU42" s="33">
        <f>Financials!AS51/((Financials!AS9+Financials!W9)/2)</f>
        <v>0</v>
      </c>
      <c r="AV42" s="33">
        <f>Financials!AT51/((Financials!AT9+Financials!X9)/2)</f>
        <v>0</v>
      </c>
      <c r="AW42" s="33">
        <f>Financials!AU51/((Financials!AU9+Financials!Y9)/2)</f>
        <v>1.6268047918242448E-2</v>
      </c>
      <c r="AX42" s="33">
        <f>Financials!AV51/((Financials!AV9+Financials!Z9)/2)</f>
        <v>1.9401362523948557E-2</v>
      </c>
      <c r="AY42" s="33">
        <f>Financials!AW51/((Financials!AW9+Financials!AA9)/2)</f>
        <v>0</v>
      </c>
      <c r="AZ42" s="33">
        <f>Financials!AX51/((Financials!AX9+Financials!AB9)/2)</f>
        <v>0</v>
      </c>
      <c r="BA42" s="33">
        <f>Financials!AY51/((Financials!AY9+Financials!AC9)/2)</f>
        <v>0</v>
      </c>
      <c r="BB42" s="33">
        <f>Financials!AZ51/((Financials!AZ9+Financials!AD9)/2)</f>
        <v>0</v>
      </c>
      <c r="BC42" s="33">
        <f>Financials!BA51/((Financials!BA9+Financials!AE9)/2)</f>
        <v>0</v>
      </c>
      <c r="BD42" s="33">
        <f>Financials!BB51/((Financials!BB9+Financials!AF9)/2)</f>
        <v>3.5399051231195702E-2</v>
      </c>
      <c r="BE42" s="486">
        <f>Financials!BC51/((Financials!BC9+Financials!AG9)/2)</f>
        <v>0</v>
      </c>
      <c r="BF42" s="33" t="e">
        <f>Financials!BD51/((Financials!BD9+Financials!AH9)/2)</f>
        <v>#DIV/0!</v>
      </c>
      <c r="BG42" s="33" t="e">
        <f>Financials!BE51/((Financials!BE9+Financials!AI9)/2)</f>
        <v>#DIV/0!</v>
      </c>
      <c r="BH42" s="33" t="e">
        <f>Financials!BF51/((Financials!BF9+Financials!AJ9)/2)</f>
        <v>#DIV/0!</v>
      </c>
      <c r="BI42" s="33" t="e">
        <f>Financials!BG51/((Financials!BG9+Financials!AK9)/2)</f>
        <v>#DIV/0!</v>
      </c>
      <c r="BJ42" s="33" t="e">
        <f>Financials!BH51/((Financials!BH9+Financials!AL9)/2)</f>
        <v>#DIV/0!</v>
      </c>
      <c r="BK42" s="33" t="e">
        <f>Financials!BI51/((Financials!BI9+Financials!AM9)/2)</f>
        <v>#DIV/0!</v>
      </c>
      <c r="BL42" s="33" t="e">
        <f>Financials!BJ51/((Financials!BJ9+Financials!AN9)/2)</f>
        <v>#DIV/0!</v>
      </c>
      <c r="BM42" s="105"/>
      <c r="BN42" s="105"/>
      <c r="BO42" s="105"/>
      <c r="BP42" s="105"/>
      <c r="BQ42" s="105"/>
      <c r="BR42" s="105"/>
      <c r="BS42" s="105"/>
      <c r="BT42" s="105"/>
      <c r="BU42" s="105"/>
      <c r="BV42" s="105"/>
      <c r="BW42" s="105"/>
      <c r="BX42" s="105"/>
      <c r="BY42" s="105"/>
      <c r="BZ42" s="105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5"/>
      <c r="CL42" s="105"/>
      <c r="CM42" s="105"/>
      <c r="CN42" s="105"/>
      <c r="CO42" s="105"/>
      <c r="CP42" s="105"/>
      <c r="CQ42" s="105"/>
      <c r="CR42" s="105"/>
      <c r="CS42" s="105"/>
      <c r="CT42" s="105"/>
      <c r="CU42" s="105"/>
      <c r="CV42" s="105"/>
      <c r="CW42" s="105"/>
      <c r="CX42" s="105"/>
      <c r="CY42" s="105"/>
      <c r="CZ42" s="105"/>
      <c r="DA42" s="105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5"/>
      <c r="DO42" s="105"/>
      <c r="DP42" s="105"/>
      <c r="DQ42" s="105"/>
      <c r="DR42" s="105"/>
      <c r="DS42" s="105"/>
      <c r="DT42" s="105"/>
      <c r="DU42" s="105"/>
      <c r="DV42" s="105"/>
      <c r="DW42" s="105"/>
      <c r="DX42" s="105"/>
      <c r="DY42" s="105"/>
    </row>
    <row r="43" spans="2:129" x14ac:dyDescent="0.25">
      <c r="B43" s="22">
        <v>5.4</v>
      </c>
      <c r="C43" s="19" t="s">
        <v>249</v>
      </c>
      <c r="D43" s="24" t="s">
        <v>229</v>
      </c>
      <c r="E43" s="25"/>
      <c r="F43" s="33"/>
      <c r="G43" s="33">
        <f>(Financials!D53+Financials!D54)/((Financials!D5+Financials!C5)/2)</f>
        <v>6.1403116311334063E-2</v>
      </c>
      <c r="H43" s="33">
        <f>(Financials!E53+Financials!E54)/((Financials!E5+Financials!D5)/2)</f>
        <v>5.530295379827263E-2</v>
      </c>
      <c r="I43" s="33">
        <f>(Financials!F53+Financials!F54)/((Financials!F5+Financials!E5)/2)</f>
        <v>7.4796084948080044E-2</v>
      </c>
      <c r="J43" s="33">
        <f>(Financials!G53+Financials!G54)/((Financials!G5+Financials!F5)/2)</f>
        <v>8.7303234992713905E-2</v>
      </c>
      <c r="K43" s="33">
        <f>(Financials!H53+Financials!H54)/((Financials!H5+Financials!G5)/2)</f>
        <v>6.0481638175286236E-5</v>
      </c>
      <c r="L43" s="33">
        <f>(Financials!I53+Financials!I54)/((Financials!I5+Financials!G5)/2)</f>
        <v>6.8645245053975346E-2</v>
      </c>
      <c r="M43" s="33">
        <f>(Financials!J53+Financials!J54)/((Financials!J5+Financials!I5)/2)</f>
        <v>4.1656233424040092</v>
      </c>
      <c r="N43" s="33">
        <f>(Financials!K53+Financials!K54)/((Financials!K5+Financials!J5)/2)</f>
        <v>8.4738876196602669E-3</v>
      </c>
      <c r="O43" s="33">
        <f>(Financials!L53+Financials!L54)/((Financials!L5+Financials!K5)/2)</f>
        <v>1.9757651124842398E-2</v>
      </c>
      <c r="P43" s="33">
        <f>(Financials!M53+Financials!M54)/((Financials!M5+Financials!L5)/2)</f>
        <v>2.4383625524854385E-2</v>
      </c>
      <c r="Q43" s="33">
        <f>(Financials!N53+Financials!N54)/((Financials!N5+Financials!M5)/2)</f>
        <v>2.7733821394628655E-2</v>
      </c>
      <c r="R43" s="33">
        <f>(Financials!O53+Financials!O54)/((Financials!O5+Financials!N5)/2)</f>
        <v>3.1734789911747281E-2</v>
      </c>
      <c r="S43" s="33">
        <f>(Financials!P53+Financials!P54)/((Financials!P5+Financials!O5)/2)</f>
        <v>3.65370663070963E-2</v>
      </c>
      <c r="T43" s="33">
        <f>(Financials!Q53+Financials!Q54)/((Financials!Q5+Financials!P5)/2)</f>
        <v>4.0421188117267637E-2</v>
      </c>
      <c r="U43" s="33">
        <f>(Financials!R53+Financials!R54)/((Financials!R5+Financials!Q5)/2)</f>
        <v>4.2289789876845216E-2</v>
      </c>
      <c r="V43" s="33">
        <f>(Financials!S53+Financials!S54)/((Financials!S5+Financials!R5)/2)</f>
        <v>5.2980097598063797E-2</v>
      </c>
      <c r="W43" s="33">
        <f>(Financials!T53+Financials!T54)/((Financials!T5+Financials!S5)/2)</f>
        <v>0</v>
      </c>
      <c r="X43" s="33">
        <f>(Financials!U53+Financials!U54)/((Financials!U5+Financials!T5)/2)</f>
        <v>0</v>
      </c>
      <c r="Y43" s="33">
        <f>(Financials!W53+Financials!W54)/((Financials!W5+Financials!V5)/2)</f>
        <v>4.9933235982243711E-3</v>
      </c>
      <c r="Z43" s="33">
        <f>(Financials!X53+Financials!X54)/((Financials!X5+Financials!W5)/2)</f>
        <v>8.6094759971015716E-3</v>
      </c>
      <c r="AA43" s="33">
        <f>(Financials!Y53+Financials!Y54)/((Financials!Y5+Financials!X5)/2)</f>
        <v>1.8995877704736826E-2</v>
      </c>
      <c r="AB43" s="33">
        <f>(Financials!Z53+Financials!Z54)/((Financials!Z5+Financials!Y5)/2)</f>
        <v>2.7158320480195827E-2</v>
      </c>
      <c r="AC43" s="33">
        <f>(Financials!AA53+Financials!AA54)/((Financials!AA5+Financials!Z5)/2)</f>
        <v>3.6194142878589679E-2</v>
      </c>
      <c r="AD43" s="33">
        <f>(Financials!AB53+Financials!AB54)/((Financials!AB5+Financials!AA5)/2)</f>
        <v>3.4093346428614342E-2</v>
      </c>
      <c r="AE43" s="33">
        <f>(Financials!AC53+Financials!AC54)/((Financials!AC5+Financials!AB5)/2)</f>
        <v>3.6966171135910865E-2</v>
      </c>
      <c r="AF43" s="33">
        <f>(Financials!AD53+Financials!AD54)/((Financials!AD5+Financials!AC5)/2)</f>
        <v>3.9617601956956662E-2</v>
      </c>
      <c r="AG43" s="33">
        <f>(Financials!AE53+Financials!AE54)/((Financials!AE5+Financials!AD5)/2)</f>
        <v>4.6552650682155007E-2</v>
      </c>
      <c r="AH43" s="33">
        <f>(Financials!AF53+Financials!AF54)/((Financials!AF5+Financials!AE5)/2)</f>
        <v>4.9029309090505534E-2</v>
      </c>
      <c r="AI43" s="33">
        <f>(Financials!AG53+Financials!AG54)/((Financials!AG5+Financials!AF5)/2)</f>
        <v>5.1985760998440038E-2</v>
      </c>
      <c r="AJ43" s="33">
        <f>(Financials!AH53+Financials!AH54)/((Financials!AH5+Financials!AG5)/2)</f>
        <v>5.5979856715822479E-2</v>
      </c>
      <c r="AK43" s="33">
        <f>(Financials!AI53+Financials!AI54)/((Financials!AI5+Financials!AH5)/2)</f>
        <v>5.8049158828215951E-2</v>
      </c>
      <c r="AL43" s="33">
        <f>(Financials!AJ53+Financials!AJ54)/((Financials!AJ5+Financials!AI5)/2)</f>
        <v>5.7252752801487318E-2</v>
      </c>
      <c r="AM43" s="33">
        <f>(Financials!AK53+Financials!AK54)/((Financials!AK5+Financials!AJ5)/2)</f>
        <v>0</v>
      </c>
      <c r="AN43" s="33">
        <f>(Financials!AL53+Financials!AL54)/((Financials!AL5+Financials!AK5)/2)</f>
        <v>2.9615218386930816E-2</v>
      </c>
      <c r="AO43" s="33">
        <f>(Financials!AM53+Financials!AM54)/((Financials!AM5+Financials!AL5)/2)</f>
        <v>2.1567309564771146E-2</v>
      </c>
      <c r="AP43" s="33">
        <f>(Financials!AN53+Financials!AN54)/((Financials!AN5+Financials!AM5)/2)</f>
        <v>2.883452163872742E-2</v>
      </c>
      <c r="AQ43" s="33">
        <f>(Financials!AO53+Financials!AO54)/((Financials!AO5+Financials!AN5)/2)</f>
        <v>3.4721466641633322E-2</v>
      </c>
      <c r="AR43" s="33">
        <f>(Financials!AP53+Financials!AP54)/((Financials!AP5+Financials!AO5)/2)</f>
        <v>0</v>
      </c>
      <c r="AS43" s="33">
        <f>(Financials!AQ53+Financials!AQ54)/((Financials!AQ5+Financials!AP5)/2)</f>
        <v>3.6006349420801873E-2</v>
      </c>
      <c r="AT43" s="33">
        <f>(Financials!AR53+Financials!AR54)/((Financials!AR5+Financials!V5)/2)</f>
        <v>5.1909889852912713E-2</v>
      </c>
      <c r="AU43" s="33">
        <f>(Financials!AS53+Financials!AS54)/((Financials!AS5+Financials!W5)/2)</f>
        <v>0</v>
      </c>
      <c r="AV43" s="33">
        <f>(Financials!AT53+Financials!AT54)/((Financials!AT5+Financials!X5)/2)</f>
        <v>0</v>
      </c>
      <c r="AW43" s="33">
        <f>(Financials!AU53+Financials!AU54)/((Financials!AU5+Financials!Y5)/2)</f>
        <v>6.217040316825246E-2</v>
      </c>
      <c r="AX43" s="33">
        <f>(Financials!AV53+Financials!AV54)/((Financials!AV5+Financials!Z5)/2)</f>
        <v>8.3284513650873415E-2</v>
      </c>
      <c r="AY43" s="33">
        <f>(Financials!AW53+Financials!AW54)/((Financials!AW5+Financials!AA5)/2)</f>
        <v>6.0507008017888685E-2</v>
      </c>
      <c r="AZ43" s="33">
        <f>(Financials!AX53+Financials!AX54)/((Financials!AX5+Financials!AB5)/2)</f>
        <v>0</v>
      </c>
      <c r="BA43" s="33">
        <f>(Financials!AY53+Financials!AY54)/((Financials!AY5+Financials!AC5)/2)</f>
        <v>0</v>
      </c>
      <c r="BB43" s="33">
        <f>(Financials!AZ53+Financials!AZ54)/((Financials!AZ5+Financials!AD5)/2)</f>
        <v>1.5240005592821251E-2</v>
      </c>
      <c r="BC43" s="33">
        <f>(Financials!BA53+Financials!BA54)/((Financials!BA5+Financials!AE5)/2)</f>
        <v>3.3814857490490458E-2</v>
      </c>
      <c r="BD43" s="33">
        <f>(Financials!BB53+Financials!BB54)/((Financials!BB5+Financials!AF5)/2)</f>
        <v>2.9862234795464283E-2</v>
      </c>
      <c r="BE43" s="486">
        <f>(Financials!BC53+Financials!BC54)/((Financials!BC5+Financials!AG5)/2)</f>
        <v>3.1307645644741214E-2</v>
      </c>
      <c r="BF43" s="33">
        <f>(Financials!BD53+Financials!BD54)/((Financials!BD5+Financials!AH5)/2)</f>
        <v>3.8709355398994158E-2</v>
      </c>
      <c r="BG43" s="33">
        <f>(Financials!BE53+Financials!BE54)/((Financials!BE5+Financials!AI5)/2)</f>
        <v>4.2863950743267765E-2</v>
      </c>
      <c r="BH43" s="33">
        <f>(Financials!BF53+Financials!BF54)/((Financials!BF5+Financials!AJ5)/2)</f>
        <v>4.3112669760827407E-2</v>
      </c>
      <c r="BI43" s="33" t="e">
        <f>(Financials!BG53+Financials!BG54)/((Financials!BG5+Financials!AK5)/2)</f>
        <v>#DIV/0!</v>
      </c>
      <c r="BJ43" s="33">
        <f>(Financials!BH53+Financials!BH54)/((Financials!BH5+Financials!AL5)/2)</f>
        <v>6.5462584221192707E-2</v>
      </c>
      <c r="BK43" s="33">
        <f>(Financials!BI53+Financials!BI54)/((Financials!BI5+Financials!AM5)/2)</f>
        <v>7.968230193209809E-2</v>
      </c>
      <c r="BL43" s="33">
        <f>(Financials!BJ53+Financials!BJ54)/((Financials!BJ5+Financials!AN5)/2)</f>
        <v>8.2395456348529933E-2</v>
      </c>
      <c r="BM43" s="33">
        <f>(Financials!BK53+Financials!BK54)/((Financials!BK5+Financials!AO5)/2)</f>
        <v>9.658086626348629E-3</v>
      </c>
      <c r="BN43" s="33">
        <f>(Financials!BL53+Financials!BL54)/((Financials!BL5+Financials!AP5)/2)</f>
        <v>1.6787124680769122E-2</v>
      </c>
      <c r="BO43" s="33">
        <f>(Financials!BM53+Financials!BM54)/((Financials!BM5+Financials!AQ5)/2)</f>
        <v>2.5635733137625561E-2</v>
      </c>
      <c r="BP43" s="33">
        <f>(Financials!BN53+Financials!BN54)/((Financials!BN5+Financials!AR5)/2)</f>
        <v>3.0825024105463561E-2</v>
      </c>
      <c r="BQ43" s="33">
        <f>(Financials!BO53+Financials!BO54)/((Financials!BO5+Financials!AS5)/2)</f>
        <v>4.0166328740945514E-2</v>
      </c>
      <c r="BR43" s="33">
        <f>(Financials!BP53+Financials!BP54)/((Financials!BP5+Financials!AT5)/2)</f>
        <v>7.2177975917204415E-2</v>
      </c>
      <c r="BS43" s="33">
        <f>(Financials!BQ53+Financials!BQ54)/((Financials!BQ5+Financials!AU5)/2)</f>
        <v>5.3003420882872257E-2</v>
      </c>
      <c r="BT43" s="33">
        <f>(Financials!BR53+Financials!BR54)/((Financials!BR5+Financials!AV5)/2)</f>
        <v>6.0892637337951971E-2</v>
      </c>
      <c r="BU43" s="33">
        <f>(Financials!BS53+Financials!BS54)/((Financials!BS5+Financials!AW5)/2)</f>
        <v>6.5309108795713333E-2</v>
      </c>
      <c r="BV43" s="33">
        <f>(Financials!BT53+Financials!BT54)/((Financials!BT5+Financials!AX5)/2)</f>
        <v>0.13874053498891847</v>
      </c>
      <c r="BW43" s="33">
        <f>(Financials!BU53+Financials!BU54)/((Financials!BU5+Financials!AY5)/2)</f>
        <v>0.12052234999444157</v>
      </c>
      <c r="BX43" s="33">
        <f>(Financials!BV53+Financials!BV54)/((Financials!BV5+Financials!AZ5)/2)</f>
        <v>9.7987355568538936E-2</v>
      </c>
      <c r="BY43" s="33">
        <f>(Financials!BW53+Financials!BW54)/((Financials!BW5+Financials!BA5)/2)</f>
        <v>5.0772691302436168E-2</v>
      </c>
      <c r="BZ43" s="33">
        <f>(Financials!BX53+Financials!BX54)/((Financials!BX5+Financials!BB5)/2)</f>
        <v>8.0280499604319048E-3</v>
      </c>
      <c r="CA43" s="33">
        <f>(Financials!BY53+Financials!BY54)/((Financials!BY5+Financials!BC5)/2)</f>
        <v>1.5722962319678131E-2</v>
      </c>
      <c r="CB43" s="33">
        <f>(Financials!BZ53+Financials!BZ54)/((Financials!BZ5+Financials!BD5)/2)</f>
        <v>2.8513479647030552E-2</v>
      </c>
      <c r="CC43" s="33">
        <f>(Financials!CA53+Financials!CA54)/((Financials!CA5+Financials!BE5)/2)</f>
        <v>3.3581990563868007E-2</v>
      </c>
      <c r="CD43" s="33">
        <f>(Financials!CB53+Financials!CB54)/((Financials!CB5+Financials!BF5)/2)</f>
        <v>3.8228035441626257E-2</v>
      </c>
      <c r="CE43" s="33">
        <f>(Financials!CC53+Financials!CC54)/((Financials!CC5+Financials!BG5)/2)</f>
        <v>7.4289533723310153E-2</v>
      </c>
      <c r="CF43" s="33">
        <f>(Financials!CD53+Financials!CD54)/((Financials!CD5+Financials!BH5)/2)</f>
        <v>5.0915977960536075E-2</v>
      </c>
      <c r="CG43" s="33">
        <f>(Financials!CE53+Financials!CE54)/((Financials!CE5+Financials!BI5)/2)</f>
        <v>5.4764624877114809E-2</v>
      </c>
      <c r="CH43" s="33">
        <f>(Financials!CF53+Financials!CF54)/((Financials!CF5+Financials!BJ5)/2)</f>
        <v>5.8458685671799702E-2</v>
      </c>
      <c r="CI43" s="33">
        <f>(Financials!CG53+Financials!CG54)/((Financials!CG5+Financials!BK5)/2)</f>
        <v>5.9928754035693324E-2</v>
      </c>
      <c r="CJ43" s="33">
        <f>(Financials!CH53+Financials!CH54)/((Financials!CH5+Financials!BL5)/2)</f>
        <v>7.2341959127499647E-2</v>
      </c>
      <c r="CK43" s="33">
        <f>(Financials!CI53+Financials!CI54)/((Financials!CI5+Financials!BM5)/2)</f>
        <v>8.8614294259085222E-2</v>
      </c>
      <c r="CL43" s="33">
        <f>(Financials!CJ53+Financials!CJ54)/((Financials!CJ5+Financials!BN5)/2)</f>
        <v>8.7899660581391828E-2</v>
      </c>
      <c r="CM43" s="33">
        <f>(Financials!CK53+Financials!CK54)/((Financials!CK5+Financials!BO5)/2)</f>
        <v>5.8045445245754291E-3</v>
      </c>
      <c r="CN43" s="33">
        <f>(Financials!CL53+Financials!CL54)/((Financials!CL5+Financials!BP5)/2)</f>
        <v>1.1583638482300653E-2</v>
      </c>
      <c r="CO43" s="33">
        <f>(Financials!CM53+Financials!CM54)/((Financials!CM5+Financials!BQ5)/2)</f>
        <v>1.920612213836239E-2</v>
      </c>
      <c r="CP43" s="33">
        <f>(Financials!CN53+Financials!CN54)/((Financials!CN5+Financials!BR5)/2)</f>
        <v>2.3530581644255168E-2</v>
      </c>
      <c r="CQ43" s="33">
        <f>(Financials!CO53+Financials!CO54)/((Financials!CO5+Financials!BS5)/2)</f>
        <v>2.8856110291294628E-2</v>
      </c>
      <c r="CR43" s="33">
        <f>(Financials!CP53+Financials!CP54)/((Financials!CP5+Financials!BT5)/2)</f>
        <v>3.3052008257186398E-2</v>
      </c>
      <c r="CS43" s="33">
        <f>(Financials!CQ53+Financials!CQ54)/((Financials!CQ5+Financials!BU5)/2)</f>
        <v>0</v>
      </c>
      <c r="CT43" s="33">
        <f>(Financials!CR53+Financials!CR54)/((Financials!CR5+Financials!BV5)/2)</f>
        <v>4.1853225936151414E-2</v>
      </c>
      <c r="CU43" s="33">
        <f>(Financials!CS53+Financials!CS54)/((Financials!CS5+Financials!BW5)/2)</f>
        <v>4.8461744695161492E-2</v>
      </c>
      <c r="CV43" s="33">
        <f>(Financials!CT53+Financials!CT54)/((Financials!CT5+Financials!BX5)/2)</f>
        <v>0.11172849019586248</v>
      </c>
      <c r="CW43" s="33">
        <f>(Financials!CU53+Financials!CU54)/((Financials!CU5+Financials!BY5)/2)</f>
        <v>6.0768659501868057E-2</v>
      </c>
      <c r="CX43" s="33">
        <f>(Financials!CV53+Financials!CV54)/((Financials!CV5+Financials!BZ5)/2)</f>
        <v>7.7100938500085842E-2</v>
      </c>
      <c r="CY43" s="33">
        <f>(Financials!CW53+Financials!CW54)/((Financials!CW5+Financials!CA5)/2)</f>
        <v>7.519570452375661E-2</v>
      </c>
      <c r="CZ43" s="33">
        <f>(Financials!CX53+Financials!CX54)/((Financials!CX5+Financials!CB5)/2)</f>
        <v>4.9880449171492251E-3</v>
      </c>
      <c r="DA43" s="33">
        <f>(Financials!CY53+Financials!CY54)/((Financials!CY5+Financials!CC5)/2)</f>
        <v>9.5331470528781711E-3</v>
      </c>
      <c r="DB43" s="33">
        <f>(Financials!CZ53+Financials!CZ54)/((Financials!CZ5+Financials!CD5)/2)</f>
        <v>1.6649856990003809E-2</v>
      </c>
      <c r="DC43" s="33">
        <f>(Financials!DA53+Financials!DA54)/((Financials!DA5+Financials!CE5)/2)</f>
        <v>2.1891292288937107E-2</v>
      </c>
      <c r="DD43" s="33">
        <f>(Financials!DB53+Financials!DB54)/((Financials!DB5+Financials!CF5)/2)</f>
        <v>2.6773506377045404E-2</v>
      </c>
      <c r="DE43" s="33">
        <f>(Financials!DC53+Financials!DC54)/((Financials!DC5+Financials!CG5)/2)</f>
        <v>3.4189190007653851E-2</v>
      </c>
      <c r="DF43" s="33">
        <f>(Financials!DD53+Financials!DD54)/((Financials!DD5+Financials!CH5)/2)</f>
        <v>3.6885864840728651E-2</v>
      </c>
      <c r="DG43" s="33">
        <f>(Financials!DE53+Financials!DE54)/((Financials!DE5+Financials!CI5)/2)</f>
        <v>4.1958571653697742E-2</v>
      </c>
      <c r="DH43" s="33">
        <f>(Financials!DF53+Financials!DF54)/((Financials!DF5+Financials!CJ5)/2)</f>
        <v>4.628596041146555E-2</v>
      </c>
      <c r="DI43" s="33">
        <f>(Financials!DG53+Financials!DG54)/((Financials!DG5+Financials!CK5)/2)</f>
        <v>5.8168830572296444E-2</v>
      </c>
      <c r="DJ43" s="33">
        <f>(Financials!DH53+Financials!DH54)/((Financials!DH5+Financials!CL5)/2)</f>
        <v>6.2386084603713768E-2</v>
      </c>
      <c r="DK43" s="33">
        <f>(Financials!DI53+Financials!DI54)/((Financials!DI5+Financials!CM5)/2)</f>
        <v>8.4483011056020574E-2</v>
      </c>
      <c r="DL43" s="33">
        <f>(Financials!DJ53+Financials!DJ54)/((Financials!DJ5+Financials!CN5)/2)</f>
        <v>8.7169505811777195E-2</v>
      </c>
      <c r="DM43" s="33">
        <f>(Financials!DK53+Financials!DK54)/((Financials!DK5+Financials!CO5)/2)</f>
        <v>5.7771673195925917E-3</v>
      </c>
      <c r="DN43" s="33">
        <f>(Financials!DL53+Financials!DL54)/((Financials!DL5+Financials!CP5)/2)</f>
        <v>1.022759849189854E-2</v>
      </c>
      <c r="DO43" s="33">
        <f>(Financials!DM53+Financials!DM54)/((Financials!DM5+Financials!CQ5)/2)</f>
        <v>1.7541394594562203E-2</v>
      </c>
      <c r="DP43" s="33">
        <f>(Financials!DN53+Financials!DN54)/((Financials!DN5+Financials!CR5)/2)</f>
        <v>2.3509185219223915E-2</v>
      </c>
      <c r="DQ43" s="33">
        <f>(Financials!DO53+Financials!DO54)/((Financials!DO5+Financials!CS5)/2)</f>
        <v>2.7442200997072761E-2</v>
      </c>
      <c r="DR43" s="33">
        <f>(Financials!DP53+Financials!DP54)/((Financials!DP5+Financials!CT5)/2)</f>
        <v>3.36345878471885E-2</v>
      </c>
      <c r="DS43" s="33">
        <f>(Financials!DQ53+Financials!DQ54)/((Financials!DQ5+Financials!CU5)/2)</f>
        <v>3.8741758356585318E-2</v>
      </c>
      <c r="DT43" s="33">
        <f>(Financials!DR53+Financials!DR54)/((Financials!DR5+Financials!CV5)/2)</f>
        <v>4.3707853253998334E-2</v>
      </c>
      <c r="DU43" s="33">
        <f>(Financials!DS53+Financials!DS54)/((Financials!DS5+Financials!CW5)/2)</f>
        <v>4.97850640825672E-2</v>
      </c>
      <c r="DV43" s="33">
        <f>(Financials!DT53+Financials!DT54)/((Financials!DT5+Financials!CX5)/2)</f>
        <v>6.014776138007992E-2</v>
      </c>
      <c r="DW43" s="33">
        <f>(Financials!DU53+Financials!DU54)/((Financials!DU5+Financials!CY5)/2)</f>
        <v>6.4973125808242826E-2</v>
      </c>
      <c r="DX43" s="33">
        <f>(Financials!DV53+Financials!DV54)/((Financials!DV5+Financials!CZ5)/2)</f>
        <v>0</v>
      </c>
      <c r="DY43" s="33">
        <f>(Financials!DW53+Financials!DW54)/((Financials!DW5+Financials!DA5)/2)</f>
        <v>8.1205560088545417E-2</v>
      </c>
    </row>
    <row r="44" spans="2:129" x14ac:dyDescent="0.25">
      <c r="B44" s="22">
        <v>5.5</v>
      </c>
      <c r="C44" s="19" t="s">
        <v>250</v>
      </c>
      <c r="D44" s="24" t="s">
        <v>229</v>
      </c>
      <c r="E44" s="25"/>
      <c r="F44" s="33"/>
      <c r="G44" s="33">
        <f>Financials!D43/((Financials!D30+Financials!C30)/2)</f>
        <v>0.12892476983515747</v>
      </c>
      <c r="H44" s="33">
        <f>Financials!E43/((Financials!E30+Financials!D30)/2)</f>
        <v>0.1130642063702483</v>
      </c>
      <c r="I44" s="33">
        <f>Financials!F43/((Financials!F30+Financials!E30)/2)</f>
        <v>0.16650003339428068</v>
      </c>
      <c r="J44" s="33">
        <f>Financials!G43/((Financials!G30+Financials!F30)/2)</f>
        <v>0.1541362207358937</v>
      </c>
      <c r="K44" s="33">
        <f>Financials!H43/((Financials!H30+Financials!G30)/2)</f>
        <v>1.5080639952160299E-4</v>
      </c>
      <c r="L44" s="33">
        <f>Financials!I43/((Financials!I30+Financials!G30)/2)</f>
        <v>0.14343067740747181</v>
      </c>
      <c r="M44" s="33">
        <f>Financials!J43/((Financials!J30+Financials!I30)/2)</f>
        <v>8.7121361925207984E-3</v>
      </c>
      <c r="N44" s="33">
        <f>Financials!K43/((Financials!K30+Financials!J30)/2)</f>
        <v>1.7149522660784845E-5</v>
      </c>
      <c r="O44" s="33">
        <f>Financials!L43/((Financials!L30+Financials!K30)/2)</f>
        <v>3.6904894669721287E-5</v>
      </c>
      <c r="P44" s="33">
        <f>Financials!M43/((Financials!M30+Financials!L30)/2)</f>
        <v>4.6050212836424166E-5</v>
      </c>
      <c r="Q44" s="33">
        <f>Financials!N43/((Financials!N30+Financials!M30)/2)</f>
        <v>5.5880958314917475E-2</v>
      </c>
      <c r="R44" s="33">
        <f>Financials!O43/((Financials!O30+Financials!N30)/2)</f>
        <v>6.7548715173849277E-2</v>
      </c>
      <c r="S44" s="33">
        <f>Financials!P43/((Financials!P30+Financials!O30)/2)</f>
        <v>7.6824788136746716E-2</v>
      </c>
      <c r="T44" s="33">
        <f>Financials!Q43/((Financials!Q30+Financials!P30)/2)</f>
        <v>8.5421165973177698E-2</v>
      </c>
      <c r="U44" s="33">
        <f>Financials!R43/((Financials!R30+Financials!Q30)/2)</f>
        <v>9.2149980350456823E-2</v>
      </c>
      <c r="V44" s="33">
        <f>Financials!S43/((Financials!S30+Financials!R30)/2)</f>
        <v>9.7937292235596829E-2</v>
      </c>
      <c r="W44" s="33">
        <f>Financials!T43/((Financials!T30+Financials!S30)/2)</f>
        <v>0.10564003307073414</v>
      </c>
      <c r="X44" s="33">
        <f>Financials!U43/((Financials!U30+Financials!T30)/2)</f>
        <v>0.1156270787004167</v>
      </c>
      <c r="Y44" s="33">
        <f>Financials!W43/((Financials!W30+Financials!V30)/2)</f>
        <v>1.1259392834829629E-2</v>
      </c>
      <c r="Z44" s="33">
        <f>Financials!X43/((Financials!X30+Financials!W30)/2)</f>
        <v>2.343333727586145E-2</v>
      </c>
      <c r="AA44" s="33">
        <f>Financials!Y43/((Financials!Y30+Financials!X30)/2)</f>
        <v>3.5419446453371785E-2</v>
      </c>
      <c r="AB44" s="33">
        <f>Financials!Z43/((Financials!Z30+Financials!Y30)/2)</f>
        <v>4.8323422854698317E-2</v>
      </c>
      <c r="AC44" s="33">
        <f>Financials!AA43/((Financials!AA30+Financials!Z30)/2)</f>
        <v>6.0633409366934184E-2</v>
      </c>
      <c r="AD44" s="33">
        <f>Financials!AB43/((Financials!AB30+Financials!AA30)/2)</f>
        <v>7.0903443388808093E-2</v>
      </c>
      <c r="AE44" s="33">
        <f>Financials!AC43/((Financials!AC30+Financials!AB30)/2)</f>
        <v>8.6117449344682087E-2</v>
      </c>
      <c r="AF44" s="33">
        <f>Financials!AD43/((Financials!AD30+Financials!AC30)/2)</f>
        <v>0.10052726584980042</v>
      </c>
      <c r="AG44" s="33">
        <f>Financials!AE43/((Financials!AE30+Financials!AD30)/2)</f>
        <v>9.8217480635890059E-2</v>
      </c>
      <c r="AH44" s="33">
        <f>Financials!AF43/((Financials!AF30+Financials!AE30)/2)</f>
        <v>0.10927328709527923</v>
      </c>
      <c r="AI44" s="33">
        <f>Financials!AG43/((Financials!AG30+Financials!AF30)/2)</f>
        <v>0.11962169219252708</v>
      </c>
      <c r="AJ44" s="33">
        <f>Financials!AH43/((Financials!AH30+Financials!AG30)/2)</f>
        <v>0.12880317345688383</v>
      </c>
      <c r="AK44" s="33">
        <f>Financials!AI43/((Financials!AI30+Financials!AH30)/2)</f>
        <v>0.12196117346408052</v>
      </c>
      <c r="AL44" s="33">
        <f>Financials!AJ43/((Financials!AJ30+Financials!AI30)/2)</f>
        <v>0.1183855679154991</v>
      </c>
      <c r="AM44" s="33">
        <f>Financials!AK43/((Financials!AK30+Financials!AJ30)/2)</f>
        <v>0</v>
      </c>
      <c r="AN44" s="33">
        <f>Financials!AL43/((Financials!AL30+Financials!AK30)/2)</f>
        <v>6.3592266320019412E-3</v>
      </c>
      <c r="AO44" s="33">
        <f>Financials!AM43/((Financials!AM30+Financials!AL30)/2)</f>
        <v>3.19540194049743E-3</v>
      </c>
      <c r="AP44" s="33">
        <f>Financials!AN43/((Financials!AN30+Financials!AM30)/2)</f>
        <v>3.2152407379847326E-3</v>
      </c>
      <c r="AQ44" s="33">
        <f>Financials!AO43/((Financials!AO30+Financials!AN30)/2)</f>
        <v>3.6510269772633591E-3</v>
      </c>
      <c r="AR44" s="33">
        <f>Financials!AP43/((Financials!AP30+Financials!AO30)/2)</f>
        <v>0</v>
      </c>
      <c r="AS44" s="33">
        <f>Financials!AQ43/((Financials!AQ30+Financials!AP30)/2)</f>
        <v>3.6094924583074664E-3</v>
      </c>
      <c r="AT44" s="33">
        <f>Financials!AR43/((Financials!AR30+Financials!V30)/2)</f>
        <v>9.4334744912638477E-2</v>
      </c>
      <c r="AU44" s="33">
        <f>Financials!AS43/((Financials!AS30+Financials!W30)/2)</f>
        <v>0</v>
      </c>
      <c r="AV44" s="33">
        <f>Financials!AT43/((Financials!AT30+Financials!X30)/2)</f>
        <v>0</v>
      </c>
      <c r="AW44" s="33">
        <f>Financials!AU43/((Financials!AU30+Financials!Y30)/2)</f>
        <v>0.13475727515068844</v>
      </c>
      <c r="AX44" s="33">
        <f>Financials!AV43/((Financials!AV30+Financials!Z30)/2)</f>
        <v>0.13779373392051658</v>
      </c>
      <c r="AY44" s="33">
        <f>Financials!AW43/((Financials!AW30+Financials!AA30)/2)</f>
        <v>0.15452402399821263</v>
      </c>
      <c r="AZ44" s="33">
        <f>Financials!AX43/((Financials!AX30+Financials!AB30)/2)</f>
        <v>0</v>
      </c>
      <c r="BA44" s="33">
        <f>Financials!AY43/((Financials!AY30+Financials!AC30)/2)</f>
        <v>0</v>
      </c>
      <c r="BB44" s="33">
        <f>Financials!AZ43/((Financials!AZ30+Financials!AD30)/2)</f>
        <v>-2.9512920661744498E-2</v>
      </c>
      <c r="BC44" s="33">
        <f>Financials!BA43/((Financials!BA30+Financials!AE30)/2)</f>
        <v>7.1608847431068004E-2</v>
      </c>
      <c r="BD44" s="33">
        <f>Financials!BB43/((Financials!BB30+Financials!AF30)/2)</f>
        <v>7.5852801552106691E-2</v>
      </c>
      <c r="BE44" s="486">
        <f>Financials!BC43/((Financials!BC30+Financials!AG30)/2)</f>
        <v>8.8772045928404111E-2</v>
      </c>
      <c r="BF44" s="33">
        <f>Financials!BD43/((Financials!BD30+Financials!AH30)/2)</f>
        <v>9.9768000386124905E-2</v>
      </c>
      <c r="BG44" s="33">
        <f>Financials!BE43/((Financials!BE30+Financials!AI30)/2)</f>
        <v>0.1108516718042051</v>
      </c>
      <c r="BH44" s="33">
        <f>Financials!BF43/((Financials!BF30+Financials!AJ30)/2)</f>
        <v>0.12648016106355195</v>
      </c>
      <c r="BI44" s="33" t="e">
        <f>Financials!BG43/((Financials!BG30+Financials!AK30)/2)</f>
        <v>#DIV/0!</v>
      </c>
      <c r="BJ44" s="33">
        <f>Financials!BH43/((Financials!BH30+Financials!AL30)/2)</f>
        <v>0.15785253716174455</v>
      </c>
      <c r="BK44" s="33">
        <f>Financials!BI43/((Financials!BI30+Financials!AM30)/2)</f>
        <v>0.17425466944465107</v>
      </c>
      <c r="BL44" s="33">
        <f>Financials!BJ43/((Financials!BJ30+Financials!AN30)/2)</f>
        <v>0.14714460481392311</v>
      </c>
      <c r="BM44" s="33">
        <f>Financials!BK43/((Financials!BK30+Financials!AO30)/2)</f>
        <v>1.5909586904105565E-2</v>
      </c>
      <c r="BN44" s="33">
        <f>Financials!BL43/((Financials!BL30+Financials!AP30)/2)</f>
        <v>2.8477057988566069E-2</v>
      </c>
      <c r="BO44" s="33">
        <f>Financials!BM43/((Financials!BM30+Financials!AQ30)/2)</f>
        <v>4.2063203948770354E-2</v>
      </c>
      <c r="BP44" s="33">
        <f>Financials!BN43/((Financials!BN30+Financials!AR30)/2)</f>
        <v>5.7400467317359316E-2</v>
      </c>
      <c r="BQ44" s="33">
        <f>Financials!BO43/((Financials!BO30+Financials!AS30)/2)</f>
        <v>7.0641041548388447E-2</v>
      </c>
      <c r="BR44" s="33">
        <f>Financials!BP43/((Financials!BP30+Financials!AT30)/2)</f>
        <v>0.1524090207101215</v>
      </c>
      <c r="BS44" s="33">
        <f>Financials!BQ43/((Financials!BQ30+Financials!AU30)/2)</f>
        <v>9.7270829357946648E-2</v>
      </c>
      <c r="BT44" s="33">
        <f>Financials!BR43/((Financials!BR30+Financials!AV30)/2)</f>
        <v>0.11293857952774179</v>
      </c>
      <c r="BU44" s="33">
        <f>Financials!BS43/((Financials!BS30+Financials!AW30)/2)</f>
        <v>0.12794730442095723</v>
      </c>
      <c r="BV44" s="33">
        <f>Financials!BT43/((Financials!BT30+Financials!AX30)/2)</f>
        <v>0.2627072333370844</v>
      </c>
      <c r="BW44" s="33">
        <f>Financials!BU43/((Financials!BU30+Financials!AY30)/2)</f>
        <v>0.27919737960063751</v>
      </c>
      <c r="BX44" s="33">
        <f>Financials!BV43/((Financials!BV30+Financials!AZ30)/2)</f>
        <v>0.16578400666319226</v>
      </c>
      <c r="BY44" s="33">
        <f>Financials!BW43/((Financials!BW30+Financials!BA30)/2)</f>
        <v>8.803898691176773E-2</v>
      </c>
      <c r="BZ44" s="33">
        <f>Financials!BX43/((Financials!BX30+Financials!BB30)/2)</f>
        <v>1.2351087209167527E-2</v>
      </c>
      <c r="CA44" s="33">
        <f>Financials!BY43/((Financials!BY30+Financials!BC30)/2)</f>
        <v>2.5822717974896634E-2</v>
      </c>
      <c r="CB44" s="33">
        <f>Financials!BZ43/((Financials!BZ30+Financials!BD30)/2)</f>
        <v>3.7867402108158803E-2</v>
      </c>
      <c r="CC44" s="33">
        <f>Financials!CA43/((Financials!CA30+Financials!BE30)/2)</f>
        <v>4.9486638803961987E-2</v>
      </c>
      <c r="CD44" s="33">
        <f>Financials!CB43/((Financials!CB30+Financials!BF30)/2)</f>
        <v>5.9889846102189566E-2</v>
      </c>
      <c r="CE44" s="33">
        <f>Financials!CC43/((Financials!CC30+Financials!BG30)/2)</f>
        <v>0.12319123319415093</v>
      </c>
      <c r="CF44" s="33">
        <f>Financials!CD43/((Financials!CD30+Financials!BH30)/2)</f>
        <v>8.1836909954643336E-2</v>
      </c>
      <c r="CG44" s="33">
        <f>Financials!CE43/((Financials!CE30+Financials!BI30)/2)</f>
        <v>9.068439010322632E-2</v>
      </c>
      <c r="CH44" s="33">
        <f>Financials!CF43/((Financials!CF30+Financials!BJ30)/2)</f>
        <v>0.10251006205916323</v>
      </c>
      <c r="CI44" s="33">
        <f>Financials!CG43/((Financials!CG30+Financials!BK30)/2)</f>
        <v>0.11198424227734674</v>
      </c>
      <c r="CJ44" s="33">
        <f>Financials!CH43/((Financials!CH30+Financials!BL30)/2)</f>
        <v>0.12274975362979963</v>
      </c>
      <c r="CK44" s="33">
        <f>Financials!CI43/((Financials!CI30+Financials!BM30)/2)</f>
        <v>0.13622601709083076</v>
      </c>
      <c r="CL44" s="33">
        <f>Financials!CJ43/((Financials!CJ30+Financials!BN30)/2)</f>
        <v>0.1357615396287708</v>
      </c>
      <c r="CM44" s="33">
        <f>Financials!CK43/((Financials!CK30+Financials!BO30)/2)</f>
        <v>1.3645424265570088E-2</v>
      </c>
      <c r="CN44" s="33">
        <f>Financials!CL43/((Financials!CL30+Financials!BP30)/2)</f>
        <v>2.5915862675375743E-2</v>
      </c>
      <c r="CO44" s="33" t="e">
        <f>Financials!CM43/((Financials!CM30+Financials!BQ30)/2)</f>
        <v>#REF!</v>
      </c>
      <c r="CP44" s="33">
        <f>Financials!CN43/((Financials!CN30+Financials!BR30)/2)</f>
        <v>5.5399356019462616E-2</v>
      </c>
      <c r="CQ44" s="33">
        <f>Financials!CO43/((Financials!CO30+Financials!BS30)/2)</f>
        <v>7.3437098757857727E-2</v>
      </c>
      <c r="CR44" s="33">
        <f>Financials!CP43/((Financials!CP30+Financials!BT30)/2)</f>
        <v>8.6309725456601899E-2</v>
      </c>
      <c r="CS44" s="33">
        <f>Financials!CQ43/((Financials!CQ30+Financials!BU30)/2)</f>
        <v>0</v>
      </c>
      <c r="CT44" s="33">
        <f>Financials!CR43/((Financials!CR30+Financials!BV30)/2)</f>
        <v>0.11509034000749578</v>
      </c>
      <c r="CU44" s="33">
        <f>Financials!CS43/((Financials!CS30+Financials!BW30)/2)</f>
        <v>0.12418145212016654</v>
      </c>
      <c r="CV44" s="33">
        <f>Financials!CT43/((Financials!CT30+Financials!BX30)/2)</f>
        <v>0.28103342377614238</v>
      </c>
      <c r="CW44" s="33">
        <f>Financials!CU43/((Financials!CU30+Financials!BY30)/2)</f>
        <v>0.15160757373287312</v>
      </c>
      <c r="CX44" s="33">
        <f>Financials!CV43/((Financials!CV30+Financials!BZ30)/2)</f>
        <v>0.16444904739269572</v>
      </c>
      <c r="CY44" s="33">
        <f>Financials!CW43/((Financials!CW30+Financials!CA30)/2)</f>
        <v>0.16336116184213961</v>
      </c>
      <c r="CZ44" s="33">
        <f>Financials!CX43/((Financials!CX30+Financials!CB30)/2)</f>
        <v>1.4965862302641681E-2</v>
      </c>
      <c r="DA44" s="33">
        <f>Financials!CY43/((Financials!CY30+Financials!CC30)/2)</f>
        <v>2.9102383770572917E-2</v>
      </c>
      <c r="DB44" s="33">
        <f>Financials!CZ43/((Financials!CZ30+Financials!CD30)/2)</f>
        <v>4.3361214296399345E-2</v>
      </c>
      <c r="DC44" s="33">
        <f>Financials!DA43/((Financials!DA30+Financials!CE30)/2)</f>
        <v>5.8514509325360085E-2</v>
      </c>
      <c r="DD44" s="33">
        <f>Financials!DB43/((Financials!DB30+Financials!CF30)/2)</f>
        <v>7.1020275364436503E-2</v>
      </c>
      <c r="DE44" s="33">
        <f>Financials!DC43/((Financials!DC30+Financials!CG30)/2)</f>
        <v>8.4366903318241634E-2</v>
      </c>
      <c r="DF44" s="33">
        <f>Financials!DD43/((Financials!DD30+Financials!CH30)/2)</f>
        <v>9.20889108558261E-2</v>
      </c>
      <c r="DG44" s="33">
        <f>Financials!DE43/((Financials!DE30+Financials!CI30)/2)</f>
        <v>0.10523638583350693</v>
      </c>
      <c r="DH44" s="33">
        <f>Financials!DF43/((Financials!DF30+Financials!CJ30)/2)</f>
        <v>0.11879535843855295</v>
      </c>
      <c r="DI44" s="33">
        <f>Financials!DG43/((Financials!DG30+Financials!CK30)/2)</f>
        <v>0.13324673493493042</v>
      </c>
      <c r="DJ44" s="33">
        <f>Financials!DH43/((Financials!DH30+Financials!CL30)/2)</f>
        <v>0.1459312580643326</v>
      </c>
      <c r="DK44" s="33" t="e">
        <f>Financials!DI43/((Financials!DI30+Financials!CM30)/2)</f>
        <v>#REF!</v>
      </c>
      <c r="DL44" s="33">
        <f>Financials!DJ43/((Financials!DJ30+Financials!CN30)/2)</f>
        <v>0.20176086594456533</v>
      </c>
      <c r="DM44" s="33">
        <f>Financials!DK43/((Financials!DK30+Financials!CO30)/2)</f>
        <v>1.5022322991009937E-2</v>
      </c>
      <c r="DN44" s="33">
        <f>Financials!DL43/((Financials!DL30+Financials!CP30)/2)</f>
        <v>2.9326009314356576E-2</v>
      </c>
      <c r="DO44" s="33">
        <f>Financials!DM43/((Financials!DM30+Financials!CQ30)/2)</f>
        <v>4.253964381135393E-2</v>
      </c>
      <c r="DP44" s="33">
        <f>Financials!DN43/((Financials!DN30+Financials!CR30)/2)</f>
        <v>5.5180332354957326E-2</v>
      </c>
      <c r="DQ44" s="33">
        <f>Financials!DO43/((Financials!DO30+Financials!CS30)/2)</f>
        <v>6.8457942531396129E-2</v>
      </c>
      <c r="DR44" s="33">
        <f>Financials!DP43/((Financials!DP30+Financials!CT30)/2)</f>
        <v>8.263504647363161E-2</v>
      </c>
      <c r="DS44" s="33">
        <f>Financials!DQ43/((Financials!DQ30+Financials!CU30)/2)</f>
        <v>9.5035455058780707E-2</v>
      </c>
      <c r="DT44" s="33">
        <f>Financials!DR43/((Financials!DR30+Financials!CV30)/2)</f>
        <v>0.10654819772411364</v>
      </c>
      <c r="DU44" s="33">
        <f>Financials!DS43/((Financials!DS30+Financials!CW30)/2)</f>
        <v>0.11831400428460548</v>
      </c>
      <c r="DV44" s="33">
        <f>Financials!DT43/((Financials!DT30+Financials!CX30)/2)</f>
        <v>0.13015115975923741</v>
      </c>
      <c r="DW44" s="33">
        <f>Financials!DU43/((Financials!DU30+Financials!CY30)/2)</f>
        <v>0.14224100879296145</v>
      </c>
      <c r="DX44" s="33">
        <f>Financials!DV43/((Financials!DV30+Financials!CZ30)/2)</f>
        <v>0</v>
      </c>
      <c r="DY44" s="33">
        <f>Financials!DW43/((Financials!DW30+Financials!DA30)/2)</f>
        <v>0.19590273540172215</v>
      </c>
    </row>
    <row r="45" spans="2:129" x14ac:dyDescent="0.25">
      <c r="B45" s="22"/>
      <c r="C45" s="38"/>
      <c r="D45" s="32"/>
      <c r="E45" s="25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  <c r="CU45" s="105"/>
      <c r="CV45" s="105"/>
      <c r="CW45" s="105"/>
      <c r="CX45" s="105"/>
      <c r="CY45" s="105"/>
      <c r="CZ45" s="105"/>
      <c r="DA45" s="105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5"/>
      <c r="DO45" s="105"/>
      <c r="DP45" s="105"/>
      <c r="DQ45" s="105"/>
      <c r="DR45" s="105"/>
      <c r="DS45" s="105"/>
      <c r="DT45" s="105"/>
      <c r="DU45" s="105"/>
      <c r="DV45" s="105"/>
      <c r="DW45" s="105"/>
      <c r="DX45" s="105"/>
      <c r="DY45" s="105"/>
    </row>
    <row r="46" spans="2:129" x14ac:dyDescent="0.25">
      <c r="B46" s="22">
        <v>6</v>
      </c>
      <c r="C46" s="38" t="s">
        <v>251</v>
      </c>
      <c r="D46" s="32"/>
      <c r="E46" s="25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  <c r="CU46" s="105"/>
      <c r="CV46" s="105"/>
      <c r="CW46" s="105"/>
      <c r="CX46" s="105"/>
      <c r="CY46" s="105"/>
      <c r="CZ46" s="105"/>
      <c r="DA46" s="105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5"/>
      <c r="DV46" s="105"/>
      <c r="DW46" s="105"/>
      <c r="DX46" s="105"/>
      <c r="DY46" s="105"/>
    </row>
    <row r="47" spans="2:129" x14ac:dyDescent="0.25">
      <c r="B47" s="22">
        <v>6.1</v>
      </c>
      <c r="C47" s="19" t="s">
        <v>252</v>
      </c>
      <c r="D47" s="42">
        <v>0.15</v>
      </c>
      <c r="E47" s="15">
        <v>13.2</v>
      </c>
      <c r="F47" s="33">
        <f>Financials!C10/Financials!C6</f>
        <v>0.33176197754796549</v>
      </c>
      <c r="G47" s="33">
        <f>Financials!D10/Financials!D6</f>
        <v>0.18460026712588357</v>
      </c>
      <c r="H47" s="33">
        <f>Financials!E10/Financials!E6</f>
        <v>0.22265439847208124</v>
      </c>
      <c r="I47" s="33">
        <f>Financials!F10/Financials!F6</f>
        <v>0.22152781978276462</v>
      </c>
      <c r="J47" s="33">
        <f>Financials!G10/Financials!G6</f>
        <v>8.158652583952819E-2</v>
      </c>
      <c r="K47" s="33">
        <f>Financials!H10/Financials!H6</f>
        <v>0</v>
      </c>
      <c r="L47" s="33">
        <f>Financials!I10/Financials!I6</f>
        <v>7.544956853778137E-2</v>
      </c>
      <c r="M47" s="33">
        <f>Financials!J10/Financials!J6</f>
        <v>1.2442099565339723E-3</v>
      </c>
      <c r="N47" s="33">
        <f>Financials!K10/Financials!K6</f>
        <v>4.7961273528230692E-3</v>
      </c>
      <c r="O47" s="33">
        <f>Financials!L10/Financials!L6</f>
        <v>7.9365823279969779E-3</v>
      </c>
      <c r="P47" s="33">
        <f>Financials!M10/Financials!M6</f>
        <v>1.0236390784028052E-2</v>
      </c>
      <c r="Q47" s="33">
        <f>Financials!N10/Financials!N6</f>
        <v>-4.8708372333810458E-2</v>
      </c>
      <c r="R47" s="33">
        <f>Financials!O10/Financials!O6</f>
        <v>-4.5056541910026837E-2</v>
      </c>
      <c r="S47" s="33">
        <f>Financials!P10/Financials!P6</f>
        <v>-4.1360858652175071E-2</v>
      </c>
      <c r="T47" s="33">
        <f>Financials!Q10/Financials!Q6</f>
        <v>-3.8472815952067946E-2</v>
      </c>
      <c r="U47" s="33">
        <f>Financials!R10/Financials!R6</f>
        <v>-3.5651978371141917E-2</v>
      </c>
      <c r="V47" s="33">
        <f>Financials!S10/Financials!S6</f>
        <v>-3.2088598571105652E-2</v>
      </c>
      <c r="W47" s="33">
        <f>Financials!T10/Financials!T6</f>
        <v>-3.0218122073904813E-2</v>
      </c>
      <c r="X47" s="33">
        <f>Financials!U10/Financials!U6</f>
        <v>4.1872570457171434E-4</v>
      </c>
      <c r="Y47" s="33">
        <f>Financials!W10/Financials!W6</f>
        <v>2.6293203572389941E-3</v>
      </c>
      <c r="Z47" s="33">
        <f>Financials!X10/Financials!X6</f>
        <v>4.5832354585367985E-3</v>
      </c>
      <c r="AA47" s="33">
        <f>Financials!Y10/Financials!Y6</f>
        <v>8.582590192831259E-3</v>
      </c>
      <c r="AB47" s="33">
        <f>Financials!Z10/Financials!Z6</f>
        <v>1.0420255844236365E-2</v>
      </c>
      <c r="AC47" s="33">
        <f>Financials!AA10/Financials!AA6</f>
        <v>1.183795280668852E-2</v>
      </c>
      <c r="AD47" s="33">
        <f>Financials!AB10/Financials!AB6</f>
        <v>1.1041641304251249E-2</v>
      </c>
      <c r="AE47" s="33">
        <f>Financials!AC10/Financials!AC6</f>
        <v>1.4490488075050439E-2</v>
      </c>
      <c r="AF47" s="33">
        <f>Financials!AD10/Financials!AD6</f>
        <v>1.5287202948799901E-2</v>
      </c>
      <c r="AG47" s="33">
        <f>Financials!AE10/Financials!AE6</f>
        <v>1.6303665130047031E-2</v>
      </c>
      <c r="AH47" s="33">
        <f>Financials!AF10/Financials!AF6</f>
        <v>2.7694351171263466E-3</v>
      </c>
      <c r="AI47" s="33">
        <f>Financials!AG10/Financials!AG6</f>
        <v>4.3213949271094874E-3</v>
      </c>
      <c r="AJ47" s="33">
        <f>Financials!AH10/Financials!AH6</f>
        <v>5.9609770766549317E-3</v>
      </c>
      <c r="AK47" s="33">
        <f>Financials!AI10/Financials!AI6</f>
        <v>6.9627744238213676E-2</v>
      </c>
      <c r="AL47" s="33">
        <f>Financials!AJ10/Financials!AJ6</f>
        <v>7.1187208543186054E-2</v>
      </c>
      <c r="AM47" s="33" t="e">
        <f>Financials!AK10/Financials!AK6</f>
        <v>#DIV/0!</v>
      </c>
      <c r="AN47" s="33">
        <f>Financials!AL10/Financials!AL6</f>
        <v>3.095327745315091E-3</v>
      </c>
      <c r="AO47" s="33">
        <f>Financials!AM10/Financials!AM6</f>
        <v>2.6150275029237541E-3</v>
      </c>
      <c r="AP47" s="33">
        <f>Financials!AN10/Financials!AN6</f>
        <v>6.4470371114317337E-3</v>
      </c>
      <c r="AQ47" s="33">
        <f>Financials!AO10/Financials!AO6</f>
        <v>1.183795280668852E-2</v>
      </c>
      <c r="AR47" s="33">
        <f>Financials!AP10/Financials!AP6</f>
        <v>1.0154418245532182E-2</v>
      </c>
      <c r="AS47" s="33">
        <f>Financials!AQ10/Financials!AQ6</f>
        <v>1.5615992858304529E-2</v>
      </c>
      <c r="AT47" s="33">
        <f>Financials!AR10/Financials!AR6</f>
        <v>1.7397300869428679E-2</v>
      </c>
      <c r="AU47" s="33">
        <f>Financials!AS10/Financials!AS6</f>
        <v>1.9733756863212482E-2</v>
      </c>
      <c r="AV47" s="33" t="e">
        <f>Financials!AT10/Financials!AT6</f>
        <v>#DIV/0!</v>
      </c>
      <c r="AW47" s="33">
        <f>Financials!AU10/Financials!AU6</f>
        <v>2.3125909700882564E-2</v>
      </c>
      <c r="AX47" s="33">
        <f>Financials!AV10/Financials!AV6</f>
        <v>0.58844424122994943</v>
      </c>
      <c r="AY47" s="33">
        <f>Financials!AW10/Financials!AW6</f>
        <v>5.8931811239103508E-2</v>
      </c>
      <c r="AZ47" s="33" t="e">
        <f>Financials!AX10/Financials!AX6</f>
        <v>#DIV/0!</v>
      </c>
      <c r="BA47" s="33" t="e">
        <f>Financials!AY10/Financials!AY6</f>
        <v>#DIV/0!</v>
      </c>
      <c r="BB47" s="33">
        <f>Financials!AZ10/Financials!AZ6</f>
        <v>0.56160188276098266</v>
      </c>
      <c r="BC47" s="33">
        <f>Financials!BA10/Financials!BA6</f>
        <v>0.52408454047824793</v>
      </c>
      <c r="BD47" s="33">
        <f>Financials!BB10/Financials!BB6</f>
        <v>4.5202069072099602E-2</v>
      </c>
      <c r="BE47" s="486">
        <f>Financials!BC10/Financials!BC6</f>
        <v>0.25378826050969117</v>
      </c>
      <c r="BF47" s="33">
        <f>Financials!BD10/Financials!BD6</f>
        <v>2.7948663329665162E-2</v>
      </c>
      <c r="BG47" s="33">
        <f>Financials!BE10/Financials!BE6</f>
        <v>0</v>
      </c>
      <c r="BH47" s="33">
        <f>Financials!BF10/Financials!BF6</f>
        <v>0</v>
      </c>
      <c r="BI47" s="33" t="e">
        <f>Financials!BG10/Financials!BG6</f>
        <v>#DIV/0!</v>
      </c>
      <c r="BJ47" s="33">
        <f>Financials!BH10/Financials!BH6</f>
        <v>0</v>
      </c>
      <c r="BK47" s="33">
        <f>Financials!BI10/Financials!BI6</f>
        <v>0</v>
      </c>
      <c r="BL47" s="33">
        <f>Financials!BJ10/Financials!BJ6</f>
        <v>8.3131189317029702E-2</v>
      </c>
      <c r="BM47" s="33">
        <f>Financials!BK10/Financials!BK6</f>
        <v>7.77729780374046E-2</v>
      </c>
      <c r="BN47" s="33">
        <f>Financials!BL10/Financials!BL6</f>
        <v>5.6768948141683089E-2</v>
      </c>
      <c r="BO47" s="33">
        <f>Financials!BM10/Financials!BM6</f>
        <v>0</v>
      </c>
      <c r="BP47" s="33">
        <f>Financials!BN10/Financials!BN6</f>
        <v>0</v>
      </c>
      <c r="BQ47" s="33">
        <f>Financials!BO10/Financials!BO6</f>
        <v>0</v>
      </c>
      <c r="BR47" s="33">
        <f>Financials!BP10/Financials!BP6</f>
        <v>0</v>
      </c>
      <c r="BS47" s="33">
        <f>Financials!BQ10/Financials!BQ6</f>
        <v>0</v>
      </c>
      <c r="BT47" s="33">
        <f>Financials!BR10/Financials!BR6</f>
        <v>0</v>
      </c>
      <c r="BU47" s="33">
        <f>Financials!BS10/Financials!BS6</f>
        <v>0</v>
      </c>
      <c r="BV47" s="33">
        <f>Financials!BT10/Financials!BT6</f>
        <v>0</v>
      </c>
      <c r="BW47" s="33">
        <f>Financials!BU10/Financials!BU6</f>
        <v>0</v>
      </c>
      <c r="BX47" s="33">
        <f>Financials!BV10/Financials!BV6</f>
        <v>3.6077367084869104E-2</v>
      </c>
      <c r="BY47" s="33">
        <f>Financials!BW10/Financials!BW6</f>
        <v>0.17083302624321958</v>
      </c>
      <c r="BZ47" s="33">
        <f>Financials!BX10/Financials!BX6</f>
        <v>0</v>
      </c>
      <c r="CA47" s="33">
        <f>Financials!BY10/Financials!BY6</f>
        <v>1.4337728169276446E-2</v>
      </c>
      <c r="CB47" s="33">
        <f>Financials!BZ10/Financials!BZ6</f>
        <v>1.4530109967320038E-2</v>
      </c>
      <c r="CC47" s="33">
        <f>Financials!CA10/Financials!CA6</f>
        <v>1.3383435310795324E-2</v>
      </c>
      <c r="CD47" s="33">
        <f>Financials!CB10/Financials!CB6</f>
        <v>1.0590331771737013E-2</v>
      </c>
      <c r="CE47" s="33">
        <f>Financials!CC10/Financials!CC6</f>
        <v>1.035164252052013E-2</v>
      </c>
      <c r="CF47" s="33">
        <f>Financials!CD10/Financials!CD6</f>
        <v>1.0316630955525763E-2</v>
      </c>
      <c r="CG47" s="33">
        <f>Financials!CE10/Financials!CE6</f>
        <v>1.0143950606336728E-2</v>
      </c>
      <c r="CH47" s="33">
        <f>Financials!CF10/Financials!CF6</f>
        <v>9.9287640682697836E-3</v>
      </c>
      <c r="CI47" s="33">
        <f>Financials!CG10/Financials!CG6</f>
        <v>9.9776446386015995E-3</v>
      </c>
      <c r="CJ47" s="33">
        <f>Financials!CH10/Financials!CH6</f>
        <v>9.455557890280606E-3</v>
      </c>
      <c r="CK47" s="33">
        <f>Financials!CI10/Financials!CI6</f>
        <v>2.4041986629279973E-2</v>
      </c>
      <c r="CL47" s="33">
        <f>Financials!CJ10/Financials!CJ6</f>
        <v>7.9922131512939712E-2</v>
      </c>
      <c r="CM47" s="33">
        <f>Financials!CK10/Financials!CK6</f>
        <v>7.5551244875636345E-2</v>
      </c>
      <c r="CN47" s="33">
        <f>Financials!CL10/Financials!CL6</f>
        <v>7.1173865217129414E-2</v>
      </c>
      <c r="CO47" s="33">
        <f>Financials!CM10/Financials!CM6</f>
        <v>1.2250881938493181E-2</v>
      </c>
      <c r="CP47" s="33">
        <f>Financials!CN10/Financials!CN6</f>
        <v>1.1405149125538581E-2</v>
      </c>
      <c r="CQ47" s="33">
        <f>Financials!CO10/Financials!CO6</f>
        <v>8.5908480862928703E-3</v>
      </c>
      <c r="CR47" s="33">
        <f>Financials!CP10/Financials!CP6</f>
        <v>8.617048276579652E-3</v>
      </c>
      <c r="CS47" s="33">
        <f>Financials!CQ10/Financials!CQ6</f>
        <v>9.0476440191337004E-3</v>
      </c>
      <c r="CT47" s="33">
        <f>Financials!CR10/Financials!CR6</f>
        <v>8.2371907742670898E-3</v>
      </c>
      <c r="CU47" s="33">
        <f>Financials!CS10/Financials!CS6</f>
        <v>8.4423315234095925E-3</v>
      </c>
      <c r="CV47" s="33">
        <f>Financials!CT10/Financials!CT6</f>
        <v>8.262137874677708E-3</v>
      </c>
      <c r="CW47" s="33">
        <f>Financials!CU10/Financials!CU6</f>
        <v>7.8943881584155762E-3</v>
      </c>
      <c r="CX47" s="33">
        <f>Financials!CV10/Financials!CV6</f>
        <v>1.2151735087384853E-2</v>
      </c>
      <c r="CY47" s="33">
        <f>Financials!CW10/Financials!CW6</f>
        <v>8.6078814302846224E-2</v>
      </c>
      <c r="CZ47" s="33">
        <f>Financials!CX10/Financials!CX6</f>
        <v>7.8206815908979696E-2</v>
      </c>
      <c r="DA47" s="33">
        <f>Financials!CY10/Financials!CY6</f>
        <v>7.4376059032435327E-2</v>
      </c>
      <c r="DB47" s="33">
        <f>Financials!CZ10/Financials!CZ6</f>
        <v>1.4201167208531637E-2</v>
      </c>
      <c r="DC47" s="33">
        <f>Financials!DA10/Financials!DA6</f>
        <v>1.0185864471979847E-2</v>
      </c>
      <c r="DD47" s="33">
        <f>Financials!DB10/Financials!DB6</f>
        <v>8.496901960114973E-3</v>
      </c>
      <c r="DE47" s="33">
        <f>Financials!DC10/Financials!DC6</f>
        <v>5.5322745002297675E-3</v>
      </c>
      <c r="DF47" s="33">
        <f>Financials!DD10/Financials!DD6</f>
        <v>5.6541977367273047E-3</v>
      </c>
      <c r="DG47" s="33">
        <f>Financials!DE10/Financials!DE6</f>
        <v>5.8661634869792553E-3</v>
      </c>
      <c r="DH47" s="33">
        <f>Financials!DF10/Financials!DF6</f>
        <v>5.7411425470995847E-3</v>
      </c>
      <c r="DI47" s="33">
        <f>Financials!DG10/Financials!DG6</f>
        <v>5.4184768025500934E-3</v>
      </c>
      <c r="DJ47" s="33">
        <f>Financials!DH10/Financials!DH6</f>
        <v>5.4193254456265921E-3</v>
      </c>
      <c r="DK47" s="33">
        <f>Financials!DI10/Financials!DI6</f>
        <v>9.2488639115420407E-2</v>
      </c>
      <c r="DL47" s="33">
        <f>Financials!DJ10/Financials!DJ6</f>
        <v>9.2283596166176152E-2</v>
      </c>
      <c r="DM47" s="33">
        <f>Financials!DK10/Financials!DK6</f>
        <v>8.8935634839724761E-2</v>
      </c>
      <c r="DN47" s="33">
        <f>Financials!DL10/Financials!DL6</f>
        <v>8.9838110155967543E-2</v>
      </c>
      <c r="DO47" s="33">
        <f>Financials!DM10/Financials!DM6</f>
        <v>9.643715947762397E-3</v>
      </c>
      <c r="DP47" s="33">
        <f>Financials!DN10/Financials!DN6</f>
        <v>6.5314444982357799E-3</v>
      </c>
      <c r="DQ47" s="33">
        <f>Financials!DO10/Financials!DO6</f>
        <v>6.5772205734191446E-3</v>
      </c>
      <c r="DR47" s="33">
        <f>Financials!DP10/Financials!DP6</f>
        <v>6.1333604325766256E-3</v>
      </c>
      <c r="DS47" s="33">
        <f>Financials!DQ10/Financials!DQ6</f>
        <v>5.5599939625248325E-3</v>
      </c>
      <c r="DT47" s="33">
        <f>Financials!DR10/Financials!DR6</f>
        <v>5.6022996745377614E-3</v>
      </c>
      <c r="DU47" s="33">
        <f>Financials!DS10/Financials!DS6</f>
        <v>2.4382497728201329E-2</v>
      </c>
      <c r="DV47" s="33">
        <f>Financials!DT10/Financials!DT6</f>
        <v>2.0534899362034589E-2</v>
      </c>
      <c r="DW47" s="33">
        <f>Financials!DU10/Financials!DU6</f>
        <v>2.008854353026111E-2</v>
      </c>
      <c r="DX47" s="33" t="e">
        <f>Financials!DV10/Financials!DV6</f>
        <v>#DIV/0!</v>
      </c>
      <c r="DY47" s="33">
        <f>Financials!DW10/Financials!DW8</f>
        <v>0.62683261765072196</v>
      </c>
    </row>
    <row r="48" spans="2:129" x14ac:dyDescent="0.25">
      <c r="B48" s="22"/>
      <c r="C48" s="43"/>
      <c r="D48" s="32"/>
      <c r="E48" s="15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  <c r="CU48" s="105"/>
      <c r="CV48" s="105"/>
      <c r="CW48" s="105"/>
      <c r="CX48" s="105"/>
      <c r="CY48" s="105"/>
      <c r="CZ48" s="105"/>
      <c r="DA48" s="105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5"/>
      <c r="DO48" s="105"/>
      <c r="DP48" s="105"/>
      <c r="DQ48" s="105"/>
      <c r="DR48" s="105"/>
      <c r="DS48" s="105"/>
      <c r="DT48" s="105"/>
      <c r="DU48" s="105"/>
      <c r="DV48" s="105"/>
      <c r="DW48" s="105"/>
      <c r="DX48" s="105"/>
      <c r="DY48" s="105"/>
    </row>
    <row r="49" spans="2:129" x14ac:dyDescent="0.25">
      <c r="B49" s="22">
        <v>7</v>
      </c>
      <c r="C49" s="38" t="s">
        <v>253</v>
      </c>
      <c r="D49" s="32"/>
      <c r="E49" s="15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F49" s="105"/>
      <c r="BG49" s="105"/>
      <c r="BH49" s="105"/>
      <c r="BI49" s="105"/>
      <c r="BJ49" s="105"/>
      <c r="BK49" s="105"/>
      <c r="BL49" s="105"/>
      <c r="BM49" s="105"/>
      <c r="BN49" s="105"/>
      <c r="BO49" s="105"/>
      <c r="BP49" s="105"/>
      <c r="BQ49" s="105"/>
      <c r="BR49" s="105"/>
      <c r="BS49" s="105"/>
      <c r="BT49" s="105"/>
      <c r="BU49" s="105"/>
      <c r="BV49" s="105"/>
      <c r="BW49" s="105"/>
      <c r="BX49" s="105"/>
      <c r="BY49" s="105"/>
      <c r="BZ49" s="105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05"/>
      <c r="CL49" s="105"/>
      <c r="CM49" s="105"/>
      <c r="CN49" s="105"/>
      <c r="CO49" s="105"/>
      <c r="CP49" s="105"/>
      <c r="CQ49" s="105"/>
      <c r="CR49" s="105"/>
      <c r="CS49" s="105"/>
      <c r="CT49" s="105"/>
      <c r="CU49" s="105"/>
      <c r="CV49" s="105"/>
      <c r="CW49" s="105"/>
      <c r="CX49" s="105"/>
      <c r="CY49" s="105"/>
      <c r="CZ49" s="105"/>
      <c r="DA49" s="105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5"/>
      <c r="DO49" s="105"/>
      <c r="DP49" s="105"/>
      <c r="DQ49" s="105"/>
      <c r="DR49" s="105"/>
      <c r="DS49" s="105"/>
      <c r="DT49" s="105"/>
      <c r="DU49" s="105"/>
      <c r="DV49" s="105"/>
      <c r="DW49" s="105"/>
      <c r="DX49" s="105"/>
      <c r="DY49" s="105"/>
    </row>
    <row r="50" spans="2:129" ht="13.8" thickBot="1" x14ac:dyDescent="0.3">
      <c r="B50" s="45">
        <v>7.1</v>
      </c>
      <c r="C50" s="46" t="s">
        <v>254</v>
      </c>
      <c r="D50" s="47">
        <v>1</v>
      </c>
      <c r="E50" s="48">
        <v>44.1</v>
      </c>
      <c r="F50" s="49" t="e">
        <f>Financials!C32/Financials!C35</f>
        <v>#REF!</v>
      </c>
      <c r="G50" s="49" t="e">
        <f>Financials!D32/Financials!D35</f>
        <v>#REF!</v>
      </c>
      <c r="H50" s="49" t="e">
        <f>Financials!E32/Financials!E35</f>
        <v>#REF!</v>
      </c>
      <c r="I50" s="49" t="e">
        <f>Financials!F32/Financials!F35</f>
        <v>#REF!</v>
      </c>
      <c r="J50" s="49" t="e">
        <f>Financials!G32/Financials!G35</f>
        <v>#REF!</v>
      </c>
      <c r="K50" s="49">
        <f>Financials!H32/Financials!H35</f>
        <v>0.13819562917109476</v>
      </c>
      <c r="L50" s="49">
        <f>Financials!I32/Financials!I35</f>
        <v>0.2487066865802269</v>
      </c>
      <c r="M50" s="49" t="e">
        <f>Financials!J32/Financials!J35</f>
        <v>#DIV/0!</v>
      </c>
      <c r="N50" s="49" t="e">
        <f>Financials!K32/Financials!K35</f>
        <v>#DIV/0!</v>
      </c>
      <c r="O50" s="49" t="e">
        <f>Financials!L32/Financials!L35</f>
        <v>#DIV/0!</v>
      </c>
      <c r="P50" s="49" t="e">
        <f>Financials!M32/Financials!M35</f>
        <v>#DIV/0!</v>
      </c>
      <c r="Q50" s="49">
        <f>Financials!N32/Financials!N35</f>
        <v>50.662279052275288</v>
      </c>
      <c r="R50" s="49">
        <f>Financials!O32/Financials!O35</f>
        <v>3.6787395400490508E-4</v>
      </c>
      <c r="S50" s="49" t="e">
        <f>Financials!P32/Financials!P35</f>
        <v>#DIV/0!</v>
      </c>
      <c r="T50" s="49">
        <f>Financials!Q32/Financials!Q35</f>
        <v>1.0052318501139551E-2</v>
      </c>
      <c r="U50" s="49">
        <f>Financials!R32/Financials!R35</f>
        <v>35.172584856396867</v>
      </c>
      <c r="V50" s="49">
        <f>Financials!S32/Financials!S35</f>
        <v>3.6332642438752216E-4</v>
      </c>
      <c r="W50" s="49" t="e">
        <f>Financials!T32/Financials!T35</f>
        <v>#DIV/0!</v>
      </c>
      <c r="X50" s="49">
        <f>Financials!U32/Financials!U35</f>
        <v>0</v>
      </c>
      <c r="Y50" s="49">
        <f>Financials!W32/Financials!W35</f>
        <v>3.3863324455205616E-3</v>
      </c>
      <c r="Z50" s="49" t="e">
        <f>Financials!X32/Financials!X35</f>
        <v>#DIV/0!</v>
      </c>
      <c r="AA50" s="49">
        <f>Financials!Y32/Financials!Y35</f>
        <v>0.13677916495421383</v>
      </c>
      <c r="AB50" s="49">
        <f>Financials!Z32/Financials!Z35</f>
        <v>390.05363237445147</v>
      </c>
      <c r="AC50" s="49">
        <f>Financials!AA32/Financials!AA35</f>
        <v>3.0112037085893739E-3</v>
      </c>
      <c r="AD50" s="49" t="e">
        <f>Financials!AB32/Financials!AB35</f>
        <v>#DIV/0!</v>
      </c>
      <c r="AE50" s="49">
        <f>Financials!AC32/Financials!AC35</f>
        <v>0.10161793343264611</v>
      </c>
      <c r="AF50" s="49">
        <f>Financials!AD32/Financials!AD35</f>
        <v>357.88845809722636</v>
      </c>
      <c r="AG50" s="49">
        <f>Financials!AE32/Financials!AE35</f>
        <v>2.8167224783041782E-3</v>
      </c>
      <c r="AH50" s="49" t="e">
        <f>Financials!AF32/Financials!AF35</f>
        <v>#DIV/0!</v>
      </c>
      <c r="AI50" s="49">
        <f>Financials!AG32/Financials!AG35</f>
        <v>3.6182483112641231E-2</v>
      </c>
      <c r="AJ50" s="49">
        <f>Financials!AH32/Financials!AH35</f>
        <v>340.03967129498443</v>
      </c>
      <c r="AK50" s="49">
        <f>Financials!AI32/Financials!AI35</f>
        <v>1.4406202410463461E-4</v>
      </c>
      <c r="AL50" s="49" t="e">
        <f>Financials!AJ32/Financials!AJ35</f>
        <v>#DIV/0!</v>
      </c>
      <c r="AM50" s="49">
        <f>Financials!AK32/Financials!AK35</f>
        <v>0</v>
      </c>
      <c r="AN50" s="49">
        <f>Financials!AL32/Financials!AL35</f>
        <v>330.21463951568518</v>
      </c>
      <c r="AO50" s="49">
        <f>Financials!AM32/Financials!AM35</f>
        <v>2.6593039876950126E-3</v>
      </c>
      <c r="AP50" s="49" t="e">
        <f>Financials!AN32/Financials!AN35</f>
        <v>#DIV/0!</v>
      </c>
      <c r="AQ50" s="49">
        <f>Financials!AO32/Financials!AO35</f>
        <v>-8.5944468915783709E-2</v>
      </c>
      <c r="AR50" s="49">
        <f>Financials!AP32/Financials!AP35</f>
        <v>2285.7142857142858</v>
      </c>
      <c r="AS50" s="49">
        <f>Financials!AQ32/Financials!AQ35</f>
        <v>3.4400689025390098E-2</v>
      </c>
      <c r="AT50" s="49" t="e">
        <f>Financials!AR32/Financials!AR35</f>
        <v>#DIV/0!</v>
      </c>
      <c r="AU50" s="49">
        <f>Financials!AS32/Financials!AS35</f>
        <v>1.0301224171135115</v>
      </c>
      <c r="AV50" s="49">
        <f>Financials!AT32/Financials!AT35</f>
        <v>0</v>
      </c>
      <c r="AW50" s="49">
        <f>Financials!AU32/Financials!AU35</f>
        <v>3.2022930177133126E-2</v>
      </c>
      <c r="AX50" s="49" t="e">
        <f>Financials!AV32/Financials!AV35</f>
        <v>#DIV/0!</v>
      </c>
      <c r="AY50" s="49">
        <f>Financials!AW32/Financials!AW35</f>
        <v>2.4152551632612873</v>
      </c>
      <c r="AZ50" s="49">
        <f>Financials!AX32/Financials!AX35</f>
        <v>0</v>
      </c>
      <c r="BA50" s="49">
        <f>Financials!AY32/Financials!AY35</f>
        <v>0</v>
      </c>
      <c r="BB50" s="49" t="e">
        <f>Financials!AZ32/Financials!AZ35</f>
        <v>#DIV/0!</v>
      </c>
      <c r="BC50" s="49">
        <f>Financials!BA32/Financials!BA35</f>
        <v>2.7290885767818023</v>
      </c>
      <c r="BD50" s="49" t="e">
        <f>Financials!BB32/Financials!BB35</f>
        <v>#DIV/0!</v>
      </c>
      <c r="BE50" s="49" t="e">
        <f>Financials!BC32/Financials!BC35</f>
        <v>#DIV/0!</v>
      </c>
      <c r="BF50" s="49" t="e">
        <f>Financials!BD32/Financials!BD35</f>
        <v>#DIV/0!</v>
      </c>
      <c r="BG50" s="49" t="e">
        <f>Financials!BE32/Financials!BE35</f>
        <v>#DIV/0!</v>
      </c>
      <c r="BH50" s="49" t="e">
        <f>Financials!BF32/Financials!BF35</f>
        <v>#DIV/0!</v>
      </c>
      <c r="BI50" s="49" t="e">
        <f>Financials!BG32/Financials!BG35</f>
        <v>#DIV/0!</v>
      </c>
      <c r="BJ50" s="49" t="e">
        <f>Financials!BH32/Financials!BH35</f>
        <v>#DIV/0!</v>
      </c>
      <c r="BK50" s="49" t="e">
        <f>Financials!BI32/Financials!BI35</f>
        <v>#DIV/0!</v>
      </c>
      <c r="BL50" s="49">
        <f>Financials!BJ32/Financials!BJ35</f>
        <v>7399.0602928509907</v>
      </c>
      <c r="BM50" s="49" t="e">
        <f>Financials!BK32/Financials!BK35</f>
        <v>#DIV/0!</v>
      </c>
      <c r="BN50" s="49">
        <f>Financials!BL32/Financials!BL35</f>
        <v>6.7892903612425434E-2</v>
      </c>
      <c r="BO50" s="49" t="e">
        <f>Financials!BM32/Financials!BM35</f>
        <v>#DIV/0!</v>
      </c>
      <c r="BP50" s="49">
        <f>Financials!BN32/Financials!BN35</f>
        <v>3.7170104335461973</v>
      </c>
      <c r="BQ50" s="49">
        <f>Financials!BO32/Financials!BO35</f>
        <v>6187.1378122308352</v>
      </c>
      <c r="BR50" s="49">
        <f>Financials!BP32/Financials!BP35</f>
        <v>8.6637844307071693E-2</v>
      </c>
      <c r="BS50" s="49" t="e">
        <f>Financials!BQ32/Financials!BQ35</f>
        <v>#DIV/0!</v>
      </c>
      <c r="BT50" s="49">
        <f>Financials!BR32/Financials!BR35</f>
        <v>4.6103516095403361</v>
      </c>
      <c r="BU50" s="49">
        <f>Financials!BS32/Financials!BS35</f>
        <v>6806.5443583118004</v>
      </c>
      <c r="BV50" s="49">
        <f>Financials!BT32/Financials!BT35</f>
        <v>9.1138181000955609E-2</v>
      </c>
      <c r="BW50" s="49" t="e">
        <f>Financials!BU32/Financials!BU35</f>
        <v>#DIV/0!</v>
      </c>
      <c r="BX50" s="49">
        <f>Financials!BV32/Financials!BV35</f>
        <v>5.1297204029853365</v>
      </c>
      <c r="BY50" s="49" t="e">
        <f>Financials!BW32/Financials!BW35</f>
        <v>#DIV/0!</v>
      </c>
      <c r="BZ50" s="49" t="e">
        <f>Financials!BX32/Financials!BX35</f>
        <v>#DIV/0!</v>
      </c>
      <c r="CA50" s="49" t="e">
        <f>Financials!BY32/Financials!BY35</f>
        <v>#DIV/0!</v>
      </c>
      <c r="CB50" s="49" t="e">
        <f>Financials!BZ32/Financials!BZ35</f>
        <v>#DIV/0!</v>
      </c>
      <c r="CC50" s="49" t="e">
        <f>Financials!CA32/Financials!CA35</f>
        <v>#DIV/0!</v>
      </c>
      <c r="CD50" s="49" t="e">
        <f>Financials!CB32/Financials!CB35</f>
        <v>#DIV/0!</v>
      </c>
      <c r="CE50" s="49" t="e">
        <f>Financials!CC32/Financials!CC35</f>
        <v>#DIV/0!</v>
      </c>
      <c r="CF50" s="49" t="e">
        <f>Financials!CD32/Financials!CD35</f>
        <v>#DIV/0!</v>
      </c>
      <c r="CG50" s="49" t="e">
        <f>Financials!CE32/Financials!CE35</f>
        <v>#DIV/0!</v>
      </c>
      <c r="CH50" s="49" t="e">
        <f>Financials!CF32/Financials!CF35</f>
        <v>#DIV/0!</v>
      </c>
      <c r="CI50" s="49" t="e">
        <f>Financials!CG32/Financials!CG35</f>
        <v>#DIV/0!</v>
      </c>
      <c r="CJ50" s="49" t="e">
        <f>Financials!CH32/Financials!CH35</f>
        <v>#DIV/0!</v>
      </c>
      <c r="CK50" s="49" t="e">
        <f>Financials!CI32/Financials!CI35</f>
        <v>#DIV/0!</v>
      </c>
      <c r="CL50" s="49" t="e">
        <f>Financials!CJ32/Financials!CJ35</f>
        <v>#DIV/0!</v>
      </c>
      <c r="CM50" s="49" t="e">
        <f>Financials!CK32/Financials!CK35</f>
        <v>#DIV/0!</v>
      </c>
      <c r="CN50" s="49" t="e">
        <f>Financials!CL32/Financials!CL35</f>
        <v>#DIV/0!</v>
      </c>
      <c r="CO50" s="49" t="e">
        <f>Financials!CM32/Financials!CM35</f>
        <v>#DIV/0!</v>
      </c>
      <c r="CP50" s="49" t="e">
        <f>Financials!CN32/Financials!CN35</f>
        <v>#DIV/0!</v>
      </c>
      <c r="CQ50" s="49" t="e">
        <f>Financials!CO32/Financials!CO35</f>
        <v>#DIV/0!</v>
      </c>
      <c r="CR50" s="49" t="e">
        <f>Financials!CP32/Financials!CP35</f>
        <v>#DIV/0!</v>
      </c>
      <c r="CS50" s="49" t="e">
        <f>Financials!CQ32/Financials!CQ35</f>
        <v>#DIV/0!</v>
      </c>
      <c r="CT50" s="49" t="e">
        <f>Financials!CR32/Financials!CR35</f>
        <v>#DIV/0!</v>
      </c>
      <c r="CU50" s="49" t="e">
        <f>Financials!CS32/Financials!CS35</f>
        <v>#DIV/0!</v>
      </c>
      <c r="CV50" s="49" t="e">
        <f>Financials!CT32/Financials!CT35</f>
        <v>#DIV/0!</v>
      </c>
      <c r="CW50" s="49" t="e">
        <f>Financials!CU32/Financials!CU35</f>
        <v>#DIV/0!</v>
      </c>
      <c r="CX50" s="49" t="e">
        <f>Financials!CV32/Financials!CV35</f>
        <v>#DIV/0!</v>
      </c>
      <c r="CY50" s="49" t="e">
        <f>Financials!CW32/Financials!CW35</f>
        <v>#DIV/0!</v>
      </c>
      <c r="CZ50" s="49" t="e">
        <f>Financials!CX32/Financials!CX35</f>
        <v>#DIV/0!</v>
      </c>
      <c r="DA50" s="49" t="e">
        <f>Financials!CY32/Financials!CY35</f>
        <v>#DIV/0!</v>
      </c>
      <c r="DB50" s="49" t="e">
        <f>Financials!CZ32/Financials!CZ35</f>
        <v>#DIV/0!</v>
      </c>
      <c r="DC50" s="49" t="e">
        <f>Financials!DA32/Financials!DA35</f>
        <v>#DIV/0!</v>
      </c>
      <c r="DD50" s="49" t="e">
        <f>Financials!DB32/Financials!DB35</f>
        <v>#DIV/0!</v>
      </c>
      <c r="DE50" s="49" t="e">
        <f>Financials!DC32/Financials!DC35</f>
        <v>#DIV/0!</v>
      </c>
      <c r="DF50" s="49" t="e">
        <f>Financials!DD32/Financials!DD35</f>
        <v>#DIV/0!</v>
      </c>
      <c r="DG50" s="49" t="e">
        <f>Financials!DE32/Financials!DE35</f>
        <v>#DIV/0!</v>
      </c>
      <c r="DH50" s="49" t="e">
        <f>Financials!DF32/Financials!DF35</f>
        <v>#DIV/0!</v>
      </c>
      <c r="DI50" s="49" t="e">
        <f>Financials!DG32/Financials!DG35</f>
        <v>#DIV/0!</v>
      </c>
      <c r="DJ50" s="49" t="e">
        <f>Financials!DH32/Financials!DH35</f>
        <v>#DIV/0!</v>
      </c>
      <c r="DK50" s="49" t="e">
        <f>Financials!DI32/Financials!DI35</f>
        <v>#DIV/0!</v>
      </c>
      <c r="DL50" s="49" t="e">
        <f>Financials!DJ32/Financials!DJ35</f>
        <v>#DIV/0!</v>
      </c>
      <c r="DM50" s="49" t="e">
        <f>Financials!DK32/Financials!DK35</f>
        <v>#DIV/0!</v>
      </c>
      <c r="DN50" s="49" t="e">
        <f>Financials!DL32/Financials!DL35</f>
        <v>#DIV/0!</v>
      </c>
      <c r="DO50" s="49" t="e">
        <f>Financials!DM32/Financials!DM35</f>
        <v>#DIV/0!</v>
      </c>
      <c r="DP50" s="49" t="e">
        <f>Financials!DN32/Financials!DN35</f>
        <v>#DIV/0!</v>
      </c>
      <c r="DQ50" s="49" t="e">
        <f>Financials!DO32/Financials!DO35</f>
        <v>#DIV/0!</v>
      </c>
      <c r="DR50" s="49" t="e">
        <f>Financials!DP32/Financials!DP35</f>
        <v>#DIV/0!</v>
      </c>
      <c r="DS50" s="49" t="e">
        <f>Financials!DQ32/Financials!DQ35</f>
        <v>#DIV/0!</v>
      </c>
      <c r="DT50" s="49" t="e">
        <f>Financials!DR32/Financials!DR35</f>
        <v>#DIV/0!</v>
      </c>
      <c r="DU50" s="49" t="e">
        <f>Financials!DS32/Financials!DS35</f>
        <v>#DIV/0!</v>
      </c>
      <c r="DV50" s="49" t="e">
        <f>Financials!DT32/Financials!DT35</f>
        <v>#DIV/0!</v>
      </c>
      <c r="DW50" s="49" t="e">
        <f>Financials!DU32/Financials!DU35</f>
        <v>#DIV/0!</v>
      </c>
      <c r="DX50" s="49" t="e">
        <f>Financials!DV32/Financials!DV35</f>
        <v>#DIV/0!</v>
      </c>
      <c r="DY50" s="49" t="e">
        <f>Financials!DW32/Financials!DW35</f>
        <v>#DIV/0!</v>
      </c>
    </row>
    <row r="51" spans="2:129" x14ac:dyDescent="0.25">
      <c r="B51" s="50"/>
      <c r="C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</row>
  </sheetData>
  <mergeCells count="2">
    <mergeCell ref="F3:J3"/>
    <mergeCell ref="V3:Y3"/>
  </mergeCells>
  <pageMargins left="0.7" right="0.7" top="0.75" bottom="0.75" header="0.3" footer="0.3"/>
  <pageSetup scale="9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Q89"/>
  <sheetViews>
    <sheetView workbookViewId="0">
      <pane xSplit="4" topLeftCell="DK1" activePane="topRight" state="frozen"/>
      <selection pane="topRight" activeCell="DS9" sqref="DS9"/>
    </sheetView>
  </sheetViews>
  <sheetFormatPr defaultColWidth="9.109375" defaultRowHeight="13.2" x14ac:dyDescent="0.25"/>
  <cols>
    <col min="1" max="1" width="9.109375" style="52"/>
    <col min="2" max="2" width="24.88671875" style="52" bestFit="1" customWidth="1"/>
    <col min="3" max="3" width="16" style="52" bestFit="1" customWidth="1"/>
    <col min="4" max="8" width="9.109375" style="52"/>
    <col min="9" max="9" width="5.5546875" style="52" bestFit="1" customWidth="1"/>
    <col min="10" max="13" width="15.5546875" style="52" customWidth="1"/>
    <col min="14" max="35" width="9.109375" style="52"/>
    <col min="36" max="36" width="8.44140625" style="52" bestFit="1" customWidth="1"/>
    <col min="37" max="37" width="14.88671875" style="52" bestFit="1" customWidth="1"/>
    <col min="38" max="52" width="9.109375" style="52"/>
    <col min="53" max="53" width="7.5546875" style="52" bestFit="1" customWidth="1"/>
    <col min="54" max="94" width="9.109375" style="52"/>
    <col min="95" max="95" width="11.44140625" style="52" customWidth="1"/>
    <col min="96" max="107" width="9.109375" style="52"/>
    <col min="108" max="108" width="11.44140625" style="52" customWidth="1"/>
    <col min="109" max="16384" width="9.109375" style="52"/>
  </cols>
  <sheetData>
    <row r="3" spans="1:121" s="1" customFormat="1" x14ac:dyDescent="0.25">
      <c r="A3" s="52"/>
      <c r="B3" s="70" t="s">
        <v>255</v>
      </c>
      <c r="D3" s="3"/>
      <c r="E3" s="59">
        <v>2008</v>
      </c>
      <c r="F3" s="59">
        <v>2009</v>
      </c>
      <c r="G3" s="59">
        <v>2010</v>
      </c>
      <c r="H3" s="59">
        <v>2011</v>
      </c>
      <c r="I3" s="59">
        <v>2012</v>
      </c>
      <c r="J3" s="208">
        <v>41609</v>
      </c>
      <c r="K3" s="59">
        <v>2013</v>
      </c>
      <c r="L3" s="208">
        <v>41640</v>
      </c>
      <c r="M3" s="208">
        <v>41671</v>
      </c>
      <c r="N3" s="120">
        <v>2011</v>
      </c>
      <c r="O3" s="120">
        <v>2012</v>
      </c>
      <c r="P3" s="120">
        <v>2014</v>
      </c>
      <c r="Q3" s="208">
        <v>42005</v>
      </c>
      <c r="R3" s="208">
        <v>42036</v>
      </c>
      <c r="S3" s="208">
        <v>42064</v>
      </c>
      <c r="T3" s="208">
        <v>42095</v>
      </c>
      <c r="U3" s="208">
        <v>42125</v>
      </c>
      <c r="V3" s="208">
        <v>42156</v>
      </c>
      <c r="W3" s="208">
        <v>42186</v>
      </c>
      <c r="X3" s="208">
        <v>42217</v>
      </c>
      <c r="Y3" s="208">
        <v>42248</v>
      </c>
      <c r="Z3" s="208">
        <v>42278</v>
      </c>
      <c r="AA3" s="208">
        <v>42309</v>
      </c>
      <c r="AB3" s="208">
        <v>42339</v>
      </c>
      <c r="AC3" s="120">
        <v>2015</v>
      </c>
      <c r="AD3" s="209" t="s">
        <v>8</v>
      </c>
      <c r="AF3" s="185">
        <v>42416</v>
      </c>
      <c r="AG3" s="185">
        <v>42445</v>
      </c>
      <c r="AH3" s="185">
        <v>42476</v>
      </c>
      <c r="AI3" s="247" t="s">
        <v>13</v>
      </c>
      <c r="AJ3" s="247" t="s">
        <v>14</v>
      </c>
      <c r="AK3" s="179" t="s">
        <v>15</v>
      </c>
      <c r="AL3" s="179" t="s">
        <v>16</v>
      </c>
      <c r="AM3" s="179" t="s">
        <v>17</v>
      </c>
      <c r="AN3" s="179" t="s">
        <v>18</v>
      </c>
      <c r="AO3" s="179" t="s">
        <v>19</v>
      </c>
      <c r="AP3" s="179" t="s">
        <v>20</v>
      </c>
      <c r="AQ3" s="179" t="s">
        <v>138</v>
      </c>
      <c r="AR3" s="476">
        <v>42736</v>
      </c>
      <c r="AS3" s="476">
        <v>42767</v>
      </c>
      <c r="AT3" s="476">
        <v>42795</v>
      </c>
      <c r="AU3" s="476">
        <v>42826</v>
      </c>
      <c r="AV3" s="476">
        <v>42856</v>
      </c>
      <c r="AW3" s="476">
        <v>42887</v>
      </c>
      <c r="AX3" s="476">
        <v>42917</v>
      </c>
      <c r="AY3" s="476">
        <v>42948</v>
      </c>
      <c r="AZ3" s="476">
        <v>42979</v>
      </c>
      <c r="BA3" s="479">
        <v>43390</v>
      </c>
      <c r="BB3" s="479">
        <v>43421</v>
      </c>
      <c r="BC3" s="479">
        <v>43451</v>
      </c>
      <c r="BD3" s="1" t="s">
        <v>140</v>
      </c>
      <c r="BE3" s="476">
        <v>43101</v>
      </c>
      <c r="BF3" s="476">
        <v>43132</v>
      </c>
      <c r="BG3" s="476">
        <v>43160</v>
      </c>
      <c r="BH3" s="476">
        <v>43191</v>
      </c>
      <c r="BI3" s="476">
        <v>43221</v>
      </c>
      <c r="BJ3" s="476">
        <v>43252</v>
      </c>
      <c r="BK3" s="476">
        <v>43282</v>
      </c>
      <c r="BL3" s="476">
        <v>43313</v>
      </c>
      <c r="BM3" s="476">
        <v>43344</v>
      </c>
      <c r="BN3" s="476">
        <v>43374</v>
      </c>
      <c r="BO3" s="476">
        <v>43405</v>
      </c>
      <c r="BP3" s="476">
        <v>43435</v>
      </c>
      <c r="BQ3" s="476">
        <v>43466</v>
      </c>
      <c r="BR3" s="476">
        <v>43497</v>
      </c>
      <c r="BS3" s="476">
        <v>43525</v>
      </c>
      <c r="BT3" s="476">
        <v>43556</v>
      </c>
      <c r="BU3" s="476">
        <v>43586</v>
      </c>
      <c r="BV3" s="476">
        <v>43617</v>
      </c>
      <c r="BW3" s="476">
        <v>43647</v>
      </c>
      <c r="BX3" s="476">
        <v>43678</v>
      </c>
      <c r="BY3" s="476">
        <v>43709</v>
      </c>
      <c r="BZ3" s="476">
        <v>43739</v>
      </c>
      <c r="CA3" s="476">
        <v>43770</v>
      </c>
      <c r="CB3" s="476">
        <v>43800</v>
      </c>
      <c r="CC3" s="476" t="s">
        <v>256</v>
      </c>
      <c r="CD3" s="476">
        <v>43831</v>
      </c>
      <c r="CE3" s="476">
        <v>43862</v>
      </c>
      <c r="CF3" s="476">
        <v>43891</v>
      </c>
      <c r="CG3" s="476">
        <v>43922</v>
      </c>
      <c r="CH3" s="476">
        <v>43952</v>
      </c>
      <c r="CI3" s="476">
        <v>43983</v>
      </c>
      <c r="CJ3" s="476">
        <v>44013</v>
      </c>
      <c r="CK3" s="476">
        <v>44044</v>
      </c>
      <c r="CL3" s="476">
        <v>44075</v>
      </c>
      <c r="CM3" s="476">
        <v>44105</v>
      </c>
      <c r="CN3" s="476">
        <v>44136</v>
      </c>
      <c r="CO3" s="476">
        <v>44166</v>
      </c>
      <c r="CP3" s="476">
        <v>44166</v>
      </c>
      <c r="CQ3" s="649" t="s">
        <v>257</v>
      </c>
      <c r="CR3" s="649">
        <v>44197</v>
      </c>
      <c r="CS3" s="649">
        <v>44228</v>
      </c>
      <c r="CT3" s="649">
        <v>44256</v>
      </c>
      <c r="CU3" s="649">
        <v>44287</v>
      </c>
      <c r="CV3" s="649">
        <v>44317</v>
      </c>
      <c r="CW3" s="649">
        <v>44348</v>
      </c>
      <c r="CX3" s="649">
        <v>44378</v>
      </c>
      <c r="CY3" s="649">
        <v>44409</v>
      </c>
      <c r="CZ3" s="649">
        <v>44440</v>
      </c>
      <c r="DA3" s="649">
        <v>44470</v>
      </c>
      <c r="DB3" s="649">
        <v>44501</v>
      </c>
      <c r="DC3" s="649">
        <v>44531</v>
      </c>
      <c r="DD3" s="649" t="s">
        <v>258</v>
      </c>
      <c r="DE3" s="649">
        <v>44562</v>
      </c>
      <c r="DF3" s="649">
        <v>44593</v>
      </c>
      <c r="DG3" s="649">
        <v>44621</v>
      </c>
      <c r="DH3" s="649">
        <v>44652</v>
      </c>
      <c r="DI3" s="649">
        <v>44682</v>
      </c>
      <c r="DJ3" s="649">
        <v>44713</v>
      </c>
      <c r="DK3" s="649">
        <v>44743</v>
      </c>
      <c r="DL3" s="649">
        <v>44774</v>
      </c>
      <c r="DM3" s="649">
        <v>44805</v>
      </c>
      <c r="DN3" s="649">
        <v>44835</v>
      </c>
      <c r="DO3" s="649">
        <v>44866</v>
      </c>
      <c r="DP3" s="649">
        <v>44896</v>
      </c>
      <c r="DQ3" s="649" t="s">
        <v>259</v>
      </c>
    </row>
    <row r="4" spans="1:121" s="1" customFormat="1" x14ac:dyDescent="0.25">
      <c r="A4" s="702" t="s">
        <v>260</v>
      </c>
      <c r="B4" s="708" t="s">
        <v>261</v>
      </c>
      <c r="C4" s="206" t="s">
        <v>262</v>
      </c>
      <c r="D4" s="106" t="s">
        <v>263</v>
      </c>
      <c r="E4" s="114">
        <f>Financials!C13/1000000</f>
        <v>0.439861</v>
      </c>
      <c r="F4" s="114">
        <f>Financials!D13/1000000</f>
        <v>0.73686099999999999</v>
      </c>
      <c r="G4" s="114">
        <f>Financials!E13/1000000</f>
        <v>8.4537560000000003</v>
      </c>
      <c r="H4" s="114">
        <f>Financials!F13/1000000</f>
        <v>11.449334</v>
      </c>
      <c r="I4" s="114">
        <f>Financials!G13/1000000</f>
        <v>15.452147999999999</v>
      </c>
      <c r="J4" s="114">
        <f>Financials!H13/1000000</f>
        <v>25.27477833</v>
      </c>
      <c r="K4" s="114">
        <f>Financials!I13/1000000</f>
        <v>19.725079000000001</v>
      </c>
      <c r="L4" s="114">
        <f>Financials!J13/1000000</f>
        <v>51.119688510000003</v>
      </c>
      <c r="M4" s="114">
        <f>Financials!K13/1000000</f>
        <v>26.585028480000005</v>
      </c>
      <c r="N4" s="114">
        <f>Financials!F13/1000000</f>
        <v>11.449334</v>
      </c>
      <c r="O4" s="114">
        <f>Financials!G13/1000000</f>
        <v>15.452147999999999</v>
      </c>
      <c r="P4" s="114">
        <f>Financials!V13/1000000</f>
        <v>22.540772</v>
      </c>
      <c r="Q4" s="114">
        <f>Financials!W13/1000000</f>
        <v>32.110396370000004</v>
      </c>
      <c r="R4" s="114">
        <f>Financials!X13/1000000</f>
        <v>33.6975342</v>
      </c>
      <c r="S4" s="114">
        <f>Financials!Y13/1000000</f>
        <v>30.530662490000001</v>
      </c>
      <c r="T4" s="114">
        <f>Financials!Z13/1000000</f>
        <v>33.605968010000005</v>
      </c>
      <c r="U4" s="114">
        <f>Financials!AA13/1000000</f>
        <v>34.320074060000003</v>
      </c>
      <c r="V4" s="114">
        <f>Financials!AB13/1000000</f>
        <v>35.793923230000004</v>
      </c>
      <c r="W4" s="114">
        <f>Financials!AC13/1000000</f>
        <v>33.507873179999997</v>
      </c>
      <c r="X4" s="114">
        <f>Financials!AD13/1000000</f>
        <v>35.443236450000001</v>
      </c>
      <c r="Y4" s="114">
        <f>Financials!AE13/1000000</f>
        <v>34.900999260000006</v>
      </c>
      <c r="Z4" s="114">
        <f>Financials!AF13/1000000</f>
        <v>35.537560409999998</v>
      </c>
      <c r="AA4" s="114">
        <f>Financials!AG13/1000000</f>
        <v>38.132047049999997</v>
      </c>
      <c r="AB4" s="114">
        <f>Financials!AH13/1000000</f>
        <v>38.314826500000002</v>
      </c>
      <c r="AC4" s="114">
        <f>Financials!AI13/1000000</f>
        <v>27.501272</v>
      </c>
      <c r="AD4" s="114">
        <f>Financials!AJ13/1000000</f>
        <v>27.501272</v>
      </c>
      <c r="AE4" s="114">
        <f>Financials!AK13/1000000</f>
        <v>0</v>
      </c>
      <c r="AF4" s="114">
        <f>Financials!AL13/1000000</f>
        <v>41.412198350000004</v>
      </c>
      <c r="AG4" s="114">
        <f>Financials!AM13/1000000</f>
        <v>42.112588180000003</v>
      </c>
      <c r="AH4" s="114">
        <f>Financials!AN13/1000000</f>
        <v>46.319424070000004</v>
      </c>
      <c r="AI4" s="114">
        <f>Financials!AO13/1000000</f>
        <v>34.320074060000003</v>
      </c>
      <c r="AJ4" s="114">
        <f>Financials!AP13/1000000</f>
        <v>57.903915089999998</v>
      </c>
      <c r="AK4" s="114">
        <f>Financials!AQ13/1000000</f>
        <v>62.413287279999992</v>
      </c>
      <c r="AL4" s="114">
        <f>Financials!AR13/1000000</f>
        <v>65.649253569999999</v>
      </c>
      <c r="AM4" s="114">
        <f>Financials!AS13/1000000</f>
        <v>69.668696699999998</v>
      </c>
      <c r="AN4" s="114">
        <f>Financials!AT13/1000000</f>
        <v>0</v>
      </c>
      <c r="AO4" s="114">
        <f>Financials!AU13/1000000</f>
        <v>76.322254709999996</v>
      </c>
      <c r="AP4" s="114">
        <f>Financials!AV13/1000000</f>
        <v>-18.541410110000005</v>
      </c>
      <c r="AQ4" s="114">
        <f>Financials!AW13/1000000</f>
        <v>31.120922</v>
      </c>
      <c r="AR4" s="114">
        <f>Financials!AX13/1000000</f>
        <v>0</v>
      </c>
      <c r="AS4" s="114">
        <f>Financials!AY13/1000000</f>
        <v>0</v>
      </c>
      <c r="AT4" s="114">
        <f>Financials!AZ13/1000000</f>
        <v>-30.132021409999997</v>
      </c>
      <c r="AU4" s="114">
        <f>Financials!BA13/1000000</f>
        <v>-64.361903639999994</v>
      </c>
      <c r="AV4" s="114">
        <f>Financials!BB13/1000000</f>
        <v>35.749276999999999</v>
      </c>
      <c r="AW4" s="114">
        <f>Financials!BC13/1000000</f>
        <v>37.492975100000002</v>
      </c>
      <c r="AX4" s="114">
        <f>Financials!BD13/1000000</f>
        <v>34.126199</v>
      </c>
      <c r="AY4" s="114">
        <f>Financials!BE13/1000000</f>
        <v>38.136474820000004</v>
      </c>
      <c r="AZ4" s="114">
        <f>Financials!BF13/1000000</f>
        <v>40.112710509999999</v>
      </c>
      <c r="BA4" s="114">
        <f>Financials!BG13/1000000</f>
        <v>0</v>
      </c>
      <c r="BB4" s="114">
        <f>Financials!BH13/1000000</f>
        <v>43.364896000000002</v>
      </c>
      <c r="BC4" s="114">
        <f>Financials!BI13/1000000</f>
        <v>45.705763820000001</v>
      </c>
      <c r="BD4" s="114">
        <f>Financials!BJ13/1000000</f>
        <v>37.569426999999997</v>
      </c>
      <c r="BE4" s="114">
        <f>Financials!BK13/1000000</f>
        <v>38.389595829999998</v>
      </c>
      <c r="BF4" s="114">
        <f>Financials!BL13/1000000</f>
        <v>38.545435470000001</v>
      </c>
      <c r="BG4" s="114">
        <f>Financials!BM13/1000000</f>
        <v>40.293571360000001</v>
      </c>
      <c r="BH4" s="114">
        <f>Financials!BN13/1000000</f>
        <v>41.217697000000001</v>
      </c>
      <c r="BI4" s="114">
        <f>Financials!BO13/1000000</f>
        <v>43.713403</v>
      </c>
      <c r="BJ4" s="114">
        <f>Financials!BP13/1000000</f>
        <v>42.995243000000002</v>
      </c>
      <c r="BK4" s="114">
        <f>Financials!BQ13/1000000</f>
        <v>44.089112999999998</v>
      </c>
      <c r="BL4" s="114">
        <f>Financials!BR13/1000000</f>
        <v>44.585870999999997</v>
      </c>
      <c r="BM4" s="114">
        <f>Financials!BS13/1000000</f>
        <v>45.139474999999997</v>
      </c>
      <c r="BN4" s="114">
        <f>Financials!BT13/1000000</f>
        <v>46.354993999999998</v>
      </c>
      <c r="BO4" s="114">
        <f>Financials!BU13/1000000</f>
        <v>47.890929</v>
      </c>
      <c r="BP4" s="114">
        <f>Financials!BV13/1000000</f>
        <v>44.842826459999998</v>
      </c>
      <c r="BQ4" s="114">
        <f>Financials!BW13/1000000</f>
        <v>45.92106004</v>
      </c>
      <c r="BR4" s="114">
        <f>Financials!BX13/1000000</f>
        <v>46.804310000000001</v>
      </c>
      <c r="BS4" s="114">
        <f>Financials!BY13/1000000</f>
        <v>47.249721000000001</v>
      </c>
      <c r="BT4" s="114">
        <f>Financials!BZ13/1000000</f>
        <v>47.883333999999998</v>
      </c>
      <c r="BU4" s="114">
        <f>Financials!CA13/1000000</f>
        <v>48.206600000000002</v>
      </c>
      <c r="BV4" s="114">
        <f>Financials!CB13/1000000</f>
        <v>53.230956999999997</v>
      </c>
      <c r="BW4" s="114">
        <f>Financials!CC13/1000000</f>
        <v>54.493324999999999</v>
      </c>
    </row>
    <row r="5" spans="1:121" s="1" customFormat="1" x14ac:dyDescent="0.25">
      <c r="A5" s="702"/>
      <c r="B5" s="708"/>
      <c r="C5" s="207" t="s">
        <v>264</v>
      </c>
      <c r="D5" s="106" t="s">
        <v>265</v>
      </c>
      <c r="E5" s="119">
        <f>Financials!C13/Financials!C5</f>
        <v>0.12656377233189753</v>
      </c>
      <c r="F5" s="119">
        <f>Financials!D13/Financials!D5</f>
        <v>8.4206459248099025E-2</v>
      </c>
      <c r="G5" s="119">
        <f>Financials!E13/Financials!E5</f>
        <v>0.44457182590140537</v>
      </c>
      <c r="H5" s="119">
        <f>Financials!F13/Financials!F5</f>
        <v>0.3211646731185156</v>
      </c>
      <c r="I5" s="119">
        <f>Financials!G13/Financials!G5</f>
        <v>0.32003711831662252</v>
      </c>
      <c r="J5" s="119">
        <f>Financials!H13/Financials!H5</f>
        <v>0.33539400002244713</v>
      </c>
      <c r="K5" s="119">
        <f>Financials!I13/Financials!I5</f>
        <v>0.27632120546558775</v>
      </c>
      <c r="L5" s="119">
        <f>Financials!J13/Financials!J5</f>
        <v>0.33268802552775761</v>
      </c>
      <c r="M5" s="119">
        <f>Financials!K13/Financials!K5</f>
        <v>0.33348325085980252</v>
      </c>
      <c r="N5" s="119">
        <f>Financials!F13/Financials!F5</f>
        <v>0.3211646731185156</v>
      </c>
      <c r="O5" s="119">
        <f>Financials!G13/Financials!G5</f>
        <v>0.32003711831662252</v>
      </c>
      <c r="P5" s="119">
        <f>Financials!V13/Financials!V5</f>
        <v>0.24691295167324295</v>
      </c>
      <c r="Q5" s="119">
        <f>Financials!W13/Financials!W5</f>
        <v>0.34902504075244495</v>
      </c>
      <c r="R5" s="119">
        <f>Financials!X13/Financials!X5</f>
        <v>0.36460679813219288</v>
      </c>
      <c r="S5" s="119">
        <f>Financials!Y13/Financials!Y5</f>
        <v>0.32774907292746325</v>
      </c>
      <c r="T5" s="119">
        <f>Financials!Z13/Financials!Z5</f>
        <v>0.33591020603751504</v>
      </c>
      <c r="U5" s="119">
        <f>Financials!AA13/Financials!AA5</f>
        <v>0.33053057582914264</v>
      </c>
      <c r="V5" s="119">
        <f>Financials!AB13/Financials!AB5</f>
        <v>0.33370253171467995</v>
      </c>
      <c r="W5" s="119">
        <f>Financials!AC13/Financials!AC5</f>
        <v>0.30459414572008608</v>
      </c>
      <c r="X5" s="119">
        <f>Financials!AD13/Financials!AD5</f>
        <v>0.30830342743349237</v>
      </c>
      <c r="Y5" s="119">
        <f>Financials!AE13/Financials!AE5</f>
        <v>0.29742482301612433</v>
      </c>
      <c r="Z5" s="119">
        <f>Financials!AF13/Financials!AF5</f>
        <v>0.29788656319273349</v>
      </c>
      <c r="AA5" s="119">
        <f>Financials!AG13/Financials!AG5</f>
        <v>0.31032859899326676</v>
      </c>
      <c r="AB5" s="119">
        <f>Financials!AH13/Financials!AH5</f>
        <v>0.31325870798846089</v>
      </c>
      <c r="AC5" s="119">
        <f>Financials!AI13/Financials!AI5</f>
        <v>0.21511220194982136</v>
      </c>
      <c r="AD5" s="119">
        <f>Financials!AJ13/Financials!AJ5</f>
        <v>0.21862799408020933</v>
      </c>
      <c r="AE5" s="119" t="e">
        <f>Financials!AK13/Financials!AK5</f>
        <v>#DIV/0!</v>
      </c>
      <c r="AF5" s="119">
        <f>Financials!AL13/Financials!AL5</f>
        <v>0.32928308064548634</v>
      </c>
      <c r="AG5" s="119">
        <f>Financials!AM13/Financials!AM5</f>
        <v>0.33144673227816424</v>
      </c>
      <c r="AH5" s="119">
        <f>Financials!AN13/Financials!AN5</f>
        <v>0.41847515288763548</v>
      </c>
      <c r="AI5" s="119">
        <f>Financials!AO13/Financials!AO5</f>
        <v>0.31592596521850236</v>
      </c>
      <c r="AJ5" s="119">
        <f>Financials!AP13/Financials!AP5</f>
        <v>0.5221333027921693</v>
      </c>
      <c r="AK5" s="119">
        <f>Financials!AQ13/Financials!AQ5</f>
        <v>0.47868782397327542</v>
      </c>
      <c r="AL5" s="119">
        <f>Financials!AR13/Financials!AR5</f>
        <v>0.49285597779424661</v>
      </c>
      <c r="AM5" s="119">
        <f>Financials!AS13/Financials!AS5</f>
        <v>0.50753669428634751</v>
      </c>
      <c r="AN5" s="119" t="e">
        <f>Financials!AT13/Financials!AT5</f>
        <v>#DIV/0!</v>
      </c>
      <c r="AO5" s="119">
        <f>Financials!AU13/Financials!AU5</f>
        <v>0.51510966192198759</v>
      </c>
      <c r="AP5" s="119">
        <f>Financials!AV13/Financials!AV5</f>
        <v>-0.1214759221495194</v>
      </c>
      <c r="AQ5" s="119">
        <f>Financials!AW13/Financials!AW5</f>
        <v>0.20756443642686087</v>
      </c>
      <c r="AR5" s="119" t="e">
        <f>Financials!AX13/Financials!AX5</f>
        <v>#DIV/0!</v>
      </c>
      <c r="AS5" s="119" t="e">
        <f>Financials!AY13/Financials!AY5</f>
        <v>#DIV/0!</v>
      </c>
      <c r="AT5" s="119">
        <f>Financials!AZ13/Financials!AZ5</f>
        <v>-0.19662940704516313</v>
      </c>
      <c r="AU5" s="119">
        <f>Financials!BA13/Financials!BA5</f>
        <v>-0.19891819985221482</v>
      </c>
      <c r="AV5" s="119">
        <f>Financials!BB13/Financials!BB5</f>
        <v>0.22569922589353261</v>
      </c>
      <c r="AW5" s="119">
        <f>Financials!BC13/Financials!BC5</f>
        <v>0.19942796588522771</v>
      </c>
      <c r="AX5" s="119">
        <f>Financials!BD13/Financials!BD5</f>
        <v>0.20870307452109921</v>
      </c>
      <c r="AY5" s="119">
        <f>Financials!BE13/Financials!BE5</f>
        <v>0.22685943075894247</v>
      </c>
      <c r="AZ5" s="119">
        <f>Financials!BF13/Financials!BF5</f>
        <v>0.23812158562967858</v>
      </c>
      <c r="BA5" s="119" t="e">
        <f>Financials!BG13/Financials!BG5</f>
        <v>#DIV/0!</v>
      </c>
      <c r="BB5" s="119">
        <f>Financials!BH13/Financials!BH5</f>
        <v>0.25337288014542664</v>
      </c>
      <c r="BC5" s="119">
        <f>Financials!BI13/Financials!BI5</f>
        <v>0.26845432681858955</v>
      </c>
      <c r="BD5" s="119">
        <f>Financials!BJ13/Financials!BJ5</f>
        <v>0.22193126158847234</v>
      </c>
      <c r="BE5" s="119">
        <f>Financials!BK13/Financials!BK5</f>
        <v>0.21506153861955415</v>
      </c>
      <c r="BF5" s="119">
        <f>Financials!BL13/Financials!BL5</f>
        <v>0.21444143613568026</v>
      </c>
      <c r="BG5" s="119">
        <f>Financials!BM13/Financials!BM5</f>
        <v>0.22740010980571362</v>
      </c>
      <c r="BH5" s="119">
        <f>Financials!BN13/Financials!BN5</f>
        <v>0.22986074278234303</v>
      </c>
      <c r="BI5" s="119">
        <f>Financials!BO13/Financials!BO5</f>
        <v>0.2444279039919216</v>
      </c>
      <c r="BJ5" s="119">
        <f>Financials!BP13/Financials!BP5</f>
        <v>0.23766141932344181</v>
      </c>
      <c r="BK5" s="119">
        <f>Financials!BQ13/Financials!BQ5</f>
        <v>0.23994820606426351</v>
      </c>
      <c r="BL5" s="119">
        <f>Financials!BR13/Financials!BR5</f>
        <v>0.23669578166985422</v>
      </c>
      <c r="BM5" s="119">
        <f>Financials!BS13/Financials!BS5</f>
        <v>0.23893978337236502</v>
      </c>
      <c r="BN5" s="119">
        <f>Financials!BT13/Financials!BT5</f>
        <v>0.24384309134016727</v>
      </c>
      <c r="BO5" s="119">
        <f>Financials!BU13/Financials!BU5</f>
        <v>0.24033786743579716</v>
      </c>
      <c r="BP5" s="119">
        <f>Financials!BV13/Financials!BV5</f>
        <v>0.22147666799299351</v>
      </c>
      <c r="BQ5" s="119">
        <f>Financials!BW13/Financials!BW5</f>
        <v>0.21544965893781806</v>
      </c>
      <c r="BR5" s="119">
        <f>Financials!BX13/Financials!BX5</f>
        <v>0.22791081436176494</v>
      </c>
      <c r="BS5" s="119">
        <f>Financials!BY13/Financials!BY5</f>
        <v>0.23389081253049138</v>
      </c>
      <c r="BT5" s="119">
        <f>Financials!BZ13/Financials!BZ5</f>
        <v>0.22616226640943207</v>
      </c>
      <c r="BU5" s="119">
        <f>Financials!CA13/Financials!CA5</f>
        <v>0.21168986637554191</v>
      </c>
      <c r="BV5" s="119">
        <f>Financials!CB13/Financials!CB5</f>
        <v>0.23459579402027525</v>
      </c>
      <c r="BW5" s="119">
        <f>Financials!CC13/Financials!CC5</f>
        <v>0.23501409493943531</v>
      </c>
      <c r="BX5" s="119">
        <f>Financials!CD13/Financials!CD5</f>
        <v>0.23865794035287741</v>
      </c>
      <c r="BY5" s="119">
        <f>Financials!CE13/Financials!CE5</f>
        <v>0.24116369011507247</v>
      </c>
      <c r="BZ5" s="119">
        <f>Financials!CF13/Financials!CF5</f>
        <v>0.24034057349541257</v>
      </c>
      <c r="CA5" s="119">
        <f>Financials!CG13/Financials!CG5</f>
        <v>0.23682602101252639</v>
      </c>
      <c r="CB5" s="119">
        <f>Financials!CH13/Financials!CH5</f>
        <v>0.23633798587300647</v>
      </c>
      <c r="CC5" s="119">
        <f>Financials!CI13/Financials!CI5</f>
        <v>0.27149818171251899</v>
      </c>
      <c r="CD5" s="119">
        <f>Financials!CJ13/Financials!CJ5</f>
        <v>0.19840869152713186</v>
      </c>
      <c r="CE5" s="119">
        <f>Financials!CK13/Financials!CK5</f>
        <v>0.1955148821653224</v>
      </c>
      <c r="CF5" s="119">
        <f>Financials!CK13/Financials!CK5</f>
        <v>0.1955148821653224</v>
      </c>
      <c r="CG5" s="119" t="e">
        <f>Financials!CL13/Financials!CL5</f>
        <v>#REF!</v>
      </c>
      <c r="CH5" s="119">
        <f>Financials!CM13/Financials!CM5</f>
        <v>0.2108351696082939</v>
      </c>
      <c r="CI5" s="119">
        <f>Financials!CN13/Financials!CN5</f>
        <v>0.21323149753551024</v>
      </c>
      <c r="CJ5" s="119">
        <f>Financials!CO13/Financials!CO5</f>
        <v>0.22110739838365331</v>
      </c>
      <c r="CK5" s="119">
        <f>Financials!CP13/Financials!CP5</f>
        <v>0.22072466098739299</v>
      </c>
      <c r="CL5" s="119">
        <f>Financials!CQ13/Financials!CQ5</f>
        <v>0.23277241908327254</v>
      </c>
      <c r="CM5" s="119">
        <f>Financials!CR13/Financials!CR5</f>
        <v>0.23844866942961657</v>
      </c>
      <c r="CN5" s="119">
        <f>Financials!CS13/Financials!CS5</f>
        <v>0.243251408519914</v>
      </c>
      <c r="CO5" s="119">
        <f>Financials!CT13/Financials!CT5</f>
        <v>0.23537678278711185</v>
      </c>
      <c r="CP5" s="119">
        <f>Financials!CU13/Financials!CU5</f>
        <v>0.25035782467000489</v>
      </c>
      <c r="CQ5" s="119">
        <f>Financials!CV13/Financials!CV5</f>
        <v>0.25379363165454449</v>
      </c>
      <c r="CR5" s="119">
        <f>Financials!CW13/Financials!CW5</f>
        <v>0.20212751027384063</v>
      </c>
      <c r="CS5" s="119">
        <f>Financials!CX13/Financials!CX5</f>
        <v>0.1997765965979032</v>
      </c>
      <c r="CT5" s="119">
        <f>Financials!CY13/Financials!CY5</f>
        <v>0.20358442221075843</v>
      </c>
      <c r="CU5" s="119">
        <f>Financials!CZ13/Financials!CZ5</f>
        <v>0.21875716944296916</v>
      </c>
      <c r="CV5" s="119">
        <f>Financials!DA13/Financials!DA5</f>
        <v>0.23065783051349417</v>
      </c>
      <c r="CW5" s="119">
        <f>Financials!DB13/Financials!DB5</f>
        <v>0.23628794492687788</v>
      </c>
      <c r="CX5" s="119">
        <f>Financials!DC13/Financials!DC5</f>
        <v>0.23375178910618363</v>
      </c>
      <c r="CY5" s="119">
        <f>Financials!DD13/Financials!DD5</f>
        <v>0.23843120088055741</v>
      </c>
      <c r="CZ5" s="119">
        <f>Financials!DE13/Financials!DE5</f>
        <v>0.24611224381744726</v>
      </c>
      <c r="DA5" s="119">
        <f>Financials!DF13/Financials!DF5</f>
        <v>0.25246816993602655</v>
      </c>
      <c r="DB5" s="119">
        <f>Financials!DG13/Financials!DG5</f>
        <v>0.26115031349934498</v>
      </c>
      <c r="DC5" s="119">
        <f>Financials!DH13/Financials!DH5</f>
        <v>0.26310600720187471</v>
      </c>
      <c r="DD5" s="119">
        <f>Financials!DI13/Financials!DI5</f>
        <v>0.20327645400193259</v>
      </c>
      <c r="DE5" s="119">
        <f>Financials!DJ13/Financials!DJ5</f>
        <v>0.20326826821036997</v>
      </c>
      <c r="DF5" s="119">
        <f>Financials!DK13/Financials!DK5</f>
        <v>0.20043198736703924</v>
      </c>
      <c r="DG5" s="119">
        <f>Financials!DL13/Financials!DL5</f>
        <v>0.2162802435954809</v>
      </c>
      <c r="DH5" s="119">
        <f>Financials!DM13/Financials!DM5</f>
        <v>0.24324663406032626</v>
      </c>
      <c r="DI5" s="119">
        <f>Financials!DN13/Financials!DN5</f>
        <v>0.25081877305959216</v>
      </c>
      <c r="DJ5" s="119">
        <f>Financials!DO13/Financials!DO5</f>
        <v>0.25913806730634698</v>
      </c>
      <c r="DK5" s="119">
        <f>Financials!DP13/Financials!DP5</f>
        <v>0.26158183973451604</v>
      </c>
      <c r="DL5" s="119">
        <f>Financials!DQ13/Financials!DQ5</f>
        <v>0.2674834345445995</v>
      </c>
      <c r="DM5" s="119">
        <f>Financials!DR13/Financials!DR5</f>
        <v>0.27797956157425086</v>
      </c>
      <c r="DN5" s="119">
        <f>Financials!DS13/Financials!DS5</f>
        <v>0.26135788705935964</v>
      </c>
      <c r="DO5" s="119">
        <f>Financials!DT13/Financials!DT5</f>
        <v>0.26182541698554063</v>
      </c>
      <c r="DP5" s="119">
        <f>Financials!DU13/Financials!DU5</f>
        <v>0.26444003859936838</v>
      </c>
      <c r="DQ5" s="119">
        <f>Financials!DW13/Financials!DW5</f>
        <v>0.23491377282475087</v>
      </c>
    </row>
    <row r="6" spans="1:121" s="1" customFormat="1" x14ac:dyDescent="0.25">
      <c r="A6" s="702"/>
      <c r="B6" s="708"/>
      <c r="C6" s="207" t="s">
        <v>266</v>
      </c>
      <c r="D6" s="106" t="s">
        <v>267</v>
      </c>
      <c r="E6" s="119">
        <f>Financials!C14/Financials!C5</f>
        <v>2.3554343228568714E-2</v>
      </c>
      <c r="F6" s="119">
        <f>Financials!D14/Financials!D5</f>
        <v>1.3583109911758524E-2</v>
      </c>
      <c r="G6" s="119">
        <f>Financials!E14/Financials!E5</f>
        <v>5.1734424457183639E-2</v>
      </c>
      <c r="H6" s="119">
        <f>Financials!F14/Financials!F5</f>
        <v>3.5372750394613725E-2</v>
      </c>
      <c r="I6" s="119">
        <f>Financials!G14/Financials!G5</f>
        <v>4.871673428072968E-2</v>
      </c>
      <c r="J6" s="119">
        <f>Financials!H14/Financials!H5</f>
        <v>0.11118268708169732</v>
      </c>
      <c r="K6" s="119">
        <f>Financials!I14/Financials!I5</f>
        <v>5.2482439454974328E-2</v>
      </c>
      <c r="L6" s="119">
        <f>Financials!J14/Financials!J5</f>
        <v>0.11188555849596228</v>
      </c>
      <c r="M6" s="119">
        <f>Financials!K14/Financials!K5</f>
        <v>0.11542779635106899</v>
      </c>
      <c r="N6" s="119">
        <f>Financials!L14/Financials!L5</f>
        <v>7.8631735298770045E-2</v>
      </c>
      <c r="O6" s="119">
        <f>Financials!M14/Financials!M5</f>
        <v>8.2437500460384741E-2</v>
      </c>
      <c r="P6" s="119">
        <f>Financials!N14/Financials!N5</f>
        <v>0.12635361207685877</v>
      </c>
      <c r="Q6" s="119">
        <f>Financials!O14/Financials!O5</f>
        <v>0.12832398600058528</v>
      </c>
      <c r="R6" s="119">
        <f>Financials!P14/Financials!P5</f>
        <v>0.12864633621378022</v>
      </c>
      <c r="S6" s="119">
        <f>Financials!Q14/Financials!Q5</f>
        <v>0.13218322088716553</v>
      </c>
      <c r="T6" s="119">
        <f>Financials!R14/Financials!R5</f>
        <v>0.13845761190796083</v>
      </c>
      <c r="U6" s="119">
        <f>Financials!S14/Financials!S5</f>
        <v>0.13323766068840973</v>
      </c>
      <c r="V6" s="119">
        <f>Financials!T14/Financials!T5</f>
        <v>0.13864761475885198</v>
      </c>
      <c r="W6" s="119">
        <f>Financials!U14/Financials!U5</f>
        <v>9.8669406041086871E-2</v>
      </c>
      <c r="X6" s="119">
        <f>Financials!V14/Financials!V5</f>
        <v>3.9901508109963728E-2</v>
      </c>
      <c r="Y6" s="119">
        <f>Financials!W14/Financials!W5</f>
        <v>0.13023972335091971</v>
      </c>
      <c r="Z6" s="119">
        <f>Financials!X14/Financials!X5</f>
        <v>0.13708904081641984</v>
      </c>
      <c r="AA6" s="119">
        <f>Financials!Y14/Financials!Y5</f>
        <v>9.9001616732844216E-2</v>
      </c>
      <c r="AB6" s="119">
        <f>Financials!Z14/Financials!Z5</f>
        <v>9.8652698805049829E-2</v>
      </c>
      <c r="AC6" s="119">
        <f>Financials!AA14/Financials!AA5</f>
        <v>9.5637340292571538E-2</v>
      </c>
      <c r="AD6" s="119">
        <f>Financials!AB14/Financials!AB5</f>
        <v>9.9780598785093752E-2</v>
      </c>
      <c r="AE6" s="119">
        <f>Financials!AC14/Financials!AC5</f>
        <v>6.7790582109263434E-2</v>
      </c>
      <c r="AF6" s="119">
        <f>Financials!AD14/Financials!AD5</f>
        <v>7.4750671524191042E-2</v>
      </c>
      <c r="AG6" s="119">
        <f>Financials!AE14/Financials!AE5</f>
        <v>6.6439315283936692E-2</v>
      </c>
      <c r="AH6" s="119">
        <f>Financials!AF14/Financials!AF5</f>
        <v>7.704590229758361E-2</v>
      </c>
      <c r="AI6" s="119">
        <f>Financials!AG14/Financials!AG5</f>
        <v>8.6166104804499724E-2</v>
      </c>
      <c r="AJ6" s="119">
        <f>Financials!AH14/Financials!AH5</f>
        <v>8.5088680483812199E-2</v>
      </c>
      <c r="AK6" s="119">
        <f>Financials!AI14/Financials!AI5</f>
        <v>4.4858776923586308E-2</v>
      </c>
      <c r="AL6" s="119">
        <f>Financials!AJ14/Financials!AJ5</f>
        <v>4.5591948419471812E-2</v>
      </c>
      <c r="AM6" s="119" t="e">
        <f>Financials!AK14/Financials!AK5</f>
        <v>#DIV/0!</v>
      </c>
      <c r="AN6" s="119">
        <f>Financials!AL14/Financials!AL5</f>
        <v>4.6651847797824789E-2</v>
      </c>
      <c r="AO6" s="119">
        <f>Financials!AM14/Financials!AM5</f>
        <v>5.3580383059154579E-2</v>
      </c>
      <c r="AP6" s="119">
        <f>Financials!AN14/Financials!AN5</f>
        <v>8.6726024313687936E-2</v>
      </c>
      <c r="AQ6" s="119">
        <f>Financials!AO14/Financials!AO5</f>
        <v>9.1411570524354058E-2</v>
      </c>
      <c r="AR6" s="119">
        <f>Financials!AP14/Financials!AP5</f>
        <v>0.10626834503867624</v>
      </c>
      <c r="AS6" s="119">
        <f>Financials!AQ14/Financials!AQ5</f>
        <v>0.10032320142436026</v>
      </c>
      <c r="AT6" s="119">
        <f>Financials!AR14/Financials!AR5</f>
        <v>8.8289427570892018E-2</v>
      </c>
      <c r="AU6" s="119">
        <f>Financials!AS14/Financials!AS5</f>
        <v>8.6445175527806617E-2</v>
      </c>
      <c r="AV6" s="119" t="e">
        <f>Financials!AT14/Financials!AT5</f>
        <v>#DIV/0!</v>
      </c>
      <c r="AW6" s="119">
        <f>Financials!AU14/Financials!AU5</f>
        <v>0.10365215852279519</v>
      </c>
      <c r="AX6" s="119">
        <f>Financials!AV14/Financials!AV5</f>
        <v>-0.32972759030794468</v>
      </c>
      <c r="AY6" s="119">
        <f>Financials!AW14/Financials!AW5</f>
        <v>5.1708938693051217E-2</v>
      </c>
      <c r="AZ6" s="119" t="e">
        <f>Financials!AX14/Financials!AX5</f>
        <v>#DIV/0!</v>
      </c>
      <c r="BA6" s="119" t="e">
        <f>Financials!AY14/Financials!AY5</f>
        <v>#DIV/0!</v>
      </c>
      <c r="BB6" s="119">
        <f>Financials!AZ14/Financials!AZ5</f>
        <v>1.303139776577977E-2</v>
      </c>
      <c r="BC6" s="119">
        <f>Financials!BA14/Financials!BA5</f>
        <v>1.4652830048192506E-3</v>
      </c>
      <c r="BD6" s="119">
        <f>Financials!BB14/Financials!BB5</f>
        <v>7.2837454213494676E-2</v>
      </c>
      <c r="BE6" s="119">
        <f>Financials!BC14/Financials!BC5</f>
        <v>6.9967343273637655E-2</v>
      </c>
      <c r="BF6" s="119">
        <f>Financials!BD14/Financials!BD5</f>
        <v>5.8967393145566767E-2</v>
      </c>
      <c r="BG6" s="119">
        <f>Financials!BE14/Financials!BE5</f>
        <v>8.0360198702997099E-2</v>
      </c>
      <c r="BH6" s="119">
        <f>Financials!BF14/Financials!BF5</f>
        <v>9.0850084286436497E-2</v>
      </c>
      <c r="BI6" s="119" t="e">
        <f>Financials!BG14/Financials!BG5</f>
        <v>#DIV/0!</v>
      </c>
      <c r="BJ6" s="119">
        <f>Financials!BH14/Financials!BH5</f>
        <v>0.10649877523883507</v>
      </c>
      <c r="BK6" s="119">
        <f>Financials!BI14/Financials!BI5</f>
        <v>0.12011596759167847</v>
      </c>
      <c r="BL6" s="119">
        <f>Financials!BJ14/Financials!BJ5</f>
        <v>7.2741871534290681E-2</v>
      </c>
      <c r="BM6" s="119">
        <f>Financials!BK14/Financials!BK5</f>
        <v>7.3147145832675051E-2</v>
      </c>
      <c r="BN6" s="119">
        <f>Financials!BL14/Financials!BL5</f>
        <v>7.2641353337820236E-2</v>
      </c>
      <c r="BO6" s="119">
        <f>Financials!BM14/Financials!BM5</f>
        <v>8.1271465078631908E-2</v>
      </c>
      <c r="BP6" s="119">
        <f>Financials!BN14/Financials!BN5</f>
        <v>8.4497782651211814E-2</v>
      </c>
      <c r="BQ6" s="119">
        <f>Financials!BO14/Financials!BO5</f>
        <v>9.7340797322813061E-2</v>
      </c>
      <c r="BR6" s="119">
        <f>Financials!BP14/Financials!BP5</f>
        <v>9.1098249626215336E-2</v>
      </c>
      <c r="BS6" s="119">
        <f>Financials!BQ14/Financials!BQ5</f>
        <v>8.9692865613985248E-2</v>
      </c>
      <c r="BT6" s="119">
        <f>Financials!BR14/Financials!BR5</f>
        <v>8.7225891558946708E-2</v>
      </c>
      <c r="BU6" s="119">
        <f>Financials!BS14/Financials!BS5</f>
        <v>8.7598407785009116E-2</v>
      </c>
      <c r="BV6" s="119">
        <f>Financials!BT14/Financials!BT5</f>
        <v>9.2077230522023865E-2</v>
      </c>
      <c r="BW6" s="119">
        <f>Financials!BU14/Financials!BU5</f>
        <v>9.3250222106222594E-2</v>
      </c>
      <c r="BX6" s="119">
        <f>Financials!BV14/Financials!BV5</f>
        <v>7.5367125312599981E-2</v>
      </c>
      <c r="BY6" s="119">
        <f>Financials!BW14/Financials!BW5</f>
        <v>7.6653487851133809E-2</v>
      </c>
      <c r="BZ6" s="119">
        <f>Financials!BX14/Financials!BX5</f>
        <v>8.2994826043903888E-2</v>
      </c>
      <c r="CA6" s="119">
        <f>Financials!BY14/Financials!BY5</f>
        <v>8.5810689747435442E-2</v>
      </c>
      <c r="CB6" s="119">
        <f>Financials!BZ14/Financials!BZ5</f>
        <v>8.1877249435808597E-2</v>
      </c>
      <c r="CC6" s="119">
        <f>Financials!CA14/Financials!CA5</f>
        <v>7.7073921953263541E-2</v>
      </c>
      <c r="CD6" s="119">
        <f>Financials!CB14/Financials!CB5</f>
        <v>9.8760642962140543E-2</v>
      </c>
      <c r="CE6" s="119">
        <f>Financials!CC14/Financials!CC5</f>
        <v>0.10155567681564007</v>
      </c>
      <c r="CF6" s="119">
        <f>Financials!CD14/Financials!CD5</f>
        <v>0.10717588667884644</v>
      </c>
      <c r="CG6" s="119">
        <f>Financials!CE14/Financials!CE5</f>
        <v>0.1115946715716806</v>
      </c>
      <c r="CH6" s="119">
        <f>Financials!CF14/Financials!CF5</f>
        <v>0.11471237373897025</v>
      </c>
      <c r="CI6" s="119">
        <f>Financials!CG14/Financials!CG5</f>
        <v>0.11636606888736155</v>
      </c>
      <c r="CJ6" s="119">
        <f>Financials!CH14/Financials!CH5</f>
        <v>0.11587029345315471</v>
      </c>
      <c r="CK6" s="119">
        <f>Financials!CI14/Financials!CI5</f>
        <v>0.14407066253661313</v>
      </c>
      <c r="CL6" s="119">
        <f>Financials!CJ14/Financials!CJ5</f>
        <v>7.1928289352985356E-2</v>
      </c>
      <c r="CM6" s="119">
        <f>Financials!CK14/Financials!CK5</f>
        <v>7.5399875408158484E-2</v>
      </c>
      <c r="CN6" s="119" t="e">
        <f>Financials!CL14/Financials!CL5</f>
        <v>#REF!</v>
      </c>
      <c r="CO6" s="119">
        <f>Financials!CM14/Financials!CM5</f>
        <v>8.8068990332339142E-2</v>
      </c>
      <c r="CP6" s="119">
        <f>Financials!CN14/Financials!CN5</f>
        <v>9.2217213083273714E-2</v>
      </c>
      <c r="CQ6" s="119">
        <f>Financials!CO14/Financials!CO5</f>
        <v>0.10037637453326358</v>
      </c>
      <c r="CR6" s="119">
        <f>Financials!CP14/Financials!CP5</f>
        <v>0.10404785585181309</v>
      </c>
      <c r="CS6" s="119">
        <f>Financials!CQ14/Financials!CQ5</f>
        <v>0.11457936717093092</v>
      </c>
      <c r="CT6" s="119">
        <f>Financials!CR14/Financials!CR5</f>
        <v>0.12220217413504759</v>
      </c>
      <c r="CU6" s="119">
        <f>Financials!CS14/Financials!CS5</f>
        <v>0.12807576440931845</v>
      </c>
      <c r="CV6" s="119">
        <f>Financials!CT14/Financials!CT5</f>
        <v>0.12186274397934208</v>
      </c>
      <c r="CW6" s="119">
        <f>Financials!CU14/Financials!CU5</f>
        <v>0.13470174990517472</v>
      </c>
      <c r="CX6" s="119">
        <f>Financials!CV14/Financials!CV5</f>
        <v>0.13387780384763989</v>
      </c>
      <c r="CY6" s="119">
        <f>Financials!CW14/Financials!CW5</f>
        <v>8.2137489989557846E-2</v>
      </c>
      <c r="CZ6" s="119">
        <f>Financials!CX14/Financials!CX5</f>
        <v>8.5590391293354579E-2</v>
      </c>
      <c r="DA6" s="119">
        <f>Financials!CY14/Financials!CY5</f>
        <v>9.1723378348542189E-2</v>
      </c>
      <c r="DB6" s="119">
        <f>Financials!CZ14/Financials!CZ5</f>
        <v>0.10116225207801781</v>
      </c>
      <c r="DC6" s="119">
        <f>Financials!DA14/Financials!DA5</f>
        <v>0.11309733047040894</v>
      </c>
      <c r="DD6" s="119">
        <f>Financials!DB14/Financials!DB5</f>
        <v>0.1196250875260412</v>
      </c>
      <c r="DE6" s="119">
        <f>Financials!DC14/Financials!DC5</f>
        <v>0.12071710512843643</v>
      </c>
      <c r="DF6" s="119">
        <f>Financials!DD14/Financials!DD5</f>
        <v>0.12652553829015439</v>
      </c>
      <c r="DG6" s="119">
        <f>Financials!DE14/Financials!DE5</f>
        <v>0.13544420836574489</v>
      </c>
      <c r="DH6" s="119">
        <f>Financials!DF14/Financials!DF5</f>
        <v>0.14320034970731285</v>
      </c>
      <c r="DI6" s="119">
        <f>Financials!DG14/Financials!DG5</f>
        <v>0.14852538345915955</v>
      </c>
      <c r="DJ6" s="119">
        <f>Financials!DH14/Financials!DH5</f>
        <v>0.15232036359037218</v>
      </c>
      <c r="DK6" s="119">
        <f>Financials!DI14/Financials!DI5</f>
        <v>8.7806442324044193E-2</v>
      </c>
      <c r="DL6" s="119">
        <f>Financials!DJ14/Financials!DJ5</f>
        <v>8.853777367544409E-2</v>
      </c>
      <c r="DM6" s="119">
        <f>Financials!DK14/Financials!DK5</f>
        <v>8.6234088648221005E-2</v>
      </c>
      <c r="DN6" s="119">
        <f>Financials!DL14/Financials!DL5</f>
        <v>0.10275558875182543</v>
      </c>
      <c r="DO6" s="119">
        <f>Financials!DM14/Financials!DM5</f>
        <v>0.11531344191868592</v>
      </c>
      <c r="DP6" s="119">
        <f>Financials!DN14/Financials!DN5</f>
        <v>0.12166111108629353</v>
      </c>
      <c r="DQ6" s="119">
        <f>Financials!DP14/Financials!DP5</f>
        <v>0.13163115007271614</v>
      </c>
    </row>
    <row r="7" spans="1:121" s="1" customFormat="1" x14ac:dyDescent="0.25">
      <c r="A7" s="702"/>
      <c r="B7" s="708"/>
      <c r="C7" s="207" t="s">
        <v>268</v>
      </c>
      <c r="D7" s="106" t="s">
        <v>267</v>
      </c>
      <c r="E7" s="119">
        <f>Financials!C13/Financials!C6</f>
        <v>0.19297667578623362</v>
      </c>
      <c r="F7" s="119">
        <f>Financials!D13/Financials!D6</f>
        <v>0.12445286146948961</v>
      </c>
      <c r="G7" s="119">
        <f>Financials!E13/Financials!E6</f>
        <v>1.0154600873268029</v>
      </c>
      <c r="H7" s="119">
        <f>Financials!F13/Financials!F6</f>
        <v>0.66847291353672755</v>
      </c>
      <c r="I7" s="119">
        <f>Financials!G13/Financials!G6</f>
        <v>0.52569303501843467</v>
      </c>
      <c r="J7" s="119">
        <f>Financials!H13/Financials!H6</f>
        <v>0.54885720575733521</v>
      </c>
      <c r="K7" s="119">
        <f>Financials!I13/Financials!I6</f>
        <v>0.45090247225463614</v>
      </c>
      <c r="L7" s="119">
        <f>Financials!J13/Financials!J6</f>
        <v>0.54179921962408695</v>
      </c>
      <c r="M7" s="119">
        <f>Financials!K13/Financials!K6</f>
        <v>0.54238792367924471</v>
      </c>
      <c r="N7" s="119">
        <f>Financials!F13/Financials!F6</f>
        <v>0.66847291353672755</v>
      </c>
      <c r="O7" s="119">
        <f>Financials!G13/Financials!G6</f>
        <v>0.52569303501843467</v>
      </c>
      <c r="P7" s="119">
        <f>Financials!V13/Financials!V6</f>
        <v>0.36281134654107045</v>
      </c>
      <c r="Q7" s="119">
        <f>Financials!W13/Financials!W6</f>
        <v>0.50539575465298858</v>
      </c>
      <c r="R7" s="119">
        <f>Financials!X13/Financials!X6</f>
        <v>0.54147932759000639</v>
      </c>
      <c r="S7" s="119">
        <f>Financials!Y13/Financials!Y6</f>
        <v>0.46053625406479287</v>
      </c>
      <c r="T7" s="119">
        <f>Financials!Z13/Financials!Z6</f>
        <v>0.4896926851942135</v>
      </c>
      <c r="U7" s="119">
        <f>Financials!AA13/Financials!AA6</f>
        <v>0.47953692568201517</v>
      </c>
      <c r="V7" s="119">
        <f>Financials!AB13/Financials!AB6</f>
        <v>0.48659463549166415</v>
      </c>
      <c r="W7" s="119">
        <f>Financials!AC13/Financials!AC6</f>
        <v>0.45565376168739186</v>
      </c>
      <c r="X7" s="119">
        <f>Financials!AD13/Financials!AD6</f>
        <v>0.46359256772427643</v>
      </c>
      <c r="Y7" s="119">
        <f>Financials!AE13/Financials!AE6</f>
        <v>0.44036875933839731</v>
      </c>
      <c r="Z7" s="119">
        <f>Financials!AF13/Financials!AF6</f>
        <v>0.43530370304586619</v>
      </c>
      <c r="AA7" s="119">
        <f>Financials!AG13/Financials!AG6</f>
        <v>0.45609121369032368</v>
      </c>
      <c r="AB7" s="119">
        <f>Financials!AH13/Financials!AH6</f>
        <v>0.45887154250300666</v>
      </c>
      <c r="AC7" s="119">
        <f>Financials!AI13/Financials!AI6</f>
        <v>0.29315015458425131</v>
      </c>
      <c r="AD7" s="119">
        <f>Financials!AJ13/Financials!AJ6</f>
        <v>0.2997158879290977</v>
      </c>
      <c r="AE7" s="119" t="e">
        <f>Financials!AK13/Financials!AK6</f>
        <v>#DIV/0!</v>
      </c>
      <c r="AF7" s="119">
        <f>Financials!AL13/Financials!AL6</f>
        <v>0.47056445398431745</v>
      </c>
      <c r="AG7" s="119">
        <f>Financials!AM13/Financials!AM6</f>
        <v>0.47852294377866855</v>
      </c>
      <c r="AH7" s="119">
        <f>Financials!AN13/Financials!AN6</f>
        <v>0.52624604858563406</v>
      </c>
      <c r="AI7" s="119">
        <f>Financials!AO13/Financials!AO6</f>
        <v>0.47953692568201517</v>
      </c>
      <c r="AJ7" s="119">
        <f>Financials!AP13/Financials!AP6</f>
        <v>0.65776157668158408</v>
      </c>
      <c r="AK7" s="119">
        <f>Financials!AQ13/Financials!AQ6</f>
        <v>0.70982388494772686</v>
      </c>
      <c r="AL7" s="119">
        <f>Financials!AR13/Financials!AR6</f>
        <v>0.74655847886397952</v>
      </c>
      <c r="AM7" s="119">
        <f>Financials!AS13/Financials!AS6</f>
        <v>0.79215018269289139</v>
      </c>
      <c r="AN7" s="119" t="e">
        <f>Financials!AT13/Financials!AT6</f>
        <v>#DIV/0!</v>
      </c>
      <c r="AO7" s="119">
        <f>Financials!AU13/Financials!AU6</f>
        <v>0.86766465263984793</v>
      </c>
      <c r="AP7" s="119">
        <f>Financials!AV13/Financials!AV6</f>
        <v>-0.17204695143693963</v>
      </c>
      <c r="AQ7" s="119">
        <f>Financials!AW13/Financials!AW6</f>
        <v>0.27736840264107143</v>
      </c>
      <c r="AR7" s="119" t="e">
        <f>Financials!AX13/Financials!AX6</f>
        <v>#DIV/0!</v>
      </c>
      <c r="AS7" s="119" t="e">
        <f>Financials!AY13/Financials!AY6</f>
        <v>#DIV/0!</v>
      </c>
      <c r="AT7" s="119">
        <f>Financials!AZ13/Financials!AZ6</f>
        <v>0.26407699309197519</v>
      </c>
      <c r="AU7" s="119">
        <f>Financials!BA13/Financials!BA6</f>
        <v>0.26252557805563065</v>
      </c>
      <c r="AV7" s="119">
        <f>Financials!BB13/Financials!BB6</f>
        <v>0.28198923554785321</v>
      </c>
      <c r="AW7" s="119">
        <f>Financials!BC13/Financials!BC6</f>
        <v>0.31232722577014121</v>
      </c>
      <c r="AX7" s="119">
        <f>Financials!BD13/Financials!BD6</f>
        <v>0.2723998484527933</v>
      </c>
      <c r="AY7" s="119">
        <f>Financials!BE13/Financials!BE6</f>
        <v>0.29323227426889731</v>
      </c>
      <c r="AZ7" s="119">
        <f>Financials!BF13/Financials!BF6</f>
        <v>0.31233658415221921</v>
      </c>
      <c r="BA7" s="119" t="e">
        <f>Financials!BG13/Financials!BG6</f>
        <v>#DIV/0!</v>
      </c>
      <c r="BB7" s="119">
        <f>Financials!BH13/Financials!BH6</f>
        <v>0.33912894885093958</v>
      </c>
      <c r="BC7" s="119">
        <f>Financials!BI13/Financials!BI6</f>
        <v>0.36731015514985155</v>
      </c>
      <c r="BD7" s="119">
        <f>Financials!BJ13/Financials!BJ6</f>
        <v>0.30987048112065957</v>
      </c>
      <c r="BE7" s="119">
        <f>Financials!BK13/Financials!BK6</f>
        <v>0.2952938686832417</v>
      </c>
      <c r="BF7" s="119">
        <f>Financials!BL13/Financials!BL6</f>
        <v>0.28847632923550598</v>
      </c>
      <c r="BG7" s="119">
        <f>Financials!BM13/Financials!BM6</f>
        <v>0.29433101491708619</v>
      </c>
      <c r="BH7" s="119">
        <f>Financials!BN13/Financials!BN6</f>
        <v>0.29846646645800023</v>
      </c>
      <c r="BI7" s="119">
        <f>Financials!BO13/Financials!BO6</f>
        <v>0.32350043799037842</v>
      </c>
      <c r="BJ7" s="119">
        <f>Financials!BP13/Financials!BP6</f>
        <v>0.31175310465400125</v>
      </c>
      <c r="BK7" s="119">
        <f>Financials!BQ13/Financials!BQ6</f>
        <v>0.31569980885348914</v>
      </c>
      <c r="BL7" s="119">
        <f>Financials!BR13/Financials!BR6</f>
        <v>0.31009363761629066</v>
      </c>
      <c r="BM7" s="119">
        <f>Financials!BS13/Financials!BS6</f>
        <v>0.31395647565332069</v>
      </c>
      <c r="BN7" s="119">
        <f>Financials!BT13/Financials!BT6</f>
        <v>0.3224768411788238</v>
      </c>
      <c r="BO7" s="119">
        <f>Financials!BU13/Financials!BU6</f>
        <v>0.32830319616670506</v>
      </c>
      <c r="BP7" s="119">
        <f>Financials!BV13/Financials!BV6</f>
        <v>0.32435117405988356</v>
      </c>
      <c r="BQ7" s="119">
        <f>Financials!BW13/Financials!BW6</f>
        <v>0.33215011199138006</v>
      </c>
      <c r="BR7" s="119">
        <f>Financials!BX13/Financials!BX6</f>
        <v>0.30548950642271705</v>
      </c>
      <c r="BS7" s="119">
        <f>Financials!BY13/Financials!BY6</f>
        <v>0.32010186114621453</v>
      </c>
      <c r="BT7" s="119">
        <f>Financials!BZ13/Financials!BZ6</f>
        <v>0.30562701018503857</v>
      </c>
      <c r="BU7" s="119">
        <f>Financials!CA13/Financials!CA6</f>
        <v>0.31070544436677372</v>
      </c>
      <c r="BV7" s="119">
        <f>Financials!CB13/Financials!CB6</f>
        <v>0.31814102858757431</v>
      </c>
      <c r="BW7" s="119">
        <f>Financials!CC13/Financials!CC6</f>
        <v>0.31834527969550264</v>
      </c>
      <c r="BX7" s="119">
        <f>Financials!CD13/Financials!CD6</f>
        <v>0.32439134207017639</v>
      </c>
      <c r="BY7" s="119">
        <f>Financials!CE13/Financials!CE6</f>
        <v>0.32833012609354489</v>
      </c>
      <c r="BZ7" s="119">
        <f>Financials!CF13/Financials!CF6</f>
        <v>0.32613498875134089</v>
      </c>
      <c r="CA7" s="119">
        <f>Financials!CG13/Financials!CG6</f>
        <v>0.33645946644503105</v>
      </c>
      <c r="CB7" s="119">
        <f>Financials!CH13/Financials!CH6</f>
        <v>0.33484948735930892</v>
      </c>
      <c r="CC7" s="119">
        <f>Financials!CI13/Financials!CI6</f>
        <v>0.9513183494646491</v>
      </c>
      <c r="CD7" s="119">
        <f>Financials!CJ13/Financials!CJ6</f>
        <v>0.28609719444740056</v>
      </c>
      <c r="CE7" s="119">
        <f>Financials!CK13/Financials!CK6</f>
        <v>0.27715423470488243</v>
      </c>
      <c r="CF7" s="119" t="e">
        <f>Financials!CL13/Financials!CL6</f>
        <v>#REF!</v>
      </c>
      <c r="CG7" s="119">
        <f>Financials!CM13/Financials!CM6</f>
        <v>0.28655892166563129</v>
      </c>
      <c r="CH7" s="119">
        <f>Financials!CM13/Financials!CM6</f>
        <v>0.28655892166563129</v>
      </c>
      <c r="CI7" s="119">
        <f>Financials!CN13/Financials!CN6</f>
        <v>0.28883963163091897</v>
      </c>
      <c r="CJ7" s="119">
        <f>Financials!CO13/Financials!CO6</f>
        <v>0.30150871230551268</v>
      </c>
      <c r="CK7" s="119">
        <f>Financials!CP13/Financials!CP6</f>
        <v>0.29954910406281721</v>
      </c>
      <c r="CL7" s="119">
        <f>Financials!CQ13/Financials!CQ6</f>
        <v>0.32007351527725164</v>
      </c>
      <c r="CM7" s="119">
        <f>Financials!CR13/Financials!CR6</f>
        <v>0.32946010483123767</v>
      </c>
      <c r="CN7" s="119">
        <f>Financials!CS13/Financials!CS6</f>
        <v>0.33731792544550765</v>
      </c>
      <c r="CO7" s="119">
        <f>Financials!CT13/Financials!CT6</f>
        <v>0.32733759635333359</v>
      </c>
      <c r="CP7" s="119">
        <f>Financials!CU13/Financials!CU6</f>
        <v>0.34856888409098757</v>
      </c>
      <c r="CQ7" s="119">
        <f>Financials!CV13/Financials!CV6</f>
        <v>0.35725337884256442</v>
      </c>
      <c r="CR7" s="119">
        <f>Financials!CW13/Financials!CW6</f>
        <v>0.28434947977941838</v>
      </c>
      <c r="CS7" s="119">
        <f>Financials!CX13/Financials!CX6</f>
        <v>0.27624218961919306</v>
      </c>
      <c r="CT7" s="119">
        <f>Financials!CY13/Financials!CY6</f>
        <v>0.28200037904106073</v>
      </c>
      <c r="CU7" s="119">
        <f>Financials!CZ13/Financials!CZ6</f>
        <v>0.29027787302950736</v>
      </c>
      <c r="CV7" s="119">
        <f>Financials!DA13/Financials!DA6</f>
        <v>0.30823699184192699</v>
      </c>
      <c r="CW7" s="119">
        <f>Financials!DB13/Financials!DB6</f>
        <v>0.31661724221483045</v>
      </c>
      <c r="CX7" s="119">
        <f>Financials!DC13/Financials!DC6</f>
        <v>0.32271802804133604</v>
      </c>
      <c r="CY7" s="119">
        <f>Financials!DD13/Financials!DD6</f>
        <v>0.32834769919352552</v>
      </c>
      <c r="CZ7" s="119">
        <f>Financials!DE13/Financials!DE6</f>
        <v>0.3440365986819261</v>
      </c>
      <c r="DA7" s="119">
        <f>Financials!DF13/Financials!DF6</f>
        <v>0.34929177742964707</v>
      </c>
      <c r="DB7" s="119">
        <f>Financials!DG13/Financials!DG6</f>
        <v>0.36113512013917853</v>
      </c>
      <c r="DC7" s="119">
        <f>Financials!DH13/Financials!DH6</f>
        <v>0.36419376864629072</v>
      </c>
      <c r="DD7" s="119">
        <f>Financials!DI13/Financials!DI6</f>
        <v>0.28982551122448236</v>
      </c>
      <c r="DE7" s="119">
        <f>Financials!DJ13/Financials!DJ6</f>
        <v>0.29091755475690895</v>
      </c>
      <c r="DF7" s="119">
        <f>Financials!DK13/Financials!DK6</f>
        <v>0.28366527096045624</v>
      </c>
      <c r="DG7" s="119">
        <f>Financials!DL13/Financials!DL6</f>
        <v>0.31256627170634055</v>
      </c>
      <c r="DH7" s="119">
        <f>Financials!DM13/Financials!DM6</f>
        <v>0.33362342677241724</v>
      </c>
      <c r="DI7" s="119">
        <f>Financials!DN13/Financials!DN6</f>
        <v>0.34557853777994746</v>
      </c>
      <c r="DJ7" s="119">
        <f>Financials!DO13/Financials!DO6</f>
        <v>0.36195078161906402</v>
      </c>
      <c r="DK7" s="119">
        <f>Financials!DP13/Financials!DP6</f>
        <v>0.36573939902986907</v>
      </c>
      <c r="DL7" s="119">
        <f>Financials!DQ13/Financials!DQ6</f>
        <v>0.37623536255570733</v>
      </c>
      <c r="DM7" s="119">
        <f>Financials!DR13/Financials!DR6</f>
        <v>0.3966326140718503</v>
      </c>
      <c r="DN7" s="119">
        <f>Financials!DS13/Financials!DS6</f>
        <v>0.37520701547513668</v>
      </c>
      <c r="DO7" s="119">
        <f>Financials!DT13/Financials!DT6</f>
        <v>0.37451699410241013</v>
      </c>
      <c r="DP7" s="119">
        <f>Financials!DU13/Financials!DU6</f>
        <v>0.37917102929633134</v>
      </c>
      <c r="DQ7" s="119">
        <f>Financials!DW13/Financials!DW6</f>
        <v>0.34187356095128896</v>
      </c>
    </row>
    <row r="8" spans="1:121" s="1" customFormat="1" x14ac:dyDescent="0.25">
      <c r="A8" s="702"/>
      <c r="B8" s="708"/>
      <c r="C8" s="207" t="s">
        <v>269</v>
      </c>
      <c r="D8" s="106"/>
      <c r="E8" s="119">
        <f>(Financials!C13-Financials!C33)/Financials!C5</f>
        <v>0.12656377233189753</v>
      </c>
      <c r="F8" s="119">
        <f>(Financials!D13-Financials!D33)/Financials!D5</f>
        <v>8.4206459248099025E-2</v>
      </c>
      <c r="G8" s="119">
        <f>(Financials!E13-Financials!E33)/Financials!E5</f>
        <v>0.44457182590140537</v>
      </c>
      <c r="H8" s="119">
        <f>(Financials!F13-Financials!F33)/Financials!F5</f>
        <v>0.3211646731185156</v>
      </c>
      <c r="I8" s="119">
        <f>(Financials!G13-Financials!G33)/Financials!G5</f>
        <v>0.32003711831662252</v>
      </c>
      <c r="J8" s="119">
        <f>(Financials!H13-Financials!H33)/Financials!H5</f>
        <v>0.29465559273272779</v>
      </c>
      <c r="K8" s="119">
        <f>(Financials!I13-Financials!I33)/Financials!I5</f>
        <v>0.23331495542014727</v>
      </c>
      <c r="L8" s="119">
        <f>(Financials!J13-Financials!J33)/Financials!J5</f>
        <v>0.33268801413872018</v>
      </c>
      <c r="M8" s="119">
        <f>(Financials!K13-Financials!K33)/Financials!K5</f>
        <v>0.31503606826477804</v>
      </c>
      <c r="N8" s="119">
        <f>(Financials!F13-Financials!F33)/Financials!F5</f>
        <v>0.3211646731185156</v>
      </c>
      <c r="O8" s="119">
        <f>(Financials!G13-Financials!G33)/Financials!G5</f>
        <v>0.32003711831662252</v>
      </c>
      <c r="P8" s="119">
        <f>(Financials!V13-Financials!V33)/Financials!V5</f>
        <v>0.2469129325036393</v>
      </c>
      <c r="Q8" s="119">
        <f>(Financials!W13-Financials!W33)/Financials!W5</f>
        <v>0.20180910731975207</v>
      </c>
      <c r="R8" s="119">
        <f>(Financials!X13-Financials!X33)/Financials!X5</f>
        <v>0.36460679813219288</v>
      </c>
      <c r="S8" s="119">
        <f>(Financials!Y13-Financials!Y33)/Financials!Y5</f>
        <v>0.32774907292746325</v>
      </c>
      <c r="T8" s="119">
        <f>(Financials!Z13-Financials!Z33)/Financials!Z5</f>
        <v>0.33591020603751504</v>
      </c>
      <c r="U8" s="119">
        <f>(Financials!AA13-Financials!AA33)/Financials!AA5</f>
        <v>0.33053057582914264</v>
      </c>
      <c r="V8" s="119">
        <f>(Financials!AB13-Financials!AB33)/Financials!AB5</f>
        <v>0.33370253171467995</v>
      </c>
      <c r="W8" s="119">
        <f>(Financials!AC13-Financials!AC33)/Financials!AC5</f>
        <v>0.30459414572008608</v>
      </c>
      <c r="X8" s="119">
        <f>(Financials!AD13-Financials!AD33)/Financials!AD5</f>
        <v>0.30830342743349237</v>
      </c>
      <c r="Y8" s="119">
        <f>(Financials!AE13-Financials!AE33)/Financials!AE5</f>
        <v>0.29742482301612433</v>
      </c>
      <c r="Z8" s="119">
        <f>(Financials!AF13-Financials!AF33)/Financials!AF5</f>
        <v>0.29788656319273349</v>
      </c>
      <c r="AA8" s="119">
        <f>(Financials!AG13-Financials!AG33)/Financials!AG5</f>
        <v>0.31032859899326676</v>
      </c>
      <c r="AB8" s="119">
        <f>(Financials!AH13-Financials!AH33)/Financials!AH5</f>
        <v>0.31325870798846089</v>
      </c>
      <c r="AC8" s="119">
        <f>(Financials!AI13-Financials!AI33)/Financials!AI5</f>
        <v>0.21511220194982136</v>
      </c>
      <c r="AD8" s="119">
        <f>(Financials!AJ13-Financials!AJ33)/Financials!AJ5</f>
        <v>0.21862799408020933</v>
      </c>
      <c r="AE8" s="119" t="e">
        <f>(Financials!AK13-Financials!AK33)/Financials!AK5</f>
        <v>#DIV/0!</v>
      </c>
      <c r="AF8" s="119">
        <f>(Financials!AL13-Financials!AL33)/Financials!AL5</f>
        <v>0.32928308064548634</v>
      </c>
      <c r="AG8" s="119">
        <f>(Financials!AM13-Financials!AM33)/Financials!AM5</f>
        <v>0.33144673227816424</v>
      </c>
      <c r="AH8" s="119">
        <f>(Financials!AN13-Financials!AN33)/Financials!AN5</f>
        <v>0.41847515288763548</v>
      </c>
      <c r="AI8" s="119">
        <f>(Financials!AO13-Financials!AO33)/Financials!AO5</f>
        <v>0.31592596521850236</v>
      </c>
      <c r="AJ8" s="119">
        <f>(Financials!AP13-Financials!AP33)/Financials!AP5</f>
        <v>0.5221333027921693</v>
      </c>
      <c r="AK8" s="119">
        <f>(Financials!AQ13-Financials!AQ33)/Financials!AQ5</f>
        <v>0.47868782397327542</v>
      </c>
      <c r="AL8" s="119">
        <f>(Financials!AR13-Financials!AR33)/Financials!AR5</f>
        <v>0.49285597779424661</v>
      </c>
      <c r="AM8" s="119">
        <f>(Financials!AS13-Financials!AS33)/Financials!AS5</f>
        <v>0.50753669428634751</v>
      </c>
      <c r="AN8" s="119" t="e">
        <f>(Financials!AT13-Financials!AT33)/Financials!AT5</f>
        <v>#DIV/0!</v>
      </c>
      <c r="AO8" s="119">
        <f>(Financials!AU13-Financials!AU33)/Financials!AU5</f>
        <v>0.51510966192198759</v>
      </c>
      <c r="AP8" s="119">
        <f>(Financials!AV13-Financials!AV33)/Financials!AV5</f>
        <v>-0.1214759221495194</v>
      </c>
      <c r="AQ8" s="119">
        <f>(Financials!AW13-Financials!AW33)/Financials!AW5</f>
        <v>0.20756443642686087</v>
      </c>
      <c r="AR8" s="119" t="e">
        <f>(Financials!AX13-Financials!AX33)/Financials!AX5</f>
        <v>#DIV/0!</v>
      </c>
      <c r="AS8" s="119" t="e">
        <f>(Financials!AY13-Financials!AY33)/Financials!AY5</f>
        <v>#DIV/0!</v>
      </c>
      <c r="AT8" s="119">
        <f>(Financials!AZ13-Financials!AZ33)/Financials!AZ5</f>
        <v>-0.19662940704516313</v>
      </c>
      <c r="AU8" s="119">
        <f>(Financials!BA13-Financials!BA33)/Financials!BA5</f>
        <v>-0.19891819985221482</v>
      </c>
      <c r="AV8" s="119">
        <f>(Financials!BB13-Financials!BB33)/Financials!BB5</f>
        <v>0.22569922589353261</v>
      </c>
      <c r="AW8" s="119">
        <f>(Financials!BC13-Financials!BC33)/Financials!BC5</f>
        <v>0.19942796588522771</v>
      </c>
      <c r="AX8" s="119">
        <f>(Financials!BD13-Financials!BD33)/Financials!BD5</f>
        <v>0.20870307452109921</v>
      </c>
      <c r="AY8" s="119">
        <f>(Financials!BE13-Financials!BE33)/Financials!BE5</f>
        <v>0.22685943075894247</v>
      </c>
      <c r="AZ8" s="119">
        <f>(Financials!BF13-Financials!BF33)/Financials!BF5</f>
        <v>0.23812158562967858</v>
      </c>
      <c r="BA8" s="119" t="e">
        <f>(Financials!BG13-Financials!BG33)/Financials!BG5</f>
        <v>#DIV/0!</v>
      </c>
      <c r="BB8" s="119">
        <f>(Financials!BH13-Financials!BH33)/Financials!BH5</f>
        <v>0.25337288014542664</v>
      </c>
      <c r="BC8" s="119">
        <f>(Financials!BI13-Financials!BI33)/Financials!BI5</f>
        <v>0.26845432681858955</v>
      </c>
      <c r="BD8" s="119">
        <f>(Financials!BJ13-Financials!BJ33)/Financials!BJ5</f>
        <v>0.22193126158847234</v>
      </c>
      <c r="BE8" s="119">
        <f>(Financials!BK13-Financials!BK33)/Financials!BK5</f>
        <v>0.21506153861955415</v>
      </c>
      <c r="BF8" s="119">
        <f>(Financials!BL13-Financials!BL33)/Financials!BL5</f>
        <v>0.21444143613568026</v>
      </c>
      <c r="BG8" s="119">
        <f>(Financials!BM13-Financials!BM33)/Financials!BM5</f>
        <v>0.22740010980571362</v>
      </c>
      <c r="BH8" s="119">
        <f>(Financials!BN13-Financials!BN33)/Financials!BN5</f>
        <v>0.22986074278234303</v>
      </c>
      <c r="BI8" s="119">
        <f>(Financials!BO13-Financials!BO33)/Financials!BO5</f>
        <v>0.2444279039919216</v>
      </c>
      <c r="BJ8" s="119">
        <f>(Financials!BP13-Financials!BP33)/Financials!BP5</f>
        <v>0.23766141932344181</v>
      </c>
      <c r="BK8" s="119">
        <f>(Financials!BQ13-Financials!BQ33)/Financials!BQ5</f>
        <v>0.23994820606426351</v>
      </c>
      <c r="BL8" s="119">
        <f>(Financials!BR13-Financials!BR33)/Financials!BR5</f>
        <v>0.23669578166985422</v>
      </c>
      <c r="BM8" s="119">
        <f>(Financials!BS13-Financials!BS33)/Financials!BS5</f>
        <v>0.23893978337236502</v>
      </c>
      <c r="BN8" s="119">
        <f>(Financials!BT13-Financials!BT33)/Financials!BT5</f>
        <v>0.24384309134016727</v>
      </c>
      <c r="BO8" s="119">
        <f>(Financials!BU13-Financials!BU33)/Financials!BU5</f>
        <v>0.24033786743579716</v>
      </c>
      <c r="BP8" s="119">
        <f>(Financials!BV13-Financials!BV33)/Financials!BV5</f>
        <v>0.22147666799299351</v>
      </c>
      <c r="BQ8" s="119">
        <f>(Financials!BW13-Financials!BW33)/Financials!BW5</f>
        <v>0.21544965893781806</v>
      </c>
      <c r="BR8" s="119">
        <f>(Financials!BX13-Financials!BX33)/Financials!BX5</f>
        <v>0.22791081436176494</v>
      </c>
      <c r="BS8" s="119">
        <f>(Financials!BY13-Financials!BY33)/Financials!BY5</f>
        <v>0.23389081253049138</v>
      </c>
      <c r="BT8" s="119">
        <f>(Financials!BZ13-Financials!BZ33)/Financials!BZ5</f>
        <v>0.22616226640943207</v>
      </c>
      <c r="BU8" s="119">
        <f>(Financials!CA13-Financials!CA33)/Financials!CA5</f>
        <v>0.21168986637554191</v>
      </c>
      <c r="BV8" s="119">
        <f>(Financials!CB13-Financials!CB33)/Financials!CB5</f>
        <v>0.23459579402027525</v>
      </c>
      <c r="BW8" s="119">
        <f>(Financials!CC13-Financials!CC33)/Financials!CC5</f>
        <v>0.23501409493943531</v>
      </c>
      <c r="BX8" s="119">
        <f>(Financials!CD13-Financials!CD33)/Financials!CD5</f>
        <v>0.23865794035287741</v>
      </c>
      <c r="BY8" s="119">
        <f>(Financials!CE13-Financials!CE33)/Financials!CE5</f>
        <v>0.24116369011507247</v>
      </c>
      <c r="BZ8" s="119">
        <f>(Financials!CF13-Financials!CF33)/Financials!CF5</f>
        <v>0.24034057349541257</v>
      </c>
      <c r="CA8" s="119">
        <f>(Financials!CG13-Financials!CG33)/Financials!CG5</f>
        <v>0.23682602101252639</v>
      </c>
      <c r="CB8" s="119">
        <f>(Financials!CH13-Financials!CH33)/Financials!CH5</f>
        <v>0.23633798587300647</v>
      </c>
      <c r="CC8" s="119">
        <f>(Financials!CI13-Financials!CI33)/Financials!CI5</f>
        <v>0.27149818171251899</v>
      </c>
      <c r="CD8" s="119">
        <f>(Financials!CJ13-Financials!CJ33)/Financials!CJ5</f>
        <v>0.19840869152713186</v>
      </c>
      <c r="CE8" s="119">
        <f>(Financials!CK13-Financials!CK33)/Financials!CK5</f>
        <v>0.1955148821653224</v>
      </c>
      <c r="CF8" s="119" t="e">
        <f>(Financials!CL13-Financials!CL33)/Financials!CL5</f>
        <v>#REF!</v>
      </c>
      <c r="CG8" s="119">
        <f>(Financials!CM13-Financials!CM33)/Financials!CM5</f>
        <v>0.2108351696082939</v>
      </c>
      <c r="CH8" s="119">
        <f>(Financials!CM13-Financials!CM33)/Financials!CM5</f>
        <v>0.2108351696082939</v>
      </c>
      <c r="CI8" s="119">
        <f>(Financials!CN13-Financials!CN33)/Financials!CN5</f>
        <v>0.21323149753551024</v>
      </c>
      <c r="CJ8" s="119">
        <f>(Financials!CO13-Financials!CO33)/Financials!CO5</f>
        <v>0.22110739838365331</v>
      </c>
      <c r="CK8" s="119">
        <f>(Financials!CP13-Financials!CP33)/Financials!CP5</f>
        <v>0.22072466098739299</v>
      </c>
      <c r="CL8" s="119">
        <f>(Financials!CQ13-Financials!CQ33)/Financials!CQ5</f>
        <v>0.23277241908327254</v>
      </c>
      <c r="CM8" s="119">
        <f>(Financials!CR13-Financials!CR33)/Financials!CR5</f>
        <v>0.23844866942961657</v>
      </c>
      <c r="CN8" s="119">
        <f>(Financials!CS13-Financials!CS33)/Financials!CS5</f>
        <v>0.243251408519914</v>
      </c>
      <c r="CO8" s="119">
        <f>(Financials!CT13-Financials!CT33)/Financials!CT5</f>
        <v>0.23537678278711185</v>
      </c>
      <c r="CP8" s="119">
        <f>(Financials!CU13-Financials!CU33)/Financials!CU5</f>
        <v>0.25035782467000489</v>
      </c>
      <c r="CQ8" s="119">
        <f>(Financials!CV13-Financials!CV33)/Financials!CV5</f>
        <v>0.25379363165454449</v>
      </c>
      <c r="CR8" s="119">
        <f>(Financials!CW13-Financials!CW33)/Financials!CW5</f>
        <v>0.20212751027384063</v>
      </c>
      <c r="CS8" s="119">
        <f>(Financials!CX13-Financials!CX33)/Financials!CX5</f>
        <v>0.1997765965979032</v>
      </c>
      <c r="CT8" s="119">
        <f>(Financials!CY13-Financials!CY33)/Financials!CY5</f>
        <v>0.20358442221075843</v>
      </c>
      <c r="CU8" s="119">
        <f>(Financials!CZ13-Financials!CZ33)/Financials!CZ5</f>
        <v>0.21875716944296916</v>
      </c>
      <c r="CV8" s="119">
        <f>(Financials!DA13-Financials!DA33)/Financials!DA5</f>
        <v>0.23065783051349417</v>
      </c>
      <c r="CW8" s="119">
        <f>(Financials!DB13-Financials!DB33)/Financials!DB5</f>
        <v>0.23628794492687788</v>
      </c>
      <c r="CX8" s="119">
        <f>(Financials!DC13-Financials!DC33)/Financials!DC5</f>
        <v>0.23375178910618363</v>
      </c>
      <c r="CY8" s="119">
        <f>(Financials!DD13-Financials!DD33)/Financials!DD5</f>
        <v>0.23843120088055741</v>
      </c>
      <c r="CZ8" s="119">
        <f>(Financials!DE13-Financials!DE33)/Financials!DE5</f>
        <v>0.24611224381744726</v>
      </c>
      <c r="DA8" s="119">
        <f>(Financials!DF13-Financials!DF33)/Financials!DF5</f>
        <v>0.25246816993602655</v>
      </c>
      <c r="DB8" s="119">
        <f>(Financials!DG13-Financials!DG33)/Financials!DG5</f>
        <v>0.26115031349934498</v>
      </c>
      <c r="DC8" s="119">
        <f>(Financials!DH13-Financials!DH33)/Financials!DH5</f>
        <v>0.26310600720187471</v>
      </c>
      <c r="DD8" s="119">
        <f>(Financials!DI13-Financials!DI33)/Financials!DI5</f>
        <v>0.20327645400193259</v>
      </c>
      <c r="DE8" s="119">
        <f>(Financials!DJ13-Financials!DJ33)/Financials!DJ5</f>
        <v>0.20326826821036997</v>
      </c>
      <c r="DF8" s="119">
        <f>(Financials!DK13-Financials!DK33)/Financials!DK5</f>
        <v>0.20043198736703924</v>
      </c>
      <c r="DG8" s="119">
        <f>(Financials!DL13-Financials!DL33)/Financials!DL5</f>
        <v>0.2162802435954809</v>
      </c>
      <c r="DH8" s="119">
        <f>(Financials!DM13-Financials!DM33)/Financials!DM5</f>
        <v>0.24324663406032626</v>
      </c>
      <c r="DI8" s="119">
        <f>(Financials!DN13-Financials!DN33)/Financials!DN5</f>
        <v>0.25081877305959216</v>
      </c>
      <c r="DJ8" s="119">
        <f>(Financials!DO13-Financials!DO33)/Financials!DO5</f>
        <v>0.25913806730634698</v>
      </c>
      <c r="DK8" s="119">
        <f>(Financials!DP13-Financials!DP33)/Financials!DP5</f>
        <v>0.26158183973451604</v>
      </c>
      <c r="DL8" s="119">
        <f>(Financials!DQ13-Financials!DQ33)/Financials!DQ5</f>
        <v>0.2674834345445995</v>
      </c>
      <c r="DM8" s="119">
        <f>(Financials!DR13-Financials!DR33)/Financials!DR5</f>
        <v>0.27797956157425086</v>
      </c>
      <c r="DN8" s="119">
        <f>(Financials!DS13-Financials!DS33)/Financials!DS5</f>
        <v>0.26135788705935964</v>
      </c>
      <c r="DO8" s="119">
        <f>(Financials!DT13-Financials!DT33)/Financials!DT5</f>
        <v>0.26182541698554063</v>
      </c>
      <c r="DP8" s="119">
        <f>(Financials!DU13-Financials!DU33)/Financials!DU5</f>
        <v>0.26444003859936838</v>
      </c>
      <c r="DQ8" s="119">
        <f>(Financials!DW13-Financials!DW33)/Financials!DW5</f>
        <v>0.15646902419341244</v>
      </c>
    </row>
    <row r="9" spans="1:121" s="1" customFormat="1" x14ac:dyDescent="0.25">
      <c r="A9" s="702"/>
      <c r="B9" s="210"/>
      <c r="C9" s="105"/>
      <c r="D9" s="106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05"/>
      <c r="BL9" s="105"/>
      <c r="BM9" s="105"/>
      <c r="BN9" s="105"/>
      <c r="BO9" s="105"/>
      <c r="BP9" s="105"/>
      <c r="BQ9" s="105"/>
      <c r="BR9" s="105"/>
      <c r="BS9" s="105"/>
      <c r="BT9" s="105"/>
      <c r="BU9" s="105"/>
      <c r="BV9" s="105"/>
      <c r="BW9" s="105"/>
      <c r="BX9" s="105"/>
      <c r="BY9" s="105"/>
      <c r="BZ9" s="105"/>
      <c r="CA9" s="105"/>
      <c r="CB9" s="105"/>
      <c r="CC9" s="105"/>
      <c r="CD9" s="105"/>
      <c r="CE9" s="105"/>
      <c r="CF9" s="105"/>
      <c r="CG9" s="105"/>
      <c r="CH9" s="105"/>
      <c r="CI9" s="105"/>
      <c r="CJ9" s="105"/>
      <c r="CK9" s="105"/>
      <c r="CL9" s="105"/>
      <c r="CM9" s="105"/>
      <c r="CN9" s="105"/>
      <c r="CO9" s="105"/>
      <c r="CP9" s="105"/>
      <c r="CQ9" s="105"/>
      <c r="CR9" s="105"/>
      <c r="CS9" s="105"/>
      <c r="CT9" s="105"/>
      <c r="CU9" s="105"/>
      <c r="CV9" s="105"/>
      <c r="CW9" s="105"/>
      <c r="CX9" s="105"/>
      <c r="CY9" s="105"/>
      <c r="CZ9" s="105"/>
      <c r="DA9" s="105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5"/>
      <c r="DO9" s="105"/>
      <c r="DP9" s="105"/>
      <c r="DQ9" s="105"/>
    </row>
    <row r="10" spans="1:121" s="1" customFormat="1" x14ac:dyDescent="0.25">
      <c r="A10" s="702"/>
      <c r="B10" s="708" t="s">
        <v>270</v>
      </c>
      <c r="C10" s="105" t="s">
        <v>271</v>
      </c>
      <c r="D10" s="106"/>
      <c r="E10" s="119">
        <f>Financials!C34/Financials!C31</f>
        <v>0</v>
      </c>
      <c r="F10" s="119">
        <f>Financials!D34/Financials!D31</f>
        <v>0</v>
      </c>
      <c r="G10" s="119">
        <f>Financials!E34/Financials!E31</f>
        <v>0</v>
      </c>
      <c r="H10" s="119">
        <f>Financials!F34/Financials!F31</f>
        <v>0</v>
      </c>
      <c r="I10" s="119">
        <f>Financials!G34/Financials!G31</f>
        <v>0</v>
      </c>
      <c r="J10" s="119">
        <f>Financials!H34/Financials!H31</f>
        <v>0</v>
      </c>
      <c r="K10" s="119">
        <f>Financials!I34/Financials!I31</f>
        <v>0</v>
      </c>
      <c r="L10" s="119">
        <f>Financials!J34/Financials!J31</f>
        <v>0</v>
      </c>
      <c r="M10" s="119">
        <f>Financials!K34/Financials!K31</f>
        <v>0</v>
      </c>
      <c r="N10" s="119">
        <f>Financials!F34/Financials!F31</f>
        <v>0</v>
      </c>
      <c r="O10" s="119">
        <f>Financials!G34/Financials!G31</f>
        <v>0</v>
      </c>
      <c r="P10" s="119">
        <f>Financials!V34/Financials!V31</f>
        <v>0</v>
      </c>
      <c r="Q10" s="119">
        <f>Financials!W34/Financials!W31</f>
        <v>0</v>
      </c>
      <c r="R10" s="119">
        <f>Financials!X34/Financials!X31</f>
        <v>0</v>
      </c>
      <c r="S10" s="119">
        <f>Financials!Y34/Financials!Y31</f>
        <v>3.8815268160154251E-2</v>
      </c>
      <c r="T10" s="119">
        <f>Financials!Z34/Financials!Z31</f>
        <v>0</v>
      </c>
      <c r="U10" s="119">
        <f>Financials!AA34/Financials!AA31</f>
        <v>0</v>
      </c>
      <c r="V10" s="119">
        <f>Financials!AB34/Financials!AB31</f>
        <v>6.2610744384804476E-2</v>
      </c>
      <c r="W10" s="119">
        <f>Financials!AC34/Financials!AC31</f>
        <v>2.319095549851928E-8</v>
      </c>
      <c r="X10" s="119">
        <f>Financials!AD34/Financials!AD31</f>
        <v>2.61933899714091E-2</v>
      </c>
      <c r="Y10" s="119" t="e">
        <f>Financials!AE34/Financials!AE31</f>
        <v>#REF!</v>
      </c>
      <c r="Z10" s="119">
        <f>Financials!AF34/Financials!AF31</f>
        <v>1.3249134949933764E-6</v>
      </c>
      <c r="AA10" s="119">
        <f>Financials!AG34/Financials!AG31</f>
        <v>5.0430899559925559E-2</v>
      </c>
      <c r="AB10" s="119">
        <f>Financials!AH34/Financials!AH31</f>
        <v>2.0548080870262775E-8</v>
      </c>
      <c r="AC10" s="119">
        <f>Financials!AI34/Financials!AI31</f>
        <v>1.8299695237274781E-2</v>
      </c>
      <c r="AD10" s="119">
        <f>Financials!AJ34/Financials!AJ31</f>
        <v>0</v>
      </c>
      <c r="AE10" s="119" t="e">
        <f>Financials!AK34/Financials!AK31</f>
        <v>#DIV/0!</v>
      </c>
      <c r="AF10" s="119">
        <f>Financials!AL34/Financials!AL31</f>
        <v>0</v>
      </c>
      <c r="AG10" s="119">
        <f>Financials!AM34/Financials!AM31</f>
        <v>0</v>
      </c>
      <c r="AH10" s="119">
        <f>Financials!AN34/Financials!AN31</f>
        <v>0</v>
      </c>
      <c r="AI10" s="119">
        <f>Financials!AO34/Financials!AO31</f>
        <v>0</v>
      </c>
      <c r="AJ10" s="119">
        <f>Financials!AP34/Financials!AP31</f>
        <v>0</v>
      </c>
      <c r="AK10" s="119">
        <f>Financials!AQ34/Financials!AQ31</f>
        <v>0</v>
      </c>
      <c r="AL10" s="119">
        <f>Financials!AR34/Financials!AR31</f>
        <v>6.235297122373283E-7</v>
      </c>
      <c r="AM10" s="119">
        <f>Financials!AS34/Financials!AS31</f>
        <v>0</v>
      </c>
      <c r="AN10" s="119" t="e">
        <f>Financials!AT34/Financials!AT31</f>
        <v>#DIV/0!</v>
      </c>
      <c r="AO10" s="119">
        <f>Financials!AU34/Financials!AU31</f>
        <v>1.6106768182665026E-8</v>
      </c>
      <c r="AP10" s="119">
        <f>Financials!AV34/Financials!AV31</f>
        <v>9.155412030784944E-3</v>
      </c>
      <c r="AQ10" s="119">
        <f>Financials!AW34/Financials!AW31</f>
        <v>5.68075749709179E-7</v>
      </c>
      <c r="AR10" s="119" t="e">
        <f>Financials!AX34/Financials!AX31</f>
        <v>#DIV/0!</v>
      </c>
      <c r="AS10" s="119" t="e">
        <f>Financials!AY34/Financials!AY31</f>
        <v>#DIV/0!</v>
      </c>
      <c r="AT10" s="119">
        <f>Financials!AZ34/Financials!AZ31</f>
        <v>9.4886972968983088E-3</v>
      </c>
      <c r="AU10" s="119">
        <f>Financials!BA34/Financials!BA31</f>
        <v>2.6539673957191973E-7</v>
      </c>
      <c r="AV10" s="119">
        <f>Financials!BB34/Financials!BB31</f>
        <v>2.5256780420485202E-2</v>
      </c>
      <c r="AW10" s="119">
        <f>Financials!BC34/Financials!BC31</f>
        <v>1.5247328492486022E-8</v>
      </c>
      <c r="AX10" s="119">
        <f>Financials!BD34/Financials!BD31</f>
        <v>8.5428792313720255E-3</v>
      </c>
      <c r="AY10" s="119">
        <f>Financials!BE34/Financials!BE31</f>
        <v>0</v>
      </c>
      <c r="AZ10" s="119">
        <f>Financials!BF34/Financials!BF31</f>
        <v>0</v>
      </c>
      <c r="BA10" s="119" t="e">
        <f>Financials!BG34/Financials!BG31</f>
        <v>#DIV/0!</v>
      </c>
      <c r="BB10" s="119">
        <f>Financials!BH34/Financials!BH31</f>
        <v>0</v>
      </c>
      <c r="BC10" s="119">
        <f>Financials!BI34/Financials!BI31</f>
        <v>0</v>
      </c>
      <c r="BD10" s="119">
        <f>Financials!BJ34/Financials!BJ31</f>
        <v>0</v>
      </c>
      <c r="BE10" s="119">
        <f>Financials!BK34/Financials!BK31</f>
        <v>0</v>
      </c>
      <c r="BF10" s="119">
        <f>Financials!BL34/Financials!BL31</f>
        <v>0</v>
      </c>
      <c r="BG10" s="119">
        <f>Financials!BM34/Financials!BM31</f>
        <v>0</v>
      </c>
      <c r="BH10" s="119">
        <f>Financials!BN34/Financials!BN31</f>
        <v>0</v>
      </c>
      <c r="BI10" s="119">
        <f>Financials!BO34/Financials!BO31</f>
        <v>0</v>
      </c>
      <c r="BJ10" s="119">
        <f>Financials!BP34/Financials!BP31</f>
        <v>0</v>
      </c>
      <c r="BK10" s="119">
        <f>Financials!BQ34/Financials!BQ31</f>
        <v>0</v>
      </c>
      <c r="BL10" s="119">
        <f>Financials!BR34/Financials!BR31</f>
        <v>0</v>
      </c>
      <c r="BM10" s="119">
        <f>Financials!BS34/Financials!BS31</f>
        <v>0</v>
      </c>
      <c r="BN10" s="119">
        <f>Financials!BT34/Financials!BT31</f>
        <v>0</v>
      </c>
      <c r="BO10" s="119">
        <f>Financials!BU34/Financials!BU31</f>
        <v>0</v>
      </c>
      <c r="BP10" s="119">
        <f>Financials!BV34/Financials!BV31</f>
        <v>0</v>
      </c>
      <c r="BQ10" s="119">
        <f>Financials!BW34/Financials!BW31</f>
        <v>0</v>
      </c>
      <c r="BR10" s="119">
        <f>Financials!BX34/Financials!BX31</f>
        <v>0</v>
      </c>
      <c r="BS10" s="119">
        <f>Financials!BY34/Financials!BY31</f>
        <v>0</v>
      </c>
      <c r="BT10" s="119">
        <f>Financials!BZ34/Financials!BZ31</f>
        <v>0</v>
      </c>
      <c r="BU10" s="119">
        <f>Financials!CA34/Financials!CA31</f>
        <v>0</v>
      </c>
      <c r="BV10" s="119">
        <f>Financials!CB34/Financials!CB31</f>
        <v>0</v>
      </c>
      <c r="BW10" s="119">
        <f>Financials!CC34/Financials!CC31</f>
        <v>0</v>
      </c>
      <c r="BX10" s="119">
        <f>Financials!CD34/Financials!CD31</f>
        <v>0</v>
      </c>
      <c r="BY10" s="119">
        <f>Financials!CE34/Financials!CE31</f>
        <v>0</v>
      </c>
      <c r="BZ10" s="119">
        <f>Financials!CF34/Financials!CF31</f>
        <v>0</v>
      </c>
      <c r="CA10" s="119">
        <f>Financials!CG34/Financials!CG31</f>
        <v>0</v>
      </c>
      <c r="CB10" s="119">
        <f>Financials!CH34/Financials!CH31</f>
        <v>0</v>
      </c>
      <c r="CC10" s="119">
        <f>Financials!CI34/Financials!CI31</f>
        <v>0</v>
      </c>
      <c r="CD10" s="119">
        <f>Financials!CJ34/Financials!CJ31</f>
        <v>0</v>
      </c>
      <c r="CE10" s="119">
        <f>Financials!CK34/Financials!CK31</f>
        <v>0</v>
      </c>
      <c r="CF10" s="119">
        <f>Financials!CL34/Financials!CL31</f>
        <v>0</v>
      </c>
      <c r="CG10" s="119" t="e">
        <f>Financials!CM34/Financials!CM31</f>
        <v>#REF!</v>
      </c>
      <c r="CH10" s="119">
        <f>Financials!CN34/Financials!CN31</f>
        <v>0</v>
      </c>
      <c r="CI10" s="119">
        <f>Financials!CO34/Financials!CO31</f>
        <v>0</v>
      </c>
      <c r="CJ10" s="119">
        <f>Financials!CP34/Financials!CP31</f>
        <v>0</v>
      </c>
      <c r="CK10" s="119">
        <f>Financials!CQ34/Financials!CQ31</f>
        <v>0</v>
      </c>
      <c r="CL10" s="119">
        <f>Financials!CR34/Financials!CR31</f>
        <v>0</v>
      </c>
      <c r="CM10" s="119">
        <f>Financials!CS34/Financials!CS31</f>
        <v>0</v>
      </c>
      <c r="CN10" s="119">
        <f>Financials!CT34/Financials!CT31</f>
        <v>0</v>
      </c>
      <c r="CO10" s="119">
        <f>Financials!CU34/Financials!CU31</f>
        <v>0</v>
      </c>
      <c r="CP10" s="119">
        <f>Financials!CV34/Financials!CV31</f>
        <v>0</v>
      </c>
      <c r="CQ10" s="119">
        <f>Financials!CW34/Financials!CW31</f>
        <v>0</v>
      </c>
      <c r="CR10" s="119">
        <f>Financials!CX34/Financials!CX31</f>
        <v>0</v>
      </c>
      <c r="CS10" s="119">
        <f>Financials!CY34/Financials!CY31</f>
        <v>0</v>
      </c>
      <c r="CT10" s="119">
        <f>Financials!CZ34/Financials!CZ31</f>
        <v>0</v>
      </c>
      <c r="CU10" s="119">
        <f>Financials!DA34/Financials!DA31</f>
        <v>0</v>
      </c>
      <c r="CV10" s="119">
        <f>Financials!DB34/Financials!DB31</f>
        <v>0</v>
      </c>
      <c r="CW10" s="119">
        <f>Financials!DC34/Financials!DC31</f>
        <v>0</v>
      </c>
      <c r="CX10" s="119">
        <f>Financials!DD34/Financials!DD31</f>
        <v>0</v>
      </c>
      <c r="CY10" s="119">
        <f>Financials!DE34/Financials!DE31</f>
        <v>0</v>
      </c>
      <c r="CZ10" s="119">
        <f>Financials!DF34/Financials!DF31</f>
        <v>0</v>
      </c>
      <c r="DA10" s="119">
        <f>Financials!DG34/Financials!DG31</f>
        <v>0</v>
      </c>
      <c r="DB10" s="119">
        <f>Financials!DH34/Financials!DH31</f>
        <v>0</v>
      </c>
      <c r="DC10" s="119">
        <f>Financials!DI34/Financials!DI31</f>
        <v>0</v>
      </c>
      <c r="DD10" s="119">
        <f>Financials!DJ34/Financials!DJ31</f>
        <v>0</v>
      </c>
      <c r="DE10" s="119">
        <f>Financials!DK34/Financials!DK31</f>
        <v>0</v>
      </c>
      <c r="DF10" s="119">
        <f>Financials!DL34/Financials!DL31</f>
        <v>0</v>
      </c>
      <c r="DG10" s="119">
        <f>Financials!DM34/Financials!DM31</f>
        <v>0</v>
      </c>
      <c r="DH10" s="119">
        <f>Financials!DN34/Financials!DN31</f>
        <v>0</v>
      </c>
      <c r="DI10" s="119">
        <f>Financials!DO34/Financials!DO31</f>
        <v>0</v>
      </c>
      <c r="DJ10" s="119">
        <f>Financials!DP34/Financials!DP31</f>
        <v>0</v>
      </c>
      <c r="DK10" s="119">
        <f>Financials!DQ34/Financials!DQ31</f>
        <v>0</v>
      </c>
      <c r="DL10" s="119">
        <f>Financials!DR34/Financials!DR31</f>
        <v>0</v>
      </c>
      <c r="DM10" s="119">
        <f>Financials!DS34/Financials!DS31</f>
        <v>0</v>
      </c>
      <c r="DN10" s="119">
        <f>Financials!DT34/Financials!DT31</f>
        <v>0</v>
      </c>
      <c r="DO10" s="119">
        <f>Financials!DU34/Financials!DU31</f>
        <v>0</v>
      </c>
      <c r="DP10" s="119" t="e">
        <f>Financials!DV34/Financials!DV31</f>
        <v>#DIV/0!</v>
      </c>
      <c r="DQ10" s="119" t="e">
        <f>Financials!DX34/Financials!DX31</f>
        <v>#DIV/0!</v>
      </c>
    </row>
    <row r="11" spans="1:121" s="1" customFormat="1" x14ac:dyDescent="0.25">
      <c r="A11" s="702"/>
      <c r="B11" s="708"/>
      <c r="C11" s="105" t="s">
        <v>272</v>
      </c>
      <c r="D11" s="106"/>
      <c r="E11" s="119">
        <f>Financials!C33/Financials!C31</f>
        <v>0</v>
      </c>
      <c r="F11" s="119">
        <f>Financials!D33/Financials!D31</f>
        <v>0</v>
      </c>
      <c r="G11" s="119">
        <f>Financials!E33/Financials!E31</f>
        <v>0</v>
      </c>
      <c r="H11" s="119">
        <f>Financials!F33/Financials!F31</f>
        <v>0</v>
      </c>
      <c r="I11" s="119">
        <f>Financials!G33/Financials!G31</f>
        <v>0</v>
      </c>
      <c r="J11" s="119">
        <f>Financials!H33/Financials!H31</f>
        <v>6.3315495692312748E-2</v>
      </c>
      <c r="K11" s="119">
        <f>Financials!I33/Financials!I31</f>
        <v>6.2868644865850407E-2</v>
      </c>
      <c r="L11" s="119">
        <f>Financials!J33/Financials!J31</f>
        <v>1.7620603402391672E-8</v>
      </c>
      <c r="M11" s="119">
        <f>Financials!K33/Financials!K31</f>
        <v>2.8364269854658328E-2</v>
      </c>
      <c r="N11" s="119">
        <f>Financials!F33/Financials!F31</f>
        <v>0</v>
      </c>
      <c r="O11" s="119">
        <f>Financials!G33/Financials!G31</f>
        <v>0</v>
      </c>
      <c r="P11" s="119">
        <f>Financials!V33/Financials!V31</f>
        <v>2.4259931721461883E-8</v>
      </c>
      <c r="Q11" s="119">
        <f>Financials!W33/Financials!W31</f>
        <v>0.19016025076720589</v>
      </c>
      <c r="R11" s="119">
        <f>Financials!X33/Financials!X31</f>
        <v>0</v>
      </c>
      <c r="S11" s="119">
        <f>Financials!Y33/Financials!Y31</f>
        <v>0</v>
      </c>
      <c r="T11" s="119">
        <f>Financials!Z33/Financials!Z31</f>
        <v>0</v>
      </c>
      <c r="U11" s="119">
        <f>Financials!AA33/Financials!AA31</f>
        <v>0</v>
      </c>
      <c r="V11" s="119">
        <f>Financials!AB33/Financials!AB31</f>
        <v>0</v>
      </c>
      <c r="W11" s="119">
        <f>Financials!AC33/Financials!AC31</f>
        <v>0</v>
      </c>
      <c r="X11" s="119">
        <f>Financials!AD33/Financials!AD31</f>
        <v>0</v>
      </c>
      <c r="Y11" s="119">
        <f>Financials!AE33/Financials!AE31</f>
        <v>0</v>
      </c>
      <c r="Z11" s="119">
        <f>Financials!AF33/Financials!AF31</f>
        <v>0</v>
      </c>
      <c r="AA11" s="119">
        <f>Financials!AG33/Financials!AG31</f>
        <v>0</v>
      </c>
      <c r="AB11" s="119">
        <f>Financials!AH33/Financials!AH31</f>
        <v>0</v>
      </c>
      <c r="AC11" s="119">
        <f>Financials!AI33/Financials!AI31</f>
        <v>0</v>
      </c>
      <c r="AD11" s="119">
        <f>Financials!AJ33/Financials!AJ31</f>
        <v>0</v>
      </c>
      <c r="AE11" s="119" t="e">
        <f>Financials!AK33/Financials!AK31</f>
        <v>#DIV/0!</v>
      </c>
      <c r="AF11" s="119">
        <f>Financials!AL33/Financials!AL31</f>
        <v>0</v>
      </c>
      <c r="AG11" s="119">
        <f>Financials!AM33/Financials!AM31</f>
        <v>0</v>
      </c>
      <c r="AH11" s="119">
        <f>Financials!AN33/Financials!AN31</f>
        <v>0</v>
      </c>
      <c r="AI11" s="119">
        <f>Financials!AO33/Financials!AO31</f>
        <v>0</v>
      </c>
      <c r="AJ11" s="119">
        <f>Financials!AP33/Financials!AP31</f>
        <v>0</v>
      </c>
      <c r="AK11" s="119">
        <f>Financials!AQ33/Financials!AQ31</f>
        <v>0</v>
      </c>
      <c r="AL11" s="119">
        <f>Financials!AR33/Financials!AR31</f>
        <v>0</v>
      </c>
      <c r="AM11" s="119">
        <f>Financials!AS33/Financials!AS31</f>
        <v>0</v>
      </c>
      <c r="AN11" s="119" t="e">
        <f>Financials!AT33/Financials!AT31</f>
        <v>#DIV/0!</v>
      </c>
      <c r="AO11" s="119">
        <f>Financials!AU33/Financials!AU31</f>
        <v>0</v>
      </c>
      <c r="AP11" s="119">
        <f>Financials!AV33/Financials!AV31</f>
        <v>0</v>
      </c>
      <c r="AQ11" s="119">
        <f>Financials!AW33/Financials!AW31</f>
        <v>0</v>
      </c>
      <c r="AR11" s="119" t="e">
        <f>Financials!AX33/Financials!AX31</f>
        <v>#DIV/0!</v>
      </c>
      <c r="AS11" s="119" t="e">
        <f>Financials!AY33/Financials!AY31</f>
        <v>#DIV/0!</v>
      </c>
      <c r="AT11" s="119">
        <f>Financials!AZ33/Financials!AZ31</f>
        <v>0</v>
      </c>
      <c r="AU11" s="119">
        <f>Financials!BA33/Financials!BA31</f>
        <v>0</v>
      </c>
      <c r="AV11" s="119">
        <f>Financials!BB33/Financials!BB31</f>
        <v>0</v>
      </c>
      <c r="AW11" s="119">
        <f>Financials!BC33/Financials!BC31</f>
        <v>0</v>
      </c>
      <c r="AX11" s="119">
        <f>Financials!BD33/Financials!BD31</f>
        <v>0</v>
      </c>
      <c r="AY11" s="119">
        <f>Financials!BE33/Financials!BE31</f>
        <v>0</v>
      </c>
      <c r="AZ11" s="119">
        <f>Financials!BF33/Financials!BF31</f>
        <v>0</v>
      </c>
      <c r="BA11" s="119" t="e">
        <f>Financials!BG33/Financials!BG31</f>
        <v>#DIV/0!</v>
      </c>
      <c r="BB11" s="119">
        <f>Financials!BH33/Financials!BH31</f>
        <v>0</v>
      </c>
      <c r="BC11" s="119">
        <f>Financials!BI33/Financials!BI31</f>
        <v>0</v>
      </c>
      <c r="BD11" s="119">
        <f>Financials!BJ33/Financials!BJ31</f>
        <v>0</v>
      </c>
      <c r="BE11" s="119">
        <f>Financials!BK33/Financials!BK31</f>
        <v>0</v>
      </c>
      <c r="BF11" s="119">
        <f>Financials!BL33/Financials!BL31</f>
        <v>0</v>
      </c>
      <c r="BG11" s="119">
        <f>Financials!BM33/Financials!BM31</f>
        <v>0</v>
      </c>
      <c r="BH11" s="119">
        <f>Financials!BN33/Financials!BN31</f>
        <v>0</v>
      </c>
      <c r="BI11" s="119">
        <f>Financials!BO33/Financials!BO31</f>
        <v>0</v>
      </c>
      <c r="BJ11" s="119">
        <f>Financials!BP33/Financials!BP31</f>
        <v>0</v>
      </c>
      <c r="BK11" s="119">
        <f>Financials!BQ33/Financials!BQ31</f>
        <v>0</v>
      </c>
      <c r="BL11" s="119">
        <f>Financials!BR33/Financials!BR31</f>
        <v>0</v>
      </c>
      <c r="BM11" s="119">
        <f>Financials!BS33/Financials!BS31</f>
        <v>0</v>
      </c>
      <c r="BN11" s="119">
        <f>Financials!BT33/Financials!BT31</f>
        <v>0</v>
      </c>
      <c r="BO11" s="119">
        <f>Financials!BU33/Financials!BU31</f>
        <v>0</v>
      </c>
      <c r="BP11" s="119">
        <f>Financials!BV33/Financials!BV31</f>
        <v>0</v>
      </c>
      <c r="BQ11" s="119">
        <f>Financials!BW33/Financials!BW31</f>
        <v>0</v>
      </c>
      <c r="BR11" s="119">
        <f>Financials!BX33/Financials!BX31</f>
        <v>0</v>
      </c>
      <c r="BS11" s="119">
        <f>Financials!BY33/Financials!BY31</f>
        <v>0</v>
      </c>
      <c r="BT11" s="119">
        <f>Financials!BZ33/Financials!BZ31</f>
        <v>0</v>
      </c>
      <c r="BU11" s="119">
        <f>Financials!CA33/Financials!CA31</f>
        <v>0</v>
      </c>
      <c r="BV11" s="119">
        <f>Financials!CB33/Financials!CB31</f>
        <v>0</v>
      </c>
      <c r="BW11" s="119">
        <f>Financials!CC33/Financials!CC31</f>
        <v>0</v>
      </c>
      <c r="BX11" s="119">
        <f>Financials!CD33/Financials!CD31</f>
        <v>0</v>
      </c>
      <c r="BY11" s="119">
        <f>Financials!CE33/Financials!CE31</f>
        <v>0</v>
      </c>
      <c r="BZ11" s="119">
        <f>Financials!CF33/Financials!CF31</f>
        <v>0</v>
      </c>
      <c r="CA11" s="119">
        <f>Financials!CG33/Financials!CG31</f>
        <v>0</v>
      </c>
      <c r="CB11" s="119">
        <f>Financials!CH33/Financials!CH31</f>
        <v>0</v>
      </c>
      <c r="CC11" s="119">
        <f>Financials!CI33/Financials!CI31</f>
        <v>0</v>
      </c>
      <c r="CD11" s="119">
        <f>Financials!CJ33/Financials!CJ31</f>
        <v>0</v>
      </c>
      <c r="CE11" s="119">
        <f>Financials!CK33/Financials!CK31</f>
        <v>0</v>
      </c>
      <c r="CF11" s="119">
        <f>Financials!CL33/Financials!CL31</f>
        <v>0</v>
      </c>
      <c r="CG11" s="119" t="e">
        <f>Financials!CM33/Financials!CM31</f>
        <v>#REF!</v>
      </c>
      <c r="CH11" s="119">
        <f>Financials!CN33/Financials!CN31</f>
        <v>0</v>
      </c>
      <c r="CI11" s="119">
        <f>Financials!CO33/Financials!CO31</f>
        <v>0</v>
      </c>
      <c r="CJ11" s="119">
        <f>Financials!CP33/Financials!CP31</f>
        <v>0</v>
      </c>
      <c r="CK11" s="119">
        <f>Financials!CQ33/Financials!CQ31</f>
        <v>0</v>
      </c>
      <c r="CL11" s="119">
        <f>Financials!CR33/Financials!CR31</f>
        <v>0</v>
      </c>
      <c r="CM11" s="119">
        <f>Financials!CS33/Financials!CS31</f>
        <v>0</v>
      </c>
      <c r="CN11" s="119">
        <f>Financials!CT33/Financials!CT31</f>
        <v>0</v>
      </c>
      <c r="CO11" s="119">
        <f>Financials!CU33/Financials!CU31</f>
        <v>0</v>
      </c>
      <c r="CP11" s="119">
        <f>Financials!CV33/Financials!CV31</f>
        <v>0</v>
      </c>
      <c r="CQ11" s="119">
        <f>Financials!CW33/Financials!CW31</f>
        <v>0</v>
      </c>
      <c r="CR11" s="119">
        <f>Financials!CX33/Financials!CX31</f>
        <v>0</v>
      </c>
      <c r="CS11" s="119">
        <f>Financials!CY33/Financials!CY31</f>
        <v>0</v>
      </c>
      <c r="CT11" s="119">
        <f>Financials!CZ33/Financials!CZ31</f>
        <v>0</v>
      </c>
      <c r="CU11" s="119">
        <f>Financials!DA33/Financials!DA31</f>
        <v>0</v>
      </c>
      <c r="CV11" s="119">
        <f>Financials!DB33/Financials!DB31</f>
        <v>0</v>
      </c>
      <c r="CW11" s="119">
        <f>Financials!DC33/Financials!DC31</f>
        <v>0</v>
      </c>
      <c r="CX11" s="119">
        <f>Financials!DD33/Financials!DD31</f>
        <v>0</v>
      </c>
      <c r="CY11" s="119">
        <f>Financials!DE33/Financials!DE31</f>
        <v>0</v>
      </c>
      <c r="CZ11" s="119">
        <f>Financials!DF33/Financials!DF31</f>
        <v>0</v>
      </c>
      <c r="DA11" s="119">
        <f>Financials!DG33/Financials!DG31</f>
        <v>0</v>
      </c>
      <c r="DB11" s="119">
        <f>Financials!DH33/Financials!DH31</f>
        <v>0</v>
      </c>
      <c r="DC11" s="119">
        <f>Financials!DI33/Financials!DI31</f>
        <v>0</v>
      </c>
      <c r="DD11" s="119">
        <f>Financials!DJ33/Financials!DJ31</f>
        <v>0</v>
      </c>
      <c r="DE11" s="119">
        <f>Financials!DK33/Financials!DK31</f>
        <v>0</v>
      </c>
      <c r="DF11" s="119">
        <f>Financials!DL33/Financials!DL31</f>
        <v>0</v>
      </c>
      <c r="DG11" s="119">
        <f>Financials!DM33/Financials!DM31</f>
        <v>0</v>
      </c>
      <c r="DH11" s="119">
        <f>Financials!DN33/Financials!DN31</f>
        <v>0</v>
      </c>
      <c r="DI11" s="119">
        <f>Financials!DO33/Financials!DO31</f>
        <v>0</v>
      </c>
      <c r="DJ11" s="119">
        <f>Financials!DP33/Financials!DP31</f>
        <v>0</v>
      </c>
      <c r="DK11" s="119">
        <f>Financials!DQ33/Financials!DQ31</f>
        <v>0</v>
      </c>
      <c r="DL11" s="119">
        <f>Financials!DR33/Financials!DR31</f>
        <v>0</v>
      </c>
      <c r="DM11" s="119">
        <f>Financials!DS33/Financials!DS31</f>
        <v>0</v>
      </c>
      <c r="DN11" s="119">
        <f>Financials!DT33/Financials!DT31</f>
        <v>0</v>
      </c>
      <c r="DO11" s="119">
        <f>Financials!DU33/Financials!DU31</f>
        <v>0</v>
      </c>
      <c r="DP11" s="119" t="e">
        <f>Financials!DV33/Financials!DV31</f>
        <v>#DIV/0!</v>
      </c>
      <c r="DQ11" s="119" t="e">
        <f>Financials!DX33/Financials!DX31</f>
        <v>#DIV/0!</v>
      </c>
    </row>
    <row r="12" spans="1:121" s="1" customFormat="1" x14ac:dyDescent="0.25">
      <c r="A12" s="702"/>
      <c r="B12" s="210"/>
      <c r="C12" s="105"/>
      <c r="D12" s="106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05"/>
      <c r="BI12" s="105"/>
      <c r="BJ12" s="105"/>
      <c r="BK12" s="105"/>
      <c r="BL12" s="105"/>
      <c r="BM12" s="105"/>
      <c r="BN12" s="105"/>
      <c r="BO12" s="105"/>
      <c r="BP12" s="105"/>
      <c r="BQ12" s="105"/>
      <c r="BR12" s="105"/>
      <c r="BS12" s="105"/>
      <c r="BT12" s="105"/>
      <c r="BU12" s="105"/>
      <c r="BV12" s="105"/>
      <c r="BW12" s="105"/>
      <c r="BX12" s="105"/>
      <c r="BY12" s="105"/>
      <c r="BZ12" s="105"/>
      <c r="CA12" s="105"/>
      <c r="CB12" s="105"/>
      <c r="CC12" s="105"/>
      <c r="CD12" s="105"/>
      <c r="CE12" s="105"/>
      <c r="CF12" s="105"/>
      <c r="CG12" s="105"/>
      <c r="CH12" s="105"/>
      <c r="CI12" s="105"/>
      <c r="CJ12" s="105"/>
      <c r="CK12" s="105"/>
      <c r="CL12" s="105"/>
      <c r="CM12" s="105"/>
      <c r="CN12" s="105"/>
      <c r="CO12" s="105"/>
      <c r="CP12" s="105"/>
      <c r="CQ12" s="105"/>
      <c r="CR12" s="105"/>
      <c r="CS12" s="105"/>
      <c r="CT12" s="105"/>
      <c r="CU12" s="105"/>
      <c r="CV12" s="105"/>
      <c r="CW12" s="105"/>
      <c r="CX12" s="105"/>
      <c r="CY12" s="105"/>
      <c r="CZ12" s="105"/>
      <c r="DA12" s="105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5"/>
      <c r="DO12" s="105"/>
      <c r="DP12" s="105"/>
      <c r="DQ12" s="105"/>
    </row>
    <row r="13" spans="1:121" s="1" customFormat="1" x14ac:dyDescent="0.25">
      <c r="A13" s="702"/>
      <c r="B13" s="708" t="s">
        <v>273</v>
      </c>
      <c r="C13" s="105" t="s">
        <v>274</v>
      </c>
      <c r="D13" s="106"/>
      <c r="E13" s="119" t="e">
        <f>Trend!C92/((Financials!C5+Financials!B5)/2)</f>
        <v>#VALUE!</v>
      </c>
      <c r="F13" s="119">
        <f>Trend!D92/((Financials!D5+Financials!C5)/2)</f>
        <v>7.2072296080412518E-3</v>
      </c>
      <c r="G13" s="119">
        <f>Trend!E92/((Financials!E5+Financials!D5)/2)</f>
        <v>4.8904875101868648E-3</v>
      </c>
      <c r="H13" s="119">
        <f>Trend!F92/((Financials!F5+Financials!E5)/2)</f>
        <v>1.3253911283506864E-2</v>
      </c>
      <c r="I13" s="119">
        <f>Trend!G92/((Financials!G5+Financials!F5)/2)</f>
        <v>8.2719798356238865E-3</v>
      </c>
      <c r="J13" s="119">
        <f>Trend!H92/((Financials!H5+Financials!G5)/2)</f>
        <v>8.4137254026459967E-5</v>
      </c>
      <c r="K13" s="119">
        <f>Trend!I92/((Financials!I5+Financials!H5)/2)</f>
        <v>1.5633419698077321E-2</v>
      </c>
      <c r="L13" s="119">
        <f>Trend!J92/((Financials!J5+Financials!I5)/2)</f>
        <v>-4.1899953958466059</v>
      </c>
      <c r="M13" s="119">
        <f>Trend!K92/((Financials!K5+Financials!J5)/2)</f>
        <v>-8.4898178942148343E-3</v>
      </c>
      <c r="N13" s="119" t="e">
        <f>Trend!#REF!/((Financials!F5+Financials!G5)/2)</f>
        <v>#REF!</v>
      </c>
      <c r="O13" s="119" t="e">
        <f>Trend!#REF!/((Financials!G5+Financials!H5)/2)</f>
        <v>#REF!</v>
      </c>
      <c r="P13" s="119" t="e">
        <f>Trend!#REF!/((Financials!V5+Financials!U5)/2)</f>
        <v>#REF!</v>
      </c>
      <c r="Q13" s="119">
        <f>Trend!W92/((Financials!W5+Financials!W5)/2)</f>
        <v>-2.0970610163360662E-2</v>
      </c>
      <c r="R13" s="119">
        <f>Trend!X92/((Financials!X5+Financials!X5)/2)</f>
        <v>-1.379289286973729E-2</v>
      </c>
      <c r="S13" s="119">
        <f>Trend!Y92/((Financials!Y5+Financials!Y5)/2)</f>
        <v>3.9815560268936789E-2</v>
      </c>
      <c r="T13" s="119">
        <f>Trend!Z92/((Financials!Z5+Financials!Z5)/2)</f>
        <v>-7.8705893278456004E-3</v>
      </c>
      <c r="U13" s="119">
        <f>Trend!AA92/((Financials!AA5+Financials!AA5)/2)</f>
        <v>3.8915459790533229E-2</v>
      </c>
      <c r="V13" s="119">
        <f>Trend!AB92/((Financials!AB5+Financials!AB5)/2)</f>
        <v>4.4773552329267011E-2</v>
      </c>
      <c r="W13" s="119">
        <f>Trend!AC92/((Financials!AC5+Financials!AC5)/2)</f>
        <v>9.7082355602431166E-3</v>
      </c>
      <c r="X13" s="119">
        <f>Trend!AD92/((Financials!AD5+Financials!AD5)/2)</f>
        <v>1.8663637458013589E-2</v>
      </c>
      <c r="Y13" s="119">
        <f>Trend!AE92/((Financials!AE5+Financials!AE5)/2)</f>
        <v>1.1159439931632608E-2</v>
      </c>
      <c r="Z13" s="119">
        <f>Trend!AF92/((Financials!AF5+Financials!AF5)/2)</f>
        <v>2.236195904845778E-2</v>
      </c>
      <c r="AA13" s="119">
        <f>Trend!AG92/((Financials!AG5+Financials!AG5)/2)</f>
        <v>3.2675486873787268E-2</v>
      </c>
      <c r="AB13" s="119">
        <f>Trend!AH92/((Financials!AH5+Financials!AH5)/2)</f>
        <v>4.3685002080782659E-2</v>
      </c>
      <c r="AC13" s="119">
        <f>Trend!AI92/((Financials!AI5+Financials!AI5)/2)</f>
        <v>2.3305632908498301E-2</v>
      </c>
      <c r="AD13" s="119">
        <f>Trend!AJ92/((Financials!AJ5+Financials!AJ5)/2)</f>
        <v>2.3686516139536685E-2</v>
      </c>
      <c r="AE13" s="119" t="e">
        <f>Trend!AK92/((Financials!AK5+Financials!AK5)/2)</f>
        <v>#DIV/0!</v>
      </c>
      <c r="AF13" s="119">
        <f>Trend!AL92/((Financials!AL5+Financials!AL5)/2)</f>
        <v>-8.2841085447873646E-3</v>
      </c>
      <c r="AG13" s="119">
        <f>Trend!AM92/((Financials!AM5+Financials!AM5)/2)</f>
        <v>-1.3422122990390275E-2</v>
      </c>
      <c r="AH13" s="119">
        <f>Trend!AN92/((Financials!AN5+Financials!AN5)/2)</f>
        <v>-5.6823694859725144E-3</v>
      </c>
      <c r="AI13" s="119">
        <f>Trend!AO92/((Financials!AO5+Financials!AO5)/2)</f>
        <v>-7.542677941051997E-3</v>
      </c>
      <c r="AJ13" s="119">
        <f>Trend!AP92/((Financials!AP5+Financials!AP5)/2)</f>
        <v>0</v>
      </c>
      <c r="AK13" s="119">
        <f>Trend!AQ92/((Financials!AQ5+Financials!AQ5)/2)</f>
        <v>-1.1380279522642691E-2</v>
      </c>
      <c r="AL13" s="119">
        <f>Trend!AR92/((Financials!AR5+Financials!AR5)/2)</f>
        <v>7.8450949829788341E-3</v>
      </c>
      <c r="AM13" s="119">
        <f>Trend!AS92/((Financials!AS5+Financials!AS5)/2)</f>
        <v>0</v>
      </c>
      <c r="AN13" s="119" t="e">
        <f>Trend!AT92/((Financials!AT5+Financials!AT5)/2)</f>
        <v>#DIV/0!</v>
      </c>
      <c r="AO13" s="119">
        <f>Trend!AU92/((Financials!AU5+Financials!AU5)/2)</f>
        <v>3.2299273793813865E-2</v>
      </c>
      <c r="AP13" s="119">
        <f>Trend!AV92/((Financials!AV5+Financials!AV5)/2)</f>
        <v>6.1098571319381977E-2</v>
      </c>
      <c r="AQ13" s="119">
        <f>Trend!AW92/((Financials!AW5+Financials!AW5)/2)</f>
        <v>1.7504766954228937E-2</v>
      </c>
      <c r="AR13" s="119" t="e">
        <f>Trend!AX92/((Financials!AX5+Financials!AX5)/2)</f>
        <v>#DIV/0!</v>
      </c>
      <c r="AS13" s="119" t="e">
        <f>Trend!AY92/((Financials!AY5+Financials!AY5)/2)</f>
        <v>#DIV/0!</v>
      </c>
      <c r="AT13" s="119">
        <f>Trend!AZ92/((Financials!AZ5+Financials!AZ5)/2)</f>
        <v>-5.322312281519067E-2</v>
      </c>
      <c r="AU13" s="119">
        <f>Trend!BA92/((Financials!BA5+Financials!BA5)/2)</f>
        <v>-4.8391341980319608E-3</v>
      </c>
      <c r="AV13" s="119">
        <f>Trend!BB92/((Financials!BB5+Financials!BB5)/2)</f>
        <v>1.0896132820175621E-2</v>
      </c>
      <c r="AW13" s="119">
        <f>Trend!BC92/((Financials!BC5+Financials!BC5)/2)</f>
        <v>2.0428709509059052E-3</v>
      </c>
      <c r="AX13" s="119">
        <f>Trend!BD92/((Financials!BD5+Financials!BD5)/2)</f>
        <v>9.6451948733385414E-3</v>
      </c>
      <c r="AY13" s="119">
        <f>Trend!BE92/((Financials!BE5+Financials!BE5)/2)</f>
        <v>1.5577958032742548E-2</v>
      </c>
      <c r="AZ13" s="119">
        <f>Trend!BF92/((Financials!BF5+Financials!BF5)/2)</f>
        <v>2.8818914169724506E-2</v>
      </c>
      <c r="BA13" s="119" t="e">
        <f>Trend!BG92/((Financials!BG5+Financials!BG5)/2)</f>
        <v>#DIV/0!</v>
      </c>
      <c r="BB13" s="119">
        <f>Trend!BH92/((Financials!BH5+Financials!BH5)/2)</f>
        <v>4.3131965204678921E-2</v>
      </c>
      <c r="BC13" s="119">
        <f>Trend!BI92/((Financials!BI5+Financials!BI5)/2)</f>
        <v>4.6607741851692266E-2</v>
      </c>
      <c r="BD13" s="119">
        <f>Trend!BJ92/((Financials!BJ5+Financials!BJ5)/2)</f>
        <v>1.1969182995004686E-2</v>
      </c>
      <c r="BE13" s="119">
        <f>Trend!BK92/((Financials!BK5+Financials!BK5)/2)</f>
        <v>2.4409485043923756E-3</v>
      </c>
      <c r="BF13" s="119">
        <f>Trend!BL92/((Financials!BL5+Financials!BL5)/2)</f>
        <v>4.888764384066515E-3</v>
      </c>
      <c r="BG13" s="119">
        <f>Trend!BM92/((Financials!BM5+Financials!BM5)/2)</f>
        <v>-2.7530487496392583E-2</v>
      </c>
      <c r="BH13" s="119">
        <f>Trend!BN92/((Financials!BN5+Financials!BN5)/2)</f>
        <v>-1.7454387269558422E-2</v>
      </c>
      <c r="BI13" s="119">
        <f>Trend!BO92/((Financials!BO5+Financials!BO5)/2)</f>
        <v>-1.4172993530478606E-2</v>
      </c>
      <c r="BJ13" s="119">
        <f>Trend!BP92/((Financials!BP5+Financials!BP5)/2)</f>
        <v>-3.7976029415125985E-3</v>
      </c>
      <c r="BK13" s="119">
        <f>Trend!BQ92/((Financials!BQ5+Financials!BQ5)/2)</f>
        <v>-1.2430895063836296E-2</v>
      </c>
      <c r="BL13" s="119">
        <f>Trend!BR92/((Financials!BR5+Financials!BR5)/2)</f>
        <v>-5.4149107869697769E-3</v>
      </c>
      <c r="BM13" s="119">
        <f>Trend!BS92/((Financials!BS5+Financials!BS5)/2)</f>
        <v>1.6086922508407389E-2</v>
      </c>
      <c r="BN13" s="119">
        <f>Trend!BT92/((Financials!BT5+Financials!BT5)/2)</f>
        <v>1.605660804815813E-2</v>
      </c>
      <c r="BO13" s="119">
        <f>Trend!BU92/((Financials!BU5+Financials!BU5)/2)</f>
        <v>3.4554153750701526E-2</v>
      </c>
      <c r="BP13" s="119">
        <f>Trend!BV92/((Financials!BV5+Financials!BV5)/2)</f>
        <v>7.5883209186348832E-2</v>
      </c>
      <c r="BQ13" s="119">
        <f>Trend!BW92/((Financials!BW5+Financials!BW5)/2)</f>
        <v>2.6426088645798516E-2</v>
      </c>
      <c r="BR13" s="119">
        <f>Trend!BX92/((Financials!BX5+Financials!BX5)/2)</f>
        <v>3.4380540327948652E-3</v>
      </c>
      <c r="BS13" s="119">
        <f>Trend!BY92/((Financials!BY5+Financials!BY5)/2)</f>
        <v>4.9361252051989424E-3</v>
      </c>
      <c r="BT13" s="119">
        <f>Trend!BZ92/((Financials!BZ5+Financials!BZ5)/2)</f>
        <v>8.8284379909243354E-3</v>
      </c>
      <c r="BU13" s="119">
        <f>Trend!CA92/((Financials!CA5+Financials!CA5)/2)</f>
        <v>1.4126848991205565E-2</v>
      </c>
      <c r="BV13" s="119">
        <f>Trend!CB92/((Financials!CB5+Financials!CB5)/2)</f>
        <v>2.5434195712035302E-2</v>
      </c>
      <c r="BW13" s="119">
        <f>Trend!CC92/((Financials!CC5+Financials!CC5)/2)</f>
        <v>3.1094702693223127E-2</v>
      </c>
      <c r="BX13" s="119">
        <f>Trend!CD92/((Financials!CD5+Financials!CD5)/2)</f>
        <v>3.8114984428820164E-2</v>
      </c>
      <c r="BY13" s="119">
        <f>Trend!CE92/((Financials!CE5+Financials!CE5)/2)</f>
        <v>4.4326051286968239E-2</v>
      </c>
      <c r="BZ13" s="119">
        <f>Trend!CF92/((Financials!CF5+Financials!CF5)/2)</f>
        <v>4.9524457973746404E-2</v>
      </c>
      <c r="CA13" s="119">
        <f>Trend!CG92/((Financials!CG5+Financials!CG5)/2)</f>
        <v>5.4034542761158717E-2</v>
      </c>
      <c r="CB13" s="119">
        <f>Trend!CH92/((Financials!CH5+Financials!CH5)/2)</f>
        <v>5.1892846020526621E-2</v>
      </c>
      <c r="CC13" s="119">
        <f>Trend!CI92/((Financials!CI5+Financials!CI5)/2)</f>
        <v>5.4400136316743425E-2</v>
      </c>
      <c r="CD13" s="119">
        <f>Trend!CJ92/((Financials!CJ5+Financials!CJ5)/2)</f>
        <v>2.0889866227148522E-2</v>
      </c>
      <c r="CE13" s="119">
        <f>Trend!CK92/((Financials!CK5+Financials!CK5)/2)</f>
        <v>1.1038273804456928E-2</v>
      </c>
      <c r="CF13" s="119">
        <f>Trend!CL92/((Financials!CL5+Financials!CL5)/2)</f>
        <v>1.3941533747785532E-2</v>
      </c>
      <c r="CG13" s="119">
        <f>Trend!CM92/((Financials!CM5+Financials!CM5)/2)</f>
        <v>2.002106119882336E-2</v>
      </c>
      <c r="CH13" s="119">
        <f>Trend!CN92/((Financials!CN5+Financials!CN5)/2)</f>
        <v>2.5648687909058571E-2</v>
      </c>
      <c r="CI13" s="119">
        <f>Trend!CO92/((Financials!CO5+Financials!CO5)/2)</f>
        <v>3.4147046939842433E-2</v>
      </c>
      <c r="CJ13" s="119">
        <f>Trend!CP92/((Financials!CP5+Financials!CP5)/2)</f>
        <v>4.0604130899958603E-2</v>
      </c>
      <c r="CK13" s="119">
        <f>Trend!CQ92/((Financials!CQ5+Financials!CQ5)/2)</f>
        <v>0</v>
      </c>
      <c r="CL13" s="119">
        <f>Trend!CR92/((Financials!CR5+Financials!CR5)/2)</f>
        <v>6.0400186974137487E-2</v>
      </c>
      <c r="CM13" s="119">
        <f>Trend!CS92/((Financials!CS5+Financials!CS5)/2)</f>
        <v>6.2335888371958963E-2</v>
      </c>
      <c r="CN13" s="119">
        <f>Trend!CT92/((Financials!CT5+Financials!CT5)/2)</f>
        <v>0.13600486158264222</v>
      </c>
      <c r="CO13" s="119">
        <f>Trend!CU92/((Financials!CU5+Financials!CU5)/2)</f>
        <v>7.5690663312926204E-2</v>
      </c>
      <c r="CP13" s="119">
        <f>Trend!CV92/((Financials!CV5+Financials!CV5)/2)</f>
        <v>7.0337579000025546E-2</v>
      </c>
      <c r="CQ13" s="119">
        <f>Trend!CW92/((Financials!CW5+Financials!CW5)/2)</f>
        <v>2.6511391855263997E-2</v>
      </c>
      <c r="CR13" s="119">
        <f>Trend!CX92/((Financials!CX5+Financials!CX5)/2)</f>
        <v>7.9600367024584822E-3</v>
      </c>
      <c r="CS13" s="119">
        <f>Trend!CY92/((Financials!CY5+Financials!CY5)/2)</f>
        <v>1.6446625008601615E-2</v>
      </c>
      <c r="CT13" s="119">
        <f>Trend!CZ92/((Financials!CZ5+Financials!CZ5)/2)</f>
        <v>2.4132916920976577E-2</v>
      </c>
      <c r="CU13" s="119">
        <f>Trend!DA92/((Financials!DA5+Financials!DA5)/2)</f>
        <v>3.2991908799466028E-2</v>
      </c>
      <c r="CV13" s="119">
        <f>Trend!DB92/((Financials!DB5+Financials!DB5)/2)</f>
        <v>4.0790048579031166E-2</v>
      </c>
      <c r="CW13" s="119">
        <f>Trend!DC92/((Financials!DC5+Financials!DC5)/2)</f>
        <v>4.5542433649855107E-2</v>
      </c>
      <c r="CX13" s="119">
        <f>Trend!DD92/((Financials!DD5+Financials!DD5)/2)</f>
        <v>5.291946269974853E-2</v>
      </c>
      <c r="CY13" s="119">
        <f>Trend!DE92/((Financials!DE5+Financials!DE5)/2)</f>
        <v>5.1968534759549989E-2</v>
      </c>
      <c r="CZ13" s="119">
        <f>Trend!DF92/((Financials!DF5+Financials!DF5)/2)</f>
        <v>5.8819093437565771E-2</v>
      </c>
      <c r="DA13" s="119">
        <f>Trend!DG92/((Financials!DG5+Financials!DG5)/2)</f>
        <v>6.3571801380846435E-2</v>
      </c>
      <c r="DB13" s="119">
        <f>Trend!DH92/((Financials!DH5+Financials!DH5)/2)</f>
        <v>6.8404494184676881E-2</v>
      </c>
      <c r="DC13" s="119">
        <f>Trend!DI92/((Financials!DI5+Financials!DI5)/2)</f>
        <v>6.0823154041571591E-2</v>
      </c>
      <c r="DD13" s="119">
        <f>Trend!DJ92/((Financials!DJ5+Financials!DJ5)/2)</f>
        <v>2.7554323397228186E-2</v>
      </c>
      <c r="DE13" s="119">
        <f>Trend!DK92/((Financials!DK5+Financials!DK5)/2)</f>
        <v>8.274949337842067E-3</v>
      </c>
      <c r="DF13" s="119">
        <f>Trend!DL92/((Financials!DL5+Financials!DL5)/2)</f>
        <v>1.8329118702871419E-2</v>
      </c>
      <c r="DG13" s="119">
        <f>Trend!DM92/((Financials!DM5+Financials!DM5)/2)</f>
        <v>2.9293002265602653E-2</v>
      </c>
      <c r="DH13" s="119">
        <f>Trend!DN92/((Financials!DN5+Financials!DN5)/2)</f>
        <v>3.6561109776452307E-2</v>
      </c>
      <c r="DI13" s="119">
        <f>Trend!DO92/((Financials!DO5+Financials!DO5)/2)</f>
        <v>4.5187057781824497E-2</v>
      </c>
      <c r="DJ13" s="119">
        <f>Trend!DP92/((Financials!DP5+Financials!DP5)/2)</f>
        <v>4.9568162698552493E-2</v>
      </c>
      <c r="DK13" s="119">
        <f>Trend!DQ92/((Financials!DQ5+Financials!DQ5)/2)</f>
        <v>5.6199885563829516E-2</v>
      </c>
      <c r="DL13" s="119">
        <f>Trend!DR92/((Financials!DR5+Financials!DR5)/2)</f>
        <v>6.5210396818179459E-2</v>
      </c>
      <c r="DM13" s="119">
        <f>Trend!DS92/((Financials!DS5+Financials!DS5)/2)</f>
        <v>7.1816137797756321E-2</v>
      </c>
      <c r="DN13" s="119">
        <f>Trend!DT92/((Financials!DT5+Financials!DT5)/2)</f>
        <v>7.3616223684192628E-2</v>
      </c>
      <c r="DO13" s="119">
        <f>Trend!DU92/((Financials!DU5+Financials!DU5)/2)</f>
        <v>7.8967370566177073E-2</v>
      </c>
      <c r="DP13" s="119" t="e">
        <f>Trend!DV92/((Financials!DV5+Financials!DV5)/2)</f>
        <v>#DIV/0!</v>
      </c>
      <c r="DQ13" s="119" t="e">
        <f>Trend!#REF!/((Financials!DX5+Financials!DX5)/2)</f>
        <v>#REF!</v>
      </c>
    </row>
    <row r="14" spans="1:121" s="1" customFormat="1" x14ac:dyDescent="0.25">
      <c r="A14" s="702"/>
      <c r="B14" s="708"/>
      <c r="C14" s="105" t="s">
        <v>275</v>
      </c>
      <c r="D14" s="106"/>
      <c r="E14" s="119" t="e">
        <f>(Trend!B78/(Trend!B74-Trend!B75))</f>
        <v>#VALUE!</v>
      </c>
      <c r="F14" s="119" t="e">
        <f>(Trend!C78/(Trend!C74-Trend!C75))</f>
        <v>#DIV/0!</v>
      </c>
      <c r="G14" s="119">
        <f>(Trend!D78/(Trend!D74-Trend!D75))</f>
        <v>0.89495418640636881</v>
      </c>
      <c r="H14" s="119">
        <f>(Trend!E78/(Trend!E74-Trend!E75))</f>
        <v>0.91258596630524957</v>
      </c>
      <c r="I14" s="119">
        <f>(Trend!F78/(Trend!F74-Trend!F75))</f>
        <v>0.84697696289744229</v>
      </c>
      <c r="J14" s="119">
        <f>(Trend!G78/(Trend!G74-Trend!G75))</f>
        <v>0.91228284229736156</v>
      </c>
      <c r="K14" s="119">
        <f>(Trend!H78/(Trend!H74-Trend!H75))</f>
        <v>0.41821395015882962</v>
      </c>
      <c r="L14" s="119">
        <f>(Trend!I78/(Trend!I74-Trend!I75))</f>
        <v>0.78100347538678105</v>
      </c>
      <c r="M14" s="119">
        <f>(Trend!J78/(Trend!J74-Trend!J75))</f>
        <v>-170.91802921798003</v>
      </c>
      <c r="N14" s="119">
        <f>(Trend!G78/(Trend!G74-Trend!G75))</f>
        <v>0.91228284229736156</v>
      </c>
      <c r="O14" s="119">
        <f>(Trend!H78/(Trend!H74-Trend!H75))</f>
        <v>0.41821395015882962</v>
      </c>
      <c r="P14" s="119" t="e">
        <f>(Trend!#REF!/(Trend!#REF!-Trend!#REF!))</f>
        <v>#REF!</v>
      </c>
      <c r="Q14" s="119">
        <f>(Trend!W78/(Trend!W74-Trend!W75))</f>
        <v>-0.31445368519497086</v>
      </c>
      <c r="R14" s="119">
        <f>(Trend!X78/(Trend!X74-Trend!X75))</f>
        <v>-1.7574300718941493</v>
      </c>
      <c r="S14" s="119">
        <f>(Trend!Y78/(Trend!Y74-Trend!Y75))</f>
        <v>0.32098964287505899</v>
      </c>
      <c r="T14" s="119">
        <f>(Trend!Z78/(Trend!Z74-Trend!Z75))</f>
        <v>1.4033535279657214</v>
      </c>
      <c r="U14" s="119">
        <f>(Trend!AA78/(Trend!AA74-Trend!AA75))</f>
        <v>0.47437364479864197</v>
      </c>
      <c r="V14" s="119">
        <f>(Trend!AB78/(Trend!AB74-Trend!AB75))</f>
        <v>0.42606844121075499</v>
      </c>
      <c r="W14" s="119">
        <f>(Trend!AC78/(Trend!AC74-Trend!AC75))</f>
        <v>0.78114253404862966</v>
      </c>
      <c r="X14" s="119">
        <f>(Trend!AD78/(Trend!AD74-Trend!AD75))</f>
        <v>0.66891849872163756</v>
      </c>
      <c r="Y14" s="119">
        <f>(Trend!AE78/(Trend!AE74-Trend!AE75))</f>
        <v>0.79674495595009442</v>
      </c>
      <c r="Z14" s="119">
        <f>(Trend!AF78/(Trend!AF74-Trend!AF75))</f>
        <v>0.6812962653421073</v>
      </c>
      <c r="AA14" s="119">
        <f>(Trend!AG78/(Trend!AG74-Trend!AG75))</f>
        <v>0.60721234341100716</v>
      </c>
      <c r="AB14" s="119">
        <f>(Trend!AH78/(Trend!AH74-Trend!AH75))</f>
        <v>0.5591814768841179</v>
      </c>
      <c r="AC14" s="119">
        <f>(Trend!AI78/(Trend!AI74-Trend!AI75))</f>
        <v>0.70876858412271504</v>
      </c>
      <c r="AD14" s="119">
        <f>(Trend!AJ78/(Trend!AJ74-Trend!AJ75))</f>
        <v>0.70876872249878276</v>
      </c>
      <c r="AE14" s="119" t="e">
        <f>(Trend!AK78/(Trend!AK74-Trend!AK75))</f>
        <v>#DIV/0!</v>
      </c>
      <c r="AF14" s="119">
        <f>(Trend!AL78/(Trend!AL74-Trend!AL75))</f>
        <v>2.2735193965500664</v>
      </c>
      <c r="AG14" s="119">
        <f>(Trend!AM78/(Trend!AM74-Trend!AM75))</f>
        <v>2.6792438845824287</v>
      </c>
      <c r="AH14" s="119">
        <f>(Trend!AN78/(Trend!AN74-Trend!AN75))</f>
        <v>1.2268009143314067</v>
      </c>
      <c r="AI14" s="119">
        <f>(Trend!AO78/(Trend!AO74-Trend!AO75))</f>
        <v>1.276888504427881</v>
      </c>
      <c r="AJ14" s="119" t="e">
        <f>(Trend!AP78/(Trend!AP74-Trend!AP75))</f>
        <v>#DIV/0!</v>
      </c>
      <c r="AK14" s="119">
        <f>(Trend!AQ78/(Trend!AQ74-Trend!AQ75))</f>
        <v>1.5163408471531341</v>
      </c>
      <c r="AL14" s="119">
        <f>(Trend!AR78/(Trend!AR74-Trend!AR75))</f>
        <v>0.84353825708428609</v>
      </c>
      <c r="AM14" s="119" t="e">
        <f>(Trend!AS78/(Trend!AS74-Trend!AS75))</f>
        <v>#DIV/0!</v>
      </c>
      <c r="AN14" s="119" t="e">
        <f>(Trend!AT78/(Trend!AT74-Trend!AT75))</f>
        <v>#DIV/0!</v>
      </c>
      <c r="AO14" s="119">
        <f>(Trend!AU78/(Trend!AU74-Trend!AU75))</f>
        <v>0.60760776921304493</v>
      </c>
      <c r="AP14" s="119">
        <f>(Trend!AV78/(Trend!AV74-Trend!AV75))</f>
        <v>0.529241819549787</v>
      </c>
      <c r="AQ14" s="119">
        <f>(Trend!AW78/(Trend!AW74-Trend!AW75))</f>
        <v>0.72376868190990973</v>
      </c>
      <c r="AR14" s="119" t="e">
        <f>(Trend!AX78/(Trend!AX74-Trend!AX75))</f>
        <v>#DIV/0!</v>
      </c>
      <c r="AS14" s="119" t="e">
        <f>(Trend!AY78/(Trend!AY74-Trend!AY75))</f>
        <v>#DIV/0!</v>
      </c>
      <c r="AT14" s="119">
        <f>(Trend!AZ78/(Trend!AZ74-Trend!AZ75))</f>
        <v>-0.33491878259426111</v>
      </c>
      <c r="AU14" s="119">
        <f>(Trend!BA78/(Trend!BA74-Trend!BA75))</f>
        <v>1.2615196578343193</v>
      </c>
      <c r="AV14" s="119">
        <f>(Trend!BB78/(Trend!BB74-Trend!BB75))</f>
        <v>0.70678414665617384</v>
      </c>
      <c r="AW14" s="119">
        <f>(Trend!BC78/(Trend!BC74-Trend!BC75))</f>
        <v>0.92685184673065546</v>
      </c>
      <c r="AX14" s="119">
        <f>(Trend!BD78/(Trend!BD74-Trend!BD75))</f>
        <v>0.77281226149096072</v>
      </c>
      <c r="AY14" s="119">
        <f>(Trend!BE78/(Trend!BE74-Trend!BE75))</f>
        <v>0.70778068045674991</v>
      </c>
      <c r="AZ14" s="119">
        <f>(Trend!BF78/(Trend!BF74-Trend!BF75))</f>
        <v>0.56645043480664814</v>
      </c>
      <c r="BA14" s="119" t="e">
        <f>(Trend!BG78/(Trend!BG74-Trend!BG75))</f>
        <v>#DIV/0!</v>
      </c>
      <c r="BB14" s="119">
        <f>(Trend!BH78/(Trend!BH74-Trend!BH75))</f>
        <v>0.56831276575289613</v>
      </c>
      <c r="BC14" s="119">
        <f>(Trend!BI78/(Trend!BI74-Trend!BI75))</f>
        <v>0.59883597944242384</v>
      </c>
      <c r="BD14" s="119">
        <f>(Trend!BJ78/(Trend!BJ74-Trend!BJ75))</f>
        <v>0.83203744137791935</v>
      </c>
      <c r="BE14" s="119">
        <f>(Trend!BK78/(Trend!BK74-Trend!BK75))</f>
        <v>0.76089791885306668</v>
      </c>
      <c r="BF14" s="119">
        <f>(Trend!BL78/(Trend!BL74-Trend!BL75))</f>
        <v>0.62490525638370853</v>
      </c>
      <c r="BG14" s="119">
        <f>(Trend!BM78/(Trend!BM74-Trend!BM75))</f>
        <v>-4.2133129552664803</v>
      </c>
      <c r="BH14" s="119">
        <f>(Trend!BN78/(Trend!BN74-Trend!BN75))</f>
        <v>2.8554604133665951</v>
      </c>
      <c r="BI14" s="119">
        <f>(Trend!BO78/(Trend!BO74-Trend!BO75))</f>
        <v>1.6646188728233009</v>
      </c>
      <c r="BJ14" s="119">
        <f>(Trend!BP78/(Trend!BP74-Trend!BP75))</f>
        <v>1.1176042136161948</v>
      </c>
      <c r="BK14" s="119">
        <f>(Trend!BQ78/(Trend!BQ74-Trend!BQ75))</f>
        <v>1.3507473997295194</v>
      </c>
      <c r="BL14" s="119">
        <f>(Trend!BR78/(Trend!BR74-Trend!BR75))</f>
        <v>1.1089474143500897</v>
      </c>
      <c r="BM14" s="119">
        <f>(Trend!BS78/(Trend!BS74-Trend!BS75))</f>
        <v>0.78452487565958817</v>
      </c>
      <c r="BN14" s="119">
        <f>(Trend!BT78/(Trend!BT74-Trend!BT75))</f>
        <v>0.81204266284855653</v>
      </c>
      <c r="BO14" s="119">
        <f>(Trend!BU78/(Trend!BU74-Trend!BU75))</f>
        <v>0.63556363504715774</v>
      </c>
      <c r="BP14" s="119">
        <f>(Trend!BV78/(Trend!BV74-Trend!BV75))</f>
        <v>0.53146417000879298</v>
      </c>
      <c r="BQ14" s="119">
        <f>(Trend!BW78/(Trend!BW74-Trend!BW75))</f>
        <v>0.69958814431157734</v>
      </c>
      <c r="BR14" s="119">
        <f>(Trend!BX78/(Trend!BX74-Trend!BX75))</f>
        <v>0.67405773872065566</v>
      </c>
      <c r="BS14" s="119">
        <f>(Trend!BY78/(Trend!BY74-Trend!BY75))</f>
        <v>0.75458949396328401</v>
      </c>
      <c r="BT14" s="119">
        <f>(Trend!BZ78/(Trend!BZ74-Trend!BZ75))</f>
        <v>0.74107024985665937</v>
      </c>
      <c r="BU14" s="119">
        <f>(Trend!CA78/(Trend!CA74-Trend!CA75))</f>
        <v>0.67384312071121355</v>
      </c>
      <c r="BV14" s="119">
        <f>(Trend!CB78/(Trend!CB74-Trend!CB75))</f>
        <v>0.56699276316228797</v>
      </c>
      <c r="BW14" s="119">
        <f>(Trend!CC78/(Trend!CC74-Trend!CC75))</f>
        <v>0.54432965414221524</v>
      </c>
      <c r="BX14" s="119">
        <f>(Trend!CD78/(Trend!CD74-Trend!CD75))</f>
        <v>0.53513050439510235</v>
      </c>
      <c r="BY14" s="119">
        <f>(Trend!CE78/(Trend!CE74-Trend!CE75))</f>
        <v>0.51312773035657622</v>
      </c>
      <c r="BZ14" s="119">
        <f>(Trend!CF78/(Trend!CF74-Trend!CF75))</f>
        <v>0.49741810339115722</v>
      </c>
      <c r="CA14" s="119">
        <f>(Trend!CG78/(Trend!CG74-Trend!CG75))</f>
        <v>0.48245397567950321</v>
      </c>
      <c r="CB14" s="119">
        <f>(Trend!CH78/(Trend!CH74-Trend!CH75))</f>
        <v>0.53936389139328933</v>
      </c>
      <c r="CC14" s="119">
        <f>(Trend!CI78/(Trend!CI74-Trend!CI75))</f>
        <v>0.57477172422164724</v>
      </c>
      <c r="CD14" s="119">
        <f>(Trend!CJ78/(Trend!CJ74-Trend!CJ75))</f>
        <v>0.770306467539979</v>
      </c>
      <c r="CE14" s="119">
        <f>(Trend!CK78/(Trend!CK74-Trend!CK75))</f>
        <v>0.30481100532768973</v>
      </c>
      <c r="CF14" s="119">
        <f>(Trend!CL78/(Trend!CL74-Trend!CL75))</f>
        <v>0.40842226066340276</v>
      </c>
      <c r="CG14" s="119">
        <f>(Trend!CM78/(Trend!CM74-Trend!CM75))</f>
        <v>0.44731712213668562</v>
      </c>
      <c r="CH14" s="119">
        <f>(Trend!CN78/(Trend!CN74-Trend!CN75))</f>
        <v>0.43682991620836614</v>
      </c>
      <c r="CI14" s="119">
        <f>(Trend!CO78/(Trend!CO74-Trend!CO75))</f>
        <v>0.41628480550211944</v>
      </c>
      <c r="CJ14" s="119">
        <f>(Trend!CP78/(Trend!CP74-Trend!CP75))</f>
        <v>0.40365098902724189</v>
      </c>
      <c r="CK14" s="119" t="e">
        <f>(Trend!CQ78/(Trend!CQ74-Trend!CQ75))</f>
        <v>#DIV/0!</v>
      </c>
      <c r="CL14" s="119">
        <f>(Trend!CR78/(Trend!CR74-Trend!CR75))</f>
        <v>0.36900995689833688</v>
      </c>
      <c r="CM14" s="119">
        <f>(Trend!CS78/(Trend!CS74-Trend!CS75))</f>
        <v>0.39811563848395187</v>
      </c>
      <c r="CN14" s="119">
        <f>(Trend!CT78/(Trend!CT74-Trend!CT75))</f>
        <v>0.40745437566903658</v>
      </c>
      <c r="CO14" s="119">
        <f>(Trend!CU78/(Trend!CU74-Trend!CU75))</f>
        <v>0.39922553124061727</v>
      </c>
      <c r="CP14" s="119">
        <f>(Trend!CV78/(Trend!CV74-Trend!CV75))</f>
        <v>0.47937568397010955</v>
      </c>
      <c r="CQ14" s="119">
        <f>(Trend!CW78/(Trend!CW74-Trend!CW75))</f>
        <v>0.71855501999941174</v>
      </c>
      <c r="CR14" s="119">
        <f>(Trend!CX78/(Trend!CX74-Trend!CX75))</f>
        <v>0.34950668697901938</v>
      </c>
      <c r="CS14" s="119">
        <f>(Trend!CY78/(Trend!CY74-Trend!CY75))</f>
        <v>0.33115624490251649</v>
      </c>
      <c r="CT14" s="119">
        <f>(Trend!CZ78/(Trend!CZ74-Trend!CZ75))</f>
        <v>0.37502964490201385</v>
      </c>
      <c r="CU14" s="119">
        <f>(Trend!DA78/(Trend!DA74-Trend!DA75))</f>
        <v>0.36660811467694521</v>
      </c>
      <c r="CV14" s="119">
        <f>(Trend!DB78/(Trend!DB74-Trend!DB75))</f>
        <v>0.36612708073002909</v>
      </c>
      <c r="CW14" s="119">
        <f>(Trend!DC78/(Trend!DC74-Trend!DC75))</f>
        <v>0.39776055506558916</v>
      </c>
      <c r="CX14" s="119">
        <f>(Trend!DD78/(Trend!DD74-Trend!DD75))</f>
        <v>0.37886704619754402</v>
      </c>
      <c r="CY14" s="119">
        <f>(Trend!DE78/(Trend!DE74-Trend!DE75))</f>
        <v>0.40655445365690129</v>
      </c>
      <c r="CZ14" s="119">
        <f>(Trend!DF78/(Trend!DF74-Trend!DF75))</f>
        <v>0.39901739767028821</v>
      </c>
      <c r="DA14" s="119">
        <f>(Trend!DG78/(Trend!DG74-Trend!DG75))</f>
        <v>0.44385220428658928</v>
      </c>
      <c r="DB14" s="119">
        <f>(Trend!DH78/(Trend!DH74-Trend!DH75))</f>
        <v>0.44227500059140457</v>
      </c>
      <c r="DC14" s="119">
        <f>(Trend!DI78/(Trend!DI74-Trend!DI75))</f>
        <v>0.5480607998244903</v>
      </c>
      <c r="DD14" s="119">
        <f>(Trend!DJ78/(Trend!DJ74-Trend!DJ75))</f>
        <v>0.72131998005162734</v>
      </c>
      <c r="DE14" s="119">
        <f>(Trend!DK78/(Trend!DK74-Trend!DK75))</f>
        <v>0.37908479215620117</v>
      </c>
      <c r="DF14" s="119">
        <f>(Trend!DL78/(Trend!DL74-Trend!DL75))</f>
        <v>0.33030292916450615</v>
      </c>
      <c r="DG14" s="119">
        <f>(Trend!DM78/(Trend!DM74-Trend!DM75))</f>
        <v>0.34783436191429856</v>
      </c>
      <c r="DH14" s="119">
        <f>(Trend!DN78/(Trend!DN74-Trend!DN75))</f>
        <v>0.36203068544747641</v>
      </c>
      <c r="DI14" s="119">
        <f>(Trend!DO78/(Trend!DO74-Trend!DO75))</f>
        <v>0.35210047083348306</v>
      </c>
      <c r="DJ14" s="119">
        <f>(Trend!DP78/(Trend!DP74-Trend!DP75))</f>
        <v>0.37282750936072523</v>
      </c>
      <c r="DK14" s="119">
        <f>(Trend!DQ78/(Trend!DQ74-Trend!DQ75))</f>
        <v>0.37677232453680165</v>
      </c>
      <c r="DL14" s="119">
        <f>(Trend!DR78/(Trend!DR74-Trend!DR75))</f>
        <v>0.36675950476889851</v>
      </c>
      <c r="DM14" s="119">
        <f>(Trend!DS78/(Trend!DS74-Trend!DS75))</f>
        <v>0.37338769289332197</v>
      </c>
      <c r="DN14" s="119">
        <f>(Trend!DT78/(Trend!DT74-Trend!DT75))</f>
        <v>0.41558941273069055</v>
      </c>
      <c r="DO14" s="119">
        <f>(Trend!DU78/(Trend!DU74-Trend!DU75))</f>
        <v>0.41882908397016633</v>
      </c>
      <c r="DP14" s="119" t="e">
        <f>(Trend!DV78/(Trend!DV74-Trend!DV75))</f>
        <v>#DIV/0!</v>
      </c>
      <c r="DQ14" s="119" t="e">
        <f>(Trend!#REF!/(Trend!#REF!-Trend!#REF!))</f>
        <v>#REF!</v>
      </c>
    </row>
    <row r="15" spans="1:121" s="1" customFormat="1" x14ac:dyDescent="0.25">
      <c r="A15" s="702"/>
      <c r="B15" s="708"/>
      <c r="C15" s="105" t="s">
        <v>276</v>
      </c>
      <c r="D15" s="106"/>
      <c r="E15" s="119" t="e">
        <f>Trend!C78/((Financials!C5+Financials!B5)/2)</f>
        <v>#VALUE!</v>
      </c>
      <c r="F15" s="119">
        <f>Trend!D78/((Financials!D5+Financials!C5)/2)</f>
        <v>6.1403116311334063E-2</v>
      </c>
      <c r="G15" s="119">
        <f>Trend!E78/((Financials!E5+Financials!D5)/2)</f>
        <v>5.530295379827263E-2</v>
      </c>
      <c r="H15" s="119">
        <f>Trend!F78/((Financials!F5+Financials!E5)/2)</f>
        <v>7.4796084948080044E-2</v>
      </c>
      <c r="I15" s="119">
        <f>Trend!G78/((Financials!G5+Financials!F5)/2)</f>
        <v>8.7303234992713905E-2</v>
      </c>
      <c r="J15" s="119">
        <f>Trend!H78/((Financials!H5+Financials!G5)/2)</f>
        <v>6.0481638175286236E-5</v>
      </c>
      <c r="K15" s="119">
        <f>Trend!I78/((Financials!I5+Financials!H5)/2)</f>
        <v>5.5979256832493336E-2</v>
      </c>
      <c r="L15" s="119">
        <f>Trend!J78/((Financials!J5+Financials!I5)/2)</f>
        <v>4.1656233424040092</v>
      </c>
      <c r="M15" s="119">
        <f>Trend!K78/((Financials!K5+Financials!J5)/2)</f>
        <v>8.4738876196602669E-3</v>
      </c>
      <c r="N15" s="119" t="e">
        <f>Trend!#REF!/((Financials!F5+Financials!G5)/2)</f>
        <v>#REF!</v>
      </c>
      <c r="O15" s="119" t="e">
        <f>Trend!#REF!/((Financials!G5+Financials!H5)/2)</f>
        <v>#REF!</v>
      </c>
      <c r="P15" s="119" t="e">
        <f>Trend!#REF!/((Financials!V5+Financials!U5)/2)</f>
        <v>#REF!</v>
      </c>
      <c r="Q15" s="119">
        <f>Trend!W78/((Financials!W5+Financials!W5)/2)</f>
        <v>4.974058478631538E-3</v>
      </c>
      <c r="R15" s="119">
        <f>Trend!X78/((Financials!X5+Financials!X5)/2)</f>
        <v>8.589852618163701E-3</v>
      </c>
      <c r="S15" s="119">
        <f>Trend!Y78/((Financials!Y5+Financials!Y5)/2)</f>
        <v>1.8921346395034705E-2</v>
      </c>
      <c r="T15" s="119">
        <f>Trend!Z78/((Financials!Z5+Financials!Z5)/2)</f>
        <v>2.622286829037784E-2</v>
      </c>
      <c r="U15" s="119">
        <f>Trend!AA78/((Financials!AA5+Financials!AA5)/2)</f>
        <v>3.5533797113279496E-2</v>
      </c>
      <c r="V15" s="119">
        <f>Trend!AB78/((Financials!AB5+Financials!AB5)/2)</f>
        <v>3.3548286725420887E-2</v>
      </c>
      <c r="W15" s="119">
        <f>Trend!AC78/((Financials!AC5+Financials!AC5)/2)</f>
        <v>3.6504918683429505E-2</v>
      </c>
      <c r="X15" s="119">
        <f>Trend!AD78/((Financials!AD5+Financials!AD5)/2)</f>
        <v>3.8764005753406182E-2</v>
      </c>
      <c r="Y15" s="119">
        <f>Trend!AE78/((Financials!AE5+Financials!AE5)/2)</f>
        <v>4.6080207512358334E-2</v>
      </c>
      <c r="Z15" s="119">
        <f>Trend!AF78/((Financials!AF5+Financials!AF5)/2)</f>
        <v>4.8627570381583281E-2</v>
      </c>
      <c r="AA15" s="119">
        <f>Trend!AG78/((Financials!AG5+Financials!AG5)/2)</f>
        <v>5.1229012348912473E-2</v>
      </c>
      <c r="AB15" s="119">
        <f>Trend!AH78/((Financials!AH5+Financials!AH5)/2)</f>
        <v>5.6109350744406226E-2</v>
      </c>
      <c r="AC15" s="119">
        <f>Trend!AI78/((Financials!AI5+Financials!AI5)/2)</f>
        <v>5.6792407412989923E-2</v>
      </c>
      <c r="AD15" s="119">
        <f>Trend!AJ78/((Financials!AJ5+Financials!AJ5)/2)</f>
        <v>5.772062207137995E-2</v>
      </c>
      <c r="AE15" s="119" t="e">
        <f>Trend!AK78/((Financials!AK5+Financials!AK5)/2)</f>
        <v>#DIV/0!</v>
      </c>
      <c r="AF15" s="119">
        <f>Trend!AL78/((Financials!AL5+Financials!AL5)/2)</f>
        <v>1.4807609193465408E-2</v>
      </c>
      <c r="AG15" s="119">
        <f>Trend!AM78/((Financials!AM5+Financials!AM5)/2)</f>
        <v>2.1457641398424793E-2</v>
      </c>
      <c r="AH15" s="119">
        <f>Trend!AN78/((Financials!AN5+Financials!AN5)/2)</f>
        <v>3.0966859729745142E-2</v>
      </c>
      <c r="AI15" s="119">
        <f>Trend!AO78/((Financials!AO5+Financials!AO5)/2)</f>
        <v>3.504954444407201E-2</v>
      </c>
      <c r="AJ15" s="119">
        <f>Trend!AP78/((Financials!AP5+Financials!AP5)/2)</f>
        <v>0</v>
      </c>
      <c r="AK15" s="119">
        <f>Trend!AQ78/((Financials!AQ5+Financials!AQ5)/2)</f>
        <v>3.3315845801433978E-2</v>
      </c>
      <c r="AL15" s="119">
        <f>Trend!AR78/((Financials!AR5+Financials!AR5)/2)</f>
        <v>4.3743278402642818E-2</v>
      </c>
      <c r="AM15" s="119">
        <f>Trend!AS78/((Financials!AS5+Financials!AS5)/2)</f>
        <v>0</v>
      </c>
      <c r="AN15" s="119" t="e">
        <f>Trend!AT78/((Financials!AT5+Financials!AT5)/2)</f>
        <v>#DIV/0!</v>
      </c>
      <c r="AO15" s="119">
        <f>Trend!AU78/((Financials!AU5+Financials!AU5)/2)</f>
        <v>5.0628458828571032E-2</v>
      </c>
      <c r="AP15" s="119">
        <f>Trend!AV78/((Financials!AV5+Financials!AV5)/2)</f>
        <v>6.893674238360202E-2</v>
      </c>
      <c r="AQ15" s="119">
        <f>Trend!AW78/((Financials!AW5+Financials!AW5)/2)</f>
        <v>5.120488952900256E-2</v>
      </c>
      <c r="AR15" s="119" t="e">
        <f>Trend!AX78/((Financials!AX5+Financials!AX5)/2)</f>
        <v>#DIV/0!</v>
      </c>
      <c r="AS15" s="119" t="e">
        <f>Trend!AY78/((Financials!AY5+Financials!AY5)/2)</f>
        <v>#DIV/0!</v>
      </c>
      <c r="AT15" s="119">
        <f>Trend!AZ78/((Financials!AZ5+Financials!AZ5)/2)</f>
        <v>1.3336504695691935E-2</v>
      </c>
      <c r="AU15" s="119">
        <f>Trend!BA78/((Financials!BA5+Financials!BA5)/2)</f>
        <v>2.3039170490196031E-2</v>
      </c>
      <c r="AV15" s="119">
        <f>Trend!BB78/((Financials!BB5+Financials!BB5)/2)</f>
        <v>2.6176955157858627E-2</v>
      </c>
      <c r="AW15" s="119">
        <f>Trend!BC78/((Financials!BC5+Financials!BC5)/2)</f>
        <v>2.5884983131529912E-2</v>
      </c>
      <c r="AX15" s="119">
        <f>Trend!BD78/((Financials!BD5+Financials!BD5)/2)</f>
        <v>3.3832077992893721E-2</v>
      </c>
      <c r="AY15" s="119">
        <f>Trend!BE78/((Financials!BE5+Financials!BE5)/2)</f>
        <v>3.7731173126318011E-2</v>
      </c>
      <c r="AZ15" s="119">
        <f>Trend!BF78/((Financials!BF5+Financials!BF5)/2)</f>
        <v>3.7653103065195377E-2</v>
      </c>
      <c r="BA15" s="119" t="e">
        <f>Trend!BG78/((Financials!BG5+Financials!BG5)/2)</f>
        <v>#DIV/0!</v>
      </c>
      <c r="BB15" s="119">
        <f>Trend!BH78/((Financials!BH5+Financials!BH5)/2)</f>
        <v>5.6782884674781674E-2</v>
      </c>
      <c r="BC15" s="119">
        <f>Trend!BI78/((Financials!BI5+Financials!BI5)/2)</f>
        <v>6.957351933646802E-2</v>
      </c>
      <c r="BD15" s="119">
        <f>Trend!BJ78/((Financials!BJ5+Financials!BJ5)/2)</f>
        <v>6.8134816631800127E-2</v>
      </c>
      <c r="BE15" s="119">
        <f>Trend!BK78/((Financials!BK5+Financials!BK5)/2)</f>
        <v>7.7678647885892132E-3</v>
      </c>
      <c r="BF15" s="119">
        <f>Trend!BL78/((Financials!BL5+Financials!BL5)/2)</f>
        <v>1.3572117487923982E-2</v>
      </c>
      <c r="BG15" s="119">
        <f>Trend!BM78/((Financials!BM5+Financials!BM5)/2)</f>
        <v>2.2249682807968626E-2</v>
      </c>
      <c r="BH15" s="119">
        <f>Trend!BN78/((Financials!BN5+Financials!BN5)/2)</f>
        <v>2.6861425621774591E-2</v>
      </c>
      <c r="BI15" s="119">
        <f>Trend!BO78/((Financials!BO5+Financials!BO5)/2)</f>
        <v>3.5497987613586315E-2</v>
      </c>
      <c r="BJ15" s="119">
        <f>Trend!BP78/((Financials!BP5+Financials!BP5)/2)</f>
        <v>3.6088987958602207E-2</v>
      </c>
      <c r="BK15" s="119">
        <f>Trend!BQ78/((Financials!BQ5+Financials!BQ5)/2)</f>
        <v>4.787205606295545E-2</v>
      </c>
      <c r="BL15" s="119">
        <f>Trend!BR78/((Financials!BR5+Financials!BR5)/2)</f>
        <v>5.5116969521191758E-2</v>
      </c>
      <c r="BM15" s="119">
        <f>Trend!BS78/((Financials!BS5+Financials!BS5)/2)</f>
        <v>5.8570987807926633E-2</v>
      </c>
      <c r="BN15" s="119">
        <f>Trend!BT78/((Financials!BT5+Financials!BT5)/2)</f>
        <v>6.9370267494459237E-2</v>
      </c>
      <c r="BO15" s="119">
        <f>Trend!BU78/((Financials!BU5+Financials!BU5)/2)</f>
        <v>6.0261174997220786E-2</v>
      </c>
      <c r="BP15" s="119">
        <f>Trend!BV78/((Financials!BV5+Financials!BV5)/2)</f>
        <v>8.6074968457766313E-2</v>
      </c>
      <c r="BQ15" s="119">
        <f>Trend!BW78/((Financials!BW5+Financials!BW5)/2)</f>
        <v>6.392428204334942E-2</v>
      </c>
      <c r="BR15" s="119">
        <f>Trend!BX78/((Financials!BX5+Financials!BX5)/2)</f>
        <v>7.1099921742243831E-3</v>
      </c>
      <c r="BS15" s="119">
        <f>Trend!BY78/((Financials!BY5+Financials!BY5)/2)</f>
        <v>1.5177623325438322E-2</v>
      </c>
      <c r="BT15" s="119">
        <f>Trend!BZ78/((Financials!BZ5+Financials!BZ5)/2)</f>
        <v>2.5267443173897439E-2</v>
      </c>
      <c r="BU15" s="119">
        <f>Trend!CA78/((Financials!CA5+Financials!CA5)/2)</f>
        <v>2.918620030583944E-2</v>
      </c>
      <c r="BV15" s="119">
        <f>Trend!CB78/((Financials!CB5+Financials!CB5)/2)</f>
        <v>3.3304304590600173E-2</v>
      </c>
      <c r="BW15" s="119">
        <f>Trend!CC78/((Financials!CC5+Financials!CC5)/2)</f>
        <v>3.7144766861655076E-2</v>
      </c>
      <c r="BX15" s="119">
        <f>Trend!CD78/((Financials!CD5+Financials!CD5)/2)</f>
        <v>4.387573509392282E-2</v>
      </c>
      <c r="BY15" s="119">
        <f>Trend!CE78/((Financials!CE5+Financials!CE5)/2)</f>
        <v>4.6716413134823158E-2</v>
      </c>
      <c r="BZ15" s="119">
        <f>Trend!CF78/((Financials!CF5+Financials!CF5)/2)</f>
        <v>4.9015617400856804E-2</v>
      </c>
      <c r="CA15" s="119">
        <f>Trend!CG78/((Financials!CG5+Financials!CG5)/2)</f>
        <v>5.0370747245855524E-2</v>
      </c>
      <c r="CB15" s="119">
        <f>Trend!CH78/((Financials!CH5+Financials!CH5)/2)</f>
        <v>6.0761904770694E-2</v>
      </c>
      <c r="CC15" s="119">
        <f>Trend!CI78/((Financials!CI5+Financials!CI5)/2)</f>
        <v>7.5584976825648922E-2</v>
      </c>
      <c r="CD15" s="119">
        <f>Trend!CJ78/((Financials!CJ5+Financials!CJ5)/2)</f>
        <v>7.5113877955414313E-2</v>
      </c>
      <c r="CE15" s="119">
        <f>Trend!CK78/((Financials!CK5+Financials!CK5)/2)</f>
        <v>4.8398167422152262E-3</v>
      </c>
      <c r="CF15" s="119">
        <f>Trend!CL78/((Financials!CL5+Financials!CL5)/2)</f>
        <v>9.6251639501700147E-3</v>
      </c>
      <c r="CG15" s="119">
        <f>Trend!CM78/((Financials!CM5+Financials!CM5)/2)</f>
        <v>1.6204163067622665E-2</v>
      </c>
      <c r="CH15" s="119">
        <f>Trend!CN78/((Financials!CN5+Financials!CN5)/2)</f>
        <v>1.9894725434872314E-2</v>
      </c>
      <c r="CI15" s="119">
        <f>Trend!CO78/((Financials!CO5+Financials!CO5)/2)</f>
        <v>2.4352452921928627E-2</v>
      </c>
      <c r="CJ15" s="119">
        <f>Trend!CP78/((Financials!CP5+Financials!CP5)/2)</f>
        <v>2.7483734012780297E-2</v>
      </c>
      <c r="CK15" s="119">
        <f>Trend!CQ78/((Financials!CQ5+Financials!CQ5)/2)</f>
        <v>0</v>
      </c>
      <c r="CL15" s="119">
        <f>Trend!CR78/((Financials!CR5+Financials!CR5)/2)</f>
        <v>3.5322697458772652E-2</v>
      </c>
      <c r="CM15" s="119">
        <f>Trend!CS78/((Financials!CS5+Financials!CS5)/2)</f>
        <v>4.123199336357089E-2</v>
      </c>
      <c r="CN15" s="119">
        <f>Trend!CT78/((Financials!CT5+Financials!CT5)/2)</f>
        <v>9.3521534357254854E-2</v>
      </c>
      <c r="CO15" s="119">
        <f>Trend!CU78/((Financials!CU5+Financials!CU5)/2)</f>
        <v>5.0297818636431076E-2</v>
      </c>
      <c r="CP15" s="119">
        <f>Trend!CV78/((Financials!CV5+Financials!CV5)/2)</f>
        <v>6.5740453414664973E-2</v>
      </c>
      <c r="CQ15" s="119">
        <f>Trend!CW78/((Financials!CW5+Financials!CW5)/2)</f>
        <v>6.6137797477841084E-2</v>
      </c>
      <c r="CR15" s="119">
        <f>Trend!CX78/((Financials!CX5+Financials!CX5)/2)</f>
        <v>4.2768864804885861E-3</v>
      </c>
      <c r="CS15" s="119">
        <f>Trend!CY78/((Financials!CY5+Financials!CY5)/2)</f>
        <v>8.1430117836332645E-3</v>
      </c>
      <c r="CT15" s="119">
        <f>Trend!CZ78/((Financials!CZ5+Financials!CZ5)/2)</f>
        <v>1.4481581709431087E-2</v>
      </c>
      <c r="CU15" s="119">
        <f>Trend!DA78/((Financials!DA5+Financials!DA5)/2)</f>
        <v>1.9095763246788331E-2</v>
      </c>
      <c r="CV15" s="119">
        <f>Trend!DB78/((Financials!DB5+Financials!DB5)/2)</f>
        <v>2.3560466073036499E-2</v>
      </c>
      <c r="CW15" s="119">
        <f>Trend!DC78/((Financials!DC5+Financials!DC5)/2)</f>
        <v>3.0079370987692471E-2</v>
      </c>
      <c r="CX15" s="119">
        <f>Trend!DD78/((Financials!DD5+Financials!DD5)/2)</f>
        <v>3.2278822749100711E-2</v>
      </c>
      <c r="CY15" s="119">
        <f>Trend!DE78/((Financials!DE5+Financials!DE5)/2)</f>
        <v>3.5602321707042382E-2</v>
      </c>
      <c r="CZ15" s="119">
        <f>Trend!DF78/((Financials!DF5+Financials!DF5)/2)</f>
        <v>3.9052447617954449E-2</v>
      </c>
      <c r="DA15" s="119">
        <f>Trend!DG78/((Financials!DG5+Financials!DG5)/2)</f>
        <v>5.0735585739691051E-2</v>
      </c>
      <c r="DB15" s="119">
        <f>Trend!DH78/((Financials!DH5+Financials!DH5)/2)</f>
        <v>5.4244650568045588E-2</v>
      </c>
      <c r="DC15" s="119">
        <f>Trend!DI78/((Financials!DI5+Financials!DI5)/2)</f>
        <v>7.3759449144766398E-2</v>
      </c>
      <c r="DD15" s="119">
        <f>Trend!DJ78/((Financials!DJ5+Financials!DJ5)/2)</f>
        <v>7.6538492011259771E-2</v>
      </c>
      <c r="DE15" s="119">
        <f>Trend!DK78/((Financials!DK5+Financials!DK5)/2)</f>
        <v>5.0520705729406026E-3</v>
      </c>
      <c r="DF15" s="119">
        <f>Trend!DL78/((Financials!DL5+Financials!DL5)/2)</f>
        <v>9.0401494350413909E-3</v>
      </c>
      <c r="DG15" s="119">
        <f>Trend!DM78/((Financials!DM5+Financials!DM5)/2)</f>
        <v>1.5623504454356188E-2</v>
      </c>
      <c r="DH15" s="119">
        <f>Trend!DN78/((Financials!DN5+Financials!DN5)/2)</f>
        <v>2.1093371360232437E-2</v>
      </c>
      <c r="DI15" s="119">
        <f>Trend!DO78/((Financials!DO5+Financials!DO5)/2)</f>
        <v>2.4897735489651213E-2</v>
      </c>
      <c r="DJ15" s="119">
        <f>Trend!DP78/((Financials!DP5+Financials!DP5)/2)</f>
        <v>3.0153816856888324E-2</v>
      </c>
      <c r="DK15" s="119">
        <f>Trend!DQ78/((Financials!DQ5+Financials!DQ5)/2)</f>
        <v>3.4663730877120172E-2</v>
      </c>
      <c r="DL15" s="119">
        <f>Trend!DR78/((Financials!DR5+Financials!DR5)/2)</f>
        <v>3.8431848240623699E-2</v>
      </c>
      <c r="DM15" s="119">
        <f>Trend!DS78/((Financials!DS5+Financials!DS5)/2)</f>
        <v>4.3478205311604873E-2</v>
      </c>
      <c r="DN15" s="119">
        <f>Trend!DT78/((Financials!DT5+Financials!DT5)/2)</f>
        <v>5.3522945575385901E-2</v>
      </c>
      <c r="DO15" s="119">
        <f>Trend!DU78/((Financials!DU5+Financials!DU5)/2)</f>
        <v>5.8086382680878575E-2</v>
      </c>
      <c r="DP15" s="119" t="e">
        <f>Trend!DV78/((Financials!DV5+Financials!DV5)/2)</f>
        <v>#DIV/0!</v>
      </c>
      <c r="DQ15" s="119" t="e">
        <f>Trend!#REF!/((Financials!DX5+Financials!DX5)/2)</f>
        <v>#REF!</v>
      </c>
    </row>
    <row r="16" spans="1:121" s="1" customFormat="1" x14ac:dyDescent="0.25">
      <c r="A16" s="702"/>
      <c r="B16" s="210"/>
      <c r="C16" s="105"/>
      <c r="D16" s="106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05"/>
      <c r="BL16" s="105"/>
      <c r="BM16" s="105"/>
      <c r="BN16" s="105"/>
      <c r="BO16" s="105"/>
      <c r="BP16" s="105"/>
      <c r="BQ16" s="105"/>
      <c r="BR16" s="105"/>
      <c r="BS16" s="105"/>
      <c r="BT16" s="105"/>
      <c r="BU16" s="105"/>
      <c r="BV16" s="105"/>
      <c r="BW16" s="105"/>
      <c r="BX16" s="105"/>
      <c r="BY16" s="105"/>
      <c r="BZ16" s="105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5"/>
      <c r="CL16" s="105"/>
      <c r="CM16" s="105"/>
      <c r="CN16" s="105"/>
      <c r="CO16" s="105"/>
      <c r="CP16" s="105"/>
      <c r="CQ16" s="105"/>
      <c r="CR16" s="105"/>
      <c r="CS16" s="105"/>
      <c r="CT16" s="105"/>
      <c r="CU16" s="105"/>
      <c r="CV16" s="105"/>
      <c r="CW16" s="105"/>
      <c r="CX16" s="105"/>
      <c r="CY16" s="105"/>
      <c r="CZ16" s="105"/>
      <c r="DA16" s="105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5"/>
      <c r="DO16" s="105"/>
      <c r="DP16" s="105"/>
      <c r="DQ16" s="105"/>
    </row>
    <row r="17" spans="1:121" s="1" customFormat="1" x14ac:dyDescent="0.25">
      <c r="A17" s="702"/>
      <c r="B17" s="708" t="s">
        <v>277</v>
      </c>
      <c r="C17" s="105" t="s">
        <v>278</v>
      </c>
      <c r="D17" s="106" t="s">
        <v>279</v>
      </c>
      <c r="E17" s="119">
        <f>Trend!C5/(Financials!C10+Trend!C28+Trend!C29)</f>
        <v>0.81083286599236881</v>
      </c>
      <c r="F17" s="119">
        <f>Trend!D5/(Financials!D10+Trend!D28+Trend!D29)</f>
        <v>1.2622360191871909</v>
      </c>
      <c r="G17" s="119">
        <f>Trend!E5/(Financials!E10+Trend!E28+Trend!E29)</f>
        <v>0.46155109783648907</v>
      </c>
      <c r="H17" s="119">
        <f>Trend!F5/(Financials!F10+Trend!F28+Trend!F29)</f>
        <v>1.0381362896795145</v>
      </c>
      <c r="I17" s="119">
        <f>Trend!G5/(Financials!G10+Trend!G28+Trend!G29)</f>
        <v>0.81145194769042706</v>
      </c>
      <c r="J17" s="119">
        <f>Trend!H5/(Financials!H10+Trend!H28+Trend!H29)</f>
        <v>7.2302885280743938</v>
      </c>
      <c r="K17" s="119">
        <f>Trend!I5/(Financials!I10+Trend!I28+Trend!I29)</f>
        <v>1.1154120430487866</v>
      </c>
      <c r="L17" s="119">
        <f>Trend!J5/(Financials!J10+Trend!J28+Trend!J29)</f>
        <v>7.2271062556987111</v>
      </c>
      <c r="M17" s="119">
        <f>Trend!K5/(Financials!K10+Trend!K28+Trend!K29)</f>
        <v>6.2791202086656615</v>
      </c>
      <c r="N17" s="119" t="e">
        <f>(Trend!#REF!+Trend!#REF!)/(Financials!F10+Trend!#REF!+Trend!#REF!)</f>
        <v>#REF!</v>
      </c>
      <c r="O17" s="119" t="e">
        <f>(Trend!#REF!+Trend!#REF!)/(Financials!G10+Trend!#REF!+Trend!#REF!)</f>
        <v>#REF!</v>
      </c>
      <c r="P17" s="119" t="e">
        <f>(Trend!#REF!+Trend!#REF!)/(Financials!V10+Trend!#REF!+Trend!#REF!)</f>
        <v>#REF!</v>
      </c>
      <c r="Q17" s="119">
        <f>(Trend!W5+Trend!W10)/(Financials!W10+Trend!W28+Trend!W29)</f>
        <v>3.0031118143993289</v>
      </c>
      <c r="R17" s="119">
        <f>(Trend!X5+Trend!X10)/(Financials!X10+Trend!X28+Trend!X29)</f>
        <v>3.0284507009083024</v>
      </c>
      <c r="S17" s="119">
        <f>(Trend!Y5+Trend!Y10)/(Financials!Y10+Trend!Y28+Trend!Y29)</f>
        <v>2.9841696706283072</v>
      </c>
      <c r="T17" s="119">
        <f>(Trend!Z5+Trend!Z10)/(Financials!Z10+Trend!Z28+Trend!Z29)</f>
        <v>4.3632279683788413</v>
      </c>
      <c r="U17" s="119">
        <f>(Trend!AA5+Trend!AA10)/(Financials!AA10+Trend!AA28+Trend!AA29)</f>
        <v>3.7816790833762259</v>
      </c>
      <c r="V17" s="119">
        <f>(Trend!AB5+Trend!AB10)/(Financials!AB10+Trend!AB28+Trend!AB29)</f>
        <v>5.2058054264793707</v>
      </c>
      <c r="W17" s="119">
        <f>(Trend!AC5+Trend!AC10)/(Financials!AC10+Trend!AC28+Trend!AC29)</f>
        <v>3.8549184120676396</v>
      </c>
      <c r="X17" s="119">
        <f>(Trend!AD5+Trend!AD10)/(Financials!AD10+Trend!AD28+Trend!AD29)</f>
        <v>2.2258499118741355</v>
      </c>
      <c r="Y17" s="119">
        <f>Trend!AE5/(Financials!AE10+Trend!AE28+Trend!AE29)</f>
        <v>1.9324036232315343</v>
      </c>
      <c r="Z17" s="119">
        <f>Trend!AF5/(Financials!AF10+Trend!AF28+Trend!AF29)</f>
        <v>2.2409309149458294</v>
      </c>
      <c r="AA17" s="119">
        <f>Trend!AG5/(Financials!AG10+Trend!AG28+Trend!AG29)</f>
        <v>1.6039549792599401</v>
      </c>
      <c r="AB17" s="119">
        <f>Trend!AH5/(Financials!AH10+Trend!AH28+Trend!AH29)</f>
        <v>1.7765395966752846</v>
      </c>
      <c r="AC17" s="119">
        <f>Trend!AI5/(Financials!AI10+Trend!AI28+Trend!AI29)</f>
        <v>0.21803990323406</v>
      </c>
      <c r="AD17" s="119">
        <f>Trend!AJ5/(Financials!AJ10+Trend!AJ28+Trend!AJ29)</f>
        <v>0.2303636465845269</v>
      </c>
      <c r="AE17" s="119" t="e">
        <f>Trend!AK5/(Financials!AK10+Trend!AK28+Trend!AK29)</f>
        <v>#DIV/0!</v>
      </c>
      <c r="AF17" s="119">
        <f>Trend!AL5/(Financials!AL10+Trend!AL28+Trend!AL29)</f>
        <v>0.87114530103493282</v>
      </c>
      <c r="AG17" s="119">
        <f>Trend!AM5/(Financials!AM10+Trend!AM28+Trend!AM29)</f>
        <v>1.1650419521251036</v>
      </c>
      <c r="AH17" s="119">
        <f>Trend!AN5/(Financials!AN10+Trend!AN28+Trend!AN29)</f>
        <v>1.4074356488539705</v>
      </c>
      <c r="AI17" s="119">
        <f>Trend!AO5/(Financials!AO10+Trend!AO28+Trend!AO29)</f>
        <v>3.7816790833762259</v>
      </c>
      <c r="AJ17" s="119">
        <f>Trend!AP5/(Financials!AP10+Trend!AP28+Trend!AP29)</f>
        <v>1.4803614288070563</v>
      </c>
      <c r="AK17" s="119">
        <f>Trend!AQ5/(Financials!AQ10+Trend!AQ28+Trend!AQ29)</f>
        <v>1.3413217697746251</v>
      </c>
      <c r="AL17" s="119">
        <f>Trend!AR5/(Financials!AR10+Trend!AR28+Trend!AR29)</f>
        <v>0.57186600751354422</v>
      </c>
      <c r="AM17" s="119">
        <f>Trend!AS5/(Financials!AS10+Trend!AS28+Trend!AS29)</f>
        <v>0.26470397622843927</v>
      </c>
      <c r="AN17" s="119" t="e">
        <f>Trend!AT5/(Financials!AT10+Trend!AT28+Trend!AT29)</f>
        <v>#DIV/0!</v>
      </c>
      <c r="AO17" s="119">
        <f>Trend!AU5/(Financials!AU10+Trend!AU28+Trend!AU29)</f>
        <v>0.64284612664469898</v>
      </c>
      <c r="AP17" s="119">
        <f>Trend!AV5/(Financials!AV10+Trend!AV28+Trend!AV29)</f>
        <v>5.8200747291301889E-2</v>
      </c>
      <c r="AQ17" s="119">
        <f>Trend!AW5/(Financials!AW10+Trend!AW28+Trend!AW29)</f>
        <v>0.98538583710151084</v>
      </c>
      <c r="AR17" s="119" t="e">
        <f>Trend!AX5/(Financials!AX10+Trend!AX28+Trend!AX29)</f>
        <v>#DIV/0!</v>
      </c>
      <c r="AS17" s="119" t="e">
        <f>Trend!AY5/(Financials!AY10+Trend!AY28+Trend!AY29)</f>
        <v>#DIV/0!</v>
      </c>
      <c r="AT17" s="119">
        <f>Trend!AZ5/(Financials!AZ10+Trend!AZ28+Trend!AZ29)</f>
        <v>-7.9134788768981126E-2</v>
      </c>
      <c r="AU17" s="119">
        <f>Trend!BA5/(Financials!BA10+Trend!BA28+Trend!BA29)</f>
        <v>-5.0219853925742422E-2</v>
      </c>
      <c r="AV17" s="119">
        <f>Trend!BB5/(Financials!BB10+Trend!BB28+Trend!BB29)</f>
        <v>0.19885908373914588</v>
      </c>
      <c r="AW17" s="119">
        <f>Trend!BC5/(Financials!BC10+Trend!BC28+Trend!BC29)</f>
        <v>0.17506950249915945</v>
      </c>
      <c r="AX17" s="119">
        <f>Trend!BD5/(Financials!BD10+Trend!BD28+Trend!BD29)</f>
        <v>0.19368270743477925</v>
      </c>
      <c r="AY17" s="119">
        <f>Trend!BE5/(Financials!BE10+Trend!BE28+Trend!BE29)</f>
        <v>0.31039103777534144</v>
      </c>
      <c r="AZ17" s="119">
        <f>Trend!BF5/(Financials!BF10+Trend!BF28+Trend!BF29)</f>
        <v>0.27104883777372663</v>
      </c>
      <c r="BA17" s="119" t="e">
        <f>Trend!BG5/(Financials!BG10+Trend!BG28+Trend!BG29)</f>
        <v>#DIV/0!</v>
      </c>
      <c r="BB17" s="119">
        <f>Trend!BH5/(Financials!BH10+Trend!BH28+Trend!BH29)</f>
        <v>0.32369933344054641</v>
      </c>
      <c r="BC17" s="119">
        <f>Trend!BI5/(Financials!BI10+Trend!BI28+Trend!BI29)</f>
        <v>0.34779364321263234</v>
      </c>
      <c r="BD17" s="119">
        <f>Trend!BJ5/(Financials!BJ10+Trend!BJ28+Trend!BJ29)</f>
        <v>1.2043415620497595</v>
      </c>
      <c r="BE17" s="119">
        <f>Trend!BK5/(Financials!BK10+Trend!BK28+Trend!BK29)</f>
        <v>0.25539808951240839</v>
      </c>
      <c r="BF17" s="119">
        <f>Trend!BL5/(Financials!BL10+Trend!BL28+Trend!BL29)</f>
        <v>0.34526589887583103</v>
      </c>
      <c r="BG17" s="119">
        <f>Trend!BM5/(Financials!BM10+Trend!BM28+Trend!BM29)</f>
        <v>0.28479497814480931</v>
      </c>
      <c r="BH17" s="119">
        <f>Trend!BN5/(Financials!BN10+Trend!BN28+Trend!BN29)</f>
        <v>0.38496102137981542</v>
      </c>
      <c r="BI17" s="119">
        <f>Trend!BO5/(Financials!BO10+Trend!BO28+Trend!BO29)</f>
        <v>0.43111157726577598</v>
      </c>
      <c r="BJ17" s="119">
        <f>Trend!BP5/(Financials!BP10+Trend!BP28+Trend!BP29)</f>
        <v>0.46117825875496687</v>
      </c>
      <c r="BK17" s="119">
        <f>Trend!BQ5/(Financials!BQ10+Trend!BQ28+Trend!BQ29)</f>
        <v>0.54630145547812725</v>
      </c>
      <c r="BL17" s="119">
        <f>Trend!BR5/(Financials!BR10+Trend!BR28+Trend!BR29)</f>
        <v>0.4715414243250588</v>
      </c>
      <c r="BM17" s="119">
        <f>Trend!BS5/(Financials!BS10+Trend!BS28+Trend!BS29)</f>
        <v>0.28267345749647776</v>
      </c>
      <c r="BN17" s="119">
        <f>Trend!BT5/(Financials!BT10+Trend!BT28+Trend!BT29)</f>
        <v>0.37096299908976721</v>
      </c>
      <c r="BO17" s="119">
        <f>Trend!BU5/(Financials!BU10+Trend!BU28+Trend!BU29)</f>
        <v>0.2918076462887278</v>
      </c>
      <c r="BP17" s="119">
        <f>Trend!BV5/(Financials!BV10+Trend!BV28+Trend!BV29)</f>
        <v>0.60535720406893578</v>
      </c>
      <c r="BQ17" s="119">
        <f>Trend!BW5/(Financials!BW10+Trend!BW28+Trend!BW29)</f>
        <v>1.1449395483910176</v>
      </c>
      <c r="BR17" s="119">
        <f>Trend!BX5/(Financials!BX10+Trend!BX28+Trend!BX29)</f>
        <v>0.4117611243756279</v>
      </c>
      <c r="BS17" s="119">
        <f>Trend!BY5/(Financials!BY10+Trend!BY28+Trend!BY29)</f>
        <v>0.19241944866579849</v>
      </c>
      <c r="BT17" s="119">
        <f>Trend!BZ5/(Financials!BZ10+Trend!BZ28+Trend!BZ29)</f>
        <v>0.40045885224124256</v>
      </c>
      <c r="BU17" s="119">
        <f>Trend!CA5/(Financials!CA10+Trend!CA28+Trend!CA29)</f>
        <v>0.61972101126445378</v>
      </c>
      <c r="BV17" s="119">
        <f>Trend!CB5/(Financials!CB10+Trend!CB28+Trend!CB29)</f>
        <v>0.41792874732511881</v>
      </c>
      <c r="BW17" s="119">
        <f>Trend!CC5/(Financials!CC10+Trend!CC28+Trend!CC29)</f>
        <v>0.36907649923809449</v>
      </c>
      <c r="BX17" s="119">
        <f>Trend!CD5/(Financials!CD10+Trend!CD28+Trend!CD29)</f>
        <v>0.37795146829541382</v>
      </c>
      <c r="BY17" s="119">
        <f>Trend!CE5/(Financials!CE10+Trend!CE28+Trend!CE29)</f>
        <v>0.1988075112287481</v>
      </c>
      <c r="BZ17" s="119">
        <f>Trend!CF5/(Financials!CF10+Trend!CF28+Trend!CF29)</f>
        <v>0.29704134155315615</v>
      </c>
      <c r="CA17" s="119">
        <f>Trend!CG5/(Financials!CG10+Trend!CG28+Trend!CG29)</f>
        <v>0.48427436026356951</v>
      </c>
      <c r="CB17" s="119">
        <f>Trend!CH5/(Financials!CH10+Trend!CH28+Trend!CH29)</f>
        <v>0.25247338265550523</v>
      </c>
      <c r="CC17" s="119">
        <f>Trend!CI5/(Financials!CI10+Trend!CI28+Trend!CI29)</f>
        <v>1.1297807740687165</v>
      </c>
      <c r="CD17" s="119">
        <f>Trend!CJ5/(Financials!CJ10+Trend!CJ28+Trend!CJ29)</f>
        <v>0.92044049288287411</v>
      </c>
      <c r="CE17" s="119">
        <f>Trend!CK5/(Financials!CK10+Trend!CK28+Trend!CK29)</f>
        <v>0.15987784825414322</v>
      </c>
      <c r="CF17" s="119">
        <f>Trend!CL5/(Financials!CL10+Trend!CL28+Trend!CL29)</f>
        <v>0.63090275041638677</v>
      </c>
      <c r="CG17" s="119">
        <f>Trend!CM5/(Financials!CM10+Trend!CM28+Trend!CM29)</f>
        <v>0.33041974867057616</v>
      </c>
      <c r="CH17" s="119">
        <f>Trend!CN5/(Financials!CN10+Trend!CN28+Trend!CN29)</f>
        <v>0.2853872301843573</v>
      </c>
      <c r="CI17" s="119">
        <f>Trend!CO5/(Financials!CO10+Trend!CO28+Trend!CO29)</f>
        <v>0.53314242693638902</v>
      </c>
      <c r="CJ17" s="119">
        <f>Trend!CP5/(Financials!CP10+Trend!CP28+Trend!CP29)</f>
        <v>0.20306277239496462</v>
      </c>
      <c r="CK17" s="119">
        <f>Trend!CQ5/(Financials!CQ10+Trend!CQ28+Trend!CQ29)</f>
        <v>0.20223504801136635</v>
      </c>
      <c r="CL17" s="119">
        <f>Trend!CR5/(Financials!CR10+Trend!CR28+Trend!CR29)</f>
        <v>0.37100284502747993</v>
      </c>
      <c r="CM17" s="119">
        <f>Trend!CS5/(Financials!CS10+Trend!CS28+Trend!CS29)</f>
        <v>0.30064519904193021</v>
      </c>
      <c r="CN17" s="119">
        <f>Trend!CT5/(Financials!CT10+Trend!CT28+Trend!CT29)</f>
        <v>0.3008628350437208</v>
      </c>
      <c r="CO17" s="119">
        <f>Trend!CU5/(Financials!CU10+Trend!CU28+Trend!CU29)</f>
        <v>0.1981697047873667</v>
      </c>
      <c r="CP17" s="119">
        <f>Trend!CV5/(Financials!CV10+Trend!CV28+Trend!CV29)</f>
        <v>0.37764762468650004</v>
      </c>
      <c r="CQ17" s="119">
        <f>Trend!CW5/(Financials!CW10+Trend!CW28+Trend!CW29)</f>
        <v>0.51761706430607157</v>
      </c>
      <c r="CR17" s="119">
        <f>Trend!CX5/(Financials!CX10+Trend!CX28+Trend!CX29)</f>
        <v>0.25787718319012626</v>
      </c>
      <c r="CS17" s="119">
        <f>Trend!CY5/(Financials!CY10+Trend!CY28+Trend!CY29)</f>
        <v>0.41382299457755711</v>
      </c>
      <c r="CT17" s="119">
        <f>Trend!CZ5/(Financials!CZ10+Trend!CZ28+Trend!CZ29)</f>
        <v>0.32988421378654342</v>
      </c>
      <c r="CU17" s="119">
        <f>Trend!DA5/(Financials!DA10+Trend!DA28+Trend!DA29)</f>
        <v>0.46461779973274536</v>
      </c>
      <c r="CV17" s="119">
        <f>Trend!DB5/(Financials!DB10+Trend!DB28+Trend!DB29)</f>
        <v>0.24229294542457935</v>
      </c>
      <c r="CW17" s="119">
        <f>Trend!DC5/(Financials!DC10+Trend!DC28+Trend!DC29)</f>
        <v>0.34601851845192194</v>
      </c>
      <c r="CX17" s="119">
        <f>Trend!DD5/(Financials!DD10+Trend!DD28+Trend!DD29)</f>
        <v>0.21552610384198995</v>
      </c>
      <c r="CY17" s="119">
        <f>Trend!DE5/(Financials!DE10+Trend!DE28+Trend!DE29)</f>
        <v>0.24468208442194125</v>
      </c>
      <c r="CZ17" s="119">
        <f>Trend!DF5/(Financials!DF10+Trend!DF28+Trend!DF29)</f>
        <v>0.30009616928190003</v>
      </c>
      <c r="DA17" s="119">
        <f>Trend!DG5/(Financials!DG10+Trend!DG28+Trend!DG29)</f>
        <v>0.18941900913373633</v>
      </c>
      <c r="DB17" s="119">
        <f>Trend!DH5/(Financials!DH10+Trend!DH28+Trend!DH29)</f>
        <v>0.2212461719460278</v>
      </c>
      <c r="DC17" s="119">
        <f>Trend!DI5/(Financials!DI10+Trend!DI28+Trend!DI29)</f>
        <v>0.31246798072061244</v>
      </c>
      <c r="DD17" s="119">
        <f>Trend!DJ5/(Financials!DJ10+Trend!DJ28+Trend!DJ29)</f>
        <v>0.41011316931501846</v>
      </c>
      <c r="DE17" s="119">
        <f>Trend!DK5/(Financials!DK10+Trend!DK28+Trend!DK29)</f>
        <v>0.1528998838842823</v>
      </c>
      <c r="DF17" s="119">
        <f>Trend!DL5/(Financials!DL10+Trend!DL28+Trend!DL29)</f>
        <v>0.20183604269071534</v>
      </c>
      <c r="DG17" s="119">
        <f>Trend!DM5/(Financials!DM10+Trend!DM28+Trend!DM29)</f>
        <v>0.37964528136635578</v>
      </c>
      <c r="DH17" s="119">
        <f>Trend!DN5/(Financials!DN10+Trend!DN28+Trend!DN29)</f>
        <v>0.18348819325142854</v>
      </c>
      <c r="DI17" s="119">
        <f>Trend!DO5/(Financials!DO10+Trend!DO28+Trend!DO29)</f>
        <v>0.16594010864191153</v>
      </c>
      <c r="DJ17" s="119">
        <f>Trend!DP5/(Financials!DP10+Trend!DP28+Trend!DP29)</f>
        <v>0.26475801184084424</v>
      </c>
      <c r="DK17" s="119">
        <f>Trend!DQ5/(Financials!DQ10+Trend!DQ28+Trend!DQ29)</f>
        <v>0.31893579883695106</v>
      </c>
      <c r="DL17" s="119">
        <f>Trend!DR5/(Financials!DR10+Trend!DR28+Trend!DR29)</f>
        <v>0.33103639020613834</v>
      </c>
      <c r="DM17" s="119">
        <f>Trend!DS5/(Financials!DS10+Trend!DS28+Trend!DS29)</f>
        <v>0.17560356689613787</v>
      </c>
      <c r="DN17" s="119">
        <f>Trend!DT5/(Financials!DT10+Trend!DT28+Trend!DT29)</f>
        <v>0.19931282535414024</v>
      </c>
      <c r="DO17" s="119">
        <f>Trend!DU5/(Financials!DU10+Trend!DU28+Trend!DU29)</f>
        <v>0.28102278528005975</v>
      </c>
      <c r="DP17" s="119" t="e">
        <f>Trend!DV5/(Financials!DV10+Trend!DV28+Trend!DV29)</f>
        <v>#DIV/0!</v>
      </c>
      <c r="DQ17" s="119" t="e">
        <f>Trend!#REF!/(Financials!DX10+Trend!#REF!+Trend!#REF!)</f>
        <v>#REF!</v>
      </c>
    </row>
    <row r="18" spans="1:121" s="1" customFormat="1" x14ac:dyDescent="0.25">
      <c r="A18" s="702"/>
      <c r="B18" s="708"/>
      <c r="C18" s="105" t="s">
        <v>280</v>
      </c>
      <c r="D18" s="106"/>
      <c r="E18" s="119">
        <f>(Trend!C5+Trend!C10+Trend!C12)/Financials!C6</f>
        <v>0.30383732541059988</v>
      </c>
      <c r="F18" s="119">
        <f>(Trend!D5+Trend!D10+Trend!D12)/Financials!D6</f>
        <v>0.34639282097498919</v>
      </c>
      <c r="G18" s="119">
        <f>(Trend!E5+Trend!E10+Trend!E12)/Financials!E6</f>
        <v>0.17617335631617828</v>
      </c>
      <c r="H18" s="119">
        <f>(Trend!F5+Trend!F10+Trend!F12)/Financials!F6</f>
        <v>0.38720378504957731</v>
      </c>
      <c r="I18" s="119">
        <f>(Trend!G5+Trend!G10+Trend!G12)/Financials!G6</f>
        <v>0.2873957252502487</v>
      </c>
      <c r="J18" s="119">
        <f>(Trend!H5+Trend!H10+Trend!H12)/Financials!H6</f>
        <v>0.45179103535835141</v>
      </c>
      <c r="K18" s="119">
        <f>(Trend!I5+Trend!I10+Trend!I12)/Financials!I6</f>
        <v>0.41086089292687611</v>
      </c>
      <c r="L18" s="119">
        <f>(Trend!J5+Trend!J10+Trend!J12)/Financials!J6</f>
        <v>0.44767613742013113</v>
      </c>
      <c r="M18" s="119">
        <f>(Trend!K5+Trend!K10+Trend!K12)/Financials!K6</f>
        <v>0.44125012044554057</v>
      </c>
      <c r="N18" s="119" t="e">
        <f>(Trend!#REF!+Trend!#REF!+Trend!#REF!)/Financials!F6</f>
        <v>#REF!</v>
      </c>
      <c r="O18" s="119" t="e">
        <f>(Trend!#REF!+Trend!#REF!+Trend!#REF!)/Financials!G6</f>
        <v>#REF!</v>
      </c>
      <c r="P18" s="119" t="e">
        <f>(Trend!#REF!+Trend!#REF!+Trend!#REF!)/Financials!V6</f>
        <v>#REF!</v>
      </c>
      <c r="Q18" s="119">
        <f>(Trend!W5+Trend!W10+Trend!W12)/Financials!W6</f>
        <v>0.22428511269860799</v>
      </c>
      <c r="R18" s="119">
        <f>(Trend!X5+Trend!X10+Trend!X12)/Financials!X6</f>
        <v>0.21885527655145004</v>
      </c>
      <c r="S18" s="119">
        <f>(Trend!Y5+Trend!Y10+Trend!Y12)/Financials!Y6</f>
        <v>0.23858456389404545</v>
      </c>
      <c r="T18" s="119">
        <f>(Trend!Z5+Trend!Z10+Trend!Z12)/Financials!Z6</f>
        <v>0.31235659458428017</v>
      </c>
      <c r="U18" s="119">
        <f>(Trend!AA5+Trend!AA10+Trend!AA12)/Financials!AA6</f>
        <v>0.32562177759924243</v>
      </c>
      <c r="V18" s="119">
        <f>(Trend!AB5+Trend!AB10+Trend!AB12)/Financials!AB6</f>
        <v>0.31757952302685166</v>
      </c>
      <c r="W18" s="119">
        <f>(Trend!AC5+Trend!AC10+Trend!AC12)/Financials!AC6</f>
        <v>0.30017124691213315</v>
      </c>
      <c r="X18" s="119">
        <f>(Trend!AD5+Trend!AD10+Trend!AD12)/Financials!AD6</f>
        <v>0.20745791274607236</v>
      </c>
      <c r="Y18" s="119">
        <f>(Trend!AE5+Trend!AE10+Trend!AE12)/Financials!AE6</f>
        <v>0.20588317685176563</v>
      </c>
      <c r="Z18" s="119">
        <f>(Trend!AF5+Trend!AF10+Trend!AF12)/Financials!AF6</f>
        <v>0.18500925524103198</v>
      </c>
      <c r="AA18" s="119">
        <f>(Trend!AG5+Trend!AG10+Trend!AG12)/Financials!AG6</f>
        <v>0.16225312893696753</v>
      </c>
      <c r="AB18" s="119">
        <f>(Trend!AH5+Trend!AH10+Trend!AH12)/Financials!AH6</f>
        <v>0.17386572706761216</v>
      </c>
      <c r="AC18" s="119">
        <f>(Trend!AI5+Trend!AI10+Trend!AI12)/Financials!AI6</f>
        <v>0.15662910822944218</v>
      </c>
      <c r="AD18" s="119">
        <f>(Trend!AJ5+Trend!AJ10+Trend!AJ12)/Financials!AJ6</f>
        <v>0.16013715672470588</v>
      </c>
      <c r="AE18" s="119" t="e">
        <f>(Trend!AK5+Trend!AK10+Trend!AK12)/Financials!AK6</f>
        <v>#DIV/0!</v>
      </c>
      <c r="AF18" s="119">
        <f>(Trend!AL5+Trend!AL10+Trend!AL12)/Financials!AL6</f>
        <v>0.13297874186843348</v>
      </c>
      <c r="AG18" s="119">
        <f>(Trend!AM5+Trend!AM10+Trend!AM12)/Financials!AM6</f>
        <v>0.15392298906229218</v>
      </c>
      <c r="AH18" s="119">
        <f>(Trend!AN5+Trend!AN10+Trend!AN12)/Financials!AN6</f>
        <v>0.17704951898293686</v>
      </c>
      <c r="AI18" s="119">
        <f>(Trend!AO5+Trend!AO10+Trend!AO12)/Financials!AO6</f>
        <v>0.32562177759924243</v>
      </c>
      <c r="AJ18" s="119">
        <f>(Trend!AP5+Trend!AP10+Trend!AP12)/Financials!AP6</f>
        <v>0.18789401135885636</v>
      </c>
      <c r="AK18" s="119">
        <f>(Trend!AQ5+Trend!AQ10+Trend!AQ12)/Financials!AQ6</f>
        <v>0.1846373417368922</v>
      </c>
      <c r="AL18" s="119">
        <f>(Trend!AR5+Trend!AR10+Trend!AR12)/Financials!AR6</f>
        <v>0.16073550300168951</v>
      </c>
      <c r="AM18" s="119">
        <f>(Trend!AS5+Trend!AS10+Trend!AS12)/Financials!AS6</f>
        <v>0.13893778664530235</v>
      </c>
      <c r="AN18" s="119" t="e">
        <f>(Trend!AT5+Trend!AT10+Trend!AT12)/Financials!AT6</f>
        <v>#DIV/0!</v>
      </c>
      <c r="AO18" s="119">
        <f>(Trend!AU5+Trend!AU10+Trend!AU12)/Financials!AU6</f>
        <v>0.17690478287029585</v>
      </c>
      <c r="AP18" s="119">
        <f>(Trend!AV5+Trend!AV10+Trend!AV12)/Financials!AV6</f>
        <v>0.15266469847414713</v>
      </c>
      <c r="AQ18" s="119">
        <f>(Trend!AW5+Trend!AW10+Trend!AW12)/Financials!AW6</f>
        <v>0.35618756304273569</v>
      </c>
      <c r="AR18" s="119" t="e">
        <f>(Trend!AX5+Trend!AX10+Trend!AX12)/Financials!AX6</f>
        <v>#DIV/0!</v>
      </c>
      <c r="AS18" s="119" t="e">
        <f>(Trend!AY5+Trend!AY10+Trend!AY12)/Financials!AY6</f>
        <v>#DIV/0!</v>
      </c>
      <c r="AT18" s="119">
        <f>(Trend!AZ5+Trend!AZ10+Trend!AZ12)/Financials!AZ6</f>
        <v>-9.7686436858124573E-2</v>
      </c>
      <c r="AU18" s="119">
        <f>(Trend!BA5+Trend!BA10+Trend!BA12)/Financials!BA6</f>
        <v>-7.7475626592767799E-2</v>
      </c>
      <c r="AV18" s="119">
        <f>(Trend!BB5+Trend!BB10+Trend!BB12)/Financials!BB6</f>
        <v>0.10377330504791529</v>
      </c>
      <c r="AW18" s="119">
        <f>(Trend!BC5+Trend!BC10+Trend!BC12)/Financials!BC6</f>
        <v>0.12743645023514324</v>
      </c>
      <c r="AX18" s="119">
        <f>(Trend!BD5+Trend!BD10+Trend!BD12)/Financials!BD6</f>
        <v>9.884019076485813E-2</v>
      </c>
      <c r="AY18" s="119">
        <f>(Trend!BE5+Trend!BE10+Trend!BE12)/Financials!BE6</f>
        <v>0.12680069828407589</v>
      </c>
      <c r="AZ18" s="119">
        <f>(Trend!BF5+Trend!BF10+Trend!BF12)/Financials!BF6</f>
        <v>0.11990660981683285</v>
      </c>
      <c r="BA18" s="119" t="e">
        <f>(Trend!BG5+Trend!BG10+Trend!BG12)/Financials!BG6</f>
        <v>#DIV/0!</v>
      </c>
      <c r="BB18" s="119">
        <f>(Trend!BH5+Trend!BH10+Trend!BH12)/Financials!BH6</f>
        <v>0.10018599728017727</v>
      </c>
      <c r="BC18" s="119">
        <f>(Trend!BI5+Trend!BI10+Trend!BI12)/Financials!BI6</f>
        <v>0.10486547744938617</v>
      </c>
      <c r="BD18" s="119">
        <f>(Trend!BJ5+Trend!BJ10+Trend!BJ12)/Financials!BJ6</f>
        <v>0.38685285225001492</v>
      </c>
      <c r="BE18" s="119">
        <f>(Trend!BK5+Trend!BK10+Trend!BK12)/Financials!BK6</f>
        <v>0.1028439145019638</v>
      </c>
      <c r="BF18" s="119">
        <f>(Trend!BL5+Trend!BL10+Trend!BL12)/Financials!BL6</f>
        <v>0.13303348114001171</v>
      </c>
      <c r="BG18" s="119">
        <f>(Trend!BM5+Trend!BM10+Trend!BM12)/Financials!BM6</f>
        <v>9.5616668672772215E-2</v>
      </c>
      <c r="BH18" s="119">
        <f>(Trend!BN5+Trend!BN10+Trend!BN12)/Financials!BN6</f>
        <v>0.12133378141045392</v>
      </c>
      <c r="BI18" s="119">
        <f>(Trend!BO5+Trend!BO10+Trend!BO12)/Financials!BO6</f>
        <v>0.12427701689596136</v>
      </c>
      <c r="BJ18" s="119">
        <f>(Trend!BP5+Trend!BP10+Trend!BP12)/Financials!BP6</f>
        <v>0.13518922411018394</v>
      </c>
      <c r="BK18" s="119">
        <f>(Trend!BQ5+Trend!BQ10+Trend!BQ12)/Financials!BQ6</f>
        <v>0.15713302803566653</v>
      </c>
      <c r="BL18" s="119">
        <f>(Trend!BR5+Trend!BR10+Trend!BR12)/Financials!BR6</f>
        <v>0.14044779331148358</v>
      </c>
      <c r="BM18" s="119">
        <f>(Trend!BS5+Trend!BS10+Trend!BS12)/Financials!BS6</f>
        <v>8.9099887930701532E-2</v>
      </c>
      <c r="BN18" s="119">
        <f>(Trend!BT5+Trend!BT10+Trend!BT12)/Financials!BT6</f>
        <v>0.10674286744510335</v>
      </c>
      <c r="BO18" s="119">
        <f>(Trend!BU5+Trend!BU10+Trend!BU12)/Financials!BU6</f>
        <v>9.4328151647660355E-2</v>
      </c>
      <c r="BP18" s="119">
        <f>(Trend!BV5+Trend!BV10+Trend!BV12)/Financials!BV6</f>
        <v>0.15783751719010733</v>
      </c>
      <c r="BQ18" s="119">
        <f>(Trend!BW5+Trend!BW10+Trend!BW12)/Financials!BW6</f>
        <v>0.42172231800099486</v>
      </c>
      <c r="BR18" s="119">
        <f>(Trend!BX5+Trend!BX10+Trend!BX12)/Financials!BX6</f>
        <v>0.12359161093410741</v>
      </c>
      <c r="BS18" s="119">
        <f>(Trend!BY5+Trend!BY10+Trend!BY12)/Financials!BY6</f>
        <v>6.5353018682027239E-2</v>
      </c>
      <c r="BT18" s="119">
        <f>(Trend!BZ5+Trend!BZ10+Trend!BZ12)/Financials!BZ6</f>
        <v>0.12990703439222931</v>
      </c>
      <c r="BU18" s="119">
        <f>(Trend!CA5+Trend!CA10+Trend!CA12)/Financials!CA6</f>
        <v>0.17965887833688457</v>
      </c>
      <c r="BV18" s="119">
        <f>(Trend!CB5+Trend!CB10+Trend!CB12)/Financials!CB6</f>
        <v>0.13488420122783257</v>
      </c>
      <c r="BW18" s="119">
        <f>(Trend!CC5+Trend!CC10+Trend!CC12)/Financials!CC6</f>
        <v>0.1215124624718411</v>
      </c>
      <c r="BX18" s="119">
        <f>(Trend!CD5+Trend!CD10+Trend!CD12)/Financials!CD6</f>
        <v>0.11827544159808974</v>
      </c>
      <c r="BY18" s="119">
        <f>(Trend!CE5+Trend!CE10+Trend!CE12)/Financials!CE6</f>
        <v>7.0432410999759845E-2</v>
      </c>
      <c r="BZ18" s="119">
        <f>(Trend!CF5+Trend!CF10+Trend!CF12)/Financials!CF6</f>
        <v>9.8297260933412983E-2</v>
      </c>
      <c r="CA18" s="119">
        <f>(Trend!CG5+Trend!CG10+Trend!CG12)/Financials!CG6</f>
        <v>0.14395104448983251</v>
      </c>
      <c r="CB18" s="119">
        <f>(Trend!CH5+Trend!CH10+Trend!CH12)/Financials!CH6</f>
        <v>8.3901857593959836E-2</v>
      </c>
      <c r="CC18" s="119">
        <f>(Trend!CI5+Trend!CI10+Trend!CI12)/Financials!CI6</f>
        <v>0.64557992516407336</v>
      </c>
      <c r="CD18" s="119">
        <f>(Trend!CJ5+Trend!CJ10+Trend!CJ12)/Financials!CJ6</f>
        <v>0.26700487466317646</v>
      </c>
      <c r="CE18" s="119">
        <f>(Trend!CK5+Trend!CK10+Trend!CK12)/Financials!CK6</f>
        <v>7.1566488291562036E-2</v>
      </c>
      <c r="CF18" s="119">
        <f>(Trend!CL5+Trend!CL10+Trend!CL12)/Financials!CL6</f>
        <v>0.21791943078552892</v>
      </c>
      <c r="CG18" s="119">
        <f>(Trend!CM5+Trend!CM10+Trend!CM12)/Financials!CM6</f>
        <v>0.10388602524994428</v>
      </c>
      <c r="CH18" s="119">
        <f>(Trend!CN5+Trend!CN10+Trend!CN12)/Financials!CN6</f>
        <v>9.4071728111781758E-2</v>
      </c>
      <c r="CI18" s="119">
        <f>(Trend!CO5+Trend!CO10+Trend!CO12)/Financials!CO6</f>
        <v>0.15189242760593388</v>
      </c>
      <c r="CJ18" s="119">
        <f>(Trend!CP5+Trend!CP10+Trend!CP12)/Financials!CP6</f>
        <v>0.22551329522690766</v>
      </c>
      <c r="CK18" s="119">
        <f>(Trend!CQ5+Trend!CQ10+Trend!CQ12)/Financials!CQ6</f>
        <v>7.1810999636185605E-2</v>
      </c>
      <c r="CL18" s="119">
        <f>(Trend!CR5+Trend!CR10+Trend!CR12)/Financials!CR6</f>
        <v>0.11490109900582213</v>
      </c>
      <c r="CM18" s="119">
        <f>(Trend!CS5+Trend!CS10+Trend!CS12)/Financials!CS6</f>
        <v>9.731595514139052E-2</v>
      </c>
      <c r="CN18" s="119">
        <f>(Trend!CT5+Trend!CT10+Trend!CT12)/Financials!CT6</f>
        <v>9.731595514139052E-2</v>
      </c>
      <c r="CO18" s="119">
        <f>(Trend!CU5+Trend!CU10+Trend!CU12)/Financials!CU6</f>
        <v>7.1117287085232198E-2</v>
      </c>
      <c r="CP18" s="119">
        <f>(Trend!CV5+Trend!CV10+Trend!CV12)/Financials!CV6</f>
        <v>0.10385715049818292</v>
      </c>
      <c r="CQ18" s="119" t="e">
        <f>(Trend!CW5+Trend!CW10+Trend!CW12)/Financials!CW6</f>
        <v>#VALUE!</v>
      </c>
      <c r="CR18" s="119">
        <f>(Trend!CX5+Trend!CX10+Trend!CX12)/Financials!CX6</f>
        <v>0.10510178519918296</v>
      </c>
      <c r="CS18" s="119">
        <f>(Trend!CY5+Trend!CY10+Trend!CY12)/Financials!CY6</f>
        <v>0.15666345774020518</v>
      </c>
      <c r="CT18" s="119">
        <f>(Trend!CZ5+Trend!CZ10+Trend!CZ12)/Financials!CZ6</f>
        <v>0.10953195524743956</v>
      </c>
      <c r="CU18" s="119">
        <f>(Trend!DA5+Trend!DA10+Trend!DA12)/Financials!DA6</f>
        <v>0.14224881400866971</v>
      </c>
      <c r="CV18" s="119">
        <f>(Trend!DB5+Trend!DB10+Trend!DB12)/Financials!DB6</f>
        <v>8.4077076060322747E-2</v>
      </c>
      <c r="CW18" s="119">
        <f>(Trend!DC5+Trend!DC10+Trend!DC12)/Financials!DC6</f>
        <v>0.11028892592023648</v>
      </c>
      <c r="CX18" s="119">
        <f>(Trend!DD5+Trend!DD10+Trend!DD12)/Financials!DD6</f>
        <v>7.8242687642607972E-2</v>
      </c>
      <c r="CY18" s="119">
        <f>(Trend!DE5+Trend!DE10+Trend!DE12)/Financials!DE6</f>
        <v>8.4439499149616445E-2</v>
      </c>
      <c r="CZ18" s="119">
        <f>(Trend!DF5+Trend!DF10+Trend!DF12)/Financials!DF6</f>
        <v>0.10226809826006882</v>
      </c>
      <c r="DA18" s="119">
        <f>(Trend!DG5+Trend!DG10+Trend!DG12)/Financials!DG6</f>
        <v>6.9839484186433709E-2</v>
      </c>
      <c r="DB18" s="119">
        <f>(Trend!DH5+Trend!DH10+Trend!DH12)/Financials!DH6</f>
        <v>7.8567740861511415E-2</v>
      </c>
      <c r="DC18" s="119">
        <f>(Trend!DI5+Trend!DI10+Trend!DI12)/Financials!DI6</f>
        <v>0.12385890880291298</v>
      </c>
      <c r="DD18" s="119">
        <f>(Trend!DJ5+Trend!DJ10+Trend!DJ12)/Financials!DJ6</f>
        <v>0.12445948169918604</v>
      </c>
      <c r="DE18" s="119">
        <f>(Trend!DK5+Trend!DK10+Trend!DK12)/Financials!DK6</f>
        <v>7.8451941426955898E-2</v>
      </c>
      <c r="DF18" s="119">
        <f>(Trend!DL5+Trend!DL10+Trend!DL12)/Financials!DL6</f>
        <v>9.1027060434389087E-2</v>
      </c>
      <c r="DG18" s="119">
        <f>(Trend!DM5+Trend!DM10+Trend!DM12)/Financials!DM6</f>
        <v>0.11749159498688937</v>
      </c>
      <c r="DH18" s="119">
        <f>(Trend!DN5+Trend!DN10+Trend!DN12)/Financials!DN6</f>
        <v>6.9964077690387691E-2</v>
      </c>
      <c r="DI18" s="119">
        <f>(Trend!DO5+Trend!DO10+Trend!DO12)/Financials!DO6</f>
        <v>6.4653203588662223E-2</v>
      </c>
      <c r="DJ18" s="119">
        <f>(Trend!DP5+Trend!DP10+Trend!DP12)/Financials!DP6</f>
        <v>8.842141411883396E-2</v>
      </c>
      <c r="DK18" s="119">
        <f>(Trend!DQ5+Trend!DQ10+Trend!DQ12)/Financials!DQ6</f>
        <v>9.9697337421019425E-2</v>
      </c>
      <c r="DL18" s="119">
        <f>(Trend!DR5+Trend!DR10+Trend!DR12)/Financials!DR6</f>
        <v>9.9966048248815761E-2</v>
      </c>
      <c r="DM18" s="119">
        <f>(Trend!DS5+Trend!DS10+Trend!DS12)/Financials!DS6</f>
        <v>6.8278846649080807E-2</v>
      </c>
      <c r="DN18" s="119">
        <f>(Trend!DT5+Trend!DT10+Trend!DT12)/Financials!DT6</f>
        <v>7.3660397472743833E-2</v>
      </c>
      <c r="DO18" s="119">
        <f>(Trend!DU5+Trend!DU10+Trend!DU12)/Financials!DU6</f>
        <v>9.3025671986535427E-2</v>
      </c>
      <c r="DP18" s="119" t="e">
        <f>(Trend!DV5+Trend!DV10+Trend!DV12)/Financials!DV6</f>
        <v>#DIV/0!</v>
      </c>
      <c r="DQ18" s="119" t="e">
        <f>(Trend!#REF!+Trend!#REF!+Trend!#REF!)/Financials!DX6</f>
        <v>#REF!</v>
      </c>
    </row>
    <row r="19" spans="1:121" s="1" customFormat="1" x14ac:dyDescent="0.25">
      <c r="A19" s="702"/>
      <c r="B19" s="708"/>
      <c r="C19" s="105" t="s">
        <v>281</v>
      </c>
      <c r="D19" s="106" t="s">
        <v>282</v>
      </c>
      <c r="E19" s="119">
        <f>Financials!C9/Financials!C5</f>
        <v>0</v>
      </c>
      <c r="F19" s="119">
        <f>Financials!D9/Financials!D5</f>
        <v>0.11427726429828561</v>
      </c>
      <c r="G19" s="119">
        <f>Financials!E9/Financials!E5</f>
        <v>0</v>
      </c>
      <c r="H19" s="119">
        <f>Financials!F9/Financials!F5</f>
        <v>8.0526361453464354E-2</v>
      </c>
      <c r="I19" s="119">
        <f>Financials!G9/Financials!G5</f>
        <v>1.1602787784077341E-2</v>
      </c>
      <c r="J19" s="119">
        <f>Financials!H9/Financials!H5</f>
        <v>5.3529020125754292E-2</v>
      </c>
      <c r="K19" s="119">
        <f>Financials!I9/Financials!I5</f>
        <v>5.6508896085305571E-2</v>
      </c>
      <c r="L19" s="119">
        <f>Financials!J9/Financials!J5</f>
        <v>5.2504959291095957E-2</v>
      </c>
      <c r="M19" s="119">
        <f>Financials!K9/Financials!K5</f>
        <v>4.8725193738386047E-2</v>
      </c>
      <c r="N19" s="119">
        <f>Financials!F9/Financials!F5</f>
        <v>8.0526361453464354E-2</v>
      </c>
      <c r="O19" s="119">
        <f>Financials!G9/Financials!G5</f>
        <v>1.1602787784077341E-2</v>
      </c>
      <c r="P19" s="119">
        <f>Financials!V9/Financials!V5</f>
        <v>2.2710711434490032E-2</v>
      </c>
      <c r="Q19" s="119">
        <f>Financials!W9/Financials!W5</f>
        <v>2.4588005163924669E-2</v>
      </c>
      <c r="R19" s="119">
        <f>Financials!X9/Financials!X5</f>
        <v>2.4475919424253534E-2</v>
      </c>
      <c r="S19" s="119">
        <f>Financials!Y9/Financials!Y5</f>
        <v>2.4283854350008679E-2</v>
      </c>
      <c r="T19" s="119">
        <f>Financials!Z9/Financials!Z5</f>
        <v>1.895930344744149E-2</v>
      </c>
      <c r="U19" s="119">
        <f>Financials!AA9/Financials!AA5</f>
        <v>1.8267495616171935E-2</v>
      </c>
      <c r="V19" s="119">
        <f>Financials!AB9/Financials!AB5</f>
        <v>1.7683400666180071E-2</v>
      </c>
      <c r="W19" s="119">
        <f>Financials!AC9/Financials!AC5</f>
        <v>1.7242104655538468E-2</v>
      </c>
      <c r="X19" s="119">
        <f>Financials!AD9/Financials!AD5</f>
        <v>1.6499111927650589E-2</v>
      </c>
      <c r="Y19" s="119">
        <f>Financials!AE9/Financials!AE5</f>
        <v>1.616422690504897E-2</v>
      </c>
      <c r="Z19" s="119">
        <f>Financials!AF9/Financials!AF5</f>
        <v>1.5899332466680537E-2</v>
      </c>
      <c r="AA19" s="119">
        <f>Financials!AG9/Financials!AG5</f>
        <v>6.3220137100282806E-3</v>
      </c>
      <c r="AB19" s="119">
        <f>Financials!AH9/Financials!AH5</f>
        <v>0</v>
      </c>
      <c r="AC19" s="119">
        <f>Financials!AI9/Financials!AI5</f>
        <v>0</v>
      </c>
      <c r="AD19" s="119">
        <f>Financials!AJ9/Financials!AJ5</f>
        <v>0</v>
      </c>
      <c r="AE19" s="119" t="e">
        <f>Financials!AK9/Financials!AK5</f>
        <v>#DIV/0!</v>
      </c>
      <c r="AF19" s="119">
        <f>Financials!AL9/Financials!AL5</f>
        <v>0</v>
      </c>
      <c r="AG19" s="119">
        <f>Financials!AM9/Financials!AM5</f>
        <v>0</v>
      </c>
      <c r="AH19" s="119">
        <f>Financials!AN9/Financials!AN5</f>
        <v>0</v>
      </c>
      <c r="AI19" s="119">
        <f>Financials!AO9/Financials!AO5</f>
        <v>1.7460339849609274E-2</v>
      </c>
      <c r="AJ19" s="119">
        <f>Financials!AP9/Financials!AP5</f>
        <v>0</v>
      </c>
      <c r="AK19" s="119">
        <f>Financials!AQ9/Financials!AQ5</f>
        <v>0</v>
      </c>
      <c r="AL19" s="119">
        <f>Financials!AR9/Financials!AR5</f>
        <v>0</v>
      </c>
      <c r="AM19" s="119">
        <f>Financials!AS9/Financials!AS5</f>
        <v>0</v>
      </c>
      <c r="AN19" s="119" t="e">
        <f>Financials!AT9/Financials!AT5</f>
        <v>#DIV/0!</v>
      </c>
      <c r="AO19" s="119">
        <f>Financials!AU9/Financials!AU5</f>
        <v>0</v>
      </c>
      <c r="AP19" s="119">
        <f>Financials!AV9/Financials!AV5</f>
        <v>0</v>
      </c>
      <c r="AQ19" s="119">
        <f>Financials!AW9/Financials!AW5</f>
        <v>0</v>
      </c>
      <c r="AR19" s="119" t="e">
        <f>Financials!AX9/Financials!AX5</f>
        <v>#DIV/0!</v>
      </c>
      <c r="AS19" s="119" t="e">
        <f>Financials!AY9/Financials!AY5</f>
        <v>#DIV/0!</v>
      </c>
      <c r="AT19" s="119">
        <f>Financials!AZ9/Financials!AZ5</f>
        <v>0</v>
      </c>
      <c r="AU19" s="119">
        <f>Financials!BA9/Financials!BA5</f>
        <v>0</v>
      </c>
      <c r="AV19" s="119">
        <f>Financials!BB9/Financials!BB5</f>
        <v>0</v>
      </c>
      <c r="AW19" s="119">
        <f>Financials!BC9/Financials!BC5</f>
        <v>0</v>
      </c>
      <c r="AX19" s="119">
        <f>Financials!BD9/Financials!BD5</f>
        <v>0</v>
      </c>
      <c r="AY19" s="119">
        <f>Financials!BE9/Financials!BE5</f>
        <v>0</v>
      </c>
      <c r="AZ19" s="119">
        <f>Financials!BF9/Financials!BF5</f>
        <v>0</v>
      </c>
      <c r="BA19" s="119" t="e">
        <f>Financials!BG9/Financials!BG5</f>
        <v>#DIV/0!</v>
      </c>
      <c r="BB19" s="119">
        <f>Financials!BH9/Financials!BH5</f>
        <v>0</v>
      </c>
      <c r="BC19" s="119">
        <f>Financials!BI9/Financials!BI5</f>
        <v>0</v>
      </c>
      <c r="BD19" s="119">
        <f>Financials!BJ9/Financials!BJ5</f>
        <v>0</v>
      </c>
      <c r="BE19" s="119">
        <f>Financials!BK9/Financials!BK5</f>
        <v>0</v>
      </c>
      <c r="BF19" s="119">
        <f>Financials!BL9/Financials!BL5</f>
        <v>0</v>
      </c>
      <c r="BG19" s="119">
        <f>Financials!BM9/Financials!BM5</f>
        <v>0</v>
      </c>
      <c r="BH19" s="119">
        <f>Financials!BN9/Financials!BN5</f>
        <v>0</v>
      </c>
      <c r="BI19" s="119">
        <f>Financials!BO9/Financials!BO5</f>
        <v>0</v>
      </c>
      <c r="BJ19" s="119">
        <f>Financials!BP9/Financials!BP5</f>
        <v>0</v>
      </c>
      <c r="BK19" s="119">
        <f>Financials!BQ9/Financials!BQ5</f>
        <v>0</v>
      </c>
      <c r="BL19" s="119">
        <f>Financials!BR9/Financials!BR5</f>
        <v>0</v>
      </c>
      <c r="BM19" s="119">
        <f>Financials!BS9/Financials!BS5</f>
        <v>0</v>
      </c>
      <c r="BN19" s="119">
        <f>Financials!BT9/Financials!BT5</f>
        <v>0</v>
      </c>
      <c r="BO19" s="119">
        <f>Financials!BU9/Financials!BU5</f>
        <v>2.7601433058374883E-2</v>
      </c>
      <c r="BP19" s="119">
        <f>Financials!BV9/Financials!BV5</f>
        <v>2.6409684782809535E-2</v>
      </c>
      <c r="BQ19" s="119">
        <f>Financials!BW9/Financials!BW5</f>
        <v>2.5087773565359475E-2</v>
      </c>
      <c r="BR19" s="119">
        <f>Financials!BX9/Financials!BX5</f>
        <v>2.603798070291273E-2</v>
      </c>
      <c r="BS19" s="119">
        <f>Financials!BY9/Financials!BY5</f>
        <v>2.4956747517035124E-2</v>
      </c>
      <c r="BT19" s="119">
        <f>Financials!BZ9/Financials!BZ5</f>
        <v>2.3091165504513022E-2</v>
      </c>
      <c r="BU19" s="119">
        <f>Financials!CA9/Financials!CA5</f>
        <v>2.0797701830037128E-2</v>
      </c>
      <c r="BV19" s="119">
        <f>Financials!CB9/Financials!CB5</f>
        <v>2.0199343960668154E-2</v>
      </c>
      <c r="BW19" s="119">
        <f>Financials!CC9/Financials!CC5</f>
        <v>1.9107476881419297E-2</v>
      </c>
      <c r="BX19" s="119">
        <f>Financials!CD9/Financials!CD5</f>
        <v>1.8042054445560025E-2</v>
      </c>
      <c r="BY19" s="119">
        <f>Financials!CE9/Financials!CE5</f>
        <v>1.6869541333708861E-2</v>
      </c>
      <c r="BZ19" s="119">
        <f>Financials!CF9/Financials!CF5</f>
        <v>1.540668847424261E-2</v>
      </c>
      <c r="CA19" s="119">
        <f>Financials!CG9/Financials!CG5</f>
        <v>5.2274121068211298E-2</v>
      </c>
      <c r="CB19" s="119">
        <f>Financials!CH9/Financials!CH5</f>
        <v>5.1184610438746107E-2</v>
      </c>
      <c r="CC19" s="119">
        <f>Financials!CI9/Financials!CI5</f>
        <v>0</v>
      </c>
      <c r="CD19" s="119">
        <f>Financials!CJ9/Financials!CJ5</f>
        <v>5.2664226267360129E-2</v>
      </c>
      <c r="CE19" s="119">
        <f>Financials!CK9/Financials!CK5</f>
        <v>4.5751356711814392E-2</v>
      </c>
      <c r="CF19" s="119">
        <f>Financials!CL9/Financials!CL5</f>
        <v>4.4209398052356921E-2</v>
      </c>
      <c r="CG19" s="119">
        <f>Financials!CM9/Financials!CM5</f>
        <v>4.4403211597396623E-2</v>
      </c>
      <c r="CH19" s="119">
        <f>Financials!CN9/Financials!CN5</f>
        <v>4.0113919955609055E-2</v>
      </c>
      <c r="CI19" s="119">
        <f>Financials!CO9/Financials!CO5</f>
        <v>3.9255936563847849E-2</v>
      </c>
      <c r="CJ19" s="119">
        <f>Financials!CP9/Financials!CP5</f>
        <v>3.7063449000955796E-2</v>
      </c>
      <c r="CK19" s="119">
        <f>Financials!CQ9/Financials!CQ5</f>
        <v>3.3400975909574762E-2</v>
      </c>
      <c r="CL19" s="119">
        <f>Financials!CR9/Financials!CR5</f>
        <v>3.1833792440152768E-2</v>
      </c>
      <c r="CM19" s="119">
        <f>Financials!CS9/Financials!CS5</f>
        <v>2.9526587994227631E-2</v>
      </c>
      <c r="CN19" s="119">
        <f>Financials!CT9/Financials!CT5</f>
        <v>3.0147157291387314E-2</v>
      </c>
      <c r="CO19" s="119">
        <f>Financials!CU9/Financials!CU5</f>
        <v>2.5727167326643853E-2</v>
      </c>
      <c r="CP19" s="119">
        <f>Financials!CV9/Financials!CV5</f>
        <v>2.5826237484769223E-2</v>
      </c>
      <c r="CQ19" s="119">
        <f>Financials!CW9/Financials!CW5</f>
        <v>2.5842216074818434E-2</v>
      </c>
      <c r="CR19" s="119">
        <f>Financials!CX9/Financials!CX5</f>
        <v>2.1026209481297131E-2</v>
      </c>
      <c r="CS19" s="119">
        <f>Financials!CY9/Financials!CY5</f>
        <v>1.9834645407608525E-2</v>
      </c>
      <c r="CT19" s="119">
        <f>Financials!CZ9/Financials!CZ5</f>
        <v>1.9735224168175747E-2</v>
      </c>
      <c r="CU19" s="119">
        <f>Financials!DA9/Financials!DA5</f>
        <v>1.6215964543281371E-2</v>
      </c>
      <c r="CV19" s="119">
        <f>Financials!DB9/Financials!DB5</f>
        <v>1.5317942458886192E-2</v>
      </c>
      <c r="CW19" s="119">
        <f>Financials!DC9/Financials!DC5</f>
        <v>4.2963161599452633E-2</v>
      </c>
      <c r="CX19" s="119">
        <f>Financials!DD9/Financials!DD5</f>
        <v>3.8270368436255059E-2</v>
      </c>
      <c r="CY19" s="119">
        <f>Financials!DE9/Financials!DE5</f>
        <v>3.5493967986512547E-2</v>
      </c>
      <c r="CZ19" s="119">
        <f>Financials!DF9/Financials!DF5</f>
        <v>3.2827086899261178E-2</v>
      </c>
      <c r="DA19" s="119">
        <f>Financials!DG9/Financials!DG5</f>
        <v>3.1203911178766228E-2</v>
      </c>
      <c r="DB19" s="119">
        <f>Financials!DH9/Financials!DH5</f>
        <v>2.8504686655874117E-2</v>
      </c>
      <c r="DC19" s="119">
        <f>Financials!DI9/Financials!DI5</f>
        <v>3.3949344424130994E-2</v>
      </c>
      <c r="DD19" s="119">
        <f>Financials!DJ9/Financials!DJ5</f>
        <v>3.3537513483807867E-2</v>
      </c>
      <c r="DE19" s="119">
        <f>Financials!DK9/Financials!DK5</f>
        <v>2.9129333515758311E-2</v>
      </c>
      <c r="DF19" s="119">
        <f>Financials!DL9/Financials!DL5</f>
        <v>2.8605194902423987E-2</v>
      </c>
      <c r="DG19" s="119">
        <f>Financials!DM9/Financials!DM5</f>
        <v>1.9596765344099515E-2</v>
      </c>
      <c r="DH19" s="119">
        <f>Financials!DN9/Financials!DN5</f>
        <v>1.8061683234115118E-2</v>
      </c>
      <c r="DI19" s="119">
        <f>Financials!DO9/Financials!DO5</f>
        <v>1.9623294287012209E-2</v>
      </c>
      <c r="DJ19" s="119">
        <f>Financials!DP9/Financials!DP5</f>
        <v>1.825342792348016E-2</v>
      </c>
      <c r="DK19" s="119">
        <f>Financials!DQ9/Financials!DQ5</f>
        <v>1.7061340811950508E-2</v>
      </c>
      <c r="DL19" s="119">
        <f>Financials!DR9/Financials!DR5</f>
        <v>1.6697229312156722E-2</v>
      </c>
      <c r="DM19" s="119">
        <f>Financials!DS9/Financials!DS5</f>
        <v>1.6444536871525594E-2</v>
      </c>
      <c r="DN19" s="119">
        <f>Financials!DT9/Financials!DT5</f>
        <v>1.38234195632527E-2</v>
      </c>
      <c r="DO19" s="119">
        <f>Financials!DU9/Financials!DU5</f>
        <v>1.3488166858436498E-2</v>
      </c>
      <c r="DP19" s="119" t="e">
        <f>Financials!DV9/Financials!DV5</f>
        <v>#DIV/0!</v>
      </c>
      <c r="DQ19" s="119" t="e">
        <f>Financials!DX9/Financials!DX5</f>
        <v>#DIV/0!</v>
      </c>
    </row>
    <row r="20" spans="1:121" s="1" customFormat="1" x14ac:dyDescent="0.25">
      <c r="A20" s="702"/>
      <c r="B20" s="708"/>
      <c r="C20" s="105" t="s">
        <v>283</v>
      </c>
      <c r="E20" s="119">
        <f>(Trend!C5+Trend!C10)/Trend!C27</f>
        <v>0.1992717406003896</v>
      </c>
      <c r="F20" s="119">
        <f>(Trend!D5+Trend!D10)/Trend!D27</f>
        <v>0.23437398400369711</v>
      </c>
      <c r="G20" s="119">
        <f>(Trend!E5+Trend!E10)/Trend!E27</f>
        <v>7.7129285207894333E-2</v>
      </c>
      <c r="H20" s="119">
        <f>(Trend!F5+Trend!F10)/Trend!F27</f>
        <v>0.18603024077334893</v>
      </c>
      <c r="I20" s="119">
        <f>(Trend!G5+Trend!G10)/Trend!G27</f>
        <v>0.17496389261155038</v>
      </c>
      <c r="J20" s="119">
        <f>(Trend!H5+Trend!H10)/Trend!H27</f>
        <v>0.2313529792675951</v>
      </c>
      <c r="K20" s="119">
        <f>(Trend!I5+Trend!I10)/Trend!I27</f>
        <v>0.25178300008989335</v>
      </c>
      <c r="L20" s="119">
        <f>(Trend!J5+Trend!J10)/Trend!J27</f>
        <v>0.231021938350608</v>
      </c>
      <c r="M20" s="119">
        <f>(Trend!K5+Trend!K10)/Trend!K27</f>
        <v>0.22588387279851235</v>
      </c>
      <c r="N20" s="119" t="e">
        <f>(Trend!#REF!+Trend!#REF!)/Trend!#REF!</f>
        <v>#REF!</v>
      </c>
      <c r="O20" s="119" t="e">
        <f>(Trend!#REF!+Trend!#REF!)/Trend!#REF!</f>
        <v>#REF!</v>
      </c>
      <c r="P20" s="119" t="e">
        <f>(Trend!#REF!+Trend!#REF!)/Trend!#REF!</f>
        <v>#REF!</v>
      </c>
      <c r="Q20" s="119">
        <f>(Trend!W5+Trend!W10)/Trend!W27</f>
        <v>0.11039231636077182</v>
      </c>
      <c r="R20" s="119">
        <f>(Trend!X5+Trend!X10)/Trend!X27</f>
        <v>0.10307131311986753</v>
      </c>
      <c r="S20" s="119">
        <f>(Trend!Y5+Trend!Y10)/Trend!Y27</f>
        <v>0.12584510166106316</v>
      </c>
      <c r="T20" s="119">
        <f>(Trend!Z5+Trend!Z10)/Trend!Z27</f>
        <v>0.17210139994043142</v>
      </c>
      <c r="U20" s="119">
        <f>(Trend!AA5+Trend!AA10)/Trend!AA27</f>
        <v>0.18381680489461794</v>
      </c>
      <c r="V20" s="119">
        <f>(Trend!AB5+Trend!AB10)/Trend!AB27</f>
        <v>0.17846770939204615</v>
      </c>
      <c r="W20" s="119">
        <f>(Trend!AC5+Trend!AC10)/Trend!AC27</f>
        <v>0.16231334682379556</v>
      </c>
      <c r="X20" s="119">
        <f>(Trend!AD5+Trend!AD10)/Trend!AD27</f>
        <v>0.10127398092458498</v>
      </c>
      <c r="Y20" s="119">
        <f>(Trend!AE5+Trend!AE10)/Trend!AE27</f>
        <v>0.10310616764575578</v>
      </c>
      <c r="Z20" s="119">
        <f>(Trend!AF5+Trend!AF10)/Trend!AF27</f>
        <v>9.124720804527725E-2</v>
      </c>
      <c r="AA20" s="119">
        <f>(Trend!AG5+Trend!AG10)/Trend!AG27</f>
        <v>7.3466178509444924E-2</v>
      </c>
      <c r="AB20" s="119">
        <f>(Trend!AH5+Trend!AH10)/Trend!AH27</f>
        <v>7.9850491078932218E-2</v>
      </c>
      <c r="AC20" s="119">
        <f>(Trend!AI5+Trend!AI10)/Trend!AI27</f>
        <v>7.725010214228234E-2</v>
      </c>
      <c r="AD20" s="119">
        <f>(Trend!AJ5+Trend!AJ10)/Trend!AJ27</f>
        <v>7.8512677201817357E-2</v>
      </c>
      <c r="AE20" s="119" t="e">
        <f>(Trend!AK5+Trend!AK10)/Trend!AK27</f>
        <v>#DIV/0!</v>
      </c>
      <c r="AF20" s="119">
        <f>(Trend!AL5+Trend!AL10)/Trend!AL27</f>
        <v>5.4879986199832226E-2</v>
      </c>
      <c r="AG20" s="119">
        <f>(Trend!AM5+Trend!AM10)/Trend!AM27</f>
        <v>6.827786774670333E-2</v>
      </c>
      <c r="AH20" s="119">
        <f>(Trend!AN5+Trend!AN10)/Trend!AN27</f>
        <v>9.6152626897887866E-2</v>
      </c>
      <c r="AI20" s="119">
        <f>(Trend!AO5+Trend!AO10)/Trend!AO27</f>
        <v>0.17569479423813442</v>
      </c>
      <c r="AJ20" s="119">
        <f>(Trend!AP5+Trend!AP10)/Trend!AP27</f>
        <v>0.10459783189344823</v>
      </c>
      <c r="AK20" s="119">
        <f>(Trend!AQ5+Trend!AQ10)/Trend!AQ27</f>
        <v>8.6620122265419056E-2</v>
      </c>
      <c r="AL20" s="119">
        <f>(Trend!AR5+Trend!AR10)/Trend!AR27</f>
        <v>5.4543038552518866E-2</v>
      </c>
      <c r="AM20" s="119">
        <f>(Trend!AS5+Trend!AS10)/Trend!AS27</f>
        <v>3.6634321845173963E-2</v>
      </c>
      <c r="AN20" s="119" t="e">
        <f>(Trend!AT5+Trend!AT10)/Trend!AT27</f>
        <v>#DIV/0!</v>
      </c>
      <c r="AO20" s="119">
        <f>(Trend!AU5+Trend!AU10)/Trend!AU27</f>
        <v>5.4795339229848458E-2</v>
      </c>
      <c r="AP20" s="119">
        <f>(Trend!AV5+Trend!AV10)/Trend!AV27</f>
        <v>5.5409558836722939E-2</v>
      </c>
      <c r="AQ20" s="119">
        <f>(Trend!AW5+Trend!AW10)/Trend!AW27</f>
        <v>0.26299766576295441</v>
      </c>
      <c r="AR20" s="119" t="e">
        <f>(Trend!AX5+Trend!AX10)/Trend!AX27</f>
        <v>#DIV/0!</v>
      </c>
      <c r="AS20" s="119" t="e">
        <f>(Trend!AY5+Trend!AY10)/Trend!AY27</f>
        <v>#DIV/0!</v>
      </c>
      <c r="AT20" s="119">
        <f>(Trend!AZ5+Trend!AZ10)/Trend!AZ27</f>
        <v>6.8508103935964224E-2</v>
      </c>
      <c r="AU20" s="119">
        <f>(Trend!BA5+Trend!BA10)/Trend!BA27</f>
        <v>2.9345080215356863E-2</v>
      </c>
      <c r="AV20" s="119">
        <f>(Trend!BB5+Trend!BB10)/Trend!BB27</f>
        <v>5.1483867849259922E-2</v>
      </c>
      <c r="AW20" s="119">
        <f>(Trend!BC5+Trend!BC10)/Trend!BC27</f>
        <v>5.4769351457875849E-2</v>
      </c>
      <c r="AX20" s="119">
        <f>(Trend!BD5+Trend!BD10)/Trend!BD27</f>
        <v>4.2066285450330546E-2</v>
      </c>
      <c r="AY20" s="119">
        <f>(Trend!BE5+Trend!BE10)/Trend!BE27</f>
        <v>6.3861082151423526E-2</v>
      </c>
      <c r="AZ20" s="119">
        <f>(Trend!BF5+Trend!BF10)/Trend!BF27</f>
        <v>5.6950958038622872E-2</v>
      </c>
      <c r="BA20" s="119" t="e">
        <f>(Trend!BG5+Trend!BG10)/Trend!BG27</f>
        <v>#DIV/0!</v>
      </c>
      <c r="BB20" s="119">
        <f>(Trend!BH5+Trend!BH10)/Trend!BH27</f>
        <v>6.3066910478137617E-2</v>
      </c>
      <c r="BC20" s="119">
        <f>(Trend!BI5+Trend!BI10)/Trend!BI27</f>
        <v>6.4502020983318545E-2</v>
      </c>
      <c r="BD20" s="119">
        <f>(Trend!BJ5+Trend!BJ10)/Trend!BJ27</f>
        <v>0.27364046879095277</v>
      </c>
      <c r="BE20" s="119">
        <f>(Trend!BK5+Trend!BK10)/Trend!BK27</f>
        <v>6.3041329278255717E-2</v>
      </c>
      <c r="BF20" s="119">
        <f>(Trend!BL5+Trend!BL10)/Trend!BL27</f>
        <v>8.655773337097776E-2</v>
      </c>
      <c r="BG20" s="119">
        <f>(Trend!BM5+Trend!BM10)/Trend!BM27</f>
        <v>6.1361655247867047E-2</v>
      </c>
      <c r="BH20" s="119">
        <f>(Trend!BN5+Trend!BN10)/Trend!BN27</f>
        <v>8.0801468924559902E-2</v>
      </c>
      <c r="BI20" s="119">
        <f>(Trend!BO5+Trend!BO10)/Trend!BO27</f>
        <v>8.0947352958216048E-2</v>
      </c>
      <c r="BJ20" s="119">
        <f>(Trend!BP5+Trend!BP10)/Trend!BP27</f>
        <v>9.0252512518058395E-2</v>
      </c>
      <c r="BK20" s="119">
        <f>(Trend!BQ5+Trend!BQ10)/Trend!BQ27</f>
        <v>0.10625530128715673</v>
      </c>
      <c r="BL20" s="119">
        <f>(Trend!BR5+Trend!BR10)/Trend!BR27</f>
        <v>9.4088374357296709E-2</v>
      </c>
      <c r="BM20" s="119">
        <f>(Trend!BS5+Trend!BS10)/Trend!BS27</f>
        <v>5.4446408248115162E-2</v>
      </c>
      <c r="BN20" s="119">
        <f>(Trend!BT5+Trend!BT10)/Trend!BT27</f>
        <v>6.7170745188160616E-2</v>
      </c>
      <c r="BO20" s="119">
        <f>(Trend!BU5+Trend!BU10)/Trend!BU27</f>
        <v>5.352353972661212E-2</v>
      </c>
      <c r="BP20" s="119">
        <f>(Trend!BV5+Trend!BV10)/Trend!BV27</f>
        <v>9.5036555034182901E-2</v>
      </c>
      <c r="BQ20" s="119">
        <f>(Trend!BW5+Trend!BW10)/Trend!BW27</f>
        <v>0.27082842493108344</v>
      </c>
      <c r="BR20" s="119">
        <f>(Trend!BX5+Trend!BX10)/Trend!BX27</f>
        <v>7.9134070467975465E-2</v>
      </c>
      <c r="BS20" s="119">
        <f>(Trend!BY5+Trend!BY10)/Trend!BY27</f>
        <v>3.394401421811092E-2</v>
      </c>
      <c r="BT20" s="119">
        <f>(Trend!BZ5+Trend!BZ10)/Trend!BZ27</f>
        <v>7.9553650628518935E-2</v>
      </c>
      <c r="BU20" s="119">
        <f>(Trend!CA5+Trend!CA10)/Trend!CA27</f>
        <v>0.10178951943744471</v>
      </c>
      <c r="BV20" s="119">
        <f>(Trend!CB5+Trend!CB10)/Trend!CB27</f>
        <v>8.3334398022700193E-2</v>
      </c>
      <c r="BW20" s="119">
        <f>(Trend!CC5+Trend!CC10)/Trend!CC27</f>
        <v>7.3921849026548553E-2</v>
      </c>
      <c r="BX20" s="119">
        <f>(Trend!CD5+Trend!CD10)/Trend!CD27</f>
        <v>7.3048592569759582E-2</v>
      </c>
      <c r="BY20" s="119">
        <f>(Trend!CE5+Trend!CE10)/Trend!CE27</f>
        <v>3.7594250887319935E-2</v>
      </c>
      <c r="BZ20" s="119">
        <f>(Trend!CF5+Trend!CF10)/Trend!CF27</f>
        <v>5.8385358845998651E-2</v>
      </c>
      <c r="CA20" s="119">
        <f>(Trend!CG5+Trend!CG10)/Trend!CG27</f>
        <v>8.7515251382633635E-2</v>
      </c>
      <c r="CB20" s="119">
        <f>(Trend!CH5+Trend!CH10)/Trend!CH27</f>
        <v>4.513156170995844E-2</v>
      </c>
      <c r="CC20" s="119">
        <f>(Trend!CI5+Trend!CI10)/Trend!CI27</f>
        <v>0.16896677538202504</v>
      </c>
      <c r="CD20" s="119">
        <f>(Trend!CJ5+Trend!CJ10)/Trend!CJ27</f>
        <v>0.18287362703864171</v>
      </c>
      <c r="CE20" s="119">
        <f>(Trend!CK5+Trend!CK10)/Trend!CK27</f>
        <v>3.5780099370030925E-2</v>
      </c>
      <c r="CF20" s="119">
        <f>(Trend!CL5+Trend!CL10)/Trend!CL27</f>
        <v>0.1391389268695426</v>
      </c>
      <c r="CG20" s="119">
        <f>(Trend!CM5+Trend!CM10)/Trend!CM27</f>
        <v>6.0910792096117376E-2</v>
      </c>
      <c r="CH20" s="119">
        <f>(Trend!CN5+Trend!CN10)/Trend!CN27</f>
        <v>5.3841062322173949E-2</v>
      </c>
      <c r="CI20" s="119">
        <f>(Trend!CO5+Trend!CO10)/Trend!CO27</f>
        <v>9.5515377076983918E-2</v>
      </c>
      <c r="CJ20" s="119">
        <f>(Trend!CP5+Trend!CP10)/Trend!CP27</f>
        <v>4.0222071584666182E-2</v>
      </c>
      <c r="CK20" s="119">
        <f>(Trend!CQ5+Trend!CQ10)/Trend!CQ27</f>
        <v>3.6232486610376681E-2</v>
      </c>
      <c r="CL20" s="119">
        <f>(Trend!CR5+Trend!CR10)/Trend!CR27</f>
        <v>6.7182973365851759E-2</v>
      </c>
      <c r="CM20" s="119">
        <f>(Trend!CS5+Trend!CS10)/Trend!CS27</f>
        <v>5.4006682462855136E-2</v>
      </c>
      <c r="CN20" s="119">
        <f>(Trend!CT5+Trend!CT10)/Trend!CT27</f>
        <v>5.3851684229925256E-2</v>
      </c>
      <c r="CO20" s="119">
        <f>(Trend!CU5+Trend!CU10)/Trend!CU27</f>
        <v>3.4801846375517503E-2</v>
      </c>
      <c r="CP20" s="119">
        <f>(Trend!CV5+Trend!CV10)/Trend!CV27</f>
        <v>5.6715869927748679E-2</v>
      </c>
      <c r="CQ20" s="119">
        <f>(Trend!CW5+Trend!CW10)/Trend!CW27</f>
        <v>0.1049858693834279</v>
      </c>
      <c r="CR20" s="119">
        <f>(Trend!CX5+Trend!CX10)/Trend!CX27</f>
        <v>5.9540056148572981E-2</v>
      </c>
      <c r="CS20" s="119">
        <f>(Trend!CY5+Trend!CY10)/Trend!CY27</f>
        <v>9.6809636545259231E-2</v>
      </c>
      <c r="CT20" s="119">
        <f>(Trend!CZ5+Trend!CZ10)/Trend!CZ27</f>
        <v>6.5459316122105204E-2</v>
      </c>
      <c r="CU20" s="119">
        <f>(Trend!DA5+Trend!DA10)/Trend!DA27</f>
        <v>8.916403787971966E-2</v>
      </c>
      <c r="CV20" s="119">
        <f>(Trend!DB5+Trend!DB10)/Trend!DB27</f>
        <v>4.5415103985703024E-2</v>
      </c>
      <c r="CW20" s="119">
        <f>(Trend!DC5+Trend!DC10)/Trend!DC27</f>
        <v>6.3057308441990756E-2</v>
      </c>
      <c r="CX20" s="119">
        <f>(Trend!DD5+Trend!DD10)/Trend!DD27</f>
        <v>4.0042084296248934E-2</v>
      </c>
      <c r="CY20" s="119">
        <f>(Trend!DE5+Trend!DE10)/Trend!DE27</f>
        <v>4.3697165834796589E-2</v>
      </c>
      <c r="CZ20" s="119">
        <f>(Trend!DF5+Trend!DF10)/Trend!DF27</f>
        <v>5.727806827375885E-2</v>
      </c>
      <c r="DA20" s="119">
        <f>(Trend!DG5+Trend!DG10)/Trend!DG27</f>
        <v>3.3491957807934861E-2</v>
      </c>
      <c r="DB20" s="119">
        <f>(Trend!DH5+Trend!DH10)/Trend!DH27</f>
        <v>4.0209228176461831E-2</v>
      </c>
      <c r="DC20" s="119">
        <f>(Trend!DI5+Trend!DI10)/Trend!DI27</f>
        <v>6.6099721496829619E-2</v>
      </c>
      <c r="DD20" s="119">
        <f>(Trend!DJ5+Trend!DJ10)/Trend!DJ27</f>
        <v>8.6961625016040614E-2</v>
      </c>
      <c r="DE20" s="119">
        <f>(Trend!DK5+Trend!DK10)/Trend!DK27</f>
        <v>3.4765527387076854E-2</v>
      </c>
      <c r="DF20" s="119">
        <f>(Trend!DL5+Trend!DL10)/Trend!DL27</f>
        <v>4.2691064681568969E-2</v>
      </c>
      <c r="DG20" s="119">
        <f>(Trend!DM5+Trend!DM10)/Trend!DM27</f>
        <v>6.4985469156985706E-2</v>
      </c>
      <c r="DH20" s="119">
        <f>(Trend!DN5+Trend!DN10)/Trend!DN27</f>
        <v>3.0322474335706836E-2</v>
      </c>
      <c r="DI20" s="119">
        <f>(Trend!DO5+Trend!DO10)/Trend!DO27</f>
        <v>2.5162979760006549E-2</v>
      </c>
      <c r="DJ20" s="119">
        <f>(Trend!DP5+Trend!DP10)/Trend!DP27</f>
        <v>4.2472033459319596E-2</v>
      </c>
      <c r="DK20" s="119">
        <f>(Trend!DQ5+Trend!DQ10)/Trend!DQ27</f>
        <v>5.0188700859591866E-2</v>
      </c>
      <c r="DL20" s="119">
        <f>(Trend!DR5+Trend!DR10)/Trend!DR27</f>
        <v>4.9393704884019479E-2</v>
      </c>
      <c r="DM20" s="119">
        <f>(Trend!DS5+Trend!DS10)/Trend!DS27</f>
        <v>2.7206363065957109E-2</v>
      </c>
      <c r="DN20" s="119">
        <f>(Trend!DT5+Trend!DT10)/Trend!DT27</f>
        <v>3.140609590618932E-2</v>
      </c>
      <c r="DO20" s="119">
        <f>(Trend!DU5+Trend!DU10)/Trend!DU27</f>
        <v>4.4420435254126096E-2</v>
      </c>
      <c r="DP20" s="119" t="e">
        <f>(Trend!DV5+Trend!DV10)/Trend!DV27</f>
        <v>#DIV/0!</v>
      </c>
      <c r="DQ20" s="119" t="e">
        <f>(Trend!#REF!+Trend!#REF!)/Trend!#REF!</f>
        <v>#REF!</v>
      </c>
    </row>
    <row r="21" spans="1:121" s="1" customFormat="1" x14ac:dyDescent="0.25">
      <c r="A21" s="702"/>
      <c r="B21" s="210"/>
      <c r="C21" s="105"/>
      <c r="D21" s="106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05"/>
      <c r="BL21" s="105"/>
      <c r="BM21" s="105"/>
      <c r="BN21" s="105"/>
      <c r="BO21" s="105"/>
      <c r="BP21" s="105"/>
      <c r="BQ21" s="105"/>
      <c r="BR21" s="105"/>
      <c r="BS21" s="105"/>
      <c r="BT21" s="105"/>
      <c r="BU21" s="105"/>
      <c r="BV21" s="105"/>
      <c r="BW21" s="105"/>
      <c r="BX21" s="105"/>
      <c r="BY21" s="105"/>
      <c r="BZ21" s="105"/>
      <c r="CA21" s="105"/>
      <c r="CB21" s="105"/>
      <c r="CC21" s="105"/>
      <c r="CD21" s="105"/>
      <c r="CE21" s="105"/>
      <c r="CF21" s="105"/>
      <c r="CG21" s="105"/>
      <c r="CH21" s="105"/>
      <c r="CI21" s="105"/>
      <c r="CJ21" s="105"/>
      <c r="CK21" s="105"/>
      <c r="CL21" s="105"/>
      <c r="CM21" s="105"/>
      <c r="CN21" s="105"/>
      <c r="CO21" s="105"/>
      <c r="CP21" s="105"/>
      <c r="CQ21" s="105"/>
      <c r="CR21" s="105"/>
      <c r="CS21" s="105"/>
      <c r="CT21" s="105"/>
      <c r="CU21" s="105"/>
      <c r="CV21" s="105"/>
      <c r="CW21" s="105"/>
      <c r="CX21" s="105"/>
      <c r="CY21" s="105"/>
      <c r="CZ21" s="105"/>
      <c r="DA21" s="105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5"/>
      <c r="DO21" s="105"/>
      <c r="DP21" s="105"/>
      <c r="DQ21" s="105"/>
    </row>
    <row r="22" spans="1:121" s="1" customFormat="1" x14ac:dyDescent="0.25">
      <c r="A22" s="702"/>
      <c r="B22" s="708" t="s">
        <v>284</v>
      </c>
      <c r="C22" s="105" t="s">
        <v>285</v>
      </c>
      <c r="D22" s="106" t="s">
        <v>286</v>
      </c>
      <c r="E22" s="119" t="e">
        <f>Financials!#REF!/Financials!#REF!</f>
        <v>#REF!</v>
      </c>
      <c r="F22" s="119">
        <f>Financials!C40/Financials!C5</f>
        <v>0</v>
      </c>
      <c r="G22" s="119">
        <f>Financials!D40/Financials!D5</f>
        <v>0</v>
      </c>
      <c r="H22" s="119">
        <f>Financials!E40/Financials!E5</f>
        <v>0</v>
      </c>
      <c r="I22" s="119">
        <f>Financials!F40/Financials!F5</f>
        <v>0</v>
      </c>
      <c r="J22" s="119">
        <f>Financials!G40/Financials!G5</f>
        <v>6.2864343712099258E-2</v>
      </c>
      <c r="K22" s="119">
        <f>Financials!H40/Financials!H5</f>
        <v>0</v>
      </c>
      <c r="L22" s="119">
        <f>Financials!I40/Financials!I5</f>
        <v>4.5218575922277689E-2</v>
      </c>
      <c r="M22" s="119">
        <f>Financials!J40/Financials!J5</f>
        <v>2.1007307277923472E-2</v>
      </c>
      <c r="N22" s="119">
        <f>Financials!F40/Financials!F5</f>
        <v>0</v>
      </c>
      <c r="O22" s="119">
        <f>Financials!G40/Financials!G5</f>
        <v>6.2864343712099258E-2</v>
      </c>
      <c r="P22" s="119">
        <f>Financials!U40/Financials!U5</f>
        <v>3.4993654153180689E-2</v>
      </c>
      <c r="Q22" s="119">
        <f>Financials!W40/Financials!W5</f>
        <v>3.5085877057182663E-2</v>
      </c>
      <c r="R22" s="119">
        <f>Financials!X40/Financials!X5</f>
        <v>0</v>
      </c>
      <c r="S22" s="119">
        <f>Financials!Y40/Financials!Y5</f>
        <v>0</v>
      </c>
      <c r="T22" s="119">
        <f>Financials!Z40/Financials!Z5</f>
        <v>0</v>
      </c>
      <c r="U22" s="119">
        <f>Financials!AA40/Financials!AA5</f>
        <v>0</v>
      </c>
      <c r="V22" s="119">
        <f>Financials!AB40/Financials!AB5</f>
        <v>0</v>
      </c>
      <c r="W22" s="119">
        <f>Financials!AC40/Financials!AC5</f>
        <v>0</v>
      </c>
      <c r="X22" s="119">
        <f>Financials!AD40/Financials!AD5</f>
        <v>0</v>
      </c>
      <c r="Y22" s="119">
        <f>Financials!AE40/Financials!AE5</f>
        <v>0</v>
      </c>
      <c r="Z22" s="119">
        <f>Financials!AF40/Financials!AF5</f>
        <v>0</v>
      </c>
      <c r="AA22" s="119">
        <f>Financials!AG40/Financials!AG5</f>
        <v>0</v>
      </c>
      <c r="AB22" s="119">
        <f>Financials!AH40/Financials!AH5</f>
        <v>0</v>
      </c>
      <c r="AC22" s="119">
        <f>Financials!AI40/Financials!AI5</f>
        <v>0</v>
      </c>
      <c r="AD22" s="119">
        <f>Financials!AJ40/Financials!AJ5</f>
        <v>0</v>
      </c>
      <c r="AE22" s="119" t="e">
        <f>Financials!AK40/Financials!AK5</f>
        <v>#DIV/0!</v>
      </c>
      <c r="AF22" s="119">
        <f>Financials!AL40/Financials!AL5</f>
        <v>0</v>
      </c>
      <c r="AG22" s="119">
        <f>Financials!AM40/Financials!AM5</f>
        <v>0</v>
      </c>
      <c r="AH22" s="119">
        <f>Financials!AN40/Financials!AN5</f>
        <v>0</v>
      </c>
      <c r="AI22" s="119">
        <f>Financials!AO40/Financials!AO5</f>
        <v>0</v>
      </c>
      <c r="AJ22" s="119">
        <f>Financials!AP40/Financials!AP5</f>
        <v>0</v>
      </c>
      <c r="AK22" s="119">
        <f>Financials!AQ40/Financials!AQ5</f>
        <v>0</v>
      </c>
      <c r="AL22" s="119">
        <f>Financials!AR40/Financials!AR5</f>
        <v>0</v>
      </c>
      <c r="AM22" s="119">
        <f>Financials!AS40/Financials!AS5</f>
        <v>0</v>
      </c>
      <c r="AN22" s="119" t="e">
        <f>Financials!AT40/Financials!AT5</f>
        <v>#DIV/0!</v>
      </c>
      <c r="AO22" s="119">
        <f>Financials!AU40/Financials!AU5</f>
        <v>0</v>
      </c>
      <c r="AP22" s="119">
        <f>Financials!AV40/Financials!AV5</f>
        <v>0</v>
      </c>
      <c r="AQ22" s="119">
        <f>Financials!AW40/Financials!AW5</f>
        <v>0</v>
      </c>
      <c r="AR22" s="119" t="e">
        <f>Financials!AX40/Financials!AX5</f>
        <v>#DIV/0!</v>
      </c>
      <c r="AS22" s="119" t="e">
        <f>Financials!AY40/Financials!AY5</f>
        <v>#DIV/0!</v>
      </c>
      <c r="AT22" s="119">
        <f>Financials!AZ40/Financials!AZ5</f>
        <v>0</v>
      </c>
      <c r="AU22" s="119">
        <f>Financials!BA40/Financials!BA5</f>
        <v>0</v>
      </c>
      <c r="AV22" s="119">
        <f>Financials!BB40/Financials!BB5</f>
        <v>0</v>
      </c>
      <c r="AW22" s="119">
        <f>Financials!BC40/Financials!BC5</f>
        <v>0</v>
      </c>
      <c r="AX22" s="119">
        <f>Financials!BD40/Financials!BD5</f>
        <v>0</v>
      </c>
      <c r="AY22" s="119">
        <f>Financials!BE40/Financials!BE5</f>
        <v>0</v>
      </c>
      <c r="AZ22" s="119">
        <f>Financials!BF40/Financials!BF5</f>
        <v>0</v>
      </c>
      <c r="BA22" s="119" t="e">
        <f>Financials!BG40/Financials!BG5</f>
        <v>#DIV/0!</v>
      </c>
      <c r="BB22" s="119">
        <f>Financials!BH40/Financials!BH5</f>
        <v>0</v>
      </c>
      <c r="BC22" s="119">
        <f>Financials!BI40/Financials!BI5</f>
        <v>0</v>
      </c>
      <c r="BD22" s="119">
        <f>Financials!BJ40/Financials!BJ5</f>
        <v>0</v>
      </c>
      <c r="BE22" s="119">
        <f>Financials!BK40/Financials!BK5</f>
        <v>0</v>
      </c>
      <c r="BF22" s="119">
        <f>Financials!BL40/Financials!BL5</f>
        <v>0</v>
      </c>
      <c r="BG22" s="119">
        <f>Financials!BM40/Financials!BM5</f>
        <v>0</v>
      </c>
      <c r="BH22" s="119">
        <f>Financials!BN40/Financials!BN5</f>
        <v>0</v>
      </c>
      <c r="BI22" s="119">
        <f>Financials!BO40/Financials!BO5</f>
        <v>0</v>
      </c>
      <c r="BJ22" s="119">
        <f>Financials!BP40/Financials!BP5</f>
        <v>0</v>
      </c>
      <c r="BK22" s="119">
        <f>Financials!BQ40/Financials!BQ5</f>
        <v>0</v>
      </c>
      <c r="BL22" s="119">
        <f>Financials!BR40/Financials!BR5</f>
        <v>0</v>
      </c>
      <c r="BM22" s="119">
        <f>Financials!BS40/Financials!BS5</f>
        <v>0</v>
      </c>
      <c r="BN22" s="119">
        <f>Financials!BT40/Financials!BT5</f>
        <v>0</v>
      </c>
      <c r="BO22" s="119">
        <f>Financials!BU40/Financials!BU5</f>
        <v>0</v>
      </c>
      <c r="BP22" s="119">
        <f>Financials!BV40/Financials!BV5</f>
        <v>0</v>
      </c>
      <c r="BQ22" s="119">
        <f>Financials!BW40/Financials!BW5</f>
        <v>0</v>
      </c>
      <c r="BR22" s="119">
        <f>Financials!BX40/Financials!BX5</f>
        <v>0</v>
      </c>
      <c r="BS22" s="119">
        <f>Financials!BY40/Financials!BY5</f>
        <v>0</v>
      </c>
      <c r="BT22" s="119">
        <f>Financials!BZ40/Financials!BZ5</f>
        <v>0</v>
      </c>
      <c r="BU22" s="119">
        <f>Financials!CA40/Financials!CA5</f>
        <v>0</v>
      </c>
      <c r="BV22" s="119">
        <f>Financials!CB40/Financials!CB5</f>
        <v>0</v>
      </c>
      <c r="BW22" s="119">
        <f>Financials!CC40/Financials!CC5</f>
        <v>0</v>
      </c>
      <c r="BX22" s="119">
        <f>Financials!CD40/Financials!CD5</f>
        <v>0</v>
      </c>
      <c r="BY22" s="119">
        <f>Financials!CE40/Financials!CE5</f>
        <v>0</v>
      </c>
      <c r="BZ22" s="119">
        <f>Financials!CF40/Financials!CF5</f>
        <v>0</v>
      </c>
      <c r="CA22" s="119">
        <f>Financials!CG40/Financials!CG5</f>
        <v>0</v>
      </c>
      <c r="CB22" s="119">
        <f>Financials!CH40/Financials!CH5</f>
        <v>0</v>
      </c>
      <c r="CC22" s="119">
        <f>Financials!CI40/Financials!CI5</f>
        <v>0</v>
      </c>
      <c r="CD22" s="119">
        <f>Financials!CJ40/Financials!CJ5</f>
        <v>0</v>
      </c>
      <c r="CE22" s="119">
        <f>Financials!CK40/Financials!CK5</f>
        <v>0</v>
      </c>
      <c r="CF22" s="119">
        <f>Financials!CL40/Financials!CL5</f>
        <v>0</v>
      </c>
      <c r="CG22" s="119">
        <f>Financials!CM40/Financials!CM5</f>
        <v>0</v>
      </c>
      <c r="CH22" s="119">
        <f>Financials!CN40/Financials!CN5</f>
        <v>0</v>
      </c>
      <c r="CI22" s="119">
        <f>Financials!CO40/Financials!CO5</f>
        <v>0</v>
      </c>
      <c r="CJ22" s="119">
        <f>Financials!CP40/Financials!CP5</f>
        <v>0</v>
      </c>
      <c r="CK22" s="119">
        <f>Financials!CQ40/Financials!CQ5</f>
        <v>0</v>
      </c>
      <c r="CL22" s="119">
        <f>Financials!CR40/Financials!CR5</f>
        <v>0</v>
      </c>
      <c r="CM22" s="119">
        <f>Financials!CS40/Financials!CS5</f>
        <v>0</v>
      </c>
      <c r="CN22" s="119">
        <f>Financials!CT40/Financials!CT5</f>
        <v>0</v>
      </c>
      <c r="CO22" s="119">
        <f>Financials!CU40/Financials!CU5</f>
        <v>0</v>
      </c>
      <c r="CP22" s="119">
        <f>Financials!CV40/Financials!CV5</f>
        <v>0</v>
      </c>
      <c r="CQ22" s="119">
        <f>Financials!CW40/Financials!CW5</f>
        <v>0</v>
      </c>
      <c r="CR22" s="119">
        <f>Financials!CX40/Financials!CX5</f>
        <v>0</v>
      </c>
      <c r="CS22" s="119">
        <f>Financials!CY40/Financials!CY5</f>
        <v>0</v>
      </c>
      <c r="CT22" s="119">
        <f>Financials!CZ40/Financials!CZ5</f>
        <v>0</v>
      </c>
      <c r="CU22" s="119">
        <f>Financials!DA40/Financials!DA5</f>
        <v>0</v>
      </c>
      <c r="CV22" s="119">
        <f>Financials!DB40/Financials!DB5</f>
        <v>0</v>
      </c>
      <c r="CW22" s="119">
        <f>Financials!DC40/Financials!DC5</f>
        <v>0</v>
      </c>
      <c r="CX22" s="119">
        <f>Financials!DD40/Financials!DD5</f>
        <v>0</v>
      </c>
      <c r="CY22" s="119">
        <f>Financials!DE40/Financials!DE5</f>
        <v>0</v>
      </c>
      <c r="CZ22" s="119">
        <f>Financials!DF40/Financials!DF5</f>
        <v>0</v>
      </c>
      <c r="DA22" s="119">
        <f>Financials!DG40/Financials!DG5</f>
        <v>0</v>
      </c>
      <c r="DB22" s="119">
        <f>Financials!DH40/Financials!DH5</f>
        <v>0</v>
      </c>
      <c r="DC22" s="119">
        <f>Financials!DI40/Financials!DI5</f>
        <v>0</v>
      </c>
      <c r="DD22" s="119">
        <f>Financials!DJ40/Financials!DJ5</f>
        <v>0</v>
      </c>
      <c r="DE22" s="119">
        <f>Financials!DK40/Financials!DK5</f>
        <v>0</v>
      </c>
      <c r="DF22" s="119">
        <f>Financials!DL40/Financials!DL5</f>
        <v>0</v>
      </c>
      <c r="DG22" s="119">
        <f>Financials!DM40/Financials!DM5</f>
        <v>0</v>
      </c>
      <c r="DH22" s="119">
        <f>Financials!DN40/Financials!DN5</f>
        <v>0</v>
      </c>
      <c r="DI22" s="119">
        <f>Financials!DO40/Financials!DO5</f>
        <v>0</v>
      </c>
      <c r="DJ22" s="119">
        <f>Financials!DP40/Financials!DP5</f>
        <v>0</v>
      </c>
      <c r="DK22" s="119">
        <f>Financials!DQ40/Financials!DQ5</f>
        <v>0</v>
      </c>
      <c r="DL22" s="119">
        <f>Financials!DR40/Financials!DR5</f>
        <v>0</v>
      </c>
      <c r="DM22" s="119">
        <f>Financials!DS40/Financials!DS5</f>
        <v>0</v>
      </c>
      <c r="DN22" s="119">
        <f>Financials!DT40/Financials!DT5</f>
        <v>0</v>
      </c>
      <c r="DO22" s="119">
        <f>Financials!DU40/Financials!DU5</f>
        <v>0</v>
      </c>
      <c r="DP22" s="119" t="e">
        <f>Financials!DV40/Financials!DV5</f>
        <v>#DIV/0!</v>
      </c>
      <c r="DQ22" s="119" t="e">
        <f>Financials!DX40/Financials!DX5</f>
        <v>#DIV/0!</v>
      </c>
    </row>
    <row r="23" spans="1:121" s="1" customFormat="1" x14ac:dyDescent="0.25">
      <c r="A23" s="702"/>
      <c r="B23" s="708"/>
      <c r="C23" s="105" t="s">
        <v>287</v>
      </c>
      <c r="D23" s="106" t="s">
        <v>288</v>
      </c>
      <c r="E23" s="119" t="e">
        <f>Financials!#REF!/Financials!#REF!</f>
        <v>#REF!</v>
      </c>
      <c r="F23" s="119">
        <f>Financials!C25/Financials!C13</f>
        <v>0.15800446050002159</v>
      </c>
      <c r="G23" s="119">
        <f>Financials!D25/Financials!D13</f>
        <v>0.20288765452371615</v>
      </c>
      <c r="H23" s="119">
        <f>Financials!E25/Financials!E13</f>
        <v>2.4781883934194459E-2</v>
      </c>
      <c r="I23" s="119">
        <f>Financials!F25/Financials!F13</f>
        <v>1.9171420800546127E-2</v>
      </c>
      <c r="J23" s="119">
        <f>Financials!G25/Financials!G13</f>
        <v>1.4722872185795786E-2</v>
      </c>
      <c r="K23" s="119">
        <f>Financials!H25/Financials!H13</f>
        <v>0.13335396322741952</v>
      </c>
      <c r="L23" s="119">
        <f>Financials!I25/Financials!I13</f>
        <v>1.1542970246152119E-2</v>
      </c>
      <c r="M23" s="119">
        <f>Financials!J25/Financials!J13</f>
        <v>0.13186668222129977</v>
      </c>
      <c r="N23" s="119">
        <f>Financials!F25/Financials!F13</f>
        <v>1.9171420800546127E-2</v>
      </c>
      <c r="O23" s="119">
        <f>Financials!G25/Financials!G13</f>
        <v>1.4722872185795786E-2</v>
      </c>
      <c r="P23" s="119">
        <f>Financials!U25/Financials!U13</f>
        <v>0.21144655405885812</v>
      </c>
      <c r="Q23" s="119">
        <f>Financials!W25/Financials!W13</f>
        <v>0.18977861187952691</v>
      </c>
      <c r="R23" s="119">
        <f>Financials!X25/Financials!X13</f>
        <v>0.18084012954277229</v>
      </c>
      <c r="S23" s="119">
        <f>Financials!Y25/Financials!Y13</f>
        <v>0.19959823839381088</v>
      </c>
      <c r="T23" s="119">
        <f>Financials!Z25/Financials!Z13</f>
        <v>0.18503225879848711</v>
      </c>
      <c r="U23" s="119">
        <f>Financials!AA25/Financials!AA13</f>
        <v>0.23945718053033827</v>
      </c>
      <c r="V23" s="119">
        <f>Financials!AB25/Financials!AB13</f>
        <v>0.22959730111708124</v>
      </c>
      <c r="W23" s="119">
        <f>Financials!AC25/Financials!AC13</f>
        <v>0.30494887321284769</v>
      </c>
      <c r="X23" s="119">
        <f>Financials!AD25/Financials!AD13</f>
        <v>0.54222441556970169</v>
      </c>
      <c r="Y23" s="119">
        <f>Financials!AE25/Financials!AE13</f>
        <v>0.55064865125583795</v>
      </c>
      <c r="Z23" s="119">
        <f>Financials!AF25/Financials!AF13</f>
        <v>0.6814814492214043</v>
      </c>
      <c r="AA23" s="119">
        <f>Financials!AG25/Financials!AG13</f>
        <v>0.6435035889320293</v>
      </c>
      <c r="AB23" s="119">
        <f>Financials!AH25/Financials!AH13</f>
        <v>0.58688450801153969</v>
      </c>
      <c r="AC23" s="119">
        <f>Financials!AI25/Financials!AI13</f>
        <v>0.82007864945301434</v>
      </c>
      <c r="AD23" s="119">
        <f>Financials!AJ25/Financials!AJ13</f>
        <v>0.82007864945301434</v>
      </c>
      <c r="AE23" s="119" t="e">
        <f>Financials!AK25/Financials!AK13</f>
        <v>#DIV/0!</v>
      </c>
      <c r="AF23" s="119">
        <f>Financials!AL25/Financials!AL13</f>
        <v>0.55823995540193294</v>
      </c>
      <c r="AG23" s="119">
        <f>Financials!AM25/Financials!AM13</f>
        <v>0.55061787370770909</v>
      </c>
      <c r="AH23" s="119">
        <f>Financials!AN25/Financials!AN13</f>
        <v>0.10666964408998535</v>
      </c>
      <c r="AI23" s="119">
        <f>Financials!AO25/Financials!AO13</f>
        <v>0.23945718053033827</v>
      </c>
      <c r="AJ23" s="119">
        <f>Financials!AP25/Financials!AP13</f>
        <v>8.5328884451429596E-2</v>
      </c>
      <c r="AK23" s="119">
        <f>Financials!AQ25/Financials!AQ13</f>
        <v>7.9163855892321791E-2</v>
      </c>
      <c r="AL23" s="119">
        <f>Financials!AR25/Financials!AR13</f>
        <v>0.10463466264205995</v>
      </c>
      <c r="AM23" s="119">
        <f>Financials!AS25/Financials!AS13</f>
        <v>0.10321260251162413</v>
      </c>
      <c r="AN23" s="119" t="e">
        <f>Financials!AT25/Financials!AT13</f>
        <v>#DIV/0!</v>
      </c>
      <c r="AO23" s="119">
        <f>Financials!AU25/Financials!AU13</f>
        <v>9.7510058216675036E-2</v>
      </c>
      <c r="AP23" s="119">
        <f>Financials!AV25/Financials!AV13</f>
        <v>-1.4020070396900355</v>
      </c>
      <c r="AQ23" s="119">
        <f>Financials!AW25/Financials!AW13</f>
        <v>1.7102610263282046E-2</v>
      </c>
      <c r="AR23" s="119" t="e">
        <f>Financials!AX25/Financials!AX13</f>
        <v>#DIV/0!</v>
      </c>
      <c r="AS23" s="119" t="e">
        <f>Financials!AY25/Financials!AY13</f>
        <v>#DIV/0!</v>
      </c>
      <c r="AT23" s="119">
        <f>Financials!AZ25/Financials!AZ13</f>
        <v>-0.75162448253417735</v>
      </c>
      <c r="AU23" s="119">
        <f>Financials!BA25/Financials!BA13</f>
        <v>-0.92452012346973522</v>
      </c>
      <c r="AV23" s="119">
        <f>Financials!BB25/Financials!BB13</f>
        <v>0.85093793561195652</v>
      </c>
      <c r="AW23" s="119">
        <f>Financials!BC25/Financials!BC13</f>
        <v>0.8326915804022178</v>
      </c>
      <c r="AX23" s="119">
        <f>Financials!BD25/Financials!BD13</f>
        <v>0.93251185665300729</v>
      </c>
      <c r="AY23" s="119">
        <f>Financials!BE25/Financials!BE13</f>
        <v>0.84184229511331632</v>
      </c>
      <c r="AZ23" s="119">
        <f>Financials!BF25/Financials!BF13</f>
        <v>0.79938696718104185</v>
      </c>
      <c r="BA23" s="119" t="e">
        <f>Financials!BG25/Financials!BG13</f>
        <v>#DIV/0!</v>
      </c>
      <c r="BB23" s="119">
        <f>Financials!BH25/Financials!BH13</f>
        <v>0.74430899130946837</v>
      </c>
      <c r="BC23" s="119">
        <f>Financials!BI25/Financials!BI13</f>
        <v>0.67531781749796826</v>
      </c>
      <c r="BD23" s="119">
        <f>Financials!BJ25/Financials!BJ13</f>
        <v>1.5437525837165416E-2</v>
      </c>
      <c r="BE23" s="119">
        <f>Financials!BK25/Financials!BK13</f>
        <v>0.8157396639098714</v>
      </c>
      <c r="BF23" s="119">
        <f>Financials!BL25/Financials!BL13</f>
        <v>0.71126236442024038</v>
      </c>
      <c r="BG23" s="119">
        <f>Financials!BM25/Financials!BM13</f>
        <v>0.68040423682116624</v>
      </c>
      <c r="BH23" s="119">
        <f>Financials!BN25/Financials!BN13</f>
        <v>0.60324081182895783</v>
      </c>
      <c r="BI23" s="119">
        <f>Financials!BO25/Financials!BO13</f>
        <v>0.58607690643530996</v>
      </c>
      <c r="BJ23" s="119">
        <f>Financials!BP25/Financials!BP13</f>
        <v>0.50284437280654515</v>
      </c>
      <c r="BK23" s="119">
        <f>Financials!BQ25/Financials!BQ13</f>
        <v>0.4951372235590224</v>
      </c>
      <c r="BL23" s="119">
        <f>Financials!BR25/Financials!BR13</f>
        <v>0.68138538776106894</v>
      </c>
      <c r="BM23" s="119">
        <f>Financials!BS25/Financials!BS13</f>
        <v>0.80714693735361343</v>
      </c>
      <c r="BN23" s="119">
        <f>Financials!BT25/Financials!BT13</f>
        <v>0.80863324025023064</v>
      </c>
      <c r="BO23" s="119">
        <f>Financials!BU25/Financials!BU13</f>
        <v>0.87708027129730559</v>
      </c>
      <c r="BP23" s="119">
        <f>Financials!BV25/Financials!BV13</f>
        <v>0.85815912104305836</v>
      </c>
      <c r="BQ23" s="119">
        <f>Financials!BW25/Financials!BW13</f>
        <v>1.2635792803880578E-2</v>
      </c>
      <c r="BR23" s="119">
        <f>Financials!BX25/Financials!BX13</f>
        <v>0.83559674312045196</v>
      </c>
      <c r="BS23" s="119">
        <f>Financials!BY25/Financials!BY13</f>
        <v>0.93783683929054307</v>
      </c>
      <c r="BT23" s="119">
        <f>Financials!BZ25/Financials!BZ13</f>
        <v>0.94583635299914581</v>
      </c>
      <c r="BU23" s="119">
        <f>Financials!CA25/Financials!CA13</f>
        <v>0.80305024623184373</v>
      </c>
      <c r="BV23" s="119">
        <f>Financials!CB25/Financials!CB13</f>
        <v>0.67190832206905471</v>
      </c>
      <c r="BW23" s="119">
        <f>Financials!CC25/Financials!CC13</f>
        <v>0.63489051181956691</v>
      </c>
      <c r="BX23" s="119">
        <f>Financials!CD25/Financials!CD13</f>
        <v>0.64072967168587447</v>
      </c>
      <c r="BY23" s="119">
        <f>Financials!CE25/Financials!CE13</f>
        <v>0.62390232544326307</v>
      </c>
      <c r="BZ23" s="119">
        <f>Financials!CF25/Financials!CF13</f>
        <v>0.53519953283404642</v>
      </c>
      <c r="CA23" s="119">
        <f>Financials!CG25/Financials!CG13</f>
        <v>0.46343899055458848</v>
      </c>
      <c r="CB23" s="119">
        <f>Financials!CH25/Financials!CH13</f>
        <v>0.54529232365819591</v>
      </c>
      <c r="CC23" s="119">
        <f>Financials!CI25/Financials!CI13</f>
        <v>5.6266510464830048E-2</v>
      </c>
      <c r="CD23" s="119">
        <f>Financials!CJ25/Financials!CJ13</f>
        <v>1.1564622174731776E-2</v>
      </c>
      <c r="CE23" s="119">
        <f>Financials!CK25/Financials!CK13</f>
        <v>0.65411330372731391</v>
      </c>
      <c r="CF23" s="119" t="e">
        <f>Financials!CL25/Financials!CL13</f>
        <v>#REF!</v>
      </c>
      <c r="CG23" s="119" t="e">
        <f>Financials!CM25/Financials!CM13</f>
        <v>#REF!</v>
      </c>
      <c r="CH23" s="119">
        <f>Financials!CN25/Financials!CN13</f>
        <v>0.58273966180857273</v>
      </c>
      <c r="CI23" s="119">
        <f>Financials!CO25/Financials!CO13</f>
        <v>0.40426618548921456</v>
      </c>
      <c r="CJ23" s="119">
        <f>Financials!CP25/Financials!CP13</f>
        <v>0.64116244176401604</v>
      </c>
      <c r="CK23" s="119">
        <f>Financials!CQ25/Financials!CQ13</f>
        <v>0.57306486179533966</v>
      </c>
      <c r="CL23" s="119">
        <f>Financials!CR25/Financials!CR13</f>
        <v>0.47360916412058324</v>
      </c>
      <c r="CM23" s="119">
        <f>Financials!CS25/Financials!CS13</f>
        <v>0.53197287416908234</v>
      </c>
      <c r="CN23" s="119">
        <f>Financials!CT25/Financials!CT13</f>
        <v>0.54819241146471964</v>
      </c>
      <c r="CO23" s="119">
        <f>Financials!CU25/Financials!CU13</f>
        <v>0.5351736727679266</v>
      </c>
      <c r="CP23" s="119">
        <f>Financials!CV25/Financials!CV13</f>
        <v>0.3213067617755655</v>
      </c>
      <c r="CQ23" s="119">
        <f>Financials!CW25/Financials!CW13</f>
        <v>0.1744834047319416</v>
      </c>
      <c r="CR23" s="119">
        <f>Financials!CX25/Financials!CX13</f>
        <v>0.3150249701060866</v>
      </c>
      <c r="CS23" s="119">
        <f>Financials!CY25/Financials!CY13</f>
        <v>0.15876488848841316</v>
      </c>
      <c r="CT23" s="119">
        <f>Financials!CZ25/Financials!CZ13</f>
        <v>0.16492617069927418</v>
      </c>
      <c r="CU23" s="119">
        <f>Financials!DA25/Financials!DA13</f>
        <v>0.15451157435014337</v>
      </c>
      <c r="CV23" s="119">
        <f>Financials!DB25/Financials!DB13</f>
        <v>0.2384684624933758</v>
      </c>
      <c r="CW23" s="119">
        <f>Financials!DC25/Financials!DC13</f>
        <v>0.22986339917044202</v>
      </c>
      <c r="CX23" s="119">
        <f>Financials!DD25/Financials!DD13</f>
        <v>0.24897009867403277</v>
      </c>
      <c r="CY23" s="119">
        <f>Financials!DE25/Financials!DE13</f>
        <v>0.24305390247704978</v>
      </c>
      <c r="CZ23" s="119">
        <f>Financials!DF25/Financials!DF13</f>
        <v>0.23194163164863837</v>
      </c>
      <c r="DA23" s="119">
        <f>Financials!DG25/Financials!DG13</f>
        <v>0.22261939507046857</v>
      </c>
      <c r="DB23" s="119">
        <f>Financials!DH25/Financials!DH13</f>
        <v>0.16997406276289598</v>
      </c>
      <c r="DC23" s="119">
        <f>Financials!DI25/Financials!DI13</f>
        <v>0.14528480563336579</v>
      </c>
      <c r="DD23" s="119">
        <f>Financials!DJ25/Financials!DJ13</f>
        <v>0.14704702280962356</v>
      </c>
      <c r="DE23" s="119">
        <f>Financials!DK25/Financials!DK13</f>
        <v>0.22898414596125555</v>
      </c>
      <c r="DF23" s="119">
        <f>Financials!DL25/Financials!DL13</f>
        <v>0.20838668223784032</v>
      </c>
      <c r="DG23" s="119">
        <f>Financials!DM25/Financials!DM13</f>
        <v>2.0523600365889325E-2</v>
      </c>
      <c r="DH23" s="119">
        <f>Financials!DN25/Financials!DN13</f>
        <v>7.3502251855373832E-2</v>
      </c>
      <c r="DI23" s="119">
        <f>Financials!DO25/Financials!DO13</f>
        <v>7.0669343089294914E-2</v>
      </c>
      <c r="DJ23" s="119">
        <f>Financials!DP25/Financials!DP13</f>
        <v>7.4134923852931855E-2</v>
      </c>
      <c r="DK23" s="119">
        <f>Financials!DQ25/Financials!DQ13</f>
        <v>7.1335152131992111E-2</v>
      </c>
      <c r="DL23" s="119">
        <f>Financials!DR25/Financials!DR13</f>
        <v>6.7725546149156435E-2</v>
      </c>
      <c r="DM23" s="119">
        <f>Financials!DS25/Financials!DS13</f>
        <v>0.29106910011501508</v>
      </c>
      <c r="DN23" s="119">
        <f>Financials!DT25/Financials!DT13</f>
        <v>0.28799457490443137</v>
      </c>
      <c r="DO23" s="119">
        <f>Financials!DU25/Financials!DU13</f>
        <v>0.28013931415392873</v>
      </c>
      <c r="DP23" s="119" t="e">
        <f>Financials!DV25/Financials!DV13</f>
        <v>#DIV/0!</v>
      </c>
      <c r="DQ23" s="119" t="e">
        <f>Financials!DX25/Financials!DX13</f>
        <v>#DIV/0!</v>
      </c>
    </row>
    <row r="24" spans="1:121" s="1" customFormat="1" x14ac:dyDescent="0.25">
      <c r="A24" s="702"/>
      <c r="B24" s="708"/>
      <c r="C24" s="105" t="s">
        <v>289</v>
      </c>
      <c r="D24" s="106" t="s">
        <v>286</v>
      </c>
      <c r="E24" s="119" t="e">
        <f>Financials!#REF!/Financials!#REF!</f>
        <v>#REF!</v>
      </c>
      <c r="F24" s="119">
        <f>Financials!C25/Financials!C6</f>
        <v>3.0491175546691424E-2</v>
      </c>
      <c r="G24" s="119">
        <f>Financials!D25/Financials!D6</f>
        <v>2.5249949162309715E-2</v>
      </c>
      <c r="H24" s="119">
        <f>Financials!E25/Financials!E6</f>
        <v>2.5165014023939797E-2</v>
      </c>
      <c r="I24" s="119">
        <f>Financials!F25/Financials!F6</f>
        <v>1.2815575519179691E-2</v>
      </c>
      <c r="J24" s="119">
        <f>Financials!G25/Financials!G6</f>
        <v>7.7397113635394822E-3</v>
      </c>
      <c r="K24" s="119">
        <f>Financials!H25/Financials!H6</f>
        <v>7.3192283633667907E-2</v>
      </c>
      <c r="L24" s="119">
        <f>Financials!I25/Financials!I6</f>
        <v>5.2047538211516964E-3</v>
      </c>
      <c r="M24" s="119">
        <f>Financials!J25/Financials!J6</f>
        <v>7.144526552191767E-2</v>
      </c>
      <c r="N24" s="119">
        <f>Financials!F25/Financials!F6</f>
        <v>1.2815575519179691E-2</v>
      </c>
      <c r="O24" s="119">
        <f>Financials!G25/Financials!G6</f>
        <v>7.7397113635394822E-3</v>
      </c>
      <c r="P24" s="119">
        <f>Financials!U25/Financials!U6</f>
        <v>9.818980732066733E-2</v>
      </c>
      <c r="Q24" s="119">
        <f>Financials!W25/Financials!W6</f>
        <v>9.5913304767850122E-2</v>
      </c>
      <c r="R24" s="119">
        <f>Financials!X25/Financials!X6</f>
        <v>9.7921191746109998E-2</v>
      </c>
      <c r="S24" s="119">
        <f>Financials!Y25/Financials!Y6</f>
        <v>9.1922225027817189E-2</v>
      </c>
      <c r="T24" s="119">
        <f>Financials!Z25/Financials!Z6</f>
        <v>9.0608943658581784E-2</v>
      </c>
      <c r="U24" s="119">
        <f>Financials!AA25/Financials!AA6</f>
        <v>0.11482856018400171</v>
      </c>
      <c r="V24" s="119">
        <f>Financials!AB25/Financials!AB6</f>
        <v>0.111720815046936</v>
      </c>
      <c r="W24" s="119">
        <f>Financials!AC25/Financials!AC6</f>
        <v>0.13895110120176557</v>
      </c>
      <c r="X24" s="119">
        <f>Financials!AD25/Financials!AD6</f>
        <v>0.25137120909675315</v>
      </c>
      <c r="Y24" s="119">
        <f>Financials!AE25/Financials!AE6</f>
        <v>0.24248846338489516</v>
      </c>
      <c r="Z24" s="119">
        <f>Financials!AF25/Financials!AF6</f>
        <v>0.29665139840314075</v>
      </c>
      <c r="AA24" s="119">
        <f>Financials!AG25/Financials!AG6</f>
        <v>0.29349633289008842</v>
      </c>
      <c r="AB24" s="119">
        <f>Financials!AH25/Financials!AH6</f>
        <v>0.2693045994623734</v>
      </c>
      <c r="AC24" s="119">
        <f>Financials!AI25/Financials!AI6</f>
        <v>0.24040618285839518</v>
      </c>
      <c r="AD24" s="119">
        <f>Financials!AJ25/Financials!AJ6</f>
        <v>0.24579060059250546</v>
      </c>
      <c r="AE24" s="119" t="e">
        <f>Financials!AK25/Financials!AK6</f>
        <v>#DIV/0!</v>
      </c>
      <c r="AF24" s="119">
        <f>Financials!AL25/Financials!AL6</f>
        <v>0.26268787980594033</v>
      </c>
      <c r="AG24" s="119">
        <f>Financials!AM25/Financials!AM6</f>
        <v>0.26348328582376407</v>
      </c>
      <c r="AH24" s="119">
        <f>Financials!AN25/Financials!AN6</f>
        <v>5.6134478706390718E-2</v>
      </c>
      <c r="AI24" s="119">
        <f>Financials!AO25/Financials!AO6</f>
        <v>0.11482856018400171</v>
      </c>
      <c r="AJ24" s="119">
        <f>Financials!AP25/Financials!AP6</f>
        <v>5.612606157325304E-2</v>
      </c>
      <c r="AK24" s="119">
        <f>Financials!AQ25/Financials!AQ6</f>
        <v>5.619239573692985E-2</v>
      </c>
      <c r="AL24" s="119">
        <f>Financials!AR25/Financials!AR6</f>
        <v>7.8115894578501946E-2</v>
      </c>
      <c r="AM24" s="119">
        <f>Financials!AS25/Financials!AS6</f>
        <v>8.1759881935791839E-2</v>
      </c>
      <c r="AN24" s="119" t="e">
        <f>Financials!AT25/Financials!AT6</f>
        <v>#DIV/0!</v>
      </c>
      <c r="AO24" s="119">
        <f>Financials!AU25/Financials!AU6</f>
        <v>8.46060307914627E-2</v>
      </c>
      <c r="AP24" s="119">
        <f>Financials!AV25/Financials!AV6</f>
        <v>0.241211037071799</v>
      </c>
      <c r="AQ24" s="119">
        <f>Financials!AW25/Financials!AW6</f>
        <v>4.7437236897193355E-3</v>
      </c>
      <c r="AR24" s="119" t="e">
        <f>Financials!AX25/Financials!AX6</f>
        <v>#DIV/0!</v>
      </c>
      <c r="AS24" s="119" t="e">
        <f>Financials!AY25/Financials!AY6</f>
        <v>#DIV/0!</v>
      </c>
      <c r="AT24" s="119">
        <f>Financials!AZ25/Financials!AZ6</f>
        <v>-0.19848673328193739</v>
      </c>
      <c r="AU24" s="119">
        <f>Financials!BA25/Financials!BA6</f>
        <v>-0.24271017983795529</v>
      </c>
      <c r="AV24" s="119">
        <f>Financials!BB25/Financials!BB6</f>
        <v>0.23995533796188398</v>
      </c>
      <c r="AW24" s="119">
        <f>Financials!BC25/Financials!BC6</f>
        <v>0.26007225122917915</v>
      </c>
      <c r="AX24" s="119">
        <f>Financials!BD25/Financials!BD6</f>
        <v>0.25401608843271212</v>
      </c>
      <c r="AY24" s="119">
        <f>Financials!BE25/Financials!BE6</f>
        <v>0.24685533077182598</v>
      </c>
      <c r="AZ24" s="119">
        <f>Financials!BF25/Financials!BF6</f>
        <v>0.24967779474512874</v>
      </c>
      <c r="BA24" s="119" t="e">
        <f>Financials!BG25/Financials!BG6</f>
        <v>#DIV/0!</v>
      </c>
      <c r="BB24" s="119">
        <f>Financials!BH25/Financials!BH6</f>
        <v>0.25241672584308317</v>
      </c>
      <c r="BC24" s="119">
        <f>Financials!BI25/Financials!BI6</f>
        <v>0.24805109232063785</v>
      </c>
      <c r="BD24" s="119">
        <f>Financials!BJ25/Financials!BJ6</f>
        <v>4.7836335584750603E-3</v>
      </c>
      <c r="BE24" s="119">
        <f>Financials!BK25/Financials!BK6</f>
        <v>0.24088292119431329</v>
      </c>
      <c r="BF24" s="119">
        <f>Financials!BL25/Financials!BL6</f>
        <v>0.20518235601131771</v>
      </c>
      <c r="BG24" s="119">
        <f>Financials!BM25/Financials!BM6</f>
        <v>0.20026406957745932</v>
      </c>
      <c r="BH24" s="119">
        <f>Financials!BN25/Financials!BN6</f>
        <v>0.18004715352984449</v>
      </c>
      <c r="BI24" s="119">
        <f>Financials!BO25/Financials!BO6</f>
        <v>0.18959613592786881</v>
      </c>
      <c r="BJ24" s="119">
        <f>Financials!BP25/Financials!BP6</f>
        <v>0.15676329438023448</v>
      </c>
      <c r="BK24" s="119">
        <f>Financials!BQ25/Financials!BQ6</f>
        <v>0.15631472683383069</v>
      </c>
      <c r="BL24" s="119">
        <f>Financials!BR25/Financials!BR6</f>
        <v>0.21129327350941662</v>
      </c>
      <c r="BM24" s="119">
        <f>Financials!BS25/Financials!BS6</f>
        <v>0.25340900778591208</v>
      </c>
      <c r="BN24" s="119">
        <f>Financials!BT25/Financials!BT6</f>
        <v>0.26076549298809132</v>
      </c>
      <c r="BO24" s="119">
        <f>Financials!BU25/Financials!BU6</f>
        <v>0.28794825636166621</v>
      </c>
      <c r="BP24" s="119">
        <f>Financials!BV25/Financials!BV6</f>
        <v>0.27834491844051368</v>
      </c>
      <c r="BQ24" s="119">
        <f>Financials!BW25/Financials!BW6</f>
        <v>4.1969799949088081E-3</v>
      </c>
      <c r="BR24" s="119">
        <f>Financials!BX25/Financials!BX6</f>
        <v>0.25526603662429675</v>
      </c>
      <c r="BS24" s="119">
        <f>Financials!BY25/Financials!BY6</f>
        <v>0.3002033177083861</v>
      </c>
      <c r="BT24" s="119">
        <f>Financials!BZ25/Financials!BZ6</f>
        <v>0.28907313669144968</v>
      </c>
      <c r="BU24" s="119">
        <f>Financials!CA25/Financials!CA6</f>
        <v>0.24951208360431207</v>
      </c>
      <c r="BV24" s="119">
        <f>Financials!CB25/Financials!CB6</f>
        <v>0.21376160469960021</v>
      </c>
      <c r="BW24" s="119">
        <f>Financials!CC25/Financials!CC6</f>
        <v>0.20211439756122085</v>
      </c>
      <c r="BX24" s="119">
        <f>Financials!CD25/Financials!CD6</f>
        <v>0.20784715810236432</v>
      </c>
      <c r="BY24" s="119">
        <f>Financials!CE25/Financials!CE6</f>
        <v>0.20484592918284242</v>
      </c>
      <c r="BZ24" s="119">
        <f>Financials!CF25/Financials!CF6</f>
        <v>0.17454729362055463</v>
      </c>
      <c r="CA24" s="119">
        <f>Financials!CG25/Financials!CG6</f>
        <v>0.15592843549182062</v>
      </c>
      <c r="CB24" s="119">
        <f>Financials!CH25/Financials!CH6</f>
        <v>0.18259085503791325</v>
      </c>
      <c r="CC24" s="119">
        <f>Financials!CI25/Financials!CI6</f>
        <v>5.3527363865537532E-2</v>
      </c>
      <c r="CD24" s="119">
        <f>Financials!CJ25/Financials!CJ6</f>
        <v>3.3086059590349574E-3</v>
      </c>
      <c r="CE24" s="119">
        <f>Financials!CK25/Financials!CK6</f>
        <v>0.18129027210482598</v>
      </c>
      <c r="CF24" s="119">
        <f>Financials!CL25/Financials!CL6</f>
        <v>7.2738174804477154E-2</v>
      </c>
      <c r="CG24" s="119" t="e">
        <f>Financials!CM25/Financials!CM6</f>
        <v>#REF!</v>
      </c>
      <c r="CH24" s="119">
        <f>Financials!CN25/Financials!CN6</f>
        <v>0.16831830925351443</v>
      </c>
      <c r="CI24" s="119">
        <f>Financials!CO25/Financials!CO6</f>
        <v>0.12188977701551462</v>
      </c>
      <c r="CJ24" s="119">
        <f>Financials!CP25/Financials!CP6</f>
        <v>0.19205963498913919</v>
      </c>
      <c r="CK24" s="119">
        <f>Financials!CQ25/Financials!CQ6</f>
        <v>0.18342288479670674</v>
      </c>
      <c r="CL24" s="119">
        <f>Financials!CR25/Financials!CR6</f>
        <v>0.15603532486020222</v>
      </c>
      <c r="CM24" s="119">
        <f>Financials!CS25/Financials!CS6</f>
        <v>0.17944398630799896</v>
      </c>
      <c r="CN24" s="119">
        <f>Financials!CT25/Financials!CT6</f>
        <v>0.17944398630799896</v>
      </c>
      <c r="CO24" s="119">
        <f>Financials!CU25/Financials!CU6</f>
        <v>0.18654488991159152</v>
      </c>
      <c r="CP24" s="119">
        <f>Financials!CV25/Financials!CV6</f>
        <v>0.11478792628928369</v>
      </c>
      <c r="CQ24" s="119">
        <f>Financials!CW25/Financials!CW6</f>
        <v>4.9614265365669298E-2</v>
      </c>
      <c r="CR24" s="119">
        <f>Financials!CX25/Financials!CX6</f>
        <v>8.7023187526826196E-2</v>
      </c>
      <c r="CS24" s="119">
        <f>Financials!CY25/Financials!CY6</f>
        <v>4.477175873214425E-2</v>
      </c>
      <c r="CT24" s="119">
        <f>Financials!CZ25/Financials!CZ6</f>
        <v>4.7874418037486766E-2</v>
      </c>
      <c r="CU24" s="119">
        <f>Financials!DA25/Financials!DA6</f>
        <v>4.7626182882448444E-2</v>
      </c>
      <c r="CV24" s="119">
        <f>Financials!DB25/Financials!DB6</f>
        <v>7.5503226949863375E-2</v>
      </c>
      <c r="CW24" s="119">
        <f>Financials!DC25/Financials!DC6</f>
        <v>7.4181062899163527E-2</v>
      </c>
      <c r="CX24" s="119">
        <f>Financials!DD25/Financials!DD6</f>
        <v>8.1748759067603691E-2</v>
      </c>
      <c r="CY24" s="119">
        <f>Financials!DE25/Financials!DE6</f>
        <v>8.3619437904572783E-2</v>
      </c>
      <c r="CZ24" s="119">
        <f>Financials!DF25/Financials!DF6</f>
        <v>8.1015304778485384E-2</v>
      </c>
      <c r="DA24" s="119">
        <f>Financials!DG25/Financials!DG6</f>
        <v>8.0395681984084921E-2</v>
      </c>
      <c r="DB24" s="119">
        <f>Financials!DH25/Financials!DH6</f>
        <v>6.1903494489740231E-2</v>
      </c>
      <c r="DC24" s="119">
        <f>Financials!DI25/Financials!DI6</f>
        <v>4.2107243065839794E-2</v>
      </c>
      <c r="DD24" s="119">
        <f>Financials!DJ25/Financials!DJ6</f>
        <v>4.2778560310059104E-2</v>
      </c>
      <c r="DE24" s="119">
        <f>Financials!DK25/Financials!DK6</f>
        <v>6.4954849809748222E-2</v>
      </c>
      <c r="DF24" s="119">
        <f>Financials!DL25/Financials!DL6</f>
        <v>6.5134648340335652E-2</v>
      </c>
      <c r="DG24" s="119">
        <f>Financials!DM25/Financials!DM6</f>
        <v>6.8471538837756333E-3</v>
      </c>
      <c r="DH24" s="119">
        <f>Financials!DN25/Financials!DN6</f>
        <v>2.5400800719713516E-2</v>
      </c>
      <c r="DI24" s="119">
        <f>Financials!DO25/Financials!DO6</f>
        <v>2.5578823967676096E-2</v>
      </c>
      <c r="DJ24" s="119">
        <f>Financials!DP25/Financials!DP6</f>
        <v>2.71140624970964E-2</v>
      </c>
      <c r="DK24" s="119">
        <f>Financials!DQ25/Financials!DQ6</f>
        <v>2.6838806825346589E-2</v>
      </c>
      <c r="DL24" s="119">
        <f>Financials!DR25/Financials!DR6</f>
        <v>2.6862160408583653E-2</v>
      </c>
      <c r="DM24" s="119">
        <f>Financials!DS25/Financials!DS6</f>
        <v>0.10921116835118856</v>
      </c>
      <c r="DN24" s="119">
        <f>Financials!DT25/Financials!DT6</f>
        <v>0.10785886251100903</v>
      </c>
      <c r="DO24" s="119">
        <f>Financials!DU25/Financials!DU6</f>
        <v>0.10622071209411346</v>
      </c>
      <c r="DP24" s="119" t="e">
        <f>Financials!DV25/Financials!DV6</f>
        <v>#DIV/0!</v>
      </c>
      <c r="DQ24" s="119" t="e">
        <f>Financials!DX25/Financials!DX6</f>
        <v>#DIV/0!</v>
      </c>
    </row>
    <row r="25" spans="1:121" s="1" customFormat="1" x14ac:dyDescent="0.25">
      <c r="A25" s="702"/>
      <c r="B25" s="708"/>
      <c r="C25" s="105" t="s">
        <v>290</v>
      </c>
      <c r="D25" s="105" t="s">
        <v>291</v>
      </c>
      <c r="E25" s="119" t="e">
        <f>Financials!#REF!/Financials!#REF!</f>
        <v>#REF!</v>
      </c>
      <c r="F25" s="119">
        <f>Financials!C38/Financials!C5</f>
        <v>2.750265436308234E-2</v>
      </c>
      <c r="G25" s="119">
        <f>Financials!D38/Financials!D5</f>
        <v>1.258684072160607E-2</v>
      </c>
      <c r="H25" s="119">
        <f>Financials!E38/Financials!E5</f>
        <v>3.6021980172912617E-2</v>
      </c>
      <c r="I25" s="119">
        <f>Financials!F38/Financials!F5</f>
        <v>5.8254273372589885E-2</v>
      </c>
      <c r="J25" s="119">
        <f>Financials!G38/Financials!G5</f>
        <v>0.11368462048314869</v>
      </c>
      <c r="K25" s="119">
        <f>Financials!H38/Financials!H5</f>
        <v>8.4076880010465468E-2</v>
      </c>
      <c r="L25" s="119">
        <f>Financials!I38/Financials!I5</f>
        <v>6.7754640808316627E-2</v>
      </c>
      <c r="M25" s="119">
        <f>Financials!J38/Financials!J5</f>
        <v>8.2266651269755409E-2</v>
      </c>
      <c r="N25" s="119">
        <f>Financials!F38/Financials!F5</f>
        <v>5.8254273372589885E-2</v>
      </c>
      <c r="O25" s="119">
        <f>Financials!G38/Financials!G5</f>
        <v>0.11368462048314869</v>
      </c>
      <c r="P25" s="119">
        <f>Financials!U38/Financials!U5</f>
        <v>7.2853593982286677E-2</v>
      </c>
      <c r="Q25" s="119">
        <f>Financials!W38/Financials!W5</f>
        <v>7.5289327396425951E-2</v>
      </c>
      <c r="R25" s="119">
        <f>Financials!X38/Financials!X5</f>
        <v>7.7079007165626379E-2</v>
      </c>
      <c r="S25" s="119">
        <f>Financials!Y38/Financials!Y5</f>
        <v>7.9152104674726928E-2</v>
      </c>
      <c r="T25" s="119">
        <f>Financials!Z38/Financials!Z5</f>
        <v>7.4726036943683516E-2</v>
      </c>
      <c r="U25" s="119">
        <f>Financials!AA38/Financials!AA5</f>
        <v>7.5383632273115675E-2</v>
      </c>
      <c r="V25" s="119">
        <f>Financials!AB38/Financials!AB5</f>
        <v>7.4437300368976597E-2</v>
      </c>
      <c r="W25" s="119">
        <f>Financials!AC38/Financials!AC5</f>
        <v>8.0664972624540712E-2</v>
      </c>
      <c r="X25" s="119">
        <f>Financials!AD38/Financials!AD5</f>
        <v>7.9742200410160682E-2</v>
      </c>
      <c r="Y25" s="119">
        <f>Financials!AE38/Financials!AE5</f>
        <v>6.9297287606551322E-2</v>
      </c>
      <c r="Z25" s="119">
        <f>Financials!AF38/Financials!AF5</f>
        <v>6.7891565319708261E-2</v>
      </c>
      <c r="AA25" s="119">
        <f>Financials!AG38/Financials!AG5</f>
        <v>7.1228244446901415E-2</v>
      </c>
      <c r="AB25" s="119">
        <f>Financials!AH38/Financials!AH5</f>
        <v>5.9614314506698393E-2</v>
      </c>
      <c r="AC25" s="119">
        <f>Financials!AI38/Financials!AI5</f>
        <v>4.4550586238114566E-2</v>
      </c>
      <c r="AD25" s="119">
        <f>Financials!AJ38/Financials!AJ5</f>
        <v>4.2810747372735755E-2</v>
      </c>
      <c r="AE25" s="119" t="e">
        <f>Financials!AK38/Financials!AK5</f>
        <v>#DIV/0!</v>
      </c>
      <c r="AF25" s="119">
        <f>Financials!AL38/Financials!AL5</f>
        <v>7.1884759859593805E-2</v>
      </c>
      <c r="AG25" s="119">
        <f>Financials!AM38/Financials!AM5</f>
        <v>6.6914848302319599E-2</v>
      </c>
      <c r="AH25" s="119">
        <f>Financials!AN38/Financials!AN5</f>
        <v>7.5987169332652219E-2</v>
      </c>
      <c r="AI25" s="119">
        <f>Financials!AO38/Financials!AO5</f>
        <v>7.2052779770278991E-2</v>
      </c>
      <c r="AJ25" s="119">
        <f>Financials!AP38/Financials!AP5</f>
        <v>6.8936586927127036E-2</v>
      </c>
      <c r="AK25" s="119">
        <f>Financials!AQ38/Financials!AQ5</f>
        <v>0.1357728635614909</v>
      </c>
      <c r="AL25" s="119">
        <f>Financials!AR38/Financials!AR5</f>
        <v>0.15337341065549123</v>
      </c>
      <c r="AM25" s="119">
        <f>Financials!AS38/Financials!AS5</f>
        <v>0.15681338565587435</v>
      </c>
      <c r="AN25" s="119" t="e">
        <f>Financials!AT38/Financials!AT5</f>
        <v>#DIV/0!</v>
      </c>
      <c r="AO25" s="119">
        <f>Financials!AU38/Financials!AU5</f>
        <v>0.17682436810104987</v>
      </c>
      <c r="AP25" s="119">
        <f>Financials!AV38/Financials!AV5</f>
        <v>6.0484109759070849E-2</v>
      </c>
      <c r="AQ25" s="119">
        <f>Financials!AW38/Financials!AW5</f>
        <v>3.7742713722024507E-2</v>
      </c>
      <c r="AR25" s="119" t="e">
        <f>Financials!AX38/Financials!AX5</f>
        <v>#DIV/0!</v>
      </c>
      <c r="AS25" s="119" t="e">
        <f>Financials!AY38/Financials!AY5</f>
        <v>#DIV/0!</v>
      </c>
      <c r="AT25" s="119">
        <f>Financials!AZ38/Financials!AZ5</f>
        <v>7.4102224341185713E-2</v>
      </c>
      <c r="AU25" s="119">
        <f>Financials!BA38/Financials!BA5</f>
        <v>7.0505422467498344E-2</v>
      </c>
      <c r="AV25" s="119">
        <f>Financials!BB38/Financials!BB5</f>
        <v>7.2118863851759474E-2</v>
      </c>
      <c r="AW25" s="119">
        <f>Financials!BC38/Financials!BC5</f>
        <v>0.20377854599314327</v>
      </c>
      <c r="AX25" s="119">
        <f>Financials!BD38/Financials!BD5</f>
        <v>7.1484667135983213E-2</v>
      </c>
      <c r="AY25" s="119">
        <f>Financials!BE38/Financials!BE5</f>
        <v>6.9997749178673768E-2</v>
      </c>
      <c r="AZ25" s="119">
        <f>Financials!BF38/Financials!BF5</f>
        <v>7.2392262650627773E-2</v>
      </c>
      <c r="BA25" s="119" t="e">
        <f>Financials!BG38/Financials!BG5</f>
        <v>#DIV/0!</v>
      </c>
      <c r="BB25" s="119">
        <f>Financials!BH38/Financials!BH5</f>
        <v>7.557570523316065E-2</v>
      </c>
      <c r="BC25" s="119">
        <f>Financials!BI38/Financials!BI5</f>
        <v>7.6021259261378232E-2</v>
      </c>
      <c r="BD25" s="119">
        <f>Financials!BJ38/Financials!BJ5</f>
        <v>5.8663187024409251E-2</v>
      </c>
      <c r="BE25" s="119">
        <f>Financials!BK38/Financials!BK5</f>
        <v>7.2692540112061485E-2</v>
      </c>
      <c r="BF25" s="119">
        <f>Financials!BL38/Financials!BL5</f>
        <v>7.2290454059502643E-2</v>
      </c>
      <c r="BG25" s="119">
        <f>Financials!BM38/Financials!BM5</f>
        <v>7.4315658872395968E-2</v>
      </c>
      <c r="BH25" s="119">
        <f>Financials!BN38/Financials!BN5</f>
        <v>7.3435576405061306E-2</v>
      </c>
      <c r="BI25" s="119">
        <f>Financials!BO38/Financials!BO5</f>
        <v>7.5368696604370067E-2</v>
      </c>
      <c r="BJ25" s="119">
        <f>Financials!BP38/Financials!BP5</f>
        <v>7.4828525588008316E-2</v>
      </c>
      <c r="BK25" s="119">
        <f>Financials!BQ38/Financials!BQ5</f>
        <v>7.379664383695056E-2</v>
      </c>
      <c r="BL25" s="119">
        <f>Financials!BR38/Financials!BR5</f>
        <v>7.2356898349591331E-2</v>
      </c>
      <c r="BM25" s="119">
        <f>Financials!BS38/Financials!BS5</f>
        <v>7.2178106070954595E-2</v>
      </c>
      <c r="BN25" s="119">
        <f>Financials!BT38/Financials!BT5</f>
        <v>7.1727526396235045E-2</v>
      </c>
      <c r="BO25" s="119">
        <f>Financials!BU38/Financials!BU5</f>
        <v>8.2357793301760504E-2</v>
      </c>
      <c r="BP25" s="119">
        <f>Financials!BV38/Financials!BV5</f>
        <v>7.3312550821042752E-2</v>
      </c>
      <c r="BQ25" s="119">
        <f>Financials!BW38/Financials!BW5</f>
        <v>7.1979393394819902E-2</v>
      </c>
      <c r="BR25" s="119">
        <f>Financials!BX38/Financials!BX5</f>
        <v>7.5053863805793611E-2</v>
      </c>
      <c r="BS25" s="119">
        <f>Financials!BY38/Financials!BY5</f>
        <v>7.629707403390347E-2</v>
      </c>
      <c r="BT25" s="119">
        <f>Financials!BZ38/Financials!BZ5</f>
        <v>7.2799724373302441E-2</v>
      </c>
      <c r="BU25" s="119">
        <f>Financials!CA38/Financials!CA5</f>
        <v>0.12845390766105999</v>
      </c>
      <c r="BV25" s="119">
        <f>Financials!CB38/Financials!CB5</f>
        <v>0.10159698424970313</v>
      </c>
      <c r="BW25" s="119">
        <f>Financials!CC38/Financials!CC5</f>
        <v>0.11133840464156301</v>
      </c>
      <c r="BX25" s="119">
        <f>Financials!CD38/Financials!CD5</f>
        <v>0.10912609107938208</v>
      </c>
      <c r="BY25" s="119">
        <f>Financials!CE38/Financials!CE5</f>
        <v>0.12567975226058573</v>
      </c>
      <c r="BZ25" s="119">
        <f>Financials!CF38/Financials!CF5</f>
        <v>0.12347814249313104</v>
      </c>
      <c r="CA25" s="119">
        <f>Financials!CG38/Financials!CG5</f>
        <v>0.12116348670429726</v>
      </c>
      <c r="CB25" s="119">
        <f>Financials!CH38/Financials!CH5</f>
        <v>0.12260627007913388</v>
      </c>
      <c r="CC25" s="119">
        <f>Financials!CI38/Financials!CI5</f>
        <v>8.3397739157388323E-2</v>
      </c>
      <c r="CD25" s="119">
        <f>Financials!CJ38/Financials!CJ5</f>
        <v>8.791594997664956E-2</v>
      </c>
      <c r="CE25" s="119">
        <f>Financials!CK38/Financials!CK5</f>
        <v>0.11380704307375472</v>
      </c>
      <c r="CF25" s="119">
        <f>Financials!CL38/Financials!CL5</f>
        <v>0.11470176129362034</v>
      </c>
      <c r="CG25" s="119">
        <f>Financials!CM38/Financials!CM5</f>
        <v>0.11620603291658897</v>
      </c>
      <c r="CH25" s="119">
        <f>Financials!CN38/Financials!CN5</f>
        <v>0.12499483110438625</v>
      </c>
      <c r="CI25" s="119">
        <f>Financials!CO38/Financials!CO5</f>
        <v>0.13301160805263623</v>
      </c>
      <c r="CJ25" s="119" t="e">
        <f>Financials!CP38/Financials!CP5</f>
        <v>#REF!</v>
      </c>
      <c r="CK25" s="119">
        <f>Financials!CQ38/Financials!CQ5</f>
        <v>0.12683360281039421</v>
      </c>
      <c r="CL25" s="119">
        <f>Financials!CR38/Financials!CR5</f>
        <v>0.12597557562966885</v>
      </c>
      <c r="CM25" s="119">
        <f>Financials!CS38/Financials!CS5</f>
        <v>0.12551559602185242</v>
      </c>
      <c r="CN25" s="119">
        <f>Financials!CT38/Financials!CT5</f>
        <v>0.12802535094772813</v>
      </c>
      <c r="CO25" s="119">
        <f>Financials!CU38/Financials!CU5</f>
        <v>0.11562052167217621</v>
      </c>
      <c r="CP25" s="119">
        <f>Financials!CV38/Financials!CV5</f>
        <v>8.801397021663572E-2</v>
      </c>
      <c r="CQ25" s="119">
        <f>Financials!CW38/Financials!CW5</f>
        <v>8.5421747260400346E-2</v>
      </c>
      <c r="CR25" s="119">
        <f>Financials!CX38/Financials!CX5</f>
        <v>0.11243934160246681</v>
      </c>
      <c r="CS25" s="119">
        <f>Financials!CY38/Financials!CY5</f>
        <v>0.10903039944077474</v>
      </c>
      <c r="CT25" s="119">
        <f>Financials!CZ38/Financials!CZ5</f>
        <v>0.11156882828446772</v>
      </c>
      <c r="CU25" s="119">
        <f>Financials!DA38/Financials!DA5</f>
        <v>0.11020980191298325</v>
      </c>
      <c r="CV25" s="119">
        <f>Financials!DB38/Financials!DB5</f>
        <v>0.1094984234118367</v>
      </c>
      <c r="CW25" s="119">
        <f>Financials!DC38/Financials!DC5</f>
        <v>0.10441433278259031</v>
      </c>
      <c r="CX25" s="119">
        <f>Financials!DD38/Financials!DD5</f>
        <v>0.10308558688290645</v>
      </c>
      <c r="CY25" s="119">
        <f>Financials!DE38/Financials!DE5</f>
        <v>0.10088696086020479</v>
      </c>
      <c r="CZ25" s="119">
        <f>Financials!DF38/Financials!DF5</f>
        <v>9.87607913082168E-2</v>
      </c>
      <c r="DA25" s="119">
        <f>Financials!DG38/Financials!DG5</f>
        <v>0.10099476948088262</v>
      </c>
      <c r="DB25" s="119">
        <f>Financials!DH38/Financials!DH5</f>
        <v>9.8259102605153276E-2</v>
      </c>
      <c r="DC25" s="119">
        <f>Financials!DI38/Financials!DI5</f>
        <v>7.1088791040417945E-2</v>
      </c>
      <c r="DD25" s="119">
        <f>Financials!DJ38/Financials!DJ5</f>
        <v>7.584533916266141E-2</v>
      </c>
      <c r="DE25" s="119">
        <f>Financials!DK38/Financials!DK5</f>
        <v>8.6278648457849036E-2</v>
      </c>
      <c r="DF25" s="119">
        <f>Financials!DL38/Financials!DL5</f>
        <v>8.6592962220135627E-2</v>
      </c>
      <c r="DG25" s="119">
        <f>Financials!DM38/Financials!DM5</f>
        <v>8.9146525293043927E-2</v>
      </c>
      <c r="DH25" s="119">
        <f>Financials!DN38/Financials!DN5</f>
        <v>9.03805222087192E-2</v>
      </c>
      <c r="DI25" s="119">
        <f>Financials!DO38/Financials!DO5</f>
        <v>9.1470242872387961E-2</v>
      </c>
      <c r="DJ25" s="119">
        <f>Financials!DP38/Financials!DP5</f>
        <v>9.7477646775638346E-2</v>
      </c>
      <c r="DK25" s="119">
        <f>Financials!DQ38/Financials!DQ5</f>
        <v>9.8032270266185217E-2</v>
      </c>
      <c r="DL25" s="119">
        <f>Financials!DR38/Financials!DR5</f>
        <v>9.9088867044702086E-2</v>
      </c>
      <c r="DM25" s="119">
        <f>Financials!DS38/Financials!DS5</f>
        <v>9.8563811124954256E-2</v>
      </c>
      <c r="DN25" s="119">
        <f>Financials!DT38/Financials!DT5</f>
        <v>9.6887228191673613E-2</v>
      </c>
      <c r="DO25" s="119">
        <f>Financials!DU38/Financials!DU5</f>
        <v>9.7210445800151035E-2</v>
      </c>
      <c r="DP25" s="119" t="e">
        <f>Financials!DV38/Financials!DV5</f>
        <v>#DIV/0!</v>
      </c>
      <c r="DQ25" s="119" t="e">
        <f>Financials!DX38/Financials!DX5</f>
        <v>#DIV/0!</v>
      </c>
    </row>
    <row r="26" spans="1:121" s="1" customFormat="1" x14ac:dyDescent="0.25">
      <c r="D26" s="3"/>
    </row>
    <row r="27" spans="1:121" s="1" customFormat="1" x14ac:dyDescent="0.25">
      <c r="D27" s="3"/>
    </row>
    <row r="28" spans="1:121" s="1" customFormat="1" x14ac:dyDescent="0.25">
      <c r="A28" s="702" t="s">
        <v>292</v>
      </c>
      <c r="B28" s="707" t="s">
        <v>293</v>
      </c>
      <c r="C28" s="206" t="s">
        <v>262</v>
      </c>
      <c r="D28" s="106" t="s">
        <v>263</v>
      </c>
      <c r="E28" s="106" t="s">
        <v>263</v>
      </c>
      <c r="F28" s="106" t="s">
        <v>263</v>
      </c>
      <c r="G28" s="106" t="s">
        <v>263</v>
      </c>
      <c r="H28" s="106" t="s">
        <v>263</v>
      </c>
      <c r="I28" s="106" t="s">
        <v>263</v>
      </c>
      <c r="J28" s="106" t="s">
        <v>263</v>
      </c>
      <c r="K28" s="106" t="s">
        <v>263</v>
      </c>
      <c r="L28" s="106" t="s">
        <v>263</v>
      </c>
      <c r="M28" s="106" t="s">
        <v>263</v>
      </c>
      <c r="N28" s="105">
        <f>IF(N4&gt;10,1,5)</f>
        <v>1</v>
      </c>
      <c r="O28" s="105">
        <f>IF(O4&gt;10,1,5)</f>
        <v>1</v>
      </c>
      <c r="P28" s="105">
        <f>IF(P4&gt;10,1,5)</f>
        <v>1</v>
      </c>
      <c r="Q28" s="105">
        <f t="shared" ref="Q28" si="0">IF(Q4&gt;10,1,5)</f>
        <v>1</v>
      </c>
      <c r="R28" s="105">
        <f t="shared" ref="R28:T28" si="1">IF(R4&gt;10,1,5)</f>
        <v>1</v>
      </c>
      <c r="S28" s="105">
        <f t="shared" si="1"/>
        <v>1</v>
      </c>
      <c r="T28" s="105">
        <f t="shared" si="1"/>
        <v>1</v>
      </c>
      <c r="U28" s="105">
        <f t="shared" ref="U28:W28" si="2">IF(U4&gt;10,1,5)</f>
        <v>1</v>
      </c>
      <c r="V28" s="105">
        <f t="shared" si="2"/>
        <v>1</v>
      </c>
      <c r="W28" s="105">
        <f t="shared" si="2"/>
        <v>1</v>
      </c>
      <c r="X28" s="105"/>
      <c r="Y28" s="105"/>
      <c r="Z28" s="105"/>
      <c r="AA28" s="105"/>
      <c r="AB28" s="105"/>
      <c r="AC28" s="105">
        <f>IF(AC4&gt;10,1,5)</f>
        <v>1</v>
      </c>
    </row>
    <row r="29" spans="1:121" s="1" customFormat="1" x14ac:dyDescent="0.25">
      <c r="A29" s="702"/>
      <c r="B29" s="707"/>
      <c r="C29" s="207" t="s">
        <v>264</v>
      </c>
      <c r="D29" s="106" t="s">
        <v>265</v>
      </c>
      <c r="E29" s="106" t="s">
        <v>265</v>
      </c>
      <c r="F29" s="106" t="s">
        <v>265</v>
      </c>
      <c r="G29" s="106" t="s">
        <v>265</v>
      </c>
      <c r="H29" s="106" t="s">
        <v>265</v>
      </c>
      <c r="I29" s="106" t="s">
        <v>265</v>
      </c>
      <c r="J29" s="106" t="s">
        <v>265</v>
      </c>
      <c r="K29" s="106" t="s">
        <v>265</v>
      </c>
      <c r="L29" s="106" t="s">
        <v>265</v>
      </c>
      <c r="M29" s="106" t="s">
        <v>265</v>
      </c>
      <c r="N29" s="105">
        <f>IF(N5&gt;20%,1,IF(N5&gt;15,2,IF(N5&gt;12,3,IF(N5&gt;10,4,5))))</f>
        <v>1</v>
      </c>
      <c r="O29" s="105">
        <f>IF(O5&gt;20%,1,IF(O5&gt;15,2,IF(O5&gt;12,3,IF(O5&gt;10,4,5))))</f>
        <v>1</v>
      </c>
      <c r="P29" s="105">
        <f>IF(P5&gt;20%,1,IF(P5&gt;15,2,IF(P5&gt;12,3,IF(P5&gt;10,4,5))))</f>
        <v>1</v>
      </c>
      <c r="Q29" s="105">
        <f t="shared" ref="Q29" si="3">IF(Q5&gt;20%,1,IF(Q5&gt;15,2,IF(Q5&gt;12,3,IF(Q5&gt;10,4,5))))</f>
        <v>1</v>
      </c>
      <c r="R29" s="105">
        <f t="shared" ref="R29:T29" si="4">IF(R5&gt;20%,1,IF(R5&gt;15,2,IF(R5&gt;12,3,IF(R5&gt;10,4,5))))</f>
        <v>1</v>
      </c>
      <c r="S29" s="105">
        <f t="shared" si="4"/>
        <v>1</v>
      </c>
      <c r="T29" s="105">
        <f t="shared" si="4"/>
        <v>1</v>
      </c>
      <c r="U29" s="105">
        <f t="shared" ref="U29:W29" si="5">IF(U5&gt;20%,1,IF(U5&gt;15,2,IF(U5&gt;12,3,IF(U5&gt;10,4,5))))</f>
        <v>1</v>
      </c>
      <c r="V29" s="105">
        <f t="shared" si="5"/>
        <v>1</v>
      </c>
      <c r="W29" s="105">
        <f t="shared" si="5"/>
        <v>1</v>
      </c>
      <c r="X29" s="105"/>
      <c r="Y29" s="105"/>
      <c r="Z29" s="105"/>
      <c r="AA29" s="105"/>
      <c r="AB29" s="105"/>
      <c r="AC29" s="105">
        <f>IF(AC5&gt;20%,1,IF(AC5&gt;15,2,IF(AC5&gt;12,3,IF(AC5&gt;10,4,5))))</f>
        <v>1</v>
      </c>
      <c r="AD29" s="105">
        <f>IF(AD5&gt;20%,1,IF(AD5&gt;15,2,IF(AD5&gt;12,3,IF(AD5&gt;10,4,5))))</f>
        <v>1</v>
      </c>
    </row>
    <row r="30" spans="1:121" s="1" customFormat="1" x14ac:dyDescent="0.25">
      <c r="A30" s="702"/>
      <c r="B30" s="707"/>
      <c r="C30" s="207" t="s">
        <v>266</v>
      </c>
      <c r="D30" s="106" t="s">
        <v>267</v>
      </c>
      <c r="E30" s="106" t="s">
        <v>267</v>
      </c>
      <c r="F30" s="106" t="s">
        <v>267</v>
      </c>
      <c r="G30" s="106" t="s">
        <v>267</v>
      </c>
      <c r="H30" s="106" t="s">
        <v>267</v>
      </c>
      <c r="I30" s="106" t="s">
        <v>267</v>
      </c>
      <c r="J30" s="106" t="s">
        <v>267</v>
      </c>
      <c r="K30" s="106" t="s">
        <v>267</v>
      </c>
      <c r="L30" s="106" t="s">
        <v>267</v>
      </c>
      <c r="M30" s="106" t="s">
        <v>267</v>
      </c>
      <c r="N30" s="105">
        <f>IF(N6&gt;15,1,IF(N6&gt;12,2,IF(N6&gt;10,3,IF(N6&gt;8,4,5))))</f>
        <v>5</v>
      </c>
      <c r="O30" s="105">
        <f>IF(O6&gt;15,1,IF(O6&gt;12,2,IF(O6&gt;10,3,IF(O6&gt;8,4,5))))</f>
        <v>5</v>
      </c>
      <c r="P30" s="105">
        <f>IF(P6&gt;15,1,IF(P6&gt;12,2,IF(P6&gt;10,3,IF(P6&gt;8,4,5))))</f>
        <v>5</v>
      </c>
      <c r="Q30" s="105">
        <f t="shared" ref="Q30" si="6">IF(Q6&gt;15,1,IF(Q6&gt;12,2,IF(Q6&gt;10,3,IF(Q6&gt;8,4,5))))</f>
        <v>5</v>
      </c>
      <c r="R30" s="105">
        <f t="shared" ref="R30:T30" si="7">IF(R6&gt;15,1,IF(R6&gt;12,2,IF(R6&gt;10,3,IF(R6&gt;8,4,5))))</f>
        <v>5</v>
      </c>
      <c r="S30" s="105">
        <f t="shared" si="7"/>
        <v>5</v>
      </c>
      <c r="T30" s="105">
        <f t="shared" si="7"/>
        <v>5</v>
      </c>
      <c r="U30" s="105">
        <f t="shared" ref="U30:W30" si="8">IF(U6&gt;15,1,IF(U6&gt;12,2,IF(U6&gt;10,3,IF(U6&gt;8,4,5))))</f>
        <v>5</v>
      </c>
      <c r="V30" s="105">
        <f t="shared" si="8"/>
        <v>5</v>
      </c>
      <c r="W30" s="105">
        <f t="shared" si="8"/>
        <v>5</v>
      </c>
      <c r="X30" s="105"/>
      <c r="Y30" s="105"/>
      <c r="Z30" s="105"/>
      <c r="AA30" s="105"/>
      <c r="AB30" s="105"/>
      <c r="AC30" s="105">
        <f>IF(AC6&gt;15,1,IF(AC6&gt;12,2,IF(AC6&gt;10,3,IF(AC6&gt;8,4,5))))</f>
        <v>5</v>
      </c>
      <c r="AD30" s="105">
        <f>IF(AD6&gt;15,1,IF(AD6&gt;12,2,IF(AD6&gt;10,3,IF(AD6&gt;8,4,5))))</f>
        <v>5</v>
      </c>
    </row>
    <row r="31" spans="1:121" s="1" customFormat="1" x14ac:dyDescent="0.25">
      <c r="A31" s="702"/>
      <c r="B31" s="707"/>
      <c r="C31" s="207" t="s">
        <v>268</v>
      </c>
      <c r="D31" s="106" t="s">
        <v>267</v>
      </c>
      <c r="E31" s="106" t="s">
        <v>267</v>
      </c>
      <c r="F31" s="106" t="s">
        <v>267</v>
      </c>
      <c r="G31" s="106" t="s">
        <v>267</v>
      </c>
      <c r="H31" s="106" t="s">
        <v>267</v>
      </c>
      <c r="I31" s="106" t="s">
        <v>267</v>
      </c>
      <c r="J31" s="106" t="s">
        <v>267</v>
      </c>
      <c r="K31" s="106" t="s">
        <v>267</v>
      </c>
      <c r="L31" s="106" t="s">
        <v>267</v>
      </c>
      <c r="M31" s="106" t="s">
        <v>267</v>
      </c>
      <c r="N31" s="105">
        <f>IF(N7&gt;20%,1,IF(N7&gt;12%,2,IF(N7&gt;10%,3,IF(N7&gt;8%,4,5))))</f>
        <v>1</v>
      </c>
      <c r="O31" s="105">
        <f>IF(O7&gt;20%,1,IF(O7&gt;12%,2,IF(O7&gt;10%,3,IF(O7&gt;8%,4,5))))</f>
        <v>1</v>
      </c>
      <c r="P31" s="105">
        <f>IF(P7&gt;20%,1,IF(P7&gt;12%,2,IF(P7&gt;10%,3,IF(P7&gt;8%,4,5))))</f>
        <v>1</v>
      </c>
      <c r="Q31" s="105">
        <f t="shared" ref="Q31" si="9">IF(Q7&gt;20%,1,IF(Q7&gt;12%,2,IF(Q7&gt;10%,3,IF(Q7&gt;8%,4,5))))</f>
        <v>1</v>
      </c>
      <c r="R31" s="105">
        <f t="shared" ref="R31:T31" si="10">IF(R7&gt;20%,1,IF(R7&gt;12%,2,IF(R7&gt;10%,3,IF(R7&gt;8%,4,5))))</f>
        <v>1</v>
      </c>
      <c r="S31" s="105">
        <f t="shared" si="10"/>
        <v>1</v>
      </c>
      <c r="T31" s="105">
        <f t="shared" si="10"/>
        <v>1</v>
      </c>
      <c r="U31" s="105">
        <f t="shared" ref="U31:W31" si="11">IF(U7&gt;20%,1,IF(U7&gt;12%,2,IF(U7&gt;10%,3,IF(U7&gt;8%,4,5))))</f>
        <v>1</v>
      </c>
      <c r="V31" s="105">
        <f t="shared" si="11"/>
        <v>1</v>
      </c>
      <c r="W31" s="105">
        <f t="shared" si="11"/>
        <v>1</v>
      </c>
      <c r="X31" s="105"/>
      <c r="Y31" s="105"/>
      <c r="Z31" s="105"/>
      <c r="AA31" s="105"/>
      <c r="AB31" s="105"/>
      <c r="AC31" s="105">
        <f>IF(AC7&gt;20%,1,IF(AC7&gt;12%,2,IF(AC7&gt;10%,3,IF(AC7&gt;8%,4,5))))</f>
        <v>1</v>
      </c>
      <c r="AD31" s="105">
        <f>IF(AD7&gt;20%,1,IF(AD7&gt;12%,2,IF(AD7&gt;10%,3,IF(AD7&gt;8%,4,5))))</f>
        <v>1</v>
      </c>
    </row>
    <row r="32" spans="1:121" s="1" customFormat="1" x14ac:dyDescent="0.25">
      <c r="A32" s="702"/>
      <c r="B32" s="707"/>
      <c r="C32" s="207" t="s">
        <v>269</v>
      </c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5">
        <f>IF(N8&gt;20%,1,IF(N8&gt;15%,2,IF(N8&gt;12%,3,IF(N8&gt;10%,4,5))))</f>
        <v>1</v>
      </c>
      <c r="O32" s="105">
        <f>IF(O8&gt;20%,1,IF(O8&gt;15%,2,IF(O8&gt;12%,3,IF(O8&gt;10%,4,5))))</f>
        <v>1</v>
      </c>
      <c r="P32" s="105">
        <f>IF(P8&gt;20%,1,IF(P8&gt;15%,2,IF(P8&gt;12%,3,IF(P8&gt;10%,4,5))))</f>
        <v>1</v>
      </c>
      <c r="Q32" s="105">
        <f t="shared" ref="Q32" si="12">IF(Q8&gt;20%,1,IF(Q8&gt;15%,2,IF(Q8&gt;12%,3,IF(Q8&gt;10%,4,5))))</f>
        <v>1</v>
      </c>
      <c r="R32" s="105">
        <f t="shared" ref="R32:T32" si="13">IF(R8&gt;20%,1,IF(R8&gt;15%,2,IF(R8&gt;12%,3,IF(R8&gt;10%,4,5))))</f>
        <v>1</v>
      </c>
      <c r="S32" s="105">
        <f t="shared" si="13"/>
        <v>1</v>
      </c>
      <c r="T32" s="105">
        <f t="shared" si="13"/>
        <v>1</v>
      </c>
      <c r="U32" s="105">
        <f t="shared" ref="U32:W32" si="14">IF(U8&gt;20%,1,IF(U8&gt;15%,2,IF(U8&gt;12%,3,IF(U8&gt;10%,4,5))))</f>
        <v>1</v>
      </c>
      <c r="V32" s="105">
        <f t="shared" si="14"/>
        <v>1</v>
      </c>
      <c r="W32" s="105">
        <f t="shared" si="14"/>
        <v>1</v>
      </c>
      <c r="X32" s="105"/>
      <c r="Y32" s="105"/>
      <c r="Z32" s="105"/>
      <c r="AA32" s="105"/>
      <c r="AB32" s="105"/>
      <c r="AC32" s="105">
        <f>IF(AC8&gt;20%,1,IF(AC8&gt;15%,2,IF(AC8&gt;12%,3,IF(AC8&gt;10%,4,5))))</f>
        <v>1</v>
      </c>
      <c r="AD32" s="105">
        <f>IF(AD8&gt;20%,1,IF(AD8&gt;15%,2,IF(AD8&gt;12%,3,IF(AD8&gt;10%,4,5))))</f>
        <v>1</v>
      </c>
    </row>
    <row r="33" spans="1:30" s="1" customFormat="1" x14ac:dyDescent="0.25">
      <c r="A33" s="702"/>
      <c r="B33" s="105"/>
      <c r="C33" s="105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</row>
    <row r="34" spans="1:30" s="1" customFormat="1" x14ac:dyDescent="0.25">
      <c r="A34" s="702"/>
      <c r="B34" s="707" t="s">
        <v>270</v>
      </c>
      <c r="C34" s="105" t="s">
        <v>271</v>
      </c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5">
        <f t="shared" ref="N34:AC35" si="15">IF(N10&lt;4,1,IF(N10&lt;8,2,IF(N10&lt;12,3,IF(N10&lt;15,4,5))))</f>
        <v>1</v>
      </c>
      <c r="O34" s="105">
        <f t="shared" si="15"/>
        <v>1</v>
      </c>
      <c r="P34" s="105">
        <f t="shared" si="15"/>
        <v>1</v>
      </c>
      <c r="Q34" s="105">
        <f t="shared" ref="Q34" si="16">IF(Q10&lt;4,1,IF(Q10&lt;8,2,IF(Q10&lt;12,3,IF(Q10&lt;15,4,5))))</f>
        <v>1</v>
      </c>
      <c r="R34" s="105">
        <f t="shared" ref="R34:T34" si="17">IF(R10&lt;4,1,IF(R10&lt;8,2,IF(R10&lt;12,3,IF(R10&lt;15,4,5))))</f>
        <v>1</v>
      </c>
      <c r="S34" s="105">
        <f t="shared" si="17"/>
        <v>1</v>
      </c>
      <c r="T34" s="105">
        <f t="shared" si="17"/>
        <v>1</v>
      </c>
      <c r="U34" s="105">
        <f t="shared" ref="U34:W34" si="18">IF(U10&lt;4,1,IF(U10&lt;8,2,IF(U10&lt;12,3,IF(U10&lt;15,4,5))))</f>
        <v>1</v>
      </c>
      <c r="V34" s="105">
        <f t="shared" si="18"/>
        <v>1</v>
      </c>
      <c r="W34" s="105">
        <f t="shared" si="18"/>
        <v>1</v>
      </c>
      <c r="X34" s="105"/>
      <c r="Y34" s="105"/>
      <c r="Z34" s="105"/>
      <c r="AA34" s="105"/>
      <c r="AB34" s="105"/>
      <c r="AC34" s="105">
        <f t="shared" si="15"/>
        <v>1</v>
      </c>
      <c r="AD34" s="105">
        <f t="shared" ref="AD34" si="19">IF(AD10&lt;4,1,IF(AD10&lt;8,2,IF(AD10&lt;12,3,IF(AD10&lt;15,4,5))))</f>
        <v>1</v>
      </c>
    </row>
    <row r="35" spans="1:30" s="1" customFormat="1" x14ac:dyDescent="0.25">
      <c r="A35" s="702"/>
      <c r="B35" s="707"/>
      <c r="C35" s="105" t="s">
        <v>272</v>
      </c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5">
        <f t="shared" si="15"/>
        <v>1</v>
      </c>
      <c r="O35" s="105">
        <f t="shared" si="15"/>
        <v>1</v>
      </c>
      <c r="P35" s="105">
        <f t="shared" si="15"/>
        <v>1</v>
      </c>
      <c r="Q35" s="105">
        <f t="shared" ref="Q35" si="20">IF(Q11&lt;4,1,IF(Q11&lt;8,2,IF(Q11&lt;12,3,IF(Q11&lt;15,4,5))))</f>
        <v>1</v>
      </c>
      <c r="R35" s="105">
        <f t="shared" ref="R35:T35" si="21">IF(R11&lt;4,1,IF(R11&lt;8,2,IF(R11&lt;12,3,IF(R11&lt;15,4,5))))</f>
        <v>1</v>
      </c>
      <c r="S35" s="105">
        <f t="shared" si="21"/>
        <v>1</v>
      </c>
      <c r="T35" s="105">
        <f t="shared" si="21"/>
        <v>1</v>
      </c>
      <c r="U35" s="105">
        <f t="shared" ref="U35:W35" si="22">IF(U11&lt;4,1,IF(U11&lt;8,2,IF(U11&lt;12,3,IF(U11&lt;15,4,5))))</f>
        <v>1</v>
      </c>
      <c r="V35" s="105">
        <f t="shared" si="22"/>
        <v>1</v>
      </c>
      <c r="W35" s="105">
        <f t="shared" si="22"/>
        <v>1</v>
      </c>
      <c r="X35" s="105"/>
      <c r="Y35" s="105"/>
      <c r="Z35" s="105"/>
      <c r="AA35" s="105"/>
      <c r="AB35" s="105"/>
      <c r="AC35" s="105">
        <f t="shared" si="15"/>
        <v>1</v>
      </c>
      <c r="AD35" s="105">
        <f t="shared" ref="AD35" si="23">IF(AD11&lt;4,1,IF(AD11&lt;8,2,IF(AD11&lt;12,3,IF(AD11&lt;15,4,5))))</f>
        <v>1</v>
      </c>
    </row>
    <row r="36" spans="1:30" s="1" customFormat="1" x14ac:dyDescent="0.25">
      <c r="A36" s="702"/>
      <c r="B36" s="105"/>
      <c r="C36" s="105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</row>
    <row r="37" spans="1:30" s="1" customFormat="1" x14ac:dyDescent="0.25">
      <c r="A37" s="702"/>
      <c r="B37" s="707" t="s">
        <v>273</v>
      </c>
      <c r="C37" s="105" t="s">
        <v>274</v>
      </c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5" t="e">
        <f>IF(N17&gt;6,1,IF(N17&gt;4,2,IF(N17&gt;2,3,IF(N17&gt;0,4,5))))</f>
        <v>#REF!</v>
      </c>
      <c r="O37" s="105" t="e">
        <f>IF(O17&gt;6,1,IF(O17&gt;4,2,IF(O17&gt;2,3,IF(O17&gt;0,4,5))))</f>
        <v>#REF!</v>
      </c>
      <c r="P37" s="105" t="e">
        <f>IF(P17&gt;6,1,IF(P17&gt;4,2,IF(P17&gt;2,3,IF(P17&gt;0,4,5))))</f>
        <v>#REF!</v>
      </c>
      <c r="Q37" s="105">
        <f t="shared" ref="Q37" si="24">IF(Q17&gt;6,1,IF(Q17&gt;4,2,IF(Q17&gt;2,3,IF(Q17&gt;0,4,5))))</f>
        <v>3</v>
      </c>
      <c r="R37" s="105">
        <f t="shared" ref="R37:T37" si="25">IF(R17&gt;6,1,IF(R17&gt;4,2,IF(R17&gt;2,3,IF(R17&gt;0,4,5))))</f>
        <v>3</v>
      </c>
      <c r="S37" s="105">
        <f t="shared" si="25"/>
        <v>3</v>
      </c>
      <c r="T37" s="105">
        <f t="shared" si="25"/>
        <v>2</v>
      </c>
      <c r="U37" s="105">
        <f t="shared" ref="U37:W37" si="26">IF(U17&gt;6,1,IF(U17&gt;4,2,IF(U17&gt;2,3,IF(U17&gt;0,4,5))))</f>
        <v>3</v>
      </c>
      <c r="V37" s="105">
        <f t="shared" si="26"/>
        <v>2</v>
      </c>
      <c r="W37" s="105">
        <f t="shared" si="26"/>
        <v>3</v>
      </c>
      <c r="X37" s="105"/>
      <c r="Y37" s="105"/>
      <c r="Z37" s="105"/>
      <c r="AA37" s="105"/>
      <c r="AB37" s="105"/>
      <c r="AC37" s="105">
        <f>IF(AC17&gt;6,1,IF(AC17&gt;4,2,IF(AC17&gt;2,3,IF(AC17&gt;0,4,5))))</f>
        <v>4</v>
      </c>
      <c r="AD37" s="105">
        <f>IF(AD17&gt;6,1,IF(AD17&gt;4,2,IF(AD17&gt;2,3,IF(AD17&gt;0,4,5))))</f>
        <v>4</v>
      </c>
    </row>
    <row r="38" spans="1:30" s="1" customFormat="1" x14ac:dyDescent="0.25">
      <c r="A38" s="702"/>
      <c r="B38" s="707"/>
      <c r="C38" s="105" t="s">
        <v>275</v>
      </c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5">
        <f>IF(N14&lt;60,1,IF(N14&lt;70,2,IF(N14&lt;80,3,IF(N14&lt;90,4,5))))</f>
        <v>1</v>
      </c>
      <c r="O38" s="105">
        <f>IF(O14&lt;60,1,IF(O14&lt;70,2,IF(O14&lt;80,3,IF(O14&lt;90,4,5))))</f>
        <v>1</v>
      </c>
      <c r="P38" s="105" t="e">
        <f>IF(P14&lt;60,1,IF(P14&lt;70,2,IF(P14&lt;80,3,IF(P14&lt;90,4,5))))</f>
        <v>#REF!</v>
      </c>
      <c r="Q38" s="105">
        <f t="shared" ref="Q38" si="27">IF(Q14&lt;60,1,IF(Q14&lt;70,2,IF(Q14&lt;80,3,IF(Q14&lt;90,4,5))))</f>
        <v>1</v>
      </c>
      <c r="R38" s="105">
        <f t="shared" ref="R38:T38" si="28">IF(R14&lt;60,1,IF(R14&lt;70,2,IF(R14&lt;80,3,IF(R14&lt;90,4,5))))</f>
        <v>1</v>
      </c>
      <c r="S38" s="105">
        <f t="shared" si="28"/>
        <v>1</v>
      </c>
      <c r="T38" s="105">
        <f t="shared" si="28"/>
        <v>1</v>
      </c>
      <c r="U38" s="105">
        <f t="shared" ref="U38:W38" si="29">IF(U14&lt;60,1,IF(U14&lt;70,2,IF(U14&lt;80,3,IF(U14&lt;90,4,5))))</f>
        <v>1</v>
      </c>
      <c r="V38" s="105">
        <f t="shared" si="29"/>
        <v>1</v>
      </c>
      <c r="W38" s="105">
        <f t="shared" si="29"/>
        <v>1</v>
      </c>
      <c r="X38" s="105"/>
      <c r="Y38" s="105"/>
      <c r="Z38" s="105"/>
      <c r="AA38" s="105"/>
      <c r="AB38" s="105"/>
      <c r="AC38" s="105">
        <f>IF(AC14&lt;60,1,IF(AC14&lt;70,2,IF(AC14&lt;80,3,IF(AC14&lt;90,4,5))))</f>
        <v>1</v>
      </c>
      <c r="AD38" s="105">
        <f>IF(AD14&lt;60,1,IF(AD14&lt;70,2,IF(AD14&lt;80,3,IF(AD14&lt;90,4,5))))</f>
        <v>1</v>
      </c>
    </row>
    <row r="39" spans="1:30" s="1" customFormat="1" x14ac:dyDescent="0.25">
      <c r="A39" s="702"/>
      <c r="B39" s="707"/>
      <c r="C39" s="105" t="s">
        <v>276</v>
      </c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5" t="e">
        <f>IF(N15&lt;4,1,IF(N15&lt;6,2,IF(N15&lt;8,3,IF(N15&lt;10,4,5))))</f>
        <v>#REF!</v>
      </c>
      <c r="O39" s="105" t="e">
        <f>IF(O15&lt;4,1,IF(O15&lt;6,2,IF(O15&lt;8,3,IF(O15&lt;10,4,5))))</f>
        <v>#REF!</v>
      </c>
      <c r="P39" s="105" t="e">
        <f>IF(P15&lt;4,1,IF(P15&lt;6,2,IF(P15&lt;8,3,IF(P15&lt;10,4,5))))</f>
        <v>#REF!</v>
      </c>
      <c r="Q39" s="105">
        <f t="shared" ref="Q39" si="30">IF(Q15&lt;4,1,IF(Q15&lt;6,2,IF(Q15&lt;8,3,IF(Q15&lt;10,4,5))))</f>
        <v>1</v>
      </c>
      <c r="R39" s="105">
        <f t="shared" ref="R39:T39" si="31">IF(R15&lt;4,1,IF(R15&lt;6,2,IF(R15&lt;8,3,IF(R15&lt;10,4,5))))</f>
        <v>1</v>
      </c>
      <c r="S39" s="105">
        <f t="shared" si="31"/>
        <v>1</v>
      </c>
      <c r="T39" s="105">
        <f t="shared" si="31"/>
        <v>1</v>
      </c>
      <c r="U39" s="105">
        <f t="shared" ref="U39:W39" si="32">IF(U15&lt;4,1,IF(U15&lt;6,2,IF(U15&lt;8,3,IF(U15&lt;10,4,5))))</f>
        <v>1</v>
      </c>
      <c r="V39" s="105">
        <f t="shared" si="32"/>
        <v>1</v>
      </c>
      <c r="W39" s="105">
        <f t="shared" si="32"/>
        <v>1</v>
      </c>
      <c r="X39" s="105"/>
      <c r="Y39" s="105"/>
      <c r="Z39" s="105"/>
      <c r="AA39" s="105"/>
      <c r="AB39" s="105"/>
      <c r="AC39" s="105">
        <f>IF(AC15&lt;4,1,IF(AC15&lt;6,2,IF(AC15&lt;8,3,IF(AC15&lt;10,4,5))))</f>
        <v>1</v>
      </c>
      <c r="AD39" s="105">
        <f>IF(AD15&lt;4,1,IF(AD15&lt;6,2,IF(AD15&lt;8,3,IF(AD15&lt;10,4,5))))</f>
        <v>1</v>
      </c>
    </row>
    <row r="40" spans="1:30" s="1" customFormat="1" x14ac:dyDescent="0.25">
      <c r="A40" s="702"/>
      <c r="B40" s="105"/>
      <c r="C40" s="105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</row>
    <row r="41" spans="1:30" s="1" customFormat="1" x14ac:dyDescent="0.25">
      <c r="A41" s="702"/>
      <c r="B41" s="707" t="s">
        <v>277</v>
      </c>
      <c r="C41" s="105" t="s">
        <v>278</v>
      </c>
      <c r="D41" s="106" t="s">
        <v>279</v>
      </c>
      <c r="E41" s="106" t="s">
        <v>279</v>
      </c>
      <c r="F41" s="106" t="s">
        <v>279</v>
      </c>
      <c r="G41" s="106" t="s">
        <v>279</v>
      </c>
      <c r="H41" s="106" t="s">
        <v>279</v>
      </c>
      <c r="I41" s="106" t="s">
        <v>279</v>
      </c>
      <c r="J41" s="106" t="s">
        <v>279</v>
      </c>
      <c r="K41" s="106" t="s">
        <v>279</v>
      </c>
      <c r="L41" s="106" t="s">
        <v>279</v>
      </c>
      <c r="M41" s="106" t="s">
        <v>279</v>
      </c>
      <c r="N41" s="105" t="e">
        <f t="shared" ref="N41:AC42" si="33">IF(N17&gt;30,1,IF(N17&gt;25,2,IF(N17&gt;20,3,IF(N17&gt;15,4,5))))</f>
        <v>#REF!</v>
      </c>
      <c r="O41" s="105" t="e">
        <f t="shared" si="33"/>
        <v>#REF!</v>
      </c>
      <c r="P41" s="105" t="e">
        <f t="shared" si="33"/>
        <v>#REF!</v>
      </c>
      <c r="Q41" s="105">
        <f t="shared" ref="Q41" si="34">IF(Q17&gt;30,1,IF(Q17&gt;25,2,IF(Q17&gt;20,3,IF(Q17&gt;15,4,5))))</f>
        <v>5</v>
      </c>
      <c r="R41" s="105">
        <f t="shared" ref="R41:T41" si="35">IF(R17&gt;30,1,IF(R17&gt;25,2,IF(R17&gt;20,3,IF(R17&gt;15,4,5))))</f>
        <v>5</v>
      </c>
      <c r="S41" s="105">
        <f t="shared" si="35"/>
        <v>5</v>
      </c>
      <c r="T41" s="105">
        <f t="shared" si="35"/>
        <v>5</v>
      </c>
      <c r="U41" s="105">
        <f t="shared" ref="U41:W41" si="36">IF(U17&gt;30,1,IF(U17&gt;25,2,IF(U17&gt;20,3,IF(U17&gt;15,4,5))))</f>
        <v>5</v>
      </c>
      <c r="V41" s="105">
        <f t="shared" si="36"/>
        <v>5</v>
      </c>
      <c r="W41" s="105">
        <f t="shared" si="36"/>
        <v>5</v>
      </c>
      <c r="X41" s="105"/>
      <c r="Y41" s="105"/>
      <c r="Z41" s="105"/>
      <c r="AA41" s="105"/>
      <c r="AB41" s="105"/>
      <c r="AC41" s="105">
        <f t="shared" si="33"/>
        <v>5</v>
      </c>
      <c r="AD41" s="105">
        <f t="shared" ref="AD41" si="37">IF(AD17&gt;30,1,IF(AD17&gt;25,2,IF(AD17&gt;20,3,IF(AD17&gt;15,4,5))))</f>
        <v>5</v>
      </c>
    </row>
    <row r="42" spans="1:30" s="1" customFormat="1" x14ac:dyDescent="0.25">
      <c r="A42" s="702"/>
      <c r="B42" s="707"/>
      <c r="C42" s="105" t="s">
        <v>280</v>
      </c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5" t="e">
        <f t="shared" si="33"/>
        <v>#REF!</v>
      </c>
      <c r="O42" s="105" t="e">
        <f t="shared" si="33"/>
        <v>#REF!</v>
      </c>
      <c r="P42" s="105" t="e">
        <f t="shared" si="33"/>
        <v>#REF!</v>
      </c>
      <c r="Q42" s="105">
        <f t="shared" ref="Q42" si="38">IF(Q18&gt;30,1,IF(Q18&gt;25,2,IF(Q18&gt;20,3,IF(Q18&gt;15,4,5))))</f>
        <v>5</v>
      </c>
      <c r="R42" s="105">
        <f t="shared" ref="R42:T42" si="39">IF(R18&gt;30,1,IF(R18&gt;25,2,IF(R18&gt;20,3,IF(R18&gt;15,4,5))))</f>
        <v>5</v>
      </c>
      <c r="S42" s="105">
        <f t="shared" si="39"/>
        <v>5</v>
      </c>
      <c r="T42" s="105">
        <f t="shared" si="39"/>
        <v>5</v>
      </c>
      <c r="U42" s="105">
        <f t="shared" ref="U42:W42" si="40">IF(U18&gt;30,1,IF(U18&gt;25,2,IF(U18&gt;20,3,IF(U18&gt;15,4,5))))</f>
        <v>5</v>
      </c>
      <c r="V42" s="105">
        <f t="shared" si="40"/>
        <v>5</v>
      </c>
      <c r="W42" s="105">
        <f t="shared" si="40"/>
        <v>5</v>
      </c>
      <c r="X42" s="105"/>
      <c r="Y42" s="105"/>
      <c r="Z42" s="105"/>
      <c r="AA42" s="105"/>
      <c r="AB42" s="105"/>
      <c r="AC42" s="105">
        <f t="shared" si="33"/>
        <v>5</v>
      </c>
      <c r="AD42" s="105">
        <f t="shared" ref="AD42" si="41">IF(AD18&gt;30,1,IF(AD18&gt;25,2,IF(AD18&gt;20,3,IF(AD18&gt;15,4,5))))</f>
        <v>5</v>
      </c>
    </row>
    <row r="43" spans="1:30" s="1" customFormat="1" x14ac:dyDescent="0.25">
      <c r="A43" s="702"/>
      <c r="B43" s="707"/>
      <c r="C43" s="105" t="s">
        <v>281</v>
      </c>
      <c r="D43" s="106" t="s">
        <v>282</v>
      </c>
      <c r="E43" s="106" t="s">
        <v>282</v>
      </c>
      <c r="F43" s="106" t="s">
        <v>282</v>
      </c>
      <c r="G43" s="106" t="s">
        <v>282</v>
      </c>
      <c r="H43" s="106" t="s">
        <v>282</v>
      </c>
      <c r="I43" s="106" t="s">
        <v>282</v>
      </c>
      <c r="J43" s="106" t="s">
        <v>282</v>
      </c>
      <c r="K43" s="106" t="s">
        <v>282</v>
      </c>
      <c r="L43" s="106" t="s">
        <v>282</v>
      </c>
      <c r="M43" s="106" t="s">
        <v>282</v>
      </c>
      <c r="N43" s="105">
        <f>IF(N19&lt;15,1,IF(N19&lt;18,2,IF(N19&lt;22,3,IF(N19&lt;25,4,5))))</f>
        <v>1</v>
      </c>
      <c r="O43" s="105">
        <f>IF(O19&lt;15,1,IF(O19&lt;18,2,IF(O19&lt;22,3,IF(O19&lt;25,4,5))))</f>
        <v>1</v>
      </c>
      <c r="P43" s="105">
        <f>IF(P19&lt;15,1,IF(P19&lt;18,2,IF(P19&lt;22,3,IF(P19&lt;25,4,5))))</f>
        <v>1</v>
      </c>
      <c r="Q43" s="105">
        <f t="shared" ref="Q43" si="42">IF(Q19&lt;15,1,IF(Q19&lt;18,2,IF(Q19&lt;22,3,IF(Q19&lt;25,4,5))))</f>
        <v>1</v>
      </c>
      <c r="R43" s="105">
        <f t="shared" ref="R43:T43" si="43">IF(R19&lt;15,1,IF(R19&lt;18,2,IF(R19&lt;22,3,IF(R19&lt;25,4,5))))</f>
        <v>1</v>
      </c>
      <c r="S43" s="105">
        <f t="shared" si="43"/>
        <v>1</v>
      </c>
      <c r="T43" s="105">
        <f t="shared" si="43"/>
        <v>1</v>
      </c>
      <c r="U43" s="105">
        <f t="shared" ref="U43:W43" si="44">IF(U19&lt;15,1,IF(U19&lt;18,2,IF(U19&lt;22,3,IF(U19&lt;25,4,5))))</f>
        <v>1</v>
      </c>
      <c r="V43" s="105">
        <f t="shared" si="44"/>
        <v>1</v>
      </c>
      <c r="W43" s="105">
        <f t="shared" si="44"/>
        <v>1</v>
      </c>
      <c r="X43" s="105"/>
      <c r="Y43" s="105"/>
      <c r="Z43" s="105"/>
      <c r="AA43" s="105"/>
      <c r="AB43" s="105"/>
      <c r="AC43" s="105">
        <f>IF(AC19&lt;15,1,IF(AC19&lt;18,2,IF(AC19&lt;22,3,IF(AC19&lt;25,4,5))))</f>
        <v>1</v>
      </c>
      <c r="AD43" s="105">
        <f>IF(AD19&lt;15,1,IF(AD19&lt;18,2,IF(AD19&lt;22,3,IF(AD19&lt;25,4,5))))</f>
        <v>1</v>
      </c>
    </row>
    <row r="44" spans="1:30" s="1" customFormat="1" x14ac:dyDescent="0.25">
      <c r="A44" s="702"/>
      <c r="B44" s="707"/>
      <c r="C44" s="105" t="s">
        <v>283</v>
      </c>
      <c r="N44" s="105" t="e">
        <f>IF(N20&gt;15,1,IF(N20&gt;12,2,IF(N20&gt;9,3,IF(N20&gt;6,4,5))))</f>
        <v>#REF!</v>
      </c>
      <c r="O44" s="105" t="e">
        <f>IF(O20&gt;15,1,IF(O20&gt;12,2,IF(O20&gt;9,3,IF(O20&gt;6,4,5))))</f>
        <v>#REF!</v>
      </c>
      <c r="P44" s="105" t="e">
        <f>IF(P20&gt;15,1,IF(P20&gt;12,2,IF(P20&gt;9,3,IF(P20&gt;6,4,5))))</f>
        <v>#REF!</v>
      </c>
      <c r="Q44" s="105">
        <f t="shared" ref="Q44" si="45">IF(Q20&gt;15,1,IF(Q20&gt;12,2,IF(Q20&gt;9,3,IF(Q20&gt;6,4,5))))</f>
        <v>5</v>
      </c>
      <c r="R44" s="105">
        <f t="shared" ref="R44:T44" si="46">IF(R20&gt;15,1,IF(R20&gt;12,2,IF(R20&gt;9,3,IF(R20&gt;6,4,5))))</f>
        <v>5</v>
      </c>
      <c r="S44" s="105">
        <f t="shared" si="46"/>
        <v>5</v>
      </c>
      <c r="T44" s="105">
        <f t="shared" si="46"/>
        <v>5</v>
      </c>
      <c r="U44" s="105">
        <f t="shared" ref="U44:W44" si="47">IF(U20&gt;15,1,IF(U20&gt;12,2,IF(U20&gt;9,3,IF(U20&gt;6,4,5))))</f>
        <v>5</v>
      </c>
      <c r="V44" s="105">
        <f t="shared" si="47"/>
        <v>5</v>
      </c>
      <c r="W44" s="105">
        <f t="shared" si="47"/>
        <v>5</v>
      </c>
      <c r="X44" s="105"/>
      <c r="Y44" s="105"/>
      <c r="Z44" s="105"/>
      <c r="AA44" s="105"/>
      <c r="AB44" s="105"/>
      <c r="AC44" s="105">
        <f>IF(AC20&gt;15,1,IF(AC20&gt;12,2,IF(AC20&gt;9,3,IF(AC20&gt;6,4,5))))</f>
        <v>5</v>
      </c>
      <c r="AD44" s="105">
        <f>IF(AD20&gt;15,1,IF(AD20&gt;12,2,IF(AD20&gt;9,3,IF(AD20&gt;6,4,5))))</f>
        <v>5</v>
      </c>
    </row>
    <row r="45" spans="1:30" s="1" customFormat="1" x14ac:dyDescent="0.25">
      <c r="A45" s="702"/>
      <c r="B45" s="105"/>
      <c r="C45" s="105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</row>
    <row r="46" spans="1:30" s="1" customFormat="1" x14ac:dyDescent="0.25">
      <c r="A46" s="702"/>
      <c r="B46" s="707" t="s">
        <v>284</v>
      </c>
      <c r="C46" s="105" t="s">
        <v>285</v>
      </c>
      <c r="D46" s="106" t="s">
        <v>286</v>
      </c>
      <c r="E46" s="106" t="s">
        <v>286</v>
      </c>
      <c r="F46" s="106" t="s">
        <v>286</v>
      </c>
      <c r="G46" s="106" t="s">
        <v>286</v>
      </c>
      <c r="H46" s="106" t="s">
        <v>286</v>
      </c>
      <c r="I46" s="106" t="s">
        <v>286</v>
      </c>
      <c r="J46" s="106" t="s">
        <v>286</v>
      </c>
      <c r="K46" s="106" t="s">
        <v>286</v>
      </c>
      <c r="L46" s="106" t="s">
        <v>286</v>
      </c>
      <c r="M46" s="106" t="s">
        <v>286</v>
      </c>
      <c r="N46" s="105">
        <f>IF(N22&lt;2,1,IF(N22&lt;3,2,IF(N22&lt;4,3,IF(N22&lt;5,4,5))))</f>
        <v>1</v>
      </c>
      <c r="O46" s="105">
        <f>IF(O22&lt;2,1,IF(O22&lt;3,2,IF(O22&lt;4,3,IF(O22&lt;5,4,5))))</f>
        <v>1</v>
      </c>
      <c r="P46" s="105">
        <f>IF(P22&lt;2,1,IF(P22&lt;3,2,IF(P22&lt;4,3,IF(P22&lt;5,4,5))))</f>
        <v>1</v>
      </c>
      <c r="Q46" s="105">
        <f t="shared" ref="Q46" si="48">IF(Q22&lt;2,1,IF(Q22&lt;3,2,IF(Q22&lt;4,3,IF(Q22&lt;5,4,5))))</f>
        <v>1</v>
      </c>
      <c r="R46" s="105">
        <f t="shared" ref="R46:T46" si="49">IF(R22&lt;2,1,IF(R22&lt;3,2,IF(R22&lt;4,3,IF(R22&lt;5,4,5))))</f>
        <v>1</v>
      </c>
      <c r="S46" s="105">
        <f t="shared" si="49"/>
        <v>1</v>
      </c>
      <c r="T46" s="105">
        <f t="shared" si="49"/>
        <v>1</v>
      </c>
      <c r="U46" s="105">
        <f t="shared" ref="U46:W46" si="50">IF(U22&lt;2,1,IF(U22&lt;3,2,IF(U22&lt;4,3,IF(U22&lt;5,4,5))))</f>
        <v>1</v>
      </c>
      <c r="V46" s="105">
        <f t="shared" si="50"/>
        <v>1</v>
      </c>
      <c r="W46" s="105">
        <f t="shared" si="50"/>
        <v>1</v>
      </c>
      <c r="X46" s="105"/>
      <c r="Y46" s="105"/>
      <c r="Z46" s="105"/>
      <c r="AA46" s="105"/>
      <c r="AB46" s="105"/>
      <c r="AC46" s="105">
        <f>IF(AC22&lt;2,1,IF(AC22&lt;3,2,IF(AC22&lt;4,3,IF(AC22&lt;5,4,5))))</f>
        <v>1</v>
      </c>
      <c r="AD46" s="105">
        <f>IF(AD22&lt;2,1,IF(AD22&lt;3,2,IF(AD22&lt;4,3,IF(AD22&lt;5,4,5))))</f>
        <v>1</v>
      </c>
    </row>
    <row r="47" spans="1:30" s="1" customFormat="1" x14ac:dyDescent="0.25">
      <c r="A47" s="702"/>
      <c r="B47" s="707"/>
      <c r="C47" s="105" t="s">
        <v>287</v>
      </c>
      <c r="D47" s="106" t="s">
        <v>288</v>
      </c>
      <c r="E47" s="106" t="s">
        <v>288</v>
      </c>
      <c r="F47" s="106" t="s">
        <v>288</v>
      </c>
      <c r="G47" s="106" t="s">
        <v>288</v>
      </c>
      <c r="H47" s="106" t="s">
        <v>288</v>
      </c>
      <c r="I47" s="106" t="s">
        <v>288</v>
      </c>
      <c r="J47" s="106" t="s">
        <v>288</v>
      </c>
      <c r="K47" s="106" t="s">
        <v>288</v>
      </c>
      <c r="L47" s="106" t="s">
        <v>288</v>
      </c>
      <c r="M47" s="106" t="s">
        <v>288</v>
      </c>
      <c r="N47" s="105">
        <f>IF(N23&lt;20,1,IF(N23&lt;25,2,IF(N23&lt;30,3,IF(N23&lt;40,4,5))))</f>
        <v>1</v>
      </c>
      <c r="O47" s="105">
        <f>IF(O23&lt;20,1,IF(O23&lt;25,2,IF(O23&lt;30,3,IF(O23&lt;40,4,5))))</f>
        <v>1</v>
      </c>
      <c r="P47" s="105">
        <f>IF(P23&lt;20,1,IF(P23&lt;25,2,IF(P23&lt;30,3,IF(P23&lt;40,4,5))))</f>
        <v>1</v>
      </c>
      <c r="Q47" s="105">
        <f t="shared" ref="Q47" si="51">IF(Q23&lt;20,1,IF(Q23&lt;25,2,IF(Q23&lt;30,3,IF(Q23&lt;40,4,5))))</f>
        <v>1</v>
      </c>
      <c r="R47" s="105">
        <f t="shared" ref="R47:T47" si="52">IF(R23&lt;20,1,IF(R23&lt;25,2,IF(R23&lt;30,3,IF(R23&lt;40,4,5))))</f>
        <v>1</v>
      </c>
      <c r="S47" s="105">
        <f t="shared" si="52"/>
        <v>1</v>
      </c>
      <c r="T47" s="105">
        <f t="shared" si="52"/>
        <v>1</v>
      </c>
      <c r="U47" s="105">
        <f t="shared" ref="U47:W47" si="53">IF(U23&lt;20,1,IF(U23&lt;25,2,IF(U23&lt;30,3,IF(U23&lt;40,4,5))))</f>
        <v>1</v>
      </c>
      <c r="V47" s="105">
        <f t="shared" si="53"/>
        <v>1</v>
      </c>
      <c r="W47" s="105">
        <f t="shared" si="53"/>
        <v>1</v>
      </c>
      <c r="X47" s="105"/>
      <c r="Y47" s="105"/>
      <c r="Z47" s="105"/>
      <c r="AA47" s="105"/>
      <c r="AB47" s="105"/>
      <c r="AC47" s="105">
        <f>IF(AC23&lt;20,1,IF(AC23&lt;25,2,IF(AC23&lt;30,3,IF(AC23&lt;40,4,5))))</f>
        <v>1</v>
      </c>
      <c r="AD47" s="105">
        <f>IF(AD23&lt;20,1,IF(AD23&lt;25,2,IF(AD23&lt;30,3,IF(AD23&lt;40,4,5))))</f>
        <v>1</v>
      </c>
    </row>
    <row r="48" spans="1:30" s="1" customFormat="1" x14ac:dyDescent="0.25">
      <c r="A48" s="702"/>
      <c r="B48" s="707"/>
      <c r="C48" s="105" t="s">
        <v>289</v>
      </c>
      <c r="D48" s="106" t="s">
        <v>286</v>
      </c>
      <c r="E48" s="106" t="s">
        <v>286</v>
      </c>
      <c r="F48" s="106" t="s">
        <v>286</v>
      </c>
      <c r="G48" s="106" t="s">
        <v>286</v>
      </c>
      <c r="H48" s="106" t="s">
        <v>286</v>
      </c>
      <c r="I48" s="106" t="s">
        <v>286</v>
      </c>
      <c r="J48" s="106" t="s">
        <v>286</v>
      </c>
      <c r="K48" s="106" t="s">
        <v>286</v>
      </c>
      <c r="L48" s="106" t="s">
        <v>286</v>
      </c>
      <c r="M48" s="106" t="s">
        <v>286</v>
      </c>
      <c r="N48" s="105">
        <f>IF(N23&lt;2,1,IF(N23&lt;3,2,IF(N23&lt;4,3,IF(N23&lt;5,4,5))))</f>
        <v>1</v>
      </c>
      <c r="O48" s="105">
        <f>IF(O23&lt;2,1,IF(O23&lt;3,2,IF(O23&lt;4,3,IF(O23&lt;5,4,5))))</f>
        <v>1</v>
      </c>
      <c r="P48" s="105">
        <f>IF(P23&lt;2,1,IF(P23&lt;3,2,IF(P23&lt;4,3,IF(P23&lt;5,4,5))))</f>
        <v>1</v>
      </c>
      <c r="Q48" s="105">
        <f t="shared" ref="Q48" si="54">IF(Q23&lt;2,1,IF(Q23&lt;3,2,IF(Q23&lt;4,3,IF(Q23&lt;5,4,5))))</f>
        <v>1</v>
      </c>
      <c r="R48" s="105">
        <f t="shared" ref="R48:T48" si="55">IF(R23&lt;2,1,IF(R23&lt;3,2,IF(R23&lt;4,3,IF(R23&lt;5,4,5))))</f>
        <v>1</v>
      </c>
      <c r="S48" s="105">
        <f t="shared" si="55"/>
        <v>1</v>
      </c>
      <c r="T48" s="105">
        <f t="shared" si="55"/>
        <v>1</v>
      </c>
      <c r="U48" s="105">
        <f t="shared" ref="U48:W48" si="56">IF(U23&lt;2,1,IF(U23&lt;3,2,IF(U23&lt;4,3,IF(U23&lt;5,4,5))))</f>
        <v>1</v>
      </c>
      <c r="V48" s="105">
        <f t="shared" si="56"/>
        <v>1</v>
      </c>
      <c r="W48" s="105">
        <f t="shared" si="56"/>
        <v>1</v>
      </c>
      <c r="X48" s="105"/>
      <c r="Y48" s="105"/>
      <c r="Z48" s="105"/>
      <c r="AA48" s="105"/>
      <c r="AB48" s="105"/>
      <c r="AC48" s="105">
        <f>IF(AC23&lt;2,1,IF(AC23&lt;3,2,IF(AC23&lt;4,3,IF(AC23&lt;5,4,5))))</f>
        <v>1</v>
      </c>
      <c r="AD48" s="105">
        <f>IF(AD23&lt;2,1,IF(AD23&lt;3,2,IF(AD23&lt;4,3,IF(AD23&lt;5,4,5))))</f>
        <v>1</v>
      </c>
    </row>
    <row r="49" spans="1:30" s="1" customFormat="1" x14ac:dyDescent="0.25">
      <c r="A49" s="702"/>
      <c r="B49" s="707"/>
      <c r="C49" s="105" t="s">
        <v>290</v>
      </c>
      <c r="D49" s="105" t="s">
        <v>291</v>
      </c>
      <c r="E49" s="105" t="s">
        <v>291</v>
      </c>
      <c r="F49" s="105" t="s">
        <v>291</v>
      </c>
      <c r="G49" s="105" t="s">
        <v>291</v>
      </c>
      <c r="H49" s="105" t="s">
        <v>291</v>
      </c>
      <c r="I49" s="105" t="s">
        <v>291</v>
      </c>
      <c r="J49" s="105" t="s">
        <v>291</v>
      </c>
      <c r="K49" s="105" t="s">
        <v>291</v>
      </c>
      <c r="L49" s="105" t="s">
        <v>291</v>
      </c>
      <c r="M49" s="105" t="s">
        <v>291</v>
      </c>
      <c r="N49" s="105">
        <f>IF(N25&lt;6,1,IF(N25&lt;7,2,IF(N25&lt;8,3,IF(N25&lt;10,4,5))))</f>
        <v>1</v>
      </c>
      <c r="O49" s="105">
        <f>IF(O25&lt;6,1,IF(O25&lt;7,2,IF(O25&lt;8,3,IF(O25&lt;10,4,5))))</f>
        <v>1</v>
      </c>
      <c r="P49" s="105">
        <f>IF(P25&lt;6,1,IF(P25&lt;7,2,IF(P25&lt;8,3,IF(P25&lt;10,4,5))))</f>
        <v>1</v>
      </c>
      <c r="Q49" s="105">
        <f t="shared" ref="Q49" si="57">IF(Q25&lt;6,1,IF(Q25&lt;7,2,IF(Q25&lt;8,3,IF(Q25&lt;10,4,5))))</f>
        <v>1</v>
      </c>
      <c r="R49" s="105">
        <f t="shared" ref="R49:T49" si="58">IF(R25&lt;6,1,IF(R25&lt;7,2,IF(R25&lt;8,3,IF(R25&lt;10,4,5))))</f>
        <v>1</v>
      </c>
      <c r="S49" s="105">
        <f t="shared" si="58"/>
        <v>1</v>
      </c>
      <c r="T49" s="105">
        <f t="shared" si="58"/>
        <v>1</v>
      </c>
      <c r="U49" s="105">
        <f t="shared" ref="U49:W49" si="59">IF(U25&lt;6,1,IF(U25&lt;7,2,IF(U25&lt;8,3,IF(U25&lt;10,4,5))))</f>
        <v>1</v>
      </c>
      <c r="V49" s="105">
        <f t="shared" si="59"/>
        <v>1</v>
      </c>
      <c r="W49" s="105">
        <f t="shared" si="59"/>
        <v>1</v>
      </c>
      <c r="X49" s="105"/>
      <c r="Y49" s="105"/>
      <c r="Z49" s="105"/>
      <c r="AA49" s="105"/>
      <c r="AB49" s="105"/>
      <c r="AC49" s="105">
        <f>IF(AC25&lt;6,1,IF(AC25&lt;7,2,IF(AC25&lt;8,3,IF(AC25&lt;10,4,5))))</f>
        <v>1</v>
      </c>
      <c r="AD49" s="105">
        <f>IF(AD25&lt;6,1,IF(AD25&lt;7,2,IF(AD25&lt;8,3,IF(AD25&lt;10,4,5))))</f>
        <v>1</v>
      </c>
    </row>
    <row r="50" spans="1:30" s="1" customFormat="1" x14ac:dyDescent="0.25"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30" s="1" customFormat="1" x14ac:dyDescent="0.25"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30" s="1" customFormat="1" ht="3.75" customHeight="1" x14ac:dyDescent="0.25"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30" s="1" customFormat="1" x14ac:dyDescent="0.25"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30" s="1" customFormat="1" ht="12.75" customHeight="1" x14ac:dyDescent="0.25">
      <c r="A54" s="705" t="s">
        <v>294</v>
      </c>
      <c r="B54" s="704" t="s">
        <v>293</v>
      </c>
      <c r="C54" s="105" t="s">
        <v>262</v>
      </c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>
        <v>0.01</v>
      </c>
      <c r="O54" s="109">
        <v>0.01</v>
      </c>
      <c r="P54" s="109">
        <v>0.01</v>
      </c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>
        <v>0.01</v>
      </c>
    </row>
    <row r="55" spans="1:30" s="1" customFormat="1" x14ac:dyDescent="0.25">
      <c r="A55" s="705"/>
      <c r="B55" s="704"/>
      <c r="C55" s="105" t="s">
        <v>295</v>
      </c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>
        <v>0.2</v>
      </c>
      <c r="O55" s="109">
        <v>0.2</v>
      </c>
      <c r="P55" s="109">
        <v>0.2</v>
      </c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>
        <v>0.2</v>
      </c>
    </row>
    <row r="56" spans="1:30" s="1" customFormat="1" x14ac:dyDescent="0.25">
      <c r="A56" s="705"/>
      <c r="B56" s="704"/>
      <c r="C56" s="105" t="s">
        <v>296</v>
      </c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>
        <v>0.2</v>
      </c>
      <c r="O56" s="109">
        <v>0.2</v>
      </c>
      <c r="P56" s="109">
        <v>0.2</v>
      </c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>
        <v>0.2</v>
      </c>
    </row>
    <row r="57" spans="1:30" s="1" customFormat="1" x14ac:dyDescent="0.25">
      <c r="A57" s="705"/>
      <c r="B57" s="704"/>
      <c r="C57" s="105" t="s">
        <v>297</v>
      </c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>
        <v>0.2</v>
      </c>
      <c r="O57" s="109">
        <v>0.2</v>
      </c>
      <c r="P57" s="109">
        <v>0.2</v>
      </c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>
        <v>0.2</v>
      </c>
    </row>
    <row r="58" spans="1:30" s="1" customFormat="1" x14ac:dyDescent="0.25">
      <c r="A58" s="705"/>
      <c r="B58" s="704"/>
      <c r="C58" s="105" t="s">
        <v>269</v>
      </c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>
        <v>0.39</v>
      </c>
      <c r="O58" s="109">
        <v>0.39</v>
      </c>
      <c r="P58" s="109">
        <v>0.39</v>
      </c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>
        <v>0.39</v>
      </c>
    </row>
    <row r="59" spans="1:30" s="1" customFormat="1" x14ac:dyDescent="0.25">
      <c r="A59" s="705"/>
      <c r="B59" s="704" t="s">
        <v>270</v>
      </c>
      <c r="C59" s="105" t="s">
        <v>271</v>
      </c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>
        <v>0.7</v>
      </c>
      <c r="O59" s="109">
        <v>0.7</v>
      </c>
      <c r="P59" s="109">
        <v>0.7</v>
      </c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>
        <v>0.7</v>
      </c>
    </row>
    <row r="60" spans="1:30" s="1" customFormat="1" x14ac:dyDescent="0.25">
      <c r="A60" s="705"/>
      <c r="B60" s="704"/>
      <c r="C60" s="105" t="s">
        <v>272</v>
      </c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>
        <v>0.3</v>
      </c>
      <c r="O60" s="109">
        <v>0.3</v>
      </c>
      <c r="P60" s="109">
        <v>0.3</v>
      </c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>
        <v>0.3</v>
      </c>
    </row>
    <row r="61" spans="1:30" s="1" customFormat="1" x14ac:dyDescent="0.25">
      <c r="A61" s="705"/>
      <c r="B61" s="704" t="s">
        <v>273</v>
      </c>
      <c r="C61" s="105" t="s">
        <v>274</v>
      </c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>
        <v>0.5</v>
      </c>
      <c r="O61" s="109">
        <v>0.5</v>
      </c>
      <c r="P61" s="109">
        <v>0.5</v>
      </c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>
        <v>0.5</v>
      </c>
    </row>
    <row r="62" spans="1:30" s="1" customFormat="1" x14ac:dyDescent="0.25">
      <c r="A62" s="705"/>
      <c r="B62" s="704"/>
      <c r="C62" s="105" t="s">
        <v>275</v>
      </c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>
        <v>0.25</v>
      </c>
      <c r="O62" s="109">
        <v>0.25</v>
      </c>
      <c r="P62" s="109">
        <v>0.25</v>
      </c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>
        <v>0.25</v>
      </c>
    </row>
    <row r="63" spans="1:30" s="1" customFormat="1" x14ac:dyDescent="0.25">
      <c r="A63" s="705"/>
      <c r="B63" s="704"/>
      <c r="C63" s="105" t="s">
        <v>276</v>
      </c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>
        <v>0.25</v>
      </c>
      <c r="O63" s="109">
        <v>0.25</v>
      </c>
      <c r="P63" s="109">
        <v>0.25</v>
      </c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>
        <v>0.25</v>
      </c>
    </row>
    <row r="64" spans="1:30" s="1" customFormat="1" x14ac:dyDescent="0.25">
      <c r="A64" s="705"/>
      <c r="B64" s="704" t="s">
        <v>277</v>
      </c>
      <c r="C64" s="105" t="s">
        <v>278</v>
      </c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>
        <v>0.4</v>
      </c>
      <c r="O64" s="109">
        <v>0.4</v>
      </c>
      <c r="P64" s="109">
        <v>0.4</v>
      </c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>
        <v>0.4</v>
      </c>
    </row>
    <row r="65" spans="1:29" s="1" customFormat="1" x14ac:dyDescent="0.25">
      <c r="A65" s="705"/>
      <c r="B65" s="704"/>
      <c r="C65" s="105" t="s">
        <v>280</v>
      </c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>
        <v>0.2</v>
      </c>
      <c r="O65" s="109">
        <v>0.2</v>
      </c>
      <c r="P65" s="109">
        <v>0.2</v>
      </c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>
        <v>0.2</v>
      </c>
    </row>
    <row r="66" spans="1:29" s="1" customFormat="1" x14ac:dyDescent="0.25">
      <c r="A66" s="705"/>
      <c r="B66" s="704"/>
      <c r="C66" s="105" t="s">
        <v>281</v>
      </c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>
        <v>0.2</v>
      </c>
      <c r="O66" s="109">
        <v>0.2</v>
      </c>
      <c r="P66" s="109">
        <v>0.2</v>
      </c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>
        <v>0.2</v>
      </c>
    </row>
    <row r="67" spans="1:29" s="1" customFormat="1" x14ac:dyDescent="0.25">
      <c r="A67" s="705"/>
      <c r="B67" s="704"/>
      <c r="C67" s="105" t="s">
        <v>283</v>
      </c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>
        <v>0.2</v>
      </c>
      <c r="O67" s="109">
        <v>0.2</v>
      </c>
      <c r="P67" s="109">
        <v>0.2</v>
      </c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>
        <v>0.2</v>
      </c>
    </row>
    <row r="68" spans="1:29" s="1" customFormat="1" x14ac:dyDescent="0.25">
      <c r="A68" s="705"/>
      <c r="B68" s="704" t="s">
        <v>284</v>
      </c>
      <c r="C68" s="105" t="s">
        <v>298</v>
      </c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>
        <v>0.25</v>
      </c>
      <c r="O68" s="109">
        <v>0.25</v>
      </c>
      <c r="P68" s="109">
        <v>0.25</v>
      </c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>
        <v>0.25</v>
      </c>
    </row>
    <row r="69" spans="1:29" s="1" customFormat="1" x14ac:dyDescent="0.25">
      <c r="A69" s="705"/>
      <c r="B69" s="704"/>
      <c r="C69" s="105" t="s">
        <v>299</v>
      </c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>
        <v>0.25</v>
      </c>
      <c r="O69" s="109">
        <v>0.25</v>
      </c>
      <c r="P69" s="109">
        <v>0.25</v>
      </c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>
        <v>0.25</v>
      </c>
    </row>
    <row r="70" spans="1:29" s="1" customFormat="1" x14ac:dyDescent="0.25">
      <c r="A70" s="705"/>
      <c r="B70" s="704"/>
      <c r="C70" s="105" t="s">
        <v>300</v>
      </c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>
        <v>0.25</v>
      </c>
      <c r="O70" s="109">
        <v>0.25</v>
      </c>
      <c r="P70" s="109">
        <v>0.25</v>
      </c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>
        <v>0.25</v>
      </c>
    </row>
    <row r="71" spans="1:29" s="1" customFormat="1" x14ac:dyDescent="0.25">
      <c r="A71" s="705"/>
      <c r="B71" s="704"/>
      <c r="C71" s="105" t="s">
        <v>301</v>
      </c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>
        <v>0.25</v>
      </c>
      <c r="O71" s="109">
        <v>0.25</v>
      </c>
      <c r="P71" s="109">
        <v>0.25</v>
      </c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>
        <v>0.25</v>
      </c>
    </row>
    <row r="72" spans="1:29" s="1" customFormat="1" x14ac:dyDescent="0.25">
      <c r="A72" s="110"/>
      <c r="B72" s="111"/>
      <c r="C72" s="107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</row>
    <row r="73" spans="1:29" s="1" customFormat="1" x14ac:dyDescent="0.25">
      <c r="A73" s="706" t="s">
        <v>302</v>
      </c>
      <c r="B73" s="107" t="s">
        <v>293</v>
      </c>
      <c r="C73" s="107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15" t="e">
        <f>IF(MAX(#REF!)-N79&gt;1,MAX(#REF!)-1,N79)</f>
        <v>#REF!</v>
      </c>
      <c r="O73" s="115">
        <f>IF(MAX(N28:N31)-O79&gt;1,MAX(N28:N31)-1,O79)</f>
        <v>4</v>
      </c>
      <c r="P73" s="115">
        <f>IF(MAX(O28:O31)-P79&gt;1,MAX(O28:O31)-1,P79)</f>
        <v>4</v>
      </c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>
        <f>IF(MAX(P28:P31)-AC79&gt;1,MAX(P28:P31)-1,AC79)</f>
        <v>4</v>
      </c>
    </row>
    <row r="74" spans="1:29" s="1" customFormat="1" x14ac:dyDescent="0.25">
      <c r="A74" s="703"/>
      <c r="B74" s="105" t="s">
        <v>270</v>
      </c>
      <c r="C74" s="105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16">
        <f>IF(MAX(N33:N34)-N80&gt;1,MAX(N33:N34)-1,N80)</f>
        <v>1</v>
      </c>
      <c r="O74" s="116">
        <f>IF(MAX(O33:O34)-O80&gt;1,MAX(O33:O34)-1,O80)</f>
        <v>1</v>
      </c>
      <c r="P74" s="116">
        <f>IF(MAX(P33:P34)-P80&gt;1,MAX(P33:P34)-1,P80)</f>
        <v>1</v>
      </c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>
        <f>IF(MAX(AC33:AC34)-AC80&gt;1,MAX(AC33:AC34)-1,AC80)</f>
        <v>1</v>
      </c>
    </row>
    <row r="75" spans="1:29" s="1" customFormat="1" x14ac:dyDescent="0.25">
      <c r="A75" s="703"/>
      <c r="B75" s="105" t="s">
        <v>273</v>
      </c>
      <c r="C75" s="105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16" t="e">
        <f>IF(MAX(N37:N39)-N81&gt;1,MAX(N37:N39)-1,N81)</f>
        <v>#REF!</v>
      </c>
      <c r="O75" s="116" t="e">
        <f>IF(MAX(O37:O39)-O81&gt;1,MAX(O37:O39)-1,O81)</f>
        <v>#REF!</v>
      </c>
      <c r="P75" s="116" t="e">
        <f>IF(MAX(P37:P39)-P81&gt;1,MAX(P37:P39)-1,P81)</f>
        <v>#REF!</v>
      </c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>
        <f>IF(MAX(AC37:AC39)-AC81&gt;1,MAX(AC37:AC39)-1,AC81)</f>
        <v>3</v>
      </c>
    </row>
    <row r="76" spans="1:29" s="1" customFormat="1" x14ac:dyDescent="0.25">
      <c r="A76" s="703"/>
      <c r="B76" s="105" t="s">
        <v>277</v>
      </c>
      <c r="C76" s="105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16" t="e">
        <f>IF(MAX(N43:N44)-N82&gt;1,MAX(N43:N44),N82)</f>
        <v>#REF!</v>
      </c>
      <c r="O76" s="116" t="e">
        <f>IF(MAX(O43:O44)-O82&gt;1,MAX(O43:O44),O82)</f>
        <v>#REF!</v>
      </c>
      <c r="P76" s="116" t="e">
        <f>IF(MAX(P43:P44)-P82&gt;1,MAX(P43:P44),P82)</f>
        <v>#REF!</v>
      </c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>
        <f>IF(MAX(AC43:AC44)-AC82&gt;1,MAX(AC43:AC44),AC82)</f>
        <v>4</v>
      </c>
    </row>
    <row r="77" spans="1:29" s="1" customFormat="1" x14ac:dyDescent="0.25">
      <c r="A77" s="703"/>
      <c r="B77" s="105" t="s">
        <v>303</v>
      </c>
      <c r="C77" s="105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16">
        <f>IF(MAX(N46:N49)-N83&gt;1,MAX(N46:N49)-1,N83)</f>
        <v>1</v>
      </c>
      <c r="O77" s="116">
        <f>IF(MAX(O46:O49)-O83&gt;1,MAX(O46:O49)-1,O83)</f>
        <v>1</v>
      </c>
      <c r="P77" s="116">
        <f>IF(MAX(P46:P49)-P83&gt;1,MAX(P46:P49)-1,P83)</f>
        <v>1</v>
      </c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>
        <f>IF(MAX(AC46:AC49)-AC83&gt;1,MAX(AC46:AC49)-1,AC83)</f>
        <v>1</v>
      </c>
    </row>
    <row r="78" spans="1:29" s="1" customFormat="1" x14ac:dyDescent="0.25">
      <c r="A78" s="201"/>
      <c r="B78" s="105"/>
      <c r="C78" s="105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</row>
    <row r="79" spans="1:29" s="1" customFormat="1" x14ac:dyDescent="0.25">
      <c r="A79" s="703" t="s">
        <v>304</v>
      </c>
      <c r="B79" s="105" t="s">
        <v>293</v>
      </c>
      <c r="C79" s="105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16">
        <f>ROUND(SUMPRODUCT(N28:N32,N54:N58),0)</f>
        <v>2</v>
      </c>
      <c r="O79" s="116">
        <f>ROUND(SUMPRODUCT(O28:O32,O54:O58),0)</f>
        <v>2</v>
      </c>
      <c r="P79" s="116">
        <f>ROUND(SUMPRODUCT(P28:P32,P54:P58),0)</f>
        <v>2</v>
      </c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>
        <f>ROUND(SUMPRODUCT(AC28:AC32,AC54:AC58),0)</f>
        <v>2</v>
      </c>
    </row>
    <row r="80" spans="1:29" s="1" customFormat="1" ht="17.25" customHeight="1" x14ac:dyDescent="0.25">
      <c r="A80" s="703"/>
      <c r="B80" s="105" t="s">
        <v>270</v>
      </c>
      <c r="C80" s="105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16">
        <f>ROUND(SUMPRODUCT(N34:N35,N59:N60),0)</f>
        <v>1</v>
      </c>
      <c r="O80" s="116">
        <f>ROUND(SUMPRODUCT(O34:O35,O59:O60),0)</f>
        <v>1</v>
      </c>
      <c r="P80" s="116">
        <f>ROUND(SUMPRODUCT(P34:P35,P59:P60),0)</f>
        <v>1</v>
      </c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>
        <f>ROUND(SUMPRODUCT(AC34:AC35,AC59:AC60),0)</f>
        <v>1</v>
      </c>
    </row>
    <row r="81" spans="1:29" s="1" customFormat="1" ht="17.25" customHeight="1" x14ac:dyDescent="0.25">
      <c r="A81" s="703"/>
      <c r="B81" s="105" t="s">
        <v>273</v>
      </c>
      <c r="C81" s="105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16" t="e">
        <f>ROUND(SUMPRODUCT(N37:N39,N61:N63),0)</f>
        <v>#REF!</v>
      </c>
      <c r="O81" s="116" t="e">
        <f>ROUND(SUMPRODUCT(O37:O39,O61:O63),0)</f>
        <v>#REF!</v>
      </c>
      <c r="P81" s="116" t="e">
        <f>ROUND(SUMPRODUCT(P37:P39,P61:P63),0)</f>
        <v>#REF!</v>
      </c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>
        <f>ROUND(SUMPRODUCT(AC37:AC39,AC61:AC63),0)</f>
        <v>3</v>
      </c>
    </row>
    <row r="82" spans="1:29" s="1" customFormat="1" ht="16.5" customHeight="1" x14ac:dyDescent="0.25">
      <c r="A82" s="703"/>
      <c r="B82" s="105" t="s">
        <v>277</v>
      </c>
      <c r="C82" s="105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16" t="e">
        <f>ROUND(SUMPRODUCT(N41:N44,N64:N67),0)</f>
        <v>#REF!</v>
      </c>
      <c r="O82" s="116" t="e">
        <f>ROUND(SUMPRODUCT(O41:O44,O64:O67),0)</f>
        <v>#REF!</v>
      </c>
      <c r="P82" s="116" t="e">
        <f>ROUND(SUMPRODUCT(P41:P44,P64:P67),0)</f>
        <v>#REF!</v>
      </c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>
        <f>ROUND(SUMPRODUCT(AC41:AC44,AC64:AC67),0)</f>
        <v>4</v>
      </c>
    </row>
    <row r="83" spans="1:29" s="1" customFormat="1" ht="17.25" customHeight="1" x14ac:dyDescent="0.25">
      <c r="A83" s="703"/>
      <c r="B83" s="105" t="s">
        <v>303</v>
      </c>
      <c r="C83" s="105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16">
        <f>ROUND(SUMPRODUCT(N46:N49,N68:N71),0)</f>
        <v>1</v>
      </c>
      <c r="O83" s="116">
        <f>ROUND(SUMPRODUCT(O46:O49,O68:O71),0)</f>
        <v>1</v>
      </c>
      <c r="P83" s="116">
        <f>ROUND(SUMPRODUCT(P46:P49,P68:P71),0)</f>
        <v>1</v>
      </c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>
        <f>ROUND(SUMPRODUCT(AC46:AC49,AC68:AC71),0)</f>
        <v>1</v>
      </c>
    </row>
    <row r="84" spans="1:29" s="1" customFormat="1" x14ac:dyDescent="0.25">
      <c r="A84" s="105"/>
      <c r="B84" s="105"/>
      <c r="C84" s="105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</row>
    <row r="85" spans="1:29" s="1" customFormat="1" x14ac:dyDescent="0.25">
      <c r="A85" s="703" t="s">
        <v>305</v>
      </c>
      <c r="B85" s="105" t="s">
        <v>306</v>
      </c>
      <c r="C85" s="105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16" t="e">
        <f>AVERAGE(N79:N83)</f>
        <v>#REF!</v>
      </c>
      <c r="O85" s="116" t="e">
        <f>AVERAGE(O79:O83)</f>
        <v>#REF!</v>
      </c>
      <c r="P85" s="116" t="e">
        <f>AVERAGE(P79:P83)</f>
        <v>#REF!</v>
      </c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>
        <f>AVERAGE(AC79:AC83)</f>
        <v>2.2000000000000002</v>
      </c>
    </row>
    <row r="86" spans="1:29" s="1" customFormat="1" x14ac:dyDescent="0.25">
      <c r="A86" s="703"/>
      <c r="B86" s="105" t="s">
        <v>307</v>
      </c>
      <c r="C86" s="105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16" t="e">
        <f>AVERAGE(N73:N77)</f>
        <v>#REF!</v>
      </c>
      <c r="O86" s="116" t="e">
        <f>AVERAGE(O73:O77)</f>
        <v>#REF!</v>
      </c>
      <c r="P86" s="116" t="e">
        <f>AVERAGE(P73:P77)</f>
        <v>#REF!</v>
      </c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>
        <f>AVERAGE(AC73:AC77)</f>
        <v>2.6</v>
      </c>
    </row>
    <row r="87" spans="1:29" s="1" customFormat="1" ht="18.75" customHeight="1" x14ac:dyDescent="0.25">
      <c r="A87" s="703"/>
      <c r="B87" s="105" t="s">
        <v>308</v>
      </c>
      <c r="C87" s="105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16" t="e">
        <f>IF(MAX(N73:N77)-N86&gt;1,MAX(N73:N77)-1,N86)</f>
        <v>#REF!</v>
      </c>
      <c r="O87" s="116" t="e">
        <f>IF(MAX(O73:O77)-O86&gt;1,MAX(O73:O77)-1,O86)</f>
        <v>#REF!</v>
      </c>
      <c r="P87" s="116" t="e">
        <f>IF(MAX(P73:P77)-P86&gt;1,MAX(P73:P77)-1,P86)</f>
        <v>#REF!</v>
      </c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>
        <f>IF(MAX(AC73:AC77)-AC86&gt;1,MAX(AC73:AC77)-1,AC86)</f>
        <v>3</v>
      </c>
    </row>
    <row r="88" spans="1:29" s="1" customFormat="1" ht="19.5" customHeight="1" x14ac:dyDescent="0.25">
      <c r="A88" s="703"/>
      <c r="B88" s="105" t="s">
        <v>309</v>
      </c>
      <c r="C88" s="105" t="s">
        <v>310</v>
      </c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17" t="e">
        <f>IF(MAX(N28,N29,N30,N31,N41,N43,N46,N47,N48,N49)-N85&gt;1,MAX(N28,N29,N30,N31,N41,N43,N46,N47,N48,N49)-1,N85)</f>
        <v>#REF!</v>
      </c>
      <c r="O88" s="117" t="e">
        <f>IF(MAX(O28,O29,O30,O31,O41,O43,O46,O47,O48,O49)-O85&gt;1,MAX(O28,O29,O30,O31,O41,O43,O46,O47,O48,O49)-1,O85)</f>
        <v>#REF!</v>
      </c>
      <c r="P88" s="117" t="e">
        <f>IF(MAX(P28,P29,P30,P31,P41,P43,P46,P47,P48,P49)-P85&gt;1,MAX(P28,P29,P30,P31,P41,P43,P46,P47,P48,P49)-1,P85)</f>
        <v>#REF!</v>
      </c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>
        <f>IF(MAX(AC28,AC29,AC30,AC31,AC41,AC43,AC46,AC47,AC48,AC49)-AC85&gt;1,MAX(AC28,AC29,AC30,AC31,AC41,AC43,AC46,AC47,AC48,AC49)-1,AC85)</f>
        <v>4</v>
      </c>
    </row>
    <row r="89" spans="1:29" s="1" customFormat="1" ht="8.25" customHeight="1" x14ac:dyDescent="0.25">
      <c r="D89" s="3"/>
    </row>
  </sheetData>
  <mergeCells count="21">
    <mergeCell ref="B46:B49"/>
    <mergeCell ref="B10:B11"/>
    <mergeCell ref="B17:B20"/>
    <mergeCell ref="B22:B25"/>
    <mergeCell ref="B13:B15"/>
    <mergeCell ref="A4:A25"/>
    <mergeCell ref="A79:A83"/>
    <mergeCell ref="B54:B58"/>
    <mergeCell ref="A85:A88"/>
    <mergeCell ref="A54:A71"/>
    <mergeCell ref="A73:A77"/>
    <mergeCell ref="B28:B32"/>
    <mergeCell ref="B34:B35"/>
    <mergeCell ref="B37:B39"/>
    <mergeCell ref="B41:B44"/>
    <mergeCell ref="A28:A49"/>
    <mergeCell ref="B59:B60"/>
    <mergeCell ref="B61:B63"/>
    <mergeCell ref="B64:B67"/>
    <mergeCell ref="B68:B71"/>
    <mergeCell ref="B4:B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74E0-9622-4C50-8D42-D9C45DE35B8C}">
  <dimension ref="B1:E178"/>
  <sheetViews>
    <sheetView topLeftCell="C40" workbookViewId="0">
      <selection activeCell="C40" sqref="C40"/>
    </sheetView>
  </sheetViews>
  <sheetFormatPr defaultRowHeight="14.4" x14ac:dyDescent="0.3"/>
  <cols>
    <col min="3" max="3" width="81.109375" customWidth="1"/>
    <col min="4" max="4" width="26.5546875" customWidth="1"/>
    <col min="5" max="5" width="17.88671875" customWidth="1"/>
  </cols>
  <sheetData>
    <row r="1" spans="2:5" x14ac:dyDescent="0.3">
      <c r="B1" s="668" t="s">
        <v>311</v>
      </c>
      <c r="C1" s="669"/>
      <c r="D1" s="684"/>
    </row>
    <row r="2" spans="2:5" x14ac:dyDescent="0.3">
      <c r="B2" s="668"/>
      <c r="C2" s="668" t="s">
        <v>312</v>
      </c>
      <c r="D2" s="684"/>
    </row>
    <row r="3" spans="2:5" x14ac:dyDescent="0.3">
      <c r="B3" s="668" t="s">
        <v>313</v>
      </c>
      <c r="C3" s="670"/>
      <c r="D3" s="684" t="s">
        <v>314</v>
      </c>
    </row>
    <row r="4" spans="2:5" x14ac:dyDescent="0.3">
      <c r="B4" s="671" t="s">
        <v>315</v>
      </c>
      <c r="C4" s="670"/>
      <c r="D4" s="684">
        <v>2022</v>
      </c>
      <c r="E4" s="666">
        <v>2022</v>
      </c>
    </row>
    <row r="5" spans="2:5" x14ac:dyDescent="0.3">
      <c r="B5" s="668" t="s">
        <v>316</v>
      </c>
      <c r="C5" s="672"/>
      <c r="D5" s="684">
        <v>3</v>
      </c>
      <c r="E5">
        <v>6</v>
      </c>
    </row>
    <row r="6" spans="2:5" x14ac:dyDescent="0.3">
      <c r="B6" s="668"/>
      <c r="C6" s="672"/>
      <c r="D6" s="684"/>
    </row>
    <row r="7" spans="2:5" x14ac:dyDescent="0.3">
      <c r="B7" s="669"/>
      <c r="C7" s="669"/>
      <c r="D7" s="684"/>
    </row>
    <row r="8" spans="2:5" ht="15" thickBot="1" x14ac:dyDescent="0.35">
      <c r="B8" s="673" t="s">
        <v>317</v>
      </c>
      <c r="C8" s="673"/>
      <c r="D8" s="685"/>
      <c r="E8" s="685"/>
    </row>
    <row r="9" spans="2:5" ht="15" thickTop="1" x14ac:dyDescent="0.3">
      <c r="B9" s="674"/>
      <c r="C9" s="675"/>
      <c r="D9" s="686" t="s">
        <v>318</v>
      </c>
    </row>
    <row r="10" spans="2:5" ht="15" thickBot="1" x14ac:dyDescent="0.35">
      <c r="B10" s="676" t="s">
        <v>319</v>
      </c>
      <c r="C10" s="677" t="s">
        <v>320</v>
      </c>
      <c r="D10" s="687" t="s">
        <v>321</v>
      </c>
    </row>
    <row r="11" spans="2:5" x14ac:dyDescent="0.3">
      <c r="B11" s="678">
        <v>0</v>
      </c>
      <c r="C11" s="679" t="s">
        <v>322</v>
      </c>
      <c r="D11" s="688">
        <v>0</v>
      </c>
      <c r="E11" s="688">
        <v>0</v>
      </c>
    </row>
    <row r="12" spans="2:5" x14ac:dyDescent="0.3">
      <c r="B12" s="678">
        <v>1000</v>
      </c>
      <c r="C12" s="680" t="s">
        <v>323</v>
      </c>
      <c r="D12" s="689">
        <v>0</v>
      </c>
      <c r="E12" s="689">
        <v>0</v>
      </c>
    </row>
    <row r="13" spans="2:5" x14ac:dyDescent="0.3">
      <c r="B13" s="678"/>
      <c r="C13" s="679" t="s">
        <v>324</v>
      </c>
      <c r="D13" s="689">
        <v>0</v>
      </c>
      <c r="E13" s="689">
        <v>0</v>
      </c>
    </row>
    <row r="14" spans="2:5" x14ac:dyDescent="0.3">
      <c r="B14" s="678"/>
      <c r="C14" s="679" t="s">
        <v>325</v>
      </c>
      <c r="D14" s="689">
        <v>0</v>
      </c>
      <c r="E14" s="689">
        <v>0</v>
      </c>
    </row>
    <row r="15" spans="2:5" x14ac:dyDescent="0.3">
      <c r="B15" s="678"/>
      <c r="C15" s="679" t="s">
        <v>326</v>
      </c>
      <c r="D15" s="689">
        <v>0</v>
      </c>
      <c r="E15" s="689">
        <v>0</v>
      </c>
    </row>
    <row r="16" spans="2:5" x14ac:dyDescent="0.3">
      <c r="B16" s="678"/>
      <c r="C16" s="679" t="s">
        <v>327</v>
      </c>
      <c r="D16" s="689">
        <v>0</v>
      </c>
      <c r="E16" s="689">
        <v>0</v>
      </c>
    </row>
    <row r="17" spans="2:5" x14ac:dyDescent="0.3">
      <c r="B17" s="678"/>
      <c r="C17" s="679" t="s">
        <v>328</v>
      </c>
      <c r="D17" s="689">
        <v>396000</v>
      </c>
      <c r="E17" s="689">
        <v>84000</v>
      </c>
    </row>
    <row r="18" spans="2:5" x14ac:dyDescent="0.3">
      <c r="B18" s="678"/>
      <c r="C18" s="679" t="s">
        <v>329</v>
      </c>
      <c r="D18" s="689">
        <v>160000</v>
      </c>
      <c r="E18" s="689">
        <v>138925</v>
      </c>
    </row>
    <row r="19" spans="2:5" x14ac:dyDescent="0.3">
      <c r="B19" s="678"/>
      <c r="C19" s="679" t="s">
        <v>330</v>
      </c>
      <c r="D19" s="689">
        <v>150000</v>
      </c>
      <c r="E19" s="689">
        <v>0</v>
      </c>
    </row>
    <row r="20" spans="2:5" x14ac:dyDescent="0.3">
      <c r="B20" s="678"/>
      <c r="C20" s="679" t="s">
        <v>331</v>
      </c>
      <c r="D20" s="689">
        <v>335000</v>
      </c>
      <c r="E20" s="689">
        <v>35000</v>
      </c>
    </row>
    <row r="21" spans="2:5" x14ac:dyDescent="0.3">
      <c r="B21" s="678"/>
      <c r="C21" s="679" t="s">
        <v>332</v>
      </c>
      <c r="D21" s="692">
        <v>632000</v>
      </c>
      <c r="E21" s="692">
        <v>588800</v>
      </c>
    </row>
    <row r="22" spans="2:5" x14ac:dyDescent="0.3">
      <c r="B22" s="678"/>
      <c r="C22" s="679" t="s">
        <v>333</v>
      </c>
      <c r="D22" s="689">
        <v>0</v>
      </c>
      <c r="E22" s="689">
        <v>0</v>
      </c>
    </row>
    <row r="23" spans="2:5" x14ac:dyDescent="0.3">
      <c r="B23" s="678"/>
      <c r="C23" s="679" t="s">
        <v>334</v>
      </c>
      <c r="D23" s="689">
        <v>200000</v>
      </c>
      <c r="E23" s="689">
        <v>180000</v>
      </c>
    </row>
    <row r="24" spans="2:5" x14ac:dyDescent="0.3">
      <c r="B24" s="678"/>
      <c r="C24" s="679" t="s">
        <v>335</v>
      </c>
      <c r="D24" s="689">
        <v>0</v>
      </c>
      <c r="E24" s="689">
        <v>0</v>
      </c>
    </row>
    <row r="25" spans="2:5" x14ac:dyDescent="0.3">
      <c r="B25" s="678"/>
      <c r="C25" s="679" t="s">
        <v>336</v>
      </c>
      <c r="D25" s="689">
        <v>0</v>
      </c>
      <c r="E25" s="689">
        <v>0</v>
      </c>
    </row>
    <row r="26" spans="2:5" x14ac:dyDescent="0.3">
      <c r="B26" s="678"/>
      <c r="C26" s="679" t="s">
        <v>337</v>
      </c>
      <c r="D26" s="689">
        <v>0</v>
      </c>
      <c r="E26" s="689">
        <v>0</v>
      </c>
    </row>
    <row r="27" spans="2:5" x14ac:dyDescent="0.3">
      <c r="B27" s="678"/>
      <c r="C27" s="679" t="s">
        <v>338</v>
      </c>
      <c r="D27" s="689">
        <v>191000</v>
      </c>
      <c r="E27" s="689">
        <v>0</v>
      </c>
    </row>
    <row r="28" spans="2:5" x14ac:dyDescent="0.3">
      <c r="B28" s="678"/>
      <c r="C28" s="679" t="s">
        <v>339</v>
      </c>
      <c r="D28" s="689">
        <v>0</v>
      </c>
      <c r="E28" s="689">
        <v>0</v>
      </c>
    </row>
    <row r="29" spans="2:5" x14ac:dyDescent="0.3">
      <c r="B29" s="678"/>
      <c r="C29" s="679" t="s">
        <v>340</v>
      </c>
      <c r="D29" s="689">
        <v>0</v>
      </c>
      <c r="E29" s="689">
        <v>0</v>
      </c>
    </row>
    <row r="30" spans="2:5" x14ac:dyDescent="0.3">
      <c r="B30" s="678"/>
      <c r="C30" s="679" t="s">
        <v>341</v>
      </c>
      <c r="D30" s="692">
        <v>916000</v>
      </c>
      <c r="E30" s="689">
        <v>10000</v>
      </c>
    </row>
    <row r="31" spans="2:5" x14ac:dyDescent="0.3">
      <c r="B31" s="678"/>
      <c r="C31" s="679" t="s">
        <v>342</v>
      </c>
      <c r="D31" s="689">
        <v>0</v>
      </c>
      <c r="E31" s="689">
        <v>0</v>
      </c>
    </row>
    <row r="32" spans="2:5" x14ac:dyDescent="0.3">
      <c r="B32" s="678"/>
      <c r="C32" s="679" t="s">
        <v>343</v>
      </c>
      <c r="D32" s="689">
        <v>12000</v>
      </c>
      <c r="E32" s="689">
        <v>78250</v>
      </c>
    </row>
    <row r="33" spans="2:5" x14ac:dyDescent="0.3">
      <c r="B33" s="678"/>
      <c r="C33" s="679" t="s">
        <v>344</v>
      </c>
      <c r="D33" s="689">
        <v>0</v>
      </c>
      <c r="E33" s="689">
        <v>0</v>
      </c>
    </row>
    <row r="34" spans="2:5" x14ac:dyDescent="0.3">
      <c r="B34" s="678"/>
      <c r="C34" s="679" t="s">
        <v>345</v>
      </c>
      <c r="D34" s="689">
        <v>112000</v>
      </c>
      <c r="E34" s="689">
        <v>0</v>
      </c>
    </row>
    <row r="35" spans="2:5" x14ac:dyDescent="0.3">
      <c r="B35" s="678"/>
      <c r="C35" s="679" t="s">
        <v>346</v>
      </c>
      <c r="D35" s="689">
        <v>0</v>
      </c>
      <c r="E35" s="689">
        <v>0</v>
      </c>
    </row>
    <row r="36" spans="2:5" x14ac:dyDescent="0.3">
      <c r="B36" s="678"/>
      <c r="C36" s="679" t="s">
        <v>347</v>
      </c>
      <c r="D36" s="689">
        <v>0</v>
      </c>
      <c r="E36" s="689">
        <v>0</v>
      </c>
    </row>
    <row r="37" spans="2:5" x14ac:dyDescent="0.3">
      <c r="B37" s="678"/>
      <c r="C37" s="679" t="s">
        <v>348</v>
      </c>
      <c r="D37" s="689">
        <v>0</v>
      </c>
      <c r="E37" s="689">
        <v>0</v>
      </c>
    </row>
    <row r="38" spans="2:5" x14ac:dyDescent="0.3">
      <c r="B38" s="678"/>
      <c r="C38" s="679" t="s">
        <v>349</v>
      </c>
      <c r="D38" s="689">
        <v>94000</v>
      </c>
      <c r="E38" s="689">
        <v>0</v>
      </c>
    </row>
    <row r="39" spans="2:5" x14ac:dyDescent="0.3">
      <c r="B39" s="678"/>
      <c r="C39" s="679" t="s">
        <v>350</v>
      </c>
      <c r="D39" s="689">
        <v>0</v>
      </c>
      <c r="E39" s="689">
        <v>0</v>
      </c>
    </row>
    <row r="40" spans="2:5" x14ac:dyDescent="0.3">
      <c r="B40" s="678"/>
      <c r="C40" s="679" t="s">
        <v>351</v>
      </c>
      <c r="D40" s="692">
        <v>13354497</v>
      </c>
      <c r="E40" s="692">
        <v>1623000</v>
      </c>
    </row>
    <row r="41" spans="2:5" x14ac:dyDescent="0.3">
      <c r="B41" s="678">
        <v>2000</v>
      </c>
      <c r="C41" s="671" t="s">
        <v>352</v>
      </c>
      <c r="D41" s="689">
        <v>0</v>
      </c>
      <c r="E41" s="689">
        <v>0</v>
      </c>
    </row>
    <row r="42" spans="2:5" x14ac:dyDescent="0.3">
      <c r="B42" s="678"/>
      <c r="C42" s="679" t="s">
        <v>353</v>
      </c>
      <c r="D42" s="689">
        <v>0</v>
      </c>
      <c r="E42" s="689">
        <v>0</v>
      </c>
    </row>
    <row r="43" spans="2:5" x14ac:dyDescent="0.3">
      <c r="B43" s="678"/>
      <c r="C43" s="679" t="s">
        <v>354</v>
      </c>
      <c r="D43" s="692">
        <v>34088370</v>
      </c>
      <c r="E43" s="692">
        <v>11595700</v>
      </c>
    </row>
    <row r="44" spans="2:5" x14ac:dyDescent="0.3">
      <c r="B44" s="678"/>
      <c r="C44" s="679" t="s">
        <v>355</v>
      </c>
      <c r="D44" s="689">
        <v>230000</v>
      </c>
      <c r="E44" s="689">
        <v>63000</v>
      </c>
    </row>
    <row r="45" spans="2:5" x14ac:dyDescent="0.3">
      <c r="B45" s="678"/>
      <c r="C45" s="679" t="s">
        <v>356</v>
      </c>
      <c r="D45" s="689">
        <v>0</v>
      </c>
      <c r="E45" s="689">
        <v>0</v>
      </c>
    </row>
    <row r="46" spans="2:5" x14ac:dyDescent="0.3">
      <c r="B46" s="678"/>
      <c r="C46" s="679" t="s">
        <v>357</v>
      </c>
      <c r="D46" s="689">
        <v>243000</v>
      </c>
      <c r="E46" s="689">
        <v>219000</v>
      </c>
    </row>
    <row r="47" spans="2:5" x14ac:dyDescent="0.3">
      <c r="B47" s="678"/>
      <c r="C47" s="679" t="s">
        <v>358</v>
      </c>
      <c r="D47" s="689">
        <v>0</v>
      </c>
      <c r="E47" s="689">
        <v>150000</v>
      </c>
    </row>
    <row r="48" spans="2:5" ht="12.9" customHeight="1" x14ac:dyDescent="0.3">
      <c r="B48" s="678"/>
      <c r="C48" s="679" t="s">
        <v>359</v>
      </c>
      <c r="D48" s="689">
        <v>0</v>
      </c>
      <c r="E48" s="689">
        <v>300000</v>
      </c>
    </row>
    <row r="49" spans="2:5" ht="12.6" customHeight="1" x14ac:dyDescent="0.3">
      <c r="B49" s="678"/>
      <c r="C49" s="679" t="s">
        <v>360</v>
      </c>
      <c r="D49" s="689">
        <v>0</v>
      </c>
      <c r="E49" s="689">
        <v>0</v>
      </c>
    </row>
    <row r="50" spans="2:5" ht="19.5" customHeight="1" x14ac:dyDescent="0.3">
      <c r="B50" s="678"/>
      <c r="C50" s="679" t="s">
        <v>361</v>
      </c>
      <c r="D50" s="689">
        <v>0</v>
      </c>
      <c r="E50" s="689">
        <v>0</v>
      </c>
    </row>
    <row r="51" spans="2:5" x14ac:dyDescent="0.3">
      <c r="B51" s="678"/>
      <c r="C51" s="679" t="s">
        <v>362</v>
      </c>
      <c r="D51" s="689">
        <v>0</v>
      </c>
      <c r="E51" s="689">
        <v>0</v>
      </c>
    </row>
    <row r="52" spans="2:5" x14ac:dyDescent="0.3">
      <c r="B52" s="678"/>
      <c r="C52" s="679" t="s">
        <v>363</v>
      </c>
      <c r="D52" s="689">
        <v>0</v>
      </c>
      <c r="E52" s="689">
        <v>0</v>
      </c>
    </row>
    <row r="53" spans="2:5" x14ac:dyDescent="0.3">
      <c r="B53" s="678"/>
      <c r="C53" s="679" t="s">
        <v>364</v>
      </c>
      <c r="D53" s="689">
        <v>0</v>
      </c>
      <c r="E53" s="689">
        <v>0</v>
      </c>
    </row>
    <row r="54" spans="2:5" x14ac:dyDescent="0.3">
      <c r="B54" s="678"/>
      <c r="C54" s="679" t="s">
        <v>365</v>
      </c>
      <c r="D54" s="689">
        <v>0</v>
      </c>
      <c r="E54" s="689">
        <v>0</v>
      </c>
    </row>
    <row r="55" spans="2:5" x14ac:dyDescent="0.3">
      <c r="B55" s="678"/>
      <c r="C55" s="679" t="s">
        <v>366</v>
      </c>
      <c r="D55" s="692">
        <v>1192930</v>
      </c>
      <c r="E55" s="689">
        <v>30000</v>
      </c>
    </row>
    <row r="56" spans="2:5" x14ac:dyDescent="0.3">
      <c r="B56" s="678">
        <v>3000</v>
      </c>
      <c r="C56" s="680" t="s">
        <v>367</v>
      </c>
      <c r="D56" s="690">
        <v>0</v>
      </c>
      <c r="E56" s="690">
        <v>0</v>
      </c>
    </row>
    <row r="57" spans="2:5" x14ac:dyDescent="0.3">
      <c r="B57" s="678"/>
      <c r="C57" s="679" t="s">
        <v>368</v>
      </c>
      <c r="D57" s="689">
        <v>0</v>
      </c>
      <c r="E57" s="689">
        <v>0</v>
      </c>
    </row>
    <row r="58" spans="2:5" x14ac:dyDescent="0.3">
      <c r="B58" s="678"/>
      <c r="C58" s="679" t="s">
        <v>369</v>
      </c>
      <c r="D58" s="689">
        <v>0</v>
      </c>
      <c r="E58" s="689">
        <v>0</v>
      </c>
    </row>
    <row r="59" spans="2:5" x14ac:dyDescent="0.3">
      <c r="B59" s="678"/>
      <c r="C59" s="679" t="s">
        <v>370</v>
      </c>
      <c r="D59" s="689">
        <v>0</v>
      </c>
      <c r="E59" s="689">
        <v>0</v>
      </c>
    </row>
    <row r="60" spans="2:5" x14ac:dyDescent="0.3">
      <c r="B60" s="678"/>
      <c r="C60" s="679" t="s">
        <v>371</v>
      </c>
      <c r="D60" s="689">
        <v>0</v>
      </c>
      <c r="E60" s="689">
        <v>0</v>
      </c>
    </row>
    <row r="61" spans="2:5" x14ac:dyDescent="0.3">
      <c r="B61" s="678"/>
      <c r="C61" s="679" t="s">
        <v>372</v>
      </c>
      <c r="D61" s="689">
        <v>0</v>
      </c>
      <c r="E61" s="689">
        <v>0</v>
      </c>
    </row>
    <row r="62" spans="2:5" x14ac:dyDescent="0.3">
      <c r="B62" s="678"/>
      <c r="C62" s="679" t="s">
        <v>373</v>
      </c>
      <c r="D62" s="689">
        <v>390000</v>
      </c>
      <c r="E62" s="689">
        <v>50000</v>
      </c>
    </row>
    <row r="63" spans="2:5" x14ac:dyDescent="0.3">
      <c r="B63" s="678"/>
      <c r="C63" s="679" t="s">
        <v>374</v>
      </c>
      <c r="D63" s="689">
        <v>0</v>
      </c>
      <c r="E63" s="689">
        <v>0</v>
      </c>
    </row>
    <row r="64" spans="2:5" x14ac:dyDescent="0.3">
      <c r="B64" s="678"/>
      <c r="C64" s="679" t="s">
        <v>375</v>
      </c>
      <c r="D64" s="689">
        <v>76600</v>
      </c>
      <c r="E64" s="689">
        <v>0</v>
      </c>
    </row>
    <row r="65" spans="2:5" x14ac:dyDescent="0.3">
      <c r="B65" s="678"/>
      <c r="C65" s="679" t="s">
        <v>376</v>
      </c>
      <c r="D65" s="689">
        <v>0</v>
      </c>
      <c r="E65" s="689">
        <v>0</v>
      </c>
    </row>
    <row r="66" spans="2:5" x14ac:dyDescent="0.3">
      <c r="B66" s="678"/>
      <c r="C66" s="679" t="s">
        <v>377</v>
      </c>
      <c r="D66" s="689">
        <v>0</v>
      </c>
      <c r="E66" s="689">
        <v>0</v>
      </c>
    </row>
    <row r="67" spans="2:5" x14ac:dyDescent="0.3">
      <c r="B67" s="678"/>
      <c r="C67" s="679" t="s">
        <v>378</v>
      </c>
      <c r="D67" s="689">
        <v>0</v>
      </c>
      <c r="E67" s="689">
        <v>25000</v>
      </c>
    </row>
    <row r="68" spans="2:5" x14ac:dyDescent="0.3">
      <c r="B68" s="678"/>
      <c r="C68" s="679" t="s">
        <v>379</v>
      </c>
      <c r="D68" s="689">
        <v>0</v>
      </c>
      <c r="E68" s="689">
        <v>0</v>
      </c>
    </row>
    <row r="69" spans="2:5" x14ac:dyDescent="0.3">
      <c r="B69" s="678"/>
      <c r="C69" s="679" t="s">
        <v>380</v>
      </c>
      <c r="D69" s="689">
        <v>0</v>
      </c>
      <c r="E69" s="689">
        <v>0</v>
      </c>
    </row>
    <row r="70" spans="2:5" x14ac:dyDescent="0.3">
      <c r="B70" s="678"/>
      <c r="C70" s="679" t="s">
        <v>381</v>
      </c>
      <c r="D70" s="689">
        <v>0</v>
      </c>
      <c r="E70" s="689">
        <v>0</v>
      </c>
    </row>
    <row r="71" spans="2:5" x14ac:dyDescent="0.3">
      <c r="B71" s="678"/>
      <c r="C71" s="679" t="s">
        <v>382</v>
      </c>
      <c r="D71" s="692">
        <v>2303900</v>
      </c>
      <c r="E71" s="692">
        <v>889000</v>
      </c>
    </row>
    <row r="72" spans="2:5" x14ac:dyDescent="0.3">
      <c r="B72" s="678">
        <v>4000</v>
      </c>
      <c r="C72" s="680" t="s">
        <v>383</v>
      </c>
      <c r="D72" s="689">
        <v>0</v>
      </c>
      <c r="E72" s="689">
        <v>0</v>
      </c>
    </row>
    <row r="73" spans="2:5" x14ac:dyDescent="0.3">
      <c r="B73" s="678"/>
      <c r="C73" s="679" t="s">
        <v>384</v>
      </c>
      <c r="D73" s="689">
        <v>0</v>
      </c>
      <c r="E73" s="689">
        <v>0</v>
      </c>
    </row>
    <row r="74" spans="2:5" x14ac:dyDescent="0.3">
      <c r="B74" s="678"/>
      <c r="C74" s="679" t="s">
        <v>385</v>
      </c>
      <c r="D74" s="689">
        <v>129000</v>
      </c>
      <c r="E74" s="689">
        <v>0</v>
      </c>
    </row>
    <row r="75" spans="2:5" x14ac:dyDescent="0.3">
      <c r="B75" s="678"/>
      <c r="C75" s="679" t="s">
        <v>386</v>
      </c>
      <c r="D75" s="689">
        <v>0</v>
      </c>
      <c r="E75" s="689">
        <v>0</v>
      </c>
    </row>
    <row r="76" spans="2:5" x14ac:dyDescent="0.3">
      <c r="B76" s="678"/>
      <c r="C76" s="679" t="s">
        <v>387</v>
      </c>
      <c r="D76" s="689">
        <v>882000</v>
      </c>
      <c r="E76" s="689">
        <v>296000</v>
      </c>
    </row>
    <row r="77" spans="2:5" x14ac:dyDescent="0.3">
      <c r="B77" s="678">
        <v>5000</v>
      </c>
      <c r="C77" s="680" t="s">
        <v>388</v>
      </c>
      <c r="D77" s="689">
        <v>0</v>
      </c>
      <c r="E77" s="689">
        <v>0</v>
      </c>
    </row>
    <row r="78" spans="2:5" x14ac:dyDescent="0.3">
      <c r="B78" s="678"/>
      <c r="C78" s="679" t="s">
        <v>389</v>
      </c>
      <c r="D78" s="689">
        <v>0</v>
      </c>
      <c r="E78" s="689">
        <v>0</v>
      </c>
    </row>
    <row r="79" spans="2:5" x14ac:dyDescent="0.3">
      <c r="B79" s="678"/>
      <c r="C79" s="679" t="s">
        <v>390</v>
      </c>
      <c r="D79" s="689">
        <v>0</v>
      </c>
      <c r="E79" s="689">
        <v>0</v>
      </c>
    </row>
    <row r="80" spans="2:5" x14ac:dyDescent="0.3">
      <c r="B80" s="678"/>
      <c r="C80" s="679" t="s">
        <v>391</v>
      </c>
      <c r="D80" s="692">
        <v>10449500</v>
      </c>
      <c r="E80" s="692">
        <v>4255000</v>
      </c>
    </row>
    <row r="81" spans="2:5" x14ac:dyDescent="0.3">
      <c r="B81" s="678">
        <v>6000</v>
      </c>
      <c r="C81" s="680" t="s">
        <v>392</v>
      </c>
      <c r="D81" s="689">
        <v>0</v>
      </c>
      <c r="E81" s="689">
        <v>0</v>
      </c>
    </row>
    <row r="82" spans="2:5" x14ac:dyDescent="0.3">
      <c r="B82" s="678"/>
      <c r="C82" s="679" t="s">
        <v>393</v>
      </c>
      <c r="D82" s="689">
        <v>0</v>
      </c>
      <c r="E82" s="689">
        <v>0</v>
      </c>
    </row>
    <row r="83" spans="2:5" x14ac:dyDescent="0.3">
      <c r="B83" s="678"/>
      <c r="C83" s="679" t="s">
        <v>394</v>
      </c>
      <c r="D83" s="689">
        <v>300000</v>
      </c>
      <c r="E83" s="689">
        <v>0</v>
      </c>
    </row>
    <row r="84" spans="2:5" x14ac:dyDescent="0.3">
      <c r="B84" s="678"/>
      <c r="C84" s="679" t="s">
        <v>395</v>
      </c>
      <c r="D84" s="692">
        <v>4603000</v>
      </c>
      <c r="E84" s="692">
        <v>600000</v>
      </c>
    </row>
    <row r="85" spans="2:5" x14ac:dyDescent="0.3">
      <c r="B85" s="678"/>
      <c r="C85" s="679" t="s">
        <v>396</v>
      </c>
      <c r="D85" s="689">
        <v>0</v>
      </c>
      <c r="E85" s="689">
        <v>0</v>
      </c>
    </row>
    <row r="86" spans="2:5" x14ac:dyDescent="0.3">
      <c r="B86" s="678"/>
      <c r="C86" s="679" t="s">
        <v>397</v>
      </c>
      <c r="D86" s="689">
        <v>0</v>
      </c>
      <c r="E86" s="689">
        <v>210000</v>
      </c>
    </row>
    <row r="87" spans="2:5" x14ac:dyDescent="0.3">
      <c r="B87" s="678"/>
      <c r="C87" s="679" t="s">
        <v>398</v>
      </c>
      <c r="D87" s="689">
        <v>150000</v>
      </c>
      <c r="E87" s="689">
        <v>0</v>
      </c>
    </row>
    <row r="88" spans="2:5" x14ac:dyDescent="0.3">
      <c r="B88" s="678"/>
      <c r="C88" s="679" t="s">
        <v>399</v>
      </c>
      <c r="D88" s="689">
        <v>0</v>
      </c>
      <c r="E88" s="689">
        <v>0</v>
      </c>
    </row>
    <row r="89" spans="2:5" x14ac:dyDescent="0.3">
      <c r="B89" s="678"/>
      <c r="C89" s="679" t="s">
        <v>400</v>
      </c>
      <c r="D89" s="689">
        <v>45000</v>
      </c>
      <c r="E89" s="689">
        <v>0</v>
      </c>
    </row>
    <row r="90" spans="2:5" x14ac:dyDescent="0.3">
      <c r="B90" s="678">
        <v>7000</v>
      </c>
      <c r="C90" s="680" t="s">
        <v>401</v>
      </c>
      <c r="D90" s="689">
        <v>0</v>
      </c>
      <c r="E90" s="689">
        <v>0</v>
      </c>
    </row>
    <row r="91" spans="2:5" x14ac:dyDescent="0.3">
      <c r="B91" s="678"/>
      <c r="C91" s="679" t="s">
        <v>402</v>
      </c>
      <c r="D91" s="689">
        <v>0</v>
      </c>
      <c r="E91" s="689">
        <v>0</v>
      </c>
    </row>
    <row r="92" spans="2:5" x14ac:dyDescent="0.3">
      <c r="B92" s="678"/>
      <c r="C92" s="679" t="s">
        <v>403</v>
      </c>
      <c r="D92" s="689">
        <v>0</v>
      </c>
      <c r="E92" s="689">
        <v>0</v>
      </c>
    </row>
    <row r="93" spans="2:5" x14ac:dyDescent="0.3">
      <c r="B93" s="678"/>
      <c r="C93" s="679" t="s">
        <v>404</v>
      </c>
      <c r="D93" s="689">
        <v>0</v>
      </c>
      <c r="E93" s="689">
        <v>0</v>
      </c>
    </row>
    <row r="94" spans="2:5" x14ac:dyDescent="0.3">
      <c r="B94" s="678"/>
      <c r="C94" s="679" t="s">
        <v>405</v>
      </c>
      <c r="D94" s="689">
        <v>0</v>
      </c>
      <c r="E94" s="689">
        <v>0</v>
      </c>
    </row>
    <row r="95" spans="2:5" x14ac:dyDescent="0.3">
      <c r="B95" s="678"/>
      <c r="C95" s="679" t="s">
        <v>406</v>
      </c>
      <c r="D95" s="689">
        <v>0</v>
      </c>
      <c r="E95" s="689">
        <v>0</v>
      </c>
    </row>
    <row r="96" spans="2:5" ht="34.5" customHeight="1" x14ac:dyDescent="0.3">
      <c r="B96" s="678"/>
      <c r="C96" s="681" t="s">
        <v>407</v>
      </c>
      <c r="D96" s="689">
        <v>0</v>
      </c>
      <c r="E96" s="689">
        <v>0</v>
      </c>
    </row>
    <row r="97" spans="2:5" x14ac:dyDescent="0.3">
      <c r="B97" s="678"/>
      <c r="C97" s="679" t="s">
        <v>408</v>
      </c>
      <c r="D97" s="689">
        <v>0</v>
      </c>
      <c r="E97" s="689">
        <v>0</v>
      </c>
    </row>
    <row r="98" spans="2:5" x14ac:dyDescent="0.3">
      <c r="B98" s="678"/>
      <c r="C98" s="679" t="s">
        <v>409</v>
      </c>
      <c r="D98" s="689">
        <v>0</v>
      </c>
      <c r="E98" s="689">
        <v>0</v>
      </c>
    </row>
    <row r="99" spans="2:5" x14ac:dyDescent="0.3">
      <c r="B99" s="678"/>
      <c r="C99" s="679" t="s">
        <v>410</v>
      </c>
      <c r="D99" s="689">
        <v>0</v>
      </c>
      <c r="E99" s="689">
        <v>0</v>
      </c>
    </row>
    <row r="100" spans="2:5" x14ac:dyDescent="0.3">
      <c r="B100" s="678"/>
      <c r="C100" s="679" t="s">
        <v>411</v>
      </c>
      <c r="D100" s="689">
        <v>0</v>
      </c>
      <c r="E100" s="689">
        <v>0</v>
      </c>
    </row>
    <row r="101" spans="2:5" x14ac:dyDescent="0.3">
      <c r="B101" s="678"/>
      <c r="C101" s="679" t="s">
        <v>412</v>
      </c>
      <c r="D101" s="689">
        <v>0</v>
      </c>
      <c r="E101" s="689">
        <v>32000</v>
      </c>
    </row>
    <row r="102" spans="2:5" x14ac:dyDescent="0.3">
      <c r="B102" s="678"/>
      <c r="C102" s="679" t="s">
        <v>413</v>
      </c>
      <c r="D102" s="692">
        <v>401000</v>
      </c>
      <c r="E102" s="692">
        <v>162000</v>
      </c>
    </row>
    <row r="103" spans="2:5" x14ac:dyDescent="0.3">
      <c r="B103" s="678">
        <v>8000</v>
      </c>
      <c r="C103" s="680" t="s">
        <v>414</v>
      </c>
      <c r="D103" s="689">
        <v>0</v>
      </c>
      <c r="E103" s="689">
        <v>0</v>
      </c>
    </row>
    <row r="104" spans="2:5" x14ac:dyDescent="0.3">
      <c r="B104" s="678"/>
      <c r="C104" s="679" t="s">
        <v>415</v>
      </c>
      <c r="D104" s="689">
        <v>0</v>
      </c>
      <c r="E104" s="689">
        <v>0</v>
      </c>
    </row>
    <row r="105" spans="2:5" ht="43.2" x14ac:dyDescent="0.3">
      <c r="B105" s="678"/>
      <c r="C105" s="681" t="s">
        <v>416</v>
      </c>
      <c r="D105" s="689">
        <v>173900</v>
      </c>
      <c r="E105" s="689">
        <v>43000</v>
      </c>
    </row>
    <row r="106" spans="2:5" x14ac:dyDescent="0.3">
      <c r="B106" s="678"/>
      <c r="C106" s="679" t="s">
        <v>417</v>
      </c>
      <c r="D106" s="689">
        <v>0</v>
      </c>
      <c r="E106" s="689">
        <v>0</v>
      </c>
    </row>
    <row r="107" spans="2:5" x14ac:dyDescent="0.3">
      <c r="B107" s="678"/>
      <c r="C107" s="679" t="s">
        <v>418</v>
      </c>
      <c r="D107" s="689">
        <v>0</v>
      </c>
      <c r="E107" s="689">
        <v>12000</v>
      </c>
    </row>
    <row r="108" spans="2:5" x14ac:dyDescent="0.3">
      <c r="B108" s="678"/>
      <c r="C108" s="679" t="s">
        <v>419</v>
      </c>
      <c r="D108" s="689">
        <v>0</v>
      </c>
      <c r="E108" s="689">
        <v>0</v>
      </c>
    </row>
    <row r="109" spans="2:5" ht="43.2" x14ac:dyDescent="0.3">
      <c r="B109" s="678"/>
      <c r="C109" s="681" t="s">
        <v>420</v>
      </c>
      <c r="D109" s="689">
        <v>10000</v>
      </c>
      <c r="E109" s="689">
        <v>0</v>
      </c>
    </row>
    <row r="110" spans="2:5" x14ac:dyDescent="0.3">
      <c r="B110" s="678"/>
      <c r="C110" s="679" t="s">
        <v>421</v>
      </c>
      <c r="D110" s="689">
        <v>0</v>
      </c>
      <c r="E110" s="689">
        <v>0</v>
      </c>
    </row>
    <row r="111" spans="2:5" x14ac:dyDescent="0.3">
      <c r="B111" s="678"/>
      <c r="C111" s="679" t="s">
        <v>422</v>
      </c>
      <c r="D111" s="689">
        <v>0</v>
      </c>
      <c r="E111" s="689">
        <v>0</v>
      </c>
    </row>
    <row r="112" spans="2:5" ht="15" thickBot="1" x14ac:dyDescent="0.35">
      <c r="B112" s="682"/>
      <c r="C112" s="683" t="s">
        <v>423</v>
      </c>
      <c r="D112" s="667">
        <f>SUM(D11:D111)</f>
        <v>72220697</v>
      </c>
      <c r="E112" s="667">
        <f>SUM(E11:E111)</f>
        <v>21669675</v>
      </c>
    </row>
    <row r="113" spans="4:4" ht="15" thickTop="1" x14ac:dyDescent="0.3">
      <c r="D113" s="691"/>
    </row>
    <row r="114" spans="4:4" x14ac:dyDescent="0.3">
      <c r="D114" s="691">
        <f>D112-E112</f>
        <v>50551022</v>
      </c>
    </row>
    <row r="115" spans="4:4" x14ac:dyDescent="0.3">
      <c r="D115" s="691"/>
    </row>
    <row r="116" spans="4:4" x14ac:dyDescent="0.3">
      <c r="D116" s="691"/>
    </row>
    <row r="117" spans="4:4" x14ac:dyDescent="0.3">
      <c r="D117" s="691"/>
    </row>
    <row r="118" spans="4:4" x14ac:dyDescent="0.3">
      <c r="D118" s="691"/>
    </row>
    <row r="119" spans="4:4" x14ac:dyDescent="0.3">
      <c r="D119" s="691"/>
    </row>
    <row r="120" spans="4:4" x14ac:dyDescent="0.3">
      <c r="D120" s="691"/>
    </row>
    <row r="121" spans="4:4" x14ac:dyDescent="0.3">
      <c r="D121" s="691"/>
    </row>
    <row r="122" spans="4:4" x14ac:dyDescent="0.3">
      <c r="D122" s="691"/>
    </row>
    <row r="123" spans="4:4" x14ac:dyDescent="0.3">
      <c r="D123" s="691"/>
    </row>
    <row r="124" spans="4:4" x14ac:dyDescent="0.3">
      <c r="D124" s="691"/>
    </row>
    <row r="125" spans="4:4" x14ac:dyDescent="0.3">
      <c r="D125" s="691"/>
    </row>
    <row r="126" spans="4:4" x14ac:dyDescent="0.3">
      <c r="D126" s="691"/>
    </row>
    <row r="127" spans="4:4" x14ac:dyDescent="0.3">
      <c r="D127" s="691"/>
    </row>
    <row r="128" spans="4:4" x14ac:dyDescent="0.3">
      <c r="D128" s="691"/>
    </row>
    <row r="129" spans="4:4" x14ac:dyDescent="0.3">
      <c r="D129" s="691"/>
    </row>
    <row r="130" spans="4:4" x14ac:dyDescent="0.3">
      <c r="D130" s="691"/>
    </row>
    <row r="131" spans="4:4" x14ac:dyDescent="0.3">
      <c r="D131" s="691"/>
    </row>
    <row r="132" spans="4:4" x14ac:dyDescent="0.3">
      <c r="D132" s="691"/>
    </row>
    <row r="133" spans="4:4" x14ac:dyDescent="0.3">
      <c r="D133" s="691"/>
    </row>
    <row r="134" spans="4:4" x14ac:dyDescent="0.3">
      <c r="D134" s="691"/>
    </row>
    <row r="135" spans="4:4" x14ac:dyDescent="0.3">
      <c r="D135" s="691"/>
    </row>
    <row r="136" spans="4:4" x14ac:dyDescent="0.3">
      <c r="D136" s="691"/>
    </row>
    <row r="137" spans="4:4" x14ac:dyDescent="0.3">
      <c r="D137" s="691"/>
    </row>
    <row r="138" spans="4:4" x14ac:dyDescent="0.3">
      <c r="D138" s="691"/>
    </row>
    <row r="139" spans="4:4" x14ac:dyDescent="0.3">
      <c r="D139" s="691"/>
    </row>
    <row r="140" spans="4:4" x14ac:dyDescent="0.3">
      <c r="D140" s="691"/>
    </row>
    <row r="141" spans="4:4" x14ac:dyDescent="0.3">
      <c r="D141" s="691"/>
    </row>
    <row r="142" spans="4:4" x14ac:dyDescent="0.3">
      <c r="D142" s="691"/>
    </row>
    <row r="143" spans="4:4" x14ac:dyDescent="0.3">
      <c r="D143" s="691"/>
    </row>
    <row r="144" spans="4:4" x14ac:dyDescent="0.3">
      <c r="D144" s="691"/>
    </row>
    <row r="145" spans="4:4" x14ac:dyDescent="0.3">
      <c r="D145" s="691"/>
    </row>
    <row r="146" spans="4:4" x14ac:dyDescent="0.3">
      <c r="D146" s="691"/>
    </row>
    <row r="147" spans="4:4" x14ac:dyDescent="0.3">
      <c r="D147" s="691"/>
    </row>
    <row r="148" spans="4:4" x14ac:dyDescent="0.3">
      <c r="D148" s="691"/>
    </row>
    <row r="149" spans="4:4" x14ac:dyDescent="0.3">
      <c r="D149" s="691"/>
    </row>
    <row r="150" spans="4:4" x14ac:dyDescent="0.3">
      <c r="D150" s="691"/>
    </row>
    <row r="151" spans="4:4" x14ac:dyDescent="0.3">
      <c r="D151" s="691"/>
    </row>
    <row r="152" spans="4:4" x14ac:dyDescent="0.3">
      <c r="D152" s="691"/>
    </row>
    <row r="153" spans="4:4" x14ac:dyDescent="0.3">
      <c r="D153" s="691"/>
    </row>
    <row r="154" spans="4:4" x14ac:dyDescent="0.3">
      <c r="D154" s="691"/>
    </row>
    <row r="155" spans="4:4" x14ac:dyDescent="0.3">
      <c r="D155" s="691"/>
    </row>
    <row r="156" spans="4:4" x14ac:dyDescent="0.3">
      <c r="D156" s="691"/>
    </row>
    <row r="157" spans="4:4" x14ac:dyDescent="0.3">
      <c r="D157" s="691"/>
    </row>
    <row r="158" spans="4:4" x14ac:dyDescent="0.3">
      <c r="D158" s="691"/>
    </row>
    <row r="159" spans="4:4" x14ac:dyDescent="0.3">
      <c r="D159" s="691"/>
    </row>
    <row r="160" spans="4:4" x14ac:dyDescent="0.3">
      <c r="D160" s="691"/>
    </row>
    <row r="161" spans="4:4" x14ac:dyDescent="0.3">
      <c r="D161" s="691"/>
    </row>
    <row r="162" spans="4:4" x14ac:dyDescent="0.3">
      <c r="D162" s="691"/>
    </row>
    <row r="163" spans="4:4" x14ac:dyDescent="0.3">
      <c r="D163" s="691"/>
    </row>
    <row r="164" spans="4:4" x14ac:dyDescent="0.3">
      <c r="D164" s="691"/>
    </row>
    <row r="165" spans="4:4" x14ac:dyDescent="0.3">
      <c r="D165" s="691"/>
    </row>
    <row r="166" spans="4:4" x14ac:dyDescent="0.3">
      <c r="D166" s="691"/>
    </row>
    <row r="167" spans="4:4" x14ac:dyDescent="0.3">
      <c r="D167" s="691"/>
    </row>
    <row r="168" spans="4:4" x14ac:dyDescent="0.3">
      <c r="D168" s="691"/>
    </row>
    <row r="169" spans="4:4" x14ac:dyDescent="0.3">
      <c r="D169" s="691"/>
    </row>
    <row r="170" spans="4:4" x14ac:dyDescent="0.3">
      <c r="D170" s="691"/>
    </row>
    <row r="171" spans="4:4" x14ac:dyDescent="0.3">
      <c r="D171" s="691"/>
    </row>
    <row r="172" spans="4:4" x14ac:dyDescent="0.3">
      <c r="D172" s="691"/>
    </row>
    <row r="173" spans="4:4" x14ac:dyDescent="0.3">
      <c r="D173" s="691"/>
    </row>
    <row r="174" spans="4:4" x14ac:dyDescent="0.3">
      <c r="D174" s="691"/>
    </row>
    <row r="175" spans="4:4" x14ac:dyDescent="0.3">
      <c r="D175" s="691"/>
    </row>
    <row r="176" spans="4:4" x14ac:dyDescent="0.3">
      <c r="D176" s="691"/>
    </row>
    <row r="177" spans="4:4" x14ac:dyDescent="0.3">
      <c r="D177" s="691"/>
    </row>
    <row r="178" spans="4:4" x14ac:dyDescent="0.3">
      <c r="D178" s="6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60"/>
  <sheetViews>
    <sheetView workbookViewId="0">
      <pane xSplit="2" topLeftCell="C1" activePane="topRight" state="frozen"/>
      <selection activeCell="A4" sqref="A4"/>
      <selection pane="topRight" activeCell="BR16" sqref="BR16"/>
    </sheetView>
  </sheetViews>
  <sheetFormatPr defaultColWidth="9.109375" defaultRowHeight="13.2" x14ac:dyDescent="0.25"/>
  <cols>
    <col min="1" max="1" width="4" style="123" bestFit="1" customWidth="1"/>
    <col min="2" max="2" width="26.44140625" style="123" bestFit="1" customWidth="1"/>
    <col min="3" max="3" width="16" style="123" bestFit="1" customWidth="1"/>
    <col min="4" max="4" width="36.109375" style="123" bestFit="1" customWidth="1"/>
    <col min="5" max="5" width="19.44140625" style="123" bestFit="1" customWidth="1"/>
    <col min="6" max="6" width="34.5546875" style="123" bestFit="1" customWidth="1"/>
    <col min="7" max="7" width="12.5546875" style="123" bestFit="1" customWidth="1"/>
    <col min="8" max="8" width="35.88671875" style="123" bestFit="1" customWidth="1"/>
    <col min="9" max="9" width="21" style="123" bestFit="1" customWidth="1"/>
    <col min="10" max="10" width="35.44140625" style="123" bestFit="1" customWidth="1"/>
    <col min="11" max="11" width="11.109375" style="123" bestFit="1" customWidth="1"/>
    <col min="12" max="12" width="35.88671875" style="123" bestFit="1" customWidth="1"/>
    <col min="13" max="13" width="21" style="123" bestFit="1" customWidth="1"/>
    <col min="14" max="14" width="35.44140625" style="123" bestFit="1" customWidth="1"/>
    <col min="15" max="15" width="11.109375" style="123" bestFit="1" customWidth="1"/>
    <col min="16" max="16" width="35.88671875" style="123" bestFit="1" customWidth="1"/>
    <col min="17" max="17" width="21" style="123" bestFit="1" customWidth="1"/>
    <col min="18" max="18" width="35.44140625" style="123" bestFit="1" customWidth="1"/>
    <col min="19" max="19" width="11.109375" style="123" bestFit="1" customWidth="1"/>
    <col min="20" max="20" width="35.88671875" style="123" bestFit="1" customWidth="1"/>
    <col min="21" max="21" width="21" style="123" bestFit="1" customWidth="1"/>
    <col min="22" max="22" width="35.44140625" style="123" bestFit="1" customWidth="1"/>
    <col min="23" max="23" width="11.109375" style="123" bestFit="1" customWidth="1"/>
    <col min="24" max="24" width="35.88671875" style="123" bestFit="1" customWidth="1"/>
    <col min="25" max="25" width="21" style="123" bestFit="1" customWidth="1"/>
    <col min="26" max="26" width="35.44140625" style="123" bestFit="1" customWidth="1"/>
    <col min="27" max="27" width="11.109375" style="123" bestFit="1" customWidth="1"/>
    <col min="28" max="28" width="35.88671875" style="123" bestFit="1" customWidth="1"/>
    <col min="29" max="29" width="21" style="123" bestFit="1" customWidth="1"/>
    <col min="30" max="30" width="35.44140625" style="123" bestFit="1" customWidth="1"/>
    <col min="31" max="31" width="11.109375" style="123" bestFit="1" customWidth="1"/>
    <col min="32" max="32" width="35.88671875" style="123" bestFit="1" customWidth="1"/>
    <col min="33" max="33" width="21" style="123" bestFit="1" customWidth="1"/>
    <col min="34" max="34" width="35.44140625" style="123" bestFit="1" customWidth="1"/>
    <col min="35" max="35" width="11.109375" style="123" bestFit="1" customWidth="1"/>
    <col min="36" max="36" width="35.88671875" style="123" bestFit="1" customWidth="1"/>
    <col min="37" max="37" width="21" style="123" bestFit="1" customWidth="1"/>
    <col min="38" max="38" width="35.44140625" style="123" bestFit="1" customWidth="1"/>
    <col min="39" max="39" width="11.109375" style="123" bestFit="1" customWidth="1"/>
    <col min="40" max="40" width="35.88671875" style="123" bestFit="1" customWidth="1"/>
    <col min="41" max="41" width="21" style="123" bestFit="1" customWidth="1"/>
    <col min="42" max="42" width="35.44140625" style="123" bestFit="1" customWidth="1"/>
    <col min="43" max="43" width="11.109375" style="123" bestFit="1" customWidth="1"/>
    <col min="44" max="44" width="35.88671875" style="123" bestFit="1" customWidth="1"/>
    <col min="45" max="45" width="21" style="123" bestFit="1" customWidth="1"/>
    <col min="46" max="46" width="35.44140625" style="123" bestFit="1" customWidth="1"/>
    <col min="47" max="47" width="11.109375" style="123" bestFit="1" customWidth="1"/>
    <col min="48" max="48" width="35.88671875" style="123" bestFit="1" customWidth="1"/>
    <col min="49" max="49" width="21" style="123" bestFit="1" customWidth="1"/>
    <col min="50" max="50" width="24.88671875" style="123" bestFit="1" customWidth="1"/>
    <col min="51" max="51" width="9.109375" style="123"/>
    <col min="52" max="52" width="11.109375" style="123" bestFit="1" customWidth="1"/>
    <col min="53" max="53" width="35.88671875" style="123" bestFit="1" customWidth="1"/>
    <col min="54" max="54" width="21" style="123" bestFit="1" customWidth="1"/>
    <col min="55" max="55" width="35.44140625" style="123" bestFit="1" customWidth="1"/>
    <col min="56" max="56" width="11.109375" style="123" bestFit="1" customWidth="1"/>
    <col min="57" max="57" width="35.88671875" style="123" bestFit="1" customWidth="1"/>
    <col min="58" max="58" width="21" style="123" bestFit="1" customWidth="1"/>
    <col min="59" max="59" width="5.5546875" style="123" bestFit="1" customWidth="1"/>
    <col min="60" max="60" width="11.109375" style="123" bestFit="1" customWidth="1"/>
    <col min="61" max="61" width="17" style="123" bestFit="1" customWidth="1"/>
    <col min="62" max="62" width="23.109375" style="123" bestFit="1" customWidth="1"/>
    <col min="63" max="63" width="35.88671875" style="123" bestFit="1" customWidth="1"/>
    <col min="64" max="64" width="6.88671875" style="123" customWidth="1"/>
    <col min="65" max="65" width="21" style="123" customWidth="1"/>
    <col min="66" max="66" width="23.109375" style="123" bestFit="1" customWidth="1"/>
    <col min="67" max="67" width="21.44140625" style="123" customWidth="1"/>
    <col min="68" max="68" width="9.109375" style="123"/>
    <col min="69" max="69" width="12.5546875" style="123" bestFit="1" customWidth="1"/>
    <col min="70" max="70" width="23.109375" style="123" bestFit="1" customWidth="1"/>
    <col min="71" max="71" width="21.5546875" style="123" customWidth="1"/>
    <col min="72" max="16384" width="9.109375" style="123"/>
  </cols>
  <sheetData>
    <row r="1" spans="1:71" x14ac:dyDescent="0.25">
      <c r="A1" s="279"/>
      <c r="B1" s="280" t="s">
        <v>424</v>
      </c>
      <c r="C1" s="279"/>
      <c r="D1" s="279"/>
      <c r="E1" s="279"/>
      <c r="F1" s="279"/>
      <c r="G1" s="279"/>
      <c r="H1" s="279"/>
      <c r="I1" s="279"/>
      <c r="J1" s="279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</row>
    <row r="2" spans="1:71" ht="14.25" customHeight="1" x14ac:dyDescent="0.25">
      <c r="A2" s="281"/>
      <c r="B2" s="712" t="s">
        <v>425</v>
      </c>
      <c r="C2" s="712"/>
      <c r="D2" s="712"/>
      <c r="E2" s="712"/>
      <c r="F2" s="712"/>
      <c r="G2" s="282"/>
      <c r="H2" s="282"/>
      <c r="I2" s="282"/>
      <c r="J2" s="282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</row>
    <row r="3" spans="1:71" ht="14.25" customHeight="1" x14ac:dyDescent="0.25">
      <c r="A3" s="281"/>
      <c r="B3" s="283" t="s">
        <v>426</v>
      </c>
      <c r="C3" s="281"/>
      <c r="D3" s="65"/>
      <c r="E3" s="281"/>
      <c r="F3" s="284" t="s">
        <v>427</v>
      </c>
      <c r="G3" s="285"/>
      <c r="H3" s="285"/>
      <c r="I3" s="285"/>
      <c r="J3" s="28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</row>
    <row r="4" spans="1:71" x14ac:dyDescent="0.25">
      <c r="A4" s="281"/>
      <c r="B4" s="283" t="s">
        <v>428</v>
      </c>
      <c r="C4" s="281"/>
      <c r="D4" s="281"/>
      <c r="E4" s="281"/>
      <c r="F4" s="286">
        <v>2012</v>
      </c>
      <c r="G4" s="287"/>
      <c r="H4" s="287"/>
      <c r="I4" s="287"/>
      <c r="J4" s="287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</row>
    <row r="5" spans="1:71" x14ac:dyDescent="0.25">
      <c r="A5" s="281"/>
      <c r="B5" s="283" t="s">
        <v>429</v>
      </c>
      <c r="C5" s="281"/>
      <c r="D5" s="281"/>
      <c r="E5" s="288"/>
      <c r="F5" s="289" t="s">
        <v>430</v>
      </c>
      <c r="G5" s="290"/>
      <c r="H5" s="290"/>
      <c r="I5" s="290"/>
      <c r="J5" s="290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</row>
    <row r="6" spans="1:71" x14ac:dyDescent="0.25">
      <c r="A6" s="281"/>
      <c r="B6" s="283" t="s">
        <v>431</v>
      </c>
      <c r="C6" s="281"/>
      <c r="D6" s="281"/>
      <c r="E6" s="288"/>
      <c r="F6" s="289" t="s">
        <v>432</v>
      </c>
      <c r="G6" s="290"/>
      <c r="H6" s="290"/>
      <c r="I6" s="290"/>
      <c r="J6" s="290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</row>
    <row r="7" spans="1:71" ht="14.25" customHeight="1" thickBot="1" x14ac:dyDescent="0.3">
      <c r="A7" s="281"/>
      <c r="B7" s="713" t="s">
        <v>433</v>
      </c>
      <c r="C7" s="713"/>
      <c r="D7" s="713"/>
      <c r="E7" s="713"/>
      <c r="F7" s="714"/>
      <c r="G7" s="291"/>
      <c r="H7" s="291"/>
      <c r="I7" s="291"/>
      <c r="J7" s="291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</row>
    <row r="8" spans="1:71" ht="14.25" customHeight="1" x14ac:dyDescent="0.25">
      <c r="A8" s="281"/>
      <c r="B8" s="65"/>
      <c r="C8" s="715">
        <v>41609</v>
      </c>
      <c r="D8" s="716"/>
      <c r="E8" s="716"/>
      <c r="F8" s="716"/>
      <c r="G8" s="717">
        <v>41699</v>
      </c>
      <c r="H8" s="718"/>
      <c r="I8" s="718"/>
      <c r="J8" s="719"/>
      <c r="K8" s="717">
        <v>41791</v>
      </c>
      <c r="L8" s="718"/>
      <c r="M8" s="718"/>
      <c r="N8" s="719"/>
      <c r="O8" s="709">
        <v>41153</v>
      </c>
      <c r="P8" s="720"/>
      <c r="Q8" s="720"/>
      <c r="R8" s="721"/>
      <c r="S8" s="709">
        <v>41244</v>
      </c>
      <c r="T8" s="720"/>
      <c r="U8" s="720"/>
      <c r="V8" s="721"/>
      <c r="W8" s="709">
        <v>41334</v>
      </c>
      <c r="X8" s="720"/>
      <c r="Y8" s="720"/>
      <c r="Z8" s="721"/>
      <c r="AA8" s="709">
        <v>41426</v>
      </c>
      <c r="AB8" s="720"/>
      <c r="AC8" s="720"/>
      <c r="AD8" s="721"/>
      <c r="AE8" s="709">
        <v>41518</v>
      </c>
      <c r="AF8" s="720"/>
      <c r="AG8" s="720"/>
      <c r="AH8" s="721"/>
      <c r="AI8" s="709">
        <v>41609</v>
      </c>
      <c r="AJ8" s="720"/>
      <c r="AK8" s="720"/>
      <c r="AL8" s="721"/>
      <c r="AM8" s="709">
        <v>42064</v>
      </c>
      <c r="AN8" s="710"/>
      <c r="AO8" s="710"/>
      <c r="AP8" s="711"/>
      <c r="AQ8" s="709">
        <v>42156</v>
      </c>
      <c r="AR8" s="710"/>
      <c r="AS8" s="710"/>
      <c r="AT8" s="711"/>
      <c r="AU8" s="292"/>
      <c r="AV8" s="293">
        <v>42262</v>
      </c>
      <c r="AW8" s="57"/>
      <c r="AX8" s="294"/>
      <c r="BI8" s="197">
        <v>42810</v>
      </c>
      <c r="BM8" s="197">
        <v>42932</v>
      </c>
      <c r="BQ8" s="197">
        <v>42994</v>
      </c>
    </row>
    <row r="9" spans="1:71" ht="14.25" customHeight="1" x14ac:dyDescent="0.25">
      <c r="A9" s="281"/>
      <c r="B9" s="281"/>
      <c r="C9" s="283" t="s">
        <v>434</v>
      </c>
      <c r="D9" s="283" t="s">
        <v>435</v>
      </c>
      <c r="E9" s="283" t="s">
        <v>436</v>
      </c>
      <c r="F9" s="295" t="s">
        <v>437</v>
      </c>
      <c r="G9" s="296" t="s">
        <v>434</v>
      </c>
      <c r="H9" s="283" t="s">
        <v>435</v>
      </c>
      <c r="I9" s="283" t="s">
        <v>436</v>
      </c>
      <c r="J9" s="297" t="s">
        <v>437</v>
      </c>
      <c r="K9" s="296" t="s">
        <v>434</v>
      </c>
      <c r="L9" s="283" t="s">
        <v>435</v>
      </c>
      <c r="M9" s="283" t="s">
        <v>436</v>
      </c>
      <c r="N9" s="297" t="s">
        <v>437</v>
      </c>
      <c r="O9" s="296" t="s">
        <v>434</v>
      </c>
      <c r="P9" s="283" t="s">
        <v>435</v>
      </c>
      <c r="Q9" s="283" t="s">
        <v>436</v>
      </c>
      <c r="R9" s="297" t="s">
        <v>437</v>
      </c>
      <c r="S9" s="296" t="s">
        <v>434</v>
      </c>
      <c r="T9" s="283" t="s">
        <v>435</v>
      </c>
      <c r="U9" s="283" t="s">
        <v>436</v>
      </c>
      <c r="V9" s="297" t="s">
        <v>437</v>
      </c>
      <c r="W9" s="296" t="s">
        <v>434</v>
      </c>
      <c r="X9" s="283" t="s">
        <v>435</v>
      </c>
      <c r="Y9" s="283" t="s">
        <v>436</v>
      </c>
      <c r="Z9" s="297" t="s">
        <v>437</v>
      </c>
      <c r="AA9" s="296" t="s">
        <v>434</v>
      </c>
      <c r="AB9" s="283" t="s">
        <v>435</v>
      </c>
      <c r="AC9" s="283" t="s">
        <v>436</v>
      </c>
      <c r="AD9" s="297" t="s">
        <v>437</v>
      </c>
      <c r="AE9" s="296" t="s">
        <v>434</v>
      </c>
      <c r="AF9" s="283" t="s">
        <v>435</v>
      </c>
      <c r="AG9" s="283" t="s">
        <v>436</v>
      </c>
      <c r="AH9" s="297" t="s">
        <v>437</v>
      </c>
      <c r="AI9" s="296" t="s">
        <v>434</v>
      </c>
      <c r="AJ9" s="283" t="s">
        <v>435</v>
      </c>
      <c r="AK9" s="283" t="s">
        <v>436</v>
      </c>
      <c r="AL9" s="297" t="s">
        <v>437</v>
      </c>
      <c r="AM9" s="296" t="s">
        <v>434</v>
      </c>
      <c r="AN9" s="283" t="s">
        <v>435</v>
      </c>
      <c r="AO9" s="283" t="s">
        <v>436</v>
      </c>
      <c r="AP9" s="297" t="s">
        <v>437</v>
      </c>
      <c r="AQ9" s="296" t="s">
        <v>434</v>
      </c>
      <c r="AR9" s="283" t="s">
        <v>435</v>
      </c>
      <c r="AS9" s="283" t="s">
        <v>436</v>
      </c>
      <c r="AT9" s="297" t="s">
        <v>437</v>
      </c>
      <c r="AU9" s="296" t="s">
        <v>434</v>
      </c>
      <c r="AV9" s="283" t="s">
        <v>435</v>
      </c>
      <c r="AW9" s="283" t="s">
        <v>436</v>
      </c>
      <c r="AX9" s="297" t="s">
        <v>437</v>
      </c>
      <c r="BG9" s="353" t="s">
        <v>434</v>
      </c>
      <c r="BH9" s="359"/>
      <c r="BI9" s="353" t="s">
        <v>435</v>
      </c>
      <c r="BJ9" s="353" t="s">
        <v>436</v>
      </c>
      <c r="BK9" s="353" t="s">
        <v>437</v>
      </c>
      <c r="BL9" s="363" t="s">
        <v>434</v>
      </c>
      <c r="BM9" s="363" t="s">
        <v>435</v>
      </c>
      <c r="BN9" s="364" t="s">
        <v>436</v>
      </c>
      <c r="BO9" s="364" t="s">
        <v>437</v>
      </c>
      <c r="BP9" s="363" t="s">
        <v>434</v>
      </c>
      <c r="BQ9" s="363" t="s">
        <v>435</v>
      </c>
      <c r="BR9" s="364" t="s">
        <v>436</v>
      </c>
      <c r="BS9" s="364" t="s">
        <v>437</v>
      </c>
    </row>
    <row r="10" spans="1:71" ht="12.75" customHeight="1" x14ac:dyDescent="0.25">
      <c r="A10" s="298" t="s">
        <v>438</v>
      </c>
      <c r="B10" s="299" t="s">
        <v>439</v>
      </c>
      <c r="C10" s="300" t="s">
        <v>440</v>
      </c>
      <c r="D10" s="300" t="s">
        <v>441</v>
      </c>
      <c r="E10" s="301" t="s">
        <v>442</v>
      </c>
      <c r="F10" s="302" t="s">
        <v>443</v>
      </c>
      <c r="G10" s="303" t="s">
        <v>440</v>
      </c>
      <c r="H10" s="299" t="s">
        <v>441</v>
      </c>
      <c r="I10" s="299" t="s">
        <v>442</v>
      </c>
      <c r="J10" s="304" t="s">
        <v>443</v>
      </c>
      <c r="K10" s="303" t="s">
        <v>440</v>
      </c>
      <c r="L10" s="299" t="s">
        <v>441</v>
      </c>
      <c r="M10" s="299" t="s">
        <v>442</v>
      </c>
      <c r="N10" s="304" t="s">
        <v>443</v>
      </c>
      <c r="O10" s="303" t="s">
        <v>440</v>
      </c>
      <c r="P10" s="299" t="s">
        <v>441</v>
      </c>
      <c r="Q10" s="299" t="s">
        <v>442</v>
      </c>
      <c r="R10" s="304" t="s">
        <v>443</v>
      </c>
      <c r="S10" s="303" t="s">
        <v>440</v>
      </c>
      <c r="T10" s="299" t="s">
        <v>441</v>
      </c>
      <c r="U10" s="299" t="s">
        <v>442</v>
      </c>
      <c r="V10" s="304" t="s">
        <v>443</v>
      </c>
      <c r="W10" s="303" t="s">
        <v>440</v>
      </c>
      <c r="X10" s="299" t="s">
        <v>441</v>
      </c>
      <c r="Y10" s="299" t="s">
        <v>442</v>
      </c>
      <c r="Z10" s="304" t="s">
        <v>443</v>
      </c>
      <c r="AA10" s="303" t="s">
        <v>440</v>
      </c>
      <c r="AB10" s="299" t="s">
        <v>441</v>
      </c>
      <c r="AC10" s="299" t="s">
        <v>442</v>
      </c>
      <c r="AD10" s="304" t="s">
        <v>443</v>
      </c>
      <c r="AE10" s="303" t="s">
        <v>440</v>
      </c>
      <c r="AF10" s="299" t="s">
        <v>441</v>
      </c>
      <c r="AG10" s="299" t="s">
        <v>442</v>
      </c>
      <c r="AH10" s="304" t="s">
        <v>443</v>
      </c>
      <c r="AI10" s="303" t="s">
        <v>440</v>
      </c>
      <c r="AJ10" s="299" t="s">
        <v>441</v>
      </c>
      <c r="AK10" s="299" t="s">
        <v>442</v>
      </c>
      <c r="AL10" s="304" t="s">
        <v>443</v>
      </c>
      <c r="AM10" s="303" t="s">
        <v>440</v>
      </c>
      <c r="AN10" s="299" t="s">
        <v>441</v>
      </c>
      <c r="AO10" s="299" t="s">
        <v>442</v>
      </c>
      <c r="AP10" s="304" t="s">
        <v>443</v>
      </c>
      <c r="AQ10" s="303" t="s">
        <v>440</v>
      </c>
      <c r="AR10" s="299" t="s">
        <v>441</v>
      </c>
      <c r="AS10" s="299" t="s">
        <v>442</v>
      </c>
      <c r="AT10" s="304" t="s">
        <v>443</v>
      </c>
      <c r="AU10" s="303" t="s">
        <v>440</v>
      </c>
      <c r="AV10" s="299" t="s">
        <v>441</v>
      </c>
      <c r="AW10" s="299" t="s">
        <v>442</v>
      </c>
      <c r="AX10" s="304" t="s">
        <v>444</v>
      </c>
      <c r="BG10" s="353" t="s">
        <v>445</v>
      </c>
      <c r="BH10" s="359"/>
      <c r="BI10" s="353" t="s">
        <v>446</v>
      </c>
      <c r="BJ10" s="353" t="s">
        <v>447</v>
      </c>
      <c r="BK10" s="353" t="s">
        <v>448</v>
      </c>
      <c r="BL10" s="363" t="s">
        <v>445</v>
      </c>
      <c r="BM10" s="363" t="s">
        <v>446</v>
      </c>
      <c r="BN10" s="364" t="s">
        <v>447</v>
      </c>
      <c r="BO10" s="353" t="s">
        <v>448</v>
      </c>
      <c r="BP10" s="363" t="s">
        <v>445</v>
      </c>
      <c r="BQ10" s="363" t="s">
        <v>446</v>
      </c>
      <c r="BR10" s="364" t="s">
        <v>447</v>
      </c>
      <c r="BS10" s="364" t="s">
        <v>448</v>
      </c>
    </row>
    <row r="11" spans="1:71" ht="12.75" customHeight="1" x14ac:dyDescent="0.25">
      <c r="A11" s="281">
        <v>1</v>
      </c>
      <c r="B11" s="281" t="s">
        <v>449</v>
      </c>
      <c r="C11" s="305">
        <f>[6]form4!$Q$13</f>
        <v>749</v>
      </c>
      <c r="D11" s="305">
        <f>[6]form4!$U$13</f>
        <v>44797019.82</v>
      </c>
      <c r="E11" s="306">
        <v>0.01</v>
      </c>
      <c r="F11" s="307">
        <f>D11*E11</f>
        <v>447970.19819999998</v>
      </c>
      <c r="G11" s="308"/>
      <c r="H11" s="309"/>
      <c r="I11" s="310">
        <v>0.01</v>
      </c>
      <c r="J11" s="311">
        <f>I11*H11</f>
        <v>0</v>
      </c>
      <c r="K11" s="312">
        <v>3909</v>
      </c>
      <c r="L11" s="305">
        <v>689201569.78999996</v>
      </c>
      <c r="M11" s="306">
        <v>0.01</v>
      </c>
      <c r="N11" s="313">
        <f>L11*M11</f>
        <v>6892015.6979</v>
      </c>
      <c r="O11" s="312">
        <v>4249</v>
      </c>
      <c r="P11" s="305">
        <v>714912714.20000005</v>
      </c>
      <c r="Q11" s="306">
        <v>0.01</v>
      </c>
      <c r="R11" s="313">
        <f>P11*Q11</f>
        <v>7149127.1420000009</v>
      </c>
      <c r="S11" s="314">
        <v>4249</v>
      </c>
      <c r="T11" s="315">
        <v>686802597.89999998</v>
      </c>
      <c r="U11" s="306">
        <v>0.01</v>
      </c>
      <c r="V11" s="313">
        <f>T11*U11</f>
        <v>6868025.9790000003</v>
      </c>
      <c r="W11" s="314">
        <v>3693</v>
      </c>
      <c r="X11" s="315">
        <v>744851300.60000002</v>
      </c>
      <c r="Y11" s="306">
        <v>0.01</v>
      </c>
      <c r="Z11" s="313">
        <f>X11*Y11</f>
        <v>7448513.0060000001</v>
      </c>
      <c r="AA11" s="312">
        <v>3789</v>
      </c>
      <c r="AB11" s="305">
        <v>775395205.73000002</v>
      </c>
      <c r="AC11" s="306">
        <v>0.01</v>
      </c>
      <c r="AD11" s="313">
        <f>AB11*AC11</f>
        <v>7753952.0573000005</v>
      </c>
      <c r="AE11" s="312">
        <v>3918</v>
      </c>
      <c r="AF11" s="305">
        <v>822492964.97000003</v>
      </c>
      <c r="AG11" s="306">
        <v>0.01</v>
      </c>
      <c r="AH11" s="313">
        <f>AF11*AG11</f>
        <v>8224929.6497000009</v>
      </c>
      <c r="AI11" s="312">
        <v>3648</v>
      </c>
      <c r="AJ11" s="305">
        <v>838726372.00999999</v>
      </c>
      <c r="AK11" s="306">
        <v>0.01</v>
      </c>
      <c r="AL11" s="313">
        <f>AJ11*AK11</f>
        <v>8387263.7201000005</v>
      </c>
      <c r="AM11" s="312">
        <v>910</v>
      </c>
      <c r="AN11" s="305">
        <v>67031393.460000001</v>
      </c>
      <c r="AO11" s="306">
        <v>0.01</v>
      </c>
      <c r="AP11" s="313">
        <f>AN11*AO11</f>
        <v>670313.93460000004</v>
      </c>
      <c r="AQ11" s="312">
        <v>978</v>
      </c>
      <c r="AR11" s="305">
        <v>70292058.879999995</v>
      </c>
      <c r="AS11" s="306">
        <v>0.01</v>
      </c>
      <c r="AT11" s="313">
        <f>AR11*AS11</f>
        <v>702920.58879999991</v>
      </c>
      <c r="AU11" s="316">
        <f>[6]form4!$M$13</f>
        <v>1014</v>
      </c>
      <c r="AV11" s="317">
        <f>[6]form4!$P$13</f>
        <v>76823240.129999995</v>
      </c>
      <c r="AW11" s="318">
        <v>0.01</v>
      </c>
      <c r="AX11" s="319">
        <f>AV11*AW11</f>
        <v>768232.40129999991</v>
      </c>
      <c r="BG11" s="358">
        <v>1095</v>
      </c>
      <c r="BH11" s="359"/>
      <c r="BI11" s="355">
        <v>84417853.069999993</v>
      </c>
      <c r="BJ11" s="354">
        <v>0.01</v>
      </c>
      <c r="BK11" s="355">
        <v>844178.5307</v>
      </c>
      <c r="BL11" s="365">
        <v>1095</v>
      </c>
      <c r="BM11" s="366">
        <v>84417853.069999993</v>
      </c>
      <c r="BN11" s="367">
        <v>0.01</v>
      </c>
      <c r="BO11" s="368">
        <v>844178.5307</v>
      </c>
      <c r="BP11" s="365">
        <v>1095</v>
      </c>
      <c r="BQ11" s="366">
        <v>84417853.069999993</v>
      </c>
      <c r="BR11" s="367">
        <v>0.01</v>
      </c>
      <c r="BS11" s="368">
        <v>844178.5307</v>
      </c>
    </row>
    <row r="12" spans="1:71" ht="12.75" customHeight="1" x14ac:dyDescent="0.25">
      <c r="A12" s="281">
        <v>2</v>
      </c>
      <c r="B12" s="281" t="s">
        <v>450</v>
      </c>
      <c r="C12" s="305">
        <f>[6]form4!$Q$14</f>
        <v>193</v>
      </c>
      <c r="D12" s="305">
        <f>[6]form4!$U$14</f>
        <v>620084</v>
      </c>
      <c r="E12" s="306">
        <v>0.05</v>
      </c>
      <c r="F12" s="307">
        <f>D12*E12</f>
        <v>31004.2</v>
      </c>
      <c r="G12" s="308"/>
      <c r="H12" s="309"/>
      <c r="I12" s="310">
        <v>0.05</v>
      </c>
      <c r="J12" s="311">
        <f t="shared" ref="J12:J15" si="0">I12*H12</f>
        <v>0</v>
      </c>
      <c r="K12" s="312">
        <v>417</v>
      </c>
      <c r="L12" s="305">
        <v>16914330.309999999</v>
      </c>
      <c r="M12" s="306">
        <v>0.05</v>
      </c>
      <c r="N12" s="313">
        <f>L12*M12</f>
        <v>845716.51549999998</v>
      </c>
      <c r="O12" s="312">
        <v>408</v>
      </c>
      <c r="P12" s="305">
        <v>8536005.2100000009</v>
      </c>
      <c r="Q12" s="306">
        <v>0.05</v>
      </c>
      <c r="R12" s="313">
        <f>P12*Q12</f>
        <v>426800.26050000009</v>
      </c>
      <c r="S12" s="314">
        <v>408</v>
      </c>
      <c r="T12" s="315">
        <v>7831399.6799999997</v>
      </c>
      <c r="U12" s="306">
        <v>0.05</v>
      </c>
      <c r="V12" s="313">
        <f>T12*U12</f>
        <v>391569.984</v>
      </c>
      <c r="W12" s="314">
        <v>566</v>
      </c>
      <c r="X12" s="315">
        <v>32540536.75</v>
      </c>
      <c r="Y12" s="306">
        <v>0.05</v>
      </c>
      <c r="Z12" s="313">
        <f>X12*Y12</f>
        <v>1627026.8375000001</v>
      </c>
      <c r="AA12" s="312">
        <v>470</v>
      </c>
      <c r="AB12" s="305">
        <v>12192577.15</v>
      </c>
      <c r="AC12" s="306">
        <v>0.05</v>
      </c>
      <c r="AD12" s="313">
        <f>AB12*AC12</f>
        <v>609628.85750000004</v>
      </c>
      <c r="AE12" s="312">
        <v>448</v>
      </c>
      <c r="AF12" s="305">
        <v>17358351.41</v>
      </c>
      <c r="AG12" s="306">
        <v>0.05</v>
      </c>
      <c r="AH12" s="313">
        <f>AF12*AG12</f>
        <v>867917.57050000003</v>
      </c>
      <c r="AI12" s="312">
        <v>607</v>
      </c>
      <c r="AJ12" s="305">
        <v>37211385.229999997</v>
      </c>
      <c r="AK12" s="306">
        <v>0.05</v>
      </c>
      <c r="AL12" s="313">
        <f>AJ12*AK12</f>
        <v>1860569.2615</v>
      </c>
      <c r="AM12" s="312">
        <v>3</v>
      </c>
      <c r="AN12" s="305">
        <v>3505</v>
      </c>
      <c r="AO12" s="306">
        <v>0.05</v>
      </c>
      <c r="AP12" s="313">
        <f>AN12*AO12</f>
        <v>175.25</v>
      </c>
      <c r="AQ12" s="312">
        <v>2</v>
      </c>
      <c r="AR12" s="305">
        <v>1167</v>
      </c>
      <c r="AS12" s="306">
        <v>0.05</v>
      </c>
      <c r="AT12" s="313">
        <f>AR12*AS12</f>
        <v>58.35</v>
      </c>
      <c r="AU12" s="316">
        <f>[6]form4!$M$14</f>
        <v>5</v>
      </c>
      <c r="AV12" s="317">
        <f>[6]form4!$P$14</f>
        <v>11384</v>
      </c>
      <c r="AW12" s="318">
        <v>0.05</v>
      </c>
      <c r="AX12" s="319">
        <f>AV12*AW12</f>
        <v>569.20000000000005</v>
      </c>
      <c r="BG12" s="360">
        <v>3</v>
      </c>
      <c r="BH12" s="359"/>
      <c r="BI12" s="355">
        <v>4765</v>
      </c>
      <c r="BJ12" s="356">
        <v>0.05</v>
      </c>
      <c r="BK12" s="355">
        <v>238.25</v>
      </c>
      <c r="BL12" s="369">
        <v>3</v>
      </c>
      <c r="BM12" s="366">
        <v>4765</v>
      </c>
      <c r="BN12" s="370">
        <v>0.05</v>
      </c>
      <c r="BO12" s="368">
        <v>238.25</v>
      </c>
      <c r="BP12" s="369">
        <v>3</v>
      </c>
      <c r="BQ12" s="366">
        <v>4765</v>
      </c>
      <c r="BR12" s="370">
        <v>0.05</v>
      </c>
      <c r="BS12" s="368">
        <v>238.25</v>
      </c>
    </row>
    <row r="13" spans="1:71" ht="12.75" customHeight="1" x14ac:dyDescent="0.25">
      <c r="A13" s="281">
        <v>3</v>
      </c>
      <c r="B13" s="281" t="s">
        <v>451</v>
      </c>
      <c r="C13" s="305">
        <f>[6]form4!$Q$15</f>
        <v>183</v>
      </c>
      <c r="D13" s="305">
        <f>[6]form4!$U$15</f>
        <v>1411314</v>
      </c>
      <c r="E13" s="306">
        <v>0.25</v>
      </c>
      <c r="F13" s="307">
        <f>D13*E13</f>
        <v>352828.5</v>
      </c>
      <c r="G13" s="308"/>
      <c r="H13" s="309"/>
      <c r="I13" s="310">
        <v>0.25</v>
      </c>
      <c r="J13" s="311">
        <f t="shared" si="0"/>
        <v>0</v>
      </c>
      <c r="K13" s="312">
        <v>321</v>
      </c>
      <c r="L13" s="305">
        <v>8838797.6600000001</v>
      </c>
      <c r="M13" s="306">
        <v>0.25</v>
      </c>
      <c r="N13" s="313">
        <f>L13*M13</f>
        <v>2209699.415</v>
      </c>
      <c r="O13" s="312">
        <v>671</v>
      </c>
      <c r="P13" s="305">
        <v>5266303.93</v>
      </c>
      <c r="Q13" s="306">
        <v>0.25</v>
      </c>
      <c r="R13" s="313">
        <f>P13*Q13</f>
        <v>1316575.9824999999</v>
      </c>
      <c r="S13" s="314">
        <v>671</v>
      </c>
      <c r="T13" s="315">
        <v>4213123.4800000004</v>
      </c>
      <c r="U13" s="306">
        <v>0.25</v>
      </c>
      <c r="V13" s="313">
        <f>T13*U13</f>
        <v>1053280.8700000001</v>
      </c>
      <c r="W13" s="314">
        <v>268</v>
      </c>
      <c r="X13" s="315">
        <v>5175944.16</v>
      </c>
      <c r="Y13" s="306">
        <v>0.25</v>
      </c>
      <c r="Z13" s="313">
        <f>X13*Y13</f>
        <v>1293986.04</v>
      </c>
      <c r="AA13" s="312">
        <v>643</v>
      </c>
      <c r="AB13" s="305">
        <v>6999840.9199999999</v>
      </c>
      <c r="AC13" s="306">
        <v>0.25</v>
      </c>
      <c r="AD13" s="313">
        <f>AB13*AC13</f>
        <v>1749960.23</v>
      </c>
      <c r="AE13" s="312">
        <v>539</v>
      </c>
      <c r="AF13" s="305">
        <v>5894113.2199999997</v>
      </c>
      <c r="AG13" s="306">
        <v>0.25</v>
      </c>
      <c r="AH13" s="313">
        <f>AF13*AG13</f>
        <v>1473528.3049999999</v>
      </c>
      <c r="AI13" s="312">
        <v>617</v>
      </c>
      <c r="AJ13" s="305">
        <v>8671945.0299999993</v>
      </c>
      <c r="AK13" s="306">
        <v>0.25</v>
      </c>
      <c r="AL13" s="313">
        <f>AJ13*AK13</f>
        <v>2167986.2574999998</v>
      </c>
      <c r="AM13" s="312">
        <v>54</v>
      </c>
      <c r="AN13" s="305">
        <v>865274</v>
      </c>
      <c r="AO13" s="306">
        <v>0.25</v>
      </c>
      <c r="AP13" s="313">
        <f>AN13*AO13</f>
        <v>216318.5</v>
      </c>
      <c r="AQ13" s="312">
        <v>9</v>
      </c>
      <c r="AR13" s="305">
        <v>46802</v>
      </c>
      <c r="AS13" s="306">
        <v>0.25</v>
      </c>
      <c r="AT13" s="313">
        <f>AR13*AS13</f>
        <v>11700.5</v>
      </c>
      <c r="AU13" s="316">
        <f>[6]form4!$M$15</f>
        <v>13</v>
      </c>
      <c r="AV13" s="317">
        <f>[6]form4!$P$15</f>
        <v>165154</v>
      </c>
      <c r="AW13" s="318">
        <v>0.25</v>
      </c>
      <c r="AX13" s="319">
        <f>AV13*AW13</f>
        <v>41288.5</v>
      </c>
      <c r="BG13" s="360">
        <v>10</v>
      </c>
      <c r="BH13" s="359"/>
      <c r="BI13" s="355">
        <v>42069</v>
      </c>
      <c r="BJ13" s="354">
        <v>0.25</v>
      </c>
      <c r="BK13" s="355">
        <v>10517.25</v>
      </c>
      <c r="BL13" s="369">
        <v>10</v>
      </c>
      <c r="BM13" s="366">
        <v>42069</v>
      </c>
      <c r="BN13" s="367">
        <v>0.25</v>
      </c>
      <c r="BO13" s="368">
        <v>10517.25</v>
      </c>
      <c r="BP13" s="369">
        <v>10</v>
      </c>
      <c r="BQ13" s="366">
        <v>42069</v>
      </c>
      <c r="BR13" s="367">
        <v>0.25</v>
      </c>
      <c r="BS13" s="368">
        <v>10517.25</v>
      </c>
    </row>
    <row r="14" spans="1:71" ht="14.4" x14ac:dyDescent="0.25">
      <c r="A14" s="281">
        <v>4</v>
      </c>
      <c r="B14" s="281" t="s">
        <v>452</v>
      </c>
      <c r="C14" s="305">
        <f>[6]form4!$Q$16</f>
        <v>93</v>
      </c>
      <c r="D14" s="305">
        <f>[6]form4!$U$16</f>
        <v>712469</v>
      </c>
      <c r="E14" s="306">
        <v>0.5</v>
      </c>
      <c r="F14" s="307">
        <f>D14*E14</f>
        <v>356234.5</v>
      </c>
      <c r="G14" s="308"/>
      <c r="H14" s="309"/>
      <c r="I14" s="310">
        <v>0.5</v>
      </c>
      <c r="J14" s="311">
        <f t="shared" si="0"/>
        <v>0</v>
      </c>
      <c r="K14" s="312">
        <v>149</v>
      </c>
      <c r="L14" s="305">
        <v>1133216.8999999999</v>
      </c>
      <c r="M14" s="306">
        <v>0.5</v>
      </c>
      <c r="N14" s="313">
        <f>L14*M14</f>
        <v>566608.44999999995</v>
      </c>
      <c r="O14" s="312">
        <v>946</v>
      </c>
      <c r="P14" s="305">
        <v>1200377.6599999999</v>
      </c>
      <c r="Q14" s="306">
        <v>0.5</v>
      </c>
      <c r="R14" s="313">
        <f>P14*Q14</f>
        <v>600188.82999999996</v>
      </c>
      <c r="S14" s="314">
        <v>946</v>
      </c>
      <c r="T14" s="315">
        <v>1301167.75</v>
      </c>
      <c r="U14" s="306">
        <v>0.5</v>
      </c>
      <c r="V14" s="313">
        <f>T14*U14</f>
        <v>650583.875</v>
      </c>
      <c r="W14" s="314">
        <v>298</v>
      </c>
      <c r="X14" s="315">
        <v>2414652.79</v>
      </c>
      <c r="Y14" s="306">
        <v>0.5</v>
      </c>
      <c r="Z14" s="313">
        <f>X14*Y14</f>
        <v>1207326.395</v>
      </c>
      <c r="AA14" s="312">
        <v>310</v>
      </c>
      <c r="AB14" s="305">
        <v>2499201.38</v>
      </c>
      <c r="AC14" s="306">
        <v>0.5</v>
      </c>
      <c r="AD14" s="313">
        <f>AB14*AC14</f>
        <v>1249600.69</v>
      </c>
      <c r="AE14" s="312">
        <v>660</v>
      </c>
      <c r="AF14" s="305">
        <v>4576101.0999999996</v>
      </c>
      <c r="AG14" s="306">
        <v>0.5</v>
      </c>
      <c r="AH14" s="313">
        <f>AF14*AG14</f>
        <v>2288050.5499999998</v>
      </c>
      <c r="AI14" s="312">
        <v>765</v>
      </c>
      <c r="AJ14" s="305">
        <v>4745785.4800000004</v>
      </c>
      <c r="AK14" s="306">
        <v>0.5</v>
      </c>
      <c r="AL14" s="313">
        <f>AJ14*AK14</f>
        <v>2372892.7400000002</v>
      </c>
      <c r="AM14" s="312">
        <v>45</v>
      </c>
      <c r="AN14" s="305">
        <v>845719</v>
      </c>
      <c r="AO14" s="306">
        <v>0.5</v>
      </c>
      <c r="AP14" s="313">
        <f>AN14*AO14</f>
        <v>422859.5</v>
      </c>
      <c r="AQ14" s="312">
        <v>45</v>
      </c>
      <c r="AR14" s="305">
        <v>1340651</v>
      </c>
      <c r="AS14" s="306">
        <v>0.5</v>
      </c>
      <c r="AT14" s="313">
        <f>AR14*AS14</f>
        <v>670325.5</v>
      </c>
      <c r="AU14" s="316">
        <f>[6]form4!$M$16</f>
        <v>41</v>
      </c>
      <c r="AV14" s="317">
        <f>[6]form4!$P$16</f>
        <v>1139107</v>
      </c>
      <c r="AW14" s="318">
        <v>0.5</v>
      </c>
      <c r="AX14" s="319">
        <f>AV14*AW14</f>
        <v>569553.5</v>
      </c>
      <c r="BG14" s="360">
        <v>7</v>
      </c>
      <c r="BH14" s="359"/>
      <c r="BI14" s="355">
        <v>33312</v>
      </c>
      <c r="BJ14" s="354">
        <v>0.5</v>
      </c>
      <c r="BK14" s="355">
        <v>16656</v>
      </c>
      <c r="BL14" s="369">
        <v>7</v>
      </c>
      <c r="BM14" s="366">
        <v>33312</v>
      </c>
      <c r="BN14" s="367">
        <v>0.5</v>
      </c>
      <c r="BO14" s="368">
        <v>16656</v>
      </c>
      <c r="BP14" s="369">
        <v>7</v>
      </c>
      <c r="BQ14" s="366">
        <v>33312</v>
      </c>
      <c r="BR14" s="367">
        <v>0.5</v>
      </c>
      <c r="BS14" s="368">
        <v>16656</v>
      </c>
    </row>
    <row r="15" spans="1:71" ht="14.4" x14ac:dyDescent="0.25">
      <c r="A15" s="281">
        <v>5</v>
      </c>
      <c r="B15" s="281" t="s">
        <v>453</v>
      </c>
      <c r="C15" s="305">
        <f>[6]form4!$Q$17</f>
        <v>54</v>
      </c>
      <c r="D15" s="305">
        <f>[6]form4!$U$17</f>
        <v>756111</v>
      </c>
      <c r="E15" s="306">
        <v>1</v>
      </c>
      <c r="F15" s="320">
        <f>D15*E15</f>
        <v>756111</v>
      </c>
      <c r="G15" s="308"/>
      <c r="H15" s="309"/>
      <c r="I15" s="310">
        <v>1</v>
      </c>
      <c r="J15" s="311">
        <f t="shared" si="0"/>
        <v>0</v>
      </c>
      <c r="K15" s="312">
        <v>522</v>
      </c>
      <c r="L15" s="305">
        <v>16287936</v>
      </c>
      <c r="M15" s="306">
        <v>1</v>
      </c>
      <c r="N15" s="313">
        <f>L15*M15</f>
        <v>16287936</v>
      </c>
      <c r="O15" s="312">
        <v>1386</v>
      </c>
      <c r="P15" s="305">
        <v>11627140.130000001</v>
      </c>
      <c r="Q15" s="306">
        <v>1</v>
      </c>
      <c r="R15" s="313">
        <f>P15*Q15</f>
        <v>11627140.130000001</v>
      </c>
      <c r="S15" s="314">
        <v>1386</v>
      </c>
      <c r="T15" s="315">
        <v>8583071.3300000001</v>
      </c>
      <c r="U15" s="306">
        <v>1</v>
      </c>
      <c r="V15" s="313">
        <f>T15*U15</f>
        <v>8583071.3300000001</v>
      </c>
      <c r="W15" s="314">
        <v>1328</v>
      </c>
      <c r="X15" s="315">
        <v>12041026.17</v>
      </c>
      <c r="Y15" s="306">
        <v>1</v>
      </c>
      <c r="Z15" s="313">
        <f>X15*Y15</f>
        <v>12041026.17</v>
      </c>
      <c r="AA15" s="312">
        <v>1494</v>
      </c>
      <c r="AB15" s="305">
        <v>54967297.469999999</v>
      </c>
      <c r="AC15" s="306">
        <v>1</v>
      </c>
      <c r="AD15" s="313">
        <f>AB15*AC15</f>
        <v>54967297.469999999</v>
      </c>
      <c r="AE15" s="312">
        <v>1493</v>
      </c>
      <c r="AF15" s="305">
        <v>11036629.24</v>
      </c>
      <c r="AG15" s="306">
        <v>1</v>
      </c>
      <c r="AH15" s="313">
        <f>AF15*AG15</f>
        <v>11036629.24</v>
      </c>
      <c r="AI15" s="312">
        <v>1631</v>
      </c>
      <c r="AJ15" s="305">
        <v>13136296.23</v>
      </c>
      <c r="AK15" s="306">
        <v>1</v>
      </c>
      <c r="AL15" s="313">
        <f>AJ15*AK15</f>
        <v>13136296.23</v>
      </c>
      <c r="AM15" s="312">
        <v>38</v>
      </c>
      <c r="AN15" s="305">
        <v>1020153</v>
      </c>
      <c r="AO15" s="306">
        <v>1</v>
      </c>
      <c r="AP15" s="313">
        <f>AN15*AO15</f>
        <v>1020153</v>
      </c>
      <c r="AQ15" s="312">
        <v>38</v>
      </c>
      <c r="AR15" s="305">
        <v>1324199</v>
      </c>
      <c r="AS15" s="306">
        <v>1</v>
      </c>
      <c r="AT15" s="313">
        <f>AR15*AS15</f>
        <v>1324199</v>
      </c>
      <c r="AU15" s="316">
        <f>[6]form4!$M$17</f>
        <v>35</v>
      </c>
      <c r="AV15" s="317">
        <f>[6]form4!$P$17</f>
        <v>1014652</v>
      </c>
      <c r="AW15" s="318">
        <v>1</v>
      </c>
      <c r="AX15" s="319">
        <f>AV15*AW15</f>
        <v>1014652</v>
      </c>
      <c r="BG15" s="360">
        <v>31</v>
      </c>
      <c r="BH15" s="359"/>
      <c r="BI15" s="355">
        <v>980516</v>
      </c>
      <c r="BJ15" s="356">
        <v>1</v>
      </c>
      <c r="BK15" s="355">
        <v>980516</v>
      </c>
      <c r="BL15" s="369">
        <v>31</v>
      </c>
      <c r="BM15" s="366">
        <v>980516</v>
      </c>
      <c r="BN15" s="370">
        <v>1</v>
      </c>
      <c r="BO15" s="368">
        <v>980516</v>
      </c>
      <c r="BP15" s="369">
        <v>31</v>
      </c>
      <c r="BQ15" s="366">
        <v>980516</v>
      </c>
      <c r="BR15" s="370">
        <v>1</v>
      </c>
      <c r="BS15" s="368">
        <v>980516</v>
      </c>
    </row>
    <row r="16" spans="1:71" ht="14.4" x14ac:dyDescent="0.25">
      <c r="A16" s="281"/>
      <c r="B16" s="283" t="s">
        <v>454</v>
      </c>
      <c r="C16" s="317">
        <f>SUM(C11:C15)</f>
        <v>1272</v>
      </c>
      <c r="D16" s="317">
        <f>SUM(D11:D15)</f>
        <v>48296997.82</v>
      </c>
      <c r="E16" s="317"/>
      <c r="F16" s="321">
        <f>SUM(F11:F15)</f>
        <v>1944148.3981999999</v>
      </c>
      <c r="G16" s="322">
        <f>SUM(G11:G15)</f>
        <v>0</v>
      </c>
      <c r="H16" s="323">
        <f t="shared" ref="H16:T16" si="1">SUM(H11:H15)</f>
        <v>0</v>
      </c>
      <c r="I16" s="324"/>
      <c r="J16" s="325">
        <f t="shared" si="1"/>
        <v>0</v>
      </c>
      <c r="K16" s="326">
        <f t="shared" si="1"/>
        <v>5318</v>
      </c>
      <c r="L16" s="323">
        <f t="shared" si="1"/>
        <v>732375850.65999985</v>
      </c>
      <c r="M16" s="323"/>
      <c r="N16" s="325">
        <f t="shared" si="1"/>
        <v>26801976.078400001</v>
      </c>
      <c r="O16" s="326">
        <f t="shared" si="1"/>
        <v>7660</v>
      </c>
      <c r="P16" s="323">
        <f t="shared" si="1"/>
        <v>741542541.13</v>
      </c>
      <c r="Q16" s="324"/>
      <c r="R16" s="325">
        <f t="shared" si="1"/>
        <v>21119832.345000003</v>
      </c>
      <c r="S16" s="326">
        <f t="shared" si="1"/>
        <v>7660</v>
      </c>
      <c r="T16" s="323">
        <f t="shared" si="1"/>
        <v>708731360.13999999</v>
      </c>
      <c r="U16" s="323"/>
      <c r="V16" s="325">
        <f t="shared" ref="V16:AF16" si="2">SUM(V11:V15)</f>
        <v>17546532.038000003</v>
      </c>
      <c r="W16" s="326">
        <f t="shared" si="2"/>
        <v>6153</v>
      </c>
      <c r="X16" s="323">
        <f t="shared" si="2"/>
        <v>797023460.46999991</v>
      </c>
      <c r="Y16" s="323"/>
      <c r="Z16" s="325">
        <f t="shared" si="2"/>
        <v>23617878.4485</v>
      </c>
      <c r="AA16" s="326">
        <f t="shared" si="2"/>
        <v>6706</v>
      </c>
      <c r="AB16" s="323">
        <f t="shared" si="2"/>
        <v>852054122.64999998</v>
      </c>
      <c r="AC16" s="323"/>
      <c r="AD16" s="325">
        <f t="shared" si="2"/>
        <v>66330439.304799996</v>
      </c>
      <c r="AE16" s="326">
        <f t="shared" si="2"/>
        <v>7058</v>
      </c>
      <c r="AF16" s="323">
        <f t="shared" si="2"/>
        <v>861358159.94000006</v>
      </c>
      <c r="AG16" s="323"/>
      <c r="AH16" s="325">
        <f t="shared" ref="AH16:AJ16" si="3">SUM(AH11:AH15)</f>
        <v>23891055.315200001</v>
      </c>
      <c r="AI16" s="326">
        <f t="shared" si="3"/>
        <v>7268</v>
      </c>
      <c r="AJ16" s="323">
        <f t="shared" si="3"/>
        <v>902491783.98000002</v>
      </c>
      <c r="AK16" s="323"/>
      <c r="AL16" s="325">
        <f t="shared" ref="AL16:AN16" si="4">SUM(AL11:AL15)</f>
        <v>27925008.209100001</v>
      </c>
      <c r="AM16" s="326">
        <f t="shared" si="4"/>
        <v>1050</v>
      </c>
      <c r="AN16" s="323">
        <f t="shared" si="4"/>
        <v>69766044.460000008</v>
      </c>
      <c r="AO16" s="323"/>
      <c r="AP16" s="325">
        <f t="shared" ref="AP16:AR16" si="5">SUM(AP11:AP15)</f>
        <v>2329820.1846000003</v>
      </c>
      <c r="AQ16" s="326">
        <f t="shared" si="5"/>
        <v>1072</v>
      </c>
      <c r="AR16" s="323">
        <f t="shared" si="5"/>
        <v>73004877.879999995</v>
      </c>
      <c r="AS16" s="323"/>
      <c r="AT16" s="325">
        <f t="shared" ref="AT16" si="6">SUM(AT11:AT15)</f>
        <v>2709203.9387999997</v>
      </c>
      <c r="AU16" s="296">
        <f>SUM(AU11:AU15)</f>
        <v>1108</v>
      </c>
      <c r="AV16" s="327">
        <f>SUM(AV11:AV15)</f>
        <v>79153537.129999995</v>
      </c>
      <c r="AW16" s="327"/>
      <c r="AX16" s="328">
        <f>SUM(AX11:AX15)</f>
        <v>2394295.6012999997</v>
      </c>
      <c r="BG16" s="353">
        <v>1146</v>
      </c>
      <c r="BH16" s="359"/>
      <c r="BI16" s="357">
        <v>85478515.069999993</v>
      </c>
      <c r="BJ16" s="353"/>
      <c r="BK16" s="357">
        <v>1852106.0307</v>
      </c>
      <c r="BL16" s="363">
        <v>1146</v>
      </c>
      <c r="BM16" s="371">
        <v>85478515.069999993</v>
      </c>
      <c r="BN16" s="364"/>
      <c r="BO16" s="372">
        <v>1852106.0307</v>
      </c>
      <c r="BP16" s="363">
        <v>1146</v>
      </c>
      <c r="BQ16" s="371">
        <v>85478515.069999993</v>
      </c>
      <c r="BR16" s="364"/>
      <c r="BS16" s="372">
        <v>1852106.0307</v>
      </c>
    </row>
    <row r="17" spans="1:71" ht="26.4" x14ac:dyDescent="0.25">
      <c r="A17" s="281"/>
      <c r="B17" s="281" t="s">
        <v>455</v>
      </c>
      <c r="C17" s="317"/>
      <c r="D17" s="317"/>
      <c r="E17" s="306"/>
      <c r="F17" s="307"/>
      <c r="G17" s="329"/>
      <c r="H17" s="330"/>
      <c r="I17" s="281"/>
      <c r="J17" s="331"/>
      <c r="K17" s="312"/>
      <c r="L17" s="305"/>
      <c r="M17" s="332"/>
      <c r="N17" s="333"/>
      <c r="O17" s="312"/>
      <c r="P17" s="305"/>
      <c r="Q17" s="332"/>
      <c r="R17" s="334"/>
      <c r="S17" s="64"/>
      <c r="T17" s="65"/>
      <c r="U17" s="332"/>
      <c r="V17" s="334"/>
      <c r="W17" s="64"/>
      <c r="X17" s="65"/>
      <c r="Y17" s="332"/>
      <c r="Z17" s="334"/>
      <c r="AA17" s="64"/>
      <c r="AB17" s="65"/>
      <c r="AC17" s="332"/>
      <c r="AD17" s="334"/>
      <c r="AE17" s="64"/>
      <c r="AF17" s="65"/>
      <c r="AG17" s="332"/>
      <c r="AH17" s="334"/>
      <c r="AI17" s="64"/>
      <c r="AJ17" s="65"/>
      <c r="AK17" s="332"/>
      <c r="AL17" s="334"/>
      <c r="AM17" s="64"/>
      <c r="AN17" s="65"/>
      <c r="AO17" s="332"/>
      <c r="AP17" s="334"/>
      <c r="AQ17" s="64"/>
      <c r="AR17" s="65"/>
      <c r="AS17" s="332"/>
      <c r="AT17" s="334"/>
      <c r="AU17" s="316"/>
      <c r="AV17" s="317"/>
      <c r="AW17" s="317"/>
      <c r="AX17" s="335"/>
      <c r="BG17" s="358"/>
      <c r="BH17" s="359"/>
      <c r="BI17" s="358"/>
      <c r="BJ17" s="358"/>
      <c r="BK17" s="358"/>
      <c r="BL17" s="365"/>
      <c r="BM17" s="365"/>
      <c r="BN17" s="373"/>
      <c r="BO17" s="373"/>
      <c r="BP17" s="365"/>
      <c r="BQ17" s="365"/>
      <c r="BR17" s="373"/>
      <c r="BS17" s="373"/>
    </row>
    <row r="18" spans="1:71" ht="14.4" x14ac:dyDescent="0.25">
      <c r="A18" s="281">
        <v>1</v>
      </c>
      <c r="B18" s="281" t="s">
        <v>449</v>
      </c>
      <c r="C18" s="305">
        <f>[6]form4!$Q$20</f>
        <v>13</v>
      </c>
      <c r="D18" s="305">
        <f>[6]form4!$U$20</f>
        <v>166517</v>
      </c>
      <c r="E18" s="306">
        <v>0.01</v>
      </c>
      <c r="F18" s="307">
        <f>E18*D18</f>
        <v>1665.17</v>
      </c>
      <c r="G18" s="329">
        <v>0</v>
      </c>
      <c r="H18" s="330"/>
      <c r="I18" s="336"/>
      <c r="J18" s="331"/>
      <c r="K18" s="312"/>
      <c r="L18" s="305"/>
      <c r="M18" s="337">
        <v>0.01</v>
      </c>
      <c r="N18" s="333">
        <f>L18*M18</f>
        <v>0</v>
      </c>
      <c r="O18" s="312">
        <v>0</v>
      </c>
      <c r="P18" s="305">
        <v>0</v>
      </c>
      <c r="Q18" s="306">
        <v>0.01</v>
      </c>
      <c r="R18" s="313">
        <f>P18*Q18</f>
        <v>0</v>
      </c>
      <c r="S18" s="64"/>
      <c r="T18" s="65"/>
      <c r="U18" s="306">
        <v>0.01</v>
      </c>
      <c r="V18" s="313">
        <f>T18*U18</f>
        <v>0</v>
      </c>
      <c r="W18" s="64"/>
      <c r="X18" s="65"/>
      <c r="Y18" s="306">
        <v>0.01</v>
      </c>
      <c r="Z18" s="313">
        <f>X18*Y18</f>
        <v>0</v>
      </c>
      <c r="AA18" s="64"/>
      <c r="AB18" s="65"/>
      <c r="AC18" s="306">
        <v>0.01</v>
      </c>
      <c r="AD18" s="313">
        <f>AB18*AC18</f>
        <v>0</v>
      </c>
      <c r="AE18" s="64"/>
      <c r="AF18" s="65"/>
      <c r="AG18" s="306">
        <v>0.01</v>
      </c>
      <c r="AH18" s="313">
        <f>AF18*AG18</f>
        <v>0</v>
      </c>
      <c r="AI18" s="64"/>
      <c r="AJ18" s="65"/>
      <c r="AK18" s="306">
        <v>0.01</v>
      </c>
      <c r="AL18" s="313">
        <f>AJ18*AK18</f>
        <v>0</v>
      </c>
      <c r="AM18" s="64"/>
      <c r="AN18" s="65"/>
      <c r="AO18" s="306">
        <v>0.01</v>
      </c>
      <c r="AP18" s="313">
        <f>AN18*AO18</f>
        <v>0</v>
      </c>
      <c r="AQ18" s="64">
        <v>11</v>
      </c>
      <c r="AR18" s="65">
        <v>1941418</v>
      </c>
      <c r="AS18" s="306">
        <v>0.01</v>
      </c>
      <c r="AT18" s="313">
        <f>AR18*AS18</f>
        <v>19414.18</v>
      </c>
      <c r="AU18" s="316">
        <f>[6]form4!$M$20</f>
        <v>11</v>
      </c>
      <c r="AV18" s="317">
        <f>[6]form4!$P$20</f>
        <v>1864770</v>
      </c>
      <c r="AW18" s="318">
        <v>0.01</v>
      </c>
      <c r="AX18" s="319">
        <f>AV18*AW18</f>
        <v>18647.7</v>
      </c>
      <c r="BG18" s="358">
        <v>11</v>
      </c>
      <c r="BH18" s="359"/>
      <c r="BI18" s="355">
        <v>1745181</v>
      </c>
      <c r="BJ18" s="354">
        <v>0.01</v>
      </c>
      <c r="BK18" s="355">
        <v>17451.810000000001</v>
      </c>
      <c r="BL18" s="365">
        <v>11</v>
      </c>
      <c r="BM18" s="366">
        <v>1745181</v>
      </c>
      <c r="BN18" s="367">
        <v>0.01</v>
      </c>
      <c r="BO18" s="368">
        <v>17451.810000000001</v>
      </c>
      <c r="BP18" s="365">
        <v>11</v>
      </c>
      <c r="BQ18" s="366">
        <v>1745181</v>
      </c>
      <c r="BR18" s="367">
        <v>0.01</v>
      </c>
      <c r="BS18" s="368">
        <v>17451.810000000001</v>
      </c>
    </row>
    <row r="19" spans="1:71" ht="14.4" x14ac:dyDescent="0.25">
      <c r="A19" s="281">
        <v>2</v>
      </c>
      <c r="B19" s="281" t="s">
        <v>450</v>
      </c>
      <c r="C19" s="305">
        <f>[6]form4!$Q$21</f>
        <v>6</v>
      </c>
      <c r="D19" s="305">
        <f>[6]form4!$U$21</f>
        <v>10686</v>
      </c>
      <c r="E19" s="306">
        <v>0.05</v>
      </c>
      <c r="F19" s="307">
        <f>E19*D19</f>
        <v>534.30000000000007</v>
      </c>
      <c r="G19" s="329"/>
      <c r="H19" s="330"/>
      <c r="I19" s="336"/>
      <c r="J19" s="331"/>
      <c r="K19" s="312"/>
      <c r="L19" s="305"/>
      <c r="M19" s="337">
        <v>0.05</v>
      </c>
      <c r="N19" s="333">
        <f>L19*M19</f>
        <v>0</v>
      </c>
      <c r="O19" s="312">
        <f t="shared" ref="O19:P22" si="7">M19*N19</f>
        <v>0</v>
      </c>
      <c r="P19" s="305">
        <f t="shared" si="7"/>
        <v>0</v>
      </c>
      <c r="Q19" s="306">
        <v>0.05</v>
      </c>
      <c r="R19" s="313">
        <f>P19*Q19</f>
        <v>0</v>
      </c>
      <c r="S19" s="64"/>
      <c r="T19" s="65"/>
      <c r="U19" s="306">
        <v>0.05</v>
      </c>
      <c r="V19" s="313">
        <f>T19*U19</f>
        <v>0</v>
      </c>
      <c r="W19" s="64"/>
      <c r="X19" s="65"/>
      <c r="Y19" s="306">
        <v>0.05</v>
      </c>
      <c r="Z19" s="313">
        <f>X19*Y19</f>
        <v>0</v>
      </c>
      <c r="AA19" s="64"/>
      <c r="AB19" s="65"/>
      <c r="AC19" s="306">
        <v>0.05</v>
      </c>
      <c r="AD19" s="313">
        <f>AB19*AC19</f>
        <v>0</v>
      </c>
      <c r="AE19" s="64"/>
      <c r="AF19" s="65"/>
      <c r="AG19" s="306">
        <v>0.05</v>
      </c>
      <c r="AH19" s="313">
        <f>AF19*AG19</f>
        <v>0</v>
      </c>
      <c r="AI19" s="64"/>
      <c r="AJ19" s="65"/>
      <c r="AK19" s="306">
        <v>0.05</v>
      </c>
      <c r="AL19" s="313">
        <f>AJ19*AK19</f>
        <v>0</v>
      </c>
      <c r="AM19" s="64"/>
      <c r="AN19" s="65"/>
      <c r="AO19" s="306">
        <v>0.05</v>
      </c>
      <c r="AP19" s="313">
        <f>AN19*AO19</f>
        <v>0</v>
      </c>
      <c r="AQ19" s="64">
        <v>1</v>
      </c>
      <c r="AR19" s="65">
        <v>0</v>
      </c>
      <c r="AS19" s="306">
        <v>0.05</v>
      </c>
      <c r="AT19" s="313">
        <f>AR19*AS19</f>
        <v>0</v>
      </c>
      <c r="AU19" s="316">
        <f>[6]form4!$M$21</f>
        <v>1</v>
      </c>
      <c r="AV19" s="317">
        <f>[6]form4!$P$21</f>
        <v>0</v>
      </c>
      <c r="AW19" s="318">
        <v>0.05</v>
      </c>
      <c r="AX19" s="319">
        <f>AV19*AW19</f>
        <v>0</v>
      </c>
      <c r="BG19" s="361">
        <v>1</v>
      </c>
      <c r="BH19" s="359"/>
      <c r="BI19" s="355">
        <v>0</v>
      </c>
      <c r="BJ19" s="356">
        <v>0.05</v>
      </c>
      <c r="BK19" s="355">
        <v>0</v>
      </c>
      <c r="BL19" s="374">
        <v>1</v>
      </c>
      <c r="BM19" s="366">
        <v>0</v>
      </c>
      <c r="BN19" s="370">
        <v>0.05</v>
      </c>
      <c r="BO19" s="368">
        <v>0</v>
      </c>
      <c r="BP19" s="374">
        <v>1</v>
      </c>
      <c r="BQ19" s="366">
        <v>0</v>
      </c>
      <c r="BR19" s="370">
        <v>0.05</v>
      </c>
      <c r="BS19" s="368">
        <v>0</v>
      </c>
    </row>
    <row r="20" spans="1:71" ht="14.4" x14ac:dyDescent="0.25">
      <c r="A20" s="281">
        <v>3</v>
      </c>
      <c r="B20" s="281" t="s">
        <v>451</v>
      </c>
      <c r="C20" s="305">
        <f>[6]form4!$Q$22</f>
        <v>7</v>
      </c>
      <c r="D20" s="305">
        <f>[6]form4!$U$22</f>
        <v>12887</v>
      </c>
      <c r="E20" s="306">
        <v>0.25</v>
      </c>
      <c r="F20" s="307">
        <f>E20*D20</f>
        <v>3221.75</v>
      </c>
      <c r="G20" s="329"/>
      <c r="H20" s="330"/>
      <c r="I20" s="336"/>
      <c r="J20" s="331"/>
      <c r="K20" s="312"/>
      <c r="L20" s="305"/>
      <c r="M20" s="337">
        <v>0.25</v>
      </c>
      <c r="N20" s="333">
        <f>L20*M20</f>
        <v>0</v>
      </c>
      <c r="O20" s="312">
        <f t="shared" si="7"/>
        <v>0</v>
      </c>
      <c r="P20" s="305">
        <f t="shared" si="7"/>
        <v>0</v>
      </c>
      <c r="Q20" s="306">
        <v>0.25</v>
      </c>
      <c r="R20" s="313">
        <f>P20*Q20</f>
        <v>0</v>
      </c>
      <c r="S20" s="64"/>
      <c r="T20" s="65"/>
      <c r="U20" s="306">
        <v>0.25</v>
      </c>
      <c r="V20" s="313">
        <f>T20*U20</f>
        <v>0</v>
      </c>
      <c r="W20" s="64"/>
      <c r="X20" s="65"/>
      <c r="Y20" s="306">
        <v>0.25</v>
      </c>
      <c r="Z20" s="313">
        <f>X20*Y20</f>
        <v>0</v>
      </c>
      <c r="AA20" s="64"/>
      <c r="AB20" s="65"/>
      <c r="AC20" s="306">
        <v>0.25</v>
      </c>
      <c r="AD20" s="313">
        <f>AB20*AC20</f>
        <v>0</v>
      </c>
      <c r="AE20" s="64"/>
      <c r="AF20" s="65"/>
      <c r="AG20" s="306">
        <v>0.25</v>
      </c>
      <c r="AH20" s="313">
        <f>AF20*AG20</f>
        <v>0</v>
      </c>
      <c r="AI20" s="64"/>
      <c r="AJ20" s="65"/>
      <c r="AK20" s="306">
        <v>0.25</v>
      </c>
      <c r="AL20" s="313">
        <f>AJ20*AK20</f>
        <v>0</v>
      </c>
      <c r="AM20" s="64"/>
      <c r="AN20" s="65"/>
      <c r="AO20" s="306">
        <v>0.25</v>
      </c>
      <c r="AP20" s="313">
        <f>AN20*AO20</f>
        <v>0</v>
      </c>
      <c r="AQ20" s="64">
        <v>1</v>
      </c>
      <c r="AR20" s="65">
        <v>0</v>
      </c>
      <c r="AS20" s="306">
        <v>0.25</v>
      </c>
      <c r="AT20" s="313">
        <f>AR20*AS20</f>
        <v>0</v>
      </c>
      <c r="AU20" s="316">
        <f>[6]form4!$M$22</f>
        <v>1</v>
      </c>
      <c r="AV20" s="317">
        <f>[6]form4!$P$22</f>
        <v>0</v>
      </c>
      <c r="AW20" s="318">
        <v>0.25</v>
      </c>
      <c r="AX20" s="319">
        <f>AV20*AW20</f>
        <v>0</v>
      </c>
      <c r="BG20" s="361">
        <v>1</v>
      </c>
      <c r="BH20" s="359"/>
      <c r="BI20" s="355">
        <v>0</v>
      </c>
      <c r="BJ20" s="354">
        <v>0.25</v>
      </c>
      <c r="BK20" s="355">
        <v>0</v>
      </c>
      <c r="BL20" s="374">
        <v>1</v>
      </c>
      <c r="BM20" s="366">
        <v>0</v>
      </c>
      <c r="BN20" s="367">
        <v>0.25</v>
      </c>
      <c r="BO20" s="368">
        <v>0</v>
      </c>
      <c r="BP20" s="374">
        <v>1</v>
      </c>
      <c r="BQ20" s="366">
        <v>0</v>
      </c>
      <c r="BR20" s="367">
        <v>0.25</v>
      </c>
      <c r="BS20" s="368">
        <v>0</v>
      </c>
    </row>
    <row r="21" spans="1:71" ht="14.4" x14ac:dyDescent="0.25">
      <c r="A21" s="281">
        <v>4</v>
      </c>
      <c r="B21" s="281" t="s">
        <v>452</v>
      </c>
      <c r="C21" s="305">
        <f>[6]form4!$Q$23</f>
        <v>1</v>
      </c>
      <c r="D21" s="305">
        <f>[6]form4!$U$23</f>
        <v>0</v>
      </c>
      <c r="E21" s="306">
        <v>0.5</v>
      </c>
      <c r="F21" s="307">
        <f>E21*D21</f>
        <v>0</v>
      </c>
      <c r="G21" s="329"/>
      <c r="H21" s="330"/>
      <c r="I21" s="336"/>
      <c r="J21" s="331"/>
      <c r="K21" s="312"/>
      <c r="L21" s="305"/>
      <c r="M21" s="337">
        <v>0.5</v>
      </c>
      <c r="N21" s="333">
        <f>L21*M21</f>
        <v>0</v>
      </c>
      <c r="O21" s="312">
        <f t="shared" si="7"/>
        <v>0</v>
      </c>
      <c r="P21" s="305">
        <f t="shared" si="7"/>
        <v>0</v>
      </c>
      <c r="Q21" s="306">
        <v>0.5</v>
      </c>
      <c r="R21" s="313">
        <f>P21*Q21</f>
        <v>0</v>
      </c>
      <c r="S21" s="64"/>
      <c r="T21" s="65"/>
      <c r="U21" s="306">
        <v>0.5</v>
      </c>
      <c r="V21" s="313">
        <f>T21*U21</f>
        <v>0</v>
      </c>
      <c r="W21" s="64"/>
      <c r="X21" s="65"/>
      <c r="Y21" s="306">
        <v>0.5</v>
      </c>
      <c r="Z21" s="313">
        <f>X21*Y21</f>
        <v>0</v>
      </c>
      <c r="AA21" s="64"/>
      <c r="AB21" s="65"/>
      <c r="AC21" s="306">
        <v>0.5</v>
      </c>
      <c r="AD21" s="313">
        <f>AB21*AC21</f>
        <v>0</v>
      </c>
      <c r="AE21" s="64"/>
      <c r="AF21" s="65"/>
      <c r="AG21" s="306">
        <v>0.5</v>
      </c>
      <c r="AH21" s="313">
        <f>AF21*AG21</f>
        <v>0</v>
      </c>
      <c r="AI21" s="64"/>
      <c r="AJ21" s="65"/>
      <c r="AK21" s="306">
        <v>0.5</v>
      </c>
      <c r="AL21" s="313">
        <f>AJ21*AK21</f>
        <v>0</v>
      </c>
      <c r="AM21" s="64"/>
      <c r="AN21" s="65"/>
      <c r="AO21" s="306">
        <v>0.5</v>
      </c>
      <c r="AP21" s="313">
        <f>AN21*AO21</f>
        <v>0</v>
      </c>
      <c r="AQ21" s="64">
        <v>1</v>
      </c>
      <c r="AR21" s="65">
        <v>0</v>
      </c>
      <c r="AS21" s="306">
        <v>0.5</v>
      </c>
      <c r="AT21" s="313">
        <f>AR21*AS21</f>
        <v>0</v>
      </c>
      <c r="AU21" s="316">
        <f>[6]form4!$M$23</f>
        <v>1</v>
      </c>
      <c r="AV21" s="317">
        <f>[6]form4!$P$23</f>
        <v>0</v>
      </c>
      <c r="AW21" s="318">
        <v>0.5</v>
      </c>
      <c r="AX21" s="319">
        <f>AV21*AW21</f>
        <v>0</v>
      </c>
      <c r="BG21" s="360">
        <v>1</v>
      </c>
      <c r="BH21" s="359"/>
      <c r="BI21" s="355">
        <v>0</v>
      </c>
      <c r="BJ21" s="354">
        <v>0.5</v>
      </c>
      <c r="BK21" s="355">
        <v>0</v>
      </c>
      <c r="BL21" s="369">
        <v>1</v>
      </c>
      <c r="BM21" s="366">
        <v>0</v>
      </c>
      <c r="BN21" s="367">
        <v>0.5</v>
      </c>
      <c r="BO21" s="368">
        <v>0</v>
      </c>
      <c r="BP21" s="369">
        <v>1</v>
      </c>
      <c r="BQ21" s="366">
        <v>0</v>
      </c>
      <c r="BR21" s="367">
        <v>0.5</v>
      </c>
      <c r="BS21" s="368">
        <v>0</v>
      </c>
    </row>
    <row r="22" spans="1:71" ht="14.4" x14ac:dyDescent="0.25">
      <c r="A22" s="281">
        <v>5</v>
      </c>
      <c r="B22" s="281" t="s">
        <v>453</v>
      </c>
      <c r="C22" s="305">
        <f>[6]form4!$Q$24</f>
        <v>1</v>
      </c>
      <c r="D22" s="305">
        <f>[6]form4!$U$24</f>
        <v>0</v>
      </c>
      <c r="E22" s="306">
        <v>1</v>
      </c>
      <c r="F22" s="320">
        <f>E22*D22</f>
        <v>0</v>
      </c>
      <c r="G22" s="329"/>
      <c r="H22" s="330"/>
      <c r="I22" s="336"/>
      <c r="J22" s="331"/>
      <c r="K22" s="312"/>
      <c r="L22" s="305"/>
      <c r="M22" s="337">
        <v>1</v>
      </c>
      <c r="N22" s="333">
        <f>L22*M22</f>
        <v>0</v>
      </c>
      <c r="O22" s="312">
        <f t="shared" si="7"/>
        <v>0</v>
      </c>
      <c r="P22" s="305">
        <f t="shared" si="7"/>
        <v>0</v>
      </c>
      <c r="Q22" s="306">
        <v>1</v>
      </c>
      <c r="R22" s="313">
        <f>P22*Q22</f>
        <v>0</v>
      </c>
      <c r="S22" s="64"/>
      <c r="T22" s="65"/>
      <c r="U22" s="306">
        <v>1</v>
      </c>
      <c r="V22" s="313">
        <f>T22*U22</f>
        <v>0</v>
      </c>
      <c r="W22" s="64"/>
      <c r="X22" s="65"/>
      <c r="Y22" s="306">
        <v>1</v>
      </c>
      <c r="Z22" s="313">
        <f>X22*Y22</f>
        <v>0</v>
      </c>
      <c r="AA22" s="64"/>
      <c r="AB22" s="65"/>
      <c r="AC22" s="306">
        <v>1</v>
      </c>
      <c r="AD22" s="313">
        <f>AB22*AC22</f>
        <v>0</v>
      </c>
      <c r="AE22" s="64"/>
      <c r="AF22" s="65"/>
      <c r="AG22" s="306">
        <v>1</v>
      </c>
      <c r="AH22" s="313">
        <f>AF22*AG22</f>
        <v>0</v>
      </c>
      <c r="AI22" s="64"/>
      <c r="AJ22" s="65"/>
      <c r="AK22" s="306">
        <v>1</v>
      </c>
      <c r="AL22" s="313">
        <f>AJ22*AK22</f>
        <v>0</v>
      </c>
      <c r="AM22" s="64"/>
      <c r="AN22" s="65"/>
      <c r="AO22" s="306">
        <v>1</v>
      </c>
      <c r="AP22" s="313">
        <f>AN22*AO22</f>
        <v>0</v>
      </c>
      <c r="AQ22" s="64">
        <v>1</v>
      </c>
      <c r="AR22" s="65">
        <v>0</v>
      </c>
      <c r="AS22" s="306">
        <v>1</v>
      </c>
      <c r="AT22" s="313">
        <f>AR22*AS22</f>
        <v>0</v>
      </c>
      <c r="AU22" s="316">
        <f>[6]form4!$M$24</f>
        <v>1</v>
      </c>
      <c r="AV22" s="317">
        <f>[6]form4!$P$24</f>
        <v>0</v>
      </c>
      <c r="AW22" s="318">
        <v>1</v>
      </c>
      <c r="AX22" s="319">
        <f>AV22*AW22</f>
        <v>0</v>
      </c>
      <c r="BG22" s="360">
        <v>1</v>
      </c>
      <c r="BH22" s="359"/>
      <c r="BI22" s="355">
        <v>0</v>
      </c>
      <c r="BJ22" s="356">
        <v>1</v>
      </c>
      <c r="BK22" s="355">
        <v>0</v>
      </c>
      <c r="BL22" s="369">
        <v>1</v>
      </c>
      <c r="BM22" s="366">
        <v>0</v>
      </c>
      <c r="BN22" s="370">
        <v>1</v>
      </c>
      <c r="BO22" s="368">
        <v>0</v>
      </c>
      <c r="BP22" s="369">
        <v>1</v>
      </c>
      <c r="BQ22" s="366">
        <v>0</v>
      </c>
      <c r="BR22" s="370">
        <v>1</v>
      </c>
      <c r="BS22" s="368">
        <v>0</v>
      </c>
    </row>
    <row r="23" spans="1:71" ht="14.4" x14ac:dyDescent="0.25">
      <c r="A23" s="281"/>
      <c r="B23" s="283" t="s">
        <v>454</v>
      </c>
      <c r="C23" s="327">
        <f>SUM(C18:C22)</f>
        <v>28</v>
      </c>
      <c r="D23" s="327">
        <f>SUM(D18:D22)</f>
        <v>190090</v>
      </c>
      <c r="E23" s="327"/>
      <c r="F23" s="338">
        <f>SUM(F18:F22)</f>
        <v>5421.22</v>
      </c>
      <c r="G23" s="329">
        <f>SUM(G18:G22)</f>
        <v>0</v>
      </c>
      <c r="H23" s="281"/>
      <c r="I23" s="281"/>
      <c r="J23" s="339"/>
      <c r="K23" s="340">
        <f>SUM(K17:K22)</f>
        <v>0</v>
      </c>
      <c r="L23" s="341">
        <f>SUM(L17:L22)</f>
        <v>0</v>
      </c>
      <c r="M23" s="283"/>
      <c r="N23" s="297">
        <f>SUM(N17:N22)</f>
        <v>0</v>
      </c>
      <c r="O23" s="340">
        <f>SUM(O17:O22)</f>
        <v>0</v>
      </c>
      <c r="P23" s="341">
        <f>SUM(P17:P22)</f>
        <v>0</v>
      </c>
      <c r="Q23" s="283"/>
      <c r="R23" s="342">
        <f>SUM(R17:R22)</f>
        <v>0</v>
      </c>
      <c r="S23" s="64"/>
      <c r="T23" s="65"/>
      <c r="U23" s="283"/>
      <c r="V23" s="342">
        <f>SUM(V17:V22)</f>
        <v>0</v>
      </c>
      <c r="W23" s="64"/>
      <c r="X23" s="65"/>
      <c r="Y23" s="283"/>
      <c r="Z23" s="342">
        <f>SUM(Z17:Z22)</f>
        <v>0</v>
      </c>
      <c r="AA23" s="64"/>
      <c r="AB23" s="65"/>
      <c r="AC23" s="283"/>
      <c r="AD23" s="342">
        <f>SUM(AD17:AD22)</f>
        <v>0</v>
      </c>
      <c r="AE23" s="64"/>
      <c r="AF23" s="65"/>
      <c r="AG23" s="283"/>
      <c r="AH23" s="342">
        <f>SUM(AH17:AH22)</f>
        <v>0</v>
      </c>
      <c r="AI23" s="64"/>
      <c r="AJ23" s="65"/>
      <c r="AK23" s="283"/>
      <c r="AL23" s="342">
        <f>SUM(AL17:AL22)</f>
        <v>0</v>
      </c>
      <c r="AM23" s="64"/>
      <c r="AN23" s="65"/>
      <c r="AO23" s="283"/>
      <c r="AP23" s="342">
        <f>SUM(AP17:AP22)</f>
        <v>0</v>
      </c>
      <c r="AQ23" s="64"/>
      <c r="AR23" s="65">
        <f>SUM(AR18:AR22)</f>
        <v>1941418</v>
      </c>
      <c r="AS23" s="283"/>
      <c r="AT23" s="342">
        <f>SUM(AT17:AT22)</f>
        <v>19414.18</v>
      </c>
      <c r="AU23" s="296">
        <f>SUM(AU17:AU22)</f>
        <v>15</v>
      </c>
      <c r="AV23" s="327">
        <f>SUM(AV17:AV22)</f>
        <v>1864770</v>
      </c>
      <c r="AW23" s="327"/>
      <c r="AX23" s="328">
        <f>SUM(AX17:AX22)</f>
        <v>18647.7</v>
      </c>
      <c r="BG23" s="353">
        <v>15</v>
      </c>
      <c r="BH23" s="359"/>
      <c r="BI23" s="357">
        <v>1745181</v>
      </c>
      <c r="BJ23" s="353"/>
      <c r="BK23" s="357">
        <v>17451.810000000001</v>
      </c>
      <c r="BL23" s="363">
        <v>15</v>
      </c>
      <c r="BM23" s="371">
        <v>1745181</v>
      </c>
      <c r="BN23" s="364"/>
      <c r="BO23" s="372">
        <v>17451.810000000001</v>
      </c>
      <c r="BP23" s="363">
        <v>15</v>
      </c>
      <c r="BQ23" s="371">
        <v>1745181</v>
      </c>
      <c r="BR23" s="364"/>
      <c r="BS23" s="372">
        <v>17451.810000000001</v>
      </c>
    </row>
    <row r="24" spans="1:71" ht="15" thickBot="1" x14ac:dyDescent="0.3">
      <c r="A24" s="281"/>
      <c r="B24" s="283" t="s">
        <v>456</v>
      </c>
      <c r="C24" s="343">
        <f t="shared" ref="C24:N24" si="8">C16+C23</f>
        <v>1300</v>
      </c>
      <c r="D24" s="343">
        <f t="shared" si="8"/>
        <v>48487087.82</v>
      </c>
      <c r="E24" s="343">
        <f t="shared" si="8"/>
        <v>0</v>
      </c>
      <c r="F24" s="343">
        <f t="shared" si="8"/>
        <v>1949569.6181999999</v>
      </c>
      <c r="G24" s="344">
        <f t="shared" si="8"/>
        <v>0</v>
      </c>
      <c r="H24" s="345">
        <f t="shared" si="8"/>
        <v>0</v>
      </c>
      <c r="I24" s="345">
        <f t="shared" si="8"/>
        <v>0</v>
      </c>
      <c r="J24" s="346">
        <f t="shared" si="8"/>
        <v>0</v>
      </c>
      <c r="K24" s="326">
        <f t="shared" si="8"/>
        <v>5318</v>
      </c>
      <c r="L24" s="323">
        <f t="shared" si="8"/>
        <v>732375850.65999985</v>
      </c>
      <c r="M24" s="345">
        <f t="shared" si="8"/>
        <v>0</v>
      </c>
      <c r="N24" s="346">
        <f t="shared" si="8"/>
        <v>26801976.078400001</v>
      </c>
      <c r="O24" s="340">
        <f>O16+O23</f>
        <v>7660</v>
      </c>
      <c r="P24" s="341">
        <f>P16+P23</f>
        <v>741542541.13</v>
      </c>
      <c r="Q24" s="283"/>
      <c r="R24" s="342">
        <f>R16+R23</f>
        <v>21119832.345000003</v>
      </c>
      <c r="S24" s="347">
        <f t="shared" ref="S24:T24" si="9">S16+S23</f>
        <v>7660</v>
      </c>
      <c r="T24" s="348">
        <f t="shared" si="9"/>
        <v>708731360.13999999</v>
      </c>
      <c r="U24" s="348"/>
      <c r="V24" s="349">
        <f>V16+V23</f>
        <v>17546532.038000003</v>
      </c>
      <c r="W24" s="347">
        <f t="shared" ref="W24:AB24" si="10">W16+W23</f>
        <v>6153</v>
      </c>
      <c r="X24" s="348">
        <f t="shared" si="10"/>
        <v>797023460.46999991</v>
      </c>
      <c r="Y24" s="348"/>
      <c r="Z24" s="349">
        <f t="shared" si="10"/>
        <v>23617878.4485</v>
      </c>
      <c r="AA24" s="347">
        <f t="shared" si="10"/>
        <v>6706</v>
      </c>
      <c r="AB24" s="348">
        <f t="shared" si="10"/>
        <v>852054122.64999998</v>
      </c>
      <c r="AC24" s="348"/>
      <c r="AD24" s="349">
        <f t="shared" ref="AD24:AG24" si="11">AD16+AD23</f>
        <v>66330439.304799996</v>
      </c>
      <c r="AE24" s="347">
        <f t="shared" si="11"/>
        <v>7058</v>
      </c>
      <c r="AF24" s="348">
        <f t="shared" si="11"/>
        <v>861358159.94000006</v>
      </c>
      <c r="AG24" s="348">
        <f t="shared" si="11"/>
        <v>0</v>
      </c>
      <c r="AH24" s="349">
        <f>AH16+AH23</f>
        <v>23891055.315200001</v>
      </c>
      <c r="AI24" s="347">
        <f t="shared" ref="AI24:AK24" si="12">AI16+AI23</f>
        <v>7268</v>
      </c>
      <c r="AJ24" s="348">
        <f t="shared" si="12"/>
        <v>902491783.98000002</v>
      </c>
      <c r="AK24" s="348">
        <f t="shared" si="12"/>
        <v>0</v>
      </c>
      <c r="AL24" s="349">
        <f>AL16+AL23</f>
        <v>27925008.209100001</v>
      </c>
      <c r="AM24" s="347">
        <f t="shared" ref="AM24:AO24" si="13">AM16+AM23</f>
        <v>1050</v>
      </c>
      <c r="AN24" s="348">
        <f t="shared" si="13"/>
        <v>69766044.460000008</v>
      </c>
      <c r="AO24" s="348">
        <f t="shared" si="13"/>
        <v>0</v>
      </c>
      <c r="AP24" s="349">
        <f>AP16+AP23</f>
        <v>2329820.1846000003</v>
      </c>
      <c r="AQ24" s="347">
        <f t="shared" ref="AQ24:AS24" si="14">AQ16+AQ23</f>
        <v>1072</v>
      </c>
      <c r="AR24" s="348">
        <f t="shared" si="14"/>
        <v>74946295.879999995</v>
      </c>
      <c r="AS24" s="348">
        <f t="shared" si="14"/>
        <v>0</v>
      </c>
      <c r="AT24" s="349">
        <f>AT16+AT23</f>
        <v>2728618.1187999998</v>
      </c>
      <c r="AU24" s="350">
        <f>AU16+AU23</f>
        <v>1123</v>
      </c>
      <c r="AV24" s="351">
        <f>AV16+AV23</f>
        <v>81018307.129999995</v>
      </c>
      <c r="AW24" s="351"/>
      <c r="AX24" s="352">
        <f>AX16+AX23</f>
        <v>2412943.3012999999</v>
      </c>
      <c r="BG24" s="362">
        <v>1161</v>
      </c>
      <c r="BH24" s="359"/>
      <c r="BI24" s="357">
        <v>87223696.069999993</v>
      </c>
      <c r="BJ24" s="353"/>
      <c r="BK24" s="357">
        <v>1869557.8407000001</v>
      </c>
      <c r="BL24" s="375">
        <v>1161</v>
      </c>
      <c r="BM24" s="371">
        <v>87223696.069999993</v>
      </c>
      <c r="BN24" s="364"/>
      <c r="BO24" s="372">
        <v>1869557.8407000001</v>
      </c>
      <c r="BP24" s="375">
        <v>1161</v>
      </c>
      <c r="BQ24" s="371">
        <v>87223696.069999993</v>
      </c>
      <c r="BR24" s="364"/>
      <c r="BS24" s="372">
        <v>1869557.8407000001</v>
      </c>
    </row>
    <row r="25" spans="1:71" x14ac:dyDescent="0.25">
      <c r="A25" s="254"/>
      <c r="B25" s="255"/>
      <c r="C25" s="256"/>
      <c r="D25" s="256"/>
      <c r="E25" s="256"/>
      <c r="F25" s="256"/>
      <c r="G25" s="257"/>
      <c r="H25" s="258"/>
      <c r="I25" s="258"/>
      <c r="J25" s="259"/>
      <c r="K25" s="260"/>
      <c r="L25" s="261"/>
      <c r="M25" s="262"/>
      <c r="N25" s="263"/>
      <c r="O25" s="264"/>
      <c r="P25" s="265"/>
      <c r="Q25" s="266"/>
      <c r="R25" s="267"/>
      <c r="S25" s="268"/>
      <c r="T25" s="268"/>
      <c r="U25" s="268"/>
      <c r="V25" s="268"/>
      <c r="W25" s="268"/>
      <c r="X25" s="268"/>
      <c r="Y25" s="268"/>
      <c r="Z25" s="268"/>
      <c r="AA25" s="268"/>
      <c r="AB25" s="268"/>
      <c r="AC25" s="268"/>
      <c r="AD25" s="268"/>
      <c r="AE25" s="268"/>
      <c r="AF25" s="268"/>
      <c r="AG25" s="268"/>
      <c r="AH25" s="268"/>
      <c r="AI25" s="268"/>
      <c r="AJ25" s="268"/>
      <c r="AK25" s="268"/>
      <c r="AL25" s="268"/>
      <c r="AM25" s="268"/>
      <c r="AN25" s="268"/>
      <c r="AO25" s="268"/>
      <c r="AP25" s="268"/>
      <c r="AQ25" s="268"/>
      <c r="AR25" s="268"/>
      <c r="AS25" s="268"/>
      <c r="AT25" s="268"/>
      <c r="AV25" s="196"/>
      <c r="AW25" s="196"/>
      <c r="AX25" s="196"/>
    </row>
    <row r="26" spans="1:71" ht="15" customHeight="1" x14ac:dyDescent="0.25">
      <c r="A26" s="254"/>
      <c r="B26" s="269" t="s">
        <v>457</v>
      </c>
      <c r="C26" s="730">
        <f>SUM(D13:D15)+D23</f>
        <v>3069984</v>
      </c>
      <c r="D26" s="731"/>
      <c r="E26" s="731"/>
      <c r="F26" s="732"/>
      <c r="G26" s="270"/>
      <c r="H26" s="270"/>
      <c r="I26" s="270"/>
      <c r="J26" s="270"/>
      <c r="K26" s="736">
        <f>SUM(L13:L15)</f>
        <v>26259950.560000002</v>
      </c>
      <c r="L26" s="737"/>
      <c r="M26" s="737"/>
      <c r="N26" s="738"/>
      <c r="O26" s="724">
        <f>SUM(P13:P15)</f>
        <v>18093821.719999999</v>
      </c>
      <c r="P26" s="725"/>
      <c r="Q26" s="725"/>
      <c r="R26" s="726"/>
      <c r="S26" s="724">
        <f>SUM(T13:T15)</f>
        <v>14097362.560000001</v>
      </c>
      <c r="T26" s="725"/>
      <c r="U26" s="725"/>
      <c r="V26" s="726"/>
      <c r="W26" s="724">
        <f>SUM(X13:X15)</f>
        <v>19631623.120000001</v>
      </c>
      <c r="X26" s="725"/>
      <c r="Y26" s="725"/>
      <c r="Z26" s="726"/>
      <c r="AA26" s="724">
        <f>SUM(AB13:AB15)</f>
        <v>64466339.769999996</v>
      </c>
      <c r="AB26" s="725"/>
      <c r="AC26" s="725"/>
      <c r="AD26" s="726"/>
      <c r="AE26" s="724">
        <f>SUM(AF13:AF15)</f>
        <v>21506843.560000002</v>
      </c>
      <c r="AF26" s="725"/>
      <c r="AG26" s="725"/>
      <c r="AH26" s="726"/>
      <c r="AI26" s="724">
        <f>SUM(AJ13:AJ15)</f>
        <v>26554026.740000002</v>
      </c>
      <c r="AJ26" s="725"/>
      <c r="AK26" s="725"/>
      <c r="AL26" s="726"/>
      <c r="AM26" s="724">
        <f>SUM(AN13:AN15)</f>
        <v>2731146</v>
      </c>
      <c r="AN26" s="725"/>
      <c r="AO26" s="725"/>
      <c r="AP26" s="726"/>
      <c r="AQ26" s="724">
        <f>SUM(AR13:AR15)+AR23</f>
        <v>4653070</v>
      </c>
      <c r="AR26" s="725"/>
      <c r="AS26" s="725"/>
      <c r="AT26" s="726"/>
      <c r="AV26" s="196"/>
      <c r="AW26" s="196"/>
      <c r="AX26" s="196"/>
    </row>
    <row r="27" spans="1:71" ht="15" customHeight="1" x14ac:dyDescent="0.25">
      <c r="A27" s="254"/>
      <c r="B27" s="269" t="s">
        <v>458</v>
      </c>
      <c r="C27" s="733">
        <f>C26/D24</f>
        <v>6.3315495692312748E-2</v>
      </c>
      <c r="D27" s="734"/>
      <c r="E27" s="734"/>
      <c r="F27" s="735"/>
      <c r="G27" s="270"/>
      <c r="H27" s="270"/>
      <c r="I27" s="270"/>
      <c r="J27" s="270"/>
      <c r="K27" s="739">
        <f>K26/L24</f>
        <v>3.5855838960740107E-2</v>
      </c>
      <c r="L27" s="740"/>
      <c r="M27" s="740"/>
      <c r="N27" s="741"/>
      <c r="O27" s="727">
        <f>O26/P24</f>
        <v>2.4400247749006711E-2</v>
      </c>
      <c r="P27" s="728"/>
      <c r="Q27" s="728"/>
      <c r="R27" s="729"/>
      <c r="S27" s="727">
        <f>S26/T24</f>
        <v>1.989098176383117E-2</v>
      </c>
      <c r="T27" s="728"/>
      <c r="U27" s="728"/>
      <c r="V27" s="729"/>
      <c r="W27" s="727">
        <f>W26/X24</f>
        <v>2.4631173476905376E-2</v>
      </c>
      <c r="X27" s="728"/>
      <c r="Y27" s="728"/>
      <c r="Z27" s="729"/>
      <c r="AA27" s="727">
        <f>AA26/AB24</f>
        <v>7.5659911801730664E-2</v>
      </c>
      <c r="AB27" s="728"/>
      <c r="AC27" s="728"/>
      <c r="AD27" s="729"/>
      <c r="AE27" s="727">
        <f>AE26/AF24</f>
        <v>2.4968525939892544E-2</v>
      </c>
      <c r="AF27" s="728"/>
      <c r="AG27" s="728"/>
      <c r="AH27" s="729"/>
      <c r="AI27" s="727">
        <f>AI26/AJ24</f>
        <v>2.9423012166267502E-2</v>
      </c>
      <c r="AJ27" s="728"/>
      <c r="AK27" s="728"/>
      <c r="AL27" s="729"/>
      <c r="AM27" s="727">
        <f>AM26/AN24</f>
        <v>3.9147210095390864E-2</v>
      </c>
      <c r="AN27" s="728"/>
      <c r="AO27" s="728"/>
      <c r="AP27" s="729"/>
      <c r="AQ27" s="727">
        <f>AQ26/AR24</f>
        <v>6.2085389883047015E-2</v>
      </c>
      <c r="AR27" s="728"/>
      <c r="AS27" s="728"/>
      <c r="AT27" s="729"/>
    </row>
    <row r="28" spans="1:71" ht="28.5" customHeight="1" thickBot="1" x14ac:dyDescent="0.3">
      <c r="A28" s="254"/>
      <c r="B28" s="271"/>
      <c r="G28" s="186"/>
      <c r="H28" s="187"/>
      <c r="I28" s="187"/>
      <c r="J28" s="188"/>
      <c r="K28" s="272"/>
      <c r="L28" s="273"/>
      <c r="M28" s="273"/>
      <c r="N28" s="274"/>
      <c r="O28" s="272"/>
      <c r="P28" s="273"/>
      <c r="Q28" s="273"/>
      <c r="R28" s="274"/>
    </row>
    <row r="29" spans="1:71" ht="15" customHeight="1" x14ac:dyDescent="0.25">
      <c r="A29" s="723" t="s">
        <v>459</v>
      </c>
      <c r="B29" s="723"/>
      <c r="C29" s="723"/>
      <c r="D29" s="723"/>
      <c r="E29" s="723"/>
      <c r="F29" s="723"/>
      <c r="G29" s="275"/>
      <c r="H29" s="275"/>
      <c r="I29" s="275"/>
      <c r="J29" s="275"/>
      <c r="AR29" s="189">
        <f>AR12+AR13+AR14+AR15</f>
        <v>2712819</v>
      </c>
    </row>
    <row r="30" spans="1:71" ht="15" customHeight="1" x14ac:dyDescent="0.25">
      <c r="A30" s="275"/>
      <c r="B30" s="275"/>
      <c r="C30" s="275"/>
      <c r="D30" s="275"/>
      <c r="E30" s="275"/>
      <c r="F30" s="275"/>
      <c r="G30" s="275"/>
      <c r="H30" s="275"/>
      <c r="I30" s="275"/>
      <c r="J30" s="275"/>
      <c r="L30" s="124"/>
      <c r="AR30" s="190">
        <f>AR29/AR24</f>
        <v>3.619683892508338E-2</v>
      </c>
    </row>
    <row r="31" spans="1:71" x14ac:dyDescent="0.25">
      <c r="A31" s="253"/>
      <c r="B31" s="125" t="s">
        <v>460</v>
      </c>
      <c r="C31" s="126"/>
      <c r="D31" s="126"/>
      <c r="E31" s="126"/>
      <c r="F31" s="126"/>
      <c r="G31" s="126"/>
      <c r="H31" s="126"/>
      <c r="I31" s="126"/>
      <c r="J31" s="126"/>
      <c r="L31" s="127"/>
    </row>
    <row r="32" spans="1:71" ht="15.75" customHeight="1" x14ac:dyDescent="0.25">
      <c r="A32" s="253"/>
      <c r="B32" s="722" t="s">
        <v>461</v>
      </c>
      <c r="C32" s="722"/>
      <c r="D32" s="722"/>
      <c r="E32" s="722"/>
      <c r="F32" s="722"/>
      <c r="G32" s="252"/>
      <c r="H32" s="252"/>
      <c r="I32" s="252"/>
      <c r="J32" s="252"/>
    </row>
    <row r="33" spans="1:10" ht="24" customHeight="1" x14ac:dyDescent="0.25">
      <c r="A33" s="253"/>
      <c r="B33" s="722" t="s">
        <v>462</v>
      </c>
      <c r="C33" s="722"/>
      <c r="D33" s="722"/>
      <c r="E33" s="722"/>
      <c r="F33" s="722"/>
      <c r="G33" s="252"/>
      <c r="H33" s="252"/>
      <c r="I33" s="252"/>
      <c r="J33" s="252"/>
    </row>
    <row r="34" spans="1:10" ht="14.25" customHeight="1" x14ac:dyDescent="0.25">
      <c r="A34" s="253"/>
      <c r="B34" s="126" t="s">
        <v>463</v>
      </c>
      <c r="C34" s="126"/>
      <c r="D34" s="126"/>
      <c r="E34" s="126"/>
      <c r="F34" s="126"/>
      <c r="G34" s="126"/>
      <c r="H34" s="126"/>
      <c r="I34" s="126"/>
      <c r="J34" s="126"/>
    </row>
    <row r="35" spans="1:10" ht="20.25" customHeight="1" x14ac:dyDescent="0.25">
      <c r="A35" s="253"/>
      <c r="B35" s="722" t="s">
        <v>462</v>
      </c>
      <c r="C35" s="722"/>
      <c r="D35" s="722"/>
      <c r="E35" s="722"/>
      <c r="F35" s="722"/>
      <c r="G35" s="252"/>
      <c r="H35" s="252"/>
      <c r="I35" s="252"/>
      <c r="J35" s="252"/>
    </row>
    <row r="36" spans="1:10" x14ac:dyDescent="0.25">
      <c r="A36" s="253"/>
      <c r="B36" s="126" t="s">
        <v>464</v>
      </c>
      <c r="C36" s="126"/>
      <c r="D36" s="126"/>
      <c r="E36" s="126"/>
      <c r="F36" s="126"/>
      <c r="G36" s="126"/>
      <c r="H36" s="126"/>
      <c r="I36" s="126"/>
      <c r="J36" s="126"/>
    </row>
    <row r="39" spans="1:10" ht="13.8" x14ac:dyDescent="0.3">
      <c r="B39" s="276"/>
      <c r="C39" s="277" t="s">
        <v>465</v>
      </c>
      <c r="D39" s="277" t="s">
        <v>466</v>
      </c>
      <c r="E39" s="277" t="s">
        <v>467</v>
      </c>
      <c r="F39" s="277" t="s">
        <v>468</v>
      </c>
      <c r="G39" s="277" t="s">
        <v>469</v>
      </c>
      <c r="H39" s="277" t="s">
        <v>470</v>
      </c>
      <c r="I39" s="277"/>
      <c r="J39" s="277"/>
    </row>
    <row r="40" spans="1:10" ht="13.8" x14ac:dyDescent="0.3">
      <c r="B40" s="276"/>
      <c r="C40" s="277" t="s">
        <v>471</v>
      </c>
      <c r="D40" s="277" t="s">
        <v>472</v>
      </c>
      <c r="E40" s="277" t="s">
        <v>473</v>
      </c>
      <c r="F40" s="277" t="s">
        <v>474</v>
      </c>
      <c r="G40" s="277" t="s">
        <v>475</v>
      </c>
      <c r="H40" s="277"/>
      <c r="I40" s="277"/>
      <c r="J40" s="277"/>
    </row>
    <row r="41" spans="1:10" ht="13.8" x14ac:dyDescent="0.3">
      <c r="B41" s="276" t="s">
        <v>476</v>
      </c>
      <c r="C41" s="278">
        <v>93483.7</v>
      </c>
      <c r="D41" s="278">
        <v>23172.6</v>
      </c>
      <c r="E41" s="278">
        <v>123787.95</v>
      </c>
      <c r="F41" s="278">
        <v>0</v>
      </c>
      <c r="G41" s="278">
        <v>0</v>
      </c>
      <c r="H41" s="278">
        <v>146960.54999999999</v>
      </c>
      <c r="I41" s="278"/>
      <c r="J41" s="276"/>
    </row>
    <row r="42" spans="1:10" ht="13.8" x14ac:dyDescent="0.3">
      <c r="B42" s="276" t="s">
        <v>477</v>
      </c>
      <c r="C42" s="278">
        <v>432909</v>
      </c>
      <c r="D42" s="278">
        <v>0</v>
      </c>
      <c r="E42" s="278">
        <v>0</v>
      </c>
      <c r="F42" s="278">
        <v>0</v>
      </c>
      <c r="G42" s="278">
        <v>0</v>
      </c>
      <c r="H42" s="278">
        <v>0</v>
      </c>
      <c r="I42" s="278"/>
      <c r="J42" s="276"/>
    </row>
    <row r="43" spans="1:10" ht="13.8" x14ac:dyDescent="0.3">
      <c r="B43" s="276" t="s">
        <v>478</v>
      </c>
      <c r="C43" s="278">
        <v>132823491.04000001</v>
      </c>
      <c r="D43" s="278">
        <v>6461439.8099999996</v>
      </c>
      <c r="E43" s="278">
        <v>2044271.56</v>
      </c>
      <c r="F43" s="278">
        <v>3598152</v>
      </c>
      <c r="G43" s="278">
        <v>0</v>
      </c>
      <c r="H43" s="278">
        <v>12103863.369999999</v>
      </c>
      <c r="I43" s="278"/>
      <c r="J43" s="276"/>
    </row>
    <row r="44" spans="1:10" ht="13.8" x14ac:dyDescent="0.3">
      <c r="B44" s="276" t="s">
        <v>479</v>
      </c>
      <c r="C44" s="278">
        <v>13742041.720000001</v>
      </c>
      <c r="D44" s="278">
        <v>213399.61</v>
      </c>
      <c r="E44" s="278">
        <v>283349.56</v>
      </c>
      <c r="F44" s="278">
        <v>876691</v>
      </c>
      <c r="G44" s="278">
        <v>0</v>
      </c>
      <c r="H44" s="278">
        <v>1373440.17</v>
      </c>
      <c r="I44" s="278"/>
      <c r="J44" s="276"/>
    </row>
    <row r="45" spans="1:10" ht="13.8" x14ac:dyDescent="0.3">
      <c r="B45" s="276" t="s">
        <v>480</v>
      </c>
      <c r="C45" s="278">
        <v>121658</v>
      </c>
      <c r="D45" s="278">
        <v>41660</v>
      </c>
      <c r="E45" s="278">
        <v>0</v>
      </c>
      <c r="F45" s="278">
        <v>0</v>
      </c>
      <c r="G45" s="278">
        <v>0</v>
      </c>
      <c r="H45" s="278">
        <v>41660</v>
      </c>
      <c r="I45" s="278"/>
      <c r="J45" s="276"/>
    </row>
    <row r="46" spans="1:10" ht="13.8" x14ac:dyDescent="0.3">
      <c r="B46" s="276" t="s">
        <v>481</v>
      </c>
      <c r="C46" s="278">
        <v>1986050</v>
      </c>
      <c r="D46" s="278">
        <v>130160</v>
      </c>
      <c r="E46" s="278">
        <v>0</v>
      </c>
      <c r="F46" s="278">
        <v>0</v>
      </c>
      <c r="G46" s="278">
        <v>0</v>
      </c>
      <c r="H46" s="278">
        <v>130160</v>
      </c>
      <c r="I46" s="278"/>
      <c r="J46" s="276"/>
    </row>
    <row r="47" spans="1:10" ht="13.8" x14ac:dyDescent="0.3">
      <c r="B47" s="276" t="s">
        <v>482</v>
      </c>
      <c r="C47" s="278">
        <v>1534796359.25</v>
      </c>
      <c r="D47" s="278">
        <v>42896088.270000003</v>
      </c>
      <c r="E47" s="278">
        <v>33960546.829999998</v>
      </c>
      <c r="F47" s="278">
        <v>51939260.609999999</v>
      </c>
      <c r="G47" s="278">
        <v>633773</v>
      </c>
      <c r="H47" s="278">
        <v>129429668.70999999</v>
      </c>
      <c r="I47" s="278"/>
      <c r="J47" s="276"/>
    </row>
    <row r="48" spans="1:10" ht="13.8" x14ac:dyDescent="0.3">
      <c r="B48" s="276" t="s">
        <v>483</v>
      </c>
      <c r="C48" s="278">
        <v>644958785.61000001</v>
      </c>
      <c r="D48" s="278">
        <v>12944235.140000001</v>
      </c>
      <c r="E48" s="278">
        <v>17694412.199999999</v>
      </c>
      <c r="F48" s="278">
        <v>18640603.140000001</v>
      </c>
      <c r="G48" s="278">
        <v>0</v>
      </c>
      <c r="H48" s="278">
        <v>49279250.479999997</v>
      </c>
      <c r="I48" s="278"/>
      <c r="J48" s="276"/>
    </row>
    <row r="49" spans="2:10" ht="13.8" x14ac:dyDescent="0.3">
      <c r="B49" s="276" t="s">
        <v>484</v>
      </c>
      <c r="C49" s="278">
        <v>18891655.010000002</v>
      </c>
      <c r="D49" s="278">
        <v>554015.11</v>
      </c>
      <c r="E49" s="278">
        <v>1287131</v>
      </c>
      <c r="F49" s="278">
        <v>6305276</v>
      </c>
      <c r="G49" s="278">
        <v>0</v>
      </c>
      <c r="H49" s="278">
        <v>8146422.1100000003</v>
      </c>
      <c r="I49" s="278"/>
      <c r="J49" s="276"/>
    </row>
    <row r="50" spans="2:10" ht="13.8" x14ac:dyDescent="0.3">
      <c r="B50" s="276" t="s">
        <v>485</v>
      </c>
      <c r="C50" s="278">
        <v>6361142.4400000004</v>
      </c>
      <c r="D50" s="278">
        <v>67557.289999999994</v>
      </c>
      <c r="E50" s="278">
        <v>104341.75999999999</v>
      </c>
      <c r="F50" s="278">
        <v>393653</v>
      </c>
      <c r="G50" s="278">
        <v>0</v>
      </c>
      <c r="H50" s="278">
        <v>565552.05000000005</v>
      </c>
      <c r="I50" s="278"/>
      <c r="J50" s="276"/>
    </row>
    <row r="51" spans="2:10" ht="13.8" x14ac:dyDescent="0.3">
      <c r="B51" s="276" t="s">
        <v>486</v>
      </c>
      <c r="C51" s="278">
        <v>40956823.759999998</v>
      </c>
      <c r="D51" s="278">
        <v>2618040</v>
      </c>
      <c r="E51" s="278">
        <v>1361894</v>
      </c>
      <c r="F51" s="278">
        <v>963261</v>
      </c>
      <c r="G51" s="278">
        <v>0</v>
      </c>
      <c r="H51" s="278">
        <v>4943195</v>
      </c>
      <c r="I51" s="278"/>
      <c r="J51" s="276"/>
    </row>
    <row r="52" spans="2:10" ht="13.8" x14ac:dyDescent="0.3">
      <c r="B52" s="276" t="s">
        <v>487</v>
      </c>
      <c r="C52" s="278">
        <v>2616068462.9000001</v>
      </c>
      <c r="D52" s="278">
        <v>83473970.200000003</v>
      </c>
      <c r="E52" s="278">
        <v>78818313.390000001</v>
      </c>
      <c r="F52" s="278">
        <v>41276116.210000001</v>
      </c>
      <c r="G52" s="278">
        <v>100000</v>
      </c>
      <c r="H52" s="278">
        <v>204139459.80000001</v>
      </c>
      <c r="I52" s="278"/>
      <c r="J52" s="276"/>
    </row>
    <row r="53" spans="2:10" ht="13.8" x14ac:dyDescent="0.3">
      <c r="B53" s="276"/>
      <c r="C53" s="278"/>
      <c r="D53" s="276"/>
      <c r="E53" s="276"/>
      <c r="F53" s="276"/>
      <c r="G53" s="276"/>
      <c r="H53" s="276"/>
      <c r="I53" s="278"/>
      <c r="J53" s="276"/>
    </row>
    <row r="54" spans="2:10" ht="13.8" x14ac:dyDescent="0.3">
      <c r="B54" s="276" t="s">
        <v>488</v>
      </c>
      <c r="C54" s="278">
        <v>5011232862.4300003</v>
      </c>
      <c r="D54" s="278">
        <v>149423738.03</v>
      </c>
      <c r="E54" s="278">
        <v>135678048.25</v>
      </c>
      <c r="F54" s="278">
        <v>124464072.95999999</v>
      </c>
      <c r="G54" s="278">
        <v>733773</v>
      </c>
      <c r="H54" s="278">
        <v>410299632.24000001</v>
      </c>
      <c r="I54" s="278"/>
      <c r="J54" s="276"/>
    </row>
    <row r="55" spans="2:10" ht="13.8" x14ac:dyDescent="0.3">
      <c r="B55" s="276"/>
      <c r="C55" s="278"/>
      <c r="D55" s="276"/>
      <c r="E55" s="276"/>
      <c r="F55" s="276"/>
      <c r="G55" s="276"/>
      <c r="H55" s="276"/>
      <c r="I55" s="276"/>
      <c r="J55" s="276"/>
    </row>
    <row r="56" spans="2:10" ht="13.8" x14ac:dyDescent="0.3">
      <c r="B56" s="276" t="s">
        <v>489</v>
      </c>
      <c r="C56" s="278">
        <v>50112328.619999997</v>
      </c>
      <c r="D56" s="278">
        <v>7471186.9000000004</v>
      </c>
      <c r="E56" s="278">
        <v>33919512.060000002</v>
      </c>
      <c r="F56" s="278">
        <v>62232036.479999997</v>
      </c>
      <c r="G56" s="278">
        <v>733773</v>
      </c>
      <c r="H56" s="278">
        <v>154468837.06999999</v>
      </c>
      <c r="I56" s="276"/>
      <c r="J56" s="276"/>
    </row>
    <row r="57" spans="2:10" ht="13.8" x14ac:dyDescent="0.3">
      <c r="B57" s="276" t="s">
        <v>490</v>
      </c>
      <c r="C57" s="276">
        <v>92.43</v>
      </c>
      <c r="D57" s="276">
        <v>2.76</v>
      </c>
      <c r="E57" s="276">
        <v>2.5</v>
      </c>
      <c r="F57" s="276">
        <v>2.2999999999999998</v>
      </c>
      <c r="G57" s="276">
        <v>0.01</v>
      </c>
      <c r="H57" s="276">
        <v>100</v>
      </c>
      <c r="I57" s="276"/>
      <c r="J57" s="276"/>
    </row>
    <row r="58" spans="2:10" ht="13.8" x14ac:dyDescent="0.3">
      <c r="B58" s="276" t="s">
        <v>491</v>
      </c>
      <c r="C58" s="276">
        <v>92.43</v>
      </c>
      <c r="D58" s="276">
        <v>2.76</v>
      </c>
      <c r="E58" s="276">
        <v>2.5</v>
      </c>
      <c r="F58" s="276">
        <v>2.2999999999999998</v>
      </c>
      <c r="G58" s="276">
        <v>0.01</v>
      </c>
      <c r="H58" s="276">
        <v>1</v>
      </c>
      <c r="I58" s="276"/>
      <c r="J58" s="276"/>
    </row>
    <row r="59" spans="2:10" ht="13.8" x14ac:dyDescent="0.3">
      <c r="B59" s="276"/>
      <c r="C59" s="276"/>
      <c r="D59" s="276"/>
      <c r="E59" s="276"/>
      <c r="F59" s="276"/>
      <c r="G59" s="276"/>
      <c r="H59" s="276"/>
      <c r="I59" s="276"/>
      <c r="J59" s="276"/>
    </row>
    <row r="60" spans="2:10" ht="13.8" x14ac:dyDescent="0.3">
      <c r="B60" s="276" t="s">
        <v>492</v>
      </c>
      <c r="C60" s="276">
        <v>5</v>
      </c>
      <c r="D60" s="276"/>
      <c r="E60" s="276"/>
      <c r="F60" s="276"/>
      <c r="G60" s="276"/>
      <c r="H60" s="276"/>
      <c r="I60" s="276"/>
      <c r="J60" s="276"/>
    </row>
  </sheetData>
  <mergeCells count="37">
    <mergeCell ref="AE26:AH26"/>
    <mergeCell ref="AE27:AH27"/>
    <mergeCell ref="AA26:AD26"/>
    <mergeCell ref="AA27:AD27"/>
    <mergeCell ref="W26:Z26"/>
    <mergeCell ref="W27:Z27"/>
    <mergeCell ref="AQ26:AT26"/>
    <mergeCell ref="AQ27:AT27"/>
    <mergeCell ref="AM26:AP26"/>
    <mergeCell ref="AM27:AP27"/>
    <mergeCell ref="AI26:AL26"/>
    <mergeCell ref="AI27:AL27"/>
    <mergeCell ref="B32:F32"/>
    <mergeCell ref="B33:F33"/>
    <mergeCell ref="B35:F35"/>
    <mergeCell ref="S8:V8"/>
    <mergeCell ref="W8:Z8"/>
    <mergeCell ref="A29:F29"/>
    <mergeCell ref="O8:R8"/>
    <mergeCell ref="S26:V26"/>
    <mergeCell ref="S27:V27"/>
    <mergeCell ref="O26:R26"/>
    <mergeCell ref="O27:R27"/>
    <mergeCell ref="C26:F26"/>
    <mergeCell ref="C27:F27"/>
    <mergeCell ref="K26:N26"/>
    <mergeCell ref="K27:N27"/>
    <mergeCell ref="AQ8:AT8"/>
    <mergeCell ref="B2:F2"/>
    <mergeCell ref="B7:F7"/>
    <mergeCell ref="C8:F8"/>
    <mergeCell ref="G8:J8"/>
    <mergeCell ref="K8:N8"/>
    <mergeCell ref="AA8:AD8"/>
    <mergeCell ref="AE8:AH8"/>
    <mergeCell ref="AI8:AL8"/>
    <mergeCell ref="AM8:AP8"/>
  </mergeCells>
  <conditionalFormatting sqref="BI11:BS24">
    <cfRule type="duplicateValues" dxfId="0" priority="1"/>
  </conditionalFormatting>
  <dataValidations count="2">
    <dataValidation type="decimal" showErrorMessage="1" errorTitle="Error Msg" error="Enter a NO" sqref="G17:G22 G11:G15" xr:uid="{00000000-0002-0000-0400-000000000000}">
      <formula1>0</formula1>
      <formula2>999999999999</formula2>
    </dataValidation>
    <dataValidation type="decimal" showErrorMessage="1" errorTitle="Error Msg" error="Enter a number" sqref="I17:J22 H11:J15" xr:uid="{00000000-0002-0000-0400-000001000000}">
      <formula1>0</formula1>
      <formula2>999999999999</formula2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50"/>
  <sheetViews>
    <sheetView workbookViewId="0">
      <selection activeCell="G18" sqref="G18"/>
    </sheetView>
  </sheetViews>
  <sheetFormatPr defaultColWidth="9.109375" defaultRowHeight="13.2" x14ac:dyDescent="0.25"/>
  <cols>
    <col min="1" max="1" width="35" style="52" bestFit="1" customWidth="1"/>
    <col min="2" max="16384" width="9.109375" style="52"/>
  </cols>
  <sheetData>
    <row r="1" spans="1:8" x14ac:dyDescent="0.25">
      <c r="A1" s="2" t="s">
        <v>493</v>
      </c>
    </row>
    <row r="2" spans="1:8" ht="13.8" thickBot="1" x14ac:dyDescent="0.3">
      <c r="A2" s="5" t="s">
        <v>190</v>
      </c>
    </row>
    <row r="3" spans="1:8" x14ac:dyDescent="0.25">
      <c r="A3" s="6"/>
    </row>
    <row r="4" spans="1:8" x14ac:dyDescent="0.25">
      <c r="A4" s="233" t="s">
        <v>191</v>
      </c>
      <c r="B4" s="59">
        <v>2010</v>
      </c>
      <c r="C4" s="59">
        <v>2011</v>
      </c>
      <c r="D4" s="59">
        <v>2012</v>
      </c>
      <c r="E4" s="241">
        <v>41609</v>
      </c>
      <c r="F4" s="59">
        <v>2013</v>
      </c>
      <c r="G4" s="59">
        <v>2014</v>
      </c>
      <c r="H4" s="213" t="s">
        <v>8</v>
      </c>
    </row>
    <row r="5" spans="1:8" x14ac:dyDescent="0.25">
      <c r="A5" s="12" t="s">
        <v>196</v>
      </c>
      <c r="B5" s="211"/>
      <c r="C5" s="211"/>
      <c r="D5" s="211"/>
      <c r="E5" s="211"/>
      <c r="F5" s="211"/>
      <c r="G5" s="211"/>
      <c r="H5" s="211"/>
    </row>
    <row r="6" spans="1:8" x14ac:dyDescent="0.25">
      <c r="A6" s="105" t="s">
        <v>197</v>
      </c>
      <c r="B6" s="229">
        <v>8.244256</v>
      </c>
      <c r="C6" s="229">
        <v>11.229834</v>
      </c>
      <c r="D6" s="229">
        <v>15.224648</v>
      </c>
      <c r="E6" s="229">
        <v>21.904286470000002</v>
      </c>
      <c r="F6" s="229">
        <v>19.497392999999999</v>
      </c>
      <c r="G6" s="229">
        <v>20.313085999999998</v>
      </c>
      <c r="H6" s="229">
        <v>27.501272</v>
      </c>
    </row>
    <row r="7" spans="1:8" x14ac:dyDescent="0.25">
      <c r="A7" s="105" t="s">
        <v>200</v>
      </c>
      <c r="B7" s="234">
        <v>0.43355449851150385</v>
      </c>
      <c r="C7" s="234">
        <v>0.31500749002389072</v>
      </c>
      <c r="D7" s="234">
        <v>0.31532525272893652</v>
      </c>
      <c r="E7" s="234">
        <v>0.29066788087675655</v>
      </c>
      <c r="F7" s="234">
        <v>0.27313163801251755</v>
      </c>
      <c r="G7" s="234">
        <v>0.22251074727398104</v>
      </c>
      <c r="H7" s="234">
        <v>0.21862799408020933</v>
      </c>
    </row>
    <row r="8" spans="1:8" x14ac:dyDescent="0.25">
      <c r="A8" s="105" t="s">
        <v>203</v>
      </c>
      <c r="B8" s="234">
        <v>0.99029507330286304</v>
      </c>
      <c r="C8" s="234">
        <v>0.65565733801754777</v>
      </c>
      <c r="D8" s="234">
        <v>0.5179533236548951</v>
      </c>
      <c r="E8" s="234">
        <v>0.47566492212366734</v>
      </c>
      <c r="F8" s="234">
        <v>0.44569771843348444</v>
      </c>
      <c r="G8" s="234">
        <v>0.32695499888222845</v>
      </c>
      <c r="H8" s="234">
        <v>0.2997158879290977</v>
      </c>
    </row>
    <row r="9" spans="1:8" x14ac:dyDescent="0.25">
      <c r="A9" s="235" t="s">
        <v>206</v>
      </c>
      <c r="B9" s="234">
        <v>0.39283740144422175</v>
      </c>
      <c r="C9" s="234">
        <v>0.28579192272390191</v>
      </c>
      <c r="D9" s="234">
        <v>0.27132038403589287</v>
      </c>
      <c r="E9" s="234">
        <v>0.22421131294074978</v>
      </c>
      <c r="F9" s="234">
        <v>0.22383876601061342</v>
      </c>
      <c r="G9" s="234">
        <v>0.20701144356327922</v>
      </c>
      <c r="H9" s="234">
        <v>0.17303604566073752</v>
      </c>
    </row>
    <row r="10" spans="1:8" x14ac:dyDescent="0.25">
      <c r="A10" s="235" t="s">
        <v>209</v>
      </c>
      <c r="B10" s="234">
        <v>4.0717097067282111E-2</v>
      </c>
      <c r="C10" s="234">
        <v>2.9215567299988816E-2</v>
      </c>
      <c r="D10" s="234">
        <v>4.4004868693043639E-2</v>
      </c>
      <c r="E10" s="234">
        <v>6.6456567936006766E-2</v>
      </c>
      <c r="F10" s="234">
        <v>4.9292872001904166E-2</v>
      </c>
      <c r="G10" s="234">
        <v>1.5499303710701805E-2</v>
      </c>
      <c r="H10" s="234">
        <v>4.5591948419471812E-2</v>
      </c>
    </row>
    <row r="11" spans="1:8" x14ac:dyDescent="0.25">
      <c r="A11" s="105"/>
      <c r="B11" s="234"/>
      <c r="C11" s="234"/>
      <c r="D11" s="234"/>
      <c r="E11" s="234"/>
      <c r="F11" s="234"/>
      <c r="G11" s="234"/>
      <c r="H11" s="234"/>
    </row>
    <row r="12" spans="1:8" x14ac:dyDescent="0.25">
      <c r="A12" s="12" t="s">
        <v>210</v>
      </c>
      <c r="B12" s="211"/>
      <c r="C12" s="211"/>
      <c r="D12" s="211"/>
      <c r="E12" s="211"/>
      <c r="F12" s="211"/>
      <c r="G12" s="211"/>
      <c r="H12" s="211"/>
    </row>
    <row r="13" spans="1:8" x14ac:dyDescent="0.25">
      <c r="A13" s="12" t="s">
        <v>211</v>
      </c>
      <c r="B13" s="211"/>
      <c r="C13" s="211"/>
      <c r="D13" s="211"/>
      <c r="E13" s="211"/>
      <c r="F13" s="211"/>
      <c r="G13" s="211"/>
      <c r="H13" s="211"/>
    </row>
    <row r="14" spans="1:8" x14ac:dyDescent="0.25">
      <c r="A14" s="235" t="s">
        <v>213</v>
      </c>
      <c r="B14" s="234">
        <v>3.6021980172912617E-2</v>
      </c>
      <c r="C14" s="234">
        <v>5.8254273372589885E-2</v>
      </c>
      <c r="D14" s="234">
        <v>0.11368462048314869</v>
      </c>
      <c r="E14" s="234">
        <v>8.4076880010465468E-2</v>
      </c>
      <c r="F14" s="234">
        <v>6.7754640808316627E-2</v>
      </c>
      <c r="G14" s="234">
        <v>5.3885087690366075E-2</v>
      </c>
      <c r="H14" s="234">
        <v>4.2810747372735755E-2</v>
      </c>
    </row>
    <row r="15" spans="1:8" x14ac:dyDescent="0.25">
      <c r="A15" s="105" t="s">
        <v>216</v>
      </c>
      <c r="B15" s="234">
        <v>3.2039807944055747E-2</v>
      </c>
      <c r="C15" s="234">
        <v>1.9408086286062616E-2</v>
      </c>
      <c r="D15" s="234">
        <v>9.0399202093716963E-2</v>
      </c>
      <c r="E15" s="234">
        <v>7.1329355231368283E-2</v>
      </c>
      <c r="F15" s="234">
        <v>5.7561966340611753E-2</v>
      </c>
      <c r="G15" s="234">
        <v>4.5586292414514437E-2</v>
      </c>
      <c r="H15" s="234">
        <v>3.744546706116568E-2</v>
      </c>
    </row>
    <row r="16" spans="1:8" x14ac:dyDescent="0.25">
      <c r="A16" s="105" t="s">
        <v>219</v>
      </c>
      <c r="B16" s="234">
        <v>0</v>
      </c>
      <c r="C16" s="234">
        <v>0</v>
      </c>
      <c r="D16" s="234">
        <v>0</v>
      </c>
      <c r="E16" s="234">
        <v>6.3315495692312748E-2</v>
      </c>
      <c r="F16" s="234">
        <v>6.2868644865850407E-2</v>
      </c>
      <c r="G16" s="234">
        <v>2.4259931721461883E-8</v>
      </c>
      <c r="H16" s="234">
        <v>0</v>
      </c>
    </row>
    <row r="17" spans="1:8" x14ac:dyDescent="0.25">
      <c r="A17" s="105"/>
      <c r="B17" s="234"/>
      <c r="C17" s="234"/>
      <c r="D17" s="234"/>
      <c r="E17" s="234"/>
      <c r="F17" s="234"/>
      <c r="G17" s="234"/>
      <c r="H17" s="234"/>
    </row>
    <row r="18" spans="1:8" x14ac:dyDescent="0.25">
      <c r="A18" s="12" t="s">
        <v>221</v>
      </c>
      <c r="B18" s="234"/>
      <c r="C18" s="234"/>
      <c r="D18" s="234"/>
      <c r="E18" s="234"/>
      <c r="F18" s="234"/>
      <c r="G18" s="234"/>
      <c r="H18" s="234"/>
    </row>
    <row r="19" spans="1:8" x14ac:dyDescent="0.25">
      <c r="A19" s="105" t="s">
        <v>223</v>
      </c>
      <c r="B19" s="234">
        <v>2.5165014023939797E-2</v>
      </c>
      <c r="C19" s="234">
        <v>1.2815575519179691E-2</v>
      </c>
      <c r="D19" s="234">
        <v>7.7397113635394822E-3</v>
      </c>
      <c r="E19" s="234">
        <v>7.3192283633667907E-2</v>
      </c>
      <c r="F19" s="234">
        <v>5.2047538211516964E-3</v>
      </c>
      <c r="G19" s="234">
        <v>3.5856347658841985E-2</v>
      </c>
      <c r="H19" s="234">
        <v>0.24579060059250546</v>
      </c>
    </row>
    <row r="20" spans="1:8" x14ac:dyDescent="0.25">
      <c r="A20" s="105" t="s">
        <v>225</v>
      </c>
      <c r="B20" s="234">
        <v>2.5411632050242012E-2</v>
      </c>
      <c r="C20" s="234">
        <v>1.954614823335768E-2</v>
      </c>
      <c r="D20" s="234">
        <v>1.4942874212921047E-2</v>
      </c>
      <c r="E20" s="234">
        <v>0.1538736203352804</v>
      </c>
      <c r="F20" s="234">
        <v>1.1677766355737919E-2</v>
      </c>
      <c r="G20" s="234">
        <v>0.10966753156068949</v>
      </c>
      <c r="H20" s="234">
        <v>0.82007864945301434</v>
      </c>
    </row>
    <row r="21" spans="1:8" x14ac:dyDescent="0.25">
      <c r="A21" s="235" t="s">
        <v>228</v>
      </c>
      <c r="B21" s="234">
        <v>0.87583140722929154</v>
      </c>
      <c r="C21" s="234">
        <v>0.74955830275943625</v>
      </c>
      <c r="D21" s="234">
        <v>0.70663962131761493</v>
      </c>
      <c r="E21" s="234">
        <v>0.63984402157624887</v>
      </c>
      <c r="F21" s="234">
        <v>0.6772727916487199</v>
      </c>
      <c r="G21" s="234">
        <v>0.76833698287899166</v>
      </c>
      <c r="H21" s="234">
        <v>0.6993844253075272</v>
      </c>
    </row>
    <row r="22" spans="1:8" x14ac:dyDescent="0.25">
      <c r="A22" s="12"/>
      <c r="B22" s="211"/>
      <c r="C22" s="211"/>
      <c r="D22" s="211"/>
      <c r="E22" s="211"/>
      <c r="F22" s="211"/>
      <c r="G22" s="211"/>
      <c r="H22" s="211"/>
    </row>
    <row r="23" spans="1:8" x14ac:dyDescent="0.25">
      <c r="A23" s="12" t="s">
        <v>230</v>
      </c>
      <c r="B23" s="236"/>
      <c r="C23" s="236"/>
      <c r="D23" s="236"/>
      <c r="E23" s="236"/>
      <c r="F23" s="236"/>
      <c r="G23" s="236"/>
      <c r="H23" s="236"/>
    </row>
    <row r="24" spans="1:8" x14ac:dyDescent="0.25">
      <c r="A24" s="235" t="s">
        <v>231</v>
      </c>
      <c r="B24" s="234">
        <v>0.43780334791073872</v>
      </c>
      <c r="C24" s="234">
        <v>0.48044530543401004</v>
      </c>
      <c r="D24" s="234">
        <v>0.60879086652802938</v>
      </c>
      <c r="E24" s="234">
        <v>0.61107697321684418</v>
      </c>
      <c r="F24" s="234">
        <v>0.61281812025537552</v>
      </c>
      <c r="G24" s="234">
        <v>0.68055465747483801</v>
      </c>
      <c r="H24" s="234">
        <v>0.72945079952494574</v>
      </c>
    </row>
    <row r="25" spans="1:8" x14ac:dyDescent="0.25">
      <c r="A25" s="237" t="s">
        <v>233</v>
      </c>
      <c r="B25" s="234">
        <v>0.36817331291981209</v>
      </c>
      <c r="C25" s="234">
        <v>0.40768094986344661</v>
      </c>
      <c r="D25" s="234">
        <v>0.44284169444734289</v>
      </c>
      <c r="E25" s="234">
        <v>0.58183220442984651</v>
      </c>
      <c r="F25" s="234">
        <v>0.45216277107159286</v>
      </c>
      <c r="G25" s="234">
        <v>0.48727305366385953</v>
      </c>
      <c r="H25" s="234">
        <v>0.49232205651154592</v>
      </c>
    </row>
    <row r="26" spans="1:8" x14ac:dyDescent="0.25">
      <c r="A26" s="237" t="s">
        <v>235</v>
      </c>
      <c r="B26" s="234">
        <v>6.9630034990926612E-2</v>
      </c>
      <c r="C26" s="234">
        <v>7.2764355570563433E-2</v>
      </c>
      <c r="D26" s="234">
        <v>0.16594917208068652</v>
      </c>
      <c r="E26" s="234">
        <v>1.5790196070800133E-2</v>
      </c>
      <c r="F26" s="234">
        <v>0.16065534918378266</v>
      </c>
      <c r="G26" s="234">
        <v>0.19328160381097856</v>
      </c>
      <c r="H26" s="234">
        <v>0.23712874301339978</v>
      </c>
    </row>
    <row r="27" spans="1:8" x14ac:dyDescent="0.25">
      <c r="A27" s="235" t="s">
        <v>236</v>
      </c>
      <c r="B27" s="234">
        <v>0</v>
      </c>
      <c r="C27" s="234">
        <v>8.0526361453464354E-2</v>
      </c>
      <c r="D27" s="234">
        <v>1.1602787784077341E-2</v>
      </c>
      <c r="E27" s="234">
        <v>5.3529020125754292E-2</v>
      </c>
      <c r="F27" s="234">
        <v>5.6508896085305571E-2</v>
      </c>
      <c r="G27" s="234">
        <v>2.2710711434490032E-2</v>
      </c>
      <c r="H27" s="234">
        <v>0</v>
      </c>
    </row>
    <row r="28" spans="1:8" x14ac:dyDescent="0.25">
      <c r="A28" s="105"/>
      <c r="B28" s="211"/>
      <c r="C28" s="211"/>
      <c r="D28" s="211"/>
      <c r="E28" s="211"/>
      <c r="F28" s="211"/>
      <c r="G28" s="211"/>
      <c r="H28" s="211"/>
    </row>
    <row r="29" spans="1:8" x14ac:dyDescent="0.25">
      <c r="A29" s="12" t="s">
        <v>238</v>
      </c>
      <c r="B29" s="236"/>
      <c r="C29" s="236"/>
      <c r="D29" s="236"/>
      <c r="E29" s="236"/>
      <c r="F29" s="236"/>
      <c r="G29" s="236"/>
      <c r="H29" s="236"/>
    </row>
    <row r="30" spans="1:8" x14ac:dyDescent="0.25">
      <c r="A30" s="235" t="s">
        <v>58</v>
      </c>
      <c r="B30" s="234">
        <v>1.1730394335413141</v>
      </c>
      <c r="C30" s="234">
        <v>0.8747557058843729</v>
      </c>
      <c r="D30" s="234">
        <v>0.35436602767635561</v>
      </c>
      <c r="E30" s="234">
        <v>0.56078670985483292</v>
      </c>
      <c r="F30" s="234">
        <v>0.47848195579164088</v>
      </c>
      <c r="G30" s="234">
        <v>-1.0324559741223815E-2</v>
      </c>
      <c r="H30" s="234">
        <v>-1.6081161724871063E-2</v>
      </c>
    </row>
    <row r="31" spans="1:8" x14ac:dyDescent="0.25">
      <c r="A31" s="235" t="s">
        <v>143</v>
      </c>
      <c r="B31" s="234">
        <v>0.40606748678051163</v>
      </c>
      <c r="C31" s="234">
        <v>1.0573565323931988</v>
      </c>
      <c r="D31" s="234">
        <v>0.7161696831242399</v>
      </c>
      <c r="E31" s="234">
        <v>0.5666477125954974</v>
      </c>
      <c r="F31" s="234">
        <v>0.48826236199456741</v>
      </c>
      <c r="G31" s="234">
        <v>1.0629796806915781E-3</v>
      </c>
      <c r="H31" s="234">
        <v>-2.1906524175987707E-2</v>
      </c>
    </row>
    <row r="32" spans="1:8" x14ac:dyDescent="0.25">
      <c r="A32" s="238" t="s">
        <v>240</v>
      </c>
      <c r="B32" s="234">
        <v>1.4895083594684237</v>
      </c>
      <c r="C32" s="234">
        <v>0.95914580265095739</v>
      </c>
      <c r="D32" s="234">
        <v>2.0888189584685009</v>
      </c>
      <c r="E32" s="234">
        <v>-0.85148989980303069</v>
      </c>
      <c r="F32" s="234">
        <v>0.43131798665521437</v>
      </c>
      <c r="G32" s="234">
        <v>7.8975645939926835</v>
      </c>
      <c r="H32" s="234">
        <v>-6.4456803357939352E-2</v>
      </c>
    </row>
    <row r="33" spans="1:8" x14ac:dyDescent="0.25">
      <c r="A33" s="238" t="s">
        <v>242</v>
      </c>
      <c r="B33" s="234">
        <v>0.29913942451148201</v>
      </c>
      <c r="C33" s="234">
        <v>1.0759304385087844</v>
      </c>
      <c r="D33" s="234">
        <v>0.47117432590119335</v>
      </c>
      <c r="E33" s="234">
        <v>1.0506559870631746</v>
      </c>
      <c r="F33" s="234">
        <v>0.50960152689413896</v>
      </c>
      <c r="G33" s="234">
        <v>-0.24684686555711977</v>
      </c>
      <c r="H33" s="234">
        <v>0</v>
      </c>
    </row>
    <row r="34" spans="1:8" x14ac:dyDescent="0.25">
      <c r="A34" s="235" t="s">
        <v>168</v>
      </c>
      <c r="B34" s="234">
        <v>1.5860506391224956</v>
      </c>
      <c r="C34" s="234">
        <v>0.60446256367621887</v>
      </c>
      <c r="D34" s="234">
        <v>0.2768168845563681</v>
      </c>
      <c r="E34" s="234">
        <v>0.41325226484492306</v>
      </c>
      <c r="F34" s="234">
        <v>0.41703857439263414</v>
      </c>
      <c r="G34" s="234">
        <v>-1.9462393136664313E-2</v>
      </c>
      <c r="H34" s="234">
        <v>-1.9454350685572552E-2</v>
      </c>
    </row>
    <row r="35" spans="1:8" x14ac:dyDescent="0.25">
      <c r="A35" s="235" t="s">
        <v>243</v>
      </c>
      <c r="B35" s="234">
        <v>13.036097051046971</v>
      </c>
      <c r="C35" s="234">
        <v>0.36214037992027426</v>
      </c>
      <c r="D35" s="234">
        <v>0.35573223967513679</v>
      </c>
      <c r="E35" s="234">
        <v>0.43873845030768543</v>
      </c>
      <c r="F35" s="234">
        <v>0.28064655419291129</v>
      </c>
      <c r="G35" s="234">
        <v>-0.10617509191934693</v>
      </c>
      <c r="H35" s="234">
        <v>0</v>
      </c>
    </row>
    <row r="36" spans="1:8" x14ac:dyDescent="0.25">
      <c r="A36" s="235" t="s">
        <v>244</v>
      </c>
      <c r="B36" s="212">
        <v>1.414225296749585</v>
      </c>
      <c r="C36" s="212">
        <v>1.3123205050958338</v>
      </c>
      <c r="D36" s="212">
        <v>0.45313547569958246</v>
      </c>
      <c r="E36" s="212">
        <v>-0.99864701231183894</v>
      </c>
      <c r="F36" s="212">
        <v>0.33677126014227787</v>
      </c>
      <c r="G36" s="212">
        <v>4.3849303215760527E-2</v>
      </c>
      <c r="H36" s="212">
        <v>0</v>
      </c>
    </row>
    <row r="37" spans="1:8" x14ac:dyDescent="0.25">
      <c r="A37" s="235" t="s">
        <v>142</v>
      </c>
      <c r="B37" s="212">
        <v>1.2556634304207122</v>
      </c>
      <c r="C37" s="212">
        <v>0.26542324246771876</v>
      </c>
      <c r="D37" s="212">
        <v>0.27891156462585043</v>
      </c>
      <c r="E37" s="212">
        <v>-1</v>
      </c>
      <c r="F37" s="212">
        <v>0.16134751773049638</v>
      </c>
      <c r="G37" s="212" t="e">
        <v>#DIV/0!</v>
      </c>
      <c r="H37" s="212" t="e">
        <v>#DIV/0!</v>
      </c>
    </row>
    <row r="38" spans="1:8" x14ac:dyDescent="0.25">
      <c r="A38" s="235"/>
      <c r="B38" s="229"/>
      <c r="C38" s="229"/>
      <c r="D38" s="229"/>
      <c r="E38" s="229"/>
      <c r="F38" s="229"/>
      <c r="G38" s="229"/>
      <c r="H38" s="229"/>
    </row>
    <row r="39" spans="1:8" x14ac:dyDescent="0.25">
      <c r="A39" s="239" t="s">
        <v>245</v>
      </c>
      <c r="B39" s="236"/>
      <c r="C39" s="236"/>
      <c r="D39" s="236"/>
      <c r="E39" s="236"/>
      <c r="F39" s="236"/>
      <c r="G39" s="236"/>
      <c r="H39" s="236"/>
    </row>
    <row r="40" spans="1:8" x14ac:dyDescent="0.25">
      <c r="A40" s="235" t="s">
        <v>246</v>
      </c>
      <c r="B40" s="234">
        <v>0.15983176578954128</v>
      </c>
      <c r="C40" s="234">
        <v>9.7070850708409651E-2</v>
      </c>
      <c r="D40" s="234">
        <v>6.4344545356780206E-2</v>
      </c>
      <c r="E40" s="234">
        <v>0</v>
      </c>
      <c r="F40" s="234">
        <v>7.2568475113316808E-2</v>
      </c>
      <c r="G40" s="234">
        <v>5.1659476022865844E-2</v>
      </c>
      <c r="H40" s="234">
        <v>5.5246461962144083E-2</v>
      </c>
    </row>
    <row r="41" spans="1:8" x14ac:dyDescent="0.25">
      <c r="A41" s="235" t="s">
        <v>247</v>
      </c>
      <c r="B41" s="234">
        <v>0</v>
      </c>
      <c r="C41" s="234">
        <v>4.6157515812946151E-2</v>
      </c>
      <c r="D41" s="234">
        <v>3.3750846186530105E-2</v>
      </c>
      <c r="E41" s="234">
        <v>0</v>
      </c>
      <c r="F41" s="234">
        <v>0</v>
      </c>
      <c r="G41" s="234">
        <v>4.6319676891436984E-2</v>
      </c>
      <c r="H41" s="234">
        <v>0</v>
      </c>
    </row>
    <row r="42" spans="1:8" x14ac:dyDescent="0.25">
      <c r="A42" s="235" t="s">
        <v>248</v>
      </c>
      <c r="B42" s="234">
        <v>0</v>
      </c>
      <c r="C42" s="234">
        <v>0.10644932731114655</v>
      </c>
      <c r="D42" s="234">
        <v>0.14995010096393746</v>
      </c>
      <c r="E42" s="234">
        <v>0</v>
      </c>
      <c r="F42" s="234">
        <v>0.1327026659338387</v>
      </c>
      <c r="G42" s="234">
        <v>0.23723731204611739</v>
      </c>
      <c r="H42" s="234" t="e">
        <v>#DIV/0!</v>
      </c>
    </row>
    <row r="43" spans="1:8" x14ac:dyDescent="0.25">
      <c r="A43" s="235" t="s">
        <v>249</v>
      </c>
      <c r="B43" s="234">
        <v>5.530295379827263E-2</v>
      </c>
      <c r="C43" s="234">
        <v>7.4796084948080044E-2</v>
      </c>
      <c r="D43" s="234">
        <v>8.7303234992713905E-2</v>
      </c>
      <c r="E43" s="234">
        <v>6.0481638175286236E-5</v>
      </c>
      <c r="F43" s="234">
        <v>6.8645245053975346E-2</v>
      </c>
      <c r="G43" s="234">
        <v>5.5802015656125345E-2</v>
      </c>
      <c r="H43" s="234">
        <v>5.7252752801487318E-2</v>
      </c>
    </row>
    <row r="44" spans="1:8" x14ac:dyDescent="0.25">
      <c r="A44" s="235" t="s">
        <v>250</v>
      </c>
      <c r="B44" s="234">
        <v>0.1130642063702483</v>
      </c>
      <c r="C44" s="234">
        <v>0.16650003339428068</v>
      </c>
      <c r="D44" s="234">
        <v>0.1541362207358937</v>
      </c>
      <c r="E44" s="234">
        <v>1.5080639952160299E-4</v>
      </c>
      <c r="F44" s="234">
        <v>0.14343067740747181</v>
      </c>
      <c r="G44" s="234">
        <v>0.11591861772183615</v>
      </c>
      <c r="H44" s="234">
        <v>0.1183855679154991</v>
      </c>
    </row>
    <row r="45" spans="1:8" x14ac:dyDescent="0.25">
      <c r="A45" s="239"/>
      <c r="B45" s="212"/>
      <c r="C45" s="212"/>
      <c r="D45" s="212"/>
      <c r="E45" s="212"/>
      <c r="F45" s="212"/>
      <c r="G45" s="212"/>
      <c r="H45" s="212"/>
    </row>
    <row r="46" spans="1:8" x14ac:dyDescent="0.25">
      <c r="A46" s="239" t="s">
        <v>251</v>
      </c>
      <c r="B46" s="211"/>
      <c r="C46" s="211"/>
      <c r="D46" s="211"/>
      <c r="E46" s="211"/>
      <c r="F46" s="211"/>
      <c r="G46" s="211"/>
      <c r="H46" s="211"/>
    </row>
    <row r="47" spans="1:8" x14ac:dyDescent="0.25">
      <c r="A47" s="235" t="s">
        <v>252</v>
      </c>
      <c r="B47" s="234">
        <v>0.22265439847208124</v>
      </c>
      <c r="C47" s="234">
        <v>0.22152781978276462</v>
      </c>
      <c r="D47" s="234">
        <v>8.158652583952819E-2</v>
      </c>
      <c r="E47" s="234">
        <v>0</v>
      </c>
      <c r="F47" s="234">
        <v>7.544956853778137E-2</v>
      </c>
      <c r="G47" s="234">
        <v>7.3207462281265775E-2</v>
      </c>
      <c r="H47" s="234">
        <v>7.1187208543186054E-2</v>
      </c>
    </row>
    <row r="48" spans="1:8" x14ac:dyDescent="0.25">
      <c r="A48" s="240"/>
      <c r="B48" s="234"/>
      <c r="C48" s="234"/>
      <c r="D48" s="234"/>
      <c r="E48" s="234"/>
      <c r="F48" s="234"/>
      <c r="G48" s="234"/>
      <c r="H48" s="234"/>
    </row>
    <row r="49" spans="1:8" x14ac:dyDescent="0.25">
      <c r="A49" s="239" t="s">
        <v>253</v>
      </c>
      <c r="B49" s="211"/>
      <c r="C49" s="211"/>
      <c r="D49" s="211"/>
      <c r="E49" s="211"/>
      <c r="F49" s="211"/>
      <c r="G49" s="211"/>
      <c r="H49" s="211"/>
    </row>
    <row r="50" spans="1:8" x14ac:dyDescent="0.25">
      <c r="A50" s="235" t="s">
        <v>254</v>
      </c>
      <c r="B50" s="234" t="e">
        <v>#REF!</v>
      </c>
      <c r="C50" s="234" t="e">
        <v>#REF!</v>
      </c>
      <c r="D50" s="234" t="e">
        <v>#REF!</v>
      </c>
      <c r="E50" s="234">
        <v>0.13819562917109476</v>
      </c>
      <c r="F50" s="234">
        <v>0.2487066865802269</v>
      </c>
      <c r="G50" s="234">
        <v>260.26710182767624</v>
      </c>
      <c r="H50" s="234" t="e">
        <v>#DIV/0!</v>
      </c>
    </row>
  </sheetData>
  <pageMargins left="0.7" right="0.7" top="0.75" bottom="0.75" header="0.3" footer="0.3"/>
  <pageSetup scale="9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56"/>
  <sheetViews>
    <sheetView workbookViewId="0">
      <selection activeCell="B1" sqref="B1"/>
    </sheetView>
  </sheetViews>
  <sheetFormatPr defaultColWidth="9.109375" defaultRowHeight="13.2" x14ac:dyDescent="0.25"/>
  <cols>
    <col min="1" max="1" width="9.109375" style="52"/>
    <col min="2" max="2" width="46" style="52" bestFit="1" customWidth="1"/>
    <col min="3" max="3" width="10.5546875" style="52" bestFit="1" customWidth="1"/>
    <col min="4" max="5" width="11.44140625" style="52" bestFit="1" customWidth="1"/>
    <col min="6" max="6" width="12.5546875" style="52" bestFit="1" customWidth="1"/>
    <col min="7" max="7" width="12" style="52" bestFit="1" customWidth="1"/>
    <col min="8" max="8" width="11.5546875" style="52" bestFit="1" customWidth="1"/>
    <col min="9" max="16384" width="9.109375" style="52"/>
  </cols>
  <sheetData>
    <row r="1" spans="1:8" x14ac:dyDescent="0.25">
      <c r="A1" s="55"/>
      <c r="B1" s="56" t="s">
        <v>494</v>
      </c>
    </row>
    <row r="2" spans="1:8" x14ac:dyDescent="0.25">
      <c r="A2" s="58"/>
      <c r="B2" s="214" t="s">
        <v>137</v>
      </c>
      <c r="C2" s="59">
        <v>2010</v>
      </c>
      <c r="D2" s="59">
        <v>2011</v>
      </c>
      <c r="E2" s="59">
        <v>2012</v>
      </c>
      <c r="F2" s="59">
        <v>2013</v>
      </c>
      <c r="G2" s="59">
        <v>2014</v>
      </c>
      <c r="H2" s="213" t="s">
        <v>8</v>
      </c>
    </row>
    <row r="3" spans="1:8" x14ac:dyDescent="0.25">
      <c r="A3" s="60">
        <v>1</v>
      </c>
      <c r="B3" s="84" t="s">
        <v>142</v>
      </c>
      <c r="C3" s="229">
        <v>697</v>
      </c>
      <c r="D3" s="229">
        <v>882</v>
      </c>
      <c r="E3" s="229">
        <v>1128</v>
      </c>
      <c r="F3" s="229">
        <v>1310</v>
      </c>
      <c r="G3" s="211"/>
      <c r="H3" s="211"/>
    </row>
    <row r="4" spans="1:8" x14ac:dyDescent="0.25">
      <c r="A4" s="60">
        <v>2</v>
      </c>
      <c r="B4" s="84" t="s">
        <v>58</v>
      </c>
      <c r="C4" s="230">
        <v>19015501</v>
      </c>
      <c r="D4" s="230">
        <v>35649419</v>
      </c>
      <c r="E4" s="230">
        <v>48282362</v>
      </c>
      <c r="F4" s="230">
        <v>71384601</v>
      </c>
      <c r="G4" s="230">
        <v>91290359</v>
      </c>
      <c r="H4" s="230">
        <v>125790259</v>
      </c>
    </row>
    <row r="5" spans="1:8" x14ac:dyDescent="0.25">
      <c r="A5" s="60">
        <v>3</v>
      </c>
      <c r="B5" s="84" t="s">
        <v>143</v>
      </c>
      <c r="C5" s="230">
        <v>8325050</v>
      </c>
      <c r="D5" s="230">
        <v>17127596</v>
      </c>
      <c r="E5" s="230">
        <v>29393861</v>
      </c>
      <c r="F5" s="230">
        <v>43745777</v>
      </c>
      <c r="G5" s="230">
        <v>62128079</v>
      </c>
      <c r="H5" s="230">
        <v>91757805</v>
      </c>
    </row>
    <row r="6" spans="1:8" x14ac:dyDescent="0.25">
      <c r="A6" s="60">
        <v>3.1</v>
      </c>
      <c r="B6" s="215" t="s">
        <v>144</v>
      </c>
      <c r="C6" s="230">
        <v>7001000</v>
      </c>
      <c r="D6" s="230">
        <v>14533589</v>
      </c>
      <c r="E6" s="230">
        <v>21381443</v>
      </c>
      <c r="F6" s="230">
        <v>32277459</v>
      </c>
      <c r="G6" s="230">
        <v>44483332</v>
      </c>
      <c r="H6" s="230">
        <v>61929319</v>
      </c>
    </row>
    <row r="7" spans="1:8" x14ac:dyDescent="0.25">
      <c r="A7" s="60">
        <v>3.2</v>
      </c>
      <c r="B7" s="215" t="s">
        <v>145</v>
      </c>
      <c r="C7" s="230">
        <v>1324050</v>
      </c>
      <c r="D7" s="230">
        <v>2594007</v>
      </c>
      <c r="E7" s="230">
        <v>8012418</v>
      </c>
      <c r="F7" s="230">
        <v>11468318</v>
      </c>
      <c r="G7" s="230">
        <v>17644747</v>
      </c>
      <c r="H7" s="230">
        <v>29828486</v>
      </c>
    </row>
    <row r="8" spans="1:8" x14ac:dyDescent="0.25">
      <c r="A8" s="60">
        <v>4</v>
      </c>
      <c r="B8" s="84" t="s">
        <v>146</v>
      </c>
      <c r="C8" s="230">
        <v>0</v>
      </c>
      <c r="D8" s="230">
        <v>2870718</v>
      </c>
      <c r="E8" s="230">
        <v>560210</v>
      </c>
      <c r="F8" s="230">
        <v>4033865</v>
      </c>
      <c r="G8" s="230">
        <v>2073269</v>
      </c>
      <c r="H8" s="230">
        <v>0</v>
      </c>
    </row>
    <row r="9" spans="1:8" ht="13.8" thickBot="1" x14ac:dyDescent="0.3">
      <c r="A9" s="62">
        <v>4.0999999999999996</v>
      </c>
      <c r="B9" s="216" t="s">
        <v>147</v>
      </c>
      <c r="C9" s="230">
        <v>1853609</v>
      </c>
      <c r="D9" s="230">
        <v>3794239</v>
      </c>
      <c r="E9" s="230">
        <v>2398143</v>
      </c>
      <c r="F9" s="230">
        <v>3300600</v>
      </c>
      <c r="G9" s="230">
        <v>4548239</v>
      </c>
      <c r="H9" s="230">
        <v>6531982</v>
      </c>
    </row>
    <row r="10" spans="1:8" ht="13.8" thickBot="1" x14ac:dyDescent="0.3">
      <c r="A10" s="64"/>
      <c r="B10" s="65"/>
      <c r="C10" s="230"/>
      <c r="D10" s="230"/>
      <c r="E10" s="230"/>
      <c r="F10" s="230"/>
      <c r="G10" s="230"/>
      <c r="H10" s="230"/>
    </row>
    <row r="11" spans="1:8" x14ac:dyDescent="0.25">
      <c r="A11" s="66">
        <v>5</v>
      </c>
      <c r="B11" s="217" t="s">
        <v>148</v>
      </c>
      <c r="C11" s="230"/>
      <c r="D11" s="230"/>
      <c r="E11" s="230"/>
      <c r="F11" s="230"/>
      <c r="G11" s="230"/>
      <c r="H11" s="230"/>
    </row>
    <row r="12" spans="1:8" x14ac:dyDescent="0.25">
      <c r="A12" s="67">
        <v>5.0999999999999996</v>
      </c>
      <c r="B12" s="218" t="s">
        <v>149</v>
      </c>
      <c r="C12" s="230">
        <v>8244256</v>
      </c>
      <c r="D12" s="230">
        <v>11229834</v>
      </c>
      <c r="E12" s="230">
        <v>15224648</v>
      </c>
      <c r="F12" s="230">
        <v>19497393</v>
      </c>
      <c r="G12" s="230">
        <v>20313086</v>
      </c>
      <c r="H12" s="230">
        <v>27501272</v>
      </c>
    </row>
    <row r="13" spans="1:8" ht="13.8" thickBot="1" x14ac:dyDescent="0.3">
      <c r="A13" s="68">
        <v>5.2</v>
      </c>
      <c r="B13" s="219" t="s">
        <v>150</v>
      </c>
      <c r="C13" s="230">
        <v>774256</v>
      </c>
      <c r="D13" s="230">
        <v>1041518</v>
      </c>
      <c r="E13" s="230">
        <v>2124659</v>
      </c>
      <c r="F13" s="230">
        <v>3518752</v>
      </c>
      <c r="G13" s="230">
        <v>1414937</v>
      </c>
      <c r="H13" s="230">
        <v>5735023</v>
      </c>
    </row>
    <row r="14" spans="1:8" ht="13.8" thickBot="1" x14ac:dyDescent="0.3">
      <c r="A14" s="69"/>
      <c r="B14" s="70"/>
      <c r="C14" s="230"/>
      <c r="D14" s="230"/>
      <c r="E14" s="230"/>
      <c r="F14" s="230"/>
      <c r="G14" s="230"/>
      <c r="H14" s="230"/>
    </row>
    <row r="15" spans="1:8" x14ac:dyDescent="0.25">
      <c r="A15" s="71">
        <v>5.3</v>
      </c>
      <c r="B15" s="56" t="s">
        <v>151</v>
      </c>
      <c r="C15" s="230">
        <v>8453756</v>
      </c>
      <c r="D15" s="230">
        <v>11449334</v>
      </c>
      <c r="E15" s="230">
        <v>15452148</v>
      </c>
      <c r="F15" s="230">
        <v>19725079</v>
      </c>
      <c r="G15" s="230">
        <v>22540772</v>
      </c>
      <c r="H15" s="230">
        <v>27501272</v>
      </c>
    </row>
    <row r="16" spans="1:8" x14ac:dyDescent="0.25">
      <c r="A16" s="67" t="s">
        <v>152</v>
      </c>
      <c r="B16" s="220" t="s">
        <v>153</v>
      </c>
      <c r="C16" s="230">
        <v>7470000</v>
      </c>
      <c r="D16" s="230">
        <v>10188316</v>
      </c>
      <c r="E16" s="230">
        <v>13099989</v>
      </c>
      <c r="F16" s="230">
        <v>15978641</v>
      </c>
      <c r="G16" s="230">
        <v>18898149</v>
      </c>
      <c r="H16" s="230">
        <v>21766249</v>
      </c>
    </row>
    <row r="17" spans="1:8" x14ac:dyDescent="0.25">
      <c r="A17" s="67" t="s">
        <v>154</v>
      </c>
      <c r="B17" s="215" t="s">
        <v>73</v>
      </c>
      <c r="C17" s="230">
        <v>88005</v>
      </c>
      <c r="D17" s="230">
        <v>211308</v>
      </c>
      <c r="E17" s="230">
        <v>325421</v>
      </c>
      <c r="F17" s="230">
        <v>394020</v>
      </c>
      <c r="G17" s="230">
        <v>154751</v>
      </c>
      <c r="H17" s="230">
        <v>1327040</v>
      </c>
    </row>
    <row r="18" spans="1:8" x14ac:dyDescent="0.25">
      <c r="A18" s="67" t="s">
        <v>155</v>
      </c>
      <c r="B18" s="215" t="s">
        <v>156</v>
      </c>
      <c r="C18" s="230">
        <v>57751</v>
      </c>
      <c r="D18" s="230">
        <v>211710</v>
      </c>
      <c r="E18" s="230">
        <v>359738</v>
      </c>
      <c r="F18" s="230">
        <v>589148</v>
      </c>
      <c r="G18" s="230">
        <v>723646</v>
      </c>
      <c r="H18" s="230">
        <v>1319557</v>
      </c>
    </row>
    <row r="19" spans="1:8" x14ac:dyDescent="0.25">
      <c r="A19" s="67" t="s">
        <v>157</v>
      </c>
      <c r="B19" s="215" t="s">
        <v>158</v>
      </c>
      <c r="C19" s="230">
        <v>838000</v>
      </c>
      <c r="D19" s="230">
        <v>838000</v>
      </c>
      <c r="E19" s="230">
        <v>1667000</v>
      </c>
      <c r="F19" s="230">
        <v>2763270</v>
      </c>
      <c r="G19" s="230">
        <v>2764226</v>
      </c>
      <c r="H19" s="230">
        <v>3088426</v>
      </c>
    </row>
    <row r="20" spans="1:8" x14ac:dyDescent="0.25">
      <c r="A20" s="67" t="s">
        <v>159</v>
      </c>
      <c r="B20" s="221" t="s">
        <v>160</v>
      </c>
      <c r="C20" s="230"/>
      <c r="D20" s="230"/>
      <c r="E20" s="230"/>
      <c r="F20" s="230"/>
      <c r="G20" s="230"/>
      <c r="H20" s="230"/>
    </row>
    <row r="21" spans="1:8" x14ac:dyDescent="0.25">
      <c r="A21" s="72" t="s">
        <v>161</v>
      </c>
      <c r="B21" s="215" t="s">
        <v>162</v>
      </c>
      <c r="C21" s="230">
        <v>1138470</v>
      </c>
      <c r="D21" s="230">
        <v>1388148</v>
      </c>
      <c r="E21" s="230">
        <v>1753935</v>
      </c>
      <c r="F21" s="230">
        <v>2958639</v>
      </c>
      <c r="G21" s="230">
        <v>3722056</v>
      </c>
      <c r="H21" s="230">
        <v>5263461</v>
      </c>
    </row>
    <row r="22" spans="1:8" ht="13.8" thickBot="1" x14ac:dyDescent="0.3">
      <c r="A22" s="73" t="s">
        <v>163</v>
      </c>
      <c r="B22" s="222"/>
      <c r="C22" s="230"/>
      <c r="D22" s="230"/>
      <c r="E22" s="230"/>
      <c r="F22" s="230"/>
      <c r="G22" s="230"/>
      <c r="H22" s="230"/>
    </row>
    <row r="23" spans="1:8" ht="13.8" thickBot="1" x14ac:dyDescent="0.3">
      <c r="A23" s="64"/>
      <c r="B23" s="74"/>
      <c r="C23" s="230"/>
      <c r="D23" s="230"/>
      <c r="E23" s="230"/>
      <c r="F23" s="230"/>
      <c r="G23" s="230"/>
      <c r="H23" s="230"/>
    </row>
    <row r="24" spans="1:8" x14ac:dyDescent="0.25">
      <c r="A24" s="66">
        <v>6</v>
      </c>
      <c r="B24" s="223" t="s">
        <v>164</v>
      </c>
      <c r="C24" s="230">
        <v>209500</v>
      </c>
      <c r="D24" s="230">
        <v>219500</v>
      </c>
      <c r="E24" s="230">
        <v>227500</v>
      </c>
      <c r="F24" s="230">
        <v>227686</v>
      </c>
      <c r="G24" s="230">
        <v>2227686</v>
      </c>
      <c r="H24" s="230">
        <v>22553206</v>
      </c>
    </row>
    <row r="25" spans="1:8" x14ac:dyDescent="0.25">
      <c r="A25" s="67">
        <v>6.1</v>
      </c>
      <c r="B25" s="215" t="s">
        <v>165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4817704</v>
      </c>
    </row>
    <row r="26" spans="1:8" x14ac:dyDescent="0.25">
      <c r="A26" s="67">
        <v>6.2</v>
      </c>
      <c r="B26" s="215" t="s">
        <v>166</v>
      </c>
      <c r="C26" s="230">
        <v>209500</v>
      </c>
      <c r="D26" s="230">
        <v>219500</v>
      </c>
      <c r="E26" s="230">
        <v>227500</v>
      </c>
      <c r="F26" s="230">
        <v>227686</v>
      </c>
      <c r="G26" s="230">
        <v>2227686</v>
      </c>
      <c r="H26" s="230">
        <v>17735502</v>
      </c>
    </row>
    <row r="27" spans="1:8" ht="13.8" thickBot="1" x14ac:dyDescent="0.3">
      <c r="A27" s="68">
        <v>6.3</v>
      </c>
      <c r="B27" s="222" t="s">
        <v>167</v>
      </c>
      <c r="C27" s="230"/>
      <c r="D27" s="230"/>
      <c r="E27" s="230"/>
      <c r="F27" s="230"/>
      <c r="G27" s="230"/>
      <c r="H27" s="230"/>
    </row>
    <row r="28" spans="1:8" ht="13.8" thickBot="1" x14ac:dyDescent="0.3">
      <c r="A28" s="64"/>
      <c r="B28" s="75"/>
      <c r="C28" s="230"/>
      <c r="D28" s="230"/>
      <c r="E28" s="230"/>
      <c r="F28" s="230"/>
      <c r="G28" s="230"/>
      <c r="H28" s="230"/>
    </row>
    <row r="29" spans="1:8" x14ac:dyDescent="0.25">
      <c r="A29" s="66">
        <v>7</v>
      </c>
      <c r="B29" s="224" t="s">
        <v>168</v>
      </c>
      <c r="C29" s="230">
        <v>16654373</v>
      </c>
      <c r="D29" s="230">
        <v>26721318</v>
      </c>
      <c r="E29" s="230">
        <v>34118230</v>
      </c>
      <c r="F29" s="230">
        <v>48346848</v>
      </c>
      <c r="G29" s="230">
        <v>70141759</v>
      </c>
      <c r="H29" s="230">
        <v>87975748</v>
      </c>
    </row>
    <row r="30" spans="1:8" x14ac:dyDescent="0.25">
      <c r="A30" s="67">
        <v>7.1</v>
      </c>
      <c r="B30" s="84" t="s">
        <v>169</v>
      </c>
      <c r="C30" s="230">
        <v>16654373</v>
      </c>
      <c r="D30" s="230">
        <v>26990740</v>
      </c>
      <c r="E30" s="230">
        <v>34462859</v>
      </c>
      <c r="F30" s="230">
        <v>48831719</v>
      </c>
      <c r="G30" s="230">
        <v>72135405</v>
      </c>
      <c r="H30" s="230">
        <v>89845305</v>
      </c>
    </row>
    <row r="31" spans="1:8" x14ac:dyDescent="0.25">
      <c r="A31" s="67">
        <v>7.3</v>
      </c>
      <c r="B31" s="84" t="s">
        <v>170</v>
      </c>
      <c r="C31" s="230">
        <v>0</v>
      </c>
      <c r="D31" s="230">
        <v>269422</v>
      </c>
      <c r="E31" s="230">
        <v>344629</v>
      </c>
      <c r="F31" s="230">
        <v>484871</v>
      </c>
      <c r="G31" s="230">
        <v>1993646</v>
      </c>
      <c r="H31" s="230">
        <v>1869557</v>
      </c>
    </row>
    <row r="32" spans="1:8" ht="13.8" thickBot="1" x14ac:dyDescent="0.3">
      <c r="A32" s="76">
        <v>7.4</v>
      </c>
      <c r="B32" s="84" t="s">
        <v>171</v>
      </c>
      <c r="C32" s="230">
        <v>0</v>
      </c>
      <c r="D32" s="230">
        <v>0</v>
      </c>
      <c r="E32" s="230">
        <v>0</v>
      </c>
      <c r="F32" s="230">
        <v>3069984</v>
      </c>
      <c r="G32" s="230">
        <v>1.75</v>
      </c>
      <c r="H32" s="230"/>
    </row>
    <row r="33" spans="1:8" x14ac:dyDescent="0.25">
      <c r="A33" s="67">
        <v>7.56666666666667</v>
      </c>
      <c r="B33" s="84" t="s">
        <v>172</v>
      </c>
      <c r="C33" s="230"/>
      <c r="D33" s="230"/>
      <c r="E33" s="230"/>
      <c r="F33" s="230"/>
      <c r="G33" s="230"/>
      <c r="H33" s="230">
        <v>0</v>
      </c>
    </row>
    <row r="34" spans="1:8" x14ac:dyDescent="0.25">
      <c r="A34" s="67">
        <v>7.7166666666666703</v>
      </c>
      <c r="B34" s="225" t="s">
        <v>173</v>
      </c>
      <c r="C34" s="230" t="e">
        <v>#REF!</v>
      </c>
      <c r="D34" s="230" t="e">
        <v>#REF!</v>
      </c>
      <c r="E34" s="230" t="e">
        <v>#REF!</v>
      </c>
      <c r="F34" s="230">
        <v>1949569.6181999999</v>
      </c>
      <c r="G34" s="230">
        <v>7660</v>
      </c>
      <c r="H34" s="230">
        <v>0</v>
      </c>
    </row>
    <row r="35" spans="1:8" x14ac:dyDescent="0.25">
      <c r="A35" s="67">
        <v>7.8666666666666698</v>
      </c>
      <c r="B35" s="77" t="s">
        <v>174</v>
      </c>
      <c r="C35" s="230">
        <v>1466652</v>
      </c>
      <c r="D35" s="230">
        <v>6631870</v>
      </c>
      <c r="E35" s="230">
        <v>8447670</v>
      </c>
      <c r="F35" s="230">
        <v>16473429</v>
      </c>
      <c r="G35" s="230">
        <v>14001725</v>
      </c>
      <c r="H35" s="230">
        <v>8376130</v>
      </c>
    </row>
    <row r="36" spans="1:8" ht="13.8" thickBot="1" x14ac:dyDescent="0.3">
      <c r="A36" s="64"/>
      <c r="B36" s="78"/>
      <c r="C36" s="230"/>
      <c r="D36" s="230"/>
      <c r="E36" s="230"/>
      <c r="F36" s="230"/>
      <c r="G36" s="230"/>
      <c r="H36" s="230"/>
    </row>
    <row r="37" spans="1:8" x14ac:dyDescent="0.25">
      <c r="A37" s="66">
        <v>8</v>
      </c>
      <c r="B37" s="224" t="s">
        <v>175</v>
      </c>
      <c r="C37" s="230">
        <v>684976</v>
      </c>
      <c r="D37" s="230">
        <v>2076731</v>
      </c>
      <c r="E37" s="230">
        <v>5488962</v>
      </c>
      <c r="F37" s="230">
        <v>4836638</v>
      </c>
      <c r="G37" s="230">
        <v>4919189</v>
      </c>
      <c r="H37" s="230">
        <v>5385175</v>
      </c>
    </row>
    <row r="38" spans="1:8" ht="13.8" thickBot="1" x14ac:dyDescent="0.3">
      <c r="A38" s="68">
        <v>8.1</v>
      </c>
      <c r="B38" s="86" t="s">
        <v>54</v>
      </c>
      <c r="C38" s="230">
        <v>609253</v>
      </c>
      <c r="D38" s="230">
        <v>691887</v>
      </c>
      <c r="E38" s="230">
        <v>4364687</v>
      </c>
      <c r="F38" s="230">
        <v>4109038</v>
      </c>
      <c r="G38" s="230">
        <v>4161589</v>
      </c>
      <c r="H38" s="230">
        <v>4710275</v>
      </c>
    </row>
    <row r="39" spans="1:8" x14ac:dyDescent="0.25">
      <c r="A39" s="66">
        <v>8.1999999999999993</v>
      </c>
      <c r="B39" s="52" t="s">
        <v>176</v>
      </c>
      <c r="C39" s="211"/>
      <c r="D39" s="211"/>
      <c r="E39" s="229">
        <v>3035239</v>
      </c>
      <c r="F39" s="229">
        <v>3227910</v>
      </c>
      <c r="G39" s="229">
        <v>3227910</v>
      </c>
      <c r="H39" s="229"/>
    </row>
    <row r="40" spans="1:8" ht="13.8" thickBot="1" x14ac:dyDescent="0.3">
      <c r="A40" s="64"/>
      <c r="B40" s="65"/>
      <c r="C40" s="230"/>
      <c r="D40" s="230"/>
      <c r="E40" s="212"/>
      <c r="F40" s="212"/>
      <c r="G40" s="212"/>
      <c r="H40" s="212"/>
    </row>
    <row r="41" spans="1:8" x14ac:dyDescent="0.25">
      <c r="A41" s="79">
        <v>9</v>
      </c>
      <c r="B41" s="226" t="s">
        <v>177</v>
      </c>
      <c r="C41" s="230">
        <v>1989959</v>
      </c>
      <c r="D41" s="230">
        <v>4601423</v>
      </c>
      <c r="E41" s="230">
        <v>6686491</v>
      </c>
      <c r="F41" s="230">
        <v>8938309</v>
      </c>
      <c r="G41" s="230">
        <v>12333933</v>
      </c>
      <c r="H41" s="230">
        <v>16376640</v>
      </c>
    </row>
    <row r="42" spans="1:8" x14ac:dyDescent="0.25">
      <c r="A42" s="80">
        <v>9.1</v>
      </c>
      <c r="B42" s="227" t="s">
        <v>178</v>
      </c>
      <c r="C42" s="230">
        <v>1305578</v>
      </c>
      <c r="D42" s="230">
        <v>3611027</v>
      </c>
      <c r="E42" s="230">
        <v>4688789</v>
      </c>
      <c r="F42" s="230">
        <v>5914011</v>
      </c>
      <c r="G42" s="230">
        <v>8211428</v>
      </c>
      <c r="H42" s="230">
        <v>10518378</v>
      </c>
    </row>
    <row r="43" spans="1:8" x14ac:dyDescent="0.25">
      <c r="A43" s="80"/>
      <c r="B43" s="227" t="s">
        <v>179</v>
      </c>
      <c r="C43" s="230">
        <v>646729</v>
      </c>
      <c r="D43" s="230">
        <v>943117</v>
      </c>
      <c r="E43" s="230">
        <v>34229</v>
      </c>
      <c r="F43" s="230">
        <v>214399</v>
      </c>
      <c r="G43" s="230">
        <v>0</v>
      </c>
      <c r="H43" s="230">
        <v>0</v>
      </c>
    </row>
    <row r="44" spans="1:8" x14ac:dyDescent="0.25">
      <c r="A44" s="80">
        <v>9.1999999999999993</v>
      </c>
      <c r="B44" s="227" t="s">
        <v>180</v>
      </c>
      <c r="C44" s="230">
        <v>37652</v>
      </c>
      <c r="D44" s="230">
        <v>47279</v>
      </c>
      <c r="E44" s="230">
        <v>1963473</v>
      </c>
      <c r="F44" s="230">
        <v>2809899</v>
      </c>
      <c r="G44" s="230">
        <v>4122505</v>
      </c>
      <c r="H44" s="230">
        <v>5858262</v>
      </c>
    </row>
    <row r="45" spans="1:8" ht="13.8" thickBot="1" x14ac:dyDescent="0.3">
      <c r="A45" s="81"/>
      <c r="B45" s="228" t="s">
        <v>181</v>
      </c>
      <c r="C45" s="212">
        <v>7.8392503878711009E-2</v>
      </c>
      <c r="D45" s="212">
        <v>0.13378762494099827</v>
      </c>
      <c r="E45" s="212">
        <v>0.13605339591819704</v>
      </c>
      <c r="F45" s="212">
        <v>0.12111003096163786</v>
      </c>
      <c r="G45" s="212">
        <v>0.11383353292325731</v>
      </c>
      <c r="H45" s="212">
        <v>0.11707209408438204</v>
      </c>
    </row>
    <row r="46" spans="1:8" ht="13.8" thickBot="1" x14ac:dyDescent="0.3">
      <c r="A46" s="69"/>
      <c r="B46" s="65"/>
      <c r="C46" s="230"/>
      <c r="D46" s="230"/>
      <c r="E46" s="230"/>
      <c r="F46" s="230"/>
      <c r="G46" s="230"/>
      <c r="H46" s="230"/>
    </row>
    <row r="47" spans="1:8" x14ac:dyDescent="0.25">
      <c r="A47" s="82">
        <v>10</v>
      </c>
      <c r="B47" s="83" t="s">
        <v>182</v>
      </c>
      <c r="C47" s="230">
        <v>1916416</v>
      </c>
      <c r="D47" s="230">
        <v>4232069</v>
      </c>
      <c r="E47" s="230">
        <v>6334216</v>
      </c>
      <c r="F47" s="230">
        <v>7786610</v>
      </c>
      <c r="G47" s="230">
        <v>12550934</v>
      </c>
      <c r="H47" s="230">
        <v>13393240</v>
      </c>
    </row>
    <row r="48" spans="1:8" x14ac:dyDescent="0.25">
      <c r="A48" s="67">
        <v>10.1</v>
      </c>
      <c r="B48" s="84" t="s">
        <v>183</v>
      </c>
      <c r="C48" s="230">
        <v>1138470</v>
      </c>
      <c r="D48" s="230">
        <v>1235355</v>
      </c>
      <c r="E48" s="230">
        <v>1496701</v>
      </c>
      <c r="F48" s="230">
        <v>2653816</v>
      </c>
      <c r="G48" s="230">
        <v>3207800</v>
      </c>
      <c r="H48" s="230">
        <v>5126063</v>
      </c>
    </row>
    <row r="49" spans="1:8" x14ac:dyDescent="0.25">
      <c r="A49" s="67">
        <v>10.199999999999999</v>
      </c>
      <c r="B49" s="84" t="s">
        <v>184</v>
      </c>
      <c r="C49" s="230">
        <v>0</v>
      </c>
      <c r="D49" s="230">
        <v>407532</v>
      </c>
      <c r="E49" s="230">
        <v>393000</v>
      </c>
      <c r="F49" s="230">
        <v>0</v>
      </c>
      <c r="G49" s="230">
        <v>894352</v>
      </c>
      <c r="H49" s="230">
        <v>0</v>
      </c>
    </row>
    <row r="50" spans="1:8" x14ac:dyDescent="0.25">
      <c r="A50" s="67">
        <v>10.3</v>
      </c>
      <c r="B50" s="84" t="s">
        <v>185</v>
      </c>
      <c r="C50" s="230">
        <v>0</v>
      </c>
      <c r="D50" s="230">
        <v>152793</v>
      </c>
      <c r="E50" s="230">
        <v>257234</v>
      </c>
      <c r="F50" s="230">
        <v>304823</v>
      </c>
      <c r="G50" s="230">
        <v>514256</v>
      </c>
      <c r="H50" s="230">
        <v>137398</v>
      </c>
    </row>
    <row r="51" spans="1:8" x14ac:dyDescent="0.25">
      <c r="A51" s="67">
        <v>10.4</v>
      </c>
      <c r="B51" s="84" t="s">
        <v>186</v>
      </c>
      <c r="C51" s="230">
        <v>10171</v>
      </c>
      <c r="D51" s="230">
        <v>122606</v>
      </c>
      <c r="E51" s="230">
        <v>178894</v>
      </c>
      <c r="F51" s="230">
        <v>235816</v>
      </c>
      <c r="G51" s="230">
        <v>820122</v>
      </c>
      <c r="H51" s="230">
        <v>993184</v>
      </c>
    </row>
    <row r="52" spans="1:8" x14ac:dyDescent="0.25">
      <c r="A52" s="67">
        <v>10.5</v>
      </c>
      <c r="B52" s="85" t="s">
        <v>126</v>
      </c>
      <c r="C52" s="230">
        <v>599795</v>
      </c>
      <c r="D52" s="230">
        <v>1653661</v>
      </c>
      <c r="E52" s="230">
        <v>2898098</v>
      </c>
      <c r="F52" s="230">
        <v>2895130</v>
      </c>
      <c r="G52" s="230">
        <v>3762457</v>
      </c>
      <c r="H52" s="230">
        <v>5184354</v>
      </c>
    </row>
    <row r="53" spans="1:8" x14ac:dyDescent="0.25">
      <c r="A53" s="67">
        <v>10.6</v>
      </c>
      <c r="B53" s="85" t="s">
        <v>123</v>
      </c>
      <c r="C53" s="230">
        <v>167980</v>
      </c>
      <c r="D53" s="230">
        <v>390700</v>
      </c>
      <c r="E53" s="230">
        <v>765660</v>
      </c>
      <c r="F53" s="230">
        <v>1212154</v>
      </c>
      <c r="G53" s="230">
        <v>1358301</v>
      </c>
      <c r="H53" s="230">
        <v>2076338</v>
      </c>
    </row>
    <row r="54" spans="1:8" x14ac:dyDescent="0.25">
      <c r="A54" s="232"/>
      <c r="B54" s="61" t="s">
        <v>187</v>
      </c>
      <c r="C54" s="229">
        <v>0</v>
      </c>
      <c r="D54" s="229">
        <v>269422</v>
      </c>
      <c r="E54" s="229">
        <v>344629</v>
      </c>
      <c r="F54" s="229">
        <v>484871</v>
      </c>
      <c r="G54" s="229">
        <v>1993646</v>
      </c>
      <c r="H54" s="229">
        <v>-124097</v>
      </c>
    </row>
    <row r="55" spans="1:8" x14ac:dyDescent="0.25">
      <c r="A55" s="211"/>
      <c r="B55" s="211"/>
      <c r="C55" s="211"/>
      <c r="D55" s="211"/>
      <c r="E55" s="211"/>
      <c r="F55" s="211"/>
      <c r="G55" s="211"/>
      <c r="H55" s="211"/>
    </row>
    <row r="56" spans="1:8" x14ac:dyDescent="0.25">
      <c r="A56" s="211"/>
      <c r="B56" s="211" t="s">
        <v>188</v>
      </c>
      <c r="C56" s="231">
        <v>67895</v>
      </c>
      <c r="D56" s="231">
        <v>362262</v>
      </c>
      <c r="E56" s="231">
        <v>347141</v>
      </c>
      <c r="F56" s="231">
        <v>1147048</v>
      </c>
      <c r="G56" s="231">
        <v>-221863</v>
      </c>
      <c r="H56" s="231"/>
    </row>
  </sheetData>
  <pageMargins left="0.7" right="0.7" top="0.75" bottom="0.75" header="0.3" footer="0.3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50"/>
  <sheetViews>
    <sheetView workbookViewId="0">
      <selection activeCell="B18" sqref="B18"/>
    </sheetView>
  </sheetViews>
  <sheetFormatPr defaultColWidth="9.109375" defaultRowHeight="11.4" x14ac:dyDescent="0.2"/>
  <cols>
    <col min="1" max="1" width="5" style="398" bestFit="1" customWidth="1"/>
    <col min="2" max="2" width="41.109375" style="398" bestFit="1" customWidth="1"/>
    <col min="3" max="3" width="12.44140625" style="398" bestFit="1" customWidth="1"/>
    <col min="4" max="4" width="11.5546875" style="398" bestFit="1" customWidth="1"/>
    <col min="5" max="10" width="11.44140625" style="398" bestFit="1" customWidth="1"/>
    <col min="11" max="16384" width="9.109375" style="398"/>
  </cols>
  <sheetData>
    <row r="1" spans="1:10" ht="12" thickBot="1" x14ac:dyDescent="0.25">
      <c r="C1" s="399"/>
    </row>
    <row r="2" spans="1:10" x14ac:dyDescent="0.2">
      <c r="A2" s="400"/>
      <c r="B2" s="401" t="s">
        <v>494</v>
      </c>
      <c r="C2" s="402"/>
    </row>
    <row r="3" spans="1:10" x14ac:dyDescent="0.2">
      <c r="A3" s="403"/>
      <c r="B3" s="404" t="s">
        <v>137</v>
      </c>
      <c r="C3" s="405">
        <v>2013</v>
      </c>
      <c r="D3" s="406">
        <v>2014</v>
      </c>
      <c r="E3" s="407" t="s">
        <v>8</v>
      </c>
      <c r="F3" s="408">
        <v>42445</v>
      </c>
      <c r="G3" s="408">
        <v>42537</v>
      </c>
      <c r="H3" s="407" t="s">
        <v>17</v>
      </c>
      <c r="I3" s="407" t="s">
        <v>20</v>
      </c>
      <c r="J3" s="407" t="s">
        <v>138</v>
      </c>
    </row>
    <row r="4" spans="1:10" x14ac:dyDescent="0.2">
      <c r="A4" s="409">
        <v>1</v>
      </c>
      <c r="B4" s="410" t="s">
        <v>142</v>
      </c>
      <c r="C4" s="411">
        <v>1310</v>
      </c>
      <c r="D4" s="412"/>
      <c r="E4" s="412"/>
      <c r="F4" s="412"/>
      <c r="G4" s="412"/>
      <c r="H4" s="412"/>
      <c r="I4" s="412"/>
      <c r="J4" s="412"/>
    </row>
    <row r="5" spans="1:10" x14ac:dyDescent="0.2">
      <c r="A5" s="409">
        <v>2</v>
      </c>
      <c r="B5" s="410" t="s">
        <v>58</v>
      </c>
      <c r="C5" s="413">
        <f>Trend!I27</f>
        <v>71384601</v>
      </c>
      <c r="D5" s="413">
        <f>Trend!V27</f>
        <v>91290359</v>
      </c>
      <c r="E5" s="413">
        <f>Trend!AJ27</f>
        <v>125790259</v>
      </c>
      <c r="F5" s="413">
        <f>Trend!AM27</f>
        <v>127056881.47999999</v>
      </c>
      <c r="G5" s="413">
        <f>Trend!AP27</f>
        <v>110898720.27</v>
      </c>
      <c r="H5" s="413">
        <f>Trend!AS27</f>
        <v>137268295.05000001</v>
      </c>
      <c r="I5" s="413">
        <f>Trend!AV27</f>
        <v>152634446.25</v>
      </c>
      <c r="J5" s="413">
        <f>Trend!AW27</f>
        <v>149933787</v>
      </c>
    </row>
    <row r="6" spans="1:10" x14ac:dyDescent="0.2">
      <c r="A6" s="409">
        <v>3</v>
      </c>
      <c r="B6" s="410" t="s">
        <v>143</v>
      </c>
      <c r="C6" s="413">
        <f>Trend!I31</f>
        <v>43745777</v>
      </c>
      <c r="D6" s="413">
        <f>Trend!V31</f>
        <v>62128079</v>
      </c>
      <c r="E6" s="413">
        <f>Trend!AJ31</f>
        <v>91757805</v>
      </c>
      <c r="F6" s="413">
        <f>Trend!AM31</f>
        <v>88005368.870000005</v>
      </c>
      <c r="G6" s="413">
        <f>Trend!AP31</f>
        <v>88031768.870000005</v>
      </c>
      <c r="H6" s="413">
        <f>Trend!AS31</f>
        <v>87948848.870000005</v>
      </c>
      <c r="I6" s="413">
        <f>Trend!AV31</f>
        <v>107769477.78</v>
      </c>
      <c r="J6" s="413">
        <f>Trend!AW31</f>
        <v>112200675</v>
      </c>
    </row>
    <row r="7" spans="1:10" x14ac:dyDescent="0.2">
      <c r="A7" s="409">
        <v>3.1</v>
      </c>
      <c r="B7" s="414" t="s">
        <v>144</v>
      </c>
      <c r="C7" s="413">
        <f>Trend!I30</f>
        <v>32277459</v>
      </c>
      <c r="D7" s="413">
        <f>Trend!V30</f>
        <v>44483332</v>
      </c>
      <c r="E7" s="413">
        <f>Trend!AJ30</f>
        <v>61929319</v>
      </c>
      <c r="F7" s="413">
        <f>Trend!AM30</f>
        <v>82076780.370000005</v>
      </c>
      <c r="G7" s="413">
        <f>Trend!AP30</f>
        <v>82103180.370000005</v>
      </c>
      <c r="H7" s="413">
        <f>Trend!AS30</f>
        <v>82020260.370000005</v>
      </c>
      <c r="I7" s="413">
        <f>Trend!AV30</f>
        <v>77417124.959999993</v>
      </c>
      <c r="J7" s="413">
        <f>Trend!AW30</f>
        <v>81840305</v>
      </c>
    </row>
    <row r="8" spans="1:10" x14ac:dyDescent="0.2">
      <c r="A8" s="409">
        <v>3.2</v>
      </c>
      <c r="B8" s="414" t="s">
        <v>145</v>
      </c>
      <c r="C8" s="413">
        <f>Trend!I28</f>
        <v>11468318</v>
      </c>
      <c r="D8" s="413">
        <f>Trend!V28</f>
        <v>17644747</v>
      </c>
      <c r="E8" s="413">
        <f>Trend!AJ28</f>
        <v>29828486</v>
      </c>
      <c r="F8" s="413">
        <f>Trend!AM28</f>
        <v>4912377.5</v>
      </c>
      <c r="G8" s="413">
        <f>Trend!AP28</f>
        <v>4912377.5</v>
      </c>
      <c r="H8" s="413">
        <f>Trend!AS28</f>
        <v>4912377.5</v>
      </c>
      <c r="I8" s="413">
        <f>Trend!AV28</f>
        <v>29192641.82</v>
      </c>
      <c r="J8" s="413">
        <f>Trend!AW28</f>
        <v>30360370</v>
      </c>
    </row>
    <row r="9" spans="1:10" x14ac:dyDescent="0.2">
      <c r="A9" s="409">
        <v>4</v>
      </c>
      <c r="B9" s="410" t="s">
        <v>146</v>
      </c>
      <c r="C9" s="415">
        <f>Trend!I38</f>
        <v>4033865</v>
      </c>
      <c r="D9" s="415">
        <f>Trend!V38</f>
        <v>2073269</v>
      </c>
      <c r="E9" s="415">
        <f>Trend!AJ38</f>
        <v>0</v>
      </c>
      <c r="F9" s="415">
        <f>Trend!AM38</f>
        <v>0</v>
      </c>
      <c r="G9" s="415">
        <f>Trend!AP38</f>
        <v>0</v>
      </c>
      <c r="H9" s="415">
        <f>Trend!AS38</f>
        <v>0</v>
      </c>
      <c r="I9" s="415">
        <f>Trend!AV38</f>
        <v>0</v>
      </c>
      <c r="J9" s="415">
        <f>Trend!AW38</f>
        <v>0</v>
      </c>
    </row>
    <row r="10" spans="1:10" s="419" customFormat="1" ht="12" thickBot="1" x14ac:dyDescent="0.25">
      <c r="A10" s="416">
        <v>4.0999999999999996</v>
      </c>
      <c r="B10" s="417" t="s">
        <v>147</v>
      </c>
      <c r="C10" s="418">
        <f>Trend!I33+Trend!I34+Trend!I35+Trend!I37</f>
        <v>3300600</v>
      </c>
      <c r="D10" s="418">
        <f>Trend!V33+Trend!V34+Trend!V35+Trend!V37</f>
        <v>4548239</v>
      </c>
      <c r="E10" s="418">
        <f>Trend!AJ33+Trend!AJ34+Trend!AJ35+Trend!AJ37</f>
        <v>6531982</v>
      </c>
      <c r="F10" s="418">
        <f>Trend!AM33+Trend!AM34+Trend!AM35+Trend!AM37</f>
        <v>230136.46</v>
      </c>
      <c r="G10" s="418">
        <f>Trend!AP33+Trend!AP34+Trend!AP35+Trend!AP37</f>
        <v>893911.4</v>
      </c>
      <c r="H10" s="418">
        <f>Trend!AS33+Trend!AS34+Trend!AS35+Trend!AS37</f>
        <v>1735561.2</v>
      </c>
      <c r="I10" s="418">
        <f>Trend!AV33+Trend!AV34+Trend!AV35+Trend!AV37</f>
        <v>63416328.579999998</v>
      </c>
      <c r="J10" s="418">
        <f>Trend!AW33+Trend!AW34+Trend!AW35+Trend!AW37</f>
        <v>6612189</v>
      </c>
    </row>
    <row r="11" spans="1:10" x14ac:dyDescent="0.2">
      <c r="A11" s="421">
        <v>5</v>
      </c>
      <c r="B11" s="422" t="s">
        <v>148</v>
      </c>
      <c r="C11" s="423"/>
      <c r="D11" s="423"/>
      <c r="E11" s="423"/>
      <c r="F11" s="423"/>
      <c r="G11" s="423"/>
      <c r="H11" s="423"/>
      <c r="I11" s="423"/>
      <c r="J11" s="423"/>
    </row>
    <row r="12" spans="1:10" x14ac:dyDescent="0.2">
      <c r="A12" s="424">
        <v>5.0999999999999996</v>
      </c>
      <c r="B12" s="425" t="s">
        <v>149</v>
      </c>
      <c r="C12" s="413">
        <f>C14-C22</f>
        <v>19497393</v>
      </c>
      <c r="D12" s="413">
        <f>D14-D22</f>
        <v>20313086</v>
      </c>
      <c r="E12" s="413">
        <f>E14</f>
        <v>27501272</v>
      </c>
      <c r="F12" s="413">
        <f t="shared" ref="F12:J12" si="0">F14</f>
        <v>42112588.18</v>
      </c>
      <c r="G12" s="413">
        <f t="shared" si="0"/>
        <v>57903915.089999996</v>
      </c>
      <c r="H12" s="413">
        <f t="shared" si="0"/>
        <v>69668696.700000003</v>
      </c>
      <c r="I12" s="413">
        <f t="shared" si="0"/>
        <v>-18541410.110000003</v>
      </c>
      <c r="J12" s="413">
        <f t="shared" si="0"/>
        <v>31120922</v>
      </c>
    </row>
    <row r="13" spans="1:10" ht="12" thickBot="1" x14ac:dyDescent="0.25">
      <c r="A13" s="426">
        <v>5.2</v>
      </c>
      <c r="B13" s="427" t="s">
        <v>150</v>
      </c>
      <c r="C13" s="428">
        <f t="shared" ref="C13:J13" si="1">C12-C15</f>
        <v>3518752</v>
      </c>
      <c r="D13" s="428">
        <f t="shared" si="1"/>
        <v>1414937</v>
      </c>
      <c r="E13" s="428">
        <f t="shared" si="1"/>
        <v>5735023</v>
      </c>
      <c r="F13" s="428">
        <f t="shared" si="1"/>
        <v>6807756.3800000027</v>
      </c>
      <c r="G13" s="428">
        <f t="shared" si="1"/>
        <v>11785023.469999999</v>
      </c>
      <c r="H13" s="428">
        <f t="shared" si="1"/>
        <v>11866181.859999999</v>
      </c>
      <c r="I13" s="428">
        <f t="shared" si="1"/>
        <v>-50327788.160000004</v>
      </c>
      <c r="J13" s="428">
        <f t="shared" si="1"/>
        <v>7752917</v>
      </c>
    </row>
    <row r="14" spans="1:10" x14ac:dyDescent="0.2">
      <c r="A14" s="429">
        <v>5.3</v>
      </c>
      <c r="B14" s="401" t="s">
        <v>151</v>
      </c>
      <c r="C14" s="430">
        <f t="shared" ref="C14:J14" si="2">SUM(C15:C18)</f>
        <v>19725079</v>
      </c>
      <c r="D14" s="430">
        <f t="shared" si="2"/>
        <v>22540772</v>
      </c>
      <c r="E14" s="430">
        <f t="shared" si="2"/>
        <v>27501272</v>
      </c>
      <c r="F14" s="430">
        <f t="shared" si="2"/>
        <v>42112588.18</v>
      </c>
      <c r="G14" s="430">
        <f t="shared" si="2"/>
        <v>57903915.089999996</v>
      </c>
      <c r="H14" s="430">
        <f t="shared" si="2"/>
        <v>69668696.700000003</v>
      </c>
      <c r="I14" s="430">
        <f t="shared" si="2"/>
        <v>-18541410.110000003</v>
      </c>
      <c r="J14" s="430">
        <f t="shared" si="2"/>
        <v>31120922</v>
      </c>
    </row>
    <row r="15" spans="1:10" x14ac:dyDescent="0.2">
      <c r="A15" s="424" t="s">
        <v>152</v>
      </c>
      <c r="B15" s="431" t="s">
        <v>153</v>
      </c>
      <c r="C15" s="413">
        <f>Trend!I40</f>
        <v>15978641</v>
      </c>
      <c r="D15" s="413">
        <f>Trend!V40</f>
        <v>18898149</v>
      </c>
      <c r="E15" s="413">
        <f>Trend!AJ40</f>
        <v>21766249</v>
      </c>
      <c r="F15" s="413">
        <f>Trend!AM40</f>
        <v>35304831.799999997</v>
      </c>
      <c r="G15" s="413">
        <f>Trend!AP40</f>
        <v>46118891.619999997</v>
      </c>
      <c r="H15" s="413">
        <f>Trend!AS40</f>
        <v>57802514.840000004</v>
      </c>
      <c r="I15" s="413">
        <f>Trend!AV40</f>
        <v>31786378.050000001</v>
      </c>
      <c r="J15" s="413">
        <f>Trend!AW40</f>
        <v>23368005</v>
      </c>
    </row>
    <row r="16" spans="1:10" x14ac:dyDescent="0.2">
      <c r="A16" s="424" t="s">
        <v>154</v>
      </c>
      <c r="B16" s="414" t="s">
        <v>73</v>
      </c>
      <c r="C16" s="413">
        <f>Trend!I42</f>
        <v>394020</v>
      </c>
      <c r="D16" s="413">
        <f>Trend!V42</f>
        <v>154751</v>
      </c>
      <c r="E16" s="413">
        <f>Trend!AJ42</f>
        <v>1327040</v>
      </c>
      <c r="F16" s="413">
        <f>Trend!AM42</f>
        <v>2654911.38</v>
      </c>
      <c r="G16" s="413">
        <f>Trend!AP42</f>
        <v>7644178.4699999997</v>
      </c>
      <c r="H16" s="413">
        <f>Trend!AS42</f>
        <v>7545846.8600000003</v>
      </c>
      <c r="I16" s="413">
        <f>Trend!AV42</f>
        <v>-57331431.160000004</v>
      </c>
      <c r="J16" s="413">
        <f>Trend!AW42</f>
        <v>2618533</v>
      </c>
    </row>
    <row r="17" spans="1:10" x14ac:dyDescent="0.2">
      <c r="A17" s="424" t="s">
        <v>155</v>
      </c>
      <c r="B17" s="414" t="s">
        <v>156</v>
      </c>
      <c r="C17" s="413">
        <f>Trend!I46</f>
        <v>589148</v>
      </c>
      <c r="D17" s="413">
        <f>Trend!V46</f>
        <v>723646</v>
      </c>
      <c r="E17" s="413">
        <f>Trend!AJ46</f>
        <v>1319557</v>
      </c>
      <c r="F17" s="413">
        <f>Trend!AM46</f>
        <v>359738</v>
      </c>
      <c r="G17" s="413">
        <f>Trend!AP46</f>
        <v>359738</v>
      </c>
      <c r="H17" s="413">
        <f>Trend!AS46</f>
        <v>359738</v>
      </c>
      <c r="I17" s="413">
        <f>Trend!AV46</f>
        <v>1319557</v>
      </c>
      <c r="J17" s="413">
        <f>Trend!AW46</f>
        <v>1844468</v>
      </c>
    </row>
    <row r="18" spans="1:10" x14ac:dyDescent="0.2">
      <c r="A18" s="424" t="s">
        <v>157</v>
      </c>
      <c r="B18" s="414" t="s">
        <v>158</v>
      </c>
      <c r="C18" s="413">
        <f>Trend!I47</f>
        <v>2763270</v>
      </c>
      <c r="D18" s="413">
        <f>Trend!V47</f>
        <v>2764226</v>
      </c>
      <c r="E18" s="413">
        <f>Trend!AJ47</f>
        <v>3088426</v>
      </c>
      <c r="F18" s="413">
        <f>Trend!AM47</f>
        <v>3793107</v>
      </c>
      <c r="G18" s="413">
        <f>Trend!AP47</f>
        <v>3781107</v>
      </c>
      <c r="H18" s="413">
        <f>Trend!AS47</f>
        <v>3960597</v>
      </c>
      <c r="I18" s="413">
        <f>Trend!AV47</f>
        <v>5684086</v>
      </c>
      <c r="J18" s="413">
        <f>Trend!AW47</f>
        <v>3289916</v>
      </c>
    </row>
    <row r="19" spans="1:10" x14ac:dyDescent="0.2">
      <c r="A19" s="424" t="s">
        <v>159</v>
      </c>
      <c r="B19" s="432" t="s">
        <v>160</v>
      </c>
      <c r="C19" s="413"/>
      <c r="D19" s="413"/>
      <c r="E19" s="413"/>
      <c r="F19" s="413"/>
      <c r="G19" s="413"/>
      <c r="H19" s="413"/>
      <c r="I19" s="413"/>
      <c r="J19" s="413"/>
    </row>
    <row r="20" spans="1:10" x14ac:dyDescent="0.2">
      <c r="A20" s="433" t="s">
        <v>161</v>
      </c>
      <c r="B20" s="414" t="s">
        <v>162</v>
      </c>
      <c r="C20" s="413">
        <f>Trend!I68+Trend!I69</f>
        <v>2958639</v>
      </c>
      <c r="D20" s="413">
        <f>Trend!V68+Trend!V69</f>
        <v>3722056</v>
      </c>
      <c r="E20" s="413">
        <f>Trend!AJ68+Trend!AJ69</f>
        <v>5263461</v>
      </c>
      <c r="F20" s="413">
        <f>Trend!AM68+Trend!AM69</f>
        <v>0</v>
      </c>
      <c r="G20" s="413">
        <f>Trend!AP68+Trend!AP69</f>
        <v>0</v>
      </c>
      <c r="H20" s="413">
        <f>Trend!AS68+Trend!AS69</f>
        <v>0</v>
      </c>
      <c r="I20" s="413">
        <f>Trend!AV68+Trend!AV69</f>
        <v>-9520</v>
      </c>
      <c r="J20" s="413">
        <f>Trend!AW68+Trend!AW69</f>
        <v>5808736</v>
      </c>
    </row>
    <row r="21" spans="1:10" ht="12" thickBot="1" x14ac:dyDescent="0.25">
      <c r="A21" s="434" t="s">
        <v>163</v>
      </c>
      <c r="B21" s="435"/>
      <c r="C21" s="428"/>
      <c r="D21" s="428"/>
      <c r="E21" s="428"/>
      <c r="F21" s="428"/>
      <c r="G21" s="428"/>
      <c r="H21" s="428"/>
      <c r="I21" s="428"/>
      <c r="J21" s="428"/>
    </row>
    <row r="22" spans="1:10" x14ac:dyDescent="0.2">
      <c r="A22" s="421">
        <v>6</v>
      </c>
      <c r="B22" s="436" t="s">
        <v>164</v>
      </c>
      <c r="C22" s="423">
        <f t="shared" ref="C22:J22" si="3">SUM(C23:C24)</f>
        <v>227686</v>
      </c>
      <c r="D22" s="423">
        <f t="shared" si="3"/>
        <v>2227686</v>
      </c>
      <c r="E22" s="423">
        <f t="shared" si="3"/>
        <v>22553206</v>
      </c>
      <c r="F22" s="423">
        <f t="shared" si="3"/>
        <v>23187943.760000002</v>
      </c>
      <c r="G22" s="423">
        <f t="shared" si="3"/>
        <v>4940876.4800000004</v>
      </c>
      <c r="H22" s="423">
        <f t="shared" si="3"/>
        <v>7190687.5</v>
      </c>
      <c r="I22" s="423">
        <f t="shared" si="3"/>
        <v>25995187.5</v>
      </c>
      <c r="J22" s="423">
        <f t="shared" si="3"/>
        <v>532249</v>
      </c>
    </row>
    <row r="23" spans="1:10" x14ac:dyDescent="0.2">
      <c r="A23" s="424">
        <v>6.1</v>
      </c>
      <c r="B23" s="414" t="s">
        <v>165</v>
      </c>
      <c r="C23" s="413">
        <f>Trend!I12</f>
        <v>0</v>
      </c>
      <c r="D23" s="413">
        <f>Trend!V12</f>
        <v>0</v>
      </c>
      <c r="E23" s="413">
        <f>Trend!AJ12</f>
        <v>4817704</v>
      </c>
      <c r="F23" s="413">
        <f>Trend!AM12</f>
        <v>4870876.4800000004</v>
      </c>
      <c r="G23" s="413">
        <f>Trend!AP12</f>
        <v>4940876.4800000004</v>
      </c>
      <c r="H23" s="413">
        <f>Trend!AS12</f>
        <v>7190687.5</v>
      </c>
      <c r="I23" s="413">
        <f>Trend!AV12</f>
        <v>7995187.5</v>
      </c>
      <c r="J23" s="413">
        <f>Trend!AW12</f>
        <v>532249</v>
      </c>
    </row>
    <row r="24" spans="1:10" x14ac:dyDescent="0.2">
      <c r="A24" s="424">
        <v>6.2</v>
      </c>
      <c r="B24" s="414" t="s">
        <v>166</v>
      </c>
      <c r="C24" s="413">
        <f>Trend!I13</f>
        <v>227686</v>
      </c>
      <c r="D24" s="413">
        <f>Trend!V13</f>
        <v>2227686</v>
      </c>
      <c r="E24" s="413">
        <f>Trend!AJ13</f>
        <v>17735502</v>
      </c>
      <c r="F24" s="413">
        <f>Trend!AM13</f>
        <v>18317067.280000001</v>
      </c>
      <c r="G24" s="413">
        <f>Trend!AP13</f>
        <v>0</v>
      </c>
      <c r="H24" s="413">
        <f>Trend!AS13</f>
        <v>0</v>
      </c>
      <c r="I24" s="413">
        <f>Trend!AV13</f>
        <v>18000000</v>
      </c>
      <c r="J24" s="413">
        <f>Trend!AW13</f>
        <v>0</v>
      </c>
    </row>
    <row r="25" spans="1:10" ht="12" thickBot="1" x14ac:dyDescent="0.25">
      <c r="A25" s="426">
        <v>6.3</v>
      </c>
      <c r="B25" s="435" t="s">
        <v>167</v>
      </c>
      <c r="C25" s="428"/>
      <c r="D25" s="428"/>
      <c r="E25" s="428"/>
      <c r="F25" s="428"/>
      <c r="G25" s="428"/>
      <c r="H25" s="428"/>
      <c r="I25" s="428"/>
      <c r="J25" s="428"/>
    </row>
    <row r="26" spans="1:10" x14ac:dyDescent="0.2">
      <c r="A26" s="421">
        <v>7</v>
      </c>
      <c r="B26" s="437" t="s">
        <v>168</v>
      </c>
      <c r="C26" s="423">
        <f t="shared" ref="C26:J26" si="4">C27-C28</f>
        <v>48346848</v>
      </c>
      <c r="D26" s="423">
        <f t="shared" si="4"/>
        <v>70141759</v>
      </c>
      <c r="E26" s="423">
        <f t="shared" si="4"/>
        <v>87975748</v>
      </c>
      <c r="F26" s="423">
        <f t="shared" si="4"/>
        <v>86691772.819999993</v>
      </c>
      <c r="G26" s="423">
        <f t="shared" si="4"/>
        <v>86713098.819999993</v>
      </c>
      <c r="H26" s="423">
        <f t="shared" si="4"/>
        <v>103523370.56</v>
      </c>
      <c r="I26" s="423">
        <f t="shared" si="4"/>
        <v>108678477.81999999</v>
      </c>
      <c r="J26" s="423">
        <f t="shared" si="4"/>
        <v>104310394</v>
      </c>
    </row>
    <row r="27" spans="1:10" x14ac:dyDescent="0.2">
      <c r="A27" s="424">
        <v>7.1</v>
      </c>
      <c r="B27" s="410" t="s">
        <v>169</v>
      </c>
      <c r="C27" s="413">
        <f>Trend!I15</f>
        <v>48831719</v>
      </c>
      <c r="D27" s="413">
        <f>Trend!V15</f>
        <v>72135405</v>
      </c>
      <c r="E27" s="413">
        <f>Trend!AJ15</f>
        <v>89845305</v>
      </c>
      <c r="F27" s="413">
        <f>Trend!AM15</f>
        <v>89091772.819999993</v>
      </c>
      <c r="G27" s="413">
        <f>Trend!AP15</f>
        <v>89113098.819999993</v>
      </c>
      <c r="H27" s="413">
        <f>Trend!AS15</f>
        <v>105923370.56</v>
      </c>
      <c r="I27" s="413">
        <f>Trend!AV15</f>
        <v>111971045.81999999</v>
      </c>
      <c r="J27" s="413">
        <f>Trend!AW15</f>
        <v>110900703</v>
      </c>
    </row>
    <row r="28" spans="1:10" x14ac:dyDescent="0.2">
      <c r="A28" s="424">
        <v>7.3</v>
      </c>
      <c r="B28" s="410" t="s">
        <v>170</v>
      </c>
      <c r="C28" s="413">
        <f>Trend!I16</f>
        <v>484871</v>
      </c>
      <c r="D28" s="413">
        <f>Trend!V16</f>
        <v>1993646</v>
      </c>
      <c r="E28" s="413">
        <f>Trend!AJ16</f>
        <v>1869557</v>
      </c>
      <c r="F28" s="413">
        <f>Trend!AM16</f>
        <v>2400000</v>
      </c>
      <c r="G28" s="413">
        <f>Trend!AP16</f>
        <v>2400000</v>
      </c>
      <c r="H28" s="413">
        <f>Trend!AS16</f>
        <v>2400000</v>
      </c>
      <c r="I28" s="413">
        <f>Trend!AV16</f>
        <v>3292568</v>
      </c>
      <c r="J28" s="413">
        <f>Trend!AW16</f>
        <v>6590309</v>
      </c>
    </row>
    <row r="29" spans="1:10" ht="12" thickBot="1" x14ac:dyDescent="0.25">
      <c r="A29" s="438">
        <v>7.4</v>
      </c>
      <c r="B29" s="410" t="s">
        <v>171</v>
      </c>
      <c r="C29" s="439">
        <f>+RCAP!D13+RCAP!D14+RCAP!D15+RCAP!D23</f>
        <v>3069984</v>
      </c>
      <c r="D29" s="439">
        <f>+RCAP!Q13+RCAP!Q14+RCAP!Q15+RCAP!Q23</f>
        <v>1.75</v>
      </c>
      <c r="E29" s="439"/>
      <c r="F29" s="439"/>
      <c r="G29" s="439"/>
      <c r="H29" s="439"/>
      <c r="I29" s="439"/>
      <c r="J29" s="439"/>
    </row>
    <row r="30" spans="1:10" x14ac:dyDescent="0.2">
      <c r="A30" s="424">
        <v>7.56666666666667</v>
      </c>
      <c r="B30" s="410" t="s">
        <v>172</v>
      </c>
      <c r="C30" s="439"/>
      <c r="D30" s="439"/>
      <c r="E30" s="439" t="e">
        <f>SUM(RCAP!#REF!)+RCAP!#REF!</f>
        <v>#REF!</v>
      </c>
      <c r="F30" s="439" t="e">
        <f>SUM(RCAP!#REF!)+RCAP!#REF!</f>
        <v>#REF!</v>
      </c>
      <c r="G30" s="439">
        <f>SUM(RCAP!AY13:AY15)+RCAP!AY23</f>
        <v>0</v>
      </c>
      <c r="H30" s="439" t="e">
        <f>SUM(RCAP!#REF!)+RCAP!#REF!</f>
        <v>#REF!</v>
      </c>
      <c r="I30" s="439" t="e">
        <f>SUM(RCAP!#REF!)+RCAP!#REF!</f>
        <v>#REF!</v>
      </c>
      <c r="J30" s="439" t="e">
        <f>SUM(RCAP!#REF!)+RCAP!#REF!</f>
        <v>#REF!</v>
      </c>
    </row>
    <row r="31" spans="1:10" x14ac:dyDescent="0.2">
      <c r="A31" s="424">
        <v>7.7166666666666703</v>
      </c>
      <c r="B31" s="440" t="s">
        <v>173</v>
      </c>
      <c r="C31" s="439">
        <f>RCAP!F24</f>
        <v>1949569.6181999999</v>
      </c>
      <c r="D31" s="439">
        <f>RCAP!S24</f>
        <v>7660</v>
      </c>
      <c r="E31" s="439" t="e">
        <f>RCAP!#REF!</f>
        <v>#REF!</v>
      </c>
      <c r="F31" s="439" t="e">
        <f>RCAP!#REF!</f>
        <v>#REF!</v>
      </c>
      <c r="G31" s="439" t="e">
        <f>RCAP!#REF!</f>
        <v>#REF!</v>
      </c>
      <c r="H31" s="439" t="e">
        <f>RCAP!#REF!</f>
        <v>#REF!</v>
      </c>
      <c r="I31" s="439" t="e">
        <f>RCAP!#REF!</f>
        <v>#REF!</v>
      </c>
      <c r="J31" s="439" t="e">
        <f>RCAP!#REF!</f>
        <v>#REF!</v>
      </c>
    </row>
    <row r="32" spans="1:10" ht="12" thickBot="1" x14ac:dyDescent="0.25">
      <c r="A32" s="424">
        <v>7.8666666666666698</v>
      </c>
      <c r="B32" s="441" t="s">
        <v>174</v>
      </c>
      <c r="C32" s="420">
        <f>Trend!I5</f>
        <v>16473429</v>
      </c>
      <c r="D32" s="420">
        <f>Trend!V5</f>
        <v>14001725</v>
      </c>
      <c r="E32" s="420">
        <f>Trend!AJ5</f>
        <v>8376130</v>
      </c>
      <c r="F32" s="420">
        <f>Trend!AM5</f>
        <v>7175172.9500000002</v>
      </c>
      <c r="G32" s="420">
        <f>Trend!AP5</f>
        <v>10099765.699999999</v>
      </c>
      <c r="H32" s="420">
        <f>Trend!AS5</f>
        <v>2028730.9</v>
      </c>
      <c r="I32" s="420">
        <f>Trend!AV5</f>
        <v>5457407.3300000001</v>
      </c>
      <c r="J32" s="420">
        <f>Trend!AW5</f>
        <v>36432236</v>
      </c>
    </row>
    <row r="33" spans="1:10" x14ac:dyDescent="0.2">
      <c r="A33" s="421">
        <v>8</v>
      </c>
      <c r="B33" s="437" t="s">
        <v>175</v>
      </c>
      <c r="C33" s="423">
        <f>Trend!I8+Trend!I21</f>
        <v>4836638</v>
      </c>
      <c r="D33" s="423">
        <f>Trend!V8+Trend!V21</f>
        <v>4919189</v>
      </c>
      <c r="E33" s="423">
        <f>Trend!AJ8+Trend!AJ21</f>
        <v>5385175</v>
      </c>
      <c r="F33" s="423">
        <f>Trend!AM8+Trend!AM21</f>
        <v>8501991.9499999993</v>
      </c>
      <c r="G33" s="423">
        <f>Trend!AP8+Trend!AP21</f>
        <v>7644979.2699999996</v>
      </c>
      <c r="H33" s="423">
        <f>Trend!AS8+Trend!AS21</f>
        <v>21525506.09</v>
      </c>
      <c r="I33" s="423">
        <f>Trend!AV8+Trend!AV21</f>
        <v>9231958.5999999996</v>
      </c>
      <c r="J33" s="423">
        <f>Trend!AW8+Trend!AW21</f>
        <v>5658908</v>
      </c>
    </row>
    <row r="34" spans="1:10" ht="12" thickBot="1" x14ac:dyDescent="0.25">
      <c r="A34" s="426">
        <v>8.1</v>
      </c>
      <c r="B34" s="442" t="s">
        <v>54</v>
      </c>
      <c r="C34" s="428">
        <f>Trend!I23</f>
        <v>4109038</v>
      </c>
      <c r="D34" s="428">
        <f>Trend!V23</f>
        <v>4161589</v>
      </c>
      <c r="E34" s="428">
        <f>Trend!AJ23</f>
        <v>4710275</v>
      </c>
      <c r="F34" s="428">
        <f>Trend!AM23</f>
        <v>6538198</v>
      </c>
      <c r="G34" s="428">
        <f>Trend!AP23</f>
        <v>6707718</v>
      </c>
      <c r="H34" s="428">
        <f>Trend!AS23</f>
        <v>6958800</v>
      </c>
      <c r="I34" s="428">
        <f>Trend!AV23</f>
        <v>7487007</v>
      </c>
      <c r="J34" s="428">
        <f>Trend!AW23</f>
        <v>5040538</v>
      </c>
    </row>
    <row r="35" spans="1:10" ht="12" thickBot="1" x14ac:dyDescent="0.25">
      <c r="A35" s="421">
        <v>8.1999999999999993</v>
      </c>
      <c r="B35" s="398" t="s">
        <v>176</v>
      </c>
      <c r="C35" s="443">
        <f>2602400+625510</f>
        <v>3227910</v>
      </c>
      <c r="D35" s="443">
        <f t="shared" ref="D35" si="5">2602400+625510</f>
        <v>3227910</v>
      </c>
      <c r="E35" s="443"/>
      <c r="F35" s="443"/>
      <c r="G35" s="443"/>
      <c r="H35" s="443"/>
      <c r="I35" s="443"/>
      <c r="J35" s="443"/>
    </row>
    <row r="36" spans="1:10" x14ac:dyDescent="0.2">
      <c r="A36" s="444">
        <v>9</v>
      </c>
      <c r="B36" s="445" t="s">
        <v>177</v>
      </c>
      <c r="C36" s="423">
        <f t="shared" ref="C36:J36" si="6">C37+C38+C39</f>
        <v>8938309</v>
      </c>
      <c r="D36" s="423">
        <f t="shared" si="6"/>
        <v>12333933</v>
      </c>
      <c r="E36" s="423">
        <f t="shared" si="6"/>
        <v>16376640</v>
      </c>
      <c r="F36" s="423">
        <f t="shared" si="6"/>
        <v>1695522.01</v>
      </c>
      <c r="G36" s="423">
        <f t="shared" si="6"/>
        <v>0</v>
      </c>
      <c r="H36" s="423">
        <f t="shared" si="6"/>
        <v>0</v>
      </c>
      <c r="I36" s="423">
        <f t="shared" si="6"/>
        <v>21399136</v>
      </c>
      <c r="J36" s="423">
        <f t="shared" si="6"/>
        <v>21928955</v>
      </c>
    </row>
    <row r="37" spans="1:10" x14ac:dyDescent="0.2">
      <c r="A37" s="446">
        <v>9.1</v>
      </c>
      <c r="B37" s="409" t="s">
        <v>178</v>
      </c>
      <c r="C37" s="413">
        <f>Trend!I60</f>
        <v>5914011</v>
      </c>
      <c r="D37" s="413">
        <f>Trend!V60</f>
        <v>8211428</v>
      </c>
      <c r="E37" s="413">
        <f>Trend!AJ60</f>
        <v>10518378</v>
      </c>
      <c r="F37" s="413">
        <f>Trend!AM60</f>
        <v>277035</v>
      </c>
      <c r="G37" s="413">
        <f>Trend!AP60</f>
        <v>0</v>
      </c>
      <c r="H37" s="413">
        <f>Trend!AS60</f>
        <v>0</v>
      </c>
      <c r="I37" s="413">
        <f>Trend!AV60</f>
        <v>12250625</v>
      </c>
      <c r="J37" s="413">
        <f>Trend!AW60</f>
        <v>13367244</v>
      </c>
    </row>
    <row r="38" spans="1:10" x14ac:dyDescent="0.2">
      <c r="A38" s="446"/>
      <c r="B38" s="409" t="s">
        <v>179</v>
      </c>
      <c r="C38" s="413">
        <f>Trend!I61</f>
        <v>214399</v>
      </c>
      <c r="D38" s="413">
        <f>Trend!V61</f>
        <v>0</v>
      </c>
      <c r="E38" s="413">
        <f>Trend!AJ61</f>
        <v>0</v>
      </c>
      <c r="F38" s="413">
        <f>Trend!AM61</f>
        <v>94345.25</v>
      </c>
      <c r="G38" s="413">
        <f>Trend!AP61</f>
        <v>0</v>
      </c>
      <c r="H38" s="413">
        <f>Trend!AS61</f>
        <v>0</v>
      </c>
      <c r="I38" s="413">
        <f>Trend!AV61</f>
        <v>881876.3</v>
      </c>
      <c r="J38" s="413">
        <f>Trend!AW61</f>
        <v>0</v>
      </c>
    </row>
    <row r="39" spans="1:10" x14ac:dyDescent="0.2">
      <c r="A39" s="446">
        <v>9.1999999999999993</v>
      </c>
      <c r="B39" s="409" t="s">
        <v>180</v>
      </c>
      <c r="C39" s="413">
        <f>Trend!I62</f>
        <v>2809899</v>
      </c>
      <c r="D39" s="413">
        <f>Trend!V62</f>
        <v>4122505</v>
      </c>
      <c r="E39" s="413">
        <f>Trend!AJ62</f>
        <v>5858262</v>
      </c>
      <c r="F39" s="413">
        <f>Trend!AM62</f>
        <v>1324141.76</v>
      </c>
      <c r="G39" s="413">
        <f>Trend!AP62</f>
        <v>0</v>
      </c>
      <c r="H39" s="413">
        <f>Trend!AS62</f>
        <v>0</v>
      </c>
      <c r="I39" s="413">
        <f>Trend!AV62</f>
        <v>8266634.7000000002</v>
      </c>
      <c r="J39" s="413">
        <f>Trend!AW62</f>
        <v>8561711</v>
      </c>
    </row>
    <row r="40" spans="1:10" ht="12" thickBot="1" x14ac:dyDescent="0.25">
      <c r="A40" s="447"/>
      <c r="B40" s="438" t="s">
        <v>181</v>
      </c>
      <c r="C40" s="448">
        <f t="shared" ref="C40:J40" si="7">C37/C27</f>
        <v>0.12111003096163786</v>
      </c>
      <c r="D40" s="448">
        <f t="shared" si="7"/>
        <v>0.11383353292325731</v>
      </c>
      <c r="E40" s="448">
        <f t="shared" si="7"/>
        <v>0.11707209408438204</v>
      </c>
      <c r="F40" s="448">
        <f t="shared" si="7"/>
        <v>3.1095463838138947E-3</v>
      </c>
      <c r="G40" s="448">
        <f t="shared" si="7"/>
        <v>0</v>
      </c>
      <c r="H40" s="448">
        <f t="shared" si="7"/>
        <v>0</v>
      </c>
      <c r="I40" s="448">
        <f t="shared" si="7"/>
        <v>0.10940886467822759</v>
      </c>
      <c r="J40" s="448">
        <f t="shared" si="7"/>
        <v>0.12053344693405596</v>
      </c>
    </row>
    <row r="41" spans="1:10" x14ac:dyDescent="0.2">
      <c r="A41" s="449">
        <v>10</v>
      </c>
      <c r="B41" s="450" t="s">
        <v>182</v>
      </c>
      <c r="C41" s="451">
        <f t="shared" ref="C41:J41" si="8">SUM(C42:C48)</f>
        <v>7786610</v>
      </c>
      <c r="D41" s="451">
        <f t="shared" si="8"/>
        <v>12550934</v>
      </c>
      <c r="E41" s="451">
        <f t="shared" si="8"/>
        <v>13393240</v>
      </c>
      <c r="F41" s="451">
        <f t="shared" si="8"/>
        <v>3404284.5</v>
      </c>
      <c r="G41" s="451">
        <f t="shared" si="8"/>
        <v>0</v>
      </c>
      <c r="H41" s="451">
        <f t="shared" si="8"/>
        <v>0</v>
      </c>
      <c r="I41" s="451">
        <f t="shared" si="8"/>
        <v>12039757</v>
      </c>
      <c r="J41" s="451">
        <f t="shared" si="8"/>
        <v>18998844</v>
      </c>
    </row>
    <row r="42" spans="1:10" x14ac:dyDescent="0.2">
      <c r="A42" s="424">
        <v>10.1</v>
      </c>
      <c r="B42" s="452" t="s">
        <v>183</v>
      </c>
      <c r="C42" s="413">
        <f>Trend!I68</f>
        <v>2653816</v>
      </c>
      <c r="D42" s="413">
        <f>Trend!V68</f>
        <v>3207800</v>
      </c>
      <c r="E42" s="413">
        <f>Trend!AJ68</f>
        <v>5126063</v>
      </c>
      <c r="F42" s="413">
        <f>Trend!AM68</f>
        <v>0</v>
      </c>
      <c r="G42" s="413">
        <f>Trend!AP68</f>
        <v>0</v>
      </c>
      <c r="H42" s="413">
        <f>Trend!AS68</f>
        <v>0</v>
      </c>
      <c r="I42" s="413">
        <f>Trend!AV68</f>
        <v>-27920</v>
      </c>
      <c r="J42" s="413">
        <f>Trend!AW68</f>
        <v>5808736</v>
      </c>
    </row>
    <row r="43" spans="1:10" x14ac:dyDescent="0.2">
      <c r="A43" s="424">
        <v>10.199999999999999</v>
      </c>
      <c r="B43" s="452" t="s">
        <v>184</v>
      </c>
      <c r="C43" s="439">
        <f>Trend!I70</f>
        <v>0</v>
      </c>
      <c r="D43" s="439">
        <f>Trend!V70</f>
        <v>894352</v>
      </c>
      <c r="E43" s="439">
        <f>Trend!AJ70</f>
        <v>0</v>
      </c>
      <c r="F43" s="439">
        <f>Trend!AM70</f>
        <v>509145</v>
      </c>
      <c r="G43" s="439">
        <f>Trend!AP70</f>
        <v>0</v>
      </c>
      <c r="H43" s="439">
        <f>Trend!AS70</f>
        <v>0</v>
      </c>
      <c r="I43" s="439">
        <f>Trend!AV70</f>
        <v>1104497</v>
      </c>
      <c r="J43" s="439">
        <f>Trend!AW70</f>
        <v>0</v>
      </c>
    </row>
    <row r="44" spans="1:10" x14ac:dyDescent="0.2">
      <c r="A44" s="424">
        <v>10.3</v>
      </c>
      <c r="B44" s="452" t="s">
        <v>185</v>
      </c>
      <c r="C44" s="415">
        <f>Trend!I69</f>
        <v>304823</v>
      </c>
      <c r="D44" s="415">
        <f>Trend!V69</f>
        <v>514256</v>
      </c>
      <c r="E44" s="415">
        <f>Trend!AJ69</f>
        <v>137398</v>
      </c>
      <c r="F44" s="415">
        <f>Trend!AM69</f>
        <v>0</v>
      </c>
      <c r="G44" s="415">
        <f>Trend!AP69</f>
        <v>0</v>
      </c>
      <c r="H44" s="415">
        <f>Trend!AS69</f>
        <v>0</v>
      </c>
      <c r="I44" s="415">
        <f>Trend!AV69</f>
        <v>18400</v>
      </c>
      <c r="J44" s="415">
        <f>Trend!AW69</f>
        <v>0</v>
      </c>
    </row>
    <row r="45" spans="1:10" x14ac:dyDescent="0.2">
      <c r="A45" s="424">
        <v>10.4</v>
      </c>
      <c r="B45" s="452" t="s">
        <v>186</v>
      </c>
      <c r="C45" s="439">
        <f>Trend!I71+Trend!I72+Trend!I73</f>
        <v>235816</v>
      </c>
      <c r="D45" s="439">
        <f>Trend!V71+Trend!V72+Trend!V73</f>
        <v>820122</v>
      </c>
      <c r="E45" s="439">
        <f>Trend!AJ71+Trend!AJ72+Trend!AJ73</f>
        <v>993184</v>
      </c>
      <c r="F45" s="439">
        <f>Trend!AM71+Trend!AM72+Trend!AM73</f>
        <v>168798.5</v>
      </c>
      <c r="G45" s="439">
        <f>Trend!AP71+Trend!AP72+Trend!AP73</f>
        <v>0</v>
      </c>
      <c r="H45" s="439">
        <f>Trend!AS71+Trend!AS72+Trend!AS73</f>
        <v>0</v>
      </c>
      <c r="I45" s="439">
        <f>Trend!AV71+Trend!AV72+Trend!AV73</f>
        <v>422658.5</v>
      </c>
      <c r="J45" s="439">
        <f>Trend!AW71+Trend!AW72+Trend!AW73</f>
        <v>792013</v>
      </c>
    </row>
    <row r="46" spans="1:10" x14ac:dyDescent="0.2">
      <c r="A46" s="424">
        <v>10.5</v>
      </c>
      <c r="B46" s="453" t="s">
        <v>126</v>
      </c>
      <c r="C46" s="413">
        <f>Trend!I83+Trend!I82+Trend!I81+Trend!I79</f>
        <v>2895130</v>
      </c>
      <c r="D46" s="413">
        <f>Trend!V83+Trend!V82+Trend!V81+Trend!V79</f>
        <v>3762457</v>
      </c>
      <c r="E46" s="413">
        <f>Trend!AJ83+Trend!AJ82+Trend!AJ81+Trend!AJ79</f>
        <v>5184354</v>
      </c>
      <c r="F46" s="413">
        <f>Trend!AM83+Trend!AM82+Trend!AM81+Trend!AM79</f>
        <v>2137637</v>
      </c>
      <c r="G46" s="413">
        <f>Trend!AP83+Trend!AP82+Trend!AP81+Trend!AP79</f>
        <v>0</v>
      </c>
      <c r="H46" s="413">
        <f>Trend!AS83+Trend!AS82+Trend!AS81+Trend!AS79</f>
        <v>0</v>
      </c>
      <c r="I46" s="413">
        <f>Trend!AV83+Trend!AV82+Trend!AV81+Trend!AV79</f>
        <v>9019007.5</v>
      </c>
      <c r="J46" s="413">
        <f>Trend!AW83+Trend!AW82+Trend!AW81+Trend!AW79</f>
        <v>5475332</v>
      </c>
    </row>
    <row r="47" spans="1:10" x14ac:dyDescent="0.2">
      <c r="A47" s="424">
        <v>10.6</v>
      </c>
      <c r="B47" s="453" t="s">
        <v>123</v>
      </c>
      <c r="C47" s="413">
        <f>Trend!I80</f>
        <v>1212154</v>
      </c>
      <c r="D47" s="413">
        <f>Trend!V80</f>
        <v>1358301</v>
      </c>
      <c r="E47" s="413">
        <f>Trend!AJ80</f>
        <v>2076338</v>
      </c>
      <c r="F47" s="413">
        <f>Trend!AM80</f>
        <v>588704</v>
      </c>
      <c r="G47" s="413">
        <f>Trend!AP80</f>
        <v>0</v>
      </c>
      <c r="H47" s="413">
        <f>Trend!AS80</f>
        <v>0</v>
      </c>
      <c r="I47" s="413">
        <f>Trend!AV80</f>
        <v>1503114</v>
      </c>
      <c r="J47" s="413">
        <f>Trend!AW80</f>
        <v>2202011</v>
      </c>
    </row>
    <row r="48" spans="1:10" ht="12" thickBot="1" x14ac:dyDescent="0.25">
      <c r="A48" s="424"/>
      <c r="B48" s="454" t="s">
        <v>187</v>
      </c>
      <c r="C48" s="455">
        <f>Trend!I75</f>
        <v>484871</v>
      </c>
      <c r="D48" s="455">
        <f>Trend!V75</f>
        <v>1993646</v>
      </c>
      <c r="E48" s="455">
        <f>Trend!AJ75</f>
        <v>-124097</v>
      </c>
      <c r="F48" s="455">
        <f>Trend!AM75</f>
        <v>0</v>
      </c>
      <c r="G48" s="455">
        <f>Trend!AP75</f>
        <v>0</v>
      </c>
      <c r="H48" s="455">
        <f>Trend!AS75</f>
        <v>0</v>
      </c>
      <c r="I48" s="455">
        <f>Trend!AV75</f>
        <v>0</v>
      </c>
      <c r="J48" s="455">
        <f>Trend!AW75</f>
        <v>4720752</v>
      </c>
    </row>
    <row r="50" spans="2:10" x14ac:dyDescent="0.2">
      <c r="B50" s="398" t="s">
        <v>188</v>
      </c>
      <c r="C50" s="456">
        <f>Trend!I92</f>
        <v>1147048</v>
      </c>
      <c r="D50" s="456">
        <f>Trend!V92</f>
        <v>-221863</v>
      </c>
      <c r="E50" s="456"/>
      <c r="F50" s="456"/>
      <c r="G50" s="456"/>
      <c r="H50" s="456"/>
      <c r="I50" s="456"/>
      <c r="J50" s="456"/>
    </row>
  </sheetData>
  <pageMargins left="0.7" right="0.7" top="0.75" bottom="0.75" header="0.3" footer="0.3"/>
  <pageSetup scale="85" fitToWidth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L89"/>
  <sheetViews>
    <sheetView workbookViewId="0">
      <selection activeCell="L17" sqref="L17"/>
    </sheetView>
  </sheetViews>
  <sheetFormatPr defaultColWidth="9.109375" defaultRowHeight="11.4" x14ac:dyDescent="0.2"/>
  <cols>
    <col min="1" max="1" width="3.109375" style="398" customWidth="1"/>
    <col min="2" max="2" width="23" style="398" customWidth="1"/>
    <col min="3" max="3" width="14.44140625" style="398" customWidth="1"/>
    <col min="4" max="4" width="8.109375" style="398" customWidth="1"/>
    <col min="5" max="5" width="5.5546875" style="398" customWidth="1"/>
    <col min="6" max="6" width="5" style="398" customWidth="1"/>
    <col min="7" max="7" width="8.5546875" style="398" customWidth="1"/>
    <col min="8" max="8" width="6.5546875" style="398" customWidth="1"/>
    <col min="9" max="10" width="7" style="398" customWidth="1"/>
    <col min="11" max="11" width="6.44140625" style="398" customWidth="1"/>
    <col min="12" max="12" width="6.5546875" style="398" customWidth="1"/>
    <col min="13" max="16384" width="9.109375" style="398"/>
  </cols>
  <sheetData>
    <row r="3" spans="1:12" s="462" customFormat="1" x14ac:dyDescent="0.2">
      <c r="A3" s="457"/>
      <c r="B3" s="425" t="s">
        <v>495</v>
      </c>
      <c r="C3" s="458"/>
      <c r="D3" s="459"/>
      <c r="E3" s="425">
        <v>2013</v>
      </c>
      <c r="F3" s="460">
        <v>2014</v>
      </c>
      <c r="G3" s="461" t="s">
        <v>8</v>
      </c>
      <c r="H3" s="408">
        <v>42445</v>
      </c>
      <c r="I3" s="407" t="s">
        <v>14</v>
      </c>
      <c r="J3" s="407" t="s">
        <v>17</v>
      </c>
      <c r="K3" s="407" t="s">
        <v>20</v>
      </c>
      <c r="L3" s="407" t="s">
        <v>138</v>
      </c>
    </row>
    <row r="4" spans="1:12" s="462" customFormat="1" x14ac:dyDescent="0.2">
      <c r="A4" s="742" t="s">
        <v>260</v>
      </c>
      <c r="B4" s="743" t="s">
        <v>261</v>
      </c>
      <c r="C4" s="463" t="s">
        <v>262</v>
      </c>
      <c r="D4" s="459" t="s">
        <v>263</v>
      </c>
      <c r="E4" s="464">
        <f>Financials!I13/1000000</f>
        <v>19.725079000000001</v>
      </c>
      <c r="F4" s="464">
        <f>Financials!V13/1000000</f>
        <v>22.540772</v>
      </c>
      <c r="G4" s="464">
        <f>Financials!AJ13/1000000</f>
        <v>27.501272</v>
      </c>
      <c r="H4" s="464">
        <f>Financials!AM13/1000000</f>
        <v>42.112588180000003</v>
      </c>
      <c r="I4" s="464">
        <f>Financials!AP13/1000000</f>
        <v>57.903915089999998</v>
      </c>
      <c r="J4" s="464">
        <f>Financials!AS13/1000000</f>
        <v>69.668696699999998</v>
      </c>
      <c r="K4" s="464">
        <f>Financials!AV13/1000000</f>
        <v>-18.541410110000005</v>
      </c>
      <c r="L4" s="464">
        <f>Financials!AW13/1000000</f>
        <v>31.120922</v>
      </c>
    </row>
    <row r="5" spans="1:12" s="462" customFormat="1" x14ac:dyDescent="0.2">
      <c r="A5" s="742"/>
      <c r="B5" s="743"/>
      <c r="C5" s="465" t="s">
        <v>264</v>
      </c>
      <c r="D5" s="469" t="s">
        <v>265</v>
      </c>
      <c r="E5" s="466">
        <f>Financials!I13/Financials!I5</f>
        <v>0.27632120546558775</v>
      </c>
      <c r="F5" s="466">
        <f>Financials!V13/Financials!V5</f>
        <v>0.24691295167324295</v>
      </c>
      <c r="G5" s="466">
        <f>Financials!AJ13/Financials!AJ5</f>
        <v>0.21862799408020933</v>
      </c>
      <c r="H5" s="466">
        <f>Financials!AM13/Financials!AM5</f>
        <v>0.33144673227816424</v>
      </c>
      <c r="I5" s="466">
        <f>Financials!AP13/Financials!AP5</f>
        <v>0.5221333027921693</v>
      </c>
      <c r="J5" s="466">
        <f>Financials!AS13/Financials!AS5</f>
        <v>0.50753669428634751</v>
      </c>
      <c r="K5" s="466">
        <f>Financials!AV13/Financials!AV5</f>
        <v>-0.1214759221495194</v>
      </c>
      <c r="L5" s="466">
        <f>Financials!AW13/Financials!AW5</f>
        <v>0.20756443642686087</v>
      </c>
    </row>
    <row r="6" spans="1:12" s="462" customFormat="1" x14ac:dyDescent="0.2">
      <c r="A6" s="742"/>
      <c r="B6" s="743"/>
      <c r="C6" s="465" t="s">
        <v>266</v>
      </c>
      <c r="D6" s="469" t="s">
        <v>267</v>
      </c>
      <c r="E6" s="466">
        <f>Financials!I14/Financials!I5</f>
        <v>5.2482439454974328E-2</v>
      </c>
      <c r="F6" s="466">
        <f>Financials!V14/Financials!V5</f>
        <v>3.9901508109963728E-2</v>
      </c>
      <c r="G6" s="466">
        <f>Financials!AJ14/Financials!AJ5</f>
        <v>4.5591948419471812E-2</v>
      </c>
      <c r="H6" s="466">
        <f>Financials!AM14/Financials!AM5</f>
        <v>5.3580383059154579E-2</v>
      </c>
      <c r="I6" s="466">
        <f>Financials!AP14/Financials!AP5</f>
        <v>0.10626834503867624</v>
      </c>
      <c r="J6" s="466">
        <f>Financials!AS14/Financials!AS5</f>
        <v>8.6445175527806617E-2</v>
      </c>
      <c r="K6" s="466">
        <f>Financials!AV14/Financials!AV5</f>
        <v>-0.32972759030794468</v>
      </c>
      <c r="L6" s="466">
        <f>Financials!AW14/Financials!AW5</f>
        <v>5.1708938693051217E-2</v>
      </c>
    </row>
    <row r="7" spans="1:12" s="462" customFormat="1" x14ac:dyDescent="0.2">
      <c r="A7" s="742"/>
      <c r="B7" s="743"/>
      <c r="C7" s="465" t="s">
        <v>268</v>
      </c>
      <c r="D7" s="469" t="s">
        <v>267</v>
      </c>
      <c r="E7" s="466">
        <f>Financials!I13/Financials!I6</f>
        <v>0.45090247225463614</v>
      </c>
      <c r="F7" s="466">
        <f>Financials!V13/Financials!V6</f>
        <v>0.36281134654107045</v>
      </c>
      <c r="G7" s="466">
        <f>Financials!AJ13/Financials!AJ6</f>
        <v>0.2997158879290977</v>
      </c>
      <c r="H7" s="466">
        <f>Financials!AM13/Financials!AM6</f>
        <v>0.47852294377866855</v>
      </c>
      <c r="I7" s="466">
        <f>Financials!AP13/Financials!AP6</f>
        <v>0.65776157668158408</v>
      </c>
      <c r="J7" s="466">
        <f>Financials!AS13/Financials!AS6</f>
        <v>0.79215018269289139</v>
      </c>
      <c r="K7" s="466">
        <f>Financials!AV13/Financials!AV6</f>
        <v>-0.17204695143693963</v>
      </c>
      <c r="L7" s="466">
        <f>Financials!AW13/Financials!AW6</f>
        <v>0.27736840264107143</v>
      </c>
    </row>
    <row r="8" spans="1:12" s="462" customFormat="1" x14ac:dyDescent="0.2">
      <c r="A8" s="742"/>
      <c r="B8" s="743"/>
      <c r="C8" s="465" t="s">
        <v>269</v>
      </c>
      <c r="D8" s="469"/>
      <c r="E8" s="466">
        <f>(Financials!I13-Financials!I33)/Financials!I5</f>
        <v>0.23331495542014727</v>
      </c>
      <c r="F8" s="466">
        <f>(Financials!V13-Financials!V33)/Financials!V5</f>
        <v>0.2469129325036393</v>
      </c>
      <c r="G8" s="466">
        <f>(Financials!AJ13-Financials!AJ33)/Financials!AJ5</f>
        <v>0.21862799408020933</v>
      </c>
      <c r="H8" s="466">
        <f>(Financials!AM13-Financials!AM33)/Financials!AM5</f>
        <v>0.33144673227816424</v>
      </c>
      <c r="I8" s="466">
        <f>(Financials!AP13-Financials!AP33)/Financials!AP5</f>
        <v>0.5221333027921693</v>
      </c>
      <c r="J8" s="466">
        <f>(Financials!AS13-Financials!AS33)/Financials!AS5</f>
        <v>0.50753669428634751</v>
      </c>
      <c r="K8" s="466">
        <f>(Financials!AV13-Financials!AV33)/Financials!AV5</f>
        <v>-0.1214759221495194</v>
      </c>
      <c r="L8" s="466">
        <f>(Financials!AW13-Financials!AW33)/Financials!AW5</f>
        <v>0.20756443642686087</v>
      </c>
    </row>
    <row r="9" spans="1:12" s="462" customFormat="1" x14ac:dyDescent="0.2">
      <c r="A9" s="742"/>
      <c r="B9" s="467"/>
      <c r="C9" s="458"/>
      <c r="D9" s="459"/>
      <c r="E9" s="458"/>
      <c r="F9" s="458"/>
      <c r="G9" s="458"/>
      <c r="H9" s="458"/>
      <c r="I9" s="458"/>
      <c r="J9" s="458"/>
      <c r="K9" s="458"/>
      <c r="L9" s="458"/>
    </row>
    <row r="10" spans="1:12" s="462" customFormat="1" x14ac:dyDescent="0.2">
      <c r="A10" s="742"/>
      <c r="B10" s="743" t="s">
        <v>270</v>
      </c>
      <c r="C10" s="458" t="s">
        <v>271</v>
      </c>
      <c r="D10" s="459"/>
      <c r="E10" s="466">
        <f>Financials!I34/Financials!I31</f>
        <v>0</v>
      </c>
      <c r="F10" s="466">
        <f>Financials!V34/Financials!V31</f>
        <v>0</v>
      </c>
      <c r="G10" s="466">
        <f>Financials!AJ34/Financials!AJ31</f>
        <v>0</v>
      </c>
      <c r="H10" s="466">
        <f>Financials!AM34/Financials!AM31</f>
        <v>0</v>
      </c>
      <c r="I10" s="466">
        <f>Financials!AP34/Financials!AP31</f>
        <v>0</v>
      </c>
      <c r="J10" s="466">
        <f>Financials!AS34/Financials!AS31</f>
        <v>0</v>
      </c>
      <c r="K10" s="466">
        <f>Financials!AV34/Financials!AV31</f>
        <v>9.155412030784944E-3</v>
      </c>
      <c r="L10" s="466">
        <f>Financials!AW34/Financials!AW31</f>
        <v>5.68075749709179E-7</v>
      </c>
    </row>
    <row r="11" spans="1:12" s="462" customFormat="1" x14ac:dyDescent="0.2">
      <c r="A11" s="742"/>
      <c r="B11" s="743"/>
      <c r="C11" s="458" t="s">
        <v>272</v>
      </c>
      <c r="D11" s="459"/>
      <c r="E11" s="466">
        <f>Financials!I33/Financials!I31</f>
        <v>6.2868644865850407E-2</v>
      </c>
      <c r="F11" s="466">
        <f>Financials!V33/Financials!V31</f>
        <v>2.4259931721461883E-8</v>
      </c>
      <c r="G11" s="466">
        <f>Financials!AJ33/Financials!AJ31</f>
        <v>0</v>
      </c>
      <c r="H11" s="466">
        <f>Financials!AM33/Financials!AM31</f>
        <v>0</v>
      </c>
      <c r="I11" s="466">
        <f>Financials!AP33/Financials!AP31</f>
        <v>0</v>
      </c>
      <c r="J11" s="466">
        <f>Financials!AS33/Financials!AS31</f>
        <v>0</v>
      </c>
      <c r="K11" s="466">
        <f>Financials!AV33/Financials!AV31</f>
        <v>0</v>
      </c>
      <c r="L11" s="466">
        <f>Financials!AW33/Financials!AW31</f>
        <v>0</v>
      </c>
    </row>
    <row r="12" spans="1:12" s="462" customFormat="1" x14ac:dyDescent="0.2">
      <c r="A12" s="742"/>
      <c r="B12" s="467"/>
      <c r="C12" s="458"/>
      <c r="D12" s="459"/>
      <c r="E12" s="458"/>
      <c r="F12" s="458"/>
      <c r="G12" s="458"/>
      <c r="H12" s="458"/>
      <c r="I12" s="458"/>
      <c r="J12" s="458"/>
      <c r="K12" s="458"/>
      <c r="L12" s="458"/>
    </row>
    <row r="13" spans="1:12" s="462" customFormat="1" x14ac:dyDescent="0.2">
      <c r="A13" s="742"/>
      <c r="B13" s="743" t="s">
        <v>273</v>
      </c>
      <c r="C13" s="458" t="s">
        <v>274</v>
      </c>
      <c r="D13" s="459"/>
      <c r="E13" s="466">
        <f>Trend!I92/((Financials!I5+Financials!H5)/2)</f>
        <v>1.5633419698077321E-2</v>
      </c>
      <c r="F13" s="466" t="e">
        <f>Trend!#REF!/((Financials!V5+Financials!U5)/2)</f>
        <v>#REF!</v>
      </c>
      <c r="G13" s="466">
        <f>Trend!AJ92/((Financials!AJ5+Financials!AJ5)/2)</f>
        <v>2.3686516139536685E-2</v>
      </c>
      <c r="H13" s="466">
        <f>Trend!AM92/((Financials!AM5+Financials!AM5)/2)</f>
        <v>-1.3422122990390275E-2</v>
      </c>
      <c r="I13" s="466">
        <f>Trend!AP92/((Financials!AP5+Financials!AP5)/2)</f>
        <v>0</v>
      </c>
      <c r="J13" s="466">
        <f>Trend!AS92/((Financials!AS5+Financials!AS5)/2)</f>
        <v>0</v>
      </c>
      <c r="K13" s="466">
        <f>Trend!AV92/((Financials!AV5+Financials!AV5)/2)</f>
        <v>6.1098571319381977E-2</v>
      </c>
      <c r="L13" s="466">
        <f>Trend!AW92/((Financials!AW5+Financials!AW5)/2)</f>
        <v>1.7504766954228937E-2</v>
      </c>
    </row>
    <row r="14" spans="1:12" s="462" customFormat="1" x14ac:dyDescent="0.2">
      <c r="A14" s="742"/>
      <c r="B14" s="743"/>
      <c r="C14" s="458" t="s">
        <v>275</v>
      </c>
      <c r="D14" s="459"/>
      <c r="E14" s="466">
        <f>(Trend!H78/(Trend!H74-Trend!H75))</f>
        <v>0.41821395015882962</v>
      </c>
      <c r="F14" s="466" t="e">
        <f>(Trend!#REF!/(Trend!#REF!-Trend!#REF!))</f>
        <v>#REF!</v>
      </c>
      <c r="G14" s="466">
        <f>(Trend!AJ78/(Trend!AJ74-Trend!AJ75))</f>
        <v>0.70876872249878276</v>
      </c>
      <c r="H14" s="466">
        <f>(Trend!AM78/(Trend!AM74-Trend!AM75))</f>
        <v>2.6792438845824287</v>
      </c>
      <c r="I14" s="466" t="e">
        <f>(Trend!AP78/(Trend!AP74-Trend!AP75))</f>
        <v>#DIV/0!</v>
      </c>
      <c r="J14" s="466" t="e">
        <f>(Trend!AS78/(Trend!AS74-Trend!AS75))</f>
        <v>#DIV/0!</v>
      </c>
      <c r="K14" s="466">
        <f>(Trend!AV78/(Trend!AV74-Trend!AV75))</f>
        <v>0.529241819549787</v>
      </c>
      <c r="L14" s="466">
        <f>(Trend!AW78/(Trend!AW74-Trend!AW75))</f>
        <v>0.72376868190990973</v>
      </c>
    </row>
    <row r="15" spans="1:12" s="462" customFormat="1" x14ac:dyDescent="0.2">
      <c r="A15" s="742"/>
      <c r="B15" s="743"/>
      <c r="C15" s="458" t="s">
        <v>276</v>
      </c>
      <c r="D15" s="459"/>
      <c r="E15" s="466">
        <f>Trend!I78/((Financials!I5+Financials!H5)/2)</f>
        <v>5.5979256832493336E-2</v>
      </c>
      <c r="F15" s="466" t="e">
        <f>Trend!#REF!/((Financials!V5+Financials!U5)/2)</f>
        <v>#REF!</v>
      </c>
      <c r="G15" s="466">
        <f>Trend!AJ78/((Financials!AJ5+Financials!AJ5)/2)</f>
        <v>5.772062207137995E-2</v>
      </c>
      <c r="H15" s="466">
        <f>Trend!AM78/((Financials!AM5+Financials!AM5)/2)</f>
        <v>2.1457641398424793E-2</v>
      </c>
      <c r="I15" s="466">
        <f>Trend!AP78/((Financials!AP5+Financials!AP5)/2)</f>
        <v>0</v>
      </c>
      <c r="J15" s="466">
        <f>Trend!AS78/((Financials!AS5+Financials!AS5)/2)</f>
        <v>0</v>
      </c>
      <c r="K15" s="466">
        <f>Trend!AV78/((Financials!AV5+Financials!AV5)/2)</f>
        <v>6.893674238360202E-2</v>
      </c>
      <c r="L15" s="466">
        <f>Trend!AW78/((Financials!AW5+Financials!AW5)/2)</f>
        <v>5.120488952900256E-2</v>
      </c>
    </row>
    <row r="16" spans="1:12" s="462" customFormat="1" x14ac:dyDescent="0.2">
      <c r="A16" s="742"/>
      <c r="B16" s="467"/>
      <c r="C16" s="458"/>
      <c r="D16" s="459"/>
      <c r="E16" s="458"/>
      <c r="F16" s="458"/>
      <c r="G16" s="458"/>
      <c r="H16" s="458"/>
      <c r="I16" s="458"/>
      <c r="J16" s="458"/>
      <c r="K16" s="458"/>
      <c r="L16" s="458"/>
    </row>
    <row r="17" spans="1:12" s="462" customFormat="1" x14ac:dyDescent="0.2">
      <c r="A17" s="742"/>
      <c r="B17" s="743" t="s">
        <v>277</v>
      </c>
      <c r="C17" s="458" t="s">
        <v>278</v>
      </c>
      <c r="D17" s="469" t="s">
        <v>279</v>
      </c>
      <c r="E17" s="466">
        <f>Trend!I5/(Financials!I10+Trend!I28+Trend!I29)</f>
        <v>1.1154120430487866</v>
      </c>
      <c r="F17" s="466" t="e">
        <f>(Trend!#REF!+Trend!#REF!)/(Financials!V10+Trend!#REF!+Trend!#REF!)</f>
        <v>#REF!</v>
      </c>
      <c r="G17" s="466">
        <f>Trend!AJ5/(Financials!AJ10+Trend!AJ28+Trend!AJ29)</f>
        <v>0.2303636465845269</v>
      </c>
      <c r="H17" s="466">
        <f>Trend!AM5/(Financials!AM10+Trend!AM28+Trend!AM29)</f>
        <v>1.1650419521251036</v>
      </c>
      <c r="I17" s="466">
        <f>Trend!AP5/(Financials!AP10+Trend!AP28+Trend!AP29)</f>
        <v>1.4803614288070563</v>
      </c>
      <c r="J17" s="466">
        <f>Trend!AS5/(Financials!AS10+Trend!AS28+Trend!AS29)</f>
        <v>0.26470397622843927</v>
      </c>
      <c r="K17" s="466">
        <f>Trend!AV5/(Financials!AV10+Trend!AV28+Trend!AV29)</f>
        <v>5.8200747291301889E-2</v>
      </c>
      <c r="L17" s="466">
        <f>Trend!AW5/(Financials!AW10+Trend!AW28+Trend!AW29)</f>
        <v>0.98538583710151084</v>
      </c>
    </row>
    <row r="18" spans="1:12" s="462" customFormat="1" x14ac:dyDescent="0.2">
      <c r="A18" s="742"/>
      <c r="B18" s="743"/>
      <c r="C18" s="458" t="s">
        <v>280</v>
      </c>
      <c r="D18" s="469"/>
      <c r="E18" s="466">
        <f>(Trend!I5+Trend!I10+Trend!I12)/Financials!I6</f>
        <v>0.41086089292687611</v>
      </c>
      <c r="F18" s="466" t="e">
        <f>(Trend!#REF!+Trend!#REF!+Trend!#REF!)/Financials!V6</f>
        <v>#REF!</v>
      </c>
      <c r="G18" s="466">
        <f>(Trend!AJ5+Trend!AJ10+Trend!AJ12)/Financials!AJ6</f>
        <v>0.16013715672470588</v>
      </c>
      <c r="H18" s="466">
        <f>(Trend!AM5+Trend!AM10+Trend!AM12)/Financials!AM6</f>
        <v>0.15392298906229218</v>
      </c>
      <c r="I18" s="466">
        <f>(Trend!AP5+Trend!AP10+Trend!AP12)/Financials!AP6</f>
        <v>0.18789401135885636</v>
      </c>
      <c r="J18" s="466">
        <f>(Trend!AS5+Trend!AS10+Trend!AS12)/Financials!AS6</f>
        <v>0.13893778664530235</v>
      </c>
      <c r="K18" s="466">
        <f>(Trend!AV5+Trend!AV10+Trend!AV12)/Financials!AV6</f>
        <v>0.15266469847414713</v>
      </c>
      <c r="L18" s="466">
        <f>(Trend!AW5+Trend!AW10+Trend!AW12)/Financials!AW6</f>
        <v>0.35618756304273569</v>
      </c>
    </row>
    <row r="19" spans="1:12" s="462" customFormat="1" x14ac:dyDescent="0.2">
      <c r="A19" s="742"/>
      <c r="B19" s="743"/>
      <c r="C19" s="458" t="s">
        <v>281</v>
      </c>
      <c r="D19" s="469" t="s">
        <v>282</v>
      </c>
      <c r="E19" s="466">
        <f>Financials!I9/Financials!I5</f>
        <v>5.6508896085305571E-2</v>
      </c>
      <c r="F19" s="466">
        <f>Financials!V9/Financials!V5</f>
        <v>2.2710711434490032E-2</v>
      </c>
      <c r="G19" s="466">
        <f>Financials!AJ9/Financials!AJ5</f>
        <v>0</v>
      </c>
      <c r="H19" s="466">
        <f>Financials!AM9/Financials!AM5</f>
        <v>0</v>
      </c>
      <c r="I19" s="466">
        <f>Financials!AP9/Financials!AP5</f>
        <v>0</v>
      </c>
      <c r="J19" s="466">
        <f>Financials!AS9/Financials!AS5</f>
        <v>0</v>
      </c>
      <c r="K19" s="466">
        <f>Financials!AV9/Financials!AV5</f>
        <v>0</v>
      </c>
      <c r="L19" s="466">
        <f>Financials!AW9/Financials!AW5</f>
        <v>0</v>
      </c>
    </row>
    <row r="20" spans="1:12" s="462" customFormat="1" x14ac:dyDescent="0.2">
      <c r="A20" s="742"/>
      <c r="B20" s="743"/>
      <c r="C20" s="458" t="s">
        <v>283</v>
      </c>
      <c r="D20" s="470"/>
      <c r="E20" s="466">
        <f>(Trend!I5+Trend!I10)/Trend!I27</f>
        <v>0.25178300008989335</v>
      </c>
      <c r="F20" s="466" t="e">
        <f>(Trend!#REF!+Trend!#REF!)/Trend!#REF!</f>
        <v>#REF!</v>
      </c>
      <c r="G20" s="466">
        <f>(Trend!AJ5+Trend!AJ10)/Trend!AJ27</f>
        <v>7.8512677201817357E-2</v>
      </c>
      <c r="H20" s="466">
        <f>(Trend!AM5+Trend!AM10)/Trend!AM27</f>
        <v>6.827786774670333E-2</v>
      </c>
      <c r="I20" s="466">
        <f>(Trend!AP5+Trend!AP10)/Trend!AP27</f>
        <v>0.10459783189344823</v>
      </c>
      <c r="J20" s="466">
        <f>(Trend!AS5+Trend!AS10)/Trend!AS27</f>
        <v>3.6634321845173963E-2</v>
      </c>
      <c r="K20" s="466">
        <f>(Trend!AV5+Trend!AV10)/Trend!AV27</f>
        <v>5.5409558836722939E-2</v>
      </c>
      <c r="L20" s="466">
        <f>(Trend!AW5+Trend!AW10)/Trend!AW27</f>
        <v>0.26299766576295441</v>
      </c>
    </row>
    <row r="21" spans="1:12" s="462" customFormat="1" x14ac:dyDescent="0.2">
      <c r="A21" s="742"/>
      <c r="B21" s="467"/>
      <c r="C21" s="458"/>
      <c r="D21" s="469"/>
      <c r="E21" s="458"/>
      <c r="F21" s="458"/>
      <c r="G21" s="458"/>
      <c r="H21" s="458"/>
      <c r="I21" s="458"/>
      <c r="J21" s="458"/>
      <c r="K21" s="458"/>
      <c r="L21" s="458"/>
    </row>
    <row r="22" spans="1:12" s="462" customFormat="1" x14ac:dyDescent="0.2">
      <c r="A22" s="742"/>
      <c r="B22" s="743" t="s">
        <v>284</v>
      </c>
      <c r="C22" s="458" t="s">
        <v>285</v>
      </c>
      <c r="D22" s="469" t="s">
        <v>286</v>
      </c>
      <c r="E22" s="466">
        <f>Financials!H40/Financials!H5</f>
        <v>0</v>
      </c>
      <c r="F22" s="466">
        <f>Financials!U40/Financials!U5</f>
        <v>3.4993654153180689E-2</v>
      </c>
      <c r="G22" s="466">
        <f>Financials!AJ40/Financials!AJ5</f>
        <v>0</v>
      </c>
      <c r="H22" s="466">
        <f>Financials!AM40/Financials!AM5</f>
        <v>0</v>
      </c>
      <c r="I22" s="466">
        <f>Financials!AP40/Financials!AP5</f>
        <v>0</v>
      </c>
      <c r="J22" s="466">
        <f>Financials!AS40/Financials!AS5</f>
        <v>0</v>
      </c>
      <c r="K22" s="466">
        <f>Financials!AV40/Financials!AV5</f>
        <v>0</v>
      </c>
      <c r="L22" s="466">
        <f>Financials!AW40/Financials!AW5</f>
        <v>0</v>
      </c>
    </row>
    <row r="23" spans="1:12" s="462" customFormat="1" x14ac:dyDescent="0.2">
      <c r="A23" s="742"/>
      <c r="B23" s="743"/>
      <c r="C23" s="458" t="s">
        <v>287</v>
      </c>
      <c r="D23" s="469" t="s">
        <v>288</v>
      </c>
      <c r="E23" s="466">
        <f>Financials!H25/Financials!H13</f>
        <v>0.13335396322741952</v>
      </c>
      <c r="F23" s="466">
        <f>Financials!U25/Financials!U13</f>
        <v>0.21144655405885812</v>
      </c>
      <c r="G23" s="466">
        <f>Financials!AJ25/Financials!AJ13</f>
        <v>0.82007864945301434</v>
      </c>
      <c r="H23" s="466">
        <f>Financials!AM25/Financials!AM13</f>
        <v>0.55061787370770909</v>
      </c>
      <c r="I23" s="466">
        <f>Financials!AP25/Financials!AP13</f>
        <v>8.5328884451429596E-2</v>
      </c>
      <c r="J23" s="466">
        <f>Financials!AS25/Financials!AS13</f>
        <v>0.10321260251162413</v>
      </c>
      <c r="K23" s="466">
        <f>Financials!AV25/Financials!AV13</f>
        <v>-1.4020070396900355</v>
      </c>
      <c r="L23" s="466">
        <f>Financials!AW25/Financials!AW13</f>
        <v>1.7102610263282046E-2</v>
      </c>
    </row>
    <row r="24" spans="1:12" s="462" customFormat="1" x14ac:dyDescent="0.2">
      <c r="A24" s="742"/>
      <c r="B24" s="743"/>
      <c r="C24" s="458" t="s">
        <v>289</v>
      </c>
      <c r="D24" s="469" t="s">
        <v>286</v>
      </c>
      <c r="E24" s="466">
        <f>Financials!H25/Financials!H6</f>
        <v>7.3192283633667907E-2</v>
      </c>
      <c r="F24" s="466">
        <f>Financials!U25/Financials!U6</f>
        <v>9.818980732066733E-2</v>
      </c>
      <c r="G24" s="466">
        <f>Financials!AJ25/Financials!AJ6</f>
        <v>0.24579060059250546</v>
      </c>
      <c r="H24" s="466">
        <f>Financials!AM25/Financials!AM6</f>
        <v>0.26348328582376407</v>
      </c>
      <c r="I24" s="466">
        <f>Financials!AP25/Financials!AP6</f>
        <v>5.612606157325304E-2</v>
      </c>
      <c r="J24" s="466">
        <f>Financials!AS25/Financials!AS6</f>
        <v>8.1759881935791839E-2</v>
      </c>
      <c r="K24" s="466">
        <f>Financials!AV25/Financials!AV6</f>
        <v>0.241211037071799</v>
      </c>
      <c r="L24" s="466">
        <f>Financials!AW25/Financials!AW6</f>
        <v>4.7437236897193355E-3</v>
      </c>
    </row>
    <row r="25" spans="1:12" s="462" customFormat="1" x14ac:dyDescent="0.2">
      <c r="A25" s="742"/>
      <c r="B25" s="743"/>
      <c r="C25" s="458" t="s">
        <v>290</v>
      </c>
      <c r="D25" s="469" t="s">
        <v>291</v>
      </c>
      <c r="E25" s="466">
        <f>Financials!H38/Financials!H5</f>
        <v>8.4076880010465468E-2</v>
      </c>
      <c r="F25" s="466">
        <f>Financials!U38/Financials!U5</f>
        <v>7.2853593982286677E-2</v>
      </c>
      <c r="G25" s="466">
        <f>Financials!AJ38/Financials!AJ5</f>
        <v>4.2810747372735755E-2</v>
      </c>
      <c r="H25" s="466">
        <f>Financials!AM38/Financials!AM5</f>
        <v>6.6914848302319599E-2</v>
      </c>
      <c r="I25" s="466">
        <f>Financials!AP38/Financials!AP5</f>
        <v>6.8936586927127036E-2</v>
      </c>
      <c r="J25" s="466">
        <f>Financials!AS38/Financials!AS5</f>
        <v>0.15681338565587435</v>
      </c>
      <c r="K25" s="466">
        <f>Financials!AV38/Financials!AV5</f>
        <v>6.0484109759070849E-2</v>
      </c>
      <c r="L25" s="466">
        <f>Financials!AW38/Financials!AW5</f>
        <v>3.7742713722024507E-2</v>
      </c>
    </row>
    <row r="26" spans="1:12" s="462" customFormat="1" x14ac:dyDescent="0.2">
      <c r="D26" s="468"/>
    </row>
    <row r="27" spans="1:12" s="462" customFormat="1" x14ac:dyDescent="0.2">
      <c r="D27" s="468"/>
    </row>
    <row r="28" spans="1:12" s="462" customFormat="1" ht="12.75" customHeight="1" x14ac:dyDescent="0.2"/>
    <row r="29" spans="1:12" s="462" customFormat="1" x14ac:dyDescent="0.2"/>
    <row r="30" spans="1:12" s="462" customFormat="1" x14ac:dyDescent="0.2"/>
    <row r="31" spans="1:12" s="462" customFormat="1" x14ac:dyDescent="0.2"/>
    <row r="32" spans="1:12" s="462" customFormat="1" x14ac:dyDescent="0.2"/>
    <row r="33" s="462" customFormat="1" x14ac:dyDescent="0.2"/>
    <row r="34" s="462" customFormat="1" x14ac:dyDescent="0.2"/>
    <row r="35" s="462" customFormat="1" x14ac:dyDescent="0.2"/>
    <row r="36" s="462" customFormat="1" x14ac:dyDescent="0.2"/>
    <row r="37" s="462" customFormat="1" x14ac:dyDescent="0.2"/>
    <row r="38" s="462" customFormat="1" x14ac:dyDescent="0.2"/>
    <row r="39" s="462" customFormat="1" x14ac:dyDescent="0.2"/>
    <row r="40" s="462" customFormat="1" x14ac:dyDescent="0.2"/>
    <row r="41" s="462" customFormat="1" x14ac:dyDescent="0.2"/>
    <row r="42" s="462" customFormat="1" x14ac:dyDescent="0.2"/>
    <row r="43" s="462" customFormat="1" x14ac:dyDescent="0.2"/>
    <row r="44" s="462" customFormat="1" x14ac:dyDescent="0.2"/>
    <row r="45" s="462" customFormat="1" x14ac:dyDescent="0.2"/>
    <row r="46" s="462" customFormat="1" x14ac:dyDescent="0.2"/>
    <row r="47" s="462" customFormat="1" x14ac:dyDescent="0.2"/>
    <row r="48" s="462" customFormat="1" x14ac:dyDescent="0.2"/>
    <row r="49" s="462" customFormat="1" x14ac:dyDescent="0.2"/>
    <row r="50" s="462" customFormat="1" x14ac:dyDescent="0.2"/>
    <row r="51" s="462" customFormat="1" x14ac:dyDescent="0.2"/>
    <row r="52" s="462" customFormat="1" ht="3.75" customHeight="1" x14ac:dyDescent="0.2"/>
    <row r="53" s="462" customFormat="1" x14ac:dyDescent="0.2"/>
    <row r="54" s="462" customFormat="1" ht="12.75" customHeight="1" x14ac:dyDescent="0.2"/>
    <row r="55" s="462" customFormat="1" x14ac:dyDescent="0.2"/>
    <row r="56" s="462" customFormat="1" x14ac:dyDescent="0.2"/>
    <row r="57" s="462" customFormat="1" x14ac:dyDescent="0.2"/>
    <row r="58" s="462" customFormat="1" x14ac:dyDescent="0.2"/>
    <row r="59" s="462" customFormat="1" x14ac:dyDescent="0.2"/>
    <row r="60" s="462" customFormat="1" x14ac:dyDescent="0.2"/>
    <row r="61" s="462" customFormat="1" x14ac:dyDescent="0.2"/>
    <row r="62" s="462" customFormat="1" x14ac:dyDescent="0.2"/>
    <row r="63" s="462" customFormat="1" x14ac:dyDescent="0.2"/>
    <row r="64" s="462" customFormat="1" x14ac:dyDescent="0.2"/>
    <row r="65" s="462" customFormat="1" x14ac:dyDescent="0.2"/>
    <row r="66" s="462" customFormat="1" x14ac:dyDescent="0.2"/>
    <row r="67" s="462" customFormat="1" x14ac:dyDescent="0.2"/>
    <row r="68" s="462" customFormat="1" x14ac:dyDescent="0.2"/>
    <row r="69" s="462" customFormat="1" x14ac:dyDescent="0.2"/>
    <row r="70" s="462" customFormat="1" x14ac:dyDescent="0.2"/>
    <row r="71" s="462" customFormat="1" x14ac:dyDescent="0.2"/>
    <row r="72" s="462" customFormat="1" x14ac:dyDescent="0.2"/>
    <row r="73" s="462" customFormat="1" ht="12.75" customHeight="1" x14ac:dyDescent="0.2"/>
    <row r="74" s="462" customFormat="1" x14ac:dyDescent="0.2"/>
    <row r="75" s="462" customFormat="1" x14ac:dyDescent="0.2"/>
    <row r="76" s="462" customFormat="1" x14ac:dyDescent="0.2"/>
    <row r="77" s="462" customFormat="1" x14ac:dyDescent="0.2"/>
    <row r="78" s="462" customFormat="1" x14ac:dyDescent="0.2"/>
    <row r="79" s="462" customFormat="1" ht="12.75" customHeight="1" x14ac:dyDescent="0.2"/>
    <row r="80" s="462" customFormat="1" ht="17.25" customHeight="1" x14ac:dyDescent="0.2"/>
    <row r="81" s="462" customFormat="1" ht="17.25" customHeight="1" x14ac:dyDescent="0.2"/>
    <row r="82" s="462" customFormat="1" ht="16.5" customHeight="1" x14ac:dyDescent="0.2"/>
    <row r="83" s="462" customFormat="1" ht="17.25" customHeight="1" x14ac:dyDescent="0.2"/>
    <row r="84" s="462" customFormat="1" x14ac:dyDescent="0.2"/>
    <row r="85" s="462" customFormat="1" ht="12.75" customHeight="1" x14ac:dyDescent="0.2"/>
    <row r="86" s="462" customFormat="1" x14ac:dyDescent="0.2"/>
    <row r="87" s="462" customFormat="1" ht="18.75" customHeight="1" x14ac:dyDescent="0.2"/>
    <row r="88" s="462" customFormat="1" ht="19.5" customHeight="1" x14ac:dyDescent="0.2"/>
    <row r="89" s="462" customFormat="1" ht="8.25" customHeight="1" x14ac:dyDescent="0.2"/>
  </sheetData>
  <mergeCells count="6">
    <mergeCell ref="A4:A25"/>
    <mergeCell ref="B4:B8"/>
    <mergeCell ref="B10:B11"/>
    <mergeCell ref="B13:B15"/>
    <mergeCell ref="B17:B20"/>
    <mergeCell ref="B22:B25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N27"/>
  <sheetViews>
    <sheetView topLeftCell="D16" workbookViewId="0">
      <selection activeCell="N24" sqref="N24"/>
    </sheetView>
  </sheetViews>
  <sheetFormatPr defaultRowHeight="14.4" x14ac:dyDescent="0.3"/>
  <cols>
    <col min="3" max="3" width="33.109375" customWidth="1"/>
    <col min="5" max="5" width="16.5546875" customWidth="1"/>
    <col min="7" max="7" width="13.44140625" bestFit="1" customWidth="1"/>
    <col min="11" max="11" width="11.88671875" bestFit="1" customWidth="1"/>
    <col min="12" max="12" width="22" customWidth="1"/>
    <col min="14" max="14" width="22.44140625" customWidth="1"/>
  </cols>
  <sheetData>
    <row r="2" spans="2:14" x14ac:dyDescent="0.3">
      <c r="C2" s="493">
        <v>43160</v>
      </c>
      <c r="J2" s="493">
        <v>43252</v>
      </c>
    </row>
    <row r="3" spans="2:14" x14ac:dyDescent="0.3">
      <c r="B3" s="488"/>
      <c r="C3" s="488" t="s">
        <v>425</v>
      </c>
      <c r="D3" s="488"/>
      <c r="E3" s="488"/>
      <c r="F3" s="488"/>
      <c r="G3" s="488"/>
      <c r="I3" s="488"/>
      <c r="J3" s="488" t="s">
        <v>425</v>
      </c>
      <c r="K3" s="488"/>
      <c r="L3" s="488"/>
      <c r="M3" s="488"/>
      <c r="N3" s="488"/>
    </row>
    <row r="4" spans="2:14" x14ac:dyDescent="0.3">
      <c r="B4" s="488"/>
      <c r="C4" s="488" t="s">
        <v>426</v>
      </c>
      <c r="D4" s="488"/>
      <c r="E4" s="488"/>
      <c r="F4" s="488"/>
      <c r="G4" s="488" t="s">
        <v>496</v>
      </c>
      <c r="I4" s="488"/>
      <c r="J4" s="488" t="s">
        <v>426</v>
      </c>
      <c r="K4" s="488"/>
      <c r="L4" s="488"/>
      <c r="M4" s="488"/>
      <c r="N4" s="488">
        <v>11121</v>
      </c>
    </row>
    <row r="5" spans="2:14" x14ac:dyDescent="0.3">
      <c r="B5" s="488"/>
      <c r="C5" s="488" t="s">
        <v>428</v>
      </c>
      <c r="D5" s="488"/>
      <c r="E5" s="488"/>
      <c r="F5" s="488"/>
      <c r="G5" s="488">
        <v>2018</v>
      </c>
      <c r="I5" s="488"/>
      <c r="J5" s="488" t="s">
        <v>428</v>
      </c>
      <c r="K5" s="488"/>
      <c r="L5" s="488"/>
      <c r="M5" s="488"/>
      <c r="N5" s="488">
        <v>2018</v>
      </c>
    </row>
    <row r="6" spans="2:14" x14ac:dyDescent="0.3">
      <c r="B6" s="488"/>
      <c r="C6" s="488" t="s">
        <v>429</v>
      </c>
      <c r="D6" s="488"/>
      <c r="E6" s="488"/>
      <c r="F6" s="488"/>
      <c r="G6" s="488" t="s">
        <v>497</v>
      </c>
      <c r="I6" s="488"/>
      <c r="J6" s="488" t="s">
        <v>429</v>
      </c>
      <c r="K6" s="488"/>
      <c r="L6" s="488"/>
      <c r="M6" s="488"/>
      <c r="N6" s="488" t="s">
        <v>497</v>
      </c>
    </row>
    <row r="7" spans="2:14" x14ac:dyDescent="0.3">
      <c r="B7" s="488"/>
      <c r="C7" s="488" t="s">
        <v>431</v>
      </c>
      <c r="D7" s="488"/>
      <c r="E7" s="488"/>
      <c r="F7" s="488"/>
      <c r="G7" s="488" t="s">
        <v>498</v>
      </c>
      <c r="I7" s="488"/>
      <c r="J7" s="488" t="s">
        <v>431</v>
      </c>
      <c r="K7" s="488"/>
      <c r="L7" s="488"/>
      <c r="M7" s="488"/>
      <c r="N7" s="488" t="s">
        <v>499</v>
      </c>
    </row>
    <row r="8" spans="2:14" x14ac:dyDescent="0.3">
      <c r="B8" s="488"/>
      <c r="C8" s="488" t="s">
        <v>500</v>
      </c>
      <c r="D8" s="488"/>
      <c r="E8" s="488"/>
      <c r="F8" s="488"/>
      <c r="G8" s="488"/>
      <c r="I8" s="488"/>
      <c r="J8" s="488" t="s">
        <v>500</v>
      </c>
      <c r="K8" s="488"/>
      <c r="L8" s="488"/>
      <c r="M8" s="488"/>
      <c r="N8" s="488"/>
    </row>
    <row r="9" spans="2:14" x14ac:dyDescent="0.3">
      <c r="B9" s="488"/>
      <c r="C9" s="488"/>
      <c r="D9" s="488" t="s">
        <v>434</v>
      </c>
      <c r="E9" s="488" t="s">
        <v>435</v>
      </c>
      <c r="F9" s="488" t="s">
        <v>436</v>
      </c>
      <c r="G9" s="488" t="s">
        <v>437</v>
      </c>
      <c r="I9" s="488"/>
      <c r="J9" s="488"/>
      <c r="K9" s="488" t="s">
        <v>434</v>
      </c>
      <c r="L9" s="488" t="s">
        <v>435</v>
      </c>
      <c r="M9" s="488" t="s">
        <v>436</v>
      </c>
      <c r="N9" s="488" t="s">
        <v>437</v>
      </c>
    </row>
    <row r="10" spans="2:14" x14ac:dyDescent="0.3">
      <c r="B10" s="488" t="s">
        <v>438</v>
      </c>
      <c r="C10" s="488" t="s">
        <v>439</v>
      </c>
      <c r="D10" s="488" t="s">
        <v>440</v>
      </c>
      <c r="E10" s="488" t="s">
        <v>441</v>
      </c>
      <c r="F10" s="488" t="s">
        <v>442</v>
      </c>
      <c r="G10" s="488" t="s">
        <v>443</v>
      </c>
      <c r="I10" s="488" t="s">
        <v>438</v>
      </c>
      <c r="J10" s="488" t="s">
        <v>439</v>
      </c>
      <c r="K10" s="488" t="s">
        <v>440</v>
      </c>
      <c r="L10" s="488" t="s">
        <v>441</v>
      </c>
      <c r="M10" s="488" t="s">
        <v>442</v>
      </c>
      <c r="N10" s="488" t="s">
        <v>443</v>
      </c>
    </row>
    <row r="11" spans="2:14" x14ac:dyDescent="0.3">
      <c r="B11" s="488">
        <v>1</v>
      </c>
      <c r="C11" s="488" t="s">
        <v>449</v>
      </c>
      <c r="D11" s="488">
        <v>1440</v>
      </c>
      <c r="E11" s="489">
        <v>126331356.56</v>
      </c>
      <c r="F11" s="488">
        <v>0.01</v>
      </c>
      <c r="G11" s="489">
        <f>E11*F11</f>
        <v>1263313.5656000001</v>
      </c>
      <c r="I11" s="488">
        <v>1</v>
      </c>
      <c r="J11" s="488" t="s">
        <v>449</v>
      </c>
      <c r="K11" s="488">
        <v>1394</v>
      </c>
      <c r="L11" s="489">
        <v>128205683</v>
      </c>
      <c r="M11" s="488">
        <v>0.01</v>
      </c>
      <c r="N11" s="489">
        <f>L11*M11</f>
        <v>1282056.83</v>
      </c>
    </row>
    <row r="12" spans="2:14" x14ac:dyDescent="0.3">
      <c r="B12" s="488">
        <v>2</v>
      </c>
      <c r="C12" s="488" t="s">
        <v>450</v>
      </c>
      <c r="D12" s="488">
        <v>72</v>
      </c>
      <c r="E12" s="489">
        <v>250368.3</v>
      </c>
      <c r="F12" s="488">
        <v>0.05</v>
      </c>
      <c r="G12" s="489">
        <f>E12*F12</f>
        <v>12518.415000000001</v>
      </c>
      <c r="I12" s="488">
        <v>2</v>
      </c>
      <c r="J12" s="488" t="s">
        <v>450</v>
      </c>
      <c r="K12" s="488">
        <v>58</v>
      </c>
      <c r="L12" s="489">
        <v>1725677.9</v>
      </c>
      <c r="M12" s="488">
        <v>0.05</v>
      </c>
      <c r="N12" s="489">
        <f>L12*M12</f>
        <v>86283.895000000004</v>
      </c>
    </row>
    <row r="13" spans="2:14" x14ac:dyDescent="0.3">
      <c r="B13" s="488">
        <v>3</v>
      </c>
      <c r="C13" s="488" t="s">
        <v>451</v>
      </c>
      <c r="D13" s="488">
        <v>71</v>
      </c>
      <c r="E13" s="489">
        <v>257939.55</v>
      </c>
      <c r="F13" s="488">
        <v>0.25</v>
      </c>
      <c r="G13" s="489">
        <f>E13*F13</f>
        <v>64484.887499999997</v>
      </c>
      <c r="I13" s="488">
        <v>3</v>
      </c>
      <c r="J13" s="488" t="s">
        <v>451</v>
      </c>
      <c r="K13" s="488">
        <v>58</v>
      </c>
      <c r="L13" s="489">
        <v>736640.95</v>
      </c>
      <c r="M13" s="488">
        <v>0.25</v>
      </c>
      <c r="N13" s="489">
        <f>L13*M13</f>
        <v>184160.23749999999</v>
      </c>
    </row>
    <row r="14" spans="2:14" x14ac:dyDescent="0.3">
      <c r="B14" s="488">
        <v>4</v>
      </c>
      <c r="C14" s="488" t="s">
        <v>452</v>
      </c>
      <c r="D14" s="488">
        <v>83</v>
      </c>
      <c r="E14" s="489">
        <v>279445.90000000002</v>
      </c>
      <c r="F14" s="488">
        <v>0.5</v>
      </c>
      <c r="G14" s="489">
        <f>E14*F14</f>
        <v>139722.95000000001</v>
      </c>
      <c r="I14" s="488">
        <v>4</v>
      </c>
      <c r="J14" s="488" t="s">
        <v>452</v>
      </c>
      <c r="K14" s="488">
        <v>72</v>
      </c>
      <c r="L14" s="489">
        <v>410861.44</v>
      </c>
      <c r="M14" s="488">
        <v>0.5</v>
      </c>
      <c r="N14" s="489">
        <f>L14*M14</f>
        <v>205430.72</v>
      </c>
    </row>
    <row r="15" spans="2:14" x14ac:dyDescent="0.3">
      <c r="B15" s="488">
        <v>5</v>
      </c>
      <c r="C15" s="488" t="s">
        <v>453</v>
      </c>
      <c r="D15" s="488">
        <v>304</v>
      </c>
      <c r="E15" s="489">
        <v>5775122.6500000004</v>
      </c>
      <c r="F15" s="488">
        <v>1</v>
      </c>
      <c r="G15" s="489">
        <f>E15*F15</f>
        <v>5775122.6500000004</v>
      </c>
      <c r="I15" s="488">
        <v>5</v>
      </c>
      <c r="J15" s="488" t="s">
        <v>453</v>
      </c>
      <c r="K15" s="488">
        <v>283</v>
      </c>
      <c r="L15" s="489">
        <v>5797890.6500000004</v>
      </c>
      <c r="M15" s="488">
        <v>1</v>
      </c>
      <c r="N15" s="489">
        <f>L15*M15</f>
        <v>5797890.6500000004</v>
      </c>
    </row>
    <row r="16" spans="2:14" x14ac:dyDescent="0.3">
      <c r="B16" s="488"/>
      <c r="C16" s="488" t="s">
        <v>454</v>
      </c>
      <c r="D16" s="488">
        <f>SUM(D11:D15)</f>
        <v>1970</v>
      </c>
      <c r="E16" s="489">
        <f>SUM(E11:E15)</f>
        <v>132894232.96000001</v>
      </c>
      <c r="F16" s="488"/>
      <c r="G16" s="489">
        <f>SUM(G11:G15)</f>
        <v>7255162.4681000002</v>
      </c>
      <c r="I16" s="488"/>
      <c r="J16" s="488" t="s">
        <v>454</v>
      </c>
      <c r="K16" s="488">
        <f>SUM(K11:K15)</f>
        <v>1865</v>
      </c>
      <c r="L16" s="489">
        <f>SUM(L11:L15)</f>
        <v>136876753.94</v>
      </c>
      <c r="M16" s="488"/>
      <c r="N16" s="489">
        <f>SUM(N11:N15)</f>
        <v>7555822.3325000005</v>
      </c>
    </row>
    <row r="17" spans="2:14" x14ac:dyDescent="0.3">
      <c r="B17" s="488"/>
      <c r="C17" s="488" t="s">
        <v>455</v>
      </c>
      <c r="D17" s="488"/>
      <c r="E17" s="488"/>
      <c r="F17" s="488"/>
      <c r="G17" s="489"/>
      <c r="I17" s="488"/>
      <c r="J17" s="488" t="s">
        <v>455</v>
      </c>
      <c r="K17" s="488"/>
      <c r="L17" s="489"/>
      <c r="M17" s="488"/>
      <c r="N17" s="488"/>
    </row>
    <row r="18" spans="2:14" x14ac:dyDescent="0.3">
      <c r="B18" s="488">
        <v>1</v>
      </c>
      <c r="C18" s="488" t="s">
        <v>449</v>
      </c>
      <c r="D18" s="487">
        <v>10</v>
      </c>
      <c r="E18" s="490">
        <v>97398</v>
      </c>
      <c r="F18" s="488">
        <v>0.01</v>
      </c>
      <c r="G18" s="489">
        <f>E18*F18</f>
        <v>973.98</v>
      </c>
      <c r="I18" s="488">
        <v>1</v>
      </c>
      <c r="J18" s="488" t="s">
        <v>449</v>
      </c>
      <c r="K18" s="488">
        <v>11</v>
      </c>
      <c r="L18" s="489">
        <v>105097</v>
      </c>
      <c r="M18" s="488">
        <v>0.01</v>
      </c>
      <c r="N18" s="488">
        <f>L18*M18</f>
        <v>1050.97</v>
      </c>
    </row>
    <row r="19" spans="2:14" x14ac:dyDescent="0.3">
      <c r="B19" s="488">
        <v>2</v>
      </c>
      <c r="C19" s="488" t="s">
        <v>450</v>
      </c>
      <c r="D19" s="487">
        <v>0</v>
      </c>
      <c r="E19" s="490"/>
      <c r="F19" s="488">
        <v>0.05</v>
      </c>
      <c r="G19" s="489">
        <f>E19*F19</f>
        <v>0</v>
      </c>
      <c r="I19" s="488">
        <v>2</v>
      </c>
      <c r="J19" s="488" t="s">
        <v>450</v>
      </c>
      <c r="K19" s="488">
        <v>0</v>
      </c>
      <c r="L19" s="489">
        <v>0</v>
      </c>
      <c r="M19" s="488">
        <v>0.05</v>
      </c>
      <c r="N19" s="488">
        <f>L19*M19</f>
        <v>0</v>
      </c>
    </row>
    <row r="20" spans="2:14" x14ac:dyDescent="0.3">
      <c r="B20" s="488">
        <v>3</v>
      </c>
      <c r="C20" s="488" t="s">
        <v>451</v>
      </c>
      <c r="D20" s="487">
        <v>0</v>
      </c>
      <c r="E20" s="490"/>
      <c r="F20" s="488">
        <v>0.25</v>
      </c>
      <c r="G20" s="489">
        <f>E20*F20</f>
        <v>0</v>
      </c>
      <c r="I20" s="488">
        <v>3</v>
      </c>
      <c r="J20" s="488" t="s">
        <v>451</v>
      </c>
      <c r="K20" s="488">
        <v>0</v>
      </c>
      <c r="L20" s="489"/>
      <c r="M20" s="488">
        <v>0.25</v>
      </c>
      <c r="N20" s="488">
        <f>L20*M20</f>
        <v>0</v>
      </c>
    </row>
    <row r="21" spans="2:14" x14ac:dyDescent="0.3">
      <c r="B21" s="488">
        <v>4</v>
      </c>
      <c r="C21" s="488" t="s">
        <v>452</v>
      </c>
      <c r="D21" s="487">
        <v>0</v>
      </c>
      <c r="E21" s="490"/>
      <c r="F21" s="488">
        <v>0.5</v>
      </c>
      <c r="G21" s="489">
        <f>E21*F21</f>
        <v>0</v>
      </c>
      <c r="I21" s="488">
        <v>4</v>
      </c>
      <c r="J21" s="488" t="s">
        <v>452</v>
      </c>
      <c r="K21" s="488">
        <v>0</v>
      </c>
      <c r="L21" s="489"/>
      <c r="M21" s="488">
        <v>0.5</v>
      </c>
      <c r="N21" s="488">
        <f>L21*M21</f>
        <v>0</v>
      </c>
    </row>
    <row r="22" spans="2:14" x14ac:dyDescent="0.3">
      <c r="B22" s="488">
        <v>5</v>
      </c>
      <c r="C22" s="488" t="s">
        <v>453</v>
      </c>
      <c r="D22" s="487">
        <v>0</v>
      </c>
      <c r="E22" s="490"/>
      <c r="F22" s="488">
        <v>1</v>
      </c>
      <c r="G22" s="489">
        <f>E22*F22</f>
        <v>0</v>
      </c>
      <c r="I22" s="488">
        <v>5</v>
      </c>
      <c r="J22" s="488" t="s">
        <v>453</v>
      </c>
      <c r="K22" s="488">
        <v>0</v>
      </c>
      <c r="L22" s="489"/>
      <c r="M22" s="488">
        <v>1</v>
      </c>
      <c r="N22" s="488">
        <f>L22*M22</f>
        <v>0</v>
      </c>
    </row>
    <row r="23" spans="2:14" x14ac:dyDescent="0.3">
      <c r="B23" s="488"/>
      <c r="C23" s="488" t="s">
        <v>454</v>
      </c>
      <c r="D23" s="488">
        <f>SUM(D17:D22)</f>
        <v>10</v>
      </c>
      <c r="E23" s="489">
        <f>SUM(E17:E22)</f>
        <v>97398</v>
      </c>
      <c r="F23" s="488"/>
      <c r="G23" s="489">
        <f>SUM(G17:G22)</f>
        <v>973.98</v>
      </c>
      <c r="I23" s="488"/>
      <c r="J23" s="488" t="s">
        <v>454</v>
      </c>
      <c r="K23" s="488">
        <f>SUM(K17:K22)</f>
        <v>11</v>
      </c>
      <c r="L23" s="489">
        <f>SUM(L17:L22)</f>
        <v>105097</v>
      </c>
      <c r="M23" s="488"/>
      <c r="N23" s="488">
        <f>SUM(N17:N22)</f>
        <v>1050.97</v>
      </c>
    </row>
    <row r="24" spans="2:14" x14ac:dyDescent="0.3">
      <c r="B24" s="488"/>
      <c r="C24" s="488" t="s">
        <v>456</v>
      </c>
      <c r="D24" s="488">
        <f>D16+D23</f>
        <v>1980</v>
      </c>
      <c r="E24" s="489">
        <f>E16+E23</f>
        <v>132991630.96000001</v>
      </c>
      <c r="F24" s="488"/>
      <c r="G24" s="489">
        <f>G16+G23</f>
        <v>7256136.4481000006</v>
      </c>
      <c r="I24" s="488"/>
      <c r="J24" s="488" t="s">
        <v>456</v>
      </c>
      <c r="K24" s="488">
        <f>K16+K23</f>
        <v>1876</v>
      </c>
      <c r="L24" s="489">
        <f>L16+L23</f>
        <v>136981850.94</v>
      </c>
      <c r="M24" s="488"/>
      <c r="N24" s="489">
        <f>N16+N23</f>
        <v>7556873.3025000002</v>
      </c>
    </row>
    <row r="25" spans="2:14" x14ac:dyDescent="0.3">
      <c r="I25" s="488"/>
      <c r="J25" s="488"/>
      <c r="K25" s="488"/>
      <c r="L25" s="488"/>
      <c r="M25" s="488"/>
      <c r="N25" s="488"/>
    </row>
    <row r="26" spans="2:14" x14ac:dyDescent="0.3">
      <c r="E26" s="491">
        <f>SUM(E13:E15)</f>
        <v>6312508.1000000006</v>
      </c>
    </row>
    <row r="27" spans="2:14" x14ac:dyDescent="0.3">
      <c r="E27" s="492">
        <f>E26/E16</f>
        <v>4.7500241051844666E-2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6" ma:contentTypeDescription="Create a new document." ma:contentTypeScope="" ma:versionID="02b30870fc8718c37a5fdeeb3f9f6640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1d039cf6d75f596d6402e382bea0e69c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C89267-B777-4ECB-9756-5FA2220A30D5}">
  <ds:schemaRefs>
    <ds:schemaRef ds:uri="http://schemas.microsoft.com/office/2006/metadata/properties"/>
    <ds:schemaRef ds:uri="http://schemas.microsoft.com/office/infopath/2007/PartnerControls"/>
    <ds:schemaRef ds:uri="df647032-17c5-4266-af02-4596a72daf50"/>
    <ds:schemaRef ds:uri="6e3db4b3-2b3b-4352-9127-36718d9c05b9"/>
  </ds:schemaRefs>
</ds:datastoreItem>
</file>

<file path=customXml/itemProps2.xml><?xml version="1.0" encoding="utf-8"?>
<ds:datastoreItem xmlns:ds="http://schemas.openxmlformats.org/officeDocument/2006/customXml" ds:itemID="{2001DF05-3DF2-4D6B-9F43-C07F190481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F2C353-DCD7-44B2-8C55-778C135A11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3db4b3-2b3b-4352-9127-36718d9c05b9"/>
    <ds:schemaRef ds:uri="df647032-17c5-4266-af02-4596a72daf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Trend</vt:lpstr>
      <vt:lpstr>Financials</vt:lpstr>
      <vt:lpstr>Prudential Ratios</vt:lpstr>
      <vt:lpstr>CAELS</vt:lpstr>
      <vt:lpstr>Sectoral </vt:lpstr>
      <vt:lpstr>RCAP</vt:lpstr>
      <vt:lpstr>Sheet1</vt:lpstr>
      <vt:lpstr>Sheet2</vt:lpstr>
      <vt:lpstr>Sheet3</vt:lpstr>
      <vt:lpstr>Sheet4</vt:lpstr>
      <vt:lpstr>Form 4 2018</vt:lpstr>
      <vt:lpstr>NotApplicable</vt:lpstr>
      <vt:lpstr>Financials!Print_Area</vt:lpstr>
      <vt:lpstr>'Prudential Ratios'!Print_Area</vt:lpstr>
      <vt:lpstr>Trend!Print_Area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wilfred</dc:creator>
  <cp:keywords/>
  <dc:description/>
  <cp:lastModifiedBy>Collins Ochieng</cp:lastModifiedBy>
  <cp:revision/>
  <cp:lastPrinted>2023-02-17T10:03:33Z</cp:lastPrinted>
  <dcterms:created xsi:type="dcterms:W3CDTF">2012-07-31T14:31:17Z</dcterms:created>
  <dcterms:modified xsi:type="dcterms:W3CDTF">2023-02-17T11:23:24Z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ediaServiceImageTags">
    <vt:lpwstr/>
  </property>
  <property fmtid="{D5CDD505-2E9C-101B-9397-08002B2CF9AE}" pid="4" name="MSIP_Label_7a02b3b2-3762-4506-88a3-8b8c11cc60e6_Enabled">
    <vt:lpwstr>true</vt:lpwstr>
  </property>
  <property fmtid="{D5CDD505-2E9C-101B-9397-08002B2CF9AE}" pid="5" name="MSIP_Label_7a02b3b2-3762-4506-88a3-8b8c11cc60e6_SetDate">
    <vt:lpwstr>2023-02-13T10:14:50Z</vt:lpwstr>
  </property>
  <property fmtid="{D5CDD505-2E9C-101B-9397-08002B2CF9AE}" pid="6" name="MSIP_Label_7a02b3b2-3762-4506-88a3-8b8c11cc60e6_Method">
    <vt:lpwstr>Privileged</vt:lpwstr>
  </property>
  <property fmtid="{D5CDD505-2E9C-101B-9397-08002B2CF9AE}" pid="7" name="MSIP_Label_7a02b3b2-3762-4506-88a3-8b8c11cc60e6_Name">
    <vt:lpwstr>Internal Use</vt:lpwstr>
  </property>
  <property fmtid="{D5CDD505-2E9C-101B-9397-08002B2CF9AE}" pid="8" name="MSIP_Label_7a02b3b2-3762-4506-88a3-8b8c11cc60e6_SiteId">
    <vt:lpwstr>d6c8161d-ccd5-4325-b291-dd442c369fe4</vt:lpwstr>
  </property>
  <property fmtid="{D5CDD505-2E9C-101B-9397-08002B2CF9AE}" pid="9" name="MSIP_Label_7a02b3b2-3762-4506-88a3-8b8c11cc60e6_ActionId">
    <vt:lpwstr>5c420079-1812-40a9-a3e1-27235ac71fef</vt:lpwstr>
  </property>
  <property fmtid="{D5CDD505-2E9C-101B-9397-08002B2CF9AE}" pid="10" name="MSIP_Label_7a02b3b2-3762-4506-88a3-8b8c11cc60e6_ContentBits">
    <vt:lpwstr>0</vt:lpwstr>
  </property>
</Properties>
</file>
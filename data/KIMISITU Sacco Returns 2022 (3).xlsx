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emison\Desktop\"/>
    </mc:Choice>
  </mc:AlternateContent>
  <xr:revisionPtr revIDLastSave="0" documentId="8_{39920B69-8C9C-4120-A44C-B702F3FAF6F6}" xr6:coauthVersionLast="47" xr6:coauthVersionMax="47" xr10:uidLastSave="{00000000-0000-0000-0000-000000000000}"/>
  <bookViews>
    <workbookView xWindow="0" yWindow="0" windowWidth="19200" windowHeight="6640" firstSheet="3" activeTab="3" xr2:uid="{00000000-000D-0000-FFFF-FFFF00000000}"/>
  </bookViews>
  <sheets>
    <sheet name="Evolutive SFP" sheetId="1" r:id="rId1"/>
    <sheet name="Evolutitve SCI" sheetId="2" r:id="rId2"/>
    <sheet name="FORM 4" sheetId="4" r:id="rId3"/>
    <sheet name="CAELS" sheetId="3" r:id="rId4"/>
    <sheet name="Financials" sheetId="5" r:id="rId5"/>
    <sheet name="CASH FLOW" sheetId="6" r:id="rId6"/>
    <sheet name="Prudential Ratios" sheetId="8" r:id="rId7"/>
    <sheet name="Feedback report" sheetId="10" r:id="rId8"/>
  </sheets>
  <externalReferences>
    <externalReference r:id="rId9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6" i="8" l="1"/>
  <c r="AT6" i="8"/>
  <c r="AU6" i="8"/>
  <c r="AV6" i="8"/>
  <c r="AW6" i="8"/>
  <c r="AX6" i="8"/>
  <c r="AY6" i="8"/>
  <c r="AZ6" i="8"/>
  <c r="BA6" i="8"/>
  <c r="BB6" i="8"/>
  <c r="BC6" i="8"/>
  <c r="BD6" i="8"/>
  <c r="AS7" i="8"/>
  <c r="AT7" i="8"/>
  <c r="AU7" i="8"/>
  <c r="AV7" i="8"/>
  <c r="AW7" i="8"/>
  <c r="AX7" i="8"/>
  <c r="AY7" i="8"/>
  <c r="AZ7" i="8"/>
  <c r="BA7" i="8"/>
  <c r="BB7" i="8"/>
  <c r="BC7" i="8"/>
  <c r="BD7" i="8"/>
  <c r="AS8" i="8"/>
  <c r="AT8" i="8"/>
  <c r="AU8" i="8"/>
  <c r="AV8" i="8"/>
  <c r="AW8" i="8"/>
  <c r="AX8" i="8"/>
  <c r="AY8" i="8"/>
  <c r="AZ8" i="8"/>
  <c r="BA8" i="8"/>
  <c r="BB8" i="8"/>
  <c r="BC8" i="8"/>
  <c r="BD8" i="8"/>
  <c r="AS9" i="8"/>
  <c r="AT9" i="8"/>
  <c r="AU9" i="8"/>
  <c r="AV9" i="8"/>
  <c r="AW9" i="8"/>
  <c r="AX9" i="8"/>
  <c r="AY9" i="8"/>
  <c r="AZ9" i="8"/>
  <c r="BA9" i="8"/>
  <c r="BB9" i="8"/>
  <c r="BC9" i="8"/>
  <c r="BD9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AT35" i="8"/>
  <c r="AU35" i="8"/>
  <c r="AV35" i="8"/>
  <c r="AW35" i="8"/>
  <c r="AX35" i="8"/>
  <c r="AY35" i="8"/>
  <c r="AZ35" i="8"/>
  <c r="BA35" i="8"/>
  <c r="BB35" i="8"/>
  <c r="BC35" i="8"/>
  <c r="BD35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AQ47" i="8"/>
  <c r="AR47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M3" i="3"/>
  <c r="N3" i="3"/>
  <c r="O3" i="3"/>
  <c r="Q3" i="3"/>
  <c r="R3" i="3"/>
  <c r="S3" i="3"/>
  <c r="T3" i="3"/>
  <c r="U3" i="3"/>
  <c r="V3" i="3"/>
  <c r="W3" i="3"/>
  <c r="X3" i="3"/>
  <c r="Y3" i="3"/>
  <c r="Z3" i="3"/>
  <c r="AA3" i="3"/>
  <c r="AB3" i="3"/>
  <c r="AD3" i="3"/>
  <c r="AE3" i="3"/>
  <c r="AF3" i="3"/>
  <c r="AG3" i="3"/>
  <c r="AH3" i="3"/>
  <c r="AI3" i="3"/>
  <c r="AJ3" i="3"/>
  <c r="AK3" i="3"/>
  <c r="AL3" i="3"/>
  <c r="AM3" i="3"/>
  <c r="AN3" i="3"/>
  <c r="AO3" i="3"/>
  <c r="AQ3" i="3"/>
  <c r="AR3" i="3"/>
  <c r="AR4" i="3" s="1"/>
  <c r="AS3" i="3"/>
  <c r="AS4" i="3" s="1"/>
  <c r="AT3" i="3"/>
  <c r="AT4" i="3"/>
  <c r="AS5" i="3"/>
  <c r="AT5" i="3"/>
  <c r="AS6" i="3"/>
  <c r="AT6" i="3"/>
  <c r="M8" i="3"/>
  <c r="N8" i="3"/>
  <c r="O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S9" i="3"/>
  <c r="AT9" i="3"/>
  <c r="AQ10" i="3"/>
  <c r="AR10" i="3"/>
  <c r="AS10" i="3"/>
  <c r="AT10" i="3"/>
  <c r="AR11" i="3"/>
  <c r="AS11" i="3"/>
  <c r="AT11" i="3"/>
  <c r="AQ12" i="3"/>
  <c r="AR12" i="3"/>
  <c r="AS12" i="3"/>
  <c r="AT12" i="3"/>
  <c r="AQ13" i="3"/>
  <c r="AR13" i="3"/>
  <c r="AS13" i="3"/>
  <c r="AT13" i="3"/>
  <c r="AR14" i="3"/>
  <c r="AS14" i="3"/>
  <c r="AT14" i="3"/>
  <c r="AR15" i="3"/>
  <c r="AS15" i="3"/>
  <c r="AT15" i="3"/>
  <c r="AR16" i="3"/>
  <c r="AS16" i="3"/>
  <c r="AT16" i="3"/>
  <c r="AR17" i="3"/>
  <c r="AS17" i="3"/>
  <c r="AT17" i="3"/>
  <c r="AQ18" i="3"/>
  <c r="AR18" i="3"/>
  <c r="AS18" i="3"/>
  <c r="AT18" i="3"/>
  <c r="M19" i="3"/>
  <c r="N19" i="3"/>
  <c r="O19" i="3"/>
  <c r="Q19" i="3"/>
  <c r="U19" i="3"/>
  <c r="V19" i="3"/>
  <c r="W19" i="3"/>
  <c r="X19" i="3"/>
  <c r="Y19" i="3"/>
  <c r="Z19" i="3"/>
  <c r="AD19" i="3"/>
  <c r="AE19" i="3"/>
  <c r="AG19" i="3"/>
  <c r="AH19" i="3"/>
  <c r="AK19" i="3"/>
  <c r="AL19" i="3"/>
  <c r="AM19" i="3"/>
  <c r="AN19" i="3"/>
  <c r="AO19" i="3"/>
  <c r="AS19" i="3"/>
  <c r="AT19" i="3"/>
  <c r="AR20" i="3"/>
  <c r="AS20" i="3"/>
  <c r="AT20" i="3"/>
  <c r="AR21" i="3"/>
  <c r="AS21" i="3"/>
  <c r="AT21" i="3"/>
  <c r="AR22" i="3"/>
  <c r="AS22" i="3"/>
  <c r="AT22" i="3"/>
  <c r="AR23" i="3"/>
  <c r="AS23" i="3"/>
  <c r="AT23" i="3"/>
  <c r="AR24" i="3"/>
  <c r="AS24" i="3"/>
  <c r="AT24" i="3"/>
  <c r="AS25" i="3"/>
  <c r="AT25" i="3"/>
  <c r="AS26" i="3"/>
  <c r="AT26" i="3"/>
  <c r="AS27" i="3"/>
  <c r="AT27" i="3"/>
  <c r="AS28" i="3"/>
  <c r="AT28" i="3"/>
  <c r="AS29" i="3"/>
  <c r="AT29" i="3"/>
  <c r="AS30" i="3"/>
  <c r="AT30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S33" i="3"/>
  <c r="AT33" i="3"/>
  <c r="AS34" i="3"/>
  <c r="AT34" i="3"/>
  <c r="AT35" i="3"/>
  <c r="AS36" i="3"/>
  <c r="AT36" i="3"/>
  <c r="AS37" i="3"/>
  <c r="AT37" i="3"/>
  <c r="AS38" i="3"/>
  <c r="AT38" i="3"/>
  <c r="AS39" i="3"/>
  <c r="AT39" i="3"/>
  <c r="AP5" i="5"/>
  <c r="AQ5" i="5"/>
  <c r="AC6" i="5"/>
  <c r="AD6" i="5"/>
  <c r="AE26" i="3" s="1"/>
  <c r="AE6" i="5"/>
  <c r="AF6" i="5"/>
  <c r="AG6" i="5"/>
  <c r="AH26" i="3" s="1"/>
  <c r="AH6" i="5"/>
  <c r="AI6" i="5"/>
  <c r="AJ6" i="5"/>
  <c r="AK26" i="3" s="1"/>
  <c r="AK6" i="5"/>
  <c r="AL6" i="5"/>
  <c r="AM26" i="3" s="1"/>
  <c r="AM6" i="5"/>
  <c r="AN6" i="5"/>
  <c r="AO26" i="3" s="1"/>
  <c r="AO6" i="5"/>
  <c r="AP6" i="5"/>
  <c r="AQ6" i="5"/>
  <c r="AC7" i="5"/>
  <c r="AD7" i="5"/>
  <c r="AE27" i="3" s="1"/>
  <c r="AE7" i="5"/>
  <c r="AF27" i="3" s="1"/>
  <c r="AF7" i="5"/>
  <c r="AG7" i="5"/>
  <c r="AH7" i="5"/>
  <c r="AI27" i="3" s="1"/>
  <c r="AI7" i="5"/>
  <c r="AJ27" i="3" s="1"/>
  <c r="AJ7" i="5"/>
  <c r="AK27" i="3" s="1"/>
  <c r="AK7" i="5"/>
  <c r="AL7" i="5"/>
  <c r="AM27" i="3" s="1"/>
  <c r="AM7" i="5"/>
  <c r="AN27" i="3" s="1"/>
  <c r="AN7" i="5"/>
  <c r="AO7" i="5"/>
  <c r="AP7" i="5"/>
  <c r="AQ7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27" i="8" s="1"/>
  <c r="AQ8" i="5"/>
  <c r="AR27" i="8" s="1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9" i="8" s="1"/>
  <c r="AQ15" i="5"/>
  <c r="AR9" i="8" s="1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P18" i="5"/>
  <c r="AQ18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P20" i="5"/>
  <c r="AQ20" i="5"/>
  <c r="AC22" i="5"/>
  <c r="AC21" i="5" s="1"/>
  <c r="AD22" i="5"/>
  <c r="AD21" i="5" s="1"/>
  <c r="AE22" i="5"/>
  <c r="AE21" i="5" s="1"/>
  <c r="AF22" i="5"/>
  <c r="AF21" i="5" s="1"/>
  <c r="AG22" i="5"/>
  <c r="AG21" i="5" s="1"/>
  <c r="AH22" i="5"/>
  <c r="AH21" i="5" s="1"/>
  <c r="AI22" i="5"/>
  <c r="AI21" i="5" s="1"/>
  <c r="AJ22" i="5"/>
  <c r="AJ21" i="5" s="1"/>
  <c r="AK22" i="5"/>
  <c r="AK21" i="5" s="1"/>
  <c r="AL22" i="5"/>
  <c r="AL21" i="5" s="1"/>
  <c r="AM22" i="5"/>
  <c r="AM21" i="5" s="1"/>
  <c r="AN22" i="5"/>
  <c r="AN21" i="5" s="1"/>
  <c r="AO22" i="5"/>
  <c r="AO21" i="5" s="1"/>
  <c r="AP22" i="5"/>
  <c r="AP21" i="5" s="1"/>
  <c r="AQ22" i="5"/>
  <c r="AQ21" i="5" s="1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O25" i="5" s="1"/>
  <c r="AP28" i="5"/>
  <c r="AQ28" i="5"/>
  <c r="AP30" i="5"/>
  <c r="AQ21" i="8" s="1"/>
  <c r="AQ30" i="5"/>
  <c r="AR21" i="8" s="1"/>
  <c r="AC31" i="5"/>
  <c r="AD28" i="3" s="1"/>
  <c r="AD31" i="5"/>
  <c r="AE28" i="3" s="1"/>
  <c r="AE31" i="5"/>
  <c r="AF28" i="3" s="1"/>
  <c r="AF31" i="5"/>
  <c r="AG28" i="3" s="1"/>
  <c r="AG31" i="5"/>
  <c r="AH28" i="3" s="1"/>
  <c r="AH31" i="5"/>
  <c r="AI28" i="3" s="1"/>
  <c r="AI31" i="5"/>
  <c r="AJ31" i="5"/>
  <c r="AK28" i="3" s="1"/>
  <c r="AK31" i="5"/>
  <c r="AL28" i="3" s="1"/>
  <c r="AL31" i="5"/>
  <c r="AM28" i="3" s="1"/>
  <c r="AM31" i="5"/>
  <c r="AN28" i="3" s="1"/>
  <c r="AN31" i="5"/>
  <c r="AO31" i="5"/>
  <c r="AP28" i="3" s="1"/>
  <c r="AP31" i="5"/>
  <c r="AQ28" i="3" s="1"/>
  <c r="AQ31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P34" i="5"/>
  <c r="AQ34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15" i="8" s="1"/>
  <c r="AQ35" i="5"/>
  <c r="AR15" i="8" s="1"/>
  <c r="AC38" i="5"/>
  <c r="AD38" i="5"/>
  <c r="AE38" i="5"/>
  <c r="AF38" i="5"/>
  <c r="AG38" i="5"/>
  <c r="AH38" i="5"/>
  <c r="AH41" i="5" s="1"/>
  <c r="AI38" i="5"/>
  <c r="AJ38" i="5"/>
  <c r="AK38" i="5"/>
  <c r="AL38" i="5"/>
  <c r="AM38" i="5"/>
  <c r="AN38" i="5"/>
  <c r="AO38" i="5"/>
  <c r="AP38" i="5"/>
  <c r="AP41" i="5" s="1"/>
  <c r="AQ38" i="5"/>
  <c r="AR38" i="3" s="1"/>
  <c r="AP39" i="5"/>
  <c r="AQ39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D41" i="5"/>
  <c r="AF41" i="5"/>
  <c r="AG41" i="5"/>
  <c r="AO41" i="5"/>
  <c r="AC44" i="5"/>
  <c r="AD44" i="5"/>
  <c r="AE33" i="3" s="1"/>
  <c r="AE44" i="5"/>
  <c r="AF33" i="3" s="1"/>
  <c r="AF44" i="5"/>
  <c r="AG33" i="3" s="1"/>
  <c r="AG44" i="5"/>
  <c r="AH33" i="3" s="1"/>
  <c r="AH44" i="5"/>
  <c r="AI44" i="5"/>
  <c r="AJ44" i="5"/>
  <c r="AK44" i="5"/>
  <c r="AL33" i="3" s="1"/>
  <c r="AL44" i="5"/>
  <c r="AM33" i="3" s="1"/>
  <c r="AM44" i="5"/>
  <c r="AN33" i="3" s="1"/>
  <c r="AN44" i="5"/>
  <c r="AO33" i="3" s="1"/>
  <c r="AO44" i="5"/>
  <c r="AP33" i="3" s="1"/>
  <c r="AP44" i="5"/>
  <c r="AQ44" i="5"/>
  <c r="AC45" i="5"/>
  <c r="AD34" i="3" s="1"/>
  <c r="AD45" i="5"/>
  <c r="AE34" i="3" s="1"/>
  <c r="AE45" i="5"/>
  <c r="AF34" i="3" s="1"/>
  <c r="AF45" i="5"/>
  <c r="AG34" i="3" s="1"/>
  <c r="AG45" i="5"/>
  <c r="AH34" i="3" s="1"/>
  <c r="AH45" i="5"/>
  <c r="AI34" i="3" s="1"/>
  <c r="AI45" i="5"/>
  <c r="AJ34" i="3" s="1"/>
  <c r="AJ45" i="5"/>
  <c r="AK34" i="3" s="1"/>
  <c r="AK45" i="5"/>
  <c r="AL34" i="3" s="1"/>
  <c r="AL45" i="5"/>
  <c r="AM34" i="3" s="1"/>
  <c r="AM45" i="5"/>
  <c r="AN34" i="3" s="1"/>
  <c r="AN45" i="5"/>
  <c r="AO34" i="3" s="1"/>
  <c r="AO45" i="5"/>
  <c r="AP34" i="3" s="1"/>
  <c r="AP45" i="5"/>
  <c r="AQ34" i="3" s="1"/>
  <c r="AQ45" i="5"/>
  <c r="AR34" i="3" s="1"/>
  <c r="AC46" i="5"/>
  <c r="AD46" i="5"/>
  <c r="AE35" i="3" s="1"/>
  <c r="AE46" i="5"/>
  <c r="AF35" i="3" s="1"/>
  <c r="AF46" i="5"/>
  <c r="AG46" i="5"/>
  <c r="AH35" i="3" s="1"/>
  <c r="AH46" i="5"/>
  <c r="AI35" i="3" s="1"/>
  <c r="AI46" i="5"/>
  <c r="AJ35" i="3" s="1"/>
  <c r="AJ46" i="5"/>
  <c r="AK46" i="5"/>
  <c r="AL35" i="3" s="1"/>
  <c r="AL46" i="5"/>
  <c r="AM35" i="3" s="1"/>
  <c r="AM46" i="5"/>
  <c r="AN35" i="3" s="1"/>
  <c r="AN46" i="5"/>
  <c r="AO46" i="5"/>
  <c r="AP35" i="3" s="1"/>
  <c r="AP46" i="5"/>
  <c r="AQ35" i="3" s="1"/>
  <c r="AQ46" i="5"/>
  <c r="AR35" i="3" s="1"/>
  <c r="AP47" i="5"/>
  <c r="AQ47" i="5"/>
  <c r="AR36" i="3" s="1"/>
  <c r="AN42" i="1"/>
  <c r="AO18" i="5" s="1"/>
  <c r="AN44" i="1"/>
  <c r="AO20" i="5" s="1"/>
  <c r="AN23" i="2"/>
  <c r="AG30" i="2"/>
  <c r="AH30" i="2"/>
  <c r="AI30" i="2"/>
  <c r="AJ30" i="2"/>
  <c r="AK30" i="2"/>
  <c r="AL30" i="2"/>
  <c r="AM30" i="2"/>
  <c r="AN30" i="2"/>
  <c r="AG23" i="2"/>
  <c r="AH47" i="5" s="1"/>
  <c r="AH23" i="2"/>
  <c r="AI47" i="5" s="1"/>
  <c r="AI23" i="2"/>
  <c r="AJ47" i="5" s="1"/>
  <c r="AJ23" i="2"/>
  <c r="AK47" i="5" s="1"/>
  <c r="AK23" i="2"/>
  <c r="AL23" i="2"/>
  <c r="AM47" i="5" s="1"/>
  <c r="AM23" i="2"/>
  <c r="AN47" i="5" s="1"/>
  <c r="AG20" i="2"/>
  <c r="AH20" i="2"/>
  <c r="AI20" i="2"/>
  <c r="AJ20" i="2"/>
  <c r="AK20" i="2"/>
  <c r="AL20" i="2"/>
  <c r="AM20" i="2"/>
  <c r="AN20" i="2"/>
  <c r="AG12" i="2"/>
  <c r="AH12" i="2"/>
  <c r="AI12" i="2"/>
  <c r="AJ12" i="2"/>
  <c r="AK12" i="2"/>
  <c r="AL12" i="2"/>
  <c r="AM12" i="2"/>
  <c r="AN12" i="2"/>
  <c r="AN7" i="2"/>
  <c r="AO39" i="5" s="1"/>
  <c r="AM7" i="2"/>
  <c r="AN39" i="5" s="1"/>
  <c r="AL7" i="2"/>
  <c r="AM39" i="5" s="1"/>
  <c r="AK7" i="2"/>
  <c r="AL39" i="5" s="1"/>
  <c r="AJ7" i="2"/>
  <c r="AK39" i="5" s="1"/>
  <c r="AI7" i="2"/>
  <c r="AJ39" i="5" s="1"/>
  <c r="AH7" i="2"/>
  <c r="AI39" i="5" s="1"/>
  <c r="AG7" i="2"/>
  <c r="AH39" i="5" s="1"/>
  <c r="AG4" i="2"/>
  <c r="AH4" i="2"/>
  <c r="AI4" i="2"/>
  <c r="AJ4" i="2"/>
  <c r="AK4" i="2"/>
  <c r="AK3" i="2" s="1"/>
  <c r="AK19" i="2" s="1"/>
  <c r="AL4" i="2"/>
  <c r="AM4" i="2"/>
  <c r="AN4" i="2"/>
  <c r="AG4" i="1"/>
  <c r="AI12" i="3" s="1"/>
  <c r="AH4" i="1"/>
  <c r="AI4" i="1"/>
  <c r="AK12" i="3" s="1"/>
  <c r="AJ4" i="1"/>
  <c r="AK4" i="1"/>
  <c r="AM12" i="3" s="1"/>
  <c r="AL4" i="1"/>
  <c r="AM4" i="1"/>
  <c r="AN4" i="1"/>
  <c r="AG8" i="1"/>
  <c r="AH8" i="1"/>
  <c r="AI8" i="1"/>
  <c r="AJ8" i="1"/>
  <c r="AK8" i="1"/>
  <c r="AL8" i="1"/>
  <c r="AM8" i="1"/>
  <c r="AN8" i="1"/>
  <c r="AO27" i="1"/>
  <c r="AG14" i="1"/>
  <c r="AH14" i="1"/>
  <c r="AI14" i="1"/>
  <c r="AJ14" i="1"/>
  <c r="AL34" i="8" s="1"/>
  <c r="AK14" i="1"/>
  <c r="AL14" i="1"/>
  <c r="AM14" i="1"/>
  <c r="AN14" i="1"/>
  <c r="AG21" i="1"/>
  <c r="AH21" i="1"/>
  <c r="AI34" i="5" s="1"/>
  <c r="AI21" i="1"/>
  <c r="AJ34" i="5" s="1"/>
  <c r="AJ21" i="1"/>
  <c r="AK34" i="5" s="1"/>
  <c r="AK21" i="1"/>
  <c r="AL34" i="5" s="1"/>
  <c r="AL21" i="1"/>
  <c r="AM21" i="1"/>
  <c r="AN34" i="5" s="1"/>
  <c r="AN21" i="1"/>
  <c r="AG31" i="1"/>
  <c r="AH31" i="1"/>
  <c r="AI31" i="1"/>
  <c r="AJ31" i="1"/>
  <c r="AK31" i="1"/>
  <c r="AM18" i="3" s="1"/>
  <c r="AL31" i="1"/>
  <c r="AM31" i="1"/>
  <c r="AN5" i="5" s="1"/>
  <c r="AN31" i="1"/>
  <c r="AG48" i="1"/>
  <c r="AH48" i="1"/>
  <c r="AI48" i="1"/>
  <c r="AJ48" i="1"/>
  <c r="AK48" i="1"/>
  <c r="AL48" i="1"/>
  <c r="AM48" i="1"/>
  <c r="AI38" i="1"/>
  <c r="AI49" i="1" s="1"/>
  <c r="AK38" i="1"/>
  <c r="D45" i="4"/>
  <c r="C45" i="4"/>
  <c r="F40" i="4"/>
  <c r="D46" i="4"/>
  <c r="F44" i="4"/>
  <c r="F43" i="4"/>
  <c r="F42" i="4"/>
  <c r="F41" i="4"/>
  <c r="AF30" i="2"/>
  <c r="AB30" i="2"/>
  <c r="AC30" i="2"/>
  <c r="AD30" i="2"/>
  <c r="AE30" i="2"/>
  <c r="AB23" i="2"/>
  <c r="AC23" i="2"/>
  <c r="AD23" i="2"/>
  <c r="AE47" i="5" s="1"/>
  <c r="AE23" i="2"/>
  <c r="AF23" i="2"/>
  <c r="AB20" i="2"/>
  <c r="AC20" i="2"/>
  <c r="AD20" i="2"/>
  <c r="AE20" i="2"/>
  <c r="AF20" i="2"/>
  <c r="AB12" i="2"/>
  <c r="AC12" i="2"/>
  <c r="AD12" i="2"/>
  <c r="AD39" i="2" s="1"/>
  <c r="AF32" i="3" s="1"/>
  <c r="AE12" i="2"/>
  <c r="AF12" i="2"/>
  <c r="AF39" i="2" s="1"/>
  <c r="AH32" i="3" s="1"/>
  <c r="AB7" i="2"/>
  <c r="AC39" i="5" s="1"/>
  <c r="AC7" i="2"/>
  <c r="AD39" i="5" s="1"/>
  <c r="AD7" i="2"/>
  <c r="AE39" i="5" s="1"/>
  <c r="AE7" i="2"/>
  <c r="AF39" i="5" s="1"/>
  <c r="AF7" i="2"/>
  <c r="AG39" i="5" s="1"/>
  <c r="AB4" i="2"/>
  <c r="AC4" i="2"/>
  <c r="AD4" i="2"/>
  <c r="AE4" i="2"/>
  <c r="AE3" i="2" s="1"/>
  <c r="AF4" i="2"/>
  <c r="AB48" i="1"/>
  <c r="AC48" i="1"/>
  <c r="AD48" i="1"/>
  <c r="AE48" i="1"/>
  <c r="AF48" i="1"/>
  <c r="AB31" i="1"/>
  <c r="AC31" i="1"/>
  <c r="AD31" i="1"/>
  <c r="AE31" i="1"/>
  <c r="AF31" i="1"/>
  <c r="AH18" i="3" s="1"/>
  <c r="AB21" i="1"/>
  <c r="AC21" i="1"/>
  <c r="AD34" i="5" s="1"/>
  <c r="AD21" i="1"/>
  <c r="AE21" i="1"/>
  <c r="AF34" i="5" s="1"/>
  <c r="AF21" i="1"/>
  <c r="AB14" i="1"/>
  <c r="AC14" i="1"/>
  <c r="AD30" i="5" s="1"/>
  <c r="AD14" i="1"/>
  <c r="AE30" i="5" s="1"/>
  <c r="AE14" i="1"/>
  <c r="AF14" i="1"/>
  <c r="AG30" i="5" s="1"/>
  <c r="AB8" i="1"/>
  <c r="AC8" i="1"/>
  <c r="AD8" i="1"/>
  <c r="AE8" i="1"/>
  <c r="AF8" i="1"/>
  <c r="AB4" i="1"/>
  <c r="AC4" i="1"/>
  <c r="AE13" i="3" s="1"/>
  <c r="AD4" i="1"/>
  <c r="AE4" i="1"/>
  <c r="AF4" i="1"/>
  <c r="AA27" i="2"/>
  <c r="AA28" i="2" s="1"/>
  <c r="AA21" i="2"/>
  <c r="AA34" i="2"/>
  <c r="AA25" i="2"/>
  <c r="AA24" i="2"/>
  <c r="AA11" i="2"/>
  <c r="AA13" i="2"/>
  <c r="AB44" i="5" s="1"/>
  <c r="AC33" i="3" s="1"/>
  <c r="AA9" i="2"/>
  <c r="AA6" i="2"/>
  <c r="AA5" i="2" s="1"/>
  <c r="AA6" i="1"/>
  <c r="AA4" i="1" s="1"/>
  <c r="AA46" i="1"/>
  <c r="AB22" i="5" s="1"/>
  <c r="AB21" i="5" s="1"/>
  <c r="AA42" i="1"/>
  <c r="AA36" i="1"/>
  <c r="AB9" i="5" s="1"/>
  <c r="AA29" i="1"/>
  <c r="AB7" i="5" s="1"/>
  <c r="AC27" i="3" s="1"/>
  <c r="AA13" i="1"/>
  <c r="P6" i="5"/>
  <c r="Q26" i="3" s="1"/>
  <c r="Q6" i="5"/>
  <c r="R26" i="3" s="1"/>
  <c r="R6" i="5"/>
  <c r="S26" i="3" s="1"/>
  <c r="S6" i="5"/>
  <c r="T26" i="3" s="1"/>
  <c r="T6" i="5"/>
  <c r="U26" i="3" s="1"/>
  <c r="U6" i="5"/>
  <c r="V26" i="3" s="1"/>
  <c r="V6" i="5"/>
  <c r="W26" i="3" s="1"/>
  <c r="W6" i="5"/>
  <c r="X26" i="3" s="1"/>
  <c r="X6" i="5"/>
  <c r="Y26" i="3" s="1"/>
  <c r="Y6" i="5"/>
  <c r="Z26" i="3" s="1"/>
  <c r="Z6" i="5"/>
  <c r="AA26" i="3" s="1"/>
  <c r="AA6" i="5"/>
  <c r="AB26" i="3" s="1"/>
  <c r="AB6" i="5"/>
  <c r="AC26" i="3" s="1"/>
  <c r="P7" i="5"/>
  <c r="Q27" i="3" s="1"/>
  <c r="Q7" i="5"/>
  <c r="R27" i="3" s="1"/>
  <c r="R7" i="5"/>
  <c r="S27" i="3" s="1"/>
  <c r="S7" i="5"/>
  <c r="T27" i="3" s="1"/>
  <c r="T7" i="5"/>
  <c r="U27" i="3" s="1"/>
  <c r="U7" i="5"/>
  <c r="V27" i="3" s="1"/>
  <c r="V7" i="5"/>
  <c r="W27" i="3" s="1"/>
  <c r="W7" i="5"/>
  <c r="X27" i="3" s="1"/>
  <c r="X7" i="5"/>
  <c r="Y27" i="3" s="1"/>
  <c r="Y7" i="5"/>
  <c r="Z27" i="3" s="1"/>
  <c r="Z7" i="5"/>
  <c r="AA27" i="3" s="1"/>
  <c r="AA7" i="5"/>
  <c r="AB27" i="3" s="1"/>
  <c r="P8" i="5"/>
  <c r="Q8" i="5"/>
  <c r="R8" i="5"/>
  <c r="S8" i="5"/>
  <c r="T8" i="5"/>
  <c r="U8" i="5"/>
  <c r="V8" i="5"/>
  <c r="W8" i="5"/>
  <c r="X8" i="5"/>
  <c r="Y8" i="5"/>
  <c r="Z8" i="5"/>
  <c r="AA8" i="5"/>
  <c r="AB8" i="5"/>
  <c r="P9" i="5"/>
  <c r="Q9" i="5"/>
  <c r="R9" i="5"/>
  <c r="S9" i="5"/>
  <c r="T9" i="5"/>
  <c r="U9" i="5"/>
  <c r="V9" i="5"/>
  <c r="W9" i="5"/>
  <c r="X9" i="5"/>
  <c r="Y9" i="5"/>
  <c r="Z9" i="5"/>
  <c r="AA9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P18" i="5"/>
  <c r="Q18" i="5"/>
  <c r="R18" i="5"/>
  <c r="S18" i="5"/>
  <c r="T18" i="5"/>
  <c r="U18" i="5"/>
  <c r="V18" i="5"/>
  <c r="W18" i="5"/>
  <c r="X18" i="5"/>
  <c r="Y18" i="5"/>
  <c r="Z18" i="5"/>
  <c r="AA18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P22" i="5"/>
  <c r="P21" i="5" s="1"/>
  <c r="Q22" i="5"/>
  <c r="Q21" i="5" s="1"/>
  <c r="R22" i="5"/>
  <c r="R21" i="5" s="1"/>
  <c r="S22" i="5"/>
  <c r="S21" i="5" s="1"/>
  <c r="T22" i="5"/>
  <c r="T21" i="5" s="1"/>
  <c r="U22" i="5"/>
  <c r="U21" i="5" s="1"/>
  <c r="V22" i="5"/>
  <c r="V21" i="5" s="1"/>
  <c r="W22" i="5"/>
  <c r="W21" i="5" s="1"/>
  <c r="X22" i="5"/>
  <c r="X21" i="5" s="1"/>
  <c r="Y22" i="5"/>
  <c r="Y21" i="5" s="1"/>
  <c r="Z22" i="5"/>
  <c r="Z21" i="5" s="1"/>
  <c r="AA22" i="5"/>
  <c r="AA21" i="5" s="1"/>
  <c r="P26" i="5"/>
  <c r="Q26" i="5"/>
  <c r="R26" i="5"/>
  <c r="S26" i="5"/>
  <c r="T26" i="5"/>
  <c r="U26" i="5"/>
  <c r="V26" i="5"/>
  <c r="W26" i="5"/>
  <c r="X26" i="5"/>
  <c r="Y26" i="5"/>
  <c r="Z26" i="5"/>
  <c r="AA26" i="5"/>
  <c r="P27" i="5"/>
  <c r="Q27" i="5"/>
  <c r="R27" i="5"/>
  <c r="S27" i="5"/>
  <c r="T27" i="5"/>
  <c r="U27" i="5"/>
  <c r="V27" i="5"/>
  <c r="W27" i="5"/>
  <c r="X27" i="5"/>
  <c r="Y27" i="5"/>
  <c r="Z27" i="5"/>
  <c r="AA27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P31" i="5"/>
  <c r="Q28" i="3" s="1"/>
  <c r="Q31" i="5"/>
  <c r="R28" i="3" s="1"/>
  <c r="R31" i="5"/>
  <c r="S28" i="3" s="1"/>
  <c r="S31" i="5"/>
  <c r="T28" i="3" s="1"/>
  <c r="T31" i="5"/>
  <c r="U28" i="3" s="1"/>
  <c r="U31" i="5"/>
  <c r="V28" i="3" s="1"/>
  <c r="V31" i="5"/>
  <c r="W28" i="3" s="1"/>
  <c r="W31" i="5"/>
  <c r="X28" i="3" s="1"/>
  <c r="X31" i="5"/>
  <c r="Y28" i="3" s="1"/>
  <c r="Y31" i="5"/>
  <c r="Z28" i="3" s="1"/>
  <c r="Z31" i="5"/>
  <c r="AA28" i="3" s="1"/>
  <c r="AA31" i="5"/>
  <c r="AB28" i="3" s="1"/>
  <c r="AB31" i="5"/>
  <c r="AC28" i="3" s="1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P44" i="5"/>
  <c r="Q33" i="3" s="1"/>
  <c r="Q44" i="5"/>
  <c r="R33" i="3" s="1"/>
  <c r="R44" i="5"/>
  <c r="S33" i="3" s="1"/>
  <c r="S44" i="5"/>
  <c r="T33" i="3" s="1"/>
  <c r="T44" i="5"/>
  <c r="U33" i="3" s="1"/>
  <c r="U44" i="5"/>
  <c r="V33" i="3" s="1"/>
  <c r="V44" i="5"/>
  <c r="W33" i="3" s="1"/>
  <c r="W44" i="5"/>
  <c r="X33" i="3" s="1"/>
  <c r="X44" i="5"/>
  <c r="Y33" i="3" s="1"/>
  <c r="Y44" i="5"/>
  <c r="Z33" i="3" s="1"/>
  <c r="Z44" i="5"/>
  <c r="AA33" i="3" s="1"/>
  <c r="AA44" i="5"/>
  <c r="AB33" i="3" s="1"/>
  <c r="P45" i="5"/>
  <c r="Q34" i="3" s="1"/>
  <c r="Q45" i="5"/>
  <c r="R34" i="3" s="1"/>
  <c r="R45" i="5"/>
  <c r="S34" i="3" s="1"/>
  <c r="S45" i="5"/>
  <c r="T34" i="3" s="1"/>
  <c r="T45" i="5"/>
  <c r="U34" i="3" s="1"/>
  <c r="U45" i="5"/>
  <c r="V34" i="3" s="1"/>
  <c r="V45" i="5"/>
  <c r="W34" i="3" s="1"/>
  <c r="W45" i="5"/>
  <c r="X34" i="3" s="1"/>
  <c r="X45" i="5"/>
  <c r="Y34" i="3" s="1"/>
  <c r="Y45" i="5"/>
  <c r="Z34" i="3" s="1"/>
  <c r="Z45" i="5"/>
  <c r="AA34" i="3" s="1"/>
  <c r="AA45" i="5"/>
  <c r="AB34" i="3" s="1"/>
  <c r="AB45" i="5"/>
  <c r="AC34" i="3" s="1"/>
  <c r="P46" i="5"/>
  <c r="Q46" i="5"/>
  <c r="R46" i="5"/>
  <c r="S46" i="5"/>
  <c r="T46" i="5"/>
  <c r="U35" i="3" s="1"/>
  <c r="U46" i="5"/>
  <c r="V35" i="3" s="1"/>
  <c r="V46" i="5"/>
  <c r="W35" i="3" s="1"/>
  <c r="W46" i="5"/>
  <c r="X35" i="3" s="1"/>
  <c r="X46" i="5"/>
  <c r="Y46" i="5"/>
  <c r="Z46" i="5"/>
  <c r="AA46" i="5"/>
  <c r="AB46" i="5"/>
  <c r="AC35" i="3" s="1"/>
  <c r="X16" i="8"/>
  <c r="Y16" i="8"/>
  <c r="Z16" i="8"/>
  <c r="AA16" i="8"/>
  <c r="AB16" i="8"/>
  <c r="AC16" i="8"/>
  <c r="Q16" i="8"/>
  <c r="R16" i="8"/>
  <c r="S16" i="8"/>
  <c r="T16" i="8"/>
  <c r="U16" i="8"/>
  <c r="V16" i="8"/>
  <c r="W16" i="8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O23" i="2"/>
  <c r="P23" i="2"/>
  <c r="Q23" i="2"/>
  <c r="R23" i="2"/>
  <c r="S23" i="2"/>
  <c r="T23" i="2"/>
  <c r="U23" i="2"/>
  <c r="V23" i="2"/>
  <c r="W23" i="2"/>
  <c r="X23" i="2"/>
  <c r="Y23" i="2"/>
  <c r="Z23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O12" i="2"/>
  <c r="P12" i="2"/>
  <c r="P39" i="2" s="1"/>
  <c r="R32" i="3" s="1"/>
  <c r="Q12" i="2"/>
  <c r="R12" i="2"/>
  <c r="S12" i="2"/>
  <c r="S39" i="2" s="1"/>
  <c r="U32" i="3" s="1"/>
  <c r="T12" i="2"/>
  <c r="U12" i="2"/>
  <c r="V12" i="2"/>
  <c r="V39" i="2" s="1"/>
  <c r="X32" i="3" s="1"/>
  <c r="W12" i="2"/>
  <c r="X12" i="2"/>
  <c r="X39" i="2" s="1"/>
  <c r="Z32" i="3" s="1"/>
  <c r="Y12" i="2"/>
  <c r="Z12" i="2"/>
  <c r="AA12" i="2"/>
  <c r="O7" i="2"/>
  <c r="P39" i="5" s="1"/>
  <c r="P7" i="2"/>
  <c r="Q39" i="5" s="1"/>
  <c r="Q7" i="2"/>
  <c r="R39" i="5" s="1"/>
  <c r="R7" i="2"/>
  <c r="S39" i="5" s="1"/>
  <c r="S7" i="2"/>
  <c r="T39" i="5" s="1"/>
  <c r="T7" i="2"/>
  <c r="U39" i="5" s="1"/>
  <c r="U7" i="2"/>
  <c r="V39" i="5" s="1"/>
  <c r="V7" i="2"/>
  <c r="W39" i="5" s="1"/>
  <c r="W7" i="2"/>
  <c r="X39" i="5" s="1"/>
  <c r="X7" i="2"/>
  <c r="Y39" i="5" s="1"/>
  <c r="Y7" i="2"/>
  <c r="Z39" i="5" s="1"/>
  <c r="Z7" i="2"/>
  <c r="AA39" i="5" s="1"/>
  <c r="AA7" i="2"/>
  <c r="AB39" i="5" s="1"/>
  <c r="O4" i="2"/>
  <c r="P4" i="2"/>
  <c r="P3" i="2" s="1"/>
  <c r="Q4" i="2"/>
  <c r="R4" i="2"/>
  <c r="S4" i="2"/>
  <c r="T4" i="2"/>
  <c r="T3" i="2" s="1"/>
  <c r="T19" i="2" s="1"/>
  <c r="U4" i="2"/>
  <c r="V4" i="2"/>
  <c r="W4" i="2"/>
  <c r="X4" i="2"/>
  <c r="X3" i="2" s="1"/>
  <c r="Y4" i="2"/>
  <c r="Z4" i="2"/>
  <c r="AA4" i="2"/>
  <c r="O48" i="1"/>
  <c r="P48" i="1"/>
  <c r="Q48" i="1"/>
  <c r="R48" i="1"/>
  <c r="S48" i="1"/>
  <c r="T48" i="1"/>
  <c r="U48" i="1"/>
  <c r="V48" i="1"/>
  <c r="W48" i="1"/>
  <c r="X48" i="1"/>
  <c r="Y48" i="1"/>
  <c r="Z48" i="1"/>
  <c r="O31" i="1"/>
  <c r="P31" i="1"/>
  <c r="Q31" i="1"/>
  <c r="R31" i="1"/>
  <c r="S31" i="1"/>
  <c r="U5" i="3" s="1"/>
  <c r="T31" i="1"/>
  <c r="U31" i="1"/>
  <c r="V31" i="1"/>
  <c r="V38" i="1" s="1"/>
  <c r="W31" i="1"/>
  <c r="X31" i="1"/>
  <c r="Y31" i="1"/>
  <c r="Z31" i="1"/>
  <c r="AA3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O14" i="1"/>
  <c r="P30" i="5" s="1"/>
  <c r="P14" i="1"/>
  <c r="Q30" i="5" s="1"/>
  <c r="Q14" i="1"/>
  <c r="R30" i="5" s="1"/>
  <c r="R14" i="1"/>
  <c r="S14" i="1"/>
  <c r="T30" i="5" s="1"/>
  <c r="T14" i="1"/>
  <c r="U30" i="5" s="1"/>
  <c r="U14" i="1"/>
  <c r="V14" i="1"/>
  <c r="W30" i="5" s="1"/>
  <c r="W14" i="1"/>
  <c r="X14" i="1"/>
  <c r="Y14" i="1"/>
  <c r="Z14" i="1"/>
  <c r="AA14" i="1"/>
  <c r="O8" i="1"/>
  <c r="P8" i="1"/>
  <c r="Q8" i="1"/>
  <c r="R8" i="1"/>
  <c r="S8" i="1"/>
  <c r="T8" i="1"/>
  <c r="U8" i="1"/>
  <c r="V8" i="1"/>
  <c r="W8" i="1"/>
  <c r="X8" i="1"/>
  <c r="Y8" i="1"/>
  <c r="Z8" i="1"/>
  <c r="O4" i="1"/>
  <c r="P4" i="1"/>
  <c r="Q4" i="1"/>
  <c r="R4" i="1"/>
  <c r="S4" i="1"/>
  <c r="U12" i="3" s="1"/>
  <c r="T4" i="1"/>
  <c r="U4" i="1"/>
  <c r="V4" i="1"/>
  <c r="W4" i="1"/>
  <c r="X4" i="1"/>
  <c r="Y4" i="1"/>
  <c r="Z4" i="1"/>
  <c r="N44" i="1"/>
  <c r="O20" i="5" s="1"/>
  <c r="N46" i="1"/>
  <c r="O22" i="5" s="1"/>
  <c r="O21" i="5" s="1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D16" i="8"/>
  <c r="E16" i="8"/>
  <c r="G16" i="8"/>
  <c r="H16" i="8"/>
  <c r="J16" i="8"/>
  <c r="K16" i="8"/>
  <c r="L16" i="8"/>
  <c r="M16" i="8"/>
  <c r="N16" i="8"/>
  <c r="O16" i="8"/>
  <c r="P16" i="8"/>
  <c r="M63" i="8"/>
  <c r="B8" i="6"/>
  <c r="C8" i="6"/>
  <c r="B12" i="6"/>
  <c r="C12" i="6"/>
  <c r="C17" i="6" s="1"/>
  <c r="C19" i="6" s="1"/>
  <c r="B28" i="6"/>
  <c r="C28" i="6"/>
  <c r="E28" i="6"/>
  <c r="B36" i="6"/>
  <c r="C36" i="6"/>
  <c r="C6" i="5"/>
  <c r="D59" i="8" s="1"/>
  <c r="D6" i="5"/>
  <c r="E26" i="3" s="1"/>
  <c r="E6" i="5"/>
  <c r="F6" i="5"/>
  <c r="G26" i="3" s="1"/>
  <c r="G6" i="5"/>
  <c r="H26" i="3" s="1"/>
  <c r="H6" i="5"/>
  <c r="I6" i="5"/>
  <c r="J6" i="5"/>
  <c r="K6" i="5"/>
  <c r="L26" i="3" s="1"/>
  <c r="L6" i="5"/>
  <c r="M6" i="5"/>
  <c r="N26" i="3" s="1"/>
  <c r="N6" i="5"/>
  <c r="O26" i="3" s="1"/>
  <c r="O6" i="5"/>
  <c r="P26" i="3" s="1"/>
  <c r="C7" i="5"/>
  <c r="D60" i="8" s="1"/>
  <c r="D7" i="5"/>
  <c r="E27" i="3" s="1"/>
  <c r="E7" i="5"/>
  <c r="F27" i="3" s="1"/>
  <c r="F7" i="5"/>
  <c r="G27" i="3" s="1"/>
  <c r="G7" i="5"/>
  <c r="H7" i="5"/>
  <c r="I7" i="5"/>
  <c r="J27" i="3" s="1"/>
  <c r="J7" i="5"/>
  <c r="K27" i="3" s="1"/>
  <c r="K7" i="5"/>
  <c r="L7" i="5"/>
  <c r="M27" i="3" s="1"/>
  <c r="M7" i="5"/>
  <c r="N27" i="3" s="1"/>
  <c r="N7" i="5"/>
  <c r="O27" i="3" s="1"/>
  <c r="O7" i="5"/>
  <c r="P27" i="3" s="1"/>
  <c r="C8" i="5"/>
  <c r="D8" i="5"/>
  <c r="E8" i="5"/>
  <c r="F8" i="5"/>
  <c r="G8" i="5"/>
  <c r="H8" i="5"/>
  <c r="I8" i="5"/>
  <c r="J8" i="5"/>
  <c r="K8" i="5"/>
  <c r="L8" i="5"/>
  <c r="M8" i="5"/>
  <c r="N8" i="5"/>
  <c r="O8" i="5"/>
  <c r="C9" i="5"/>
  <c r="D9" i="5"/>
  <c r="E9" i="5"/>
  <c r="F9" i="5"/>
  <c r="G9" i="5"/>
  <c r="H9" i="5"/>
  <c r="I9" i="5"/>
  <c r="J9" i="5"/>
  <c r="K9" i="5"/>
  <c r="L9" i="5"/>
  <c r="M9" i="5"/>
  <c r="N9" i="5"/>
  <c r="O9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C18" i="5"/>
  <c r="D18" i="5"/>
  <c r="E18" i="5"/>
  <c r="F18" i="5"/>
  <c r="G18" i="5"/>
  <c r="H18" i="5"/>
  <c r="I18" i="5"/>
  <c r="J18" i="5"/>
  <c r="K18" i="5"/>
  <c r="L18" i="5"/>
  <c r="M18" i="5"/>
  <c r="N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C20" i="5"/>
  <c r="D20" i="5"/>
  <c r="E20" i="5"/>
  <c r="F20" i="5"/>
  <c r="G20" i="5"/>
  <c r="H20" i="5"/>
  <c r="I20" i="5"/>
  <c r="J20" i="5"/>
  <c r="K20" i="5"/>
  <c r="L20" i="5"/>
  <c r="M20" i="5"/>
  <c r="N20" i="5"/>
  <c r="C22" i="5"/>
  <c r="C21" i="5" s="1"/>
  <c r="D22" i="5"/>
  <c r="D21" i="5" s="1"/>
  <c r="E22" i="5"/>
  <c r="E21" i="5" s="1"/>
  <c r="F22" i="5"/>
  <c r="F21" i="5" s="1"/>
  <c r="G22" i="5"/>
  <c r="G21" i="5" s="1"/>
  <c r="H22" i="5"/>
  <c r="H21" i="5" s="1"/>
  <c r="I22" i="5"/>
  <c r="I21" i="5" s="1"/>
  <c r="J22" i="5"/>
  <c r="J21" i="5" s="1"/>
  <c r="K22" i="5"/>
  <c r="K21" i="5" s="1"/>
  <c r="L22" i="5"/>
  <c r="L21" i="5" s="1"/>
  <c r="M22" i="5"/>
  <c r="M21" i="5" s="1"/>
  <c r="N22" i="5"/>
  <c r="N21" i="5" s="1"/>
  <c r="C26" i="5"/>
  <c r="D26" i="5"/>
  <c r="E26" i="5"/>
  <c r="F26" i="5"/>
  <c r="G26" i="5"/>
  <c r="H26" i="5"/>
  <c r="I26" i="5"/>
  <c r="J26" i="5"/>
  <c r="K26" i="5"/>
  <c r="L26" i="5"/>
  <c r="M26" i="5"/>
  <c r="N26" i="5"/>
  <c r="C27" i="5"/>
  <c r="D27" i="5"/>
  <c r="E27" i="5"/>
  <c r="F27" i="5"/>
  <c r="G27" i="5"/>
  <c r="H27" i="5"/>
  <c r="I27" i="5"/>
  <c r="J27" i="5"/>
  <c r="K27" i="5"/>
  <c r="L27" i="5"/>
  <c r="M27" i="5"/>
  <c r="N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C31" i="5"/>
  <c r="D28" i="3" s="1"/>
  <c r="D31" i="5"/>
  <c r="E28" i="3" s="1"/>
  <c r="E31" i="5"/>
  <c r="F31" i="5"/>
  <c r="G28" i="3" s="1"/>
  <c r="G31" i="5"/>
  <c r="H28" i="3" s="1"/>
  <c r="H31" i="5"/>
  <c r="I31" i="5"/>
  <c r="J31" i="5"/>
  <c r="K31" i="5"/>
  <c r="L28" i="3" s="1"/>
  <c r="L31" i="5"/>
  <c r="M28" i="3" s="1"/>
  <c r="M31" i="5"/>
  <c r="N28" i="3" s="1"/>
  <c r="N31" i="5"/>
  <c r="O28" i="3" s="1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C40" i="5"/>
  <c r="D40" i="5"/>
  <c r="E40" i="5"/>
  <c r="F40" i="5"/>
  <c r="G40" i="5"/>
  <c r="H40" i="5"/>
  <c r="I40" i="5"/>
  <c r="J40" i="5"/>
  <c r="K40" i="5"/>
  <c r="L40" i="5"/>
  <c r="M40" i="5"/>
  <c r="N40" i="5"/>
  <c r="C44" i="5"/>
  <c r="D44" i="5"/>
  <c r="E44" i="5"/>
  <c r="F44" i="5"/>
  <c r="G44" i="5"/>
  <c r="H33" i="3" s="1"/>
  <c r="H44" i="5"/>
  <c r="I33" i="3" s="1"/>
  <c r="I44" i="5"/>
  <c r="J33" i="3" s="1"/>
  <c r="J44" i="5"/>
  <c r="K33" i="3" s="1"/>
  <c r="K44" i="5"/>
  <c r="L33" i="3" s="1"/>
  <c r="L44" i="5"/>
  <c r="M33" i="3" s="1"/>
  <c r="M44" i="5"/>
  <c r="N33" i="3" s="1"/>
  <c r="N44" i="5"/>
  <c r="O33" i="3" s="1"/>
  <c r="O44" i="5"/>
  <c r="P33" i="3" s="1"/>
  <c r="C45" i="5"/>
  <c r="D34" i="3" s="1"/>
  <c r="D45" i="5"/>
  <c r="E45" i="5"/>
  <c r="F34" i="3" s="1"/>
  <c r="F45" i="5"/>
  <c r="G34" i="3" s="1"/>
  <c r="G45" i="5"/>
  <c r="H34" i="3" s="1"/>
  <c r="H45" i="5"/>
  <c r="I34" i="3" s="1"/>
  <c r="I45" i="5"/>
  <c r="J34" i="3" s="1"/>
  <c r="J45" i="5"/>
  <c r="K34" i="3" s="1"/>
  <c r="K45" i="5"/>
  <c r="L34" i="3" s="1"/>
  <c r="L45" i="5"/>
  <c r="M34" i="3" s="1"/>
  <c r="M45" i="5"/>
  <c r="N45" i="5"/>
  <c r="O34" i="3" s="1"/>
  <c r="O45" i="5"/>
  <c r="P34" i="3" s="1"/>
  <c r="C46" i="5"/>
  <c r="D35" i="3" s="1"/>
  <c r="D46" i="5"/>
  <c r="E46" i="5"/>
  <c r="F46" i="5"/>
  <c r="G46" i="5"/>
  <c r="H46" i="5"/>
  <c r="I46" i="5"/>
  <c r="J46" i="5"/>
  <c r="K46" i="5"/>
  <c r="L46" i="5"/>
  <c r="M35" i="3" s="1"/>
  <c r="M46" i="5"/>
  <c r="N35" i="3" s="1"/>
  <c r="N46" i="5"/>
  <c r="O35" i="3" s="1"/>
  <c r="O46" i="5"/>
  <c r="D3" i="3"/>
  <c r="D19" i="3" s="1"/>
  <c r="E3" i="3"/>
  <c r="E19" i="3" s="1"/>
  <c r="F3" i="3"/>
  <c r="F19" i="3" s="1"/>
  <c r="G3" i="3"/>
  <c r="G19" i="3" s="1"/>
  <c r="H3" i="3"/>
  <c r="I3" i="3"/>
  <c r="J3" i="3"/>
  <c r="J19" i="3" s="1"/>
  <c r="K3" i="3"/>
  <c r="K19" i="3" s="1"/>
  <c r="L3" i="3"/>
  <c r="L19" i="3" s="1"/>
  <c r="D8" i="3"/>
  <c r="E8" i="3"/>
  <c r="F8" i="3"/>
  <c r="G8" i="3"/>
  <c r="H8" i="3"/>
  <c r="I8" i="3"/>
  <c r="J8" i="3"/>
  <c r="K8" i="3"/>
  <c r="L8" i="3"/>
  <c r="F26" i="3"/>
  <c r="E33" i="3"/>
  <c r="F33" i="3"/>
  <c r="G33" i="3"/>
  <c r="E34" i="3"/>
  <c r="F4" i="4"/>
  <c r="F5" i="4"/>
  <c r="F6" i="4"/>
  <c r="F7" i="4"/>
  <c r="F8" i="4"/>
  <c r="C9" i="4"/>
  <c r="D9" i="4"/>
  <c r="D10" i="4"/>
  <c r="F16" i="4"/>
  <c r="F17" i="4"/>
  <c r="F18" i="4"/>
  <c r="F19" i="4"/>
  <c r="F20" i="4"/>
  <c r="C21" i="4"/>
  <c r="D21" i="4"/>
  <c r="D22" i="4"/>
  <c r="F29" i="4"/>
  <c r="F30" i="4"/>
  <c r="F31" i="4"/>
  <c r="F32" i="4"/>
  <c r="F33" i="4"/>
  <c r="C34" i="4"/>
  <c r="D34" i="4"/>
  <c r="D35" i="4"/>
  <c r="B4" i="2"/>
  <c r="C4" i="2"/>
  <c r="D4" i="2"/>
  <c r="E4" i="2"/>
  <c r="F4" i="2"/>
  <c r="G4" i="2"/>
  <c r="H4" i="2"/>
  <c r="I4" i="2"/>
  <c r="J4" i="2"/>
  <c r="K4" i="2"/>
  <c r="L4" i="2"/>
  <c r="M4" i="2"/>
  <c r="N6" i="2"/>
  <c r="N4" i="2" s="1"/>
  <c r="O40" i="5"/>
  <c r="B7" i="2"/>
  <c r="C39" i="5" s="1"/>
  <c r="C7" i="2"/>
  <c r="D39" i="5"/>
  <c r="D7" i="2"/>
  <c r="E39" i="5" s="1"/>
  <c r="E7" i="2"/>
  <c r="F39" i="5"/>
  <c r="F7" i="2"/>
  <c r="G39" i="5"/>
  <c r="G7" i="2"/>
  <c r="H39" i="5" s="1"/>
  <c r="H7" i="2"/>
  <c r="I39" i="5" s="1"/>
  <c r="I7" i="2"/>
  <c r="J39" i="5"/>
  <c r="J7" i="2"/>
  <c r="K39" i="5"/>
  <c r="K7" i="2"/>
  <c r="K3" i="2" s="1"/>
  <c r="L39" i="5"/>
  <c r="L7" i="2"/>
  <c r="M39" i="5" s="1"/>
  <c r="M7" i="2"/>
  <c r="N39" i="5"/>
  <c r="N11" i="2"/>
  <c r="N7" i="2"/>
  <c r="O39" i="5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B23" i="2"/>
  <c r="C23" i="2"/>
  <c r="D47" i="5"/>
  <c r="D23" i="2"/>
  <c r="D39" i="2" s="1"/>
  <c r="F32" i="3" s="1"/>
  <c r="E23" i="2"/>
  <c r="F23" i="2"/>
  <c r="G23" i="2"/>
  <c r="H47" i="5" s="1"/>
  <c r="H23" i="2"/>
  <c r="I47" i="5" s="1"/>
  <c r="I23" i="2"/>
  <c r="J47" i="5" s="1"/>
  <c r="J23" i="2"/>
  <c r="K23" i="2"/>
  <c r="L23" i="2"/>
  <c r="L39" i="2" s="1"/>
  <c r="N32" i="3" s="1"/>
  <c r="M23" i="2"/>
  <c r="N27" i="2"/>
  <c r="N28" i="2"/>
  <c r="N23" i="2" s="1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B39" i="2"/>
  <c r="D32" i="3" s="1"/>
  <c r="B4" i="1"/>
  <c r="D54" i="8" s="1"/>
  <c r="C4" i="1"/>
  <c r="D4" i="1"/>
  <c r="F53" i="8" s="1"/>
  <c r="E4" i="1"/>
  <c r="G53" i="8" s="1"/>
  <c r="F4" i="1"/>
  <c r="H12" i="3" s="1"/>
  <c r="G4" i="1"/>
  <c r="I12" i="3" s="1"/>
  <c r="H4" i="1"/>
  <c r="J12" i="3" s="1"/>
  <c r="I4" i="1"/>
  <c r="J4" i="1"/>
  <c r="L47" i="8" s="1"/>
  <c r="K4" i="1"/>
  <c r="L4" i="1"/>
  <c r="M4" i="1"/>
  <c r="N6" i="1"/>
  <c r="N4" i="1" s="1"/>
  <c r="B8" i="1"/>
  <c r="C8" i="1"/>
  <c r="D8" i="1"/>
  <c r="E8" i="1"/>
  <c r="F8" i="1"/>
  <c r="G8" i="1"/>
  <c r="H8" i="1"/>
  <c r="I8" i="1"/>
  <c r="J8" i="1"/>
  <c r="K8" i="1"/>
  <c r="L8" i="1"/>
  <c r="M8" i="1"/>
  <c r="N12" i="1"/>
  <c r="N13" i="1"/>
  <c r="B14" i="1"/>
  <c r="D34" i="8" s="1"/>
  <c r="C14" i="1"/>
  <c r="D14" i="1"/>
  <c r="E14" i="1"/>
  <c r="G34" i="8" s="1"/>
  <c r="F14" i="1"/>
  <c r="G14" i="1"/>
  <c r="H30" i="5" s="1"/>
  <c r="H14" i="1"/>
  <c r="I14" i="1"/>
  <c r="J30" i="5" s="1"/>
  <c r="J14" i="1"/>
  <c r="K14" i="1"/>
  <c r="L30" i="5" s="1"/>
  <c r="L14" i="1"/>
  <c r="M30" i="5" s="1"/>
  <c r="M14" i="1"/>
  <c r="O34" i="8" s="1"/>
  <c r="N15" i="1"/>
  <c r="O31" i="5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B21" i="1"/>
  <c r="C21" i="1"/>
  <c r="D34" i="5" s="1"/>
  <c r="D21" i="1"/>
  <c r="E34" i="5" s="1"/>
  <c r="E21" i="1"/>
  <c r="F34" i="5" s="1"/>
  <c r="F21" i="1"/>
  <c r="G34" i="5" s="1"/>
  <c r="G21" i="1"/>
  <c r="H21" i="1"/>
  <c r="I34" i="5" s="1"/>
  <c r="I21" i="1"/>
  <c r="J21" i="1"/>
  <c r="K21" i="1"/>
  <c r="L21" i="1"/>
  <c r="M21" i="1"/>
  <c r="N21" i="1"/>
  <c r="B31" i="1"/>
  <c r="B38" i="1" s="1"/>
  <c r="C31" i="1"/>
  <c r="E18" i="3" s="1"/>
  <c r="D31" i="1"/>
  <c r="F18" i="3" s="1"/>
  <c r="E31" i="1"/>
  <c r="E38" i="1" s="1"/>
  <c r="F31" i="1"/>
  <c r="F38" i="1" s="1"/>
  <c r="G31" i="1"/>
  <c r="I13" i="3" s="1"/>
  <c r="H31" i="1"/>
  <c r="H38" i="1" s="1"/>
  <c r="I31" i="1"/>
  <c r="K18" i="3" s="1"/>
  <c r="J31" i="1"/>
  <c r="K5" i="5" s="1"/>
  <c r="L25" i="3" s="1"/>
  <c r="K31" i="1"/>
  <c r="L31" i="1"/>
  <c r="M31" i="1"/>
  <c r="N31" i="1"/>
  <c r="O5" i="5" s="1"/>
  <c r="P25" i="3" s="1"/>
  <c r="N42" i="1"/>
  <c r="B48" i="1"/>
  <c r="C48" i="1"/>
  <c r="D48" i="1"/>
  <c r="E48" i="1"/>
  <c r="F48" i="1"/>
  <c r="G48" i="1"/>
  <c r="H48" i="1"/>
  <c r="I48" i="1"/>
  <c r="J48" i="1"/>
  <c r="K48" i="1"/>
  <c r="L48" i="1"/>
  <c r="M48" i="1"/>
  <c r="E30" i="5"/>
  <c r="M3" i="2"/>
  <c r="K47" i="5"/>
  <c r="C47" i="5"/>
  <c r="L3" i="2"/>
  <c r="D3" i="2"/>
  <c r="F28" i="3"/>
  <c r="J13" i="3"/>
  <c r="D5" i="5"/>
  <c r="E25" i="3" s="1"/>
  <c r="E5" i="3"/>
  <c r="J47" i="8"/>
  <c r="H53" i="8"/>
  <c r="I53" i="8"/>
  <c r="I47" i="8"/>
  <c r="J54" i="8"/>
  <c r="I54" i="8"/>
  <c r="J60" i="8"/>
  <c r="K19" i="2"/>
  <c r="K29" i="2" s="1"/>
  <c r="K33" i="2" s="1"/>
  <c r="D19" i="2"/>
  <c r="D29" i="2" s="1"/>
  <c r="D33" i="2" s="1"/>
  <c r="N36" i="8"/>
  <c r="L19" i="2"/>
  <c r="L29" i="2" s="1"/>
  <c r="L33" i="2" s="1"/>
  <c r="O36" i="8" l="1"/>
  <c r="J39" i="2"/>
  <c r="L32" i="3" s="1"/>
  <c r="C39" i="2"/>
  <c r="E32" i="3" s="1"/>
  <c r="G3" i="2"/>
  <c r="G19" i="2" s="1"/>
  <c r="E3" i="2"/>
  <c r="O38" i="3"/>
  <c r="H38" i="3"/>
  <c r="Q35" i="3"/>
  <c r="AB38" i="3"/>
  <c r="AA38" i="3"/>
  <c r="Z38" i="3"/>
  <c r="Y38" i="3"/>
  <c r="X38" i="3"/>
  <c r="T38" i="3"/>
  <c r="S38" i="3"/>
  <c r="R38" i="3"/>
  <c r="AG18" i="3"/>
  <c r="AF5" i="5"/>
  <c r="AH38" i="1"/>
  <c r="AH49" i="1" s="1"/>
  <c r="AI5" i="5"/>
  <c r="AJ25" i="3" s="1"/>
  <c r="AN34" i="8"/>
  <c r="AM30" i="5"/>
  <c r="AI34" i="8"/>
  <c r="AP37" i="5"/>
  <c r="AM38" i="3"/>
  <c r="AJ38" i="3"/>
  <c r="AE38" i="3"/>
  <c r="AI25" i="5"/>
  <c r="AQ25" i="5"/>
  <c r="AP25" i="5"/>
  <c r="AM25" i="5"/>
  <c r="AJ25" i="5"/>
  <c r="AH25" i="5"/>
  <c r="AE25" i="5"/>
  <c r="AQ24" i="8"/>
  <c r="AQ25" i="3"/>
  <c r="G36" i="8"/>
  <c r="E19" i="2"/>
  <c r="W34" i="5"/>
  <c r="X47" i="5"/>
  <c r="P47" i="5"/>
  <c r="AG38" i="1"/>
  <c r="AH5" i="5"/>
  <c r="AI25" i="3" s="1"/>
  <c r="AJ13" i="3"/>
  <c r="AJ47" i="8"/>
  <c r="AJ12" i="3"/>
  <c r="AH30" i="5"/>
  <c r="AI19" i="8"/>
  <c r="AG25" i="3"/>
  <c r="Y35" i="3"/>
  <c r="AO28" i="3"/>
  <c r="AN41" i="5"/>
  <c r="AJ19" i="8"/>
  <c r="AQ19" i="8"/>
  <c r="R35" i="3"/>
  <c r="AI18" i="3"/>
  <c r="U13" i="3"/>
  <c r="M53" i="8"/>
  <c r="M12" i="3"/>
  <c r="M13" i="3"/>
  <c r="M34" i="5"/>
  <c r="AA12" i="3"/>
  <c r="AA13" i="3"/>
  <c r="S12" i="3"/>
  <c r="S13" i="3"/>
  <c r="U34" i="5"/>
  <c r="Y38" i="1"/>
  <c r="AA18" i="3"/>
  <c r="Q38" i="1"/>
  <c r="V47" i="5"/>
  <c r="AC12" i="3"/>
  <c r="AC13" i="3"/>
  <c r="AD34" i="8"/>
  <c r="AC30" i="5"/>
  <c r="AD38" i="3"/>
  <c r="AD38" i="1"/>
  <c r="AD49" i="1" s="1"/>
  <c r="AF18" i="3"/>
  <c r="AE5" i="5"/>
  <c r="AF3" i="2"/>
  <c r="AC47" i="5"/>
  <c r="AP14" i="5"/>
  <c r="AP11" i="5" s="1"/>
  <c r="AQ20" i="8" s="1"/>
  <c r="AH14" i="5"/>
  <c r="AH11" i="5" s="1"/>
  <c r="AI20" i="8" s="1"/>
  <c r="W38" i="3"/>
  <c r="S18" i="3"/>
  <c r="O53" i="8"/>
  <c r="O12" i="3"/>
  <c r="O13" i="3"/>
  <c r="AJ41" i="5"/>
  <c r="AJ37" i="5" s="1"/>
  <c r="AK37" i="3" s="1"/>
  <c r="AK38" i="3"/>
  <c r="AR19" i="8"/>
  <c r="AB35" i="3"/>
  <c r="O18" i="5"/>
  <c r="P3" i="3"/>
  <c r="O41" i="5"/>
  <c r="P28" i="3"/>
  <c r="J38" i="1"/>
  <c r="N14" i="1"/>
  <c r="Q38" i="3" s="1"/>
  <c r="P8" i="3"/>
  <c r="N38" i="3"/>
  <c r="Z12" i="3"/>
  <c r="Z13" i="3"/>
  <c r="R12" i="3"/>
  <c r="R13" i="3"/>
  <c r="AB34" i="5"/>
  <c r="T34" i="5"/>
  <c r="X38" i="1"/>
  <c r="Z18" i="3"/>
  <c r="P38" i="1"/>
  <c r="R18" i="3"/>
  <c r="U47" i="5"/>
  <c r="V10" i="3"/>
  <c r="AL38" i="1"/>
  <c r="AL49" i="1" s="1"/>
  <c r="AN18" i="3"/>
  <c r="AM5" i="5"/>
  <c r="AL27" i="1"/>
  <c r="AN16" i="3" s="1"/>
  <c r="AN17" i="3"/>
  <c r="AM34" i="5"/>
  <c r="AO47" i="8"/>
  <c r="AO13" i="3"/>
  <c r="AM3" i="2"/>
  <c r="AO47" i="5"/>
  <c r="AJ43" i="5"/>
  <c r="AK33" i="3"/>
  <c r="AO38" i="3"/>
  <c r="AG38" i="3"/>
  <c r="AH34" i="5"/>
  <c r="AG25" i="5"/>
  <c r="AN25" i="5"/>
  <c r="AG34" i="8"/>
  <c r="AF30" i="5"/>
  <c r="AF47" i="5"/>
  <c r="O26" i="5"/>
  <c r="P18" i="3"/>
  <c r="P19" i="3"/>
  <c r="M38" i="3"/>
  <c r="Y47" i="8"/>
  <c r="Y13" i="3"/>
  <c r="Y12" i="3"/>
  <c r="Q13" i="3"/>
  <c r="Q12" i="3"/>
  <c r="AA34" i="5"/>
  <c r="S34" i="5"/>
  <c r="W38" i="1"/>
  <c r="Y5" i="3"/>
  <c r="Y18" i="3"/>
  <c r="O38" i="1"/>
  <c r="Q18" i="3"/>
  <c r="Q5" i="3"/>
  <c r="AD35" i="3"/>
  <c r="AN38" i="3"/>
  <c r="AF38" i="3"/>
  <c r="AE41" i="5"/>
  <c r="AE37" i="5" s="1"/>
  <c r="AN19" i="8"/>
  <c r="AF19" i="8"/>
  <c r="AF14" i="5"/>
  <c r="AF11" i="5" s="1"/>
  <c r="AL27" i="3"/>
  <c r="AD27" i="3"/>
  <c r="AR24" i="8"/>
  <c r="AR25" i="3"/>
  <c r="AO35" i="3"/>
  <c r="AE47" i="8"/>
  <c r="AE12" i="3"/>
  <c r="O47" i="8"/>
  <c r="M47" i="5"/>
  <c r="N10" i="3"/>
  <c r="U18" i="3"/>
  <c r="M19" i="2"/>
  <c r="M29" i="2" s="1"/>
  <c r="M33" i="2" s="1"/>
  <c r="N5" i="3"/>
  <c r="N18" i="3"/>
  <c r="N39" i="2"/>
  <c r="P32" i="3" s="1"/>
  <c r="C3" i="2"/>
  <c r="F36" i="8" s="1"/>
  <c r="D11" i="4"/>
  <c r="N34" i="3"/>
  <c r="AA35" i="3"/>
  <c r="V38" i="3"/>
  <c r="AB26" i="5"/>
  <c r="AC18" i="3"/>
  <c r="AG47" i="8"/>
  <c r="AG13" i="3"/>
  <c r="AG12" i="3"/>
  <c r="AE34" i="5"/>
  <c r="AC3" i="2"/>
  <c r="AE39" i="2"/>
  <c r="AG32" i="3" s="1"/>
  <c r="AQ26" i="8"/>
  <c r="AQ27" i="3"/>
  <c r="AP26" i="3"/>
  <c r="N53" i="8"/>
  <c r="N12" i="3"/>
  <c r="N13" i="3"/>
  <c r="N34" i="5"/>
  <c r="M10" i="3"/>
  <c r="P38" i="3"/>
  <c r="J5" i="5"/>
  <c r="K25" i="3" s="1"/>
  <c r="N5" i="5"/>
  <c r="O25" i="3" s="1"/>
  <c r="O18" i="3"/>
  <c r="K38" i="1"/>
  <c r="M18" i="3"/>
  <c r="M5" i="3"/>
  <c r="P12" i="3"/>
  <c r="P13" i="3"/>
  <c r="P35" i="3"/>
  <c r="P60" i="8"/>
  <c r="H60" i="8"/>
  <c r="M59" i="8"/>
  <c r="M26" i="3"/>
  <c r="B17" i="6"/>
  <c r="B19" i="6" s="1"/>
  <c r="W47" i="8"/>
  <c r="W13" i="3"/>
  <c r="W12" i="3"/>
  <c r="Y34" i="5"/>
  <c r="Q34" i="5"/>
  <c r="U38" i="1"/>
  <c r="W18" i="3"/>
  <c r="V3" i="2"/>
  <c r="V19" i="2" s="1"/>
  <c r="Z47" i="5"/>
  <c r="R47" i="5"/>
  <c r="Z35" i="3"/>
  <c r="AC38" i="3"/>
  <c r="U38" i="3"/>
  <c r="AK29" i="2"/>
  <c r="AK33" i="2" s="1"/>
  <c r="AM10" i="3"/>
  <c r="AL47" i="5"/>
  <c r="AM41" i="5"/>
  <c r="AM37" i="5" s="1"/>
  <c r="AC34" i="5"/>
  <c r="AS35" i="3"/>
  <c r="AR28" i="3"/>
  <c r="AJ28" i="3"/>
  <c r="AK35" i="3"/>
  <c r="AO25" i="3"/>
  <c r="AG35" i="3"/>
  <c r="AO12" i="3"/>
  <c r="T47" i="5"/>
  <c r="T35" i="3"/>
  <c r="AC38" i="1"/>
  <c r="AE18" i="3"/>
  <c r="AE5" i="3"/>
  <c r="AE19" i="2"/>
  <c r="AE29" i="2" s="1"/>
  <c r="AE33" i="2" s="1"/>
  <c r="AN38" i="1"/>
  <c r="AP18" i="3"/>
  <c r="AP34" i="8"/>
  <c r="AQ34" i="8"/>
  <c r="AQ14" i="8"/>
  <c r="AR9" i="3"/>
  <c r="AQ16" i="3"/>
  <c r="AQ15" i="3"/>
  <c r="AQ21" i="3"/>
  <c r="AQ22" i="3"/>
  <c r="AD47" i="5"/>
  <c r="AQ43" i="5"/>
  <c r="AI43" i="5"/>
  <c r="AN43" i="5"/>
  <c r="AL41" i="5"/>
  <c r="AL37" i="5"/>
  <c r="AD37" i="5"/>
  <c r="AO30" i="5"/>
  <c r="AF25" i="5"/>
  <c r="AL25" i="5"/>
  <c r="AD25" i="5"/>
  <c r="AO14" i="5"/>
  <c r="AO11" i="5" s="1"/>
  <c r="AP20" i="8" s="1"/>
  <c r="AN14" i="5"/>
  <c r="AN11" i="5" s="1"/>
  <c r="AM14" i="5"/>
  <c r="AM11" i="5" s="1"/>
  <c r="AE14" i="5"/>
  <c r="AE11" i="5" s="1"/>
  <c r="AR25" i="8"/>
  <c r="AR26" i="3"/>
  <c r="AJ26" i="3"/>
  <c r="AL38" i="3"/>
  <c r="AR33" i="3"/>
  <c r="AQ23" i="3"/>
  <c r="AI13" i="3"/>
  <c r="X47" i="8"/>
  <c r="X12" i="3"/>
  <c r="X13" i="3"/>
  <c r="Z34" i="5"/>
  <c r="R34" i="5"/>
  <c r="W3" i="2"/>
  <c r="Z36" i="8" s="1"/>
  <c r="O3" i="2"/>
  <c r="R36" i="8" s="1"/>
  <c r="AA47" i="5"/>
  <c r="S47" i="5"/>
  <c r="S35" i="3"/>
  <c r="AH12" i="3"/>
  <c r="AH47" i="8"/>
  <c r="AB38" i="1"/>
  <c r="AD5" i="3"/>
  <c r="AD18" i="3"/>
  <c r="AD3" i="2"/>
  <c r="AG36" i="8" s="1"/>
  <c r="D47" i="4"/>
  <c r="AM38" i="1"/>
  <c r="AO18" i="3"/>
  <c r="AO34" i="8"/>
  <c r="AP12" i="3"/>
  <c r="AP47" i="8"/>
  <c r="AP13" i="3"/>
  <c r="AN11" i="3"/>
  <c r="AN48" i="1"/>
  <c r="AP3" i="3"/>
  <c r="AP43" i="5"/>
  <c r="AQ33" i="3"/>
  <c r="AH43" i="5"/>
  <c r="AI33" i="3"/>
  <c r="AM43" i="5"/>
  <c r="AG37" i="5"/>
  <c r="AN30" i="5"/>
  <c r="AK25" i="5"/>
  <c r="AC25" i="5"/>
  <c r="AQ14" i="5"/>
  <c r="AQ11" i="5" s="1"/>
  <c r="AI14" i="5"/>
  <c r="AI11" i="5" s="1"/>
  <c r="AL14" i="5"/>
  <c r="AL11" i="5" s="1"/>
  <c r="AD14" i="5"/>
  <c r="AD11" i="5" s="1"/>
  <c r="AR26" i="8"/>
  <c r="AR27" i="3"/>
  <c r="AQ25" i="8"/>
  <c r="AQ26" i="3"/>
  <c r="AI26" i="3"/>
  <c r="AO5" i="5"/>
  <c r="AG5" i="5"/>
  <c r="AQ39" i="3"/>
  <c r="AN26" i="3"/>
  <c r="AH13" i="3"/>
  <c r="V47" i="8"/>
  <c r="V12" i="3"/>
  <c r="V13" i="3"/>
  <c r="W34" i="8"/>
  <c r="X34" i="5"/>
  <c r="P34" i="5"/>
  <c r="V5" i="3"/>
  <c r="V18" i="3"/>
  <c r="U3" i="2"/>
  <c r="U19" i="2" s="1"/>
  <c r="U29" i="2" s="1"/>
  <c r="U33" i="2" s="1"/>
  <c r="W39" i="2"/>
  <c r="Y32" i="3" s="1"/>
  <c r="O39" i="2"/>
  <c r="Q32" i="3" s="1"/>
  <c r="Y47" i="5"/>
  <c r="Q47" i="5"/>
  <c r="AF12" i="3"/>
  <c r="AF47" i="8"/>
  <c r="AF13" i="3"/>
  <c r="AH34" i="8"/>
  <c r="AB3" i="2"/>
  <c r="AK27" i="1"/>
  <c r="AM11" i="3" s="1"/>
  <c r="AM14" i="8"/>
  <c r="AM16" i="3"/>
  <c r="AM17" i="3"/>
  <c r="AM34" i="8"/>
  <c r="AN15" i="3"/>
  <c r="AN12" i="3"/>
  <c r="AN47" i="8"/>
  <c r="AN13" i="3"/>
  <c r="AF43" i="5"/>
  <c r="AQ41" i="5"/>
  <c r="AQ37" i="5" s="1"/>
  <c r="AI41" i="5"/>
  <c r="AI37" i="5" s="1"/>
  <c r="AJ37" i="3" s="1"/>
  <c r="AO34" i="5"/>
  <c r="AG34" i="5"/>
  <c r="AL30" i="5"/>
  <c r="AP27" i="3"/>
  <c r="AH27" i="3"/>
  <c r="AQ38" i="3"/>
  <c r="AI38" i="3"/>
  <c r="AG26" i="3"/>
  <c r="AQ17" i="3"/>
  <c r="AQ11" i="3"/>
  <c r="AI47" i="8"/>
  <c r="AL18" i="3"/>
  <c r="AM47" i="8"/>
  <c r="AM13" i="3"/>
  <c r="AE43" i="5"/>
  <c r="AH37" i="5"/>
  <c r="AK30" i="5"/>
  <c r="AG14" i="5"/>
  <c r="AG11" i="5" s="1"/>
  <c r="AO27" i="3"/>
  <c r="AG27" i="3"/>
  <c r="AL5" i="5"/>
  <c r="AD5" i="5"/>
  <c r="AP38" i="3"/>
  <c r="AH38" i="3"/>
  <c r="AJ33" i="3"/>
  <c r="AF26" i="3"/>
  <c r="AQ20" i="3"/>
  <c r="AO5" i="3"/>
  <c r="AB13" i="3"/>
  <c r="AB12" i="3"/>
  <c r="T13" i="3"/>
  <c r="T12" i="3"/>
  <c r="V34" i="5"/>
  <c r="AB18" i="3"/>
  <c r="T18" i="3"/>
  <c r="U39" i="2"/>
  <c r="W32" i="3" s="1"/>
  <c r="W47" i="5"/>
  <c r="AB18" i="5"/>
  <c r="AC3" i="3"/>
  <c r="AC19" i="3" s="1"/>
  <c r="AD12" i="3"/>
  <c r="AD47" i="8"/>
  <c r="AD13" i="3"/>
  <c r="AF34" i="8"/>
  <c r="AF38" i="1"/>
  <c r="AK5" i="3"/>
  <c r="AK18" i="3"/>
  <c r="AI27" i="1"/>
  <c r="AK16" i="3" s="1"/>
  <c r="AK14" i="8"/>
  <c r="AK34" i="8"/>
  <c r="AL12" i="3"/>
  <c r="AL47" i="8"/>
  <c r="AL13" i="3"/>
  <c r="AG47" i="5"/>
  <c r="AO37" i="5"/>
  <c r="AJ30" i="5"/>
  <c r="AK5" i="5"/>
  <c r="AC5" i="5"/>
  <c r="AI37" i="3"/>
  <c r="X18" i="3"/>
  <c r="AM15" i="3"/>
  <c r="AM5" i="3"/>
  <c r="AE34" i="8"/>
  <c r="AE38" i="1"/>
  <c r="AG5" i="3"/>
  <c r="AJ38" i="1"/>
  <c r="AJ49" i="1" s="1"/>
  <c r="AJ18" i="3"/>
  <c r="AJ34" i="8"/>
  <c r="AK47" i="8"/>
  <c r="AK15" i="3"/>
  <c r="AK13" i="3"/>
  <c r="AK43" i="5"/>
  <c r="AC43" i="5"/>
  <c r="AN37" i="5"/>
  <c r="AF37" i="5"/>
  <c r="AI30" i="5"/>
  <c r="AL26" i="3"/>
  <c r="AD26" i="3"/>
  <c r="AJ5" i="5"/>
  <c r="AK25" i="3" s="1"/>
  <c r="AD33" i="3"/>
  <c r="AQ14" i="3"/>
  <c r="AL5" i="3"/>
  <c r="R5" i="3"/>
  <c r="R19" i="3"/>
  <c r="AH5" i="3"/>
  <c r="X5" i="3"/>
  <c r="Z5" i="3"/>
  <c r="AN4" i="3"/>
  <c r="AN5" i="3"/>
  <c r="AN6" i="3"/>
  <c r="AF5" i="3"/>
  <c r="AF19" i="3"/>
  <c r="O5" i="3"/>
  <c r="W5" i="3"/>
  <c r="AQ4" i="3"/>
  <c r="AR19" i="3"/>
  <c r="AJ19" i="3"/>
  <c r="AB19" i="3"/>
  <c r="T19" i="3"/>
  <c r="AR6" i="3"/>
  <c r="AQ19" i="3"/>
  <c r="AI19" i="3"/>
  <c r="AA19" i="3"/>
  <c r="S19" i="3"/>
  <c r="AQ6" i="3"/>
  <c r="AR5" i="3"/>
  <c r="AJ5" i="3"/>
  <c r="AB5" i="3"/>
  <c r="T5" i="3"/>
  <c r="AQ5" i="3"/>
  <c r="AI5" i="3"/>
  <c r="AA5" i="3"/>
  <c r="S5" i="3"/>
  <c r="AK14" i="5"/>
  <c r="AK11" i="5" s="1"/>
  <c r="AC14" i="5"/>
  <c r="AC11" i="5" s="1"/>
  <c r="AJ14" i="5"/>
  <c r="AJ11" i="5" s="1"/>
  <c r="AK41" i="5"/>
  <c r="AK37" i="5" s="1"/>
  <c r="AC41" i="5"/>
  <c r="AC37" i="5" s="1"/>
  <c r="I38" i="1"/>
  <c r="I49" i="1" s="1"/>
  <c r="D18" i="3"/>
  <c r="C5" i="5"/>
  <c r="D58" i="8" s="1"/>
  <c r="D13" i="3"/>
  <c r="AB27" i="5"/>
  <c r="O27" i="5"/>
  <c r="L5" i="5"/>
  <c r="M25" i="3" s="1"/>
  <c r="AM49" i="1"/>
  <c r="E34" i="8"/>
  <c r="AJ27" i="1"/>
  <c r="AL21" i="3" s="1"/>
  <c r="J49" i="1"/>
  <c r="L34" i="8"/>
  <c r="AH27" i="1"/>
  <c r="AG49" i="1"/>
  <c r="K34" i="8"/>
  <c r="AN49" i="1"/>
  <c r="H41" i="5"/>
  <c r="V41" i="5"/>
  <c r="H43" i="5"/>
  <c r="T41" i="5"/>
  <c r="L41" i="5"/>
  <c r="L37" i="5" s="1"/>
  <c r="T29" i="2"/>
  <c r="T33" i="2" s="1"/>
  <c r="R41" i="5"/>
  <c r="R37" i="5" s="1"/>
  <c r="AC39" i="2"/>
  <c r="AE32" i="3" s="1"/>
  <c r="T39" i="2"/>
  <c r="V32" i="3" s="1"/>
  <c r="AB39" i="2"/>
  <c r="AD32" i="3" s="1"/>
  <c r="AN3" i="2"/>
  <c r="AJ3" i="2"/>
  <c r="AI3" i="2"/>
  <c r="AH3" i="2"/>
  <c r="AG3" i="2"/>
  <c r="AL3" i="2"/>
  <c r="AN27" i="1"/>
  <c r="AG27" i="1"/>
  <c r="AM27" i="1"/>
  <c r="N59" i="8"/>
  <c r="D47" i="8"/>
  <c r="N38" i="1"/>
  <c r="E27" i="1"/>
  <c r="G14" i="3" s="1"/>
  <c r="D41" i="5"/>
  <c r="D12" i="3"/>
  <c r="D53" i="8"/>
  <c r="L27" i="1"/>
  <c r="C38" i="1"/>
  <c r="C49" i="1" s="1"/>
  <c r="G27" i="1"/>
  <c r="H4" i="5" s="1"/>
  <c r="I9" i="8" s="1"/>
  <c r="I5" i="3"/>
  <c r="AA8" i="1"/>
  <c r="AA27" i="1" s="1"/>
  <c r="AC21" i="3" s="1"/>
  <c r="AE49" i="1"/>
  <c r="I38" i="3"/>
  <c r="E5" i="5"/>
  <c r="F58" i="8" s="1"/>
  <c r="G12" i="3"/>
  <c r="N48" i="1"/>
  <c r="N49" i="1" s="1"/>
  <c r="F49" i="1"/>
  <c r="C27" i="1"/>
  <c r="E15" i="3" s="1"/>
  <c r="K38" i="3"/>
  <c r="L60" i="8"/>
  <c r="O59" i="8"/>
  <c r="D25" i="5"/>
  <c r="E19" i="8" s="1"/>
  <c r="K25" i="5"/>
  <c r="L19" i="8" s="1"/>
  <c r="E58" i="8"/>
  <c r="G60" i="8"/>
  <c r="W41" i="5"/>
  <c r="G41" i="5"/>
  <c r="G37" i="5" s="1"/>
  <c r="G35" i="3"/>
  <c r="H35" i="3"/>
  <c r="I25" i="5"/>
  <c r="AB34" i="8"/>
  <c r="AK49" i="1"/>
  <c r="E35" i="3"/>
  <c r="I60" i="8"/>
  <c r="F59" i="8"/>
  <c r="D5" i="3"/>
  <c r="L5" i="3"/>
  <c r="O60" i="8"/>
  <c r="X41" i="5"/>
  <c r="X37" i="5" s="1"/>
  <c r="P41" i="5"/>
  <c r="P37" i="5" s="1"/>
  <c r="O25" i="5"/>
  <c r="G25" i="5"/>
  <c r="E55" i="8"/>
  <c r="E6" i="3"/>
  <c r="H5" i="5"/>
  <c r="M27" i="1"/>
  <c r="O15" i="3" s="1"/>
  <c r="F12" i="3"/>
  <c r="J18" i="3"/>
  <c r="E53" i="8"/>
  <c r="O54" i="8"/>
  <c r="F30" i="5"/>
  <c r="G30" i="5"/>
  <c r="D38" i="1"/>
  <c r="D49" i="1" s="1"/>
  <c r="I27" i="3"/>
  <c r="I19" i="3"/>
  <c r="N60" i="8"/>
  <c r="H34" i="8"/>
  <c r="F54" i="8"/>
  <c r="H54" i="8"/>
  <c r="I5" i="5"/>
  <c r="E12" i="3"/>
  <c r="G38" i="1"/>
  <c r="G49" i="1" s="1"/>
  <c r="G51" i="1" s="1"/>
  <c r="K30" i="5"/>
  <c r="J53" i="8"/>
  <c r="H27" i="3"/>
  <c r="N41" i="5"/>
  <c r="N37" i="5" s="1"/>
  <c r="V49" i="1"/>
  <c r="AA48" i="1"/>
  <c r="AC49" i="1"/>
  <c r="K5" i="3"/>
  <c r="D25" i="3"/>
  <c r="F47" i="8"/>
  <c r="I34" i="8"/>
  <c r="H47" i="8"/>
  <c r="M34" i="8"/>
  <c r="M54" i="8"/>
  <c r="N34" i="8"/>
  <c r="N30" i="5"/>
  <c r="P58" i="8"/>
  <c r="U49" i="1"/>
  <c r="AB49" i="1"/>
  <c r="E59" i="8"/>
  <c r="I18" i="3"/>
  <c r="G13" i="3"/>
  <c r="L58" i="8"/>
  <c r="G59" i="8"/>
  <c r="N54" i="8"/>
  <c r="J5" i="3"/>
  <c r="M47" i="8"/>
  <c r="G47" i="8"/>
  <c r="H34" i="5"/>
  <c r="K60" i="8"/>
  <c r="P59" i="8"/>
  <c r="H59" i="8"/>
  <c r="G54" i="8"/>
  <c r="M38" i="1"/>
  <c r="M49" i="1" s="1"/>
  <c r="N47" i="8"/>
  <c r="H18" i="3"/>
  <c r="H49" i="1"/>
  <c r="N8" i="1"/>
  <c r="N27" i="1" s="1"/>
  <c r="P11" i="3" s="1"/>
  <c r="B49" i="1"/>
  <c r="E49" i="1"/>
  <c r="L38" i="3"/>
  <c r="N3" i="2"/>
  <c r="H37" i="5"/>
  <c r="I39" i="3" s="1"/>
  <c r="D37" i="5"/>
  <c r="E30" i="3" s="1"/>
  <c r="F21" i="4"/>
  <c r="K43" i="5"/>
  <c r="K41" i="5"/>
  <c r="K37" i="5" s="1"/>
  <c r="J41" i="5"/>
  <c r="J37" i="5" s="1"/>
  <c r="I41" i="5"/>
  <c r="M25" i="5"/>
  <c r="L25" i="5"/>
  <c r="M19" i="8" s="1"/>
  <c r="E25" i="5"/>
  <c r="F19" i="8" s="1"/>
  <c r="C25" i="5"/>
  <c r="D19" i="8" s="1"/>
  <c r="B37" i="6"/>
  <c r="B39" i="6" s="1"/>
  <c r="Z30" i="5"/>
  <c r="AA34" i="8"/>
  <c r="Y30" i="5"/>
  <c r="Z34" i="8"/>
  <c r="X30" i="5"/>
  <c r="Y34" i="8"/>
  <c r="S30" i="5"/>
  <c r="T34" i="8"/>
  <c r="AA41" i="5"/>
  <c r="AA37" i="5" s="1"/>
  <c r="Z41" i="5"/>
  <c r="S41" i="5"/>
  <c r="S37" i="5" s="1"/>
  <c r="AA23" i="2"/>
  <c r="AE27" i="1"/>
  <c r="AG11" i="3" s="1"/>
  <c r="AF27" i="1"/>
  <c r="AD27" i="1"/>
  <c r="AF17" i="3" s="1"/>
  <c r="AC27" i="1"/>
  <c r="AB27" i="1"/>
  <c r="AD17" i="3" s="1"/>
  <c r="L35" i="2"/>
  <c r="L37" i="2" s="1"/>
  <c r="K35" i="2"/>
  <c r="K37" i="2" s="1"/>
  <c r="I10" i="3"/>
  <c r="G29" i="2"/>
  <c r="G33" i="2" s="1"/>
  <c r="D35" i="2"/>
  <c r="D37" i="2" s="1"/>
  <c r="I21" i="8"/>
  <c r="I26" i="8"/>
  <c r="I6" i="3"/>
  <c r="M5" i="5"/>
  <c r="N25" i="3" s="1"/>
  <c r="L38" i="1"/>
  <c r="L49" i="1" s="1"/>
  <c r="L51" i="1" s="1"/>
  <c r="H5" i="3"/>
  <c r="H19" i="3"/>
  <c r="X34" i="8"/>
  <c r="T38" i="1"/>
  <c r="T49" i="1" s="1"/>
  <c r="U5" i="5"/>
  <c r="V25" i="3" s="1"/>
  <c r="I43" i="5"/>
  <c r="H13" i="3"/>
  <c r="O47" i="5"/>
  <c r="D36" i="4"/>
  <c r="D23" i="4"/>
  <c r="F9" i="4"/>
  <c r="Z27" i="1"/>
  <c r="AB6" i="3" s="1"/>
  <c r="AB47" i="8"/>
  <c r="R27" i="1"/>
  <c r="T47" i="8"/>
  <c r="S38" i="1"/>
  <c r="S49" i="1" s="1"/>
  <c r="T5" i="5"/>
  <c r="U25" i="3" s="1"/>
  <c r="F5" i="5"/>
  <c r="G25" i="3" s="1"/>
  <c r="E20" i="3"/>
  <c r="E4" i="3"/>
  <c r="E14" i="3"/>
  <c r="E22" i="3"/>
  <c r="L54" i="8"/>
  <c r="L13" i="3"/>
  <c r="L53" i="8"/>
  <c r="L12" i="3"/>
  <c r="F13" i="3"/>
  <c r="L59" i="8"/>
  <c r="K26" i="3"/>
  <c r="Y27" i="1"/>
  <c r="AA15" i="3" s="1"/>
  <c r="AA47" i="8"/>
  <c r="Q27" i="1"/>
  <c r="S21" i="3" s="1"/>
  <c r="S47" i="8"/>
  <c r="Z38" i="1"/>
  <c r="Z49" i="1" s="1"/>
  <c r="AA5" i="5"/>
  <c r="AB25" i="3" s="1"/>
  <c r="R38" i="1"/>
  <c r="R49" i="1" s="1"/>
  <c r="S5" i="5"/>
  <c r="T25" i="3" s="1"/>
  <c r="V30" i="5"/>
  <c r="D27" i="1"/>
  <c r="D30" i="5"/>
  <c r="F34" i="8"/>
  <c r="K13" i="3"/>
  <c r="K47" i="8"/>
  <c r="K53" i="8"/>
  <c r="E54" i="8"/>
  <c r="E47" i="8"/>
  <c r="D33" i="3"/>
  <c r="C43" i="5"/>
  <c r="G38" i="3"/>
  <c r="F41" i="5"/>
  <c r="F37" i="5" s="1"/>
  <c r="O14" i="5"/>
  <c r="O11" i="5" s="1"/>
  <c r="C14" i="5"/>
  <c r="C11" i="5" s="1"/>
  <c r="D35" i="8" s="1"/>
  <c r="H14" i="5"/>
  <c r="H11" i="5" s="1"/>
  <c r="I29" i="3" s="1"/>
  <c r="J26" i="3"/>
  <c r="J59" i="8"/>
  <c r="F10" i="3"/>
  <c r="G18" i="3"/>
  <c r="I17" i="3"/>
  <c r="I21" i="3"/>
  <c r="L34" i="5"/>
  <c r="K27" i="1"/>
  <c r="E16" i="3"/>
  <c r="E14" i="8"/>
  <c r="E17" i="3"/>
  <c r="J38" i="3"/>
  <c r="I30" i="5"/>
  <c r="J34" i="8"/>
  <c r="P47" i="8"/>
  <c r="P54" i="8"/>
  <c r="P53" i="8"/>
  <c r="L47" i="5"/>
  <c r="K39" i="2"/>
  <c r="M32" i="3" s="1"/>
  <c r="F39" i="2"/>
  <c r="H32" i="3" s="1"/>
  <c r="G47" i="5"/>
  <c r="M41" i="5"/>
  <c r="M37" i="5" s="1"/>
  <c r="F38" i="3"/>
  <c r="E41" i="5"/>
  <c r="E37" i="5" s="1"/>
  <c r="F30" i="3" s="1"/>
  <c r="I59" i="8"/>
  <c r="S27" i="1"/>
  <c r="U47" i="8"/>
  <c r="K54" i="8"/>
  <c r="J27" i="1"/>
  <c r="L15" i="3" s="1"/>
  <c r="K34" i="5"/>
  <c r="B27" i="1"/>
  <c r="B51" i="1" s="1"/>
  <c r="C34" i="5"/>
  <c r="I14" i="8"/>
  <c r="O30" i="5"/>
  <c r="P34" i="8"/>
  <c r="E39" i="2"/>
  <c r="G32" i="3" s="1"/>
  <c r="F47" i="5"/>
  <c r="H39" i="2"/>
  <c r="J32" i="3" s="1"/>
  <c r="D43" i="5"/>
  <c r="C41" i="5"/>
  <c r="C37" i="5" s="1"/>
  <c r="E38" i="3"/>
  <c r="H25" i="5"/>
  <c r="V34" i="8"/>
  <c r="I4" i="3"/>
  <c r="I23" i="3"/>
  <c r="I14" i="3"/>
  <c r="I15" i="3"/>
  <c r="I22" i="3"/>
  <c r="I20" i="3"/>
  <c r="I16" i="3"/>
  <c r="E13" i="3"/>
  <c r="G5" i="5"/>
  <c r="K12" i="3"/>
  <c r="I55" i="8"/>
  <c r="O34" i="5"/>
  <c r="I27" i="1"/>
  <c r="J34" i="5"/>
  <c r="E47" i="5"/>
  <c r="E43" i="5" s="1"/>
  <c r="F35" i="3"/>
  <c r="Q34" i="8"/>
  <c r="U34" i="8"/>
  <c r="AB41" i="5"/>
  <c r="AB37" i="5" s="1"/>
  <c r="F5" i="3"/>
  <c r="H27" i="1"/>
  <c r="X27" i="1"/>
  <c r="P27" i="1"/>
  <c r="R11" i="3" s="1"/>
  <c r="Y49" i="1"/>
  <c r="Q49" i="1"/>
  <c r="AA3" i="2"/>
  <c r="S3" i="2"/>
  <c r="V36" i="8" s="1"/>
  <c r="S34" i="8"/>
  <c r="Y41" i="5"/>
  <c r="Y37" i="5" s="1"/>
  <c r="Q41" i="5"/>
  <c r="Q37" i="5" s="1"/>
  <c r="Z5" i="5"/>
  <c r="AA25" i="3" s="1"/>
  <c r="R5" i="5"/>
  <c r="S25" i="3" s="1"/>
  <c r="F34" i="4"/>
  <c r="I35" i="3"/>
  <c r="W27" i="1"/>
  <c r="Y15" i="3" s="1"/>
  <c r="O27" i="1"/>
  <c r="X49" i="1"/>
  <c r="P49" i="1"/>
  <c r="Z3" i="2"/>
  <c r="R3" i="2"/>
  <c r="R34" i="8"/>
  <c r="Y5" i="5"/>
  <c r="Z25" i="3" s="1"/>
  <c r="Q5" i="5"/>
  <c r="R25" i="3" s="1"/>
  <c r="AF49" i="1"/>
  <c r="L18" i="3"/>
  <c r="K49" i="1"/>
  <c r="F27" i="1"/>
  <c r="H4" i="3" s="1"/>
  <c r="I39" i="2"/>
  <c r="K32" i="3" s="1"/>
  <c r="I3" i="2"/>
  <c r="I19" i="2" s="1"/>
  <c r="V27" i="1"/>
  <c r="W49" i="1"/>
  <c r="O49" i="1"/>
  <c r="Y3" i="2"/>
  <c r="Q3" i="2"/>
  <c r="AA39" i="2"/>
  <c r="AC32" i="3" s="1"/>
  <c r="AA30" i="5"/>
  <c r="X5" i="5"/>
  <c r="Y25" i="3" s="1"/>
  <c r="P5" i="5"/>
  <c r="Q25" i="3" s="1"/>
  <c r="U27" i="1"/>
  <c r="W6" i="3" s="1"/>
  <c r="X19" i="2"/>
  <c r="X29" i="2" s="1"/>
  <c r="X33" i="2" s="1"/>
  <c r="P19" i="2"/>
  <c r="P29" i="2" s="1"/>
  <c r="P33" i="2" s="1"/>
  <c r="Z39" i="2"/>
  <c r="AB32" i="3" s="1"/>
  <c r="R39" i="2"/>
  <c r="T32" i="3" s="1"/>
  <c r="R47" i="8"/>
  <c r="W5" i="5"/>
  <c r="X25" i="3" s="1"/>
  <c r="G39" i="2"/>
  <c r="I32" i="3" s="1"/>
  <c r="T27" i="1"/>
  <c r="V17" i="3" s="1"/>
  <c r="W19" i="2"/>
  <c r="W29" i="2" s="1"/>
  <c r="W33" i="2" s="1"/>
  <c r="Y39" i="2"/>
  <c r="AA32" i="3" s="1"/>
  <c r="Q39" i="2"/>
  <c r="S32" i="3" s="1"/>
  <c r="Q47" i="8"/>
  <c r="Z47" i="8"/>
  <c r="U41" i="5"/>
  <c r="U37" i="5" s="1"/>
  <c r="V5" i="5"/>
  <c r="W25" i="3" s="1"/>
  <c r="F45" i="4"/>
  <c r="P19" i="8"/>
  <c r="F39" i="3"/>
  <c r="F25" i="3"/>
  <c r="E60" i="8"/>
  <c r="K14" i="5"/>
  <c r="K11" i="5" s="1"/>
  <c r="I28" i="3"/>
  <c r="F25" i="5"/>
  <c r="K28" i="3"/>
  <c r="M58" i="8"/>
  <c r="K59" i="8"/>
  <c r="G14" i="5"/>
  <c r="G11" i="5" s="1"/>
  <c r="E14" i="5"/>
  <c r="E11" i="5" s="1"/>
  <c r="M60" i="8"/>
  <c r="G5" i="3"/>
  <c r="O58" i="8"/>
  <c r="D26" i="3"/>
  <c r="F60" i="8"/>
  <c r="L35" i="3"/>
  <c r="D27" i="3"/>
  <c r="J35" i="3"/>
  <c r="K35" i="3"/>
  <c r="J28" i="3"/>
  <c r="L27" i="3"/>
  <c r="I26" i="3"/>
  <c r="AA38" i="1"/>
  <c r="AB5" i="5"/>
  <c r="AC25" i="3" s="1"/>
  <c r="AB30" i="5"/>
  <c r="AC34" i="8"/>
  <c r="AC47" i="8"/>
  <c r="AA43" i="5"/>
  <c r="Z43" i="5"/>
  <c r="Y43" i="5"/>
  <c r="X43" i="5"/>
  <c r="W43" i="5"/>
  <c r="V43" i="5"/>
  <c r="U43" i="5"/>
  <c r="T43" i="5"/>
  <c r="S43" i="5"/>
  <c r="R43" i="5"/>
  <c r="Q43" i="5"/>
  <c r="P43" i="5"/>
  <c r="Z37" i="5"/>
  <c r="W37" i="5"/>
  <c r="V37" i="5"/>
  <c r="T37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AB14" i="5"/>
  <c r="AB11" i="5" s="1"/>
  <c r="AC29" i="3" s="1"/>
  <c r="AA14" i="5"/>
  <c r="AA11" i="5" s="1"/>
  <c r="AB29" i="3" s="1"/>
  <c r="Z14" i="5"/>
  <c r="Z11" i="5" s="1"/>
  <c r="AA29" i="3" s="1"/>
  <c r="Y14" i="5"/>
  <c r="Y11" i="5" s="1"/>
  <c r="Z29" i="3" s="1"/>
  <c r="X14" i="5"/>
  <c r="X11" i="5" s="1"/>
  <c r="Y29" i="3" s="1"/>
  <c r="W14" i="5"/>
  <c r="W11" i="5" s="1"/>
  <c r="X29" i="3" s="1"/>
  <c r="V14" i="5"/>
  <c r="V11" i="5" s="1"/>
  <c r="W29" i="3" s="1"/>
  <c r="U14" i="5"/>
  <c r="U11" i="5" s="1"/>
  <c r="V29" i="3" s="1"/>
  <c r="T14" i="5"/>
  <c r="T11" i="5" s="1"/>
  <c r="U29" i="3" s="1"/>
  <c r="S14" i="5"/>
  <c r="S11" i="5" s="1"/>
  <c r="T29" i="3" s="1"/>
  <c r="R14" i="5"/>
  <c r="R11" i="5" s="1"/>
  <c r="S29" i="3" s="1"/>
  <c r="Q14" i="5"/>
  <c r="Q11" i="5" s="1"/>
  <c r="R29" i="3" s="1"/>
  <c r="P14" i="5"/>
  <c r="P11" i="5" s="1"/>
  <c r="Q29" i="3" s="1"/>
  <c r="C30" i="5"/>
  <c r="D38" i="3"/>
  <c r="N47" i="5"/>
  <c r="M39" i="2"/>
  <c r="O32" i="3" s="1"/>
  <c r="O37" i="5"/>
  <c r="J3" i="2"/>
  <c r="H3" i="2"/>
  <c r="F3" i="2"/>
  <c r="B3" i="2"/>
  <c r="J43" i="5"/>
  <c r="I37" i="5"/>
  <c r="N25" i="5"/>
  <c r="J25" i="5"/>
  <c r="I14" i="5"/>
  <c r="I11" i="5" s="1"/>
  <c r="N14" i="5"/>
  <c r="N11" i="5" s="1"/>
  <c r="O29" i="3" s="1"/>
  <c r="F14" i="5"/>
  <c r="F11" i="5" s="1"/>
  <c r="M14" i="5"/>
  <c r="M11" i="5" s="1"/>
  <c r="N29" i="3" s="1"/>
  <c r="L14" i="5"/>
  <c r="L11" i="5" s="1"/>
  <c r="M29" i="3" s="1"/>
  <c r="J14" i="5"/>
  <c r="J11" i="5" s="1"/>
  <c r="D14" i="5"/>
  <c r="D11" i="5" s="1"/>
  <c r="C37" i="6"/>
  <c r="C39" i="6" s="1"/>
  <c r="X17" i="3" l="1"/>
  <c r="X21" i="3"/>
  <c r="Q17" i="3"/>
  <c r="Q11" i="3"/>
  <c r="Q15" i="3"/>
  <c r="Z21" i="3"/>
  <c r="Z17" i="3"/>
  <c r="U21" i="3"/>
  <c r="U15" i="3"/>
  <c r="M16" i="3"/>
  <c r="M11" i="3"/>
  <c r="T6" i="3"/>
  <c r="T4" i="3"/>
  <c r="AH21" i="3"/>
  <c r="AH14" i="8"/>
  <c r="AH15" i="3"/>
  <c r="AH6" i="3"/>
  <c r="H37" i="3"/>
  <c r="C51" i="1"/>
  <c r="N11" i="3"/>
  <c r="N17" i="3"/>
  <c r="AO14" i="8"/>
  <c r="AO21" i="3"/>
  <c r="AI14" i="8"/>
  <c r="AI6" i="3"/>
  <c r="AP16" i="3"/>
  <c r="AP21" i="3"/>
  <c r="AN51" i="1"/>
  <c r="AJ11" i="3"/>
  <c r="AJ15" i="3"/>
  <c r="AJ17" i="3"/>
  <c r="AQ30" i="3"/>
  <c r="AQ37" i="3"/>
  <c r="AN39" i="3"/>
  <c r="AN30" i="3"/>
  <c r="AN37" i="3"/>
  <c r="U35" i="2"/>
  <c r="U37" i="2" s="1"/>
  <c r="W9" i="3"/>
  <c r="V29" i="2"/>
  <c r="V33" i="2" s="1"/>
  <c r="X10" i="3"/>
  <c r="AF30" i="3"/>
  <c r="AF39" i="3"/>
  <c r="AF37" i="3"/>
  <c r="AC30" i="3"/>
  <c r="AC39" i="3"/>
  <c r="AA30" i="3"/>
  <c r="AA39" i="3"/>
  <c r="W11" i="3"/>
  <c r="AA4" i="5"/>
  <c r="AB14" i="3"/>
  <c r="AB20" i="3"/>
  <c r="AB22" i="3"/>
  <c r="AB23" i="3"/>
  <c r="AD4" i="5"/>
  <c r="AE14" i="3"/>
  <c r="AE6" i="3"/>
  <c r="AE23" i="3"/>
  <c r="AE20" i="3"/>
  <c r="AE4" i="3"/>
  <c r="AE22" i="3"/>
  <c r="AE21" i="3"/>
  <c r="Q36" i="8"/>
  <c r="AJ36" i="8"/>
  <c r="AH19" i="2"/>
  <c r="T35" i="2"/>
  <c r="T37" i="2" s="1"/>
  <c r="V9" i="3"/>
  <c r="AL30" i="3"/>
  <c r="AL39" i="3"/>
  <c r="AK4" i="3"/>
  <c r="AF4" i="3"/>
  <c r="AH4" i="3"/>
  <c r="AB4" i="3"/>
  <c r="AI11" i="3"/>
  <c r="AJ14" i="8"/>
  <c r="AL25" i="3"/>
  <c r="AH37" i="3"/>
  <c r="AG43" i="5"/>
  <c r="AK17" i="3"/>
  <c r="AF11" i="3"/>
  <c r="AC6" i="3"/>
  <c r="AC5" i="3"/>
  <c r="AC4" i="3"/>
  <c r="AB21" i="3"/>
  <c r="AC23" i="3"/>
  <c r="AE17" i="3"/>
  <c r="R10" i="3"/>
  <c r="V21" i="3"/>
  <c r="AP25" i="3"/>
  <c r="AD12" i="5"/>
  <c r="AE10" i="8" s="1"/>
  <c r="AE7" i="8"/>
  <c r="AE8" i="8"/>
  <c r="AE35" i="8"/>
  <c r="AE6" i="8"/>
  <c r="AE29" i="3"/>
  <c r="AH39" i="3"/>
  <c r="AH30" i="3"/>
  <c r="AO16" i="3"/>
  <c r="X15" i="3"/>
  <c r="AD43" i="5"/>
  <c r="AE37" i="3"/>
  <c r="AH16" i="3"/>
  <c r="W21" i="3"/>
  <c r="W15" i="3"/>
  <c r="O16" i="3"/>
  <c r="AP19" i="8"/>
  <c r="AG37" i="3"/>
  <c r="AP11" i="3"/>
  <c r="AN14" i="8"/>
  <c r="V11" i="3"/>
  <c r="AD37" i="3"/>
  <c r="W10" i="3"/>
  <c r="V16" i="3"/>
  <c r="N16" i="3"/>
  <c r="Q37" i="3"/>
  <c r="P6" i="8"/>
  <c r="P29" i="3"/>
  <c r="AI36" i="8"/>
  <c r="AG19" i="2"/>
  <c r="AD30" i="3"/>
  <c r="AD39" i="3"/>
  <c r="AH25" i="3"/>
  <c r="AD21" i="3"/>
  <c r="AP37" i="3"/>
  <c r="AO43" i="5"/>
  <c r="R14" i="3"/>
  <c r="R22" i="3"/>
  <c r="R4" i="3"/>
  <c r="R23" i="3"/>
  <c r="R20" i="3"/>
  <c r="T4" i="5"/>
  <c r="U21" i="8" s="1"/>
  <c r="U4" i="3"/>
  <c r="U20" i="3"/>
  <c r="U14" i="3"/>
  <c r="U22" i="3"/>
  <c r="U6" i="3"/>
  <c r="U23" i="3"/>
  <c r="L43" i="5"/>
  <c r="M37" i="3"/>
  <c r="X36" i="8"/>
  <c r="Y36" i="8"/>
  <c r="AE4" i="5"/>
  <c r="AF14" i="3"/>
  <c r="AF22" i="3"/>
  <c r="AF23" i="3"/>
  <c r="AF20" i="3"/>
  <c r="O14" i="8"/>
  <c r="O14" i="3"/>
  <c r="O23" i="3"/>
  <c r="O6" i="3"/>
  <c r="O20" i="3"/>
  <c r="O22" i="3"/>
  <c r="AK36" i="8"/>
  <c r="AI19" i="2"/>
  <c r="M30" i="3"/>
  <c r="M39" i="3"/>
  <c r="AJ12" i="5"/>
  <c r="AK35" i="8"/>
  <c r="AK6" i="8"/>
  <c r="AK8" i="8"/>
  <c r="AK29" i="3"/>
  <c r="AJ21" i="3"/>
  <c r="AB15" i="3"/>
  <c r="AL17" i="3"/>
  <c r="AL11" i="3"/>
  <c r="AE14" i="8"/>
  <c r="R37" i="3"/>
  <c r="AO17" i="3"/>
  <c r="T11" i="3"/>
  <c r="S17" i="3"/>
  <c r="AM12" i="5"/>
  <c r="AN8" i="8"/>
  <c r="AN35" i="8"/>
  <c r="AN6" i="8"/>
  <c r="AN29" i="3"/>
  <c r="AO11" i="3"/>
  <c r="AL43" i="5"/>
  <c r="AM37" i="3"/>
  <c r="O21" i="3"/>
  <c r="O17" i="3"/>
  <c r="AF14" i="8"/>
  <c r="T16" i="3"/>
  <c r="U17" i="3"/>
  <c r="R15" i="3"/>
  <c r="M17" i="3"/>
  <c r="AD11" i="3"/>
  <c r="W37" i="3"/>
  <c r="AI17" i="3"/>
  <c r="Y11" i="3"/>
  <c r="N9" i="3"/>
  <c r="AC4" i="5"/>
  <c r="AD4" i="3"/>
  <c r="AD6" i="3"/>
  <c r="AD14" i="3"/>
  <c r="AD23" i="3"/>
  <c r="AD20" i="3"/>
  <c r="AD22" i="3"/>
  <c r="AD25" i="3"/>
  <c r="AD24" i="8"/>
  <c r="AB19" i="2"/>
  <c r="AD36" i="8"/>
  <c r="R30" i="3"/>
  <c r="R39" i="3"/>
  <c r="Y4" i="5"/>
  <c r="Z7" i="8" s="1"/>
  <c r="Z14" i="3"/>
  <c r="Z22" i="3"/>
  <c r="Z23" i="3"/>
  <c r="Z20" i="3"/>
  <c r="AH14" i="3"/>
  <c r="AG4" i="5"/>
  <c r="AH22" i="3"/>
  <c r="AH23" i="3"/>
  <c r="AH20" i="3"/>
  <c r="P14" i="3"/>
  <c r="P22" i="3"/>
  <c r="P23" i="3"/>
  <c r="Q39" i="3"/>
  <c r="Q30" i="3"/>
  <c r="AL36" i="8"/>
  <c r="AJ19" i="2"/>
  <c r="AJ14" i="3"/>
  <c r="AI4" i="5"/>
  <c r="AJ20" i="3"/>
  <c r="AJ22" i="3"/>
  <c r="AJ23" i="3"/>
  <c r="AC12" i="5"/>
  <c r="AD7" i="8"/>
  <c r="AD8" i="8"/>
  <c r="AD35" i="8"/>
  <c r="AD6" i="8"/>
  <c r="AD29" i="3"/>
  <c r="W17" i="3"/>
  <c r="AI30" i="3"/>
  <c r="AI39" i="3"/>
  <c r="AL14" i="8"/>
  <c r="Z11" i="3"/>
  <c r="AL12" i="5"/>
  <c r="AM8" i="8"/>
  <c r="AM35" i="8"/>
  <c r="AM6" i="8"/>
  <c r="AM29" i="3"/>
  <c r="S16" i="3"/>
  <c r="AN12" i="5"/>
  <c r="AO6" i="8"/>
  <c r="AO8" i="8"/>
  <c r="AO35" i="8"/>
  <c r="AO29" i="3"/>
  <c r="AE30" i="3"/>
  <c r="AE39" i="3"/>
  <c r="AE35" i="2"/>
  <c r="AE37" i="2" s="1"/>
  <c r="AG9" i="3"/>
  <c r="U11" i="3"/>
  <c r="S11" i="3"/>
  <c r="V15" i="3"/>
  <c r="AF16" i="3"/>
  <c r="AF12" i="5"/>
  <c r="AG6" i="8"/>
  <c r="AG8" i="8"/>
  <c r="AG29" i="3"/>
  <c r="AG35" i="8"/>
  <c r="Q21" i="3"/>
  <c r="T17" i="3"/>
  <c r="P17" i="3"/>
  <c r="AO36" i="8"/>
  <c r="AM19" i="2"/>
  <c r="AM4" i="5"/>
  <c r="AN22" i="3"/>
  <c r="AN23" i="3"/>
  <c r="AN14" i="3"/>
  <c r="AN20" i="3"/>
  <c r="V37" i="3"/>
  <c r="U16" i="3"/>
  <c r="AD14" i="8"/>
  <c r="AI16" i="3"/>
  <c r="Y10" i="3"/>
  <c r="AG10" i="3"/>
  <c r="AE12" i="5"/>
  <c r="AF10" i="8" s="1"/>
  <c r="AF7" i="8"/>
  <c r="AF8" i="8"/>
  <c r="AF35" i="8"/>
  <c r="AF6" i="8"/>
  <c r="AF29" i="3"/>
  <c r="AK19" i="8"/>
  <c r="O19" i="2"/>
  <c r="P35" i="2"/>
  <c r="P37" i="2" s="1"/>
  <c r="R9" i="3"/>
  <c r="Z30" i="3"/>
  <c r="Z39" i="3"/>
  <c r="M14" i="8"/>
  <c r="M6" i="3"/>
  <c r="M4" i="3"/>
  <c r="M20" i="3"/>
  <c r="M14" i="3"/>
  <c r="M22" i="3"/>
  <c r="M23" i="3"/>
  <c r="R4" i="5"/>
  <c r="S21" i="8" s="1"/>
  <c r="S14" i="3"/>
  <c r="S22" i="3"/>
  <c r="S20" i="3"/>
  <c r="S23" i="3"/>
  <c r="S15" i="3"/>
  <c r="AF4" i="5"/>
  <c r="AG4" i="3"/>
  <c r="AG6" i="3"/>
  <c r="AG14" i="3"/>
  <c r="AG22" i="3"/>
  <c r="AG23" i="3"/>
  <c r="AG20" i="3"/>
  <c r="C19" i="2"/>
  <c r="G16" i="3"/>
  <c r="Y30" i="3"/>
  <c r="Y39" i="3"/>
  <c r="M4" i="5"/>
  <c r="N14" i="3"/>
  <c r="N23" i="3"/>
  <c r="N4" i="3"/>
  <c r="N6" i="3"/>
  <c r="N20" i="3"/>
  <c r="N22" i="3"/>
  <c r="AO4" i="3"/>
  <c r="AN4" i="5"/>
  <c r="AO21" i="8" s="1"/>
  <c r="AO22" i="3"/>
  <c r="AO23" i="3"/>
  <c r="AO6" i="3"/>
  <c r="AO20" i="3"/>
  <c r="AO14" i="3"/>
  <c r="AN19" i="2"/>
  <c r="AP36" i="8"/>
  <c r="AQ36" i="8"/>
  <c r="AK12" i="5"/>
  <c r="AL8" i="8"/>
  <c r="AL35" i="8"/>
  <c r="AL6" i="8"/>
  <c r="AL29" i="3"/>
  <c r="O4" i="3"/>
  <c r="R6" i="3"/>
  <c r="AE16" i="3"/>
  <c r="AJ4" i="5"/>
  <c r="AK24" i="8" s="1"/>
  <c r="AK20" i="3"/>
  <c r="AK6" i="3"/>
  <c r="AK14" i="3"/>
  <c r="AK23" i="3"/>
  <c r="AK22" i="3"/>
  <c r="X11" i="3"/>
  <c r="W16" i="3"/>
  <c r="AL16" i="3"/>
  <c r="Z10" i="3"/>
  <c r="AI12" i="5"/>
  <c r="AJ10" i="8" s="1"/>
  <c r="AJ35" i="8"/>
  <c r="AJ6" i="8"/>
  <c r="AJ8" i="8"/>
  <c r="AJ29" i="3"/>
  <c r="AG17" i="3"/>
  <c r="T37" i="3"/>
  <c r="AO12" i="5"/>
  <c r="AP6" i="8"/>
  <c r="AP8" i="8"/>
  <c r="AP35" i="8"/>
  <c r="AP29" i="3"/>
  <c r="AM30" i="3"/>
  <c r="AM39" i="3"/>
  <c r="U37" i="3"/>
  <c r="S37" i="3"/>
  <c r="R17" i="3"/>
  <c r="N15" i="3"/>
  <c r="AG15" i="3"/>
  <c r="N21" i="3"/>
  <c r="N37" i="3"/>
  <c r="P16" i="3"/>
  <c r="AO15" i="3"/>
  <c r="AN24" i="8"/>
  <c r="AN25" i="3"/>
  <c r="R21" i="3"/>
  <c r="AF19" i="2"/>
  <c r="AH36" i="8"/>
  <c r="AD16" i="3"/>
  <c r="AE11" i="3"/>
  <c r="Y37" i="3"/>
  <c r="AL37" i="3"/>
  <c r="S30" i="3"/>
  <c r="S39" i="3"/>
  <c r="AP39" i="3"/>
  <c r="AP30" i="3"/>
  <c r="AR30" i="3"/>
  <c r="AR37" i="3"/>
  <c r="AR39" i="3"/>
  <c r="AH20" i="8"/>
  <c r="AH19" i="8"/>
  <c r="U30" i="3"/>
  <c r="U39" i="3"/>
  <c r="W35" i="2"/>
  <c r="W37" i="2" s="1"/>
  <c r="Y9" i="3"/>
  <c r="X35" i="2"/>
  <c r="X37" i="2" s="1"/>
  <c r="Z9" i="3"/>
  <c r="Q4" i="3"/>
  <c r="Q14" i="3"/>
  <c r="Q22" i="3"/>
  <c r="Q23" i="3"/>
  <c r="Q6" i="3"/>
  <c r="Q20" i="3"/>
  <c r="Q16" i="3"/>
  <c r="O43" i="5"/>
  <c r="P37" i="3"/>
  <c r="AB47" i="5"/>
  <c r="AC11" i="3"/>
  <c r="O30" i="3"/>
  <c r="O39" i="3"/>
  <c r="D4" i="5"/>
  <c r="E24" i="8" s="1"/>
  <c r="AH4" i="5"/>
  <c r="AI14" i="3"/>
  <c r="AI22" i="3"/>
  <c r="AI23" i="3"/>
  <c r="AI15" i="3"/>
  <c r="AI20" i="3"/>
  <c r="S6" i="3"/>
  <c r="S4" i="3"/>
  <c r="AL15" i="3"/>
  <c r="AG30" i="3"/>
  <c r="AG39" i="3"/>
  <c r="AK21" i="3"/>
  <c r="AD15" i="3"/>
  <c r="X37" i="3"/>
  <c r="AG16" i="3"/>
  <c r="AK11" i="3"/>
  <c r="AL4" i="5"/>
  <c r="AM14" i="3"/>
  <c r="AM4" i="3"/>
  <c r="AM23" i="3"/>
  <c r="AM20" i="3"/>
  <c r="AM6" i="3"/>
  <c r="AM22" i="3"/>
  <c r="AM21" i="3"/>
  <c r="Z37" i="3"/>
  <c r="AQ12" i="5"/>
  <c r="AR10" i="8" s="1"/>
  <c r="AR35" i="8"/>
  <c r="AR6" i="8"/>
  <c r="AR7" i="8"/>
  <c r="AS35" i="8"/>
  <c r="AR8" i="8"/>
  <c r="AR29" i="3"/>
  <c r="AG14" i="8"/>
  <c r="AB11" i="3"/>
  <c r="AA16" i="3"/>
  <c r="AG21" i="3"/>
  <c r="AE19" i="8"/>
  <c r="AE20" i="8"/>
  <c r="AP14" i="8"/>
  <c r="AK35" i="2"/>
  <c r="AK37" i="2" s="1"/>
  <c r="AM9" i="3"/>
  <c r="AA11" i="3"/>
  <c r="R16" i="3"/>
  <c r="P15" i="3"/>
  <c r="AF20" i="8"/>
  <c r="AB16" i="3"/>
  <c r="AJ4" i="3"/>
  <c r="O10" i="3"/>
  <c r="AN21" i="3"/>
  <c r="AC17" i="3"/>
  <c r="Z15" i="3"/>
  <c r="AR20" i="8"/>
  <c r="AF21" i="3"/>
  <c r="M15" i="3"/>
  <c r="M9" i="3"/>
  <c r="AJ20" i="8"/>
  <c r="O11" i="3"/>
  <c r="AC20" i="3"/>
  <c r="AC22" i="3"/>
  <c r="AC14" i="3"/>
  <c r="P39" i="3"/>
  <c r="P30" i="3"/>
  <c r="V6" i="3"/>
  <c r="V14" i="3"/>
  <c r="V4" i="3"/>
  <c r="V23" i="3"/>
  <c r="V20" i="3"/>
  <c r="V22" i="3"/>
  <c r="X4" i="5"/>
  <c r="Y22" i="3"/>
  <c r="Y23" i="3"/>
  <c r="Y4" i="3"/>
  <c r="Y20" i="3"/>
  <c r="Y14" i="3"/>
  <c r="Y6" i="3"/>
  <c r="N30" i="3"/>
  <c r="N39" i="3"/>
  <c r="W36" i="8"/>
  <c r="AK4" i="5"/>
  <c r="AL6" i="3"/>
  <c r="AL14" i="3"/>
  <c r="AL4" i="3"/>
  <c r="AL23" i="3"/>
  <c r="AL20" i="3"/>
  <c r="AL22" i="3"/>
  <c r="AA6" i="3"/>
  <c r="AA4" i="3"/>
  <c r="Z6" i="3"/>
  <c r="AA17" i="3"/>
  <c r="AO39" i="3"/>
  <c r="AO30" i="3"/>
  <c r="AO37" i="3"/>
  <c r="AP17" i="3"/>
  <c r="AE25" i="3"/>
  <c r="AE24" i="8"/>
  <c r="AH11" i="3"/>
  <c r="Y16" i="3"/>
  <c r="AD19" i="8"/>
  <c r="AD20" i="8"/>
  <c r="AM19" i="8"/>
  <c r="AM20" i="8"/>
  <c r="M43" i="5"/>
  <c r="Y21" i="3"/>
  <c r="AB17" i="3"/>
  <c r="AC16" i="3"/>
  <c r="AH12" i="5"/>
  <c r="AI10" i="8" s="1"/>
  <c r="AI35" i="8"/>
  <c r="AI6" i="8"/>
  <c r="AI8" i="8"/>
  <c r="AI29" i="3"/>
  <c r="AF24" i="8"/>
  <c r="AF25" i="3"/>
  <c r="AC15" i="3"/>
  <c r="AA21" i="3"/>
  <c r="AI21" i="3"/>
  <c r="E29" i="2"/>
  <c r="E33" i="2" s="1"/>
  <c r="E35" i="2" s="1"/>
  <c r="E37" i="2" s="1"/>
  <c r="G10" i="3"/>
  <c r="N43" i="5"/>
  <c r="O37" i="3"/>
  <c r="AB30" i="3"/>
  <c r="AB39" i="3"/>
  <c r="W30" i="3"/>
  <c r="W39" i="3"/>
  <c r="G4" i="3"/>
  <c r="W14" i="3"/>
  <c r="W23" i="3"/>
  <c r="W20" i="3"/>
  <c r="W4" i="3"/>
  <c r="W22" i="3"/>
  <c r="Z4" i="5"/>
  <c r="AA24" i="3" s="1"/>
  <c r="AA22" i="3"/>
  <c r="AA23" i="3"/>
  <c r="AA14" i="3"/>
  <c r="AA20" i="3"/>
  <c r="T30" i="3"/>
  <c r="T39" i="3"/>
  <c r="AP14" i="3"/>
  <c r="AO4" i="5"/>
  <c r="AP7" i="8" s="1"/>
  <c r="AQ9" i="3"/>
  <c r="AP22" i="3"/>
  <c r="AP23" i="3"/>
  <c r="AP20" i="3"/>
  <c r="X39" i="3"/>
  <c r="X30" i="3"/>
  <c r="V30" i="3"/>
  <c r="V39" i="3"/>
  <c r="W4" i="5"/>
  <c r="X22" i="3"/>
  <c r="X23" i="3"/>
  <c r="X14" i="3"/>
  <c r="X20" i="3"/>
  <c r="X6" i="3"/>
  <c r="T14" i="3"/>
  <c r="T20" i="3"/>
  <c r="T22" i="3"/>
  <c r="T23" i="3"/>
  <c r="E21" i="3"/>
  <c r="AN36" i="8"/>
  <c r="AL19" i="2"/>
  <c r="AJ6" i="3"/>
  <c r="AK7" i="8"/>
  <c r="AI4" i="3"/>
  <c r="AF6" i="3"/>
  <c r="X4" i="3"/>
  <c r="Z4" i="3"/>
  <c r="AJ16" i="3"/>
  <c r="T21" i="3"/>
  <c r="T15" i="3"/>
  <c r="AM24" i="8"/>
  <c r="AM25" i="3"/>
  <c r="AG12" i="5"/>
  <c r="AH10" i="8" s="1"/>
  <c r="AH6" i="8"/>
  <c r="AH7" i="8"/>
  <c r="AH8" i="8"/>
  <c r="AH35" i="8"/>
  <c r="AH29" i="3"/>
  <c r="AM36" i="8"/>
  <c r="AJ30" i="3"/>
  <c r="AJ39" i="3"/>
  <c r="AF15" i="3"/>
  <c r="Y17" i="3"/>
  <c r="AL19" i="8"/>
  <c r="AL20" i="8"/>
  <c r="AP5" i="3"/>
  <c r="AP6" i="3"/>
  <c r="AP4" i="3"/>
  <c r="AP19" i="3"/>
  <c r="AP15" i="3"/>
  <c r="AD19" i="2"/>
  <c r="AF36" i="8"/>
  <c r="AB37" i="3"/>
  <c r="AG19" i="8"/>
  <c r="AG20" i="8"/>
  <c r="AH17" i="3"/>
  <c r="AA37" i="3"/>
  <c r="Z16" i="3"/>
  <c r="M21" i="3"/>
  <c r="AC19" i="2"/>
  <c r="AE36" i="8"/>
  <c r="O9" i="3"/>
  <c r="M35" i="2"/>
  <c r="M37" i="2" s="1"/>
  <c r="AE15" i="3"/>
  <c r="AN20" i="8"/>
  <c r="AK20" i="8"/>
  <c r="AO19" i="8"/>
  <c r="AO20" i="8"/>
  <c r="P20" i="3"/>
  <c r="P6" i="3"/>
  <c r="P4" i="3"/>
  <c r="P5" i="3"/>
  <c r="AK30" i="3"/>
  <c r="AK39" i="3"/>
  <c r="AP12" i="5"/>
  <c r="AQ10" i="8" s="1"/>
  <c r="AQ35" i="8"/>
  <c r="AQ6" i="8"/>
  <c r="AQ7" i="8"/>
  <c r="AQ8" i="8"/>
  <c r="AQ29" i="3"/>
  <c r="P21" i="3"/>
  <c r="X16" i="3"/>
  <c r="E51" i="1"/>
  <c r="G14" i="8"/>
  <c r="G23" i="3"/>
  <c r="AB9" i="8"/>
  <c r="G11" i="3"/>
  <c r="G21" i="3"/>
  <c r="G20" i="3"/>
  <c r="P20" i="8"/>
  <c r="F4" i="5"/>
  <c r="G27" i="8" s="1"/>
  <c r="G15" i="3"/>
  <c r="G55" i="8"/>
  <c r="O57" i="8"/>
  <c r="G6" i="3"/>
  <c r="G17" i="3"/>
  <c r="E23" i="3"/>
  <c r="G22" i="3"/>
  <c r="AB24" i="8"/>
  <c r="E11" i="3"/>
  <c r="I15" i="8"/>
  <c r="I24" i="8"/>
  <c r="I27" i="8"/>
  <c r="I25" i="8"/>
  <c r="I19" i="8"/>
  <c r="I25" i="3"/>
  <c r="N15" i="8"/>
  <c r="J58" i="8"/>
  <c r="N55" i="8"/>
  <c r="AA49" i="1"/>
  <c r="N27" i="8"/>
  <c r="N19" i="8"/>
  <c r="AB27" i="8"/>
  <c r="I20" i="8"/>
  <c r="M51" i="1"/>
  <c r="N26" i="8"/>
  <c r="F20" i="8"/>
  <c r="N9" i="8"/>
  <c r="D11" i="3"/>
  <c r="E37" i="3"/>
  <c r="AB21" i="8"/>
  <c r="N21" i="8"/>
  <c r="N14" i="8"/>
  <c r="L37" i="3"/>
  <c r="L39" i="3"/>
  <c r="L30" i="3"/>
  <c r="I7" i="8"/>
  <c r="I37" i="3"/>
  <c r="H12" i="5"/>
  <c r="I10" i="8" s="1"/>
  <c r="H39" i="3"/>
  <c r="Z24" i="8"/>
  <c r="I8" i="8"/>
  <c r="I6" i="8"/>
  <c r="P8" i="8"/>
  <c r="D29" i="3"/>
  <c r="Y24" i="8"/>
  <c r="O12" i="5"/>
  <c r="J19" i="8"/>
  <c r="G19" i="8"/>
  <c r="I30" i="3"/>
  <c r="E39" i="3"/>
  <c r="X24" i="8"/>
  <c r="N51" i="1"/>
  <c r="P14" i="8"/>
  <c r="H30" i="3"/>
  <c r="H6" i="3"/>
  <c r="K58" i="8"/>
  <c r="J25" i="3"/>
  <c r="N4" i="5"/>
  <c r="O55" i="8"/>
  <c r="O56" i="8"/>
  <c r="D17" i="3"/>
  <c r="E25" i="8"/>
  <c r="AA50" i="1"/>
  <c r="U4" i="5"/>
  <c r="V14" i="8"/>
  <c r="V4" i="5"/>
  <c r="X36" i="3" s="1"/>
  <c r="W14" i="8"/>
  <c r="P4" i="5"/>
  <c r="Q14" i="8"/>
  <c r="AC36" i="8"/>
  <c r="H11" i="3"/>
  <c r="U9" i="8"/>
  <c r="F9" i="3"/>
  <c r="F4" i="3"/>
  <c r="S4" i="5"/>
  <c r="U36" i="3" s="1"/>
  <c r="T14" i="8"/>
  <c r="E10" i="3"/>
  <c r="C29" i="2"/>
  <c r="C33" i="2" s="1"/>
  <c r="C35" i="2" s="1"/>
  <c r="C37" i="2" s="1"/>
  <c r="P36" i="8"/>
  <c r="N19" i="2"/>
  <c r="G39" i="3"/>
  <c r="G30" i="3"/>
  <c r="D6" i="8"/>
  <c r="D51" i="1"/>
  <c r="X27" i="8"/>
  <c r="X25" i="8"/>
  <c r="X9" i="8"/>
  <c r="X15" i="8"/>
  <c r="Y15" i="8"/>
  <c r="Y27" i="8"/>
  <c r="Y25" i="8"/>
  <c r="Q4" i="5"/>
  <c r="R24" i="3" s="1"/>
  <c r="R14" i="8"/>
  <c r="K21" i="3"/>
  <c r="K55" i="8"/>
  <c r="K57" i="8"/>
  <c r="J4" i="5"/>
  <c r="K7" i="8" s="1"/>
  <c r="K4" i="3"/>
  <c r="I51" i="1"/>
  <c r="K14" i="3"/>
  <c r="K17" i="3"/>
  <c r="K22" i="3"/>
  <c r="K16" i="3"/>
  <c r="K23" i="3"/>
  <c r="I11" i="3"/>
  <c r="K6" i="3"/>
  <c r="K20" i="3"/>
  <c r="U15" i="8"/>
  <c r="F15" i="3"/>
  <c r="AB26" i="8"/>
  <c r="AB25" i="8"/>
  <c r="F56" i="8"/>
  <c r="K10" i="3"/>
  <c r="I29" i="2"/>
  <c r="I33" i="2" s="1"/>
  <c r="D8" i="8"/>
  <c r="D20" i="8"/>
  <c r="J11" i="3"/>
  <c r="AB14" i="8"/>
  <c r="J51" i="1"/>
  <c r="AA19" i="2"/>
  <c r="H14" i="3"/>
  <c r="H22" i="3"/>
  <c r="H17" i="3"/>
  <c r="H20" i="3"/>
  <c r="H14" i="8"/>
  <c r="G4" i="5"/>
  <c r="H36" i="3" s="1"/>
  <c r="H16" i="3"/>
  <c r="H15" i="3"/>
  <c r="H57" i="8"/>
  <c r="H23" i="3"/>
  <c r="H55" i="8"/>
  <c r="H21" i="3"/>
  <c r="R19" i="2"/>
  <c r="T36" i="8"/>
  <c r="D15" i="3"/>
  <c r="D6" i="3"/>
  <c r="D21" i="3"/>
  <c r="D22" i="3"/>
  <c r="D23" i="3"/>
  <c r="D20" i="3"/>
  <c r="D55" i="8"/>
  <c r="D14" i="3"/>
  <c r="D14" i="8"/>
  <c r="D4" i="3"/>
  <c r="E57" i="8"/>
  <c r="C4" i="5"/>
  <c r="D16" i="3"/>
  <c r="D57" i="8"/>
  <c r="K11" i="3"/>
  <c r="Y14" i="8"/>
  <c r="AA14" i="8"/>
  <c r="I56" i="8"/>
  <c r="G35" i="2"/>
  <c r="G37" i="2" s="1"/>
  <c r="I9" i="3"/>
  <c r="X26" i="8"/>
  <c r="Q19" i="2"/>
  <c r="S36" i="8"/>
  <c r="Y26" i="8"/>
  <c r="Z19" i="2"/>
  <c r="AB36" i="8"/>
  <c r="S19" i="2"/>
  <c r="U36" i="8"/>
  <c r="H24" i="8"/>
  <c r="H58" i="8"/>
  <c r="H25" i="3"/>
  <c r="F43" i="5"/>
  <c r="G37" i="3"/>
  <c r="G43" i="5"/>
  <c r="K51" i="1"/>
  <c r="L4" i="5"/>
  <c r="N36" i="3" s="1"/>
  <c r="M57" i="8"/>
  <c r="N57" i="8"/>
  <c r="M55" i="8"/>
  <c r="K14" i="8"/>
  <c r="P57" i="8"/>
  <c r="O4" i="5"/>
  <c r="P55" i="8"/>
  <c r="E9" i="3"/>
  <c r="Y21" i="8"/>
  <c r="F14" i="3"/>
  <c r="F23" i="3"/>
  <c r="F21" i="3"/>
  <c r="F22" i="3"/>
  <c r="F20" i="3"/>
  <c r="F55" i="8"/>
  <c r="E4" i="5"/>
  <c r="F36" i="3" s="1"/>
  <c r="F14" i="8"/>
  <c r="F17" i="3"/>
  <c r="G56" i="8"/>
  <c r="F6" i="3"/>
  <c r="F57" i="8"/>
  <c r="G9" i="3"/>
  <c r="F16" i="3"/>
  <c r="U14" i="8"/>
  <c r="Z21" i="8"/>
  <c r="Y19" i="2"/>
  <c r="AA36" i="8"/>
  <c r="F37" i="3"/>
  <c r="C12" i="5"/>
  <c r="F11" i="3"/>
  <c r="H19" i="8"/>
  <c r="G57" i="8"/>
  <c r="X14" i="8"/>
  <c r="I58" i="8"/>
  <c r="G24" i="8"/>
  <c r="G58" i="8"/>
  <c r="N58" i="8"/>
  <c r="N24" i="8"/>
  <c r="M56" i="8"/>
  <c r="J57" i="8"/>
  <c r="J6" i="3"/>
  <c r="J21" i="3"/>
  <c r="J20" i="3"/>
  <c r="J16" i="3"/>
  <c r="J55" i="8"/>
  <c r="J4" i="3"/>
  <c r="J17" i="3"/>
  <c r="I4" i="5"/>
  <c r="J7" i="8" s="1"/>
  <c r="J15" i="3"/>
  <c r="H51" i="1"/>
  <c r="J23" i="3"/>
  <c r="J14" i="3"/>
  <c r="J22" i="3"/>
  <c r="L55" i="8"/>
  <c r="L22" i="3"/>
  <c r="L11" i="3"/>
  <c r="K4" i="5"/>
  <c r="L4" i="3"/>
  <c r="L57" i="8"/>
  <c r="L17" i="3"/>
  <c r="L20" i="3"/>
  <c r="L21" i="3"/>
  <c r="L14" i="8"/>
  <c r="L6" i="3"/>
  <c r="L16" i="3"/>
  <c r="L14" i="3"/>
  <c r="L23" i="3"/>
  <c r="Y9" i="8"/>
  <c r="Z9" i="8"/>
  <c r="I57" i="8"/>
  <c r="G21" i="8"/>
  <c r="G25" i="8"/>
  <c r="G15" i="8"/>
  <c r="G26" i="8"/>
  <c r="J14" i="8"/>
  <c r="K15" i="3"/>
  <c r="Z14" i="8"/>
  <c r="G9" i="8"/>
  <c r="X21" i="8"/>
  <c r="F51" i="1"/>
  <c r="S14" i="8"/>
  <c r="N56" i="8"/>
  <c r="D37" i="3"/>
  <c r="D30" i="3"/>
  <c r="D39" i="3"/>
  <c r="F8" i="8"/>
  <c r="E12" i="5"/>
  <c r="F29" i="3"/>
  <c r="F6" i="8"/>
  <c r="L8" i="8"/>
  <c r="L29" i="3"/>
  <c r="K12" i="5"/>
  <c r="L6" i="8"/>
  <c r="L20" i="8"/>
  <c r="AB4" i="5"/>
  <c r="AD36" i="3" s="1"/>
  <c r="AC14" i="8"/>
  <c r="P12" i="5"/>
  <c r="Q6" i="8"/>
  <c r="Q8" i="8"/>
  <c r="Q35" i="8"/>
  <c r="Q12" i="5"/>
  <c r="R6" i="8"/>
  <c r="R8" i="8"/>
  <c r="R35" i="8"/>
  <c r="R12" i="5"/>
  <c r="S6" i="8"/>
  <c r="S8" i="8"/>
  <c r="S35" i="8"/>
  <c r="S12" i="5"/>
  <c r="T6" i="8"/>
  <c r="T8" i="8"/>
  <c r="T35" i="8"/>
  <c r="T12" i="5"/>
  <c r="U10" i="8" s="1"/>
  <c r="U6" i="8"/>
  <c r="U8" i="8"/>
  <c r="U35" i="8"/>
  <c r="U12" i="5"/>
  <c r="V6" i="8"/>
  <c r="V8" i="8"/>
  <c r="V35" i="8"/>
  <c r="V12" i="5"/>
  <c r="W6" i="8"/>
  <c r="W8" i="8"/>
  <c r="W35" i="8"/>
  <c r="W12" i="5"/>
  <c r="X10" i="8" s="1"/>
  <c r="X6" i="8"/>
  <c r="X7" i="8"/>
  <c r="X8" i="8"/>
  <c r="X35" i="8"/>
  <c r="X12" i="5"/>
  <c r="Y10" i="8" s="1"/>
  <c r="Y6" i="8"/>
  <c r="Y7" i="8"/>
  <c r="Y8" i="8"/>
  <c r="Y35" i="8"/>
  <c r="Y12" i="5"/>
  <c r="Z10" i="8" s="1"/>
  <c r="Z6" i="8"/>
  <c r="Z8" i="8"/>
  <c r="Z35" i="8"/>
  <c r="Z12" i="5"/>
  <c r="AA6" i="8"/>
  <c r="AA8" i="8"/>
  <c r="AA35" i="8"/>
  <c r="AA12" i="5"/>
  <c r="AB10" i="8" s="1"/>
  <c r="AB6" i="8"/>
  <c r="AB7" i="8"/>
  <c r="AB8" i="8"/>
  <c r="AB35" i="8"/>
  <c r="AB12" i="5"/>
  <c r="AC6" i="8"/>
  <c r="AC8" i="8"/>
  <c r="AC35" i="8"/>
  <c r="Q19" i="8"/>
  <c r="Q20" i="8"/>
  <c r="R19" i="8"/>
  <c r="R20" i="8"/>
  <c r="S19" i="8"/>
  <c r="S20" i="8"/>
  <c r="T19" i="8"/>
  <c r="T20" i="8"/>
  <c r="U19" i="8"/>
  <c r="U20" i="8"/>
  <c r="V19" i="8"/>
  <c r="V20" i="8"/>
  <c r="W19" i="8"/>
  <c r="W20" i="8"/>
  <c r="X19" i="8"/>
  <c r="X20" i="8"/>
  <c r="Y19" i="8"/>
  <c r="Y20" i="8"/>
  <c r="Z19" i="8"/>
  <c r="Z20" i="8"/>
  <c r="AA19" i="8"/>
  <c r="AA20" i="8"/>
  <c r="AB19" i="8"/>
  <c r="AB20" i="8"/>
  <c r="AC19" i="8"/>
  <c r="AC20" i="8"/>
  <c r="E20" i="8"/>
  <c r="F35" i="8"/>
  <c r="D12" i="5"/>
  <c r="E8" i="8"/>
  <c r="E29" i="3"/>
  <c r="E6" i="8"/>
  <c r="E35" i="8"/>
  <c r="E7" i="8"/>
  <c r="K29" i="3"/>
  <c r="K6" i="8"/>
  <c r="K8" i="8"/>
  <c r="K35" i="8"/>
  <c r="J12" i="5"/>
  <c r="L35" i="8"/>
  <c r="M20" i="8"/>
  <c r="L12" i="5"/>
  <c r="M6" i="8"/>
  <c r="M35" i="8"/>
  <c r="M8" i="8"/>
  <c r="N20" i="8"/>
  <c r="N7" i="8"/>
  <c r="N6" i="8"/>
  <c r="N35" i="8"/>
  <c r="N8" i="8"/>
  <c r="M12" i="5"/>
  <c r="N10" i="8" s="1"/>
  <c r="G20" i="8"/>
  <c r="F12" i="5"/>
  <c r="G10" i="8" s="1"/>
  <c r="G7" i="8"/>
  <c r="G29" i="3"/>
  <c r="G6" i="8"/>
  <c r="G35" i="8"/>
  <c r="G8" i="8"/>
  <c r="O35" i="8"/>
  <c r="N12" i="5"/>
  <c r="O6" i="8"/>
  <c r="O8" i="8"/>
  <c r="P35" i="8"/>
  <c r="J6" i="8"/>
  <c r="I12" i="5"/>
  <c r="J29" i="3"/>
  <c r="J8" i="8"/>
  <c r="J35" i="8"/>
  <c r="J20" i="8"/>
  <c r="H6" i="8"/>
  <c r="G12" i="5"/>
  <c r="H35" i="8"/>
  <c r="H29" i="3"/>
  <c r="H20" i="8"/>
  <c r="I35" i="8"/>
  <c r="H8" i="8"/>
  <c r="K20" i="8"/>
  <c r="K19" i="8"/>
  <c r="O19" i="8"/>
  <c r="O20" i="8"/>
  <c r="J30" i="3"/>
  <c r="J39" i="3"/>
  <c r="J37" i="3"/>
  <c r="K30" i="3"/>
  <c r="K39" i="3"/>
  <c r="K37" i="3"/>
  <c r="D36" i="8"/>
  <c r="B19" i="2"/>
  <c r="E36" i="8"/>
  <c r="F19" i="2"/>
  <c r="H36" i="8"/>
  <c r="I36" i="8"/>
  <c r="H19" i="2"/>
  <c r="J36" i="8"/>
  <c r="K36" i="8"/>
  <c r="L36" i="8"/>
  <c r="J19" i="2"/>
  <c r="M36" i="8"/>
  <c r="L7" i="8" l="1"/>
  <c r="M36" i="3"/>
  <c r="AA29" i="2"/>
  <c r="AA33" i="2" s="1"/>
  <c r="AC10" i="3"/>
  <c r="X24" i="3"/>
  <c r="AL21" i="8"/>
  <c r="AL24" i="8"/>
  <c r="AL7" i="8"/>
  <c r="Y24" i="3"/>
  <c r="AL10" i="8"/>
  <c r="AH36" i="3"/>
  <c r="AG7" i="8"/>
  <c r="AO10" i="8"/>
  <c r="AM10" i="8"/>
  <c r="Y29" i="2"/>
  <c r="Y33" i="2" s="1"/>
  <c r="AA10" i="3"/>
  <c r="AD29" i="2"/>
  <c r="AD33" i="2" s="1"/>
  <c r="AF10" i="3"/>
  <c r="AB29" i="2"/>
  <c r="AB33" i="2" s="1"/>
  <c r="AD10" i="3"/>
  <c r="Z15" i="8"/>
  <c r="U26" i="8"/>
  <c r="V21" i="8"/>
  <c r="V24" i="3"/>
  <c r="O7" i="8"/>
  <c r="O24" i="3"/>
  <c r="S9" i="8"/>
  <c r="AA36" i="3"/>
  <c r="Y36" i="3"/>
  <c r="AD24" i="3"/>
  <c r="AD9" i="8"/>
  <c r="AD26" i="8"/>
  <c r="AD27" i="8"/>
  <c r="AD15" i="8"/>
  <c r="AD25" i="8"/>
  <c r="AM36" i="3"/>
  <c r="AN10" i="8"/>
  <c r="AG36" i="3"/>
  <c r="AE24" i="3"/>
  <c r="AE25" i="8"/>
  <c r="AE21" i="8"/>
  <c r="AF36" i="3"/>
  <c r="AE26" i="8"/>
  <c r="AE9" i="8"/>
  <c r="AE15" i="8"/>
  <c r="AE27" i="8"/>
  <c r="AA26" i="8"/>
  <c r="Z29" i="2"/>
  <c r="Z33" i="2" s="1"/>
  <c r="AB10" i="3"/>
  <c r="AA27" i="8"/>
  <c r="S24" i="8"/>
  <c r="U7" i="8"/>
  <c r="S7" i="8"/>
  <c r="E56" i="8"/>
  <c r="AA35" i="2"/>
  <c r="AA37" i="2" s="1"/>
  <c r="AC9" i="3"/>
  <c r="AA24" i="8"/>
  <c r="S36" i="3"/>
  <c r="AO24" i="3"/>
  <c r="AO25" i="8"/>
  <c r="AO15" i="8"/>
  <c r="AO9" i="8"/>
  <c r="AO26" i="8"/>
  <c r="AO27" i="8"/>
  <c r="AO24" i="8"/>
  <c r="N25" i="8"/>
  <c r="N24" i="3"/>
  <c r="AN24" i="3"/>
  <c r="AN26" i="8"/>
  <c r="AN21" i="8"/>
  <c r="AN15" i="8"/>
  <c r="AN27" i="8"/>
  <c r="AO36" i="3"/>
  <c r="AN25" i="8"/>
  <c r="AN9" i="8"/>
  <c r="AO7" i="8"/>
  <c r="AJ24" i="3"/>
  <c r="AK36" i="3"/>
  <c r="AJ21" i="8"/>
  <c r="AJ27" i="8"/>
  <c r="AJ9" i="8"/>
  <c r="AJ7" i="8"/>
  <c r="AJ15" i="8"/>
  <c r="AJ26" i="8"/>
  <c r="AJ25" i="8"/>
  <c r="AJ24" i="8"/>
  <c r="AP36" i="3"/>
  <c r="AI10" i="3"/>
  <c r="AG29" i="2"/>
  <c r="AG33" i="2" s="1"/>
  <c r="V35" i="2"/>
  <c r="V37" i="2" s="1"/>
  <c r="X9" i="3"/>
  <c r="AP24" i="3"/>
  <c r="AQ24" i="3"/>
  <c r="AQ36" i="3"/>
  <c r="AP27" i="8"/>
  <c r="AP26" i="8"/>
  <c r="AP25" i="8"/>
  <c r="AP15" i="8"/>
  <c r="AP9" i="8"/>
  <c r="E21" i="8"/>
  <c r="AP10" i="8"/>
  <c r="AJ29" i="2"/>
  <c r="AJ33" i="2" s="1"/>
  <c r="AL10" i="3"/>
  <c r="Z26" i="8"/>
  <c r="Z24" i="3"/>
  <c r="AP21" i="8"/>
  <c r="S15" i="8"/>
  <c r="S24" i="3"/>
  <c r="AI29" i="2"/>
  <c r="AI33" i="2" s="1"/>
  <c r="AK10" i="3"/>
  <c r="U27" i="8"/>
  <c r="U24" i="3"/>
  <c r="T27" i="8"/>
  <c r="T24" i="3"/>
  <c r="P21" i="8"/>
  <c r="P24" i="3"/>
  <c r="M7" i="8"/>
  <c r="M24" i="3"/>
  <c r="Z25" i="8"/>
  <c r="R29" i="2"/>
  <c r="R33" i="2" s="1"/>
  <c r="T10" i="3"/>
  <c r="S26" i="8"/>
  <c r="U24" i="8"/>
  <c r="Q27" i="8"/>
  <c r="Q24" i="3"/>
  <c r="E15" i="8"/>
  <c r="U25" i="8"/>
  <c r="AE10" i="3"/>
  <c r="AC29" i="2"/>
  <c r="AC33" i="2" s="1"/>
  <c r="Z36" i="3"/>
  <c r="AC36" i="3"/>
  <c r="AC37" i="3"/>
  <c r="AB43" i="5"/>
  <c r="AF29" i="2"/>
  <c r="AF33" i="2" s="1"/>
  <c r="AH10" i="3"/>
  <c r="AG9" i="8"/>
  <c r="AG24" i="3"/>
  <c r="AG25" i="8"/>
  <c r="AG15" i="8"/>
  <c r="AG27" i="8"/>
  <c r="AG24" i="8"/>
  <c r="AG26" i="8"/>
  <c r="V36" i="3"/>
  <c r="AG21" i="8"/>
  <c r="W36" i="3"/>
  <c r="AN7" i="8"/>
  <c r="R36" i="3"/>
  <c r="AP24" i="8"/>
  <c r="AM29" i="2"/>
  <c r="AM33" i="2" s="1"/>
  <c r="AO10" i="3"/>
  <c r="S10" i="8"/>
  <c r="E9" i="8"/>
  <c r="F7" i="8"/>
  <c r="S29" i="2"/>
  <c r="S33" i="2" s="1"/>
  <c r="U10" i="3"/>
  <c r="Z27" i="8"/>
  <c r="S25" i="8"/>
  <c r="E26" i="8"/>
  <c r="AA9" i="8"/>
  <c r="AB36" i="3"/>
  <c r="AL29" i="2"/>
  <c r="AL33" i="2" s="1"/>
  <c r="AN10" i="3"/>
  <c r="O36" i="3"/>
  <c r="AM24" i="3"/>
  <c r="AM25" i="8"/>
  <c r="AN36" i="3"/>
  <c r="AM26" i="8"/>
  <c r="AM15" i="8"/>
  <c r="AM27" i="8"/>
  <c r="AM9" i="8"/>
  <c r="T36" i="3"/>
  <c r="AM21" i="8"/>
  <c r="AG10" i="8"/>
  <c r="AD10" i="8"/>
  <c r="AH9" i="8"/>
  <c r="AH24" i="3"/>
  <c r="AH21" i="8"/>
  <c r="AH27" i="8"/>
  <c r="AH25" i="8"/>
  <c r="AI36" i="3"/>
  <c r="AH26" i="8"/>
  <c r="AH15" i="8"/>
  <c r="AB15" i="8"/>
  <c r="AB24" i="3"/>
  <c r="Q29" i="2"/>
  <c r="Q33" i="2" s="1"/>
  <c r="S10" i="3"/>
  <c r="E27" i="8"/>
  <c r="AA15" i="8"/>
  <c r="AN29" i="2"/>
  <c r="AN33" i="2" s="1"/>
  <c r="AP10" i="3"/>
  <c r="E10" i="8"/>
  <c r="AA7" i="8"/>
  <c r="G24" i="3"/>
  <c r="AA10" i="8"/>
  <c r="T10" i="8"/>
  <c r="R7" i="8"/>
  <c r="AC7" i="8"/>
  <c r="AC24" i="3"/>
  <c r="AA25" i="8"/>
  <c r="S27" i="8"/>
  <c r="N29" i="2"/>
  <c r="N33" i="2" s="1"/>
  <c r="P10" i="3"/>
  <c r="W7" i="8"/>
  <c r="W24" i="3"/>
  <c r="AA21" i="8"/>
  <c r="AL27" i="8"/>
  <c r="AL25" i="8"/>
  <c r="AL24" i="3"/>
  <c r="AL9" i="8"/>
  <c r="AL15" i="8"/>
  <c r="AL26" i="8"/>
  <c r="AI21" i="8"/>
  <c r="AI24" i="3"/>
  <c r="AI9" i="8"/>
  <c r="AJ36" i="3"/>
  <c r="AI25" i="8"/>
  <c r="AI27" i="8"/>
  <c r="AI24" i="8"/>
  <c r="AI7" i="8"/>
  <c r="AI26" i="8"/>
  <c r="AI15" i="8"/>
  <c r="P36" i="3"/>
  <c r="AK10" i="8"/>
  <c r="AK27" i="8"/>
  <c r="AK15" i="8"/>
  <c r="AL36" i="3"/>
  <c r="AK9" i="8"/>
  <c r="AK25" i="8"/>
  <c r="AK21" i="8"/>
  <c r="AK26" i="8"/>
  <c r="AK24" i="3"/>
  <c r="O29" i="2"/>
  <c r="O33" i="2" s="1"/>
  <c r="Q10" i="3"/>
  <c r="AM7" i="8"/>
  <c r="AD21" i="8"/>
  <c r="AF24" i="3"/>
  <c r="AF9" i="8"/>
  <c r="AF27" i="8"/>
  <c r="AF21" i="8"/>
  <c r="AF25" i="8"/>
  <c r="AF15" i="8"/>
  <c r="AF26" i="8"/>
  <c r="AH24" i="8"/>
  <c r="Q36" i="3"/>
  <c r="AE36" i="3"/>
  <c r="AH29" i="2"/>
  <c r="AH33" i="2" s="1"/>
  <c r="AJ10" i="3"/>
  <c r="V7" i="8"/>
  <c r="O10" i="8"/>
  <c r="Q21" i="8"/>
  <c r="H7" i="8"/>
  <c r="V10" i="8"/>
  <c r="Q10" i="8"/>
  <c r="V25" i="8"/>
  <c r="Q7" i="8"/>
  <c r="Q15" i="8"/>
  <c r="Q25" i="8"/>
  <c r="K10" i="8"/>
  <c r="W10" i="8"/>
  <c r="T26" i="8"/>
  <c r="D10" i="8"/>
  <c r="R10" i="8"/>
  <c r="J10" i="8"/>
  <c r="F10" i="8"/>
  <c r="W21" i="8"/>
  <c r="H10" i="8"/>
  <c r="M10" i="8"/>
  <c r="L10" i="8"/>
  <c r="T7" i="8"/>
  <c r="T25" i="8"/>
  <c r="O9" i="8"/>
  <c r="O15" i="8"/>
  <c r="O26" i="8"/>
  <c r="O24" i="8"/>
  <c r="O25" i="8"/>
  <c r="O27" i="8"/>
  <c r="O21" i="8"/>
  <c r="T21" i="8"/>
  <c r="T9" i="8"/>
  <c r="T15" i="8"/>
  <c r="T24" i="8"/>
  <c r="Q26" i="8"/>
  <c r="Q9" i="8"/>
  <c r="Q24" i="8"/>
  <c r="W15" i="8"/>
  <c r="W25" i="8"/>
  <c r="W26" i="8"/>
  <c r="W27" i="8"/>
  <c r="W9" i="8"/>
  <c r="W24" i="8"/>
  <c r="V15" i="8"/>
  <c r="V24" i="8"/>
  <c r="V26" i="8"/>
  <c r="V27" i="8"/>
  <c r="V9" i="8"/>
  <c r="F25" i="8"/>
  <c r="F15" i="8"/>
  <c r="F26" i="8"/>
  <c r="F24" i="3"/>
  <c r="F21" i="8"/>
  <c r="F24" i="8"/>
  <c r="F9" i="8"/>
  <c r="F27" i="8"/>
  <c r="K56" i="8"/>
  <c r="K9" i="3"/>
  <c r="I35" i="2"/>
  <c r="I37" i="2" s="1"/>
  <c r="R25" i="8"/>
  <c r="R27" i="8"/>
  <c r="R21" i="8"/>
  <c r="R9" i="8"/>
  <c r="R15" i="8"/>
  <c r="R26" i="8"/>
  <c r="G36" i="3"/>
  <c r="D36" i="3"/>
  <c r="D27" i="8"/>
  <c r="D9" i="8"/>
  <c r="D24" i="8"/>
  <c r="E24" i="3"/>
  <c r="E36" i="3"/>
  <c r="D24" i="3"/>
  <c r="D15" i="8"/>
  <c r="D25" i="8"/>
  <c r="D26" i="8"/>
  <c r="L21" i="8"/>
  <c r="L26" i="8"/>
  <c r="L27" i="8"/>
  <c r="L24" i="3"/>
  <c r="L25" i="8"/>
  <c r="L9" i="8"/>
  <c r="L15" i="8"/>
  <c r="L24" i="8"/>
  <c r="P24" i="8"/>
  <c r="P9" i="8"/>
  <c r="P7" i="8"/>
  <c r="P15" i="8"/>
  <c r="P27" i="8"/>
  <c r="P25" i="8"/>
  <c r="P26" i="8"/>
  <c r="K27" i="8"/>
  <c r="K25" i="8"/>
  <c r="K15" i="8"/>
  <c r="K24" i="8"/>
  <c r="K9" i="8"/>
  <c r="L36" i="3"/>
  <c r="K26" i="8"/>
  <c r="K21" i="8"/>
  <c r="K24" i="3"/>
  <c r="D7" i="8"/>
  <c r="J24" i="8"/>
  <c r="J15" i="8"/>
  <c r="J9" i="8"/>
  <c r="J24" i="3"/>
  <c r="J36" i="3"/>
  <c r="J25" i="8"/>
  <c r="J27" i="8"/>
  <c r="J26" i="8"/>
  <c r="K36" i="3"/>
  <c r="M27" i="8"/>
  <c r="M25" i="8"/>
  <c r="M15" i="8"/>
  <c r="M26" i="8"/>
  <c r="M24" i="8"/>
  <c r="M9" i="8"/>
  <c r="M21" i="8"/>
  <c r="P10" i="8"/>
  <c r="R24" i="8"/>
  <c r="D21" i="8"/>
  <c r="H25" i="8"/>
  <c r="H26" i="8"/>
  <c r="H24" i="3"/>
  <c r="H9" i="8"/>
  <c r="I36" i="3"/>
  <c r="I24" i="3"/>
  <c r="H21" i="8"/>
  <c r="H15" i="8"/>
  <c r="H27" i="8"/>
  <c r="J21" i="8"/>
  <c r="AC10" i="8"/>
  <c r="AC9" i="8"/>
  <c r="AC15" i="8"/>
  <c r="AC21" i="8"/>
  <c r="AC24" i="8"/>
  <c r="AC25" i="8"/>
  <c r="AC26" i="8"/>
  <c r="AC27" i="8"/>
  <c r="J29" i="2"/>
  <c r="J33" i="2" s="1"/>
  <c r="L10" i="3"/>
  <c r="H29" i="2"/>
  <c r="H33" i="2" s="1"/>
  <c r="J10" i="3"/>
  <c r="H10" i="3"/>
  <c r="F29" i="2"/>
  <c r="F33" i="2" s="1"/>
  <c r="B29" i="2"/>
  <c r="B33" i="2" s="1"/>
  <c r="D10" i="3"/>
  <c r="AH35" i="2" l="1"/>
  <c r="AH37" i="2" s="1"/>
  <c r="AJ9" i="3"/>
  <c r="AF35" i="2"/>
  <c r="AF37" i="2" s="1"/>
  <c r="AH9" i="3"/>
  <c r="AM35" i="2"/>
  <c r="AM37" i="2" s="1"/>
  <c r="AO9" i="3"/>
  <c r="AJ35" i="2"/>
  <c r="AJ37" i="2" s="1"/>
  <c r="AL9" i="3"/>
  <c r="S35" i="2"/>
  <c r="S37" i="2" s="1"/>
  <c r="U9" i="3"/>
  <c r="AN35" i="2"/>
  <c r="AN37" i="2" s="1"/>
  <c r="AP9" i="3"/>
  <c r="AI35" i="2"/>
  <c r="AI37" i="2" s="1"/>
  <c r="AK9" i="3"/>
  <c r="AB35" i="2"/>
  <c r="AB37" i="2" s="1"/>
  <c r="AD9" i="3"/>
  <c r="P9" i="3"/>
  <c r="P56" i="8"/>
  <c r="N35" i="2"/>
  <c r="N37" i="2" s="1"/>
  <c r="Q35" i="2"/>
  <c r="Q37" i="2" s="1"/>
  <c r="S9" i="3"/>
  <c r="AL35" i="2"/>
  <c r="AL37" i="2" s="1"/>
  <c r="AN9" i="3"/>
  <c r="AC35" i="2"/>
  <c r="AC37" i="2" s="1"/>
  <c r="AE9" i="3"/>
  <c r="AG35" i="2"/>
  <c r="AG37" i="2" s="1"/>
  <c r="AI9" i="3"/>
  <c r="AD35" i="2"/>
  <c r="AD37" i="2" s="1"/>
  <c r="AF9" i="3"/>
  <c r="O35" i="2"/>
  <c r="O37" i="2" s="1"/>
  <c r="Q9" i="3"/>
  <c r="R35" i="2"/>
  <c r="R37" i="2" s="1"/>
  <c r="T9" i="3"/>
  <c r="Z35" i="2"/>
  <c r="Z37" i="2" s="1"/>
  <c r="AB9" i="3"/>
  <c r="Y35" i="2"/>
  <c r="Y37" i="2" s="1"/>
  <c r="AA9" i="3"/>
  <c r="B35" i="2"/>
  <c r="B37" i="2" s="1"/>
  <c r="D9" i="3"/>
  <c r="D56" i="8"/>
  <c r="H9" i="3"/>
  <c r="F35" i="2"/>
  <c r="F37" i="2" s="1"/>
  <c r="H56" i="8"/>
  <c r="J56" i="8"/>
  <c r="J9" i="3"/>
  <c r="H35" i="2"/>
  <c r="H37" i="2" s="1"/>
  <c r="L56" i="8"/>
  <c r="J35" i="2"/>
  <c r="J37" i="2" s="1"/>
  <c r="L9" i="3"/>
</calcChain>
</file>

<file path=xl/sharedStrings.xml><?xml version="1.0" encoding="utf-8"?>
<sst xmlns="http://schemas.openxmlformats.org/spreadsheetml/2006/main" count="458" uniqueCount="346">
  <si>
    <t>AUDITED 2020</t>
  </si>
  <si>
    <t>Audited 2021</t>
  </si>
  <si>
    <t>Aud-22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</si>
  <si>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</si>
  <si>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</si>
  <si>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</si>
  <si>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</si>
  <si>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</si>
  <si>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</si>
  <si>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</si>
  <si>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</si>
  <si>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</si>
  <si>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</si>
  <si>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</si>
  <si>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</si>
  <si>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</si>
  <si>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</si>
  <si>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</si>
  <si>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</si>
  <si>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</si>
  <si>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</si>
  <si>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</si>
  <si>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</si>
  <si>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</si>
  <si>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</si>
  <si>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</si>
  <si>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</si>
  <si>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</si>
  <si>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</si>
  <si>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</si>
  <si>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</si>
  <si>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</si>
  <si>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</si>
  <si>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</si>
  <si>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</si>
  <si>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</si>
  <si>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</si>
  <si>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</si>
  <si>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</si>
  <si>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</si>
  <si>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</si>
  <si>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</si>
  <si>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</si>
  <si>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</si>
  <si>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</si>
  <si>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</si>
  <si>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</si>
  <si>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</si>
  <si>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</si>
  <si>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</si>
  <si>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</si>
  <si>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</si>
  <si>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</si>
  <si>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</si>
  <si>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</si>
  <si>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</si>
  <si>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</si>
  <si>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</si>
  <si>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</si>
  <si>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</si>
  <si>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</si>
  <si>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</si>
  <si>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</si>
  <si>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</si>
  <si>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</si>
  <si>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</si>
  <si>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</si>
  <si>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</si>
  <si>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</si>
  <si>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</si>
  <si>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</si>
  <si>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</si>
  <si>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</si>
  <si>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</si>
  <si>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</si>
  <si>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</si>
  <si>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</si>
  <si>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</si>
  <si>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</si>
  <si>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</si>
  <si>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</si>
  <si>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</si>
  <si>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</si>
  <si>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</si>
  <si>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</si>
  <si>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</si>
  <si>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</si>
  <si>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</si>
  <si>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</si>
  <si>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</si>
  <si>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</si>
  <si>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</si>
  <si>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</si>
  <si>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</si>
  <si>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</si>
  <si>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</si>
  <si>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Sub-total</t>
  </si>
  <si>
    <t>NPL</t>
  </si>
  <si>
    <t>PAR</t>
  </si>
  <si>
    <t>KIMISITU</t>
  </si>
  <si>
    <t>STIMA SACCO 2017 CAELS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</si>
  <si>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</si>
  <si>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</si>
  <si>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</si>
  <si>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</si>
  <si>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</si>
  <si>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</si>
  <si>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</si>
  <si>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</si>
  <si>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</si>
  <si>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</si>
  <si>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</si>
  <si>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</si>
  <si>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</si>
  <si>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</si>
  <si>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</si>
  <si>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</si>
  <si>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</si>
  <si>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</si>
  <si>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</si>
  <si>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</si>
  <si>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</si>
  <si>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</si>
  <si>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</si>
  <si>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</si>
  <si>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</si>
  <si>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</si>
  <si>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</si>
  <si>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</si>
  <si>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</si>
  <si>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</si>
  <si>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</si>
  <si>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</si>
  <si>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</si>
  <si>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</si>
  <si>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</si>
  <si>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</si>
  <si>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</si>
  <si>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</si>
  <si>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</si>
  <si>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</si>
  <si>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</si>
  <si>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</si>
  <si>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</si>
  <si>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</si>
  <si>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</si>
  <si>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</si>
  <si>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</si>
  <si>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</si>
  <si>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</si>
  <si>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</si>
  <si>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</si>
  <si>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</si>
  <si>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</si>
  <si>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STIMA Sacco Financial Performance</t>
  </si>
  <si>
    <t>Year</t>
  </si>
  <si>
    <t>Audited 2020</t>
  </si>
  <si>
    <t>Deposits-Members(BOSA)</t>
  </si>
  <si>
    <t>Deposits-Customers(FOSA)</t>
  </si>
  <si>
    <t>External Borrowing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</si>
  <si>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</si>
  <si>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</si>
  <si>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</si>
  <si>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</si>
  <si>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</si>
  <si>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</si>
  <si>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</si>
  <si>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</si>
  <si>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</si>
  <si>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</si>
  <si>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</si>
  <si>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</si>
  <si>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</si>
  <si>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</si>
  <si>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</si>
  <si>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</si>
  <si>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</si>
  <si>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</si>
  <si>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</si>
  <si>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</si>
  <si>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</si>
  <si>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</si>
  <si>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</si>
  <si>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</si>
  <si>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</si>
  <si>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</si>
  <si>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</si>
  <si>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</si>
  <si>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Cash &amp; Cash Equivalents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</si>
  <si>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</si>
  <si>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</si>
  <si>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</si>
  <si>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</si>
  <si>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</si>
  <si>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</si>
  <si>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</si>
  <si>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</si>
  <si>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</si>
  <si>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Total Income</t>
  </si>
  <si>
    <t>Net Income</t>
  </si>
  <si>
    <t>Div + Int on Deposits</t>
  </si>
  <si>
    <t>Liquid Assets</t>
  </si>
  <si>
    <t>Short term (Deposits + Liabilities)</t>
  </si>
  <si>
    <t>Operating Expenses</t>
  </si>
  <si>
    <t>Financial Investments</t>
  </si>
  <si>
    <t>Equity Investments</t>
  </si>
  <si>
    <t>STATEMENT OF CASHFLOWS FOR THE YEAR ENDED 31ST DECEMBER 2015</t>
  </si>
  <si>
    <t>Cash flows from operating activities</t>
  </si>
  <si>
    <t>Interest receipts</t>
  </si>
  <si>
    <t>Interest Payments</t>
  </si>
  <si>
    <t>Payment to employees and suppliers</t>
  </si>
  <si>
    <t>Other receipts</t>
  </si>
  <si>
    <t>(Increase)/Decrease in Operating assets</t>
  </si>
  <si>
    <t>Net loans to members</t>
  </si>
  <si>
    <t>Recievables and prepayments</t>
  </si>
  <si>
    <t>Short term investments</t>
  </si>
  <si>
    <t>Increase/(Decrease) in Operating liabilities</t>
  </si>
  <si>
    <t>Deposits from members</t>
  </si>
  <si>
    <t>Decrease/Increase Risk Fund</t>
  </si>
  <si>
    <t>Increase/decrease on Interest bearing Liabilities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</si>
  <si>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</si>
  <si>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</si>
  <si>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</si>
  <si>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</si>
  <si>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</si>
  <si>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</si>
  <si>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</si>
  <si>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Purchase of financial assets</t>
  </si>
  <si>
    <t>Movement of other reserves-</t>
  </si>
  <si>
    <t>Issue of Bonus</t>
  </si>
  <si>
    <t>Dividends Received</t>
  </si>
  <si>
    <t>Net Cash from investing activities</t>
  </si>
  <si>
    <t>Cashflow from financing activities</t>
  </si>
  <si>
    <t>Share capital contributions</t>
  </si>
  <si>
    <t>Contribution to sinking fund</t>
  </si>
  <si>
    <t>Repayments of long term borrowings</t>
  </si>
  <si>
    <t>Dividend paid</t>
  </si>
  <si>
    <t>Honorarium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</si>
  <si>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</si>
  <si>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</si>
  <si>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</si>
  <si>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</si>
  <si>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KIMISITU SACCO SOCIETY LTD</t>
  </si>
  <si>
    <t xml:space="preserve">KIMISITU Sacco Financial Performance </t>
  </si>
  <si>
    <t>FINANCIAL SOUNDNESS INDICATORS</t>
  </si>
  <si>
    <t>Prude.  Std</t>
  </si>
  <si>
    <t>Ref. #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</si>
  <si>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</si>
  <si>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</si>
  <si>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</si>
  <si>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</si>
  <si>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</si>
  <si>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</si>
  <si>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</si>
  <si>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</si>
  <si>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</si>
  <si>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</si>
  <si>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</si>
  <si>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</si>
  <si>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</si>
  <si>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Institutional Capital/Total Assets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</si>
  <si>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</si>
  <si>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</si>
  <si>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</si>
  <si>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</si>
  <si>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</si>
  <si>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</si>
  <si>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</si>
  <si>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</si>
  <si>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</si>
  <si>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</si>
  <si>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</si>
  <si>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</si>
  <si>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</si>
  <si>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</si>
  <si>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External Borrowing/Total assets</t>
  </si>
  <si>
    <t>≤ 25%</t>
  </si>
  <si>
    <t xml:space="preserve">GROWTH RATIOS </t>
  </si>
  <si>
    <t>Net Loans &amp; advances</t>
  </si>
  <si>
    <t>Total Gross Income</t>
  </si>
  <si>
    <t>FinCost-Deposits/Average Deposits</t>
  </si>
  <si>
    <t>FinCost-Shares/Average Share capital</t>
  </si>
  <si>
    <t>FinCost-Ext Loans/Average Ext Loans</t>
  </si>
  <si>
    <t>Liquidity Ratio</t>
  </si>
  <si>
    <t xml:space="preserve">Liquid Assets - ST Liabilities/ Deposits </t>
  </si>
  <si>
    <t>Loan Loss Provisions Ratios</t>
  </si>
  <si>
    <t>Actual LLP / Required LLP</t>
  </si>
  <si>
    <t>Minimum Liquidity</t>
  </si>
  <si>
    <t>Technical Liquidity</t>
  </si>
  <si>
    <t>Net Interest Margin</t>
  </si>
  <si>
    <t>Assets Growth Ratio</t>
  </si>
  <si>
    <t>Deposits Growth Ratio</t>
  </si>
  <si>
    <t>BOSA Growth Ratio</t>
  </si>
  <si>
    <t>FOSA Growth Ratio</t>
  </si>
  <si>
    <t>STIMA SACCO SOCIETY LIMITED     CS/NO: 2207</t>
  </si>
  <si>
    <t>PERFORMANCE AND COMPLIANCE REPORT AS AT :  30TH JUNE , 2018</t>
  </si>
  <si>
    <t>Prudential Standard</t>
  </si>
  <si>
    <t>Audited</t>
  </si>
  <si>
    <t>Returns</t>
  </si>
  <si>
    <t>Validated</t>
  </si>
  <si>
    <t>Average for all Licensed Saccos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</si>
  <si>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</si>
  <si>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</si>
  <si>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</si>
  <si>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</si>
  <si>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</si>
  <si>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</si>
  <si>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</si>
  <si>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</si>
  <si>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</si>
  <si>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</si>
  <si>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</si>
  <si>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</si>
  <si>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</si>
  <si>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</si>
  <si>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</si>
  <si>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</si>
  <si>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</t>
  </si>
  <si>
    <t>Operating Expenses/Net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</si>
  <si>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</si>
  <si>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</si>
  <si>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</si>
  <si>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</si>
  <si>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</si>
  <si>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</si>
  <si>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</si>
  <si>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</si>
  <si>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</si>
  <si>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</si>
  <si>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</si>
  <si>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</si>
  <si>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</si>
  <si>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</si>
  <si>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</si>
  <si>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</si>
  <si>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</si>
  <si>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</si>
  <si>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</si>
  <si>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Dividends+Interest on Deposits</t>
  </si>
  <si>
    <t>Short-term (Deposits + liabilities)</t>
  </si>
  <si>
    <t>G. AREAS OF IMPROVEMENT/REGULARTORY CONCERNS</t>
  </si>
  <si>
    <t>1. The ratio of NPL is above the prescribed limit</t>
  </si>
  <si>
    <t>Prepared by: Daniel Mwatu</t>
  </si>
  <si>
    <t>Checked by:</t>
  </si>
  <si>
    <t>Approved by: Peter Njuguna</t>
  </si>
  <si>
    <t>DISCLAIMER: This report is prepared based on information submitted by the Sacco as at the stated date and may change upon verification by the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</si>
</sst>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0.0"/>
    <numFmt numFmtId="173" formatCode="_(* #,##0_);_(* \(#,##0\);_(* &quot;-&quot;??_);_(@_)"/>
    <numFmt numFmtId="174" formatCode="&quot;£&quot;#,##0;\-&quot;£&quot;#,##0"/>
    <numFmt numFmtId="175" formatCode="#,##0.00_ ;\-#,##0.00\ "/>
  </numFmts>
  <fonts count="8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name val="Cambria"/>
      <family val="1"/>
    </font>
    <font>
      <i/>
      <sz val="10"/>
      <color indexed="8"/>
      <name val="Cambria"/>
      <family val="1"/>
    </font>
    <font>
      <sz val="10"/>
      <name val="Arial Narrow"/>
      <family val="2"/>
    </font>
    <font>
      <b/>
      <sz val="10"/>
      <name val="Cambria"/>
      <family val="1"/>
    </font>
    <font>
      <sz val="10"/>
      <name val="Lohit Hindi"/>
      <family val="2"/>
    </font>
    <font>
      <sz val="12"/>
      <name val="Times New Roman"/>
      <family val="1"/>
    </font>
    <font>
      <sz val="11"/>
      <color indexed="8"/>
      <name val="Cambria"/>
      <family val="1"/>
    </font>
    <font>
      <sz val="12"/>
      <color indexed="8"/>
      <name val="Cambria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i/>
      <sz val="11"/>
      <color indexed="8"/>
      <name val="Cambria"/>
      <family val="1"/>
    </font>
    <font>
      <i/>
      <sz val="11"/>
      <name val="Cambria"/>
      <family val="1"/>
    </font>
    <font>
      <b/>
      <sz val="14"/>
      <color indexed="8"/>
      <name val="Cambria"/>
      <family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theme="1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0"/>
      <color indexed="8"/>
      <name val="Cambria"/>
      <family val="1"/>
      <scheme val="major"/>
    </font>
    <font>
      <u/>
      <sz val="11"/>
      <name val="Cambria"/>
      <family val="1"/>
      <scheme val="major"/>
    </font>
    <font>
      <b/>
      <u/>
      <sz val="11"/>
      <color indexed="11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2"/>
      <color indexed="8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u/>
      <sz val="12"/>
      <color indexed="9"/>
      <name val="Cambria"/>
      <family val="1"/>
      <scheme val="major"/>
    </font>
    <font>
      <b/>
      <u/>
      <sz val="12"/>
      <color indexed="11"/>
      <name val="Cambria"/>
      <family val="1"/>
      <scheme val="major"/>
    </font>
    <font>
      <sz val="12"/>
      <color indexed="8"/>
      <name val="Cambria"/>
      <family val="1"/>
      <scheme val="major"/>
    </font>
    <font>
      <sz val="8"/>
      <color indexed="13"/>
      <name val="Cambria"/>
      <family val="1"/>
      <scheme val="major"/>
    </font>
    <font>
      <b/>
      <sz val="10"/>
      <name val="Cambria"/>
      <family val="1"/>
      <scheme val="major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0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/>
      </top>
      <bottom style="thin">
        <color theme="3"/>
      </bottom>
      <diagonal/>
    </border>
    <border>
      <left style="thin">
        <color theme="3" tint="0.39997558519241921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medium">
        <color indexed="64"/>
      </bottom>
      <diagonal/>
    </border>
  </borders>
  <cellStyleXfs count="728">
    <xf numFmtId="0" fontId="0" fillId="0" borderId="0"/>
    <xf numFmtId="0" fontId="4" fillId="2" borderId="0" applyNumberFormat="0" applyBorder="0" applyAlignment="0" applyProtection="0"/>
    <xf numFmtId="0" fontId="36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3" borderId="0" applyNumberFormat="0" applyBorder="0" applyAlignment="0" applyProtection="0"/>
    <xf numFmtId="0" fontId="37" fillId="15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5" fillId="4" borderId="0" applyNumberFormat="0" applyBorder="0" applyAlignment="0" applyProtection="0"/>
    <xf numFmtId="0" fontId="37" fillId="16" borderId="0" applyNumberFormat="0" applyBorder="0" applyAlignment="0" applyProtection="0"/>
    <xf numFmtId="0" fontId="6" fillId="5" borderId="2" applyNumberFormat="0" applyAlignment="0" applyProtection="0"/>
    <xf numFmtId="0" fontId="38" fillId="17" borderId="40" applyNumberFormat="0" applyAlignment="0" applyProtection="0"/>
    <xf numFmtId="43" fontId="35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4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9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3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4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5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2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35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7" fillId="6" borderId="1" applyNumberFormat="0" applyAlignment="0" applyProtection="0"/>
    <xf numFmtId="0" fontId="39" fillId="18" borderId="39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35" fillId="0" borderId="0"/>
    <xf numFmtId="0" fontId="8" fillId="0" borderId="0"/>
    <xf numFmtId="0" fontId="35" fillId="0" borderId="0"/>
    <xf numFmtId="0" fontId="8" fillId="0" borderId="0"/>
    <xf numFmtId="0" fontId="35" fillId="0" borderId="0"/>
    <xf numFmtId="0" fontId="8" fillId="0" borderId="0"/>
    <xf numFmtId="0" fontId="35" fillId="0" borderId="0"/>
    <xf numFmtId="0" fontId="35" fillId="0" borderId="0"/>
    <xf numFmtId="0" fontId="15" fillId="0" borderId="0"/>
    <xf numFmtId="0" fontId="35" fillId="0" borderId="0"/>
    <xf numFmtId="0" fontId="16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35" fillId="0" borderId="0"/>
    <xf numFmtId="0" fontId="2" fillId="0" borderId="0"/>
    <xf numFmtId="0" fontId="40" fillId="0" borderId="0"/>
    <xf numFmtId="0" fontId="9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9" fillId="0" borderId="0"/>
    <xf numFmtId="0" fontId="41" fillId="0" borderId="0"/>
    <xf numFmtId="0" fontId="2" fillId="7" borderId="3" applyNumberFormat="0" applyAlignment="0" applyProtection="0"/>
    <xf numFmtId="0" fontId="2" fillId="19" borderId="41" applyNumberFormat="0" applyFont="0" applyAlignment="0" applyProtection="0"/>
    <xf numFmtId="9" fontId="35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43" fillId="0" borderId="42" applyNumberFormat="0" applyFill="0" applyAlignment="0" applyProtection="0"/>
    <xf numFmtId="0" fontId="43" fillId="0" borderId="42" applyNumberFormat="0" applyFill="0" applyAlignment="0" applyProtection="0"/>
  </cellStyleXfs>
  <cellXfs count="323">
    <xf numFmtId="0" fontId="0" fillId="0" borderId="0" xfId="0"/>
    <xf numFmtId="0" fontId="0" fillId="0" borderId="5" xfId="0" applyBorder="1"/>
    <xf numFmtId="0" fontId="45" fillId="0" borderId="5" xfId="0" applyFont="1" applyBorder="1" applyAlignment="1">
      <alignment horizontal="left" vertical="top" wrapText="1"/>
    </xf>
    <xf numFmtId="0" fontId="46" fillId="0" borderId="5" xfId="0" applyFont="1" applyBorder="1" applyAlignment="1">
      <alignment horizontal="left" vertical="top" wrapText="1"/>
    </xf>
    <xf numFmtId="0" fontId="45" fillId="0" borderId="5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42" fillId="0" borderId="0" xfId="0" applyFont="1"/>
    <xf numFmtId="0" fontId="47" fillId="0" borderId="5" xfId="0" applyFont="1" applyBorder="1"/>
    <xf numFmtId="43" fontId="47" fillId="0" borderId="5" xfId="53" applyFont="1" applyBorder="1"/>
    <xf numFmtId="0" fontId="48" fillId="0" borderId="5" xfId="0" applyFont="1" applyBorder="1"/>
    <xf numFmtId="0" fontId="49" fillId="0" borderId="5" xfId="0" applyFont="1" applyBorder="1"/>
    <xf numFmtId="172" fontId="48" fillId="0" borderId="5" xfId="0" applyNumberFormat="1" applyFont="1" applyBorder="1"/>
    <xf numFmtId="9" fontId="49" fillId="0" borderId="5" xfId="713" applyFont="1" applyBorder="1"/>
    <xf numFmtId="0" fontId="50" fillId="0" borderId="5" xfId="0" applyFont="1" applyBorder="1"/>
    <xf numFmtId="0" fontId="51" fillId="0" borderId="5" xfId="0" applyFont="1" applyBorder="1"/>
    <xf numFmtId="172" fontId="48" fillId="0" borderId="5" xfId="0" applyNumberFormat="1" applyFont="1" applyBorder="1" applyAlignment="1">
      <alignment horizontal="right"/>
    </xf>
    <xf numFmtId="173" fontId="49" fillId="0" borderId="5" xfId="0" applyNumberFormat="1" applyFont="1" applyBorder="1"/>
    <xf numFmtId="0" fontId="52" fillId="0" borderId="5" xfId="0" applyFont="1" applyBorder="1"/>
    <xf numFmtId="172" fontId="52" fillId="0" borderId="5" xfId="0" applyNumberFormat="1" applyFont="1" applyBorder="1"/>
    <xf numFmtId="0" fontId="0" fillId="0" borderId="5" xfId="0" applyBorder="1" applyAlignment="1">
      <alignment horizontal="center" vertical="center"/>
    </xf>
    <xf numFmtId="0" fontId="46" fillId="0" borderId="5" xfId="0" applyFont="1" applyBorder="1" applyAlignment="1">
      <alignment vertical="top" wrapText="1"/>
    </xf>
    <xf numFmtId="0" fontId="48" fillId="0" borderId="5" xfId="494" applyFont="1" applyBorder="1"/>
    <xf numFmtId="0" fontId="49" fillId="0" borderId="5" xfId="494" applyFont="1" applyBorder="1"/>
    <xf numFmtId="0" fontId="0" fillId="0" borderId="6" xfId="0" applyBorder="1"/>
    <xf numFmtId="0" fontId="0" fillId="0" borderId="7" xfId="0" applyBorder="1"/>
    <xf numFmtId="17" fontId="42" fillId="0" borderId="7" xfId="0" applyNumberFormat="1" applyFont="1" applyBorder="1"/>
    <xf numFmtId="9" fontId="35" fillId="0" borderId="8" xfId="713" applyFont="1" applyBorder="1"/>
    <xf numFmtId="0" fontId="0" fillId="0" borderId="8" xfId="0" applyBorder="1"/>
    <xf numFmtId="171" fontId="35" fillId="0" borderId="8" xfId="713" applyNumberFormat="1" applyFont="1" applyBorder="1"/>
    <xf numFmtId="10" fontId="35" fillId="0" borderId="8" xfId="713" applyNumberFormat="1" applyFont="1" applyBorder="1"/>
    <xf numFmtId="0" fontId="52" fillId="0" borderId="9" xfId="494" applyFont="1" applyBorder="1"/>
    <xf numFmtId="0" fontId="0" fillId="0" borderId="9" xfId="0" applyBorder="1"/>
    <xf numFmtId="0" fontId="48" fillId="0" borderId="9" xfId="494" applyFont="1" applyBorder="1"/>
    <xf numFmtId="0" fontId="52" fillId="0" borderId="10" xfId="494" applyFont="1" applyBorder="1"/>
    <xf numFmtId="0" fontId="0" fillId="0" borderId="11" xfId="0" applyBorder="1"/>
    <xf numFmtId="0" fontId="0" fillId="0" borderId="12" xfId="0" applyBorder="1"/>
    <xf numFmtId="0" fontId="47" fillId="0" borderId="13" xfId="0" applyFont="1" applyBorder="1"/>
    <xf numFmtId="17" fontId="3" fillId="8" borderId="5" xfId="0" applyNumberFormat="1" applyFont="1" applyFill="1" applyBorder="1" applyAlignment="1" applyProtection="1">
      <alignment vertical="top" wrapText="1" readingOrder="1"/>
      <protection locked="0"/>
    </xf>
    <xf numFmtId="173" fontId="0" fillId="0" borderId="5" xfId="0" applyNumberFormat="1" applyBorder="1"/>
    <xf numFmtId="173" fontId="42" fillId="0" borderId="5" xfId="0" applyNumberFormat="1" applyFont="1" applyBorder="1"/>
    <xf numFmtId="43" fontId="35" fillId="0" borderId="0" xfId="53" applyFont="1"/>
    <xf numFmtId="0" fontId="53" fillId="0" borderId="0" xfId="0" applyFont="1"/>
    <xf numFmtId="0" fontId="43" fillId="0" borderId="0" xfId="0" applyFont="1"/>
    <xf numFmtId="0" fontId="43" fillId="20" borderId="43" xfId="0" applyFont="1" applyFill="1" applyBorder="1"/>
    <xf numFmtId="0" fontId="53" fillId="20" borderId="14" xfId="0" applyFont="1" applyFill="1" applyBorder="1"/>
    <xf numFmtId="0" fontId="53" fillId="20" borderId="44" xfId="0" applyFont="1" applyFill="1" applyBorder="1"/>
    <xf numFmtId="0" fontId="53" fillId="0" borderId="45" xfId="0" applyFont="1" applyBorder="1"/>
    <xf numFmtId="173" fontId="53" fillId="0" borderId="46" xfId="53" applyNumberFormat="1" applyFont="1" applyBorder="1"/>
    <xf numFmtId="173" fontId="53" fillId="0" borderId="14" xfId="53" applyNumberFormat="1" applyFont="1" applyBorder="1"/>
    <xf numFmtId="173" fontId="53" fillId="21" borderId="14" xfId="53" applyNumberFormat="1" applyFont="1" applyFill="1" applyBorder="1"/>
    <xf numFmtId="173" fontId="53" fillId="0" borderId="47" xfId="53" applyNumberFormat="1" applyFont="1" applyBorder="1"/>
    <xf numFmtId="173" fontId="54" fillId="21" borderId="14" xfId="53" applyNumberFormat="1" applyFont="1" applyFill="1" applyBorder="1"/>
    <xf numFmtId="173" fontId="54" fillId="0" borderId="47" xfId="53" applyNumberFormat="1" applyFont="1" applyBorder="1"/>
    <xf numFmtId="0" fontId="43" fillId="20" borderId="45" xfId="0" applyFont="1" applyFill="1" applyBorder="1"/>
    <xf numFmtId="173" fontId="55" fillId="20" borderId="14" xfId="53" applyNumberFormat="1" applyFont="1" applyFill="1" applyBorder="1"/>
    <xf numFmtId="173" fontId="55" fillId="20" borderId="47" xfId="53" applyNumberFormat="1" applyFont="1" applyFill="1" applyBorder="1"/>
    <xf numFmtId="0" fontId="0" fillId="0" borderId="48" xfId="0" applyBorder="1"/>
    <xf numFmtId="0" fontId="0" fillId="0" borderId="49" xfId="0" applyBorder="1"/>
    <xf numFmtId="173" fontId="54" fillId="0" borderId="14" xfId="53" applyNumberFormat="1" applyFont="1" applyBorder="1"/>
    <xf numFmtId="0" fontId="43" fillId="20" borderId="50" xfId="0" applyFont="1" applyFill="1" applyBorder="1"/>
    <xf numFmtId="173" fontId="43" fillId="20" borderId="14" xfId="53" applyNumberFormat="1" applyFont="1" applyFill="1" applyBorder="1"/>
    <xf numFmtId="173" fontId="43" fillId="20" borderId="47" xfId="53" applyNumberFormat="1" applyFont="1" applyFill="1" applyBorder="1"/>
    <xf numFmtId="0" fontId="53" fillId="0" borderId="51" xfId="0" applyFont="1" applyBorder="1"/>
    <xf numFmtId="0" fontId="43" fillId="20" borderId="51" xfId="0" applyFont="1" applyFill="1" applyBorder="1"/>
    <xf numFmtId="173" fontId="43" fillId="20" borderId="47" xfId="0" applyNumberFormat="1" applyFont="1" applyFill="1" applyBorder="1"/>
    <xf numFmtId="173" fontId="55" fillId="20" borderId="14" xfId="0" applyNumberFormat="1" applyFont="1" applyFill="1" applyBorder="1"/>
    <xf numFmtId="173" fontId="55" fillId="20" borderId="47" xfId="0" applyNumberFormat="1" applyFont="1" applyFill="1" applyBorder="1"/>
    <xf numFmtId="0" fontId="53" fillId="0" borderId="14" xfId="0" applyFont="1" applyBorder="1"/>
    <xf numFmtId="0" fontId="53" fillId="0" borderId="47" xfId="0" applyFont="1" applyBorder="1"/>
    <xf numFmtId="0" fontId="53" fillId="20" borderId="47" xfId="0" applyFont="1" applyFill="1" applyBorder="1"/>
    <xf numFmtId="173" fontId="53" fillId="20" borderId="14" xfId="0" applyNumberFormat="1" applyFont="1" applyFill="1" applyBorder="1"/>
    <xf numFmtId="173" fontId="53" fillId="20" borderId="47" xfId="0" applyNumberFormat="1" applyFont="1" applyFill="1" applyBorder="1"/>
    <xf numFmtId="173" fontId="54" fillId="0" borderId="14" xfId="0" applyNumberFormat="1" applyFont="1" applyBorder="1"/>
    <xf numFmtId="173" fontId="54" fillId="0" borderId="47" xfId="0" applyNumberFormat="1" applyFont="1" applyBorder="1"/>
    <xf numFmtId="173" fontId="55" fillId="20" borderId="52" xfId="0" applyNumberFormat="1" applyFont="1" applyFill="1" applyBorder="1"/>
    <xf numFmtId="9" fontId="35" fillId="0" borderId="5" xfId="713" applyFont="1" applyBorder="1"/>
    <xf numFmtId="0" fontId="20" fillId="10" borderId="11" xfId="0" applyFont="1" applyFill="1" applyBorder="1"/>
    <xf numFmtId="0" fontId="23" fillId="0" borderId="0" xfId="672" applyFont="1"/>
    <xf numFmtId="0" fontId="20" fillId="0" borderId="0" xfId="672" applyFont="1" applyAlignment="1">
      <alignment horizontal="center"/>
    </xf>
    <xf numFmtId="0" fontId="20" fillId="0" borderId="0" xfId="672" applyFont="1"/>
    <xf numFmtId="0" fontId="19" fillId="0" borderId="0" xfId="672" applyFont="1"/>
    <xf numFmtId="0" fontId="19" fillId="0" borderId="15" xfId="672" applyFont="1" applyBorder="1"/>
    <xf numFmtId="0" fontId="19" fillId="0" borderId="16" xfId="672" applyFont="1" applyBorder="1" applyAlignment="1">
      <alignment horizontal="center"/>
    </xf>
    <xf numFmtId="0" fontId="19" fillId="0" borderId="17" xfId="672" applyFont="1" applyBorder="1"/>
    <xf numFmtId="0" fontId="19" fillId="0" borderId="18" xfId="672" applyFont="1" applyBorder="1"/>
    <xf numFmtId="0" fontId="19" fillId="0" borderId="19" xfId="672" applyFont="1" applyBorder="1" applyAlignment="1">
      <alignment horizontal="center"/>
    </xf>
    <xf numFmtId="0" fontId="19" fillId="0" borderId="20" xfId="672" applyFont="1" applyBorder="1"/>
    <xf numFmtId="0" fontId="19" fillId="0" borderId="5" xfId="672" applyFont="1" applyBorder="1"/>
    <xf numFmtId="0" fontId="20" fillId="0" borderId="18" xfId="672" applyFont="1" applyBorder="1"/>
    <xf numFmtId="0" fontId="18" fillId="0" borderId="20" xfId="672" applyFont="1" applyBorder="1" applyAlignment="1">
      <alignment horizontal="center"/>
    </xf>
    <xf numFmtId="0" fontId="20" fillId="9" borderId="18" xfId="672" applyFont="1" applyFill="1" applyBorder="1"/>
    <xf numFmtId="171" fontId="18" fillId="0" borderId="19" xfId="715" applyNumberFormat="1" applyFont="1" applyBorder="1" applyAlignment="1">
      <alignment horizontal="center"/>
    </xf>
    <xf numFmtId="0" fontId="20" fillId="0" borderId="20" xfId="672" applyFont="1" applyBorder="1"/>
    <xf numFmtId="14" fontId="19" fillId="11" borderId="5" xfId="672" applyNumberFormat="1" applyFont="1" applyFill="1" applyBorder="1" applyAlignment="1">
      <alignment horizontal="center"/>
    </xf>
    <xf numFmtId="171" fontId="18" fillId="0" borderId="20" xfId="715" applyNumberFormat="1" applyFont="1" applyBorder="1" applyAlignment="1">
      <alignment horizontal="center"/>
    </xf>
    <xf numFmtId="0" fontId="20" fillId="0" borderId="19" xfId="672" applyFont="1" applyBorder="1" applyAlignment="1">
      <alignment horizontal="center"/>
    </xf>
    <xf numFmtId="171" fontId="18" fillId="0" borderId="5" xfId="715" applyNumberFormat="1" applyFont="1" applyBorder="1" applyAlignment="1">
      <alignment horizontal="right"/>
    </xf>
    <xf numFmtId="0" fontId="21" fillId="9" borderId="18" xfId="672" applyFont="1" applyFill="1" applyBorder="1"/>
    <xf numFmtId="9" fontId="20" fillId="0" borderId="5" xfId="718" applyFont="1" applyBorder="1" applyAlignment="1">
      <alignment horizontal="right"/>
    </xf>
    <xf numFmtId="173" fontId="18" fillId="0" borderId="5" xfId="56" applyNumberFormat="1" applyFont="1" applyBorder="1" applyAlignment="1">
      <alignment horizontal="right"/>
    </xf>
    <xf numFmtId="0" fontId="23" fillId="9" borderId="18" xfId="672" applyFont="1" applyFill="1" applyBorder="1"/>
    <xf numFmtId="14" fontId="19" fillId="11" borderId="5" xfId="672" applyNumberFormat="1" applyFont="1" applyFill="1" applyBorder="1" applyAlignment="1">
      <alignment horizontal="right"/>
    </xf>
    <xf numFmtId="9" fontId="20" fillId="0" borderId="5" xfId="715" applyFont="1" applyBorder="1" applyAlignment="1">
      <alignment horizontal="right"/>
    </xf>
    <xf numFmtId="0" fontId="20" fillId="0" borderId="5" xfId="672" applyFont="1" applyBorder="1" applyAlignment="1">
      <alignment horizontal="right"/>
    </xf>
    <xf numFmtId="9" fontId="18" fillId="0" borderId="19" xfId="672" applyNumberFormat="1" applyFont="1" applyBorder="1" applyAlignment="1">
      <alignment horizontal="center"/>
    </xf>
    <xf numFmtId="171" fontId="20" fillId="9" borderId="18" xfId="715" applyNumberFormat="1" applyFont="1" applyFill="1" applyBorder="1"/>
    <xf numFmtId="171" fontId="20" fillId="0" borderId="5" xfId="715" applyNumberFormat="1" applyFont="1" applyBorder="1" applyAlignment="1">
      <alignment horizontal="right"/>
    </xf>
    <xf numFmtId="0" fontId="20" fillId="9" borderId="21" xfId="672" applyFont="1" applyFill="1" applyBorder="1"/>
    <xf numFmtId="9" fontId="18" fillId="0" borderId="22" xfId="672" applyNumberFormat="1" applyFont="1" applyBorder="1" applyAlignment="1">
      <alignment horizontal="center"/>
    </xf>
    <xf numFmtId="0" fontId="18" fillId="0" borderId="23" xfId="672" applyFont="1" applyBorder="1" applyAlignment="1">
      <alignment horizontal="center"/>
    </xf>
    <xf numFmtId="171" fontId="18" fillId="0" borderId="11" xfId="715" applyNumberFormat="1" applyFont="1" applyBorder="1" applyAlignment="1">
      <alignment horizontal="right"/>
    </xf>
    <xf numFmtId="171" fontId="20" fillId="0" borderId="0" xfId="715" applyNumberFormat="1" applyFont="1" applyBorder="1"/>
    <xf numFmtId="0" fontId="48" fillId="22" borderId="5" xfId="0" applyFont="1" applyFill="1" applyBorder="1"/>
    <xf numFmtId="43" fontId="35" fillId="0" borderId="5" xfId="53" applyFont="1" applyBorder="1"/>
    <xf numFmtId="0" fontId="56" fillId="0" borderId="0" xfId="0" applyFont="1"/>
    <xf numFmtId="0" fontId="52" fillId="0" borderId="24" xfId="540" applyFont="1" applyBorder="1" applyAlignment="1">
      <alignment horizontal="left" vertical="top" wrapText="1"/>
    </xf>
    <xf numFmtId="0" fontId="48" fillId="0" borderId="24" xfId="494" applyFont="1" applyBorder="1" applyAlignment="1">
      <alignment wrapText="1"/>
    </xf>
    <xf numFmtId="43" fontId="57" fillId="0" borderId="24" xfId="186" applyFont="1" applyBorder="1" applyAlignment="1">
      <alignment wrapText="1"/>
    </xf>
    <xf numFmtId="0" fontId="52" fillId="0" borderId="24" xfId="494" applyFont="1" applyBorder="1" applyAlignment="1">
      <alignment wrapText="1"/>
    </xf>
    <xf numFmtId="43" fontId="57" fillId="0" borderId="0" xfId="186" applyFont="1" applyBorder="1" applyAlignment="1">
      <alignment wrapText="1"/>
    </xf>
    <xf numFmtId="43" fontId="57" fillId="0" borderId="24" xfId="186" applyFont="1" applyBorder="1" applyAlignment="1">
      <alignment horizontal="center" wrapText="1"/>
    </xf>
    <xf numFmtId="17" fontId="58" fillId="0" borderId="0" xfId="0" applyNumberFormat="1" applyFont="1" applyAlignment="1">
      <alignment horizontal="right"/>
    </xf>
    <xf numFmtId="1" fontId="48" fillId="0" borderId="24" xfId="494" applyNumberFormat="1" applyFont="1" applyBorder="1" applyAlignment="1">
      <alignment wrapText="1"/>
    </xf>
    <xf numFmtId="0" fontId="0" fillId="0" borderId="0" xfId="0" applyProtection="1">
      <protection locked="0"/>
    </xf>
    <xf numFmtId="0" fontId="42" fillId="0" borderId="9" xfId="0" applyFont="1" applyBorder="1" applyAlignment="1">
      <alignment horizontal="center"/>
    </xf>
    <xf numFmtId="0" fontId="42" fillId="0" borderId="20" xfId="0" applyFont="1" applyBorder="1" applyAlignment="1">
      <alignment horizontal="right"/>
    </xf>
    <xf numFmtId="0" fontId="42" fillId="0" borderId="5" xfId="0" applyFont="1" applyBorder="1" applyAlignment="1" applyProtection="1">
      <alignment horizontal="right"/>
      <protection locked="0"/>
    </xf>
    <xf numFmtId="17" fontId="42" fillId="0" borderId="0" xfId="0" applyNumberFormat="1" applyFont="1" applyProtection="1">
      <protection locked="0"/>
    </xf>
    <xf numFmtId="17" fontId="42" fillId="0" borderId="8" xfId="0" applyNumberFormat="1" applyFont="1" applyBorder="1" applyAlignment="1" applyProtection="1">
      <alignment horizontal="right" wrapText="1"/>
      <protection locked="0"/>
    </xf>
    <xf numFmtId="0" fontId="59" fillId="0" borderId="9" xfId="0" applyFont="1" applyBorder="1"/>
    <xf numFmtId="0" fontId="59" fillId="0" borderId="5" xfId="0" applyFont="1" applyBorder="1" applyAlignment="1">
      <alignment horizontal="center"/>
    </xf>
    <xf numFmtId="173" fontId="59" fillId="0" borderId="5" xfId="56" applyNumberFormat="1" applyFont="1" applyBorder="1" applyAlignment="1" applyProtection="1">
      <alignment horizontal="right"/>
    </xf>
    <xf numFmtId="9" fontId="59" fillId="0" borderId="5" xfId="0" applyNumberFormat="1" applyFont="1" applyBorder="1" applyAlignment="1">
      <alignment horizontal="center"/>
    </xf>
    <xf numFmtId="171" fontId="59" fillId="0" borderId="5" xfId="713" applyNumberFormat="1" applyFont="1" applyBorder="1" applyAlignment="1" applyProtection="1">
      <alignment horizontal="right"/>
    </xf>
    <xf numFmtId="171" fontId="35" fillId="21" borderId="5" xfId="713" applyNumberFormat="1" applyFont="1" applyFill="1" applyBorder="1" applyAlignment="1" applyProtection="1">
      <alignment horizontal="right"/>
    </xf>
    <xf numFmtId="0" fontId="59" fillId="21" borderId="9" xfId="0" applyFont="1" applyFill="1" applyBorder="1"/>
    <xf numFmtId="171" fontId="59" fillId="21" borderId="5" xfId="713" applyNumberFormat="1" applyFont="1" applyFill="1" applyBorder="1" applyAlignment="1" applyProtection="1">
      <alignment horizontal="right"/>
    </xf>
    <xf numFmtId="0" fontId="0" fillId="21" borderId="0" xfId="0" applyFill="1" applyProtection="1">
      <protection locked="0"/>
    </xf>
    <xf numFmtId="171" fontId="59" fillId="0" borderId="5" xfId="713" applyNumberFormat="1" applyFont="1" applyFill="1" applyBorder="1" applyAlignment="1" applyProtection="1">
      <alignment horizontal="right"/>
    </xf>
    <xf numFmtId="0" fontId="59" fillId="21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71" fontId="2" fillId="0" borderId="0" xfId="715" applyNumberFormat="1" applyFont="1" applyProtection="1">
      <protection locked="0"/>
    </xf>
    <xf numFmtId="171" fontId="35" fillId="0" borderId="0" xfId="715" applyNumberFormat="1" applyFont="1" applyProtection="1">
      <protection locked="0"/>
    </xf>
    <xf numFmtId="0" fontId="59" fillId="21" borderId="9" xfId="0" applyFont="1" applyFill="1" applyBorder="1" applyAlignment="1">
      <alignment horizontal="left"/>
    </xf>
    <xf numFmtId="9" fontId="59" fillId="21" borderId="5" xfId="0" applyNumberFormat="1" applyFont="1" applyFill="1" applyBorder="1" applyAlignment="1">
      <alignment horizontal="center"/>
    </xf>
    <xf numFmtId="0" fontId="60" fillId="0" borderId="9" xfId="0" applyFont="1" applyBorder="1"/>
    <xf numFmtId="0" fontId="44" fillId="0" borderId="5" xfId="0" applyFont="1" applyBorder="1" applyAlignment="1">
      <alignment horizontal="center"/>
    </xf>
    <xf numFmtId="171" fontId="60" fillId="0" borderId="5" xfId="713" applyNumberFormat="1" applyFont="1" applyBorder="1" applyProtection="1"/>
    <xf numFmtId="171" fontId="60" fillId="0" borderId="5" xfId="713" applyNumberFormat="1" applyFont="1" applyBorder="1" applyAlignment="1" applyProtection="1">
      <alignment horizontal="right"/>
    </xf>
    <xf numFmtId="43" fontId="60" fillId="0" borderId="5" xfId="53" applyFont="1" applyBorder="1" applyAlignment="1" applyProtection="1">
      <alignment horizontal="center"/>
    </xf>
    <xf numFmtId="43" fontId="60" fillId="0" borderId="5" xfId="53" applyFont="1" applyBorder="1" applyProtection="1">
      <protection locked="0"/>
    </xf>
    <xf numFmtId="43" fontId="11" fillId="0" borderId="5" xfId="53" applyFont="1" applyBorder="1" applyProtection="1">
      <protection locked="0"/>
    </xf>
    <xf numFmtId="43" fontId="20" fillId="0" borderId="5" xfId="53" applyFont="1" applyBorder="1" applyProtection="1"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20" xfId="0" applyBorder="1" applyProtection="1">
      <protection locked="0"/>
    </xf>
    <xf numFmtId="0" fontId="44" fillId="0" borderId="8" xfId="0" applyFont="1" applyBorder="1" applyProtection="1">
      <protection locked="0"/>
    </xf>
    <xf numFmtId="0" fontId="59" fillId="21" borderId="9" xfId="0" applyFont="1" applyFill="1" applyBorder="1" applyAlignment="1" applyProtection="1">
      <alignment horizontal="left"/>
      <protection locked="0"/>
    </xf>
    <xf numFmtId="0" fontId="42" fillId="21" borderId="9" xfId="0" applyFont="1" applyFill="1" applyBorder="1"/>
    <xf numFmtId="0" fontId="0" fillId="0" borderId="5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left"/>
      <protection locked="0"/>
    </xf>
    <xf numFmtId="0" fontId="44" fillId="0" borderId="8" xfId="0" applyFont="1" applyBorder="1" applyAlignment="1" applyProtection="1">
      <alignment horizontal="left"/>
      <protection locked="0"/>
    </xf>
    <xf numFmtId="0" fontId="42" fillId="21" borderId="25" xfId="0" applyFont="1" applyFill="1" applyBorder="1"/>
    <xf numFmtId="0" fontId="0" fillId="0" borderId="13" xfId="0" applyBorder="1" applyAlignment="1" applyProtection="1">
      <alignment horizontal="center"/>
      <protection locked="0"/>
    </xf>
    <xf numFmtId="0" fontId="42" fillId="21" borderId="10" xfId="0" applyFont="1" applyFill="1" applyBorder="1"/>
    <xf numFmtId="0" fontId="0" fillId="0" borderId="11" xfId="0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23" xfId="0" applyBorder="1" applyProtection="1">
      <protection locked="0"/>
    </xf>
    <xf numFmtId="0" fontId="44" fillId="0" borderId="12" xfId="0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44" fillId="0" borderId="0" xfId="0" applyFont="1" applyProtection="1">
      <protection locked="0"/>
    </xf>
    <xf numFmtId="0" fontId="27" fillId="0" borderId="0" xfId="0" applyFont="1"/>
    <xf numFmtId="0" fontId="18" fillId="0" borderId="0" xfId="0" applyFont="1"/>
    <xf numFmtId="0" fontId="2" fillId="0" borderId="0" xfId="524"/>
    <xf numFmtId="43" fontId="11" fillId="0" borderId="5" xfId="248" applyFont="1" applyBorder="1" applyProtection="1">
      <protection locked="0"/>
    </xf>
    <xf numFmtId="0" fontId="61" fillId="21" borderId="26" xfId="0" applyFont="1" applyFill="1" applyBorder="1"/>
    <xf numFmtId="165" fontId="29" fillId="0" borderId="27" xfId="0" applyNumberFormat="1" applyFont="1" applyBorder="1" applyAlignment="1" applyProtection="1">
      <alignment vertical="top" wrapText="1" readingOrder="1"/>
      <protection locked="0"/>
    </xf>
    <xf numFmtId="10" fontId="56" fillId="0" borderId="0" xfId="713" applyNumberFormat="1" applyFont="1"/>
    <xf numFmtId="9" fontId="20" fillId="0" borderId="0" xfId="713" applyFont="1"/>
    <xf numFmtId="9" fontId="20" fillId="0" borderId="5" xfId="713" applyFont="1" applyBorder="1"/>
    <xf numFmtId="0" fontId="17" fillId="23" borderId="28" xfId="672" applyFont="1" applyFill="1" applyBorder="1"/>
    <xf numFmtId="0" fontId="17" fillId="23" borderId="29" xfId="672" applyFont="1" applyFill="1" applyBorder="1" applyAlignment="1">
      <alignment horizontal="center"/>
    </xf>
    <xf numFmtId="0" fontId="17" fillId="23" borderId="0" xfId="672" applyFont="1" applyFill="1" applyAlignment="1">
      <alignment horizontal="center"/>
    </xf>
    <xf numFmtId="17" fontId="17" fillId="23" borderId="5" xfId="672" applyNumberFormat="1" applyFont="1" applyFill="1" applyBorder="1" applyAlignment="1">
      <alignment wrapText="1"/>
    </xf>
    <xf numFmtId="0" fontId="17" fillId="23" borderId="18" xfId="672" applyFont="1" applyFill="1" applyBorder="1"/>
    <xf numFmtId="0" fontId="17" fillId="23" borderId="19" xfId="672" applyFont="1" applyFill="1" applyBorder="1" applyAlignment="1">
      <alignment horizontal="center"/>
    </xf>
    <xf numFmtId="0" fontId="17" fillId="23" borderId="20" xfId="672" applyFont="1" applyFill="1" applyBorder="1"/>
    <xf numFmtId="0" fontId="17" fillId="23" borderId="0" xfId="672" applyFont="1" applyFill="1"/>
    <xf numFmtId="0" fontId="11" fillId="0" borderId="18" xfId="672" applyFont="1" applyBorder="1"/>
    <xf numFmtId="0" fontId="26" fillId="0" borderId="19" xfId="672" applyFont="1" applyBorder="1" applyAlignment="1">
      <alignment horizontal="center"/>
    </xf>
    <xf numFmtId="0" fontId="26" fillId="0" borderId="20" xfId="672" applyFont="1" applyBorder="1" applyAlignment="1">
      <alignment horizontal="center"/>
    </xf>
    <xf numFmtId="173" fontId="11" fillId="0" borderId="5" xfId="136" applyNumberFormat="1" applyFont="1" applyBorder="1" applyAlignment="1">
      <alignment horizontal="right"/>
    </xf>
    <xf numFmtId="171" fontId="26" fillId="0" borderId="5" xfId="715" applyNumberFormat="1" applyFont="1" applyBorder="1"/>
    <xf numFmtId="0" fontId="11" fillId="9" borderId="18" xfId="672" applyFont="1" applyFill="1" applyBorder="1"/>
    <xf numFmtId="9" fontId="26" fillId="0" borderId="19" xfId="715" applyFont="1" applyBorder="1" applyAlignment="1">
      <alignment horizontal="center"/>
    </xf>
    <xf numFmtId="9" fontId="26" fillId="0" borderId="20" xfId="715" applyFont="1" applyBorder="1" applyAlignment="1">
      <alignment horizontal="center"/>
    </xf>
    <xf numFmtId="0" fontId="17" fillId="0" borderId="18" xfId="672" applyFont="1" applyBorder="1"/>
    <xf numFmtId="0" fontId="17" fillId="0" borderId="19" xfId="672" applyFont="1" applyBorder="1" applyAlignment="1">
      <alignment horizontal="center"/>
    </xf>
    <xf numFmtId="0" fontId="17" fillId="0" borderId="20" xfId="672" applyFont="1" applyBorder="1"/>
    <xf numFmtId="0" fontId="17" fillId="0" borderId="5" xfId="672" applyFont="1" applyBorder="1"/>
    <xf numFmtId="0" fontId="17" fillId="23" borderId="5" xfId="672" applyFont="1" applyFill="1" applyBorder="1"/>
    <xf numFmtId="171" fontId="26" fillId="0" borderId="9" xfId="715" applyNumberFormat="1" applyFont="1" applyBorder="1"/>
    <xf numFmtId="0" fontId="26" fillId="23" borderId="19" xfId="672" applyFont="1" applyFill="1" applyBorder="1" applyAlignment="1">
      <alignment horizontal="center"/>
    </xf>
    <xf numFmtId="0" fontId="26" fillId="23" borderId="20" xfId="672" applyFont="1" applyFill="1" applyBorder="1" applyAlignment="1">
      <alignment horizontal="center"/>
    </xf>
    <xf numFmtId="171" fontId="26" fillId="23" borderId="5" xfId="715" applyNumberFormat="1" applyFont="1" applyFill="1" applyBorder="1"/>
    <xf numFmtId="171" fontId="26" fillId="0" borderId="19" xfId="715" applyNumberFormat="1" applyFont="1" applyBorder="1" applyAlignment="1">
      <alignment horizontal="center"/>
    </xf>
    <xf numFmtId="0" fontId="11" fillId="0" borderId="20" xfId="672" applyFont="1" applyBorder="1"/>
    <xf numFmtId="14" fontId="17" fillId="23" borderId="5" xfId="672" applyNumberFormat="1" applyFont="1" applyFill="1" applyBorder="1" applyAlignment="1">
      <alignment horizontal="center"/>
    </xf>
    <xf numFmtId="171" fontId="26" fillId="0" borderId="20" xfId="715" applyNumberFormat="1" applyFont="1" applyBorder="1" applyAlignment="1">
      <alignment horizontal="center"/>
    </xf>
    <xf numFmtId="0" fontId="33" fillId="0" borderId="18" xfId="672" applyFont="1" applyBorder="1"/>
    <xf numFmtId="171" fontId="32" fillId="0" borderId="19" xfId="715" applyNumberFormat="1" applyFont="1" applyBorder="1" applyAlignment="1">
      <alignment horizontal="center"/>
    </xf>
    <xf numFmtId="171" fontId="32" fillId="0" borderId="20" xfId="715" applyNumberFormat="1" applyFont="1" applyBorder="1" applyAlignment="1">
      <alignment horizontal="center"/>
    </xf>
    <xf numFmtId="171" fontId="32" fillId="0" borderId="5" xfId="715" applyNumberFormat="1" applyFont="1" applyBorder="1"/>
    <xf numFmtId="17" fontId="34" fillId="27" borderId="19" xfId="0" applyNumberFormat="1" applyFont="1" applyFill="1" applyBorder="1" applyAlignment="1" applyProtection="1">
      <alignment vertical="top" wrapText="1" readingOrder="1"/>
      <protection locked="0"/>
    </xf>
    <xf numFmtId="0" fontId="62" fillId="27" borderId="0" xfId="0" applyFont="1" applyFill="1"/>
    <xf numFmtId="165" fontId="66" fillId="0" borderId="27" xfId="0" applyNumberFormat="1" applyFont="1" applyBorder="1" applyAlignment="1" applyProtection="1">
      <alignment vertical="top" wrapText="1" readingOrder="1"/>
      <protection locked="0"/>
    </xf>
    <xf numFmtId="0" fontId="67" fillId="0" borderId="0" xfId="0" applyFont="1" applyAlignment="1" applyProtection="1">
      <alignment vertical="top" wrapText="1" readingOrder="1"/>
      <protection locked="0"/>
    </xf>
    <xf numFmtId="0" fontId="68" fillId="0" borderId="5" xfId="0" applyFont="1" applyBorder="1" applyAlignment="1" applyProtection="1">
      <alignment vertical="top" wrapText="1" readingOrder="1"/>
      <protection locked="0"/>
    </xf>
    <xf numFmtId="0" fontId="69" fillId="0" borderId="5" xfId="0" applyFont="1" applyBorder="1" applyAlignment="1" applyProtection="1">
      <alignment vertical="top" wrapText="1" readingOrder="1"/>
      <protection locked="0"/>
    </xf>
    <xf numFmtId="0" fontId="70" fillId="0" borderId="5" xfId="0" applyFont="1" applyBorder="1" applyAlignment="1" applyProtection="1">
      <alignment vertical="top" wrapText="1" readingOrder="1"/>
      <protection locked="0"/>
    </xf>
    <xf numFmtId="0" fontId="47" fillId="0" borderId="0" xfId="0" applyFont="1"/>
    <xf numFmtId="43" fontId="69" fillId="20" borderId="5" xfId="53" applyFont="1" applyFill="1" applyBorder="1" applyAlignment="1" applyProtection="1">
      <alignment vertical="top" wrapText="1" readingOrder="1"/>
      <protection locked="0"/>
    </xf>
    <xf numFmtId="0" fontId="56" fillId="0" borderId="5" xfId="0" applyFont="1" applyBorder="1"/>
    <xf numFmtId="175" fontId="56" fillId="0" borderId="0" xfId="0" applyNumberFormat="1" applyFont="1"/>
    <xf numFmtId="17" fontId="69" fillId="8" borderId="5" xfId="0" applyNumberFormat="1" applyFont="1" applyFill="1" applyBorder="1" applyAlignment="1" applyProtection="1">
      <alignment vertical="top" wrapText="1" readingOrder="1"/>
      <protection locked="0"/>
    </xf>
    <xf numFmtId="0" fontId="47" fillId="22" borderId="5" xfId="0" applyFont="1" applyFill="1" applyBorder="1"/>
    <xf numFmtId="165" fontId="70" fillId="0" borderId="5" xfId="0" applyNumberFormat="1" applyFont="1" applyBorder="1" applyAlignment="1" applyProtection="1">
      <alignment vertical="top" wrapText="1" readingOrder="1"/>
      <protection locked="0"/>
    </xf>
    <xf numFmtId="4" fontId="56" fillId="0" borderId="5" xfId="0" applyNumberFormat="1" applyFont="1" applyBorder="1"/>
    <xf numFmtId="43" fontId="56" fillId="0" borderId="5" xfId="0" applyNumberFormat="1" applyFont="1" applyBorder="1"/>
    <xf numFmtId="4" fontId="47" fillId="0" borderId="5" xfId="0" applyNumberFormat="1" applyFont="1" applyBorder="1"/>
    <xf numFmtId="43" fontId="47" fillId="0" borderId="5" xfId="0" applyNumberFormat="1" applyFont="1" applyBorder="1"/>
    <xf numFmtId="173" fontId="56" fillId="0" borderId="5" xfId="0" applyNumberFormat="1" applyFont="1" applyBorder="1"/>
    <xf numFmtId="165" fontId="70" fillId="12" borderId="5" xfId="0" applyNumberFormat="1" applyFont="1" applyFill="1" applyBorder="1" applyAlignment="1" applyProtection="1">
      <alignment vertical="top" wrapText="1" readingOrder="1"/>
      <protection locked="0"/>
    </xf>
    <xf numFmtId="4" fontId="71" fillId="0" borderId="5" xfId="0" applyNumberFormat="1" applyFont="1" applyBorder="1" applyAlignment="1">
      <alignment wrapText="1" readingOrder="1"/>
    </xf>
    <xf numFmtId="4" fontId="71" fillId="0" borderId="5" xfId="0" applyNumberFormat="1" applyFont="1" applyBorder="1" applyAlignment="1">
      <alignment readingOrder="1"/>
    </xf>
    <xf numFmtId="173" fontId="71" fillId="0" borderId="5" xfId="0" applyNumberFormat="1" applyFont="1" applyBorder="1" applyAlignment="1">
      <alignment readingOrder="1"/>
    </xf>
    <xf numFmtId="166" fontId="70" fillId="0" borderId="5" xfId="0" applyNumberFormat="1" applyFont="1" applyBorder="1" applyAlignment="1" applyProtection="1">
      <alignment vertical="top" wrapText="1" readingOrder="1"/>
      <protection locked="0"/>
    </xf>
    <xf numFmtId="43" fontId="70" fillId="0" borderId="5" xfId="53" applyFont="1" applyBorder="1" applyAlignment="1" applyProtection="1">
      <alignment vertical="top" wrapText="1" readingOrder="1"/>
      <protection locked="0"/>
    </xf>
    <xf numFmtId="0" fontId="56" fillId="0" borderId="5" xfId="0" applyFont="1" applyBorder="1" applyAlignment="1">
      <alignment wrapText="1" readingOrder="1"/>
    </xf>
    <xf numFmtId="165" fontId="56" fillId="0" borderId="5" xfId="0" applyNumberFormat="1" applyFont="1" applyBorder="1" applyAlignment="1">
      <alignment wrapText="1" readingOrder="1"/>
    </xf>
    <xf numFmtId="17" fontId="47" fillId="22" borderId="5" xfId="0" applyNumberFormat="1" applyFont="1" applyFill="1" applyBorder="1"/>
    <xf numFmtId="43" fontId="72" fillId="20" borderId="5" xfId="53" applyFont="1" applyFill="1" applyBorder="1" applyAlignment="1" applyProtection="1">
      <alignment vertical="top" wrapText="1" readingOrder="1"/>
      <protection locked="0"/>
    </xf>
    <xf numFmtId="4" fontId="73" fillId="0" borderId="0" xfId="0" applyNumberFormat="1" applyFont="1"/>
    <xf numFmtId="0" fontId="73" fillId="0" borderId="0" xfId="0" applyFont="1"/>
    <xf numFmtId="4" fontId="58" fillId="0" borderId="0" xfId="0" applyNumberFormat="1" applyFont="1"/>
    <xf numFmtId="4" fontId="74" fillId="0" borderId="53" xfId="0" applyNumberFormat="1" applyFont="1" applyBorder="1" applyAlignment="1">
      <alignment wrapText="1" readingOrder="1"/>
    </xf>
    <xf numFmtId="4" fontId="74" fillId="0" borderId="54" xfId="0" applyNumberFormat="1" applyFont="1" applyBorder="1" applyAlignment="1">
      <alignment wrapText="1" readingOrder="1"/>
    </xf>
    <xf numFmtId="0" fontId="74" fillId="0" borderId="55" xfId="0" applyFont="1" applyBorder="1" applyAlignment="1">
      <alignment wrapText="1" readingOrder="1"/>
    </xf>
    <xf numFmtId="0" fontId="74" fillId="0" borderId="56" xfId="0" applyFont="1" applyBorder="1" applyAlignment="1">
      <alignment wrapText="1" readingOrder="1"/>
    </xf>
    <xf numFmtId="4" fontId="74" fillId="0" borderId="56" xfId="0" applyNumberFormat="1" applyFont="1" applyBorder="1" applyAlignment="1">
      <alignment wrapText="1" readingOrder="1"/>
    </xf>
    <xf numFmtId="4" fontId="74" fillId="0" borderId="55" xfId="0" applyNumberFormat="1" applyFont="1" applyBorder="1" applyAlignment="1">
      <alignment wrapText="1" readingOrder="1"/>
    </xf>
    <xf numFmtId="43" fontId="72" fillId="24" borderId="5" xfId="53" applyFont="1" applyFill="1" applyBorder="1" applyAlignment="1" applyProtection="1">
      <alignment vertical="top" wrapText="1" readingOrder="1"/>
      <protection locked="0"/>
    </xf>
    <xf numFmtId="43" fontId="58" fillId="0" borderId="5" xfId="53" applyFont="1" applyBorder="1"/>
    <xf numFmtId="0" fontId="75" fillId="0" borderId="0" xfId="0" applyFont="1" applyAlignment="1" applyProtection="1">
      <alignment vertical="top" wrapText="1" readingOrder="1"/>
      <protection locked="0"/>
    </xf>
    <xf numFmtId="0" fontId="76" fillId="0" borderId="5" xfId="0" applyFont="1" applyBorder="1" applyAlignment="1" applyProtection="1">
      <alignment vertical="top" wrapText="1" readingOrder="1"/>
      <protection locked="0"/>
    </xf>
    <xf numFmtId="17" fontId="72" fillId="8" borderId="5" xfId="0" applyNumberFormat="1" applyFont="1" applyFill="1" applyBorder="1" applyAlignment="1" applyProtection="1">
      <alignment vertical="top" wrapText="1" readingOrder="1"/>
      <protection locked="0"/>
    </xf>
    <xf numFmtId="17" fontId="72" fillId="8" borderId="19" xfId="0" applyNumberFormat="1" applyFont="1" applyFill="1" applyBorder="1" applyAlignment="1" applyProtection="1">
      <alignment vertical="top" wrapText="1" readingOrder="1"/>
      <protection locked="0"/>
    </xf>
    <xf numFmtId="0" fontId="58" fillId="22" borderId="0" xfId="0" applyFont="1" applyFill="1"/>
    <xf numFmtId="43" fontId="72" fillId="0" borderId="5" xfId="53" applyFont="1" applyBorder="1" applyAlignment="1" applyProtection="1">
      <alignment vertical="top" wrapText="1" readingOrder="1"/>
      <protection locked="0"/>
    </xf>
    <xf numFmtId="165" fontId="77" fillId="12" borderId="27" xfId="0" applyNumberFormat="1" applyFont="1" applyFill="1" applyBorder="1" applyAlignment="1" applyProtection="1">
      <alignment vertical="top" wrapText="1" readingOrder="1"/>
      <protection locked="0"/>
    </xf>
    <xf numFmtId="43" fontId="77" fillId="0" borderId="5" xfId="53" applyFont="1" applyBorder="1" applyAlignment="1" applyProtection="1">
      <alignment vertical="top" wrapText="1" readingOrder="1"/>
      <protection locked="0"/>
    </xf>
    <xf numFmtId="165" fontId="77" fillId="0" borderId="27" xfId="0" applyNumberFormat="1" applyFont="1" applyBorder="1" applyAlignment="1" applyProtection="1">
      <alignment vertical="top" wrapText="1" readingOrder="1"/>
      <protection locked="0"/>
    </xf>
    <xf numFmtId="43" fontId="73" fillId="0" borderId="0" xfId="0" applyNumberFormat="1" applyFont="1"/>
    <xf numFmtId="43" fontId="73" fillId="0" borderId="0" xfId="53" applyFont="1"/>
    <xf numFmtId="43" fontId="58" fillId="0" borderId="0" xfId="0" applyNumberFormat="1" applyFont="1"/>
    <xf numFmtId="0" fontId="58" fillId="0" borderId="0" xfId="0" applyFont="1"/>
    <xf numFmtId="43" fontId="72" fillId="13" borderId="5" xfId="53" applyFont="1" applyFill="1" applyBorder="1" applyAlignment="1" applyProtection="1">
      <alignment vertical="top" wrapText="1" readingOrder="1"/>
      <protection locked="0"/>
    </xf>
    <xf numFmtId="0" fontId="78" fillId="8" borderId="27" xfId="0" applyFont="1" applyFill="1" applyBorder="1" applyAlignment="1" applyProtection="1">
      <alignment vertical="top" wrapText="1" readingOrder="1"/>
      <protection locked="0"/>
    </xf>
    <xf numFmtId="17" fontId="47" fillId="0" borderId="0" xfId="0" applyNumberFormat="1" applyFont="1"/>
    <xf numFmtId="43" fontId="79" fillId="0" borderId="0" xfId="186" applyFont="1" applyBorder="1" applyAlignment="1">
      <alignment wrapText="1"/>
    </xf>
    <xf numFmtId="10" fontId="47" fillId="0" borderId="0" xfId="713" applyNumberFormat="1" applyFont="1"/>
    <xf numFmtId="165" fontId="80" fillId="12" borderId="27" xfId="0" applyNumberFormat="1" applyFont="1" applyFill="1" applyBorder="1" applyAlignment="1" applyProtection="1">
      <alignment vertical="top" wrapText="1" readingOrder="1"/>
      <protection locked="0"/>
    </xf>
    <xf numFmtId="165" fontId="80" fillId="0" borderId="27" xfId="0" applyNumberFormat="1" applyFont="1" applyBorder="1" applyAlignment="1" applyProtection="1">
      <alignment vertical="top" wrapText="1" readingOrder="1"/>
      <protection locked="0"/>
    </xf>
    <xf numFmtId="166" fontId="80" fillId="0" borderId="27" xfId="0" applyNumberFormat="1" applyFont="1" applyBorder="1" applyAlignment="1" applyProtection="1">
      <alignment vertical="top" wrapText="1" readingOrder="1"/>
      <protection locked="0"/>
    </xf>
    <xf numFmtId="165" fontId="81" fillId="12" borderId="27" xfId="0" applyNumberFormat="1" applyFont="1" applyFill="1" applyBorder="1" applyAlignment="1" applyProtection="1">
      <alignment vertical="top" wrapText="1" readingOrder="1"/>
      <protection locked="0"/>
    </xf>
    <xf numFmtId="165" fontId="81" fillId="0" borderId="27" xfId="0" applyNumberFormat="1" applyFont="1" applyBorder="1" applyAlignment="1" applyProtection="1">
      <alignment vertical="top" wrapText="1" readingOrder="1"/>
      <protection locked="0"/>
    </xf>
    <xf numFmtId="3" fontId="82" fillId="0" borderId="0" xfId="0" applyNumberFormat="1" applyFont="1" applyAlignment="1">
      <alignment horizontal="right" vertical="center" wrapText="1"/>
    </xf>
    <xf numFmtId="3" fontId="82" fillId="0" borderId="0" xfId="0" applyNumberFormat="1" applyFont="1"/>
    <xf numFmtId="0" fontId="82" fillId="0" borderId="0" xfId="0" applyFont="1" applyAlignment="1">
      <alignment horizontal="right" vertical="center" wrapText="1"/>
    </xf>
    <xf numFmtId="3" fontId="40" fillId="0" borderId="0" xfId="0" applyNumberFormat="1" applyFont="1" applyAlignment="1">
      <alignment horizontal="right" vertical="center" wrapText="1"/>
    </xf>
    <xf numFmtId="0" fontId="40" fillId="0" borderId="0" xfId="0" applyFont="1" applyAlignment="1">
      <alignment horizontal="right" vertical="center" wrapText="1"/>
    </xf>
    <xf numFmtId="164" fontId="73" fillId="0" borderId="0" xfId="0" applyNumberFormat="1" applyFont="1"/>
    <xf numFmtId="0" fontId="40" fillId="0" borderId="57" xfId="0" applyFont="1" applyBorder="1" applyAlignment="1">
      <alignment horizontal="right" vertical="center" wrapText="1"/>
    </xf>
    <xf numFmtId="43" fontId="56" fillId="0" borderId="0" xfId="53" applyFont="1"/>
    <xf numFmtId="43" fontId="47" fillId="22" borderId="5" xfId="53" applyFont="1" applyFill="1" applyBorder="1"/>
    <xf numFmtId="43" fontId="47" fillId="0" borderId="0" xfId="53" applyFont="1"/>
    <xf numFmtId="17" fontId="42" fillId="0" borderId="0" xfId="0" applyNumberFormat="1" applyFont="1"/>
    <xf numFmtId="0" fontId="47" fillId="0" borderId="9" xfId="494" applyFont="1" applyBorder="1" applyAlignment="1">
      <alignment horizontal="left" vertical="top"/>
    </xf>
    <xf numFmtId="0" fontId="47" fillId="0" borderId="9" xfId="494" applyFont="1" applyBorder="1" applyAlignment="1">
      <alignment horizontal="left" vertical="top" wrapText="1"/>
    </xf>
    <xf numFmtId="0" fontId="63" fillId="0" borderId="9" xfId="0" applyFont="1" applyBorder="1" applyAlignment="1">
      <alignment horizontal="center" vertical="top" wrapText="1"/>
    </xf>
    <xf numFmtId="0" fontId="62" fillId="0" borderId="0" xfId="0" applyFont="1" applyAlignment="1">
      <alignment horizontal="center"/>
    </xf>
    <xf numFmtId="0" fontId="63" fillId="0" borderId="9" xfId="0" applyFont="1" applyBorder="1" applyAlignment="1">
      <alignment horizontal="center" vertical="top"/>
    </xf>
    <xf numFmtId="0" fontId="43" fillId="0" borderId="0" xfId="0" applyFont="1" applyAlignment="1">
      <alignment horizontal="center"/>
    </xf>
    <xf numFmtId="0" fontId="65" fillId="26" borderId="36" xfId="0" applyFont="1" applyFill="1" applyBorder="1" applyAlignment="1">
      <alignment horizontal="left"/>
    </xf>
    <xf numFmtId="0" fontId="65" fillId="26" borderId="37" xfId="0" applyFont="1" applyFill="1" applyBorder="1" applyAlignment="1">
      <alignment horizontal="left"/>
    </xf>
    <xf numFmtId="0" fontId="65" fillId="26" borderId="38" xfId="0" applyFont="1" applyFill="1" applyBorder="1" applyAlignment="1">
      <alignment horizontal="left"/>
    </xf>
    <xf numFmtId="0" fontId="0" fillId="0" borderId="5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64" fillId="25" borderId="9" xfId="0" applyFont="1" applyFill="1" applyBorder="1" applyAlignment="1">
      <alignment horizontal="left"/>
    </xf>
    <xf numFmtId="0" fontId="64" fillId="25" borderId="5" xfId="0" applyFont="1" applyFill="1" applyBorder="1" applyAlignment="1">
      <alignment horizontal="left"/>
    </xf>
    <xf numFmtId="0" fontId="64" fillId="25" borderId="20" xfId="0" applyFont="1" applyFill="1" applyBorder="1" applyAlignment="1">
      <alignment horizontal="left"/>
    </xf>
    <xf numFmtId="0" fontId="64" fillId="25" borderId="8" xfId="0" applyFont="1" applyFill="1" applyBorder="1" applyAlignment="1">
      <alignment horizontal="left"/>
    </xf>
    <xf numFmtId="0" fontId="42" fillId="0" borderId="6" xfId="0" applyFont="1" applyBorder="1" applyAlignment="1" applyProtection="1">
      <alignment horizontal="center"/>
      <protection locked="0"/>
    </xf>
    <xf numFmtId="0" fontId="42" fillId="0" borderId="7" xfId="0" applyFont="1" applyBorder="1" applyAlignment="1" applyProtection="1">
      <alignment horizontal="center"/>
      <protection locked="0"/>
    </xf>
    <xf numFmtId="0" fontId="42" fillId="0" borderId="30" xfId="0" applyFont="1" applyBorder="1" applyAlignment="1" applyProtection="1">
      <alignment horizontal="center"/>
      <protection locked="0"/>
    </xf>
    <xf numFmtId="0" fontId="42" fillId="0" borderId="31" xfId="0" applyFont="1" applyBorder="1" applyAlignment="1" applyProtection="1">
      <alignment horizontal="center"/>
      <protection locked="0"/>
    </xf>
    <xf numFmtId="0" fontId="42" fillId="0" borderId="9" xfId="0" applyFont="1" applyBorder="1" applyAlignment="1" applyProtection="1">
      <alignment horizontal="center"/>
      <protection locked="0"/>
    </xf>
    <xf numFmtId="0" fontId="42" fillId="0" borderId="5" xfId="0" applyFont="1" applyBorder="1" applyAlignment="1" applyProtection="1">
      <alignment horizontal="center"/>
      <protection locked="0"/>
    </xf>
    <xf numFmtId="0" fontId="42" fillId="0" borderId="20" xfId="0" applyFont="1" applyBorder="1" applyAlignment="1" applyProtection="1">
      <alignment horizontal="center"/>
      <protection locked="0"/>
    </xf>
    <xf numFmtId="0" fontId="42" fillId="0" borderId="8" xfId="0" applyFont="1" applyBorder="1" applyAlignment="1" applyProtection="1">
      <alignment horizontal="center"/>
      <protection locked="0"/>
    </xf>
    <xf numFmtId="0" fontId="42" fillId="0" borderId="13" xfId="0" applyFont="1" applyBorder="1" applyAlignment="1">
      <alignment horizontal="center" wrapText="1"/>
    </xf>
    <xf numFmtId="0" fontId="42" fillId="0" borderId="32" xfId="0" applyFont="1" applyBorder="1" applyAlignment="1">
      <alignment horizontal="center" wrapText="1"/>
    </xf>
    <xf numFmtId="0" fontId="42" fillId="0" borderId="14" xfId="0" applyFont="1" applyBorder="1" applyAlignment="1" applyProtection="1">
      <alignment horizontal="center"/>
      <protection locked="0"/>
    </xf>
    <xf numFmtId="0" fontId="42" fillId="0" borderId="33" xfId="0" applyFont="1" applyBorder="1" applyAlignment="1" applyProtection="1">
      <alignment horizontal="center"/>
      <protection locked="0"/>
    </xf>
    <xf numFmtId="17" fontId="42" fillId="0" borderId="34" xfId="0" applyNumberFormat="1" applyFont="1" applyBorder="1" applyAlignment="1" applyProtection="1">
      <alignment horizontal="center" wrapText="1"/>
      <protection locked="0"/>
    </xf>
    <xf numFmtId="17" fontId="42" fillId="0" borderId="35" xfId="0" applyNumberFormat="1" applyFont="1" applyBorder="1" applyAlignment="1" applyProtection="1">
      <alignment horizontal="center" wrapText="1"/>
      <protection locked="0"/>
    </xf>
    <xf numFmtId="0" fontId="64" fillId="0" borderId="34" xfId="0" applyFont="1" applyBorder="1" applyAlignment="1">
      <alignment horizontal="center" wrapText="1"/>
    </xf>
    <xf numFmtId="0" fontId="64" fillId="0" borderId="35" xfId="0" applyFont="1" applyBorder="1" applyAlignment="1">
      <alignment horizontal="center" wrapText="1"/>
    </xf>
  </cellXfs>
  <cellStyles count="728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7 2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20" xfId="73" xr:uid="{00000000-0005-0000-0000-000048000000}"/>
    <cellStyle name="Comma 10 21" xfId="74" xr:uid="{00000000-0005-0000-0000-000049000000}"/>
    <cellStyle name="Comma 10 22" xfId="75" xr:uid="{00000000-0005-0000-0000-00004A000000}"/>
    <cellStyle name="Comma 10 3" xfId="76" xr:uid="{00000000-0005-0000-0000-00004B000000}"/>
    <cellStyle name="Comma 10 3 2" xfId="77" xr:uid="{00000000-0005-0000-0000-00004C000000}"/>
    <cellStyle name="Comma 10 4" xfId="78" xr:uid="{00000000-0005-0000-0000-00004D000000}"/>
    <cellStyle name="Comma 10 4 2" xfId="79" xr:uid="{00000000-0005-0000-0000-00004E000000}"/>
    <cellStyle name="Comma 10 5" xfId="80" xr:uid="{00000000-0005-0000-0000-00004F000000}"/>
    <cellStyle name="Comma 10 5 2" xfId="81" xr:uid="{00000000-0005-0000-0000-000050000000}"/>
    <cellStyle name="Comma 10 6" xfId="82" xr:uid="{00000000-0005-0000-0000-000051000000}"/>
    <cellStyle name="Comma 10 6 2" xfId="83" xr:uid="{00000000-0005-0000-0000-000052000000}"/>
    <cellStyle name="Comma 10 7" xfId="84" xr:uid="{00000000-0005-0000-0000-000053000000}"/>
    <cellStyle name="Comma 10 7 2" xfId="85" xr:uid="{00000000-0005-0000-0000-000054000000}"/>
    <cellStyle name="Comma 10 8" xfId="86" xr:uid="{00000000-0005-0000-0000-000055000000}"/>
    <cellStyle name="Comma 10 8 2" xfId="87" xr:uid="{00000000-0005-0000-0000-000056000000}"/>
    <cellStyle name="Comma 10 9" xfId="88" xr:uid="{00000000-0005-0000-0000-000057000000}"/>
    <cellStyle name="Comma 10 9 2" xfId="89" xr:uid="{00000000-0005-0000-0000-000058000000}"/>
    <cellStyle name="Comma 11" xfId="90" xr:uid="{00000000-0005-0000-0000-000059000000}"/>
    <cellStyle name="Comma 11 10" xfId="91" xr:uid="{00000000-0005-0000-0000-00005A000000}"/>
    <cellStyle name="Comma 11 10 2" xfId="92" xr:uid="{00000000-0005-0000-0000-00005B000000}"/>
    <cellStyle name="Comma 11 11" xfId="93" xr:uid="{00000000-0005-0000-0000-00005C000000}"/>
    <cellStyle name="Comma 11 11 2" xfId="94" xr:uid="{00000000-0005-0000-0000-00005D000000}"/>
    <cellStyle name="Comma 11 12" xfId="95" xr:uid="{00000000-0005-0000-0000-00005E000000}"/>
    <cellStyle name="Comma 11 12 2" xfId="96" xr:uid="{00000000-0005-0000-0000-00005F000000}"/>
    <cellStyle name="Comma 11 13" xfId="97" xr:uid="{00000000-0005-0000-0000-000060000000}"/>
    <cellStyle name="Comma 11 13 2" xfId="98" xr:uid="{00000000-0005-0000-0000-000061000000}"/>
    <cellStyle name="Comma 11 14" xfId="99" xr:uid="{00000000-0005-0000-0000-000062000000}"/>
    <cellStyle name="Comma 11 14 2" xfId="100" xr:uid="{00000000-0005-0000-0000-000063000000}"/>
    <cellStyle name="Comma 11 15" xfId="101" xr:uid="{00000000-0005-0000-0000-000064000000}"/>
    <cellStyle name="Comma 11 15 2" xfId="102" xr:uid="{00000000-0005-0000-0000-000065000000}"/>
    <cellStyle name="Comma 11 16" xfId="103" xr:uid="{00000000-0005-0000-0000-000066000000}"/>
    <cellStyle name="Comma 11 16 2" xfId="104" xr:uid="{00000000-0005-0000-0000-000067000000}"/>
    <cellStyle name="Comma 11 17" xfId="105" xr:uid="{00000000-0005-0000-0000-000068000000}"/>
    <cellStyle name="Comma 11 17 2" xfId="106" xr:uid="{00000000-0005-0000-0000-000069000000}"/>
    <cellStyle name="Comma 11 18" xfId="107" xr:uid="{00000000-0005-0000-0000-00006A000000}"/>
    <cellStyle name="Comma 11 2" xfId="108" xr:uid="{00000000-0005-0000-0000-00006B000000}"/>
    <cellStyle name="Comma 11 2 2" xfId="109" xr:uid="{00000000-0005-0000-0000-00006C000000}"/>
    <cellStyle name="Comma 11 2 2 2" xfId="110" xr:uid="{00000000-0005-0000-0000-00006D000000}"/>
    <cellStyle name="Comma 11 2 3" xfId="111" xr:uid="{00000000-0005-0000-0000-00006E000000}"/>
    <cellStyle name="Comma 11 3" xfId="112" xr:uid="{00000000-0005-0000-0000-00006F000000}"/>
    <cellStyle name="Comma 11 3 2" xfId="113" xr:uid="{00000000-0005-0000-0000-000070000000}"/>
    <cellStyle name="Comma 11 4" xfId="114" xr:uid="{00000000-0005-0000-0000-000071000000}"/>
    <cellStyle name="Comma 11 4 2" xfId="115" xr:uid="{00000000-0005-0000-0000-000072000000}"/>
    <cellStyle name="Comma 11 5" xfId="116" xr:uid="{00000000-0005-0000-0000-000073000000}"/>
    <cellStyle name="Comma 11 5 2" xfId="117" xr:uid="{00000000-0005-0000-0000-000074000000}"/>
    <cellStyle name="Comma 11 6" xfId="118" xr:uid="{00000000-0005-0000-0000-000075000000}"/>
    <cellStyle name="Comma 11 6 2" xfId="119" xr:uid="{00000000-0005-0000-0000-000076000000}"/>
    <cellStyle name="Comma 11 7" xfId="120" xr:uid="{00000000-0005-0000-0000-000077000000}"/>
    <cellStyle name="Comma 11 7 2" xfId="121" xr:uid="{00000000-0005-0000-0000-000078000000}"/>
    <cellStyle name="Comma 11 8" xfId="122" xr:uid="{00000000-0005-0000-0000-000079000000}"/>
    <cellStyle name="Comma 11 8 2" xfId="123" xr:uid="{00000000-0005-0000-0000-00007A000000}"/>
    <cellStyle name="Comma 11 9" xfId="124" xr:uid="{00000000-0005-0000-0000-00007B000000}"/>
    <cellStyle name="Comma 11 9 2" xfId="125" xr:uid="{00000000-0005-0000-0000-00007C000000}"/>
    <cellStyle name="Comma 12" xfId="126" xr:uid="{00000000-0005-0000-0000-00007D000000}"/>
    <cellStyle name="Comma 12 2" xfId="127" xr:uid="{00000000-0005-0000-0000-00007E000000}"/>
    <cellStyle name="Comma 13" xfId="128" xr:uid="{00000000-0005-0000-0000-00007F000000}"/>
    <cellStyle name="Comma 13 2" xfId="129" xr:uid="{00000000-0005-0000-0000-000080000000}"/>
    <cellStyle name="Comma 14" xfId="130" xr:uid="{00000000-0005-0000-0000-000081000000}"/>
    <cellStyle name="Comma 14 2" xfId="131" xr:uid="{00000000-0005-0000-0000-000082000000}"/>
    <cellStyle name="Comma 15" xfId="132" xr:uid="{00000000-0005-0000-0000-000083000000}"/>
    <cellStyle name="Comma 15 2" xfId="133" xr:uid="{00000000-0005-0000-0000-000084000000}"/>
    <cellStyle name="Comma 16" xfId="134" xr:uid="{00000000-0005-0000-0000-000085000000}"/>
    <cellStyle name="Comma 16 10" xfId="135" xr:uid="{00000000-0005-0000-0000-000086000000}"/>
    <cellStyle name="Comma 16 10 2" xfId="136" xr:uid="{00000000-0005-0000-0000-000087000000}"/>
    <cellStyle name="Comma 16 11" xfId="137" xr:uid="{00000000-0005-0000-0000-000088000000}"/>
    <cellStyle name="Comma 16 11 2" xfId="138" xr:uid="{00000000-0005-0000-0000-000089000000}"/>
    <cellStyle name="Comma 16 12" xfId="139" xr:uid="{00000000-0005-0000-0000-00008A000000}"/>
    <cellStyle name="Comma 16 12 2" xfId="140" xr:uid="{00000000-0005-0000-0000-00008B000000}"/>
    <cellStyle name="Comma 16 13" xfId="141" xr:uid="{00000000-0005-0000-0000-00008C000000}"/>
    <cellStyle name="Comma 16 13 2" xfId="142" xr:uid="{00000000-0005-0000-0000-00008D000000}"/>
    <cellStyle name="Comma 16 14" xfId="143" xr:uid="{00000000-0005-0000-0000-00008E000000}"/>
    <cellStyle name="Comma 16 14 2" xfId="144" xr:uid="{00000000-0005-0000-0000-00008F000000}"/>
    <cellStyle name="Comma 16 15" xfId="145" xr:uid="{00000000-0005-0000-0000-000090000000}"/>
    <cellStyle name="Comma 16 15 2" xfId="146" xr:uid="{00000000-0005-0000-0000-000091000000}"/>
    <cellStyle name="Comma 16 16" xfId="147" xr:uid="{00000000-0005-0000-0000-000092000000}"/>
    <cellStyle name="Comma 16 16 2" xfId="148" xr:uid="{00000000-0005-0000-0000-000093000000}"/>
    <cellStyle name="Comma 16 17" xfId="149" xr:uid="{00000000-0005-0000-0000-000094000000}"/>
    <cellStyle name="Comma 16 2" xfId="150" xr:uid="{00000000-0005-0000-0000-000095000000}"/>
    <cellStyle name="Comma 16 2 2" xfId="151" xr:uid="{00000000-0005-0000-0000-000096000000}"/>
    <cellStyle name="Comma 16 3" xfId="152" xr:uid="{00000000-0005-0000-0000-000097000000}"/>
    <cellStyle name="Comma 16 3 2" xfId="153" xr:uid="{00000000-0005-0000-0000-000098000000}"/>
    <cellStyle name="Comma 16 4" xfId="154" xr:uid="{00000000-0005-0000-0000-000099000000}"/>
    <cellStyle name="Comma 16 4 2" xfId="155" xr:uid="{00000000-0005-0000-0000-00009A000000}"/>
    <cellStyle name="Comma 16 5" xfId="156" xr:uid="{00000000-0005-0000-0000-00009B000000}"/>
    <cellStyle name="Comma 16 5 2" xfId="157" xr:uid="{00000000-0005-0000-0000-00009C000000}"/>
    <cellStyle name="Comma 16 6" xfId="158" xr:uid="{00000000-0005-0000-0000-00009D000000}"/>
    <cellStyle name="Comma 16 6 2" xfId="159" xr:uid="{00000000-0005-0000-0000-00009E000000}"/>
    <cellStyle name="Comma 16 7" xfId="160" xr:uid="{00000000-0005-0000-0000-00009F000000}"/>
    <cellStyle name="Comma 16 7 2" xfId="161" xr:uid="{00000000-0005-0000-0000-0000A0000000}"/>
    <cellStyle name="Comma 16 8" xfId="162" xr:uid="{00000000-0005-0000-0000-0000A1000000}"/>
    <cellStyle name="Comma 16 8 2" xfId="163" xr:uid="{00000000-0005-0000-0000-0000A2000000}"/>
    <cellStyle name="Comma 16 9" xfId="164" xr:uid="{00000000-0005-0000-0000-0000A3000000}"/>
    <cellStyle name="Comma 16 9 2" xfId="165" xr:uid="{00000000-0005-0000-0000-0000A4000000}"/>
    <cellStyle name="Comma 17" xfId="166" xr:uid="{00000000-0005-0000-0000-0000A5000000}"/>
    <cellStyle name="Comma 17 10" xfId="167" xr:uid="{00000000-0005-0000-0000-0000A6000000}"/>
    <cellStyle name="Comma 17 10 2" xfId="168" xr:uid="{00000000-0005-0000-0000-0000A7000000}"/>
    <cellStyle name="Comma 17 11" xfId="169" xr:uid="{00000000-0005-0000-0000-0000A8000000}"/>
    <cellStyle name="Comma 17 2" xfId="170" xr:uid="{00000000-0005-0000-0000-0000A9000000}"/>
    <cellStyle name="Comma 17 2 2" xfId="171" xr:uid="{00000000-0005-0000-0000-0000AA000000}"/>
    <cellStyle name="Comma 17 3" xfId="172" xr:uid="{00000000-0005-0000-0000-0000AB000000}"/>
    <cellStyle name="Comma 17 3 2" xfId="173" xr:uid="{00000000-0005-0000-0000-0000AC000000}"/>
    <cellStyle name="Comma 17 4" xfId="174" xr:uid="{00000000-0005-0000-0000-0000AD000000}"/>
    <cellStyle name="Comma 17 4 2" xfId="175" xr:uid="{00000000-0005-0000-0000-0000AE000000}"/>
    <cellStyle name="Comma 17 5" xfId="176" xr:uid="{00000000-0005-0000-0000-0000AF000000}"/>
    <cellStyle name="Comma 17 5 2" xfId="177" xr:uid="{00000000-0005-0000-0000-0000B0000000}"/>
    <cellStyle name="Comma 17 6" xfId="178" xr:uid="{00000000-0005-0000-0000-0000B1000000}"/>
    <cellStyle name="Comma 17 6 2" xfId="179" xr:uid="{00000000-0005-0000-0000-0000B2000000}"/>
    <cellStyle name="Comma 17 7" xfId="180" xr:uid="{00000000-0005-0000-0000-0000B3000000}"/>
    <cellStyle name="Comma 17 7 2" xfId="181" xr:uid="{00000000-0005-0000-0000-0000B4000000}"/>
    <cellStyle name="Comma 17 8" xfId="182" xr:uid="{00000000-0005-0000-0000-0000B5000000}"/>
    <cellStyle name="Comma 17 8 2" xfId="183" xr:uid="{00000000-0005-0000-0000-0000B6000000}"/>
    <cellStyle name="Comma 17 9" xfId="184" xr:uid="{00000000-0005-0000-0000-0000B7000000}"/>
    <cellStyle name="Comma 17 9 2" xfId="185" xr:uid="{00000000-0005-0000-0000-0000B8000000}"/>
    <cellStyle name="Comma 18" xfId="186" xr:uid="{00000000-0005-0000-0000-0000B9000000}"/>
    <cellStyle name="Comma 18 2" xfId="187" xr:uid="{00000000-0005-0000-0000-0000BA000000}"/>
    <cellStyle name="Comma 18 3" xfId="188" xr:uid="{00000000-0005-0000-0000-0000BB000000}"/>
    <cellStyle name="Comma 18 3 2" xfId="189" xr:uid="{00000000-0005-0000-0000-0000BC000000}"/>
    <cellStyle name="Comma 19" xfId="190" xr:uid="{00000000-0005-0000-0000-0000BD000000}"/>
    <cellStyle name="Comma 19 2" xfId="191" xr:uid="{00000000-0005-0000-0000-0000BE000000}"/>
    <cellStyle name="Comma 2" xfId="192" xr:uid="{00000000-0005-0000-0000-0000BF000000}"/>
    <cellStyle name="Comma 2 10" xfId="193" xr:uid="{00000000-0005-0000-0000-0000C0000000}"/>
    <cellStyle name="Comma 2 10 2" xfId="194" xr:uid="{00000000-0005-0000-0000-0000C1000000}"/>
    <cellStyle name="Comma 2 11" xfId="195" xr:uid="{00000000-0005-0000-0000-0000C2000000}"/>
    <cellStyle name="Comma 2 11 2" xfId="196" xr:uid="{00000000-0005-0000-0000-0000C3000000}"/>
    <cellStyle name="Comma 2 12" xfId="197" xr:uid="{00000000-0005-0000-0000-0000C4000000}"/>
    <cellStyle name="Comma 2 12 2" xfId="198" xr:uid="{00000000-0005-0000-0000-0000C5000000}"/>
    <cellStyle name="Comma 2 13" xfId="199" xr:uid="{00000000-0005-0000-0000-0000C6000000}"/>
    <cellStyle name="Comma 2 13 2" xfId="200" xr:uid="{00000000-0005-0000-0000-0000C7000000}"/>
    <cellStyle name="Comma 2 14" xfId="201" xr:uid="{00000000-0005-0000-0000-0000C8000000}"/>
    <cellStyle name="Comma 2 14 2" xfId="202" xr:uid="{00000000-0005-0000-0000-0000C9000000}"/>
    <cellStyle name="Comma 2 15" xfId="203" xr:uid="{00000000-0005-0000-0000-0000CA000000}"/>
    <cellStyle name="Comma 2 15 2" xfId="204" xr:uid="{00000000-0005-0000-0000-0000CB000000}"/>
    <cellStyle name="Comma 2 16" xfId="205" xr:uid="{00000000-0005-0000-0000-0000CC000000}"/>
    <cellStyle name="Comma 2 16 2" xfId="206" xr:uid="{00000000-0005-0000-0000-0000CD000000}"/>
    <cellStyle name="Comma 2 17" xfId="207" xr:uid="{00000000-0005-0000-0000-0000CE000000}"/>
    <cellStyle name="Comma 2 17 2" xfId="208" xr:uid="{00000000-0005-0000-0000-0000CF000000}"/>
    <cellStyle name="Comma 2 18" xfId="209" xr:uid="{00000000-0005-0000-0000-0000D0000000}"/>
    <cellStyle name="Comma 2 18 2" xfId="210" xr:uid="{00000000-0005-0000-0000-0000D1000000}"/>
    <cellStyle name="Comma 2 19" xfId="211" xr:uid="{00000000-0005-0000-0000-0000D2000000}"/>
    <cellStyle name="Comma 2 19 2" xfId="212" xr:uid="{00000000-0005-0000-0000-0000D3000000}"/>
    <cellStyle name="Comma 2 2" xfId="213" xr:uid="{00000000-0005-0000-0000-0000D4000000}"/>
    <cellStyle name="Comma 2 2 2" xfId="214" xr:uid="{00000000-0005-0000-0000-0000D5000000}"/>
    <cellStyle name="Comma 2 20" xfId="215" xr:uid="{00000000-0005-0000-0000-0000D6000000}"/>
    <cellStyle name="Comma 2 20 2" xfId="216" xr:uid="{00000000-0005-0000-0000-0000D7000000}"/>
    <cellStyle name="Comma 2 21" xfId="217" xr:uid="{00000000-0005-0000-0000-0000D8000000}"/>
    <cellStyle name="Comma 2 21 2" xfId="218" xr:uid="{00000000-0005-0000-0000-0000D9000000}"/>
    <cellStyle name="Comma 2 22" xfId="219" xr:uid="{00000000-0005-0000-0000-0000DA000000}"/>
    <cellStyle name="Comma 2 22 2" xfId="220" xr:uid="{00000000-0005-0000-0000-0000DB000000}"/>
    <cellStyle name="Comma 2 23" xfId="221" xr:uid="{00000000-0005-0000-0000-0000DC000000}"/>
    <cellStyle name="Comma 2 23 2" xfId="222" xr:uid="{00000000-0005-0000-0000-0000DD000000}"/>
    <cellStyle name="Comma 2 24" xfId="223" xr:uid="{00000000-0005-0000-0000-0000DE000000}"/>
    <cellStyle name="Comma 2 24 2" xfId="224" xr:uid="{00000000-0005-0000-0000-0000DF000000}"/>
    <cellStyle name="Comma 2 25" xfId="225" xr:uid="{00000000-0005-0000-0000-0000E0000000}"/>
    <cellStyle name="Comma 2 25 2" xfId="226" xr:uid="{00000000-0005-0000-0000-0000E1000000}"/>
    <cellStyle name="Comma 2 26" xfId="227" xr:uid="{00000000-0005-0000-0000-0000E2000000}"/>
    <cellStyle name="Comma 2 26 2" xfId="228" xr:uid="{00000000-0005-0000-0000-0000E3000000}"/>
    <cellStyle name="Comma 2 27" xfId="229" xr:uid="{00000000-0005-0000-0000-0000E4000000}"/>
    <cellStyle name="Comma 2 28" xfId="230" xr:uid="{00000000-0005-0000-0000-0000E5000000}"/>
    <cellStyle name="Comma 2 29" xfId="231" xr:uid="{00000000-0005-0000-0000-0000E6000000}"/>
    <cellStyle name="Comma 2 3" xfId="232" xr:uid="{00000000-0005-0000-0000-0000E7000000}"/>
    <cellStyle name="Comma 2 3 2" xfId="233" xr:uid="{00000000-0005-0000-0000-0000E8000000}"/>
    <cellStyle name="Comma 2 4" xfId="234" xr:uid="{00000000-0005-0000-0000-0000E9000000}"/>
    <cellStyle name="Comma 2 4 2" xfId="235" xr:uid="{00000000-0005-0000-0000-0000EA000000}"/>
    <cellStyle name="Comma 2 5" xfId="236" xr:uid="{00000000-0005-0000-0000-0000EB000000}"/>
    <cellStyle name="Comma 2 5 2" xfId="237" xr:uid="{00000000-0005-0000-0000-0000EC000000}"/>
    <cellStyle name="Comma 2 6" xfId="238" xr:uid="{00000000-0005-0000-0000-0000ED000000}"/>
    <cellStyle name="Comma 2 6 2" xfId="239" xr:uid="{00000000-0005-0000-0000-0000EE000000}"/>
    <cellStyle name="Comma 2 7" xfId="240" xr:uid="{00000000-0005-0000-0000-0000EF000000}"/>
    <cellStyle name="Comma 2 7 2" xfId="241" xr:uid="{00000000-0005-0000-0000-0000F0000000}"/>
    <cellStyle name="Comma 2 8" xfId="242" xr:uid="{00000000-0005-0000-0000-0000F1000000}"/>
    <cellStyle name="Comma 2 8 2" xfId="243" xr:uid="{00000000-0005-0000-0000-0000F2000000}"/>
    <cellStyle name="Comma 2 9" xfId="244" xr:uid="{00000000-0005-0000-0000-0000F3000000}"/>
    <cellStyle name="Comma 2 9 2" xfId="245" xr:uid="{00000000-0005-0000-0000-0000F4000000}"/>
    <cellStyle name="Comma 20" xfId="246" xr:uid="{00000000-0005-0000-0000-0000F5000000}"/>
    <cellStyle name="Comma 21" xfId="247" xr:uid="{00000000-0005-0000-0000-0000F6000000}"/>
    <cellStyle name="Comma 21 2" xfId="248" xr:uid="{00000000-0005-0000-0000-0000F7000000}"/>
    <cellStyle name="Comma 22" xfId="249" xr:uid="{00000000-0005-0000-0000-0000F8000000}"/>
    <cellStyle name="Comma 24" xfId="250" xr:uid="{00000000-0005-0000-0000-0000F9000000}"/>
    <cellStyle name="Comma 24 2" xfId="251" xr:uid="{00000000-0005-0000-0000-0000FA000000}"/>
    <cellStyle name="Comma 3" xfId="252" xr:uid="{00000000-0005-0000-0000-0000FB000000}"/>
    <cellStyle name="Comma 3 10" xfId="253" xr:uid="{00000000-0005-0000-0000-0000FC000000}"/>
    <cellStyle name="Comma 3 10 2" xfId="254" xr:uid="{00000000-0005-0000-0000-0000FD000000}"/>
    <cellStyle name="Comma 3 11" xfId="255" xr:uid="{00000000-0005-0000-0000-0000FE000000}"/>
    <cellStyle name="Comma 3 11 2" xfId="256" xr:uid="{00000000-0005-0000-0000-0000FF000000}"/>
    <cellStyle name="Comma 3 12" xfId="257" xr:uid="{00000000-0005-0000-0000-000000010000}"/>
    <cellStyle name="Comma 3 12 2" xfId="258" xr:uid="{00000000-0005-0000-0000-000001010000}"/>
    <cellStyle name="Comma 3 13" xfId="259" xr:uid="{00000000-0005-0000-0000-000002010000}"/>
    <cellStyle name="Comma 3 13 2" xfId="260" xr:uid="{00000000-0005-0000-0000-000003010000}"/>
    <cellStyle name="Comma 3 14" xfId="261" xr:uid="{00000000-0005-0000-0000-000004010000}"/>
    <cellStyle name="Comma 3 14 2" xfId="262" xr:uid="{00000000-0005-0000-0000-000005010000}"/>
    <cellStyle name="Comma 3 15" xfId="263" xr:uid="{00000000-0005-0000-0000-000006010000}"/>
    <cellStyle name="Comma 3 15 2" xfId="264" xr:uid="{00000000-0005-0000-0000-000007010000}"/>
    <cellStyle name="Comma 3 16" xfId="265" xr:uid="{00000000-0005-0000-0000-000008010000}"/>
    <cellStyle name="Comma 3 16 2" xfId="266" xr:uid="{00000000-0005-0000-0000-000009010000}"/>
    <cellStyle name="Comma 3 17" xfId="267" xr:uid="{00000000-0005-0000-0000-00000A010000}"/>
    <cellStyle name="Comma 3 17 2" xfId="268" xr:uid="{00000000-0005-0000-0000-00000B010000}"/>
    <cellStyle name="Comma 3 18" xfId="269" xr:uid="{00000000-0005-0000-0000-00000C010000}"/>
    <cellStyle name="Comma 3 18 2" xfId="270" xr:uid="{00000000-0005-0000-0000-00000D010000}"/>
    <cellStyle name="Comma 3 19" xfId="271" xr:uid="{00000000-0005-0000-0000-00000E010000}"/>
    <cellStyle name="Comma 3 19 2" xfId="272" xr:uid="{00000000-0005-0000-0000-00000F010000}"/>
    <cellStyle name="Comma 3 2" xfId="273" xr:uid="{00000000-0005-0000-0000-000010010000}"/>
    <cellStyle name="Comma 3 2 2" xfId="274" xr:uid="{00000000-0005-0000-0000-000011010000}"/>
    <cellStyle name="Comma 3 20" xfId="275" xr:uid="{00000000-0005-0000-0000-000012010000}"/>
    <cellStyle name="Comma 3 20 2" xfId="276" xr:uid="{00000000-0005-0000-0000-000013010000}"/>
    <cellStyle name="Comma 3 21" xfId="277" xr:uid="{00000000-0005-0000-0000-000014010000}"/>
    <cellStyle name="Comma 3 22" xfId="278" xr:uid="{00000000-0005-0000-0000-000015010000}"/>
    <cellStyle name="Comma 3 3" xfId="279" xr:uid="{00000000-0005-0000-0000-000016010000}"/>
    <cellStyle name="Comma 3 3 2" xfId="280" xr:uid="{00000000-0005-0000-0000-000017010000}"/>
    <cellStyle name="Comma 3 4" xfId="281" xr:uid="{00000000-0005-0000-0000-000018010000}"/>
    <cellStyle name="Comma 3 4 2" xfId="282" xr:uid="{00000000-0005-0000-0000-000019010000}"/>
    <cellStyle name="Comma 3 5" xfId="283" xr:uid="{00000000-0005-0000-0000-00001A010000}"/>
    <cellStyle name="Comma 3 5 2" xfId="284" xr:uid="{00000000-0005-0000-0000-00001B010000}"/>
    <cellStyle name="Comma 3 6" xfId="285" xr:uid="{00000000-0005-0000-0000-00001C010000}"/>
    <cellStyle name="Comma 3 6 2" xfId="286" xr:uid="{00000000-0005-0000-0000-00001D010000}"/>
    <cellStyle name="Comma 3 7" xfId="287" xr:uid="{00000000-0005-0000-0000-00001E010000}"/>
    <cellStyle name="Comma 3 7 2" xfId="288" xr:uid="{00000000-0005-0000-0000-00001F010000}"/>
    <cellStyle name="Comma 3 8" xfId="289" xr:uid="{00000000-0005-0000-0000-000020010000}"/>
    <cellStyle name="Comma 3 8 2" xfId="290" xr:uid="{00000000-0005-0000-0000-000021010000}"/>
    <cellStyle name="Comma 3 9" xfId="291" xr:uid="{00000000-0005-0000-0000-000022010000}"/>
    <cellStyle name="Comma 3 9 2" xfId="292" xr:uid="{00000000-0005-0000-0000-000023010000}"/>
    <cellStyle name="Comma 4" xfId="293" xr:uid="{00000000-0005-0000-0000-000024010000}"/>
    <cellStyle name="Comma 4 2" xfId="294" xr:uid="{00000000-0005-0000-0000-000025010000}"/>
    <cellStyle name="Comma 4 3" xfId="295" xr:uid="{00000000-0005-0000-0000-000026010000}"/>
    <cellStyle name="Comma 5" xfId="296" xr:uid="{00000000-0005-0000-0000-000027010000}"/>
    <cellStyle name="Comma 5 10" xfId="297" xr:uid="{00000000-0005-0000-0000-000028010000}"/>
    <cellStyle name="Comma 5 10 2" xfId="298" xr:uid="{00000000-0005-0000-0000-000029010000}"/>
    <cellStyle name="Comma 5 11" xfId="299" xr:uid="{00000000-0005-0000-0000-00002A010000}"/>
    <cellStyle name="Comma 5 11 2" xfId="300" xr:uid="{00000000-0005-0000-0000-00002B010000}"/>
    <cellStyle name="Comma 5 12" xfId="301" xr:uid="{00000000-0005-0000-0000-00002C010000}"/>
    <cellStyle name="Comma 5 12 2" xfId="302" xr:uid="{00000000-0005-0000-0000-00002D010000}"/>
    <cellStyle name="Comma 5 13" xfId="303" xr:uid="{00000000-0005-0000-0000-00002E010000}"/>
    <cellStyle name="Comma 5 13 2" xfId="304" xr:uid="{00000000-0005-0000-0000-00002F010000}"/>
    <cellStyle name="Comma 5 14" xfId="305" xr:uid="{00000000-0005-0000-0000-000030010000}"/>
    <cellStyle name="Comma 5 14 2" xfId="306" xr:uid="{00000000-0005-0000-0000-000031010000}"/>
    <cellStyle name="Comma 5 15" xfId="307" xr:uid="{00000000-0005-0000-0000-000032010000}"/>
    <cellStyle name="Comma 5 15 2" xfId="308" xr:uid="{00000000-0005-0000-0000-000033010000}"/>
    <cellStyle name="Comma 5 16" xfId="309" xr:uid="{00000000-0005-0000-0000-000034010000}"/>
    <cellStyle name="Comma 5 16 2" xfId="310" xr:uid="{00000000-0005-0000-0000-000035010000}"/>
    <cellStyle name="Comma 5 17" xfId="311" xr:uid="{00000000-0005-0000-0000-000036010000}"/>
    <cellStyle name="Comma 5 17 2" xfId="312" xr:uid="{00000000-0005-0000-0000-000037010000}"/>
    <cellStyle name="Comma 5 18" xfId="313" xr:uid="{00000000-0005-0000-0000-000038010000}"/>
    <cellStyle name="Comma 5 18 2" xfId="314" xr:uid="{00000000-0005-0000-0000-000039010000}"/>
    <cellStyle name="Comma 5 19" xfId="315" xr:uid="{00000000-0005-0000-0000-00003A010000}"/>
    <cellStyle name="Comma 5 19 2" xfId="316" xr:uid="{00000000-0005-0000-0000-00003B010000}"/>
    <cellStyle name="Comma 5 2" xfId="317" xr:uid="{00000000-0005-0000-0000-00003C010000}"/>
    <cellStyle name="Comma 5 2 2" xfId="318" xr:uid="{00000000-0005-0000-0000-00003D010000}"/>
    <cellStyle name="Comma 5 20" xfId="319" xr:uid="{00000000-0005-0000-0000-00003E010000}"/>
    <cellStyle name="Comma 5 20 2" xfId="320" xr:uid="{00000000-0005-0000-0000-00003F010000}"/>
    <cellStyle name="Comma 5 21" xfId="321" xr:uid="{00000000-0005-0000-0000-000040010000}"/>
    <cellStyle name="Comma 5 22" xfId="322" xr:uid="{00000000-0005-0000-0000-000041010000}"/>
    <cellStyle name="Comma 5 3" xfId="323" xr:uid="{00000000-0005-0000-0000-000042010000}"/>
    <cellStyle name="Comma 5 3 2" xfId="324" xr:uid="{00000000-0005-0000-0000-000043010000}"/>
    <cellStyle name="Comma 5 4" xfId="325" xr:uid="{00000000-0005-0000-0000-000044010000}"/>
    <cellStyle name="Comma 5 4 2" xfId="326" xr:uid="{00000000-0005-0000-0000-000045010000}"/>
    <cellStyle name="Comma 5 5" xfId="327" xr:uid="{00000000-0005-0000-0000-000046010000}"/>
    <cellStyle name="Comma 5 5 2" xfId="328" xr:uid="{00000000-0005-0000-0000-000047010000}"/>
    <cellStyle name="Comma 5 6" xfId="329" xr:uid="{00000000-0005-0000-0000-000048010000}"/>
    <cellStyle name="Comma 5 6 2" xfId="330" xr:uid="{00000000-0005-0000-0000-000049010000}"/>
    <cellStyle name="Comma 5 7" xfId="331" xr:uid="{00000000-0005-0000-0000-00004A010000}"/>
    <cellStyle name="Comma 5 7 2" xfId="332" xr:uid="{00000000-0005-0000-0000-00004B010000}"/>
    <cellStyle name="Comma 5 8" xfId="333" xr:uid="{00000000-0005-0000-0000-00004C010000}"/>
    <cellStyle name="Comma 5 8 2" xfId="334" xr:uid="{00000000-0005-0000-0000-00004D010000}"/>
    <cellStyle name="Comma 5 9" xfId="335" xr:uid="{00000000-0005-0000-0000-00004E010000}"/>
    <cellStyle name="Comma 5 9 2" xfId="336" xr:uid="{00000000-0005-0000-0000-00004F010000}"/>
    <cellStyle name="Comma 6" xfId="337" xr:uid="{00000000-0005-0000-0000-000050010000}"/>
    <cellStyle name="Comma 6 10" xfId="338" xr:uid="{00000000-0005-0000-0000-000051010000}"/>
    <cellStyle name="Comma 6 10 2" xfId="339" xr:uid="{00000000-0005-0000-0000-000052010000}"/>
    <cellStyle name="Comma 6 11" xfId="340" xr:uid="{00000000-0005-0000-0000-000053010000}"/>
    <cellStyle name="Comma 6 11 2" xfId="341" xr:uid="{00000000-0005-0000-0000-000054010000}"/>
    <cellStyle name="Comma 6 12" xfId="342" xr:uid="{00000000-0005-0000-0000-000055010000}"/>
    <cellStyle name="Comma 6 12 2" xfId="343" xr:uid="{00000000-0005-0000-0000-000056010000}"/>
    <cellStyle name="Comma 6 13" xfId="344" xr:uid="{00000000-0005-0000-0000-000057010000}"/>
    <cellStyle name="Comma 6 13 2" xfId="345" xr:uid="{00000000-0005-0000-0000-000058010000}"/>
    <cellStyle name="Comma 6 14" xfId="346" xr:uid="{00000000-0005-0000-0000-000059010000}"/>
    <cellStyle name="Comma 6 14 2" xfId="347" xr:uid="{00000000-0005-0000-0000-00005A010000}"/>
    <cellStyle name="Comma 6 15" xfId="348" xr:uid="{00000000-0005-0000-0000-00005B010000}"/>
    <cellStyle name="Comma 6 15 2" xfId="349" xr:uid="{00000000-0005-0000-0000-00005C010000}"/>
    <cellStyle name="Comma 6 16" xfId="350" xr:uid="{00000000-0005-0000-0000-00005D010000}"/>
    <cellStyle name="Comma 6 16 2" xfId="351" xr:uid="{00000000-0005-0000-0000-00005E010000}"/>
    <cellStyle name="Comma 6 17" xfId="352" xr:uid="{00000000-0005-0000-0000-00005F010000}"/>
    <cellStyle name="Comma 6 17 2" xfId="353" xr:uid="{00000000-0005-0000-0000-000060010000}"/>
    <cellStyle name="Comma 6 18" xfId="354" xr:uid="{00000000-0005-0000-0000-000061010000}"/>
    <cellStyle name="Comma 6 18 2" xfId="355" xr:uid="{00000000-0005-0000-0000-000062010000}"/>
    <cellStyle name="Comma 6 19" xfId="356" xr:uid="{00000000-0005-0000-0000-000063010000}"/>
    <cellStyle name="Comma 6 19 2" xfId="357" xr:uid="{00000000-0005-0000-0000-000064010000}"/>
    <cellStyle name="Comma 6 2" xfId="358" xr:uid="{00000000-0005-0000-0000-000065010000}"/>
    <cellStyle name="Comma 6 2 2" xfId="359" xr:uid="{00000000-0005-0000-0000-000066010000}"/>
    <cellStyle name="Comma 6 20" xfId="360" xr:uid="{00000000-0005-0000-0000-000067010000}"/>
    <cellStyle name="Comma 6 21" xfId="361" xr:uid="{00000000-0005-0000-0000-000068010000}"/>
    <cellStyle name="Comma 6 22" xfId="362" xr:uid="{00000000-0005-0000-0000-000069010000}"/>
    <cellStyle name="Comma 6 3" xfId="363" xr:uid="{00000000-0005-0000-0000-00006A010000}"/>
    <cellStyle name="Comma 6 3 2" xfId="364" xr:uid="{00000000-0005-0000-0000-00006B010000}"/>
    <cellStyle name="Comma 6 4" xfId="365" xr:uid="{00000000-0005-0000-0000-00006C010000}"/>
    <cellStyle name="Comma 6 4 2" xfId="366" xr:uid="{00000000-0005-0000-0000-00006D010000}"/>
    <cellStyle name="Comma 6 5" xfId="367" xr:uid="{00000000-0005-0000-0000-00006E010000}"/>
    <cellStyle name="Comma 6 5 2" xfId="368" xr:uid="{00000000-0005-0000-0000-00006F010000}"/>
    <cellStyle name="Comma 6 6" xfId="369" xr:uid="{00000000-0005-0000-0000-000070010000}"/>
    <cellStyle name="Comma 6 6 2" xfId="370" xr:uid="{00000000-0005-0000-0000-000071010000}"/>
    <cellStyle name="Comma 6 7" xfId="371" xr:uid="{00000000-0005-0000-0000-000072010000}"/>
    <cellStyle name="Comma 6 7 2" xfId="372" xr:uid="{00000000-0005-0000-0000-000073010000}"/>
    <cellStyle name="Comma 6 8" xfId="373" xr:uid="{00000000-0005-0000-0000-000074010000}"/>
    <cellStyle name="Comma 6 8 2" xfId="374" xr:uid="{00000000-0005-0000-0000-000075010000}"/>
    <cellStyle name="Comma 6 9" xfId="375" xr:uid="{00000000-0005-0000-0000-000076010000}"/>
    <cellStyle name="Comma 6 9 2" xfId="376" xr:uid="{00000000-0005-0000-0000-000077010000}"/>
    <cellStyle name="Comma 7" xfId="377" xr:uid="{00000000-0005-0000-0000-000078010000}"/>
    <cellStyle name="Comma 7 10" xfId="378" xr:uid="{00000000-0005-0000-0000-000079010000}"/>
    <cellStyle name="Comma 7 10 2" xfId="379" xr:uid="{00000000-0005-0000-0000-00007A010000}"/>
    <cellStyle name="Comma 7 11" xfId="380" xr:uid="{00000000-0005-0000-0000-00007B010000}"/>
    <cellStyle name="Comma 7 11 2" xfId="381" xr:uid="{00000000-0005-0000-0000-00007C010000}"/>
    <cellStyle name="Comma 7 12" xfId="382" xr:uid="{00000000-0005-0000-0000-00007D010000}"/>
    <cellStyle name="Comma 7 12 2" xfId="383" xr:uid="{00000000-0005-0000-0000-00007E010000}"/>
    <cellStyle name="Comma 7 13" xfId="384" xr:uid="{00000000-0005-0000-0000-00007F010000}"/>
    <cellStyle name="Comma 7 13 2" xfId="385" xr:uid="{00000000-0005-0000-0000-000080010000}"/>
    <cellStyle name="Comma 7 14" xfId="386" xr:uid="{00000000-0005-0000-0000-000081010000}"/>
    <cellStyle name="Comma 7 14 2" xfId="387" xr:uid="{00000000-0005-0000-0000-000082010000}"/>
    <cellStyle name="Comma 7 15" xfId="388" xr:uid="{00000000-0005-0000-0000-000083010000}"/>
    <cellStyle name="Comma 7 15 2" xfId="389" xr:uid="{00000000-0005-0000-0000-000084010000}"/>
    <cellStyle name="Comma 7 16" xfId="390" xr:uid="{00000000-0005-0000-0000-000085010000}"/>
    <cellStyle name="Comma 7 16 2" xfId="391" xr:uid="{00000000-0005-0000-0000-000086010000}"/>
    <cellStyle name="Comma 7 17" xfId="392" xr:uid="{00000000-0005-0000-0000-000087010000}"/>
    <cellStyle name="Comma 7 17 2" xfId="393" xr:uid="{00000000-0005-0000-0000-000088010000}"/>
    <cellStyle name="Comma 7 18" xfId="394" xr:uid="{00000000-0005-0000-0000-000089010000}"/>
    <cellStyle name="Comma 7 18 2" xfId="395" xr:uid="{00000000-0005-0000-0000-00008A010000}"/>
    <cellStyle name="Comma 7 19" xfId="396" xr:uid="{00000000-0005-0000-0000-00008B010000}"/>
    <cellStyle name="Comma 7 19 2" xfId="397" xr:uid="{00000000-0005-0000-0000-00008C010000}"/>
    <cellStyle name="Comma 7 2" xfId="398" xr:uid="{00000000-0005-0000-0000-00008D010000}"/>
    <cellStyle name="Comma 7 2 2" xfId="399" xr:uid="{00000000-0005-0000-0000-00008E010000}"/>
    <cellStyle name="Comma 7 20" xfId="400" xr:uid="{00000000-0005-0000-0000-00008F010000}"/>
    <cellStyle name="Comma 7 3" xfId="401" xr:uid="{00000000-0005-0000-0000-000090010000}"/>
    <cellStyle name="Comma 7 3 2" xfId="402" xr:uid="{00000000-0005-0000-0000-000091010000}"/>
    <cellStyle name="Comma 7 4" xfId="403" xr:uid="{00000000-0005-0000-0000-000092010000}"/>
    <cellStyle name="Comma 7 4 2" xfId="404" xr:uid="{00000000-0005-0000-0000-000093010000}"/>
    <cellStyle name="Comma 7 5" xfId="405" xr:uid="{00000000-0005-0000-0000-000094010000}"/>
    <cellStyle name="Comma 7 5 2" xfId="406" xr:uid="{00000000-0005-0000-0000-000095010000}"/>
    <cellStyle name="Comma 7 6" xfId="407" xr:uid="{00000000-0005-0000-0000-000096010000}"/>
    <cellStyle name="Comma 7 6 2" xfId="408" xr:uid="{00000000-0005-0000-0000-000097010000}"/>
    <cellStyle name="Comma 7 7" xfId="409" xr:uid="{00000000-0005-0000-0000-000098010000}"/>
    <cellStyle name="Comma 7 7 2" xfId="410" xr:uid="{00000000-0005-0000-0000-000099010000}"/>
    <cellStyle name="Comma 7 8" xfId="411" xr:uid="{00000000-0005-0000-0000-00009A010000}"/>
    <cellStyle name="Comma 7 8 2" xfId="412" xr:uid="{00000000-0005-0000-0000-00009B010000}"/>
    <cellStyle name="Comma 7 9" xfId="413" xr:uid="{00000000-0005-0000-0000-00009C010000}"/>
    <cellStyle name="Comma 7 9 2" xfId="414" xr:uid="{00000000-0005-0000-0000-00009D010000}"/>
    <cellStyle name="Comma 8" xfId="415" xr:uid="{00000000-0005-0000-0000-00009E010000}"/>
    <cellStyle name="Comma 8 10" xfId="416" xr:uid="{00000000-0005-0000-0000-00009F010000}"/>
    <cellStyle name="Comma 8 10 2" xfId="417" xr:uid="{00000000-0005-0000-0000-0000A0010000}"/>
    <cellStyle name="Comma 8 11" xfId="418" xr:uid="{00000000-0005-0000-0000-0000A1010000}"/>
    <cellStyle name="Comma 8 11 2" xfId="419" xr:uid="{00000000-0005-0000-0000-0000A2010000}"/>
    <cellStyle name="Comma 8 12" xfId="420" xr:uid="{00000000-0005-0000-0000-0000A3010000}"/>
    <cellStyle name="Comma 8 12 2" xfId="421" xr:uid="{00000000-0005-0000-0000-0000A4010000}"/>
    <cellStyle name="Comma 8 13" xfId="422" xr:uid="{00000000-0005-0000-0000-0000A5010000}"/>
    <cellStyle name="Comma 8 13 2" xfId="423" xr:uid="{00000000-0005-0000-0000-0000A6010000}"/>
    <cellStyle name="Comma 8 14" xfId="424" xr:uid="{00000000-0005-0000-0000-0000A7010000}"/>
    <cellStyle name="Comma 8 14 2" xfId="425" xr:uid="{00000000-0005-0000-0000-0000A8010000}"/>
    <cellStyle name="Comma 8 15" xfId="426" xr:uid="{00000000-0005-0000-0000-0000A9010000}"/>
    <cellStyle name="Comma 8 15 2" xfId="427" xr:uid="{00000000-0005-0000-0000-0000AA010000}"/>
    <cellStyle name="Comma 8 16" xfId="428" xr:uid="{00000000-0005-0000-0000-0000AB010000}"/>
    <cellStyle name="Comma 8 16 2" xfId="429" xr:uid="{00000000-0005-0000-0000-0000AC010000}"/>
    <cellStyle name="Comma 8 17" xfId="430" xr:uid="{00000000-0005-0000-0000-0000AD010000}"/>
    <cellStyle name="Comma 8 17 2" xfId="431" xr:uid="{00000000-0005-0000-0000-0000AE010000}"/>
    <cellStyle name="Comma 8 18" xfId="432" xr:uid="{00000000-0005-0000-0000-0000AF010000}"/>
    <cellStyle name="Comma 8 18 2" xfId="433" xr:uid="{00000000-0005-0000-0000-0000B0010000}"/>
    <cellStyle name="Comma 8 19" xfId="434" xr:uid="{00000000-0005-0000-0000-0000B1010000}"/>
    <cellStyle name="Comma 8 19 2" xfId="435" xr:uid="{00000000-0005-0000-0000-0000B2010000}"/>
    <cellStyle name="Comma 8 2" xfId="436" xr:uid="{00000000-0005-0000-0000-0000B3010000}"/>
    <cellStyle name="Comma 8 2 2" xfId="437" xr:uid="{00000000-0005-0000-0000-0000B4010000}"/>
    <cellStyle name="Comma 8 20" xfId="438" xr:uid="{00000000-0005-0000-0000-0000B5010000}"/>
    <cellStyle name="Comma 8 3" xfId="439" xr:uid="{00000000-0005-0000-0000-0000B6010000}"/>
    <cellStyle name="Comma 8 3 2" xfId="440" xr:uid="{00000000-0005-0000-0000-0000B7010000}"/>
    <cellStyle name="Comma 8 4" xfId="441" xr:uid="{00000000-0005-0000-0000-0000B8010000}"/>
    <cellStyle name="Comma 8 4 2" xfId="442" xr:uid="{00000000-0005-0000-0000-0000B9010000}"/>
    <cellStyle name="Comma 8 5" xfId="443" xr:uid="{00000000-0005-0000-0000-0000BA010000}"/>
    <cellStyle name="Comma 8 5 2" xfId="444" xr:uid="{00000000-0005-0000-0000-0000BB010000}"/>
    <cellStyle name="Comma 8 6" xfId="445" xr:uid="{00000000-0005-0000-0000-0000BC010000}"/>
    <cellStyle name="Comma 8 6 2" xfId="446" xr:uid="{00000000-0005-0000-0000-0000BD010000}"/>
    <cellStyle name="Comma 8 7" xfId="447" xr:uid="{00000000-0005-0000-0000-0000BE010000}"/>
    <cellStyle name="Comma 8 7 2" xfId="448" xr:uid="{00000000-0005-0000-0000-0000BF010000}"/>
    <cellStyle name="Comma 8 8" xfId="449" xr:uid="{00000000-0005-0000-0000-0000C0010000}"/>
    <cellStyle name="Comma 8 8 2" xfId="450" xr:uid="{00000000-0005-0000-0000-0000C1010000}"/>
    <cellStyle name="Comma 8 9" xfId="451" xr:uid="{00000000-0005-0000-0000-0000C2010000}"/>
    <cellStyle name="Comma 8 9 2" xfId="452" xr:uid="{00000000-0005-0000-0000-0000C3010000}"/>
    <cellStyle name="Comma 9" xfId="453" xr:uid="{00000000-0005-0000-0000-0000C4010000}"/>
    <cellStyle name="Comma 9 10" xfId="454" xr:uid="{00000000-0005-0000-0000-0000C5010000}"/>
    <cellStyle name="Comma 9 10 2" xfId="455" xr:uid="{00000000-0005-0000-0000-0000C6010000}"/>
    <cellStyle name="Comma 9 11" xfId="456" xr:uid="{00000000-0005-0000-0000-0000C7010000}"/>
    <cellStyle name="Comma 9 11 2" xfId="457" xr:uid="{00000000-0005-0000-0000-0000C8010000}"/>
    <cellStyle name="Comma 9 12" xfId="458" xr:uid="{00000000-0005-0000-0000-0000C9010000}"/>
    <cellStyle name="Comma 9 12 2" xfId="459" xr:uid="{00000000-0005-0000-0000-0000CA010000}"/>
    <cellStyle name="Comma 9 13" xfId="460" xr:uid="{00000000-0005-0000-0000-0000CB010000}"/>
    <cellStyle name="Comma 9 13 2" xfId="461" xr:uid="{00000000-0005-0000-0000-0000CC010000}"/>
    <cellStyle name="Comma 9 14" xfId="462" xr:uid="{00000000-0005-0000-0000-0000CD010000}"/>
    <cellStyle name="Comma 9 14 2" xfId="463" xr:uid="{00000000-0005-0000-0000-0000CE010000}"/>
    <cellStyle name="Comma 9 15" xfId="464" xr:uid="{00000000-0005-0000-0000-0000CF010000}"/>
    <cellStyle name="Comma 9 15 2" xfId="465" xr:uid="{00000000-0005-0000-0000-0000D0010000}"/>
    <cellStyle name="Comma 9 16" xfId="466" xr:uid="{00000000-0005-0000-0000-0000D1010000}"/>
    <cellStyle name="Comma 9 16 2" xfId="467" xr:uid="{00000000-0005-0000-0000-0000D2010000}"/>
    <cellStyle name="Comma 9 17" xfId="468" xr:uid="{00000000-0005-0000-0000-0000D3010000}"/>
    <cellStyle name="Comma 9 17 2" xfId="469" xr:uid="{00000000-0005-0000-0000-0000D4010000}"/>
    <cellStyle name="Comma 9 18" xfId="470" xr:uid="{00000000-0005-0000-0000-0000D5010000}"/>
    <cellStyle name="Comma 9 18 2" xfId="471" xr:uid="{00000000-0005-0000-0000-0000D6010000}"/>
    <cellStyle name="Comma 9 19" xfId="472" xr:uid="{00000000-0005-0000-0000-0000D7010000}"/>
    <cellStyle name="Comma 9 19 2" xfId="473" xr:uid="{00000000-0005-0000-0000-0000D8010000}"/>
    <cellStyle name="Comma 9 2" xfId="474" xr:uid="{00000000-0005-0000-0000-0000D9010000}"/>
    <cellStyle name="Comma 9 2 2" xfId="475" xr:uid="{00000000-0005-0000-0000-0000DA010000}"/>
    <cellStyle name="Comma 9 20" xfId="476" xr:uid="{00000000-0005-0000-0000-0000DB010000}"/>
    <cellStyle name="Comma 9 3" xfId="477" xr:uid="{00000000-0005-0000-0000-0000DC010000}"/>
    <cellStyle name="Comma 9 3 2" xfId="478" xr:uid="{00000000-0005-0000-0000-0000DD010000}"/>
    <cellStyle name="Comma 9 4" xfId="479" xr:uid="{00000000-0005-0000-0000-0000DE010000}"/>
    <cellStyle name="Comma 9 4 2" xfId="480" xr:uid="{00000000-0005-0000-0000-0000DF010000}"/>
    <cellStyle name="Comma 9 5" xfId="481" xr:uid="{00000000-0005-0000-0000-0000E0010000}"/>
    <cellStyle name="Comma 9 5 2" xfId="482" xr:uid="{00000000-0005-0000-0000-0000E1010000}"/>
    <cellStyle name="Comma 9 6" xfId="483" xr:uid="{00000000-0005-0000-0000-0000E2010000}"/>
    <cellStyle name="Comma 9 6 2" xfId="484" xr:uid="{00000000-0005-0000-0000-0000E3010000}"/>
    <cellStyle name="Comma 9 7" xfId="485" xr:uid="{00000000-0005-0000-0000-0000E4010000}"/>
    <cellStyle name="Comma 9 7 2" xfId="486" xr:uid="{00000000-0005-0000-0000-0000E5010000}"/>
    <cellStyle name="Comma 9 8" xfId="487" xr:uid="{00000000-0005-0000-0000-0000E6010000}"/>
    <cellStyle name="Comma 9 8 2" xfId="488" xr:uid="{00000000-0005-0000-0000-0000E7010000}"/>
    <cellStyle name="Comma 9 9" xfId="489" xr:uid="{00000000-0005-0000-0000-0000E8010000}"/>
    <cellStyle name="Comma 9 9 2" xfId="490" xr:uid="{00000000-0005-0000-0000-0000E9010000}"/>
    <cellStyle name="Input 2" xfId="491" xr:uid="{00000000-0005-0000-0000-0000EA010000}"/>
    <cellStyle name="Input 2 2" xfId="492" xr:uid="{00000000-0005-0000-0000-0000EB010000}"/>
    <cellStyle name="Jun" xfId="493" xr:uid="{00000000-0005-0000-0000-0000EC010000}"/>
    <cellStyle name="Normal" xfId="0" builtinId="0"/>
    <cellStyle name="Normal 10" xfId="494" xr:uid="{00000000-0005-0000-0000-0000EE010000}"/>
    <cellStyle name="Normal 10 2" xfId="495" xr:uid="{00000000-0005-0000-0000-0000EF010000}"/>
    <cellStyle name="Normal 10 2 2" xfId="496" xr:uid="{00000000-0005-0000-0000-0000F0010000}"/>
    <cellStyle name="Normal 10 3" xfId="497" xr:uid="{00000000-0005-0000-0000-0000F1010000}"/>
    <cellStyle name="Normal 10 4" xfId="498" xr:uid="{00000000-0005-0000-0000-0000F2010000}"/>
    <cellStyle name="Normal 10 5" xfId="499" xr:uid="{00000000-0005-0000-0000-0000F3010000}"/>
    <cellStyle name="Normal 11" xfId="500" xr:uid="{00000000-0005-0000-0000-0000F4010000}"/>
    <cellStyle name="Normal 12" xfId="501" xr:uid="{00000000-0005-0000-0000-0000F5010000}"/>
    <cellStyle name="Normal 12 2" xfId="502" xr:uid="{00000000-0005-0000-0000-0000F6010000}"/>
    <cellStyle name="Normal 12 3" xfId="503" xr:uid="{00000000-0005-0000-0000-0000F7010000}"/>
    <cellStyle name="Normal 12 4" xfId="504" xr:uid="{00000000-0005-0000-0000-0000F8010000}"/>
    <cellStyle name="Normal 12 5" xfId="505" xr:uid="{00000000-0005-0000-0000-0000F9010000}"/>
    <cellStyle name="Normal 13" xfId="506" xr:uid="{00000000-0005-0000-0000-0000FA010000}"/>
    <cellStyle name="Normal 13 2" xfId="507" xr:uid="{00000000-0005-0000-0000-0000FB010000}"/>
    <cellStyle name="Normal 13 3" xfId="508" xr:uid="{00000000-0005-0000-0000-0000FC010000}"/>
    <cellStyle name="Normal 13 4" xfId="509" xr:uid="{00000000-0005-0000-0000-0000FD010000}"/>
    <cellStyle name="Normal 13 5" xfId="510" xr:uid="{00000000-0005-0000-0000-0000FE010000}"/>
    <cellStyle name="Normal 14" xfId="511" xr:uid="{00000000-0005-0000-0000-0000FF010000}"/>
    <cellStyle name="Normal 14 10" xfId="512" xr:uid="{00000000-0005-0000-0000-000000020000}"/>
    <cellStyle name="Normal 14 11" xfId="513" xr:uid="{00000000-0005-0000-0000-000001020000}"/>
    <cellStyle name="Normal 14 12" xfId="514" xr:uid="{00000000-0005-0000-0000-000002020000}"/>
    <cellStyle name="Normal 14 2" xfId="515" xr:uid="{00000000-0005-0000-0000-000003020000}"/>
    <cellStyle name="Normal 14 3" xfId="516" xr:uid="{00000000-0005-0000-0000-000004020000}"/>
    <cellStyle name="Normal 14 4" xfId="517" xr:uid="{00000000-0005-0000-0000-000005020000}"/>
    <cellStyle name="Normal 14 5" xfId="518" xr:uid="{00000000-0005-0000-0000-000006020000}"/>
    <cellStyle name="Normal 14 6" xfId="519" xr:uid="{00000000-0005-0000-0000-000007020000}"/>
    <cellStyle name="Normal 14 7" xfId="520" xr:uid="{00000000-0005-0000-0000-000008020000}"/>
    <cellStyle name="Normal 14 8" xfId="521" xr:uid="{00000000-0005-0000-0000-000009020000}"/>
    <cellStyle name="Normal 14 9" xfId="522" xr:uid="{00000000-0005-0000-0000-00000A020000}"/>
    <cellStyle name="Normal 15" xfId="523" xr:uid="{00000000-0005-0000-0000-00000B020000}"/>
    <cellStyle name="Normal 15 2" xfId="524" xr:uid="{00000000-0005-0000-0000-00000C020000}"/>
    <cellStyle name="Normal 16" xfId="525" xr:uid="{00000000-0005-0000-0000-00000D020000}"/>
    <cellStyle name="Normal 17" xfId="526" xr:uid="{00000000-0005-0000-0000-00000E020000}"/>
    <cellStyle name="Normal 17 2" xfId="527" xr:uid="{00000000-0005-0000-0000-00000F020000}"/>
    <cellStyle name="Normal 17 2 2" xfId="528" xr:uid="{00000000-0005-0000-0000-000010020000}"/>
    <cellStyle name="Normal 17 3" xfId="529" xr:uid="{00000000-0005-0000-0000-000011020000}"/>
    <cellStyle name="Normal 17 3 2" xfId="530" xr:uid="{00000000-0005-0000-0000-000012020000}"/>
    <cellStyle name="Normal 17 4" xfId="531" xr:uid="{00000000-0005-0000-0000-000013020000}"/>
    <cellStyle name="Normal 17 4 2" xfId="532" xr:uid="{00000000-0005-0000-0000-000014020000}"/>
    <cellStyle name="Normal 17 5" xfId="533" xr:uid="{00000000-0005-0000-0000-000015020000}"/>
    <cellStyle name="Normal 17 5 2" xfId="534" xr:uid="{00000000-0005-0000-0000-000016020000}"/>
    <cellStyle name="Normal 17 6" xfId="535" xr:uid="{00000000-0005-0000-0000-000017020000}"/>
    <cellStyle name="Normal 18" xfId="536" xr:uid="{00000000-0005-0000-0000-000018020000}"/>
    <cellStyle name="Normal 18 2" xfId="537" xr:uid="{00000000-0005-0000-0000-000019020000}"/>
    <cellStyle name="Normal 19" xfId="538" xr:uid="{00000000-0005-0000-0000-00001A020000}"/>
    <cellStyle name="Normal 19 2" xfId="539" xr:uid="{00000000-0005-0000-0000-00001B020000}"/>
    <cellStyle name="Normal 2" xfId="540" xr:uid="{00000000-0005-0000-0000-00001C020000}"/>
    <cellStyle name="Normal 2 10" xfId="541" xr:uid="{00000000-0005-0000-0000-00001D020000}"/>
    <cellStyle name="Normal 2 11" xfId="542" xr:uid="{00000000-0005-0000-0000-00001E020000}"/>
    <cellStyle name="Normal 2 12" xfId="543" xr:uid="{00000000-0005-0000-0000-00001F020000}"/>
    <cellStyle name="Normal 2 13" xfId="544" xr:uid="{00000000-0005-0000-0000-000020020000}"/>
    <cellStyle name="Normal 2 14" xfId="545" xr:uid="{00000000-0005-0000-0000-000021020000}"/>
    <cellStyle name="Normal 2 15" xfId="546" xr:uid="{00000000-0005-0000-0000-000022020000}"/>
    <cellStyle name="Normal 2 16" xfId="547" xr:uid="{00000000-0005-0000-0000-000023020000}"/>
    <cellStyle name="Normal 2 17" xfId="548" xr:uid="{00000000-0005-0000-0000-000024020000}"/>
    <cellStyle name="Normal 2 18" xfId="549" xr:uid="{00000000-0005-0000-0000-000025020000}"/>
    <cellStyle name="Normal 2 19" xfId="550" xr:uid="{00000000-0005-0000-0000-000026020000}"/>
    <cellStyle name="Normal 2 2" xfId="551" xr:uid="{00000000-0005-0000-0000-000027020000}"/>
    <cellStyle name="Normal 2 2 2" xfId="552" xr:uid="{00000000-0005-0000-0000-000028020000}"/>
    <cellStyle name="Normal 2 20" xfId="553" xr:uid="{00000000-0005-0000-0000-000029020000}"/>
    <cellStyle name="Normal 2 21" xfId="554" xr:uid="{00000000-0005-0000-0000-00002A020000}"/>
    <cellStyle name="Normal 2 3" xfId="555" xr:uid="{00000000-0005-0000-0000-00002B020000}"/>
    <cellStyle name="Normal 2 4" xfId="556" xr:uid="{00000000-0005-0000-0000-00002C020000}"/>
    <cellStyle name="Normal 2 5" xfId="557" xr:uid="{00000000-0005-0000-0000-00002D020000}"/>
    <cellStyle name="Normal 2 6" xfId="558" xr:uid="{00000000-0005-0000-0000-00002E020000}"/>
    <cellStyle name="Normal 2 7" xfId="559" xr:uid="{00000000-0005-0000-0000-00002F020000}"/>
    <cellStyle name="Normal 2 8" xfId="560" xr:uid="{00000000-0005-0000-0000-000030020000}"/>
    <cellStyle name="Normal 2 9" xfId="561" xr:uid="{00000000-0005-0000-0000-000031020000}"/>
    <cellStyle name="Normal 2_deposits mobilized" xfId="562" xr:uid="{00000000-0005-0000-0000-000032020000}"/>
    <cellStyle name="Normal 20" xfId="563" xr:uid="{00000000-0005-0000-0000-000033020000}"/>
    <cellStyle name="Normal 21" xfId="564" xr:uid="{00000000-0005-0000-0000-000034020000}"/>
    <cellStyle name="Normal 21 10" xfId="565" xr:uid="{00000000-0005-0000-0000-000035020000}"/>
    <cellStyle name="Normal 21 11" xfId="566" xr:uid="{00000000-0005-0000-0000-000036020000}"/>
    <cellStyle name="Normal 21 12" xfId="567" xr:uid="{00000000-0005-0000-0000-000037020000}"/>
    <cellStyle name="Normal 21 13" xfId="568" xr:uid="{00000000-0005-0000-0000-000038020000}"/>
    <cellStyle name="Normal 21 14" xfId="569" xr:uid="{00000000-0005-0000-0000-000039020000}"/>
    <cellStyle name="Normal 21 15" xfId="570" xr:uid="{00000000-0005-0000-0000-00003A020000}"/>
    <cellStyle name="Normal 21 16" xfId="571" xr:uid="{00000000-0005-0000-0000-00003B020000}"/>
    <cellStyle name="Normal 21 2" xfId="572" xr:uid="{00000000-0005-0000-0000-00003C020000}"/>
    <cellStyle name="Normal 21 3" xfId="573" xr:uid="{00000000-0005-0000-0000-00003D020000}"/>
    <cellStyle name="Normal 21 4" xfId="574" xr:uid="{00000000-0005-0000-0000-00003E020000}"/>
    <cellStyle name="Normal 21 5" xfId="575" xr:uid="{00000000-0005-0000-0000-00003F020000}"/>
    <cellStyle name="Normal 21 6" xfId="576" xr:uid="{00000000-0005-0000-0000-000040020000}"/>
    <cellStyle name="Normal 21 7" xfId="577" xr:uid="{00000000-0005-0000-0000-000041020000}"/>
    <cellStyle name="Normal 21 8" xfId="578" xr:uid="{00000000-0005-0000-0000-000042020000}"/>
    <cellStyle name="Normal 21 9" xfId="579" xr:uid="{00000000-0005-0000-0000-000043020000}"/>
    <cellStyle name="Normal 22" xfId="580" xr:uid="{00000000-0005-0000-0000-000044020000}"/>
    <cellStyle name="Normal 23" xfId="581" xr:uid="{00000000-0005-0000-0000-000045020000}"/>
    <cellStyle name="Normal 24" xfId="582" xr:uid="{00000000-0005-0000-0000-000046020000}"/>
    <cellStyle name="Normal 25" xfId="583" xr:uid="{00000000-0005-0000-0000-000047020000}"/>
    <cellStyle name="Normal 26" xfId="584" xr:uid="{00000000-0005-0000-0000-000048020000}"/>
    <cellStyle name="Normal 27" xfId="585" xr:uid="{00000000-0005-0000-0000-000049020000}"/>
    <cellStyle name="Normal 28" xfId="586" xr:uid="{00000000-0005-0000-0000-00004A020000}"/>
    <cellStyle name="Normal 29" xfId="587" xr:uid="{00000000-0005-0000-0000-00004B020000}"/>
    <cellStyle name="Normal 3" xfId="588" xr:uid="{00000000-0005-0000-0000-00004C020000}"/>
    <cellStyle name="Normal 3 10" xfId="589" xr:uid="{00000000-0005-0000-0000-00004D020000}"/>
    <cellStyle name="Normal 3 11" xfId="590" xr:uid="{00000000-0005-0000-0000-00004E020000}"/>
    <cellStyle name="Normal 3 12" xfId="591" xr:uid="{00000000-0005-0000-0000-00004F020000}"/>
    <cellStyle name="Normal 3 13" xfId="592" xr:uid="{00000000-0005-0000-0000-000050020000}"/>
    <cellStyle name="Normal 3 14" xfId="593" xr:uid="{00000000-0005-0000-0000-000051020000}"/>
    <cellStyle name="Normal 3 15" xfId="594" xr:uid="{00000000-0005-0000-0000-000052020000}"/>
    <cellStyle name="Normal 3 16" xfId="595" xr:uid="{00000000-0005-0000-0000-000053020000}"/>
    <cellStyle name="Normal 3 17" xfId="596" xr:uid="{00000000-0005-0000-0000-000054020000}"/>
    <cellStyle name="Normal 3 18" xfId="597" xr:uid="{00000000-0005-0000-0000-000055020000}"/>
    <cellStyle name="Normal 3 19" xfId="598" xr:uid="{00000000-0005-0000-0000-000056020000}"/>
    <cellStyle name="Normal 3 2" xfId="599" xr:uid="{00000000-0005-0000-0000-000057020000}"/>
    <cellStyle name="Normal 3 20" xfId="600" xr:uid="{00000000-0005-0000-0000-000058020000}"/>
    <cellStyle name="Normal 3 21" xfId="601" xr:uid="{00000000-0005-0000-0000-000059020000}"/>
    <cellStyle name="Normal 3 22" xfId="602" xr:uid="{00000000-0005-0000-0000-00005A020000}"/>
    <cellStyle name="Normal 3 23" xfId="603" xr:uid="{00000000-0005-0000-0000-00005B020000}"/>
    <cellStyle name="Normal 3 24" xfId="604" xr:uid="{00000000-0005-0000-0000-00005C020000}"/>
    <cellStyle name="Normal 3 25" xfId="605" xr:uid="{00000000-0005-0000-0000-00005D020000}"/>
    <cellStyle name="Normal 3 26" xfId="606" xr:uid="{00000000-0005-0000-0000-00005E020000}"/>
    <cellStyle name="Normal 3 27" xfId="607" xr:uid="{00000000-0005-0000-0000-00005F020000}"/>
    <cellStyle name="Normal 3 28" xfId="608" xr:uid="{00000000-0005-0000-0000-000060020000}"/>
    <cellStyle name="Normal 3 29" xfId="609" xr:uid="{00000000-0005-0000-0000-000061020000}"/>
    <cellStyle name="Normal 3 3" xfId="610" xr:uid="{00000000-0005-0000-0000-000062020000}"/>
    <cellStyle name="Normal 3 30" xfId="611" xr:uid="{00000000-0005-0000-0000-000063020000}"/>
    <cellStyle name="Normal 3 4" xfId="612" xr:uid="{00000000-0005-0000-0000-000064020000}"/>
    <cellStyle name="Normal 3 5" xfId="613" xr:uid="{00000000-0005-0000-0000-000065020000}"/>
    <cellStyle name="Normal 3 6" xfId="614" xr:uid="{00000000-0005-0000-0000-000066020000}"/>
    <cellStyle name="Normal 3 7" xfId="615" xr:uid="{00000000-0005-0000-0000-000067020000}"/>
    <cellStyle name="Normal 3 8" xfId="616" xr:uid="{00000000-0005-0000-0000-000068020000}"/>
    <cellStyle name="Normal 3 9" xfId="617" xr:uid="{00000000-0005-0000-0000-000069020000}"/>
    <cellStyle name="Normal 3_deposits mobilized" xfId="618" xr:uid="{00000000-0005-0000-0000-00006A020000}"/>
    <cellStyle name="Normal 30" xfId="619" xr:uid="{00000000-0005-0000-0000-00006B020000}"/>
    <cellStyle name="Normal 31" xfId="620" xr:uid="{00000000-0005-0000-0000-00006C020000}"/>
    <cellStyle name="Normal 34" xfId="621" xr:uid="{00000000-0005-0000-0000-00006D020000}"/>
    <cellStyle name="Normal 4" xfId="622" xr:uid="{00000000-0005-0000-0000-00006E020000}"/>
    <cellStyle name="Normal 4 10" xfId="623" xr:uid="{00000000-0005-0000-0000-00006F020000}"/>
    <cellStyle name="Normal 4 11" xfId="624" xr:uid="{00000000-0005-0000-0000-000070020000}"/>
    <cellStyle name="Normal 4 12" xfId="625" xr:uid="{00000000-0005-0000-0000-000071020000}"/>
    <cellStyle name="Normal 4 13" xfId="626" xr:uid="{00000000-0005-0000-0000-000072020000}"/>
    <cellStyle name="Normal 4 14" xfId="627" xr:uid="{00000000-0005-0000-0000-000073020000}"/>
    <cellStyle name="Normal 4 15" xfId="628" xr:uid="{00000000-0005-0000-0000-000074020000}"/>
    <cellStyle name="Normal 4 16" xfId="629" xr:uid="{00000000-0005-0000-0000-000075020000}"/>
    <cellStyle name="Normal 4 17" xfId="630" xr:uid="{00000000-0005-0000-0000-000076020000}"/>
    <cellStyle name="Normal 4 18" xfId="631" xr:uid="{00000000-0005-0000-0000-000077020000}"/>
    <cellStyle name="Normal 4 19" xfId="632" xr:uid="{00000000-0005-0000-0000-000078020000}"/>
    <cellStyle name="Normal 4 2" xfId="633" xr:uid="{00000000-0005-0000-0000-000079020000}"/>
    <cellStyle name="Normal 4 20" xfId="634" xr:uid="{00000000-0005-0000-0000-00007A020000}"/>
    <cellStyle name="Normal 4 21" xfId="635" xr:uid="{00000000-0005-0000-0000-00007B020000}"/>
    <cellStyle name="Normal 4 22" xfId="636" xr:uid="{00000000-0005-0000-0000-00007C020000}"/>
    <cellStyle name="Normal 4 23" xfId="637" xr:uid="{00000000-0005-0000-0000-00007D020000}"/>
    <cellStyle name="Normal 4 24" xfId="638" xr:uid="{00000000-0005-0000-0000-00007E020000}"/>
    <cellStyle name="Normal 4 25" xfId="639" xr:uid="{00000000-0005-0000-0000-00007F020000}"/>
    <cellStyle name="Normal 4 26" xfId="640" xr:uid="{00000000-0005-0000-0000-000080020000}"/>
    <cellStyle name="Normal 4 27" xfId="641" xr:uid="{00000000-0005-0000-0000-000081020000}"/>
    <cellStyle name="Normal 4 28" xfId="642" xr:uid="{00000000-0005-0000-0000-000082020000}"/>
    <cellStyle name="Normal 4 29" xfId="643" xr:uid="{00000000-0005-0000-0000-000083020000}"/>
    <cellStyle name="Normal 4 3" xfId="644" xr:uid="{00000000-0005-0000-0000-000084020000}"/>
    <cellStyle name="Normal 4 30" xfId="645" xr:uid="{00000000-0005-0000-0000-000085020000}"/>
    <cellStyle name="Normal 4 4" xfId="646" xr:uid="{00000000-0005-0000-0000-000086020000}"/>
    <cellStyle name="Normal 4 5" xfId="647" xr:uid="{00000000-0005-0000-0000-000087020000}"/>
    <cellStyle name="Normal 4 6" xfId="648" xr:uid="{00000000-0005-0000-0000-000088020000}"/>
    <cellStyle name="Normal 4 7" xfId="649" xr:uid="{00000000-0005-0000-0000-000089020000}"/>
    <cellStyle name="Normal 4 8" xfId="650" xr:uid="{00000000-0005-0000-0000-00008A020000}"/>
    <cellStyle name="Normal 4 9" xfId="651" xr:uid="{00000000-0005-0000-0000-00008B020000}"/>
    <cellStyle name="Normal 5" xfId="652" xr:uid="{00000000-0005-0000-0000-00008C020000}"/>
    <cellStyle name="Normal 5 10" xfId="653" xr:uid="{00000000-0005-0000-0000-00008D020000}"/>
    <cellStyle name="Normal 5 11" xfId="654" xr:uid="{00000000-0005-0000-0000-00008E020000}"/>
    <cellStyle name="Normal 5 12" xfId="655" xr:uid="{00000000-0005-0000-0000-00008F020000}"/>
    <cellStyle name="Normal 5 13" xfId="656" xr:uid="{00000000-0005-0000-0000-000090020000}"/>
    <cellStyle name="Normal 5 14" xfId="657" xr:uid="{00000000-0005-0000-0000-000091020000}"/>
    <cellStyle name="Normal 5 15" xfId="658" xr:uid="{00000000-0005-0000-0000-000092020000}"/>
    <cellStyle name="Normal 5 2" xfId="659" xr:uid="{00000000-0005-0000-0000-000093020000}"/>
    <cellStyle name="Normal 5 3" xfId="660" xr:uid="{00000000-0005-0000-0000-000094020000}"/>
    <cellStyle name="Normal 5 4" xfId="661" xr:uid="{00000000-0005-0000-0000-000095020000}"/>
    <cellStyle name="Normal 5 5" xfId="662" xr:uid="{00000000-0005-0000-0000-000096020000}"/>
    <cellStyle name="Normal 5 6" xfId="663" xr:uid="{00000000-0005-0000-0000-000097020000}"/>
    <cellStyle name="Normal 5 7" xfId="664" xr:uid="{00000000-0005-0000-0000-000098020000}"/>
    <cellStyle name="Normal 5 8" xfId="665" xr:uid="{00000000-0005-0000-0000-000099020000}"/>
    <cellStyle name="Normal 5 9" xfId="666" xr:uid="{00000000-0005-0000-0000-00009A020000}"/>
    <cellStyle name="Normal 6" xfId="667" xr:uid="{00000000-0005-0000-0000-00009B020000}"/>
    <cellStyle name="Normal 6 2" xfId="668" xr:uid="{00000000-0005-0000-0000-00009C020000}"/>
    <cellStyle name="Normal 6 3" xfId="669" xr:uid="{00000000-0005-0000-0000-00009D020000}"/>
    <cellStyle name="Normal 6 4" xfId="670" xr:uid="{00000000-0005-0000-0000-00009E020000}"/>
    <cellStyle name="Normal 6 5" xfId="671" xr:uid="{00000000-0005-0000-0000-00009F020000}"/>
    <cellStyle name="Normal 7" xfId="672" xr:uid="{00000000-0005-0000-0000-0000A0020000}"/>
    <cellStyle name="Normal 7 2" xfId="673" xr:uid="{00000000-0005-0000-0000-0000A1020000}"/>
    <cellStyle name="Normal 7 3" xfId="674" xr:uid="{00000000-0005-0000-0000-0000A2020000}"/>
    <cellStyle name="Normal 7 4" xfId="675" xr:uid="{00000000-0005-0000-0000-0000A3020000}"/>
    <cellStyle name="Normal 7 5" xfId="676" xr:uid="{00000000-0005-0000-0000-0000A4020000}"/>
    <cellStyle name="Normal 7 6" xfId="677" xr:uid="{00000000-0005-0000-0000-0000A5020000}"/>
    <cellStyle name="Normal 8" xfId="678" xr:uid="{00000000-0005-0000-0000-0000A6020000}"/>
    <cellStyle name="Normal 85" xfId="679" xr:uid="{00000000-0005-0000-0000-0000A7020000}"/>
    <cellStyle name="Normal 9" xfId="680" xr:uid="{00000000-0005-0000-0000-0000A8020000}"/>
    <cellStyle name="Normal 9 10" xfId="681" xr:uid="{00000000-0005-0000-0000-0000A9020000}"/>
    <cellStyle name="Normal 9 10 2" xfId="682" xr:uid="{00000000-0005-0000-0000-0000AA020000}"/>
    <cellStyle name="Normal 9 11" xfId="683" xr:uid="{00000000-0005-0000-0000-0000AB020000}"/>
    <cellStyle name="Normal 9 11 2" xfId="684" xr:uid="{00000000-0005-0000-0000-0000AC020000}"/>
    <cellStyle name="Normal 9 12" xfId="685" xr:uid="{00000000-0005-0000-0000-0000AD020000}"/>
    <cellStyle name="Normal 9 12 2" xfId="686" xr:uid="{00000000-0005-0000-0000-0000AE020000}"/>
    <cellStyle name="Normal 9 13" xfId="687" xr:uid="{00000000-0005-0000-0000-0000AF020000}"/>
    <cellStyle name="Normal 9 14" xfId="688" xr:uid="{00000000-0005-0000-0000-0000B0020000}"/>
    <cellStyle name="Normal 9 15" xfId="689" xr:uid="{00000000-0005-0000-0000-0000B1020000}"/>
    <cellStyle name="Normal 9 2" xfId="690" xr:uid="{00000000-0005-0000-0000-0000B2020000}"/>
    <cellStyle name="Normal 9 2 2" xfId="691" xr:uid="{00000000-0005-0000-0000-0000B3020000}"/>
    <cellStyle name="Normal 9 2 2 2" xfId="692" xr:uid="{00000000-0005-0000-0000-0000B4020000}"/>
    <cellStyle name="Normal 9 2 3" xfId="693" xr:uid="{00000000-0005-0000-0000-0000B5020000}"/>
    <cellStyle name="Normal 9 2 3 2" xfId="694" xr:uid="{00000000-0005-0000-0000-0000B6020000}"/>
    <cellStyle name="Normal 9 2 4" xfId="695" xr:uid="{00000000-0005-0000-0000-0000B7020000}"/>
    <cellStyle name="Normal 9 2 4 2" xfId="696" xr:uid="{00000000-0005-0000-0000-0000B8020000}"/>
    <cellStyle name="Normal 9 3" xfId="697" xr:uid="{00000000-0005-0000-0000-0000B9020000}"/>
    <cellStyle name="Normal 9 3 2" xfId="698" xr:uid="{00000000-0005-0000-0000-0000BA020000}"/>
    <cellStyle name="Normal 9 4" xfId="699" xr:uid="{00000000-0005-0000-0000-0000BB020000}"/>
    <cellStyle name="Normal 9 4 2" xfId="700" xr:uid="{00000000-0005-0000-0000-0000BC020000}"/>
    <cellStyle name="Normal 9 5" xfId="701" xr:uid="{00000000-0005-0000-0000-0000BD020000}"/>
    <cellStyle name="Normal 9 5 2" xfId="702" xr:uid="{00000000-0005-0000-0000-0000BE020000}"/>
    <cellStyle name="Normal 9 6" xfId="703" xr:uid="{00000000-0005-0000-0000-0000BF020000}"/>
    <cellStyle name="Normal 9 6 2" xfId="704" xr:uid="{00000000-0005-0000-0000-0000C0020000}"/>
    <cellStyle name="Normal 9 7" xfId="705" xr:uid="{00000000-0005-0000-0000-0000C1020000}"/>
    <cellStyle name="Normal 9 7 2" xfId="706" xr:uid="{00000000-0005-0000-0000-0000C2020000}"/>
    <cellStyle name="Normal 9 8" xfId="707" xr:uid="{00000000-0005-0000-0000-0000C3020000}"/>
    <cellStyle name="Normal 9 8 2" xfId="708" xr:uid="{00000000-0005-0000-0000-0000C4020000}"/>
    <cellStyle name="Normal 9 9" xfId="709" xr:uid="{00000000-0005-0000-0000-0000C5020000}"/>
    <cellStyle name="Normal 9 9 2" xfId="710" xr:uid="{00000000-0005-0000-0000-0000C6020000}"/>
    <cellStyle name="Note 2" xfId="711" xr:uid="{00000000-0005-0000-0000-0000C7020000}"/>
    <cellStyle name="Note 2 2" xfId="712" xr:uid="{00000000-0005-0000-0000-0000C8020000}"/>
    <cellStyle name="Percent" xfId="713" builtinId="5"/>
    <cellStyle name="Percent 2" xfId="714" xr:uid="{00000000-0005-0000-0000-0000CA020000}"/>
    <cellStyle name="Percent 2 2" xfId="715" xr:uid="{00000000-0005-0000-0000-0000CB020000}"/>
    <cellStyle name="Percent 3" xfId="716" xr:uid="{00000000-0005-0000-0000-0000CC020000}"/>
    <cellStyle name="Percent 3 2" xfId="717" xr:uid="{00000000-0005-0000-0000-0000CD020000}"/>
    <cellStyle name="Percent 3 3" xfId="718" xr:uid="{00000000-0005-0000-0000-0000CE020000}"/>
    <cellStyle name="Percent 3 4" xfId="719" xr:uid="{00000000-0005-0000-0000-0000CF020000}"/>
    <cellStyle name="Percent 4" xfId="720" xr:uid="{00000000-0005-0000-0000-0000D0020000}"/>
    <cellStyle name="Percent 5" xfId="721" xr:uid="{00000000-0005-0000-0000-0000D1020000}"/>
    <cellStyle name="Percent 5 2" xfId="722" xr:uid="{00000000-0005-0000-0000-0000D2020000}"/>
    <cellStyle name="Percent 6" xfId="723" xr:uid="{00000000-0005-0000-0000-0000D3020000}"/>
    <cellStyle name="Total 2" xfId="724" xr:uid="{00000000-0005-0000-0000-0000D4020000}"/>
    <cellStyle name="Total 2 2" xfId="725" xr:uid="{00000000-0005-0000-0000-0000D5020000}"/>
    <cellStyle name="Total 2 2 2" xfId="726" xr:uid="{00000000-0005-0000-0000-0000D6020000}"/>
    <cellStyle name="Total 2 3" xfId="727" xr:uid="{00000000-0005-0000-0000-0000D7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zoomScale="80" zoomScaleNormal="80" workbookViewId="0">
      <pane xSplit="1" topLeftCell="AF1" activePane="topRight" state="frozen"/>
      <selection pane="topRight" activeCell="K3" sqref="K3:AP3"/>
      <selection activeCell="A4" sqref="A4"/>
    </sheetView>
  </sheetViews>
  <sheetFormatPr defaultColWidth="9.140625" defaultRowHeight="14.1"/>
  <cols>
    <col min="1" max="1" width="53.85546875" style="114" customWidth="1"/>
    <col min="2" max="7" width="24.42578125" style="114" bestFit="1" customWidth="1"/>
    <col min="8" max="8" width="25.85546875" style="114" bestFit="1" customWidth="1"/>
    <col min="9" max="10" width="25.5703125" style="114" customWidth="1"/>
    <col min="11" max="13" width="25.42578125" style="114" customWidth="1"/>
    <col min="14" max="14" width="24.42578125" style="114" bestFit="1" customWidth="1"/>
    <col min="15" max="15" width="24.5703125" style="114" customWidth="1"/>
    <col min="16" max="16" width="23.42578125" style="114" customWidth="1"/>
    <col min="17" max="17" width="26" style="114" customWidth="1"/>
    <col min="18" max="18" width="25.42578125" style="114" customWidth="1"/>
    <col min="19" max="19" width="26.42578125" style="114" customWidth="1"/>
    <col min="20" max="20" width="28.5703125" style="114" customWidth="1"/>
    <col min="21" max="21" width="24.5703125" style="114" customWidth="1"/>
    <col min="22" max="22" width="25.42578125" style="114" customWidth="1"/>
    <col min="23" max="23" width="24.5703125" style="114" customWidth="1"/>
    <col min="24" max="24" width="29.140625" style="114" customWidth="1"/>
    <col min="25" max="25" width="24.140625" style="114" customWidth="1"/>
    <col min="26" max="26" width="24.42578125" style="114" customWidth="1"/>
    <col min="27" max="39" width="19" style="114" bestFit="1" customWidth="1"/>
    <col min="40" max="40" width="19" style="284" bestFit="1" customWidth="1"/>
    <col min="41" max="16384" width="9.140625" style="114"/>
  </cols>
  <sheetData>
    <row r="1" spans="1:40" ht="15" customHeight="1">
      <c r="A1" s="217"/>
    </row>
    <row r="3" spans="1:40" ht="22.5" customHeight="1">
      <c r="A3" s="218"/>
      <c r="B3" s="225">
        <v>43831</v>
      </c>
      <c r="C3" s="225">
        <v>43862</v>
      </c>
      <c r="D3" s="225">
        <v>43891</v>
      </c>
      <c r="E3" s="225">
        <v>43922</v>
      </c>
      <c r="F3" s="225">
        <v>43952</v>
      </c>
      <c r="G3" s="225">
        <v>43983</v>
      </c>
      <c r="H3" s="225">
        <v>44013</v>
      </c>
      <c r="I3" s="225">
        <v>44044</v>
      </c>
      <c r="J3" s="225">
        <v>44075</v>
      </c>
      <c r="K3" s="225">
        <v>44105</v>
      </c>
      <c r="L3" s="225">
        <v>44136</v>
      </c>
      <c r="M3" s="225">
        <v>44166</v>
      </c>
      <c r="N3" s="225" t="s">
        <v>0</v>
      </c>
      <c r="O3" s="225">
        <v>44197</v>
      </c>
      <c r="P3" s="225">
        <v>44228</v>
      </c>
      <c r="Q3" s="225">
        <v>44256</v>
      </c>
      <c r="R3" s="225">
        <v>44287</v>
      </c>
      <c r="S3" s="225">
        <v>44317</v>
      </c>
      <c r="T3" s="225">
        <v>44348</v>
      </c>
      <c r="U3" s="225">
        <v>44378</v>
      </c>
      <c r="V3" s="225">
        <v>44409</v>
      </c>
      <c r="W3" s="225">
        <v>44440</v>
      </c>
      <c r="X3" s="225">
        <v>44470</v>
      </c>
      <c r="Y3" s="225">
        <v>44501</v>
      </c>
      <c r="Z3" s="225">
        <v>44531</v>
      </c>
      <c r="AA3" s="226" t="s">
        <v>1</v>
      </c>
      <c r="AB3" s="241">
        <v>44562</v>
      </c>
      <c r="AC3" s="241">
        <v>44593</v>
      </c>
      <c r="AD3" s="241">
        <v>44621</v>
      </c>
      <c r="AE3" s="241">
        <v>44652</v>
      </c>
      <c r="AF3" s="241">
        <v>44682</v>
      </c>
      <c r="AG3" s="241">
        <v>44713</v>
      </c>
      <c r="AH3" s="241">
        <v>44743</v>
      </c>
      <c r="AI3" s="241">
        <v>44774</v>
      </c>
      <c r="AJ3" s="241">
        <v>44805</v>
      </c>
      <c r="AK3" s="241">
        <v>44835</v>
      </c>
      <c r="AL3" s="241">
        <v>44866</v>
      </c>
      <c r="AM3" s="241">
        <v>44896</v>
      </c>
      <c r="AN3" s="285" t="s">
        <v>2</v>
      </c>
    </row>
    <row r="4" spans="1:40">
      <c r="A4" s="219" t="s">
        <v>3</v>
      </c>
      <c r="B4" s="222">
        <f>(B5+B6)</f>
        <v>1010186343.03</v>
      </c>
      <c r="C4" s="222">
        <f>(C5+C6)</f>
        <v>1058591799.09</v>
      </c>
      <c r="D4" s="222">
        <f>(D5+D6)</f>
        <v>786991198.81000006</v>
      </c>
      <c r="E4" s="222">
        <f t="shared" ref="E4:J4" si="0">(E5+E6)</f>
        <v>537805512.89999998</v>
      </c>
      <c r="F4" s="222">
        <f t="shared" si="0"/>
        <v>674271647.69000006</v>
      </c>
      <c r="G4" s="222">
        <f t="shared" si="0"/>
        <v>887314090.77999997</v>
      </c>
      <c r="H4" s="222">
        <f t="shared" si="0"/>
        <v>980828565.30999994</v>
      </c>
      <c r="I4" s="222">
        <f t="shared" si="0"/>
        <v>984151913.36000001</v>
      </c>
      <c r="J4" s="222">
        <f t="shared" si="0"/>
        <v>994296828.17999995</v>
      </c>
      <c r="K4" s="222">
        <f>(K5+K6)</f>
        <v>1083155917.5699999</v>
      </c>
      <c r="L4" s="222">
        <f>(L5+L6)</f>
        <v>1220567669.1199999</v>
      </c>
      <c r="M4" s="222">
        <f>(M5+M6)</f>
        <v>1243842896.5999999</v>
      </c>
      <c r="N4" s="222">
        <f>(N5+N6)</f>
        <v>49936000</v>
      </c>
      <c r="O4" s="222">
        <f t="shared" ref="O4:AN4" si="1">(O5+O6)</f>
        <v>1336865139.55</v>
      </c>
      <c r="P4" s="222">
        <f t="shared" si="1"/>
        <v>1413435391.6399999</v>
      </c>
      <c r="Q4" s="222">
        <f t="shared" si="1"/>
        <v>1043835555.75</v>
      </c>
      <c r="R4" s="222">
        <f t="shared" si="1"/>
        <v>994492530.41999996</v>
      </c>
      <c r="S4" s="222">
        <f t="shared" si="1"/>
        <v>954852494.92999995</v>
      </c>
      <c r="T4" s="222">
        <f t="shared" si="1"/>
        <v>976152613.11000001</v>
      </c>
      <c r="U4" s="222">
        <f t="shared" si="1"/>
        <v>1187316034.6600001</v>
      </c>
      <c r="V4" s="222">
        <f t="shared" si="1"/>
        <v>1210155301.23</v>
      </c>
      <c r="W4" s="222">
        <f t="shared" si="1"/>
        <v>1189820489.52</v>
      </c>
      <c r="X4" s="222">
        <f t="shared" si="1"/>
        <v>1258672070.55</v>
      </c>
      <c r="Y4" s="222">
        <f t="shared" si="1"/>
        <v>1304649819.4200001</v>
      </c>
      <c r="Z4" s="222">
        <f t="shared" si="1"/>
        <v>1338126943.3299999</v>
      </c>
      <c r="AA4" s="222">
        <f t="shared" si="1"/>
        <v>1338128000</v>
      </c>
      <c r="AB4" s="222">
        <f t="shared" si="1"/>
        <v>1308856566.23</v>
      </c>
      <c r="AC4" s="222">
        <f t="shared" si="1"/>
        <v>1232469044.04</v>
      </c>
      <c r="AD4" s="222">
        <f t="shared" si="1"/>
        <v>1379393297.8300002</v>
      </c>
      <c r="AE4" s="222">
        <f t="shared" si="1"/>
        <v>1303147622.1100001</v>
      </c>
      <c r="AF4" s="222">
        <f t="shared" si="1"/>
        <v>1331226247.5599999</v>
      </c>
      <c r="AG4" s="222">
        <f t="shared" si="1"/>
        <v>1477410375.02</v>
      </c>
      <c r="AH4" s="222">
        <f t="shared" si="1"/>
        <v>1445962798.95</v>
      </c>
      <c r="AI4" s="222">
        <f t="shared" si="1"/>
        <v>1451607604.3300002</v>
      </c>
      <c r="AJ4" s="222">
        <f t="shared" si="1"/>
        <v>1072839533.1800001</v>
      </c>
      <c r="AK4" s="222">
        <f t="shared" si="1"/>
        <v>1144184236.25</v>
      </c>
      <c r="AL4" s="222">
        <f t="shared" si="1"/>
        <v>1165437790.4299998</v>
      </c>
      <c r="AM4" s="222">
        <f t="shared" si="1"/>
        <v>1198517096.29</v>
      </c>
      <c r="AN4" s="222">
        <f t="shared" si="1"/>
        <v>1954092000</v>
      </c>
    </row>
    <row r="5" spans="1:40">
      <c r="A5" s="220" t="s">
        <v>4</v>
      </c>
      <c r="B5" s="227">
        <v>1010152999.54</v>
      </c>
      <c r="C5" s="227">
        <v>21969.49</v>
      </c>
      <c r="D5" s="227">
        <v>35966.49</v>
      </c>
      <c r="E5" s="227">
        <v>29941.49</v>
      </c>
      <c r="F5" s="227">
        <v>31473.49</v>
      </c>
      <c r="G5" s="227">
        <v>160465.76999999999</v>
      </c>
      <c r="H5" s="227">
        <v>148928.76999999999</v>
      </c>
      <c r="I5" s="227">
        <v>196968.77</v>
      </c>
      <c r="J5" s="227">
        <v>208221.77</v>
      </c>
      <c r="K5" s="227">
        <v>241659.57</v>
      </c>
      <c r="L5" s="227">
        <v>219890.57</v>
      </c>
      <c r="M5" s="227">
        <v>1255040.33</v>
      </c>
      <c r="N5" s="227">
        <v>252000</v>
      </c>
      <c r="O5" s="228">
        <v>1583728.33</v>
      </c>
      <c r="P5" s="228">
        <v>1757108.33</v>
      </c>
      <c r="Q5" s="228">
        <v>1035713.64</v>
      </c>
      <c r="R5" s="228">
        <v>2389981.64</v>
      </c>
      <c r="S5" s="228">
        <v>6111924.6399999997</v>
      </c>
      <c r="T5" s="228">
        <v>3088383.64</v>
      </c>
      <c r="U5" s="228">
        <v>6155297.6399999997</v>
      </c>
      <c r="V5" s="228">
        <v>4862203.3899999997</v>
      </c>
      <c r="W5" s="228">
        <v>4344986.96</v>
      </c>
      <c r="X5" s="228">
        <v>3175001</v>
      </c>
      <c r="Y5" s="228">
        <v>1957830</v>
      </c>
      <c r="Z5" s="228">
        <v>1303599.1100000001</v>
      </c>
      <c r="AA5" s="223">
        <v>1000</v>
      </c>
      <c r="AB5" s="227">
        <v>913220.8</v>
      </c>
      <c r="AC5" s="227">
        <v>4023646.95</v>
      </c>
      <c r="AD5" s="227">
        <v>4471649.9000000004</v>
      </c>
      <c r="AE5" s="227">
        <v>3896217.95</v>
      </c>
      <c r="AF5" s="227">
        <v>1220087.7</v>
      </c>
      <c r="AG5" s="273">
        <v>3743930.51</v>
      </c>
      <c r="AH5" s="273">
        <v>3687296.41</v>
      </c>
      <c r="AI5" s="273">
        <v>2451256.41</v>
      </c>
      <c r="AJ5" s="273">
        <v>2146417.1</v>
      </c>
      <c r="AK5" s="273">
        <v>5876491.0999999996</v>
      </c>
      <c r="AL5" s="273">
        <v>4789067.0999999996</v>
      </c>
      <c r="AM5" s="273">
        <v>2433359.35</v>
      </c>
      <c r="AN5" s="284">
        <v>82435000</v>
      </c>
    </row>
    <row r="6" spans="1:40">
      <c r="A6" s="220" t="s">
        <v>5</v>
      </c>
      <c r="B6" s="227">
        <v>33343.49</v>
      </c>
      <c r="C6" s="227">
        <v>1058569829.6</v>
      </c>
      <c r="D6" s="227">
        <v>786955232.32000005</v>
      </c>
      <c r="E6" s="227">
        <v>537775571.40999997</v>
      </c>
      <c r="F6" s="227">
        <v>674240174.20000005</v>
      </c>
      <c r="G6" s="227">
        <v>887153625.00999999</v>
      </c>
      <c r="H6" s="227">
        <v>980679636.53999996</v>
      </c>
      <c r="I6" s="227">
        <v>983954944.59000003</v>
      </c>
      <c r="J6" s="227">
        <v>994088606.40999997</v>
      </c>
      <c r="K6" s="227">
        <v>1082914258</v>
      </c>
      <c r="L6" s="227">
        <v>1220347778.55</v>
      </c>
      <c r="M6" s="227">
        <v>1242587856.27</v>
      </c>
      <c r="N6" s="227">
        <f>16333000+1113000+12103000+573000+1349000+1003000+17210000</f>
        <v>49684000</v>
      </c>
      <c r="O6" s="228">
        <v>1335281411.22</v>
      </c>
      <c r="P6" s="228">
        <v>1411678283.3099999</v>
      </c>
      <c r="Q6" s="228">
        <v>1042799842.11</v>
      </c>
      <c r="R6" s="228">
        <v>992102548.77999997</v>
      </c>
      <c r="S6" s="228">
        <v>948740570.28999996</v>
      </c>
      <c r="T6" s="228">
        <v>973064229.47000003</v>
      </c>
      <c r="U6" s="228">
        <v>1181160737.02</v>
      </c>
      <c r="V6" s="228">
        <v>1205293097.8399999</v>
      </c>
      <c r="W6" s="228">
        <v>1185475502.5599999</v>
      </c>
      <c r="X6" s="228">
        <v>1255497069.55</v>
      </c>
      <c r="Y6" s="228">
        <v>1302691989.4200001</v>
      </c>
      <c r="Z6" s="228">
        <v>1336823344.22</v>
      </c>
      <c r="AA6" s="229">
        <f>116148000+71416000+320222000+162000+343255000+336605000+150319000</f>
        <v>1338127000</v>
      </c>
      <c r="AB6" s="227">
        <v>1307943345.4300001</v>
      </c>
      <c r="AC6" s="227">
        <v>1228445397.0899999</v>
      </c>
      <c r="AD6" s="227">
        <v>1374921647.9300001</v>
      </c>
      <c r="AE6" s="227">
        <v>1299251404.1600001</v>
      </c>
      <c r="AF6" s="227">
        <v>1330006159.8599999</v>
      </c>
      <c r="AG6" s="273">
        <v>1473666444.51</v>
      </c>
      <c r="AH6" s="273">
        <v>1442275502.54</v>
      </c>
      <c r="AI6" s="273">
        <v>1449156347.9200001</v>
      </c>
      <c r="AJ6" s="273">
        <v>1070693116.08</v>
      </c>
      <c r="AK6" s="273">
        <v>1138307745.1500001</v>
      </c>
      <c r="AL6" s="273">
        <v>1160648723.3299999</v>
      </c>
      <c r="AM6" s="273">
        <v>1196083736.9400001</v>
      </c>
      <c r="AN6" s="284">
        <v>1871657000</v>
      </c>
    </row>
    <row r="7" spans="1:40" s="221" customFormat="1">
      <c r="A7" s="219" t="s">
        <v>6</v>
      </c>
      <c r="B7" s="227">
        <v>132141719.7</v>
      </c>
      <c r="C7" s="227">
        <v>142462241.55000001</v>
      </c>
      <c r="D7" s="227">
        <v>0</v>
      </c>
      <c r="E7" s="227">
        <v>144589913.24000001</v>
      </c>
      <c r="F7" s="227">
        <v>143909455.50999999</v>
      </c>
      <c r="G7" s="227">
        <v>64235857.229999997</v>
      </c>
      <c r="H7" s="227">
        <v>69710925.230000004</v>
      </c>
      <c r="I7" s="227">
        <v>75746422.209999993</v>
      </c>
      <c r="J7" s="227">
        <v>82061838.370000005</v>
      </c>
      <c r="K7" s="227">
        <v>80631380.260000005</v>
      </c>
      <c r="L7" s="227">
        <v>80715943.579999998</v>
      </c>
      <c r="M7" s="227">
        <v>88025262.650000006</v>
      </c>
      <c r="N7" s="227">
        <v>90910000</v>
      </c>
      <c r="O7" s="230">
        <v>70956447.640000001</v>
      </c>
      <c r="P7" s="230">
        <v>146700541.69</v>
      </c>
      <c r="Q7" s="230">
        <v>140769587.47</v>
      </c>
      <c r="R7" s="230">
        <v>158741344.03999999</v>
      </c>
      <c r="S7" s="230">
        <v>155643667.52000001</v>
      </c>
      <c r="T7" s="230">
        <v>158721485.83000001</v>
      </c>
      <c r="U7" s="230">
        <v>164160004.88999999</v>
      </c>
      <c r="V7" s="230">
        <v>163529826.59</v>
      </c>
      <c r="W7" s="230">
        <v>171923704.66</v>
      </c>
      <c r="X7" s="230">
        <v>173115234.19999999</v>
      </c>
      <c r="Y7" s="230">
        <v>168830476.41999999</v>
      </c>
      <c r="Z7" s="230">
        <v>168644699.40000001</v>
      </c>
      <c r="AA7" s="231">
        <v>104846000</v>
      </c>
      <c r="AB7" s="227">
        <v>181769840.71000001</v>
      </c>
      <c r="AC7" s="227">
        <v>190896965.88</v>
      </c>
      <c r="AD7" s="227">
        <v>202246981.72999999</v>
      </c>
      <c r="AE7" s="227">
        <v>210034061.25</v>
      </c>
      <c r="AF7" s="227">
        <v>199920382.02000001</v>
      </c>
      <c r="AG7" s="273">
        <v>205289941.87</v>
      </c>
      <c r="AH7" s="273">
        <v>214269772.34</v>
      </c>
      <c r="AI7" s="273">
        <v>208858427.28</v>
      </c>
      <c r="AJ7" s="273">
        <v>208299748.15000001</v>
      </c>
      <c r="AK7" s="273">
        <v>212288475.18000001</v>
      </c>
      <c r="AL7" s="273">
        <v>223925472</v>
      </c>
      <c r="AM7" s="273">
        <v>206115551.00999999</v>
      </c>
      <c r="AN7" s="286">
        <v>24210000</v>
      </c>
    </row>
    <row r="8" spans="1:40">
      <c r="A8" s="219" t="s">
        <v>7</v>
      </c>
      <c r="B8" s="222">
        <f>(B9+B10+B11+B13+B12)</f>
        <v>148355784.34999999</v>
      </c>
      <c r="C8" s="222">
        <f>(C9+C10+C11+C13+C12)</f>
        <v>186355784.34999999</v>
      </c>
      <c r="D8" s="222">
        <f>(D9+D10+D11+D13+D12)</f>
        <v>191355784.34999999</v>
      </c>
      <c r="E8" s="222">
        <f t="shared" ref="E8:K8" si="2">(E9+E10+E11+E13+E12)</f>
        <v>441355784.35000002</v>
      </c>
      <c r="F8" s="222">
        <f t="shared" si="2"/>
        <v>441355784.35000002</v>
      </c>
      <c r="G8" s="222">
        <f t="shared" si="2"/>
        <v>449385275.35000002</v>
      </c>
      <c r="H8" s="222">
        <f t="shared" si="2"/>
        <v>452277752.35000002</v>
      </c>
      <c r="I8" s="222">
        <f t="shared" si="2"/>
        <v>486277752.35000002</v>
      </c>
      <c r="J8" s="222">
        <f t="shared" si="2"/>
        <v>463755308.35000002</v>
      </c>
      <c r="K8" s="222">
        <f t="shared" si="2"/>
        <v>385163727.35000002</v>
      </c>
      <c r="L8" s="222">
        <f>(L9+L10+L11+L12+L13)</f>
        <v>385163727.35000002</v>
      </c>
      <c r="M8" s="222">
        <f>(M9+M10+M11+M13+M12)</f>
        <v>461630728.35000002</v>
      </c>
      <c r="N8" s="222">
        <f>(N9+N10+N11+N13+N12)</f>
        <v>1653199000</v>
      </c>
      <c r="O8" s="222">
        <f t="shared" ref="O8:AN8" si="3">(O9+O10+O11+O13+O12)</f>
        <v>435959430.55000001</v>
      </c>
      <c r="P8" s="222">
        <f t="shared" si="3"/>
        <v>391769413.55000001</v>
      </c>
      <c r="Q8" s="222">
        <f t="shared" si="3"/>
        <v>651095218.54999995</v>
      </c>
      <c r="R8" s="222">
        <f t="shared" si="3"/>
        <v>699095218.54999995</v>
      </c>
      <c r="S8" s="222">
        <f t="shared" si="3"/>
        <v>699095218.54999995</v>
      </c>
      <c r="T8" s="222">
        <f t="shared" si="3"/>
        <v>708922566.54999995</v>
      </c>
      <c r="U8" s="222">
        <f t="shared" si="3"/>
        <v>574667403.54999995</v>
      </c>
      <c r="V8" s="222">
        <f t="shared" si="3"/>
        <v>576308547.54999995</v>
      </c>
      <c r="W8" s="222">
        <f t="shared" si="3"/>
        <v>581605423.54999995</v>
      </c>
      <c r="X8" s="222">
        <f t="shared" si="3"/>
        <v>581605423.54999995</v>
      </c>
      <c r="Y8" s="222">
        <f t="shared" si="3"/>
        <v>583329949.54999995</v>
      </c>
      <c r="Z8" s="222">
        <f t="shared" si="3"/>
        <v>618841201.54999995</v>
      </c>
      <c r="AA8" s="222">
        <f t="shared" si="3"/>
        <v>621537000</v>
      </c>
      <c r="AB8" s="222">
        <f t="shared" si="3"/>
        <v>621536556.64999998</v>
      </c>
      <c r="AC8" s="222">
        <f t="shared" si="3"/>
        <v>772977039.64999998</v>
      </c>
      <c r="AD8" s="222">
        <f t="shared" si="3"/>
        <v>498690377.64999998</v>
      </c>
      <c r="AE8" s="222">
        <f t="shared" si="3"/>
        <v>500690377.64999998</v>
      </c>
      <c r="AF8" s="222">
        <f t="shared" si="3"/>
        <v>501586253.64999998</v>
      </c>
      <c r="AG8" s="222">
        <f t="shared" si="3"/>
        <v>455865317.64999998</v>
      </c>
      <c r="AH8" s="222">
        <f t="shared" si="3"/>
        <v>509015317.64999998</v>
      </c>
      <c r="AI8" s="222">
        <f t="shared" si="3"/>
        <v>509931798.64999998</v>
      </c>
      <c r="AJ8" s="222">
        <f t="shared" si="3"/>
        <v>930416364.64999998</v>
      </c>
      <c r="AK8" s="222">
        <f t="shared" si="3"/>
        <v>932742814.64999998</v>
      </c>
      <c r="AL8" s="222">
        <f t="shared" si="3"/>
        <v>944856510.64999998</v>
      </c>
      <c r="AM8" s="222">
        <f t="shared" si="3"/>
        <v>996570851.25</v>
      </c>
      <c r="AN8" s="222">
        <f t="shared" si="3"/>
        <v>241010000</v>
      </c>
    </row>
    <row r="9" spans="1:40">
      <c r="A9" s="220" t="s">
        <v>8</v>
      </c>
      <c r="B9" s="227">
        <v>129759730</v>
      </c>
      <c r="C9" s="227">
        <v>167759730</v>
      </c>
      <c r="D9" s="227">
        <v>172759730</v>
      </c>
      <c r="E9" s="227">
        <v>172759730</v>
      </c>
      <c r="F9" s="227">
        <v>172759730</v>
      </c>
      <c r="G9" s="227">
        <v>166759730</v>
      </c>
      <c r="H9" s="227">
        <v>166759730</v>
      </c>
      <c r="I9" s="227">
        <v>166759730</v>
      </c>
      <c r="J9" s="227">
        <v>141759730</v>
      </c>
      <c r="K9" s="227">
        <v>76759730</v>
      </c>
      <c r="L9" s="227">
        <v>76759730</v>
      </c>
      <c r="M9" s="227">
        <v>76759730</v>
      </c>
      <c r="N9" s="227">
        <v>76760000</v>
      </c>
      <c r="O9" s="228">
        <v>50759730</v>
      </c>
      <c r="P9" s="228">
        <v>5000000</v>
      </c>
      <c r="Q9" s="228">
        <v>210000000</v>
      </c>
      <c r="R9" s="228">
        <v>258000000</v>
      </c>
      <c r="S9" s="228">
        <v>258000000</v>
      </c>
      <c r="T9" s="228">
        <v>258000000</v>
      </c>
      <c r="U9" s="228">
        <v>258000000</v>
      </c>
      <c r="V9" s="228">
        <v>258000000</v>
      </c>
      <c r="W9" s="228">
        <v>258000000</v>
      </c>
      <c r="X9" s="228">
        <v>258000000</v>
      </c>
      <c r="Y9" s="228">
        <v>258000000</v>
      </c>
      <c r="Z9" s="228">
        <v>258000000</v>
      </c>
      <c r="AA9" s="232">
        <v>258000000</v>
      </c>
      <c r="AB9" s="227">
        <v>258000000</v>
      </c>
      <c r="AC9" s="227">
        <v>407000000</v>
      </c>
      <c r="AD9" s="227">
        <v>197000000</v>
      </c>
      <c r="AE9" s="227">
        <v>149000000</v>
      </c>
      <c r="AF9" s="227">
        <v>149000000</v>
      </c>
      <c r="AG9" s="273">
        <v>149000000</v>
      </c>
      <c r="AH9" s="273">
        <v>149000000</v>
      </c>
      <c r="AI9" s="273">
        <v>149000000</v>
      </c>
      <c r="AJ9" s="273">
        <v>564823940</v>
      </c>
      <c r="AK9" s="273">
        <v>564823940</v>
      </c>
      <c r="AL9" s="273">
        <v>576000000</v>
      </c>
      <c r="AM9" s="273">
        <v>623000000</v>
      </c>
      <c r="AN9" s="284">
        <v>220000000</v>
      </c>
    </row>
    <row r="10" spans="1:40">
      <c r="A10" s="220" t="s">
        <v>9</v>
      </c>
      <c r="B10" s="227">
        <v>0</v>
      </c>
      <c r="C10" s="227">
        <v>0</v>
      </c>
      <c r="D10" s="227">
        <v>0</v>
      </c>
      <c r="E10" s="227">
        <v>0</v>
      </c>
      <c r="F10" s="227">
        <v>0</v>
      </c>
      <c r="G10" s="227">
        <v>0</v>
      </c>
      <c r="H10" s="227">
        <v>0</v>
      </c>
      <c r="I10" s="227">
        <v>0</v>
      </c>
      <c r="J10" s="227">
        <v>0</v>
      </c>
      <c r="K10" s="227">
        <v>0</v>
      </c>
      <c r="L10" s="227">
        <v>0</v>
      </c>
      <c r="M10" s="227">
        <v>0</v>
      </c>
      <c r="N10" s="223"/>
      <c r="O10" s="223">
        <v>0</v>
      </c>
      <c r="P10" s="223">
        <v>0</v>
      </c>
      <c r="Q10" s="223">
        <v>0</v>
      </c>
      <c r="R10" s="223">
        <v>0</v>
      </c>
      <c r="S10" s="223">
        <v>0</v>
      </c>
      <c r="T10" s="223">
        <v>0</v>
      </c>
      <c r="U10" s="223">
        <v>0</v>
      </c>
      <c r="V10" s="223">
        <v>0</v>
      </c>
      <c r="W10" s="223">
        <v>0</v>
      </c>
      <c r="X10" s="223">
        <v>0</v>
      </c>
      <c r="Y10" s="223">
        <v>0</v>
      </c>
      <c r="Z10" s="223">
        <v>0</v>
      </c>
      <c r="AA10" s="223"/>
      <c r="AB10" s="227">
        <v>0</v>
      </c>
      <c r="AC10" s="227">
        <v>0</v>
      </c>
      <c r="AD10" s="227">
        <v>0</v>
      </c>
      <c r="AE10" s="227">
        <v>0</v>
      </c>
      <c r="AF10" s="227">
        <v>0</v>
      </c>
      <c r="AG10" s="273">
        <v>0</v>
      </c>
      <c r="AH10" s="273">
        <v>0</v>
      </c>
      <c r="AI10" s="273">
        <v>0</v>
      </c>
      <c r="AJ10" s="273">
        <v>0</v>
      </c>
      <c r="AK10" s="273">
        <v>0</v>
      </c>
      <c r="AL10" s="273">
        <v>0</v>
      </c>
      <c r="AM10" s="273">
        <v>0</v>
      </c>
    </row>
    <row r="11" spans="1:40">
      <c r="A11" s="21" t="s">
        <v>10</v>
      </c>
      <c r="B11" s="227">
        <v>0</v>
      </c>
      <c r="C11" s="227">
        <v>0</v>
      </c>
      <c r="D11" s="227">
        <v>0</v>
      </c>
      <c r="E11" s="227">
        <v>250000000</v>
      </c>
      <c r="F11" s="227">
        <v>250000000</v>
      </c>
      <c r="G11" s="227">
        <v>264029491</v>
      </c>
      <c r="H11" s="227">
        <v>266921968</v>
      </c>
      <c r="I11" s="227">
        <v>300921968</v>
      </c>
      <c r="J11" s="227">
        <v>303399524</v>
      </c>
      <c r="K11" s="227">
        <v>289807943</v>
      </c>
      <c r="L11" s="227">
        <v>289807943</v>
      </c>
      <c r="M11" s="227">
        <v>366274944</v>
      </c>
      <c r="N11" s="227">
        <v>1560028000</v>
      </c>
      <c r="O11" s="228">
        <v>368789447</v>
      </c>
      <c r="P11" s="228">
        <v>370359160</v>
      </c>
      <c r="Q11" s="228">
        <v>424684965</v>
      </c>
      <c r="R11" s="228">
        <v>424684965</v>
      </c>
      <c r="S11" s="228">
        <v>424684965</v>
      </c>
      <c r="T11" s="228">
        <v>434512313</v>
      </c>
      <c r="U11" s="228">
        <v>300257150</v>
      </c>
      <c r="V11" s="228">
        <v>301898294</v>
      </c>
      <c r="W11" s="228">
        <v>307195170</v>
      </c>
      <c r="X11" s="228">
        <v>307195170</v>
      </c>
      <c r="Y11" s="228">
        <v>308919696</v>
      </c>
      <c r="Z11" s="228">
        <v>344430948</v>
      </c>
      <c r="AA11" s="229">
        <v>344431000</v>
      </c>
      <c r="AB11" s="227">
        <v>344430948</v>
      </c>
      <c r="AC11" s="227">
        <v>346871431</v>
      </c>
      <c r="AD11" s="227">
        <v>282584769</v>
      </c>
      <c r="AE11" s="227">
        <v>332584769</v>
      </c>
      <c r="AF11" s="227">
        <v>333480645</v>
      </c>
      <c r="AG11" s="273">
        <v>287759709</v>
      </c>
      <c r="AH11" s="273">
        <v>338909709</v>
      </c>
      <c r="AI11" s="273">
        <v>339826190</v>
      </c>
      <c r="AJ11" s="273">
        <v>344486816</v>
      </c>
      <c r="AK11" s="273">
        <v>346813266</v>
      </c>
      <c r="AL11" s="273">
        <v>347750902</v>
      </c>
      <c r="AM11" s="273">
        <v>352561426</v>
      </c>
    </row>
    <row r="12" spans="1:40">
      <c r="A12" s="21" t="s">
        <v>11</v>
      </c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>
        <v>0</v>
      </c>
      <c r="M12" s="227">
        <v>0</v>
      </c>
      <c r="N12" s="227">
        <f>2079000+4720000+1575000+3415000</f>
        <v>11789000</v>
      </c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3"/>
      <c r="AB12" s="223"/>
      <c r="AC12" s="223"/>
      <c r="AD12" s="223"/>
      <c r="AE12" s="223"/>
      <c r="AF12" s="223"/>
    </row>
    <row r="13" spans="1:40">
      <c r="A13" s="21" t="s">
        <v>12</v>
      </c>
      <c r="B13" s="227">
        <v>18596054.350000001</v>
      </c>
      <c r="C13" s="227">
        <v>18596054.350000001</v>
      </c>
      <c r="D13" s="227">
        <v>18596054.350000001</v>
      </c>
      <c r="E13" s="227">
        <v>18596054.350000001</v>
      </c>
      <c r="F13" s="227">
        <v>18596054.350000001</v>
      </c>
      <c r="G13" s="227">
        <v>18596054.350000001</v>
      </c>
      <c r="H13" s="227">
        <v>18596054.350000001</v>
      </c>
      <c r="I13" s="227">
        <v>18596054.350000001</v>
      </c>
      <c r="J13" s="227">
        <v>18596054.350000001</v>
      </c>
      <c r="K13" s="227">
        <v>18596054.350000001</v>
      </c>
      <c r="L13" s="227">
        <v>18596054.350000001</v>
      </c>
      <c r="M13" s="227">
        <v>18596054.350000001</v>
      </c>
      <c r="N13" s="227">
        <f>2640000+1982000</f>
        <v>4622000</v>
      </c>
      <c r="O13" s="228">
        <v>16410253.550000001</v>
      </c>
      <c r="P13" s="228">
        <v>16410253.550000001</v>
      </c>
      <c r="Q13" s="228">
        <v>16410253.550000001</v>
      </c>
      <c r="R13" s="228">
        <v>16410253.550000001</v>
      </c>
      <c r="S13" s="228">
        <v>16410253.550000001</v>
      </c>
      <c r="T13" s="228">
        <v>16410253.550000001</v>
      </c>
      <c r="U13" s="228">
        <v>16410253.550000001</v>
      </c>
      <c r="V13" s="228">
        <v>16410253.550000001</v>
      </c>
      <c r="W13" s="228">
        <v>16410253.550000001</v>
      </c>
      <c r="X13" s="228">
        <v>16410253.550000001</v>
      </c>
      <c r="Y13" s="228">
        <v>16410253.550000001</v>
      </c>
      <c r="Z13" s="228">
        <v>16410253.550000001</v>
      </c>
      <c r="AA13" s="223">
        <f>17040000+2066000</f>
        <v>19106000</v>
      </c>
      <c r="AB13" s="227">
        <v>19105608.649999999</v>
      </c>
      <c r="AC13" s="227">
        <v>19105608.649999999</v>
      </c>
      <c r="AD13" s="227">
        <v>19105608.649999999</v>
      </c>
      <c r="AE13" s="227">
        <v>19105608.649999999</v>
      </c>
      <c r="AF13" s="227">
        <v>19105608.649999999</v>
      </c>
      <c r="AG13" s="273">
        <v>19105608.649999999</v>
      </c>
      <c r="AH13" s="273">
        <v>21105608.649999999</v>
      </c>
      <c r="AI13" s="273">
        <v>21105608.649999999</v>
      </c>
      <c r="AJ13" s="273">
        <v>21105608.649999999</v>
      </c>
      <c r="AK13" s="273">
        <v>21105608.649999999</v>
      </c>
      <c r="AL13" s="273">
        <v>21105608.649999999</v>
      </c>
      <c r="AM13" s="273">
        <v>21009425.25</v>
      </c>
      <c r="AN13" s="284">
        <v>21010000</v>
      </c>
    </row>
    <row r="14" spans="1:40">
      <c r="A14" s="219" t="s">
        <v>13</v>
      </c>
      <c r="B14" s="222">
        <f>(B15-B16)</f>
        <v>5254183199.7699995</v>
      </c>
      <c r="C14" s="222">
        <f>(C15-C16)</f>
        <v>5165614999.3800001</v>
      </c>
      <c r="D14" s="222">
        <f>(D15-D16)</f>
        <v>5206739724.7699995</v>
      </c>
      <c r="E14" s="222">
        <f t="shared" ref="E14:K14" si="4">(E15-E16)</f>
        <v>5214632000.1799994</v>
      </c>
      <c r="F14" s="222">
        <f t="shared" si="4"/>
        <v>5184766718.1199999</v>
      </c>
      <c r="G14" s="222">
        <f t="shared" si="4"/>
        <v>5165633935.3499994</v>
      </c>
      <c r="H14" s="222">
        <f t="shared" si="4"/>
        <v>5200694901.9699993</v>
      </c>
      <c r="I14" s="222">
        <f t="shared" si="4"/>
        <v>5255208637.4799995</v>
      </c>
      <c r="J14" s="222">
        <f t="shared" si="4"/>
        <v>5379253925.7699995</v>
      </c>
      <c r="K14" s="222">
        <f t="shared" si="4"/>
        <v>5429972123.96</v>
      </c>
      <c r="L14" s="222">
        <f>(L15-L16)</f>
        <v>5461322585.1299992</v>
      </c>
      <c r="M14" s="222">
        <f>(M15-M16)</f>
        <v>5488077549.9699993</v>
      </c>
      <c r="N14" s="222">
        <f>(N15-N16)</f>
        <v>5485410000</v>
      </c>
      <c r="O14" s="222">
        <f t="shared" ref="O14:AN14" si="5">(O15-O16)</f>
        <v>5428229592.2300005</v>
      </c>
      <c r="P14" s="222">
        <f t="shared" si="5"/>
        <v>5348134079.8400002</v>
      </c>
      <c r="Q14" s="222">
        <f t="shared" si="5"/>
        <v>5475388637.4899998</v>
      </c>
      <c r="R14" s="222">
        <f t="shared" si="5"/>
        <v>5549088733.7699995</v>
      </c>
      <c r="S14" s="222">
        <f t="shared" si="5"/>
        <v>5595888198.1300001</v>
      </c>
      <c r="T14" s="222">
        <f t="shared" si="5"/>
        <v>5597296048.96</v>
      </c>
      <c r="U14" s="222">
        <f t="shared" si="5"/>
        <v>5661897255.21</v>
      </c>
      <c r="V14" s="222">
        <f t="shared" si="5"/>
        <v>5792281831.0499992</v>
      </c>
      <c r="W14" s="222">
        <f t="shared" si="5"/>
        <v>5888001142.9699993</v>
      </c>
      <c r="X14" s="222">
        <f t="shared" si="5"/>
        <v>5908924637.4899998</v>
      </c>
      <c r="Y14" s="222">
        <f t="shared" si="5"/>
        <v>5984653501.0500002</v>
      </c>
      <c r="Z14" s="222">
        <f t="shared" si="5"/>
        <v>6018193148.9900007</v>
      </c>
      <c r="AA14" s="222">
        <f t="shared" si="5"/>
        <v>6111742000</v>
      </c>
      <c r="AB14" s="222">
        <f t="shared" si="5"/>
        <v>6150261272.0200005</v>
      </c>
      <c r="AC14" s="222">
        <f t="shared" si="5"/>
        <v>6173414422.9899998</v>
      </c>
      <c r="AD14" s="222">
        <f t="shared" si="5"/>
        <v>6105365279.5500002</v>
      </c>
      <c r="AE14" s="222">
        <f t="shared" si="5"/>
        <v>6192189374.9899998</v>
      </c>
      <c r="AF14" s="222">
        <f t="shared" si="5"/>
        <v>6248871273.1400003</v>
      </c>
      <c r="AG14" s="222">
        <f t="shared" si="5"/>
        <v>6226160551.1900005</v>
      </c>
      <c r="AH14" s="222">
        <f t="shared" si="5"/>
        <v>6349984264.2200003</v>
      </c>
      <c r="AI14" s="222">
        <f t="shared" si="5"/>
        <v>6437239785.3200006</v>
      </c>
      <c r="AJ14" s="222">
        <f t="shared" si="5"/>
        <v>6521471093.4499998</v>
      </c>
      <c r="AK14" s="222">
        <f t="shared" si="5"/>
        <v>6634824910.2300005</v>
      </c>
      <c r="AL14" s="222">
        <f t="shared" si="5"/>
        <v>6768496557.9300003</v>
      </c>
      <c r="AM14" s="222">
        <f t="shared" si="5"/>
        <v>6833223081.6700001</v>
      </c>
      <c r="AN14" s="222">
        <f t="shared" si="5"/>
        <v>6927369000</v>
      </c>
    </row>
    <row r="15" spans="1:40">
      <c r="A15" s="220" t="s">
        <v>14</v>
      </c>
      <c r="B15" s="227">
        <v>5394203986.3599997</v>
      </c>
      <c r="C15" s="227">
        <v>5305635785.9700003</v>
      </c>
      <c r="D15" s="227">
        <v>5368626814.6199999</v>
      </c>
      <c r="E15" s="227">
        <v>5376519090.0299997</v>
      </c>
      <c r="F15" s="227">
        <v>5346653807.9700003</v>
      </c>
      <c r="G15" s="227">
        <v>5327521025.1999998</v>
      </c>
      <c r="H15" s="227">
        <v>5362581991.8199997</v>
      </c>
      <c r="I15" s="227">
        <v>5427603348.54</v>
      </c>
      <c r="J15" s="227">
        <v>5551648636.8299999</v>
      </c>
      <c r="K15" s="227">
        <v>5602366835.0200005</v>
      </c>
      <c r="L15" s="227">
        <v>5633717296.1899996</v>
      </c>
      <c r="M15" s="227">
        <v>5672964255.3599997</v>
      </c>
      <c r="N15" s="227">
        <f>5504745000+165551000</f>
        <v>5670296000</v>
      </c>
      <c r="O15" s="228">
        <v>5698585063.7200003</v>
      </c>
      <c r="P15" s="228">
        <v>5741566977.3299999</v>
      </c>
      <c r="Q15" s="228">
        <v>5715127821.8999996</v>
      </c>
      <c r="R15" s="228">
        <v>5795905102.8299999</v>
      </c>
      <c r="S15" s="228">
        <v>5849781751.8400002</v>
      </c>
      <c r="T15" s="228">
        <v>5851189602.6700001</v>
      </c>
      <c r="U15" s="228">
        <v>5920945712.9200001</v>
      </c>
      <c r="V15" s="228">
        <v>6063743033.8199997</v>
      </c>
      <c r="W15" s="228">
        <v>6159462345.7399998</v>
      </c>
      <c r="X15" s="228">
        <v>6195650882.2399998</v>
      </c>
      <c r="Y15" s="228">
        <v>6223886174.8500004</v>
      </c>
      <c r="Z15" s="228">
        <v>6275057867.3500004</v>
      </c>
      <c r="AA15" s="229">
        <v>6334627000</v>
      </c>
      <c r="AB15" s="227">
        <v>6405722930.7200003</v>
      </c>
      <c r="AC15" s="227">
        <v>6428876081.6899996</v>
      </c>
      <c r="AD15" s="227">
        <v>6360826938.25</v>
      </c>
      <c r="AE15" s="227">
        <v>6447651033.6899996</v>
      </c>
      <c r="AF15" s="227">
        <v>6504332931.8400002</v>
      </c>
      <c r="AG15" s="273">
        <v>6481622209.8900003</v>
      </c>
      <c r="AH15" s="273">
        <v>6605445922.9200001</v>
      </c>
      <c r="AI15" s="273">
        <v>6692701444.0200005</v>
      </c>
      <c r="AJ15" s="273">
        <v>6776932752.1499996</v>
      </c>
      <c r="AK15" s="273">
        <v>6890286568.9300003</v>
      </c>
      <c r="AL15" s="273">
        <v>7023958216.6300001</v>
      </c>
      <c r="AM15" s="273">
        <v>7088684740.3699999</v>
      </c>
      <c r="AN15" s="280">
        <v>7258848000</v>
      </c>
    </row>
    <row r="16" spans="1:40">
      <c r="A16" s="220" t="s">
        <v>15</v>
      </c>
      <c r="B16" s="227">
        <v>140020786.59</v>
      </c>
      <c r="C16" s="227">
        <v>140020786.59</v>
      </c>
      <c r="D16" s="227">
        <v>161887089.84999999</v>
      </c>
      <c r="E16" s="227">
        <v>161887089.84999999</v>
      </c>
      <c r="F16" s="227">
        <v>161887089.84999999</v>
      </c>
      <c r="G16" s="227">
        <v>161887089.84999999</v>
      </c>
      <c r="H16" s="227">
        <v>161887089.84999999</v>
      </c>
      <c r="I16" s="227">
        <v>172394711.06</v>
      </c>
      <c r="J16" s="227">
        <v>172394711.06</v>
      </c>
      <c r="K16" s="227">
        <v>172394711.06</v>
      </c>
      <c r="L16" s="227">
        <v>172394711.06</v>
      </c>
      <c r="M16" s="227">
        <v>184886705.38999999</v>
      </c>
      <c r="N16" s="227">
        <v>184886000</v>
      </c>
      <c r="O16" s="228">
        <v>270355471.49000001</v>
      </c>
      <c r="P16" s="228">
        <v>393432897.49000001</v>
      </c>
      <c r="Q16" s="228">
        <v>239739184.41</v>
      </c>
      <c r="R16" s="228">
        <v>246816369.06</v>
      </c>
      <c r="S16" s="228">
        <v>253893553.71000001</v>
      </c>
      <c r="T16" s="228">
        <v>253893553.71000001</v>
      </c>
      <c r="U16" s="228">
        <v>259048457.71000001</v>
      </c>
      <c r="V16" s="228">
        <v>271461202.76999998</v>
      </c>
      <c r="W16" s="228">
        <v>271461202.76999998</v>
      </c>
      <c r="X16" s="228">
        <v>286726244.75</v>
      </c>
      <c r="Y16" s="228">
        <v>239232673.80000001</v>
      </c>
      <c r="Z16" s="228">
        <v>256864718.36000001</v>
      </c>
      <c r="AA16" s="229">
        <v>222885000</v>
      </c>
      <c r="AB16" s="227">
        <v>255461658.69999999</v>
      </c>
      <c r="AC16" s="227">
        <v>255461658.69999999</v>
      </c>
      <c r="AD16" s="227">
        <v>255461658.69999999</v>
      </c>
      <c r="AE16" s="227">
        <v>255461658.69999999</v>
      </c>
      <c r="AF16" s="227">
        <v>255461658.69999999</v>
      </c>
      <c r="AG16" s="273">
        <v>255461658.69999999</v>
      </c>
      <c r="AH16" s="273">
        <v>255461658.69999999</v>
      </c>
      <c r="AI16" s="273">
        <v>255461658.69999999</v>
      </c>
      <c r="AJ16" s="273">
        <v>255461658.69999999</v>
      </c>
      <c r="AK16" s="273">
        <v>255461658.69999999</v>
      </c>
      <c r="AL16" s="273">
        <v>255461658.69999999</v>
      </c>
      <c r="AM16" s="273">
        <v>255461658.69999999</v>
      </c>
      <c r="AN16" s="284">
        <v>331479000</v>
      </c>
    </row>
    <row r="17" spans="1:41">
      <c r="A17" s="219" t="s">
        <v>16</v>
      </c>
      <c r="B17" s="222">
        <f>(B18+B19+B20)</f>
        <v>-3692461.62</v>
      </c>
      <c r="C17" s="222">
        <f>(C18+C19+C20)</f>
        <v>-3441691.68</v>
      </c>
      <c r="D17" s="222">
        <f>(D18+D19+D20)</f>
        <v>137018598.83000001</v>
      </c>
      <c r="E17" s="222">
        <f t="shared" ref="E17:K17" si="6">(E18+E19+E20)</f>
        <v>21406077.149999999</v>
      </c>
      <c r="F17" s="222">
        <f t="shared" si="6"/>
        <v>21540227.829999998</v>
      </c>
      <c r="G17" s="222">
        <f t="shared" si="6"/>
        <v>21622702.760000002</v>
      </c>
      <c r="H17" s="222">
        <f t="shared" si="6"/>
        <v>21624637.18</v>
      </c>
      <c r="I17" s="222">
        <f t="shared" si="6"/>
        <v>21703384.84</v>
      </c>
      <c r="J17" s="222">
        <f t="shared" si="6"/>
        <v>21612910.469999999</v>
      </c>
      <c r="K17" s="222">
        <f t="shared" si="6"/>
        <v>21498068.530000001</v>
      </c>
      <c r="L17" s="222">
        <f>(L18+L19+L20)</f>
        <v>21552743.109999999</v>
      </c>
      <c r="M17" s="222">
        <f>(M18+M19+M20)</f>
        <v>-3633380.39</v>
      </c>
      <c r="N17" s="222">
        <f>(N18+N19+N20)</f>
        <v>203000</v>
      </c>
      <c r="O17" s="222">
        <f t="shared" ref="O17:AA17" si="7">(O18+O19+O20)</f>
        <v>-603691.81000000006</v>
      </c>
      <c r="P17" s="222">
        <f t="shared" si="7"/>
        <v>187022.78</v>
      </c>
      <c r="Q17" s="222">
        <f t="shared" si="7"/>
        <v>12424937.01</v>
      </c>
      <c r="R17" s="222">
        <f t="shared" si="7"/>
        <v>242109.51</v>
      </c>
      <c r="S17" s="222">
        <f t="shared" si="7"/>
        <v>1445302.66</v>
      </c>
      <c r="T17" s="222">
        <f t="shared" si="7"/>
        <v>1967848.13</v>
      </c>
      <c r="U17" s="222">
        <f t="shared" si="7"/>
        <v>2615101.31</v>
      </c>
      <c r="V17" s="222">
        <f t="shared" si="7"/>
        <v>5258822.7300000004</v>
      </c>
      <c r="W17" s="222">
        <f t="shared" si="7"/>
        <v>5440360.4800000004</v>
      </c>
      <c r="X17" s="222">
        <f t="shared" si="7"/>
        <v>5759070.9100000001</v>
      </c>
      <c r="Y17" s="222">
        <f t="shared" si="7"/>
        <v>5789683.8399999999</v>
      </c>
      <c r="Z17" s="222">
        <f t="shared" si="7"/>
        <v>203280</v>
      </c>
      <c r="AA17" s="222">
        <f t="shared" si="7"/>
        <v>178000</v>
      </c>
      <c r="AB17" s="233">
        <v>178080</v>
      </c>
      <c r="AC17" s="233">
        <v>178080</v>
      </c>
      <c r="AD17" s="233">
        <v>178080</v>
      </c>
      <c r="AE17" s="233">
        <v>178080</v>
      </c>
      <c r="AF17" s="233">
        <v>178080</v>
      </c>
      <c r="AG17" s="272">
        <v>178080</v>
      </c>
      <c r="AH17" s="272">
        <v>178080</v>
      </c>
      <c r="AI17" s="272">
        <v>178080</v>
      </c>
      <c r="AJ17" s="272">
        <v>178080</v>
      </c>
      <c r="AK17" s="272">
        <v>178080</v>
      </c>
      <c r="AL17" s="272">
        <v>178080</v>
      </c>
      <c r="AM17" s="272">
        <v>178080</v>
      </c>
    </row>
    <row r="18" spans="1:41">
      <c r="A18" s="220" t="s">
        <v>17</v>
      </c>
      <c r="B18" s="227">
        <v>-3727741.62</v>
      </c>
      <c r="C18" s="227">
        <v>-3476971.68</v>
      </c>
      <c r="D18" s="227">
        <v>-4027588.25</v>
      </c>
      <c r="E18" s="227">
        <v>21370797.149999999</v>
      </c>
      <c r="F18" s="227">
        <v>21504947.829999998</v>
      </c>
      <c r="G18" s="227">
        <v>21587422.760000002</v>
      </c>
      <c r="H18" s="227">
        <v>21589357.18</v>
      </c>
      <c r="I18" s="227">
        <v>21668104.84</v>
      </c>
      <c r="J18" s="227">
        <v>21577630.469999999</v>
      </c>
      <c r="K18" s="227">
        <v>21462788.530000001</v>
      </c>
      <c r="L18" s="227">
        <v>21517463.109999999</v>
      </c>
      <c r="M18" s="227">
        <v>-3668660.39</v>
      </c>
      <c r="N18" s="227">
        <v>0</v>
      </c>
      <c r="O18" s="228">
        <v>-806971.81</v>
      </c>
      <c r="P18" s="228">
        <v>-16257.22</v>
      </c>
      <c r="Q18" s="228">
        <v>12221657.01</v>
      </c>
      <c r="R18" s="228">
        <v>38829.51</v>
      </c>
      <c r="S18" s="228">
        <v>1242022.6599999999</v>
      </c>
      <c r="T18" s="228">
        <v>1764568.13</v>
      </c>
      <c r="U18" s="228">
        <v>2411821.31</v>
      </c>
      <c r="V18" s="228">
        <v>5055542.7300000004</v>
      </c>
      <c r="W18" s="228">
        <v>5237080.4800000004</v>
      </c>
      <c r="X18" s="228">
        <v>5555790.9100000001</v>
      </c>
      <c r="Y18" s="228">
        <v>5586403.8399999999</v>
      </c>
      <c r="Z18" s="223">
        <v>0</v>
      </c>
      <c r="AA18" s="223">
        <v>178000</v>
      </c>
      <c r="AB18" s="227">
        <v>0</v>
      </c>
      <c r="AC18" s="227">
        <v>0</v>
      </c>
      <c r="AD18" s="227">
        <v>0</v>
      </c>
      <c r="AE18" s="227">
        <v>0</v>
      </c>
      <c r="AF18" s="227">
        <v>0</v>
      </c>
      <c r="AG18" s="273">
        <v>178080</v>
      </c>
      <c r="AH18" s="273">
        <v>178080</v>
      </c>
      <c r="AI18" s="273">
        <v>178080</v>
      </c>
      <c r="AJ18" s="273">
        <v>178080</v>
      </c>
      <c r="AK18" s="273">
        <v>178080</v>
      </c>
      <c r="AL18" s="273">
        <v>178080</v>
      </c>
      <c r="AM18" s="273">
        <v>178080</v>
      </c>
    </row>
    <row r="19" spans="1:41">
      <c r="A19" s="220" t="s">
        <v>18</v>
      </c>
      <c r="B19" s="227">
        <v>35280</v>
      </c>
      <c r="C19" s="227">
        <v>35280</v>
      </c>
      <c r="D19" s="227">
        <v>35280</v>
      </c>
      <c r="E19" s="227">
        <v>35280</v>
      </c>
      <c r="F19" s="227">
        <v>35280</v>
      </c>
      <c r="G19" s="227">
        <v>35280</v>
      </c>
      <c r="H19" s="227">
        <v>35280</v>
      </c>
      <c r="I19" s="227">
        <v>35280</v>
      </c>
      <c r="J19" s="227">
        <v>35280</v>
      </c>
      <c r="K19" s="227">
        <v>35280</v>
      </c>
      <c r="L19" s="227">
        <v>35280</v>
      </c>
      <c r="M19" s="227">
        <v>35280</v>
      </c>
      <c r="N19" s="227">
        <v>203000</v>
      </c>
      <c r="O19" s="228">
        <v>203280</v>
      </c>
      <c r="P19" s="228">
        <v>203280</v>
      </c>
      <c r="Q19" s="228">
        <v>203280</v>
      </c>
      <c r="R19" s="228">
        <v>203280</v>
      </c>
      <c r="S19" s="228">
        <v>203280</v>
      </c>
      <c r="T19" s="228">
        <v>203280</v>
      </c>
      <c r="U19" s="228">
        <v>203280</v>
      </c>
      <c r="V19" s="228">
        <v>203280</v>
      </c>
      <c r="W19" s="228">
        <v>203280</v>
      </c>
      <c r="X19" s="228">
        <v>203280</v>
      </c>
      <c r="Y19" s="228">
        <v>203280</v>
      </c>
      <c r="Z19" s="228">
        <v>203280</v>
      </c>
      <c r="AA19" s="223"/>
      <c r="AB19" s="227">
        <v>178080</v>
      </c>
      <c r="AC19" s="227">
        <v>178080</v>
      </c>
      <c r="AD19" s="227">
        <v>178080</v>
      </c>
      <c r="AE19" s="227">
        <v>178080</v>
      </c>
      <c r="AF19" s="227">
        <v>178080</v>
      </c>
      <c r="AG19" s="273">
        <v>0</v>
      </c>
      <c r="AH19" s="273">
        <v>0</v>
      </c>
      <c r="AI19" s="273">
        <v>0</v>
      </c>
      <c r="AJ19" s="273">
        <v>0</v>
      </c>
      <c r="AK19" s="273">
        <v>0</v>
      </c>
      <c r="AL19" s="273">
        <v>0</v>
      </c>
      <c r="AM19" s="273">
        <v>0</v>
      </c>
    </row>
    <row r="20" spans="1:41">
      <c r="A20" s="220" t="s">
        <v>19</v>
      </c>
      <c r="B20" s="227">
        <v>0</v>
      </c>
      <c r="C20" s="227">
        <v>0</v>
      </c>
      <c r="D20" s="227">
        <v>141010907.08000001</v>
      </c>
      <c r="E20" s="227">
        <v>0</v>
      </c>
      <c r="F20" s="227">
        <v>0</v>
      </c>
      <c r="G20" s="227">
        <v>0</v>
      </c>
      <c r="H20" s="227">
        <v>0</v>
      </c>
      <c r="I20" s="227">
        <v>0</v>
      </c>
      <c r="J20" s="227">
        <v>0</v>
      </c>
      <c r="K20" s="227">
        <v>0</v>
      </c>
      <c r="L20" s="227">
        <v>0</v>
      </c>
      <c r="M20" s="227">
        <v>0</v>
      </c>
      <c r="N20" s="227">
        <v>0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223">
        <v>0</v>
      </c>
      <c r="Z20" s="223">
        <v>0</v>
      </c>
      <c r="AA20" s="223"/>
      <c r="AB20" s="227">
        <v>0</v>
      </c>
      <c r="AC20" s="227">
        <v>0</v>
      </c>
      <c r="AD20" s="227">
        <v>0</v>
      </c>
      <c r="AE20" s="227">
        <v>0</v>
      </c>
      <c r="AF20" s="227">
        <v>0</v>
      </c>
    </row>
    <row r="21" spans="1:41">
      <c r="A21" s="219" t="s">
        <v>20</v>
      </c>
      <c r="B21" s="222">
        <f>(B22+B23+B24+B25+B26)</f>
        <v>377785436.72999996</v>
      </c>
      <c r="C21" s="222">
        <f>(C22+C23+C24+C25+C26)</f>
        <v>379936697.82999998</v>
      </c>
      <c r="D21" s="222">
        <f>(D22+D23+D24+D25+D26)</f>
        <v>384827240.85000002</v>
      </c>
      <c r="E21" s="222">
        <f t="shared" ref="E21:K21" si="8">(E22+E23+E24+E25+E26)</f>
        <v>386852664.55000001</v>
      </c>
      <c r="F21" s="222">
        <f t="shared" si="8"/>
        <v>387662053.55000001</v>
      </c>
      <c r="G21" s="222">
        <f t="shared" si="8"/>
        <v>387134248.41999996</v>
      </c>
      <c r="H21" s="222">
        <f t="shared" si="8"/>
        <v>387755071.59000003</v>
      </c>
      <c r="I21" s="222">
        <f t="shared" si="8"/>
        <v>388352571.79999995</v>
      </c>
      <c r="J21" s="222">
        <f t="shared" si="8"/>
        <v>357980716.98000002</v>
      </c>
      <c r="K21" s="222">
        <f t="shared" si="8"/>
        <v>361889862.76999998</v>
      </c>
      <c r="L21" s="222">
        <f>(L22+L23+L24+L25+L26)</f>
        <v>361994393.70000005</v>
      </c>
      <c r="M21" s="222">
        <f>(M22+M23+M24+M25+M26)</f>
        <v>381981282.63999999</v>
      </c>
      <c r="N21" s="222">
        <f>(N22+N23+N24+N25+N26)</f>
        <v>381980000</v>
      </c>
      <c r="O21" s="222">
        <f t="shared" ref="O21:AN21" si="9">(O22+O23+O24+O25+O26)</f>
        <v>381632044.44</v>
      </c>
      <c r="P21" s="222">
        <f t="shared" si="9"/>
        <v>380815027.69</v>
      </c>
      <c r="Q21" s="222">
        <f t="shared" si="9"/>
        <v>379354946.17000002</v>
      </c>
      <c r="R21" s="222">
        <f t="shared" si="9"/>
        <v>378819367.58000004</v>
      </c>
      <c r="S21" s="222">
        <f t="shared" si="9"/>
        <v>378188605.83999997</v>
      </c>
      <c r="T21" s="222">
        <f t="shared" si="9"/>
        <v>385151221.25</v>
      </c>
      <c r="U21" s="222">
        <f t="shared" si="9"/>
        <v>386142905.01999998</v>
      </c>
      <c r="V21" s="222">
        <f t="shared" si="9"/>
        <v>387436441.13</v>
      </c>
      <c r="W21" s="222">
        <f t="shared" si="9"/>
        <v>391338217.34999996</v>
      </c>
      <c r="X21" s="222">
        <f t="shared" si="9"/>
        <v>390659031.45000005</v>
      </c>
      <c r="Y21" s="222">
        <f t="shared" si="9"/>
        <v>390415190.28999996</v>
      </c>
      <c r="Z21" s="222">
        <f t="shared" si="9"/>
        <v>390631679.25999999</v>
      </c>
      <c r="AA21" s="222">
        <f t="shared" si="9"/>
        <v>393840000</v>
      </c>
      <c r="AB21" s="222">
        <f t="shared" si="9"/>
        <v>393829815.13999999</v>
      </c>
      <c r="AC21" s="222">
        <f t="shared" si="9"/>
        <v>393162708.90000004</v>
      </c>
      <c r="AD21" s="222">
        <f t="shared" si="9"/>
        <v>392621033.40000004</v>
      </c>
      <c r="AE21" s="222">
        <f t="shared" si="9"/>
        <v>391506104.57999998</v>
      </c>
      <c r="AF21" s="222">
        <f t="shared" si="9"/>
        <v>394744145.08999997</v>
      </c>
      <c r="AG21" s="222">
        <f t="shared" si="9"/>
        <v>396998274.88999999</v>
      </c>
      <c r="AH21" s="222">
        <f t="shared" si="9"/>
        <v>394897163.08999997</v>
      </c>
      <c r="AI21" s="222">
        <f t="shared" si="9"/>
        <v>392754449.91999996</v>
      </c>
      <c r="AJ21" s="222">
        <f t="shared" si="9"/>
        <v>391088372.42000002</v>
      </c>
      <c r="AK21" s="222">
        <f t="shared" si="9"/>
        <v>389561566.04000002</v>
      </c>
      <c r="AL21" s="222">
        <f t="shared" si="9"/>
        <v>387496657.18000001</v>
      </c>
      <c r="AM21" s="222">
        <f t="shared" si="9"/>
        <v>394575327.72999996</v>
      </c>
      <c r="AN21" s="222">
        <f t="shared" si="9"/>
        <v>395991000</v>
      </c>
    </row>
    <row r="22" spans="1:41">
      <c r="A22" s="220" t="s">
        <v>21</v>
      </c>
      <c r="B22" s="227">
        <v>0</v>
      </c>
      <c r="C22" s="227">
        <v>354740896.76999998</v>
      </c>
      <c r="D22" s="227">
        <v>0</v>
      </c>
      <c r="E22" s="227">
        <v>0</v>
      </c>
      <c r="F22" s="227">
        <v>0</v>
      </c>
      <c r="G22" s="227">
        <v>0</v>
      </c>
      <c r="H22" s="227">
        <v>0</v>
      </c>
      <c r="I22" s="227">
        <v>0</v>
      </c>
      <c r="J22" s="227">
        <v>0</v>
      </c>
      <c r="K22" s="227">
        <v>0</v>
      </c>
      <c r="L22" s="227">
        <v>0</v>
      </c>
      <c r="M22" s="227">
        <v>0</v>
      </c>
      <c r="N22" s="227">
        <v>0</v>
      </c>
      <c r="O22" s="223">
        <v>0</v>
      </c>
      <c r="P22" s="223"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  <c r="Z22" s="223">
        <v>0</v>
      </c>
      <c r="AA22" s="223"/>
      <c r="AB22" s="227">
        <v>0</v>
      </c>
      <c r="AC22" s="227">
        <v>0</v>
      </c>
      <c r="AD22" s="227">
        <v>0</v>
      </c>
      <c r="AE22" s="227">
        <v>0</v>
      </c>
      <c r="AF22" s="227">
        <v>0</v>
      </c>
      <c r="AG22" s="273">
        <v>0</v>
      </c>
      <c r="AH22" s="273">
        <v>0</v>
      </c>
      <c r="AI22" s="273">
        <v>0</v>
      </c>
      <c r="AJ22" s="273">
        <v>0</v>
      </c>
      <c r="AK22" s="273">
        <v>0</v>
      </c>
      <c r="AL22" s="273">
        <v>0</v>
      </c>
      <c r="AM22" s="273">
        <v>0</v>
      </c>
    </row>
    <row r="23" spans="1:41">
      <c r="A23" s="220" t="s">
        <v>22</v>
      </c>
      <c r="B23" s="227">
        <v>354799375.88999999</v>
      </c>
      <c r="C23" s="227">
        <v>0</v>
      </c>
      <c r="D23" s="227">
        <v>359849368.54000002</v>
      </c>
      <c r="E23" s="227">
        <v>362147890.38999999</v>
      </c>
      <c r="F23" s="227">
        <v>363206420.80000001</v>
      </c>
      <c r="G23" s="227">
        <v>362869585.58999997</v>
      </c>
      <c r="H23" s="227">
        <v>363260912.36000001</v>
      </c>
      <c r="I23" s="227">
        <v>364145762.08999997</v>
      </c>
      <c r="J23" s="227">
        <v>328297280.81999999</v>
      </c>
      <c r="K23" s="227">
        <v>332116546.94</v>
      </c>
      <c r="L23" s="227">
        <v>332504275.73000002</v>
      </c>
      <c r="M23" s="227">
        <v>349209902.45999998</v>
      </c>
      <c r="N23" s="227">
        <v>349209000</v>
      </c>
      <c r="O23" s="228">
        <v>349085426.86000001</v>
      </c>
      <c r="P23" s="228">
        <v>348786603.89999998</v>
      </c>
      <c r="Q23" s="228">
        <v>347377019.48000002</v>
      </c>
      <c r="R23" s="228">
        <v>346896483.91000003</v>
      </c>
      <c r="S23" s="228">
        <v>346318299.95999998</v>
      </c>
      <c r="T23" s="228">
        <v>353335453.20999998</v>
      </c>
      <c r="U23" s="228">
        <v>354383940.88999999</v>
      </c>
      <c r="V23" s="228">
        <v>352366506.38</v>
      </c>
      <c r="W23" s="228">
        <v>351939487.70999998</v>
      </c>
      <c r="X23" s="228">
        <v>351362130.35000002</v>
      </c>
      <c r="Y23" s="228">
        <v>351053127.64999998</v>
      </c>
      <c r="Z23" s="228">
        <v>351327932.95999998</v>
      </c>
      <c r="AA23" s="229">
        <v>352686000</v>
      </c>
      <c r="AB23" s="227">
        <v>352177744.37</v>
      </c>
      <c r="AC23" s="227">
        <v>351669331.48000002</v>
      </c>
      <c r="AD23" s="227">
        <v>351297525.11000001</v>
      </c>
      <c r="AE23" s="227">
        <v>350346748.25999999</v>
      </c>
      <c r="AF23" s="227">
        <v>352297153.00999999</v>
      </c>
      <c r="AG23" s="273">
        <v>351207609.92000002</v>
      </c>
      <c r="AH23" s="273">
        <v>350112116.19</v>
      </c>
      <c r="AI23" s="273">
        <v>349008675.89999998</v>
      </c>
      <c r="AJ23" s="273">
        <v>348346091.47000003</v>
      </c>
      <c r="AK23" s="273">
        <v>347237995.92000002</v>
      </c>
      <c r="AL23" s="273">
        <v>346136619.06999999</v>
      </c>
      <c r="AM23" s="273">
        <v>349912897.20999998</v>
      </c>
      <c r="AN23" s="280">
        <v>351329000</v>
      </c>
      <c r="AO23" s="281"/>
    </row>
    <row r="24" spans="1:41">
      <c r="A24" s="220" t="s">
        <v>23</v>
      </c>
      <c r="B24" s="227">
        <v>0</v>
      </c>
      <c r="C24" s="227">
        <v>0</v>
      </c>
      <c r="D24" s="227">
        <v>0</v>
      </c>
      <c r="E24" s="227">
        <v>0</v>
      </c>
      <c r="F24" s="227">
        <v>0</v>
      </c>
      <c r="G24" s="227">
        <v>0</v>
      </c>
      <c r="H24" s="227">
        <v>0</v>
      </c>
      <c r="I24" s="227">
        <v>0</v>
      </c>
      <c r="J24" s="227">
        <v>0</v>
      </c>
      <c r="K24" s="227">
        <v>0</v>
      </c>
      <c r="L24" s="227">
        <v>0</v>
      </c>
      <c r="M24" s="227">
        <v>0</v>
      </c>
      <c r="N24" s="227">
        <v>0</v>
      </c>
      <c r="O24" s="223">
        <v>0</v>
      </c>
      <c r="P24" s="223">
        <v>0</v>
      </c>
      <c r="Q24" s="223">
        <v>0</v>
      </c>
      <c r="R24" s="223">
        <v>0</v>
      </c>
      <c r="S24" s="223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3">
        <v>0</v>
      </c>
      <c r="Z24" s="223">
        <v>0</v>
      </c>
      <c r="AA24" s="229"/>
      <c r="AB24" s="227">
        <v>0</v>
      </c>
      <c r="AC24" s="227">
        <v>0</v>
      </c>
      <c r="AD24" s="227">
        <v>0</v>
      </c>
      <c r="AE24" s="227">
        <v>0</v>
      </c>
      <c r="AF24" s="227">
        <v>0</v>
      </c>
      <c r="AG24" s="273">
        <v>0</v>
      </c>
      <c r="AH24" s="273">
        <v>0</v>
      </c>
      <c r="AI24" s="273">
        <v>0</v>
      </c>
      <c r="AJ24" s="273">
        <v>0</v>
      </c>
      <c r="AK24" s="273">
        <v>0</v>
      </c>
      <c r="AL24" s="273">
        <v>0</v>
      </c>
      <c r="AM24" s="273">
        <v>0</v>
      </c>
    </row>
    <row r="25" spans="1:41">
      <c r="A25" s="220" t="s">
        <v>24</v>
      </c>
      <c r="B25" s="227">
        <v>22986060.84</v>
      </c>
      <c r="C25" s="227">
        <v>25195801.059999999</v>
      </c>
      <c r="D25" s="227">
        <v>24977872.309999999</v>
      </c>
      <c r="E25" s="227">
        <v>24704774.16</v>
      </c>
      <c r="F25" s="227">
        <v>24455632.75</v>
      </c>
      <c r="G25" s="227">
        <v>24264662.829999998</v>
      </c>
      <c r="H25" s="227">
        <v>24494159.23</v>
      </c>
      <c r="I25" s="227">
        <v>24206809.710000001</v>
      </c>
      <c r="J25" s="227">
        <v>29683436.16</v>
      </c>
      <c r="K25" s="227">
        <v>29773315.829999998</v>
      </c>
      <c r="L25" s="227">
        <v>29490117.969999999</v>
      </c>
      <c r="M25" s="227">
        <v>32771380.18</v>
      </c>
      <c r="N25" s="227">
        <v>32771000</v>
      </c>
      <c r="O25" s="228">
        <v>32546617.579999998</v>
      </c>
      <c r="P25" s="228">
        <v>32028423.789999999</v>
      </c>
      <c r="Q25" s="228">
        <v>31977926.690000001</v>
      </c>
      <c r="R25" s="228">
        <v>31922883.670000002</v>
      </c>
      <c r="S25" s="228">
        <v>31870305.879999999</v>
      </c>
      <c r="T25" s="228">
        <v>31815768.039999999</v>
      </c>
      <c r="U25" s="228">
        <v>31758964.129999999</v>
      </c>
      <c r="V25" s="228">
        <v>35069934.75</v>
      </c>
      <c r="W25" s="228">
        <v>39398729.640000001</v>
      </c>
      <c r="X25" s="228">
        <v>39296901.100000001</v>
      </c>
      <c r="Y25" s="228">
        <v>39362062.640000001</v>
      </c>
      <c r="Z25" s="228">
        <v>39303746.299999997</v>
      </c>
      <c r="AA25" s="229">
        <v>41154000</v>
      </c>
      <c r="AB25" s="227">
        <v>41652070.770000003</v>
      </c>
      <c r="AC25" s="227">
        <v>41493377.420000002</v>
      </c>
      <c r="AD25" s="227">
        <v>41323508.289999999</v>
      </c>
      <c r="AE25" s="227">
        <v>41159356.32</v>
      </c>
      <c r="AF25" s="227">
        <v>42446992.079999998</v>
      </c>
      <c r="AG25" s="273">
        <v>45790664.969999999</v>
      </c>
      <c r="AH25" s="273">
        <v>44785046.899999999</v>
      </c>
      <c r="AI25" s="273">
        <v>43745774.020000003</v>
      </c>
      <c r="AJ25" s="273">
        <v>42742280.950000003</v>
      </c>
      <c r="AK25" s="273">
        <v>42323570.119999997</v>
      </c>
      <c r="AL25" s="273">
        <v>41360038.109999999</v>
      </c>
      <c r="AM25" s="273">
        <v>44662430.520000003</v>
      </c>
      <c r="AN25" s="284">
        <v>44662000</v>
      </c>
    </row>
    <row r="26" spans="1:41">
      <c r="A26" s="220" t="s">
        <v>25</v>
      </c>
      <c r="B26" s="227">
        <v>0</v>
      </c>
      <c r="C26" s="227">
        <v>0</v>
      </c>
      <c r="D26" s="227">
        <v>0</v>
      </c>
      <c r="E26" s="227">
        <v>0</v>
      </c>
      <c r="F26" s="227">
        <v>0</v>
      </c>
      <c r="G26" s="227">
        <v>0</v>
      </c>
      <c r="H26" s="227">
        <v>0</v>
      </c>
      <c r="I26" s="227">
        <v>0</v>
      </c>
      <c r="J26" s="227">
        <v>0</v>
      </c>
      <c r="K26" s="227">
        <v>0</v>
      </c>
      <c r="L26" s="227">
        <v>0</v>
      </c>
      <c r="M26" s="227">
        <v>0</v>
      </c>
      <c r="N26" s="227">
        <v>0</v>
      </c>
      <c r="O26" s="223">
        <v>0</v>
      </c>
      <c r="P26" s="223">
        <v>0</v>
      </c>
      <c r="Q26" s="223">
        <v>0</v>
      </c>
      <c r="R26" s="223">
        <v>0</v>
      </c>
      <c r="S26" s="223">
        <v>0</v>
      </c>
      <c r="T26" s="223">
        <v>0</v>
      </c>
      <c r="U26" s="223">
        <v>0</v>
      </c>
      <c r="V26" s="223">
        <v>0</v>
      </c>
      <c r="W26" s="223">
        <v>0</v>
      </c>
      <c r="X26" s="223">
        <v>0</v>
      </c>
      <c r="Y26" s="223">
        <v>0</v>
      </c>
      <c r="Z26" s="223">
        <v>0</v>
      </c>
      <c r="AA26" s="223"/>
      <c r="AB26" s="227">
        <v>0</v>
      </c>
      <c r="AC26" s="227">
        <v>0</v>
      </c>
      <c r="AD26" s="227">
        <v>0</v>
      </c>
      <c r="AE26" s="227">
        <v>0</v>
      </c>
      <c r="AF26" s="227">
        <v>0</v>
      </c>
      <c r="AG26" s="273">
        <v>0</v>
      </c>
      <c r="AH26" s="273">
        <v>0</v>
      </c>
      <c r="AI26" s="273">
        <v>0</v>
      </c>
      <c r="AJ26" s="273">
        <v>0</v>
      </c>
      <c r="AK26" s="273">
        <v>0</v>
      </c>
      <c r="AL26" s="273">
        <v>0</v>
      </c>
      <c r="AM26" s="273">
        <v>0</v>
      </c>
    </row>
    <row r="27" spans="1:41">
      <c r="A27" s="219" t="s">
        <v>26</v>
      </c>
      <c r="B27" s="222">
        <f t="shared" ref="B27:K27" si="10">(B21+B17+B14+B8+B7+B4)</f>
        <v>6918960021.9599991</v>
      </c>
      <c r="C27" s="222">
        <f t="shared" si="10"/>
        <v>6929519830.5200005</v>
      </c>
      <c r="D27" s="222">
        <f t="shared" si="10"/>
        <v>6706932547.6100006</v>
      </c>
      <c r="E27" s="222">
        <f t="shared" si="10"/>
        <v>6746641952.3699989</v>
      </c>
      <c r="F27" s="222">
        <f t="shared" si="10"/>
        <v>6853505887.0500011</v>
      </c>
      <c r="G27" s="222">
        <f t="shared" si="10"/>
        <v>6975326109.8899994</v>
      </c>
      <c r="H27" s="222">
        <f t="shared" si="10"/>
        <v>7112891853.6299992</v>
      </c>
      <c r="I27" s="222">
        <f t="shared" si="10"/>
        <v>7211440682.04</v>
      </c>
      <c r="J27" s="222">
        <f t="shared" si="10"/>
        <v>7298961528.1199999</v>
      </c>
      <c r="K27" s="222">
        <f t="shared" si="10"/>
        <v>7362311080.4400005</v>
      </c>
      <c r="L27" s="222">
        <f>(L21+L17+L14+L8+L7+L4)</f>
        <v>7531317061.9899998</v>
      </c>
      <c r="M27" s="222">
        <f>(M21+M17+M14+M8+M7+M4)</f>
        <v>7659924339.8199997</v>
      </c>
      <c r="N27" s="222">
        <f>(N21+N17+N14+N8+N7+N4)</f>
        <v>7661638000</v>
      </c>
      <c r="O27" s="222">
        <f t="shared" ref="O27:AO27" si="11">(O21+O17+O14+O8+O7+O4)</f>
        <v>7653038962.6000013</v>
      </c>
      <c r="P27" s="222">
        <f t="shared" si="11"/>
        <v>7681041477.1900005</v>
      </c>
      <c r="Q27" s="222">
        <f t="shared" si="11"/>
        <v>7702868882.4400005</v>
      </c>
      <c r="R27" s="222">
        <f t="shared" si="11"/>
        <v>7780479303.8699999</v>
      </c>
      <c r="S27" s="222">
        <f t="shared" si="11"/>
        <v>7785113487.6300011</v>
      </c>
      <c r="T27" s="222">
        <f t="shared" si="11"/>
        <v>7828211783.8299999</v>
      </c>
      <c r="U27" s="222">
        <f t="shared" si="11"/>
        <v>7976798704.6400003</v>
      </c>
      <c r="V27" s="222">
        <f t="shared" si="11"/>
        <v>8134970770.2799988</v>
      </c>
      <c r="W27" s="222">
        <f t="shared" si="11"/>
        <v>8228129338.5299988</v>
      </c>
      <c r="X27" s="222">
        <f t="shared" si="11"/>
        <v>8318735468.1499996</v>
      </c>
      <c r="Y27" s="222">
        <f t="shared" si="11"/>
        <v>8437668620.5700006</v>
      </c>
      <c r="Z27" s="222">
        <f t="shared" si="11"/>
        <v>8534640952.5300007</v>
      </c>
      <c r="AA27" s="222">
        <f t="shared" si="11"/>
        <v>8570271000</v>
      </c>
      <c r="AB27" s="222">
        <f t="shared" si="11"/>
        <v>8656432130.75</v>
      </c>
      <c r="AC27" s="222">
        <f t="shared" si="11"/>
        <v>8763098261.4599991</v>
      </c>
      <c r="AD27" s="222">
        <f t="shared" si="11"/>
        <v>8578495050.1599989</v>
      </c>
      <c r="AE27" s="222">
        <f t="shared" si="11"/>
        <v>8597745620.5799999</v>
      </c>
      <c r="AF27" s="222">
        <f t="shared" si="11"/>
        <v>8676526381.460001</v>
      </c>
      <c r="AG27" s="222">
        <f t="shared" si="11"/>
        <v>8761902540.6200008</v>
      </c>
      <c r="AH27" s="222">
        <f t="shared" si="11"/>
        <v>8914307396.25</v>
      </c>
      <c r="AI27" s="222">
        <f t="shared" si="11"/>
        <v>9000570145.5</v>
      </c>
      <c r="AJ27" s="222">
        <f t="shared" si="11"/>
        <v>9124293191.8499985</v>
      </c>
      <c r="AK27" s="222">
        <f t="shared" si="11"/>
        <v>9313780082.3500004</v>
      </c>
      <c r="AL27" s="222">
        <f t="shared" si="11"/>
        <v>9490391068.1900005</v>
      </c>
      <c r="AM27" s="222">
        <f t="shared" si="11"/>
        <v>9629179987.9500008</v>
      </c>
      <c r="AN27" s="222">
        <f t="shared" si="11"/>
        <v>9542672000</v>
      </c>
      <c r="AO27" s="222">
        <f t="shared" si="11"/>
        <v>0</v>
      </c>
    </row>
    <row r="28" spans="1:41">
      <c r="A28" s="220" t="s">
        <v>27</v>
      </c>
      <c r="B28" s="227">
        <v>0</v>
      </c>
      <c r="C28" s="227">
        <v>0</v>
      </c>
      <c r="D28" s="227">
        <v>0</v>
      </c>
      <c r="E28" s="227">
        <v>0</v>
      </c>
      <c r="F28" s="227">
        <v>0</v>
      </c>
      <c r="G28" s="227">
        <v>0</v>
      </c>
      <c r="H28" s="227">
        <v>0</v>
      </c>
      <c r="I28" s="227">
        <v>0</v>
      </c>
      <c r="J28" s="227">
        <v>0</v>
      </c>
      <c r="K28" s="227">
        <v>0</v>
      </c>
      <c r="L28" s="227">
        <v>0</v>
      </c>
      <c r="M28" s="227">
        <v>64332</v>
      </c>
      <c r="N28" s="227">
        <v>5916911000</v>
      </c>
      <c r="O28" s="234">
        <v>968053.02</v>
      </c>
      <c r="P28" s="234">
        <v>192779261.91999999</v>
      </c>
      <c r="Q28" s="234">
        <v>93474883.010000005</v>
      </c>
      <c r="R28" s="234">
        <v>81845471.719999999</v>
      </c>
      <c r="S28" s="234">
        <v>69739720.659999996</v>
      </c>
      <c r="T28" s="234">
        <v>69211525.950000003</v>
      </c>
      <c r="U28" s="234">
        <v>103866249.84</v>
      </c>
      <c r="V28" s="234">
        <v>154820551.34</v>
      </c>
      <c r="W28" s="234">
        <v>141952500.69</v>
      </c>
      <c r="X28" s="234">
        <v>123978970.73999999</v>
      </c>
      <c r="Y28" s="234">
        <v>143114345.71000001</v>
      </c>
      <c r="Z28" s="235">
        <v>124853427.81999999</v>
      </c>
      <c r="AA28" s="236">
        <v>126447000</v>
      </c>
      <c r="AB28" s="227">
        <v>149263463.81</v>
      </c>
      <c r="AC28" s="227">
        <v>141666607.88999999</v>
      </c>
      <c r="AD28" s="227">
        <v>344768299.36000001</v>
      </c>
      <c r="AE28" s="227">
        <v>260742400.55000001</v>
      </c>
      <c r="AF28" s="227">
        <v>238846343.40000001</v>
      </c>
      <c r="AG28" s="273">
        <v>244890444.83000001</v>
      </c>
      <c r="AH28" s="273">
        <v>276544073.57999998</v>
      </c>
      <c r="AI28" s="273">
        <v>254592026.56999999</v>
      </c>
      <c r="AJ28" s="273">
        <v>228567122.31</v>
      </c>
      <c r="AK28" s="273">
        <v>244579746.22999999</v>
      </c>
      <c r="AL28" s="273">
        <v>242973076.13999999</v>
      </c>
      <c r="AM28" s="273">
        <v>236550473.06</v>
      </c>
      <c r="AN28" s="284">
        <v>330931000</v>
      </c>
    </row>
    <row r="29" spans="1:41">
      <c r="A29" s="220" t="s">
        <v>28</v>
      </c>
      <c r="B29" s="227">
        <v>55125211.850000001</v>
      </c>
      <c r="C29" s="227">
        <v>57687509.609999999</v>
      </c>
      <c r="D29" s="227">
        <v>60972993.229999997</v>
      </c>
      <c r="E29" s="227">
        <v>66344453.770000003</v>
      </c>
      <c r="F29" s="227">
        <v>70243154.900000006</v>
      </c>
      <c r="G29" s="227">
        <v>91522595.909999996</v>
      </c>
      <c r="H29" s="227">
        <v>91259009.920000002</v>
      </c>
      <c r="I29" s="227">
        <v>84437462.079999998</v>
      </c>
      <c r="J29" s="227">
        <v>90906171.780000001</v>
      </c>
      <c r="K29" s="227">
        <v>96133733.579999998</v>
      </c>
      <c r="L29" s="227">
        <v>96863483.519999996</v>
      </c>
      <c r="M29" s="227">
        <v>87694688.129999995</v>
      </c>
      <c r="N29" s="227"/>
      <c r="O29" s="234">
        <v>92991143.230000004</v>
      </c>
      <c r="P29" s="234">
        <v>86014807.569999993</v>
      </c>
      <c r="Q29" s="234">
        <v>91141092.349999994</v>
      </c>
      <c r="R29" s="234">
        <v>94488018.340000004</v>
      </c>
      <c r="S29" s="234">
        <v>95995000.090000004</v>
      </c>
      <c r="T29" s="234">
        <v>96429404.629999995</v>
      </c>
      <c r="U29" s="234">
        <v>98704366.400000006</v>
      </c>
      <c r="V29" s="234">
        <v>104407461.37</v>
      </c>
      <c r="W29" s="234">
        <v>104443075.86</v>
      </c>
      <c r="X29" s="234">
        <v>101043319.19</v>
      </c>
      <c r="Y29" s="234">
        <v>94490230.480000004</v>
      </c>
      <c r="Z29" s="235">
        <v>92485835.269999996</v>
      </c>
      <c r="AA29" s="236">
        <f>28142000+32183000+30567000+47000</f>
        <v>90939000</v>
      </c>
      <c r="AB29" s="227">
        <v>90373961.200000003</v>
      </c>
      <c r="AC29" s="227">
        <v>92665757.219999999</v>
      </c>
      <c r="AD29" s="227">
        <v>91130918.959999993</v>
      </c>
      <c r="AE29" s="227">
        <v>89318493.980000004</v>
      </c>
      <c r="AF29" s="227">
        <v>92232096.659999996</v>
      </c>
      <c r="AG29" s="273">
        <v>94753382.099999994</v>
      </c>
      <c r="AH29" s="273">
        <v>96432773.560000002</v>
      </c>
      <c r="AI29" s="273">
        <v>93433199.459999993</v>
      </c>
      <c r="AJ29" s="273">
        <v>94451326.280000001</v>
      </c>
      <c r="AK29" s="273">
        <v>97702518.269999996</v>
      </c>
      <c r="AL29" s="273">
        <v>96305854.640000001</v>
      </c>
      <c r="AM29" s="273">
        <v>94247370.329999998</v>
      </c>
    </row>
    <row r="30" spans="1:41">
      <c r="A30" s="220" t="s">
        <v>29</v>
      </c>
      <c r="B30" s="227">
        <v>5349407701.3199997</v>
      </c>
      <c r="C30" s="227">
        <v>5425374401</v>
      </c>
      <c r="D30" s="227">
        <v>5499488493.2600002</v>
      </c>
      <c r="E30" s="227">
        <v>5530038241.9200001</v>
      </c>
      <c r="F30" s="227">
        <v>5576806617</v>
      </c>
      <c r="G30" s="227">
        <v>5611905825.4899998</v>
      </c>
      <c r="H30" s="227">
        <v>5695344298.5100002</v>
      </c>
      <c r="I30" s="227">
        <v>5749134025.6300001</v>
      </c>
      <c r="J30" s="227">
        <v>5785699338.6000004</v>
      </c>
      <c r="K30" s="227">
        <v>5859978659.0200005</v>
      </c>
      <c r="L30" s="227">
        <v>5907987392.29</v>
      </c>
      <c r="M30" s="227">
        <v>5916897980.25</v>
      </c>
      <c r="N30" s="227">
        <v>88107000</v>
      </c>
      <c r="O30" s="234">
        <v>5971499807.9899998</v>
      </c>
      <c r="P30" s="234">
        <v>6043725202.79</v>
      </c>
      <c r="Q30" s="234">
        <v>6138256748.79</v>
      </c>
      <c r="R30" s="234">
        <v>6195353547.7799997</v>
      </c>
      <c r="S30" s="234">
        <v>6170865809.79</v>
      </c>
      <c r="T30" s="234">
        <v>6154477292.6199999</v>
      </c>
      <c r="U30" s="234">
        <v>6204762681.5799999</v>
      </c>
      <c r="V30" s="234">
        <v>6240309649.9499998</v>
      </c>
      <c r="W30" s="234">
        <v>6245715217.8800001</v>
      </c>
      <c r="X30" s="234">
        <v>6299195187.4099998</v>
      </c>
      <c r="Y30" s="234">
        <v>6282398183.54</v>
      </c>
      <c r="Z30" s="235">
        <v>6347686278.1199999</v>
      </c>
      <c r="AA30" s="236">
        <v>6347686000</v>
      </c>
      <c r="AB30" s="227">
        <v>6413408949.2299995</v>
      </c>
      <c r="AC30" s="227">
        <v>6441842459.29</v>
      </c>
      <c r="AD30" s="227">
        <v>6542505858.1400003</v>
      </c>
      <c r="AE30" s="227">
        <v>6610547160.8400002</v>
      </c>
      <c r="AF30" s="227">
        <v>6653293318.9399996</v>
      </c>
      <c r="AG30" s="273">
        <v>6649601600.7399998</v>
      </c>
      <c r="AH30" s="273">
        <v>6703345605.9399996</v>
      </c>
      <c r="AI30" s="273">
        <v>6744343259.4300003</v>
      </c>
      <c r="AJ30" s="273">
        <v>6783669069.9700003</v>
      </c>
      <c r="AK30" s="273">
        <v>6860439792.7799997</v>
      </c>
      <c r="AL30" s="273">
        <v>6949499431.6899996</v>
      </c>
      <c r="AM30" s="273">
        <v>7006221524.5500002</v>
      </c>
      <c r="AN30" s="284">
        <v>7006250000</v>
      </c>
    </row>
    <row r="31" spans="1:41">
      <c r="A31" s="219" t="s">
        <v>30</v>
      </c>
      <c r="B31" s="222">
        <f>SUM(B28:B30)</f>
        <v>5404532913.1700001</v>
      </c>
      <c r="C31" s="222">
        <f>SUM(C28:C30)</f>
        <v>5483061910.6099997</v>
      </c>
      <c r="D31" s="222">
        <f>SUM(D28:D30)</f>
        <v>5560461486.4899998</v>
      </c>
      <c r="E31" s="222">
        <f t="shared" ref="E31:K31" si="12">SUM(E28:E30)</f>
        <v>5596382695.6900005</v>
      </c>
      <c r="F31" s="222">
        <f t="shared" si="12"/>
        <v>5647049771.8999996</v>
      </c>
      <c r="G31" s="222">
        <f t="shared" si="12"/>
        <v>5703428421.3999996</v>
      </c>
      <c r="H31" s="222">
        <f t="shared" si="12"/>
        <v>5786603308.4300003</v>
      </c>
      <c r="I31" s="222">
        <f t="shared" si="12"/>
        <v>5833571487.71</v>
      </c>
      <c r="J31" s="222">
        <f t="shared" si="12"/>
        <v>5876605510.3800001</v>
      </c>
      <c r="K31" s="222">
        <f t="shared" si="12"/>
        <v>5956112392.6000004</v>
      </c>
      <c r="L31" s="222">
        <f>SUM(L28:L30)</f>
        <v>6004850875.8100004</v>
      </c>
      <c r="M31" s="222">
        <f>SUM(M28:M30)</f>
        <v>6004657000.3800001</v>
      </c>
      <c r="N31" s="222">
        <f>SUM(N28:N30)</f>
        <v>6005018000</v>
      </c>
      <c r="O31" s="222">
        <f t="shared" ref="O31:AN31" si="13">SUM(O28:O30)</f>
        <v>6065459004.2399998</v>
      </c>
      <c r="P31" s="222">
        <f t="shared" si="13"/>
        <v>6322519272.2799997</v>
      </c>
      <c r="Q31" s="222">
        <f t="shared" si="13"/>
        <v>6322872724.1499996</v>
      </c>
      <c r="R31" s="222">
        <f t="shared" si="13"/>
        <v>6371687037.8400002</v>
      </c>
      <c r="S31" s="222">
        <f t="shared" si="13"/>
        <v>6336600530.54</v>
      </c>
      <c r="T31" s="222">
        <f t="shared" si="13"/>
        <v>6320118223.1999998</v>
      </c>
      <c r="U31" s="222">
        <f t="shared" si="13"/>
        <v>6407333297.8199997</v>
      </c>
      <c r="V31" s="222">
        <f t="shared" si="13"/>
        <v>6499537662.6599998</v>
      </c>
      <c r="W31" s="222">
        <f t="shared" si="13"/>
        <v>6492110794.4300003</v>
      </c>
      <c r="X31" s="222">
        <f t="shared" si="13"/>
        <v>6524217477.3400002</v>
      </c>
      <c r="Y31" s="222">
        <f t="shared" si="13"/>
        <v>6520002759.7299995</v>
      </c>
      <c r="Z31" s="222">
        <f t="shared" si="13"/>
        <v>6565025541.21</v>
      </c>
      <c r="AA31" s="222">
        <f t="shared" si="13"/>
        <v>6565072000</v>
      </c>
      <c r="AB31" s="222">
        <f t="shared" si="13"/>
        <v>6653046374.2399998</v>
      </c>
      <c r="AC31" s="222">
        <f t="shared" si="13"/>
        <v>6676174824.3999996</v>
      </c>
      <c r="AD31" s="222">
        <f t="shared" si="13"/>
        <v>6978405076.46</v>
      </c>
      <c r="AE31" s="222">
        <f t="shared" si="13"/>
        <v>6960608055.3699999</v>
      </c>
      <c r="AF31" s="222">
        <f t="shared" si="13"/>
        <v>6984371759</v>
      </c>
      <c r="AG31" s="222">
        <f t="shared" si="13"/>
        <v>6989245427.6700001</v>
      </c>
      <c r="AH31" s="222">
        <f t="shared" si="13"/>
        <v>7076322453.0799999</v>
      </c>
      <c r="AI31" s="222">
        <f t="shared" si="13"/>
        <v>7092368485.46</v>
      </c>
      <c r="AJ31" s="222">
        <f t="shared" si="13"/>
        <v>7106687518.5600004</v>
      </c>
      <c r="AK31" s="222">
        <f t="shared" si="13"/>
        <v>7202722057.2799997</v>
      </c>
      <c r="AL31" s="222">
        <f t="shared" si="13"/>
        <v>7288778362.4699993</v>
      </c>
      <c r="AM31" s="222">
        <f t="shared" si="13"/>
        <v>7337019367.9400005</v>
      </c>
      <c r="AN31" s="222">
        <f t="shared" si="13"/>
        <v>7337181000</v>
      </c>
    </row>
    <row r="32" spans="1:41">
      <c r="A32" s="220" t="s">
        <v>31</v>
      </c>
      <c r="B32" s="227">
        <v>10332188.49</v>
      </c>
      <c r="C32" s="227">
        <v>10332188.49</v>
      </c>
      <c r="D32" s="227">
        <v>10332188.49</v>
      </c>
      <c r="E32" s="227">
        <v>3039879.41</v>
      </c>
      <c r="F32" s="227">
        <v>3039879.41</v>
      </c>
      <c r="G32" s="227">
        <v>3039879.41</v>
      </c>
      <c r="H32" s="227">
        <v>3039879.41</v>
      </c>
      <c r="I32" s="227">
        <v>3039879.41</v>
      </c>
      <c r="J32" s="227">
        <v>3039879.41</v>
      </c>
      <c r="K32" s="227">
        <v>3039879.41</v>
      </c>
      <c r="L32" s="227">
        <v>3039879.41</v>
      </c>
      <c r="M32" s="227">
        <v>13064682.449999999</v>
      </c>
      <c r="N32" s="227">
        <v>12817000</v>
      </c>
      <c r="O32" s="228">
        <v>12817307.619999999</v>
      </c>
      <c r="P32" s="228">
        <v>12817307.619999999</v>
      </c>
      <c r="Q32" s="228">
        <v>12817307.619999999</v>
      </c>
      <c r="R32" s="228">
        <v>-3451056.84</v>
      </c>
      <c r="S32" s="228">
        <v>-3451056.84</v>
      </c>
      <c r="T32" s="228">
        <v>-3451056.84</v>
      </c>
      <c r="U32" s="228">
        <v>-3451056.84</v>
      </c>
      <c r="V32" s="228">
        <v>-3451056.84</v>
      </c>
      <c r="W32" s="228">
        <v>-3451056.84</v>
      </c>
      <c r="X32" s="228">
        <v>-3451056.84</v>
      </c>
      <c r="Y32" s="228">
        <v>-3451056.84</v>
      </c>
      <c r="Z32" s="228">
        <v>19083326.129999999</v>
      </c>
      <c r="AA32" s="223">
        <v>15379000</v>
      </c>
      <c r="AB32" s="227">
        <v>11325271.689999999</v>
      </c>
      <c r="AC32" s="227">
        <v>10820854.119999999</v>
      </c>
      <c r="AD32" s="227">
        <v>10456259.609999999</v>
      </c>
      <c r="AE32" s="227">
        <v>-23040669.530000001</v>
      </c>
      <c r="AF32" s="227">
        <v>-39949661.25</v>
      </c>
      <c r="AG32" s="273">
        <v>-40657749.520000003</v>
      </c>
      <c r="AH32" s="273">
        <v>196942.33</v>
      </c>
      <c r="AI32" s="273">
        <v>103456.85</v>
      </c>
      <c r="AJ32" s="273">
        <v>-210726.57</v>
      </c>
      <c r="AK32" s="273">
        <v>-159557.23000000001</v>
      </c>
      <c r="AL32" s="273">
        <v>157459.18</v>
      </c>
      <c r="AM32" s="273">
        <v>14319700.07</v>
      </c>
      <c r="AN32" s="284">
        <v>2240000</v>
      </c>
    </row>
    <row r="33" spans="1:40">
      <c r="A33" s="220" t="s">
        <v>32</v>
      </c>
      <c r="B33" s="227">
        <v>0</v>
      </c>
      <c r="C33" s="227">
        <v>0</v>
      </c>
      <c r="D33" s="227">
        <v>0</v>
      </c>
      <c r="E33" s="227">
        <v>0</v>
      </c>
      <c r="F33" s="227">
        <v>0</v>
      </c>
      <c r="G33" s="227">
        <v>0</v>
      </c>
      <c r="H33" s="227">
        <v>0</v>
      </c>
      <c r="I33" s="227">
        <v>0</v>
      </c>
      <c r="J33" s="227">
        <v>0</v>
      </c>
      <c r="K33" s="227">
        <v>0</v>
      </c>
      <c r="L33" s="227">
        <v>0</v>
      </c>
      <c r="M33" s="227">
        <v>0</v>
      </c>
      <c r="N33" s="227">
        <v>0</v>
      </c>
      <c r="O33" s="223">
        <v>0</v>
      </c>
      <c r="P33" s="223">
        <v>0</v>
      </c>
      <c r="Q33" s="223">
        <v>0</v>
      </c>
      <c r="R33" s="223">
        <v>0</v>
      </c>
      <c r="S33" s="223">
        <v>0</v>
      </c>
      <c r="T33" s="223">
        <v>0</v>
      </c>
      <c r="U33" s="223">
        <v>0</v>
      </c>
      <c r="V33" s="223">
        <v>0</v>
      </c>
      <c r="W33" s="223">
        <v>0</v>
      </c>
      <c r="X33" s="223">
        <v>0</v>
      </c>
      <c r="Y33" s="223">
        <v>0</v>
      </c>
      <c r="Z33" s="223">
        <v>0</v>
      </c>
      <c r="AA33" s="223"/>
      <c r="AB33" s="227">
        <v>0</v>
      </c>
      <c r="AC33" s="227">
        <v>0</v>
      </c>
      <c r="AD33" s="227">
        <v>0</v>
      </c>
      <c r="AE33" s="227">
        <v>0</v>
      </c>
      <c r="AF33" s="227">
        <v>0</v>
      </c>
      <c r="AG33" s="273">
        <v>0</v>
      </c>
      <c r="AH33" s="273">
        <v>0</v>
      </c>
      <c r="AI33" s="273">
        <v>0</v>
      </c>
      <c r="AJ33" s="273">
        <v>0</v>
      </c>
      <c r="AK33" s="273">
        <v>0</v>
      </c>
      <c r="AL33" s="273">
        <v>0</v>
      </c>
      <c r="AM33" s="273">
        <v>0</v>
      </c>
      <c r="AN33" s="284">
        <v>762218000</v>
      </c>
    </row>
    <row r="34" spans="1:40">
      <c r="A34" s="220" t="s">
        <v>33</v>
      </c>
      <c r="B34" s="227">
        <v>0</v>
      </c>
      <c r="C34" s="227">
        <v>0</v>
      </c>
      <c r="D34" s="227">
        <v>0</v>
      </c>
      <c r="E34" s="227">
        <v>0</v>
      </c>
      <c r="F34" s="227">
        <v>0</v>
      </c>
      <c r="G34" s="227">
        <v>0</v>
      </c>
      <c r="H34" s="227">
        <v>0</v>
      </c>
      <c r="I34" s="227">
        <v>0</v>
      </c>
      <c r="J34" s="227">
        <v>0</v>
      </c>
      <c r="K34" s="227">
        <v>0</v>
      </c>
      <c r="L34" s="227">
        <v>0</v>
      </c>
      <c r="M34" s="227">
        <v>0</v>
      </c>
      <c r="N34" s="227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Z34" s="223">
        <v>0</v>
      </c>
      <c r="AA34" s="223"/>
      <c r="AB34" s="227">
        <v>0</v>
      </c>
      <c r="AC34" s="227">
        <v>0</v>
      </c>
      <c r="AD34" s="227">
        <v>0</v>
      </c>
      <c r="AE34" s="227">
        <v>0</v>
      </c>
      <c r="AF34" s="227">
        <v>0</v>
      </c>
      <c r="AG34" s="273">
        <v>0</v>
      </c>
      <c r="AH34" s="273">
        <v>0</v>
      </c>
      <c r="AI34" s="273">
        <v>0</v>
      </c>
      <c r="AJ34" s="273">
        <v>0</v>
      </c>
      <c r="AK34" s="273">
        <v>0</v>
      </c>
      <c r="AL34" s="273">
        <v>0</v>
      </c>
      <c r="AM34" s="273">
        <v>0</v>
      </c>
    </row>
    <row r="35" spans="1:40">
      <c r="A35" s="220" t="s">
        <v>34</v>
      </c>
      <c r="B35" s="227">
        <v>0</v>
      </c>
      <c r="C35" s="227">
        <v>0</v>
      </c>
      <c r="D35" s="227">
        <v>0</v>
      </c>
      <c r="E35" s="227">
        <v>0</v>
      </c>
      <c r="F35" s="227">
        <v>0</v>
      </c>
      <c r="G35" s="227">
        <v>0</v>
      </c>
      <c r="H35" s="227">
        <v>0</v>
      </c>
      <c r="I35" s="227">
        <v>0</v>
      </c>
      <c r="J35" s="227">
        <v>0</v>
      </c>
      <c r="K35" s="227">
        <v>0</v>
      </c>
      <c r="L35" s="227">
        <v>0</v>
      </c>
      <c r="M35" s="227">
        <v>0</v>
      </c>
      <c r="N35" s="227">
        <v>0</v>
      </c>
      <c r="O35" s="223">
        <v>0</v>
      </c>
      <c r="P35" s="223">
        <v>0</v>
      </c>
      <c r="Q35" s="223">
        <v>0</v>
      </c>
      <c r="R35" s="223">
        <v>0</v>
      </c>
      <c r="S35" s="223">
        <v>0</v>
      </c>
      <c r="T35" s="223">
        <v>0</v>
      </c>
      <c r="U35" s="223">
        <v>0</v>
      </c>
      <c r="V35" s="223">
        <v>0</v>
      </c>
      <c r="W35" s="223">
        <v>0</v>
      </c>
      <c r="X35" s="223">
        <v>0</v>
      </c>
      <c r="Y35" s="223">
        <v>0</v>
      </c>
      <c r="Z35" s="223">
        <v>0</v>
      </c>
      <c r="AA35" s="223"/>
      <c r="AB35" s="227">
        <v>0</v>
      </c>
      <c r="AC35" s="227">
        <v>0</v>
      </c>
      <c r="AD35" s="227">
        <v>0</v>
      </c>
      <c r="AE35" s="227">
        <v>0</v>
      </c>
      <c r="AF35" s="227">
        <v>0</v>
      </c>
      <c r="AG35" s="273">
        <v>0</v>
      </c>
      <c r="AH35" s="273">
        <v>0</v>
      </c>
      <c r="AI35" s="273">
        <v>0</v>
      </c>
      <c r="AJ35" s="273">
        <v>0</v>
      </c>
      <c r="AK35" s="273">
        <v>0</v>
      </c>
      <c r="AL35" s="273">
        <v>0</v>
      </c>
      <c r="AM35" s="273">
        <v>0</v>
      </c>
    </row>
    <row r="36" spans="1:40">
      <c r="A36" s="220" t="s">
        <v>35</v>
      </c>
      <c r="B36" s="227">
        <v>712189386.13</v>
      </c>
      <c r="C36" s="227">
        <v>606431119.55999994</v>
      </c>
      <c r="D36" s="227">
        <v>308728085.06999999</v>
      </c>
      <c r="E36" s="227">
        <v>301290294.5</v>
      </c>
      <c r="F36" s="227">
        <v>335081285.63999999</v>
      </c>
      <c r="G36" s="227">
        <v>376291471.25999999</v>
      </c>
      <c r="H36" s="227">
        <v>409541764.17000002</v>
      </c>
      <c r="I36" s="227">
        <v>452324655.93000001</v>
      </c>
      <c r="J36" s="227">
        <v>477679947.66000003</v>
      </c>
      <c r="K36" s="227">
        <v>507329251.79000002</v>
      </c>
      <c r="L36" s="227">
        <v>546888802.08000004</v>
      </c>
      <c r="M36" s="227">
        <v>650961404.48000002</v>
      </c>
      <c r="N36" s="227">
        <v>562738000</v>
      </c>
      <c r="O36" s="228">
        <v>624408559.01999998</v>
      </c>
      <c r="P36" s="228">
        <v>383866074.51999998</v>
      </c>
      <c r="Q36" s="228">
        <v>310640800.99000001</v>
      </c>
      <c r="R36" s="228">
        <v>342100223.93000001</v>
      </c>
      <c r="S36" s="228">
        <v>366871175.44</v>
      </c>
      <c r="T36" s="228">
        <v>368000030.81999999</v>
      </c>
      <c r="U36" s="228">
        <v>409925502.41000003</v>
      </c>
      <c r="V36" s="228">
        <v>469163185.26999998</v>
      </c>
      <c r="W36" s="228">
        <v>536390674.26999998</v>
      </c>
      <c r="X36" s="228">
        <v>585340890.73000002</v>
      </c>
      <c r="Y36" s="228">
        <v>622726321.97000003</v>
      </c>
      <c r="Z36" s="228">
        <v>764312546.40999997</v>
      </c>
      <c r="AA36" s="223">
        <f>151848000+576222000</f>
        <v>728070000</v>
      </c>
      <c r="AB36" s="227">
        <v>788143884.50999999</v>
      </c>
      <c r="AC36" s="227">
        <v>829548848.83000004</v>
      </c>
      <c r="AD36" s="227">
        <v>308151610.64999998</v>
      </c>
      <c r="AE36" s="227">
        <v>351215456.27999997</v>
      </c>
      <c r="AF36" s="227">
        <v>382419668.73000002</v>
      </c>
      <c r="AG36" s="273">
        <v>422169491.66000003</v>
      </c>
      <c r="AH36" s="273">
        <v>428485106.07999998</v>
      </c>
      <c r="AI36" s="273">
        <v>471540595.55000001</v>
      </c>
      <c r="AJ36" s="273">
        <v>536550654.94999999</v>
      </c>
      <c r="AK36" s="273">
        <v>585839194.37</v>
      </c>
      <c r="AL36" s="273">
        <v>643848565.25</v>
      </c>
      <c r="AM36" s="273">
        <v>802059402.64999998</v>
      </c>
      <c r="AN36" s="284">
        <v>89935000</v>
      </c>
    </row>
    <row r="37" spans="1:40">
      <c r="A37" s="220" t="s">
        <v>36</v>
      </c>
      <c r="B37" s="227">
        <v>0</v>
      </c>
      <c r="C37" s="227">
        <v>13804980.23</v>
      </c>
      <c r="D37" s="227">
        <v>0</v>
      </c>
      <c r="E37" s="227">
        <v>0</v>
      </c>
      <c r="F37" s="227">
        <v>0</v>
      </c>
      <c r="G37" s="227">
        <v>0</v>
      </c>
      <c r="H37" s="227">
        <v>0</v>
      </c>
      <c r="I37" s="227">
        <v>0</v>
      </c>
      <c r="J37" s="227">
        <v>0</v>
      </c>
      <c r="K37" s="227">
        <v>0</v>
      </c>
      <c r="L37" s="227">
        <v>-95628.4</v>
      </c>
      <c r="M37" s="227">
        <v>8044913.75</v>
      </c>
      <c r="N37" s="227"/>
      <c r="O37" s="228">
        <v>14029967.789999999</v>
      </c>
      <c r="P37" s="228">
        <v>12367621.49</v>
      </c>
      <c r="Q37" s="228">
        <v>7653936.4500000002</v>
      </c>
      <c r="R37" s="228">
        <v>5131883.95</v>
      </c>
      <c r="S37" s="228">
        <v>5016337.18</v>
      </c>
      <c r="T37" s="228">
        <v>5063251.75</v>
      </c>
      <c r="U37" s="228">
        <v>2542171.29</v>
      </c>
      <c r="V37" s="228">
        <v>2679824.4500000002</v>
      </c>
      <c r="W37" s="228">
        <v>2770985.64</v>
      </c>
      <c r="X37" s="228">
        <v>2706446.46</v>
      </c>
      <c r="Y37" s="228">
        <v>50138.87</v>
      </c>
      <c r="Z37" s="228">
        <v>18644831.190000001</v>
      </c>
      <c r="AA37" s="223"/>
      <c r="AB37" s="227">
        <v>16642260.289999999</v>
      </c>
      <c r="AC37" s="227">
        <v>16422882.73</v>
      </c>
      <c r="AD37" s="227">
        <v>7999025.4100000001</v>
      </c>
      <c r="AE37" s="227">
        <v>5206074.6500000004</v>
      </c>
      <c r="AF37" s="227">
        <v>5054477.42</v>
      </c>
      <c r="AG37" s="273">
        <v>5033276.84</v>
      </c>
      <c r="AH37" s="273">
        <v>5079730.68</v>
      </c>
      <c r="AI37" s="273">
        <v>5074863.01</v>
      </c>
      <c r="AJ37" s="273">
        <v>5024366.26</v>
      </c>
      <c r="AK37" s="273">
        <v>4966674.5199999996</v>
      </c>
      <c r="AL37" s="273">
        <v>2828503.17</v>
      </c>
      <c r="AM37" s="273">
        <v>39213462.289999999</v>
      </c>
    </row>
    <row r="38" spans="1:40">
      <c r="A38" s="219" t="s">
        <v>37</v>
      </c>
      <c r="B38" s="222">
        <f>SUM(B31:B37)</f>
        <v>6127054487.79</v>
      </c>
      <c r="C38" s="222">
        <f>SUM(C31:C37)</f>
        <v>6113630198.8899994</v>
      </c>
      <c r="D38" s="222">
        <f>SUM(D31:D37)</f>
        <v>5879521760.0499992</v>
      </c>
      <c r="E38" s="222">
        <f t="shared" ref="E38:K38" si="14">SUM(E31:E37)</f>
        <v>5900712869.6000004</v>
      </c>
      <c r="F38" s="222">
        <f t="shared" si="14"/>
        <v>5985170936.9499998</v>
      </c>
      <c r="G38" s="222">
        <f t="shared" si="14"/>
        <v>6082759772.0699997</v>
      </c>
      <c r="H38" s="222">
        <f t="shared" si="14"/>
        <v>6199184952.0100002</v>
      </c>
      <c r="I38" s="222">
        <f t="shared" si="14"/>
        <v>6288936023.0500002</v>
      </c>
      <c r="J38" s="222">
        <f t="shared" si="14"/>
        <v>6357325337.4499998</v>
      </c>
      <c r="K38" s="222">
        <f t="shared" si="14"/>
        <v>6466481523.8000002</v>
      </c>
      <c r="L38" s="222">
        <f>SUM(L31:L37)</f>
        <v>6554683928.9000006</v>
      </c>
      <c r="M38" s="222">
        <f>SUM(M31:M37)</f>
        <v>6676728001.0599995</v>
      </c>
      <c r="N38" s="222">
        <f>SUM(N31:N37)</f>
        <v>6580573000</v>
      </c>
      <c r="O38" s="222">
        <f t="shared" ref="O38:AN38" si="15">SUM(O31:O37)</f>
        <v>6716714838.6699991</v>
      </c>
      <c r="P38" s="222">
        <f t="shared" si="15"/>
        <v>6731570275.9099998</v>
      </c>
      <c r="Q38" s="222">
        <f t="shared" si="15"/>
        <v>6653984769.2099991</v>
      </c>
      <c r="R38" s="222">
        <f t="shared" si="15"/>
        <v>6715468088.8800001</v>
      </c>
      <c r="S38" s="222">
        <f t="shared" si="15"/>
        <v>6705036986.3199997</v>
      </c>
      <c r="T38" s="222">
        <f t="shared" si="15"/>
        <v>6689730448.9299994</v>
      </c>
      <c r="U38" s="222">
        <f t="shared" si="15"/>
        <v>6816349914.6799994</v>
      </c>
      <c r="V38" s="222">
        <f t="shared" si="15"/>
        <v>6967929615.54</v>
      </c>
      <c r="W38" s="222">
        <f t="shared" si="15"/>
        <v>7027821397.500001</v>
      </c>
      <c r="X38" s="222">
        <f t="shared" si="15"/>
        <v>7108813757.6899996</v>
      </c>
      <c r="Y38" s="222">
        <f t="shared" si="15"/>
        <v>7139328163.7299995</v>
      </c>
      <c r="Z38" s="222">
        <f t="shared" si="15"/>
        <v>7367066244.9399996</v>
      </c>
      <c r="AA38" s="222">
        <f t="shared" si="15"/>
        <v>7308521000</v>
      </c>
      <c r="AB38" s="222">
        <f t="shared" si="15"/>
        <v>7469157790.7299995</v>
      </c>
      <c r="AC38" s="222">
        <f t="shared" si="15"/>
        <v>7532967410.079999</v>
      </c>
      <c r="AD38" s="222">
        <f t="shared" si="15"/>
        <v>7305011972.1299992</v>
      </c>
      <c r="AE38" s="222">
        <f t="shared" si="15"/>
        <v>7293988916.7699995</v>
      </c>
      <c r="AF38" s="222">
        <f t="shared" si="15"/>
        <v>7331896243.8999996</v>
      </c>
      <c r="AG38" s="222">
        <f t="shared" si="15"/>
        <v>7375790446.6499996</v>
      </c>
      <c r="AH38" s="222">
        <f t="shared" si="15"/>
        <v>7510084232.1700001</v>
      </c>
      <c r="AI38" s="222">
        <f t="shared" si="15"/>
        <v>7569087400.8700008</v>
      </c>
      <c r="AJ38" s="222">
        <f t="shared" si="15"/>
        <v>7648051813.2000008</v>
      </c>
      <c r="AK38" s="222">
        <f t="shared" si="15"/>
        <v>7793368368.9400005</v>
      </c>
      <c r="AL38" s="222">
        <f t="shared" si="15"/>
        <v>7935612890.0699997</v>
      </c>
      <c r="AM38" s="222">
        <f t="shared" si="15"/>
        <v>8192611932.9499998</v>
      </c>
      <c r="AN38" s="222">
        <f t="shared" si="15"/>
        <v>8191574000</v>
      </c>
    </row>
    <row r="39" spans="1:40">
      <c r="A39" s="220" t="s">
        <v>38</v>
      </c>
      <c r="B39" s="227">
        <v>338968735.72000003</v>
      </c>
      <c r="C39" s="227">
        <v>345632751</v>
      </c>
      <c r="D39" s="227">
        <v>348433123.66000003</v>
      </c>
      <c r="E39" s="227">
        <v>352474502.44999999</v>
      </c>
      <c r="F39" s="227">
        <v>355117522.82999998</v>
      </c>
      <c r="G39" s="227">
        <v>358517547.50999999</v>
      </c>
      <c r="H39" s="227">
        <v>362703008.52999997</v>
      </c>
      <c r="I39" s="227">
        <v>365918779.85000002</v>
      </c>
      <c r="J39" s="227">
        <v>368817662.82999998</v>
      </c>
      <c r="K39" s="227">
        <v>374187830.48000002</v>
      </c>
      <c r="L39" s="227">
        <v>378271654.85000002</v>
      </c>
      <c r="M39" s="227">
        <v>432747969.41000003</v>
      </c>
      <c r="N39" s="227">
        <v>432735000</v>
      </c>
      <c r="O39" s="228">
        <v>435351372.83999997</v>
      </c>
      <c r="P39" s="228">
        <v>438950284.19999999</v>
      </c>
      <c r="Q39" s="228">
        <v>443415700.5</v>
      </c>
      <c r="R39" s="228">
        <v>449737297.91000003</v>
      </c>
      <c r="S39" s="228">
        <v>453383922.74000001</v>
      </c>
      <c r="T39" s="228">
        <v>457673169.75</v>
      </c>
      <c r="U39" s="228">
        <v>461847003.35000002</v>
      </c>
      <c r="V39" s="228">
        <v>465421893.20999998</v>
      </c>
      <c r="W39" s="228">
        <v>470027292.50999999</v>
      </c>
      <c r="X39" s="228">
        <v>474183658.73000002</v>
      </c>
      <c r="Y39" s="228">
        <v>479468193.64999998</v>
      </c>
      <c r="Z39" s="228">
        <v>485741870.12</v>
      </c>
      <c r="AA39" s="223">
        <v>485742000</v>
      </c>
      <c r="AB39" s="227">
        <v>489259782.64999998</v>
      </c>
      <c r="AC39" s="227">
        <v>494533947.76999998</v>
      </c>
      <c r="AD39" s="227">
        <v>505805349.39999998</v>
      </c>
      <c r="AE39" s="227">
        <v>511327620.14999998</v>
      </c>
      <c r="AF39" s="227">
        <v>517307884.56999999</v>
      </c>
      <c r="AG39" s="273">
        <v>522928299.29000002</v>
      </c>
      <c r="AH39" s="273">
        <v>528888400.13</v>
      </c>
      <c r="AI39" s="273">
        <v>535558071.50999999</v>
      </c>
      <c r="AJ39" s="273">
        <v>543035379.25999999</v>
      </c>
      <c r="AK39" s="273">
        <v>554195588.13999999</v>
      </c>
      <c r="AL39" s="273">
        <v>562793102.59000003</v>
      </c>
      <c r="AM39" s="273">
        <v>570035261.13999999</v>
      </c>
      <c r="AN39" s="284">
        <v>570035000</v>
      </c>
    </row>
    <row r="40" spans="1:40">
      <c r="A40" s="220" t="s">
        <v>39</v>
      </c>
      <c r="B40" s="227">
        <v>0</v>
      </c>
      <c r="C40" s="227">
        <v>0</v>
      </c>
      <c r="D40" s="227">
        <v>0</v>
      </c>
      <c r="E40" s="227">
        <v>0</v>
      </c>
      <c r="F40" s="227">
        <v>0</v>
      </c>
      <c r="G40" s="227">
        <v>0</v>
      </c>
      <c r="H40" s="227">
        <v>0</v>
      </c>
      <c r="I40" s="227">
        <v>0</v>
      </c>
      <c r="J40" s="227">
        <v>0</v>
      </c>
      <c r="K40" s="227">
        <v>0</v>
      </c>
      <c r="L40" s="227">
        <v>0</v>
      </c>
      <c r="M40" s="227">
        <v>0</v>
      </c>
      <c r="N40" s="227">
        <v>0</v>
      </c>
      <c r="O40" s="223">
        <v>0</v>
      </c>
      <c r="P40" s="223">
        <v>0</v>
      </c>
      <c r="Q40" s="223">
        <v>0</v>
      </c>
      <c r="R40" s="223">
        <v>0</v>
      </c>
      <c r="S40" s="223">
        <v>0</v>
      </c>
      <c r="T40" s="223">
        <v>0</v>
      </c>
      <c r="U40" s="223">
        <v>0</v>
      </c>
      <c r="V40" s="223">
        <v>0</v>
      </c>
      <c r="W40" s="223">
        <v>0</v>
      </c>
      <c r="X40" s="223">
        <v>0</v>
      </c>
      <c r="Y40" s="223">
        <v>0</v>
      </c>
      <c r="Z40" s="223">
        <v>0</v>
      </c>
      <c r="AA40" s="223">
        <v>0</v>
      </c>
      <c r="AB40" s="227">
        <v>0</v>
      </c>
      <c r="AC40" s="227">
        <v>0</v>
      </c>
      <c r="AD40" s="227">
        <v>0</v>
      </c>
      <c r="AE40" s="227">
        <v>0</v>
      </c>
      <c r="AF40" s="227">
        <v>0</v>
      </c>
      <c r="AG40" s="273">
        <v>0</v>
      </c>
      <c r="AH40" s="273">
        <v>0</v>
      </c>
      <c r="AI40" s="273">
        <v>0</v>
      </c>
      <c r="AJ40" s="273">
        <v>0</v>
      </c>
      <c r="AK40" s="273">
        <v>0</v>
      </c>
      <c r="AL40" s="273">
        <v>0</v>
      </c>
      <c r="AM40" s="273">
        <v>0</v>
      </c>
    </row>
    <row r="41" spans="1:40">
      <c r="A41" s="220" t="s">
        <v>40</v>
      </c>
      <c r="B41" s="227">
        <v>143899776.53999999</v>
      </c>
      <c r="C41" s="227">
        <v>144247671.96000001</v>
      </c>
      <c r="D41" s="227">
        <v>144218881.69999999</v>
      </c>
      <c r="E41" s="227">
        <v>144108943.61000001</v>
      </c>
      <c r="F41" s="227">
        <v>144108833.81</v>
      </c>
      <c r="G41" s="227">
        <v>144108833.81</v>
      </c>
      <c r="H41" s="227">
        <v>144108833.81</v>
      </c>
      <c r="I41" s="227">
        <v>144108833.81</v>
      </c>
      <c r="J41" s="227">
        <v>143412434.88999999</v>
      </c>
      <c r="K41" s="227">
        <v>143526103.88999999</v>
      </c>
      <c r="L41" s="227">
        <v>143474095.78999999</v>
      </c>
      <c r="M41" s="227">
        <v>146055575.88</v>
      </c>
      <c r="N41" s="227">
        <v>154932000</v>
      </c>
      <c r="O41" s="228">
        <v>117161226.59999999</v>
      </c>
      <c r="P41" s="228">
        <v>118665488.53</v>
      </c>
      <c r="Q41" s="228">
        <v>118603582.52</v>
      </c>
      <c r="R41" s="228">
        <v>118603582.52</v>
      </c>
      <c r="S41" s="228">
        <v>118593332.17</v>
      </c>
      <c r="T41" s="228">
        <v>118593332.17</v>
      </c>
      <c r="U41" s="228">
        <v>118483746</v>
      </c>
      <c r="V41" s="228">
        <v>118469439.04000001</v>
      </c>
      <c r="W41" s="228">
        <v>118438648.61</v>
      </c>
      <c r="X41" s="228">
        <v>118246669.38</v>
      </c>
      <c r="Y41" s="228">
        <v>118226866.83</v>
      </c>
      <c r="Z41" s="228">
        <v>118476866.83</v>
      </c>
      <c r="AA41" s="223">
        <v>118477000</v>
      </c>
      <c r="AB41" s="227">
        <v>137063858.53</v>
      </c>
      <c r="AC41" s="227">
        <v>136427058.53</v>
      </c>
      <c r="AD41" s="227">
        <v>136353265.25999999</v>
      </c>
      <c r="AE41" s="227">
        <v>136744922.56</v>
      </c>
      <c r="AF41" s="227">
        <v>141839432.16</v>
      </c>
      <c r="AG41" s="273">
        <v>145939096.18000001</v>
      </c>
      <c r="AH41" s="273">
        <v>145925461.18000001</v>
      </c>
      <c r="AI41" s="273">
        <v>145925461.18000001</v>
      </c>
      <c r="AJ41" s="273">
        <v>145925461.18000001</v>
      </c>
      <c r="AK41" s="273">
        <v>145965921.66</v>
      </c>
      <c r="AL41" s="273">
        <v>145965921.66</v>
      </c>
      <c r="AM41" s="273">
        <v>145965921.66</v>
      </c>
      <c r="AN41" s="284">
        <v>72861000</v>
      </c>
    </row>
    <row r="42" spans="1:40">
      <c r="A42" s="220" t="s">
        <v>41</v>
      </c>
      <c r="B42" s="227">
        <v>-2595393.69</v>
      </c>
      <c r="C42" s="227">
        <v>13971720.050000001</v>
      </c>
      <c r="D42" s="227">
        <v>18261706.920000002</v>
      </c>
      <c r="E42" s="227">
        <v>32893275.600000001</v>
      </c>
      <c r="F42" s="227">
        <v>51343483.200000003</v>
      </c>
      <c r="G42" s="227">
        <v>71169876.060000002</v>
      </c>
      <c r="H42" s="227">
        <v>86717528.420000002</v>
      </c>
      <c r="I42" s="227">
        <v>89353493.719999999</v>
      </c>
      <c r="J42" s="227">
        <v>103720039.22</v>
      </c>
      <c r="K42" s="227">
        <v>116921712.76000001</v>
      </c>
      <c r="L42" s="227">
        <v>125747518.75</v>
      </c>
      <c r="M42" s="227">
        <v>38280842.340000004</v>
      </c>
      <c r="N42" s="227">
        <f>174512000-34903000-64910000-99839000-6980000-6400000</f>
        <v>-38520000</v>
      </c>
      <c r="O42" s="228">
        <v>-77843073.280000001</v>
      </c>
      <c r="P42" s="228">
        <v>-71467527.269999996</v>
      </c>
      <c r="Q42" s="228">
        <v>21557751.25</v>
      </c>
      <c r="R42" s="228">
        <v>28838469.629999999</v>
      </c>
      <c r="S42" s="228">
        <v>37547016.030000001</v>
      </c>
      <c r="T42" s="228">
        <v>88368235.579999998</v>
      </c>
      <c r="U42" s="228">
        <v>104282606.90000001</v>
      </c>
      <c r="V42" s="228">
        <v>102555476.63</v>
      </c>
      <c r="W42" s="228">
        <v>128548854.31999999</v>
      </c>
      <c r="X42" s="228">
        <v>131682903.95</v>
      </c>
      <c r="Y42" s="228">
        <v>211301512.25999999</v>
      </c>
      <c r="Z42" s="228">
        <v>44314382.310000002</v>
      </c>
      <c r="AA42" s="223">
        <f>175176000-35035000-72861000-33978000-7007000-8527000</f>
        <v>17768000</v>
      </c>
      <c r="AB42" s="227">
        <v>-82589.460000000006</v>
      </c>
      <c r="AC42" s="227">
        <v>36127468.969999999</v>
      </c>
      <c r="AD42" s="227">
        <v>66430022.329999998</v>
      </c>
      <c r="AE42" s="227">
        <v>88345424.909999996</v>
      </c>
      <c r="AF42" s="227">
        <v>115741852.70999999</v>
      </c>
      <c r="AG42" s="273">
        <v>147249180.25999999</v>
      </c>
      <c r="AH42" s="273">
        <v>156669650.36000001</v>
      </c>
      <c r="AI42" s="273">
        <v>174069476.03</v>
      </c>
      <c r="AJ42" s="273">
        <v>207590977.83000001</v>
      </c>
      <c r="AK42" s="273">
        <v>237815008.69</v>
      </c>
      <c r="AL42" s="273">
        <v>260256359.43000001</v>
      </c>
      <c r="AM42" s="273">
        <v>90561573.349999994</v>
      </c>
      <c r="AN42" s="284">
        <f>85505000-72861000</f>
        <v>12644000</v>
      </c>
    </row>
    <row r="43" spans="1:40">
      <c r="A43" s="220" t="s">
        <v>42</v>
      </c>
      <c r="B43" s="227">
        <v>99053599.540000007</v>
      </c>
      <c r="C43" s="227">
        <v>99053599.540000007</v>
      </c>
      <c r="D43" s="227">
        <v>99053599.540000007</v>
      </c>
      <c r="E43" s="227">
        <v>99145214.620000005</v>
      </c>
      <c r="F43" s="227">
        <v>99145214.620000005</v>
      </c>
      <c r="G43" s="227">
        <v>99145214.620000005</v>
      </c>
      <c r="H43" s="227">
        <v>99145214.620000005</v>
      </c>
      <c r="I43" s="227">
        <v>99145214.620000005</v>
      </c>
      <c r="J43" s="227">
        <v>99145214.620000005</v>
      </c>
      <c r="K43" s="227">
        <v>99145214.620000005</v>
      </c>
      <c r="L43" s="227">
        <v>99145214.620000005</v>
      </c>
      <c r="M43" s="227">
        <v>128438792.73999999</v>
      </c>
      <c r="N43" s="227">
        <v>134048000</v>
      </c>
      <c r="O43" s="228">
        <v>134047526.72</v>
      </c>
      <c r="P43" s="228">
        <v>134047526.72</v>
      </c>
      <c r="Q43" s="228">
        <v>134047526.72</v>
      </c>
      <c r="R43" s="228">
        <v>134047526.72</v>
      </c>
      <c r="S43" s="228">
        <v>134047526.72</v>
      </c>
      <c r="T43" s="228">
        <v>134047526.72</v>
      </c>
      <c r="U43" s="228">
        <v>134047526.72</v>
      </c>
      <c r="V43" s="228">
        <v>134047526.72</v>
      </c>
      <c r="W43" s="228">
        <v>134047526.72</v>
      </c>
      <c r="X43" s="228">
        <v>134047526.72</v>
      </c>
      <c r="Y43" s="228">
        <v>134047526.72</v>
      </c>
      <c r="Z43" s="228">
        <v>166846364.46000001</v>
      </c>
      <c r="AA43" s="232">
        <v>169083000</v>
      </c>
      <c r="AB43" s="227">
        <v>169082892.21000001</v>
      </c>
      <c r="AC43" s="227">
        <v>169082892.21000001</v>
      </c>
      <c r="AD43" s="227">
        <v>169082892.21000001</v>
      </c>
      <c r="AE43" s="227">
        <v>169082892.21000001</v>
      </c>
      <c r="AF43" s="227">
        <v>169082892.21000001</v>
      </c>
      <c r="AG43" s="273">
        <v>169082892.21000001</v>
      </c>
      <c r="AH43" s="273">
        <v>169082892.21000001</v>
      </c>
      <c r="AI43" s="273">
        <v>169082892.21000001</v>
      </c>
      <c r="AJ43" s="273">
        <v>169082892.21000001</v>
      </c>
      <c r="AK43" s="273">
        <v>169082892.21000001</v>
      </c>
      <c r="AL43" s="273">
        <v>169082892.21000001</v>
      </c>
      <c r="AM43" s="273">
        <v>221310341.28999999</v>
      </c>
      <c r="AN43" s="284">
        <v>202727000</v>
      </c>
    </row>
    <row r="44" spans="1:40">
      <c r="A44" s="220" t="s">
        <v>43</v>
      </c>
      <c r="B44" s="227">
        <v>176447409.59999999</v>
      </c>
      <c r="C44" s="227">
        <v>176885825.71000001</v>
      </c>
      <c r="D44" s="227">
        <v>181345412.77000001</v>
      </c>
      <c r="E44" s="227">
        <v>181209083.52000001</v>
      </c>
      <c r="F44" s="227">
        <v>182521832.66999999</v>
      </c>
      <c r="G44" s="227">
        <v>183526802.84999999</v>
      </c>
      <c r="H44" s="227">
        <v>184934253.27000001</v>
      </c>
      <c r="I44" s="227">
        <v>187880274.02000001</v>
      </c>
      <c r="J44" s="227">
        <v>190442776.13999999</v>
      </c>
      <c r="K44" s="227">
        <v>192205366.09999999</v>
      </c>
      <c r="L44" s="227">
        <v>193896586.11000001</v>
      </c>
      <c r="M44" s="227">
        <v>201575095.41999999</v>
      </c>
      <c r="N44" s="227">
        <f>148778000+141684000</f>
        <v>290462000</v>
      </c>
      <c r="O44" s="228">
        <v>291509008.07999998</v>
      </c>
      <c r="P44" s="228">
        <v>293177366.13</v>
      </c>
      <c r="Q44" s="228">
        <v>295161489.26999998</v>
      </c>
      <c r="R44" s="228">
        <v>297686275.24000001</v>
      </c>
      <c r="S44" s="228">
        <v>300406640.68000001</v>
      </c>
      <c r="T44" s="228">
        <v>303701007.70999998</v>
      </c>
      <c r="U44" s="228">
        <v>305689844.01999998</v>
      </c>
      <c r="V44" s="228">
        <v>310448756.17000002</v>
      </c>
      <c r="W44" s="228">
        <v>313147555.89999998</v>
      </c>
      <c r="X44" s="228">
        <v>315662888.70999998</v>
      </c>
      <c r="Y44" s="228">
        <v>319198294.41000003</v>
      </c>
      <c r="Z44" s="228">
        <v>316097160.89999998</v>
      </c>
      <c r="AA44" s="232">
        <v>167766000</v>
      </c>
      <c r="AB44" s="227">
        <v>355852333.12</v>
      </c>
      <c r="AC44" s="227">
        <v>357861420.93000001</v>
      </c>
      <c r="AD44" s="227">
        <v>359713485.86000001</v>
      </c>
      <c r="AE44" s="227">
        <v>362157781.00999999</v>
      </c>
      <c r="AF44" s="227">
        <v>364560012.94</v>
      </c>
      <c r="AG44" s="273">
        <v>364814563.06</v>
      </c>
      <c r="AH44" s="273">
        <v>367558697.23000002</v>
      </c>
      <c r="AI44" s="273">
        <v>370748780.73000002</v>
      </c>
      <c r="AJ44" s="273">
        <v>374508605.19999999</v>
      </c>
      <c r="AK44" s="273">
        <v>377254239.74000001</v>
      </c>
      <c r="AL44" s="273">
        <v>380581839.25999999</v>
      </c>
      <c r="AM44" s="273">
        <v>372596894.58999997</v>
      </c>
      <c r="AN44" s="284">
        <f>299930000+203354000</f>
        <v>503284000</v>
      </c>
    </row>
    <row r="45" spans="1:40">
      <c r="A45" s="220" t="s">
        <v>44</v>
      </c>
      <c r="B45" s="227">
        <v>36098062.969999999</v>
      </c>
      <c r="C45" s="227">
        <v>36098062.969999999</v>
      </c>
      <c r="D45" s="227">
        <v>36098062.969999999</v>
      </c>
      <c r="E45" s="227">
        <v>36098062.969999999</v>
      </c>
      <c r="F45" s="227">
        <v>36098062.969999999</v>
      </c>
      <c r="G45" s="227">
        <v>36098062.969999999</v>
      </c>
      <c r="H45" s="227">
        <v>36098062.969999999</v>
      </c>
      <c r="I45" s="227">
        <v>36098062.969999999</v>
      </c>
      <c r="J45" s="227">
        <v>36098062.969999999</v>
      </c>
      <c r="K45" s="227">
        <v>36098062.969999999</v>
      </c>
      <c r="L45" s="227">
        <v>36098062.969999999</v>
      </c>
      <c r="M45" s="227">
        <v>36098062.969999999</v>
      </c>
      <c r="N45" s="227">
        <v>36098000</v>
      </c>
      <c r="O45" s="228">
        <v>36098062.969999999</v>
      </c>
      <c r="P45" s="228">
        <v>36098062.969999999</v>
      </c>
      <c r="Q45" s="228">
        <v>36098062.969999999</v>
      </c>
      <c r="R45" s="228">
        <v>36098062.969999999</v>
      </c>
      <c r="S45" s="228">
        <v>36098062.969999999</v>
      </c>
      <c r="T45" s="228">
        <v>36098062.969999999</v>
      </c>
      <c r="U45" s="228">
        <v>36098062.969999999</v>
      </c>
      <c r="V45" s="228">
        <v>36098062.969999999</v>
      </c>
      <c r="W45" s="228">
        <v>36098062.969999999</v>
      </c>
      <c r="X45" s="228">
        <v>36098062.969999999</v>
      </c>
      <c r="Y45" s="228">
        <v>36098062.969999999</v>
      </c>
      <c r="Z45" s="228">
        <v>36098062.969999999</v>
      </c>
      <c r="AA45" s="223">
        <v>38768000</v>
      </c>
      <c r="AB45" s="227">
        <v>36098062.969999999</v>
      </c>
      <c r="AC45" s="227">
        <v>36098062.969999999</v>
      </c>
      <c r="AD45" s="227">
        <v>36098062.969999999</v>
      </c>
      <c r="AE45" s="227">
        <v>36098062.969999999</v>
      </c>
      <c r="AF45" s="227">
        <v>36098062.969999999</v>
      </c>
      <c r="AG45" s="273">
        <v>36098062.969999999</v>
      </c>
      <c r="AH45" s="273">
        <v>36098062.969999999</v>
      </c>
      <c r="AI45" s="273">
        <v>36098062.969999999</v>
      </c>
      <c r="AJ45" s="273">
        <v>36098062.969999999</v>
      </c>
      <c r="AK45" s="273">
        <v>36098062.969999999</v>
      </c>
      <c r="AL45" s="273">
        <v>36098062.969999999</v>
      </c>
      <c r="AM45" s="273">
        <v>36098062.969999999</v>
      </c>
    </row>
    <row r="46" spans="1:40">
      <c r="A46" s="220" t="s">
        <v>45</v>
      </c>
      <c r="B46" s="237">
        <v>0</v>
      </c>
      <c r="C46" s="237">
        <v>0</v>
      </c>
      <c r="D46" s="237">
        <v>0</v>
      </c>
      <c r="E46" s="237">
        <v>0</v>
      </c>
      <c r="F46" s="237">
        <v>0</v>
      </c>
      <c r="G46" s="237">
        <v>0</v>
      </c>
      <c r="H46" s="237">
        <v>0</v>
      </c>
      <c r="I46" s="237">
        <v>0</v>
      </c>
      <c r="J46" s="237">
        <v>0</v>
      </c>
      <c r="K46" s="237">
        <v>0</v>
      </c>
      <c r="L46" s="227">
        <v>0</v>
      </c>
      <c r="M46" s="227">
        <v>0</v>
      </c>
      <c r="N46" s="238">
        <f>64910000+6400000</f>
        <v>71310000</v>
      </c>
      <c r="O46" s="223">
        <v>0</v>
      </c>
      <c r="P46" s="223">
        <v>0</v>
      </c>
      <c r="Q46" s="223">
        <v>0</v>
      </c>
      <c r="R46" s="223">
        <v>0</v>
      </c>
      <c r="S46" s="223">
        <v>0</v>
      </c>
      <c r="T46" s="223">
        <v>0</v>
      </c>
      <c r="U46" s="223">
        <v>0</v>
      </c>
      <c r="V46" s="223">
        <v>0</v>
      </c>
      <c r="W46" s="223">
        <v>0</v>
      </c>
      <c r="X46" s="223">
        <v>0</v>
      </c>
      <c r="Y46" s="223">
        <v>0</v>
      </c>
      <c r="Z46" s="223">
        <v>0</v>
      </c>
      <c r="AA46" s="223">
        <f>81388000</f>
        <v>81388000</v>
      </c>
      <c r="AB46" s="237">
        <v>0</v>
      </c>
      <c r="AC46" s="237">
        <v>0</v>
      </c>
      <c r="AD46" s="237">
        <v>0</v>
      </c>
      <c r="AE46" s="237">
        <v>0</v>
      </c>
      <c r="AF46" s="237">
        <v>0</v>
      </c>
      <c r="AG46" s="274">
        <v>0</v>
      </c>
      <c r="AH46" s="274">
        <v>0</v>
      </c>
      <c r="AI46" s="274">
        <v>0</v>
      </c>
      <c r="AJ46" s="274">
        <v>0</v>
      </c>
      <c r="AK46" s="274">
        <v>0</v>
      </c>
      <c r="AL46" s="274">
        <v>0</v>
      </c>
      <c r="AM46" s="274">
        <v>0</v>
      </c>
    </row>
    <row r="47" spans="1:40">
      <c r="A47" s="220" t="s">
        <v>46</v>
      </c>
      <c r="B47" s="237">
        <v>0</v>
      </c>
      <c r="C47" s="237">
        <v>0</v>
      </c>
      <c r="D47" s="237">
        <v>0</v>
      </c>
      <c r="E47" s="237">
        <v>0</v>
      </c>
      <c r="F47" s="237">
        <v>0</v>
      </c>
      <c r="G47" s="237">
        <v>0</v>
      </c>
      <c r="H47" s="237">
        <v>0</v>
      </c>
      <c r="I47" s="237">
        <v>0</v>
      </c>
      <c r="J47" s="237">
        <v>0</v>
      </c>
      <c r="K47" s="237">
        <v>0</v>
      </c>
      <c r="L47" s="227">
        <v>0</v>
      </c>
      <c r="M47" s="227">
        <v>0</v>
      </c>
      <c r="N47" s="227">
        <v>0</v>
      </c>
      <c r="O47" s="223">
        <v>0</v>
      </c>
      <c r="P47" s="223">
        <v>0</v>
      </c>
      <c r="Q47" s="223">
        <v>0</v>
      </c>
      <c r="R47" s="223">
        <v>0</v>
      </c>
      <c r="S47" s="223">
        <v>0</v>
      </c>
      <c r="T47" s="223">
        <v>0</v>
      </c>
      <c r="U47" s="223">
        <v>0</v>
      </c>
      <c r="V47" s="223">
        <v>0</v>
      </c>
      <c r="W47" s="223">
        <v>0</v>
      </c>
      <c r="X47" s="223">
        <v>0</v>
      </c>
      <c r="Y47" s="223">
        <v>0</v>
      </c>
      <c r="Z47" s="223">
        <v>0</v>
      </c>
      <c r="AA47" s="223">
        <v>182756000</v>
      </c>
      <c r="AB47" s="237">
        <v>0</v>
      </c>
      <c r="AC47" s="237">
        <v>0</v>
      </c>
      <c r="AD47" s="237">
        <v>0</v>
      </c>
      <c r="AE47" s="237">
        <v>0</v>
      </c>
      <c r="AF47" s="237">
        <v>0</v>
      </c>
      <c r="AG47" s="274">
        <v>0</v>
      </c>
      <c r="AH47" s="274">
        <v>0</v>
      </c>
      <c r="AI47" s="274">
        <v>0</v>
      </c>
      <c r="AJ47" s="274">
        <v>0</v>
      </c>
      <c r="AK47" s="274">
        <v>0</v>
      </c>
      <c r="AL47" s="274">
        <v>0</v>
      </c>
      <c r="AM47" s="274">
        <v>0</v>
      </c>
    </row>
    <row r="48" spans="1:40">
      <c r="A48" s="219" t="s">
        <v>47</v>
      </c>
      <c r="B48" s="222">
        <f>SUM(B39:B47)</f>
        <v>791872190.68000007</v>
      </c>
      <c r="C48" s="222">
        <f>SUM(C39:C47)</f>
        <v>815889631.23000014</v>
      </c>
      <c r="D48" s="222">
        <f>SUM(D39:D47)</f>
        <v>827410787.56000006</v>
      </c>
      <c r="E48" s="222">
        <f t="shared" ref="E48:J48" si="16">SUM(E39:E47)</f>
        <v>845929082.76999998</v>
      </c>
      <c r="F48" s="222">
        <f t="shared" si="16"/>
        <v>868334950.10000002</v>
      </c>
      <c r="G48" s="222">
        <f t="shared" si="16"/>
        <v>892566337.82000005</v>
      </c>
      <c r="H48" s="222">
        <f t="shared" si="16"/>
        <v>913706901.62</v>
      </c>
      <c r="I48" s="222">
        <f t="shared" si="16"/>
        <v>922504658.99000001</v>
      </c>
      <c r="J48" s="222">
        <f t="shared" si="16"/>
        <v>941636190.66999996</v>
      </c>
      <c r="K48" s="222">
        <f>SUM(K39:K47)</f>
        <v>962084290.82000005</v>
      </c>
      <c r="L48" s="222">
        <f>SUM(L39:L47)</f>
        <v>976633133.09000003</v>
      </c>
      <c r="M48" s="222">
        <f>SUM(M39:M47)</f>
        <v>983196338.75999999</v>
      </c>
      <c r="N48" s="222">
        <f>SUM(N39:N47)</f>
        <v>1081065000</v>
      </c>
      <c r="O48" s="222">
        <f t="shared" ref="O48:AA48" si="17">SUM(O39:O47)</f>
        <v>936324123.93000007</v>
      </c>
      <c r="P48" s="222">
        <f t="shared" si="17"/>
        <v>949471201.28000009</v>
      </c>
      <c r="Q48" s="222">
        <f t="shared" si="17"/>
        <v>1048884113.23</v>
      </c>
      <c r="R48" s="222">
        <f t="shared" si="17"/>
        <v>1065011214.9900001</v>
      </c>
      <c r="S48" s="222">
        <f t="shared" si="17"/>
        <v>1080076501.3099999</v>
      </c>
      <c r="T48" s="222">
        <f t="shared" si="17"/>
        <v>1138481334.9000001</v>
      </c>
      <c r="U48" s="222">
        <f t="shared" si="17"/>
        <v>1160448789.96</v>
      </c>
      <c r="V48" s="222">
        <f t="shared" si="17"/>
        <v>1167041154.74</v>
      </c>
      <c r="W48" s="222">
        <f t="shared" si="17"/>
        <v>1200307941.03</v>
      </c>
      <c r="X48" s="222">
        <f t="shared" si="17"/>
        <v>1209921710.46</v>
      </c>
      <c r="Y48" s="222">
        <f t="shared" si="17"/>
        <v>1298340456.8400002</v>
      </c>
      <c r="Z48" s="222">
        <f t="shared" si="17"/>
        <v>1167574707.5899999</v>
      </c>
      <c r="AA48" s="222">
        <f t="shared" si="17"/>
        <v>1261748000</v>
      </c>
      <c r="AB48" s="222">
        <f t="shared" ref="AB48:AF48" si="18">SUM(AB39:AB47)</f>
        <v>1187274340.02</v>
      </c>
      <c r="AC48" s="222">
        <f t="shared" si="18"/>
        <v>1230130851.3800001</v>
      </c>
      <c r="AD48" s="222">
        <f t="shared" si="18"/>
        <v>1273483078.03</v>
      </c>
      <c r="AE48" s="222">
        <f t="shared" si="18"/>
        <v>1303756703.8100002</v>
      </c>
      <c r="AF48" s="222">
        <f t="shared" si="18"/>
        <v>1344630137.5600002</v>
      </c>
      <c r="AG48" s="222">
        <f t="shared" ref="AG48:AN48" si="19">SUM(AG39:AG47)</f>
        <v>1386112093.97</v>
      </c>
      <c r="AH48" s="222">
        <f t="shared" si="19"/>
        <v>1404223164.0800002</v>
      </c>
      <c r="AI48" s="222">
        <f t="shared" si="19"/>
        <v>1431482744.6300001</v>
      </c>
      <c r="AJ48" s="222">
        <f t="shared" si="19"/>
        <v>1476241378.6500001</v>
      </c>
      <c r="AK48" s="222">
        <f t="shared" si="19"/>
        <v>1520411713.4100001</v>
      </c>
      <c r="AL48" s="222">
        <f t="shared" si="19"/>
        <v>1554778178.1200001</v>
      </c>
      <c r="AM48" s="222">
        <f t="shared" si="19"/>
        <v>1436568055</v>
      </c>
      <c r="AN48" s="222">
        <f t="shared" si="19"/>
        <v>1361551000</v>
      </c>
    </row>
    <row r="49" spans="1:40">
      <c r="A49" s="219" t="s">
        <v>48</v>
      </c>
      <c r="B49" s="222">
        <f>SUM(B48+B38)</f>
        <v>6918926678.4700003</v>
      </c>
      <c r="C49" s="222">
        <f>SUM(C48+C38)</f>
        <v>6929519830.1199999</v>
      </c>
      <c r="D49" s="222">
        <f>SUM(D48+D38)</f>
        <v>6706932547.6099997</v>
      </c>
      <c r="E49" s="222">
        <f t="shared" ref="E49:J49" si="20">SUM(E48+E38)</f>
        <v>6746641952.3700008</v>
      </c>
      <c r="F49" s="222">
        <f t="shared" si="20"/>
        <v>6853505887.0500002</v>
      </c>
      <c r="G49" s="222">
        <f t="shared" si="20"/>
        <v>6975326109.8899994</v>
      </c>
      <c r="H49" s="222">
        <f t="shared" si="20"/>
        <v>7112891853.6300001</v>
      </c>
      <c r="I49" s="222">
        <f t="shared" si="20"/>
        <v>7211440682.04</v>
      </c>
      <c r="J49" s="222">
        <f t="shared" si="20"/>
        <v>7298961528.1199999</v>
      </c>
      <c r="K49" s="222">
        <f>SUM(K48+K38)</f>
        <v>7428565814.6199999</v>
      </c>
      <c r="L49" s="222">
        <f>SUM(L48+L38)</f>
        <v>7531317061.9900007</v>
      </c>
      <c r="M49" s="222">
        <f>SUM(M48+M38)</f>
        <v>7659924339.8199997</v>
      </c>
      <c r="N49" s="222">
        <f>SUM(N48+N38)</f>
        <v>7661638000</v>
      </c>
      <c r="O49" s="222">
        <f t="shared" ref="O49:AA49" si="21">SUM(O48+O38)</f>
        <v>7653038962.5999994</v>
      </c>
      <c r="P49" s="222">
        <f t="shared" si="21"/>
        <v>7681041477.1899996</v>
      </c>
      <c r="Q49" s="222">
        <f t="shared" si="21"/>
        <v>7702868882.4399986</v>
      </c>
      <c r="R49" s="222">
        <f t="shared" si="21"/>
        <v>7780479303.8699999</v>
      </c>
      <c r="S49" s="222">
        <f t="shared" si="21"/>
        <v>7785113487.6299992</v>
      </c>
      <c r="T49" s="222">
        <f t="shared" si="21"/>
        <v>7828211783.8299999</v>
      </c>
      <c r="U49" s="222">
        <f t="shared" si="21"/>
        <v>7976798704.6399994</v>
      </c>
      <c r="V49" s="222">
        <f t="shared" si="21"/>
        <v>8134970770.2799997</v>
      </c>
      <c r="W49" s="222">
        <f t="shared" si="21"/>
        <v>8228129338.5300007</v>
      </c>
      <c r="X49" s="222">
        <f t="shared" si="21"/>
        <v>8318735468.1499996</v>
      </c>
      <c r="Y49" s="222">
        <f t="shared" si="21"/>
        <v>8437668620.5699997</v>
      </c>
      <c r="Z49" s="222">
        <f t="shared" si="21"/>
        <v>8534640952.5299997</v>
      </c>
      <c r="AA49" s="222">
        <f t="shared" si="21"/>
        <v>8570269000</v>
      </c>
      <c r="AB49" s="222">
        <f t="shared" ref="AB49:AF49" si="22">SUM(AB48+AB38)</f>
        <v>8656432130.75</v>
      </c>
      <c r="AC49" s="222">
        <f t="shared" si="22"/>
        <v>8763098261.4599991</v>
      </c>
      <c r="AD49" s="222">
        <f t="shared" si="22"/>
        <v>8578495050.1599989</v>
      </c>
      <c r="AE49" s="222">
        <f t="shared" si="22"/>
        <v>8597745620.5799999</v>
      </c>
      <c r="AF49" s="222">
        <f t="shared" si="22"/>
        <v>8676526381.4599991</v>
      </c>
      <c r="AG49" s="222">
        <f t="shared" ref="AG49:AN49" si="23">SUM(AG48+AG38)</f>
        <v>8761902540.6199989</v>
      </c>
      <c r="AH49" s="222">
        <f t="shared" si="23"/>
        <v>8914307396.25</v>
      </c>
      <c r="AI49" s="222">
        <f t="shared" si="23"/>
        <v>9000570145.5</v>
      </c>
      <c r="AJ49" s="222">
        <f t="shared" si="23"/>
        <v>9124293191.8500004</v>
      </c>
      <c r="AK49" s="222">
        <f t="shared" si="23"/>
        <v>9313780082.3500004</v>
      </c>
      <c r="AL49" s="222">
        <f t="shared" si="23"/>
        <v>9490391068.1900005</v>
      </c>
      <c r="AM49" s="222">
        <f t="shared" si="23"/>
        <v>9629179987.9500008</v>
      </c>
      <c r="AN49" s="222">
        <f t="shared" si="23"/>
        <v>9553125000</v>
      </c>
    </row>
    <row r="50" spans="1:40">
      <c r="A50" s="223"/>
      <c r="B50" s="239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9">
        <f>AA49-AA27</f>
        <v>-2000</v>
      </c>
      <c r="AB50" s="223"/>
      <c r="AC50" s="223"/>
      <c r="AD50" s="223"/>
      <c r="AE50" s="223"/>
      <c r="AF50" s="223"/>
      <c r="AG50" s="223"/>
    </row>
    <row r="51" spans="1:40">
      <c r="A51" s="223"/>
      <c r="B51" s="240">
        <f>B49-B27</f>
        <v>-33343.489998817444</v>
      </c>
      <c r="C51" s="240">
        <f>C49-C27</f>
        <v>-0.40000057220458984</v>
      </c>
      <c r="D51" s="240">
        <f>D49-D27</f>
        <v>0</v>
      </c>
      <c r="E51" s="240">
        <f t="shared" ref="E51:J51" si="24">E49-E27</f>
        <v>0</v>
      </c>
      <c r="F51" s="240">
        <f t="shared" si="24"/>
        <v>0</v>
      </c>
      <c r="G51" s="240">
        <f t="shared" si="24"/>
        <v>0</v>
      </c>
      <c r="H51" s="240">
        <f t="shared" si="24"/>
        <v>0</v>
      </c>
      <c r="I51" s="240">
        <f t="shared" si="24"/>
        <v>0</v>
      </c>
      <c r="J51" s="240">
        <f t="shared" si="24"/>
        <v>0</v>
      </c>
      <c r="K51" s="240">
        <f>K49-K27</f>
        <v>66254734.179999352</v>
      </c>
      <c r="L51" s="240">
        <f>L49-L27</f>
        <v>0</v>
      </c>
      <c r="M51" s="240">
        <f>M49-M27</f>
        <v>0</v>
      </c>
      <c r="N51" s="240">
        <f>N49-N27</f>
        <v>0</v>
      </c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N51" s="284">
        <f>AN49-AN27</f>
        <v>10453000</v>
      </c>
    </row>
    <row r="52" spans="1:40">
      <c r="B52" s="224"/>
      <c r="C52" s="224"/>
      <c r="D52" s="224"/>
      <c r="E52" s="224"/>
      <c r="F52" s="224"/>
      <c r="G52" s="224"/>
      <c r="H52" s="224"/>
      <c r="I52" s="224"/>
      <c r="J52" s="224"/>
    </row>
  </sheetData>
  <phoneticPr fontId="2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9"/>
  <sheetViews>
    <sheetView zoomScale="80" zoomScaleNormal="80" workbookViewId="0">
      <pane xSplit="1" ySplit="2" topLeftCell="AL3" activePane="bottomRight" state="frozen"/>
      <selection pane="bottomRight" activeCell="AN3" sqref="AN3"/>
      <selection pane="bottomLeft" activeCell="A3" sqref="A3"/>
      <selection pane="topRight" activeCell="B1" sqref="B1"/>
    </sheetView>
  </sheetViews>
  <sheetFormatPr defaultColWidth="9.140625" defaultRowHeight="15"/>
  <cols>
    <col min="1" max="1" width="41" style="244" customWidth="1"/>
    <col min="2" max="2" width="22.42578125" style="244" bestFit="1" customWidth="1"/>
    <col min="3" max="3" width="23.140625" style="244" bestFit="1" customWidth="1"/>
    <col min="4" max="13" width="23.85546875" style="244" bestFit="1" customWidth="1"/>
    <col min="14" max="14" width="25.42578125" style="244" bestFit="1" customWidth="1"/>
    <col min="15" max="15" width="27.85546875" style="244" customWidth="1"/>
    <col min="16" max="16" width="21.42578125" style="244" customWidth="1"/>
    <col min="17" max="26" width="22.5703125" style="244" bestFit="1" customWidth="1"/>
    <col min="27" max="27" width="18.42578125" style="244" bestFit="1" customWidth="1"/>
    <col min="28" max="28" width="17" style="244" bestFit="1" customWidth="1"/>
    <col min="29" max="37" width="18.42578125" style="244" bestFit="1" customWidth="1"/>
    <col min="38" max="40" width="20.42578125" style="244" bestFit="1" customWidth="1"/>
    <col min="41" max="41" width="17.85546875" style="244" bestFit="1" customWidth="1"/>
    <col min="42" max="16384" width="9.140625" style="244"/>
  </cols>
  <sheetData>
    <row r="1" spans="1:41" ht="15" customHeight="1">
      <c r="A1" s="254"/>
    </row>
    <row r="2" spans="1:41" ht="24.6" customHeight="1">
      <c r="A2" s="255"/>
      <c r="B2" s="256">
        <v>43831</v>
      </c>
      <c r="C2" s="256">
        <v>43862</v>
      </c>
      <c r="D2" s="256">
        <v>43891</v>
      </c>
      <c r="E2" s="256">
        <v>43922</v>
      </c>
      <c r="F2" s="256">
        <v>43952</v>
      </c>
      <c r="G2" s="256">
        <v>43983</v>
      </c>
      <c r="H2" s="256">
        <v>44013</v>
      </c>
      <c r="I2" s="256">
        <v>44044</v>
      </c>
      <c r="J2" s="256">
        <v>44075</v>
      </c>
      <c r="K2" s="256">
        <v>44105</v>
      </c>
      <c r="L2" s="256">
        <v>44136</v>
      </c>
      <c r="M2" s="256">
        <v>44166</v>
      </c>
      <c r="N2" s="256" t="s">
        <v>0</v>
      </c>
      <c r="O2" s="257">
        <v>44197</v>
      </c>
      <c r="P2" s="257">
        <v>44228</v>
      </c>
      <c r="Q2" s="257">
        <v>44256</v>
      </c>
      <c r="R2" s="257">
        <v>44287</v>
      </c>
      <c r="S2" s="257">
        <v>44317</v>
      </c>
      <c r="T2" s="257">
        <v>44348</v>
      </c>
      <c r="U2" s="257">
        <v>44378</v>
      </c>
      <c r="V2" s="257">
        <v>44409</v>
      </c>
      <c r="W2" s="257">
        <v>44440</v>
      </c>
      <c r="X2" s="257">
        <v>44470</v>
      </c>
      <c r="Y2" s="257">
        <v>44501</v>
      </c>
      <c r="Z2" s="257">
        <v>44531</v>
      </c>
      <c r="AA2" s="258" t="s">
        <v>1</v>
      </c>
      <c r="AB2" s="241">
        <v>44562</v>
      </c>
      <c r="AC2" s="241">
        <v>44593</v>
      </c>
      <c r="AD2" s="241">
        <v>44621</v>
      </c>
      <c r="AE2" s="241">
        <v>44652</v>
      </c>
      <c r="AF2" s="241">
        <v>44682</v>
      </c>
      <c r="AG2" s="241">
        <v>44713</v>
      </c>
      <c r="AH2" s="241">
        <v>44743</v>
      </c>
      <c r="AI2" s="241">
        <v>44774</v>
      </c>
      <c r="AJ2" s="241">
        <v>44805</v>
      </c>
      <c r="AK2" s="241">
        <v>44835</v>
      </c>
      <c r="AL2" s="241">
        <v>44866</v>
      </c>
      <c r="AM2" s="241">
        <v>44896</v>
      </c>
      <c r="AN2" s="241" t="s">
        <v>2</v>
      </c>
    </row>
    <row r="3" spans="1:41" ht="20.45" customHeight="1">
      <c r="A3" s="259" t="s">
        <v>49</v>
      </c>
      <c r="B3" s="242">
        <f>B4+B7</f>
        <v>52306144.809999995</v>
      </c>
      <c r="C3" s="242">
        <f>C4+C7</f>
        <v>115369991.35000001</v>
      </c>
      <c r="D3" s="242">
        <f>D4+D7</f>
        <v>195836272.60999998</v>
      </c>
      <c r="E3" s="242">
        <f t="shared" ref="E3:J3" si="0">E4+E7</f>
        <v>258868767.59999999</v>
      </c>
      <c r="F3" s="242">
        <f t="shared" si="0"/>
        <v>332010752.07000005</v>
      </c>
      <c r="G3" s="242">
        <f t="shared" si="0"/>
        <v>407167968.05000001</v>
      </c>
      <c r="H3" s="242">
        <f t="shared" si="0"/>
        <v>953324526.28000009</v>
      </c>
      <c r="I3" s="242">
        <f t="shared" si="0"/>
        <v>546964139.93999994</v>
      </c>
      <c r="J3" s="242">
        <f t="shared" si="0"/>
        <v>619470544.25999999</v>
      </c>
      <c r="K3" s="242">
        <f>K4+K7</f>
        <v>691976948.58000004</v>
      </c>
      <c r="L3" s="242">
        <f>L4+L7</f>
        <v>759721551.61999989</v>
      </c>
      <c r="M3" s="242">
        <f>M4+M7</f>
        <v>886101874.87000012</v>
      </c>
      <c r="N3" s="242">
        <f>N4+N7</f>
        <v>886084000</v>
      </c>
      <c r="O3" s="242">
        <f t="shared" ref="O3:AA3" si="1">O4+O7</f>
        <v>47660831.920000002</v>
      </c>
      <c r="P3" s="242">
        <f t="shared" si="1"/>
        <v>188750380.02000001</v>
      </c>
      <c r="Q3" s="242">
        <f t="shared" si="1"/>
        <v>260624755.67000002</v>
      </c>
      <c r="R3" s="242">
        <f t="shared" si="1"/>
        <v>319418018.12</v>
      </c>
      <c r="S3" s="242">
        <f t="shared" si="1"/>
        <v>387551902.06999999</v>
      </c>
      <c r="T3" s="242">
        <f t="shared" si="1"/>
        <v>480718156.41999996</v>
      </c>
      <c r="U3" s="242">
        <f t="shared" si="1"/>
        <v>556845595.02999997</v>
      </c>
      <c r="V3" s="242">
        <f t="shared" si="1"/>
        <v>641120642.53999996</v>
      </c>
      <c r="W3" s="242">
        <f t="shared" si="1"/>
        <v>729967629.92999995</v>
      </c>
      <c r="X3" s="242">
        <f t="shared" si="1"/>
        <v>810820517.44000006</v>
      </c>
      <c r="Y3" s="242">
        <f t="shared" si="1"/>
        <v>908440772.22000003</v>
      </c>
      <c r="Z3" s="242">
        <f t="shared" si="1"/>
        <v>988765407.23999989</v>
      </c>
      <c r="AA3" s="242">
        <f t="shared" si="1"/>
        <v>988766000</v>
      </c>
      <c r="AB3" s="242">
        <f t="shared" ref="AB3:AF3" si="2">AB4+AB7</f>
        <v>86563497.519999996</v>
      </c>
      <c r="AC3" s="242">
        <f t="shared" si="2"/>
        <v>182953965.75999999</v>
      </c>
      <c r="AD3" s="242">
        <f t="shared" si="2"/>
        <v>283303220.88</v>
      </c>
      <c r="AE3" s="242">
        <f t="shared" si="2"/>
        <v>370737047.5</v>
      </c>
      <c r="AF3" s="242">
        <f t="shared" si="2"/>
        <v>466126242.37</v>
      </c>
      <c r="AG3" s="242">
        <f t="shared" ref="AG3:AN3" si="3">AG4+AG7</f>
        <v>568243667.24000001</v>
      </c>
      <c r="AH3" s="242">
        <f t="shared" si="3"/>
        <v>648672712.75</v>
      </c>
      <c r="AI3" s="242">
        <f t="shared" si="3"/>
        <v>742335839.46000004</v>
      </c>
      <c r="AJ3" s="242">
        <f t="shared" si="3"/>
        <v>851408656.89999998</v>
      </c>
      <c r="AK3" s="242">
        <f t="shared" si="3"/>
        <v>954720223.04000008</v>
      </c>
      <c r="AL3" s="242">
        <f t="shared" si="3"/>
        <v>1060990641.87</v>
      </c>
      <c r="AM3" s="242">
        <f t="shared" si="3"/>
        <v>1174596872.99</v>
      </c>
      <c r="AN3" s="242">
        <f t="shared" si="3"/>
        <v>1162675000</v>
      </c>
    </row>
    <row r="4" spans="1:41">
      <c r="A4" s="259" t="s">
        <v>50</v>
      </c>
      <c r="B4" s="242">
        <f>SUM(B5:B6)</f>
        <v>43406555.669999994</v>
      </c>
      <c r="C4" s="242">
        <f>SUM(C5:C6)</f>
        <v>97662234.840000004</v>
      </c>
      <c r="D4" s="242">
        <f>SUM(D5:D6)</f>
        <v>172493032.47999999</v>
      </c>
      <c r="E4" s="242">
        <f t="shared" ref="E4:J4" si="4">SUM(E5:E6)</f>
        <v>229975023.12</v>
      </c>
      <c r="F4" s="242">
        <f t="shared" si="4"/>
        <v>297280395.57000005</v>
      </c>
      <c r="G4" s="242">
        <f t="shared" si="4"/>
        <v>355560347.5</v>
      </c>
      <c r="H4" s="242">
        <f t="shared" si="4"/>
        <v>830928340.20000005</v>
      </c>
      <c r="I4" s="242">
        <f t="shared" si="4"/>
        <v>478857586.48999995</v>
      </c>
      <c r="J4" s="242">
        <f t="shared" si="4"/>
        <v>542407578.17999995</v>
      </c>
      <c r="K4" s="242">
        <f>SUM(K5:K6)</f>
        <v>605957569.87</v>
      </c>
      <c r="L4" s="242">
        <f>SUM(L5:L6)</f>
        <v>667642352.7299999</v>
      </c>
      <c r="M4" s="242">
        <f>SUM(M5:M6)</f>
        <v>765201697.03000009</v>
      </c>
      <c r="N4" s="242">
        <f>SUM(N5:N6)</f>
        <v>765393000</v>
      </c>
      <c r="O4" s="242">
        <f t="shared" ref="O4:AA4" si="5">SUM(O5:O6)</f>
        <v>38570312.350000001</v>
      </c>
      <c r="P4" s="242">
        <f t="shared" si="5"/>
        <v>170139146.85000002</v>
      </c>
      <c r="Q4" s="242">
        <f t="shared" si="5"/>
        <v>219346945.11000001</v>
      </c>
      <c r="R4" s="242">
        <f t="shared" si="5"/>
        <v>267343094.83999997</v>
      </c>
      <c r="S4" s="242">
        <f t="shared" si="5"/>
        <v>328830309.19</v>
      </c>
      <c r="T4" s="242">
        <f t="shared" si="5"/>
        <v>405834866.31999999</v>
      </c>
      <c r="U4" s="242">
        <f t="shared" si="5"/>
        <v>471128051.73999995</v>
      </c>
      <c r="V4" s="242">
        <f t="shared" si="5"/>
        <v>544604178.34000003</v>
      </c>
      <c r="W4" s="242">
        <f t="shared" si="5"/>
        <v>619994475.75</v>
      </c>
      <c r="X4" s="242">
        <f t="shared" si="5"/>
        <v>690746427.5200001</v>
      </c>
      <c r="Y4" s="242">
        <f t="shared" si="5"/>
        <v>777838360.40999997</v>
      </c>
      <c r="Z4" s="242">
        <f t="shared" si="5"/>
        <v>841512766.3499999</v>
      </c>
      <c r="AA4" s="242">
        <f t="shared" si="5"/>
        <v>835521000</v>
      </c>
      <c r="AB4" s="242">
        <f t="shared" ref="AB4:AF4" si="6">SUM(AB5:AB6)</f>
        <v>76670522.530000001</v>
      </c>
      <c r="AC4" s="242">
        <f t="shared" si="6"/>
        <v>154988793.75</v>
      </c>
      <c r="AD4" s="242">
        <f t="shared" si="6"/>
        <v>237743430.51999998</v>
      </c>
      <c r="AE4" s="242">
        <f t="shared" si="6"/>
        <v>317030849.94</v>
      </c>
      <c r="AF4" s="242">
        <f t="shared" si="6"/>
        <v>403190139.25</v>
      </c>
      <c r="AG4" s="242">
        <f t="shared" ref="AG4:AN4" si="7">SUM(AG5:AG6)</f>
        <v>488769805.92000002</v>
      </c>
      <c r="AH4" s="242">
        <f t="shared" si="7"/>
        <v>570656311.35000002</v>
      </c>
      <c r="AI4" s="242">
        <f t="shared" si="7"/>
        <v>654319152.0200001</v>
      </c>
      <c r="AJ4" s="242">
        <f t="shared" si="7"/>
        <v>748101254.17999995</v>
      </c>
      <c r="AK4" s="242">
        <f t="shared" si="7"/>
        <v>840839645.47000003</v>
      </c>
      <c r="AL4" s="242">
        <f t="shared" si="7"/>
        <v>935537773.90999997</v>
      </c>
      <c r="AM4" s="242">
        <f t="shared" si="7"/>
        <v>1033462882.01</v>
      </c>
      <c r="AN4" s="242">
        <f t="shared" si="7"/>
        <v>1026147000</v>
      </c>
    </row>
    <row r="5" spans="1:41">
      <c r="A5" s="261" t="s">
        <v>51</v>
      </c>
      <c r="B5" s="262">
        <v>38601227.369999997</v>
      </c>
      <c r="C5" s="262">
        <v>90310521.340000004</v>
      </c>
      <c r="D5" s="262">
        <v>155311618.28</v>
      </c>
      <c r="E5" s="262">
        <v>207710866.52000001</v>
      </c>
      <c r="F5" s="262">
        <v>270516159.97000003</v>
      </c>
      <c r="G5" s="262">
        <v>325303225.19999999</v>
      </c>
      <c r="H5" s="262">
        <v>765138046.60000002</v>
      </c>
      <c r="I5" s="262">
        <v>442163358.58999997</v>
      </c>
      <c r="J5" s="262">
        <v>503376576.27999997</v>
      </c>
      <c r="K5" s="262">
        <v>564589793.97000003</v>
      </c>
      <c r="L5" s="262">
        <v>623928204.42999995</v>
      </c>
      <c r="M5" s="262">
        <v>718840105.83000004</v>
      </c>
      <c r="N5" s="262">
        <v>715367000</v>
      </c>
      <c r="O5" s="243">
        <v>36935437.75</v>
      </c>
      <c r="P5" s="243">
        <v>166731367.05000001</v>
      </c>
      <c r="Q5" s="243">
        <v>214077738.11000001</v>
      </c>
      <c r="R5" s="243">
        <v>258960483.63999999</v>
      </c>
      <c r="S5" s="243">
        <v>317482334.38999999</v>
      </c>
      <c r="T5" s="243">
        <v>392085721.01999998</v>
      </c>
      <c r="U5" s="243">
        <v>455563441.33999997</v>
      </c>
      <c r="V5" s="243">
        <v>524272039.74000001</v>
      </c>
      <c r="W5" s="243">
        <v>595834314.35000002</v>
      </c>
      <c r="X5" s="243">
        <v>663826196.82000005</v>
      </c>
      <c r="Y5" s="243">
        <v>747561624.90999997</v>
      </c>
      <c r="Z5" s="243">
        <v>808598459.54999995</v>
      </c>
      <c r="AA5" s="263">
        <f>835521*1000-AA6</f>
        <v>803226000</v>
      </c>
      <c r="AB5" s="262">
        <v>74525991.829999998</v>
      </c>
      <c r="AC5" s="262">
        <v>150004071.94999999</v>
      </c>
      <c r="AD5" s="262">
        <v>230636927.81999999</v>
      </c>
      <c r="AE5" s="262">
        <v>306359201.13999999</v>
      </c>
      <c r="AF5" s="262">
        <v>388284136.05000001</v>
      </c>
      <c r="AG5" s="276">
        <v>470469561.81999999</v>
      </c>
      <c r="AH5" s="276">
        <v>549043004.35000002</v>
      </c>
      <c r="AI5" s="276">
        <v>626802615.82000005</v>
      </c>
      <c r="AJ5" s="276">
        <v>714333012.77999997</v>
      </c>
      <c r="AK5" s="276">
        <v>800887802.07000005</v>
      </c>
      <c r="AL5" s="276">
        <v>889259387.30999994</v>
      </c>
      <c r="AM5" s="276">
        <v>982983125.00999999</v>
      </c>
      <c r="AN5" s="277">
        <v>1026147000</v>
      </c>
    </row>
    <row r="6" spans="1:41">
      <c r="A6" s="261" t="s">
        <v>52</v>
      </c>
      <c r="B6" s="262">
        <v>4805328.3</v>
      </c>
      <c r="C6" s="262">
        <v>7351713.5</v>
      </c>
      <c r="D6" s="262">
        <v>17181414.199999999</v>
      </c>
      <c r="E6" s="262">
        <v>22264156.600000001</v>
      </c>
      <c r="F6" s="262">
        <v>26764235.600000001</v>
      </c>
      <c r="G6" s="262">
        <v>30257122.300000001</v>
      </c>
      <c r="H6" s="262">
        <v>65790293.600000001</v>
      </c>
      <c r="I6" s="262">
        <v>36694227.899999999</v>
      </c>
      <c r="J6" s="262">
        <v>39031001.899999999</v>
      </c>
      <c r="K6" s="262">
        <v>41367775.899999999</v>
      </c>
      <c r="L6" s="262">
        <v>43714148.299999997</v>
      </c>
      <c r="M6" s="262">
        <v>46361591.200000003</v>
      </c>
      <c r="N6" s="264">
        <f>46362000+1364000+2300000</f>
        <v>50026000</v>
      </c>
      <c r="O6" s="243">
        <v>1634874.6</v>
      </c>
      <c r="P6" s="243">
        <v>3407779.8</v>
      </c>
      <c r="Q6" s="243">
        <v>5269207</v>
      </c>
      <c r="R6" s="243">
        <v>8382611.2000000002</v>
      </c>
      <c r="S6" s="243">
        <v>11347974.800000001</v>
      </c>
      <c r="T6" s="243">
        <v>13749145.300000001</v>
      </c>
      <c r="U6" s="243">
        <v>15564610.4</v>
      </c>
      <c r="V6" s="243">
        <v>20332138.600000001</v>
      </c>
      <c r="W6" s="243">
        <v>24160161.399999999</v>
      </c>
      <c r="X6" s="243">
        <v>26920230.699999999</v>
      </c>
      <c r="Y6" s="243">
        <v>30276735.5</v>
      </c>
      <c r="Z6" s="243">
        <v>32914306.800000001</v>
      </c>
      <c r="AA6" s="263">
        <f>32295*1000</f>
        <v>32295000</v>
      </c>
      <c r="AB6" s="262">
        <v>2144530.7000000002</v>
      </c>
      <c r="AC6" s="262">
        <v>4984721.8</v>
      </c>
      <c r="AD6" s="262">
        <v>7106502.7000000002</v>
      </c>
      <c r="AE6" s="262">
        <v>10671648.800000001</v>
      </c>
      <c r="AF6" s="262">
        <v>14906003.199999999</v>
      </c>
      <c r="AG6" s="276">
        <v>18300244.100000001</v>
      </c>
      <c r="AH6" s="276">
        <v>21613307</v>
      </c>
      <c r="AI6" s="276">
        <v>27516536.199999999</v>
      </c>
      <c r="AJ6" s="276">
        <v>33768241.399999999</v>
      </c>
      <c r="AK6" s="276">
        <v>39951843.399999999</v>
      </c>
      <c r="AL6" s="276">
        <v>46278386.600000001</v>
      </c>
      <c r="AM6" s="276">
        <v>50479757</v>
      </c>
    </row>
    <row r="7" spans="1:41">
      <c r="A7" s="259" t="s">
        <v>53</v>
      </c>
      <c r="B7" s="242">
        <f t="shared" ref="B7:J7" si="8">SUM(B8:B11)</f>
        <v>8899589.1400000006</v>
      </c>
      <c r="C7" s="242">
        <f t="shared" si="8"/>
        <v>17707756.510000002</v>
      </c>
      <c r="D7" s="242">
        <f t="shared" si="8"/>
        <v>23343240.129999999</v>
      </c>
      <c r="E7" s="242">
        <f t="shared" si="8"/>
        <v>28893744.48</v>
      </c>
      <c r="F7" s="242">
        <f t="shared" si="8"/>
        <v>34730356.5</v>
      </c>
      <c r="G7" s="242">
        <f t="shared" si="8"/>
        <v>51607620.549999997</v>
      </c>
      <c r="H7" s="242">
        <f t="shared" si="8"/>
        <v>122396186.08000001</v>
      </c>
      <c r="I7" s="242">
        <f t="shared" si="8"/>
        <v>68106553.450000003</v>
      </c>
      <c r="J7" s="242">
        <f t="shared" si="8"/>
        <v>77062966.079999983</v>
      </c>
      <c r="K7" s="242">
        <f>SUM(K8:K11)</f>
        <v>86019378.709999993</v>
      </c>
      <c r="L7" s="242">
        <f>SUM(L8:L11)</f>
        <v>92079198.890000001</v>
      </c>
      <c r="M7" s="242">
        <f>SUM(M8:M11)</f>
        <v>120900177.84</v>
      </c>
      <c r="N7" s="242">
        <f>SUM(N8:N11)</f>
        <v>120691000</v>
      </c>
      <c r="O7" s="242">
        <f t="shared" ref="O7:AN7" si="9">SUM(O8:O11)</f>
        <v>9090519.5699999984</v>
      </c>
      <c r="P7" s="242">
        <f t="shared" si="9"/>
        <v>18611233.169999998</v>
      </c>
      <c r="Q7" s="242">
        <f t="shared" si="9"/>
        <v>41277810.559999995</v>
      </c>
      <c r="R7" s="242">
        <f t="shared" si="9"/>
        <v>52074923.280000001</v>
      </c>
      <c r="S7" s="242">
        <f t="shared" si="9"/>
        <v>58721592.879999995</v>
      </c>
      <c r="T7" s="242">
        <f t="shared" si="9"/>
        <v>74883290.099999994</v>
      </c>
      <c r="U7" s="242">
        <f t="shared" si="9"/>
        <v>85717543.290000007</v>
      </c>
      <c r="V7" s="242">
        <f t="shared" si="9"/>
        <v>96516464.199999988</v>
      </c>
      <c r="W7" s="242">
        <f t="shared" si="9"/>
        <v>109973154.17999999</v>
      </c>
      <c r="X7" s="242">
        <f t="shared" si="9"/>
        <v>120074089.92</v>
      </c>
      <c r="Y7" s="242">
        <f t="shared" si="9"/>
        <v>130602411.81</v>
      </c>
      <c r="Z7" s="242">
        <f t="shared" si="9"/>
        <v>147252640.89000002</v>
      </c>
      <c r="AA7" s="242">
        <f t="shared" si="9"/>
        <v>153245000</v>
      </c>
      <c r="AB7" s="242">
        <f t="shared" si="9"/>
        <v>9892974.9900000002</v>
      </c>
      <c r="AC7" s="242">
        <f t="shared" si="9"/>
        <v>27965172.010000002</v>
      </c>
      <c r="AD7" s="242">
        <f t="shared" si="9"/>
        <v>45559790.359999999</v>
      </c>
      <c r="AE7" s="242">
        <f t="shared" si="9"/>
        <v>53706197.560000002</v>
      </c>
      <c r="AF7" s="242">
        <f t="shared" si="9"/>
        <v>62936103.119999997</v>
      </c>
      <c r="AG7" s="242">
        <f t="shared" si="9"/>
        <v>79473861.319999993</v>
      </c>
      <c r="AH7" s="242">
        <f t="shared" si="9"/>
        <v>78016401.399999991</v>
      </c>
      <c r="AI7" s="242">
        <f t="shared" si="9"/>
        <v>88016687.439999998</v>
      </c>
      <c r="AJ7" s="242">
        <f t="shared" si="9"/>
        <v>103307402.72</v>
      </c>
      <c r="AK7" s="242">
        <f t="shared" si="9"/>
        <v>113880577.57000001</v>
      </c>
      <c r="AL7" s="242">
        <f t="shared" si="9"/>
        <v>125452867.95999999</v>
      </c>
      <c r="AM7" s="242">
        <f t="shared" si="9"/>
        <v>141133990.97999999</v>
      </c>
      <c r="AN7" s="242">
        <f t="shared" si="9"/>
        <v>136528000</v>
      </c>
    </row>
    <row r="8" spans="1:41" ht="30.75" customHeight="1">
      <c r="A8" s="261" t="s">
        <v>54</v>
      </c>
      <c r="B8" s="262">
        <v>2624927.4300000002</v>
      </c>
      <c r="C8" s="262">
        <v>5634922.5800000001</v>
      </c>
      <c r="D8" s="262">
        <v>5979263.4800000004</v>
      </c>
      <c r="E8" s="262">
        <v>6014345.5599999996</v>
      </c>
      <c r="F8" s="262">
        <v>6052570.0800000001</v>
      </c>
      <c r="G8" s="262">
        <v>6071437.0300000003</v>
      </c>
      <c r="H8" s="262">
        <v>12235590.279999999</v>
      </c>
      <c r="I8" s="262">
        <v>6150231.6699999999</v>
      </c>
      <c r="J8" s="262">
        <v>6183508.1399999997</v>
      </c>
      <c r="K8" s="262">
        <v>6216784.6100000003</v>
      </c>
      <c r="L8" s="262">
        <v>6267339.8399999999</v>
      </c>
      <c r="M8" s="262">
        <v>12831207.550000001</v>
      </c>
      <c r="N8" s="262" t="s">
        <v>55</v>
      </c>
      <c r="O8" s="243">
        <v>21123.7</v>
      </c>
      <c r="P8" s="243">
        <v>38391.699999999997</v>
      </c>
      <c r="Q8" s="243">
        <v>12141847.550000001</v>
      </c>
      <c r="R8" s="243">
        <v>14383597.33</v>
      </c>
      <c r="S8" s="243">
        <v>14402856.880000001</v>
      </c>
      <c r="T8" s="243">
        <v>14414647.130000001</v>
      </c>
      <c r="U8" s="243">
        <v>14484162.880000001</v>
      </c>
      <c r="V8" s="243">
        <v>14497210.880000001</v>
      </c>
      <c r="W8" s="243">
        <v>14526932.529999999</v>
      </c>
      <c r="X8" s="243">
        <v>14544884.130000001</v>
      </c>
      <c r="Y8" s="243">
        <v>14556828.279999999</v>
      </c>
      <c r="Z8" s="243">
        <v>14565288.529999999</v>
      </c>
      <c r="AB8" s="262">
        <v>0</v>
      </c>
      <c r="AC8" s="262">
        <v>9300509.7699999996</v>
      </c>
      <c r="AD8" s="262">
        <v>13148312.51</v>
      </c>
      <c r="AE8" s="262">
        <v>13550834.060000001</v>
      </c>
      <c r="AF8" s="262">
        <v>13576161.060000001</v>
      </c>
      <c r="AG8" s="276">
        <v>13694747.109999999</v>
      </c>
      <c r="AH8" s="276">
        <v>13730071.41</v>
      </c>
      <c r="AI8" s="276">
        <v>13739094.109999999</v>
      </c>
      <c r="AJ8" s="276">
        <v>16995817.780000001</v>
      </c>
      <c r="AK8" s="276">
        <v>18304375.850000001</v>
      </c>
      <c r="AL8" s="276">
        <v>21629152.5</v>
      </c>
      <c r="AM8" s="276">
        <v>21850104.559999999</v>
      </c>
    </row>
    <row r="9" spans="1:41" ht="30">
      <c r="A9" s="261" t="s">
        <v>56</v>
      </c>
      <c r="B9" s="262">
        <v>6265195.6900000004</v>
      </c>
      <c r="C9" s="262">
        <v>12056687.34</v>
      </c>
      <c r="D9" s="262">
        <v>16131981.060000001</v>
      </c>
      <c r="E9" s="262">
        <v>21021930.91</v>
      </c>
      <c r="F9" s="262">
        <v>25532239.66</v>
      </c>
      <c r="G9" s="262">
        <v>41802226.759999998</v>
      </c>
      <c r="H9" s="262">
        <v>101764542.28</v>
      </c>
      <c r="I9" s="262">
        <v>57663247.82</v>
      </c>
      <c r="J9" s="262">
        <v>66483375.18</v>
      </c>
      <c r="K9" s="262">
        <v>75303502.540000007</v>
      </c>
      <c r="L9" s="262">
        <v>80426525.890000001</v>
      </c>
      <c r="M9" s="262">
        <v>101102813.12</v>
      </c>
      <c r="N9" s="262">
        <v>113934000</v>
      </c>
      <c r="O9" s="243">
        <v>9007367.8699999992</v>
      </c>
      <c r="P9" s="243">
        <v>17905092.469999999</v>
      </c>
      <c r="Q9" s="243">
        <v>27625198.109999999</v>
      </c>
      <c r="R9" s="243">
        <v>33447053.84</v>
      </c>
      <c r="S9" s="243">
        <v>39703030.049999997</v>
      </c>
      <c r="T9" s="243">
        <v>55587243.189999998</v>
      </c>
      <c r="U9" s="243">
        <v>65186353.130000003</v>
      </c>
      <c r="V9" s="243">
        <v>74729121.719999999</v>
      </c>
      <c r="W9" s="243">
        <v>87732121.219999999</v>
      </c>
      <c r="X9" s="243">
        <v>95890161.480000004</v>
      </c>
      <c r="Y9" s="243">
        <v>106259487.48</v>
      </c>
      <c r="Z9" s="243">
        <v>122968659.19</v>
      </c>
      <c r="AA9" s="263">
        <f>137534*1000</f>
        <v>137534000</v>
      </c>
      <c r="AB9" s="262">
        <v>9241872.0500000007</v>
      </c>
      <c r="AC9" s="262">
        <v>17940009.920000002</v>
      </c>
      <c r="AD9" s="262">
        <v>28738515.289999999</v>
      </c>
      <c r="AE9" s="262">
        <v>36236792.130000003</v>
      </c>
      <c r="AF9" s="262">
        <v>44973648.43</v>
      </c>
      <c r="AG9" s="276">
        <v>59797487.170000002</v>
      </c>
      <c r="AH9" s="276">
        <v>58002043.719999999</v>
      </c>
      <c r="AI9" s="276">
        <v>67829838.909999996</v>
      </c>
      <c r="AJ9" s="276">
        <v>78136461.870000005</v>
      </c>
      <c r="AK9" s="276">
        <v>86484164.700000003</v>
      </c>
      <c r="AL9" s="276">
        <v>93748749.609999999</v>
      </c>
      <c r="AM9" s="276">
        <v>109010514.81999999</v>
      </c>
      <c r="AN9" s="278">
        <v>118976000</v>
      </c>
    </row>
    <row r="10" spans="1:41">
      <c r="A10" s="261" t="s">
        <v>57</v>
      </c>
      <c r="B10" s="262">
        <v>0</v>
      </c>
      <c r="C10" s="262">
        <v>0</v>
      </c>
      <c r="D10" s="262">
        <v>234080</v>
      </c>
      <c r="E10" s="262">
        <v>839312.1</v>
      </c>
      <c r="F10" s="262">
        <v>839312.1</v>
      </c>
      <c r="G10" s="262">
        <v>839312.1</v>
      </c>
      <c r="H10" s="262">
        <v>1678624.2</v>
      </c>
      <c r="I10" s="262">
        <v>839312.1</v>
      </c>
      <c r="J10" s="262">
        <v>839312.1</v>
      </c>
      <c r="K10" s="262">
        <v>839312.1</v>
      </c>
      <c r="L10" s="262">
        <v>839312.1</v>
      </c>
      <c r="M10" s="262">
        <v>839312.1</v>
      </c>
      <c r="N10" s="262">
        <v>0</v>
      </c>
      <c r="O10" s="244">
        <v>0</v>
      </c>
      <c r="P10" s="243">
        <v>98743</v>
      </c>
      <c r="Q10" s="243">
        <v>98743</v>
      </c>
      <c r="R10" s="243">
        <v>696939.3</v>
      </c>
      <c r="S10" s="243">
        <v>696939.3</v>
      </c>
      <c r="T10" s="243">
        <v>696939.3</v>
      </c>
      <c r="U10" s="243">
        <v>696939.3</v>
      </c>
      <c r="V10" s="243">
        <v>696939.3</v>
      </c>
      <c r="W10" s="243">
        <v>829863.3</v>
      </c>
      <c r="X10" s="243">
        <v>829863.3</v>
      </c>
      <c r="Y10" s="243">
        <v>829863.3</v>
      </c>
      <c r="Z10" s="243">
        <v>904908.3</v>
      </c>
      <c r="AB10" s="262">
        <v>0</v>
      </c>
      <c r="AC10" s="262">
        <v>0</v>
      </c>
      <c r="AD10" s="262">
        <v>0</v>
      </c>
      <c r="AE10" s="262">
        <v>0</v>
      </c>
      <c r="AF10" s="262">
        <v>159508.79999999999</v>
      </c>
      <c r="AG10" s="276">
        <v>741943.1</v>
      </c>
      <c r="AH10" s="276">
        <v>741943.1</v>
      </c>
      <c r="AI10" s="276">
        <v>741943.1</v>
      </c>
      <c r="AJ10" s="276">
        <v>741943.1</v>
      </c>
      <c r="AK10" s="276">
        <v>741943.1</v>
      </c>
      <c r="AL10" s="276">
        <v>741943.1</v>
      </c>
      <c r="AM10" s="276">
        <v>741943.1</v>
      </c>
    </row>
    <row r="11" spans="1:41" s="266" customFormat="1">
      <c r="A11" s="259" t="s">
        <v>58</v>
      </c>
      <c r="B11" s="260">
        <v>9466.02</v>
      </c>
      <c r="C11" s="260">
        <v>16146.59</v>
      </c>
      <c r="D11" s="260">
        <v>997915.59</v>
      </c>
      <c r="E11" s="260">
        <v>1018155.91</v>
      </c>
      <c r="F11" s="260">
        <v>2306234.66</v>
      </c>
      <c r="G11" s="260">
        <v>2894644.66</v>
      </c>
      <c r="H11" s="260">
        <v>6717429.3200000003</v>
      </c>
      <c r="I11" s="260">
        <v>3453761.86</v>
      </c>
      <c r="J11" s="260">
        <v>3556770.66</v>
      </c>
      <c r="K11" s="260">
        <v>3659779.46</v>
      </c>
      <c r="L11" s="260">
        <v>4546021.0599999996</v>
      </c>
      <c r="M11" s="260">
        <v>6126845.0700000003</v>
      </c>
      <c r="N11" s="260">
        <f>10421000-2300000-1364000</f>
        <v>6757000</v>
      </c>
      <c r="O11" s="245">
        <v>62028</v>
      </c>
      <c r="P11" s="245">
        <v>569006</v>
      </c>
      <c r="Q11" s="245">
        <v>1412021.9</v>
      </c>
      <c r="R11" s="245">
        <v>3547332.81</v>
      </c>
      <c r="S11" s="245">
        <v>3918766.65</v>
      </c>
      <c r="T11" s="245">
        <v>4184460.48</v>
      </c>
      <c r="U11" s="245">
        <v>5350087.9800000004</v>
      </c>
      <c r="V11" s="245">
        <v>6593192.2999999998</v>
      </c>
      <c r="W11" s="245">
        <v>6884237.1299999999</v>
      </c>
      <c r="X11" s="245">
        <v>8809181.0099999998</v>
      </c>
      <c r="Y11" s="245">
        <v>8956232.75</v>
      </c>
      <c r="Z11" s="245">
        <v>8813784.8699999992</v>
      </c>
      <c r="AA11" s="265">
        <f>15711*1000</f>
        <v>15711000</v>
      </c>
      <c r="AB11" s="260">
        <v>651102.93999999994</v>
      </c>
      <c r="AC11" s="260">
        <v>724652.32</v>
      </c>
      <c r="AD11" s="260">
        <v>3672962.56</v>
      </c>
      <c r="AE11" s="260">
        <v>3918571.37</v>
      </c>
      <c r="AF11" s="260">
        <v>4226784.83</v>
      </c>
      <c r="AG11" s="275">
        <v>5239683.9400000004</v>
      </c>
      <c r="AH11" s="275">
        <v>5542343.1699999999</v>
      </c>
      <c r="AI11" s="275">
        <v>5705811.3200000003</v>
      </c>
      <c r="AJ11" s="275">
        <v>7433179.9699999997</v>
      </c>
      <c r="AK11" s="275">
        <v>8350093.9199999999</v>
      </c>
      <c r="AL11" s="275">
        <v>9333022.75</v>
      </c>
      <c r="AM11" s="275">
        <v>9531428.5</v>
      </c>
      <c r="AN11" s="278">
        <v>17552000</v>
      </c>
    </row>
    <row r="12" spans="1:41">
      <c r="A12" s="259" t="s">
        <v>59</v>
      </c>
      <c r="B12" s="242">
        <f t="shared" ref="B12:J12" si="10">SUM(B13:B18)</f>
        <v>35841892.579999998</v>
      </c>
      <c r="C12" s="242">
        <f t="shared" si="10"/>
        <v>70623451.569999993</v>
      </c>
      <c r="D12" s="242">
        <f t="shared" si="10"/>
        <v>111086007.59</v>
      </c>
      <c r="E12" s="242">
        <f t="shared" si="10"/>
        <v>148357103.72999999</v>
      </c>
      <c r="F12" s="242">
        <f t="shared" si="10"/>
        <v>191393027.06</v>
      </c>
      <c r="G12" s="242">
        <f t="shared" si="10"/>
        <v>234927637.75999999</v>
      </c>
      <c r="H12" s="242">
        <f t="shared" si="10"/>
        <v>550984398.81999993</v>
      </c>
      <c r="I12" s="242">
        <f t="shared" si="10"/>
        <v>316190047.31999999</v>
      </c>
      <c r="J12" s="242">
        <f t="shared" si="10"/>
        <v>357506466.48000002</v>
      </c>
      <c r="K12" s="242">
        <f>SUM(K13:K18)</f>
        <v>398822885.63999999</v>
      </c>
      <c r="L12" s="242">
        <f>SUM(L13:L18)</f>
        <v>441293444.30000001</v>
      </c>
      <c r="M12" s="242">
        <f>SUM(M13:M18)</f>
        <v>551809057.07999992</v>
      </c>
      <c r="N12" s="242">
        <f>SUM(N13:N18)</f>
        <v>485441000</v>
      </c>
      <c r="O12" s="242">
        <f t="shared" ref="O12:AN12" si="11">SUM(O13:O18)</f>
        <v>27505628.140000001</v>
      </c>
      <c r="P12" s="242">
        <f t="shared" si="11"/>
        <v>28005866.859999999</v>
      </c>
      <c r="Q12" s="242">
        <f t="shared" si="11"/>
        <v>146739468.03</v>
      </c>
      <c r="R12" s="242">
        <f t="shared" si="11"/>
        <v>180000577.36999997</v>
      </c>
      <c r="S12" s="242">
        <f t="shared" si="11"/>
        <v>218406238.70999998</v>
      </c>
      <c r="T12" s="242">
        <f t="shared" si="11"/>
        <v>246688388.96000001</v>
      </c>
      <c r="U12" s="242">
        <f t="shared" si="11"/>
        <v>285568153.06</v>
      </c>
      <c r="V12" s="242">
        <f t="shared" si="11"/>
        <v>328581110.43000001</v>
      </c>
      <c r="W12" s="242">
        <f t="shared" si="11"/>
        <v>373860241.97000003</v>
      </c>
      <c r="X12" s="242">
        <f t="shared" si="11"/>
        <v>415156767.08000004</v>
      </c>
      <c r="Y12" s="242">
        <f t="shared" si="11"/>
        <v>464899403.37</v>
      </c>
      <c r="Z12" s="242">
        <f t="shared" si="11"/>
        <v>580535814.62</v>
      </c>
      <c r="AA12" s="242">
        <f t="shared" si="11"/>
        <v>531044000</v>
      </c>
      <c r="AB12" s="242">
        <f t="shared" si="11"/>
        <v>41132904.009999998</v>
      </c>
      <c r="AC12" s="242">
        <f t="shared" si="11"/>
        <v>86908925.359999999</v>
      </c>
      <c r="AD12" s="242">
        <f t="shared" si="11"/>
        <v>139239334.28</v>
      </c>
      <c r="AE12" s="242">
        <f t="shared" si="11"/>
        <v>182248001.48999998</v>
      </c>
      <c r="AF12" s="242">
        <f t="shared" si="11"/>
        <v>229144958.03</v>
      </c>
      <c r="AG12" s="242">
        <f t="shared" si="11"/>
        <v>279318775.08999997</v>
      </c>
      <c r="AH12" s="242">
        <f t="shared" si="11"/>
        <v>318914481.77000004</v>
      </c>
      <c r="AI12" s="242">
        <f t="shared" si="11"/>
        <v>364937190.19</v>
      </c>
      <c r="AJ12" s="242">
        <f t="shared" si="11"/>
        <v>418440832.23000002</v>
      </c>
      <c r="AK12" s="242">
        <f t="shared" si="11"/>
        <v>469167373.99000001</v>
      </c>
      <c r="AL12" s="242">
        <f t="shared" si="11"/>
        <v>521299873.04000002</v>
      </c>
      <c r="AM12" s="242">
        <f t="shared" si="11"/>
        <v>725195946.23000002</v>
      </c>
      <c r="AN12" s="242">
        <f t="shared" si="11"/>
        <v>601754000</v>
      </c>
    </row>
    <row r="13" spans="1:41">
      <c r="A13" s="261" t="s">
        <v>60</v>
      </c>
      <c r="B13" s="262">
        <v>35916787.549999997</v>
      </c>
      <c r="C13" s="262">
        <v>70620496.879999995</v>
      </c>
      <c r="D13" s="262">
        <v>111086007.59</v>
      </c>
      <c r="E13" s="262">
        <v>148694128.16999999</v>
      </c>
      <c r="F13" s="262">
        <v>191393027.06</v>
      </c>
      <c r="G13" s="262">
        <v>234491102.75</v>
      </c>
      <c r="H13" s="262">
        <v>549774416.41999996</v>
      </c>
      <c r="I13" s="262">
        <v>315390684.93000001</v>
      </c>
      <c r="J13" s="262">
        <v>356515653.69</v>
      </c>
      <c r="K13" s="262">
        <v>397640622.44999999</v>
      </c>
      <c r="L13" s="262">
        <v>439956382.36000001</v>
      </c>
      <c r="M13" s="262">
        <v>485343088</v>
      </c>
      <c r="N13" s="262">
        <v>485441000</v>
      </c>
      <c r="O13" s="246">
        <v>27335988.890000001</v>
      </c>
      <c r="P13" s="247">
        <v>27692884.710000001</v>
      </c>
      <c r="Q13" s="247">
        <v>146179986.40000001</v>
      </c>
      <c r="R13" s="247">
        <v>179281025.38999999</v>
      </c>
      <c r="S13" s="247">
        <v>217532028.78999999</v>
      </c>
      <c r="T13" s="247">
        <v>245641536.81</v>
      </c>
      <c r="U13" s="247">
        <v>284368249.69</v>
      </c>
      <c r="V13" s="247">
        <v>327208025.00999999</v>
      </c>
      <c r="W13" s="247">
        <v>372355328.85000002</v>
      </c>
      <c r="X13" s="247">
        <v>413490260.85000002</v>
      </c>
      <c r="Y13" s="247">
        <v>463079503.76999998</v>
      </c>
      <c r="Z13" s="247">
        <v>505682021.44999999</v>
      </c>
      <c r="AA13" s="263">
        <f>531044*1000</f>
        <v>531044000</v>
      </c>
      <c r="AB13" s="262">
        <v>41014530.939999998</v>
      </c>
      <c r="AC13" s="262">
        <v>86605494.150000006</v>
      </c>
      <c r="AD13" s="262">
        <v>138728041.55000001</v>
      </c>
      <c r="AE13" s="262">
        <v>181555513.97999999</v>
      </c>
      <c r="AF13" s="262">
        <v>228265983.24000001</v>
      </c>
      <c r="AG13" s="276">
        <v>278252088.00999999</v>
      </c>
      <c r="AH13" s="276">
        <v>317712438.73000002</v>
      </c>
      <c r="AI13" s="276">
        <v>363587411.61000001</v>
      </c>
      <c r="AJ13" s="276">
        <v>416938599.5</v>
      </c>
      <c r="AK13" s="276">
        <v>467513724.06</v>
      </c>
      <c r="AL13" s="276">
        <v>519517076.63</v>
      </c>
      <c r="AM13" s="276">
        <v>575093407.26999998</v>
      </c>
      <c r="AN13" s="277">
        <v>601754000</v>
      </c>
      <c r="AO13" s="279"/>
    </row>
    <row r="14" spans="1:41">
      <c r="A14" s="261" t="s">
        <v>61</v>
      </c>
      <c r="B14" s="262">
        <v>0</v>
      </c>
      <c r="C14" s="262">
        <v>0</v>
      </c>
      <c r="D14" s="262">
        <v>0</v>
      </c>
      <c r="E14" s="262">
        <v>0</v>
      </c>
      <c r="F14" s="262">
        <v>0</v>
      </c>
      <c r="G14" s="262">
        <v>0</v>
      </c>
      <c r="H14" s="262">
        <v>0</v>
      </c>
      <c r="I14" s="262">
        <v>0</v>
      </c>
      <c r="J14" s="262">
        <v>0</v>
      </c>
      <c r="K14" s="262">
        <v>0</v>
      </c>
      <c r="L14" s="262">
        <v>0</v>
      </c>
      <c r="M14" s="262">
        <v>0</v>
      </c>
      <c r="N14" s="262">
        <v>0</v>
      </c>
      <c r="O14" s="248">
        <v>0</v>
      </c>
      <c r="P14" s="249">
        <v>0</v>
      </c>
      <c r="Q14" s="249">
        <v>0</v>
      </c>
      <c r="R14" s="249">
        <v>0</v>
      </c>
      <c r="S14" s="249">
        <v>0</v>
      </c>
      <c r="T14" s="249">
        <v>0</v>
      </c>
      <c r="U14" s="249">
        <v>0</v>
      </c>
      <c r="V14" s="249">
        <v>0</v>
      </c>
      <c r="W14" s="249">
        <v>0</v>
      </c>
      <c r="X14" s="249">
        <v>0</v>
      </c>
      <c r="Y14" s="249">
        <v>0</v>
      </c>
      <c r="Z14" s="249">
        <v>0</v>
      </c>
      <c r="AB14" s="262">
        <v>0</v>
      </c>
      <c r="AC14" s="262">
        <v>0</v>
      </c>
      <c r="AD14" s="262">
        <v>0</v>
      </c>
      <c r="AE14" s="262">
        <v>0</v>
      </c>
      <c r="AF14" s="262">
        <v>0</v>
      </c>
      <c r="AG14" s="276">
        <v>0</v>
      </c>
      <c r="AH14" s="276">
        <v>0</v>
      </c>
      <c r="AI14" s="276">
        <v>0</v>
      </c>
      <c r="AJ14" s="276">
        <v>0</v>
      </c>
      <c r="AK14" s="276">
        <v>0</v>
      </c>
      <c r="AL14" s="276">
        <v>0</v>
      </c>
      <c r="AM14" s="276">
        <v>0</v>
      </c>
    </row>
    <row r="15" spans="1:41">
      <c r="A15" s="261" t="s">
        <v>62</v>
      </c>
      <c r="B15" s="262">
        <v>0</v>
      </c>
      <c r="C15" s="262">
        <v>0</v>
      </c>
      <c r="D15" s="262">
        <v>0</v>
      </c>
      <c r="E15" s="262">
        <v>0</v>
      </c>
      <c r="F15" s="262">
        <v>0</v>
      </c>
      <c r="G15" s="262">
        <v>0</v>
      </c>
      <c r="H15" s="262">
        <v>0</v>
      </c>
      <c r="I15" s="262">
        <v>0</v>
      </c>
      <c r="J15" s="262">
        <v>0</v>
      </c>
      <c r="K15" s="262">
        <v>0</v>
      </c>
      <c r="L15" s="262">
        <v>0</v>
      </c>
      <c r="M15" s="262">
        <v>64912195.399999999</v>
      </c>
      <c r="N15" s="262">
        <v>0</v>
      </c>
      <c r="O15" s="248">
        <v>0</v>
      </c>
      <c r="P15" s="249">
        <v>0</v>
      </c>
      <c r="Q15" s="249">
        <v>0</v>
      </c>
      <c r="R15" s="249">
        <v>0</v>
      </c>
      <c r="S15" s="249">
        <v>0</v>
      </c>
      <c r="T15" s="249">
        <v>0</v>
      </c>
      <c r="U15" s="249">
        <v>0</v>
      </c>
      <c r="V15" s="249">
        <v>0</v>
      </c>
      <c r="W15" s="249">
        <v>0</v>
      </c>
      <c r="X15" s="249">
        <v>0</v>
      </c>
      <c r="Y15" s="249">
        <v>0</v>
      </c>
      <c r="Z15" s="250">
        <v>72861280.5</v>
      </c>
      <c r="AB15" s="262">
        <v>0</v>
      </c>
      <c r="AC15" s="262">
        <v>0</v>
      </c>
      <c r="AD15" s="262">
        <v>0</v>
      </c>
      <c r="AE15" s="262">
        <v>0</v>
      </c>
      <c r="AF15" s="262">
        <v>0</v>
      </c>
      <c r="AG15" s="276">
        <v>0</v>
      </c>
      <c r="AH15" s="276">
        <v>0</v>
      </c>
      <c r="AI15" s="276">
        <v>0</v>
      </c>
      <c r="AJ15" s="276">
        <v>0</v>
      </c>
      <c r="AK15" s="276">
        <v>0</v>
      </c>
      <c r="AL15" s="276">
        <v>0</v>
      </c>
      <c r="AM15" s="276">
        <v>85505289.200000003</v>
      </c>
    </row>
    <row r="16" spans="1:41">
      <c r="A16" s="261" t="s">
        <v>63</v>
      </c>
      <c r="B16" s="262">
        <v>-74894.97</v>
      </c>
      <c r="C16" s="262">
        <v>2954.69</v>
      </c>
      <c r="D16" s="262">
        <v>0</v>
      </c>
      <c r="E16" s="262">
        <v>-337024.44</v>
      </c>
      <c r="F16" s="262">
        <v>0</v>
      </c>
      <c r="G16" s="262">
        <v>436535.01</v>
      </c>
      <c r="H16" s="262">
        <v>1209982.3999999999</v>
      </c>
      <c r="I16" s="262">
        <v>799362.39</v>
      </c>
      <c r="J16" s="262">
        <v>990812.79</v>
      </c>
      <c r="K16" s="262">
        <v>1182263.19</v>
      </c>
      <c r="L16" s="262">
        <v>1337061.94</v>
      </c>
      <c r="M16" s="262">
        <v>1553773.68</v>
      </c>
      <c r="N16" s="262">
        <v>0</v>
      </c>
      <c r="O16" s="251">
        <v>169639.25</v>
      </c>
      <c r="P16" s="250">
        <v>312982.15000000002</v>
      </c>
      <c r="Q16" s="250">
        <v>559481.63</v>
      </c>
      <c r="R16" s="250">
        <v>719551.98</v>
      </c>
      <c r="S16" s="250">
        <v>874209.92</v>
      </c>
      <c r="T16" s="250">
        <v>1046852.15</v>
      </c>
      <c r="U16" s="250">
        <v>1199903.3700000001</v>
      </c>
      <c r="V16" s="250">
        <v>1373085.42</v>
      </c>
      <c r="W16" s="250">
        <v>1504913.12</v>
      </c>
      <c r="X16" s="250">
        <v>1666506.23</v>
      </c>
      <c r="Y16" s="250">
        <v>1819899.6</v>
      </c>
      <c r="Z16" s="250">
        <v>1992512.67</v>
      </c>
      <c r="AB16" s="262">
        <v>118373.07</v>
      </c>
      <c r="AC16" s="262">
        <v>303431.21000000002</v>
      </c>
      <c r="AD16" s="262">
        <v>511292.73</v>
      </c>
      <c r="AE16" s="262">
        <v>692487.51</v>
      </c>
      <c r="AF16" s="262">
        <v>878974.79</v>
      </c>
      <c r="AG16" s="276">
        <v>1066687.08</v>
      </c>
      <c r="AH16" s="276">
        <v>1202043.04</v>
      </c>
      <c r="AI16" s="276">
        <v>1349778.58</v>
      </c>
      <c r="AJ16" s="276">
        <v>1502232.73</v>
      </c>
      <c r="AK16" s="276">
        <v>1653649.93</v>
      </c>
      <c r="AL16" s="276">
        <v>1782796.41</v>
      </c>
      <c r="AM16" s="276">
        <v>1924310.86</v>
      </c>
    </row>
    <row r="17" spans="1:42">
      <c r="A17" s="261" t="s">
        <v>64</v>
      </c>
      <c r="B17" s="262">
        <v>0</v>
      </c>
      <c r="C17" s="262">
        <v>0</v>
      </c>
      <c r="D17" s="262">
        <v>0</v>
      </c>
      <c r="E17" s="262">
        <v>0</v>
      </c>
      <c r="F17" s="262">
        <v>0</v>
      </c>
      <c r="G17" s="262">
        <v>0</v>
      </c>
      <c r="H17" s="262">
        <v>0</v>
      </c>
      <c r="I17" s="262">
        <v>0</v>
      </c>
      <c r="J17" s="262">
        <v>0</v>
      </c>
      <c r="K17" s="262">
        <v>0</v>
      </c>
      <c r="L17" s="262">
        <v>0</v>
      </c>
      <c r="M17" s="262">
        <v>0</v>
      </c>
      <c r="N17" s="262">
        <v>0</v>
      </c>
      <c r="O17" s="248">
        <v>0</v>
      </c>
      <c r="P17" s="249">
        <v>0</v>
      </c>
      <c r="Q17" s="249">
        <v>0</v>
      </c>
      <c r="R17" s="249">
        <v>0</v>
      </c>
      <c r="S17" s="249">
        <v>0</v>
      </c>
      <c r="T17" s="249">
        <v>0</v>
      </c>
      <c r="U17" s="249">
        <v>0</v>
      </c>
      <c r="V17" s="249">
        <v>0</v>
      </c>
      <c r="W17" s="249">
        <v>0</v>
      </c>
      <c r="X17" s="249">
        <v>0</v>
      </c>
      <c r="Y17" s="249">
        <v>0</v>
      </c>
      <c r="Z17" s="249">
        <v>0</v>
      </c>
      <c r="AB17" s="262">
        <v>0</v>
      </c>
      <c r="AC17" s="262">
        <v>0</v>
      </c>
      <c r="AD17" s="262">
        <v>0</v>
      </c>
      <c r="AE17" s="262">
        <v>0</v>
      </c>
      <c r="AF17" s="262">
        <v>0</v>
      </c>
      <c r="AG17" s="276">
        <v>0</v>
      </c>
      <c r="AH17" s="276">
        <v>0</v>
      </c>
      <c r="AI17" s="276">
        <v>0</v>
      </c>
      <c r="AJ17" s="276">
        <v>0</v>
      </c>
      <c r="AK17" s="276">
        <v>0</v>
      </c>
      <c r="AL17" s="276">
        <v>0</v>
      </c>
      <c r="AM17" s="276">
        <v>0</v>
      </c>
    </row>
    <row r="18" spans="1:42">
      <c r="A18" s="261" t="s">
        <v>65</v>
      </c>
      <c r="B18" s="262">
        <v>0</v>
      </c>
      <c r="C18" s="262">
        <v>0</v>
      </c>
      <c r="D18" s="262">
        <v>0</v>
      </c>
      <c r="E18" s="262">
        <v>0</v>
      </c>
      <c r="F18" s="262">
        <v>0</v>
      </c>
      <c r="G18" s="262">
        <v>0</v>
      </c>
      <c r="H18" s="262">
        <v>0</v>
      </c>
      <c r="I18" s="262">
        <v>0</v>
      </c>
      <c r="J18" s="262">
        <v>0</v>
      </c>
      <c r="K18" s="262">
        <v>0</v>
      </c>
      <c r="L18" s="262">
        <v>0</v>
      </c>
      <c r="M18" s="262">
        <v>0</v>
      </c>
      <c r="N18" s="262">
        <v>0</v>
      </c>
      <c r="O18" s="248">
        <v>0</v>
      </c>
      <c r="P18" s="249">
        <v>0</v>
      </c>
      <c r="Q18" s="249">
        <v>0</v>
      </c>
      <c r="R18" s="249">
        <v>0</v>
      </c>
      <c r="S18" s="249">
        <v>0</v>
      </c>
      <c r="T18" s="249">
        <v>0</v>
      </c>
      <c r="U18" s="249">
        <v>0</v>
      </c>
      <c r="V18" s="249">
        <v>0</v>
      </c>
      <c r="W18" s="249">
        <v>0</v>
      </c>
      <c r="X18" s="249">
        <v>0</v>
      </c>
      <c r="Y18" s="249">
        <v>0</v>
      </c>
      <c r="Z18" s="249">
        <v>0</v>
      </c>
      <c r="AB18" s="262">
        <v>0</v>
      </c>
      <c r="AC18" s="262">
        <v>0</v>
      </c>
      <c r="AD18" s="262">
        <v>0</v>
      </c>
      <c r="AE18" s="262">
        <v>0</v>
      </c>
      <c r="AF18" s="262">
        <v>0</v>
      </c>
      <c r="AG18" s="276">
        <v>0</v>
      </c>
      <c r="AH18" s="276">
        <v>0</v>
      </c>
      <c r="AI18" s="276">
        <v>0</v>
      </c>
      <c r="AJ18" s="276">
        <v>0</v>
      </c>
      <c r="AK18" s="276">
        <v>0</v>
      </c>
      <c r="AL18" s="276">
        <v>0</v>
      </c>
      <c r="AM18" s="276">
        <v>62672938.899999999</v>
      </c>
    </row>
    <row r="19" spans="1:42">
      <c r="A19" s="259" t="s">
        <v>66</v>
      </c>
      <c r="B19" s="242">
        <f>B3-B12</f>
        <v>16464252.229999997</v>
      </c>
      <c r="C19" s="242">
        <f>C3-C12</f>
        <v>44746539.780000016</v>
      </c>
      <c r="D19" s="242">
        <f>D3-D12</f>
        <v>84750265.019999981</v>
      </c>
      <c r="E19" s="242">
        <f t="shared" ref="E19:J19" si="12">E3-E12</f>
        <v>110511663.87</v>
      </c>
      <c r="F19" s="242">
        <f t="shared" si="12"/>
        <v>140617725.01000005</v>
      </c>
      <c r="G19" s="242">
        <f t="shared" si="12"/>
        <v>172240330.29000002</v>
      </c>
      <c r="H19" s="242">
        <f t="shared" si="12"/>
        <v>402340127.46000016</v>
      </c>
      <c r="I19" s="242">
        <f t="shared" si="12"/>
        <v>230774092.61999995</v>
      </c>
      <c r="J19" s="242">
        <f t="shared" si="12"/>
        <v>261964077.77999997</v>
      </c>
      <c r="K19" s="242">
        <f>K3-K12</f>
        <v>293154062.94000006</v>
      </c>
      <c r="L19" s="242">
        <f>L3-L12</f>
        <v>318428107.31999987</v>
      </c>
      <c r="M19" s="242">
        <f>M3-M12</f>
        <v>334292817.7900002</v>
      </c>
      <c r="N19" s="242">
        <f>N3-N12</f>
        <v>400643000</v>
      </c>
      <c r="O19" s="242">
        <f t="shared" ref="O19:AA19" si="13">O3-O12</f>
        <v>20155203.780000001</v>
      </c>
      <c r="P19" s="242">
        <f t="shared" si="13"/>
        <v>160744513.16000003</v>
      </c>
      <c r="Q19" s="242">
        <f t="shared" si="13"/>
        <v>113885287.64000002</v>
      </c>
      <c r="R19" s="242">
        <f t="shared" si="13"/>
        <v>139417440.75000003</v>
      </c>
      <c r="S19" s="242">
        <f t="shared" si="13"/>
        <v>169145663.36000001</v>
      </c>
      <c r="T19" s="242">
        <f t="shared" si="13"/>
        <v>234029767.45999995</v>
      </c>
      <c r="U19" s="242">
        <f t="shared" si="13"/>
        <v>271277441.96999997</v>
      </c>
      <c r="V19" s="242">
        <f t="shared" si="13"/>
        <v>312539532.10999995</v>
      </c>
      <c r="W19" s="242">
        <f t="shared" si="13"/>
        <v>356107387.95999992</v>
      </c>
      <c r="X19" s="242">
        <f t="shared" si="13"/>
        <v>395663750.36000001</v>
      </c>
      <c r="Y19" s="242">
        <f t="shared" si="13"/>
        <v>443541368.85000002</v>
      </c>
      <c r="Z19" s="242">
        <f t="shared" si="13"/>
        <v>408229592.61999989</v>
      </c>
      <c r="AA19" s="242">
        <f t="shared" si="13"/>
        <v>457722000</v>
      </c>
      <c r="AB19" s="242">
        <f t="shared" ref="AB19:AF19" si="14">AB3-AB12</f>
        <v>45430593.509999998</v>
      </c>
      <c r="AC19" s="242">
        <f t="shared" si="14"/>
        <v>96045040.399999991</v>
      </c>
      <c r="AD19" s="242">
        <f t="shared" si="14"/>
        <v>144063886.59999999</v>
      </c>
      <c r="AE19" s="242">
        <f t="shared" si="14"/>
        <v>188489046.01000002</v>
      </c>
      <c r="AF19" s="242">
        <f t="shared" si="14"/>
        <v>236981284.34</v>
      </c>
      <c r="AG19" s="242">
        <f t="shared" ref="AG19:AN19" si="15">AG3-AG12</f>
        <v>288924892.15000004</v>
      </c>
      <c r="AH19" s="242">
        <f t="shared" si="15"/>
        <v>329758230.97999996</v>
      </c>
      <c r="AI19" s="242">
        <f t="shared" si="15"/>
        <v>377398649.27000004</v>
      </c>
      <c r="AJ19" s="242">
        <f t="shared" si="15"/>
        <v>432967824.66999996</v>
      </c>
      <c r="AK19" s="242">
        <f t="shared" si="15"/>
        <v>485552849.05000007</v>
      </c>
      <c r="AL19" s="242">
        <f t="shared" si="15"/>
        <v>539690768.82999992</v>
      </c>
      <c r="AM19" s="242">
        <f t="shared" si="15"/>
        <v>449400926.75999999</v>
      </c>
      <c r="AN19" s="242">
        <f t="shared" si="15"/>
        <v>560921000</v>
      </c>
    </row>
    <row r="20" spans="1:42">
      <c r="A20" s="259" t="s">
        <v>67</v>
      </c>
      <c r="B20" s="242">
        <f>B21-B22</f>
        <v>8097355.9000000004</v>
      </c>
      <c r="C20" s="242">
        <f>C21-C22</f>
        <v>8097355.9000000004</v>
      </c>
      <c r="D20" s="242">
        <f>D21-D22</f>
        <v>29963659.199999999</v>
      </c>
      <c r="E20" s="242">
        <f t="shared" ref="E20:J20" si="16">E21-E22</f>
        <v>29963659.199999999</v>
      </c>
      <c r="F20" s="242">
        <f t="shared" si="16"/>
        <v>29963659.199999999</v>
      </c>
      <c r="G20" s="242">
        <f t="shared" si="16"/>
        <v>29963659.199999999</v>
      </c>
      <c r="H20" s="242">
        <f t="shared" si="16"/>
        <v>59927318.399999999</v>
      </c>
      <c r="I20" s="242">
        <f t="shared" si="16"/>
        <v>40471280.399999999</v>
      </c>
      <c r="J20" s="242">
        <f t="shared" si="16"/>
        <v>40471280.399999999</v>
      </c>
      <c r="K20" s="242">
        <f>K21-K22</f>
        <v>40471280.399999999</v>
      </c>
      <c r="L20" s="242">
        <f>L21-L22</f>
        <v>40471280.399999999</v>
      </c>
      <c r="M20" s="242">
        <f>M21-M22</f>
        <v>52963274.700000003</v>
      </c>
      <c r="N20" s="242">
        <f>N21-N22</f>
        <v>52963000</v>
      </c>
      <c r="O20" s="242">
        <f t="shared" ref="O20:AA20" si="17">O21-O22</f>
        <v>85468766.099999994</v>
      </c>
      <c r="P20" s="242">
        <f t="shared" si="17"/>
        <v>208546192.09999999</v>
      </c>
      <c r="Q20" s="242">
        <f t="shared" si="17"/>
        <v>54852479</v>
      </c>
      <c r="R20" s="242">
        <f t="shared" si="17"/>
        <v>61929663.700000003</v>
      </c>
      <c r="S20" s="242">
        <f t="shared" si="17"/>
        <v>69006848.299999997</v>
      </c>
      <c r="T20" s="242">
        <f t="shared" si="17"/>
        <v>69006848.299999997</v>
      </c>
      <c r="U20" s="242">
        <f t="shared" si="17"/>
        <v>74161752.299999997</v>
      </c>
      <c r="V20" s="242">
        <f t="shared" si="17"/>
        <v>86574497.400000006</v>
      </c>
      <c r="W20" s="242">
        <f t="shared" si="17"/>
        <v>86574497.400000006</v>
      </c>
      <c r="X20" s="242">
        <f t="shared" si="17"/>
        <v>101839539.40000001</v>
      </c>
      <c r="Y20" s="242">
        <f t="shared" si="17"/>
        <v>54345968.399999999</v>
      </c>
      <c r="Z20" s="242">
        <f t="shared" si="17"/>
        <v>71978013</v>
      </c>
      <c r="AA20" s="242">
        <f t="shared" si="17"/>
        <v>37999000</v>
      </c>
      <c r="AB20" s="242">
        <f t="shared" ref="AB20:AF20" si="18">AB21-AB22</f>
        <v>32576461.600000001</v>
      </c>
      <c r="AC20" s="242">
        <f t="shared" si="18"/>
        <v>32576461.600000001</v>
      </c>
      <c r="AD20" s="242">
        <f t="shared" si="18"/>
        <v>32576461.600000001</v>
      </c>
      <c r="AE20" s="242">
        <f t="shared" si="18"/>
        <v>32576461.600000001</v>
      </c>
      <c r="AF20" s="242">
        <f t="shared" si="18"/>
        <v>32576461.600000001</v>
      </c>
      <c r="AG20" s="242">
        <f t="shared" ref="AG20:AN20" si="19">AG21-AG22</f>
        <v>32576461.600000001</v>
      </c>
      <c r="AH20" s="242">
        <f t="shared" si="19"/>
        <v>32576461.600000001</v>
      </c>
      <c r="AI20" s="242">
        <f t="shared" si="19"/>
        <v>32576461.600000001</v>
      </c>
      <c r="AJ20" s="242">
        <f t="shared" si="19"/>
        <v>32576461.600000001</v>
      </c>
      <c r="AK20" s="242">
        <f t="shared" si="19"/>
        <v>32576461.600000001</v>
      </c>
      <c r="AL20" s="242">
        <f t="shared" si="19"/>
        <v>32576461.600000001</v>
      </c>
      <c r="AM20" s="242">
        <f t="shared" si="19"/>
        <v>32576461.600000001</v>
      </c>
      <c r="AN20" s="242">
        <f t="shared" si="19"/>
        <v>75680000</v>
      </c>
    </row>
    <row r="21" spans="1:42">
      <c r="A21" s="261" t="s">
        <v>68</v>
      </c>
      <c r="B21" s="262">
        <v>8097355.9000000004</v>
      </c>
      <c r="C21" s="262">
        <v>8097355.9000000004</v>
      </c>
      <c r="D21" s="262">
        <v>29963659.199999999</v>
      </c>
      <c r="E21" s="262">
        <v>29963659.199999999</v>
      </c>
      <c r="F21" s="262">
        <v>29963659.199999999</v>
      </c>
      <c r="G21" s="262">
        <v>29963659.199999999</v>
      </c>
      <c r="H21" s="262">
        <v>59927318.399999999</v>
      </c>
      <c r="I21" s="262">
        <v>40471280.399999999</v>
      </c>
      <c r="J21" s="262">
        <v>40471280.399999999</v>
      </c>
      <c r="K21" s="262">
        <v>40471280.399999999</v>
      </c>
      <c r="L21" s="262">
        <v>40471280.399999999</v>
      </c>
      <c r="M21" s="262">
        <v>52963274.700000003</v>
      </c>
      <c r="N21" s="262">
        <v>52963000</v>
      </c>
      <c r="O21" s="246">
        <v>85468766.099999994</v>
      </c>
      <c r="P21" s="247">
        <v>208546192.09999999</v>
      </c>
      <c r="Q21" s="247">
        <v>54852479</v>
      </c>
      <c r="R21" s="247">
        <v>61929663.700000003</v>
      </c>
      <c r="S21" s="247">
        <v>69006848.299999997</v>
      </c>
      <c r="T21" s="247">
        <v>69006848.299999997</v>
      </c>
      <c r="U21" s="247">
        <v>74161752.299999997</v>
      </c>
      <c r="V21" s="247">
        <v>86574497.400000006</v>
      </c>
      <c r="W21" s="247">
        <v>86574497.400000006</v>
      </c>
      <c r="X21" s="247">
        <v>101839539.40000001</v>
      </c>
      <c r="Y21" s="247">
        <v>54345968.399999999</v>
      </c>
      <c r="Z21" s="247">
        <v>71978013</v>
      </c>
      <c r="AA21" s="263">
        <f>37999*1000</f>
        <v>37999000</v>
      </c>
      <c r="AB21" s="262">
        <v>32576461.600000001</v>
      </c>
      <c r="AC21" s="262">
        <v>32576461.600000001</v>
      </c>
      <c r="AD21" s="262">
        <v>32576461.600000001</v>
      </c>
      <c r="AE21" s="262">
        <v>32576461.600000001</v>
      </c>
      <c r="AF21" s="262">
        <v>32576461.600000001</v>
      </c>
      <c r="AG21" s="276">
        <v>32576461.600000001</v>
      </c>
      <c r="AH21" s="276">
        <v>32576461.600000001</v>
      </c>
      <c r="AI21" s="276">
        <v>32576461.600000001</v>
      </c>
      <c r="AJ21" s="276">
        <v>32576461.600000001</v>
      </c>
      <c r="AK21" s="276">
        <v>32576461.600000001</v>
      </c>
      <c r="AL21" s="276">
        <v>32576461.600000001</v>
      </c>
      <c r="AM21" s="276">
        <v>32576461.600000001</v>
      </c>
      <c r="AN21" s="280">
        <v>75680000</v>
      </c>
    </row>
    <row r="22" spans="1:42" ht="15.6" thickBot="1">
      <c r="A22" s="261" t="s">
        <v>69</v>
      </c>
      <c r="B22" s="262">
        <v>0</v>
      </c>
      <c r="C22" s="262">
        <v>0</v>
      </c>
      <c r="D22" s="262">
        <v>0</v>
      </c>
      <c r="E22" s="262">
        <v>0</v>
      </c>
      <c r="F22" s="262">
        <v>0</v>
      </c>
      <c r="G22" s="262">
        <v>0</v>
      </c>
      <c r="H22" s="262">
        <v>0</v>
      </c>
      <c r="I22" s="262">
        <v>0</v>
      </c>
      <c r="J22" s="262">
        <v>0</v>
      </c>
      <c r="K22" s="262">
        <v>0</v>
      </c>
      <c r="L22" s="262">
        <v>0</v>
      </c>
      <c r="M22" s="262">
        <v>0</v>
      </c>
      <c r="N22" s="262">
        <v>0</v>
      </c>
      <c r="O22" s="248">
        <v>0</v>
      </c>
      <c r="P22" s="249">
        <v>0</v>
      </c>
      <c r="Q22" s="249">
        <v>0</v>
      </c>
      <c r="R22" s="249">
        <v>0</v>
      </c>
      <c r="S22" s="249">
        <v>0</v>
      </c>
      <c r="T22" s="249">
        <v>0</v>
      </c>
      <c r="U22" s="249">
        <v>0</v>
      </c>
      <c r="V22" s="249">
        <v>0</v>
      </c>
      <c r="W22" s="249">
        <v>0</v>
      </c>
      <c r="X22" s="249">
        <v>0</v>
      </c>
      <c r="Y22" s="249">
        <v>0</v>
      </c>
      <c r="Z22" s="249">
        <v>0</v>
      </c>
      <c r="AB22" s="262">
        <v>0</v>
      </c>
      <c r="AC22" s="262">
        <v>0</v>
      </c>
      <c r="AD22" s="262">
        <v>0</v>
      </c>
      <c r="AE22" s="262">
        <v>0</v>
      </c>
      <c r="AF22" s="262">
        <v>0</v>
      </c>
      <c r="AG22" s="276">
        <v>0</v>
      </c>
      <c r="AH22" s="276">
        <v>0</v>
      </c>
      <c r="AI22" s="276">
        <v>0</v>
      </c>
      <c r="AJ22" s="276">
        <v>0</v>
      </c>
      <c r="AK22" s="276">
        <v>0</v>
      </c>
      <c r="AL22" s="276">
        <v>0</v>
      </c>
      <c r="AM22" s="276">
        <v>0</v>
      </c>
      <c r="AN22" s="283"/>
    </row>
    <row r="23" spans="1:42">
      <c r="A23" s="259" t="s">
        <v>70</v>
      </c>
      <c r="B23" s="242">
        <f t="shared" ref="B23:J23" si="20">SUM(B24:B28)</f>
        <v>10962289.879999999</v>
      </c>
      <c r="C23" s="242">
        <f t="shared" si="20"/>
        <v>22677463.779999997</v>
      </c>
      <c r="D23" s="242">
        <f t="shared" si="20"/>
        <v>36524898.970000006</v>
      </c>
      <c r="E23" s="242">
        <f t="shared" si="20"/>
        <v>47354729.18</v>
      </c>
      <c r="F23" s="242">
        <f t="shared" si="20"/>
        <v>58963797.119999997</v>
      </c>
      <c r="G23" s="242">
        <f t="shared" si="20"/>
        <v>70663335.060000002</v>
      </c>
      <c r="H23" s="242">
        <f t="shared" si="20"/>
        <v>168090832.22</v>
      </c>
      <c r="I23" s="242">
        <f t="shared" si="20"/>
        <v>100495858.5</v>
      </c>
      <c r="J23" s="242">
        <f t="shared" si="20"/>
        <v>117645616.35000001</v>
      </c>
      <c r="K23" s="242">
        <f>SUM(K24:K28)</f>
        <v>134795374.19999999</v>
      </c>
      <c r="L23" s="242">
        <f>SUM(L24:L28)</f>
        <v>151906035.41</v>
      </c>
      <c r="M23" s="242">
        <f>SUM(M24:M28)</f>
        <v>191608554.67000002</v>
      </c>
      <c r="N23" s="242">
        <f>SUM(N24:N28)</f>
        <v>185721000</v>
      </c>
      <c r="O23" s="242">
        <f t="shared" ref="O23:AN23" si="21">SUM(O24:O28)</f>
        <v>10846230.969999999</v>
      </c>
      <c r="P23" s="242">
        <f t="shared" si="21"/>
        <v>21982578.369999997</v>
      </c>
      <c r="Q23" s="242">
        <f t="shared" si="21"/>
        <v>37475057.380000003</v>
      </c>
      <c r="R23" s="242">
        <f t="shared" si="21"/>
        <v>48649307.43</v>
      </c>
      <c r="S23" s="242">
        <f t="shared" si="21"/>
        <v>62591798.99000001</v>
      </c>
      <c r="T23" s="242">
        <f t="shared" si="21"/>
        <v>76654683.590000004</v>
      </c>
      <c r="U23" s="242">
        <f t="shared" si="21"/>
        <v>92833082.729999989</v>
      </c>
      <c r="V23" s="242">
        <f t="shared" si="21"/>
        <v>123409558.09999999</v>
      </c>
      <c r="W23" s="242">
        <f t="shared" si="21"/>
        <v>140984036.29000002</v>
      </c>
      <c r="X23" s="242">
        <f t="shared" si="21"/>
        <v>162141307</v>
      </c>
      <c r="Y23" s="242">
        <f t="shared" si="21"/>
        <v>179926438.02000001</v>
      </c>
      <c r="Z23" s="242">
        <f t="shared" si="21"/>
        <v>230712848.37</v>
      </c>
      <c r="AA23" s="242">
        <f t="shared" si="21"/>
        <v>221399000</v>
      </c>
      <c r="AB23" s="242">
        <f t="shared" si="21"/>
        <v>12736721.35</v>
      </c>
      <c r="AC23" s="242">
        <f t="shared" si="21"/>
        <v>27141109.879999995</v>
      </c>
      <c r="AD23" s="242">
        <f t="shared" si="21"/>
        <v>44857402.710000008</v>
      </c>
      <c r="AE23" s="242">
        <f t="shared" si="21"/>
        <v>67367159.489999995</v>
      </c>
      <c r="AF23" s="242">
        <f t="shared" si="21"/>
        <v>88462970.019999996</v>
      </c>
      <c r="AG23" s="242">
        <f t="shared" si="21"/>
        <v>108899250.25999999</v>
      </c>
      <c r="AH23" s="242">
        <f t="shared" si="21"/>
        <v>140312119</v>
      </c>
      <c r="AI23" s="242">
        <f t="shared" si="21"/>
        <v>170552711.63</v>
      </c>
      <c r="AJ23" s="242">
        <f t="shared" si="21"/>
        <v>192600385.26000002</v>
      </c>
      <c r="AK23" s="242">
        <f t="shared" si="21"/>
        <v>214961378.72</v>
      </c>
      <c r="AL23" s="242">
        <f t="shared" si="21"/>
        <v>246657947.75999999</v>
      </c>
      <c r="AM23" s="242">
        <f t="shared" si="21"/>
        <v>305079004.81</v>
      </c>
      <c r="AN23" s="242">
        <f t="shared" si="21"/>
        <v>308034000</v>
      </c>
    </row>
    <row r="24" spans="1:42">
      <c r="A24" s="261" t="s">
        <v>71</v>
      </c>
      <c r="B24" s="262">
        <v>7566742.5</v>
      </c>
      <c r="C24" s="262">
        <v>14935997.6</v>
      </c>
      <c r="D24" s="262">
        <v>22021168.100000001</v>
      </c>
      <c r="E24" s="262">
        <v>28928438.300000001</v>
      </c>
      <c r="F24" s="262">
        <v>35822843.729999997</v>
      </c>
      <c r="G24" s="262">
        <v>42826651.07</v>
      </c>
      <c r="H24" s="262">
        <v>99571304.099999994</v>
      </c>
      <c r="I24" s="262">
        <v>56721001.229999997</v>
      </c>
      <c r="J24" s="262">
        <v>65846904.25</v>
      </c>
      <c r="K24" s="262">
        <v>74972807.269999996</v>
      </c>
      <c r="L24" s="262">
        <v>80565064.219999999</v>
      </c>
      <c r="M24" s="262">
        <v>92315990.769999996</v>
      </c>
      <c r="N24" s="262">
        <v>0</v>
      </c>
      <c r="O24" s="246">
        <v>7367618.5300000003</v>
      </c>
      <c r="P24" s="247">
        <v>14337989.92</v>
      </c>
      <c r="Q24" s="247">
        <v>22608880.68</v>
      </c>
      <c r="R24" s="247">
        <v>30947495.66</v>
      </c>
      <c r="S24" s="247">
        <v>39570440.020000003</v>
      </c>
      <c r="T24" s="247">
        <v>49938207.899999999</v>
      </c>
      <c r="U24" s="247">
        <v>59228699.07</v>
      </c>
      <c r="V24" s="247">
        <v>68272835.340000004</v>
      </c>
      <c r="W24" s="247">
        <v>77528727.969999999</v>
      </c>
      <c r="X24" s="247">
        <v>87012237.730000004</v>
      </c>
      <c r="Y24" s="247">
        <v>97030579.590000004</v>
      </c>
      <c r="Z24" s="247">
        <v>112045635.41</v>
      </c>
      <c r="AA24" s="263">
        <f>112046*1000</f>
        <v>112046000</v>
      </c>
      <c r="AB24" s="262">
        <v>9366631.8699999992</v>
      </c>
      <c r="AC24" s="262">
        <v>17756227.789999999</v>
      </c>
      <c r="AD24" s="262">
        <v>27754893.280000001</v>
      </c>
      <c r="AE24" s="262">
        <v>38553644.829999998</v>
      </c>
      <c r="AF24" s="262">
        <v>48745476.950000003</v>
      </c>
      <c r="AG24" s="276">
        <v>59348841.609999999</v>
      </c>
      <c r="AH24" s="276">
        <v>70833354.329999998</v>
      </c>
      <c r="AI24" s="276">
        <v>81776883.829999998</v>
      </c>
      <c r="AJ24" s="276">
        <v>92977517.290000007</v>
      </c>
      <c r="AK24" s="276">
        <v>103571810.98999999</v>
      </c>
      <c r="AL24" s="276">
        <v>115256002.59999999</v>
      </c>
      <c r="AM24" s="276">
        <v>126591097.68000001</v>
      </c>
      <c r="AN24" s="277">
        <v>127549000</v>
      </c>
      <c r="AO24" s="279"/>
    </row>
    <row r="25" spans="1:42">
      <c r="A25" s="261" t="s">
        <v>72</v>
      </c>
      <c r="B25" s="262">
        <v>657026</v>
      </c>
      <c r="C25" s="262">
        <v>1577277</v>
      </c>
      <c r="D25" s="262">
        <v>2878632</v>
      </c>
      <c r="E25" s="262">
        <v>3216939</v>
      </c>
      <c r="F25" s="262">
        <v>3758126</v>
      </c>
      <c r="G25" s="262">
        <v>4193370</v>
      </c>
      <c r="H25" s="262">
        <v>10603894</v>
      </c>
      <c r="I25" s="262">
        <v>5805233</v>
      </c>
      <c r="J25" s="262">
        <v>6438271</v>
      </c>
      <c r="K25" s="262">
        <v>7071309</v>
      </c>
      <c r="L25" s="262">
        <v>9083546</v>
      </c>
      <c r="M25" s="262">
        <v>18026583.120000001</v>
      </c>
      <c r="N25" s="262">
        <v>23485000</v>
      </c>
      <c r="O25" s="251">
        <v>353040</v>
      </c>
      <c r="P25" s="250">
        <v>732369</v>
      </c>
      <c r="Q25" s="250">
        <v>1419910</v>
      </c>
      <c r="R25" s="250">
        <v>1879860</v>
      </c>
      <c r="S25" s="250">
        <v>2821970</v>
      </c>
      <c r="T25" s="250">
        <v>3314720</v>
      </c>
      <c r="U25" s="250">
        <v>5455800</v>
      </c>
      <c r="V25" s="250">
        <v>7110742</v>
      </c>
      <c r="W25" s="250">
        <v>8035942</v>
      </c>
      <c r="X25" s="250">
        <v>9899777</v>
      </c>
      <c r="Y25" s="250">
        <v>11964612.800000001</v>
      </c>
      <c r="Z25" s="250">
        <v>20903487.379999999</v>
      </c>
      <c r="AA25" s="263">
        <f>7174*1000+16565*1000</f>
        <v>23739000</v>
      </c>
      <c r="AB25" s="262">
        <v>794988</v>
      </c>
      <c r="AC25" s="262">
        <v>1684348</v>
      </c>
      <c r="AD25" s="262">
        <v>3522245.71</v>
      </c>
      <c r="AE25" s="262">
        <v>5066488.05</v>
      </c>
      <c r="AF25" s="262">
        <v>6838060.0499999998</v>
      </c>
      <c r="AG25" s="276">
        <v>7986578.0499999998</v>
      </c>
      <c r="AH25" s="276">
        <v>11181078.050000001</v>
      </c>
      <c r="AI25" s="276">
        <v>12173541.050000001</v>
      </c>
      <c r="AJ25" s="276">
        <v>13636138.050000001</v>
      </c>
      <c r="AK25" s="276">
        <v>15000868.050000001</v>
      </c>
      <c r="AL25" s="276">
        <v>17795519.75</v>
      </c>
      <c r="AM25" s="276">
        <v>45346944.289999999</v>
      </c>
      <c r="AN25" s="277">
        <v>56947000</v>
      </c>
      <c r="AO25" s="279"/>
    </row>
    <row r="26" spans="1:42">
      <c r="A26" s="261" t="s">
        <v>73</v>
      </c>
      <c r="B26" s="262">
        <v>454203.51</v>
      </c>
      <c r="C26" s="262">
        <v>1668843.7</v>
      </c>
      <c r="D26" s="262">
        <v>4520654.62</v>
      </c>
      <c r="E26" s="262">
        <v>5675864.2199999997</v>
      </c>
      <c r="F26" s="262">
        <v>7279396</v>
      </c>
      <c r="G26" s="262">
        <v>9144668.1199999992</v>
      </c>
      <c r="H26" s="262">
        <v>22155181.780000001</v>
      </c>
      <c r="I26" s="262">
        <v>14255655.65</v>
      </c>
      <c r="J26" s="262">
        <v>16281045.4</v>
      </c>
      <c r="K26" s="262">
        <v>18306435.149999999</v>
      </c>
      <c r="L26" s="262">
        <v>19996022.59</v>
      </c>
      <c r="M26" s="262">
        <v>24839927.23</v>
      </c>
      <c r="N26" s="262">
        <v>0</v>
      </c>
      <c r="O26" s="251">
        <v>719413.22</v>
      </c>
      <c r="P26" s="250">
        <v>1369364.96</v>
      </c>
      <c r="Q26" s="250">
        <v>3841872.61</v>
      </c>
      <c r="R26" s="250">
        <v>4524009.09</v>
      </c>
      <c r="S26" s="250">
        <v>5425600.5599999996</v>
      </c>
      <c r="T26" s="250">
        <v>6215024.8200000003</v>
      </c>
      <c r="U26" s="250">
        <v>7576044.75</v>
      </c>
      <c r="V26" s="250">
        <v>8518428.8800000008</v>
      </c>
      <c r="W26" s="250">
        <v>10223944.699999999</v>
      </c>
      <c r="X26" s="250">
        <v>11565979.949999999</v>
      </c>
      <c r="Y26" s="250">
        <v>12553604</v>
      </c>
      <c r="Z26" s="250">
        <v>17104098.120000001</v>
      </c>
      <c r="AB26" s="262">
        <v>65471.67</v>
      </c>
      <c r="AC26" s="262">
        <v>1819877.74</v>
      </c>
      <c r="AD26" s="262">
        <v>3646381.13</v>
      </c>
      <c r="AE26" s="262">
        <v>6416016.5300000003</v>
      </c>
      <c r="AF26" s="262">
        <v>8938656.5500000007</v>
      </c>
      <c r="AG26" s="276">
        <v>11534696.859999999</v>
      </c>
      <c r="AH26" s="276">
        <v>15007593.24</v>
      </c>
      <c r="AI26" s="276">
        <v>19103729.539999999</v>
      </c>
      <c r="AJ26" s="276">
        <v>22804134.850000001</v>
      </c>
      <c r="AK26" s="276">
        <v>27067497.699999999</v>
      </c>
      <c r="AL26" s="276">
        <v>31874854.57</v>
      </c>
      <c r="AM26" s="276">
        <v>39780697.409999996</v>
      </c>
      <c r="AN26" s="280">
        <v>9712000</v>
      </c>
      <c r="AO26" s="280"/>
    </row>
    <row r="27" spans="1:42">
      <c r="A27" s="261" t="s">
        <v>74</v>
      </c>
      <c r="B27" s="262">
        <v>648295.53</v>
      </c>
      <c r="C27" s="262">
        <v>1254723.67</v>
      </c>
      <c r="D27" s="262">
        <v>1927095.05</v>
      </c>
      <c r="E27" s="262">
        <v>2606455.5099999998</v>
      </c>
      <c r="F27" s="262">
        <v>3330662.11</v>
      </c>
      <c r="G27" s="262">
        <v>4031459.24</v>
      </c>
      <c r="H27" s="262">
        <v>9574314.6199999992</v>
      </c>
      <c r="I27" s="262">
        <v>5550797.9000000004</v>
      </c>
      <c r="J27" s="262">
        <v>6289752.7199999997</v>
      </c>
      <c r="K27" s="262">
        <v>7028707.54</v>
      </c>
      <c r="L27" s="262">
        <v>7795826.71</v>
      </c>
      <c r="M27" s="262">
        <v>8725551.0299999993</v>
      </c>
      <c r="N27" s="262">
        <f>5331000+3395000</f>
        <v>8726000</v>
      </c>
      <c r="O27" s="251">
        <v>836153.1</v>
      </c>
      <c r="P27" s="250">
        <v>1508878.25</v>
      </c>
      <c r="Q27" s="250">
        <v>2143157.98</v>
      </c>
      <c r="R27" s="250">
        <v>2757733.57</v>
      </c>
      <c r="S27" s="250">
        <v>3392795.31</v>
      </c>
      <c r="T27" s="250">
        <v>4008163.98</v>
      </c>
      <c r="U27" s="250">
        <v>4667852</v>
      </c>
      <c r="V27" s="250">
        <v>5327459.49</v>
      </c>
      <c r="W27" s="250">
        <v>6018051.5099999998</v>
      </c>
      <c r="X27" s="250">
        <v>6742231.4100000001</v>
      </c>
      <c r="Y27" s="250">
        <v>7450056.5599999996</v>
      </c>
      <c r="Z27" s="250">
        <v>8200619.5999999996</v>
      </c>
      <c r="AA27" s="263">
        <f>1825*1000+7184*1000</f>
        <v>9009000</v>
      </c>
      <c r="AB27" s="262">
        <v>690109.39</v>
      </c>
      <c r="AC27" s="262">
        <v>1357215.63</v>
      </c>
      <c r="AD27" s="262">
        <v>2074815.57</v>
      </c>
      <c r="AE27" s="262">
        <v>3260289.22</v>
      </c>
      <c r="AF27" s="262">
        <v>5381727.4400000004</v>
      </c>
      <c r="AG27" s="276">
        <v>7477764.21</v>
      </c>
      <c r="AH27" s="276">
        <v>9643999.4100000001</v>
      </c>
      <c r="AI27" s="276">
        <v>11809711.58</v>
      </c>
      <c r="AJ27" s="276">
        <v>13915719.08</v>
      </c>
      <c r="AK27" s="276">
        <v>16110519.460000001</v>
      </c>
      <c r="AL27" s="276">
        <v>18231978.32</v>
      </c>
      <c r="AM27" s="276">
        <v>20701432.219999999</v>
      </c>
      <c r="AN27" s="264">
        <v>20702000</v>
      </c>
      <c r="AO27" s="280"/>
      <c r="AP27" s="281"/>
    </row>
    <row r="28" spans="1:42">
      <c r="A28" s="261" t="s">
        <v>75</v>
      </c>
      <c r="B28" s="262">
        <v>1636022.34</v>
      </c>
      <c r="C28" s="262">
        <v>3240621.81</v>
      </c>
      <c r="D28" s="262">
        <v>5177349.2</v>
      </c>
      <c r="E28" s="262">
        <v>6927032.1500000004</v>
      </c>
      <c r="F28" s="262">
        <v>8772769.2799999993</v>
      </c>
      <c r="G28" s="262">
        <v>10467186.630000001</v>
      </c>
      <c r="H28" s="262">
        <v>26186137.719999999</v>
      </c>
      <c r="I28" s="262">
        <v>18163170.719999999</v>
      </c>
      <c r="J28" s="262">
        <v>22789642.98</v>
      </c>
      <c r="K28" s="262">
        <v>27416115.239999998</v>
      </c>
      <c r="L28" s="262">
        <v>34465575.890000001</v>
      </c>
      <c r="M28" s="262">
        <v>47700502.520000003</v>
      </c>
      <c r="N28" s="262">
        <f>162236000-5331000-3395000</f>
        <v>153510000</v>
      </c>
      <c r="O28" s="251">
        <v>1570006.12</v>
      </c>
      <c r="P28" s="250">
        <v>4033976.24</v>
      </c>
      <c r="Q28" s="250">
        <v>7461236.1100000003</v>
      </c>
      <c r="R28" s="250">
        <v>8540209.1099999994</v>
      </c>
      <c r="S28" s="250">
        <v>11380993.1</v>
      </c>
      <c r="T28" s="250">
        <v>13178566.890000001</v>
      </c>
      <c r="U28" s="250">
        <v>15904686.91</v>
      </c>
      <c r="V28" s="250">
        <v>34180092.390000001</v>
      </c>
      <c r="W28" s="250">
        <v>39177370.109999999</v>
      </c>
      <c r="X28" s="250">
        <v>46921080.909999996</v>
      </c>
      <c r="Y28" s="250">
        <v>50927585.07</v>
      </c>
      <c r="Z28" s="250">
        <v>72459007.859999999</v>
      </c>
      <c r="AA28" s="263">
        <f>45208000+40406*1000-AA27</f>
        <v>76605000</v>
      </c>
      <c r="AB28" s="262">
        <v>1819520.42</v>
      </c>
      <c r="AC28" s="262">
        <v>4523440.72</v>
      </c>
      <c r="AD28" s="262">
        <v>7859067.0199999996</v>
      </c>
      <c r="AE28" s="262">
        <v>14070720.859999999</v>
      </c>
      <c r="AF28" s="262">
        <v>18559049.030000001</v>
      </c>
      <c r="AG28" s="276">
        <v>22551369.530000001</v>
      </c>
      <c r="AH28" s="276">
        <v>33646093.969999999</v>
      </c>
      <c r="AI28" s="276">
        <v>45688845.630000003</v>
      </c>
      <c r="AJ28" s="276">
        <v>49266875.990000002</v>
      </c>
      <c r="AK28" s="276">
        <v>53210682.520000003</v>
      </c>
      <c r="AL28" s="276">
        <v>63499592.520000003</v>
      </c>
      <c r="AM28" s="276">
        <v>72658833.209999993</v>
      </c>
      <c r="AN28" s="264">
        <v>93124000</v>
      </c>
      <c r="AO28" s="277"/>
      <c r="AP28" s="279"/>
    </row>
    <row r="29" spans="1:42">
      <c r="A29" s="259" t="s">
        <v>76</v>
      </c>
      <c r="B29" s="242">
        <f>B19-B20-B23</f>
        <v>-2595393.5500000026</v>
      </c>
      <c r="C29" s="242">
        <f>C19-C20-C23</f>
        <v>13971720.10000002</v>
      </c>
      <c r="D29" s="242">
        <f>D19-D20-D23</f>
        <v>18261706.849999972</v>
      </c>
      <c r="E29" s="242">
        <f t="shared" ref="E29:J29" si="22">E19-E20-E23</f>
        <v>33193275.490000002</v>
      </c>
      <c r="F29" s="242">
        <f t="shared" si="22"/>
        <v>51690268.69000005</v>
      </c>
      <c r="G29" s="242">
        <f t="shared" si="22"/>
        <v>71613336.030000031</v>
      </c>
      <c r="H29" s="242">
        <f t="shared" si="22"/>
        <v>174321976.84000018</v>
      </c>
      <c r="I29" s="242">
        <f t="shared" si="22"/>
        <v>89806953.719999939</v>
      </c>
      <c r="J29" s="242">
        <f t="shared" si="22"/>
        <v>103847181.02999996</v>
      </c>
      <c r="K29" s="242">
        <f>K19-K20-K23</f>
        <v>117887408.34000006</v>
      </c>
      <c r="L29" s="242">
        <f>L19-L20-L23</f>
        <v>126050791.5099999</v>
      </c>
      <c r="M29" s="242">
        <f>M19-M20-M23</f>
        <v>89720988.420000196</v>
      </c>
      <c r="N29" s="242">
        <f>N19-N20-N23</f>
        <v>161959000</v>
      </c>
      <c r="O29" s="242">
        <f t="shared" ref="O29:AA29" si="23">O19-O20-O23</f>
        <v>-76159793.289999992</v>
      </c>
      <c r="P29" s="242">
        <f t="shared" si="23"/>
        <v>-69784257.309999973</v>
      </c>
      <c r="Q29" s="242">
        <f t="shared" si="23"/>
        <v>21557751.260000013</v>
      </c>
      <c r="R29" s="242">
        <f t="shared" si="23"/>
        <v>28838469.620000027</v>
      </c>
      <c r="S29" s="242">
        <f t="shared" si="23"/>
        <v>37547016.070000008</v>
      </c>
      <c r="T29" s="242">
        <f t="shared" si="23"/>
        <v>88368235.569999963</v>
      </c>
      <c r="U29" s="242">
        <f t="shared" si="23"/>
        <v>104282606.93999997</v>
      </c>
      <c r="V29" s="242">
        <f t="shared" si="23"/>
        <v>102555476.60999995</v>
      </c>
      <c r="W29" s="242">
        <f t="shared" si="23"/>
        <v>128548854.26999992</v>
      </c>
      <c r="X29" s="242">
        <f t="shared" si="23"/>
        <v>131682903.96000004</v>
      </c>
      <c r="Y29" s="242">
        <f t="shared" si="23"/>
        <v>209268962.43000004</v>
      </c>
      <c r="Z29" s="242">
        <f t="shared" si="23"/>
        <v>105538731.24999988</v>
      </c>
      <c r="AA29" s="242">
        <f t="shared" si="23"/>
        <v>198324000</v>
      </c>
      <c r="AB29" s="242">
        <f t="shared" ref="AB29:AF29" si="24">AB19-AB20-AB23</f>
        <v>117410.5599999968</v>
      </c>
      <c r="AC29" s="242">
        <f t="shared" si="24"/>
        <v>36327468.919999994</v>
      </c>
      <c r="AD29" s="242">
        <f t="shared" si="24"/>
        <v>66630022.289999992</v>
      </c>
      <c r="AE29" s="242">
        <f t="shared" si="24"/>
        <v>88545424.920000032</v>
      </c>
      <c r="AF29" s="242">
        <f t="shared" si="24"/>
        <v>115941852.72000001</v>
      </c>
      <c r="AG29" s="242">
        <f t="shared" ref="AG29:AN29" si="25">AG19-AG20-AG23</f>
        <v>147449180.29000005</v>
      </c>
      <c r="AH29" s="242">
        <f t="shared" si="25"/>
        <v>156869650.37999994</v>
      </c>
      <c r="AI29" s="242">
        <f t="shared" si="25"/>
        <v>174269476.04000002</v>
      </c>
      <c r="AJ29" s="242">
        <f t="shared" si="25"/>
        <v>207790977.80999991</v>
      </c>
      <c r="AK29" s="242">
        <f t="shared" si="25"/>
        <v>238015008.73000005</v>
      </c>
      <c r="AL29" s="242">
        <f t="shared" si="25"/>
        <v>260456359.46999991</v>
      </c>
      <c r="AM29" s="242">
        <f t="shared" si="25"/>
        <v>111745460.34999996</v>
      </c>
      <c r="AN29" s="242">
        <f t="shared" si="25"/>
        <v>177207000</v>
      </c>
      <c r="AO29" s="282"/>
    </row>
    <row r="30" spans="1:42">
      <c r="A30" s="259" t="s">
        <v>77</v>
      </c>
      <c r="B30" s="242">
        <f>B31-B32</f>
        <v>-35280</v>
      </c>
      <c r="C30" s="242">
        <f>C31-C32</f>
        <v>-35280</v>
      </c>
      <c r="D30" s="242">
        <f>D31-D32</f>
        <v>0</v>
      </c>
      <c r="E30" s="242">
        <f t="shared" ref="E30:J30" si="26">E31-E32</f>
        <v>-35280</v>
      </c>
      <c r="F30" s="242">
        <f t="shared" si="26"/>
        <v>-35280</v>
      </c>
      <c r="G30" s="242">
        <f t="shared" si="26"/>
        <v>-35280</v>
      </c>
      <c r="H30" s="242">
        <f t="shared" si="26"/>
        <v>-70560</v>
      </c>
      <c r="I30" s="242">
        <f t="shared" si="26"/>
        <v>-35280</v>
      </c>
      <c r="J30" s="242">
        <f t="shared" si="26"/>
        <v>-35280</v>
      </c>
      <c r="K30" s="242">
        <f>K31-K32</f>
        <v>-35280</v>
      </c>
      <c r="L30" s="242">
        <f>L31-L32</f>
        <v>-35280</v>
      </c>
      <c r="M30" s="242">
        <f>M31-M32</f>
        <v>-35280</v>
      </c>
      <c r="N30" s="242">
        <f>N31-N32</f>
        <v>0</v>
      </c>
      <c r="O30" s="242">
        <f t="shared" ref="O30:AA30" si="27">O31-O32</f>
        <v>-203280</v>
      </c>
      <c r="P30" s="242">
        <f t="shared" si="27"/>
        <v>-203280</v>
      </c>
      <c r="Q30" s="242">
        <f t="shared" si="27"/>
        <v>-203280</v>
      </c>
      <c r="R30" s="242">
        <f t="shared" si="27"/>
        <v>-203280</v>
      </c>
      <c r="S30" s="242">
        <f t="shared" si="27"/>
        <v>-203280</v>
      </c>
      <c r="T30" s="242">
        <f t="shared" si="27"/>
        <v>-203280</v>
      </c>
      <c r="U30" s="242">
        <f t="shared" si="27"/>
        <v>-203280</v>
      </c>
      <c r="V30" s="242">
        <f t="shared" si="27"/>
        <v>-203280</v>
      </c>
      <c r="W30" s="242">
        <f t="shared" si="27"/>
        <v>-203280</v>
      </c>
      <c r="X30" s="242">
        <f t="shared" si="27"/>
        <v>-203280</v>
      </c>
      <c r="Y30" s="242">
        <f t="shared" si="27"/>
        <v>-203280</v>
      </c>
      <c r="Z30" s="242">
        <f t="shared" si="27"/>
        <v>-203280</v>
      </c>
      <c r="AA30" s="242">
        <f t="shared" si="27"/>
        <v>0</v>
      </c>
      <c r="AB30" s="242">
        <f t="shared" ref="AB30:AF30" si="28">AB31-AB32</f>
        <v>0</v>
      </c>
      <c r="AC30" s="242">
        <f t="shared" si="28"/>
        <v>0</v>
      </c>
      <c r="AD30" s="242">
        <f t="shared" si="28"/>
        <v>0</v>
      </c>
      <c r="AE30" s="242">
        <f t="shared" si="28"/>
        <v>0</v>
      </c>
      <c r="AF30" s="242">
        <f t="shared" si="28"/>
        <v>0</v>
      </c>
      <c r="AG30" s="242">
        <f t="shared" ref="AG30:AN30" si="29">AG31-AG32</f>
        <v>0</v>
      </c>
      <c r="AH30" s="242">
        <f t="shared" si="29"/>
        <v>0</v>
      </c>
      <c r="AI30" s="242">
        <f t="shared" si="29"/>
        <v>0</v>
      </c>
      <c r="AJ30" s="242">
        <f t="shared" si="29"/>
        <v>0</v>
      </c>
      <c r="AK30" s="242">
        <f t="shared" si="29"/>
        <v>0</v>
      </c>
      <c r="AL30" s="242">
        <f t="shared" si="29"/>
        <v>0</v>
      </c>
      <c r="AM30" s="242">
        <f t="shared" si="29"/>
        <v>0</v>
      </c>
      <c r="AN30" s="242">
        <f t="shared" si="29"/>
        <v>0</v>
      </c>
    </row>
    <row r="31" spans="1:42">
      <c r="A31" s="261" t="s">
        <v>78</v>
      </c>
      <c r="B31" s="262">
        <v>0</v>
      </c>
      <c r="C31" s="262">
        <v>0</v>
      </c>
      <c r="D31" s="262">
        <v>0</v>
      </c>
      <c r="E31" s="262">
        <v>0</v>
      </c>
      <c r="F31" s="262">
        <v>0</v>
      </c>
      <c r="G31" s="262">
        <v>0</v>
      </c>
      <c r="H31" s="262">
        <v>0</v>
      </c>
      <c r="I31" s="262">
        <v>0</v>
      </c>
      <c r="J31" s="262">
        <v>0</v>
      </c>
      <c r="K31" s="262">
        <v>0</v>
      </c>
      <c r="L31" s="262">
        <v>0</v>
      </c>
      <c r="M31" s="262">
        <v>0</v>
      </c>
      <c r="N31" s="262">
        <v>0</v>
      </c>
      <c r="O31" s="244">
        <v>0</v>
      </c>
      <c r="P31" s="244">
        <v>0</v>
      </c>
      <c r="Q31" s="244">
        <v>0</v>
      </c>
      <c r="R31" s="244">
        <v>0</v>
      </c>
      <c r="S31" s="244">
        <v>0</v>
      </c>
      <c r="T31" s="244">
        <v>0</v>
      </c>
      <c r="U31" s="244">
        <v>0</v>
      </c>
      <c r="V31" s="244">
        <v>0</v>
      </c>
      <c r="W31" s="244">
        <v>0</v>
      </c>
      <c r="X31" s="244">
        <v>0</v>
      </c>
      <c r="Y31" s="244">
        <v>0</v>
      </c>
      <c r="Z31" s="244">
        <v>0</v>
      </c>
      <c r="AB31" s="262">
        <v>0</v>
      </c>
      <c r="AC31" s="262">
        <v>0</v>
      </c>
      <c r="AD31" s="262">
        <v>0</v>
      </c>
      <c r="AE31" s="262">
        <v>0</v>
      </c>
      <c r="AF31" s="262">
        <v>0</v>
      </c>
      <c r="AG31" s="276">
        <v>0</v>
      </c>
      <c r="AH31" s="276">
        <v>0</v>
      </c>
      <c r="AI31" s="276">
        <v>0</v>
      </c>
      <c r="AJ31" s="276">
        <v>0</v>
      </c>
      <c r="AK31" s="276">
        <v>0</v>
      </c>
      <c r="AL31" s="276">
        <v>0</v>
      </c>
      <c r="AM31" s="276">
        <v>0</v>
      </c>
    </row>
    <row r="32" spans="1:42">
      <c r="A32" s="261" t="s">
        <v>79</v>
      </c>
      <c r="B32" s="262">
        <v>35280</v>
      </c>
      <c r="C32" s="262">
        <v>35280</v>
      </c>
      <c r="D32" s="262">
        <v>0</v>
      </c>
      <c r="E32" s="262">
        <v>35280</v>
      </c>
      <c r="F32" s="262">
        <v>35280</v>
      </c>
      <c r="G32" s="262">
        <v>35280</v>
      </c>
      <c r="H32" s="262">
        <v>70560</v>
      </c>
      <c r="I32" s="262">
        <v>35280</v>
      </c>
      <c r="J32" s="262">
        <v>35280</v>
      </c>
      <c r="K32" s="262">
        <v>35280</v>
      </c>
      <c r="L32" s="262">
        <v>35280</v>
      </c>
      <c r="M32" s="262">
        <v>35280</v>
      </c>
      <c r="N32" s="262">
        <v>0</v>
      </c>
      <c r="O32" s="243">
        <v>203280</v>
      </c>
      <c r="P32" s="243">
        <v>203280</v>
      </c>
      <c r="Q32" s="243">
        <v>203280</v>
      </c>
      <c r="R32" s="243">
        <v>203280</v>
      </c>
      <c r="S32" s="243">
        <v>203280</v>
      </c>
      <c r="T32" s="243">
        <v>203280</v>
      </c>
      <c r="U32" s="243">
        <v>203280</v>
      </c>
      <c r="V32" s="243">
        <v>203280</v>
      </c>
      <c r="W32" s="243">
        <v>203280</v>
      </c>
      <c r="X32" s="243">
        <v>203280</v>
      </c>
      <c r="Y32" s="243">
        <v>203280</v>
      </c>
      <c r="Z32" s="243">
        <v>203280</v>
      </c>
      <c r="AB32" s="262">
        <v>0</v>
      </c>
      <c r="AC32" s="262">
        <v>0</v>
      </c>
      <c r="AD32" s="262">
        <v>0</v>
      </c>
      <c r="AE32" s="262">
        <v>0</v>
      </c>
      <c r="AF32" s="262">
        <v>0</v>
      </c>
      <c r="AG32" s="276">
        <v>0</v>
      </c>
      <c r="AH32" s="276">
        <v>0</v>
      </c>
      <c r="AI32" s="276">
        <v>0</v>
      </c>
      <c r="AJ32" s="276">
        <v>0</v>
      </c>
      <c r="AK32" s="276">
        <v>0</v>
      </c>
      <c r="AL32" s="276">
        <v>0</v>
      </c>
      <c r="AM32" s="276">
        <v>0</v>
      </c>
    </row>
    <row r="33" spans="1:40">
      <c r="A33" s="267" t="s">
        <v>80</v>
      </c>
      <c r="B33" s="252">
        <f t="shared" ref="B33:J33" si="30">B29+B30</f>
        <v>-2630673.5500000026</v>
      </c>
      <c r="C33" s="252">
        <f t="shared" si="30"/>
        <v>13936440.10000002</v>
      </c>
      <c r="D33" s="252">
        <f t="shared" si="30"/>
        <v>18261706.849999972</v>
      </c>
      <c r="E33" s="252">
        <f t="shared" si="30"/>
        <v>33157995.490000002</v>
      </c>
      <c r="F33" s="252">
        <f t="shared" si="30"/>
        <v>51654988.69000005</v>
      </c>
      <c r="G33" s="252">
        <f t="shared" si="30"/>
        <v>71578056.030000031</v>
      </c>
      <c r="H33" s="252">
        <f t="shared" si="30"/>
        <v>174251416.84000018</v>
      </c>
      <c r="I33" s="252">
        <f t="shared" si="30"/>
        <v>89771673.719999939</v>
      </c>
      <c r="J33" s="252">
        <f t="shared" si="30"/>
        <v>103811901.02999996</v>
      </c>
      <c r="K33" s="252">
        <f>K29+K30</f>
        <v>117852128.34000006</v>
      </c>
      <c r="L33" s="252">
        <f>L29+L30</f>
        <v>126015511.5099999</v>
      </c>
      <c r="M33" s="252">
        <f>M29+M30</f>
        <v>89685708.420000196</v>
      </c>
      <c r="N33" s="252">
        <f>N29+N30</f>
        <v>161959000</v>
      </c>
      <c r="O33" s="252">
        <f t="shared" ref="O33:AN33" si="31">O29+O30</f>
        <v>-76363073.289999992</v>
      </c>
      <c r="P33" s="252">
        <f t="shared" si="31"/>
        <v>-69987537.309999973</v>
      </c>
      <c r="Q33" s="252">
        <f t="shared" si="31"/>
        <v>21354471.260000013</v>
      </c>
      <c r="R33" s="252">
        <f t="shared" si="31"/>
        <v>28635189.620000027</v>
      </c>
      <c r="S33" s="252">
        <f t="shared" si="31"/>
        <v>37343736.070000008</v>
      </c>
      <c r="T33" s="252">
        <f t="shared" si="31"/>
        <v>88164955.569999963</v>
      </c>
      <c r="U33" s="252">
        <f t="shared" si="31"/>
        <v>104079326.93999997</v>
      </c>
      <c r="V33" s="252">
        <f t="shared" si="31"/>
        <v>102352196.60999995</v>
      </c>
      <c r="W33" s="252">
        <f t="shared" si="31"/>
        <v>128345574.26999992</v>
      </c>
      <c r="X33" s="252">
        <f t="shared" si="31"/>
        <v>131479623.96000004</v>
      </c>
      <c r="Y33" s="252">
        <f t="shared" si="31"/>
        <v>209065682.43000004</v>
      </c>
      <c r="Z33" s="252">
        <f t="shared" si="31"/>
        <v>105335451.24999988</v>
      </c>
      <c r="AA33" s="252">
        <f t="shared" si="31"/>
        <v>198324000</v>
      </c>
      <c r="AB33" s="252">
        <f t="shared" si="31"/>
        <v>117410.5599999968</v>
      </c>
      <c r="AC33" s="252">
        <f t="shared" si="31"/>
        <v>36327468.919999994</v>
      </c>
      <c r="AD33" s="252">
        <f t="shared" si="31"/>
        <v>66630022.289999992</v>
      </c>
      <c r="AE33" s="252">
        <f t="shared" si="31"/>
        <v>88545424.920000032</v>
      </c>
      <c r="AF33" s="252">
        <f t="shared" si="31"/>
        <v>115941852.72000001</v>
      </c>
      <c r="AG33" s="252">
        <f t="shared" si="31"/>
        <v>147449180.29000005</v>
      </c>
      <c r="AH33" s="252">
        <f t="shared" si="31"/>
        <v>156869650.37999994</v>
      </c>
      <c r="AI33" s="252">
        <f t="shared" si="31"/>
        <v>174269476.04000002</v>
      </c>
      <c r="AJ33" s="252">
        <f t="shared" si="31"/>
        <v>207790977.80999991</v>
      </c>
      <c r="AK33" s="252">
        <f t="shared" si="31"/>
        <v>238015008.73000005</v>
      </c>
      <c r="AL33" s="252">
        <f t="shared" si="31"/>
        <v>260456359.46999991</v>
      </c>
      <c r="AM33" s="252">
        <f t="shared" si="31"/>
        <v>111745460.34999996</v>
      </c>
      <c r="AN33" s="252">
        <f t="shared" si="31"/>
        <v>177207000</v>
      </c>
    </row>
    <row r="34" spans="1:40">
      <c r="A34" s="261" t="s">
        <v>81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15983291.9</v>
      </c>
      <c r="N34" s="262">
        <v>0</v>
      </c>
      <c r="O34" s="244">
        <v>0</v>
      </c>
      <c r="P34" s="244">
        <v>0</v>
      </c>
      <c r="Q34" s="244">
        <v>0</v>
      </c>
      <c r="R34" s="244">
        <v>0</v>
      </c>
      <c r="S34" s="244">
        <v>0</v>
      </c>
      <c r="T34" s="244">
        <v>0</v>
      </c>
      <c r="U34" s="244">
        <v>0</v>
      </c>
      <c r="V34" s="244">
        <v>0</v>
      </c>
      <c r="W34" s="244">
        <v>0</v>
      </c>
      <c r="X34" s="244">
        <v>0</v>
      </c>
      <c r="Y34" s="244">
        <v>0</v>
      </c>
      <c r="Z34" s="243">
        <v>22503825.699999999</v>
      </c>
      <c r="AA34" s="244">
        <f>23147*1000</f>
        <v>23147000</v>
      </c>
      <c r="AB34" s="262">
        <v>0</v>
      </c>
      <c r="AC34" s="262">
        <v>0</v>
      </c>
      <c r="AD34" s="262">
        <v>0</v>
      </c>
      <c r="AE34" s="262">
        <v>0</v>
      </c>
      <c r="AF34" s="262">
        <v>0</v>
      </c>
      <c r="AG34" s="276">
        <v>0</v>
      </c>
      <c r="AH34" s="276">
        <v>0</v>
      </c>
      <c r="AI34" s="276">
        <v>0</v>
      </c>
      <c r="AJ34" s="276">
        <v>0</v>
      </c>
      <c r="AK34" s="276">
        <v>0</v>
      </c>
      <c r="AL34" s="276">
        <v>0</v>
      </c>
      <c r="AM34" s="276">
        <v>20982677.100000001</v>
      </c>
    </row>
    <row r="35" spans="1:40" ht="30">
      <c r="A35" s="259" t="s">
        <v>82</v>
      </c>
      <c r="B35" s="242">
        <f>B33-B34</f>
        <v>-2630673.5500000026</v>
      </c>
      <c r="C35" s="242">
        <f>C33-C34</f>
        <v>13936440.10000002</v>
      </c>
      <c r="D35" s="242">
        <f>D33-D34</f>
        <v>18261706.849999972</v>
      </c>
      <c r="E35" s="242">
        <f t="shared" ref="E35:J35" si="32">E33-E34</f>
        <v>33157995.490000002</v>
      </c>
      <c r="F35" s="242">
        <f t="shared" si="32"/>
        <v>51654988.69000005</v>
      </c>
      <c r="G35" s="242">
        <f t="shared" si="32"/>
        <v>71578056.030000031</v>
      </c>
      <c r="H35" s="242">
        <f t="shared" si="32"/>
        <v>174251416.84000018</v>
      </c>
      <c r="I35" s="242">
        <f t="shared" si="32"/>
        <v>89771673.719999939</v>
      </c>
      <c r="J35" s="242">
        <f t="shared" si="32"/>
        <v>103811901.02999996</v>
      </c>
      <c r="K35" s="242">
        <f>K33-K34</f>
        <v>117852128.34000006</v>
      </c>
      <c r="L35" s="242">
        <f>L33-L34</f>
        <v>126015511.5099999</v>
      </c>
      <c r="M35" s="242">
        <f>M33-M34</f>
        <v>73702416.52000019</v>
      </c>
      <c r="N35" s="242">
        <f>N33-N34</f>
        <v>161959000</v>
      </c>
      <c r="O35" s="242">
        <f t="shared" ref="O35:AN35" si="33">O33-O34</f>
        <v>-76363073.289999992</v>
      </c>
      <c r="P35" s="242">
        <f t="shared" si="33"/>
        <v>-69987537.309999973</v>
      </c>
      <c r="Q35" s="242">
        <f t="shared" si="33"/>
        <v>21354471.260000013</v>
      </c>
      <c r="R35" s="242">
        <f t="shared" si="33"/>
        <v>28635189.620000027</v>
      </c>
      <c r="S35" s="242">
        <f t="shared" si="33"/>
        <v>37343736.070000008</v>
      </c>
      <c r="T35" s="242">
        <f t="shared" si="33"/>
        <v>88164955.569999963</v>
      </c>
      <c r="U35" s="242">
        <f t="shared" si="33"/>
        <v>104079326.93999997</v>
      </c>
      <c r="V35" s="242">
        <f t="shared" si="33"/>
        <v>102352196.60999995</v>
      </c>
      <c r="W35" s="242">
        <f t="shared" si="33"/>
        <v>128345574.26999992</v>
      </c>
      <c r="X35" s="242">
        <f t="shared" si="33"/>
        <v>131479623.96000004</v>
      </c>
      <c r="Y35" s="242">
        <f t="shared" si="33"/>
        <v>209065682.43000004</v>
      </c>
      <c r="Z35" s="242">
        <f t="shared" si="33"/>
        <v>82831625.549999878</v>
      </c>
      <c r="AA35" s="242">
        <f t="shared" si="33"/>
        <v>175177000</v>
      </c>
      <c r="AB35" s="242">
        <f t="shared" si="33"/>
        <v>117410.5599999968</v>
      </c>
      <c r="AC35" s="242">
        <f t="shared" si="33"/>
        <v>36327468.919999994</v>
      </c>
      <c r="AD35" s="242">
        <f t="shared" si="33"/>
        <v>66630022.289999992</v>
      </c>
      <c r="AE35" s="242">
        <f t="shared" si="33"/>
        <v>88545424.920000032</v>
      </c>
      <c r="AF35" s="242">
        <f t="shared" si="33"/>
        <v>115941852.72000001</v>
      </c>
      <c r="AG35" s="242">
        <f t="shared" si="33"/>
        <v>147449180.29000005</v>
      </c>
      <c r="AH35" s="242">
        <f t="shared" si="33"/>
        <v>156869650.37999994</v>
      </c>
      <c r="AI35" s="242">
        <f t="shared" si="33"/>
        <v>174269476.04000002</v>
      </c>
      <c r="AJ35" s="242">
        <f t="shared" si="33"/>
        <v>207790977.80999991</v>
      </c>
      <c r="AK35" s="242">
        <f t="shared" si="33"/>
        <v>238015008.73000005</v>
      </c>
      <c r="AL35" s="242">
        <f t="shared" si="33"/>
        <v>260456359.46999991</v>
      </c>
      <c r="AM35" s="242">
        <f t="shared" si="33"/>
        <v>90762783.24999997</v>
      </c>
      <c r="AN35" s="242">
        <f t="shared" si="33"/>
        <v>177207000</v>
      </c>
    </row>
    <row r="36" spans="1:40">
      <c r="A36" s="261" t="s">
        <v>83</v>
      </c>
      <c r="B36" s="262">
        <v>0</v>
      </c>
      <c r="C36" s="262">
        <v>0</v>
      </c>
      <c r="D36" s="262">
        <v>0</v>
      </c>
      <c r="E36" s="262">
        <v>300000</v>
      </c>
      <c r="F36" s="262">
        <v>300000</v>
      </c>
      <c r="G36" s="262">
        <v>304560</v>
      </c>
      <c r="H36" s="262">
        <v>609120</v>
      </c>
      <c r="I36" s="262">
        <v>304560</v>
      </c>
      <c r="J36" s="262">
        <v>304560</v>
      </c>
      <c r="K36" s="262">
        <v>304560</v>
      </c>
      <c r="L36" s="262">
        <v>-304560</v>
      </c>
      <c r="M36" s="262">
        <v>-304560</v>
      </c>
      <c r="N36" s="262">
        <v>15736000</v>
      </c>
      <c r="AB36" s="262">
        <v>-200000</v>
      </c>
      <c r="AC36" s="262">
        <v>-200000</v>
      </c>
      <c r="AD36" s="262">
        <v>-200000</v>
      </c>
      <c r="AE36" s="262">
        <v>-200000</v>
      </c>
      <c r="AF36" s="262">
        <v>-200000</v>
      </c>
      <c r="AG36" s="276">
        <v>-200000</v>
      </c>
      <c r="AH36" s="276">
        <v>-200000</v>
      </c>
      <c r="AI36" s="276">
        <v>-200000</v>
      </c>
      <c r="AJ36" s="276">
        <v>-200000</v>
      </c>
      <c r="AK36" s="276">
        <v>-200000</v>
      </c>
      <c r="AL36" s="276">
        <v>-200000</v>
      </c>
      <c r="AM36" s="276">
        <v>-201210</v>
      </c>
    </row>
    <row r="37" spans="1:40">
      <c r="A37" s="259" t="s">
        <v>84</v>
      </c>
      <c r="B37" s="242">
        <f>B35-B36</f>
        <v>-2630673.5500000026</v>
      </c>
      <c r="C37" s="242">
        <f>C35-C36</f>
        <v>13936440.10000002</v>
      </c>
      <c r="D37" s="242">
        <f>D35-D36</f>
        <v>18261706.849999972</v>
      </c>
      <c r="E37" s="242">
        <f t="shared" ref="E37:J37" si="34">E35-E36</f>
        <v>32857995.490000002</v>
      </c>
      <c r="F37" s="242">
        <f t="shared" si="34"/>
        <v>51354988.69000005</v>
      </c>
      <c r="G37" s="242">
        <f t="shared" si="34"/>
        <v>71273496.030000031</v>
      </c>
      <c r="H37" s="242">
        <f t="shared" si="34"/>
        <v>173642296.84000018</v>
      </c>
      <c r="I37" s="242">
        <f t="shared" si="34"/>
        <v>89467113.719999939</v>
      </c>
      <c r="J37" s="242">
        <f t="shared" si="34"/>
        <v>103507341.02999996</v>
      </c>
      <c r="K37" s="242">
        <f>K35-K36</f>
        <v>117547568.34000006</v>
      </c>
      <c r="L37" s="242">
        <f>L35-L36</f>
        <v>126320071.5099999</v>
      </c>
      <c r="M37" s="242">
        <f>M35-M36</f>
        <v>74006976.52000019</v>
      </c>
      <c r="N37" s="242">
        <f>N35-N36</f>
        <v>146223000</v>
      </c>
      <c r="O37" s="242">
        <f t="shared" ref="O37:AN37" si="35">O35-O36</f>
        <v>-76363073.289999992</v>
      </c>
      <c r="P37" s="242">
        <f t="shared" si="35"/>
        <v>-69987537.309999973</v>
      </c>
      <c r="Q37" s="242">
        <f t="shared" si="35"/>
        <v>21354471.260000013</v>
      </c>
      <c r="R37" s="242">
        <f t="shared" si="35"/>
        <v>28635189.620000027</v>
      </c>
      <c r="S37" s="242">
        <f t="shared" si="35"/>
        <v>37343736.070000008</v>
      </c>
      <c r="T37" s="242">
        <f t="shared" si="35"/>
        <v>88164955.569999963</v>
      </c>
      <c r="U37" s="242">
        <f t="shared" si="35"/>
        <v>104079326.93999997</v>
      </c>
      <c r="V37" s="242">
        <f t="shared" si="35"/>
        <v>102352196.60999995</v>
      </c>
      <c r="W37" s="242">
        <f t="shared" si="35"/>
        <v>128345574.26999992</v>
      </c>
      <c r="X37" s="242">
        <f t="shared" si="35"/>
        <v>131479623.96000004</v>
      </c>
      <c r="Y37" s="242">
        <f t="shared" si="35"/>
        <v>209065682.43000004</v>
      </c>
      <c r="Z37" s="242">
        <f t="shared" si="35"/>
        <v>82831625.549999878</v>
      </c>
      <c r="AA37" s="242">
        <f t="shared" si="35"/>
        <v>175177000</v>
      </c>
      <c r="AB37" s="242">
        <f t="shared" si="35"/>
        <v>317410.5599999968</v>
      </c>
      <c r="AC37" s="242">
        <f t="shared" si="35"/>
        <v>36527468.919999994</v>
      </c>
      <c r="AD37" s="242">
        <f t="shared" si="35"/>
        <v>66830022.289999992</v>
      </c>
      <c r="AE37" s="242">
        <f t="shared" si="35"/>
        <v>88745424.920000032</v>
      </c>
      <c r="AF37" s="242">
        <f t="shared" si="35"/>
        <v>116141852.72000001</v>
      </c>
      <c r="AG37" s="242">
        <f t="shared" si="35"/>
        <v>147649180.29000005</v>
      </c>
      <c r="AH37" s="242">
        <f t="shared" si="35"/>
        <v>157069650.37999994</v>
      </c>
      <c r="AI37" s="242">
        <f t="shared" si="35"/>
        <v>174469476.04000002</v>
      </c>
      <c r="AJ37" s="242">
        <f t="shared" si="35"/>
        <v>207990977.80999991</v>
      </c>
      <c r="AK37" s="242">
        <f t="shared" si="35"/>
        <v>238215008.73000005</v>
      </c>
      <c r="AL37" s="242">
        <f t="shared" si="35"/>
        <v>260656359.46999991</v>
      </c>
      <c r="AM37" s="242">
        <f t="shared" si="35"/>
        <v>90963993.24999997</v>
      </c>
      <c r="AN37" s="242">
        <f t="shared" si="35"/>
        <v>177207000</v>
      </c>
    </row>
    <row r="38" spans="1:40"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</row>
    <row r="39" spans="1:40">
      <c r="A39" s="244" t="s">
        <v>85</v>
      </c>
      <c r="B39" s="253">
        <f t="shared" ref="B39:J39" si="36">B12+B23</f>
        <v>46804182.459999993</v>
      </c>
      <c r="C39" s="253">
        <f t="shared" si="36"/>
        <v>93300915.349999994</v>
      </c>
      <c r="D39" s="253">
        <f t="shared" si="36"/>
        <v>147610906.56</v>
      </c>
      <c r="E39" s="253">
        <f t="shared" si="36"/>
        <v>195711832.91</v>
      </c>
      <c r="F39" s="253">
        <f t="shared" si="36"/>
        <v>250356824.18000001</v>
      </c>
      <c r="G39" s="253">
        <f t="shared" si="36"/>
        <v>305590972.81999999</v>
      </c>
      <c r="H39" s="253">
        <f t="shared" si="36"/>
        <v>719075231.03999996</v>
      </c>
      <c r="I39" s="253">
        <f t="shared" si="36"/>
        <v>416685905.81999999</v>
      </c>
      <c r="J39" s="253">
        <f t="shared" si="36"/>
        <v>475152082.83000004</v>
      </c>
      <c r="K39" s="253">
        <f>K12+K23</f>
        <v>533618259.83999997</v>
      </c>
      <c r="L39" s="253">
        <f>L12+L23</f>
        <v>593199479.71000004</v>
      </c>
      <c r="M39" s="253">
        <f>M12+M23</f>
        <v>743417611.75</v>
      </c>
      <c r="N39" s="253">
        <f>N12+N23</f>
        <v>671162000</v>
      </c>
      <c r="O39" s="253">
        <f t="shared" ref="O39:AF39" si="37">O12+O23</f>
        <v>38351859.109999999</v>
      </c>
      <c r="P39" s="253">
        <f t="shared" si="37"/>
        <v>49988445.229999997</v>
      </c>
      <c r="Q39" s="253">
        <f t="shared" si="37"/>
        <v>184214525.41</v>
      </c>
      <c r="R39" s="253">
        <f t="shared" si="37"/>
        <v>228649884.79999998</v>
      </c>
      <c r="S39" s="253">
        <f t="shared" si="37"/>
        <v>280998037.69999999</v>
      </c>
      <c r="T39" s="253">
        <f t="shared" si="37"/>
        <v>323343072.55000001</v>
      </c>
      <c r="U39" s="253">
        <f t="shared" si="37"/>
        <v>378401235.78999996</v>
      </c>
      <c r="V39" s="253">
        <f t="shared" si="37"/>
        <v>451990668.52999997</v>
      </c>
      <c r="W39" s="253">
        <f t="shared" si="37"/>
        <v>514844278.26000005</v>
      </c>
      <c r="X39" s="253">
        <f t="shared" si="37"/>
        <v>577298074.08000004</v>
      </c>
      <c r="Y39" s="253">
        <f t="shared" si="37"/>
        <v>644825841.38999999</v>
      </c>
      <c r="Z39" s="253">
        <f t="shared" si="37"/>
        <v>811248662.99000001</v>
      </c>
      <c r="AA39" s="253">
        <f t="shared" si="37"/>
        <v>752443000</v>
      </c>
      <c r="AB39" s="253">
        <f t="shared" si="37"/>
        <v>53869625.359999999</v>
      </c>
      <c r="AC39" s="253">
        <f t="shared" si="37"/>
        <v>114050035.23999999</v>
      </c>
      <c r="AD39" s="253">
        <f t="shared" si="37"/>
        <v>184096736.99000001</v>
      </c>
      <c r="AE39" s="253">
        <f t="shared" si="37"/>
        <v>249615160.97999996</v>
      </c>
      <c r="AF39" s="253">
        <f t="shared" si="37"/>
        <v>317607928.05000001</v>
      </c>
    </row>
  </sheetData>
  <phoneticPr fontId="2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8"/>
  <sheetViews>
    <sheetView topLeftCell="A34" workbookViewId="0">
      <selection activeCell="D52" sqref="D52"/>
    </sheetView>
  </sheetViews>
  <sheetFormatPr defaultColWidth="8.85546875" defaultRowHeight="14.1"/>
  <cols>
    <col min="1" max="1" width="8.85546875" style="114"/>
    <col min="2" max="2" width="19.42578125" style="114" customWidth="1"/>
    <col min="3" max="3" width="10.42578125" style="114" bestFit="1" customWidth="1"/>
    <col min="4" max="4" width="19.42578125" style="114" customWidth="1"/>
    <col min="5" max="5" width="15.42578125" style="114" bestFit="1" customWidth="1"/>
    <col min="6" max="6" width="16.5703125" style="114" customWidth="1"/>
    <col min="7" max="7" width="16.42578125" style="114" bestFit="1" customWidth="1"/>
    <col min="8" max="8" width="15.42578125" style="114" bestFit="1" customWidth="1"/>
    <col min="9" max="9" width="18" style="114" bestFit="1" customWidth="1"/>
    <col min="10" max="16384" width="8.85546875" style="114"/>
  </cols>
  <sheetData>
    <row r="2" spans="2:6" ht="15">
      <c r="D2" s="121">
        <v>43891</v>
      </c>
    </row>
    <row r="3" spans="2:6" ht="42">
      <c r="B3" s="115" t="s">
        <v>86</v>
      </c>
      <c r="C3" s="115" t="s">
        <v>87</v>
      </c>
      <c r="D3" s="115" t="s">
        <v>88</v>
      </c>
      <c r="E3" s="115" t="s">
        <v>89</v>
      </c>
      <c r="F3" s="115" t="s">
        <v>90</v>
      </c>
    </row>
    <row r="4" spans="2:6">
      <c r="B4" s="116" t="s">
        <v>91</v>
      </c>
      <c r="C4" s="216">
        <v>11812</v>
      </c>
      <c r="D4" s="216">
        <v>7652629874.6000004</v>
      </c>
      <c r="E4" s="120">
        <v>0.01</v>
      </c>
      <c r="F4" s="117">
        <f>D4*E4</f>
        <v>76526298.746000007</v>
      </c>
    </row>
    <row r="5" spans="2:6">
      <c r="B5" s="116" t="s">
        <v>92</v>
      </c>
      <c r="C5" s="216">
        <v>3404</v>
      </c>
      <c r="D5" s="216">
        <v>2188065979.1999998</v>
      </c>
      <c r="E5" s="120">
        <v>0.05</v>
      </c>
      <c r="F5" s="117">
        <f>D5*E5</f>
        <v>109403298.95999999</v>
      </c>
    </row>
    <row r="6" spans="2:6">
      <c r="B6" s="116" t="s">
        <v>93</v>
      </c>
      <c r="C6" s="216">
        <v>1506</v>
      </c>
      <c r="D6" s="216">
        <v>682590438.96000004</v>
      </c>
      <c r="E6" s="120">
        <v>0.25</v>
      </c>
      <c r="F6" s="117">
        <f>D6*E6</f>
        <v>170647609.74000001</v>
      </c>
    </row>
    <row r="7" spans="2:6">
      <c r="B7" s="116" t="s">
        <v>94</v>
      </c>
      <c r="C7" s="216">
        <v>508</v>
      </c>
      <c r="D7" s="216">
        <v>140398150.94</v>
      </c>
      <c r="E7" s="120">
        <v>0.5</v>
      </c>
      <c r="F7" s="117">
        <f>D7*E7</f>
        <v>70199075.469999999</v>
      </c>
    </row>
    <row r="8" spans="2:6">
      <c r="B8" s="116" t="s">
        <v>95</v>
      </c>
      <c r="C8" s="216">
        <v>1206</v>
      </c>
      <c r="D8" s="216">
        <v>132616745.26000001</v>
      </c>
      <c r="E8" s="120">
        <v>1</v>
      </c>
      <c r="F8" s="117">
        <f>D8*E8</f>
        <v>132616745.26000001</v>
      </c>
    </row>
    <row r="9" spans="2:6">
      <c r="B9" s="118" t="s">
        <v>96</v>
      </c>
      <c r="C9" s="117">
        <f>SUM(C4:C8)</f>
        <v>18436</v>
      </c>
      <c r="D9" s="117">
        <f>SUM(D4:D8)</f>
        <v>10796301188.959999</v>
      </c>
      <c r="E9" s="117">
        <v>1.81</v>
      </c>
      <c r="F9" s="117">
        <f>SUM(F4:F8)</f>
        <v>559393028.176</v>
      </c>
    </row>
    <row r="10" spans="2:6">
      <c r="C10" s="119" t="s">
        <v>97</v>
      </c>
      <c r="D10" s="119">
        <f>SUM(D6:D8)</f>
        <v>955605335.16000009</v>
      </c>
    </row>
    <row r="11" spans="2:6">
      <c r="C11" s="114" t="s">
        <v>98</v>
      </c>
      <c r="D11" s="178">
        <f>D10/D9</f>
        <v>8.8512289388256032E-2</v>
      </c>
    </row>
    <row r="14" spans="2:6" ht="15">
      <c r="D14" s="121">
        <v>43983</v>
      </c>
    </row>
    <row r="15" spans="2:6" ht="42">
      <c r="B15" s="115" t="s">
        <v>86</v>
      </c>
      <c r="C15" s="115" t="s">
        <v>87</v>
      </c>
      <c r="D15" s="115" t="s">
        <v>88</v>
      </c>
      <c r="E15" s="115" t="s">
        <v>89</v>
      </c>
      <c r="F15" s="115" t="s">
        <v>90</v>
      </c>
    </row>
    <row r="16" spans="2:6">
      <c r="B16" s="116" t="s">
        <v>91</v>
      </c>
      <c r="C16" s="122">
        <v>5661</v>
      </c>
      <c r="D16" s="216">
        <v>3509113103.4000001</v>
      </c>
      <c r="E16" s="120">
        <v>0.01</v>
      </c>
      <c r="F16" s="117">
        <f>D16*E16</f>
        <v>35091131.034000002</v>
      </c>
    </row>
    <row r="17" spans="2:8">
      <c r="B17" s="116" t="s">
        <v>92</v>
      </c>
      <c r="C17" s="122">
        <v>1712</v>
      </c>
      <c r="D17" s="216">
        <v>1151488207.3</v>
      </c>
      <c r="E17" s="120">
        <v>0.05</v>
      </c>
      <c r="F17" s="117">
        <f>D17*E17</f>
        <v>57574410.365000002</v>
      </c>
      <c r="H17" s="216">
        <v>11812</v>
      </c>
    </row>
    <row r="18" spans="2:8">
      <c r="B18" s="116" t="s">
        <v>93</v>
      </c>
      <c r="C18" s="122">
        <v>1187</v>
      </c>
      <c r="D18" s="216">
        <v>554357408.16999996</v>
      </c>
      <c r="E18" s="120">
        <v>0.25</v>
      </c>
      <c r="F18" s="117">
        <f>D18*E18</f>
        <v>138589352.04249999</v>
      </c>
      <c r="H18" s="216">
        <v>3404</v>
      </c>
    </row>
    <row r="19" spans="2:8">
      <c r="B19" s="116" t="s">
        <v>94</v>
      </c>
      <c r="C19" s="122">
        <v>246</v>
      </c>
      <c r="D19" s="216">
        <v>62601626.68</v>
      </c>
      <c r="E19" s="120">
        <v>0.5</v>
      </c>
      <c r="F19" s="117">
        <f>D19*E19</f>
        <v>31300813.34</v>
      </c>
      <c r="H19" s="216">
        <v>1506</v>
      </c>
    </row>
    <row r="20" spans="2:8">
      <c r="B20" s="116" t="s">
        <v>95</v>
      </c>
      <c r="C20" s="122">
        <v>670</v>
      </c>
      <c r="D20" s="216">
        <v>72780269.390000001</v>
      </c>
      <c r="E20" s="120">
        <v>1</v>
      </c>
      <c r="F20" s="117">
        <f>D20*E20</f>
        <v>72780269.390000001</v>
      </c>
      <c r="H20" s="216">
        <v>508</v>
      </c>
    </row>
    <row r="21" spans="2:8">
      <c r="B21" s="118" t="s">
        <v>96</v>
      </c>
      <c r="C21" s="117">
        <f>SUM(C16:C20)</f>
        <v>9476</v>
      </c>
      <c r="D21" s="117">
        <f>SUM(D16:D20)</f>
        <v>5350340614.9400005</v>
      </c>
      <c r="E21" s="117">
        <v>1.81</v>
      </c>
      <c r="F21" s="117">
        <f>SUM(F16:F20)</f>
        <v>335335976.17150003</v>
      </c>
      <c r="H21" s="216">
        <v>1206</v>
      </c>
    </row>
    <row r="22" spans="2:8">
      <c r="C22" s="119" t="s">
        <v>97</v>
      </c>
      <c r="D22" s="119">
        <f>SUM(D18:D20)</f>
        <v>689739304.23999989</v>
      </c>
      <c r="H22" s="268" t="s">
        <v>99</v>
      </c>
    </row>
    <row r="23" spans="2:8">
      <c r="C23" s="114" t="s">
        <v>98</v>
      </c>
      <c r="D23" s="178">
        <f>D22/D21</f>
        <v>0.1289150268889441</v>
      </c>
      <c r="H23" s="216">
        <v>7652629874.6000004</v>
      </c>
    </row>
    <row r="24" spans="2:8">
      <c r="H24" s="216">
        <v>2188065979.1999998</v>
      </c>
    </row>
    <row r="25" spans="2:8">
      <c r="H25" s="216">
        <v>682590438.96000004</v>
      </c>
    </row>
    <row r="26" spans="2:8">
      <c r="H26" s="216">
        <v>140398150.94</v>
      </c>
    </row>
    <row r="27" spans="2:8" ht="15">
      <c r="D27" s="121">
        <v>44075</v>
      </c>
      <c r="H27" s="216">
        <v>132616745.26000001</v>
      </c>
    </row>
    <row r="28" spans="2:8" ht="42">
      <c r="B28" s="115" t="s">
        <v>86</v>
      </c>
      <c r="C28" s="115" t="s">
        <v>87</v>
      </c>
      <c r="D28" s="115" t="s">
        <v>88</v>
      </c>
      <c r="E28" s="115" t="s">
        <v>89</v>
      </c>
      <c r="F28" s="115" t="s">
        <v>90</v>
      </c>
      <c r="H28" s="216"/>
    </row>
    <row r="29" spans="2:8">
      <c r="B29" s="116" t="s">
        <v>91</v>
      </c>
      <c r="C29" s="216">
        <v>5914</v>
      </c>
      <c r="D29" s="216">
        <v>3508278804.9000001</v>
      </c>
      <c r="E29" s="120">
        <v>0.01</v>
      </c>
      <c r="F29" s="117">
        <f>D29*E29</f>
        <v>35082788.049000002</v>
      </c>
    </row>
    <row r="30" spans="2:8">
      <c r="B30" s="116" t="s">
        <v>92</v>
      </c>
      <c r="C30" s="216">
        <v>2272</v>
      </c>
      <c r="D30" s="216">
        <v>1303599294.5999999</v>
      </c>
      <c r="E30" s="120">
        <v>0.05</v>
      </c>
      <c r="F30" s="117">
        <f>D30*E30</f>
        <v>65179964.729999997</v>
      </c>
    </row>
    <row r="31" spans="2:8">
      <c r="B31" s="116" t="s">
        <v>93</v>
      </c>
      <c r="C31" s="216">
        <v>1287</v>
      </c>
      <c r="D31" s="216">
        <v>647210953.49000001</v>
      </c>
      <c r="E31" s="120">
        <v>0.25</v>
      </c>
      <c r="F31" s="117">
        <f>D31*E31</f>
        <v>161802738.3725</v>
      </c>
    </row>
    <row r="32" spans="2:8">
      <c r="B32" s="116" t="s">
        <v>94</v>
      </c>
      <c r="C32" s="216">
        <v>210</v>
      </c>
      <c r="D32" s="216">
        <v>56010066.439999998</v>
      </c>
      <c r="E32" s="120">
        <v>0.5</v>
      </c>
      <c r="F32" s="117">
        <f>D32*E32</f>
        <v>28005033.219999999</v>
      </c>
    </row>
    <row r="33" spans="2:6">
      <c r="B33" s="116" t="s">
        <v>95</v>
      </c>
      <c r="C33" s="216">
        <v>754</v>
      </c>
      <c r="D33" s="216">
        <v>80879265.010000005</v>
      </c>
      <c r="E33" s="120">
        <v>1</v>
      </c>
      <c r="F33" s="117">
        <f>D33*E33</f>
        <v>80879265.010000005</v>
      </c>
    </row>
    <row r="34" spans="2:6">
      <c r="B34" s="118" t="s">
        <v>96</v>
      </c>
      <c r="C34" s="117">
        <f>SUM(C29:C33)</f>
        <v>10437</v>
      </c>
      <c r="D34" s="117">
        <f>SUM(D29:D33)</f>
        <v>5595978384.4399996</v>
      </c>
      <c r="E34" s="117">
        <v>1.81</v>
      </c>
      <c r="F34" s="117">
        <f>SUM(F29:F33)</f>
        <v>370949789.38150001</v>
      </c>
    </row>
    <row r="35" spans="2:6">
      <c r="C35" s="119" t="s">
        <v>97</v>
      </c>
      <c r="D35" s="119">
        <f>SUM(D31:D33)</f>
        <v>784100284.94000006</v>
      </c>
    </row>
    <row r="36" spans="2:6">
      <c r="C36" s="114" t="s">
        <v>98</v>
      </c>
      <c r="D36" s="178">
        <f>D35/D34</f>
        <v>0.14011853353834328</v>
      </c>
    </row>
    <row r="38" spans="2:6">
      <c r="D38" s="269">
        <v>44621</v>
      </c>
    </row>
    <row r="39" spans="2:6" ht="42">
      <c r="B39" s="115" t="s">
        <v>86</v>
      </c>
      <c r="C39" s="115" t="s">
        <v>87</v>
      </c>
      <c r="D39" s="115" t="s">
        <v>88</v>
      </c>
      <c r="E39" s="115" t="s">
        <v>89</v>
      </c>
      <c r="F39" s="115" t="s">
        <v>90</v>
      </c>
    </row>
    <row r="40" spans="2:6">
      <c r="B40" s="116" t="s">
        <v>91</v>
      </c>
      <c r="C40" s="177">
        <v>6895</v>
      </c>
      <c r="D40" s="177">
        <v>4818806306.6000004</v>
      </c>
      <c r="E40" s="120">
        <v>0.01</v>
      </c>
      <c r="F40" s="117">
        <f>D40*E40</f>
        <v>48188063.066000007</v>
      </c>
    </row>
    <row r="41" spans="2:6">
      <c r="B41" s="116" t="s">
        <v>92</v>
      </c>
      <c r="C41" s="177">
        <v>1462</v>
      </c>
      <c r="D41" s="177">
        <v>1029077946.8</v>
      </c>
      <c r="E41" s="120">
        <v>0.05</v>
      </c>
      <c r="F41" s="117">
        <f>D41*E41</f>
        <v>51453897.340000004</v>
      </c>
    </row>
    <row r="42" spans="2:6">
      <c r="B42" s="116" t="s">
        <v>93</v>
      </c>
      <c r="C42" s="177">
        <v>664</v>
      </c>
      <c r="D42" s="177">
        <v>370264320.30000001</v>
      </c>
      <c r="E42" s="120">
        <v>0.25</v>
      </c>
      <c r="F42" s="117">
        <f>D42*E42</f>
        <v>92566080.075000003</v>
      </c>
    </row>
    <row r="43" spans="2:6">
      <c r="B43" s="116" t="s">
        <v>94</v>
      </c>
      <c r="C43" s="177">
        <v>198</v>
      </c>
      <c r="D43" s="177">
        <v>117302960.81999999</v>
      </c>
      <c r="E43" s="120">
        <v>0.5</v>
      </c>
      <c r="F43" s="117">
        <f>D43*E43</f>
        <v>58651480.409999996</v>
      </c>
    </row>
    <row r="44" spans="2:6">
      <c r="B44" s="116" t="s">
        <v>95</v>
      </c>
      <c r="C44" s="177">
        <v>645</v>
      </c>
      <c r="D44" s="177">
        <v>86302149.280000001</v>
      </c>
      <c r="E44" s="120">
        <v>1</v>
      </c>
      <c r="F44" s="117">
        <f>D44*E44</f>
        <v>86302149.280000001</v>
      </c>
    </row>
    <row r="45" spans="2:6">
      <c r="B45" s="118" t="s">
        <v>96</v>
      </c>
      <c r="C45" s="117">
        <f>SUM(C40:C44)</f>
        <v>9864</v>
      </c>
      <c r="D45" s="117">
        <f>SUM(D40:D44)</f>
        <v>6421753683.8000002</v>
      </c>
      <c r="E45" s="117">
        <v>1.81</v>
      </c>
      <c r="F45" s="117">
        <f>SUM(F40:F44)</f>
        <v>337161670.171</v>
      </c>
    </row>
    <row r="46" spans="2:6">
      <c r="C46" s="270" t="s">
        <v>97</v>
      </c>
      <c r="D46" s="270">
        <f>SUM(D42:D44)</f>
        <v>573869430.39999998</v>
      </c>
    </row>
    <row r="47" spans="2:6">
      <c r="C47" s="221" t="s">
        <v>98</v>
      </c>
      <c r="D47" s="271">
        <f>D46/D45</f>
        <v>8.9363351298833882E-2</v>
      </c>
    </row>
    <row r="48" spans="2:6">
      <c r="C48" s="221"/>
      <c r="D48" s="22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1"/>
  <sheetViews>
    <sheetView tabSelected="1" workbookViewId="0">
      <pane xSplit="3" ySplit="2" topLeftCell="AC3" activePane="bottomRight" state="frozen"/>
      <selection pane="bottomRight" activeCell="M2" sqref="M2:AR2"/>
      <selection pane="bottomLeft" activeCell="A3" sqref="A3"/>
      <selection pane="topRight" activeCell="D1" sqref="D1"/>
    </sheetView>
  </sheetViews>
  <sheetFormatPr defaultRowHeight="14.45"/>
  <cols>
    <col min="1" max="1" width="25.42578125" bestFit="1" customWidth="1"/>
    <col min="2" max="2" width="31.42578125" bestFit="1" customWidth="1"/>
    <col min="3" max="3" width="10.5703125" bestFit="1" customWidth="1"/>
    <col min="30" max="40" width="9.140625" bestFit="1" customWidth="1"/>
    <col min="41" max="41" width="9.140625" customWidth="1"/>
    <col min="42" max="42" width="9.28515625" bestFit="1" customWidth="1"/>
  </cols>
  <sheetData>
    <row r="1" spans="1:46" ht="18.95" thickBot="1">
      <c r="A1" s="291" t="s">
        <v>100</v>
      </c>
      <c r="B1" s="291"/>
    </row>
    <row r="2" spans="1:46" ht="27.95">
      <c r="A2" s="23"/>
      <c r="B2" s="24"/>
      <c r="C2" s="24"/>
      <c r="D2" s="25">
        <v>43831</v>
      </c>
      <c r="E2" s="25">
        <v>43862</v>
      </c>
      <c r="F2" s="25">
        <v>43891</v>
      </c>
      <c r="G2" s="25">
        <v>43922</v>
      </c>
      <c r="H2" s="25">
        <v>43952</v>
      </c>
      <c r="I2" s="25">
        <v>43983</v>
      </c>
      <c r="J2" s="25">
        <v>44013</v>
      </c>
      <c r="K2" s="25">
        <v>44044</v>
      </c>
      <c r="L2" s="25">
        <v>44075</v>
      </c>
      <c r="M2" s="225">
        <v>44105</v>
      </c>
      <c r="N2" s="225">
        <v>44136</v>
      </c>
      <c r="O2" s="225">
        <v>44166</v>
      </c>
      <c r="P2" s="225" t="s">
        <v>0</v>
      </c>
      <c r="Q2" s="225">
        <v>44197</v>
      </c>
      <c r="R2" s="225">
        <v>44228</v>
      </c>
      <c r="S2" s="225">
        <v>44256</v>
      </c>
      <c r="T2" s="225">
        <v>44287</v>
      </c>
      <c r="U2" s="225">
        <v>44317</v>
      </c>
      <c r="V2" s="225">
        <v>44348</v>
      </c>
      <c r="W2" s="225">
        <v>44378</v>
      </c>
      <c r="X2" s="225">
        <v>44409</v>
      </c>
      <c r="Y2" s="225">
        <v>44440</v>
      </c>
      <c r="Z2" s="225">
        <v>44470</v>
      </c>
      <c r="AA2" s="225">
        <v>44501</v>
      </c>
      <c r="AB2" s="225">
        <v>44531</v>
      </c>
      <c r="AC2" s="226" t="s">
        <v>1</v>
      </c>
      <c r="AD2" s="241">
        <v>44562</v>
      </c>
      <c r="AE2" s="241">
        <v>44593</v>
      </c>
      <c r="AF2" s="241">
        <v>44621</v>
      </c>
      <c r="AG2" s="241">
        <v>44652</v>
      </c>
      <c r="AH2" s="241">
        <v>44682</v>
      </c>
      <c r="AI2" s="241">
        <v>44713</v>
      </c>
      <c r="AJ2" s="241">
        <v>44743</v>
      </c>
      <c r="AK2" s="241">
        <v>44774</v>
      </c>
      <c r="AL2" s="241">
        <v>44805</v>
      </c>
      <c r="AM2" s="241">
        <v>44835</v>
      </c>
      <c r="AN2" s="241">
        <v>44866</v>
      </c>
      <c r="AO2" s="241">
        <v>44896</v>
      </c>
      <c r="AP2" s="285" t="s">
        <v>2</v>
      </c>
      <c r="AQ2" s="114"/>
      <c r="AR2" s="114"/>
    </row>
    <row r="3" spans="1:46" ht="15">
      <c r="A3" s="292" t="s">
        <v>101</v>
      </c>
      <c r="B3" s="2" t="s">
        <v>102</v>
      </c>
      <c r="C3" s="4" t="s">
        <v>103</v>
      </c>
      <c r="D3" s="113">
        <f>(('Evolutive SFP'!B39+'Evolutive SFP'!B40+'Evolutive SFP'!B41+'Evolutive SFP'!B42+'Evolutive SFP'!B43+'Evolutive SFP'!B44)-'Evolutive SFP'!B10)/1000000</f>
        <v>755.77412771000002</v>
      </c>
      <c r="E3" s="113">
        <f>(('Evolutive SFP'!C39+'Evolutive SFP'!C40+'Evolutive SFP'!C41+'Evolutive SFP'!C42+'Evolutive SFP'!C43+'Evolutive SFP'!C44)-'Evolutive SFP'!C10)/1000000</f>
        <v>779.79156826000008</v>
      </c>
      <c r="F3" s="113">
        <f>(('Evolutive SFP'!D39+'Evolutive SFP'!D40+'Evolutive SFP'!D41+'Evolutive SFP'!D42+'Evolutive SFP'!D43+'Evolutive SFP'!D44)-'Evolutive SFP'!D10)/1000000</f>
        <v>791.31272459000002</v>
      </c>
      <c r="G3" s="113">
        <f>(('Evolutive SFP'!E39+'Evolutive SFP'!E40+'Evolutive SFP'!E41+'Evolutive SFP'!E42+'Evolutive SFP'!E43+'Evolutive SFP'!E44)-'Evolutive SFP'!E10)/1000000</f>
        <v>809.83101979999992</v>
      </c>
      <c r="H3" s="113">
        <f>(('Evolutive SFP'!F39+'Evolutive SFP'!F40+'Evolutive SFP'!F41+'Evolutive SFP'!F42+'Evolutive SFP'!F43+'Evolutive SFP'!F44)-'Evolutive SFP'!F10)/1000000</f>
        <v>832.23688713000001</v>
      </c>
      <c r="I3" s="113">
        <f>(('Evolutive SFP'!G39+'Evolutive SFP'!G40+'Evolutive SFP'!G41+'Evolutive SFP'!G42+'Evolutive SFP'!G43+'Evolutive SFP'!G44)-'Evolutive SFP'!G10)/1000000</f>
        <v>856.46827485000006</v>
      </c>
      <c r="J3" s="113">
        <f>(('Evolutive SFP'!H39+'Evolutive SFP'!H40+'Evolutive SFP'!H41+'Evolutive SFP'!H42+'Evolutive SFP'!H43+'Evolutive SFP'!H44)-'Evolutive SFP'!H10)/1000000</f>
        <v>877.60883864999994</v>
      </c>
      <c r="K3" s="113">
        <f>(('Evolutive SFP'!I39+'Evolutive SFP'!I40+'Evolutive SFP'!I41+'Evolutive SFP'!I42+'Evolutive SFP'!I43+'Evolutive SFP'!I44)-'Evolutive SFP'!I10)/1000000</f>
        <v>886.40659601999994</v>
      </c>
      <c r="L3" s="113">
        <f>(('Evolutive SFP'!J39+'Evolutive SFP'!J40+'Evolutive SFP'!J41+'Evolutive SFP'!J42+'Evolutive SFP'!J43+'Evolutive SFP'!J44)-'Evolutive SFP'!J10)/1000000</f>
        <v>905.5381276999999</v>
      </c>
      <c r="M3" s="113">
        <f>(('Evolutive SFP'!K39+'Evolutive SFP'!K40+'Evolutive SFP'!K41+'Evolutive SFP'!K42+'Evolutive SFP'!K43+'Evolutive SFP'!K44)-'Evolutive SFP'!K10)/1000000</f>
        <v>925.98622784999998</v>
      </c>
      <c r="N3" s="113">
        <f>(('Evolutive SFP'!L39+'Evolutive SFP'!L40+'Evolutive SFP'!L41+'Evolutive SFP'!L42+'Evolutive SFP'!L43+'Evolutive SFP'!L44)-'Evolutive SFP'!L10)/1000000</f>
        <v>940.53507012</v>
      </c>
      <c r="O3" s="113">
        <f>(('Evolutive SFP'!M39+'Evolutive SFP'!M40+'Evolutive SFP'!M41+'Evolutive SFP'!M42+'Evolutive SFP'!M43+'Evolutive SFP'!M44)-'Evolutive SFP'!M10)/1000000</f>
        <v>947.09827579</v>
      </c>
      <c r="P3" s="113">
        <f>(('Evolutive SFP'!N39+'Evolutive SFP'!N40+'Evolutive SFP'!N41+'Evolutive SFP'!N42+'Evolutive SFP'!N43+'Evolutive SFP'!N44)-'Evolutive SFP'!N10)/1000000</f>
        <v>973.65700000000004</v>
      </c>
      <c r="Q3" s="113">
        <f>(('Evolutive SFP'!O39+'Evolutive SFP'!O40+'Evolutive SFP'!O41+'Evolutive SFP'!O42+'Evolutive SFP'!O43+'Evolutive SFP'!O44)-'Evolutive SFP'!O10)/1000000</f>
        <v>900.22606096000004</v>
      </c>
      <c r="R3" s="113">
        <f>(('Evolutive SFP'!P39+'Evolutive SFP'!P40+'Evolutive SFP'!P41+'Evolutive SFP'!P42+'Evolutive SFP'!P43+'Evolutive SFP'!P44)-'Evolutive SFP'!P10)/1000000</f>
        <v>913.37313831000006</v>
      </c>
      <c r="S3" s="113">
        <f>(('Evolutive SFP'!Q39+'Evolutive SFP'!Q40+'Evolutive SFP'!Q41+'Evolutive SFP'!Q42+'Evolutive SFP'!Q43+'Evolutive SFP'!Q44)-'Evolutive SFP'!Q10)/1000000</f>
        <v>1012.78605026</v>
      </c>
      <c r="T3" s="113">
        <f>(('Evolutive SFP'!R39+'Evolutive SFP'!R40+'Evolutive SFP'!R41+'Evolutive SFP'!R42+'Evolutive SFP'!R43+'Evolutive SFP'!R44)-'Evolutive SFP'!R10)/1000000</f>
        <v>1028.9131520200001</v>
      </c>
      <c r="U3" s="113">
        <f>(('Evolutive SFP'!S39+'Evolutive SFP'!S40+'Evolutive SFP'!S41+'Evolutive SFP'!S42+'Evolutive SFP'!S43+'Evolutive SFP'!S44)-'Evolutive SFP'!S10)/1000000</f>
        <v>1043.9784383399999</v>
      </c>
      <c r="V3" s="113">
        <f>(('Evolutive SFP'!T39+'Evolutive SFP'!T40+'Evolutive SFP'!T41+'Evolutive SFP'!T42+'Evolutive SFP'!T43+'Evolutive SFP'!T44)-'Evolutive SFP'!T10)/1000000</f>
        <v>1102.3832719300001</v>
      </c>
      <c r="W3" s="113">
        <f>(('Evolutive SFP'!U39+'Evolutive SFP'!U40+'Evolutive SFP'!U41+'Evolutive SFP'!U42+'Evolutive SFP'!U43+'Evolutive SFP'!U44)-'Evolutive SFP'!U10)/1000000</f>
        <v>1124.3507269900001</v>
      </c>
      <c r="X3" s="113">
        <f>(('Evolutive SFP'!V39+'Evolutive SFP'!V40+'Evolutive SFP'!V41+'Evolutive SFP'!V42+'Evolutive SFP'!V43+'Evolutive SFP'!V44)-'Evolutive SFP'!V10)/1000000</f>
        <v>1130.9430917699999</v>
      </c>
      <c r="Y3" s="113">
        <f>(('Evolutive SFP'!W39+'Evolutive SFP'!W40+'Evolutive SFP'!W41+'Evolutive SFP'!W42+'Evolutive SFP'!W43+'Evolutive SFP'!W44)-'Evolutive SFP'!W10)/1000000</f>
        <v>1164.2098780599999</v>
      </c>
      <c r="Z3" s="113">
        <f>(('Evolutive SFP'!X39+'Evolutive SFP'!X40+'Evolutive SFP'!X41+'Evolutive SFP'!X42+'Evolutive SFP'!X43+'Evolutive SFP'!X44)-'Evolutive SFP'!X10)/1000000</f>
        <v>1173.82364749</v>
      </c>
      <c r="AA3" s="113">
        <f>(('Evolutive SFP'!Y39+'Evolutive SFP'!Y40+'Evolutive SFP'!Y41+'Evolutive SFP'!Y42+'Evolutive SFP'!Y43+'Evolutive SFP'!Y44)-'Evolutive SFP'!Y10)/1000000</f>
        <v>1262.2423938700001</v>
      </c>
      <c r="AB3" s="113">
        <f>(('Evolutive SFP'!Z39+'Evolutive SFP'!Z40+'Evolutive SFP'!Z41+'Evolutive SFP'!Z42+'Evolutive SFP'!Z43+'Evolutive SFP'!Z44)-'Evolutive SFP'!Z10)/1000000</f>
        <v>1131.4766446199999</v>
      </c>
      <c r="AC3" s="113">
        <f>(('Evolutive SFP'!AA39+'Evolutive SFP'!AA40+'Evolutive SFP'!AA41+'Evolutive SFP'!AA42+'Evolutive SFP'!AA43+'Evolutive SFP'!AA44)-'Evolutive SFP'!AA10)/1000000</f>
        <v>958.83600000000001</v>
      </c>
      <c r="AD3" s="113">
        <f>(('Evolutive SFP'!AB39+'Evolutive SFP'!AB40+'Evolutive SFP'!AB41+'Evolutive SFP'!AB42+'Evolutive SFP'!AB43+'Evolutive SFP'!AB44)-'Evolutive SFP'!AB10)/1000000</f>
        <v>1151.17627705</v>
      </c>
      <c r="AE3" s="113">
        <f>(('Evolutive SFP'!AC39+'Evolutive SFP'!AC40+'Evolutive SFP'!AC41+'Evolutive SFP'!AC42+'Evolutive SFP'!AC43+'Evolutive SFP'!AC44)-'Evolutive SFP'!AC10)/1000000</f>
        <v>1194.0327884100002</v>
      </c>
      <c r="AF3" s="113">
        <f>(('Evolutive SFP'!AD39+'Evolutive SFP'!AD40+'Evolutive SFP'!AD41+'Evolutive SFP'!AD42+'Evolutive SFP'!AD43+'Evolutive SFP'!AD44)-'Evolutive SFP'!AD10)/1000000</f>
        <v>1237.3850150599999</v>
      </c>
      <c r="AG3" s="113">
        <f>(('Evolutive SFP'!AE39+'Evolutive SFP'!AE40+'Evolutive SFP'!AE41+'Evolutive SFP'!AE42+'Evolutive SFP'!AE43+'Evolutive SFP'!AE44)-'Evolutive SFP'!AE10)/1000000</f>
        <v>1267.6586408400001</v>
      </c>
      <c r="AH3" s="113">
        <f>(('Evolutive SFP'!AF39+'Evolutive SFP'!AF40+'Evolutive SFP'!AF41+'Evolutive SFP'!AF42+'Evolutive SFP'!AF43+'Evolutive SFP'!AF44)-'Evolutive SFP'!AF10)/1000000</f>
        <v>1308.5320745900001</v>
      </c>
      <c r="AI3" s="113">
        <f>(('Evolutive SFP'!AG39+'Evolutive SFP'!AG40+'Evolutive SFP'!AG41+'Evolutive SFP'!AG42+'Evolutive SFP'!AG43+'Evolutive SFP'!AG44)-'Evolutive SFP'!AG10)/1000000</f>
        <v>1350.0140309999999</v>
      </c>
      <c r="AJ3" s="113">
        <f>(('Evolutive SFP'!AH39+'Evolutive SFP'!AH40+'Evolutive SFP'!AH41+'Evolutive SFP'!AH42+'Evolutive SFP'!AH43+'Evolutive SFP'!AH44)-'Evolutive SFP'!AH10)/1000000</f>
        <v>1368.1251011100001</v>
      </c>
      <c r="AK3" s="113">
        <f>(('Evolutive SFP'!AI39+'Evolutive SFP'!AI40+'Evolutive SFP'!AI41+'Evolutive SFP'!AI42+'Evolutive SFP'!AI43+'Evolutive SFP'!AI44)-'Evolutive SFP'!AI10)/1000000</f>
        <v>1395.3846816600001</v>
      </c>
      <c r="AL3" s="113">
        <f>(('Evolutive SFP'!AJ39+'Evolutive SFP'!AJ40+'Evolutive SFP'!AJ41+'Evolutive SFP'!AJ42+'Evolutive SFP'!AJ43+'Evolutive SFP'!AJ44)-'Evolutive SFP'!AJ10)/1000000</f>
        <v>1440.1433156800001</v>
      </c>
      <c r="AM3" s="113">
        <f>(('Evolutive SFP'!AK39+'Evolutive SFP'!AK40+'Evolutive SFP'!AK41+'Evolutive SFP'!AK42+'Evolutive SFP'!AK43+'Evolutive SFP'!AK44)-'Evolutive SFP'!AK10)/1000000</f>
        <v>1484.3136504399999</v>
      </c>
      <c r="AN3" s="113">
        <f>(('Evolutive SFP'!AL39+'Evolutive SFP'!AL40+'Evolutive SFP'!AL41+'Evolutive SFP'!AL42+'Evolutive SFP'!AL43+'Evolutive SFP'!AL44)-'Evolutive SFP'!AL10)/1000000</f>
        <v>1518.6801151500001</v>
      </c>
      <c r="AO3" s="113">
        <f>(('Evolutive SFP'!AM39+'Evolutive SFP'!AM40+'Evolutive SFP'!AM41+'Evolutive SFP'!AM42+'Evolutive SFP'!AM43+'Evolutive SFP'!AM44)-'Evolutive SFP'!AM10)/1000000</f>
        <v>1400.46999203</v>
      </c>
      <c r="AP3" s="113">
        <f>(('Evolutive SFP'!AN39+'Evolutive SFP'!AN40+'Evolutive SFP'!AN41+'Evolutive SFP'!AN42+'Evolutive SFP'!AN43+'Evolutive SFP'!AN44)-'Evolutive SFP'!AN10)/1000000</f>
        <v>1361.5509999999999</v>
      </c>
      <c r="AQ3" s="113">
        <f>(('Evolutive SFP'!AO39+'Evolutive SFP'!AO40+'Evolutive SFP'!AO41+'Evolutive SFP'!AO42+'Evolutive SFP'!AO43+'Evolutive SFP'!AO44)-'Evolutive SFP'!AO10)/1000000</f>
        <v>0</v>
      </c>
      <c r="AR3" s="113">
        <f>(('Evolutive SFP'!AP39+'Evolutive SFP'!AP40+'Evolutive SFP'!AP41+'Evolutive SFP'!AP42+'Evolutive SFP'!AP43+'Evolutive SFP'!AP44)-'Evolutive SFP'!AP10)/1000000</f>
        <v>0</v>
      </c>
      <c r="AS3" s="113">
        <f>(('Evolutive SFP'!AQ39+'Evolutive SFP'!AQ40+'Evolutive SFP'!AQ41+'Evolutive SFP'!AQ42+'Evolutive SFP'!AQ43+'Evolutive SFP'!AQ44)-'Evolutive SFP'!AQ10)/1000000</f>
        <v>0</v>
      </c>
      <c r="AT3" s="113">
        <f>(('Evolutive SFP'!AR39+'Evolutive SFP'!AR40+'Evolutive SFP'!AR41+'Evolutive SFP'!AR42+'Evolutive SFP'!AR43+'Evolutive SFP'!AR44)-'Evolutive SFP'!AR10)/1000000</f>
        <v>0</v>
      </c>
    </row>
    <row r="4" spans="1:46" ht="15">
      <c r="A4" s="292"/>
      <c r="B4" s="2" t="s">
        <v>104</v>
      </c>
      <c r="C4" s="4" t="s">
        <v>105</v>
      </c>
      <c r="D4" s="26">
        <f>D3/(('Evolutive SFP'!B27)/1000000)</f>
        <v>0.10923233048193054</v>
      </c>
      <c r="E4" s="26">
        <f>E3/(('Evolutive SFP'!C27)/1000000)</f>
        <v>0.11253183298870559</v>
      </c>
      <c r="F4" s="26">
        <f>F3/(('Evolutive SFP'!D27)/1000000)</f>
        <v>0.11798429743743023</v>
      </c>
      <c r="G4" s="26">
        <f>G3/(('Evolutive SFP'!E27)/1000000)</f>
        <v>0.12003468177461499</v>
      </c>
      <c r="H4" s="26">
        <f>H3/(('Evolutive SFP'!F27)/1000000)</f>
        <v>0.12143228602204136</v>
      </c>
      <c r="I4" s="26">
        <f>I3/(('Evolutive SFP'!G27)/1000000)</f>
        <v>0.12278540979405285</v>
      </c>
      <c r="J4" s="26">
        <f>J3/(('Evolutive SFP'!H27)/1000000)</f>
        <v>0.12338284578333922</v>
      </c>
      <c r="K4" s="26">
        <f>K3/(('Evolutive SFP'!I27)/1000000)</f>
        <v>0.12291671457931896</v>
      </c>
      <c r="L4" s="26">
        <f>L3/(('Evolutive SFP'!J27)/1000000)</f>
        <v>0.12406396775915604</v>
      </c>
      <c r="M4" s="26">
        <f>M3/(('Evolutive SFP'!K27)/1000000)</f>
        <v>0.12577385249451581</v>
      </c>
      <c r="N4" s="26">
        <f>N3/(('Evolutive SFP'!L27)/1000000)</f>
        <v>0.12488321264109446</v>
      </c>
      <c r="O4" s="26">
        <f>O3/(('Evolutive SFP'!M27)/1000000)</f>
        <v>0.12364329382034808</v>
      </c>
      <c r="P4" s="26">
        <f>P3/(('Evolutive SFP'!N27)/1000000)</f>
        <v>0.12708209393343825</v>
      </c>
      <c r="Q4" s="26">
        <f>Q3/(('Evolutive SFP'!O27)/1000000)</f>
        <v>0.11762988080412989</v>
      </c>
      <c r="R4" s="26">
        <f>R3/(('Evolutive SFP'!P27)/1000000)</f>
        <v>0.11891266842164543</v>
      </c>
      <c r="S4" s="26">
        <f>S3/(('Evolutive SFP'!Q27)/1000000)</f>
        <v>0.13148166815727813</v>
      </c>
      <c r="T4" s="26">
        <f>T3/(('Evolutive SFP'!R27)/1000000)</f>
        <v>0.13224290070513009</v>
      </c>
      <c r="U4" s="26">
        <f>U3/(('Evolutive SFP'!S27)/1000000)</f>
        <v>0.13409932173741698</v>
      </c>
      <c r="V4" s="26">
        <f>V3/(('Evolutive SFP'!T27)/1000000)</f>
        <v>0.14082185080979662</v>
      </c>
      <c r="W4" s="26">
        <f>W3/(('Evolutive SFP'!U27)/1000000)</f>
        <v>0.14095262631310726</v>
      </c>
      <c r="X4" s="26">
        <f>X3/(('Evolutive SFP'!V27)/1000000)</f>
        <v>0.13902239156184132</v>
      </c>
      <c r="Y4" s="26">
        <f>Y3/(('Evolutive SFP'!W27)/1000000)</f>
        <v>0.1414914411479089</v>
      </c>
      <c r="Z4" s="26">
        <f>Z3/(('Evolutive SFP'!X27)/1000000)</f>
        <v>0.14110601929634939</v>
      </c>
      <c r="AA4" s="26">
        <f>AA3/(('Evolutive SFP'!Y27)/1000000)</f>
        <v>0.14959610890534478</v>
      </c>
      <c r="AB4" s="26">
        <f>AB3/(('Evolutive SFP'!Z27)/1000000)</f>
        <v>0.13257460400657933</v>
      </c>
      <c r="AC4" s="26">
        <f>AC3/(('Evolutive SFP'!AA27)/1000000)</f>
        <v>0.11187930930072106</v>
      </c>
      <c r="AD4" s="26">
        <f>AD3/(('Evolutive SFP'!AB27)/1000000)</f>
        <v>0.13298507510510121</v>
      </c>
      <c r="AE4" s="26">
        <f>AE3/(('Evolutive SFP'!AC27)/1000000)</f>
        <v>0.13625692110076432</v>
      </c>
      <c r="AF4" s="26">
        <f>AF3/(('Evolutive SFP'!AD27)/1000000)</f>
        <v>0.14424266818652778</v>
      </c>
      <c r="AG4" s="26">
        <f>AG3/(('Evolutive SFP'!AE27)/1000000)</f>
        <v>0.14744081725396341</v>
      </c>
      <c r="AH4" s="26">
        <f>AH3/(('Evolutive SFP'!AF27)/1000000)</f>
        <v>0.15081289643584456</v>
      </c>
      <c r="AI4" s="26">
        <f>AI3/(('Evolutive SFP'!AG27)/1000000)</f>
        <v>0.15407772738185141</v>
      </c>
      <c r="AJ4" s="26">
        <f>AJ3/(('Evolutive SFP'!AH27)/1000000)</f>
        <v>0.15347519894653083</v>
      </c>
      <c r="AK4" s="26">
        <f>AK3/(('Evolutive SFP'!AI27)/1000000)</f>
        <v>0.15503292114862838</v>
      </c>
      <c r="AL4" s="26">
        <f>AL3/(('Evolutive SFP'!AJ27)/1000000)</f>
        <v>0.15783615074605067</v>
      </c>
      <c r="AM4" s="26">
        <f>AM3/(('Evolutive SFP'!AK27)/1000000)</f>
        <v>0.15936747886637734</v>
      </c>
      <c r="AN4" s="26">
        <f>AN3/(('Evolutive SFP'!AL27)/1000000)</f>
        <v>0.16002292257906309</v>
      </c>
      <c r="AO4" s="26">
        <f>AO3/(('Evolutive SFP'!AM27)/1000000)</f>
        <v>0.14544021337045879</v>
      </c>
      <c r="AP4" s="26">
        <f>AP3/(('Evolutive SFP'!AN27)/1000000)</f>
        <v>0.14268026816807702</v>
      </c>
      <c r="AQ4" s="26" t="e">
        <f>AQ3/(('Evolutive SFP'!AO27)/1000000)</f>
        <v>#DIV/0!</v>
      </c>
      <c r="AR4" s="26" t="e">
        <f>AR3/(('Evolutive SFP'!AP27)/1000000)</f>
        <v>#DIV/0!</v>
      </c>
      <c r="AS4" s="26" t="e">
        <f>AS3/(('Evolutive SFP'!AQ27)/1000000)</f>
        <v>#DIV/0!</v>
      </c>
      <c r="AT4" s="26" t="e">
        <f>AT3/(('Evolutive SFP'!AR27)/1000000)</f>
        <v>#DIV/0!</v>
      </c>
    </row>
    <row r="5" spans="1:46" ht="15">
      <c r="A5" s="292"/>
      <c r="B5" s="2" t="s">
        <v>106</v>
      </c>
      <c r="C5" s="4" t="s">
        <v>107</v>
      </c>
      <c r="D5" s="26">
        <f>D3/('Evolutive SFP'!B31/1000000)</f>
        <v>0.13984078547626139</v>
      </c>
      <c r="E5" s="26">
        <f>E3/('Evolutive SFP'!C31/1000000)</f>
        <v>0.14221826799932066</v>
      </c>
      <c r="F5" s="26">
        <f>F3/('Evolutive SFP'!D31/1000000)</f>
        <v>0.14231062053259727</v>
      </c>
      <c r="G5" s="26">
        <f>G3/('Evolutive SFP'!E31/1000000)</f>
        <v>0.14470615464229838</v>
      </c>
      <c r="H5" s="26">
        <f>H3/('Evolutive SFP'!F31/1000000)</f>
        <v>0.14737551832308121</v>
      </c>
      <c r="I5" s="26">
        <f>I3/('Evolutive SFP'!G31/1000000)</f>
        <v>0.15016726985411449</v>
      </c>
      <c r="J5" s="26">
        <f>J3/('Evolutive SFP'!H31/1000000)</f>
        <v>0.15166217414134606</v>
      </c>
      <c r="K5" s="26">
        <f>K3/('Evolutive SFP'!I31/1000000)</f>
        <v>0.15194921291141383</v>
      </c>
      <c r="L5" s="26">
        <f>L3/('Evolutive SFP'!J31/1000000)</f>
        <v>0.15409203937554164</v>
      </c>
      <c r="M5" s="26">
        <f>M3/('Evolutive SFP'!K31/1000000)</f>
        <v>0.15546822605303165</v>
      </c>
      <c r="N5" s="26">
        <f>N3/('Evolutive SFP'!L31/1000000)</f>
        <v>0.15662921354281428</v>
      </c>
      <c r="O5" s="26">
        <f>O3/('Evolutive SFP'!M31/1000000)</f>
        <v>0.15772728995678914</v>
      </c>
      <c r="P5" s="26">
        <f>P3/('Evolutive SFP'!N31/1000000)</f>
        <v>0.16214056310905314</v>
      </c>
      <c r="Q5" s="26">
        <f>Q3/('Evolutive SFP'!O31/1000000)</f>
        <v>0.14841845610211954</v>
      </c>
      <c r="R5" s="26">
        <f>R3/('Evolutive SFP'!P31/1000000)</f>
        <v>0.14446348029566755</v>
      </c>
      <c r="S5" s="26">
        <f>S3/('Evolutive SFP'!Q31/1000000)</f>
        <v>0.16017814914915141</v>
      </c>
      <c r="T5" s="26">
        <f>T3/('Evolutive SFP'!R31/1000000)</f>
        <v>0.16148206054527145</v>
      </c>
      <c r="U5" s="26">
        <f>U3/('Evolutive SFP'!S31/1000000)</f>
        <v>0.16475370876046574</v>
      </c>
      <c r="V5" s="26">
        <f>V3/('Evolutive SFP'!T31/1000000)</f>
        <v>0.17442447008085266</v>
      </c>
      <c r="W5" s="26">
        <f>W3/('Evolutive SFP'!U31/1000000)</f>
        <v>0.17547873268471048</v>
      </c>
      <c r="X5" s="26">
        <f>X3/('Evolutive SFP'!V31/1000000)</f>
        <v>0.1740036215602373</v>
      </c>
      <c r="Y5" s="26">
        <f>Y3/('Evolutive SFP'!W31/1000000)</f>
        <v>0.17932686531764838</v>
      </c>
      <c r="Z5" s="26">
        <f>Z3/('Evolutive SFP'!X31/1000000)</f>
        <v>0.17991792143148816</v>
      </c>
      <c r="AA5" s="26">
        <f>AA3/('Evolutive SFP'!Y31/1000000)</f>
        <v>0.19359537723911499</v>
      </c>
      <c r="AB5" s="26">
        <f>AB3/('Evolutive SFP'!Z31/1000000)</f>
        <v>0.17234916109883974</v>
      </c>
      <c r="AC5" s="26">
        <f>AC3/('Evolutive SFP'!AA31/1000000)</f>
        <v>0.14605110195288035</v>
      </c>
      <c r="AD5" s="26">
        <f>AD3/('Evolutive SFP'!AB31/1000000)</f>
        <v>0.17302994933377461</v>
      </c>
      <c r="AE5" s="26">
        <f>AE3/('Evolutive SFP'!AC31/1000000)</f>
        <v>0.17884983839040047</v>
      </c>
      <c r="AF5" s="26">
        <f>AF3/('Evolutive SFP'!AD31/1000000)</f>
        <v>0.17731630673519166</v>
      </c>
      <c r="AG5" s="26">
        <f>AG3/('Evolutive SFP'!AE31/1000000)</f>
        <v>0.18211895149907503</v>
      </c>
      <c r="AH5" s="26">
        <f>AH3/('Evolutive SFP'!AF31/1000000)</f>
        <v>0.18735143542493099</v>
      </c>
      <c r="AI5" s="26">
        <f>AI3/('Evolutive SFP'!AG31/1000000)</f>
        <v>0.19315590573703079</v>
      </c>
      <c r="AJ5" s="26">
        <f>AJ3/('Evolutive SFP'!AH31/1000000)</f>
        <v>0.19333843393675731</v>
      </c>
      <c r="AK5" s="26">
        <f>AK3/('Evolutive SFP'!AI31/1000000)</f>
        <v>0.19674452681366819</v>
      </c>
      <c r="AL5" s="26">
        <f>AL3/('Evolutive SFP'!AJ31/1000000)</f>
        <v>0.20264621343190992</v>
      </c>
      <c r="AM5" s="26">
        <f>AM3/('Evolutive SFP'!AK31/1000000)</f>
        <v>0.20607676356742952</v>
      </c>
      <c r="AN5" s="26">
        <f>AN3/('Evolutive SFP'!AL31/1000000)</f>
        <v>0.20835866308813844</v>
      </c>
      <c r="AO5" s="26">
        <f>AO3/('Evolutive SFP'!AM31/1000000)</f>
        <v>0.19087723798979242</v>
      </c>
      <c r="AP5" s="26">
        <f>AP3/('Evolutive SFP'!AN31/1000000)</f>
        <v>0.1855686809416314</v>
      </c>
      <c r="AQ5" s="26" t="e">
        <f>AQ3/('Evolutive SFP'!AO31/1000000)</f>
        <v>#DIV/0!</v>
      </c>
      <c r="AR5" s="26" t="e">
        <f>AR3/('Evolutive SFP'!AP31/1000000)</f>
        <v>#DIV/0!</v>
      </c>
      <c r="AS5" s="26" t="e">
        <f>AS3/('Evolutive SFP'!AQ31/1000000)</f>
        <v>#DIV/0!</v>
      </c>
      <c r="AT5" s="26" t="e">
        <f>AT3/('Evolutive SFP'!AR31/1000000)</f>
        <v>#DIV/0!</v>
      </c>
    </row>
    <row r="6" spans="1:46" ht="15">
      <c r="A6" s="292"/>
      <c r="B6" s="2" t="s">
        <v>108</v>
      </c>
      <c r="C6" s="4" t="s">
        <v>107</v>
      </c>
      <c r="D6" s="26">
        <f>((D3*1000000)-'Evolutive SFP'!B39)/'Evolutive SFP'!B27</f>
        <v>6.0241046438642032E-2</v>
      </c>
      <c r="E6" s="26">
        <f>((E3*1000000)-'Evolutive SFP'!C39)/'Evolutive SFP'!C27</f>
        <v>6.2653521149880348E-2</v>
      </c>
      <c r="F6" s="26">
        <f>((F3*1000000)-'Evolutive SFP'!D39)/'Evolutive SFP'!D27</f>
        <v>6.6033107950044773E-2</v>
      </c>
      <c r="G6" s="26">
        <f>((G3*1000000)-'Evolutive SFP'!E39)/'Evolutive SFP'!E27</f>
        <v>6.7790245959226753E-2</v>
      </c>
      <c r="H6" s="26">
        <f>((H3*1000000)-'Evolutive SFP'!F39)/'Evolutive SFP'!F27</f>
        <v>6.9616831467459284E-2</v>
      </c>
      <c r="I6" s="26">
        <f>((I3*1000000)-'Evolutive SFP'!G39)/'Evolutive SFP'!G27</f>
        <v>7.1387447625420444E-2</v>
      </c>
      <c r="J6" s="26">
        <f>((J3*1000000)-'Evolutive SFP'!H39)/'Evolutive SFP'!H27</f>
        <v>7.2390504553674961E-2</v>
      </c>
      <c r="K6" s="26">
        <f>((K3*1000000)-'Evolutive SFP'!I39)/'Evolutive SFP'!I27</f>
        <v>7.2175289116121852E-2</v>
      </c>
      <c r="L6" s="26">
        <f>((L3*1000000)-'Evolutive SFP'!J39)/'Evolutive SFP'!J27</f>
        <v>7.3533812009041175E-2</v>
      </c>
      <c r="M6" s="26">
        <f>((M3*1000000)-'Evolutive SFP'!K39)/'Evolutive SFP'!K27</f>
        <v>7.4949073917292608E-2</v>
      </c>
      <c r="N6" s="26">
        <f>((N3*1000000)-'Evolutive SFP'!L39)/'Evolutive SFP'!L27</f>
        <v>7.46567181599221E-2</v>
      </c>
      <c r="O6" s="26">
        <f>((O3*1000000)-'Evolutive SFP'!M39)/'Evolutive SFP'!M27</f>
        <v>6.7148222823319254E-2</v>
      </c>
      <c r="P6" s="26">
        <f>((P3*1000000)-'Evolutive SFP'!N39)/'Evolutive SFP'!N27</f>
        <v>7.0601351825810621E-2</v>
      </c>
      <c r="Q6" s="26">
        <f>((Q3*1000000)-'Evolutive SFP'!O39)/'Evolutive SFP'!O27</f>
        <v>6.0743802611200361E-2</v>
      </c>
      <c r="R6" s="26">
        <f>((R3*1000000)-'Evolutive SFP'!P39)/'Evolutive SFP'!P27</f>
        <v>6.1765433179715223E-2</v>
      </c>
      <c r="S6" s="26">
        <f>((S3*1000000)-'Evolutive SFP'!Q39)/'Evolutive SFP'!Q27</f>
        <v>7.3916661240070763E-2</v>
      </c>
      <c r="T6" s="26">
        <f>((T3*1000000)-'Evolutive SFP'!R39)/'Evolutive SFP'!R27</f>
        <v>7.4439611171758902E-2</v>
      </c>
      <c r="U6" s="26">
        <f>((U3*1000000)-'Evolutive SFP'!S39)/'Evolutive SFP'!S27</f>
        <v>7.5862030340137387E-2</v>
      </c>
      <c r="V6" s="26">
        <f>((V3*1000000)-'Evolutive SFP'!T39)/'Evolutive SFP'!T27</f>
        <v>8.2357263699957259E-2</v>
      </c>
      <c r="W6" s="26">
        <f>((W3*1000000)-'Evolutive SFP'!U39)/'Evolutive SFP'!U27</f>
        <v>8.3053835024648442E-2</v>
      </c>
      <c r="X6" s="26">
        <f>((X3*1000000)-'Evolutive SFP'!V39)/'Evolutive SFP'!V27</f>
        <v>8.1809906556934472E-2</v>
      </c>
      <c r="Y6" s="26">
        <f>((Y3*1000000)-'Evolutive SFP'!W39)/'Evolutive SFP'!W27</f>
        <v>8.4366999713937352E-2</v>
      </c>
      <c r="Z6" s="26">
        <f>((Z3*1000000)-'Evolutive SFP'!X39)/'Evolutive SFP'!X27</f>
        <v>8.4104127537017667E-2</v>
      </c>
      <c r="AA6" s="26">
        <f>((AA3*1000000)-'Evolutive SFP'!Y39)/'Evolutive SFP'!Y27</f>
        <v>9.2771384540001098E-2</v>
      </c>
      <c r="AB6" s="26">
        <f>((AB3*1000000)-'Evolutive SFP'!Z39)/'Evolutive SFP'!Z27</f>
        <v>7.5660449934754306E-2</v>
      </c>
      <c r="AC6" s="26">
        <f>((AC3*1000000)-'Evolutive SFP'!AA39)/'Evolutive SFP'!AA27</f>
        <v>5.5201754997012346E-2</v>
      </c>
      <c r="AD6" s="26">
        <f>((AD3*1000000)-'Evolutive SFP'!AB39)/'Evolutive SFP'!AB27</f>
        <v>7.6465278581540841E-2</v>
      </c>
      <c r="AE6" s="26">
        <f>((AE3*1000000)-'Evolutive SFP'!AC39)/'Evolutive SFP'!AC27</f>
        <v>7.982323372047391E-2</v>
      </c>
      <c r="AF6" s="26">
        <f>((AF3*1000000)-'Evolutive SFP'!AD39)/'Evolutive SFP'!AD27</f>
        <v>8.5280653702347844E-2</v>
      </c>
      <c r="AG6" s="26">
        <f>((AG3*1000000)-'Evolutive SFP'!AE39)/'Evolutive SFP'!AE27</f>
        <v>8.7968527340423736E-2</v>
      </c>
      <c r="AH6" s="26">
        <f>((AH3*1000000)-'Evolutive SFP'!AF39)/'Evolutive SFP'!AF27</f>
        <v>9.119135414728731E-2</v>
      </c>
      <c r="AI6" s="26">
        <f>((AI3*1000000)-'Evolutive SFP'!AG39)/'Evolutive SFP'!AG27</f>
        <v>9.4395678093387544E-2</v>
      </c>
      <c r="AJ6" s="26">
        <f>((AJ3*1000000)-'Evolutive SFP'!AH39)/'Evolutive SFP'!AH27</f>
        <v>9.4144913752137779E-2</v>
      </c>
      <c r="AK6" s="26">
        <f>((AK3*1000000)-'Evolutive SFP'!AI39)/'Evolutive SFP'!AI27</f>
        <v>9.5530238223840311E-2</v>
      </c>
      <c r="AL6" s="26">
        <f>((AL3*1000000)-'Evolutive SFP'!AJ39)/'Evolutive SFP'!AJ27</f>
        <v>9.832081428743597E-2</v>
      </c>
      <c r="AM6" s="26">
        <f>((AM3*1000000)-'Evolutive SFP'!AK39)/'Evolutive SFP'!AK27</f>
        <v>9.9864722387273494E-2</v>
      </c>
      <c r="AN6" s="26">
        <f>((AN3*1000000)-'Evolutive SFP'!AL39)/'Evolutive SFP'!AL27</f>
        <v>0.10072156201907768</v>
      </c>
      <c r="AO6" s="26">
        <f>((AO3*1000000)-'Evolutive SFP'!AM39)/'Evolutive SFP'!AM27</f>
        <v>8.6241479744818328E-2</v>
      </c>
      <c r="AP6" s="26">
        <f>((AP3*1000000)-'Evolutive SFP'!AN39)/'Evolutive SFP'!AN27</f>
        <v>8.2944902643620158E-2</v>
      </c>
      <c r="AQ6" s="26" t="e">
        <f>((AQ3*1000000)-'Evolutive SFP'!AO39)/'Evolutive SFP'!AO27</f>
        <v>#DIV/0!</v>
      </c>
      <c r="AR6" s="26" t="e">
        <f>((AR3*1000000)-'Evolutive SFP'!AP39)/'Evolutive SFP'!AP27</f>
        <v>#DIV/0!</v>
      </c>
      <c r="AS6" s="26" t="e">
        <f>((AS3*1000000)-'Evolutive SFP'!AQ39)/'Evolutive SFP'!AQ27</f>
        <v>#DIV/0!</v>
      </c>
      <c r="AT6" s="26" t="e">
        <f>((AT3*1000000)-'Evolutive SFP'!AR39)/'Evolutive SFP'!AR27</f>
        <v>#DIV/0!</v>
      </c>
    </row>
    <row r="7" spans="1:46" ht="15">
      <c r="A7" s="292" t="s">
        <v>109</v>
      </c>
      <c r="B7" s="2" t="s">
        <v>110</v>
      </c>
      <c r="C7" s="4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</row>
    <row r="8" spans="1:46" ht="15">
      <c r="A8" s="292"/>
      <c r="B8" s="2" t="s">
        <v>111</v>
      </c>
      <c r="C8" s="4"/>
      <c r="D8" s="28" t="e">
        <f>('FORM 4'!#REF!+'FORM 4'!#REF!+'FORM 4'!#REF!)/'Evolutive SFP'!B15</f>
        <v>#REF!</v>
      </c>
      <c r="E8" s="28" t="e">
        <f>('FORM 4'!#REF!+'FORM 4'!#REF!+'FORM 4'!#REF!)/'Evolutive SFP'!C15</f>
        <v>#REF!</v>
      </c>
      <c r="F8" s="28" t="e">
        <f>('FORM 4'!#REF!+'FORM 4'!#REF!+'FORM 4'!#REF!)/'Evolutive SFP'!D15</f>
        <v>#REF!</v>
      </c>
      <c r="G8" s="28" t="e">
        <f>('FORM 4'!#REF!+'FORM 4'!#REF!+'FORM 4'!#REF!)/'Evolutive SFP'!E15</f>
        <v>#REF!</v>
      </c>
      <c r="H8" s="28" t="e">
        <f>('FORM 4'!#REF!+'FORM 4'!#REF!+'FORM 4'!#REF!)/'Evolutive SFP'!F15</f>
        <v>#REF!</v>
      </c>
      <c r="I8" s="28" t="e">
        <f>('FORM 4'!#REF!+'FORM 4'!#REF!+'FORM 4'!#REF!)/'Evolutive SFP'!G15</f>
        <v>#REF!</v>
      </c>
      <c r="J8" s="28" t="e">
        <f>('FORM 4'!#REF!+'FORM 4'!#REF!+'FORM 4'!#REF!)/'Evolutive SFP'!H15</f>
        <v>#REF!</v>
      </c>
      <c r="K8" s="28" t="e">
        <f>('FORM 4'!#REF!+'FORM 4'!#REF!+'FORM 4'!#REF!)/'Evolutive SFP'!I15</f>
        <v>#REF!</v>
      </c>
      <c r="L8" s="28" t="e">
        <f>('FORM 4'!#REF!+'FORM 4'!#REF!+'FORM 4'!#REF!)/'Evolutive SFP'!J15</f>
        <v>#REF!</v>
      </c>
      <c r="M8" s="28" t="e">
        <f>('FORM 4'!#REF!+'FORM 4'!#REF!+'FORM 4'!#REF!)/'Evolutive SFP'!K15</f>
        <v>#REF!</v>
      </c>
      <c r="N8" s="28" t="e">
        <f>('FORM 4'!#REF!+'FORM 4'!#REF!+'FORM 4'!#REF!)/'Evolutive SFP'!L15</f>
        <v>#REF!</v>
      </c>
      <c r="O8" s="28" t="e">
        <f>('FORM 4'!#REF!+'FORM 4'!#REF!+'FORM 4'!#REF!)/'Evolutive SFP'!M15</f>
        <v>#REF!</v>
      </c>
      <c r="P8" s="28" t="e">
        <f>('FORM 4'!#REF!+'FORM 4'!#REF!+'FORM 4'!#REF!)/'Evolutive SFP'!N15</f>
        <v>#REF!</v>
      </c>
      <c r="Q8" s="28" t="e">
        <f>('FORM 4'!#REF!+'FORM 4'!#REF!+'FORM 4'!#REF!)/'Evolutive SFP'!O15</f>
        <v>#REF!</v>
      </c>
      <c r="R8" s="28" t="e">
        <f>('FORM 4'!#REF!+'FORM 4'!#REF!+'FORM 4'!#REF!)/'Evolutive SFP'!P15</f>
        <v>#REF!</v>
      </c>
      <c r="S8" s="28" t="e">
        <f>('FORM 4'!#REF!+'FORM 4'!#REF!+'FORM 4'!#REF!)/'Evolutive SFP'!Q15</f>
        <v>#REF!</v>
      </c>
      <c r="T8" s="28" t="e">
        <f>('FORM 4'!#REF!+'FORM 4'!#REF!+'FORM 4'!#REF!)/'Evolutive SFP'!R15</f>
        <v>#REF!</v>
      </c>
      <c r="U8" s="28" t="e">
        <f>('FORM 4'!#REF!+'FORM 4'!#REF!+'FORM 4'!#REF!)/'Evolutive SFP'!S15</f>
        <v>#REF!</v>
      </c>
      <c r="V8" s="28" t="e">
        <f>('FORM 4'!#REF!+'FORM 4'!#REF!+'FORM 4'!#REF!)/'Evolutive SFP'!T15</f>
        <v>#REF!</v>
      </c>
      <c r="W8" s="28" t="e">
        <f>('FORM 4'!#REF!+'FORM 4'!#REF!+'FORM 4'!#REF!)/'Evolutive SFP'!U15</f>
        <v>#REF!</v>
      </c>
      <c r="X8" s="28" t="e">
        <f>('FORM 4'!#REF!+'FORM 4'!#REF!+'FORM 4'!#REF!)/'Evolutive SFP'!V15</f>
        <v>#REF!</v>
      </c>
      <c r="Y8" s="28" t="e">
        <f>('FORM 4'!#REF!+'FORM 4'!#REF!+'FORM 4'!#REF!)/'Evolutive SFP'!W15</f>
        <v>#REF!</v>
      </c>
      <c r="Z8" s="28" t="e">
        <f>('FORM 4'!#REF!+'FORM 4'!#REF!+'FORM 4'!#REF!)/'Evolutive SFP'!X15</f>
        <v>#REF!</v>
      </c>
      <c r="AA8" s="28" t="e">
        <f>('FORM 4'!#REF!+'FORM 4'!#REF!+'FORM 4'!#REF!)/'Evolutive SFP'!Y15</f>
        <v>#REF!</v>
      </c>
      <c r="AB8" s="28" t="e">
        <f>('FORM 4'!#REF!+'FORM 4'!#REF!+'FORM 4'!#REF!)/'Evolutive SFP'!Z15</f>
        <v>#REF!</v>
      </c>
      <c r="AC8" s="28" t="e">
        <f>('FORM 4'!#REF!+'FORM 4'!#REF!+'FORM 4'!#REF!)/'Evolutive SFP'!AA15</f>
        <v>#REF!</v>
      </c>
      <c r="AD8" s="28" t="e">
        <f>('FORM 4'!#REF!+'FORM 4'!#REF!+'FORM 4'!#REF!)/'Evolutive SFP'!AB15</f>
        <v>#REF!</v>
      </c>
      <c r="AE8" s="28" t="e">
        <f>('FORM 4'!#REF!+'FORM 4'!#REF!+'FORM 4'!#REF!)/'Evolutive SFP'!AC15</f>
        <v>#REF!</v>
      </c>
      <c r="AF8" s="28" t="e">
        <f>('FORM 4'!#REF!+'FORM 4'!#REF!+'FORM 4'!#REF!)/'Evolutive SFP'!AD15</f>
        <v>#REF!</v>
      </c>
      <c r="AG8" s="28" t="e">
        <f>('FORM 4'!#REF!+'FORM 4'!#REF!+'FORM 4'!#REF!)/'Evolutive SFP'!AE15</f>
        <v>#REF!</v>
      </c>
      <c r="AH8" s="28" t="e">
        <f>('FORM 4'!#REF!+'FORM 4'!#REF!+'FORM 4'!#REF!)/'Evolutive SFP'!AF15</f>
        <v>#REF!</v>
      </c>
      <c r="AI8" s="28" t="e">
        <f>('FORM 4'!#REF!+'FORM 4'!#REF!+'FORM 4'!#REF!)/'Evolutive SFP'!AG15</f>
        <v>#REF!</v>
      </c>
      <c r="AJ8" s="28" t="e">
        <f>('FORM 4'!#REF!+'FORM 4'!#REF!+'FORM 4'!#REF!)/'Evolutive SFP'!AH15</f>
        <v>#REF!</v>
      </c>
      <c r="AK8" s="28" t="e">
        <f>('FORM 4'!#REF!+'FORM 4'!#REF!+'FORM 4'!#REF!)/'Evolutive SFP'!AI15</f>
        <v>#REF!</v>
      </c>
      <c r="AL8" s="28" t="e">
        <f>('FORM 4'!#REF!+'FORM 4'!#REF!+'FORM 4'!#REF!)/'Evolutive SFP'!AJ15</f>
        <v>#REF!</v>
      </c>
      <c r="AM8" s="28" t="e">
        <f>('FORM 4'!#REF!+'FORM 4'!#REF!+'FORM 4'!#REF!)/'Evolutive SFP'!AK15</f>
        <v>#REF!</v>
      </c>
      <c r="AN8" s="28" t="e">
        <f>('FORM 4'!#REF!+'FORM 4'!#REF!+'FORM 4'!#REF!)/'Evolutive SFP'!AL15</f>
        <v>#REF!</v>
      </c>
      <c r="AO8" s="28" t="e">
        <f>('FORM 4'!#REF!+'FORM 4'!#REF!+'FORM 4'!#REF!)/'Evolutive SFP'!AM15</f>
        <v>#REF!</v>
      </c>
      <c r="AP8" s="28" t="e">
        <f>('FORM 4'!#REF!+'FORM 4'!#REF!+'FORM 4'!#REF!)/'Evolutive SFP'!AN15</f>
        <v>#REF!</v>
      </c>
      <c r="AQ8" s="28" t="e">
        <f>('FORM 4'!#REF!+'FORM 4'!#REF!+'FORM 4'!#REF!)/'Evolutive SFP'!AO15</f>
        <v>#REF!</v>
      </c>
      <c r="AR8" s="28" t="e">
        <f>('FORM 4'!#REF!+'FORM 4'!#REF!+'FORM 4'!#REF!)/'Evolutive SFP'!AP15</f>
        <v>#REF!</v>
      </c>
      <c r="AS8" s="28" t="e">
        <f>('FORM 4'!#REF!+'FORM 4'!#REF!+'FORM 4'!#REF!)/'Evolutive SFP'!AQ15</f>
        <v>#REF!</v>
      </c>
      <c r="AT8" s="28" t="e">
        <f>('FORM 4'!#REF!+'FORM 4'!#REF!+'FORM 4'!#REF!)/'Evolutive SFP'!AR15</f>
        <v>#REF!</v>
      </c>
    </row>
    <row r="9" spans="1:46" ht="15">
      <c r="A9" s="290" t="s">
        <v>112</v>
      </c>
      <c r="B9" s="2" t="s">
        <v>113</v>
      </c>
      <c r="C9" s="4"/>
      <c r="D9" s="29" t="e">
        <f>'Evolutitve SCI'!B33/(('Evolutive SFP'!#REF!+'Evolutive SFP'!B27)/2)</f>
        <v>#REF!</v>
      </c>
      <c r="E9" s="29">
        <f>'Evolutitve SCI'!C33/(('Evolutive SFP'!B27+'Evolutive SFP'!C27)/2)</f>
        <v>2.0127032350780753E-3</v>
      </c>
      <c r="F9" s="29">
        <f>'Evolutitve SCI'!D33/(('Evolutive SFP'!C27+'Evolutive SFP'!D27)/2)</f>
        <v>2.6783662412502396E-3</v>
      </c>
      <c r="G9" s="29">
        <f>'Evolutitve SCI'!E33/(('Evolutive SFP'!D27+'Evolutive SFP'!E27)/2)</f>
        <v>4.9292469432639331E-3</v>
      </c>
      <c r="H9" s="29">
        <f>'Evolutitve SCI'!F33/(('Evolutive SFP'!E27+'Evolutive SFP'!F27)/2)</f>
        <v>7.5962392909109666E-3</v>
      </c>
      <c r="I9" s="29">
        <f>'Evolutitve SCI'!G33/(('Evolutive SFP'!F27+'Evolutive SFP'!G27)/2)</f>
        <v>1.035200312590949E-2</v>
      </c>
      <c r="J9" s="29">
        <f>'Evolutitve SCI'!H33/(('Evolutive SFP'!G27+'Evolutive SFP'!H27)/2)</f>
        <v>2.4737183551703477E-2</v>
      </c>
      <c r="K9" s="29">
        <f>'Evolutitve SCI'!I33/(('Evolutive SFP'!H27+'Evolutive SFP'!I27)/2)</f>
        <v>1.2534151032371437E-2</v>
      </c>
      <c r="L9" s="29">
        <f>'Evolutitve SCI'!J33/(('Evolutive SFP'!I27+'Evolutive SFP'!J27)/2)</f>
        <v>1.4308617986800143E-2</v>
      </c>
      <c r="M9" s="29">
        <f>'Evolutitve SCI'!K33/(('Evolutive SFP'!J27+'Evolutive SFP'!K27)/2)</f>
        <v>1.6076657393464189E-2</v>
      </c>
      <c r="N9" s="29">
        <f>'Evolutitve SCI'!L33/(('Evolutive SFP'!K27+'Evolutive SFP'!L27)/2)</f>
        <v>1.692207033838829E-2</v>
      </c>
      <c r="O9" s="29">
        <f>'Evolutitve SCI'!M33/(('Evolutive SFP'!L27+'Evolutive SFP'!M27)/2)</f>
        <v>1.1807554899274309E-2</v>
      </c>
      <c r="P9" s="29">
        <f>'Evolutitve SCI'!N33/(('Evolutive SFP'!M27+'Evolutive SFP'!N27)/2)</f>
        <v>2.1141316584807595E-2</v>
      </c>
      <c r="Q9" s="29">
        <f>'Evolutitve SCI'!O33/(('Evolutive SFP'!N27+'Evolutive SFP'!O27)/2)</f>
        <v>-9.9725346445747928E-3</v>
      </c>
      <c r="R9" s="29">
        <f>'Evolutitve SCI'!P33/(('Evolutive SFP'!O27+'Evolutive SFP'!P27)/2)</f>
        <v>-9.1283644408687407E-3</v>
      </c>
      <c r="S9" s="29">
        <f>'Evolutitve SCI'!Q33/(('Evolutive SFP'!P27+'Evolutive SFP'!Q27)/2)</f>
        <v>2.7762084880626685E-3</v>
      </c>
      <c r="T9" s="29">
        <f>'Evolutitve SCI'!R33/(('Evolutive SFP'!Q27+'Evolutive SFP'!R27)/2)</f>
        <v>3.6988368762925017E-3</v>
      </c>
      <c r="U9" s="29">
        <f>'Evolutitve SCI'!S33/(('Evolutive SFP'!R27+'Evolutive SFP'!S27)/2)</f>
        <v>4.7982414252019405E-3</v>
      </c>
      <c r="V9" s="29">
        <f>'Evolutitve SCI'!T33/(('Evolutive SFP'!S27+'Evolutive SFP'!T27)/2)</f>
        <v>1.1293552659299164E-2</v>
      </c>
      <c r="W9" s="29">
        <f>'Evolutitve SCI'!U33/(('Evolutive SFP'!T27+'Evolutive SFP'!U27)/2)</f>
        <v>1.3170421748967195E-2</v>
      </c>
      <c r="X9" s="29">
        <f>'Evolutitve SCI'!V33/(('Evolutive SFP'!U27+'Evolutive SFP'!V27)/2)</f>
        <v>1.2705270736317827E-2</v>
      </c>
      <c r="Y9" s="29">
        <f>'Evolutitve SCI'!W33/(('Evolutive SFP'!V27+'Evolutive SFP'!W27)/2)</f>
        <v>1.5687195386758997E-2</v>
      </c>
      <c r="Z9" s="29">
        <f>'Evolutitve SCI'!X33/(('Evolutive SFP'!W27+'Evolutive SFP'!X27)/2)</f>
        <v>1.5891786812317642E-2</v>
      </c>
      <c r="AA9" s="29">
        <f>'Evolutitve SCI'!Y33/(('Evolutive SFP'!X27+'Evolutive SFP'!Y27)/2)</f>
        <v>2.4953525986012467E-2</v>
      </c>
      <c r="AB9" s="29">
        <f>'Evolutitve SCI'!Z33/(('Evolutive SFP'!Y27+'Evolutive SFP'!Z27)/2)</f>
        <v>1.2412624315661749E-2</v>
      </c>
      <c r="AC9" s="29">
        <f>'Evolutitve SCI'!AA33/(('Evolutive SFP'!Z27+'Evolutive SFP'!AA27)/2)</f>
        <v>2.3189128427014878E-2</v>
      </c>
      <c r="AD9" s="29">
        <f>'Evolutitve SCI'!AB33/(('Evolutive SFP'!AA27+'Evolutive SFP'!AB27)/2)</f>
        <v>1.3631228112408424E-5</v>
      </c>
      <c r="AE9" s="29">
        <f>'Evolutitve SCI'!AC33/(('Evolutive SFP'!AB27+'Evolutive SFP'!AC27)/2)</f>
        <v>4.1708895822180842E-3</v>
      </c>
      <c r="AF9" s="29">
        <f>'Evolutitve SCI'!AD33/(('Evolutive SFP'!AC27+'Evolutive SFP'!AD27)/2)</f>
        <v>7.6844175840928676E-3</v>
      </c>
      <c r="AG9" s="29">
        <f>'Evolutitve SCI'!AE33/(('Evolutive SFP'!AD27+'Evolutive SFP'!AE27)/2)</f>
        <v>1.0310221732144053E-2</v>
      </c>
      <c r="AH9" s="29">
        <f>'Evolutitve SCI'!AF33/(('Evolutive SFP'!AE27+'Evolutive SFP'!AF27)/2)</f>
        <v>1.3423645605013964E-2</v>
      </c>
      <c r="AI9" s="29">
        <f>'Evolutitve SCI'!AG33/(('Evolutive SFP'!AF27+'Evolutive SFP'!AG27)/2)</f>
        <v>1.6910833074337842E-2</v>
      </c>
      <c r="AJ9" s="29">
        <f>'Evolutitve SCI'!AH33/(('Evolutive SFP'!AG27+'Evolutive SFP'!AH27)/2)</f>
        <v>1.7749240469563859E-2</v>
      </c>
      <c r="AK9" s="29">
        <f>'Evolutitve SCI'!AI33/(('Evolutive SFP'!AH27+'Evolutive SFP'!AI27)/2)</f>
        <v>1.9455279628216388E-2</v>
      </c>
      <c r="AL9" s="29">
        <f>'Evolutitve SCI'!AJ33/(('Evolutive SFP'!AI27+'Evolutive SFP'!AJ27)/2)</f>
        <v>2.2928832504000622E-2</v>
      </c>
      <c r="AM9" s="29">
        <f>'Evolutitve SCI'!AK33/(('Evolutive SFP'!AJ27+'Evolutive SFP'!AK27)/2)</f>
        <v>2.5817774470291252E-2</v>
      </c>
      <c r="AN9" s="29">
        <f>'Evolutitve SCI'!AL33/(('Evolutive SFP'!AK27+'Evolutive SFP'!AL27)/2)</f>
        <v>2.7701977118254464E-2</v>
      </c>
      <c r="AO9" s="29">
        <f>'Evolutitve SCI'!AM33/(('Evolutive SFP'!AL27+'Evolutive SFP'!AM27)/2)</f>
        <v>1.1689117922351545E-2</v>
      </c>
      <c r="AP9" s="29">
        <f>'Evolutitve SCI'!AN33/(('Evolutive SFP'!AM27+'Evolutive SFP'!AN27)/2)</f>
        <v>1.8486163998280306E-2</v>
      </c>
      <c r="AQ9" s="29">
        <f>'Evolutitve SCI'!AO33/(('Evolutive SFP'!AN27+'Evolutive SFP'!AO27)/2)</f>
        <v>0</v>
      </c>
      <c r="AR9" s="29" t="e">
        <f>'Evolutitve SCI'!AP33/(('Evolutive SFP'!AO27+'Evolutive SFP'!AP27)/2)</f>
        <v>#DIV/0!</v>
      </c>
      <c r="AS9" s="29" t="e">
        <f>'Evolutitve SCI'!AQ33/(('Evolutive SFP'!AP27+'Evolutive SFP'!AQ27)/2)</f>
        <v>#DIV/0!</v>
      </c>
      <c r="AT9" s="29" t="e">
        <f>'Evolutitve SCI'!AR33/(('Evolutive SFP'!AQ27+'Evolutive SFP'!AR27)/2)</f>
        <v>#DIV/0!</v>
      </c>
    </row>
    <row r="10" spans="1:46" ht="15">
      <c r="A10" s="290"/>
      <c r="B10" s="2" t="s">
        <v>114</v>
      </c>
      <c r="C10" s="4"/>
      <c r="D10" s="26">
        <f>'Evolutitve SCI'!B23/'Evolutitve SCI'!B19</f>
        <v>0.66582373294945574</v>
      </c>
      <c r="E10" s="26">
        <f>'Evolutitve SCI'!C23/'Evolutitve SCI'!C19</f>
        <v>0.5067981544829071</v>
      </c>
      <c r="F10" s="26">
        <f>'Evolutitve SCI'!D23/'Evolutitve SCI'!D19</f>
        <v>0.43097091155267298</v>
      </c>
      <c r="G10" s="26">
        <f>'Evolutitve SCI'!E23/'Evolutitve SCI'!E19</f>
        <v>0.42850435439742873</v>
      </c>
      <c r="H10" s="26">
        <f>'Evolutitve SCI'!F23/'Evolutitve SCI'!F19</f>
        <v>0.41931980563479304</v>
      </c>
      <c r="I10" s="26">
        <f>'Evolutitve SCI'!G23/'Evolutitve SCI'!G19</f>
        <v>0.41026009960050913</v>
      </c>
      <c r="J10" s="26">
        <f>'Evolutitve SCI'!H23/'Evolutitve SCI'!H19</f>
        <v>0.41778291735693512</v>
      </c>
      <c r="K10" s="26">
        <f>'Evolutitve SCI'!I23/'Evolutitve SCI'!I19</f>
        <v>0.43547287894867698</v>
      </c>
      <c r="L10" s="26">
        <f>'Evolutitve SCI'!J23/'Evolutitve SCI'!J19</f>
        <v>0.44909064382789143</v>
      </c>
      <c r="M10" s="26">
        <f>'Evolutitve SCI'!K23/'Evolutitve SCI'!K19</f>
        <v>0.45981069765213728</v>
      </c>
      <c r="N10" s="26">
        <f>'Evolutitve SCI'!L23/'Evolutitve SCI'!L19</f>
        <v>0.47704970735307656</v>
      </c>
      <c r="O10" s="26">
        <f>'Evolutitve SCI'!M23/'Evolutitve SCI'!M19</f>
        <v>0.57317580418484138</v>
      </c>
      <c r="P10" s="26">
        <f>'Evolutitve SCI'!N23/'Evolutitve SCI'!N19</f>
        <v>0.46355733158946993</v>
      </c>
      <c r="Q10" s="26">
        <f>'Evolutitve SCI'!O23/'Evolutitve SCI'!O19</f>
        <v>0.53813551519447833</v>
      </c>
      <c r="R10" s="26">
        <f>'Evolutitve SCI'!P23/'Evolutitve SCI'!P19</f>
        <v>0.13675476654135765</v>
      </c>
      <c r="S10" s="26">
        <f>'Evolutitve SCI'!Q23/'Evolutitve SCI'!Q19</f>
        <v>0.32905968941713953</v>
      </c>
      <c r="T10" s="26">
        <f>'Evolutitve SCI'!R23/'Evolutitve SCI'!R19</f>
        <v>0.34894706980912638</v>
      </c>
      <c r="U10" s="26">
        <f>'Evolutitve SCI'!S23/'Evolutitve SCI'!S19</f>
        <v>0.37004672627511109</v>
      </c>
      <c r="V10" s="26">
        <f>'Evolutitve SCI'!T23/'Evolutitve SCI'!T19</f>
        <v>0.32754245078289762</v>
      </c>
      <c r="W10" s="26">
        <f>'Evolutitve SCI'!U23/'Evolutitve SCI'!U19</f>
        <v>0.34220715904666416</v>
      </c>
      <c r="X10" s="26">
        <f>'Evolutitve SCI'!V23/'Evolutitve SCI'!V19</f>
        <v>0.39486063496302076</v>
      </c>
      <c r="Y10" s="26">
        <f>'Evolutitve SCI'!W23/'Evolutitve SCI'!W19</f>
        <v>0.39590314904063767</v>
      </c>
      <c r="Z10" s="26">
        <f>'Evolutitve SCI'!X23/'Evolutitve SCI'!X19</f>
        <v>0.40979570873620225</v>
      </c>
      <c r="AA10" s="26">
        <f>'Evolutitve SCI'!Y23/'Evolutitve SCI'!Y19</f>
        <v>0.4056587517112723</v>
      </c>
      <c r="AB10" s="26">
        <f>'Evolutitve SCI'!Z23/'Evolutitve SCI'!Z19</f>
        <v>0.56515463979300207</v>
      </c>
      <c r="AC10" s="26">
        <f>'Evolutitve SCI'!AA23/'Evolutitve SCI'!AA19</f>
        <v>0.48369752819396927</v>
      </c>
      <c r="AD10" s="26">
        <f>'Evolutitve SCI'!AB23/'Evolutitve SCI'!AB19</f>
        <v>0.28035560105981105</v>
      </c>
      <c r="AE10" s="26">
        <f>'Evolutitve SCI'!AC23/'Evolutitve SCI'!AC19</f>
        <v>0.28258731285827016</v>
      </c>
      <c r="AF10" s="26">
        <f>'Evolutitve SCI'!AD23/'Evolutitve SCI'!AD19</f>
        <v>0.31137159886952548</v>
      </c>
      <c r="AG10" s="26">
        <f>'Evolutitve SCI'!AE23/'Evolutitve SCI'!AE19</f>
        <v>0.3574062308449793</v>
      </c>
      <c r="AH10" s="26">
        <f>'Evolutitve SCI'!AF23/'Evolutitve SCI'!AF19</f>
        <v>0.37329095530211182</v>
      </c>
      <c r="AI10" s="26">
        <f>'Evolutitve SCI'!AG23/'Evolutitve SCI'!AG19</f>
        <v>0.37691196992283788</v>
      </c>
      <c r="AJ10" s="26">
        <f>'Evolutitve SCI'!AH23/'Evolutitve SCI'!AH19</f>
        <v>0.42549997488466035</v>
      </c>
      <c r="AK10" s="26">
        <f>'Evolutitve SCI'!AI23/'Evolutitve SCI'!AI19</f>
        <v>0.4519165926001566</v>
      </c>
      <c r="AL10" s="26">
        <f>'Evolutitve SCI'!AJ23/'Evolutitve SCI'!AJ19</f>
        <v>0.44483763985648694</v>
      </c>
      <c r="AM10" s="26">
        <f>'Evolutitve SCI'!AK23/'Evolutitve SCI'!AK19</f>
        <v>0.44271468932903785</v>
      </c>
      <c r="AN10" s="26">
        <f>'Evolutitve SCI'!AL23/'Evolutitve SCI'!AL19</f>
        <v>0.45703569897023028</v>
      </c>
      <c r="AO10" s="26">
        <f>'Evolutitve SCI'!AM23/'Evolutitve SCI'!AM19</f>
        <v>0.67885708872364148</v>
      </c>
      <c r="AP10" s="26">
        <f>'Evolutitve SCI'!AN23/'Evolutitve SCI'!AN19</f>
        <v>0.54915754624982838</v>
      </c>
      <c r="AQ10" s="26" t="e">
        <f>'Evolutitve SCI'!AO23/'Evolutitve SCI'!AO19</f>
        <v>#DIV/0!</v>
      </c>
      <c r="AR10" s="26" t="e">
        <f>'Evolutitve SCI'!AP23/'Evolutitve SCI'!AP19</f>
        <v>#DIV/0!</v>
      </c>
      <c r="AS10" s="26" t="e">
        <f>'Evolutitve SCI'!AQ23/'Evolutitve SCI'!AQ19</f>
        <v>#DIV/0!</v>
      </c>
      <c r="AT10" s="26" t="e">
        <f>'Evolutitve SCI'!AR23/'Evolutitve SCI'!AR19</f>
        <v>#DIV/0!</v>
      </c>
    </row>
    <row r="11" spans="1:46" ht="18.75" customHeight="1">
      <c r="A11" s="290"/>
      <c r="B11" s="2" t="s">
        <v>115</v>
      </c>
      <c r="C11" s="4"/>
      <c r="D11" s="75">
        <f>('Evolutitve SCI'!B23+'Evolutitve SCI'!B12)/(('Evolutive SFP'!B27+'Evolutive SFP'!D27)/2)</f>
        <v>6.8698886654259038E-3</v>
      </c>
      <c r="E11" s="75">
        <f>('Evolutitve SCI'!C23+'Evolutitve SCI'!C12)/(('Evolutive SFP'!C27+'Evolutive SFP'!E27)/2)</f>
        <v>1.3644312904623151E-2</v>
      </c>
      <c r="F11" s="75">
        <f>('Evolutitve SCI'!D23+'Evolutitve SCI'!D12)/(('Evolutive SFP'!D27+'Evolutive SFP'!F27)/2)</f>
        <v>2.1770816227108372E-2</v>
      </c>
      <c r="G11" s="75">
        <f>('Evolutitve SCI'!E23+'Evolutitve SCI'!E12)/(('Evolutive SFP'!E27+'Evolutive SFP'!G27)/2)</f>
        <v>2.8525329897578323E-2</v>
      </c>
      <c r="H11" s="75">
        <f>('Evolutitve SCI'!F23+'Evolutitve SCI'!F12)/(('Evolutive SFP'!F27+'Evolutive SFP'!H27)/2)</f>
        <v>3.5851309525688844E-2</v>
      </c>
      <c r="I11" s="75">
        <f>('Evolutitve SCI'!G23+'Evolutitve SCI'!G12)/(('Evolutive SFP'!G27+'Evolutive SFP'!I27)/2)</f>
        <v>4.3081130084387138E-2</v>
      </c>
      <c r="J11" s="75">
        <f>('Evolutitve SCI'!H23+'Evolutitve SCI'!H12)/(('Evolutive SFP'!H27+'Evolutive SFP'!J27)/2)</f>
        <v>9.9789418056469875E-2</v>
      </c>
      <c r="K11" s="75">
        <f>('Evolutitve SCI'!I23+'Evolutitve SCI'!I12)/(('Evolutive SFP'!I27+'Evolutive SFP'!K27)/2)</f>
        <v>5.7183066187905619E-2</v>
      </c>
      <c r="L11" s="75" t="e">
        <f>('Evolutitve SCI'!J23+'Evolutitve SCI'!J12)/(('Evolutive SFP'!J27+'Evolutive SFP'!#REF!)/2)</f>
        <v>#REF!</v>
      </c>
      <c r="M11" s="75" t="e">
        <f>('Evolutitve SCI'!K23+'Evolutitve SCI'!K12)/(('Evolutive SFP'!K27+'Evolutive SFP'!#REF!)/2)</f>
        <v>#REF!</v>
      </c>
      <c r="N11" s="75" t="e">
        <f>('Evolutitve SCI'!L23+'Evolutitve SCI'!L12)/(('Evolutive SFP'!L27+'Evolutive SFP'!#REF!)/2)</f>
        <v>#REF!</v>
      </c>
      <c r="O11" s="75" t="e">
        <f>('Evolutitve SCI'!M23+'Evolutitve SCI'!M12)/(('Evolutive SFP'!M27+'Evolutive SFP'!#REF!)/2)</f>
        <v>#REF!</v>
      </c>
      <c r="P11" s="75" t="e">
        <f>('Evolutitve SCI'!N23+'Evolutitve SCI'!N12)/(('Evolutive SFP'!N27+'Evolutive SFP'!#REF!)/2)</f>
        <v>#REF!</v>
      </c>
      <c r="Q11" s="75" t="e">
        <f>('Evolutitve SCI'!O23+'Evolutitve SCI'!O12)/(('Evolutive SFP'!O27+'Evolutive SFP'!#REF!)/2)</f>
        <v>#REF!</v>
      </c>
      <c r="R11" s="75" t="e">
        <f>('Evolutitve SCI'!P23+'Evolutitve SCI'!P12)/(('Evolutive SFP'!P27+'Evolutive SFP'!#REF!)/2)</f>
        <v>#REF!</v>
      </c>
      <c r="S11" s="75" t="e">
        <f>('Evolutitve SCI'!Q23+'Evolutitve SCI'!Q12)/(('Evolutive SFP'!Q27+'Evolutive SFP'!#REF!)/2)</f>
        <v>#REF!</v>
      </c>
      <c r="T11" s="75" t="e">
        <f>('Evolutitve SCI'!R23+'Evolutitve SCI'!R12)/(('Evolutive SFP'!R27+'Evolutive SFP'!#REF!)/2)</f>
        <v>#REF!</v>
      </c>
      <c r="U11" s="75" t="e">
        <f>('Evolutitve SCI'!S23+'Evolutitve SCI'!S12)/(('Evolutive SFP'!S27+'Evolutive SFP'!#REF!)/2)</f>
        <v>#REF!</v>
      </c>
      <c r="V11" s="75" t="e">
        <f>('Evolutitve SCI'!T23+'Evolutitve SCI'!T12)/(('Evolutive SFP'!T27+'Evolutive SFP'!#REF!)/2)</f>
        <v>#REF!</v>
      </c>
      <c r="W11" s="75" t="e">
        <f>('Evolutitve SCI'!U23+'Evolutitve SCI'!U12)/(('Evolutive SFP'!U27+'Evolutive SFP'!#REF!)/2)</f>
        <v>#REF!</v>
      </c>
      <c r="X11" s="75" t="e">
        <f>('Evolutitve SCI'!V23+'Evolutitve SCI'!V12)/(('Evolutive SFP'!V27+'Evolutive SFP'!#REF!)/2)</f>
        <v>#REF!</v>
      </c>
      <c r="Y11" s="75" t="e">
        <f>('Evolutitve SCI'!W23+'Evolutitve SCI'!W12)/(('Evolutive SFP'!W27+'Evolutive SFP'!#REF!)/2)</f>
        <v>#REF!</v>
      </c>
      <c r="Z11" s="75" t="e">
        <f>('Evolutitve SCI'!X23+'Evolutitve SCI'!X12)/(('Evolutive SFP'!X27+'Evolutive SFP'!#REF!)/2)</f>
        <v>#REF!</v>
      </c>
      <c r="AA11" s="75" t="e">
        <f>('Evolutitve SCI'!Y23+'Evolutitve SCI'!Y12)/(('Evolutive SFP'!Y27+'Evolutive SFP'!#REF!)/2)</f>
        <v>#REF!</v>
      </c>
      <c r="AB11" s="75" t="e">
        <f>('Evolutitve SCI'!Z23+'Evolutitve SCI'!Z12)/(('Evolutive SFP'!Z27+'Evolutive SFP'!#REF!)/2)</f>
        <v>#REF!</v>
      </c>
      <c r="AC11" s="75" t="e">
        <f>('Evolutitve SCI'!AA23+'Evolutitve SCI'!AA12)/(('Evolutive SFP'!AA27+'Evolutive SFP'!#REF!)/2)</f>
        <v>#REF!</v>
      </c>
      <c r="AD11" s="75" t="e">
        <f>('Evolutitve SCI'!AB23+'Evolutitve SCI'!AB12)/(('Evolutive SFP'!AB27+'Evolutive SFP'!#REF!)/2)</f>
        <v>#REF!</v>
      </c>
      <c r="AE11" s="75" t="e">
        <f>('Evolutitve SCI'!AC23+'Evolutitve SCI'!AC12)/(('Evolutive SFP'!AC27+'Evolutive SFP'!#REF!)/2)</f>
        <v>#REF!</v>
      </c>
      <c r="AF11" s="75" t="e">
        <f>('Evolutitve SCI'!AD23+'Evolutitve SCI'!AD12)/(('Evolutive SFP'!AD27+'Evolutive SFP'!#REF!)/2)</f>
        <v>#REF!</v>
      </c>
      <c r="AG11" s="75" t="e">
        <f>('Evolutitve SCI'!AE23+'Evolutitve SCI'!AE12)/(('Evolutive SFP'!AE27+'Evolutive SFP'!#REF!)/2)</f>
        <v>#REF!</v>
      </c>
      <c r="AH11" s="75" t="e">
        <f>('Evolutitve SCI'!AF23+'Evolutitve SCI'!AF12)/(('Evolutive SFP'!AF27+'Evolutive SFP'!#REF!)/2)</f>
        <v>#REF!</v>
      </c>
      <c r="AI11" s="75" t="e">
        <f>('Evolutitve SCI'!AG23+'Evolutitve SCI'!AG12)/(('Evolutive SFP'!AG27+'Evolutive SFP'!#REF!)/2)</f>
        <v>#REF!</v>
      </c>
      <c r="AJ11" s="75" t="e">
        <f>('Evolutitve SCI'!AH23+'Evolutitve SCI'!AH12)/(('Evolutive SFP'!AH27+'Evolutive SFP'!#REF!)/2)</f>
        <v>#REF!</v>
      </c>
      <c r="AK11" s="75" t="e">
        <f>('Evolutitve SCI'!AI23+'Evolutitve SCI'!AI12)/(('Evolutive SFP'!AI27+'Evolutive SFP'!#REF!)/2)</f>
        <v>#REF!</v>
      </c>
      <c r="AL11" s="75" t="e">
        <f>('Evolutitve SCI'!AJ23+'Evolutitve SCI'!AJ12)/(('Evolutive SFP'!AJ27+'Evolutive SFP'!#REF!)/2)</f>
        <v>#REF!</v>
      </c>
      <c r="AM11" s="75" t="e">
        <f>('Evolutitve SCI'!AK23+'Evolutitve SCI'!AK12)/(('Evolutive SFP'!AK27+'Evolutive SFP'!#REF!)/2)</f>
        <v>#REF!</v>
      </c>
      <c r="AN11" s="75" t="e">
        <f>('Evolutitve SCI'!AL23+'Evolutitve SCI'!AL12)/(('Evolutive SFP'!AL27+'Evolutive SFP'!#REF!)/2)</f>
        <v>#REF!</v>
      </c>
      <c r="AO11" s="75" t="e">
        <f>('Evolutitve SCI'!AM23+'Evolutitve SCI'!AM12)/(('Evolutive SFP'!AM27+'Evolutive SFP'!#REF!)/2)</f>
        <v>#REF!</v>
      </c>
      <c r="AP11" s="75" t="e">
        <f>('Evolutitve SCI'!AN23+'Evolutitve SCI'!AN12)/(('Evolutive SFP'!AN27+'Evolutive SFP'!#REF!)/2)</f>
        <v>#REF!</v>
      </c>
      <c r="AQ11" s="75" t="e">
        <f>('Evolutitve SCI'!AO23+'Evolutitve SCI'!AO12)/(('Evolutive SFP'!AO27+'Evolutive SFP'!#REF!)/2)</f>
        <v>#REF!</v>
      </c>
      <c r="AR11" s="75" t="e">
        <f>('Evolutitve SCI'!AP23+'Evolutitve SCI'!AP12)/(('Evolutive SFP'!AP27+'Evolutive SFP'!#REF!)/2)</f>
        <v>#REF!</v>
      </c>
      <c r="AS11" s="75" t="e">
        <f>('Evolutitve SCI'!AQ23+'Evolutitve SCI'!AQ12)/(('Evolutive SFP'!AQ27+'Evolutive SFP'!#REF!)/2)</f>
        <v>#REF!</v>
      </c>
      <c r="AT11" s="75" t="e">
        <f>('Evolutitve SCI'!AR23+'Evolutitve SCI'!AR12)/(('Evolutive SFP'!AR27+'Evolutive SFP'!#REF!)/2)</f>
        <v>#REF!</v>
      </c>
    </row>
    <row r="12" spans="1:46" ht="15">
      <c r="A12" s="290" t="s">
        <v>116</v>
      </c>
      <c r="B12" s="2" t="s">
        <v>117</v>
      </c>
      <c r="C12" s="4" t="s">
        <v>118</v>
      </c>
      <c r="D12" s="26">
        <f>('Evolutive SFP'!B4)/('Evolutive SFP'!B28+'Evolutive SFP'!B29+'Evolutive SFP'!B32+'Evolutive SFP'!B33+'Evolutive SFP'!B34+'Evolutive SFP'!B35+'Evolutive SFP'!B36)</f>
        <v>1.2990297916816131</v>
      </c>
      <c r="E12" s="26">
        <f>('Evolutive SFP'!C4)/('Evolutive SFP'!C28+'Evolutive SFP'!C29+'Evolutive SFP'!C32+'Evolutive SFP'!C33+'Evolutive SFP'!C34+'Evolutive SFP'!C35+'Evolutive SFP'!C36)</f>
        <v>1.5695611471904996</v>
      </c>
      <c r="F12" s="26">
        <f>('Evolutive SFP'!D4)/('Evolutive SFP'!D28+'Evolutive SFP'!D29+'Evolutive SFP'!D32+'Evolutive SFP'!D33+'Evolutive SFP'!D34+'Evolutive SFP'!D35+'Evolutive SFP'!D36)</f>
        <v>2.0708481798381042</v>
      </c>
      <c r="G12" s="26">
        <f>('Evolutive SFP'!E4)/('Evolutive SFP'!E28+'Evolutive SFP'!E29+'Evolutive SFP'!E32+'Evolutive SFP'!E33+'Evolutive SFP'!E34+'Evolutive SFP'!E35+'Evolutive SFP'!E36)</f>
        <v>1.4508829920894466</v>
      </c>
      <c r="H12" s="26">
        <f>('Evolutive SFP'!F4)/('Evolutive SFP'!F28+'Evolutive SFP'!F29+'Evolutive SFP'!F32+'Evolutive SFP'!F33+'Evolutive SFP'!F34+'Evolutive SFP'!F35+'Evolutive SFP'!F36)</f>
        <v>1.6511522058845829</v>
      </c>
      <c r="I12" s="26">
        <f>('Evolutive SFP'!G4)/('Evolutive SFP'!G28+'Evolutive SFP'!G29+'Evolutive SFP'!G32+'Evolutive SFP'!G33+'Evolutive SFP'!G34+'Evolutive SFP'!G35+'Evolutive SFP'!G36)</f>
        <v>1.8844783976537016</v>
      </c>
      <c r="J12" s="26">
        <f>('Evolutive SFP'!H4)/('Evolutive SFP'!H28+'Evolutive SFP'!H29+'Evolutive SFP'!H32+'Evolutive SFP'!H33+'Evolutive SFP'!H34+'Evolutive SFP'!H35+'Evolutive SFP'!H36)</f>
        <v>1.9467039003235176</v>
      </c>
      <c r="K12" s="26">
        <f>('Evolutive SFP'!I4)/('Evolutive SFP'!I28+'Evolutive SFP'!I29+'Evolutive SFP'!I32+'Evolutive SFP'!I33+'Evolutive SFP'!I34+'Evolutive SFP'!I35+'Evolutive SFP'!I36)</f>
        <v>1.8231720483877125</v>
      </c>
      <c r="L12" s="26">
        <f>('Evolutive SFP'!J4)/('Evolutive SFP'!J28+'Evolutive SFP'!J29+'Evolutive SFP'!J32+'Evolutive SFP'!J33+'Evolutive SFP'!J34+'Evolutive SFP'!J35+'Evolutive SFP'!J36)</f>
        <v>1.7394184837294511</v>
      </c>
      <c r="M12" s="26">
        <f>('Evolutive SFP'!K4)/('Evolutive SFP'!K28+'Evolutive SFP'!K29+'Evolutive SFP'!K32+'Evolutive SFP'!K33+'Evolutive SFP'!K34+'Evolutive SFP'!K35+'Evolutive SFP'!K36)</f>
        <v>1.7859040417936012</v>
      </c>
      <c r="N12" s="26">
        <f>('Evolutive SFP'!L4)/('Evolutive SFP'!L28+'Evolutive SFP'!L29+'Evolutive SFP'!L32+'Evolutive SFP'!L33+'Evolutive SFP'!L34+'Evolutive SFP'!L35+'Evolutive SFP'!L36)</f>
        <v>1.8871095463890302</v>
      </c>
      <c r="O12" s="26">
        <f>('Evolutive SFP'!M4)/('Evolutive SFP'!M28+'Evolutive SFP'!M29+'Evolutive SFP'!M32+'Evolutive SFP'!M33+'Evolutive SFP'!M34+'Evolutive SFP'!M35+'Evolutive SFP'!M36)</f>
        <v>1.6545192035850327</v>
      </c>
      <c r="P12" s="26">
        <f>('Evolutive SFP'!N4)/('Evolutive SFP'!N28+'Evolutive SFP'!N29+'Evolutive SFP'!N32+'Evolutive SFP'!N33+'Evolutive SFP'!N34+'Evolutive SFP'!N35+'Evolutive SFP'!N36)</f>
        <v>7.6913764353945015E-3</v>
      </c>
      <c r="Q12" s="26">
        <f>('Evolutive SFP'!O4)/('Evolutive SFP'!O28+'Evolutive SFP'!O29+'Evolutive SFP'!O32+'Evolutive SFP'!O33+'Evolutive SFP'!O34+'Evolutive SFP'!O35+'Evolutive SFP'!O36)</f>
        <v>1.8283540069405368</v>
      </c>
      <c r="R12" s="26">
        <f>('Evolutive SFP'!P4)/('Evolutive SFP'!P28+'Evolutive SFP'!P29+'Evolutive SFP'!P32+'Evolutive SFP'!P33+'Evolutive SFP'!P34+'Evolutive SFP'!P35+'Evolutive SFP'!P36)</f>
        <v>2.0924982591635408</v>
      </c>
      <c r="S12" s="26">
        <f>('Evolutive SFP'!Q4)/('Evolutive SFP'!Q28+'Evolutive SFP'!Q29+'Evolutive SFP'!Q32+'Evolutive SFP'!Q33+'Evolutive SFP'!Q34+'Evolutive SFP'!Q35+'Evolutive SFP'!Q36)</f>
        <v>2.0544947846850516</v>
      </c>
      <c r="T12" s="26">
        <f>('Evolutive SFP'!R4)/('Evolutive SFP'!R28+'Evolutive SFP'!R29+'Evolutive SFP'!R32+'Evolutive SFP'!R33+'Evolutive SFP'!R34+'Evolutive SFP'!R35+'Evolutive SFP'!R36)</f>
        <v>1.9311184883850026</v>
      </c>
      <c r="U12" s="26">
        <f>('Evolutive SFP'!S4)/('Evolutive SFP'!S28+'Evolutive SFP'!S29+'Evolutive SFP'!S32+'Evolutive SFP'!S33+'Evolutive SFP'!S34+'Evolutive SFP'!S35+'Evolutive SFP'!S36)</f>
        <v>1.8044859914782521</v>
      </c>
      <c r="V12" s="26">
        <f>('Evolutive SFP'!T4)/('Evolutive SFP'!T28+'Evolutive SFP'!T29+'Evolutive SFP'!T32+'Evolutive SFP'!T33+'Evolutive SFP'!T34+'Evolutive SFP'!T35+'Evolutive SFP'!T36)</f>
        <v>1.8411376842795615</v>
      </c>
      <c r="W12" s="26">
        <f>('Evolutive SFP'!U4)/('Evolutive SFP'!U28+'Evolutive SFP'!U29+'Evolutive SFP'!U32+'Evolutive SFP'!U33+'Evolutive SFP'!U34+'Evolutive SFP'!U35+'Evolutive SFP'!U36)</f>
        <v>1.9494715729759904</v>
      </c>
      <c r="X12" s="26">
        <f>('Evolutive SFP'!V4)/('Evolutive SFP'!V28+'Evolutive SFP'!V29+'Evolutive SFP'!V32+'Evolutive SFP'!V33+'Evolutive SFP'!V34+'Evolutive SFP'!V35+'Evolutive SFP'!V36)</f>
        <v>1.6693175512766862</v>
      </c>
      <c r="Y12" s="26">
        <f>('Evolutive SFP'!W4)/('Evolutive SFP'!W28+'Evolutive SFP'!W29+'Evolutive SFP'!W32+'Evolutive SFP'!W33+'Evolutive SFP'!W34+'Evolutive SFP'!W35+'Evolutive SFP'!W36)</f>
        <v>1.526712124270541</v>
      </c>
      <c r="Z12" s="26">
        <f>('Evolutive SFP'!X4)/('Evolutive SFP'!X28+'Evolutive SFP'!X29+'Evolutive SFP'!X32+'Evolutive SFP'!X33+'Evolutive SFP'!X34+'Evolutive SFP'!X35+'Evolutive SFP'!X36)</f>
        <v>1.55986263360541</v>
      </c>
      <c r="AA12" s="26">
        <f>('Evolutive SFP'!Y4)/('Evolutive SFP'!Y28+'Evolutive SFP'!Y29+'Evolutive SFP'!Y32+'Evolutive SFP'!Y33+'Evolutive SFP'!Y34+'Evolutive SFP'!Y35+'Evolutive SFP'!Y36)</f>
        <v>1.522558655844001</v>
      </c>
      <c r="AB12" s="26">
        <f>('Evolutive SFP'!Z4)/('Evolutive SFP'!Z28+'Evolutive SFP'!Z29+'Evolutive SFP'!Z32+'Evolutive SFP'!Z33+'Evolutive SFP'!Z34+'Evolutive SFP'!Z35+'Evolutive SFP'!Z36)</f>
        <v>1.3371439611617109</v>
      </c>
      <c r="AC12" s="26">
        <f>('Evolutive SFP'!AA4)/('Evolutive SFP'!AA28+'Evolutive SFP'!AA29+'Evolutive SFP'!AA32+'Evolutive SFP'!AA33+'Evolutive SFP'!AA34+'Evolutive SFP'!AA35+'Evolutive SFP'!AA36)</f>
        <v>1.3926719988343472</v>
      </c>
      <c r="AD12" s="26">
        <f>('Evolutive SFP'!AB4)/('Evolutive SFP'!AB28+'Evolutive SFP'!AB29+'Evolutive SFP'!AB32+'Evolutive SFP'!AB33+'Evolutive SFP'!AB34+'Evolutive SFP'!AB35+'Evolutive SFP'!AB36)</f>
        <v>1.2595979949485898</v>
      </c>
      <c r="AE12" s="26">
        <f>('Evolutive SFP'!AC4)/('Evolutive SFP'!AC28+'Evolutive SFP'!AC29+'Evolutive SFP'!AC32+'Evolutive SFP'!AC33+'Evolutive SFP'!AC34+'Evolutive SFP'!AC35+'Evolutive SFP'!AC36)</f>
        <v>1.1468006628709604</v>
      </c>
      <c r="AF12" s="26">
        <f>('Evolutive SFP'!AD4)/('Evolutive SFP'!AD28+'Evolutive SFP'!AD29+'Evolutive SFP'!AD32+'Evolutive SFP'!AD33+'Evolutive SFP'!AD34+'Evolutive SFP'!AD35+'Evolutive SFP'!AD36)</f>
        <v>1.8282045572640686</v>
      </c>
      <c r="AG12" s="26">
        <f>('Evolutive SFP'!AE4)/('Evolutive SFP'!AE28+'Evolutive SFP'!AE29+'Evolutive SFP'!AE32+'Evolutive SFP'!AE33+'Evolutive SFP'!AE34+'Evolutive SFP'!AE35+'Evolutive SFP'!AE36)</f>
        <v>1.9213787449970716</v>
      </c>
      <c r="AH12" s="26">
        <f>('Evolutive SFP'!AF4)/('Evolutive SFP'!AF28+'Evolutive SFP'!AF29+'Evolutive SFP'!AF32+'Evolutive SFP'!AF33+'Evolutive SFP'!AF34+'Evolutive SFP'!AF35+'Evolutive SFP'!AF36)</f>
        <v>1.9764372591489678</v>
      </c>
      <c r="AI12" s="26">
        <f>('Evolutive SFP'!AG4)/('Evolutive SFP'!AG28+'Evolutive SFP'!AG29+'Evolutive SFP'!AG32+'Evolutive SFP'!AG33+'Evolutive SFP'!AG34+'Evolutive SFP'!AG35+'Evolutive SFP'!AG36)</f>
        <v>2.0486708255269579</v>
      </c>
      <c r="AJ12" s="26">
        <f>('Evolutive SFP'!AH4)/('Evolutive SFP'!AH28+'Evolutive SFP'!AH29+'Evolutive SFP'!AH32+'Evolutive SFP'!AH33+'Evolutive SFP'!AH34+'Evolutive SFP'!AH35+'Evolutive SFP'!AH36)</f>
        <v>1.8037132837626131</v>
      </c>
      <c r="AK12" s="26">
        <f>('Evolutive SFP'!AI4)/('Evolutive SFP'!AI28+'Evolutive SFP'!AI29+'Evolutive SFP'!AI32+'Evolutive SFP'!AI33+'Evolutive SFP'!AI34+'Evolutive SFP'!AI35+'Evolutive SFP'!AI36)</f>
        <v>1.7709674408078573</v>
      </c>
      <c r="AL12" s="26">
        <f>('Evolutive SFP'!AJ4)/('Evolutive SFP'!AJ28+'Evolutive SFP'!AJ29+'Evolutive SFP'!AJ32+'Evolutive SFP'!AJ33+'Evolutive SFP'!AJ34+'Evolutive SFP'!AJ35+'Evolutive SFP'!AJ36)</f>
        <v>1.2484192415307689</v>
      </c>
      <c r="AM12" s="26">
        <f>('Evolutive SFP'!AK4)/('Evolutive SFP'!AK28+'Evolutive SFP'!AK29+'Evolutive SFP'!AK32+'Evolutive SFP'!AK33+'Evolutive SFP'!AK34+'Evolutive SFP'!AK35+'Evolutive SFP'!AK36)</f>
        <v>1.2330077713620218</v>
      </c>
      <c r="AN12" s="26">
        <f>('Evolutive SFP'!AL4)/('Evolutive SFP'!AL28+'Evolutive SFP'!AL29+'Evolutive SFP'!AL32+'Evolutive SFP'!AL33+'Evolutive SFP'!AL34+'Evolutive SFP'!AL35+'Evolutive SFP'!AL36)</f>
        <v>1.1852492853214636</v>
      </c>
      <c r="AO12" s="26">
        <f>('Evolutive SFP'!AM4)/('Evolutive SFP'!AM28+'Evolutive SFP'!AM29+'Evolutive SFP'!AM32+'Evolutive SFP'!AM33+'Evolutive SFP'!AM34+'Evolutive SFP'!AM35+'Evolutive SFP'!AM36)</f>
        <v>1.0447534709916295</v>
      </c>
      <c r="AP12" s="26">
        <f>('Evolutive SFP'!AN4)/('Evolutive SFP'!AN28+'Evolutive SFP'!AN29+'Evolutive SFP'!AN32+'Evolutive SFP'!AN33+'Evolutive SFP'!AN34+'Evolutive SFP'!AN35+'Evolutive SFP'!AN36)</f>
        <v>1.6485720360002836</v>
      </c>
      <c r="AQ12" s="26" t="e">
        <f>('Evolutive SFP'!AO4)/('Evolutive SFP'!AO28+'Evolutive SFP'!AO29+'Evolutive SFP'!AO32+'Evolutive SFP'!AO33+'Evolutive SFP'!AO34+'Evolutive SFP'!AO35+'Evolutive SFP'!AO36)</f>
        <v>#DIV/0!</v>
      </c>
      <c r="AR12" s="26" t="e">
        <f>('Evolutive SFP'!AP4)/('Evolutive SFP'!AP28+'Evolutive SFP'!AP29+'Evolutive SFP'!AP32+'Evolutive SFP'!AP33+'Evolutive SFP'!AP34+'Evolutive SFP'!AP35+'Evolutive SFP'!AP36)</f>
        <v>#DIV/0!</v>
      </c>
      <c r="AS12" s="26" t="e">
        <f>('Evolutive SFP'!AQ4)/('Evolutive SFP'!AQ28+'Evolutive SFP'!AQ29+'Evolutive SFP'!AQ32+'Evolutive SFP'!AQ33+'Evolutive SFP'!AQ34+'Evolutive SFP'!AQ35+'Evolutive SFP'!AQ36)</f>
        <v>#DIV/0!</v>
      </c>
      <c r="AT12" s="26" t="e">
        <f>('Evolutive SFP'!AR4)/('Evolutive SFP'!AR28+'Evolutive SFP'!AR29+'Evolutive SFP'!AR32+'Evolutive SFP'!AR33+'Evolutive SFP'!AR34+'Evolutive SFP'!AR35+'Evolutive SFP'!AR36)</f>
        <v>#DIV/0!</v>
      </c>
    </row>
    <row r="13" spans="1:46" ht="15">
      <c r="A13" s="290"/>
      <c r="B13" s="2" t="s">
        <v>119</v>
      </c>
      <c r="C13" s="19"/>
      <c r="D13" s="26">
        <f>'Evolutive SFP'!B4/('Evolutive SFP'!B31+'Evolutive SFP'!B36)</f>
        <v>0.16515157850890272</v>
      </c>
      <c r="E13" s="26">
        <f>'Evolutive SFP'!C4/('Evolutive SFP'!C31+'Evolutive SFP'!C36)</f>
        <v>0.17383906900710377</v>
      </c>
      <c r="F13" s="26">
        <f>'Evolutive SFP'!D4/('Evolutive SFP'!D31+'Evolutive SFP'!D36)</f>
        <v>0.13408856354265314</v>
      </c>
      <c r="G13" s="26">
        <f>'Evolutive SFP'!E4/('Evolutive SFP'!E31+'Evolutive SFP'!E36)</f>
        <v>9.1189442648747801E-2</v>
      </c>
      <c r="H13" s="26">
        <f>'Evolutive SFP'!F4/('Evolutive SFP'!F31+'Evolutive SFP'!F36)</f>
        <v>0.11271428880517995</v>
      </c>
      <c r="I13" s="26">
        <f>'Evolutive SFP'!G4/('Evolutive SFP'!G31+'Evolutive SFP'!G36)</f>
        <v>0.14594654136142812</v>
      </c>
      <c r="J13" s="26">
        <f>'Evolutive SFP'!H4/('Evolutive SFP'!H31+'Evolutive SFP'!H36)</f>
        <v>0.15829657856904064</v>
      </c>
      <c r="K13" s="26">
        <f>'Evolutive SFP'!I4/('Evolutive SFP'!I31+'Evolutive SFP'!I36)</f>
        <v>0.15656509284770062</v>
      </c>
      <c r="L13" s="26">
        <f>'Evolutive SFP'!J4/('Evolutive SFP'!J31+'Evolutive SFP'!J36)</f>
        <v>0.15647657549314664</v>
      </c>
      <c r="M13" s="26">
        <f>'Evolutive SFP'!K4/('Evolutive SFP'!K31+'Evolutive SFP'!K36)</f>
        <v>0.16758191334644978</v>
      </c>
      <c r="N13" s="26">
        <f>'Evolutive SFP'!L4/('Evolutive SFP'!L31+'Evolutive SFP'!L36)</f>
        <v>0.18629672867483127</v>
      </c>
      <c r="O13" s="26">
        <f>'Evolutive SFP'!M4/('Evolutive SFP'!M31+'Evolutive SFP'!M36)</f>
        <v>0.18688614955625057</v>
      </c>
      <c r="P13" s="26">
        <f>'Evolutive SFP'!N4/('Evolutive SFP'!N31+'Evolutive SFP'!N36)</f>
        <v>7.6032057220152514E-3</v>
      </c>
      <c r="Q13" s="26">
        <f>'Evolutive SFP'!O4/('Evolutive SFP'!O31+'Evolutive SFP'!O36)</f>
        <v>0.1998343206212202</v>
      </c>
      <c r="R13" s="26">
        <f>'Evolutive SFP'!P4/('Evolutive SFP'!P31+'Evolutive SFP'!P36)</f>
        <v>0.21075964451020263</v>
      </c>
      <c r="S13" s="26">
        <f>'Evolutive SFP'!Q4/('Evolutive SFP'!Q31+'Evolutive SFP'!Q36)</f>
        <v>0.15735786952028111</v>
      </c>
      <c r="T13" s="26">
        <f>'Evolutive SFP'!R4/('Evolutive SFP'!R31+'Evolutive SFP'!R36)</f>
        <v>0.14812690537319995</v>
      </c>
      <c r="U13" s="26">
        <f>'Evolutive SFP'!S4/('Evolutive SFP'!S31+'Evolutive SFP'!S36)</f>
        <v>0.14244148954611086</v>
      </c>
      <c r="V13" s="26">
        <f>'Evolutive SFP'!T4/('Evolutive SFP'!T31+'Evolutive SFP'!T36)</f>
        <v>0.14595325262427411</v>
      </c>
      <c r="W13" s="26">
        <f>'Evolutive SFP'!U4/('Evolutive SFP'!U31+'Evolutive SFP'!U36)</f>
        <v>0.17416326260342979</v>
      </c>
      <c r="X13" s="26">
        <f>'Evolutive SFP'!V4/('Evolutive SFP'!V31+'Evolutive SFP'!V36)</f>
        <v>0.17365579720493635</v>
      </c>
      <c r="Y13" s="26">
        <f>'Evolutive SFP'!W4/('Evolutive SFP'!W31+'Evolutive SFP'!W36)</f>
        <v>0.16928508798335223</v>
      </c>
      <c r="Z13" s="26">
        <f>'Evolutive SFP'!X4/('Evolutive SFP'!X31+'Evolutive SFP'!X36)</f>
        <v>0.17703941727278991</v>
      </c>
      <c r="AA13" s="26">
        <f>'Evolutive SFP'!Y4/('Evolutive SFP'!Y31+'Evolutive SFP'!Y36)</f>
        <v>0.18265424944683578</v>
      </c>
      <c r="AB13" s="26">
        <f>'Evolutive SFP'!Z4/('Evolutive SFP'!Z31+'Evolutive SFP'!Z36)</f>
        <v>0.18257132190289227</v>
      </c>
      <c r="AC13" s="26">
        <f>'Evolutive SFP'!AA4/('Evolutive SFP'!AA31+'Evolutive SFP'!AA36)</f>
        <v>0.18347757386322658</v>
      </c>
      <c r="AD13" s="26">
        <f>'Evolutive SFP'!AB4/('Evolutive SFP'!AB31+'Evolutive SFP'!AB36)</f>
        <v>0.17589344187120232</v>
      </c>
      <c r="AE13" s="26">
        <f>'Evolutive SFP'!AC4/('Evolutive SFP'!AC31+'Evolutive SFP'!AC36)</f>
        <v>0.16420389261541005</v>
      </c>
      <c r="AF13" s="26">
        <f>'Evolutive SFP'!AD4/('Evolutive SFP'!AD31+'Evolutive SFP'!AD36)</f>
        <v>0.18930660352511391</v>
      </c>
      <c r="AG13" s="26">
        <f>'Evolutive SFP'!AE4/('Evolutive SFP'!AE31+'Evolutive SFP'!AE36)</f>
        <v>0.17822470961363909</v>
      </c>
      <c r="AH13" s="26">
        <f>'Evolutive SFP'!AF4/('Evolutive SFP'!AF31+'Evolutive SFP'!AF36)</f>
        <v>0.18070638494650629</v>
      </c>
      <c r="AI13" s="26">
        <f>'Evolutive SFP'!AG4/('Evolutive SFP'!AG31+'Evolutive SFP'!AG36)</f>
        <v>0.19934255349362623</v>
      </c>
      <c r="AJ13" s="26">
        <f>'Evolutive SFP'!AH4/('Evolutive SFP'!AH31+'Evolutive SFP'!AH36)</f>
        <v>0.19267153588570421</v>
      </c>
      <c r="AK13" s="26">
        <f>'Evolutive SFP'!AI4/('Evolutive SFP'!AI31+'Evolutive SFP'!AI36)</f>
        <v>0.19191235494546274</v>
      </c>
      <c r="AL13" s="26">
        <f>'Evolutive SFP'!AJ4/('Evolutive SFP'!AJ31+'Evolutive SFP'!AJ36)</f>
        <v>0.1403645299054341</v>
      </c>
      <c r="AM13" s="26">
        <f>'Evolutive SFP'!AK4/('Evolutive SFP'!AK31+'Evolutive SFP'!AK36)</f>
        <v>0.14690572485484474</v>
      </c>
      <c r="AN13" s="26">
        <f>'Evolutive SFP'!AL4/('Evolutive SFP'!AL31+'Evolutive SFP'!AL36)</f>
        <v>0.1469170050538316</v>
      </c>
      <c r="AO13" s="26">
        <f>'Evolutive SFP'!AM4/('Evolutive SFP'!AM31+'Evolutive SFP'!AM36)</f>
        <v>0.14725463778784878</v>
      </c>
      <c r="AP13" s="26">
        <f>'Evolutive SFP'!AN4/('Evolutive SFP'!AN31+'Evolutive SFP'!AN36)</f>
        <v>0.26310239398442142</v>
      </c>
      <c r="AQ13" s="26" t="e">
        <f>'Evolutive SFP'!AO4/('Evolutive SFP'!AO31+'Evolutive SFP'!AO36)</f>
        <v>#DIV/0!</v>
      </c>
      <c r="AR13" s="26" t="e">
        <f>'Evolutive SFP'!AP4/('Evolutive SFP'!AP31+'Evolutive SFP'!AP36)</f>
        <v>#DIV/0!</v>
      </c>
      <c r="AS13" s="26" t="e">
        <f>'Evolutive SFP'!AQ4/('Evolutive SFP'!AQ31+'Evolutive SFP'!AQ36)</f>
        <v>#DIV/0!</v>
      </c>
      <c r="AT13" s="26" t="e">
        <f>'Evolutive SFP'!AR4/('Evolutive SFP'!AR31+'Evolutive SFP'!AR36)</f>
        <v>#DIV/0!</v>
      </c>
    </row>
    <row r="14" spans="1:46" ht="15">
      <c r="A14" s="290"/>
      <c r="B14" s="2" t="s">
        <v>120</v>
      </c>
      <c r="C14" s="4" t="s">
        <v>121</v>
      </c>
      <c r="D14" s="26">
        <f>'Evolutive SFP'!B37/'Evolutive SFP'!B27</f>
        <v>0</v>
      </c>
      <c r="E14" s="26">
        <f>'Evolutive SFP'!C37/'Evolutive SFP'!C27</f>
        <v>1.9921986757578925E-3</v>
      </c>
      <c r="F14" s="26">
        <f>'Evolutive SFP'!D37/'Evolutive SFP'!D27</f>
        <v>0</v>
      </c>
      <c r="G14" s="26">
        <f>'Evolutive SFP'!E37/'Evolutive SFP'!E27</f>
        <v>0</v>
      </c>
      <c r="H14" s="26">
        <f>'Evolutive SFP'!F37/'Evolutive SFP'!F27</f>
        <v>0</v>
      </c>
      <c r="I14" s="26">
        <f>'Evolutive SFP'!G37/'Evolutive SFP'!G27</f>
        <v>0</v>
      </c>
      <c r="J14" s="26">
        <f>'Evolutive SFP'!H37/'Evolutive SFP'!H27</f>
        <v>0</v>
      </c>
      <c r="K14" s="26">
        <f>'Evolutive SFP'!I37/'Evolutive SFP'!I27</f>
        <v>0</v>
      </c>
      <c r="L14" s="26">
        <f>'Evolutive SFP'!J37/'Evolutive SFP'!J27</f>
        <v>0</v>
      </c>
      <c r="M14" s="26">
        <f>'Evolutive SFP'!K37/'Evolutive SFP'!K27</f>
        <v>0</v>
      </c>
      <c r="N14" s="26">
        <f>'Evolutive SFP'!L37/'Evolutive SFP'!L27</f>
        <v>-1.2697433823710524E-5</v>
      </c>
      <c r="O14" s="26">
        <f>'Evolutive SFP'!M37/'Evolutive SFP'!M27</f>
        <v>1.0502602105583001E-3</v>
      </c>
      <c r="P14" s="26">
        <f>'Evolutive SFP'!N37/'Evolutive SFP'!N27</f>
        <v>0</v>
      </c>
      <c r="Q14" s="26">
        <f>'Evolutive SFP'!O37/'Evolutive SFP'!O27</f>
        <v>1.8332544572899358E-3</v>
      </c>
      <c r="R14" s="26">
        <f>'Evolutive SFP'!P37/'Evolutive SFP'!P27</f>
        <v>1.6101490307958235E-3</v>
      </c>
      <c r="S14" s="26">
        <f>'Evolutive SFP'!Q37/'Evolutive SFP'!Q27</f>
        <v>9.9364750547013066E-4</v>
      </c>
      <c r="T14" s="26">
        <f>'Evolutive SFP'!R37/'Evolutive SFP'!R27</f>
        <v>6.5958455123033466E-4</v>
      </c>
      <c r="U14" s="26">
        <f>'Evolutive SFP'!S37/'Evolutive SFP'!S27</f>
        <v>6.443499106301543E-4</v>
      </c>
      <c r="V14" s="26">
        <f>'Evolutive SFP'!T37/'Evolutive SFP'!T27</f>
        <v>6.4679544828599072E-4</v>
      </c>
      <c r="W14" s="26">
        <f>'Evolutive SFP'!U37/'Evolutive SFP'!U27</f>
        <v>3.1869568032615037E-4</v>
      </c>
      <c r="X14" s="26">
        <f>'Evolutive SFP'!V37/'Evolutive SFP'!V27</f>
        <v>3.2942029242322195E-4</v>
      </c>
      <c r="Y14" s="26">
        <f>'Evolutive SFP'!W37/'Evolutive SFP'!W27</f>
        <v>3.3676982045290164E-4</v>
      </c>
      <c r="Z14" s="26">
        <f>'Evolutive SFP'!X37/'Evolutive SFP'!X27</f>
        <v>3.2534349365503814E-4</v>
      </c>
      <c r="AA14" s="26">
        <f>'Evolutive SFP'!Y37/'Evolutive SFP'!Y27</f>
        <v>5.9422658384293015E-6</v>
      </c>
      <c r="AB14" s="26">
        <f>'Evolutive SFP'!Z37/'Evolutive SFP'!Z27</f>
        <v>2.1846063933683053E-3</v>
      </c>
      <c r="AC14" s="26">
        <f>'Evolutive SFP'!AA37/'Evolutive SFP'!AA27</f>
        <v>0</v>
      </c>
      <c r="AD14" s="26">
        <f>'Evolutive SFP'!AB37/'Evolutive SFP'!AB27</f>
        <v>1.9225311350714767E-3</v>
      </c>
      <c r="AE14" s="26">
        <f>'Evolutive SFP'!AC37/'Evolutive SFP'!AC27</f>
        <v>1.8740954671508867E-3</v>
      </c>
      <c r="AF14" s="26">
        <f>'Evolutive SFP'!AD37/'Evolutive SFP'!AD27</f>
        <v>9.3245089764909398E-4</v>
      </c>
      <c r="AG14" s="26">
        <f>'Evolutive SFP'!AE37/'Evolutive SFP'!AE27</f>
        <v>6.0551624573986884E-4</v>
      </c>
      <c r="AH14" s="26">
        <f>'Evolutive SFP'!AF37/'Evolutive SFP'!AF27</f>
        <v>5.8254619392391932E-4</v>
      </c>
      <c r="AI14" s="26">
        <f>'Evolutive SFP'!AG37/'Evolutive SFP'!AG27</f>
        <v>5.7445021976286904E-4</v>
      </c>
      <c r="AJ14" s="26">
        <f>'Evolutive SFP'!AH37/'Evolutive SFP'!AH27</f>
        <v>5.6984019668616102E-4</v>
      </c>
      <c r="AK14" s="26">
        <f>'Evolutive SFP'!AI37/'Evolutive SFP'!AI27</f>
        <v>5.6383794892563227E-4</v>
      </c>
      <c r="AL14" s="26">
        <f>'Evolutive SFP'!AJ37/'Evolutive SFP'!AJ27</f>
        <v>5.5065813366101215E-4</v>
      </c>
      <c r="AM14" s="26">
        <f>'Evolutive SFP'!AK37/'Evolutive SFP'!AK27</f>
        <v>5.3326087540031715E-4</v>
      </c>
      <c r="AN14" s="26">
        <f>'Evolutive SFP'!AL37/'Evolutive SFP'!AL27</f>
        <v>2.980386318832117E-4</v>
      </c>
      <c r="AO14" s="26">
        <f>'Evolutive SFP'!AM37/'Evolutive SFP'!AM27</f>
        <v>4.0723573906679385E-3</v>
      </c>
      <c r="AP14" s="26">
        <f>'Evolutive SFP'!AN37/'Evolutive SFP'!AN27</f>
        <v>0</v>
      </c>
      <c r="AQ14" s="26" t="e">
        <f>'Evolutive SFP'!AO37/'Evolutive SFP'!AO27</f>
        <v>#DIV/0!</v>
      </c>
      <c r="AR14" s="26" t="e">
        <f>'Evolutive SFP'!AP37/'Evolutive SFP'!AP27</f>
        <v>#DIV/0!</v>
      </c>
      <c r="AS14" s="26" t="e">
        <f>'Evolutive SFP'!AQ37/'Evolutive SFP'!AQ27</f>
        <v>#DIV/0!</v>
      </c>
      <c r="AT14" s="26" t="e">
        <f>'Evolutive SFP'!AR37/'Evolutive SFP'!AR27</f>
        <v>#DIV/0!</v>
      </c>
    </row>
    <row r="15" spans="1:46" ht="15">
      <c r="A15" s="290"/>
      <c r="B15" s="2" t="s">
        <v>122</v>
      </c>
      <c r="C15" s="4"/>
      <c r="D15" s="26">
        <f>'Evolutive SFP'!B4/'Evolutive SFP'!B27</f>
        <v>0.14600262753705506</v>
      </c>
      <c r="E15" s="26">
        <f>'Evolutive SFP'!C4/'Evolutive SFP'!C27</f>
        <v>0.15276553426221481</v>
      </c>
      <c r="F15" s="26">
        <f>'Evolutive SFP'!D4/'Evolutive SFP'!D27</f>
        <v>0.11733996029085494</v>
      </c>
      <c r="G15" s="26">
        <f>'Evolutive SFP'!E4/'Evolutive SFP'!E27</f>
        <v>7.9714547873861397E-2</v>
      </c>
      <c r="H15" s="26">
        <f>'Evolutive SFP'!F4/'Evolutive SFP'!F27</f>
        <v>9.838346370491427E-2</v>
      </c>
      <c r="I15" s="26">
        <f>'Evolutive SFP'!G4/'Evolutive SFP'!G27</f>
        <v>0.12720754224263686</v>
      </c>
      <c r="J15" s="26">
        <f>'Evolutive SFP'!H4/'Evolutive SFP'!H27</f>
        <v>0.13789448588473099</v>
      </c>
      <c r="K15" s="26">
        <f>'Evolutive SFP'!I4/'Evolutive SFP'!I27</f>
        <v>0.13647091569525319</v>
      </c>
      <c r="L15" s="26">
        <f>'Evolutive SFP'!J4/'Evolutive SFP'!J27</f>
        <v>0.13622442375526561</v>
      </c>
      <c r="M15" s="26">
        <f>'Evolutive SFP'!K4/'Evolutive SFP'!K27</f>
        <v>0.14712172655237304</v>
      </c>
      <c r="N15" s="26">
        <f>'Evolutive SFP'!L4/'Evolutive SFP'!L27</f>
        <v>0.16206563328479617</v>
      </c>
      <c r="O15" s="26">
        <f>'Evolutive SFP'!M4/'Evolutive SFP'!M27</f>
        <v>0.16238318309932928</v>
      </c>
      <c r="P15" s="26">
        <f>'Evolutive SFP'!N4/'Evolutive SFP'!N27</f>
        <v>6.5176663267045507E-3</v>
      </c>
      <c r="Q15" s="26">
        <f>'Evolutive SFP'!O4/'Evolutive SFP'!O27</f>
        <v>0.17468421970451078</v>
      </c>
      <c r="R15" s="26">
        <f>'Evolutive SFP'!P4/'Evolutive SFP'!P27</f>
        <v>0.18401611237713106</v>
      </c>
      <c r="S15" s="26">
        <f>'Evolutive SFP'!Q4/'Evolutive SFP'!Q27</f>
        <v>0.13551256962579236</v>
      </c>
      <c r="T15" s="26">
        <f>'Evolutive SFP'!R4/'Evolutive SFP'!R27</f>
        <v>0.12781892883197321</v>
      </c>
      <c r="U15" s="26">
        <f>'Evolutive SFP'!S4/'Evolutive SFP'!S27</f>
        <v>0.12265106943491492</v>
      </c>
      <c r="V15" s="26">
        <f>'Evolutive SFP'!T4/'Evolutive SFP'!T27</f>
        <v>0.12469675579374929</v>
      </c>
      <c r="W15" s="26">
        <f>'Evolutive SFP'!U4/'Evolutive SFP'!U27</f>
        <v>0.14884618236252517</v>
      </c>
      <c r="X15" s="26">
        <f>'Evolutive SFP'!V4/'Evolutive SFP'!V27</f>
        <v>0.14875963729963684</v>
      </c>
      <c r="Y15" s="26">
        <f>'Evolutive SFP'!W4/'Evolutive SFP'!W27</f>
        <v>0.14460400907268287</v>
      </c>
      <c r="Z15" s="26">
        <f>'Evolutive SFP'!X4/'Evolutive SFP'!X27</f>
        <v>0.15130569728645496</v>
      </c>
      <c r="AA15" s="26">
        <f>'Evolutive SFP'!Y4/'Evolutive SFP'!Y27</f>
        <v>0.15462207371351655</v>
      </c>
      <c r="AB15" s="26">
        <f>'Evolutive SFP'!Z4/'Evolutive SFP'!Z27</f>
        <v>0.15678772554964093</v>
      </c>
      <c r="AC15" s="26">
        <f>'Evolutive SFP'!AA4/'Evolutive SFP'!AA27</f>
        <v>0.15613601950276718</v>
      </c>
      <c r="AD15" s="26">
        <f>'Evolutive SFP'!AB4/'Evolutive SFP'!AB27</f>
        <v>0.15120046532572995</v>
      </c>
      <c r="AE15" s="26">
        <f>'Evolutive SFP'!AC4/'Evolutive SFP'!AC27</f>
        <v>0.14064307020958375</v>
      </c>
      <c r="AF15" s="26">
        <f>'Evolutive SFP'!AD4/'Evolutive SFP'!AD27</f>
        <v>0.16079665369793189</v>
      </c>
      <c r="AG15" s="26">
        <f>'Evolutive SFP'!AE4/'Evolutive SFP'!AE27</f>
        <v>0.15156852500854642</v>
      </c>
      <c r="AH15" s="26">
        <f>'Evolutive SFP'!AF4/'Evolutive SFP'!AF27</f>
        <v>0.15342847921312885</v>
      </c>
      <c r="AI15" s="26">
        <f>'Evolutive SFP'!AG4/'Evolutive SFP'!AG27</f>
        <v>0.16861753120064457</v>
      </c>
      <c r="AJ15" s="26">
        <f>'Evolutive SFP'!AH4/'Evolutive SFP'!AH27</f>
        <v>0.16220697073541307</v>
      </c>
      <c r="AK15" s="26">
        <f>'Evolutive SFP'!AI4/'Evolutive SFP'!AI27</f>
        <v>0.16127951683769257</v>
      </c>
      <c r="AL15" s="26">
        <f>'Evolutive SFP'!AJ4/'Evolutive SFP'!AJ27</f>
        <v>0.11758056329648436</v>
      </c>
      <c r="AM15" s="26">
        <f>'Evolutive SFP'!AK4/'Evolutive SFP'!AK27</f>
        <v>0.1228485347660588</v>
      </c>
      <c r="AN15" s="26">
        <f>'Evolutive SFP'!AL4/'Evolutive SFP'!AL27</f>
        <v>0.12280187213109978</v>
      </c>
      <c r="AO15" s="26">
        <f>'Evolutive SFP'!AM4/'Evolutive SFP'!AM27</f>
        <v>0.12446720258524918</v>
      </c>
      <c r="AP15" s="26">
        <f>'Evolutive SFP'!AN4/'Evolutive SFP'!AN27</f>
        <v>0.20477409262311436</v>
      </c>
      <c r="AQ15" s="26" t="e">
        <f>'Evolutive SFP'!AO4/'Evolutive SFP'!AO27</f>
        <v>#DIV/0!</v>
      </c>
      <c r="AR15" s="26" t="e">
        <f>'Evolutive SFP'!AP4/'Evolutive SFP'!AP27</f>
        <v>#DIV/0!</v>
      </c>
      <c r="AS15" s="26" t="e">
        <f>'Evolutive SFP'!AQ4/'Evolutive SFP'!AQ27</f>
        <v>#DIV/0!</v>
      </c>
      <c r="AT15" s="26" t="e">
        <f>'Evolutive SFP'!AR4/'Evolutive SFP'!AR27</f>
        <v>#DIV/0!</v>
      </c>
    </row>
    <row r="16" spans="1:46" ht="15">
      <c r="A16" s="290" t="s">
        <v>123</v>
      </c>
      <c r="B16" s="2" t="s">
        <v>124</v>
      </c>
      <c r="C16" s="4" t="s">
        <v>125</v>
      </c>
      <c r="D16" s="26">
        <f>('Evolutive SFP'!B7+'Evolutive SFP'!B21)/'Evolutive SFP'!B27</f>
        <v>7.3699971500275852E-2</v>
      </c>
      <c r="E16" s="26">
        <f>('Evolutive SFP'!C7+'Evolutive SFP'!C21)/'Evolutive SFP'!C27</f>
        <v>7.5387465821105601E-2</v>
      </c>
      <c r="F16" s="26">
        <f>('Evolutive SFP'!D7+'Evolutive SFP'!D21)/'Evolutive SFP'!D27</f>
        <v>5.7377532593067791E-2</v>
      </c>
      <c r="G16" s="26">
        <f>('Evolutive SFP'!E7+'Evolutive SFP'!E21)/'Evolutive SFP'!E27</f>
        <v>7.8771421626030097E-2</v>
      </c>
      <c r="H16" s="26">
        <f>('Evolutive SFP'!F7+'Evolutive SFP'!F21)/'Evolutive SFP'!F27</f>
        <v>7.7561983285726444E-2</v>
      </c>
      <c r="I16" s="26">
        <f>('Evolutive SFP'!G7+'Evolutive SFP'!G21)/'Evolutive SFP'!G27</f>
        <v>6.4709534513378908E-2</v>
      </c>
      <c r="J16" s="26">
        <f>('Evolutive SFP'!H7+'Evolutive SFP'!H21)/'Evolutive SFP'!H27</f>
        <v>6.4315050226236251E-2</v>
      </c>
      <c r="K16" s="26">
        <f>('Evolutive SFP'!I7+'Evolutive SFP'!I21)/'Evolutive SFP'!I27</f>
        <v>6.4355933089185982E-2</v>
      </c>
      <c r="L16" s="26">
        <f>('Evolutive SFP'!J7+'Evolutive SFP'!J21)/'Evolutive SFP'!J27</f>
        <v>6.0288378511750035E-2</v>
      </c>
      <c r="M16" s="26">
        <f>('Evolutive SFP'!K7+'Evolutive SFP'!K21)/'Evolutive SFP'!K27</f>
        <v>6.0106295183000223E-2</v>
      </c>
      <c r="N16" s="26">
        <f>('Evolutive SFP'!L7+'Evolutive SFP'!L21)/'Evolutive SFP'!L27</f>
        <v>5.8782591894095966E-2</v>
      </c>
      <c r="O16" s="26">
        <f>('Evolutive SFP'!M7+'Evolutive SFP'!M21)/'Evolutive SFP'!M27</f>
        <v>6.1359162889727009E-2</v>
      </c>
      <c r="P16" s="26">
        <f>('Evolutive SFP'!N7+'Evolutive SFP'!N21)/'Evolutive SFP'!N27</f>
        <v>6.172178847395296E-2</v>
      </c>
      <c r="Q16" s="26">
        <f>('Evolutive SFP'!O7+'Evolutive SFP'!O21)/'Evolutive SFP'!O27</f>
        <v>5.9138401658710496E-2</v>
      </c>
      <c r="R16" s="26">
        <f>('Evolutive SFP'!P7+'Evolutive SFP'!P21)/'Evolutive SFP'!P27</f>
        <v>6.867760979374167E-2</v>
      </c>
      <c r="S16" s="26">
        <f>('Evolutive SFP'!Q7+'Evolutive SFP'!Q21)/'Evolutive SFP'!Q27</f>
        <v>6.7523482689120187E-2</v>
      </c>
      <c r="T16" s="26">
        <f>('Evolutive SFP'!R7+'Evolutive SFP'!R21)/'Evolutive SFP'!R27</f>
        <v>6.9090950650381913E-2</v>
      </c>
      <c r="U16" s="26">
        <f>('Evolutive SFP'!S7+'Evolutive SFP'!S21)/'Evolutive SFP'!S27</f>
        <v>6.8570904484336934E-2</v>
      </c>
      <c r="V16" s="26">
        <f>('Evolutive SFP'!T7+'Evolutive SFP'!T21)/'Evolutive SFP'!T27</f>
        <v>6.9475982778522502E-2</v>
      </c>
      <c r="W16" s="26">
        <f>('Evolutive SFP'!U7+'Evolutive SFP'!U21)/'Evolutive SFP'!U27</f>
        <v>6.898793993508899E-2</v>
      </c>
      <c r="X16" s="26">
        <f>('Evolutive SFP'!V7+'Evolutive SFP'!V21)/'Evolutive SFP'!V27</f>
        <v>6.7728118917511029E-2</v>
      </c>
      <c r="Y16" s="26">
        <f>('Evolutive SFP'!W7+'Evolutive SFP'!W21)/'Evolutive SFP'!W27</f>
        <v>6.8455647551917298E-2</v>
      </c>
      <c r="Z16" s="26">
        <f>('Evolutive SFP'!X7+'Evolutive SFP'!X21)/'Evolutive SFP'!X27</f>
        <v>6.7771630412882644E-2</v>
      </c>
      <c r="AA16" s="26">
        <f>('Evolutive SFP'!Y7+'Evolutive SFP'!Y21)/'Evolutive SFP'!Y27</f>
        <v>6.6279643330223667E-2</v>
      </c>
      <c r="AB16" s="26">
        <f>('Evolutive SFP'!Z7+'Evolutive SFP'!Z21)/'Evolutive SFP'!Z27</f>
        <v>6.5530159003842875E-2</v>
      </c>
      <c r="AC16" s="26">
        <f>('Evolutive SFP'!AA7+'Evolutive SFP'!AA21)/'Evolutive SFP'!AA27</f>
        <v>5.8187891608095003E-2</v>
      </c>
      <c r="AD16" s="26">
        <f>('Evolutive SFP'!AB7+'Evolutive SFP'!AB21)/'Evolutive SFP'!AB27</f>
        <v>6.6493868045856164E-2</v>
      </c>
      <c r="AE16" s="26">
        <f>('Evolutive SFP'!AC7+'Evolutive SFP'!AC21)/'Evolutive SFP'!AC27</f>
        <v>6.6649905929811085E-2</v>
      </c>
      <c r="AF16" s="26">
        <f>('Evolutive SFP'!AD7+'Evolutive SFP'!AD21)/'Evolutive SFP'!AD27</f>
        <v>6.9344099594590897E-2</v>
      </c>
      <c r="AG16" s="26">
        <f>('Evolutive SFP'!AE7+'Evolutive SFP'!AE21)/'Evolutive SFP'!AE27</f>
        <v>6.9964871301858814E-2</v>
      </c>
      <c r="AH16" s="26">
        <f>('Evolutive SFP'!AF7+'Evolutive SFP'!AF21)/'Evolutive SFP'!AF27</f>
        <v>6.853716579260094E-2</v>
      </c>
      <c r="AI16" s="26">
        <f>('Evolutive SFP'!AG7+'Evolutive SFP'!AG21)/'Evolutive SFP'!AG27</f>
        <v>6.8739433469820532E-2</v>
      </c>
      <c r="AJ16" s="26">
        <f>('Evolutive SFP'!AH7+'Evolutive SFP'!AH21)/'Evolutive SFP'!AH27</f>
        <v>6.8335868211843301E-2</v>
      </c>
      <c r="AK16" s="26">
        <f>('Evolutive SFP'!AI7+'Evolutive SFP'!AI21)/'Evolutive SFP'!AI27</f>
        <v>6.6841640859916784E-2</v>
      </c>
      <c r="AL16" s="26">
        <f>('Evolutive SFP'!AJ7+'Evolutive SFP'!AJ21)/'Evolutive SFP'!AJ27</f>
        <v>6.5691457734543809E-2</v>
      </c>
      <c r="AM16" s="26">
        <f>('Evolutive SFP'!AK7+'Evolutive SFP'!AK21)/'Evolutive SFP'!AK27</f>
        <v>6.4619309871888728E-2</v>
      </c>
      <c r="AN16" s="26">
        <f>('Evolutive SFP'!AL7+'Evolutive SFP'!AL21)/'Evolutive SFP'!AL27</f>
        <v>6.4425388246578341E-2</v>
      </c>
      <c r="AO16" s="26">
        <f>('Evolutive SFP'!AM7+'Evolutive SFP'!AM21)/'Evolutive SFP'!AM27</f>
        <v>6.2382350261570275E-2</v>
      </c>
      <c r="AP16" s="26">
        <f>('Evolutive SFP'!AN7+'Evolutive SFP'!AN21)/'Evolutive SFP'!AN27</f>
        <v>4.4033893232419602E-2</v>
      </c>
      <c r="AQ16" s="26" t="e">
        <f>('Evolutive SFP'!AO7+'Evolutive SFP'!AO21)/'Evolutive SFP'!AO27</f>
        <v>#DIV/0!</v>
      </c>
      <c r="AR16" s="26" t="e">
        <f>('Evolutive SFP'!AP7+'Evolutive SFP'!AP21)/'Evolutive SFP'!AP27</f>
        <v>#DIV/0!</v>
      </c>
      <c r="AS16" s="26" t="e">
        <f>('Evolutive SFP'!AQ7+'Evolutive SFP'!AQ21)/'Evolutive SFP'!AQ27</f>
        <v>#DIV/0!</v>
      </c>
      <c r="AT16" s="26" t="e">
        <f>('Evolutive SFP'!AR7+'Evolutive SFP'!AR21)/'Evolutive SFP'!AR27</f>
        <v>#DIV/0!</v>
      </c>
    </row>
    <row r="17" spans="1:46" ht="15">
      <c r="A17" s="290"/>
      <c r="B17" s="2" t="s">
        <v>126</v>
      </c>
      <c r="C17" s="4" t="s">
        <v>127</v>
      </c>
      <c r="D17" s="26">
        <f>'Evolutive SFP'!B21/'Evolutive SFP'!B27</f>
        <v>5.4601477032812963E-2</v>
      </c>
      <c r="E17" s="26">
        <f>'Evolutive SFP'!C21/'Evolutive SFP'!C27</f>
        <v>5.4828719322892683E-2</v>
      </c>
      <c r="F17" s="26">
        <f>'Evolutive SFP'!D21/'Evolutive SFP'!D27</f>
        <v>5.7377532593067791E-2</v>
      </c>
      <c r="G17" s="26">
        <f>'Evolutive SFP'!E21/'Evolutive SFP'!E27</f>
        <v>5.7340031867869345E-2</v>
      </c>
      <c r="H17" s="26">
        <f>'Evolutive SFP'!F21/'Evolutive SFP'!F27</f>
        <v>5.6564050566076614E-2</v>
      </c>
      <c r="I17" s="26">
        <f>'Evolutive SFP'!G21/'Evolutive SFP'!G27</f>
        <v>5.5500523175697807E-2</v>
      </c>
      <c r="J17" s="26">
        <f>'Evolutive SFP'!H21/'Evolutive SFP'!H27</f>
        <v>5.4514405612973403E-2</v>
      </c>
      <c r="K17" s="26">
        <f>'Evolutive SFP'!I21/'Evolutive SFP'!I27</f>
        <v>5.3852286793010309E-2</v>
      </c>
      <c r="L17" s="26">
        <f>'Evolutive SFP'!J21/'Evolutive SFP'!J27</f>
        <v>4.9045431408405497E-2</v>
      </c>
      <c r="M17" s="26">
        <f>'Evolutive SFP'!K21/'Evolutive SFP'!K27</f>
        <v>4.9154383564620041E-2</v>
      </c>
      <c r="N17" s="26">
        <f>'Evolutive SFP'!L21/'Evolutive SFP'!L27</f>
        <v>4.8065217639947595E-2</v>
      </c>
      <c r="O17" s="26">
        <f>'Evolutive SFP'!M21/'Evolutive SFP'!M27</f>
        <v>4.9867500734214323E-2</v>
      </c>
      <c r="P17" s="26">
        <f>'Evolutive SFP'!N21/'Evolutive SFP'!N27</f>
        <v>4.9856179579353656E-2</v>
      </c>
      <c r="Q17" s="26">
        <f>'Evolutive SFP'!O21/'Evolutive SFP'!O27</f>
        <v>4.9866732196845689E-2</v>
      </c>
      <c r="R17" s="26">
        <f>'Evolutive SFP'!P21/'Evolutive SFP'!P27</f>
        <v>4.9578566763489963E-2</v>
      </c>
      <c r="S17" s="26">
        <f>'Evolutive SFP'!Q21/'Evolutive SFP'!Q27</f>
        <v>4.9248527004633835E-2</v>
      </c>
      <c r="T17" s="26">
        <f>'Evolutive SFP'!R21/'Evolutive SFP'!R27</f>
        <v>4.8688435864301549E-2</v>
      </c>
      <c r="U17" s="26">
        <f>'Evolutive SFP'!S21/'Evolutive SFP'!S27</f>
        <v>4.8578431957467944E-2</v>
      </c>
      <c r="V17" s="26">
        <f>'Evolutive SFP'!T21/'Evolutive SFP'!T27</f>
        <v>4.9200408967673893E-2</v>
      </c>
      <c r="W17" s="26">
        <f>'Evolutive SFP'!U21/'Evolutive SFP'!U27</f>
        <v>4.8408254904989095E-2</v>
      </c>
      <c r="X17" s="26">
        <f>'Evolutive SFP'!V21/'Evolutive SFP'!V27</f>
        <v>4.7626039732735853E-2</v>
      </c>
      <c r="Y17" s="26">
        <f>'Evolutive SFP'!W21/'Evolutive SFP'!W27</f>
        <v>4.7561019187857677E-2</v>
      </c>
      <c r="Z17" s="26">
        <f>'Evolutive SFP'!X21/'Evolutive SFP'!X27</f>
        <v>4.696134802527608E-2</v>
      </c>
      <c r="AA17" s="26">
        <f>'Evolutive SFP'!Y21/'Evolutive SFP'!Y27</f>
        <v>4.6270505259973782E-2</v>
      </c>
      <c r="AB17" s="26">
        <f>'Evolutive SFP'!Z21/'Evolutive SFP'!Z27</f>
        <v>4.5770136252094064E-2</v>
      </c>
      <c r="AC17" s="26">
        <f>'Evolutive SFP'!AA21/'Evolutive SFP'!AA27</f>
        <v>4.5954206115535905E-2</v>
      </c>
      <c r="AD17" s="26">
        <f>'Evolutive SFP'!AB21/'Evolutive SFP'!AB27</f>
        <v>4.5495627897434721E-2</v>
      </c>
      <c r="AE17" s="26">
        <f>'Evolutive SFP'!AC21/'Evolutive SFP'!AC27</f>
        <v>4.4865719539985638E-2</v>
      </c>
      <c r="AF17" s="26">
        <f>'Evolutive SFP'!AD21/'Evolutive SFP'!AD27</f>
        <v>4.5768055014810224E-2</v>
      </c>
      <c r="AG17" s="26">
        <f>'Evolutive SFP'!AE21/'Evolutive SFP'!AE27</f>
        <v>4.5535902300118197E-2</v>
      </c>
      <c r="AH17" s="26">
        <f>'Evolutive SFP'!AF21/'Evolutive SFP'!AF27</f>
        <v>4.5495642810870623E-2</v>
      </c>
      <c r="AI17" s="26">
        <f>'Evolutive SFP'!AG21/'Evolutive SFP'!AG27</f>
        <v>4.5309597207858009E-2</v>
      </c>
      <c r="AJ17" s="26">
        <f>'Evolutive SFP'!AH21/'Evolutive SFP'!AH27</f>
        <v>4.42992534962528E-2</v>
      </c>
      <c r="AK17" s="26">
        <f>'Evolutive SFP'!AI21/'Evolutive SFP'!AI27</f>
        <v>4.3636618966451227E-2</v>
      </c>
      <c r="AL17" s="26">
        <f>'Evolutive SFP'!AJ21/'Evolutive SFP'!AJ27</f>
        <v>4.2862319765143889E-2</v>
      </c>
      <c r="AM17" s="26">
        <f>'Evolutive SFP'!AK21/'Evolutive SFP'!AK27</f>
        <v>4.1826365084380222E-2</v>
      </c>
      <c r="AN17" s="26">
        <f>'Evolutive SFP'!AL21/'Evolutive SFP'!AL27</f>
        <v>4.0830420411105676E-2</v>
      </c>
      <c r="AO17" s="26">
        <f>'Evolutive SFP'!AM21/'Evolutive SFP'!AM27</f>
        <v>4.097704355134843E-2</v>
      </c>
      <c r="AP17" s="26">
        <f>'Evolutive SFP'!AN21/'Evolutive SFP'!AN27</f>
        <v>4.1496867963186829E-2</v>
      </c>
      <c r="AQ17" s="26" t="e">
        <f>'Evolutive SFP'!AO21/'Evolutive SFP'!AO27</f>
        <v>#DIV/0!</v>
      </c>
      <c r="AR17" s="26" t="e">
        <f>'Evolutive SFP'!AP21/'Evolutive SFP'!AP27</f>
        <v>#DIV/0!</v>
      </c>
      <c r="AS17" s="26" t="e">
        <f>'Evolutive SFP'!AQ21/'Evolutive SFP'!AQ27</f>
        <v>#DIV/0!</v>
      </c>
      <c r="AT17" s="26" t="e">
        <f>'Evolutive SFP'!AR21/'Evolutive SFP'!AR27</f>
        <v>#DIV/0!</v>
      </c>
    </row>
    <row r="18" spans="1:46" ht="15">
      <c r="A18" s="290"/>
      <c r="B18" s="2" t="s">
        <v>128</v>
      </c>
      <c r="C18" s="4" t="s">
        <v>127</v>
      </c>
      <c r="D18" s="26">
        <f>'Evolutive SFP'!B13/'Evolutive SFP'!B31</f>
        <v>3.4408254420440904E-3</v>
      </c>
      <c r="E18" s="26">
        <f>'Evolutive SFP'!C13/'Evolutive SFP'!C31</f>
        <v>3.3915455731068265E-3</v>
      </c>
      <c r="F18" s="26">
        <f>'Evolutive SFP'!D13/'Evolutive SFP'!D31</f>
        <v>3.3443365078927329E-3</v>
      </c>
      <c r="G18" s="26">
        <f>'Evolutive SFP'!E13/'Evolutive SFP'!E31</f>
        <v>3.322870389889807E-3</v>
      </c>
      <c r="H18" s="26">
        <f>'Evolutive SFP'!F13/'Evolutive SFP'!F31</f>
        <v>3.2930565695621973E-3</v>
      </c>
      <c r="I18" s="26">
        <f>'Evolutive SFP'!G13/'Evolutive SFP'!G31</f>
        <v>3.2605045555100165E-3</v>
      </c>
      <c r="J18" s="26">
        <f>'Evolutive SFP'!H13/'Evolutive SFP'!H31</f>
        <v>3.2136390484740888E-3</v>
      </c>
      <c r="K18" s="26">
        <f>'Evolutive SFP'!I13/'Evolutive SFP'!I31</f>
        <v>3.187764886258381E-3</v>
      </c>
      <c r="L18" s="26">
        <f>'Evolutive SFP'!J13/'Evolutive SFP'!J31</f>
        <v>3.1644210789976137E-3</v>
      </c>
      <c r="M18" s="26">
        <f>'Evolutive SFP'!K13/'Evolutive SFP'!K31</f>
        <v>3.1221798925594709E-3</v>
      </c>
      <c r="N18" s="26">
        <f>'Evolutive SFP'!L13/'Evolutive SFP'!L31</f>
        <v>3.0968386617080748E-3</v>
      </c>
      <c r="O18" s="26">
        <f>'Evolutive SFP'!M13/'Evolutive SFP'!M31</f>
        <v>3.0969386509209708E-3</v>
      </c>
      <c r="P18" s="26">
        <f>'Evolutive SFP'!N13/'Evolutive SFP'!N31</f>
        <v>7.6968961625094214E-4</v>
      </c>
      <c r="Q18" s="26">
        <f>'Evolutive SFP'!O13/'Evolutive SFP'!O31</f>
        <v>2.7055254249560624E-3</v>
      </c>
      <c r="R18" s="26">
        <f>'Evolutive SFP'!P13/'Evolutive SFP'!P31</f>
        <v>2.5955244805576064E-3</v>
      </c>
      <c r="S18" s="26">
        <f>'Evolutive SFP'!Q13/'Evolutive SFP'!Q31</f>
        <v>2.5953793893907732E-3</v>
      </c>
      <c r="T18" s="26">
        <f>'Evolutive SFP'!R13/'Evolutive SFP'!R31</f>
        <v>2.5754958541659746E-3</v>
      </c>
      <c r="U18" s="26">
        <f>'Evolutive SFP'!S13/'Evolutive SFP'!S31</f>
        <v>2.5897566796121724E-3</v>
      </c>
      <c r="V18" s="26">
        <f>'Evolutive SFP'!T13/'Evolutive SFP'!T31</f>
        <v>2.596510535160712E-3</v>
      </c>
      <c r="W18" s="26">
        <f>'Evolutive SFP'!U13/'Evolutive SFP'!U31</f>
        <v>2.561167460350993E-3</v>
      </c>
      <c r="X18" s="26">
        <f>'Evolutive SFP'!V13/'Evolutive SFP'!V31</f>
        <v>2.5248339807733252E-3</v>
      </c>
      <c r="Y18" s="26">
        <f>'Evolutive SFP'!W13/'Evolutive SFP'!W31</f>
        <v>2.5277223494213027E-3</v>
      </c>
      <c r="Z18" s="26">
        <f>'Evolutive SFP'!X13/'Evolutive SFP'!X31</f>
        <v>2.5152830369306839E-3</v>
      </c>
      <c r="AA18" s="26">
        <f>'Evolutive SFP'!Y13/'Evolutive SFP'!Y31</f>
        <v>2.5169089883452086E-3</v>
      </c>
      <c r="AB18" s="26">
        <f>'Evolutive SFP'!Z13/'Evolutive SFP'!Z31</f>
        <v>2.4996480892556325E-3</v>
      </c>
      <c r="AC18" s="26">
        <f>'Evolutive SFP'!AA13/'Evolutive SFP'!AA31</f>
        <v>2.910249879970852E-3</v>
      </c>
      <c r="AD18" s="26">
        <f>'Evolutive SFP'!AB13/'Evolutive SFP'!AB31</f>
        <v>2.8717083235696664E-3</v>
      </c>
      <c r="AE18" s="26">
        <f>'Evolutive SFP'!AC13/'Evolutive SFP'!AC31</f>
        <v>2.8617597879811445E-3</v>
      </c>
      <c r="AF18" s="26">
        <f>'Evolutive SFP'!AD13/'Evolutive SFP'!AD31</f>
        <v>2.7378188053955557E-3</v>
      </c>
      <c r="AG18" s="26">
        <f>'Evolutive SFP'!AE13/'Evolutive SFP'!AE31</f>
        <v>2.744818914959638E-3</v>
      </c>
      <c r="AH18" s="26">
        <f>'Evolutive SFP'!AF13/'Evolutive SFP'!AF31</f>
        <v>2.7354799127610411E-3</v>
      </c>
      <c r="AI18" s="26">
        <f>'Evolutive SFP'!AG13/'Evolutive SFP'!AG31</f>
        <v>2.7335724360689996E-3</v>
      </c>
      <c r="AJ18" s="26">
        <f>'Evolutive SFP'!AH13/'Evolutive SFP'!AH31</f>
        <v>2.98256739852403E-3</v>
      </c>
      <c r="AK18" s="26">
        <f>'Evolutive SFP'!AI13/'Evolutive SFP'!AI31</f>
        <v>2.9758195295786472E-3</v>
      </c>
      <c r="AL18" s="26">
        <f>'Evolutive SFP'!AJ13/'Evolutive SFP'!AJ31</f>
        <v>2.969823647779654E-3</v>
      </c>
      <c r="AM18" s="26">
        <f>'Evolutive SFP'!AK13/'Evolutive SFP'!AK31</f>
        <v>2.9302267229190039E-3</v>
      </c>
      <c r="AN18" s="26">
        <f>'Evolutive SFP'!AL13/'Evolutive SFP'!AL31</f>
        <v>2.8956304610211515E-3</v>
      </c>
      <c r="AO18" s="26">
        <f>'Evolutive SFP'!AM13/'Evolutive SFP'!AM31</f>
        <v>2.8634823211457286E-3</v>
      </c>
      <c r="AP18" s="26">
        <f>'Evolutive SFP'!AN13/'Evolutive SFP'!AN31</f>
        <v>2.8634975748860494E-3</v>
      </c>
      <c r="AQ18" s="26" t="e">
        <f>'Evolutive SFP'!AO13/'Evolutive SFP'!AO31</f>
        <v>#DIV/0!</v>
      </c>
      <c r="AR18" s="26" t="e">
        <f>'Evolutive SFP'!AP13/'Evolutive SFP'!AP31</f>
        <v>#DIV/0!</v>
      </c>
      <c r="AS18" s="26" t="e">
        <f>'Evolutive SFP'!AQ13/'Evolutive SFP'!AQ31</f>
        <v>#DIV/0!</v>
      </c>
      <c r="AT18" s="26" t="e">
        <f>'Evolutive SFP'!AR13/'Evolutive SFP'!AR31</f>
        <v>#DIV/0!</v>
      </c>
    </row>
    <row r="19" spans="1:46">
      <c r="A19" s="290"/>
      <c r="B19" s="20" t="s">
        <v>129</v>
      </c>
      <c r="C19" s="5" t="s">
        <v>130</v>
      </c>
      <c r="D19" s="26">
        <f>'Evolutive SFP'!B13/(CAELS!D3*1000000)</f>
        <v>2.4605306887583136E-2</v>
      </c>
      <c r="E19" s="26">
        <f>'Evolutive SFP'!C13/(CAELS!E3*1000000)</f>
        <v>2.3847467845150714E-2</v>
      </c>
      <c r="F19" s="26">
        <f>'Evolutive SFP'!D13/(CAELS!F3*1000000)</f>
        <v>2.350025947028099E-2</v>
      </c>
      <c r="G19" s="26">
        <f>'Evolutive SFP'!E13/(CAELS!G3*1000000)</f>
        <v>2.2962882249919964E-2</v>
      </c>
      <c r="H19" s="26">
        <f>'Evolutive SFP'!F13/(CAELS!H3*1000000)</f>
        <v>2.2344664887576891E-2</v>
      </c>
      <c r="I19" s="26">
        <f>'Evolutive SFP'!G13/(CAELS!I3*1000000)</f>
        <v>2.1712484742364653E-2</v>
      </c>
      <c r="J19" s="26">
        <f>'Evolutive SFP'!H13/(CAELS!J3*1000000)</f>
        <v>2.1189456544906463E-2</v>
      </c>
      <c r="K19" s="26">
        <f>'Evolutive SFP'!I13/(CAELS!K3*1000000)</f>
        <v>2.0979147079339219E-2</v>
      </c>
      <c r="L19" s="26">
        <f>'Evolutive SFP'!J13/(CAELS!L3*1000000)</f>
        <v>2.0535915364748483E-2</v>
      </c>
      <c r="M19" s="26">
        <f>'Evolutive SFP'!K13/(CAELS!M3*1000000)</f>
        <v>2.0082430808044768E-2</v>
      </c>
      <c r="N19" s="26">
        <f>'Evolutive SFP'!L13/(CAELS!N3*1000000)</f>
        <v>1.9771781978982866E-2</v>
      </c>
      <c r="O19" s="26">
        <f>'Evolutive SFP'!M13/(CAELS!O3*1000000)</f>
        <v>1.9634767399917961E-2</v>
      </c>
      <c r="P19" s="26">
        <f>'Evolutive SFP'!N13/(CAELS!P3*1000000)</f>
        <v>4.7470515797657696E-3</v>
      </c>
      <c r="Q19" s="26">
        <f>'Evolutive SFP'!O13/(CAELS!Q3*1000000)</f>
        <v>1.8229036307280556E-2</v>
      </c>
      <c r="R19" s="26">
        <f>'Evolutive SFP'!P13/(CAELS!R3*1000000)</f>
        <v>1.7966647870073817E-2</v>
      </c>
      <c r="S19" s="26">
        <f>'Evolutive SFP'!Q13/(CAELS!S3*1000000)</f>
        <v>1.6203080152799497E-2</v>
      </c>
      <c r="T19" s="26">
        <f>'Evolutive SFP'!R13/(CAELS!T3*1000000)</f>
        <v>1.5949114381308849E-2</v>
      </c>
      <c r="U19" s="26">
        <f>'Evolutive SFP'!S13/(CAELS!U3*1000000)</f>
        <v>1.571895831114431E-2</v>
      </c>
      <c r="V19" s="26">
        <f>'Evolutive SFP'!T13/(CAELS!V3*1000000)</f>
        <v>1.4886159802905674E-2</v>
      </c>
      <c r="W19" s="26">
        <f>'Evolutive SFP'!U13/(CAELS!W3*1000000)</f>
        <v>1.4595315461690411E-2</v>
      </c>
      <c r="X19" s="26">
        <f>'Evolutive SFP'!V13/(CAELS!X3*1000000)</f>
        <v>1.4510238109608928E-2</v>
      </c>
      <c r="Y19" s="26">
        <f>'Evolutive SFP'!W13/(CAELS!Y3*1000000)</f>
        <v>1.4095614424218332E-2</v>
      </c>
      <c r="Z19" s="26">
        <f>'Evolutive SFP'!X13/(CAELS!Z3*1000000)</f>
        <v>1.39801694957247E-2</v>
      </c>
      <c r="AA19" s="26">
        <f>'Evolutive SFP'!Y13/(CAELS!AA3*1000000)</f>
        <v>1.3000873389846002E-2</v>
      </c>
      <c r="AB19" s="26">
        <f>'Evolutive SFP'!Z13/(CAELS!AB3*1000000)</f>
        <v>1.4503395742217279E-2</v>
      </c>
      <c r="AC19" s="26">
        <f>'Evolutive SFP'!AA13/(CAELS!AC3*1000000)</f>
        <v>1.9926243904067015E-2</v>
      </c>
      <c r="AD19" s="26">
        <f>'Evolutive SFP'!AB13/(CAELS!AD3*1000000)</f>
        <v>1.6596596916468746E-2</v>
      </c>
      <c r="AE19" s="26">
        <f>'Evolutive SFP'!AC13/(CAELS!AE3*1000000)</f>
        <v>1.6000907877447353E-2</v>
      </c>
      <c r="AF19" s="26">
        <f>'Evolutive SFP'!AD13/(CAELS!AF3*1000000)</f>
        <v>1.544031034598684E-2</v>
      </c>
      <c r="AG19" s="26">
        <f>'Evolutive SFP'!AE13/(CAELS!AG3*1000000)</f>
        <v>1.5071572136596548E-2</v>
      </c>
      <c r="AH19" s="26">
        <f>'Evolutive SFP'!AF13/(CAELS!AH3*1000000)</f>
        <v>1.4600795059598614E-2</v>
      </c>
      <c r="AI19" s="26">
        <f>'Evolutive SFP'!AG13/(CAELS!AI3*1000000)</f>
        <v>1.4152155615633004E-2</v>
      </c>
      <c r="AJ19" s="26">
        <f>'Evolutive SFP'!AH13/(CAELS!AJ3*1000000)</f>
        <v>1.5426665758033675E-2</v>
      </c>
      <c r="AK19" s="26">
        <f>'Evolutive SFP'!AI13/(CAELS!AK3*1000000)</f>
        <v>1.5125297652610033E-2</v>
      </c>
      <c r="AL19" s="26">
        <f>'Evolutive SFP'!AJ13/(CAELS!AL3*1000000)</f>
        <v>1.4655214116682861E-2</v>
      </c>
      <c r="AM19" s="26">
        <f>'Evolutive SFP'!AK13/(CAELS!AM3*1000000)</f>
        <v>1.4219102979847685E-2</v>
      </c>
      <c r="AN19" s="26">
        <f>'Evolutive SFP'!AL13/(CAELS!AN3*1000000)</f>
        <v>1.3897336535492464E-2</v>
      </c>
      <c r="AO19" s="26">
        <f>'Evolutive SFP'!AM13/(CAELS!AO3*1000000)</f>
        <v>1.5001696123132605E-2</v>
      </c>
      <c r="AP19" s="26">
        <f>'Evolutive SFP'!AN13/(CAELS!AP3*1000000)</f>
        <v>1.5430931342270689E-2</v>
      </c>
      <c r="AQ19" s="26" t="e">
        <f>'Evolutive SFP'!AO13/(CAELS!AQ3*1000000)</f>
        <v>#DIV/0!</v>
      </c>
      <c r="AR19" s="26" t="e">
        <f>'Evolutive SFP'!AP13/(CAELS!AR3*1000000)</f>
        <v>#DIV/0!</v>
      </c>
      <c r="AS19" s="26" t="e">
        <f>'Evolutive SFP'!AQ13/(CAELS!AS3*1000000)</f>
        <v>#DIV/0!</v>
      </c>
      <c r="AT19" s="26" t="e">
        <f>'Evolutive SFP'!AR13/(CAELS!AT3*1000000)</f>
        <v>#DIV/0!</v>
      </c>
    </row>
    <row r="20" spans="1:46">
      <c r="A20" s="290"/>
      <c r="B20" s="3" t="s">
        <v>131</v>
      </c>
      <c r="C20" s="5"/>
      <c r="D20" s="26">
        <f>'Evolutive SFP'!B15/'Evolutive SFP'!B27</f>
        <v>0.7796264133973031</v>
      </c>
      <c r="E20" s="26">
        <f>'Evolutive SFP'!C15/'Evolutive SFP'!C27</f>
        <v>0.76565706076807027</v>
      </c>
      <c r="F20" s="26">
        <f>'Evolutive SFP'!D15/'Evolutive SFP'!D27</f>
        <v>0.80045934210760739</v>
      </c>
      <c r="G20" s="26">
        <f>'Evolutive SFP'!E15/'Evolutive SFP'!E27</f>
        <v>0.79691780414422397</v>
      </c>
      <c r="H20" s="26">
        <f>'Evolutive SFP'!F15/'Evolutive SFP'!F27</f>
        <v>0.78013412348163824</v>
      </c>
      <c r="I20" s="26">
        <f>'Evolutive SFP'!G15/'Evolutive SFP'!G27</f>
        <v>0.76376658829561372</v>
      </c>
      <c r="J20" s="26">
        <f>'Evolutive SFP'!H15/'Evolutive SFP'!H27</f>
        <v>0.75392429720174292</v>
      </c>
      <c r="K20" s="26">
        <f>'Evolutive SFP'!I15/'Evolutive SFP'!I27</f>
        <v>0.75263786916494735</v>
      </c>
      <c r="L20" s="26">
        <f>'Evolutive SFP'!J15/'Evolutive SFP'!J27</f>
        <v>0.76060801463902816</v>
      </c>
      <c r="M20" s="26">
        <f>'Evolutive SFP'!K15/'Evolutive SFP'!K27</f>
        <v>0.76095220288969112</v>
      </c>
      <c r="N20" s="26">
        <f>'Evolutive SFP'!L15/'Evolutive SFP'!L27</f>
        <v>0.7480387892076612</v>
      </c>
      <c r="O20" s="26">
        <f>'Evolutive SFP'!M15/'Evolutive SFP'!M27</f>
        <v>0.7406031709568176</v>
      </c>
      <c r="P20" s="26">
        <f>'Evolutive SFP'!N15/'Evolutive SFP'!N27</f>
        <v>0.74008926028611632</v>
      </c>
      <c r="Q20" s="26">
        <f>'Evolutive SFP'!O15/'Evolutive SFP'!O27</f>
        <v>0.74461728100022562</v>
      </c>
      <c r="R20" s="26">
        <f>'Evolutive SFP'!P15/'Evolutive SFP'!P27</f>
        <v>0.74749849930903778</v>
      </c>
      <c r="S20" s="26">
        <f>'Evolutive SFP'!Q15/'Evolutive SFP'!Q27</f>
        <v>0.74194795590102869</v>
      </c>
      <c r="T20" s="26">
        <f>'Evolutive SFP'!R15/'Evolutive SFP'!R27</f>
        <v>0.74492905597051384</v>
      </c>
      <c r="U20" s="26">
        <f>'Evolutive SFP'!S15/'Evolutive SFP'!S27</f>
        <v>0.75140609846406126</v>
      </c>
      <c r="V20" s="26">
        <f>'Evolutive SFP'!T15/'Evolutive SFP'!T27</f>
        <v>0.74744906809448508</v>
      </c>
      <c r="W20" s="26">
        <f>'Evolutive SFP'!U15/'Evolutive SFP'!U27</f>
        <v>0.74227091997142447</v>
      </c>
      <c r="X20" s="26">
        <f>'Evolutive SFP'!V15/'Evolutive SFP'!V27</f>
        <v>0.74539211080795198</v>
      </c>
      <c r="Y20" s="26">
        <f>'Evolutive SFP'!W15/'Evolutive SFP'!W27</f>
        <v>0.74858598987949576</v>
      </c>
      <c r="Z20" s="26">
        <f>'Evolutive SFP'!X15/'Evolutive SFP'!X27</f>
        <v>0.74478277449274966</v>
      </c>
      <c r="AA20" s="26">
        <f>'Evolutive SFP'!Y15/'Evolutive SFP'!Y27</f>
        <v>0.73763102756571042</v>
      </c>
      <c r="AB20" s="26">
        <f>'Evolutive SFP'!Z15/'Evolutive SFP'!Z27</f>
        <v>0.73524567726423551</v>
      </c>
      <c r="AC20" s="26">
        <f>'Evolutive SFP'!AA15/'Evolutive SFP'!AA27</f>
        <v>0.73913963747470768</v>
      </c>
      <c r="AD20" s="26">
        <f>'Evolutive SFP'!AB15/'Evolutive SFP'!AB27</f>
        <v>0.73999574350789754</v>
      </c>
      <c r="AE20" s="26">
        <f>'Evolutive SFP'!AC15/'Evolutive SFP'!AC27</f>
        <v>0.7336304911659064</v>
      </c>
      <c r="AF20" s="26">
        <f>'Evolutive SFP'!AD15/'Evolutive SFP'!AD27</f>
        <v>0.74148517905030009</v>
      </c>
      <c r="AG20" s="26">
        <f>'Evolutive SFP'!AE15/'Evolutive SFP'!AE27</f>
        <v>0.74992344717161386</v>
      </c>
      <c r="AH20" s="26">
        <f>'Evolutive SFP'!AF15/'Evolutive SFP'!AF27</f>
        <v>0.74964711059237443</v>
      </c>
      <c r="AI20" s="26">
        <f>'Evolutive SFP'!AG15/'Evolutive SFP'!AG27</f>
        <v>0.73975054845010346</v>
      </c>
      <c r="AJ20" s="26">
        <f>'Evolutive SFP'!AH15/'Evolutive SFP'!AH27</f>
        <v>0.74099373392695955</v>
      </c>
      <c r="AK20" s="26">
        <f>'Evolutive SFP'!AI15/'Evolutive SFP'!AI27</f>
        <v>0.74358638795411636</v>
      </c>
      <c r="AL20" s="26">
        <f>'Evolutive SFP'!AJ15/'Evolutive SFP'!AJ27</f>
        <v>0.74273509297172646</v>
      </c>
      <c r="AM20" s="26">
        <f>'Evolutive SFP'!AK15/'Evolutive SFP'!AK27</f>
        <v>0.73979485321833816</v>
      </c>
      <c r="AN20" s="26">
        <f>'Evolutive SFP'!AL15/'Evolutive SFP'!AL27</f>
        <v>0.7401126219311428</v>
      </c>
      <c r="AO20" s="26">
        <f>'Evolutive SFP'!AM15/'Evolutive SFP'!AM27</f>
        <v>0.73616702037357407</v>
      </c>
      <c r="AP20" s="26">
        <f>'Evolutive SFP'!AN15/'Evolutive SFP'!AN27</f>
        <v>0.76067248250804387</v>
      </c>
      <c r="AQ20" s="26" t="e">
        <f>'Evolutive SFP'!AO15/'Evolutive SFP'!AO27</f>
        <v>#DIV/0!</v>
      </c>
      <c r="AR20" s="26" t="e">
        <f>'Evolutive SFP'!AP15/'Evolutive SFP'!AP27</f>
        <v>#DIV/0!</v>
      </c>
      <c r="AS20" s="26" t="e">
        <f>'Evolutive SFP'!AQ15/'Evolutive SFP'!AQ27</f>
        <v>#DIV/0!</v>
      </c>
      <c r="AT20" s="26" t="e">
        <f>'Evolutive SFP'!AR15/'Evolutive SFP'!AR27</f>
        <v>#DIV/0!</v>
      </c>
    </row>
    <row r="21" spans="1:46">
      <c r="A21" s="289" t="s">
        <v>132</v>
      </c>
      <c r="B21" s="21" t="s">
        <v>133</v>
      </c>
      <c r="C21" s="1"/>
      <c r="D21" s="26">
        <f>'Evolutive SFP'!B31/'Evolutive SFP'!B27</f>
        <v>0.78111925723181252</v>
      </c>
      <c r="E21" s="26">
        <f>'Evolutive SFP'!C31/'Evolutive SFP'!C27</f>
        <v>0.79126145024662453</v>
      </c>
      <c r="F21" s="26">
        <f>'Evolutive SFP'!D31/'Evolutive SFP'!D27</f>
        <v>0.82906178748904469</v>
      </c>
      <c r="G21" s="26">
        <f>'Evolutive SFP'!E31/'Evolutive SFP'!E27</f>
        <v>0.82950640262213282</v>
      </c>
      <c r="H21" s="26">
        <f>'Evolutive SFP'!F31/'Evolutive SFP'!F27</f>
        <v>0.82396511580596243</v>
      </c>
      <c r="I21" s="26">
        <f>'Evolutive SFP'!G31/'Evolutive SFP'!G27</f>
        <v>0.81765760217480965</v>
      </c>
      <c r="J21" s="26">
        <f>'Evolutive SFP'!H31/'Evolutive SFP'!H27</f>
        <v>0.81353736672895716</v>
      </c>
      <c r="K21" s="26">
        <f>'Evolutive SFP'!I31/'Evolutive SFP'!I27</f>
        <v>0.80893288108691441</v>
      </c>
      <c r="L21" s="26">
        <f>'Evolutive SFP'!J31/'Evolutive SFP'!J27</f>
        <v>0.80512898824576251</v>
      </c>
      <c r="M21" s="26">
        <f>'Evolutive SFP'!K31/'Evolutive SFP'!K27</f>
        <v>0.80900037060700236</v>
      </c>
      <c r="N21" s="26">
        <f>'Evolutive SFP'!L31/'Evolutive SFP'!L27</f>
        <v>0.79731749790697815</v>
      </c>
      <c r="O21" s="26">
        <f>'Evolutive SFP'!M31/'Evolutive SFP'!M27</f>
        <v>0.78390552360483279</v>
      </c>
      <c r="P21" s="26">
        <f>'Evolutive SFP'!N31/'Evolutive SFP'!N27</f>
        <v>0.78377730715024652</v>
      </c>
      <c r="Q21" s="26">
        <f>'Evolutive SFP'!O31/'Evolutive SFP'!O27</f>
        <v>0.79255561534203323</v>
      </c>
      <c r="R21" s="26">
        <f>'Evolutive SFP'!P31/'Evolutive SFP'!P27</f>
        <v>0.82313307265110658</v>
      </c>
      <c r="S21" s="26">
        <f>'Evolutive SFP'!Q31/'Evolutive SFP'!Q27</f>
        <v>0.82084646910764159</v>
      </c>
      <c r="T21" s="26">
        <f>'Evolutive SFP'!R31/'Evolutive SFP'!R27</f>
        <v>0.81893245762773659</v>
      </c>
      <c r="U21" s="26">
        <f>'Evolutive SFP'!S31/'Evolutive SFP'!S27</f>
        <v>0.81393810643973441</v>
      </c>
      <c r="V21" s="26">
        <f>'Evolutive SFP'!T31/'Evolutive SFP'!T27</f>
        <v>0.80735146132030733</v>
      </c>
      <c r="W21" s="26">
        <f>'Evolutive SFP'!U31/'Evolutive SFP'!U27</f>
        <v>0.80324620628735899</v>
      </c>
      <c r="X21" s="26">
        <f>'Evolutive SFP'!V31/'Evolutive SFP'!V27</f>
        <v>0.79896263258931066</v>
      </c>
      <c r="Y21" s="26">
        <f>'Evolutive SFP'!W31/'Evolutive SFP'!W27</f>
        <v>0.78901418868433248</v>
      </c>
      <c r="Z21" s="26">
        <f>'Evolutive SFP'!X31/'Evolutive SFP'!X27</f>
        <v>0.78427995484642066</v>
      </c>
      <c r="AA21" s="26">
        <f>'Evolutive SFP'!Y31/'Evolutive SFP'!Y27</f>
        <v>0.77272562516084509</v>
      </c>
      <c r="AB21" s="26">
        <f>'Evolutive SFP'!Z31/'Evolutive SFP'!Z27</f>
        <v>0.76922105777207539</v>
      </c>
      <c r="AC21" s="26">
        <f>'Evolutive SFP'!AA31/'Evolutive SFP'!AA27</f>
        <v>0.76602851881813305</v>
      </c>
      <c r="AD21" s="26">
        <f>'Evolutive SFP'!AB31/'Evolutive SFP'!AB27</f>
        <v>0.76856680370733466</v>
      </c>
      <c r="AE21" s="26">
        <f>'Evolutive SFP'!AC31/'Evolutive SFP'!AC27</f>
        <v>0.76185096015204301</v>
      </c>
      <c r="AF21" s="26">
        <f>'Evolutive SFP'!AD31/'Evolutive SFP'!AD27</f>
        <v>0.81347661048424158</v>
      </c>
      <c r="AG21" s="26">
        <f>'Evolutive SFP'!AE31/'Evolutive SFP'!AE27</f>
        <v>0.80958525205825294</v>
      </c>
      <c r="AH21" s="26">
        <f>'Evolutive SFP'!AF31/'Evolutive SFP'!AF27</f>
        <v>0.80497326371578881</v>
      </c>
      <c r="AI21" s="26">
        <f>'Evolutive SFP'!AG31/'Evolutive SFP'!AG27</f>
        <v>0.79768582168861168</v>
      </c>
      <c r="AJ21" s="26">
        <f>'Evolutive SFP'!AH31/'Evolutive SFP'!AH27</f>
        <v>0.79381629312635227</v>
      </c>
      <c r="AK21" s="26">
        <f>'Evolutive SFP'!AI31/'Evolutive SFP'!AI27</f>
        <v>0.78799102399151455</v>
      </c>
      <c r="AL21" s="26">
        <f>'Evolutive SFP'!AJ31/'Evolutive SFP'!AJ27</f>
        <v>0.77887540099082264</v>
      </c>
      <c r="AM21" s="26">
        <f>'Evolutive SFP'!AK31/'Evolutive SFP'!AK27</f>
        <v>0.77334036165718112</v>
      </c>
      <c r="AN21" s="26">
        <f>'Evolutive SFP'!AL31/'Evolutive SFP'!AL27</f>
        <v>0.76801665074694425</v>
      </c>
      <c r="AO21" s="26">
        <f>'Evolutive SFP'!AM31/'Evolutive SFP'!AM27</f>
        <v>0.76195682053109193</v>
      </c>
      <c r="AP21" s="26">
        <f>'Evolutive SFP'!AN31/'Evolutive SFP'!AN27</f>
        <v>0.76888118967098529</v>
      </c>
      <c r="AQ21" s="26" t="e">
        <f>'Evolutive SFP'!AO31/'Evolutive SFP'!AO27</f>
        <v>#DIV/0!</v>
      </c>
      <c r="AR21" s="26" t="e">
        <f>'Evolutive SFP'!AP31/'Evolutive SFP'!AP27</f>
        <v>#DIV/0!</v>
      </c>
      <c r="AS21" s="26" t="e">
        <f>'Evolutive SFP'!AQ31/'Evolutive SFP'!AQ27</f>
        <v>#DIV/0!</v>
      </c>
      <c r="AT21" s="26" t="e">
        <f>'Evolutive SFP'!AR31/'Evolutive SFP'!AR27</f>
        <v>#DIV/0!</v>
      </c>
    </row>
    <row r="22" spans="1:46">
      <c r="A22" s="289"/>
      <c r="B22" s="21" t="s">
        <v>134</v>
      </c>
      <c r="C22" s="1"/>
      <c r="D22" s="26">
        <f>'Evolutive SFP'!B30/'Evolutive SFP'!B27</f>
        <v>0.77315198878756097</v>
      </c>
      <c r="E22" s="26">
        <f>'Evolutive SFP'!C30/'Evolutive SFP'!C27</f>
        <v>0.78293655746604196</v>
      </c>
      <c r="F22" s="26">
        <f>'Evolutive SFP'!D30/'Evolutive SFP'!D27</f>
        <v>0.81997074731573527</v>
      </c>
      <c r="G22" s="26">
        <f>'Evolutive SFP'!E30/'Evolutive SFP'!E27</f>
        <v>0.81967270250311364</v>
      </c>
      <c r="H22" s="26">
        <f>'Evolutive SFP'!F30/'Evolutive SFP'!F27</f>
        <v>0.81371588627911151</v>
      </c>
      <c r="I22" s="26">
        <f>'Evolutive SFP'!G30/'Evolutive SFP'!G27</f>
        <v>0.80453669650414372</v>
      </c>
      <c r="J22" s="26">
        <f>'Evolutive SFP'!H30/'Evolutive SFP'!H27</f>
        <v>0.80070728132938407</v>
      </c>
      <c r="K22" s="26">
        <f>'Evolutive SFP'!I30/'Evolutive SFP'!I27</f>
        <v>0.79722406092143894</v>
      </c>
      <c r="L22" s="26">
        <f>'Evolutive SFP'!J30/'Evolutive SFP'!J27</f>
        <v>0.79267431624485196</v>
      </c>
      <c r="M22" s="26">
        <f>'Evolutive SFP'!K30/'Evolutive SFP'!K27</f>
        <v>0.79594282216471968</v>
      </c>
      <c r="N22" s="26">
        <f>'Evolutive SFP'!L30/'Evolutive SFP'!L27</f>
        <v>0.78445607105126081</v>
      </c>
      <c r="O22" s="26">
        <f>'Evolutive SFP'!M30/'Evolutive SFP'!M27</f>
        <v>0.77244861930177255</v>
      </c>
      <c r="P22" s="26">
        <f>'Evolutive SFP'!N30/'Evolutive SFP'!N27</f>
        <v>1.1499760234038727E-2</v>
      </c>
      <c r="Q22" s="26">
        <f>'Evolutive SFP'!O30/'Evolutive SFP'!O27</f>
        <v>0.78027824465188345</v>
      </c>
      <c r="R22" s="26">
        <f>'Evolutive SFP'!P30/'Evolutive SFP'!P27</f>
        <v>0.78683668363694481</v>
      </c>
      <c r="S22" s="26">
        <f>'Evolutive SFP'!Q30/'Evolutive SFP'!Q27</f>
        <v>0.79687929815126413</v>
      </c>
      <c r="T22" s="26">
        <f>'Evolutive SFP'!R30/'Evolutive SFP'!R27</f>
        <v>0.79626888085139425</v>
      </c>
      <c r="U22" s="26">
        <f>'Evolutive SFP'!S30/'Evolutive SFP'!S27</f>
        <v>0.79264943530946241</v>
      </c>
      <c r="V22" s="26">
        <f>'Evolutive SFP'!T30/'Evolutive SFP'!T27</f>
        <v>0.78619197622281045</v>
      </c>
      <c r="W22" s="26">
        <f>'Evolutive SFP'!U30/'Evolutive SFP'!U27</f>
        <v>0.77785122971333975</v>
      </c>
      <c r="X22" s="26">
        <f>'Evolutive SFP'!V30/'Evolutive SFP'!V27</f>
        <v>0.7670967513181628</v>
      </c>
      <c r="Y22" s="26">
        <f>'Evolutive SFP'!W30/'Evolutive SFP'!W27</f>
        <v>0.75906867295256109</v>
      </c>
      <c r="Z22" s="26">
        <f>'Evolutive SFP'!X30/'Evolutive SFP'!X27</f>
        <v>0.75722989528009066</v>
      </c>
      <c r="AA22" s="26">
        <f>'Evolutive SFP'!Y30/'Evolutive SFP'!Y27</f>
        <v>0.74456564556520788</v>
      </c>
      <c r="AB22" s="26">
        <f>'Evolutive SFP'!Z30/'Evolutive SFP'!Z27</f>
        <v>0.74375551513251392</v>
      </c>
      <c r="AC22" s="26">
        <f>'Evolutive SFP'!AA30/'Evolutive SFP'!AA27</f>
        <v>0.74066339325792618</v>
      </c>
      <c r="AD22" s="26">
        <f>'Evolutive SFP'!AB30/'Evolutive SFP'!AB27</f>
        <v>0.74088364032195519</v>
      </c>
      <c r="AE22" s="26">
        <f>'Evolutive SFP'!AC30/'Evolutive SFP'!AC27</f>
        <v>0.73511014792806162</v>
      </c>
      <c r="AF22" s="26">
        <f>'Evolutive SFP'!AD30/'Evolutive SFP'!AD27</f>
        <v>0.76266359307603437</v>
      </c>
      <c r="AG22" s="26">
        <f>'Evolutive SFP'!AE30/'Evolutive SFP'!AE27</f>
        <v>0.76886982385436708</v>
      </c>
      <c r="AH22" s="26">
        <f>'Evolutive SFP'!AF30/'Evolutive SFP'!AF27</f>
        <v>0.76681531599520691</v>
      </c>
      <c r="AI22" s="26">
        <f>'Evolutive SFP'!AG30/'Evolutive SFP'!AG27</f>
        <v>0.758922114222634</v>
      </c>
      <c r="AJ22" s="26">
        <f>'Evolutive SFP'!AH30/'Evolutive SFP'!AH27</f>
        <v>0.75197604345121749</v>
      </c>
      <c r="AK22" s="26">
        <f>'Evolutive SFP'!AI30/'Evolutive SFP'!AI27</f>
        <v>0.74932400396901055</v>
      </c>
      <c r="AL22" s="26">
        <f>'Evolutive SFP'!AJ30/'Evolutive SFP'!AJ27</f>
        <v>0.74347337676843939</v>
      </c>
      <c r="AM22" s="26">
        <f>'Evolutive SFP'!AK30/'Evolutive SFP'!AK27</f>
        <v>0.73659027077317596</v>
      </c>
      <c r="AN22" s="26">
        <f>'Evolutive SFP'!AL30/'Evolutive SFP'!AL27</f>
        <v>0.73226691943005484</v>
      </c>
      <c r="AO22" s="26">
        <f>'Evolutive SFP'!AM30/'Evolutive SFP'!AM27</f>
        <v>0.72760313269848709</v>
      </c>
      <c r="AP22" s="26">
        <f>'Evolutive SFP'!AN30/'Evolutive SFP'!AN27</f>
        <v>0.73420211865188278</v>
      </c>
      <c r="AQ22" s="26" t="e">
        <f>'Evolutive SFP'!AO30/'Evolutive SFP'!AO27</f>
        <v>#DIV/0!</v>
      </c>
      <c r="AR22" s="26" t="e">
        <f>'Evolutive SFP'!AP30/'Evolutive SFP'!AP27</f>
        <v>#DIV/0!</v>
      </c>
      <c r="AS22" s="26" t="e">
        <f>'Evolutive SFP'!AQ30/'Evolutive SFP'!AQ27</f>
        <v>#DIV/0!</v>
      </c>
      <c r="AT22" s="26" t="e">
        <f>'Evolutive SFP'!AR30/'Evolutive SFP'!AR27</f>
        <v>#DIV/0!</v>
      </c>
    </row>
    <row r="23" spans="1:46">
      <c r="A23" s="289"/>
      <c r="B23" s="21" t="s">
        <v>135</v>
      </c>
      <c r="C23" s="1"/>
      <c r="D23" s="26">
        <f>('Evolutive SFP'!B28+'Evolutive SFP'!B29)/'Evolutive SFP'!B27</f>
        <v>7.9672684442515622E-3</v>
      </c>
      <c r="E23" s="26">
        <f>('Evolutive SFP'!C28+'Evolutive SFP'!C29)/'Evolutive SFP'!C27</f>
        <v>8.3248927805826128E-3</v>
      </c>
      <c r="F23" s="26">
        <f>('Evolutive SFP'!D28+'Evolutive SFP'!D29)/'Evolutive SFP'!D27</f>
        <v>9.091040173309568E-3</v>
      </c>
      <c r="G23" s="26">
        <f>('Evolutive SFP'!E28+'Evolutive SFP'!E29)/'Evolutive SFP'!E27</f>
        <v>9.8337001190190836E-3</v>
      </c>
      <c r="H23" s="26">
        <f>('Evolutive SFP'!F28+'Evolutive SFP'!F29)/'Evolutive SFP'!F27</f>
        <v>1.0249229526850997E-2</v>
      </c>
      <c r="I23" s="26">
        <f>('Evolutive SFP'!G28+'Evolutive SFP'!G29)/'Evolutive SFP'!G27</f>
        <v>1.3120905670665955E-2</v>
      </c>
      <c r="J23" s="26">
        <f>('Evolutive SFP'!H28+'Evolutive SFP'!H29)/'Evolutive SFP'!H27</f>
        <v>1.2830085399573003E-2</v>
      </c>
      <c r="K23" s="26">
        <f>('Evolutive SFP'!I28+'Evolutive SFP'!I29)/'Evolutive SFP'!I27</f>
        <v>1.1708820165475453E-2</v>
      </c>
      <c r="L23" s="26">
        <f>('Evolutive SFP'!J28+'Evolutive SFP'!J29)/'Evolutive SFP'!J27</f>
        <v>1.2454672000910626E-2</v>
      </c>
      <c r="M23" s="26">
        <f>('Evolutive SFP'!K28+'Evolutive SFP'!K29)/'Evolutive SFP'!K27</f>
        <v>1.30575484422827E-2</v>
      </c>
      <c r="N23" s="26">
        <f>('Evolutive SFP'!L28+'Evolutive SFP'!L29)/'Evolutive SFP'!L27</f>
        <v>1.2861426855717287E-2</v>
      </c>
      <c r="O23" s="26">
        <f>('Evolutive SFP'!M28+'Evolutive SFP'!M29)/'Evolutive SFP'!M27</f>
        <v>1.1456904303060289E-2</v>
      </c>
      <c r="P23" s="26">
        <f>('Evolutive SFP'!N28+'Evolutive SFP'!N29)/'Evolutive SFP'!N27</f>
        <v>0.77227754691620776</v>
      </c>
      <c r="Q23" s="26">
        <f>('Evolutive SFP'!O28+'Evolutive SFP'!O29)/'Evolutive SFP'!O27</f>
        <v>1.2277370690149841E-2</v>
      </c>
      <c r="R23" s="26">
        <f>('Evolutive SFP'!P28+'Evolutive SFP'!P29)/'Evolutive SFP'!P27</f>
        <v>3.6296389014161767E-2</v>
      </c>
      <c r="S23" s="26">
        <f>('Evolutive SFP'!Q28+'Evolutive SFP'!Q29)/'Evolutive SFP'!Q27</f>
        <v>2.3967170956377504E-2</v>
      </c>
      <c r="T23" s="26">
        <f>('Evolutive SFP'!R28+'Evolutive SFP'!R29)/'Evolutive SFP'!R27</f>
        <v>2.2663576776342297E-2</v>
      </c>
      <c r="U23" s="26">
        <f>('Evolutive SFP'!S28+'Evolutive SFP'!S29)/'Evolutive SFP'!S27</f>
        <v>2.1288671130272004E-2</v>
      </c>
      <c r="V23" s="26">
        <f>('Evolutive SFP'!T28+'Evolutive SFP'!T29)/'Evolutive SFP'!T27</f>
        <v>2.1159485097496832E-2</v>
      </c>
      <c r="W23" s="26">
        <f>('Evolutive SFP'!U28+'Evolutive SFP'!U29)/'Evolutive SFP'!U27</f>
        <v>2.5394976574019262E-2</v>
      </c>
      <c r="X23" s="26">
        <f>('Evolutive SFP'!V28+'Evolutive SFP'!V29)/'Evolutive SFP'!V27</f>
        <v>3.1865881271147777E-2</v>
      </c>
      <c r="Y23" s="26">
        <f>('Evolutive SFP'!W28+'Evolutive SFP'!W29)/'Evolutive SFP'!W27</f>
        <v>2.9945515731771417E-2</v>
      </c>
      <c r="Z23" s="26">
        <f>('Evolutive SFP'!X28+'Evolutive SFP'!X29)/'Evolutive SFP'!X27</f>
        <v>2.7050059566330054E-2</v>
      </c>
      <c r="AA23" s="26">
        <f>('Evolutive SFP'!Y28+'Evolutive SFP'!Y29)/'Evolutive SFP'!Y27</f>
        <v>2.815997959563726E-2</v>
      </c>
      <c r="AB23" s="26">
        <f>('Evolutive SFP'!Z28+'Evolutive SFP'!Z29)/'Evolutive SFP'!Z27</f>
        <v>2.5465542639561436E-2</v>
      </c>
      <c r="AC23" s="26">
        <f>('Evolutive SFP'!AA28+'Evolutive SFP'!AA29)/'Evolutive SFP'!AA27</f>
        <v>2.5365125560206907E-2</v>
      </c>
      <c r="AD23" s="26">
        <f>('Evolutive SFP'!AB28+'Evolutive SFP'!AB29)/'Evolutive SFP'!AB27</f>
        <v>2.7683163385379378E-2</v>
      </c>
      <c r="AE23" s="26">
        <f>('Evolutive SFP'!AC28+'Evolutive SFP'!AC29)/'Evolutive SFP'!AC27</f>
        <v>2.6740812223981433E-2</v>
      </c>
      <c r="AF23" s="26">
        <f>('Evolutive SFP'!AD28+'Evolutive SFP'!AD29)/'Evolutive SFP'!AD27</f>
        <v>5.0813017408207276E-2</v>
      </c>
      <c r="AG23" s="26">
        <f>('Evolutive SFP'!AE28+'Evolutive SFP'!AE29)/'Evolutive SFP'!AE27</f>
        <v>4.0715428203885975E-2</v>
      </c>
      <c r="AH23" s="26">
        <f>('Evolutive SFP'!AF28+'Evolutive SFP'!AF29)/'Evolutive SFP'!AF27</f>
        <v>3.8157947720581856E-2</v>
      </c>
      <c r="AI23" s="26">
        <f>('Evolutive SFP'!AG28+'Evolutive SFP'!AG29)/'Evolutive SFP'!AG27</f>
        <v>3.876370746597764E-2</v>
      </c>
      <c r="AJ23" s="26">
        <f>('Evolutive SFP'!AH28+'Evolutive SFP'!AH29)/'Evolutive SFP'!AH27</f>
        <v>4.1840249675134708E-2</v>
      </c>
      <c r="AK23" s="26">
        <f>('Evolutive SFP'!AI28+'Evolutive SFP'!AI29)/'Evolutive SFP'!AI27</f>
        <v>3.8667020022503967E-2</v>
      </c>
      <c r="AL23" s="26">
        <f>('Evolutive SFP'!AJ28+'Evolutive SFP'!AJ29)/'Evolutive SFP'!AJ27</f>
        <v>3.5402024222383227E-2</v>
      </c>
      <c r="AM23" s="26">
        <f>('Evolutive SFP'!AK28+'Evolutive SFP'!AK29)/'Evolutive SFP'!AK27</f>
        <v>3.6750090884005208E-2</v>
      </c>
      <c r="AN23" s="26">
        <f>('Evolutive SFP'!AL28+'Evolutive SFP'!AL29)/'Evolutive SFP'!AL27</f>
        <v>3.5749731316889452E-2</v>
      </c>
      <c r="AO23" s="26">
        <f>('Evolutive SFP'!AM28+'Evolutive SFP'!AM29)/'Evolutive SFP'!AM27</f>
        <v>3.435368783260484E-2</v>
      </c>
      <c r="AP23" s="26">
        <f>('Evolutive SFP'!AN28+'Evolutive SFP'!AN29)/'Evolutive SFP'!AN27</f>
        <v>3.4679071019102406E-2</v>
      </c>
      <c r="AQ23" s="26" t="e">
        <f>('Evolutive SFP'!AO28+'Evolutive SFP'!AO29)/'Evolutive SFP'!AO27</f>
        <v>#DIV/0!</v>
      </c>
      <c r="AR23" s="26" t="e">
        <f>('Evolutive SFP'!AP28+'Evolutive SFP'!AP29)/'Evolutive SFP'!AP27</f>
        <v>#DIV/0!</v>
      </c>
      <c r="AS23" s="26" t="e">
        <f>('Evolutive SFP'!AQ28+'Evolutive SFP'!AQ29)/'Evolutive SFP'!AQ27</f>
        <v>#DIV/0!</v>
      </c>
      <c r="AT23" s="26" t="e">
        <f>('Evolutive SFP'!AR28+'Evolutive SFP'!AR29)/'Evolutive SFP'!AR27</f>
        <v>#DIV/0!</v>
      </c>
    </row>
    <row r="24" spans="1:46">
      <c r="A24" s="288" t="s">
        <v>136</v>
      </c>
      <c r="B24" s="21" t="s">
        <v>26</v>
      </c>
      <c r="C24" s="1"/>
      <c r="D24" s="26" t="e">
        <f>(Financials!C4-Financials!#REF!)/Financials!#REF!</f>
        <v>#REF!</v>
      </c>
      <c r="E24" s="26">
        <f>(Financials!D4-Financials!C4)/Financials!C4</f>
        <v>1.5262132642023846E-3</v>
      </c>
      <c r="F24" s="26">
        <f>(Financials!E4-Financials!D4)/Financials!D4</f>
        <v>-3.2121602701769975E-2</v>
      </c>
      <c r="G24" s="26">
        <f>(Financials!F4-Financials!E4)/Financials!E4</f>
        <v>5.9206506816814001E-3</v>
      </c>
      <c r="H24" s="26">
        <f>(Financials!G4-Financials!F4)/Financials!F4</f>
        <v>1.5839574033191792E-2</v>
      </c>
      <c r="I24" s="26">
        <f>(Financials!H4-Financials!G4)/Financials!G4</f>
        <v>1.7774876807238597E-2</v>
      </c>
      <c r="J24" s="26">
        <f>(Financials!I4-Financials!H4)/Financials!H4</f>
        <v>1.9721765201049384E-2</v>
      </c>
      <c r="K24" s="26">
        <f>(Financials!J4-Financials!I4)/Financials!I4</f>
        <v>1.385495947892239E-2</v>
      </c>
      <c r="L24" s="26">
        <f>(Financials!K4-Financials!J4)/Financials!J4</f>
        <v>1.2136388544104574E-2</v>
      </c>
      <c r="M24" s="26">
        <f>(Financials!L4-Financials!K4)/Financials!K4</f>
        <v>8.6792555455923407E-3</v>
      </c>
      <c r="N24" s="26">
        <f>(Financials!M4-Financials!L4)/Financials!L4</f>
        <v>2.2955561060033172E-2</v>
      </c>
      <c r="O24" s="26">
        <f>(Financials!N4-Financials!M4)/Financials!M4</f>
        <v>1.7076332966921726E-2</v>
      </c>
      <c r="P24" s="26">
        <f>(Financials!O4-Financials!N4)/Financials!N4</f>
        <v>2.2371763792650913E-4</v>
      </c>
      <c r="Q24" s="26">
        <f>(Financials!P4-Financials!O4)/Financials!O4</f>
        <v>-1.1223497377452008E-3</v>
      </c>
      <c r="R24" s="26">
        <f>(Financials!Q4-Financials!P4)/Financials!P4</f>
        <v>3.6590058833942977E-3</v>
      </c>
      <c r="S24" s="26">
        <f>(Financials!R4-Financials!Q4)/Financials!Q4</f>
        <v>2.8417246951236677E-3</v>
      </c>
      <c r="T24" s="26">
        <f>(Financials!S4-Financials!R4)/Financials!R4</f>
        <v>1.0075521551058139E-2</v>
      </c>
      <c r="U24" s="26">
        <f>(Financials!T4-Financials!S4)/Financials!S4</f>
        <v>5.9561674532006607E-4</v>
      </c>
      <c r="V24" s="26">
        <f>(Financials!U4-Financials!T4)/Financials!T4</f>
        <v>5.5359881739012566E-3</v>
      </c>
      <c r="W24" s="26">
        <f>(Financials!V4-Financials!U4)/Financials!U4</f>
        <v>1.8980953110763102E-2</v>
      </c>
      <c r="X24" s="26">
        <f>(Financials!W4-Financials!V4)/Financials!V4</f>
        <v>1.9829015560840442E-2</v>
      </c>
      <c r="Y24" s="26">
        <f>(Financials!X4-Financials!W4)/Financials!W4</f>
        <v>1.1451616838052089E-2</v>
      </c>
      <c r="Z24" s="26">
        <f>(Financials!Y4-Financials!X4)/Financials!X4</f>
        <v>1.1011753205642745E-2</v>
      </c>
      <c r="AA24" s="26">
        <f>(Financials!Z4-Financials!Y4)/Financials!Y4</f>
        <v>1.4297023012134622E-2</v>
      </c>
      <c r="AB24" s="26">
        <f>(Financials!AA4-Financials!Z4)/Financials!Z4</f>
        <v>1.1492787441734011E-2</v>
      </c>
      <c r="AC24" s="26">
        <f>(Financials!AB4-Financials!AA4)/Financials!AA4</f>
        <v>4.1747564623016951E-3</v>
      </c>
      <c r="AD24" s="26">
        <f>(Financials!AC4-Financials!AB4)/Financials!AB4</f>
        <v>1.0053489644609838E-2</v>
      </c>
      <c r="AE24" s="26">
        <f>(Financials!AD4-Financials!AC4)/Financials!AC4</f>
        <v>1.2322181829519809E-2</v>
      </c>
      <c r="AF24" s="26">
        <f>(Financials!AE4-Financials!AD4)/Financials!AD4</f>
        <v>-2.1065975274051518E-2</v>
      </c>
      <c r="AG24" s="26">
        <f>(Financials!AF4-Financials!AE4)/Financials!AE4</f>
        <v>2.2440498371147262E-3</v>
      </c>
      <c r="AH24" s="26">
        <f>(Financials!AG4-Financials!AF4)/Financials!AF4</f>
        <v>9.1629555416744869E-3</v>
      </c>
      <c r="AI24" s="26">
        <f>(Financials!AH4-Financials!AG4)/Financials!AG4</f>
        <v>9.8399008320232389E-3</v>
      </c>
      <c r="AJ24" s="26">
        <f>(Financials!AI4-Financials!AH4)/Financials!AH4</f>
        <v>1.7394036845702558E-2</v>
      </c>
      <c r="AK24" s="26">
        <f>(Financials!AJ4-Financials!AI4)/Financials!AI4</f>
        <v>9.6768874367388694E-3</v>
      </c>
      <c r="AL24" s="26">
        <f>(Financials!AK4-Financials!AJ4)/Financials!AJ4</f>
        <v>1.3746134339262505E-2</v>
      </c>
      <c r="AM24" s="26">
        <f>(Financials!AL4-Financials!AK4)/Financials!AK4</f>
        <v>2.0767295232167176E-2</v>
      </c>
      <c r="AN24" s="26">
        <f>(Financials!AM4-Financials!AL4)/Financials!AL4</f>
        <v>1.8962331542988146E-2</v>
      </c>
      <c r="AO24" s="26">
        <f>(Financials!AN4-Financials!AM4)/Financials!AM4</f>
        <v>1.462415181448049E-2</v>
      </c>
      <c r="AP24" s="26">
        <f>(Financials!AO4-Financials!AN4)/Financials!AN4</f>
        <v>-8.9839413177713202E-3</v>
      </c>
      <c r="AQ24" s="26">
        <f>(Financials!AP4-Financials!AO4)/Financials!AO4</f>
        <v>-1</v>
      </c>
      <c r="AR24" s="26" t="e">
        <f>(Financials!AQ4-Financials!AP4)/Financials!AP4</f>
        <v>#DIV/0!</v>
      </c>
      <c r="AS24" s="26" t="e">
        <f>(Financials!AR4-Financials!AQ4)/Financials!AQ4</f>
        <v>#DIV/0!</v>
      </c>
      <c r="AT24" s="26" t="e">
        <f>(Financials!AS4-Financials!AR4)/Financials!AR4</f>
        <v>#DIV/0!</v>
      </c>
    </row>
    <row r="25" spans="1:46">
      <c r="A25" s="288"/>
      <c r="B25" s="21" t="s">
        <v>137</v>
      </c>
      <c r="C25" s="1"/>
      <c r="D25" s="26" t="e">
        <f>Financials!#REF!/Financials!C5-1</f>
        <v>#REF!</v>
      </c>
      <c r="E25" s="26" t="e">
        <f>Financials!#REF!/Financials!D5-1</f>
        <v>#REF!</v>
      </c>
      <c r="F25" s="26" t="e">
        <f>Financials!#REF!/Financials!E5-1</f>
        <v>#REF!</v>
      </c>
      <c r="G25" s="26" t="e">
        <f>Financials!#REF!/Financials!F5-1</f>
        <v>#REF!</v>
      </c>
      <c r="H25" s="26" t="e">
        <f>Financials!#REF!/Financials!G5-1</f>
        <v>#REF!</v>
      </c>
      <c r="I25" s="26" t="e">
        <f>Financials!#REF!/Financials!H5-1</f>
        <v>#REF!</v>
      </c>
      <c r="J25" s="26" t="e">
        <f>Financials!#REF!/Financials!I5-1</f>
        <v>#REF!</v>
      </c>
      <c r="K25" s="26" t="e">
        <f>Financials!#REF!/Financials!J5-1</f>
        <v>#REF!</v>
      </c>
      <c r="L25" s="26" t="e">
        <f>Financials!#REF!/Financials!K5-1</f>
        <v>#REF!</v>
      </c>
      <c r="M25" s="26" t="e">
        <f>Financials!#REF!/Financials!L5-1</f>
        <v>#REF!</v>
      </c>
      <c r="N25" s="26" t="e">
        <f>Financials!#REF!/Financials!M5-1</f>
        <v>#REF!</v>
      </c>
      <c r="O25" s="26" t="e">
        <f>Financials!#REF!/Financials!N5-1</f>
        <v>#REF!</v>
      </c>
      <c r="P25" s="26" t="e">
        <f>Financials!#REF!/Financials!O5-1</f>
        <v>#REF!</v>
      </c>
      <c r="Q25" s="26" t="e">
        <f>Financials!#REF!/Financials!P5-1</f>
        <v>#REF!</v>
      </c>
      <c r="R25" s="26" t="e">
        <f>Financials!#REF!/Financials!Q5-1</f>
        <v>#REF!</v>
      </c>
      <c r="S25" s="26" t="e">
        <f>Financials!#REF!/Financials!R5-1</f>
        <v>#REF!</v>
      </c>
      <c r="T25" s="26" t="e">
        <f>Financials!#REF!/Financials!S5-1</f>
        <v>#REF!</v>
      </c>
      <c r="U25" s="26" t="e">
        <f>Financials!#REF!/Financials!T5-1</f>
        <v>#REF!</v>
      </c>
      <c r="V25" s="26" t="e">
        <f>Financials!#REF!/Financials!U5-1</f>
        <v>#REF!</v>
      </c>
      <c r="W25" s="26" t="e">
        <f>Financials!#REF!/Financials!V5-1</f>
        <v>#REF!</v>
      </c>
      <c r="X25" s="26" t="e">
        <f>Financials!#REF!/Financials!W5-1</f>
        <v>#REF!</v>
      </c>
      <c r="Y25" s="26" t="e">
        <f>Financials!#REF!/Financials!X5-1</f>
        <v>#REF!</v>
      </c>
      <c r="Z25" s="26" t="e">
        <f>Financials!#REF!/Financials!Y5-1</f>
        <v>#REF!</v>
      </c>
      <c r="AA25" s="26" t="e">
        <f>Financials!#REF!/Financials!Z5-1</f>
        <v>#REF!</v>
      </c>
      <c r="AB25" s="26" t="e">
        <f>Financials!#REF!/Financials!AA5-1</f>
        <v>#REF!</v>
      </c>
      <c r="AC25" s="26" t="e">
        <f>Financials!#REF!/Financials!AB5-1</f>
        <v>#REF!</v>
      </c>
      <c r="AD25" s="26" t="e">
        <f>Financials!#REF!/Financials!AC5-1</f>
        <v>#REF!</v>
      </c>
      <c r="AE25" s="26" t="e">
        <f>Financials!#REF!/Financials!AD5-1</f>
        <v>#REF!</v>
      </c>
      <c r="AF25" s="26" t="e">
        <f>Financials!#REF!/Financials!AE5-1</f>
        <v>#REF!</v>
      </c>
      <c r="AG25" s="26" t="e">
        <f>Financials!#REF!/Financials!AF5-1</f>
        <v>#REF!</v>
      </c>
      <c r="AH25" s="26" t="e">
        <f>Financials!#REF!/Financials!AG5-1</f>
        <v>#REF!</v>
      </c>
      <c r="AI25" s="26" t="e">
        <f>Financials!#REF!/Financials!AH5-1</f>
        <v>#REF!</v>
      </c>
      <c r="AJ25" s="26" t="e">
        <f>Financials!#REF!/Financials!AI5-1</f>
        <v>#REF!</v>
      </c>
      <c r="AK25" s="26" t="e">
        <f>Financials!#REF!/Financials!AJ5-1</f>
        <v>#REF!</v>
      </c>
      <c r="AL25" s="26" t="e">
        <f>Financials!#REF!/Financials!AK5-1</f>
        <v>#REF!</v>
      </c>
      <c r="AM25" s="26" t="e">
        <f>Financials!#REF!/Financials!AL5-1</f>
        <v>#REF!</v>
      </c>
      <c r="AN25" s="26" t="e">
        <f>Financials!#REF!/Financials!AM5-1</f>
        <v>#REF!</v>
      </c>
      <c r="AO25" s="26" t="e">
        <f>Financials!#REF!/Financials!AN5-1</f>
        <v>#REF!</v>
      </c>
      <c r="AP25" s="26" t="e">
        <f>Financials!#REF!/Financials!AO5-1</f>
        <v>#REF!</v>
      </c>
      <c r="AQ25" s="26" t="e">
        <f>Financials!#REF!/Financials!AP5-1</f>
        <v>#REF!</v>
      </c>
      <c r="AR25" s="26" t="e">
        <f>Financials!#REF!/Financials!AQ5-1</f>
        <v>#REF!</v>
      </c>
      <c r="AS25" s="26" t="e">
        <f>Financials!#REF!/Financials!AR5-1</f>
        <v>#REF!</v>
      </c>
      <c r="AT25" s="26" t="e">
        <f>Financials!#REF!/Financials!AS5-1</f>
        <v>#REF!</v>
      </c>
    </row>
    <row r="26" spans="1:46">
      <c r="A26" s="288"/>
      <c r="B26" s="22" t="s">
        <v>138</v>
      </c>
      <c r="C26" s="1"/>
      <c r="D26" s="26" t="e">
        <f>Financials!#REF!/Financials!C6-1</f>
        <v>#REF!</v>
      </c>
      <c r="E26" s="26" t="e">
        <f>Financials!#REF!/Financials!D6-1</f>
        <v>#REF!</v>
      </c>
      <c r="F26" s="26" t="e">
        <f>Financials!#REF!/Financials!E6-1</f>
        <v>#REF!</v>
      </c>
      <c r="G26" s="26" t="e">
        <f>Financials!#REF!/Financials!F6-1</f>
        <v>#REF!</v>
      </c>
      <c r="H26" s="26" t="e">
        <f>Financials!#REF!/Financials!G6-1</f>
        <v>#REF!</v>
      </c>
      <c r="I26" s="26" t="e">
        <f>Financials!#REF!/Financials!H6-1</f>
        <v>#REF!</v>
      </c>
      <c r="J26" s="26" t="e">
        <f>Financials!#REF!/Financials!I6-1</f>
        <v>#REF!</v>
      </c>
      <c r="K26" s="26" t="e">
        <f>Financials!#REF!/Financials!J6-1</f>
        <v>#REF!</v>
      </c>
      <c r="L26" s="26" t="e">
        <f>Financials!#REF!/Financials!K6-1</f>
        <v>#REF!</v>
      </c>
      <c r="M26" s="26" t="e">
        <f>Financials!#REF!/Financials!L6-1</f>
        <v>#REF!</v>
      </c>
      <c r="N26" s="26" t="e">
        <f>Financials!#REF!/Financials!M6-1</f>
        <v>#REF!</v>
      </c>
      <c r="O26" s="26" t="e">
        <f>Financials!#REF!/Financials!N6-1</f>
        <v>#REF!</v>
      </c>
      <c r="P26" s="26" t="e">
        <f>Financials!#REF!/Financials!O6-1</f>
        <v>#REF!</v>
      </c>
      <c r="Q26" s="26" t="e">
        <f>Financials!#REF!/Financials!P6-1</f>
        <v>#REF!</v>
      </c>
      <c r="R26" s="26" t="e">
        <f>Financials!#REF!/Financials!Q6-1</f>
        <v>#REF!</v>
      </c>
      <c r="S26" s="26" t="e">
        <f>Financials!#REF!/Financials!R6-1</f>
        <v>#REF!</v>
      </c>
      <c r="T26" s="26" t="e">
        <f>Financials!#REF!/Financials!S6-1</f>
        <v>#REF!</v>
      </c>
      <c r="U26" s="26" t="e">
        <f>Financials!#REF!/Financials!T6-1</f>
        <v>#REF!</v>
      </c>
      <c r="V26" s="26" t="e">
        <f>Financials!#REF!/Financials!U6-1</f>
        <v>#REF!</v>
      </c>
      <c r="W26" s="26" t="e">
        <f>Financials!#REF!/Financials!V6-1</f>
        <v>#REF!</v>
      </c>
      <c r="X26" s="26" t="e">
        <f>Financials!#REF!/Financials!W6-1</f>
        <v>#REF!</v>
      </c>
      <c r="Y26" s="26" t="e">
        <f>Financials!#REF!/Financials!X6-1</f>
        <v>#REF!</v>
      </c>
      <c r="Z26" s="26" t="e">
        <f>Financials!#REF!/Financials!Y6-1</f>
        <v>#REF!</v>
      </c>
      <c r="AA26" s="26" t="e">
        <f>Financials!#REF!/Financials!Z6-1</f>
        <v>#REF!</v>
      </c>
      <c r="AB26" s="26" t="e">
        <f>Financials!#REF!/Financials!AA6-1</f>
        <v>#REF!</v>
      </c>
      <c r="AC26" s="26" t="e">
        <f>Financials!#REF!/Financials!AB6-1</f>
        <v>#REF!</v>
      </c>
      <c r="AD26" s="26" t="e">
        <f>Financials!#REF!/Financials!AC6-1</f>
        <v>#REF!</v>
      </c>
      <c r="AE26" s="26" t="e">
        <f>Financials!#REF!/Financials!AD6-1</f>
        <v>#REF!</v>
      </c>
      <c r="AF26" s="26" t="e">
        <f>Financials!#REF!/Financials!AE6-1</f>
        <v>#REF!</v>
      </c>
      <c r="AG26" s="26" t="e">
        <f>Financials!#REF!/Financials!AF6-1</f>
        <v>#REF!</v>
      </c>
      <c r="AH26" s="26" t="e">
        <f>Financials!#REF!/Financials!AG6-1</f>
        <v>#REF!</v>
      </c>
      <c r="AI26" s="26" t="e">
        <f>Financials!#REF!/Financials!AH6-1</f>
        <v>#REF!</v>
      </c>
      <c r="AJ26" s="26" t="e">
        <f>Financials!#REF!/Financials!AI6-1</f>
        <v>#REF!</v>
      </c>
      <c r="AK26" s="26" t="e">
        <f>Financials!#REF!/Financials!AJ6-1</f>
        <v>#REF!</v>
      </c>
      <c r="AL26" s="26" t="e">
        <f>Financials!#REF!/Financials!AK6-1</f>
        <v>#REF!</v>
      </c>
      <c r="AM26" s="26" t="e">
        <f>Financials!#REF!/Financials!AL6-1</f>
        <v>#REF!</v>
      </c>
      <c r="AN26" s="26" t="e">
        <f>Financials!#REF!/Financials!AM6-1</f>
        <v>#REF!</v>
      </c>
      <c r="AO26" s="26" t="e">
        <f>Financials!#REF!/Financials!AN6-1</f>
        <v>#REF!</v>
      </c>
      <c r="AP26" s="26" t="e">
        <f>Financials!#REF!/Financials!AO6-1</f>
        <v>#REF!</v>
      </c>
      <c r="AQ26" s="26" t="e">
        <f>Financials!#REF!/Financials!AP6-1</f>
        <v>#REF!</v>
      </c>
      <c r="AR26" s="26" t="e">
        <f>Financials!#REF!/Financials!AQ6-1</f>
        <v>#REF!</v>
      </c>
      <c r="AS26" s="26" t="e">
        <f>Financials!#REF!/Financials!AR6-1</f>
        <v>#REF!</v>
      </c>
      <c r="AT26" s="26" t="e">
        <f>Financials!#REF!/Financials!AS6-1</f>
        <v>#REF!</v>
      </c>
    </row>
    <row r="27" spans="1:46">
      <c r="A27" s="288"/>
      <c r="B27" s="22" t="s">
        <v>139</v>
      </c>
      <c r="C27" s="1"/>
      <c r="D27" s="26" t="e">
        <f>Financials!#REF!/Financials!C7-1</f>
        <v>#REF!</v>
      </c>
      <c r="E27" s="26" t="e">
        <f>Financials!#REF!/Financials!D7-1</f>
        <v>#REF!</v>
      </c>
      <c r="F27" s="26" t="e">
        <f>Financials!#REF!/Financials!E7-1</f>
        <v>#REF!</v>
      </c>
      <c r="G27" s="26" t="e">
        <f>Financials!#REF!/Financials!F7-1</f>
        <v>#REF!</v>
      </c>
      <c r="H27" s="26" t="e">
        <f>Financials!#REF!/Financials!G7-1</f>
        <v>#REF!</v>
      </c>
      <c r="I27" s="26" t="e">
        <f>Financials!#REF!/Financials!H7-1</f>
        <v>#REF!</v>
      </c>
      <c r="J27" s="26" t="e">
        <f>Financials!#REF!/Financials!I7-1</f>
        <v>#REF!</v>
      </c>
      <c r="K27" s="26" t="e">
        <f>Financials!#REF!/Financials!J7-1</f>
        <v>#REF!</v>
      </c>
      <c r="L27" s="26" t="e">
        <f>Financials!#REF!/Financials!K7-1</f>
        <v>#REF!</v>
      </c>
      <c r="M27" s="26" t="e">
        <f>Financials!#REF!/Financials!L7-1</f>
        <v>#REF!</v>
      </c>
      <c r="N27" s="26" t="e">
        <f>Financials!#REF!/Financials!M7-1</f>
        <v>#REF!</v>
      </c>
      <c r="O27" s="26" t="e">
        <f>Financials!#REF!/Financials!N7-1</f>
        <v>#REF!</v>
      </c>
      <c r="P27" s="26" t="e">
        <f>Financials!#REF!/Financials!O7-1</f>
        <v>#REF!</v>
      </c>
      <c r="Q27" s="26" t="e">
        <f>Financials!#REF!/Financials!P7-1</f>
        <v>#REF!</v>
      </c>
      <c r="R27" s="26" t="e">
        <f>Financials!#REF!/Financials!Q7-1</f>
        <v>#REF!</v>
      </c>
      <c r="S27" s="26" t="e">
        <f>Financials!#REF!/Financials!R7-1</f>
        <v>#REF!</v>
      </c>
      <c r="T27" s="26" t="e">
        <f>Financials!#REF!/Financials!S7-1</f>
        <v>#REF!</v>
      </c>
      <c r="U27" s="26" t="e">
        <f>Financials!#REF!/Financials!T7-1</f>
        <v>#REF!</v>
      </c>
      <c r="V27" s="26" t="e">
        <f>Financials!#REF!/Financials!U7-1</f>
        <v>#REF!</v>
      </c>
      <c r="W27" s="26" t="e">
        <f>Financials!#REF!/Financials!V7-1</f>
        <v>#REF!</v>
      </c>
      <c r="X27" s="26" t="e">
        <f>Financials!#REF!/Financials!W7-1</f>
        <v>#REF!</v>
      </c>
      <c r="Y27" s="26" t="e">
        <f>Financials!#REF!/Financials!X7-1</f>
        <v>#REF!</v>
      </c>
      <c r="Z27" s="26" t="e">
        <f>Financials!#REF!/Financials!Y7-1</f>
        <v>#REF!</v>
      </c>
      <c r="AA27" s="26" t="e">
        <f>Financials!#REF!/Financials!Z7-1</f>
        <v>#REF!</v>
      </c>
      <c r="AB27" s="26" t="e">
        <f>Financials!#REF!/Financials!AA7-1</f>
        <v>#REF!</v>
      </c>
      <c r="AC27" s="26" t="e">
        <f>Financials!#REF!/Financials!AB7-1</f>
        <v>#REF!</v>
      </c>
      <c r="AD27" s="26" t="e">
        <f>Financials!#REF!/Financials!AC7-1</f>
        <v>#REF!</v>
      </c>
      <c r="AE27" s="26" t="e">
        <f>Financials!#REF!/Financials!AD7-1</f>
        <v>#REF!</v>
      </c>
      <c r="AF27" s="26" t="e">
        <f>Financials!#REF!/Financials!AE7-1</f>
        <v>#REF!</v>
      </c>
      <c r="AG27" s="26" t="e">
        <f>Financials!#REF!/Financials!AF7-1</f>
        <v>#REF!</v>
      </c>
      <c r="AH27" s="26" t="e">
        <f>Financials!#REF!/Financials!AG7-1</f>
        <v>#REF!</v>
      </c>
      <c r="AI27" s="26" t="e">
        <f>Financials!#REF!/Financials!AH7-1</f>
        <v>#REF!</v>
      </c>
      <c r="AJ27" s="26" t="e">
        <f>Financials!#REF!/Financials!AI7-1</f>
        <v>#REF!</v>
      </c>
      <c r="AK27" s="26" t="e">
        <f>Financials!#REF!/Financials!AJ7-1</f>
        <v>#REF!</v>
      </c>
      <c r="AL27" s="26" t="e">
        <f>Financials!#REF!/Financials!AK7-1</f>
        <v>#REF!</v>
      </c>
      <c r="AM27" s="26" t="e">
        <f>Financials!#REF!/Financials!AL7-1</f>
        <v>#REF!</v>
      </c>
      <c r="AN27" s="26" t="e">
        <f>Financials!#REF!/Financials!AM7-1</f>
        <v>#REF!</v>
      </c>
      <c r="AO27" s="26" t="e">
        <f>Financials!#REF!/Financials!AN7-1</f>
        <v>#REF!</v>
      </c>
      <c r="AP27" s="26" t="e">
        <f>Financials!#REF!/Financials!AO7-1</f>
        <v>#REF!</v>
      </c>
      <c r="AQ27" s="26" t="e">
        <f>Financials!#REF!/Financials!AP7-1</f>
        <v>#REF!</v>
      </c>
      <c r="AR27" s="26" t="e">
        <f>Financials!#REF!/Financials!AQ7-1</f>
        <v>#REF!</v>
      </c>
      <c r="AS27" s="26" t="e">
        <f>Financials!#REF!/Financials!AR7-1</f>
        <v>#REF!</v>
      </c>
      <c r="AT27" s="26" t="e">
        <f>Financials!#REF!/Financials!AS7-1</f>
        <v>#REF!</v>
      </c>
    </row>
    <row r="28" spans="1:46">
      <c r="A28" s="288"/>
      <c r="B28" s="21" t="s">
        <v>140</v>
      </c>
      <c r="C28" s="1"/>
      <c r="D28" s="26" t="e">
        <f>Financials!#REF!/Financials!C31-1</f>
        <v>#REF!</v>
      </c>
      <c r="E28" s="26" t="e">
        <f>Financials!#REF!/Financials!D31-1</f>
        <v>#REF!</v>
      </c>
      <c r="F28" s="26" t="e">
        <f>Financials!#REF!/Financials!E31-1</f>
        <v>#REF!</v>
      </c>
      <c r="G28" s="26" t="e">
        <f>Financials!#REF!/Financials!F31-1</f>
        <v>#REF!</v>
      </c>
      <c r="H28" s="26" t="e">
        <f>Financials!#REF!/Financials!G31-1</f>
        <v>#REF!</v>
      </c>
      <c r="I28" s="26" t="e">
        <f>Financials!#REF!/Financials!H31-1</f>
        <v>#REF!</v>
      </c>
      <c r="J28" s="26" t="e">
        <f>Financials!#REF!/Financials!I31-1</f>
        <v>#REF!</v>
      </c>
      <c r="K28" s="26" t="e">
        <f>Financials!#REF!/Financials!J31-1</f>
        <v>#REF!</v>
      </c>
      <c r="L28" s="26" t="e">
        <f>Financials!#REF!/Financials!K31-1</f>
        <v>#REF!</v>
      </c>
      <c r="M28" s="26" t="e">
        <f>Financials!#REF!/Financials!L31-1</f>
        <v>#REF!</v>
      </c>
      <c r="N28" s="26" t="e">
        <f>Financials!#REF!/Financials!M31-1</f>
        <v>#REF!</v>
      </c>
      <c r="O28" s="26" t="e">
        <f>Financials!#REF!/Financials!N31-1</f>
        <v>#REF!</v>
      </c>
      <c r="P28" s="26" t="e">
        <f>Financials!#REF!/Financials!O31-1</f>
        <v>#REF!</v>
      </c>
      <c r="Q28" s="26" t="e">
        <f>Financials!#REF!/Financials!P31-1</f>
        <v>#REF!</v>
      </c>
      <c r="R28" s="26" t="e">
        <f>Financials!#REF!/Financials!Q31-1</f>
        <v>#REF!</v>
      </c>
      <c r="S28" s="26" t="e">
        <f>Financials!#REF!/Financials!R31-1</f>
        <v>#REF!</v>
      </c>
      <c r="T28" s="26" t="e">
        <f>Financials!#REF!/Financials!S31-1</f>
        <v>#REF!</v>
      </c>
      <c r="U28" s="26" t="e">
        <f>Financials!#REF!/Financials!T31-1</f>
        <v>#REF!</v>
      </c>
      <c r="V28" s="26" t="e">
        <f>Financials!#REF!/Financials!U31-1</f>
        <v>#REF!</v>
      </c>
      <c r="W28" s="26" t="e">
        <f>Financials!#REF!/Financials!V31-1</f>
        <v>#REF!</v>
      </c>
      <c r="X28" s="26" t="e">
        <f>Financials!#REF!/Financials!W31-1</f>
        <v>#REF!</v>
      </c>
      <c r="Y28" s="26" t="e">
        <f>Financials!#REF!/Financials!X31-1</f>
        <v>#REF!</v>
      </c>
      <c r="Z28" s="26" t="e">
        <f>Financials!#REF!/Financials!Y31-1</f>
        <v>#REF!</v>
      </c>
      <c r="AA28" s="26" t="e">
        <f>Financials!#REF!/Financials!Z31-1</f>
        <v>#REF!</v>
      </c>
      <c r="AB28" s="26" t="e">
        <f>Financials!#REF!/Financials!AA31-1</f>
        <v>#REF!</v>
      </c>
      <c r="AC28" s="26" t="e">
        <f>Financials!#REF!/Financials!AB31-1</f>
        <v>#REF!</v>
      </c>
      <c r="AD28" s="26" t="e">
        <f>Financials!#REF!/Financials!AC31-1</f>
        <v>#REF!</v>
      </c>
      <c r="AE28" s="26" t="e">
        <f>Financials!#REF!/Financials!AD31-1</f>
        <v>#REF!</v>
      </c>
      <c r="AF28" s="26" t="e">
        <f>Financials!#REF!/Financials!AE31-1</f>
        <v>#REF!</v>
      </c>
      <c r="AG28" s="26" t="e">
        <f>Financials!#REF!/Financials!AF31-1</f>
        <v>#REF!</v>
      </c>
      <c r="AH28" s="26" t="e">
        <f>Financials!#REF!/Financials!AG31-1</f>
        <v>#REF!</v>
      </c>
      <c r="AI28" s="26" t="e">
        <f>Financials!#REF!/Financials!AH31-1</f>
        <v>#REF!</v>
      </c>
      <c r="AJ28" s="26" t="e">
        <f>Financials!#REF!/Financials!AI31-1</f>
        <v>#REF!</v>
      </c>
      <c r="AK28" s="26" t="e">
        <f>Financials!#REF!/Financials!AJ31-1</f>
        <v>#REF!</v>
      </c>
      <c r="AL28" s="26" t="e">
        <f>Financials!#REF!/Financials!AK31-1</f>
        <v>#REF!</v>
      </c>
      <c r="AM28" s="26" t="e">
        <f>Financials!#REF!/Financials!AL31-1</f>
        <v>#REF!</v>
      </c>
      <c r="AN28" s="26" t="e">
        <f>Financials!#REF!/Financials!AM31-1</f>
        <v>#REF!</v>
      </c>
      <c r="AO28" s="26" t="e">
        <f>Financials!#REF!/Financials!AN31-1</f>
        <v>#REF!</v>
      </c>
      <c r="AP28" s="26" t="e">
        <f>Financials!#REF!/Financials!AO31-1</f>
        <v>#REF!</v>
      </c>
      <c r="AQ28" s="26" t="e">
        <f>Financials!#REF!/Financials!AP31-1</f>
        <v>#REF!</v>
      </c>
      <c r="AR28" s="26" t="e">
        <f>Financials!#REF!/Financials!AQ31-1</f>
        <v>#REF!</v>
      </c>
      <c r="AS28" s="26" t="e">
        <f>Financials!#REF!/Financials!AR31-1</f>
        <v>#REF!</v>
      </c>
      <c r="AT28" s="26" t="e">
        <f>Financials!#REF!/Financials!AS31-1</f>
        <v>#REF!</v>
      </c>
    </row>
    <row r="29" spans="1:46">
      <c r="A29" s="288"/>
      <c r="B29" s="21" t="s">
        <v>141</v>
      </c>
      <c r="C29" s="1"/>
      <c r="D29" s="26" t="e">
        <f>Financials!#REF!/Financials!C11-1</f>
        <v>#REF!</v>
      </c>
      <c r="E29" s="26" t="e">
        <f>Financials!#REF!/Financials!D11-1</f>
        <v>#REF!</v>
      </c>
      <c r="F29" s="26" t="e">
        <f>Financials!#REF!/Financials!E11-1</f>
        <v>#REF!</v>
      </c>
      <c r="G29" s="26" t="e">
        <f>Financials!#REF!/Financials!F11-1</f>
        <v>#REF!</v>
      </c>
      <c r="H29" s="26" t="e">
        <f>Financials!#REF!/Financials!G11-1</f>
        <v>#REF!</v>
      </c>
      <c r="I29" s="26" t="e">
        <f>Financials!#REF!/Financials!H11-1</f>
        <v>#REF!</v>
      </c>
      <c r="J29" s="26" t="e">
        <f>Financials!#REF!/Financials!I11-1</f>
        <v>#REF!</v>
      </c>
      <c r="K29" s="26" t="e">
        <f>Financials!#REF!/Financials!J11-1</f>
        <v>#REF!</v>
      </c>
      <c r="L29" s="26" t="e">
        <f>Financials!#REF!/Financials!K11-1</f>
        <v>#REF!</v>
      </c>
      <c r="M29" s="26" t="e">
        <f>Financials!#REF!/Financials!L11-1</f>
        <v>#REF!</v>
      </c>
      <c r="N29" s="26" t="e">
        <f>Financials!#REF!/Financials!M11-1</f>
        <v>#REF!</v>
      </c>
      <c r="O29" s="26" t="e">
        <f>Financials!#REF!/Financials!N11-1</f>
        <v>#REF!</v>
      </c>
      <c r="P29" s="26" t="e">
        <f>Financials!#REF!/Financials!O11-1</f>
        <v>#REF!</v>
      </c>
      <c r="Q29" s="26" t="e">
        <f>Financials!#REF!/Financials!P11-1</f>
        <v>#REF!</v>
      </c>
      <c r="R29" s="26" t="e">
        <f>Financials!#REF!/Financials!Q11-1</f>
        <v>#REF!</v>
      </c>
      <c r="S29" s="26" t="e">
        <f>Financials!#REF!/Financials!R11-1</f>
        <v>#REF!</v>
      </c>
      <c r="T29" s="26" t="e">
        <f>Financials!#REF!/Financials!S11-1</f>
        <v>#REF!</v>
      </c>
      <c r="U29" s="26" t="e">
        <f>Financials!#REF!/Financials!T11-1</f>
        <v>#REF!</v>
      </c>
      <c r="V29" s="26" t="e">
        <f>Financials!#REF!/Financials!U11-1</f>
        <v>#REF!</v>
      </c>
      <c r="W29" s="26" t="e">
        <f>Financials!#REF!/Financials!V11-1</f>
        <v>#REF!</v>
      </c>
      <c r="X29" s="26" t="e">
        <f>Financials!#REF!/Financials!W11-1</f>
        <v>#REF!</v>
      </c>
      <c r="Y29" s="26" t="e">
        <f>Financials!#REF!/Financials!X11-1</f>
        <v>#REF!</v>
      </c>
      <c r="Z29" s="26" t="e">
        <f>Financials!#REF!/Financials!Y11-1</f>
        <v>#REF!</v>
      </c>
      <c r="AA29" s="26" t="e">
        <f>Financials!#REF!/Financials!Z11-1</f>
        <v>#REF!</v>
      </c>
      <c r="AB29" s="26" t="e">
        <f>Financials!#REF!/Financials!AA11-1</f>
        <v>#REF!</v>
      </c>
      <c r="AC29" s="26" t="e">
        <f>Financials!#REF!/Financials!AB11-1</f>
        <v>#REF!</v>
      </c>
      <c r="AD29" s="26" t="e">
        <f>Financials!#REF!/Financials!AC11-1</f>
        <v>#REF!</v>
      </c>
      <c r="AE29" s="26" t="e">
        <f>Financials!#REF!/Financials!AD11-1</f>
        <v>#REF!</v>
      </c>
      <c r="AF29" s="26" t="e">
        <f>Financials!#REF!/Financials!AE11-1</f>
        <v>#REF!</v>
      </c>
      <c r="AG29" s="26" t="e">
        <f>Financials!#REF!/Financials!AF11-1</f>
        <v>#REF!</v>
      </c>
      <c r="AH29" s="26" t="e">
        <f>Financials!#REF!/Financials!AG11-1</f>
        <v>#REF!</v>
      </c>
      <c r="AI29" s="26" t="e">
        <f>Financials!#REF!/Financials!AH11-1</f>
        <v>#REF!</v>
      </c>
      <c r="AJ29" s="26" t="e">
        <f>Financials!#REF!/Financials!AI11-1</f>
        <v>#REF!</v>
      </c>
      <c r="AK29" s="26" t="e">
        <f>Financials!#REF!/Financials!AJ11-1</f>
        <v>#REF!</v>
      </c>
      <c r="AL29" s="26" t="e">
        <f>Financials!#REF!/Financials!AK11-1</f>
        <v>#REF!</v>
      </c>
      <c r="AM29" s="26" t="e">
        <f>Financials!#REF!/Financials!AL11-1</f>
        <v>#REF!</v>
      </c>
      <c r="AN29" s="26" t="e">
        <f>Financials!#REF!/Financials!AM11-1</f>
        <v>#REF!</v>
      </c>
      <c r="AO29" s="26" t="e">
        <f>Financials!#REF!/Financials!AN11-1</f>
        <v>#REF!</v>
      </c>
      <c r="AP29" s="26" t="e">
        <f>Financials!#REF!/Financials!AO11-1</f>
        <v>#REF!</v>
      </c>
      <c r="AQ29" s="26" t="e">
        <f>Financials!#REF!/Financials!AP11-1</f>
        <v>#REF!</v>
      </c>
      <c r="AR29" s="26" t="e">
        <f>Financials!#REF!/Financials!AQ11-1</f>
        <v>#REF!</v>
      </c>
      <c r="AS29" s="26" t="e">
        <f>Financials!#REF!/Financials!AR11-1</f>
        <v>#REF!</v>
      </c>
      <c r="AT29" s="26" t="e">
        <f>Financials!#REF!/Financials!AS11-1</f>
        <v>#REF!</v>
      </c>
    </row>
    <row r="30" spans="1:46">
      <c r="A30" s="288"/>
      <c r="B30" s="21" t="s">
        <v>142</v>
      </c>
      <c r="C30" s="1"/>
      <c r="D30" s="26" t="e">
        <f>Financials!#REF!/Financials!C37-1</f>
        <v>#REF!</v>
      </c>
      <c r="E30" s="26" t="e">
        <f>Financials!#REF!/Financials!D37-1</f>
        <v>#REF!</v>
      </c>
      <c r="F30" s="26" t="e">
        <f>Financials!#REF!/Financials!E37-1</f>
        <v>#REF!</v>
      </c>
      <c r="G30" s="26" t="e">
        <f>Financials!#REF!/Financials!F37-1</f>
        <v>#REF!</v>
      </c>
      <c r="H30" s="26" t="e">
        <f>Financials!#REF!/Financials!G37-1</f>
        <v>#REF!</v>
      </c>
      <c r="I30" s="26" t="e">
        <f>Financials!#REF!/Financials!H37-1</f>
        <v>#REF!</v>
      </c>
      <c r="J30" s="26" t="e">
        <f>Financials!#REF!/Financials!I37-1</f>
        <v>#REF!</v>
      </c>
      <c r="K30" s="26" t="e">
        <f>Financials!#REF!/Financials!J37-1</f>
        <v>#REF!</v>
      </c>
      <c r="L30" s="26" t="e">
        <f>Financials!#REF!/Financials!K37-1</f>
        <v>#REF!</v>
      </c>
      <c r="M30" s="26" t="e">
        <f>Financials!#REF!/Financials!L37-1</f>
        <v>#REF!</v>
      </c>
      <c r="N30" s="26" t="e">
        <f>Financials!#REF!/Financials!M37-1</f>
        <v>#REF!</v>
      </c>
      <c r="O30" s="26" t="e">
        <f>Financials!#REF!/Financials!N37-1</f>
        <v>#REF!</v>
      </c>
      <c r="P30" s="26" t="e">
        <f>Financials!#REF!/Financials!O37-1</f>
        <v>#REF!</v>
      </c>
      <c r="Q30" s="26" t="e">
        <f>Financials!#REF!/Financials!P37-1</f>
        <v>#REF!</v>
      </c>
      <c r="R30" s="26" t="e">
        <f>Financials!#REF!/Financials!Q37-1</f>
        <v>#REF!</v>
      </c>
      <c r="S30" s="26" t="e">
        <f>Financials!#REF!/Financials!R37-1</f>
        <v>#REF!</v>
      </c>
      <c r="T30" s="26" t="e">
        <f>Financials!#REF!/Financials!S37-1</f>
        <v>#REF!</v>
      </c>
      <c r="U30" s="26" t="e">
        <f>Financials!#REF!/Financials!T37-1</f>
        <v>#REF!</v>
      </c>
      <c r="V30" s="26" t="e">
        <f>Financials!#REF!/Financials!U37-1</f>
        <v>#REF!</v>
      </c>
      <c r="W30" s="26" t="e">
        <f>Financials!#REF!/Financials!V37-1</f>
        <v>#REF!</v>
      </c>
      <c r="X30" s="26" t="e">
        <f>Financials!#REF!/Financials!W37-1</f>
        <v>#REF!</v>
      </c>
      <c r="Y30" s="26" t="e">
        <f>Financials!#REF!/Financials!X37-1</f>
        <v>#REF!</v>
      </c>
      <c r="Z30" s="26" t="e">
        <f>Financials!#REF!/Financials!Y37-1</f>
        <v>#REF!</v>
      </c>
      <c r="AA30" s="26" t="e">
        <f>Financials!#REF!/Financials!Z37-1</f>
        <v>#REF!</v>
      </c>
      <c r="AB30" s="26" t="e">
        <f>Financials!#REF!/Financials!AA37-1</f>
        <v>#REF!</v>
      </c>
      <c r="AC30" s="26" t="e">
        <f>Financials!#REF!/Financials!AB37-1</f>
        <v>#REF!</v>
      </c>
      <c r="AD30" s="26" t="e">
        <f>Financials!#REF!/Financials!AC37-1</f>
        <v>#REF!</v>
      </c>
      <c r="AE30" s="26" t="e">
        <f>Financials!#REF!/Financials!AD37-1</f>
        <v>#REF!</v>
      </c>
      <c r="AF30" s="26" t="e">
        <f>Financials!#REF!/Financials!AE37-1</f>
        <v>#REF!</v>
      </c>
      <c r="AG30" s="26" t="e">
        <f>Financials!#REF!/Financials!AF37-1</f>
        <v>#REF!</v>
      </c>
      <c r="AH30" s="26" t="e">
        <f>Financials!#REF!/Financials!AG37-1</f>
        <v>#REF!</v>
      </c>
      <c r="AI30" s="26" t="e">
        <f>Financials!#REF!/Financials!AH37-1</f>
        <v>#REF!</v>
      </c>
      <c r="AJ30" s="26" t="e">
        <f>Financials!#REF!/Financials!AI37-1</f>
        <v>#REF!</v>
      </c>
      <c r="AK30" s="26" t="e">
        <f>Financials!#REF!/Financials!AJ37-1</f>
        <v>#REF!</v>
      </c>
      <c r="AL30" s="26" t="e">
        <f>Financials!#REF!/Financials!AK37-1</f>
        <v>#REF!</v>
      </c>
      <c r="AM30" s="26" t="e">
        <f>Financials!#REF!/Financials!AL37-1</f>
        <v>#REF!</v>
      </c>
      <c r="AN30" s="26" t="e">
        <f>Financials!#REF!/Financials!AM37-1</f>
        <v>#REF!</v>
      </c>
      <c r="AO30" s="26" t="e">
        <f>Financials!#REF!/Financials!AN37-1</f>
        <v>#REF!</v>
      </c>
      <c r="AP30" s="26" t="e">
        <f>Financials!#REF!/Financials!AO37-1</f>
        <v>#REF!</v>
      </c>
      <c r="AQ30" s="26" t="e">
        <f>Financials!#REF!/Financials!AP37-1</f>
        <v>#REF!</v>
      </c>
      <c r="AR30" s="26" t="e">
        <f>Financials!#REF!/Financials!AQ37-1</f>
        <v>#REF!</v>
      </c>
      <c r="AS30" s="26" t="e">
        <f>Financials!#REF!/Financials!AR37-1</f>
        <v>#REF!</v>
      </c>
      <c r="AT30" s="26" t="e">
        <f>Financials!#REF!/Financials!AS37-1</f>
        <v>#REF!</v>
      </c>
    </row>
    <row r="31" spans="1:46">
      <c r="A31" s="288"/>
      <c r="B31" s="21" t="s">
        <v>143</v>
      </c>
      <c r="C31" s="1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>
      <c r="A32" s="288"/>
      <c r="B32" s="21" t="s">
        <v>144</v>
      </c>
      <c r="C32" s="1"/>
      <c r="D32" s="26" t="e">
        <f>'Evolutitve SCI'!#REF!/'Evolutitve SCI'!B39-1</f>
        <v>#REF!</v>
      </c>
      <c r="E32" s="26" t="e">
        <f>'Evolutitve SCI'!#REF!/'Evolutitve SCI'!C39-1</f>
        <v>#REF!</v>
      </c>
      <c r="F32" s="26" t="e">
        <f>'Evolutitve SCI'!#REF!/'Evolutitve SCI'!D39-1</f>
        <v>#REF!</v>
      </c>
      <c r="G32" s="26" t="e">
        <f>'Evolutitve SCI'!#REF!/'Evolutitve SCI'!E39-1</f>
        <v>#REF!</v>
      </c>
      <c r="H32" s="26" t="e">
        <f>'Evolutitve SCI'!#REF!/'Evolutitve SCI'!F39-1</f>
        <v>#REF!</v>
      </c>
      <c r="I32" s="26" t="e">
        <f>'Evolutitve SCI'!#REF!/'Evolutitve SCI'!G39-1</f>
        <v>#REF!</v>
      </c>
      <c r="J32" s="26" t="e">
        <f>'Evolutitve SCI'!#REF!/'Evolutitve SCI'!H39-1</f>
        <v>#REF!</v>
      </c>
      <c r="K32" s="26" t="e">
        <f>'Evolutitve SCI'!#REF!/'Evolutitve SCI'!I39-1</f>
        <v>#REF!</v>
      </c>
      <c r="L32" s="26" t="e">
        <f>'Evolutitve SCI'!#REF!/'Evolutitve SCI'!J39-1</f>
        <v>#REF!</v>
      </c>
      <c r="M32" s="26" t="e">
        <f>'Evolutitve SCI'!#REF!/'Evolutitve SCI'!K39-1</f>
        <v>#REF!</v>
      </c>
      <c r="N32" s="26" t="e">
        <f>'Evolutitve SCI'!#REF!/'Evolutitve SCI'!L39-1</f>
        <v>#REF!</v>
      </c>
      <c r="O32" s="26" t="e">
        <f>'Evolutitve SCI'!#REF!/'Evolutitve SCI'!M39-1</f>
        <v>#REF!</v>
      </c>
      <c r="P32" s="26" t="e">
        <f>'Evolutitve SCI'!#REF!/'Evolutitve SCI'!N39-1</f>
        <v>#REF!</v>
      </c>
      <c r="Q32" s="26" t="e">
        <f>'Evolutitve SCI'!#REF!/'Evolutitve SCI'!O39-1</f>
        <v>#REF!</v>
      </c>
      <c r="R32" s="26" t="e">
        <f>'Evolutitve SCI'!#REF!/'Evolutitve SCI'!P39-1</f>
        <v>#REF!</v>
      </c>
      <c r="S32" s="26" t="e">
        <f>'Evolutitve SCI'!#REF!/'Evolutitve SCI'!Q39-1</f>
        <v>#REF!</v>
      </c>
      <c r="T32" s="26" t="e">
        <f>'Evolutitve SCI'!#REF!/'Evolutitve SCI'!R39-1</f>
        <v>#REF!</v>
      </c>
      <c r="U32" s="26" t="e">
        <f>'Evolutitve SCI'!#REF!/'Evolutitve SCI'!S39-1</f>
        <v>#REF!</v>
      </c>
      <c r="V32" s="26" t="e">
        <f>'Evolutitve SCI'!#REF!/'Evolutitve SCI'!T39-1</f>
        <v>#REF!</v>
      </c>
      <c r="W32" s="26" t="e">
        <f>'Evolutitve SCI'!#REF!/'Evolutitve SCI'!U39-1</f>
        <v>#REF!</v>
      </c>
      <c r="X32" s="26" t="e">
        <f>'Evolutitve SCI'!#REF!/'Evolutitve SCI'!V39-1</f>
        <v>#REF!</v>
      </c>
      <c r="Y32" s="26" t="e">
        <f>'Evolutitve SCI'!#REF!/'Evolutitve SCI'!W39-1</f>
        <v>#REF!</v>
      </c>
      <c r="Z32" s="26" t="e">
        <f>'Evolutitve SCI'!#REF!/'Evolutitve SCI'!X39-1</f>
        <v>#REF!</v>
      </c>
      <c r="AA32" s="26" t="e">
        <f>'Evolutitve SCI'!#REF!/'Evolutitve SCI'!Y39-1</f>
        <v>#REF!</v>
      </c>
      <c r="AB32" s="26" t="e">
        <f>'Evolutitve SCI'!#REF!/'Evolutitve SCI'!Z39-1</f>
        <v>#REF!</v>
      </c>
      <c r="AC32" s="26" t="e">
        <f>'Evolutitve SCI'!#REF!/'Evolutitve SCI'!AA39-1</f>
        <v>#REF!</v>
      </c>
      <c r="AD32" s="26" t="e">
        <f>'Evolutitve SCI'!#REF!/'Evolutitve SCI'!AB39-1</f>
        <v>#REF!</v>
      </c>
      <c r="AE32" s="26" t="e">
        <f>'Evolutitve SCI'!#REF!/'Evolutitve SCI'!AC39-1</f>
        <v>#REF!</v>
      </c>
      <c r="AF32" s="26" t="e">
        <f>'Evolutitve SCI'!#REF!/'Evolutitve SCI'!AD39-1</f>
        <v>#REF!</v>
      </c>
      <c r="AG32" s="26" t="e">
        <f>'Evolutitve SCI'!#REF!/'Evolutitve SCI'!AE39-1</f>
        <v>#REF!</v>
      </c>
      <c r="AH32" s="26" t="e">
        <f>'Evolutitve SCI'!#REF!/'Evolutitve SCI'!AF39-1</f>
        <v>#REF!</v>
      </c>
      <c r="AI32" s="26" t="e">
        <f>'Evolutitve SCI'!#REF!/'Evolutitve SCI'!AG39-1</f>
        <v>#REF!</v>
      </c>
      <c r="AJ32" s="26" t="e">
        <f>'Evolutitve SCI'!#REF!/'Evolutitve SCI'!AH39-1</f>
        <v>#REF!</v>
      </c>
      <c r="AK32" s="26" t="e">
        <f>'Evolutitve SCI'!#REF!/'Evolutitve SCI'!AI39-1</f>
        <v>#REF!</v>
      </c>
      <c r="AL32" s="26" t="e">
        <f>'Evolutitve SCI'!#REF!/'Evolutitve SCI'!AJ39-1</f>
        <v>#REF!</v>
      </c>
      <c r="AM32" s="26" t="e">
        <f>'Evolutitve SCI'!#REF!/'Evolutitve SCI'!AK39-1</f>
        <v>#REF!</v>
      </c>
      <c r="AN32" s="26" t="e">
        <f>'Evolutitve SCI'!#REF!/'Evolutitve SCI'!AL39-1</f>
        <v>#REF!</v>
      </c>
      <c r="AO32" s="26" t="e">
        <f>'Evolutitve SCI'!#REF!/'Evolutitve SCI'!AM39-1</f>
        <v>#REF!</v>
      </c>
      <c r="AP32" s="26" t="e">
        <f>'Evolutitve SCI'!#REF!/'Evolutitve SCI'!AN39-1</f>
        <v>#REF!</v>
      </c>
      <c r="AQ32" s="26" t="e">
        <f>'Evolutitve SCI'!#REF!/'Evolutitve SCI'!AO39-1</f>
        <v>#REF!</v>
      </c>
      <c r="AR32" s="26" t="e">
        <f>'Evolutitve SCI'!#REF!/'Evolutitve SCI'!AP39-1</f>
        <v>#REF!</v>
      </c>
      <c r="AS32" s="26" t="e">
        <f>'Evolutitve SCI'!#REF!/'Evolutitve SCI'!AQ39-1</f>
        <v>#REF!</v>
      </c>
      <c r="AT32" s="26" t="e">
        <f>'Evolutitve SCI'!#REF!/'Evolutitve SCI'!AR39-1</f>
        <v>#REF!</v>
      </c>
    </row>
    <row r="33" spans="1:46">
      <c r="A33" s="30" t="s">
        <v>145</v>
      </c>
      <c r="B33" s="21" t="s">
        <v>146</v>
      </c>
      <c r="C33" s="1"/>
      <c r="D33" s="26" t="e">
        <f>Financials!C44/('Evolutive SFP'!#REF!+'Evolutive SFP'!B30)/2</f>
        <v>#REF!</v>
      </c>
      <c r="E33" s="26">
        <f>Financials!D44/('Evolutive SFP'!B30+'Evolutive SFP'!C30)/2</f>
        <v>3.2772566024696463E-3</v>
      </c>
      <c r="F33" s="26">
        <f>Financials!E44/('Evolutive SFP'!C30+'Evolutive SFP'!D30)/2</f>
        <v>5.0840916112716329E-3</v>
      </c>
      <c r="G33" s="26">
        <f>Financials!F44/('Evolutive SFP'!D30+'Evolutive SFP'!E30)/2</f>
        <v>6.7254519297186696E-3</v>
      </c>
      <c r="H33" s="26">
        <f>Financials!G44/('Evolutive SFP'!E30+'Evolutive SFP'!F30)/2</f>
        <v>8.6159944381635368E-3</v>
      </c>
      <c r="I33" s="26">
        <f>Financials!H44/('Evolutive SFP'!F30+'Evolutive SFP'!G30)/2</f>
        <v>1.0498421465719511E-2</v>
      </c>
      <c r="J33" s="26">
        <f>Financials!I44/('Evolutive SFP'!G30+'Evolutive SFP'!H30)/2</f>
        <v>2.436420848471893E-2</v>
      </c>
      <c r="K33" s="26">
        <f>Financials!J44/('Evolutive SFP'!H30+'Evolutive SFP'!I30)/2</f>
        <v>1.3814087386274999E-2</v>
      </c>
      <c r="L33" s="26">
        <f>Financials!K44/('Evolutive SFP'!I30+'Evolutive SFP'!J30)/2</f>
        <v>1.5496819728174077E-2</v>
      </c>
      <c r="M33" s="26">
        <f>Financials!L44/('Evolutive SFP'!J30+'Evolutive SFP'!K30)/2</f>
        <v>1.7123214540257187E-2</v>
      </c>
      <c r="N33" s="26">
        <f>Financials!M44/('Evolutive SFP'!K30+'Evolutive SFP'!L30)/2</f>
        <v>1.8749775550672816E-2</v>
      </c>
      <c r="O33" s="26">
        <f>Financials!N44/('Evolutive SFP'!L30+'Evolutive SFP'!M30)/2</f>
        <v>2.0587804716089772E-2</v>
      </c>
      <c r="P33" s="26">
        <f>Financials!O44/('Evolutive SFP'!M30+'Evolutive SFP'!N30)/2</f>
        <v>4.0419700033270424E-2</v>
      </c>
      <c r="Q33" s="26">
        <f>Financials!P44/('Evolutive SFP'!N30+'Evolutive SFP'!O30)/2</f>
        <v>2.2695885237745111E-3</v>
      </c>
      <c r="R33" s="26">
        <f>Financials!Q44/('Evolutive SFP'!O30+'Evolutive SFP'!P30)/2</f>
        <v>1.1654324756662183E-3</v>
      </c>
      <c r="S33" s="26">
        <f>Financials!R44/('Evolutive SFP'!P30+'Evolutive SFP'!Q30)/2</f>
        <v>6.0228076438320422E-3</v>
      </c>
      <c r="T33" s="26">
        <f>Financials!S44/('Evolutive SFP'!Q30+'Evolutive SFP'!R30)/2</f>
        <v>7.2971568357425107E-3</v>
      </c>
      <c r="U33" s="26">
        <f>Financials!T44/('Evolutive SFP'!R30+'Evolutive SFP'!S30)/2</f>
        <v>8.8307603316248092E-3</v>
      </c>
      <c r="V33" s="26">
        <f>Financials!U44/('Evolutive SFP'!S30+'Evolutive SFP'!T30)/2</f>
        <v>1.000736396992326E-2</v>
      </c>
      <c r="W33" s="26">
        <f>Financials!V44/('Evolutive SFP'!T30+'Evolutive SFP'!U30)/2</f>
        <v>1.155282014331486E-2</v>
      </c>
      <c r="X33" s="26">
        <f>Financials!W44/('Evolutive SFP'!U30+'Evolutive SFP'!V30)/2</f>
        <v>1.3201253543441809E-2</v>
      </c>
      <c r="Y33" s="26">
        <f>Financials!X44/('Evolutive SFP'!V30+'Evolutive SFP'!W30)/2</f>
        <v>1.4971147580093472E-2</v>
      </c>
      <c r="Z33" s="26">
        <f>Financials!Y44/('Evolutive SFP'!W30+'Evolutive SFP'!X30)/2</f>
        <v>1.6546820729183311E-2</v>
      </c>
      <c r="AA33" s="26">
        <f>Financials!Z44/('Evolutive SFP'!X30+'Evolutive SFP'!Y30)/2</f>
        <v>1.8475378660838756E-2</v>
      </c>
      <c r="AB33" s="26">
        <f>Financials!AA44/('Evolutive SFP'!Y30+'Evolutive SFP'!Z30)/2</f>
        <v>2.0097828152341398E-2</v>
      </c>
      <c r="AC33" s="26">
        <f>Financials!AB44/('Evolutive SFP'!Z30+'Evolutive SFP'!AA30)/2</f>
        <v>2.0914865210972765E-2</v>
      </c>
      <c r="AD33" s="26">
        <f>Financials!AC44/('Evolutive SFP'!AA30+'Evolutive SFP'!AB30)/2</f>
        <v>1.6116526118505976E-3</v>
      </c>
      <c r="AE33" s="26">
        <f>Financials!AD44/('Evolutive SFP'!AB30+'Evolutive SFP'!AC30)/2</f>
        <v>3.3802888250944619E-3</v>
      </c>
      <c r="AF33" s="26">
        <f>Financials!AE44/('Evolutive SFP'!AC30+'Evolutive SFP'!AD30)/2</f>
        <v>5.361814504509523E-3</v>
      </c>
      <c r="AG33" s="26">
        <f>Financials!AF44/('Evolutive SFP'!AD30+'Evolutive SFP'!AE30)/2</f>
        <v>6.927973346834918E-3</v>
      </c>
      <c r="AH33" s="26">
        <f>Financials!AG44/('Evolutive SFP'!AE30+'Evolutive SFP'!AF30)/2</f>
        <v>8.6379566453365815E-3</v>
      </c>
      <c r="AI33" s="26">
        <f>Financials!AH44/('Evolutive SFP'!AF30+'Evolutive SFP'!AG30)/2</f>
        <v>1.0498420711298792E-2</v>
      </c>
      <c r="AJ33" s="26">
        <f>Financials!AI44/('Evolutive SFP'!AG30+'Evolutive SFP'!AH30)/2</f>
        <v>1.1941726303330945E-2</v>
      </c>
      <c r="AK33" s="26">
        <f>Financials!AJ44/('Evolutive SFP'!AH30+'Evolutive SFP'!AI30)/2</f>
        <v>1.356876984006423E-2</v>
      </c>
      <c r="AL33" s="26">
        <f>Financials!AK44/('Evolutive SFP'!AI30+'Evolutive SFP'!AJ30)/2</f>
        <v>1.5465717432878731E-2</v>
      </c>
      <c r="AM33" s="26">
        <f>Financials!AL44/('Evolutive SFP'!AJ30+'Evolutive SFP'!AK30)/2</f>
        <v>1.71930383548493E-2</v>
      </c>
      <c r="AN33" s="26">
        <f>Financials!AM44/('Evolutive SFP'!AK30+'Evolutive SFP'!AL30)/2</f>
        <v>1.8874082809731067E-2</v>
      </c>
      <c r="AO33" s="26">
        <f>Financials!AN44/('Evolutive SFP'!AL30+'Evolutive SFP'!AM30)/2</f>
        <v>2.0673160488781449E-2</v>
      </c>
      <c r="AP33" s="26">
        <f>Financials!AO44/('Evolutive SFP'!AM30+'Evolutive SFP'!AN30)/2</f>
        <v>2.1472086453332682E-2</v>
      </c>
      <c r="AQ33" s="26">
        <f>Financials!AP44/('Evolutive SFP'!AN30+'Evolutive SFP'!AO30)/2</f>
        <v>0</v>
      </c>
      <c r="AR33" s="26" t="e">
        <f>Financials!AQ44/('Evolutive SFP'!AO30+'Evolutive SFP'!AP30)/2</f>
        <v>#DIV/0!</v>
      </c>
      <c r="AS33" s="26" t="e">
        <f>Financials!AR44/('Evolutive SFP'!AP30+'Evolutive SFP'!AQ30)/2</f>
        <v>#DIV/0!</v>
      </c>
      <c r="AT33" s="26" t="e">
        <f>Financials!AS44/('Evolutive SFP'!AQ30+'Evolutive SFP'!AR30)/2</f>
        <v>#DIV/0!</v>
      </c>
    </row>
    <row r="34" spans="1:46">
      <c r="A34" s="31"/>
      <c r="B34" s="21" t="s">
        <v>147</v>
      </c>
      <c r="C34" s="1"/>
      <c r="D34" s="26" t="e">
        <f>Financials!C45/('Evolutive SFP'!#REF!+'Evolutive SFP'!B39)/2</f>
        <v>#REF!</v>
      </c>
      <c r="E34" s="26">
        <f>Financials!D45/('Evolutive SFP'!B39+'Evolutive SFP'!C39)/2</f>
        <v>0</v>
      </c>
      <c r="F34" s="26">
        <f>Financials!E45/('Evolutive SFP'!C39+'Evolutive SFP'!D39)/2</f>
        <v>0</v>
      </c>
      <c r="G34" s="26">
        <f>Financials!F45/('Evolutive SFP'!D39+'Evolutive SFP'!E39)/2</f>
        <v>0</v>
      </c>
      <c r="H34" s="26">
        <f>Financials!G45/('Evolutive SFP'!E39+'Evolutive SFP'!F39)/2</f>
        <v>0</v>
      </c>
      <c r="I34" s="26">
        <f>Financials!H45/('Evolutive SFP'!F39+'Evolutive SFP'!G39)/2</f>
        <v>0</v>
      </c>
      <c r="J34" s="26">
        <f>Financials!I45/('Evolutive SFP'!G39+'Evolutive SFP'!H39)/2</f>
        <v>0</v>
      </c>
      <c r="K34" s="26">
        <f>Financials!J45/('Evolutive SFP'!H39+'Evolutive SFP'!I39)/2</f>
        <v>0</v>
      </c>
      <c r="L34" s="26">
        <f>Financials!K45/('Evolutive SFP'!I39+'Evolutive SFP'!J39)/2</f>
        <v>0</v>
      </c>
      <c r="M34" s="26">
        <f>Financials!L45/('Evolutive SFP'!J39+'Evolutive SFP'!K39)/2</f>
        <v>0</v>
      </c>
      <c r="N34" s="26">
        <f>Financials!M45/('Evolutive SFP'!K39+'Evolutive SFP'!L39)/2</f>
        <v>0</v>
      </c>
      <c r="O34" s="26">
        <f>Financials!N45/('Evolutive SFP'!L39+'Evolutive SFP'!M39)/2</f>
        <v>4.0018880837333584E-2</v>
      </c>
      <c r="P34" s="26">
        <f>Financials!O45/('Evolutive SFP'!M39+'Evolutive SFP'!N39)/2</f>
        <v>0</v>
      </c>
      <c r="Q34" s="26">
        <f>Financials!P45/('Evolutive SFP'!N39+'Evolutive SFP'!O39)/2</f>
        <v>0</v>
      </c>
      <c r="R34" s="26">
        <f>Financials!Q45/('Evolutive SFP'!O39+'Evolutive SFP'!P39)/2</f>
        <v>0</v>
      </c>
      <c r="S34" s="26">
        <f>Financials!R45/('Evolutive SFP'!P39+'Evolutive SFP'!Q39)/2</f>
        <v>0</v>
      </c>
      <c r="T34" s="26">
        <f>Financials!S45/('Evolutive SFP'!Q39+'Evolutive SFP'!R39)/2</f>
        <v>0</v>
      </c>
      <c r="U34" s="26">
        <f>Financials!T45/('Evolutive SFP'!R39+'Evolutive SFP'!S39)/2</f>
        <v>0</v>
      </c>
      <c r="V34" s="26">
        <f>Financials!U45/('Evolutive SFP'!S39+'Evolutive SFP'!T39)/2</f>
        <v>0</v>
      </c>
      <c r="W34" s="26">
        <f>Financials!V45/('Evolutive SFP'!T39+'Evolutive SFP'!U39)/2</f>
        <v>0</v>
      </c>
      <c r="X34" s="26">
        <f>Financials!W45/('Evolutive SFP'!U39+'Evolutive SFP'!V39)/2</f>
        <v>0</v>
      </c>
      <c r="Y34" s="26">
        <f>Financials!X45/('Evolutive SFP'!V39+'Evolutive SFP'!W39)/2</f>
        <v>0</v>
      </c>
      <c r="Z34" s="26">
        <f>Financials!Y45/('Evolutive SFP'!W39+'Evolutive SFP'!X39)/2</f>
        <v>0</v>
      </c>
      <c r="AA34" s="26">
        <f>Financials!Z45/('Evolutive SFP'!X39+'Evolutive SFP'!Y39)/2</f>
        <v>0</v>
      </c>
      <c r="AB34" s="26">
        <f>Financials!AA45/('Evolutive SFP'!Y39+'Evolutive SFP'!Z39)/2</f>
        <v>3.7743742649870529E-2</v>
      </c>
      <c r="AC34" s="26">
        <f>Financials!AB45/('Evolutive SFP'!Z39+'Evolutive SFP'!AA39)/2</f>
        <v>0</v>
      </c>
      <c r="AD34" s="26">
        <f>Financials!AC45/('Evolutive SFP'!AA39+'Evolutive SFP'!AB39)/2</f>
        <v>0</v>
      </c>
      <c r="AE34" s="26">
        <f>Financials!AD45/('Evolutive SFP'!AB39+'Evolutive SFP'!AC39)/2</f>
        <v>0</v>
      </c>
      <c r="AF34" s="26">
        <f>Financials!AE45/('Evolutive SFP'!AC39+'Evolutive SFP'!AD39)/2</f>
        <v>0</v>
      </c>
      <c r="AG34" s="26">
        <f>Financials!AF45/('Evolutive SFP'!AD39+'Evolutive SFP'!AE39)/2</f>
        <v>0</v>
      </c>
      <c r="AH34" s="26">
        <f>Financials!AG45/('Evolutive SFP'!AE39+'Evolutive SFP'!AF39)/2</f>
        <v>0</v>
      </c>
      <c r="AI34" s="26">
        <f>Financials!AH45/('Evolutive SFP'!AF39+'Evolutive SFP'!AG39)/2</f>
        <v>0</v>
      </c>
      <c r="AJ34" s="26">
        <f>Financials!AI45/('Evolutive SFP'!AG39+'Evolutive SFP'!AH39)/2</f>
        <v>0</v>
      </c>
      <c r="AK34" s="26">
        <f>Financials!AJ45/('Evolutive SFP'!AH39+'Evolutive SFP'!AI39)/2</f>
        <v>0</v>
      </c>
      <c r="AL34" s="26">
        <f>Financials!AK45/('Evolutive SFP'!AI39+'Evolutive SFP'!AJ39)/2</f>
        <v>0</v>
      </c>
      <c r="AM34" s="26">
        <f>Financials!AL45/('Evolutive SFP'!AJ39+'Evolutive SFP'!AK39)/2</f>
        <v>0</v>
      </c>
      <c r="AN34" s="26">
        <f>Financials!AM45/('Evolutive SFP'!AK39+'Evolutive SFP'!AL39)/2</f>
        <v>0</v>
      </c>
      <c r="AO34" s="26">
        <f>Financials!AN45/('Evolutive SFP'!AL39+'Evolutive SFP'!AM39)/2</f>
        <v>3.7739737076524796E-2</v>
      </c>
      <c r="AP34" s="26">
        <f>Financials!AO45/('Evolutive SFP'!AM39+'Evolutive SFP'!AN39)/2</f>
        <v>0</v>
      </c>
      <c r="AQ34" s="26">
        <f>Financials!AP45/('Evolutive SFP'!AN39+'Evolutive SFP'!AO39)/2</f>
        <v>0</v>
      </c>
      <c r="AR34" s="26" t="e">
        <f>Financials!AQ45/('Evolutive SFP'!AO39+'Evolutive SFP'!AP39)/2</f>
        <v>#DIV/0!</v>
      </c>
      <c r="AS34" s="26" t="e">
        <f>Financials!AR45/('Evolutive SFP'!AP39+'Evolutive SFP'!AQ39)/2</f>
        <v>#DIV/0!</v>
      </c>
      <c r="AT34" s="26" t="e">
        <f>Financials!AS45/('Evolutive SFP'!AQ39+'Evolutive SFP'!AR39)/2</f>
        <v>#DIV/0!</v>
      </c>
    </row>
    <row r="35" spans="1:46">
      <c r="A35" s="31"/>
      <c r="B35" s="21" t="s">
        <v>148</v>
      </c>
      <c r="C35" s="1"/>
      <c r="D35" s="26" t="e">
        <f>Financials!C46/(Financials!#REF!+Financials!C31)/2</f>
        <v>#REF!</v>
      </c>
      <c r="E35" s="26">
        <f>Financials!D46/(Financials!C31+Financials!D31)/2</f>
        <v>0</v>
      </c>
      <c r="F35" s="26">
        <f>Financials!E46/(Financials!D31+Financials!E31)/2</f>
        <v>0</v>
      </c>
      <c r="G35" s="26">
        <f>Financials!F46/(Financials!E31+Financials!F31)/2</f>
        <v>0</v>
      </c>
      <c r="H35" s="26">
        <f>Financials!G46/(Financials!F31+Financials!G31)/2</f>
        <v>0</v>
      </c>
      <c r="I35" s="26">
        <f>Financials!H46/(Financials!G31+Financials!H31)/2</f>
        <v>0</v>
      </c>
      <c r="J35" s="26">
        <f>Financials!I46/(Financials!H31+Financials!I31)/2</f>
        <v>0</v>
      </c>
      <c r="K35" s="26">
        <f>Financials!J46/(Financials!I31+Financials!J31)/2</f>
        <v>0</v>
      </c>
      <c r="L35" s="26">
        <f>Financials!K46/(Financials!J31+Financials!K31)/2</f>
        <v>0</v>
      </c>
      <c r="M35" s="26">
        <f>Financials!L46/(Financials!K31+Financials!L31)/2</f>
        <v>0</v>
      </c>
      <c r="N35" s="26">
        <f>Financials!M46/(Financials!L31+Financials!M31)/2</f>
        <v>0</v>
      </c>
      <c r="O35" s="26">
        <f>Financials!N46/(Financials!M31+Financials!N31)/2</f>
        <v>0</v>
      </c>
      <c r="P35" s="26">
        <f>Financials!O46/(Financials!N31+Financials!O31)/2</f>
        <v>0</v>
      </c>
      <c r="Q35" s="26">
        <f>Financials!P46/(Financials!O31+Financials!P31)/2</f>
        <v>0</v>
      </c>
      <c r="R35" s="26">
        <f>Financials!Q46/(Financials!P31+Financials!Q31)/2</f>
        <v>0</v>
      </c>
      <c r="S35" s="26">
        <f>Financials!R46/(Financials!Q31+Financials!R31)/2</f>
        <v>0</v>
      </c>
      <c r="T35" s="26">
        <f>Financials!S46/(Financials!R31+Financials!S31)/2</f>
        <v>0</v>
      </c>
      <c r="U35" s="26">
        <f>Financials!T46/(Financials!S31+Financials!T31)/2</f>
        <v>0</v>
      </c>
      <c r="V35" s="26">
        <f>Financials!U46/(Financials!T31+Financials!U31)/2</f>
        <v>0</v>
      </c>
      <c r="W35" s="26">
        <f>Financials!V46/(Financials!U31+Financials!V31)/2</f>
        <v>0</v>
      </c>
      <c r="X35" s="26">
        <f>Financials!W46/(Financials!V31+Financials!W31)/2</f>
        <v>0</v>
      </c>
      <c r="Y35" s="26">
        <f>Financials!X46/(Financials!W31+Financials!X31)/2</f>
        <v>0</v>
      </c>
      <c r="Z35" s="26">
        <f>Financials!Y46/(Financials!X31+Financials!Y31)/2</f>
        <v>0</v>
      </c>
      <c r="AA35" s="26">
        <f>Financials!Z46/(Financials!Y31+Financials!Z31)/2</f>
        <v>0</v>
      </c>
      <c r="AB35" s="26">
        <f>Financials!AA46/(Financials!Z31+Financials!AA31)/2</f>
        <v>0</v>
      </c>
      <c r="AC35" s="26">
        <f>Financials!AB46/(Financials!AA31+Financials!AB31)/2</f>
        <v>0</v>
      </c>
      <c r="AD35" s="26">
        <f>Financials!AC46/(Financials!AB31+Financials!AC31)/2</f>
        <v>0</v>
      </c>
      <c r="AE35" s="26">
        <f>Financials!AD46/(Financials!AC31+Financials!AD31)/2</f>
        <v>0</v>
      </c>
      <c r="AF35" s="26">
        <f>Financials!AE46/(Financials!AD31+Financials!AE31)/2</f>
        <v>0</v>
      </c>
      <c r="AG35" s="26">
        <f>Financials!AF46/(Financials!AE31+Financials!AF31)/2</f>
        <v>0</v>
      </c>
      <c r="AH35" s="26">
        <f>Financials!AG46/(Financials!AF31+Financials!AG31)/2</f>
        <v>0</v>
      </c>
      <c r="AI35" s="26">
        <f>Financials!AH46/(Financials!AG31+Financials!AH31)/2</f>
        <v>0</v>
      </c>
      <c r="AJ35" s="26">
        <f>Financials!AI46/(Financials!AH31+Financials!AI31)/2</f>
        <v>0</v>
      </c>
      <c r="AK35" s="26">
        <f>Financials!AJ46/(Financials!AI31+Financials!AJ31)/2</f>
        <v>0</v>
      </c>
      <c r="AL35" s="26">
        <f>Financials!AK46/(Financials!AJ31+Financials!AK31)/2</f>
        <v>0</v>
      </c>
      <c r="AM35" s="26">
        <f>Financials!AL46/(Financials!AK31+Financials!AL31)/2</f>
        <v>0</v>
      </c>
      <c r="AN35" s="26">
        <f>Financials!AM46/(Financials!AL31+Financials!AM31)/2</f>
        <v>0</v>
      </c>
      <c r="AO35" s="26">
        <f>Financials!AN46/(Financials!AM31+Financials!AN31)/2</f>
        <v>0</v>
      </c>
      <c r="AP35" s="26">
        <f>Financials!AO46/(Financials!AN31+Financials!AO31)/2</f>
        <v>0</v>
      </c>
      <c r="AQ35" s="26">
        <f>Financials!AP46/(Financials!AO31+Financials!AP31)/2</f>
        <v>0</v>
      </c>
      <c r="AR35" s="26" t="e">
        <f>Financials!AQ46/(Financials!AP31+Financials!AQ31)/2</f>
        <v>#DIV/0!</v>
      </c>
      <c r="AS35" s="26" t="e">
        <f>Financials!AR46/(Financials!AQ31+Financials!AR31)/2</f>
        <v>#DIV/0!</v>
      </c>
      <c r="AT35" s="26" t="e">
        <f>Financials!AS46/(Financials!AR31+Financials!AS31)/2</f>
        <v>#DIV/0!</v>
      </c>
    </row>
    <row r="36" spans="1:46">
      <c r="A36" s="31"/>
      <c r="B36" s="21" t="s">
        <v>149</v>
      </c>
      <c r="C36" s="1"/>
      <c r="D36" s="26" t="e">
        <f>Financials!C47/(Financials!#REF!+Financials!C4)/2</f>
        <v>#REF!</v>
      </c>
      <c r="E36" s="26">
        <f>Financials!D47/(Financials!C4+Financials!D4)/2</f>
        <v>8.1877086949506928E-4</v>
      </c>
      <c r="F36" s="26">
        <f>Financials!E47/(Financials!D4+Financials!E4)/2</f>
        <v>1.3392375801707143E-3</v>
      </c>
      <c r="G36" s="26">
        <f>Financials!F47/(Financials!E4+Financials!F4)/2</f>
        <v>1.7599311313164542E-3</v>
      </c>
      <c r="H36" s="26">
        <f>Financials!G47/(Financials!F4+Financials!G4)/2</f>
        <v>2.1677630940559909E-3</v>
      </c>
      <c r="I36" s="26">
        <f>Financials!H47/(Financials!G4+Financials!H4)/2</f>
        <v>2.5549278158718018E-3</v>
      </c>
      <c r="J36" s="26">
        <f>Financials!I47/(Financials!H4+Financials!I4)/2</f>
        <v>5.9656527410086226E-3</v>
      </c>
      <c r="K36" s="26">
        <f>Financials!J47/(Financials!I4+Financials!J4)/2</f>
        <v>3.5078722952622192E-3</v>
      </c>
      <c r="L36" s="26">
        <f>Financials!K47/(Financials!J4+Financials!K4)/2</f>
        <v>4.053837193693571E-3</v>
      </c>
      <c r="M36" s="26">
        <f>Financials!L47/(Financials!K4+Financials!L4)/2</f>
        <v>4.5969875125744389E-3</v>
      </c>
      <c r="N36" s="26">
        <f>Financials!M47/(Financials!L4+Financials!M4)/2</f>
        <v>5.0996988093599416E-3</v>
      </c>
      <c r="O36" s="26">
        <f>Financials!N47/(Financials!M4+Financials!N4)/2</f>
        <v>6.3065469635407911E-3</v>
      </c>
      <c r="P36" s="26">
        <f>Financials!O47/(Financials!N4+Financials!O4)/2</f>
        <v>6.0607722594098676E-3</v>
      </c>
      <c r="Q36" s="26">
        <f>Financials!P47/(Financials!O4+Financials!P4)/2</f>
        <v>3.5411230013168406E-4</v>
      </c>
      <c r="R36" s="26">
        <f>Financials!Q47/(Financials!P4+Financials!Q4)/2</f>
        <v>7.1678828268560485E-4</v>
      </c>
      <c r="S36" s="26">
        <f>Financials!R47/(Financials!Q4+Financials!R4)/2</f>
        <v>1.2179951814572753E-3</v>
      </c>
      <c r="T36" s="26">
        <f>Financials!S47/(Financials!R4+Financials!S4)/2</f>
        <v>1.5710202613997445E-3</v>
      </c>
      <c r="U36" s="26">
        <f>Financials!T47/(Financials!S4+Financials!T4)/2</f>
        <v>2.0105819234902478E-3</v>
      </c>
      <c r="V36" s="26">
        <f>Financials!U47/(Financials!T4+Financials!U4)/2</f>
        <v>2.4547840468717792E-3</v>
      </c>
      <c r="W36" s="26">
        <f>Financials!V47/(Financials!U4+Financials!V4)/2</f>
        <v>2.936824458222383E-3</v>
      </c>
      <c r="X36" s="26">
        <f>Financials!W47/(Financials!V4+Financials!W4)/2</f>
        <v>3.829795302499286E-3</v>
      </c>
      <c r="Y36" s="26">
        <f>Financials!X47/(Financials!W4+Financials!X4)/2</f>
        <v>4.3079867308913342E-3</v>
      </c>
      <c r="Z36" s="26">
        <f>Financials!Y47/(Financials!X4+Financials!Y4)/2</f>
        <v>4.8994570540802172E-3</v>
      </c>
      <c r="AA36" s="26">
        <f>Financials!Z47/(Financials!Y4+Financials!Z4)/2</f>
        <v>5.3688857426493451E-3</v>
      </c>
      <c r="AB36" s="26">
        <f>Financials!AA47/(Financials!Z4+Financials!AA4)/2</f>
        <v>6.796742876280808E-3</v>
      </c>
      <c r="AC36" s="26">
        <f>Financials!AB47/(Financials!AA4+Financials!AB4)/2</f>
        <v>6.4717959558760751E-3</v>
      </c>
      <c r="AD36" s="26">
        <f>Financials!AC47/(Financials!AB4+Financials!AC4)/2</f>
        <v>3.6967959723136764E-4</v>
      </c>
      <c r="AE36" s="26">
        <f>Financials!AD47/(Financials!AC4+Financials!AD4)/2</f>
        <v>7.7904252493906148E-4</v>
      </c>
      <c r="AF36" s="26">
        <f>Financials!AE47/(Financials!AD4+Financials!AE4)/2</f>
        <v>1.2933472116412343E-3</v>
      </c>
      <c r="AG36" s="26">
        <f>Financials!AF47/(Financials!AE4+Financials!AF4)/2</f>
        <v>1.9610565775536968E-3</v>
      </c>
      <c r="AH36" s="26">
        <f>Financials!AG47/(Financials!AF4+Financials!AG4)/2</f>
        <v>2.5605411912453671E-3</v>
      </c>
      <c r="AI36" s="26">
        <f>Financials!AH47/(Financials!AG4+Financials!AH4)/2</f>
        <v>3.1223928126379295E-3</v>
      </c>
      <c r="AJ36" s="26">
        <f>Financials!AI47/(Financials!AH4+Financials!AI4)/2</f>
        <v>3.9689537378521777E-3</v>
      </c>
      <c r="AK36" s="26">
        <f>Financials!AJ47/(Financials!AI4+Financials!AJ4)/2</f>
        <v>4.7600858904151824E-3</v>
      </c>
      <c r="AL36" s="26">
        <f>Financials!AK47/(Financials!AJ4+Financials!AK4)/2</f>
        <v>5.3131541373640989E-3</v>
      </c>
      <c r="AM36" s="26">
        <f>Financials!AL47/(Financials!AK4+Financials!AL4)/2</f>
        <v>5.8292798689760844E-3</v>
      </c>
      <c r="AN36" s="26">
        <f>Financials!AM47/(Financials!AL4+Financials!AM4)/2</f>
        <v>6.5585966481941085E-3</v>
      </c>
      <c r="AO36" s="26">
        <f>Financials!AN47/(Financials!AM4+Financials!AN4)/2</f>
        <v>7.9781864330065056E-3</v>
      </c>
      <c r="AP36" s="26">
        <f>Financials!AO47/(Financials!AN4+Financials!AO4)/2</f>
        <v>8.0334961951930156E-3</v>
      </c>
      <c r="AQ36" s="26">
        <f>Financials!AP47/(Financials!AO4+Financials!AP4)/2</f>
        <v>0</v>
      </c>
      <c r="AR36" s="26" t="e">
        <f>Financials!AQ47/(Financials!AP4+Financials!AQ4)/2</f>
        <v>#DIV/0!</v>
      </c>
      <c r="AS36" s="26" t="e">
        <f>Financials!AR47/(Financials!AQ4+Financials!AR4)/2</f>
        <v>#DIV/0!</v>
      </c>
      <c r="AT36" s="26" t="e">
        <f>Financials!AS47/(Financials!AR4+Financials!AS4)/2</f>
        <v>#DIV/0!</v>
      </c>
    </row>
    <row r="37" spans="1:46">
      <c r="A37" s="31"/>
      <c r="B37" s="21" t="s">
        <v>150</v>
      </c>
      <c r="C37" s="1"/>
      <c r="D37" s="26">
        <f>Financials!C47/Financials!C37</f>
        <v>0.20957938915820162</v>
      </c>
      <c r="E37" s="26">
        <f>Financials!D47/Financials!D37</f>
        <v>0.19656293210473727</v>
      </c>
      <c r="F37" s="26">
        <f>Financials!E47/Financials!E37</f>
        <v>0.18650732307054427</v>
      </c>
      <c r="G37" s="26">
        <f>Financials!F47/Financials!F37</f>
        <v>0.18292948049300672</v>
      </c>
      <c r="H37" s="26">
        <f>Financials!G47/Financials!G37</f>
        <v>0.17759604694543965</v>
      </c>
      <c r="I37" s="26">
        <f>Financials!H47/Financials!H37</f>
        <v>0.17354836478867011</v>
      </c>
      <c r="J37" s="26">
        <f>Financials!I47/Financials!I37</f>
        <v>0.17632068362990233</v>
      </c>
      <c r="K37" s="26">
        <f>Financials!J47/Financials!J37</f>
        <v>0.18373390711876655</v>
      </c>
      <c r="L37" s="26">
        <f>Financials!K47/Financials!K37</f>
        <v>0.18991317250332873</v>
      </c>
      <c r="M37" s="26">
        <f>Financials!L47/Financials!L37</f>
        <v>0.19479749210863354</v>
      </c>
      <c r="N37" s="26">
        <f>Financials!M47/Financials!M37</f>
        <v>0.19994961978363973</v>
      </c>
      <c r="O37" s="26">
        <f>Financials!N47/Financials!N37</f>
        <v>0.216237613390346</v>
      </c>
      <c r="P37" s="26">
        <f>Financials!O47/Financials!O37</f>
        <v>0.2095975099127815</v>
      </c>
      <c r="Q37" s="26">
        <f>Financials!P47/Financials!P37</f>
        <v>0.2275711633974557</v>
      </c>
      <c r="R37" s="26">
        <f>Financials!Q47/Financials!Q37</f>
        <v>0.11646375686389976</v>
      </c>
      <c r="S37" s="26">
        <f>Financials!R47/Financials!R37</f>
        <v>0.14378932376655887</v>
      </c>
      <c r="T37" s="26">
        <f>Financials!S47/Financials!S37</f>
        <v>0.15230608376299631</v>
      </c>
      <c r="U37" s="26">
        <f>Financials!T47/Financials!T37</f>
        <v>0.16150559098515094</v>
      </c>
      <c r="V37" s="26">
        <f>Financials!U47/Financials!U37</f>
        <v>0.15945868188165976</v>
      </c>
      <c r="W37" s="26">
        <f>Financials!V47/Financials!V37</f>
        <v>0.16671243078105269</v>
      </c>
      <c r="X37" s="26">
        <f>Financials!W47/Financials!W37</f>
        <v>0.19249038308052549</v>
      </c>
      <c r="Y37" s="26">
        <f>Financials!X47/Financials!X37</f>
        <v>0.19313738101624664</v>
      </c>
      <c r="Z37" s="26">
        <f>Financials!Y47/Financials!Y37</f>
        <v>0.19997188464162483</v>
      </c>
      <c r="AA37" s="26">
        <f>Financials!Z47/Financials!Z37</f>
        <v>0.19806072503385749</v>
      </c>
      <c r="AB37" s="26">
        <f>Financials!AA47/Financials!AA37</f>
        <v>0.23333426377034705</v>
      </c>
      <c r="AC37" s="26">
        <f>Financials!AB47/Financials!AB37</f>
        <v>0.22391445495861287</v>
      </c>
      <c r="AD37" s="26">
        <f>Financials!AC47/Financials!AC37</f>
        <v>0.14713732362010232</v>
      </c>
      <c r="AE37" s="26">
        <f>Financials!AD47/Financials!AD37</f>
        <v>0.14834939359632376</v>
      </c>
      <c r="AF37" s="26">
        <f>Financials!AE47/Financials!AE37</f>
        <v>0.15833707278343767</v>
      </c>
      <c r="AG37" s="26">
        <f>Financials!AF47/Financials!AF37</f>
        <v>0.18171143114950228</v>
      </c>
      <c r="AH37" s="26">
        <f>Financials!AG47/Financials!AG37</f>
        <v>0.18978328608765785</v>
      </c>
      <c r="AI37" s="26">
        <f>Financials!AH47/Financials!AH37</f>
        <v>0.19164181938889185</v>
      </c>
      <c r="AJ37" s="26">
        <f>Financials!AI47/Financials!AI37</f>
        <v>0.2163064920477043</v>
      </c>
      <c r="AK37" s="26">
        <f>Financials!AJ47/Financials!AJ37</f>
        <v>0.22975141781184708</v>
      </c>
      <c r="AL37" s="26">
        <f>Financials!AK47/Financials!AK37</f>
        <v>0.22621379718808401</v>
      </c>
      <c r="AM37" s="26">
        <f>Financials!AL47/Financials!AL37</f>
        <v>0.22515641075387885</v>
      </c>
      <c r="AN37" s="26">
        <f>Financials!AM47/Financials!AM37</f>
        <v>0.23247890980059138</v>
      </c>
      <c r="AO37" s="26">
        <f>Financials!AN47/Financials!AN37</f>
        <v>0.25973081640970846</v>
      </c>
      <c r="AP37" s="26">
        <f>Financials!AO47/Financials!AO37</f>
        <v>0.26493560106009623</v>
      </c>
      <c r="AQ37" s="26" t="e">
        <f>Financials!AP47/Financials!AP37</f>
        <v>#DIV/0!</v>
      </c>
      <c r="AR37" s="26" t="e">
        <f>Financials!AQ47/Financials!AQ37</f>
        <v>#DIV/0!</v>
      </c>
      <c r="AS37" s="26" t="e">
        <f>Financials!AR47/Financials!AR37</f>
        <v>#DIV/0!</v>
      </c>
      <c r="AT37" s="26" t="e">
        <f>Financials!AS47/Financials!AS37</f>
        <v>#DIV/0!</v>
      </c>
    </row>
    <row r="38" spans="1:46">
      <c r="A38" s="31"/>
      <c r="B38" s="21" t="s">
        <v>151</v>
      </c>
      <c r="C38" s="1"/>
      <c r="D38" s="26" t="e">
        <f>Financials!C38/('Evolutive SFP'!B14+'Evolutive SFP'!#REF!)/2</f>
        <v>#REF!</v>
      </c>
      <c r="E38" s="26">
        <f>Financials!D38/('Evolutive SFP'!C14+'Evolutive SFP'!B14)/2</f>
        <v>4.3336022259705146E-3</v>
      </c>
      <c r="F38" s="26">
        <f>Financials!E38/('Evolutive SFP'!D14+'Evolutive SFP'!C14)/2</f>
        <v>7.4868061501207278E-3</v>
      </c>
      <c r="G38" s="26">
        <f>Financials!F38/('Evolutive SFP'!E14+'Evolutive SFP'!D14)/2</f>
        <v>9.9656202658386893E-3</v>
      </c>
      <c r="H38" s="26">
        <f>Financials!G38/('Evolutive SFP'!F14+'Evolutive SFP'!E14)/2</f>
        <v>1.3006336582420296E-2</v>
      </c>
      <c r="I38" s="26">
        <f>Financials!H38/('Evolutive SFP'!G14+'Evolutive SFP'!F14)/2</f>
        <v>1.5714523335429591E-2</v>
      </c>
      <c r="J38" s="26">
        <f>Financials!I38/('Evolutive SFP'!H14+'Evolutive SFP'!G14)/2</f>
        <v>3.6904966966001179E-2</v>
      </c>
      <c r="K38" s="26">
        <f>Financials!J38/('Evolutive SFP'!I14+'Evolutive SFP'!H14)/2</f>
        <v>2.1144196525997153E-2</v>
      </c>
      <c r="L38" s="26">
        <f>Financials!K38/('Evolutive SFP'!J14+'Evolutive SFP'!I14)/2</f>
        <v>2.3667231573109369E-2</v>
      </c>
      <c r="M38" s="26">
        <f>Financials!L38/('Evolutive SFP'!K14+'Evolutive SFP'!J14)/2</f>
        <v>2.6116106341586905E-2</v>
      </c>
      <c r="N38" s="26">
        <f>Financials!M38/('Evolutive SFP'!L14+'Evolutive SFP'!K14)/2</f>
        <v>2.8643435931876047E-2</v>
      </c>
      <c r="O38" s="26">
        <f>Financials!N38/('Evolutive SFP'!M14+'Evolutive SFP'!L14)/2</f>
        <v>3.2825547379789634E-2</v>
      </c>
      <c r="P38" s="26">
        <f>Financials!O38/('Evolutive SFP'!N14+'Evolutive SFP'!M14)/2</f>
        <v>3.2595243615233145E-2</v>
      </c>
      <c r="Q38" s="26">
        <f>Financials!P38/('Evolutive SFP'!O14+'Evolutive SFP'!N14)/2</f>
        <v>1.6921686591289079E-3</v>
      </c>
      <c r="R38" s="26">
        <f>Financials!Q38/('Evolutive SFP'!P14+'Evolutive SFP'!O14)/2</f>
        <v>7.7359753309983216E-3</v>
      </c>
      <c r="S38" s="26">
        <f>Financials!R38/('Evolutive SFP'!Q14+'Evolutive SFP'!P14)/2</f>
        <v>9.8894668446175612E-3</v>
      </c>
      <c r="T38" s="26">
        <f>Financials!S38/('Evolutive SFP'!R14+'Evolutive SFP'!Q14)/2</f>
        <v>1.1744796370805338E-2</v>
      </c>
      <c r="U38" s="26">
        <f>Financials!T38/('Evolutive SFP'!S14+'Evolutive SFP'!R14)/2</f>
        <v>1.424329257610565E-2</v>
      </c>
      <c r="V38" s="26">
        <f>Financials!U38/('Evolutive SFP'!T14+'Evolutive SFP'!S14)/2</f>
        <v>1.7514485260167779E-2</v>
      </c>
      <c r="W38" s="26">
        <f>Financials!V38/('Evolutive SFP'!U14+'Evolutive SFP'!T14)/2</f>
        <v>2.0230731857640089E-2</v>
      </c>
      <c r="X38" s="26">
        <f>Financials!W38/('Evolutive SFP'!V14+'Evolutive SFP'!U14)/2</f>
        <v>2.2885622609519742E-2</v>
      </c>
      <c r="Y38" s="26">
        <f>Financials!X38/('Evolutive SFP'!W14+'Evolutive SFP'!V14)/2</f>
        <v>2.5505987983137534E-2</v>
      </c>
      <c r="Z38" s="26">
        <f>Financials!Y38/('Evolutive SFP'!X14+'Evolutive SFP'!W14)/2</f>
        <v>2.8135558753770315E-2</v>
      </c>
      <c r="AA38" s="26">
        <f>Financials!Z38/('Evolutive SFP'!Y14+'Evolutive SFP'!X14)/2</f>
        <v>3.1427112018022486E-2</v>
      </c>
      <c r="AB38" s="26">
        <f>Financials!AA38/('Evolutive SFP'!Z14+'Evolutive SFP'!Y14)/2</f>
        <v>3.3683612026623087E-2</v>
      </c>
      <c r="AC38" s="26">
        <f>Financials!AB38/('Evolutive SFP'!AA14+'Evolutive SFP'!Z14)/2</f>
        <v>3.3109245438417721E-2</v>
      </c>
      <c r="AD38" s="26">
        <f>Financials!AC38/('Evolutive SFP'!AB14+'Evolutive SFP'!AA14)/2</f>
        <v>3.0388995246827576E-3</v>
      </c>
      <c r="AE38" s="26">
        <f>Financials!AD38/('Evolutive SFP'!AC14+'Evolutive SFP'!AB14)/2</f>
        <v>6.0860118223793561E-3</v>
      </c>
      <c r="AF38" s="26">
        <f>Financials!AE38/('Evolutive SFP'!AD14+'Evolutive SFP'!AC14)/2</f>
        <v>9.3916876679646846E-3</v>
      </c>
      <c r="AG38" s="26">
        <f>Financials!AF38/('Evolutive SFP'!AE14+'Evolutive SFP'!AD14)/2</f>
        <v>1.2456102442565627E-2</v>
      </c>
      <c r="AH38" s="26">
        <f>Financials!AG38/('Evolutive SFP'!AF14+'Evolutive SFP'!AE14)/2</f>
        <v>1.5604945069870811E-2</v>
      </c>
      <c r="AI38" s="26">
        <f>Financials!AH38/('Evolutive SFP'!AG14+'Evolutive SFP'!AF14)/2</f>
        <v>1.8856447360015755E-2</v>
      </c>
      <c r="AJ38" s="26">
        <f>Financials!AI38/('Evolutive SFP'!AH14+'Evolutive SFP'!AG14)/2</f>
        <v>2.1828748492035414E-2</v>
      </c>
      <c r="AK38" s="26">
        <f>Financials!AJ38/('Evolutive SFP'!AI14+'Evolutive SFP'!AH14)/2</f>
        <v>2.4508940071420279E-2</v>
      </c>
      <c r="AL38" s="26">
        <f>Financials!AK38/('Evolutive SFP'!AJ14+'Evolutive SFP'!AI14)/2</f>
        <v>2.7561885571128746E-2</v>
      </c>
      <c r="AM38" s="26">
        <f>Financials!AL38/('Evolutive SFP'!AK14+'Evolutive SFP'!AJ14)/2</f>
        <v>3.0437434740217935E-2</v>
      </c>
      <c r="AN38" s="26">
        <f>Financials!AM38/('Evolutive SFP'!AL14+'Evolutive SFP'!AK14)/2</f>
        <v>3.3173097781115782E-2</v>
      </c>
      <c r="AO38" s="26">
        <f>Financials!AN38/('Evolutive SFP'!AM14+'Evolutive SFP'!AL14)/2</f>
        <v>3.6134516482318392E-2</v>
      </c>
      <c r="AP38" s="26">
        <f>Financials!AO38/('Evolutive SFP'!AN14+'Evolutive SFP'!AM14)/2</f>
        <v>3.7285713939841814E-2</v>
      </c>
      <c r="AQ38" s="26">
        <f>Financials!AP38/('Evolutive SFP'!AO14+'Evolutive SFP'!AN14)/2</f>
        <v>0</v>
      </c>
      <c r="AR38" s="26" t="e">
        <f>Financials!AQ38/('Evolutive SFP'!AP14+'Evolutive SFP'!AO14)/2</f>
        <v>#DIV/0!</v>
      </c>
      <c r="AS38" s="26" t="e">
        <f>Financials!AR38/('Evolutive SFP'!AQ14+'Evolutive SFP'!AP14)/2</f>
        <v>#DIV/0!</v>
      </c>
      <c r="AT38" s="26" t="e">
        <f>Financials!AS38/('Evolutive SFP'!AR14+'Evolutive SFP'!AQ14)/2</f>
        <v>#DIV/0!</v>
      </c>
    </row>
    <row r="39" spans="1:46">
      <c r="A39" s="31"/>
      <c r="B39" s="21" t="s">
        <v>152</v>
      </c>
      <c r="C39" s="1"/>
      <c r="D39" s="26" t="e">
        <f>Financials!C37/('Evolutive SFP'!B15+'Evolutive SFP'!#REF!)/2</f>
        <v>#REF!</v>
      </c>
      <c r="E39" s="26">
        <f>Financials!D37/('Evolutive SFP'!C15+'Evolutive SFP'!B15)/2</f>
        <v>5.3912018227305954E-3</v>
      </c>
      <c r="F39" s="26">
        <f>Financials!E37/('Evolutive SFP'!D15+'Evolutive SFP'!C15)/2</f>
        <v>9.1732928056362864E-3</v>
      </c>
      <c r="G39" s="26">
        <f>Financials!F37/('Evolutive SFP'!E15+'Evolutive SFP'!D15)/2</f>
        <v>1.204584702412494E-2</v>
      </c>
      <c r="H39" s="26">
        <f>Financials!G37/('Evolutive SFP'!F15+'Evolutive SFP'!E15)/2</f>
        <v>1.5480994071377858E-2</v>
      </c>
      <c r="I39" s="26">
        <f>Financials!H37/('Evolutive SFP'!G15+'Evolutive SFP'!F15)/2</f>
        <v>1.9072573499816885E-2</v>
      </c>
      <c r="J39" s="26">
        <f>Financials!I37/('Evolutive SFP'!H15+'Evolutive SFP'!G15)/2</f>
        <v>4.4589117845958426E-2</v>
      </c>
      <c r="K39" s="26">
        <f>Financials!J37/('Evolutive SFP'!I15+'Evolutive SFP'!H15)/2</f>
        <v>2.534544693943213E-2</v>
      </c>
      <c r="L39" s="26">
        <f>Financials!K37/('Evolutive SFP'!J15+'Evolutive SFP'!I15)/2</f>
        <v>2.8210963059055582E-2</v>
      </c>
      <c r="M39" s="26">
        <f>Financials!L37/('Evolutive SFP'!K15+'Evolutive SFP'!J15)/2</f>
        <v>3.10191854416536E-2</v>
      </c>
      <c r="N39" s="26">
        <f>Financials!M37/('Evolutive SFP'!L15+'Evolutive SFP'!K15)/2</f>
        <v>3.3807220685563494E-2</v>
      </c>
      <c r="O39" s="26">
        <f>Financials!N37/('Evolutive SFP'!M15+'Evolutive SFP'!L15)/2</f>
        <v>3.9184878027949781E-2</v>
      </c>
      <c r="P39" s="26">
        <f>Financials!O37/('Evolutive SFP'!N15+'Evolutive SFP'!M15)/2</f>
        <v>3.9057730325259069E-2</v>
      </c>
      <c r="Q39" s="26">
        <f>Financials!P37/('Evolutive SFP'!O15+'Evolutive SFP'!N15)/2</f>
        <v>2.0961091799339511E-3</v>
      </c>
      <c r="R39" s="26">
        <f>Financials!Q37/('Evolutive SFP'!P15+'Evolutive SFP'!O15)/2</f>
        <v>8.2494699096549544E-3</v>
      </c>
      <c r="S39" s="26">
        <f>Financials!R37/('Evolutive SFP'!Q15+'Evolutive SFP'!P15)/2</f>
        <v>1.1374343136249672E-2</v>
      </c>
      <c r="T39" s="26">
        <f>Financials!S37/('Evolutive SFP'!R15+'Evolutive SFP'!Q15)/2</f>
        <v>1.387442900447494E-2</v>
      </c>
      <c r="U39" s="26">
        <f>Financials!T37/('Evolutive SFP'!S15+'Evolutive SFP'!R15)/2</f>
        <v>1.6639289161757838E-2</v>
      </c>
      <c r="V39" s="26">
        <f>Financials!U37/('Evolutive SFP'!T15+'Evolutive SFP'!S15)/2</f>
        <v>2.0541805544277418E-2</v>
      </c>
      <c r="W39" s="26">
        <f>Financials!V37/('Evolutive SFP'!U15+'Evolutive SFP'!T15)/2</f>
        <v>2.3651002141026306E-2</v>
      </c>
      <c r="X39" s="26">
        <f>Financials!W37/('Evolutive SFP'!V15+'Evolutive SFP'!U15)/2</f>
        <v>2.674748823997844E-2</v>
      </c>
      <c r="Y39" s="26">
        <f>Financials!X37/('Evolutive SFP'!W15+'Evolutive SFP'!V15)/2</f>
        <v>2.9859910201926569E-2</v>
      </c>
      <c r="Z39" s="26">
        <f>Financials!Y37/('Evolutive SFP'!X15+'Evolutive SFP'!W15)/2</f>
        <v>3.2813156083058785E-2</v>
      </c>
      <c r="AA39" s="26">
        <f>Financials!Z37/('Evolutive SFP'!Y15+'Evolutive SFP'!X15)/2</f>
        <v>3.6573052931208327E-2</v>
      </c>
      <c r="AB39" s="26">
        <f>Financials!AA37/('Evolutive SFP'!Z15+'Evolutive SFP'!Y15)/2</f>
        <v>3.9553957679564967E-2</v>
      </c>
      <c r="AC39" s="26">
        <f>Financials!AB37/('Evolutive SFP'!AA15+'Evolutive SFP'!Z15)/2</f>
        <v>3.9206610257445484E-2</v>
      </c>
      <c r="AD39" s="26">
        <f>Financials!AC37/('Evolutive SFP'!AB15+'Evolutive SFP'!AA15)/2</f>
        <v>3.3972182083833184E-3</v>
      </c>
      <c r="AE39" s="26">
        <f>Financials!AD37/('Evolutive SFP'!AC15+'Evolutive SFP'!AB15)/2</f>
        <v>7.1273736564123058E-3</v>
      </c>
      <c r="AF39" s="26">
        <f>Financials!AE37/('Evolutive SFP'!AD15+'Evolutive SFP'!AC15)/2</f>
        <v>1.1075441723493123E-2</v>
      </c>
      <c r="AG39" s="26">
        <f>Financials!AF37/('Evolutive SFP'!AE15+'Evolutive SFP'!AD15)/2</f>
        <v>1.4472330294032673E-2</v>
      </c>
      <c r="AH39" s="26">
        <f>Financials!AG37/('Evolutive SFP'!AF15+'Evolutive SFP'!AE15)/2</f>
        <v>1.7994395440506638E-2</v>
      </c>
      <c r="AI39" s="26">
        <f>Financials!AH37/('Evolutive SFP'!AG15+'Evolutive SFP'!AF15)/2</f>
        <v>2.187916333880402E-2</v>
      </c>
      <c r="AJ39" s="26">
        <f>Financials!AI37/('Evolutive SFP'!AH15+'Evolutive SFP'!AG15)/2</f>
        <v>2.4782965376594222E-2</v>
      </c>
      <c r="AK39" s="26">
        <f>Financials!AJ37/('Evolutive SFP'!AI15+'Evolutive SFP'!AH15)/2</f>
        <v>2.791125030690916E-2</v>
      </c>
      <c r="AL39" s="26">
        <f>Financials!AK37/('Evolutive SFP'!AJ15+'Evolutive SFP'!AI15)/2</f>
        <v>3.1604743106071094E-2</v>
      </c>
      <c r="AM39" s="26">
        <f>Financials!AL37/('Evolutive SFP'!AK15+'Evolutive SFP'!AJ15)/2</f>
        <v>3.4927376254352493E-2</v>
      </c>
      <c r="AN39" s="26">
        <f>Financials!AM37/('Evolutive SFP'!AL15+'Evolutive SFP'!AK15)/2</f>
        <v>3.81260592417378E-2</v>
      </c>
      <c r="AO39" s="26">
        <f>Financials!AN37/('Evolutive SFP'!AM15+'Evolutive SFP'!AL15)/2</f>
        <v>4.1615056680295963E-2</v>
      </c>
      <c r="AP39" s="26">
        <f>Financials!AO37/('Evolutive SFP'!AN15+'Evolutive SFP'!AM15)/2</f>
        <v>4.0518290537505393E-2</v>
      </c>
      <c r="AQ39" s="26" t="e">
        <f>Financials!AP37/('Evolutive SFP'!AO15+'Evolutive SFP'!AN15)/2</f>
        <v>#DIV/0!</v>
      </c>
      <c r="AR39" s="26" t="e">
        <f>Financials!AQ37/('Evolutive SFP'!AP15+'Evolutive SFP'!AO15)/2</f>
        <v>#DIV/0!</v>
      </c>
      <c r="AS39" s="26" t="e">
        <f>Financials!AR37/('Evolutive SFP'!AQ15+'Evolutive SFP'!AP15)/2</f>
        <v>#DIV/0!</v>
      </c>
      <c r="AT39" s="26" t="e">
        <f>Financials!AS37/('Evolutive SFP'!AR15+'Evolutive SFP'!AQ15)/2</f>
        <v>#DIV/0!</v>
      </c>
    </row>
    <row r="40" spans="1:46">
      <c r="A40" s="32"/>
      <c r="B40" s="1"/>
      <c r="C40" s="1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spans="1:46" ht="15" thickBot="1">
      <c r="A41" s="33" t="s">
        <v>153</v>
      </c>
      <c r="B41" s="34"/>
      <c r="C41" s="34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60"/>
  <sheetViews>
    <sheetView zoomScale="79" zoomScaleNormal="79" workbookViewId="0">
      <pane xSplit="2" ySplit="2" topLeftCell="AB3" activePane="bottomRight" state="frozen"/>
      <selection pane="bottomRight" activeCell="AC2" sqref="AC2:AO2"/>
      <selection pane="bottomLeft" activeCell="A3" sqref="A3"/>
      <selection pane="topRight" activeCell="C1" sqref="C1"/>
    </sheetView>
  </sheetViews>
  <sheetFormatPr defaultRowHeight="14.45"/>
  <cols>
    <col min="1" max="1" width="5.5703125" bestFit="1" customWidth="1"/>
    <col min="2" max="2" width="37.5703125" bestFit="1" customWidth="1"/>
    <col min="3" max="4" width="15" hidden="1" customWidth="1"/>
    <col min="5" max="5" width="15" bestFit="1" customWidth="1"/>
    <col min="6" max="7" width="15" hidden="1" customWidth="1"/>
    <col min="8" max="8" width="15" bestFit="1" customWidth="1"/>
    <col min="9" max="10" width="15" hidden="1" customWidth="1"/>
    <col min="11" max="11" width="15" bestFit="1" customWidth="1"/>
    <col min="12" max="13" width="14" hidden="1" customWidth="1"/>
    <col min="14" max="14" width="14" bestFit="1" customWidth="1"/>
    <col min="15" max="15" width="14.5703125" bestFit="1" customWidth="1"/>
    <col min="16" max="17" width="14.5703125" hidden="1" customWidth="1"/>
    <col min="18" max="18" width="14.5703125" bestFit="1" customWidth="1"/>
    <col min="19" max="20" width="14.5703125" hidden="1" customWidth="1"/>
    <col min="21" max="21" width="14.5703125" bestFit="1" customWidth="1"/>
    <col min="22" max="23" width="14.5703125" hidden="1" customWidth="1"/>
    <col min="24" max="24" width="14.5703125" bestFit="1" customWidth="1"/>
    <col min="25" max="26" width="14.5703125" hidden="1" customWidth="1"/>
    <col min="27" max="27" width="14.5703125" bestFit="1" customWidth="1"/>
    <col min="28" max="41" width="14.140625" bestFit="1" customWidth="1"/>
    <col min="42" max="43" width="7.5703125" bestFit="1" customWidth="1"/>
  </cols>
  <sheetData>
    <row r="1" spans="1:43">
      <c r="A1" s="7"/>
      <c r="B1" s="36" t="s">
        <v>154</v>
      </c>
    </row>
    <row r="2" spans="1:43">
      <c r="A2" s="7"/>
      <c r="B2" s="8" t="s">
        <v>155</v>
      </c>
      <c r="C2" s="37">
        <v>43831</v>
      </c>
      <c r="D2" s="37">
        <v>43862</v>
      </c>
      <c r="E2" s="37">
        <v>43891</v>
      </c>
      <c r="F2" s="37">
        <v>43922</v>
      </c>
      <c r="G2" s="37">
        <v>43952</v>
      </c>
      <c r="H2" s="37">
        <v>43983</v>
      </c>
      <c r="I2" s="37">
        <v>44013</v>
      </c>
      <c r="J2" s="37">
        <v>44044</v>
      </c>
      <c r="K2" s="37">
        <v>44075</v>
      </c>
      <c r="L2" s="37">
        <v>44105</v>
      </c>
      <c r="M2" s="37">
        <v>44136</v>
      </c>
      <c r="N2" s="37">
        <v>44166</v>
      </c>
      <c r="O2" s="37" t="s">
        <v>156</v>
      </c>
      <c r="P2" s="37">
        <v>44197</v>
      </c>
      <c r="Q2" s="37">
        <v>44228</v>
      </c>
      <c r="R2" s="37">
        <v>44256</v>
      </c>
      <c r="S2" s="37">
        <v>44287</v>
      </c>
      <c r="T2" s="37">
        <v>44317</v>
      </c>
      <c r="U2" s="37">
        <v>44348</v>
      </c>
      <c r="V2" s="37">
        <v>44378</v>
      </c>
      <c r="W2" s="37">
        <v>44409</v>
      </c>
      <c r="X2" s="37">
        <v>44440</v>
      </c>
      <c r="Y2" s="37">
        <v>44470</v>
      </c>
      <c r="Z2" s="37">
        <v>44501</v>
      </c>
      <c r="AA2" s="37">
        <v>44531</v>
      </c>
      <c r="AB2" s="37" t="s">
        <v>1</v>
      </c>
      <c r="AC2" s="287">
        <v>44562</v>
      </c>
      <c r="AD2" s="287">
        <v>44593</v>
      </c>
      <c r="AE2" s="287">
        <v>44621</v>
      </c>
      <c r="AF2" s="287">
        <v>44652</v>
      </c>
      <c r="AG2" s="287">
        <v>44682</v>
      </c>
      <c r="AH2" s="287">
        <v>44713</v>
      </c>
      <c r="AI2" s="287">
        <v>44743</v>
      </c>
      <c r="AJ2" s="287">
        <v>44774</v>
      </c>
      <c r="AK2" s="287">
        <v>44805</v>
      </c>
      <c r="AL2" s="287">
        <v>44835</v>
      </c>
      <c r="AM2" s="287">
        <v>44866</v>
      </c>
      <c r="AN2" s="287">
        <v>44896</v>
      </c>
      <c r="AO2" s="287">
        <v>44927</v>
      </c>
    </row>
    <row r="3" spans="1:43">
      <c r="A3" s="9">
        <v>1</v>
      </c>
      <c r="B3" s="9" t="s">
        <v>143</v>
      </c>
    </row>
    <row r="4" spans="1:43">
      <c r="A4" s="9">
        <v>2</v>
      </c>
      <c r="B4" s="9" t="s">
        <v>26</v>
      </c>
      <c r="C4" s="38">
        <f>'Evolutive SFP'!B27</f>
        <v>6918960021.9599991</v>
      </c>
      <c r="D4" s="38">
        <f>'Evolutive SFP'!C27</f>
        <v>6929519830.5200005</v>
      </c>
      <c r="E4" s="38">
        <f>'Evolutive SFP'!D27</f>
        <v>6706932547.6100006</v>
      </c>
      <c r="F4" s="38">
        <f>'Evolutive SFP'!E27</f>
        <v>6746641952.3699989</v>
      </c>
      <c r="G4" s="38">
        <f>'Evolutive SFP'!F27</f>
        <v>6853505887.0500011</v>
      </c>
      <c r="H4" s="38">
        <f>'Evolutive SFP'!G27</f>
        <v>6975326109.8899994</v>
      </c>
      <c r="I4" s="38">
        <f>'Evolutive SFP'!H27</f>
        <v>7112891853.6299992</v>
      </c>
      <c r="J4" s="38">
        <f>'Evolutive SFP'!I27</f>
        <v>7211440682.04</v>
      </c>
      <c r="K4" s="38">
        <f>'Evolutive SFP'!J27</f>
        <v>7298961528.1199999</v>
      </c>
      <c r="L4" s="38">
        <f>'Evolutive SFP'!K27</f>
        <v>7362311080.4400005</v>
      </c>
      <c r="M4" s="38">
        <f>'Evolutive SFP'!L27</f>
        <v>7531317061.9899998</v>
      </c>
      <c r="N4" s="38">
        <f>'Evolutive SFP'!M27</f>
        <v>7659924339.8199997</v>
      </c>
      <c r="O4" s="38">
        <f>'Evolutive SFP'!N27</f>
        <v>7661638000</v>
      </c>
      <c r="P4" s="38">
        <f>'Evolutive SFP'!O27</f>
        <v>7653038962.6000013</v>
      </c>
      <c r="Q4" s="38">
        <f>'Evolutive SFP'!P27</f>
        <v>7681041477.1900005</v>
      </c>
      <c r="R4" s="38">
        <f>'Evolutive SFP'!Q27</f>
        <v>7702868882.4400005</v>
      </c>
      <c r="S4" s="38">
        <f>'Evolutive SFP'!R27</f>
        <v>7780479303.8699999</v>
      </c>
      <c r="T4" s="38">
        <f>'Evolutive SFP'!S27</f>
        <v>7785113487.6300011</v>
      </c>
      <c r="U4" s="38">
        <f>'Evolutive SFP'!T27</f>
        <v>7828211783.8299999</v>
      </c>
      <c r="V4" s="38">
        <f>'Evolutive SFP'!U27</f>
        <v>7976798704.6400003</v>
      </c>
      <c r="W4" s="38">
        <f>'Evolutive SFP'!V27</f>
        <v>8134970770.2799988</v>
      </c>
      <c r="X4" s="38">
        <f>'Evolutive SFP'!W27</f>
        <v>8228129338.5299988</v>
      </c>
      <c r="Y4" s="38">
        <f>'Evolutive SFP'!X27</f>
        <v>8318735468.1499996</v>
      </c>
      <c r="Z4" s="38">
        <f>'Evolutive SFP'!Y27</f>
        <v>8437668620.5700006</v>
      </c>
      <c r="AA4" s="38">
        <f>'Evolutive SFP'!Z27</f>
        <v>8534640952.5300007</v>
      </c>
      <c r="AB4" s="38">
        <f>'Evolutive SFP'!AA27</f>
        <v>8570271000</v>
      </c>
      <c r="AC4" s="38">
        <f>'Evolutive SFP'!AB27</f>
        <v>8656432130.75</v>
      </c>
      <c r="AD4" s="38">
        <f>'Evolutive SFP'!AC27</f>
        <v>8763098261.4599991</v>
      </c>
      <c r="AE4" s="38">
        <f>'Evolutive SFP'!AD27</f>
        <v>8578495050.1599989</v>
      </c>
      <c r="AF4" s="38">
        <f>'Evolutive SFP'!AE27</f>
        <v>8597745620.5799999</v>
      </c>
      <c r="AG4" s="38">
        <f>'Evolutive SFP'!AF27</f>
        <v>8676526381.460001</v>
      </c>
      <c r="AH4" s="38">
        <f>'Evolutive SFP'!AG27</f>
        <v>8761902540.6200008</v>
      </c>
      <c r="AI4" s="38">
        <f>'Evolutive SFP'!AH27</f>
        <v>8914307396.25</v>
      </c>
      <c r="AJ4" s="38">
        <f>'Evolutive SFP'!AI27</f>
        <v>9000570145.5</v>
      </c>
      <c r="AK4" s="38">
        <f>'Evolutive SFP'!AJ27</f>
        <v>9124293191.8499985</v>
      </c>
      <c r="AL4" s="38">
        <f>'Evolutive SFP'!AK27</f>
        <v>9313780082.3500004</v>
      </c>
      <c r="AM4" s="38">
        <f>'Evolutive SFP'!AL27</f>
        <v>9490391068.1900005</v>
      </c>
      <c r="AN4" s="38">
        <f>'Evolutive SFP'!AM27</f>
        <v>9629179987.9500008</v>
      </c>
      <c r="AO4" s="38">
        <f>'Evolutive SFP'!AN27</f>
        <v>9542672000</v>
      </c>
    </row>
    <row r="5" spans="1:43">
      <c r="A5" s="9">
        <v>3</v>
      </c>
      <c r="B5" s="9" t="s">
        <v>137</v>
      </c>
      <c r="C5" s="38">
        <f>'Evolutive SFP'!B31</f>
        <v>5404532913.1700001</v>
      </c>
      <c r="D5" s="38">
        <f>'Evolutive SFP'!C31</f>
        <v>5483061910.6099997</v>
      </c>
      <c r="E5" s="38">
        <f>'Evolutive SFP'!D31</f>
        <v>5560461486.4899998</v>
      </c>
      <c r="F5" s="38">
        <f>'Evolutive SFP'!E31</f>
        <v>5596382695.6900005</v>
      </c>
      <c r="G5" s="38">
        <f>'Evolutive SFP'!F31</f>
        <v>5647049771.8999996</v>
      </c>
      <c r="H5" s="38">
        <f>'Evolutive SFP'!G31</f>
        <v>5703428421.3999996</v>
      </c>
      <c r="I5" s="38">
        <f>'Evolutive SFP'!H31</f>
        <v>5786603308.4300003</v>
      </c>
      <c r="J5" s="38">
        <f>'Evolutive SFP'!I31</f>
        <v>5833571487.71</v>
      </c>
      <c r="K5" s="38">
        <f>'Evolutive SFP'!J31</f>
        <v>5876605510.3800001</v>
      </c>
      <c r="L5" s="38">
        <f>'Evolutive SFP'!K31</f>
        <v>5956112392.6000004</v>
      </c>
      <c r="M5" s="38">
        <f>'Evolutive SFP'!L31</f>
        <v>6004850875.8100004</v>
      </c>
      <c r="N5" s="38">
        <f>'Evolutive SFP'!M31</f>
        <v>6004657000.3800001</v>
      </c>
      <c r="O5" s="38">
        <f>'Evolutive SFP'!N31</f>
        <v>6005018000</v>
      </c>
      <c r="P5" s="38">
        <f>'Evolutive SFP'!O31</f>
        <v>6065459004.2399998</v>
      </c>
      <c r="Q5" s="38">
        <f>'Evolutive SFP'!P31</f>
        <v>6322519272.2799997</v>
      </c>
      <c r="R5" s="38">
        <f>'Evolutive SFP'!Q31</f>
        <v>6322872724.1499996</v>
      </c>
      <c r="S5" s="38">
        <f>'Evolutive SFP'!R31</f>
        <v>6371687037.8400002</v>
      </c>
      <c r="T5" s="38">
        <f>'Evolutive SFP'!S31</f>
        <v>6336600530.54</v>
      </c>
      <c r="U5" s="38">
        <f>'Evolutive SFP'!T31</f>
        <v>6320118223.1999998</v>
      </c>
      <c r="V5" s="38">
        <f>'Evolutive SFP'!U31</f>
        <v>6407333297.8199997</v>
      </c>
      <c r="W5" s="38">
        <f>'Evolutive SFP'!V31</f>
        <v>6499537662.6599998</v>
      </c>
      <c r="X5" s="38">
        <f>'Evolutive SFP'!W31</f>
        <v>6492110794.4300003</v>
      </c>
      <c r="Y5" s="38">
        <f>'Evolutive SFP'!X31</f>
        <v>6524217477.3400002</v>
      </c>
      <c r="Z5" s="38">
        <f>'Evolutive SFP'!Y31</f>
        <v>6520002759.7299995</v>
      </c>
      <c r="AA5" s="38">
        <f>'Evolutive SFP'!Z31</f>
        <v>6565025541.21</v>
      </c>
      <c r="AB5" s="38">
        <f>'Evolutive SFP'!AA31</f>
        <v>6565072000</v>
      </c>
      <c r="AC5" s="38">
        <f>'Evolutive SFP'!AB31</f>
        <v>6653046374.2399998</v>
      </c>
      <c r="AD5" s="38">
        <f>'Evolutive SFP'!AC31</f>
        <v>6676174824.3999996</v>
      </c>
      <c r="AE5" s="38">
        <f>'Evolutive SFP'!AD31</f>
        <v>6978405076.46</v>
      </c>
      <c r="AF5" s="38">
        <f>'Evolutive SFP'!AE31</f>
        <v>6960608055.3699999</v>
      </c>
      <c r="AG5" s="38">
        <f>'Evolutive SFP'!AF31</f>
        <v>6984371759</v>
      </c>
      <c r="AH5" s="38">
        <f>'Evolutive SFP'!AG31</f>
        <v>6989245427.6700001</v>
      </c>
      <c r="AI5" s="38">
        <f>'Evolutive SFP'!AH31</f>
        <v>7076322453.0799999</v>
      </c>
      <c r="AJ5" s="38">
        <f>'Evolutive SFP'!AI31</f>
        <v>7092368485.46</v>
      </c>
      <c r="AK5" s="38">
        <f>'Evolutive SFP'!AJ31</f>
        <v>7106687518.5600004</v>
      </c>
      <c r="AL5" s="38">
        <f>'Evolutive SFP'!AK31</f>
        <v>7202722057.2799997</v>
      </c>
      <c r="AM5" s="38">
        <f>'Evolutive SFP'!AL31</f>
        <v>7288778362.4699993</v>
      </c>
      <c r="AN5" s="38">
        <f>'Evolutive SFP'!AM31</f>
        <v>7337019367.9400005</v>
      </c>
      <c r="AO5" s="38">
        <f>'Evolutive SFP'!AN31</f>
        <v>7337181000</v>
      </c>
      <c r="AP5" s="38">
        <f>'Evolutive SFP'!AO31</f>
        <v>0</v>
      </c>
      <c r="AQ5" s="38">
        <f>'Evolutive SFP'!AP31</f>
        <v>0</v>
      </c>
    </row>
    <row r="6" spans="1:43">
      <c r="A6" s="9">
        <v>3.1</v>
      </c>
      <c r="B6" s="10" t="s">
        <v>157</v>
      </c>
      <c r="C6" s="38">
        <f>'Evolutive SFP'!B30</f>
        <v>5349407701.3199997</v>
      </c>
      <c r="D6" s="38">
        <f>'Evolutive SFP'!C30</f>
        <v>5425374401</v>
      </c>
      <c r="E6" s="38">
        <f>'Evolutive SFP'!D30</f>
        <v>5499488493.2600002</v>
      </c>
      <c r="F6" s="38">
        <f>'Evolutive SFP'!E30</f>
        <v>5530038241.9200001</v>
      </c>
      <c r="G6" s="38">
        <f>'Evolutive SFP'!F30</f>
        <v>5576806617</v>
      </c>
      <c r="H6" s="38">
        <f>'Evolutive SFP'!G30</f>
        <v>5611905825.4899998</v>
      </c>
      <c r="I6" s="38">
        <f>'Evolutive SFP'!H30</f>
        <v>5695344298.5100002</v>
      </c>
      <c r="J6" s="38">
        <f>'Evolutive SFP'!I30</f>
        <v>5749134025.6300001</v>
      </c>
      <c r="K6" s="38">
        <f>'Evolutive SFP'!J30</f>
        <v>5785699338.6000004</v>
      </c>
      <c r="L6" s="38">
        <f>'Evolutive SFP'!K30</f>
        <v>5859978659.0200005</v>
      </c>
      <c r="M6" s="38">
        <f>'Evolutive SFP'!L30</f>
        <v>5907987392.29</v>
      </c>
      <c r="N6" s="38">
        <f>'Evolutive SFP'!M30</f>
        <v>5916897980.25</v>
      </c>
      <c r="O6" s="38">
        <f>'Evolutive SFP'!N30</f>
        <v>88107000</v>
      </c>
      <c r="P6" s="38">
        <f>'Evolutive SFP'!O30</f>
        <v>5971499807.9899998</v>
      </c>
      <c r="Q6" s="38">
        <f>'Evolutive SFP'!P30</f>
        <v>6043725202.79</v>
      </c>
      <c r="R6" s="38">
        <f>'Evolutive SFP'!Q30</f>
        <v>6138256748.79</v>
      </c>
      <c r="S6" s="38">
        <f>'Evolutive SFP'!R30</f>
        <v>6195353547.7799997</v>
      </c>
      <c r="T6" s="38">
        <f>'Evolutive SFP'!S30</f>
        <v>6170865809.79</v>
      </c>
      <c r="U6" s="38">
        <f>'Evolutive SFP'!T30</f>
        <v>6154477292.6199999</v>
      </c>
      <c r="V6" s="38">
        <f>'Evolutive SFP'!U30</f>
        <v>6204762681.5799999</v>
      </c>
      <c r="W6" s="38">
        <f>'Evolutive SFP'!V30</f>
        <v>6240309649.9499998</v>
      </c>
      <c r="X6" s="38">
        <f>'Evolutive SFP'!W30</f>
        <v>6245715217.8800001</v>
      </c>
      <c r="Y6" s="38">
        <f>'Evolutive SFP'!X30</f>
        <v>6299195187.4099998</v>
      </c>
      <c r="Z6" s="38">
        <f>'Evolutive SFP'!Y30</f>
        <v>6282398183.54</v>
      </c>
      <c r="AA6" s="38">
        <f>'Evolutive SFP'!Z30</f>
        <v>6347686278.1199999</v>
      </c>
      <c r="AB6" s="38">
        <f>'Evolutive SFP'!AA30</f>
        <v>6347686000</v>
      </c>
      <c r="AC6" s="38">
        <f>'Evolutive SFP'!AB30</f>
        <v>6413408949.2299995</v>
      </c>
      <c r="AD6" s="38">
        <f>'Evolutive SFP'!AC30</f>
        <v>6441842459.29</v>
      </c>
      <c r="AE6" s="38">
        <f>'Evolutive SFP'!AD30</f>
        <v>6542505858.1400003</v>
      </c>
      <c r="AF6" s="38">
        <f>'Evolutive SFP'!AE30</f>
        <v>6610547160.8400002</v>
      </c>
      <c r="AG6" s="38">
        <f>'Evolutive SFP'!AF30</f>
        <v>6653293318.9399996</v>
      </c>
      <c r="AH6" s="38">
        <f>'Evolutive SFP'!AG30</f>
        <v>6649601600.7399998</v>
      </c>
      <c r="AI6" s="38">
        <f>'Evolutive SFP'!AH30</f>
        <v>6703345605.9399996</v>
      </c>
      <c r="AJ6" s="38">
        <f>'Evolutive SFP'!AI30</f>
        <v>6744343259.4300003</v>
      </c>
      <c r="AK6" s="38">
        <f>'Evolutive SFP'!AJ30</f>
        <v>6783669069.9700003</v>
      </c>
      <c r="AL6" s="38">
        <f>'Evolutive SFP'!AK30</f>
        <v>6860439792.7799997</v>
      </c>
      <c r="AM6" s="38">
        <f>'Evolutive SFP'!AL30</f>
        <v>6949499431.6899996</v>
      </c>
      <c r="AN6" s="38">
        <f>'Evolutive SFP'!AM30</f>
        <v>7006221524.5500002</v>
      </c>
      <c r="AO6" s="38">
        <f>'Evolutive SFP'!AN30</f>
        <v>7006250000</v>
      </c>
      <c r="AP6" s="38">
        <f>'Evolutive SFP'!AO30</f>
        <v>0</v>
      </c>
      <c r="AQ6" s="38">
        <f>'Evolutive SFP'!AP30</f>
        <v>0</v>
      </c>
    </row>
    <row r="7" spans="1:43">
      <c r="A7" s="9">
        <v>3.2</v>
      </c>
      <c r="B7" s="10" t="s">
        <v>158</v>
      </c>
      <c r="C7" s="38">
        <f>('Evolutive SFP'!B28+'Evolutive SFP'!B29)</f>
        <v>55125211.850000001</v>
      </c>
      <c r="D7" s="38">
        <f>('Evolutive SFP'!C28+'Evolutive SFP'!C29)</f>
        <v>57687509.609999999</v>
      </c>
      <c r="E7" s="38">
        <f>('Evolutive SFP'!D28+'Evolutive SFP'!D29)</f>
        <v>60972993.229999997</v>
      </c>
      <c r="F7" s="38">
        <f>('Evolutive SFP'!E28+'Evolutive SFP'!E29)</f>
        <v>66344453.770000003</v>
      </c>
      <c r="G7" s="38">
        <f>('Evolutive SFP'!F28+'Evolutive SFP'!F29)</f>
        <v>70243154.900000006</v>
      </c>
      <c r="H7" s="38">
        <f>('Evolutive SFP'!G28+'Evolutive SFP'!G29)</f>
        <v>91522595.909999996</v>
      </c>
      <c r="I7" s="38">
        <f>('Evolutive SFP'!H28+'Evolutive SFP'!H29)</f>
        <v>91259009.920000002</v>
      </c>
      <c r="J7" s="38">
        <f>('Evolutive SFP'!I28+'Evolutive SFP'!I29)</f>
        <v>84437462.079999998</v>
      </c>
      <c r="K7" s="38">
        <f>('Evolutive SFP'!J28+'Evolutive SFP'!J29)</f>
        <v>90906171.780000001</v>
      </c>
      <c r="L7" s="38">
        <f>('Evolutive SFP'!K28+'Evolutive SFP'!K29)</f>
        <v>96133733.579999998</v>
      </c>
      <c r="M7" s="38">
        <f>('Evolutive SFP'!L28+'Evolutive SFP'!L29)</f>
        <v>96863483.519999996</v>
      </c>
      <c r="N7" s="38">
        <f>('Evolutive SFP'!M28+'Evolutive SFP'!M29)</f>
        <v>87759020.129999995</v>
      </c>
      <c r="O7" s="38">
        <f>('Evolutive SFP'!N28+'Evolutive SFP'!N29)</f>
        <v>5916911000</v>
      </c>
      <c r="P7" s="38">
        <f>('Evolutive SFP'!O28+'Evolutive SFP'!O29)</f>
        <v>93959196.25</v>
      </c>
      <c r="Q7" s="38">
        <f>('Evolutive SFP'!P28+'Evolutive SFP'!P29)</f>
        <v>278794069.49000001</v>
      </c>
      <c r="R7" s="38">
        <f>('Evolutive SFP'!Q28+'Evolutive SFP'!Q29)</f>
        <v>184615975.36000001</v>
      </c>
      <c r="S7" s="38">
        <f>('Evolutive SFP'!R28+'Evolutive SFP'!R29)</f>
        <v>176333490.06</v>
      </c>
      <c r="T7" s="38">
        <f>('Evolutive SFP'!S28+'Evolutive SFP'!S29)</f>
        <v>165734720.75</v>
      </c>
      <c r="U7" s="38">
        <f>('Evolutive SFP'!T28+'Evolutive SFP'!T29)</f>
        <v>165640930.57999998</v>
      </c>
      <c r="V7" s="38">
        <f>('Evolutive SFP'!U28+'Evolutive SFP'!U29)</f>
        <v>202570616.24000001</v>
      </c>
      <c r="W7" s="38">
        <f>('Evolutive SFP'!V28+'Evolutive SFP'!V29)</f>
        <v>259228012.71000001</v>
      </c>
      <c r="X7" s="38">
        <f>('Evolutive SFP'!W28+'Evolutive SFP'!W29)</f>
        <v>246395576.55000001</v>
      </c>
      <c r="Y7" s="38">
        <f>('Evolutive SFP'!X28+'Evolutive SFP'!X29)</f>
        <v>225022289.93000001</v>
      </c>
      <c r="Z7" s="38">
        <f>('Evolutive SFP'!Y28+'Evolutive SFP'!Y29)</f>
        <v>237604576.19</v>
      </c>
      <c r="AA7" s="38">
        <f>('Evolutive SFP'!Z28+'Evolutive SFP'!Z29)</f>
        <v>217339263.08999997</v>
      </c>
      <c r="AB7" s="38">
        <f>('Evolutive SFP'!AA28+'Evolutive SFP'!AA29)</f>
        <v>217386000</v>
      </c>
      <c r="AC7" s="38">
        <f>('Evolutive SFP'!AB28+'Evolutive SFP'!AB29)</f>
        <v>239637425.00999999</v>
      </c>
      <c r="AD7" s="38">
        <f>('Evolutive SFP'!AC28+'Evolutive SFP'!AC29)</f>
        <v>234332365.10999998</v>
      </c>
      <c r="AE7" s="38">
        <f>('Evolutive SFP'!AD28+'Evolutive SFP'!AD29)</f>
        <v>435899218.31999999</v>
      </c>
      <c r="AF7" s="38">
        <f>('Evolutive SFP'!AE28+'Evolutive SFP'!AE29)</f>
        <v>350060894.53000003</v>
      </c>
      <c r="AG7" s="38">
        <f>('Evolutive SFP'!AF28+'Evolutive SFP'!AF29)</f>
        <v>331078440.06</v>
      </c>
      <c r="AH7" s="38">
        <f>('Evolutive SFP'!AG28+'Evolutive SFP'!AG29)</f>
        <v>339643826.93000001</v>
      </c>
      <c r="AI7" s="38">
        <f>('Evolutive SFP'!AH28+'Evolutive SFP'!AH29)</f>
        <v>372976847.13999999</v>
      </c>
      <c r="AJ7" s="38">
        <f>('Evolutive SFP'!AI28+'Evolutive SFP'!AI29)</f>
        <v>348025226.02999997</v>
      </c>
      <c r="AK7" s="38">
        <f>('Evolutive SFP'!AJ28+'Evolutive SFP'!AJ29)</f>
        <v>323018448.59000003</v>
      </c>
      <c r="AL7" s="38">
        <f>('Evolutive SFP'!AK28+'Evolutive SFP'!AK29)</f>
        <v>342282264.5</v>
      </c>
      <c r="AM7" s="38">
        <f>('Evolutive SFP'!AL28+'Evolutive SFP'!AL29)</f>
        <v>339278930.77999997</v>
      </c>
      <c r="AN7" s="38">
        <f>('Evolutive SFP'!AM28+'Evolutive SFP'!AM29)</f>
        <v>330797843.38999999</v>
      </c>
      <c r="AO7" s="38">
        <f>('Evolutive SFP'!AN28+'Evolutive SFP'!AN29)</f>
        <v>330931000</v>
      </c>
      <c r="AP7" s="38">
        <f>('Evolutive SFP'!AO28+'Evolutive SFP'!AO29)</f>
        <v>0</v>
      </c>
      <c r="AQ7" s="38">
        <f>('Evolutive SFP'!AP28+'Evolutive SFP'!AP29)</f>
        <v>0</v>
      </c>
    </row>
    <row r="8" spans="1:43">
      <c r="A8" s="9">
        <v>4</v>
      </c>
      <c r="B8" s="9" t="s">
        <v>159</v>
      </c>
      <c r="C8" s="38">
        <f>'Evolutive SFP'!B37</f>
        <v>0</v>
      </c>
      <c r="D8" s="38">
        <f>'Evolutive SFP'!C37</f>
        <v>13804980.23</v>
      </c>
      <c r="E8" s="38">
        <f>'Evolutive SFP'!D37</f>
        <v>0</v>
      </c>
      <c r="F8" s="38">
        <f>'Evolutive SFP'!E37</f>
        <v>0</v>
      </c>
      <c r="G8" s="38">
        <f>'Evolutive SFP'!F37</f>
        <v>0</v>
      </c>
      <c r="H8" s="38">
        <f>'Evolutive SFP'!G37</f>
        <v>0</v>
      </c>
      <c r="I8" s="38">
        <f>'Evolutive SFP'!H37</f>
        <v>0</v>
      </c>
      <c r="J8" s="38">
        <f>'Evolutive SFP'!I37</f>
        <v>0</v>
      </c>
      <c r="K8" s="38">
        <f>'Evolutive SFP'!J37</f>
        <v>0</v>
      </c>
      <c r="L8" s="38">
        <f>'Evolutive SFP'!K37</f>
        <v>0</v>
      </c>
      <c r="M8" s="38">
        <f>'Evolutive SFP'!L37</f>
        <v>-95628.4</v>
      </c>
      <c r="N8" s="38">
        <f>'Evolutive SFP'!M37</f>
        <v>8044913.75</v>
      </c>
      <c r="O8" s="38">
        <f>'Evolutive SFP'!N37</f>
        <v>0</v>
      </c>
      <c r="P8" s="38">
        <f>'Evolutive SFP'!O37</f>
        <v>14029967.789999999</v>
      </c>
      <c r="Q8" s="38">
        <f>'Evolutive SFP'!P37</f>
        <v>12367621.49</v>
      </c>
      <c r="R8" s="38">
        <f>'Evolutive SFP'!Q37</f>
        <v>7653936.4500000002</v>
      </c>
      <c r="S8" s="38">
        <f>'Evolutive SFP'!R37</f>
        <v>5131883.95</v>
      </c>
      <c r="T8" s="38">
        <f>'Evolutive SFP'!S37</f>
        <v>5016337.18</v>
      </c>
      <c r="U8" s="38">
        <f>'Evolutive SFP'!T37</f>
        <v>5063251.75</v>
      </c>
      <c r="V8" s="38">
        <f>'Evolutive SFP'!U37</f>
        <v>2542171.29</v>
      </c>
      <c r="W8" s="38">
        <f>'Evolutive SFP'!V37</f>
        <v>2679824.4500000002</v>
      </c>
      <c r="X8" s="38">
        <f>'Evolutive SFP'!W37</f>
        <v>2770985.64</v>
      </c>
      <c r="Y8" s="38">
        <f>'Evolutive SFP'!X37</f>
        <v>2706446.46</v>
      </c>
      <c r="Z8" s="38">
        <f>'Evolutive SFP'!Y37</f>
        <v>50138.87</v>
      </c>
      <c r="AA8" s="38">
        <f>'Evolutive SFP'!Z37</f>
        <v>18644831.190000001</v>
      </c>
      <c r="AB8" s="38">
        <f>'Evolutive SFP'!AA37</f>
        <v>0</v>
      </c>
      <c r="AC8" s="38">
        <f>'Evolutive SFP'!AB37</f>
        <v>16642260.289999999</v>
      </c>
      <c r="AD8" s="38">
        <f>'Evolutive SFP'!AC37</f>
        <v>16422882.73</v>
      </c>
      <c r="AE8" s="38">
        <f>'Evolutive SFP'!AD37</f>
        <v>7999025.4100000001</v>
      </c>
      <c r="AF8" s="38">
        <f>'Evolutive SFP'!AE37</f>
        <v>5206074.6500000004</v>
      </c>
      <c r="AG8" s="38">
        <f>'Evolutive SFP'!AF37</f>
        <v>5054477.42</v>
      </c>
      <c r="AH8" s="38">
        <f>'Evolutive SFP'!AG37</f>
        <v>5033276.84</v>
      </c>
      <c r="AI8" s="38">
        <f>'Evolutive SFP'!AH37</f>
        <v>5079730.68</v>
      </c>
      <c r="AJ8" s="38">
        <f>'Evolutive SFP'!AI37</f>
        <v>5074863.01</v>
      </c>
      <c r="AK8" s="38">
        <f>'Evolutive SFP'!AJ37</f>
        <v>5024366.26</v>
      </c>
      <c r="AL8" s="38">
        <f>'Evolutive SFP'!AK37</f>
        <v>4966674.5199999996</v>
      </c>
      <c r="AM8" s="38">
        <f>'Evolutive SFP'!AL37</f>
        <v>2828503.17</v>
      </c>
      <c r="AN8" s="38">
        <f>'Evolutive SFP'!AM37</f>
        <v>39213462.289999999</v>
      </c>
      <c r="AO8" s="38">
        <f>'Evolutive SFP'!AN37</f>
        <v>0</v>
      </c>
      <c r="AP8" s="38">
        <f>'Evolutive SFP'!AO37</f>
        <v>0</v>
      </c>
      <c r="AQ8" s="38">
        <f>'Evolutive SFP'!AP37</f>
        <v>0</v>
      </c>
    </row>
    <row r="9" spans="1:43" ht="15" thickBot="1">
      <c r="A9" s="9"/>
      <c r="B9" s="76" t="s">
        <v>160</v>
      </c>
      <c r="C9" s="38">
        <f>SUM('Evolutive SFP'!B32:B36)</f>
        <v>722521574.62</v>
      </c>
      <c r="D9" s="38">
        <f>SUM('Evolutive SFP'!C32:C36)</f>
        <v>616763308.04999995</v>
      </c>
      <c r="E9" s="38">
        <f>SUM('Evolutive SFP'!D32:D36)</f>
        <v>319060273.56</v>
      </c>
      <c r="F9" s="38">
        <f>SUM('Evolutive SFP'!E32:E36)</f>
        <v>304330173.91000003</v>
      </c>
      <c r="G9" s="38">
        <f>SUM('Evolutive SFP'!F32:F36)</f>
        <v>338121165.05000001</v>
      </c>
      <c r="H9" s="38">
        <f>SUM('Evolutive SFP'!G32:G36)</f>
        <v>379331350.67000002</v>
      </c>
      <c r="I9" s="38">
        <f>SUM('Evolutive SFP'!H32:H36)</f>
        <v>412581643.58000004</v>
      </c>
      <c r="J9" s="38">
        <f>SUM('Evolutive SFP'!I32:I36)</f>
        <v>455364535.34000003</v>
      </c>
      <c r="K9" s="38">
        <f>SUM('Evolutive SFP'!J32:J36)</f>
        <v>480719827.07000005</v>
      </c>
      <c r="L9" s="38">
        <f>SUM('Evolutive SFP'!K32:K36)</f>
        <v>510369131.20000005</v>
      </c>
      <c r="M9" s="38">
        <f>SUM('Evolutive SFP'!L32:L36)</f>
        <v>549928681.49000001</v>
      </c>
      <c r="N9" s="38">
        <f>SUM('Evolutive SFP'!M32:M36)</f>
        <v>664026086.93000007</v>
      </c>
      <c r="O9" s="38">
        <f>SUM('Evolutive SFP'!N32:N36)</f>
        <v>575555000</v>
      </c>
      <c r="P9" s="38">
        <f>SUM('Evolutive SFP'!O32:O36)</f>
        <v>637225866.63999999</v>
      </c>
      <c r="Q9" s="38">
        <f>SUM('Evolutive SFP'!P32:P36)</f>
        <v>396683382.13999999</v>
      </c>
      <c r="R9" s="38">
        <f>SUM('Evolutive SFP'!Q32:Q36)</f>
        <v>323458108.61000001</v>
      </c>
      <c r="S9" s="38">
        <f>SUM('Evolutive SFP'!R32:R36)</f>
        <v>338649167.09000003</v>
      </c>
      <c r="T9" s="38">
        <f>SUM('Evolutive SFP'!S32:S36)</f>
        <v>363420118.60000002</v>
      </c>
      <c r="U9" s="38">
        <f>SUM('Evolutive SFP'!T32:T36)</f>
        <v>364548973.98000002</v>
      </c>
      <c r="V9" s="38">
        <f>SUM('Evolutive SFP'!U32:U36)</f>
        <v>406474445.57000005</v>
      </c>
      <c r="W9" s="38">
        <f>SUM('Evolutive SFP'!V32:V36)</f>
        <v>465712128.43000001</v>
      </c>
      <c r="X9" s="38">
        <f>SUM('Evolutive SFP'!W32:W36)</f>
        <v>532939617.43000001</v>
      </c>
      <c r="Y9" s="38">
        <f>SUM('Evolutive SFP'!X32:X36)</f>
        <v>581889833.88999999</v>
      </c>
      <c r="Z9" s="38">
        <f>SUM('Evolutive SFP'!Y32:Y36)</f>
        <v>619275265.13</v>
      </c>
      <c r="AA9" s="38">
        <f>SUM('Evolutive SFP'!Z32:Z36)</f>
        <v>783395872.53999996</v>
      </c>
      <c r="AB9" s="38">
        <f>SUM('Evolutive SFP'!AA32:AA36)</f>
        <v>743449000</v>
      </c>
      <c r="AC9" s="38">
        <f>SUM('Evolutive SFP'!AB32:AB36)</f>
        <v>799469156.20000005</v>
      </c>
      <c r="AD9" s="38">
        <f>SUM('Evolutive SFP'!AC32:AC36)</f>
        <v>840369702.95000005</v>
      </c>
      <c r="AE9" s="38">
        <f>SUM('Evolutive SFP'!AD32:AD36)</f>
        <v>318607870.25999999</v>
      </c>
      <c r="AF9" s="38">
        <f>SUM('Evolutive SFP'!AE32:AE36)</f>
        <v>328174786.75</v>
      </c>
      <c r="AG9" s="38">
        <f>SUM('Evolutive SFP'!AF32:AF36)</f>
        <v>342470007.48000002</v>
      </c>
      <c r="AH9" s="38">
        <f>SUM('Evolutive SFP'!AG32:AG36)</f>
        <v>381511742.14000005</v>
      </c>
      <c r="AI9" s="38">
        <f>SUM('Evolutive SFP'!AH32:AH36)</f>
        <v>428682048.40999997</v>
      </c>
      <c r="AJ9" s="38">
        <f>SUM('Evolutive SFP'!AI32:AI36)</f>
        <v>471644052.40000004</v>
      </c>
      <c r="AK9" s="38">
        <f>SUM('Evolutive SFP'!AJ32:AJ36)</f>
        <v>536339928.38</v>
      </c>
      <c r="AL9" s="38">
        <f>SUM('Evolutive SFP'!AK32:AK36)</f>
        <v>585679637.13999999</v>
      </c>
      <c r="AM9" s="38">
        <f>SUM('Evolutive SFP'!AL32:AL36)</f>
        <v>644006024.42999995</v>
      </c>
      <c r="AN9" s="38">
        <f>SUM('Evolutive SFP'!AM32:AM36)</f>
        <v>816379102.72000003</v>
      </c>
      <c r="AO9" s="38">
        <f>SUM('Evolutive SFP'!AN32:AN36)</f>
        <v>854393000</v>
      </c>
      <c r="AP9" s="38">
        <f>SUM('Evolutive SFP'!AO32:AO36)</f>
        <v>0</v>
      </c>
      <c r="AQ9" s="38">
        <f>SUM('Evolutive SFP'!AP32:AP36)</f>
        <v>0</v>
      </c>
    </row>
    <row r="10" spans="1:43">
      <c r="A10" s="11">
        <v>5</v>
      </c>
      <c r="B10" s="7" t="s">
        <v>161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</row>
    <row r="11" spans="1:43" s="6" customFormat="1">
      <c r="A11" s="18">
        <v>5.0999999999999996</v>
      </c>
      <c r="B11" s="7" t="s">
        <v>102</v>
      </c>
      <c r="C11" s="39">
        <f t="shared" ref="C11:J11" si="0">C14-C22-C27</f>
        <v>737178073.36000001</v>
      </c>
      <c r="D11" s="39">
        <f t="shared" si="0"/>
        <v>761195513.91000009</v>
      </c>
      <c r="E11" s="39">
        <f t="shared" si="0"/>
        <v>772716670.24000001</v>
      </c>
      <c r="F11" s="39">
        <f t="shared" si="0"/>
        <v>791234965.44999993</v>
      </c>
      <c r="G11" s="39">
        <f t="shared" si="0"/>
        <v>813640832.77999997</v>
      </c>
      <c r="H11" s="39">
        <f t="shared" si="0"/>
        <v>837872220.5</v>
      </c>
      <c r="I11" s="39">
        <f t="shared" si="0"/>
        <v>859012784.29999995</v>
      </c>
      <c r="J11" s="39">
        <f t="shared" si="0"/>
        <v>867810541.66999996</v>
      </c>
      <c r="K11" s="39">
        <f>K14-K22-K27</f>
        <v>886942073.3499999</v>
      </c>
      <c r="L11" s="39">
        <f>L14-L22-L27</f>
        <v>907390173.5</v>
      </c>
      <c r="M11" s="39">
        <f>M14-M22-M27</f>
        <v>921939015.76999998</v>
      </c>
      <c r="N11" s="39">
        <f>N14-N22-N27</f>
        <v>928502221.43999994</v>
      </c>
      <c r="O11" s="39">
        <f>O14-O22-O27</f>
        <v>969035000</v>
      </c>
      <c r="P11" s="39">
        <f t="shared" ref="P11:AA11" si="1">P14-P22-P27</f>
        <v>883815807.41000009</v>
      </c>
      <c r="Q11" s="39">
        <f t="shared" si="1"/>
        <v>896962884.76000011</v>
      </c>
      <c r="R11" s="39">
        <f t="shared" si="1"/>
        <v>996375796.71000004</v>
      </c>
      <c r="S11" s="39">
        <f t="shared" si="1"/>
        <v>1012502898.4700001</v>
      </c>
      <c r="T11" s="39">
        <f t="shared" si="1"/>
        <v>1027568184.79</v>
      </c>
      <c r="U11" s="39">
        <f t="shared" si="1"/>
        <v>1085973018.3800001</v>
      </c>
      <c r="V11" s="39">
        <f t="shared" si="1"/>
        <v>1107940473.4400001</v>
      </c>
      <c r="W11" s="39">
        <f t="shared" si="1"/>
        <v>1114532838.22</v>
      </c>
      <c r="X11" s="39">
        <f t="shared" si="1"/>
        <v>1147799624.51</v>
      </c>
      <c r="Y11" s="39">
        <f t="shared" si="1"/>
        <v>1157413393.9400001</v>
      </c>
      <c r="Z11" s="39">
        <f t="shared" si="1"/>
        <v>1245832140.3200002</v>
      </c>
      <c r="AA11" s="39">
        <f t="shared" si="1"/>
        <v>1115066391.0699999</v>
      </c>
      <c r="AB11" s="39">
        <f>AB14-AB27-AB22</f>
        <v>939730000</v>
      </c>
      <c r="AC11" s="39">
        <f t="shared" ref="AC11:AQ11" si="2">AC14-AC27-AC22</f>
        <v>1132070668.3999999</v>
      </c>
      <c r="AD11" s="39">
        <f t="shared" si="2"/>
        <v>1174927179.76</v>
      </c>
      <c r="AE11" s="39">
        <f t="shared" si="2"/>
        <v>1218279406.4099998</v>
      </c>
      <c r="AF11" s="39">
        <f t="shared" si="2"/>
        <v>1248553032.1900001</v>
      </c>
      <c r="AG11" s="39">
        <f t="shared" si="2"/>
        <v>1289426465.9400001</v>
      </c>
      <c r="AH11" s="39">
        <f t="shared" si="2"/>
        <v>1330908422.3499999</v>
      </c>
      <c r="AI11" s="39">
        <f t="shared" si="2"/>
        <v>1347019492.46</v>
      </c>
      <c r="AJ11" s="39">
        <f t="shared" si="2"/>
        <v>1374279073.01</v>
      </c>
      <c r="AK11" s="39">
        <f t="shared" si="2"/>
        <v>1419037707.03</v>
      </c>
      <c r="AL11" s="39">
        <f t="shared" si="2"/>
        <v>1463208041.79</v>
      </c>
      <c r="AM11" s="39">
        <f t="shared" si="2"/>
        <v>1497574506.5</v>
      </c>
      <c r="AN11" s="39">
        <f t="shared" si="2"/>
        <v>1379460566.78</v>
      </c>
      <c r="AO11" s="39">
        <f t="shared" si="2"/>
        <v>1340541000</v>
      </c>
      <c r="AP11" s="39">
        <f t="shared" si="2"/>
        <v>0</v>
      </c>
      <c r="AQ11" s="39">
        <f t="shared" si="2"/>
        <v>0</v>
      </c>
    </row>
    <row r="12" spans="1:43" s="6" customFormat="1">
      <c r="A12" s="18">
        <v>5.2</v>
      </c>
      <c r="B12" s="7" t="s">
        <v>162</v>
      </c>
      <c r="C12" s="39">
        <f t="shared" ref="C12:H12" si="3">C11-C15</f>
        <v>398209337.63999999</v>
      </c>
      <c r="D12" s="39">
        <f t="shared" si="3"/>
        <v>415562762.91000009</v>
      </c>
      <c r="E12" s="39">
        <f t="shared" si="3"/>
        <v>424283546.57999998</v>
      </c>
      <c r="F12" s="39">
        <f t="shared" si="3"/>
        <v>438760462.99999994</v>
      </c>
      <c r="G12" s="39">
        <f t="shared" si="3"/>
        <v>458523309.94999999</v>
      </c>
      <c r="H12" s="39">
        <f t="shared" si="3"/>
        <v>479354672.99000001</v>
      </c>
      <c r="I12" s="39">
        <f t="shared" ref="I12:O12" si="4">I11-I15</f>
        <v>496309775.76999998</v>
      </c>
      <c r="J12" s="39">
        <f t="shared" si="4"/>
        <v>501891761.81999993</v>
      </c>
      <c r="K12" s="39">
        <f t="shared" si="4"/>
        <v>518124410.51999992</v>
      </c>
      <c r="L12" s="39">
        <f t="shared" si="4"/>
        <v>533202343.01999998</v>
      </c>
      <c r="M12" s="39">
        <f t="shared" si="4"/>
        <v>543667360.91999996</v>
      </c>
      <c r="N12" s="39">
        <f t="shared" si="4"/>
        <v>495754252.02999991</v>
      </c>
      <c r="O12" s="39">
        <f t="shared" si="4"/>
        <v>536300000</v>
      </c>
      <c r="P12" s="39">
        <f t="shared" ref="P12:AB12" si="5">P11-P15</f>
        <v>448464434.57000011</v>
      </c>
      <c r="Q12" s="39">
        <f t="shared" si="5"/>
        <v>458012600.56000012</v>
      </c>
      <c r="R12" s="39">
        <f t="shared" si="5"/>
        <v>552960096.21000004</v>
      </c>
      <c r="S12" s="39">
        <f t="shared" si="5"/>
        <v>562765600.56000018</v>
      </c>
      <c r="T12" s="39">
        <f t="shared" si="5"/>
        <v>574184262.04999995</v>
      </c>
      <c r="U12" s="39">
        <f t="shared" si="5"/>
        <v>628299848.63000011</v>
      </c>
      <c r="V12" s="39">
        <f t="shared" si="5"/>
        <v>646093470.09000003</v>
      </c>
      <c r="W12" s="39">
        <f t="shared" si="5"/>
        <v>649110945.00999999</v>
      </c>
      <c r="X12" s="39">
        <f t="shared" si="5"/>
        <v>677772332</v>
      </c>
      <c r="Y12" s="39">
        <f t="shared" si="5"/>
        <v>683229735.21000004</v>
      </c>
      <c r="Z12" s="39">
        <f t="shared" si="5"/>
        <v>766363946.6700002</v>
      </c>
      <c r="AA12" s="39">
        <f t="shared" si="5"/>
        <v>629324520.94999993</v>
      </c>
      <c r="AB12" s="39">
        <f t="shared" si="5"/>
        <v>453988000</v>
      </c>
      <c r="AC12" s="39">
        <f t="shared" ref="AC12:AQ12" si="6">AC11-AC15</f>
        <v>642810885.74999988</v>
      </c>
      <c r="AD12" s="39">
        <f t="shared" si="6"/>
        <v>680393231.99000001</v>
      </c>
      <c r="AE12" s="39">
        <f t="shared" si="6"/>
        <v>712474057.00999987</v>
      </c>
      <c r="AF12" s="39">
        <f t="shared" si="6"/>
        <v>737225412.04000008</v>
      </c>
      <c r="AG12" s="39">
        <f t="shared" si="6"/>
        <v>772118581.37000012</v>
      </c>
      <c r="AH12" s="39">
        <f t="shared" si="6"/>
        <v>807980123.05999994</v>
      </c>
      <c r="AI12" s="39">
        <f t="shared" si="6"/>
        <v>818131092.33000004</v>
      </c>
      <c r="AJ12" s="39">
        <f t="shared" si="6"/>
        <v>838721001.5</v>
      </c>
      <c r="AK12" s="39">
        <f t="shared" si="6"/>
        <v>876002327.76999998</v>
      </c>
      <c r="AL12" s="39">
        <f t="shared" si="6"/>
        <v>909012453.64999998</v>
      </c>
      <c r="AM12" s="39">
        <f t="shared" si="6"/>
        <v>934781403.90999997</v>
      </c>
      <c r="AN12" s="39">
        <f t="shared" si="6"/>
        <v>809425305.63999999</v>
      </c>
      <c r="AO12" s="39">
        <f t="shared" si="6"/>
        <v>770506000</v>
      </c>
      <c r="AP12" s="39">
        <f t="shared" si="6"/>
        <v>0</v>
      </c>
      <c r="AQ12" s="39">
        <f t="shared" si="6"/>
        <v>0</v>
      </c>
    </row>
    <row r="13" spans="1:43">
      <c r="A13" s="11"/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</row>
    <row r="14" spans="1:43" s="6" customFormat="1">
      <c r="A14" s="18">
        <v>5.3</v>
      </c>
      <c r="B14" s="7" t="s">
        <v>163</v>
      </c>
      <c r="C14" s="39">
        <f t="shared" ref="C14:H14" si="7">C15+C16+C17+C18+C19+C20+C21</f>
        <v>755774127.71000004</v>
      </c>
      <c r="D14" s="39">
        <f t="shared" si="7"/>
        <v>779791568.26000011</v>
      </c>
      <c r="E14" s="39">
        <f t="shared" si="7"/>
        <v>791312724.59000003</v>
      </c>
      <c r="F14" s="39">
        <f t="shared" si="7"/>
        <v>809831019.79999995</v>
      </c>
      <c r="G14" s="39">
        <f t="shared" si="7"/>
        <v>832236887.13</v>
      </c>
      <c r="H14" s="39">
        <f t="shared" si="7"/>
        <v>856468274.85000002</v>
      </c>
      <c r="I14" s="39">
        <f t="shared" ref="I14:O14" si="8">I15+I16+I17+I18+I19+I20+I21</f>
        <v>877608838.64999998</v>
      </c>
      <c r="J14" s="39">
        <f t="shared" si="8"/>
        <v>886406596.01999998</v>
      </c>
      <c r="K14" s="39">
        <f t="shared" si="8"/>
        <v>905538127.69999993</v>
      </c>
      <c r="L14" s="39">
        <f t="shared" si="8"/>
        <v>925986227.85000002</v>
      </c>
      <c r="M14" s="39">
        <f t="shared" si="8"/>
        <v>940535070.12</v>
      </c>
      <c r="N14" s="39">
        <f t="shared" si="8"/>
        <v>947098275.78999996</v>
      </c>
      <c r="O14" s="39">
        <f t="shared" si="8"/>
        <v>1044967000</v>
      </c>
      <c r="P14" s="39">
        <f t="shared" ref="P14:AB14" si="9">P15+P16+P17+P18+P19+P20+P21</f>
        <v>900226060.96000004</v>
      </c>
      <c r="Q14" s="39">
        <f t="shared" si="9"/>
        <v>913373138.31000006</v>
      </c>
      <c r="R14" s="39">
        <f t="shared" si="9"/>
        <v>1012786050.26</v>
      </c>
      <c r="S14" s="39">
        <f t="shared" si="9"/>
        <v>1028913152.0200001</v>
      </c>
      <c r="T14" s="39">
        <f t="shared" si="9"/>
        <v>1043978438.3399999</v>
      </c>
      <c r="U14" s="39">
        <f t="shared" si="9"/>
        <v>1102383271.9300001</v>
      </c>
      <c r="V14" s="39">
        <f t="shared" si="9"/>
        <v>1124350726.99</v>
      </c>
      <c r="W14" s="39">
        <f t="shared" si="9"/>
        <v>1130943091.77</v>
      </c>
      <c r="X14" s="39">
        <f t="shared" si="9"/>
        <v>1164209878.0599999</v>
      </c>
      <c r="Y14" s="39">
        <f t="shared" si="9"/>
        <v>1173823647.49</v>
      </c>
      <c r="Z14" s="39">
        <f t="shared" si="9"/>
        <v>1262242393.8700001</v>
      </c>
      <c r="AA14" s="39">
        <f t="shared" si="9"/>
        <v>1131476644.6199999</v>
      </c>
      <c r="AB14" s="39">
        <f t="shared" si="9"/>
        <v>1040224000</v>
      </c>
      <c r="AC14" s="39">
        <f t="shared" ref="AC14:AQ14" si="10">AC15+AC16+AC17+AC18+AC19+AC20+AC21</f>
        <v>1151176277.05</v>
      </c>
      <c r="AD14" s="39">
        <f t="shared" si="10"/>
        <v>1194032788.4100001</v>
      </c>
      <c r="AE14" s="39">
        <f t="shared" si="10"/>
        <v>1237385015.0599999</v>
      </c>
      <c r="AF14" s="39">
        <f t="shared" si="10"/>
        <v>1267658640.8400002</v>
      </c>
      <c r="AG14" s="39">
        <f t="shared" si="10"/>
        <v>1308532074.5900002</v>
      </c>
      <c r="AH14" s="39">
        <f t="shared" si="10"/>
        <v>1350014031</v>
      </c>
      <c r="AI14" s="39">
        <f t="shared" si="10"/>
        <v>1368125101.1100001</v>
      </c>
      <c r="AJ14" s="39">
        <f t="shared" si="10"/>
        <v>1395384681.6600001</v>
      </c>
      <c r="AK14" s="39">
        <f t="shared" si="10"/>
        <v>1440143315.6800001</v>
      </c>
      <c r="AL14" s="39">
        <f t="shared" si="10"/>
        <v>1484313650.4400001</v>
      </c>
      <c r="AM14" s="39">
        <f t="shared" si="10"/>
        <v>1518680115.1500001</v>
      </c>
      <c r="AN14" s="39">
        <f t="shared" si="10"/>
        <v>1400469992.03</v>
      </c>
      <c r="AO14" s="39">
        <f t="shared" si="10"/>
        <v>1361551000</v>
      </c>
      <c r="AP14" s="39">
        <f t="shared" si="10"/>
        <v>0</v>
      </c>
      <c r="AQ14" s="39">
        <f t="shared" si="10"/>
        <v>0</v>
      </c>
    </row>
    <row r="15" spans="1:43">
      <c r="A15" s="11" t="s">
        <v>164</v>
      </c>
      <c r="B15" s="12" t="s">
        <v>165</v>
      </c>
      <c r="C15" s="38">
        <f>'Evolutive SFP'!B39</f>
        <v>338968735.72000003</v>
      </c>
      <c r="D15" s="38">
        <f>'Evolutive SFP'!C39</f>
        <v>345632751</v>
      </c>
      <c r="E15" s="38">
        <f>'Evolutive SFP'!D39</f>
        <v>348433123.66000003</v>
      </c>
      <c r="F15" s="38">
        <f>'Evolutive SFP'!E39</f>
        <v>352474502.44999999</v>
      </c>
      <c r="G15" s="38">
        <f>'Evolutive SFP'!F39</f>
        <v>355117522.82999998</v>
      </c>
      <c r="H15" s="38">
        <f>'Evolutive SFP'!G39</f>
        <v>358517547.50999999</v>
      </c>
      <c r="I15" s="38">
        <f>'Evolutive SFP'!H39</f>
        <v>362703008.52999997</v>
      </c>
      <c r="J15" s="38">
        <f>'Evolutive SFP'!I39</f>
        <v>365918779.85000002</v>
      </c>
      <c r="K15" s="38">
        <f>'Evolutive SFP'!J39</f>
        <v>368817662.82999998</v>
      </c>
      <c r="L15" s="38">
        <f>'Evolutive SFP'!K39</f>
        <v>374187830.48000002</v>
      </c>
      <c r="M15" s="38">
        <f>'Evolutive SFP'!L39</f>
        <v>378271654.85000002</v>
      </c>
      <c r="N15" s="38">
        <f>'Evolutive SFP'!M39</f>
        <v>432747969.41000003</v>
      </c>
      <c r="O15" s="38">
        <f>'Evolutive SFP'!N39</f>
        <v>432735000</v>
      </c>
      <c r="P15" s="38">
        <f>'Evolutive SFP'!O39</f>
        <v>435351372.83999997</v>
      </c>
      <c r="Q15" s="38">
        <f>'Evolutive SFP'!P39</f>
        <v>438950284.19999999</v>
      </c>
      <c r="R15" s="38">
        <f>'Evolutive SFP'!Q39</f>
        <v>443415700.5</v>
      </c>
      <c r="S15" s="38">
        <f>'Evolutive SFP'!R39</f>
        <v>449737297.91000003</v>
      </c>
      <c r="T15" s="38">
        <f>'Evolutive SFP'!S39</f>
        <v>453383922.74000001</v>
      </c>
      <c r="U15" s="38">
        <f>'Evolutive SFP'!T39</f>
        <v>457673169.75</v>
      </c>
      <c r="V15" s="38">
        <f>'Evolutive SFP'!U39</f>
        <v>461847003.35000002</v>
      </c>
      <c r="W15" s="38">
        <f>'Evolutive SFP'!V39</f>
        <v>465421893.20999998</v>
      </c>
      <c r="X15" s="38">
        <f>'Evolutive SFP'!W39</f>
        <v>470027292.50999999</v>
      </c>
      <c r="Y15" s="38">
        <f>'Evolutive SFP'!X39</f>
        <v>474183658.73000002</v>
      </c>
      <c r="Z15" s="38">
        <f>'Evolutive SFP'!Y39</f>
        <v>479468193.64999998</v>
      </c>
      <c r="AA15" s="38">
        <f>'Evolutive SFP'!Z39</f>
        <v>485741870.12</v>
      </c>
      <c r="AB15" s="38">
        <f>'Evolutive SFP'!AA39</f>
        <v>485742000</v>
      </c>
      <c r="AC15" s="38">
        <f>'Evolutive SFP'!AB39</f>
        <v>489259782.64999998</v>
      </c>
      <c r="AD15" s="38">
        <f>'Evolutive SFP'!AC39</f>
        <v>494533947.76999998</v>
      </c>
      <c r="AE15" s="38">
        <f>'Evolutive SFP'!AD39</f>
        <v>505805349.39999998</v>
      </c>
      <c r="AF15" s="38">
        <f>'Evolutive SFP'!AE39</f>
        <v>511327620.14999998</v>
      </c>
      <c r="AG15" s="38">
        <f>'Evolutive SFP'!AF39</f>
        <v>517307884.56999999</v>
      </c>
      <c r="AH15" s="38">
        <f>'Evolutive SFP'!AG39</f>
        <v>522928299.29000002</v>
      </c>
      <c r="AI15" s="38">
        <f>'Evolutive SFP'!AH39</f>
        <v>528888400.13</v>
      </c>
      <c r="AJ15" s="38">
        <f>'Evolutive SFP'!AI39</f>
        <v>535558071.50999999</v>
      </c>
      <c r="AK15" s="38">
        <f>'Evolutive SFP'!AJ39</f>
        <v>543035379.25999999</v>
      </c>
      <c r="AL15" s="38">
        <f>'Evolutive SFP'!AK39</f>
        <v>554195588.13999999</v>
      </c>
      <c r="AM15" s="38">
        <f>'Evolutive SFP'!AL39</f>
        <v>562793102.59000003</v>
      </c>
      <c r="AN15" s="38">
        <f>'Evolutive SFP'!AM39</f>
        <v>570035261.13999999</v>
      </c>
      <c r="AO15" s="38">
        <f>'Evolutive SFP'!AN39</f>
        <v>570035000</v>
      </c>
      <c r="AP15" s="38">
        <f>'Evolutive SFP'!AO39</f>
        <v>0</v>
      </c>
      <c r="AQ15" s="38">
        <f>'Evolutive SFP'!AP39</f>
        <v>0</v>
      </c>
    </row>
    <row r="16" spans="1:43">
      <c r="A16" s="11" t="s">
        <v>166</v>
      </c>
      <c r="B16" s="13" t="s">
        <v>167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</row>
    <row r="17" spans="1:43">
      <c r="A17" s="11" t="s">
        <v>168</v>
      </c>
      <c r="B17" s="10" t="s">
        <v>169</v>
      </c>
      <c r="C17" s="38">
        <f>'Evolutive SFP'!B41</f>
        <v>143899776.53999999</v>
      </c>
      <c r="D17" s="38">
        <f>'Evolutive SFP'!C41</f>
        <v>144247671.96000001</v>
      </c>
      <c r="E17" s="38">
        <f>'Evolutive SFP'!D41</f>
        <v>144218881.69999999</v>
      </c>
      <c r="F17" s="38">
        <f>'Evolutive SFP'!E41</f>
        <v>144108943.61000001</v>
      </c>
      <c r="G17" s="38">
        <f>'Evolutive SFP'!F41</f>
        <v>144108833.81</v>
      </c>
      <c r="H17" s="38">
        <f>'Evolutive SFP'!G41</f>
        <v>144108833.81</v>
      </c>
      <c r="I17" s="38">
        <f>'Evolutive SFP'!H41</f>
        <v>144108833.81</v>
      </c>
      <c r="J17" s="38">
        <f>'Evolutive SFP'!I41</f>
        <v>144108833.81</v>
      </c>
      <c r="K17" s="38">
        <f>'Evolutive SFP'!J41</f>
        <v>143412434.88999999</v>
      </c>
      <c r="L17" s="38">
        <f>'Evolutive SFP'!K41</f>
        <v>143526103.88999999</v>
      </c>
      <c r="M17" s="38">
        <f>'Evolutive SFP'!L41</f>
        <v>143474095.78999999</v>
      </c>
      <c r="N17" s="38">
        <f>'Evolutive SFP'!M41</f>
        <v>146055575.88</v>
      </c>
      <c r="O17" s="38">
        <f>'Evolutive SFP'!N41</f>
        <v>154932000</v>
      </c>
      <c r="P17" s="38">
        <f>'Evolutive SFP'!O41</f>
        <v>117161226.59999999</v>
      </c>
      <c r="Q17" s="38">
        <f>'Evolutive SFP'!P41</f>
        <v>118665488.53</v>
      </c>
      <c r="R17" s="38">
        <f>'Evolutive SFP'!Q41</f>
        <v>118603582.52</v>
      </c>
      <c r="S17" s="38">
        <f>'Evolutive SFP'!R41</f>
        <v>118603582.52</v>
      </c>
      <c r="T17" s="38">
        <f>'Evolutive SFP'!S41</f>
        <v>118593332.17</v>
      </c>
      <c r="U17" s="38">
        <f>'Evolutive SFP'!T41</f>
        <v>118593332.17</v>
      </c>
      <c r="V17" s="38">
        <f>'Evolutive SFP'!U41</f>
        <v>118483746</v>
      </c>
      <c r="W17" s="38">
        <f>'Evolutive SFP'!V41</f>
        <v>118469439.04000001</v>
      </c>
      <c r="X17" s="38">
        <f>'Evolutive SFP'!W41</f>
        <v>118438648.61</v>
      </c>
      <c r="Y17" s="38">
        <f>'Evolutive SFP'!X41</f>
        <v>118246669.38</v>
      </c>
      <c r="Z17" s="38">
        <f>'Evolutive SFP'!Y41</f>
        <v>118226866.83</v>
      </c>
      <c r="AA17" s="38">
        <f>'Evolutive SFP'!Z41</f>
        <v>118476866.83</v>
      </c>
      <c r="AB17" s="38">
        <f>'Evolutive SFP'!AA41</f>
        <v>118477000</v>
      </c>
      <c r="AC17" s="38">
        <f>'Evolutive SFP'!AB41</f>
        <v>137063858.53</v>
      </c>
      <c r="AD17" s="38">
        <f>'Evolutive SFP'!AC41</f>
        <v>136427058.53</v>
      </c>
      <c r="AE17" s="38">
        <f>'Evolutive SFP'!AD41</f>
        <v>136353265.25999999</v>
      </c>
      <c r="AF17" s="38">
        <f>'Evolutive SFP'!AE41</f>
        <v>136744922.56</v>
      </c>
      <c r="AG17" s="38">
        <f>'Evolutive SFP'!AF41</f>
        <v>141839432.16</v>
      </c>
      <c r="AH17" s="38">
        <f>'Evolutive SFP'!AG41</f>
        <v>145939096.18000001</v>
      </c>
      <c r="AI17" s="38">
        <f>'Evolutive SFP'!AH41</f>
        <v>145925461.18000001</v>
      </c>
      <c r="AJ17" s="38">
        <f>'Evolutive SFP'!AI41</f>
        <v>145925461.18000001</v>
      </c>
      <c r="AK17" s="38">
        <f>'Evolutive SFP'!AJ41</f>
        <v>145925461.18000001</v>
      </c>
      <c r="AL17" s="38">
        <f>'Evolutive SFP'!AK41</f>
        <v>145965921.66</v>
      </c>
      <c r="AM17" s="38">
        <f>'Evolutive SFP'!AL41</f>
        <v>145965921.66</v>
      </c>
      <c r="AN17" s="38">
        <f>'Evolutive SFP'!AM41</f>
        <v>145965921.66</v>
      </c>
      <c r="AO17" s="38">
        <f>'Evolutive SFP'!AN41</f>
        <v>72861000</v>
      </c>
      <c r="AP17" s="38">
        <f>'Evolutive SFP'!AO41</f>
        <v>0</v>
      </c>
      <c r="AQ17" s="38">
        <f>'Evolutive SFP'!AP41</f>
        <v>0</v>
      </c>
    </row>
    <row r="18" spans="1:43">
      <c r="A18" s="11" t="s">
        <v>170</v>
      </c>
      <c r="B18" s="10" t="s">
        <v>171</v>
      </c>
      <c r="C18" s="38">
        <f>'Evolutive SFP'!B42</f>
        <v>-2595393.69</v>
      </c>
      <c r="D18" s="38">
        <f>'Evolutive SFP'!C42</f>
        <v>13971720.050000001</v>
      </c>
      <c r="E18" s="38">
        <f>'Evolutive SFP'!D42</f>
        <v>18261706.920000002</v>
      </c>
      <c r="F18" s="38">
        <f>'Evolutive SFP'!E42</f>
        <v>32893275.600000001</v>
      </c>
      <c r="G18" s="38">
        <f>'Evolutive SFP'!F42</f>
        <v>51343483.200000003</v>
      </c>
      <c r="H18" s="38">
        <f>'Evolutive SFP'!G42</f>
        <v>71169876.060000002</v>
      </c>
      <c r="I18" s="38">
        <f>'Evolutive SFP'!H42</f>
        <v>86717528.420000002</v>
      </c>
      <c r="J18" s="38">
        <f>'Evolutive SFP'!I42</f>
        <v>89353493.719999999</v>
      </c>
      <c r="K18" s="38">
        <f>'Evolutive SFP'!J42</f>
        <v>103720039.22</v>
      </c>
      <c r="L18" s="38">
        <f>'Evolutive SFP'!K42</f>
        <v>116921712.76000001</v>
      </c>
      <c r="M18" s="38">
        <f>'Evolutive SFP'!L42</f>
        <v>125747518.75</v>
      </c>
      <c r="N18" s="38">
        <f>'Evolutive SFP'!M42</f>
        <v>38280842.340000004</v>
      </c>
      <c r="O18" s="38">
        <f>'Evolutive SFP'!N42</f>
        <v>-38520000</v>
      </c>
      <c r="P18" s="38">
        <f>'Evolutive SFP'!O42</f>
        <v>-77843073.280000001</v>
      </c>
      <c r="Q18" s="38">
        <f>'Evolutive SFP'!P42</f>
        <v>-71467527.269999996</v>
      </c>
      <c r="R18" s="38">
        <f>'Evolutive SFP'!Q42</f>
        <v>21557751.25</v>
      </c>
      <c r="S18" s="38">
        <f>'Evolutive SFP'!R42</f>
        <v>28838469.629999999</v>
      </c>
      <c r="T18" s="38">
        <f>'Evolutive SFP'!S42</f>
        <v>37547016.030000001</v>
      </c>
      <c r="U18" s="38">
        <f>'Evolutive SFP'!T42</f>
        <v>88368235.579999998</v>
      </c>
      <c r="V18" s="38">
        <f>'Evolutive SFP'!U42</f>
        <v>104282606.90000001</v>
      </c>
      <c r="W18" s="38">
        <f>'Evolutive SFP'!V42</f>
        <v>102555476.63</v>
      </c>
      <c r="X18" s="38">
        <f>'Evolutive SFP'!W42</f>
        <v>128548854.31999999</v>
      </c>
      <c r="Y18" s="38">
        <f>'Evolutive SFP'!X42</f>
        <v>131682903.95</v>
      </c>
      <c r="Z18" s="38">
        <f>'Evolutive SFP'!Y42</f>
        <v>211301512.25999999</v>
      </c>
      <c r="AA18" s="38">
        <f>'Evolutive SFP'!Z42</f>
        <v>44314382.310000002</v>
      </c>
      <c r="AB18" s="38">
        <f>'Evolutive SFP'!AA42</f>
        <v>17768000</v>
      </c>
      <c r="AC18" s="38">
        <f>'Evolutive SFP'!AB42</f>
        <v>-82589.460000000006</v>
      </c>
      <c r="AD18" s="38">
        <f>'Evolutive SFP'!AC42</f>
        <v>36127468.969999999</v>
      </c>
      <c r="AE18" s="38">
        <f>'Evolutive SFP'!AD42</f>
        <v>66430022.329999998</v>
      </c>
      <c r="AF18" s="38">
        <f>'Evolutive SFP'!AE42</f>
        <v>88345424.909999996</v>
      </c>
      <c r="AG18" s="38">
        <f>'Evolutive SFP'!AF42</f>
        <v>115741852.70999999</v>
      </c>
      <c r="AH18" s="38">
        <f>'Evolutive SFP'!AG42</f>
        <v>147249180.25999999</v>
      </c>
      <c r="AI18" s="38">
        <f>'Evolutive SFP'!AH42</f>
        <v>156669650.36000001</v>
      </c>
      <c r="AJ18" s="38">
        <f>'Evolutive SFP'!AI42</f>
        <v>174069476.03</v>
      </c>
      <c r="AK18" s="38">
        <f>'Evolutive SFP'!AJ42</f>
        <v>207590977.83000001</v>
      </c>
      <c r="AL18" s="38">
        <f>'Evolutive SFP'!AK42</f>
        <v>237815008.69</v>
      </c>
      <c r="AM18" s="38">
        <f>'Evolutive SFP'!AL42</f>
        <v>260256359.43000001</v>
      </c>
      <c r="AN18" s="38">
        <f>'Evolutive SFP'!AM42</f>
        <v>90561573.349999994</v>
      </c>
      <c r="AO18" s="38">
        <f>'Evolutive SFP'!AN42</f>
        <v>12644000</v>
      </c>
      <c r="AP18" s="38">
        <f>'Evolutive SFP'!AO42</f>
        <v>0</v>
      </c>
      <c r="AQ18" s="38">
        <f>'Evolutive SFP'!AP42</f>
        <v>0</v>
      </c>
    </row>
    <row r="19" spans="1:43">
      <c r="A19" s="11" t="s">
        <v>172</v>
      </c>
      <c r="B19" s="10" t="s">
        <v>42</v>
      </c>
      <c r="C19" s="38">
        <f>'Evolutive SFP'!B43</f>
        <v>99053599.540000007</v>
      </c>
      <c r="D19" s="38">
        <f>'Evolutive SFP'!C43</f>
        <v>99053599.540000007</v>
      </c>
      <c r="E19" s="38">
        <f>'Evolutive SFP'!D43</f>
        <v>99053599.540000007</v>
      </c>
      <c r="F19" s="38">
        <f>'Evolutive SFP'!E43</f>
        <v>99145214.620000005</v>
      </c>
      <c r="G19" s="38">
        <f>'Evolutive SFP'!F43</f>
        <v>99145214.620000005</v>
      </c>
      <c r="H19" s="38">
        <f>'Evolutive SFP'!G43</f>
        <v>99145214.620000005</v>
      </c>
      <c r="I19" s="38">
        <f>'Evolutive SFP'!H43</f>
        <v>99145214.620000005</v>
      </c>
      <c r="J19" s="38">
        <f>'Evolutive SFP'!I43</f>
        <v>99145214.620000005</v>
      </c>
      <c r="K19" s="38">
        <f>'Evolutive SFP'!J43</f>
        <v>99145214.620000005</v>
      </c>
      <c r="L19" s="38">
        <f>'Evolutive SFP'!K43</f>
        <v>99145214.620000005</v>
      </c>
      <c r="M19" s="38">
        <f>'Evolutive SFP'!L43</f>
        <v>99145214.620000005</v>
      </c>
      <c r="N19" s="38">
        <f>'Evolutive SFP'!M43</f>
        <v>128438792.73999999</v>
      </c>
      <c r="O19" s="38">
        <f>'Evolutive SFP'!N43</f>
        <v>134048000</v>
      </c>
      <c r="P19" s="38">
        <f>'Evolutive SFP'!O43</f>
        <v>134047526.72</v>
      </c>
      <c r="Q19" s="38">
        <f>'Evolutive SFP'!P43</f>
        <v>134047526.72</v>
      </c>
      <c r="R19" s="38">
        <f>'Evolutive SFP'!Q43</f>
        <v>134047526.72</v>
      </c>
      <c r="S19" s="38">
        <f>'Evolutive SFP'!R43</f>
        <v>134047526.72</v>
      </c>
      <c r="T19" s="38">
        <f>'Evolutive SFP'!S43</f>
        <v>134047526.72</v>
      </c>
      <c r="U19" s="38">
        <f>'Evolutive SFP'!T43</f>
        <v>134047526.72</v>
      </c>
      <c r="V19" s="38">
        <f>'Evolutive SFP'!U43</f>
        <v>134047526.72</v>
      </c>
      <c r="W19" s="38">
        <f>'Evolutive SFP'!V43</f>
        <v>134047526.72</v>
      </c>
      <c r="X19" s="38">
        <f>'Evolutive SFP'!W43</f>
        <v>134047526.72</v>
      </c>
      <c r="Y19" s="38">
        <f>'Evolutive SFP'!X43</f>
        <v>134047526.72</v>
      </c>
      <c r="Z19" s="38">
        <f>'Evolutive SFP'!Y43</f>
        <v>134047526.72</v>
      </c>
      <c r="AA19" s="38">
        <f>'Evolutive SFP'!Z43</f>
        <v>166846364.46000001</v>
      </c>
      <c r="AB19" s="38">
        <f>'Evolutive SFP'!AA43</f>
        <v>169083000</v>
      </c>
      <c r="AC19" s="38">
        <f>'Evolutive SFP'!AB43</f>
        <v>169082892.21000001</v>
      </c>
      <c r="AD19" s="38">
        <f>'Evolutive SFP'!AC43</f>
        <v>169082892.21000001</v>
      </c>
      <c r="AE19" s="38">
        <f>'Evolutive SFP'!AD43</f>
        <v>169082892.21000001</v>
      </c>
      <c r="AF19" s="38">
        <f>'Evolutive SFP'!AE43</f>
        <v>169082892.21000001</v>
      </c>
      <c r="AG19" s="38">
        <f>'Evolutive SFP'!AF43</f>
        <v>169082892.21000001</v>
      </c>
      <c r="AH19" s="38">
        <f>'Evolutive SFP'!AG43</f>
        <v>169082892.21000001</v>
      </c>
      <c r="AI19" s="38">
        <f>'Evolutive SFP'!AH43</f>
        <v>169082892.21000001</v>
      </c>
      <c r="AJ19" s="38">
        <f>'Evolutive SFP'!AI43</f>
        <v>169082892.21000001</v>
      </c>
      <c r="AK19" s="38">
        <f>'Evolutive SFP'!AJ43</f>
        <v>169082892.21000001</v>
      </c>
      <c r="AL19" s="38">
        <f>'Evolutive SFP'!AK43</f>
        <v>169082892.21000001</v>
      </c>
      <c r="AM19" s="38">
        <f>'Evolutive SFP'!AL43</f>
        <v>169082892.21000001</v>
      </c>
      <c r="AN19" s="38">
        <f>'Evolutive SFP'!AM43</f>
        <v>221310341.28999999</v>
      </c>
      <c r="AO19" s="38">
        <f>'Evolutive SFP'!AN43</f>
        <v>202727000</v>
      </c>
      <c r="AP19" s="38">
        <f>'Evolutive SFP'!AO43</f>
        <v>0</v>
      </c>
      <c r="AQ19" s="38">
        <f>'Evolutive SFP'!AP43</f>
        <v>0</v>
      </c>
    </row>
    <row r="20" spans="1:43">
      <c r="A20" s="11" t="s">
        <v>173</v>
      </c>
      <c r="B20" s="10" t="s">
        <v>174</v>
      </c>
      <c r="C20" s="38">
        <f>('Evolutive SFP'!B44)</f>
        <v>176447409.59999999</v>
      </c>
      <c r="D20" s="38">
        <f>('Evolutive SFP'!C44)</f>
        <v>176885825.71000001</v>
      </c>
      <c r="E20" s="38">
        <f>('Evolutive SFP'!D44)</f>
        <v>181345412.77000001</v>
      </c>
      <c r="F20" s="38">
        <f>('Evolutive SFP'!E44)</f>
        <v>181209083.52000001</v>
      </c>
      <c r="G20" s="38">
        <f>('Evolutive SFP'!F44)</f>
        <v>182521832.66999999</v>
      </c>
      <c r="H20" s="38">
        <f>('Evolutive SFP'!G44)</f>
        <v>183526802.84999999</v>
      </c>
      <c r="I20" s="38">
        <f>('Evolutive SFP'!H44)</f>
        <v>184934253.27000001</v>
      </c>
      <c r="J20" s="38">
        <f>('Evolutive SFP'!I44)</f>
        <v>187880274.02000001</v>
      </c>
      <c r="K20" s="38">
        <f>('Evolutive SFP'!J44)</f>
        <v>190442776.13999999</v>
      </c>
      <c r="L20" s="38">
        <f>('Evolutive SFP'!K44)</f>
        <v>192205366.09999999</v>
      </c>
      <c r="M20" s="38">
        <f>('Evolutive SFP'!L44)</f>
        <v>193896586.11000001</v>
      </c>
      <c r="N20" s="38">
        <f>('Evolutive SFP'!M44)</f>
        <v>201575095.41999999</v>
      </c>
      <c r="O20" s="38">
        <f>('Evolutive SFP'!N44)</f>
        <v>290462000</v>
      </c>
      <c r="P20" s="38">
        <f>('Evolutive SFP'!O44)</f>
        <v>291509008.07999998</v>
      </c>
      <c r="Q20" s="38">
        <f>('Evolutive SFP'!P44)</f>
        <v>293177366.13</v>
      </c>
      <c r="R20" s="38">
        <f>('Evolutive SFP'!Q44)</f>
        <v>295161489.26999998</v>
      </c>
      <c r="S20" s="38">
        <f>('Evolutive SFP'!R44)</f>
        <v>297686275.24000001</v>
      </c>
      <c r="T20" s="38">
        <f>('Evolutive SFP'!S44)</f>
        <v>300406640.68000001</v>
      </c>
      <c r="U20" s="38">
        <f>('Evolutive SFP'!T44)</f>
        <v>303701007.70999998</v>
      </c>
      <c r="V20" s="38">
        <f>('Evolutive SFP'!U44)</f>
        <v>305689844.01999998</v>
      </c>
      <c r="W20" s="38">
        <f>('Evolutive SFP'!V44)</f>
        <v>310448756.17000002</v>
      </c>
      <c r="X20" s="38">
        <f>('Evolutive SFP'!W44)</f>
        <v>313147555.89999998</v>
      </c>
      <c r="Y20" s="38">
        <f>('Evolutive SFP'!X44)</f>
        <v>315662888.70999998</v>
      </c>
      <c r="Z20" s="38">
        <f>('Evolutive SFP'!Y44)</f>
        <v>319198294.41000003</v>
      </c>
      <c r="AA20" s="38">
        <f>('Evolutive SFP'!Z44)</f>
        <v>316097160.89999998</v>
      </c>
      <c r="AB20" s="38">
        <f>('Evolutive SFP'!AA44)</f>
        <v>167766000</v>
      </c>
      <c r="AC20" s="38">
        <f>('Evolutive SFP'!AB44)</f>
        <v>355852333.12</v>
      </c>
      <c r="AD20" s="38">
        <f>('Evolutive SFP'!AC44)</f>
        <v>357861420.93000001</v>
      </c>
      <c r="AE20" s="38">
        <f>('Evolutive SFP'!AD44)</f>
        <v>359713485.86000001</v>
      </c>
      <c r="AF20" s="38">
        <f>('Evolutive SFP'!AE44)</f>
        <v>362157781.00999999</v>
      </c>
      <c r="AG20" s="38">
        <f>('Evolutive SFP'!AF44)</f>
        <v>364560012.94</v>
      </c>
      <c r="AH20" s="38">
        <f>('Evolutive SFP'!AG44)</f>
        <v>364814563.06</v>
      </c>
      <c r="AI20" s="38">
        <f>('Evolutive SFP'!AH44)</f>
        <v>367558697.23000002</v>
      </c>
      <c r="AJ20" s="38">
        <f>('Evolutive SFP'!AI44)</f>
        <v>370748780.73000002</v>
      </c>
      <c r="AK20" s="38">
        <f>('Evolutive SFP'!AJ44)</f>
        <v>374508605.19999999</v>
      </c>
      <c r="AL20" s="38">
        <f>('Evolutive SFP'!AK44)</f>
        <v>377254239.74000001</v>
      </c>
      <c r="AM20" s="38">
        <f>('Evolutive SFP'!AL44)</f>
        <v>380581839.25999999</v>
      </c>
      <c r="AN20" s="38">
        <f>('Evolutive SFP'!AM44)</f>
        <v>372596894.58999997</v>
      </c>
      <c r="AO20" s="38">
        <f>('Evolutive SFP'!AN44)</f>
        <v>503284000</v>
      </c>
      <c r="AP20" s="38">
        <f>('Evolutive SFP'!AO44)</f>
        <v>0</v>
      </c>
      <c r="AQ20" s="38">
        <f>('Evolutive SFP'!AP44)</f>
        <v>0</v>
      </c>
    </row>
    <row r="21" spans="1:43">
      <c r="A21" s="11" t="s">
        <v>175</v>
      </c>
      <c r="B21" s="14" t="s">
        <v>176</v>
      </c>
      <c r="C21" s="38">
        <f t="shared" ref="C21:H21" si="11">C22+C23</f>
        <v>0</v>
      </c>
      <c r="D21" s="38">
        <f t="shared" si="11"/>
        <v>0</v>
      </c>
      <c r="E21" s="38">
        <f t="shared" si="11"/>
        <v>0</v>
      </c>
      <c r="F21" s="38">
        <f t="shared" si="11"/>
        <v>0</v>
      </c>
      <c r="G21" s="38">
        <f t="shared" si="11"/>
        <v>0</v>
      </c>
      <c r="H21" s="38">
        <f t="shared" si="11"/>
        <v>0</v>
      </c>
      <c r="I21" s="38">
        <f t="shared" ref="I21:O21" si="12">I22+I23</f>
        <v>0</v>
      </c>
      <c r="J21" s="38">
        <f t="shared" si="12"/>
        <v>0</v>
      </c>
      <c r="K21" s="38">
        <f t="shared" si="12"/>
        <v>0</v>
      </c>
      <c r="L21" s="38">
        <f t="shared" si="12"/>
        <v>0</v>
      </c>
      <c r="M21" s="38">
        <f t="shared" si="12"/>
        <v>0</v>
      </c>
      <c r="N21" s="38">
        <f t="shared" si="12"/>
        <v>0</v>
      </c>
      <c r="O21" s="38">
        <f t="shared" si="12"/>
        <v>71310000</v>
      </c>
      <c r="P21" s="38">
        <f t="shared" ref="P21:AB21" si="13">P22+P23</f>
        <v>0</v>
      </c>
      <c r="Q21" s="38">
        <f t="shared" si="13"/>
        <v>0</v>
      </c>
      <c r="R21" s="38">
        <f t="shared" si="13"/>
        <v>0</v>
      </c>
      <c r="S21" s="38">
        <f t="shared" si="13"/>
        <v>0</v>
      </c>
      <c r="T21" s="38">
        <f t="shared" si="13"/>
        <v>0</v>
      </c>
      <c r="U21" s="38">
        <f t="shared" si="13"/>
        <v>0</v>
      </c>
      <c r="V21" s="38">
        <f t="shared" si="13"/>
        <v>0</v>
      </c>
      <c r="W21" s="38">
        <f t="shared" si="13"/>
        <v>0</v>
      </c>
      <c r="X21" s="38">
        <f t="shared" si="13"/>
        <v>0</v>
      </c>
      <c r="Y21" s="38">
        <f t="shared" si="13"/>
        <v>0</v>
      </c>
      <c r="Z21" s="38">
        <f t="shared" si="13"/>
        <v>0</v>
      </c>
      <c r="AA21" s="38">
        <f t="shared" si="13"/>
        <v>0</v>
      </c>
      <c r="AB21" s="38">
        <f t="shared" si="13"/>
        <v>81388000</v>
      </c>
      <c r="AC21" s="38">
        <f t="shared" ref="AC21:AQ21" si="14">AC22+AC23</f>
        <v>0</v>
      </c>
      <c r="AD21" s="38">
        <f t="shared" si="14"/>
        <v>0</v>
      </c>
      <c r="AE21" s="38">
        <f t="shared" si="14"/>
        <v>0</v>
      </c>
      <c r="AF21" s="38">
        <f t="shared" si="14"/>
        <v>0</v>
      </c>
      <c r="AG21" s="38">
        <f t="shared" si="14"/>
        <v>0</v>
      </c>
      <c r="AH21" s="38">
        <f t="shared" si="14"/>
        <v>0</v>
      </c>
      <c r="AI21" s="38">
        <f t="shared" si="14"/>
        <v>0</v>
      </c>
      <c r="AJ21" s="38">
        <f t="shared" si="14"/>
        <v>0</v>
      </c>
      <c r="AK21" s="38">
        <f t="shared" si="14"/>
        <v>0</v>
      </c>
      <c r="AL21" s="38">
        <f t="shared" si="14"/>
        <v>0</v>
      </c>
      <c r="AM21" s="38">
        <f t="shared" si="14"/>
        <v>0</v>
      </c>
      <c r="AN21" s="38">
        <f t="shared" si="14"/>
        <v>0</v>
      </c>
      <c r="AO21" s="38">
        <f t="shared" si="14"/>
        <v>0</v>
      </c>
      <c r="AP21" s="38">
        <f t="shared" si="14"/>
        <v>0</v>
      </c>
      <c r="AQ21" s="38">
        <f t="shared" si="14"/>
        <v>0</v>
      </c>
    </row>
    <row r="22" spans="1:43">
      <c r="A22" s="15" t="s">
        <v>177</v>
      </c>
      <c r="B22" s="10" t="s">
        <v>45</v>
      </c>
      <c r="C22" s="38">
        <f>'Evolutive SFP'!B46</f>
        <v>0</v>
      </c>
      <c r="D22" s="38">
        <f>'Evolutive SFP'!C46</f>
        <v>0</v>
      </c>
      <c r="E22" s="38">
        <f>'Evolutive SFP'!D46</f>
        <v>0</v>
      </c>
      <c r="F22" s="38">
        <f>'Evolutive SFP'!E46</f>
        <v>0</v>
      </c>
      <c r="G22" s="38">
        <f>'Evolutive SFP'!F46</f>
        <v>0</v>
      </c>
      <c r="H22" s="38">
        <f>'Evolutive SFP'!G46</f>
        <v>0</v>
      </c>
      <c r="I22" s="38">
        <f>'Evolutive SFP'!H46</f>
        <v>0</v>
      </c>
      <c r="J22" s="38">
        <f>'Evolutive SFP'!I46</f>
        <v>0</v>
      </c>
      <c r="K22" s="38">
        <f>'Evolutive SFP'!J46</f>
        <v>0</v>
      </c>
      <c r="L22" s="38">
        <f>'Evolutive SFP'!K46</f>
        <v>0</v>
      </c>
      <c r="M22" s="38">
        <f>'Evolutive SFP'!L46</f>
        <v>0</v>
      </c>
      <c r="N22" s="38">
        <f>'Evolutive SFP'!M46</f>
        <v>0</v>
      </c>
      <c r="O22" s="38">
        <f>'Evolutive SFP'!N46</f>
        <v>71310000</v>
      </c>
      <c r="P22" s="38">
        <f>'Evolutive SFP'!O46</f>
        <v>0</v>
      </c>
      <c r="Q22" s="38">
        <f>'Evolutive SFP'!P46</f>
        <v>0</v>
      </c>
      <c r="R22" s="38">
        <f>'Evolutive SFP'!Q46</f>
        <v>0</v>
      </c>
      <c r="S22" s="38">
        <f>'Evolutive SFP'!R46</f>
        <v>0</v>
      </c>
      <c r="T22" s="38">
        <f>'Evolutive SFP'!S46</f>
        <v>0</v>
      </c>
      <c r="U22" s="38">
        <f>'Evolutive SFP'!T46</f>
        <v>0</v>
      </c>
      <c r="V22" s="38">
        <f>'Evolutive SFP'!U46</f>
        <v>0</v>
      </c>
      <c r="W22" s="38">
        <f>'Evolutive SFP'!V46</f>
        <v>0</v>
      </c>
      <c r="X22" s="38">
        <f>'Evolutive SFP'!W46</f>
        <v>0</v>
      </c>
      <c r="Y22" s="38">
        <f>'Evolutive SFP'!X46</f>
        <v>0</v>
      </c>
      <c r="Z22" s="38">
        <f>'Evolutive SFP'!Y46</f>
        <v>0</v>
      </c>
      <c r="AA22" s="38">
        <f>'Evolutive SFP'!Z46</f>
        <v>0</v>
      </c>
      <c r="AB22" s="38">
        <f>'Evolutive SFP'!AA46</f>
        <v>81388000</v>
      </c>
      <c r="AC22" s="38">
        <f>'Evolutive SFP'!AB46</f>
        <v>0</v>
      </c>
      <c r="AD22" s="38">
        <f>'Evolutive SFP'!AC46</f>
        <v>0</v>
      </c>
      <c r="AE22" s="38">
        <f>'Evolutive SFP'!AD46</f>
        <v>0</v>
      </c>
      <c r="AF22" s="38">
        <f>'Evolutive SFP'!AE46</f>
        <v>0</v>
      </c>
      <c r="AG22" s="38">
        <f>'Evolutive SFP'!AF46</f>
        <v>0</v>
      </c>
      <c r="AH22" s="38">
        <f>'Evolutive SFP'!AG46</f>
        <v>0</v>
      </c>
      <c r="AI22" s="38">
        <f>'Evolutive SFP'!AH46</f>
        <v>0</v>
      </c>
      <c r="AJ22" s="38">
        <f>'Evolutive SFP'!AI46</f>
        <v>0</v>
      </c>
      <c r="AK22" s="38">
        <f>'Evolutive SFP'!AJ46</f>
        <v>0</v>
      </c>
      <c r="AL22" s="38">
        <f>'Evolutive SFP'!AK46</f>
        <v>0</v>
      </c>
      <c r="AM22" s="38">
        <f>'Evolutive SFP'!AL46</f>
        <v>0</v>
      </c>
      <c r="AN22" s="38">
        <f>'Evolutive SFP'!AM46</f>
        <v>0</v>
      </c>
      <c r="AO22" s="38">
        <f>'Evolutive SFP'!AN46</f>
        <v>0</v>
      </c>
      <c r="AP22" s="38">
        <f>'Evolutive SFP'!AO46</f>
        <v>0</v>
      </c>
      <c r="AQ22" s="38">
        <f>'Evolutive SFP'!AP46</f>
        <v>0</v>
      </c>
    </row>
    <row r="23" spans="1:43">
      <c r="A23" s="15" t="s">
        <v>178</v>
      </c>
      <c r="B23" s="10" t="s">
        <v>179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</row>
    <row r="24" spans="1:43">
      <c r="A24" s="9"/>
      <c r="B24" s="16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</row>
    <row r="25" spans="1:43" s="6" customFormat="1">
      <c r="A25" s="18">
        <v>6</v>
      </c>
      <c r="B25" s="14" t="s">
        <v>180</v>
      </c>
      <c r="C25" s="39">
        <f t="shared" ref="C25:H25" si="15">C26+C27+C28</f>
        <v>37192108.700000003</v>
      </c>
      <c r="D25" s="39">
        <f t="shared" si="15"/>
        <v>37192108.700000003</v>
      </c>
      <c r="E25" s="39">
        <f t="shared" si="15"/>
        <v>37192108.700000003</v>
      </c>
      <c r="F25" s="39">
        <f t="shared" si="15"/>
        <v>287192108.69999999</v>
      </c>
      <c r="G25" s="39">
        <f t="shared" si="15"/>
        <v>287192108.69999999</v>
      </c>
      <c r="H25" s="39">
        <f t="shared" si="15"/>
        <v>301221599.69999999</v>
      </c>
      <c r="I25" s="39">
        <f t="shared" ref="I25:O25" si="16">I26+I27+I28</f>
        <v>304114076.69999999</v>
      </c>
      <c r="J25" s="39">
        <f t="shared" si="16"/>
        <v>338114076.69999999</v>
      </c>
      <c r="K25" s="39">
        <f t="shared" si="16"/>
        <v>340591632.69999999</v>
      </c>
      <c r="L25" s="39">
        <f t="shared" si="16"/>
        <v>327000051.69999999</v>
      </c>
      <c r="M25" s="39">
        <f t="shared" si="16"/>
        <v>327000051.69999999</v>
      </c>
      <c r="N25" s="39">
        <f t="shared" si="16"/>
        <v>403467052.69999999</v>
      </c>
      <c r="O25" s="39">
        <f t="shared" si="16"/>
        <v>1569272000</v>
      </c>
      <c r="P25" s="39">
        <f t="shared" ref="P25:AB25" si="17">P26+P27+P28</f>
        <v>401609954.10000002</v>
      </c>
      <c r="Q25" s="39">
        <f t="shared" si="17"/>
        <v>403179667.10000002</v>
      </c>
      <c r="R25" s="39">
        <f t="shared" si="17"/>
        <v>457505472.10000002</v>
      </c>
      <c r="S25" s="39">
        <f t="shared" si="17"/>
        <v>457505472.10000002</v>
      </c>
      <c r="T25" s="39">
        <f t="shared" si="17"/>
        <v>457505472.10000002</v>
      </c>
      <c r="U25" s="39">
        <f t="shared" si="17"/>
        <v>467332820.10000002</v>
      </c>
      <c r="V25" s="39">
        <f t="shared" si="17"/>
        <v>333077657.10000002</v>
      </c>
      <c r="W25" s="39">
        <f t="shared" si="17"/>
        <v>334718801.10000002</v>
      </c>
      <c r="X25" s="39">
        <f t="shared" si="17"/>
        <v>340015677.10000002</v>
      </c>
      <c r="Y25" s="39">
        <f t="shared" si="17"/>
        <v>340015677.10000002</v>
      </c>
      <c r="Z25" s="39">
        <f t="shared" si="17"/>
        <v>341740203.10000002</v>
      </c>
      <c r="AA25" s="39">
        <f t="shared" si="17"/>
        <v>377251455.10000002</v>
      </c>
      <c r="AB25" s="39">
        <f t="shared" si="17"/>
        <v>382643000</v>
      </c>
      <c r="AC25" s="39">
        <f t="shared" ref="AC25:AQ25" si="18">AC26+AC27+AC28</f>
        <v>382642165.30000001</v>
      </c>
      <c r="AD25" s="39">
        <f t="shared" si="18"/>
        <v>385082648.30000001</v>
      </c>
      <c r="AE25" s="39">
        <f t="shared" si="18"/>
        <v>320795986.30000001</v>
      </c>
      <c r="AF25" s="39">
        <f t="shared" si="18"/>
        <v>370795986.30000001</v>
      </c>
      <c r="AG25" s="39">
        <f t="shared" si="18"/>
        <v>371691862.30000001</v>
      </c>
      <c r="AH25" s="39">
        <f t="shared" si="18"/>
        <v>325970926.30000001</v>
      </c>
      <c r="AI25" s="39">
        <f t="shared" si="18"/>
        <v>381120926.30000001</v>
      </c>
      <c r="AJ25" s="39">
        <f t="shared" si="18"/>
        <v>382037407.30000001</v>
      </c>
      <c r="AK25" s="39">
        <f t="shared" si="18"/>
        <v>386698033.30000001</v>
      </c>
      <c r="AL25" s="39">
        <f t="shared" si="18"/>
        <v>389024483.30000001</v>
      </c>
      <c r="AM25" s="39">
        <f t="shared" si="18"/>
        <v>389962119.30000001</v>
      </c>
      <c r="AN25" s="39">
        <f t="shared" si="18"/>
        <v>394580276.5</v>
      </c>
      <c r="AO25" s="39">
        <f t="shared" si="18"/>
        <v>42020000</v>
      </c>
      <c r="AP25" s="39">
        <f t="shared" si="18"/>
        <v>0</v>
      </c>
      <c r="AQ25" s="39">
        <f t="shared" si="18"/>
        <v>0</v>
      </c>
    </row>
    <row r="26" spans="1:43">
      <c r="A26" s="11">
        <v>6.1</v>
      </c>
      <c r="B26" s="10" t="s">
        <v>181</v>
      </c>
      <c r="C26" s="38">
        <f>'Evolutive SFP'!B13</f>
        <v>18596054.350000001</v>
      </c>
      <c r="D26" s="38">
        <f>'Evolutive SFP'!C13</f>
        <v>18596054.350000001</v>
      </c>
      <c r="E26" s="38">
        <f>'Evolutive SFP'!D13</f>
        <v>18596054.350000001</v>
      </c>
      <c r="F26" s="38">
        <f>'Evolutive SFP'!E13</f>
        <v>18596054.350000001</v>
      </c>
      <c r="G26" s="38">
        <f>'Evolutive SFP'!F13</f>
        <v>18596054.350000001</v>
      </c>
      <c r="H26" s="38">
        <f>'Evolutive SFP'!G13</f>
        <v>18596054.350000001</v>
      </c>
      <c r="I26" s="38">
        <f>'Evolutive SFP'!H13</f>
        <v>18596054.350000001</v>
      </c>
      <c r="J26" s="38">
        <f>'Evolutive SFP'!I13</f>
        <v>18596054.350000001</v>
      </c>
      <c r="K26" s="38">
        <f>'Evolutive SFP'!J13</f>
        <v>18596054.350000001</v>
      </c>
      <c r="L26" s="38">
        <f>'Evolutive SFP'!K13</f>
        <v>18596054.350000001</v>
      </c>
      <c r="M26" s="38">
        <f>'Evolutive SFP'!L13</f>
        <v>18596054.350000001</v>
      </c>
      <c r="N26" s="38">
        <f>'Evolutive SFP'!M13</f>
        <v>18596054.350000001</v>
      </c>
      <c r="O26" s="38">
        <f>'Evolutive SFP'!N13</f>
        <v>4622000</v>
      </c>
      <c r="P26" s="38">
        <f>'Evolutive SFP'!O13</f>
        <v>16410253.550000001</v>
      </c>
      <c r="Q26" s="38">
        <f>'Evolutive SFP'!P13</f>
        <v>16410253.550000001</v>
      </c>
      <c r="R26" s="38">
        <f>'Evolutive SFP'!Q13</f>
        <v>16410253.550000001</v>
      </c>
      <c r="S26" s="38">
        <f>'Evolutive SFP'!R13</f>
        <v>16410253.550000001</v>
      </c>
      <c r="T26" s="38">
        <f>'Evolutive SFP'!S13</f>
        <v>16410253.550000001</v>
      </c>
      <c r="U26" s="38">
        <f>'Evolutive SFP'!T13</f>
        <v>16410253.550000001</v>
      </c>
      <c r="V26" s="38">
        <f>'Evolutive SFP'!U13</f>
        <v>16410253.550000001</v>
      </c>
      <c r="W26" s="38">
        <f>'Evolutive SFP'!V13</f>
        <v>16410253.550000001</v>
      </c>
      <c r="X26" s="38">
        <f>'Evolutive SFP'!W13</f>
        <v>16410253.550000001</v>
      </c>
      <c r="Y26" s="38">
        <f>'Evolutive SFP'!X13</f>
        <v>16410253.550000001</v>
      </c>
      <c r="Z26" s="38">
        <f>'Evolutive SFP'!Y13</f>
        <v>16410253.550000001</v>
      </c>
      <c r="AA26" s="38">
        <f>'Evolutive SFP'!Z13</f>
        <v>16410253.550000001</v>
      </c>
      <c r="AB26" s="38">
        <f>'Evolutive SFP'!AA13</f>
        <v>19106000</v>
      </c>
      <c r="AC26" s="38">
        <f>'Evolutive SFP'!AB13</f>
        <v>19105608.649999999</v>
      </c>
      <c r="AD26" s="38">
        <f>'Evolutive SFP'!AC13</f>
        <v>19105608.649999999</v>
      </c>
      <c r="AE26" s="38">
        <f>'Evolutive SFP'!AD13</f>
        <v>19105608.649999999</v>
      </c>
      <c r="AF26" s="38">
        <f>'Evolutive SFP'!AE13</f>
        <v>19105608.649999999</v>
      </c>
      <c r="AG26" s="38">
        <f>'Evolutive SFP'!AF13</f>
        <v>19105608.649999999</v>
      </c>
      <c r="AH26" s="38">
        <f>'Evolutive SFP'!AG13</f>
        <v>19105608.649999999</v>
      </c>
      <c r="AI26" s="38">
        <f>'Evolutive SFP'!AH13</f>
        <v>21105608.649999999</v>
      </c>
      <c r="AJ26" s="38">
        <f>'Evolutive SFP'!AI13</f>
        <v>21105608.649999999</v>
      </c>
      <c r="AK26" s="38">
        <f>'Evolutive SFP'!AJ13</f>
        <v>21105608.649999999</v>
      </c>
      <c r="AL26" s="38">
        <f>'Evolutive SFP'!AK13</f>
        <v>21105608.649999999</v>
      </c>
      <c r="AM26" s="38">
        <f>'Evolutive SFP'!AL13</f>
        <v>21105608.649999999</v>
      </c>
      <c r="AN26" s="38">
        <f>'Evolutive SFP'!AM13</f>
        <v>21009425.25</v>
      </c>
      <c r="AO26" s="38">
        <f>'Evolutive SFP'!AN13</f>
        <v>21010000</v>
      </c>
      <c r="AP26" s="38">
        <f>'Evolutive SFP'!AO13</f>
        <v>0</v>
      </c>
      <c r="AQ26" s="38">
        <f>'Evolutive SFP'!AP13</f>
        <v>0</v>
      </c>
    </row>
    <row r="27" spans="1:43">
      <c r="A27" s="11">
        <v>6.2</v>
      </c>
      <c r="B27" s="10" t="s">
        <v>182</v>
      </c>
      <c r="C27" s="38">
        <f>'Evolutive SFP'!B10+'Evolutive SFP'!B13</f>
        <v>18596054.350000001</v>
      </c>
      <c r="D27" s="38">
        <f>'Evolutive SFP'!C10+'Evolutive SFP'!C13</f>
        <v>18596054.350000001</v>
      </c>
      <c r="E27" s="38">
        <f>'Evolutive SFP'!D10+'Evolutive SFP'!D13</f>
        <v>18596054.350000001</v>
      </c>
      <c r="F27" s="38">
        <f>'Evolutive SFP'!E10+'Evolutive SFP'!E13</f>
        <v>18596054.350000001</v>
      </c>
      <c r="G27" s="38">
        <f>'Evolutive SFP'!F10+'Evolutive SFP'!F13</f>
        <v>18596054.350000001</v>
      </c>
      <c r="H27" s="38">
        <f>'Evolutive SFP'!G10+'Evolutive SFP'!G13</f>
        <v>18596054.350000001</v>
      </c>
      <c r="I27" s="38">
        <f>'Evolutive SFP'!H10+'Evolutive SFP'!H13</f>
        <v>18596054.350000001</v>
      </c>
      <c r="J27" s="38">
        <f>'Evolutive SFP'!I10+'Evolutive SFP'!I13</f>
        <v>18596054.350000001</v>
      </c>
      <c r="K27" s="38">
        <f>'Evolutive SFP'!J10+'Evolutive SFP'!J13</f>
        <v>18596054.350000001</v>
      </c>
      <c r="L27" s="38">
        <f>'Evolutive SFP'!K10+'Evolutive SFP'!K13</f>
        <v>18596054.350000001</v>
      </c>
      <c r="M27" s="38">
        <f>'Evolutive SFP'!L10+'Evolutive SFP'!L13</f>
        <v>18596054.350000001</v>
      </c>
      <c r="N27" s="38">
        <f>'Evolutive SFP'!M10+'Evolutive SFP'!M13</f>
        <v>18596054.350000001</v>
      </c>
      <c r="O27" s="38">
        <f>'Evolutive SFP'!N10+'Evolutive SFP'!N13</f>
        <v>4622000</v>
      </c>
      <c r="P27" s="38">
        <f>'Evolutive SFP'!O10+'Evolutive SFP'!O13</f>
        <v>16410253.550000001</v>
      </c>
      <c r="Q27" s="38">
        <f>'Evolutive SFP'!P10+'Evolutive SFP'!P13</f>
        <v>16410253.550000001</v>
      </c>
      <c r="R27" s="38">
        <f>'Evolutive SFP'!Q10+'Evolutive SFP'!Q13</f>
        <v>16410253.550000001</v>
      </c>
      <c r="S27" s="38">
        <f>'Evolutive SFP'!R10+'Evolutive SFP'!R13</f>
        <v>16410253.550000001</v>
      </c>
      <c r="T27" s="38">
        <f>'Evolutive SFP'!S10+'Evolutive SFP'!S13</f>
        <v>16410253.550000001</v>
      </c>
      <c r="U27" s="38">
        <f>'Evolutive SFP'!T10+'Evolutive SFP'!T13</f>
        <v>16410253.550000001</v>
      </c>
      <c r="V27" s="38">
        <f>'Evolutive SFP'!U10+'Evolutive SFP'!U13</f>
        <v>16410253.550000001</v>
      </c>
      <c r="W27" s="38">
        <f>'Evolutive SFP'!V10+'Evolutive SFP'!V13</f>
        <v>16410253.550000001</v>
      </c>
      <c r="X27" s="38">
        <f>'Evolutive SFP'!W10+'Evolutive SFP'!W13</f>
        <v>16410253.550000001</v>
      </c>
      <c r="Y27" s="38">
        <f>'Evolutive SFP'!X10+'Evolutive SFP'!X13</f>
        <v>16410253.550000001</v>
      </c>
      <c r="Z27" s="38">
        <f>'Evolutive SFP'!Y10+'Evolutive SFP'!Y13</f>
        <v>16410253.550000001</v>
      </c>
      <c r="AA27" s="38">
        <f>'Evolutive SFP'!Z10+'Evolutive SFP'!Z13</f>
        <v>16410253.550000001</v>
      </c>
      <c r="AB27" s="38">
        <f>'Evolutive SFP'!AA10+'Evolutive SFP'!AA13</f>
        <v>19106000</v>
      </c>
      <c r="AC27" s="38">
        <f>'Evolutive SFP'!AB10+'Evolutive SFP'!AB13</f>
        <v>19105608.649999999</v>
      </c>
      <c r="AD27" s="38">
        <f>'Evolutive SFP'!AC10+'Evolutive SFP'!AC13</f>
        <v>19105608.649999999</v>
      </c>
      <c r="AE27" s="38">
        <f>'Evolutive SFP'!AD10+'Evolutive SFP'!AD13</f>
        <v>19105608.649999999</v>
      </c>
      <c r="AF27" s="38">
        <f>'Evolutive SFP'!AE10+'Evolutive SFP'!AE13</f>
        <v>19105608.649999999</v>
      </c>
      <c r="AG27" s="38">
        <f>'Evolutive SFP'!AF10+'Evolutive SFP'!AF13</f>
        <v>19105608.649999999</v>
      </c>
      <c r="AH27" s="38">
        <f>'Evolutive SFP'!AG10+'Evolutive SFP'!AG13</f>
        <v>19105608.649999999</v>
      </c>
      <c r="AI27" s="38">
        <f>'Evolutive SFP'!AH10+'Evolutive SFP'!AH13</f>
        <v>21105608.649999999</v>
      </c>
      <c r="AJ27" s="38">
        <f>'Evolutive SFP'!AI10+'Evolutive SFP'!AI13</f>
        <v>21105608.649999999</v>
      </c>
      <c r="AK27" s="38">
        <f>'Evolutive SFP'!AJ10+'Evolutive SFP'!AJ13</f>
        <v>21105608.649999999</v>
      </c>
      <c r="AL27" s="38">
        <f>'Evolutive SFP'!AK10+'Evolutive SFP'!AK13</f>
        <v>21105608.649999999</v>
      </c>
      <c r="AM27" s="38">
        <f>'Evolutive SFP'!AL10+'Evolutive SFP'!AL13</f>
        <v>21105608.649999999</v>
      </c>
      <c r="AN27" s="38">
        <f>'Evolutive SFP'!AM10+'Evolutive SFP'!AM13</f>
        <v>21009425.25</v>
      </c>
      <c r="AO27" s="38">
        <f>'Evolutive SFP'!AN10+'Evolutive SFP'!AN13</f>
        <v>21010000</v>
      </c>
      <c r="AP27" s="38">
        <f>'Evolutive SFP'!AO10+'Evolutive SFP'!AO13</f>
        <v>0</v>
      </c>
      <c r="AQ27" s="38">
        <f>'Evolutive SFP'!AP10+'Evolutive SFP'!AP13</f>
        <v>0</v>
      </c>
    </row>
    <row r="28" spans="1:43">
      <c r="A28" s="11">
        <v>6.3</v>
      </c>
      <c r="B28" s="10" t="s">
        <v>183</v>
      </c>
      <c r="C28" s="38">
        <f>'Evolutive SFP'!B11</f>
        <v>0</v>
      </c>
      <c r="D28" s="38">
        <f>'Evolutive SFP'!C11</f>
        <v>0</v>
      </c>
      <c r="E28" s="38">
        <f>'Evolutive SFP'!D11</f>
        <v>0</v>
      </c>
      <c r="F28" s="38">
        <f>'Evolutive SFP'!E11</f>
        <v>250000000</v>
      </c>
      <c r="G28" s="38">
        <f>'Evolutive SFP'!F11</f>
        <v>250000000</v>
      </c>
      <c r="H28" s="38">
        <f>'Evolutive SFP'!G11</f>
        <v>264029491</v>
      </c>
      <c r="I28" s="38">
        <f>'Evolutive SFP'!H11</f>
        <v>266921968</v>
      </c>
      <c r="J28" s="38">
        <f>'Evolutive SFP'!I11</f>
        <v>300921968</v>
      </c>
      <c r="K28" s="38">
        <f>'Evolutive SFP'!J11</f>
        <v>303399524</v>
      </c>
      <c r="L28" s="38">
        <f>'Evolutive SFP'!K11</f>
        <v>289807943</v>
      </c>
      <c r="M28" s="38">
        <f>'Evolutive SFP'!L11</f>
        <v>289807943</v>
      </c>
      <c r="N28" s="38">
        <f>'Evolutive SFP'!M11</f>
        <v>366274944</v>
      </c>
      <c r="O28" s="38">
        <f>'Evolutive SFP'!N11</f>
        <v>1560028000</v>
      </c>
      <c r="P28" s="38">
        <f>'Evolutive SFP'!O11</f>
        <v>368789447</v>
      </c>
      <c r="Q28" s="38">
        <f>'Evolutive SFP'!P11</f>
        <v>370359160</v>
      </c>
      <c r="R28" s="38">
        <f>'Evolutive SFP'!Q11</f>
        <v>424684965</v>
      </c>
      <c r="S28" s="38">
        <f>'Evolutive SFP'!R11</f>
        <v>424684965</v>
      </c>
      <c r="T28" s="38">
        <f>'Evolutive SFP'!S11</f>
        <v>424684965</v>
      </c>
      <c r="U28" s="38">
        <f>'Evolutive SFP'!T11</f>
        <v>434512313</v>
      </c>
      <c r="V28" s="38">
        <f>'Evolutive SFP'!U11</f>
        <v>300257150</v>
      </c>
      <c r="W28" s="38">
        <f>'Evolutive SFP'!V11</f>
        <v>301898294</v>
      </c>
      <c r="X28" s="38">
        <f>'Evolutive SFP'!W11</f>
        <v>307195170</v>
      </c>
      <c r="Y28" s="38">
        <f>'Evolutive SFP'!X11</f>
        <v>307195170</v>
      </c>
      <c r="Z28" s="38">
        <f>'Evolutive SFP'!Y11</f>
        <v>308919696</v>
      </c>
      <c r="AA28" s="38">
        <f>'Evolutive SFP'!Z11</f>
        <v>344430948</v>
      </c>
      <c r="AB28" s="38">
        <f>'Evolutive SFP'!AA11</f>
        <v>344431000</v>
      </c>
      <c r="AC28" s="38">
        <f>'Evolutive SFP'!AB11</f>
        <v>344430948</v>
      </c>
      <c r="AD28" s="38">
        <f>'Evolutive SFP'!AC11</f>
        <v>346871431</v>
      </c>
      <c r="AE28" s="38">
        <f>'Evolutive SFP'!AD11</f>
        <v>282584769</v>
      </c>
      <c r="AF28" s="38">
        <f>'Evolutive SFP'!AE11</f>
        <v>332584769</v>
      </c>
      <c r="AG28" s="38">
        <f>'Evolutive SFP'!AF11</f>
        <v>333480645</v>
      </c>
      <c r="AH28" s="38">
        <f>'Evolutive SFP'!AG11</f>
        <v>287759709</v>
      </c>
      <c r="AI28" s="38">
        <f>'Evolutive SFP'!AH11</f>
        <v>338909709</v>
      </c>
      <c r="AJ28" s="38">
        <f>'Evolutive SFP'!AI11</f>
        <v>339826190</v>
      </c>
      <c r="AK28" s="38">
        <f>'Evolutive SFP'!AJ11</f>
        <v>344486816</v>
      </c>
      <c r="AL28" s="38">
        <f>'Evolutive SFP'!AK11</f>
        <v>346813266</v>
      </c>
      <c r="AM28" s="38">
        <f>'Evolutive SFP'!AL11</f>
        <v>347750902</v>
      </c>
      <c r="AN28" s="38">
        <f>'Evolutive SFP'!AM11</f>
        <v>352561426</v>
      </c>
      <c r="AO28" s="38">
        <f>'Evolutive SFP'!AN11</f>
        <v>0</v>
      </c>
      <c r="AP28" s="38">
        <f>'Evolutive SFP'!AO11</f>
        <v>0</v>
      </c>
      <c r="AQ28" s="38">
        <f>'Evolutive SFP'!AP11</f>
        <v>0</v>
      </c>
    </row>
    <row r="29" spans="1:43">
      <c r="A29" s="9"/>
      <c r="B29" s="10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</row>
    <row r="30" spans="1:43">
      <c r="A30" s="11">
        <v>7</v>
      </c>
      <c r="B30" s="9" t="s">
        <v>184</v>
      </c>
      <c r="C30" s="38">
        <f>'Evolutive SFP'!B14</f>
        <v>5254183199.7699995</v>
      </c>
      <c r="D30" s="38">
        <f>'Evolutive SFP'!C14</f>
        <v>5165614999.3800001</v>
      </c>
      <c r="E30" s="38">
        <f>'Evolutive SFP'!D14</f>
        <v>5206739724.7699995</v>
      </c>
      <c r="F30" s="38">
        <f>'Evolutive SFP'!E14</f>
        <v>5214632000.1799994</v>
      </c>
      <c r="G30" s="38">
        <f>'Evolutive SFP'!F14</f>
        <v>5184766718.1199999</v>
      </c>
      <c r="H30" s="38">
        <f>'Evolutive SFP'!G14</f>
        <v>5165633935.3499994</v>
      </c>
      <c r="I30" s="38">
        <f>'Evolutive SFP'!H14</f>
        <v>5200694901.9699993</v>
      </c>
      <c r="J30" s="38">
        <f>'Evolutive SFP'!I14</f>
        <v>5255208637.4799995</v>
      </c>
      <c r="K30" s="38">
        <f>'Evolutive SFP'!J14</f>
        <v>5379253925.7699995</v>
      </c>
      <c r="L30" s="38">
        <f>'Evolutive SFP'!K14</f>
        <v>5429972123.96</v>
      </c>
      <c r="M30" s="38">
        <f>'Evolutive SFP'!L14</f>
        <v>5461322585.1299992</v>
      </c>
      <c r="N30" s="38">
        <f>'Evolutive SFP'!M14</f>
        <v>5488077549.9699993</v>
      </c>
      <c r="O30" s="38">
        <f>'Evolutive SFP'!N14</f>
        <v>5485410000</v>
      </c>
      <c r="P30" s="38">
        <f>'Evolutive SFP'!O14</f>
        <v>5428229592.2300005</v>
      </c>
      <c r="Q30" s="38">
        <f>'Evolutive SFP'!P14</f>
        <v>5348134079.8400002</v>
      </c>
      <c r="R30" s="38">
        <f>'Evolutive SFP'!Q14</f>
        <v>5475388637.4899998</v>
      </c>
      <c r="S30" s="38">
        <f>'Evolutive SFP'!R14</f>
        <v>5549088733.7699995</v>
      </c>
      <c r="T30" s="38">
        <f>'Evolutive SFP'!S14</f>
        <v>5595888198.1300001</v>
      </c>
      <c r="U30" s="38">
        <f>'Evolutive SFP'!T14</f>
        <v>5597296048.96</v>
      </c>
      <c r="V30" s="38">
        <f>'Evolutive SFP'!U14</f>
        <v>5661897255.21</v>
      </c>
      <c r="W30" s="38">
        <f>'Evolutive SFP'!V14</f>
        <v>5792281831.0499992</v>
      </c>
      <c r="X30" s="38">
        <f>'Evolutive SFP'!W14</f>
        <v>5888001142.9699993</v>
      </c>
      <c r="Y30" s="38">
        <f>'Evolutive SFP'!X14</f>
        <v>5908924637.4899998</v>
      </c>
      <c r="Z30" s="38">
        <f>'Evolutive SFP'!Y14</f>
        <v>5984653501.0500002</v>
      </c>
      <c r="AA30" s="38">
        <f>'Evolutive SFP'!Z14</f>
        <v>6018193148.9900007</v>
      </c>
      <c r="AB30" s="38">
        <f>'Evolutive SFP'!AA14</f>
        <v>6111742000</v>
      </c>
      <c r="AC30" s="38">
        <f>'Evolutive SFP'!AB14</f>
        <v>6150261272.0200005</v>
      </c>
      <c r="AD30" s="38">
        <f>'Evolutive SFP'!AC14</f>
        <v>6173414422.9899998</v>
      </c>
      <c r="AE30" s="38">
        <f>'Evolutive SFP'!AD14</f>
        <v>6105365279.5500002</v>
      </c>
      <c r="AF30" s="38">
        <f>'Evolutive SFP'!AE14</f>
        <v>6192189374.9899998</v>
      </c>
      <c r="AG30" s="38">
        <f>'Evolutive SFP'!AF14</f>
        <v>6248871273.1400003</v>
      </c>
      <c r="AH30" s="38">
        <f>'Evolutive SFP'!AG14</f>
        <v>6226160551.1900005</v>
      </c>
      <c r="AI30" s="38">
        <f>'Evolutive SFP'!AH14</f>
        <v>6349984264.2200003</v>
      </c>
      <c r="AJ30" s="38">
        <f>'Evolutive SFP'!AI14</f>
        <v>6437239785.3200006</v>
      </c>
      <c r="AK30" s="38">
        <f>'Evolutive SFP'!AJ14</f>
        <v>6521471093.4499998</v>
      </c>
      <c r="AL30" s="38">
        <f>'Evolutive SFP'!AK14</f>
        <v>6634824910.2300005</v>
      </c>
      <c r="AM30" s="38">
        <f>'Evolutive SFP'!AL14</f>
        <v>6768496557.9300003</v>
      </c>
      <c r="AN30" s="38">
        <f>'Evolutive SFP'!AM14</f>
        <v>6833223081.6700001</v>
      </c>
      <c r="AO30" s="38">
        <f>'Evolutive SFP'!AN14</f>
        <v>6927369000</v>
      </c>
      <c r="AP30" s="38">
        <f>'Evolutive SFP'!AO14</f>
        <v>0</v>
      </c>
      <c r="AQ30" s="38">
        <f>'Evolutive SFP'!AP14</f>
        <v>0</v>
      </c>
    </row>
    <row r="31" spans="1:43">
      <c r="A31" s="11">
        <v>7.1</v>
      </c>
      <c r="B31" s="9" t="s">
        <v>185</v>
      </c>
      <c r="C31" s="38">
        <f>'Evolutive SFP'!B15</f>
        <v>5394203986.3599997</v>
      </c>
      <c r="D31" s="38">
        <f>'Evolutive SFP'!C15</f>
        <v>5305635785.9700003</v>
      </c>
      <c r="E31" s="38">
        <f>'Evolutive SFP'!D15</f>
        <v>5368626814.6199999</v>
      </c>
      <c r="F31" s="38">
        <f>'Evolutive SFP'!E15</f>
        <v>5376519090.0299997</v>
      </c>
      <c r="G31" s="38">
        <f>'Evolutive SFP'!F15</f>
        <v>5346653807.9700003</v>
      </c>
      <c r="H31" s="38">
        <f>'Evolutive SFP'!G15</f>
        <v>5327521025.1999998</v>
      </c>
      <c r="I31" s="38">
        <f>'Evolutive SFP'!H15</f>
        <v>5362581991.8199997</v>
      </c>
      <c r="J31" s="38">
        <f>'Evolutive SFP'!I15</f>
        <v>5427603348.54</v>
      </c>
      <c r="K31" s="38">
        <f>'Evolutive SFP'!J15</f>
        <v>5551648636.8299999</v>
      </c>
      <c r="L31" s="38">
        <f>'Evolutive SFP'!K15</f>
        <v>5602366835.0200005</v>
      </c>
      <c r="M31" s="38">
        <f>'Evolutive SFP'!L15</f>
        <v>5633717296.1899996</v>
      </c>
      <c r="N31" s="38">
        <f>'Evolutive SFP'!M15</f>
        <v>5672964255.3599997</v>
      </c>
      <c r="O31" s="38">
        <f>'Evolutive SFP'!N15</f>
        <v>5670296000</v>
      </c>
      <c r="P31" s="38">
        <f>'Evolutive SFP'!O15</f>
        <v>5698585063.7200003</v>
      </c>
      <c r="Q31" s="38">
        <f>'Evolutive SFP'!P15</f>
        <v>5741566977.3299999</v>
      </c>
      <c r="R31" s="38">
        <f>'Evolutive SFP'!Q15</f>
        <v>5715127821.8999996</v>
      </c>
      <c r="S31" s="38">
        <f>'Evolutive SFP'!R15</f>
        <v>5795905102.8299999</v>
      </c>
      <c r="T31" s="38">
        <f>'Evolutive SFP'!S15</f>
        <v>5849781751.8400002</v>
      </c>
      <c r="U31" s="38">
        <f>'Evolutive SFP'!T15</f>
        <v>5851189602.6700001</v>
      </c>
      <c r="V31" s="38">
        <f>'Evolutive SFP'!U15</f>
        <v>5920945712.9200001</v>
      </c>
      <c r="W31" s="38">
        <f>'Evolutive SFP'!V15</f>
        <v>6063743033.8199997</v>
      </c>
      <c r="X31" s="38">
        <f>'Evolutive SFP'!W15</f>
        <v>6159462345.7399998</v>
      </c>
      <c r="Y31" s="38">
        <f>'Evolutive SFP'!X15</f>
        <v>6195650882.2399998</v>
      </c>
      <c r="Z31" s="38">
        <f>'Evolutive SFP'!Y15</f>
        <v>6223886174.8500004</v>
      </c>
      <c r="AA31" s="38">
        <f>'Evolutive SFP'!Z15</f>
        <v>6275057867.3500004</v>
      </c>
      <c r="AB31" s="38">
        <f>'Evolutive SFP'!AA15</f>
        <v>6334627000</v>
      </c>
      <c r="AC31" s="38">
        <f>'Evolutive SFP'!AB15</f>
        <v>6405722930.7200003</v>
      </c>
      <c r="AD31" s="38">
        <f>'Evolutive SFP'!AC15</f>
        <v>6428876081.6899996</v>
      </c>
      <c r="AE31" s="38">
        <f>'Evolutive SFP'!AD15</f>
        <v>6360826938.25</v>
      </c>
      <c r="AF31" s="38">
        <f>'Evolutive SFP'!AE15</f>
        <v>6447651033.6899996</v>
      </c>
      <c r="AG31" s="38">
        <f>'Evolutive SFP'!AF15</f>
        <v>6504332931.8400002</v>
      </c>
      <c r="AH31" s="38">
        <f>'Evolutive SFP'!AG15</f>
        <v>6481622209.8900003</v>
      </c>
      <c r="AI31" s="38">
        <f>'Evolutive SFP'!AH15</f>
        <v>6605445922.9200001</v>
      </c>
      <c r="AJ31" s="38">
        <f>'Evolutive SFP'!AI15</f>
        <v>6692701444.0200005</v>
      </c>
      <c r="AK31" s="38">
        <f>'Evolutive SFP'!AJ15</f>
        <v>6776932752.1499996</v>
      </c>
      <c r="AL31" s="38">
        <f>'Evolutive SFP'!AK15</f>
        <v>6890286568.9300003</v>
      </c>
      <c r="AM31" s="38">
        <f>'Evolutive SFP'!AL15</f>
        <v>7023958216.6300001</v>
      </c>
      <c r="AN31" s="38">
        <f>'Evolutive SFP'!AM15</f>
        <v>7088684740.3699999</v>
      </c>
      <c r="AO31" s="38">
        <f>'Evolutive SFP'!AN15</f>
        <v>7258848000</v>
      </c>
      <c r="AP31" s="38">
        <f>'Evolutive SFP'!AO15</f>
        <v>0</v>
      </c>
      <c r="AQ31" s="38">
        <f>'Evolutive SFP'!AP15</f>
        <v>0</v>
      </c>
    </row>
    <row r="32" spans="1:43">
      <c r="A32" s="11">
        <v>7.2</v>
      </c>
      <c r="B32" s="9" t="s">
        <v>186</v>
      </c>
      <c r="C32" s="38">
        <f>'Evolutive SFP'!B16</f>
        <v>140020786.59</v>
      </c>
      <c r="D32" s="38">
        <f>'Evolutive SFP'!C16</f>
        <v>140020786.59</v>
      </c>
      <c r="E32" s="38">
        <f>'Evolutive SFP'!D16</f>
        <v>161887089.84999999</v>
      </c>
      <c r="F32" s="38">
        <f>'Evolutive SFP'!E16</f>
        <v>161887089.84999999</v>
      </c>
      <c r="G32" s="38">
        <f>'Evolutive SFP'!F16</f>
        <v>161887089.84999999</v>
      </c>
      <c r="H32" s="38">
        <f>'Evolutive SFP'!G16</f>
        <v>161887089.84999999</v>
      </c>
      <c r="I32" s="38">
        <f>'Evolutive SFP'!H16</f>
        <v>161887089.84999999</v>
      </c>
      <c r="J32" s="38">
        <f>'Evolutive SFP'!I16</f>
        <v>172394711.06</v>
      </c>
      <c r="K32" s="38">
        <f>'Evolutive SFP'!J16</f>
        <v>172394711.06</v>
      </c>
      <c r="L32" s="38">
        <f>'Evolutive SFP'!K16</f>
        <v>172394711.06</v>
      </c>
      <c r="M32" s="38">
        <f>'Evolutive SFP'!L16</f>
        <v>172394711.06</v>
      </c>
      <c r="N32" s="38">
        <f>'Evolutive SFP'!M16</f>
        <v>184886705.38999999</v>
      </c>
      <c r="O32" s="38">
        <f>'Evolutive SFP'!N16</f>
        <v>184886000</v>
      </c>
      <c r="P32" s="38">
        <f>'Evolutive SFP'!O16</f>
        <v>270355471.49000001</v>
      </c>
      <c r="Q32" s="38">
        <f>'Evolutive SFP'!P16</f>
        <v>393432897.49000001</v>
      </c>
      <c r="R32" s="38">
        <f>'Evolutive SFP'!Q16</f>
        <v>239739184.41</v>
      </c>
      <c r="S32" s="38">
        <f>'Evolutive SFP'!R16</f>
        <v>246816369.06</v>
      </c>
      <c r="T32" s="38">
        <f>'Evolutive SFP'!S16</f>
        <v>253893553.71000001</v>
      </c>
      <c r="U32" s="38">
        <f>'Evolutive SFP'!T16</f>
        <v>253893553.71000001</v>
      </c>
      <c r="V32" s="38">
        <f>'Evolutive SFP'!U16</f>
        <v>259048457.71000001</v>
      </c>
      <c r="W32" s="38">
        <f>'Evolutive SFP'!V16</f>
        <v>271461202.76999998</v>
      </c>
      <c r="X32" s="38">
        <f>'Evolutive SFP'!W16</f>
        <v>271461202.76999998</v>
      </c>
      <c r="Y32" s="38">
        <f>'Evolutive SFP'!X16</f>
        <v>286726244.75</v>
      </c>
      <c r="Z32" s="38">
        <f>'Evolutive SFP'!Y16</f>
        <v>239232673.80000001</v>
      </c>
      <c r="AA32" s="38">
        <f>'Evolutive SFP'!Z16</f>
        <v>256864718.36000001</v>
      </c>
      <c r="AB32" s="38">
        <f>'Evolutive SFP'!AA16</f>
        <v>222885000</v>
      </c>
      <c r="AC32" s="38">
        <f>'Evolutive SFP'!AB16</f>
        <v>255461658.69999999</v>
      </c>
      <c r="AD32" s="38">
        <f>'Evolutive SFP'!AC16</f>
        <v>255461658.69999999</v>
      </c>
      <c r="AE32" s="38">
        <f>'Evolutive SFP'!AD16</f>
        <v>255461658.69999999</v>
      </c>
      <c r="AF32" s="38">
        <f>'Evolutive SFP'!AE16</f>
        <v>255461658.69999999</v>
      </c>
      <c r="AG32" s="38">
        <f>'Evolutive SFP'!AF16</f>
        <v>255461658.69999999</v>
      </c>
      <c r="AH32" s="38">
        <f>'Evolutive SFP'!AG16</f>
        <v>255461658.69999999</v>
      </c>
      <c r="AI32" s="38">
        <f>'Evolutive SFP'!AH16</f>
        <v>255461658.69999999</v>
      </c>
      <c r="AJ32" s="38">
        <f>'Evolutive SFP'!AI16</f>
        <v>255461658.69999999</v>
      </c>
      <c r="AK32" s="38">
        <f>'Evolutive SFP'!AJ16</f>
        <v>255461658.69999999</v>
      </c>
      <c r="AL32" s="38">
        <f>'Evolutive SFP'!AK16</f>
        <v>255461658.69999999</v>
      </c>
      <c r="AM32" s="38">
        <f>'Evolutive SFP'!AL16</f>
        <v>255461658.69999999</v>
      </c>
      <c r="AN32" s="38">
        <f>'Evolutive SFP'!AM16</f>
        <v>255461658.69999999</v>
      </c>
      <c r="AO32" s="38">
        <f>'Evolutive SFP'!AN16</f>
        <v>331479000</v>
      </c>
      <c r="AP32" s="38">
        <f>'Evolutive SFP'!AO16</f>
        <v>0</v>
      </c>
      <c r="AQ32" s="38">
        <f>'Evolutive SFP'!AP16</f>
        <v>0</v>
      </c>
    </row>
    <row r="33" spans="1:43">
      <c r="A33" s="9"/>
      <c r="B33" s="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</row>
    <row r="34" spans="1:43">
      <c r="A34" s="11">
        <v>8</v>
      </c>
      <c r="B34" s="9" t="s">
        <v>187</v>
      </c>
      <c r="C34" s="38">
        <f>'Evolutive SFP'!B21+'Evolutive SFP'!B7</f>
        <v>509927156.42999995</v>
      </c>
      <c r="D34" s="38">
        <f>'Evolutive SFP'!C21+'Evolutive SFP'!C7</f>
        <v>522398939.38</v>
      </c>
      <c r="E34" s="38">
        <f>'Evolutive SFP'!D21+'Evolutive SFP'!D7</f>
        <v>384827240.85000002</v>
      </c>
      <c r="F34" s="38">
        <f>'Evolutive SFP'!E21+'Evolutive SFP'!E7</f>
        <v>531442577.79000002</v>
      </c>
      <c r="G34" s="38">
        <f>'Evolutive SFP'!F21+'Evolutive SFP'!F7</f>
        <v>531571509.06</v>
      </c>
      <c r="H34" s="38">
        <f>'Evolutive SFP'!G21+'Evolutive SFP'!G7</f>
        <v>451370105.64999998</v>
      </c>
      <c r="I34" s="38">
        <f>'Evolutive SFP'!H21+'Evolutive SFP'!H7</f>
        <v>457465996.82000005</v>
      </c>
      <c r="J34" s="38">
        <f>'Evolutive SFP'!I21+'Evolutive SFP'!I7</f>
        <v>464098994.00999993</v>
      </c>
      <c r="K34" s="38">
        <f>'Evolutive SFP'!J21+'Evolutive SFP'!J7</f>
        <v>440042555.35000002</v>
      </c>
      <c r="L34" s="38">
        <f>'Evolutive SFP'!K21+'Evolutive SFP'!K7</f>
        <v>442521243.02999997</v>
      </c>
      <c r="M34" s="38">
        <f>'Evolutive SFP'!L21+'Evolutive SFP'!L7</f>
        <v>442710337.28000003</v>
      </c>
      <c r="N34" s="38">
        <f>'Evolutive SFP'!M21+'Evolutive SFP'!M7</f>
        <v>470006545.28999996</v>
      </c>
      <c r="O34" s="38">
        <f>'Evolutive SFP'!N21+'Evolutive SFP'!N7</f>
        <v>472890000</v>
      </c>
      <c r="P34" s="38">
        <f>'Evolutive SFP'!O21+'Evolutive SFP'!O7</f>
        <v>452588492.07999998</v>
      </c>
      <c r="Q34" s="38">
        <f>'Evolutive SFP'!P21+'Evolutive SFP'!P7</f>
        <v>527515569.38</v>
      </c>
      <c r="R34" s="38">
        <f>'Evolutive SFP'!Q21+'Evolutive SFP'!Q7</f>
        <v>520124533.63999999</v>
      </c>
      <c r="S34" s="38">
        <f>'Evolutive SFP'!R21+'Evolutive SFP'!R7</f>
        <v>537560711.62</v>
      </c>
      <c r="T34" s="38">
        <f>'Evolutive SFP'!S21+'Evolutive SFP'!S7</f>
        <v>533832273.36000001</v>
      </c>
      <c r="U34" s="38">
        <f>'Evolutive SFP'!T21+'Evolutive SFP'!T7</f>
        <v>543872707.08000004</v>
      </c>
      <c r="V34" s="38">
        <f>'Evolutive SFP'!U21+'Evolutive SFP'!U7</f>
        <v>550302909.90999997</v>
      </c>
      <c r="W34" s="38">
        <f>'Evolutive SFP'!V21+'Evolutive SFP'!V7</f>
        <v>550966267.72000003</v>
      </c>
      <c r="X34" s="38">
        <f>'Evolutive SFP'!W21+'Evolutive SFP'!W7</f>
        <v>563261922.00999999</v>
      </c>
      <c r="Y34" s="38">
        <f>'Evolutive SFP'!X21+'Evolutive SFP'!X7</f>
        <v>563774265.6500001</v>
      </c>
      <c r="Z34" s="38">
        <f>'Evolutive SFP'!Y21+'Evolutive SFP'!Y7</f>
        <v>559245666.70999992</v>
      </c>
      <c r="AA34" s="38">
        <f>'Evolutive SFP'!Z21+'Evolutive SFP'!Z7</f>
        <v>559276378.65999997</v>
      </c>
      <c r="AB34" s="38">
        <f>'Evolutive SFP'!AA21+'Evolutive SFP'!AA7</f>
        <v>498686000</v>
      </c>
      <c r="AC34" s="38">
        <f>'Evolutive SFP'!AB21+'Evolutive SFP'!AB7</f>
        <v>575599655.85000002</v>
      </c>
      <c r="AD34" s="38">
        <f>'Evolutive SFP'!AC21+'Evolutive SFP'!AC7</f>
        <v>584059674.77999997</v>
      </c>
      <c r="AE34" s="38">
        <f>'Evolutive SFP'!AD21+'Evolutive SFP'!AD7</f>
        <v>594868015.13</v>
      </c>
      <c r="AF34" s="38">
        <f>'Evolutive SFP'!AE21+'Evolutive SFP'!AE7</f>
        <v>601540165.82999992</v>
      </c>
      <c r="AG34" s="38">
        <f>'Evolutive SFP'!AF21+'Evolutive SFP'!AF7</f>
        <v>594664527.11000001</v>
      </c>
      <c r="AH34" s="38">
        <f>'Evolutive SFP'!AG21+'Evolutive SFP'!AG7</f>
        <v>602288216.75999999</v>
      </c>
      <c r="AI34" s="38">
        <f>'Evolutive SFP'!AH21+'Evolutive SFP'!AH7</f>
        <v>609166935.42999995</v>
      </c>
      <c r="AJ34" s="38">
        <f>'Evolutive SFP'!AI21+'Evolutive SFP'!AI7</f>
        <v>601612877.19999993</v>
      </c>
      <c r="AK34" s="38">
        <f>'Evolutive SFP'!AJ21+'Evolutive SFP'!AJ7</f>
        <v>599388120.57000005</v>
      </c>
      <c r="AL34" s="38">
        <f>'Evolutive SFP'!AK21+'Evolutive SFP'!AK7</f>
        <v>601850041.22000003</v>
      </c>
      <c r="AM34" s="38">
        <f>'Evolutive SFP'!AL21+'Evolutive SFP'!AL7</f>
        <v>611422129.18000007</v>
      </c>
      <c r="AN34" s="38">
        <f>'Evolutive SFP'!AM21+'Evolutive SFP'!AM7</f>
        <v>600690878.74000001</v>
      </c>
      <c r="AO34" s="38">
        <f>'Evolutive SFP'!AN21+'Evolutive SFP'!AN7</f>
        <v>420201000</v>
      </c>
      <c r="AP34" s="38">
        <f>'Evolutive SFP'!AO21+'Evolutive SFP'!AO7</f>
        <v>0</v>
      </c>
      <c r="AQ34" s="38">
        <f>'Evolutive SFP'!AP21+'Evolutive SFP'!AP7</f>
        <v>0</v>
      </c>
    </row>
    <row r="35" spans="1:43">
      <c r="A35" s="11">
        <v>8.1</v>
      </c>
      <c r="B35" s="9" t="s">
        <v>22</v>
      </c>
      <c r="C35" s="38">
        <f>'Evolutive SFP'!B23</f>
        <v>354799375.88999999</v>
      </c>
      <c r="D35" s="38">
        <f>'Evolutive SFP'!C23</f>
        <v>0</v>
      </c>
      <c r="E35" s="38">
        <f>'Evolutive SFP'!D23</f>
        <v>359849368.54000002</v>
      </c>
      <c r="F35" s="38">
        <f>'Evolutive SFP'!E23</f>
        <v>362147890.38999999</v>
      </c>
      <c r="G35" s="38">
        <f>'Evolutive SFP'!F23</f>
        <v>363206420.80000001</v>
      </c>
      <c r="H35" s="38">
        <f>'Evolutive SFP'!G23</f>
        <v>362869585.58999997</v>
      </c>
      <c r="I35" s="38">
        <f>'Evolutive SFP'!H23</f>
        <v>363260912.36000001</v>
      </c>
      <c r="J35" s="38">
        <f>'Evolutive SFP'!I23</f>
        <v>364145762.08999997</v>
      </c>
      <c r="K35" s="38">
        <f>'Evolutive SFP'!J23</f>
        <v>328297280.81999999</v>
      </c>
      <c r="L35" s="38">
        <f>'Evolutive SFP'!K23</f>
        <v>332116546.94</v>
      </c>
      <c r="M35" s="38">
        <f>'Evolutive SFP'!L23</f>
        <v>332504275.73000002</v>
      </c>
      <c r="N35" s="38">
        <f>'Evolutive SFP'!M23</f>
        <v>349209902.45999998</v>
      </c>
      <c r="O35" s="38">
        <f>'Evolutive SFP'!N23</f>
        <v>349209000</v>
      </c>
      <c r="P35" s="38">
        <f>'Evolutive SFP'!O23</f>
        <v>349085426.86000001</v>
      </c>
      <c r="Q35" s="38">
        <f>'Evolutive SFP'!P23</f>
        <v>348786603.89999998</v>
      </c>
      <c r="R35" s="38">
        <f>'Evolutive SFP'!Q23</f>
        <v>347377019.48000002</v>
      </c>
      <c r="S35" s="38">
        <f>'Evolutive SFP'!R23</f>
        <v>346896483.91000003</v>
      </c>
      <c r="T35" s="38">
        <f>'Evolutive SFP'!S23</f>
        <v>346318299.95999998</v>
      </c>
      <c r="U35" s="38">
        <f>'Evolutive SFP'!T23</f>
        <v>353335453.20999998</v>
      </c>
      <c r="V35" s="38">
        <f>'Evolutive SFP'!U23</f>
        <v>354383940.88999999</v>
      </c>
      <c r="W35" s="38">
        <f>'Evolutive SFP'!V23</f>
        <v>352366506.38</v>
      </c>
      <c r="X35" s="38">
        <f>'Evolutive SFP'!W23</f>
        <v>351939487.70999998</v>
      </c>
      <c r="Y35" s="38">
        <f>'Evolutive SFP'!X23</f>
        <v>351362130.35000002</v>
      </c>
      <c r="Z35" s="38">
        <f>'Evolutive SFP'!Y23</f>
        <v>351053127.64999998</v>
      </c>
      <c r="AA35" s="38">
        <f>'Evolutive SFP'!Z23</f>
        <v>351327932.95999998</v>
      </c>
      <c r="AB35" s="38">
        <f>'Evolutive SFP'!AA23</f>
        <v>352686000</v>
      </c>
      <c r="AC35" s="38">
        <f>'Evolutive SFP'!AB23</f>
        <v>352177744.37</v>
      </c>
      <c r="AD35" s="38">
        <f>'Evolutive SFP'!AC23</f>
        <v>351669331.48000002</v>
      </c>
      <c r="AE35" s="38">
        <f>'Evolutive SFP'!AD23</f>
        <v>351297525.11000001</v>
      </c>
      <c r="AF35" s="38">
        <f>'Evolutive SFP'!AE23</f>
        <v>350346748.25999999</v>
      </c>
      <c r="AG35" s="38">
        <f>'Evolutive SFP'!AF23</f>
        <v>352297153.00999999</v>
      </c>
      <c r="AH35" s="38">
        <f>'Evolutive SFP'!AG23</f>
        <v>351207609.92000002</v>
      </c>
      <c r="AI35" s="38">
        <f>'Evolutive SFP'!AH23</f>
        <v>350112116.19</v>
      </c>
      <c r="AJ35" s="38">
        <f>'Evolutive SFP'!AI23</f>
        <v>349008675.89999998</v>
      </c>
      <c r="AK35" s="38">
        <f>'Evolutive SFP'!AJ23</f>
        <v>348346091.47000003</v>
      </c>
      <c r="AL35" s="38">
        <f>'Evolutive SFP'!AK23</f>
        <v>347237995.92000002</v>
      </c>
      <c r="AM35" s="38">
        <f>'Evolutive SFP'!AL23</f>
        <v>346136619.06999999</v>
      </c>
      <c r="AN35" s="38">
        <f>'Evolutive SFP'!AM23</f>
        <v>349912897.20999998</v>
      </c>
      <c r="AO35" s="38">
        <f>'Evolutive SFP'!AN23</f>
        <v>351329000</v>
      </c>
      <c r="AP35" s="38">
        <f>'Evolutive SFP'!AO23</f>
        <v>0</v>
      </c>
      <c r="AQ35" s="38">
        <f>'Evolutive SFP'!AP23</f>
        <v>0</v>
      </c>
    </row>
    <row r="36" spans="1:43">
      <c r="A36" s="7"/>
      <c r="B36" s="112" t="s">
        <v>188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</row>
    <row r="37" spans="1:43">
      <c r="A37" s="11">
        <v>9</v>
      </c>
      <c r="B37" s="9" t="s">
        <v>142</v>
      </c>
      <c r="C37" s="38">
        <f t="shared" ref="C37:H37" si="19">C38+C39+C40+C41</f>
        <v>52306144.817156054</v>
      </c>
      <c r="D37" s="38">
        <f t="shared" si="19"/>
        <v>115369991.36702164</v>
      </c>
      <c r="E37" s="38">
        <f t="shared" si="19"/>
        <v>195836272.63892946</v>
      </c>
      <c r="F37" s="38">
        <f t="shared" si="19"/>
        <v>258868767.63863295</v>
      </c>
      <c r="G37" s="38">
        <f t="shared" si="19"/>
        <v>332010752.12059546</v>
      </c>
      <c r="H37" s="38">
        <f t="shared" si="19"/>
        <v>407167968.11106092</v>
      </c>
      <c r="I37" s="38">
        <f t="shared" ref="I37:O37" si="20">I38+I39+I40+I41</f>
        <v>953324526.42268097</v>
      </c>
      <c r="J37" s="38">
        <f t="shared" si="20"/>
        <v>546964140.02146566</v>
      </c>
      <c r="K37" s="38">
        <f t="shared" si="20"/>
        <v>619470544.35067141</v>
      </c>
      <c r="L37" s="38">
        <f t="shared" si="20"/>
        <v>691976948.68077707</v>
      </c>
      <c r="M37" s="38">
        <f t="shared" si="20"/>
        <v>759721551.73074877</v>
      </c>
      <c r="N37" s="38">
        <f t="shared" si="20"/>
        <v>886101874.9967134</v>
      </c>
      <c r="O37" s="38">
        <f t="shared" si="20"/>
        <v>886084000.12616038</v>
      </c>
      <c r="P37" s="38">
        <f t="shared" ref="P37:AB37" si="21">P38+P39+P40+P41</f>
        <v>47660831.926481515</v>
      </c>
      <c r="Q37" s="38">
        <f t="shared" si="21"/>
        <v>188750380.04903936</v>
      </c>
      <c r="R37" s="38">
        <f t="shared" si="21"/>
        <v>260624755.70745811</v>
      </c>
      <c r="S37" s="38">
        <f t="shared" si="21"/>
        <v>319418018.16467983</v>
      </c>
      <c r="T37" s="38">
        <f t="shared" si="21"/>
        <v>387551902.12427253</v>
      </c>
      <c r="U37" s="38">
        <f t="shared" si="21"/>
        <v>480718156.48700958</v>
      </c>
      <c r="V37" s="38">
        <f t="shared" si="21"/>
        <v>556845595.10694098</v>
      </c>
      <c r="W37" s="38">
        <f t="shared" si="21"/>
        <v>641120642.62646019</v>
      </c>
      <c r="X37" s="38">
        <f t="shared" si="21"/>
        <v>729967630.02673471</v>
      </c>
      <c r="Y37" s="38">
        <f t="shared" si="21"/>
        <v>810820517.54714394</v>
      </c>
      <c r="Z37" s="38">
        <f t="shared" si="21"/>
        <v>908440772.34011173</v>
      </c>
      <c r="AA37" s="38">
        <f t="shared" si="21"/>
        <v>988765407.36885905</v>
      </c>
      <c r="AB37" s="38">
        <f t="shared" si="21"/>
        <v>988766000.12679923</v>
      </c>
      <c r="AC37" s="38">
        <f t="shared" ref="AC37:AQ37" si="22">AC38+AC39+AC40+AC41</f>
        <v>86563497.531634271</v>
      </c>
      <c r="AD37" s="38">
        <f t="shared" si="22"/>
        <v>182953965.78333285</v>
      </c>
      <c r="AE37" s="38">
        <f t="shared" si="22"/>
        <v>283303220.91625893</v>
      </c>
      <c r="AF37" s="38">
        <f t="shared" si="22"/>
        <v>370737047.54751486</v>
      </c>
      <c r="AG37" s="38">
        <f t="shared" si="22"/>
        <v>466126242.4296962</v>
      </c>
      <c r="AH37" s="38">
        <f t="shared" si="22"/>
        <v>568243667.31258512</v>
      </c>
      <c r="AI37" s="38">
        <f t="shared" si="22"/>
        <v>648672712.83311975</v>
      </c>
      <c r="AJ37" s="38">
        <f t="shared" si="22"/>
        <v>742335839.55365467</v>
      </c>
      <c r="AK37" s="38">
        <f t="shared" si="22"/>
        <v>851408657.0054065</v>
      </c>
      <c r="AL37" s="38">
        <f t="shared" si="22"/>
        <v>954720223.15623438</v>
      </c>
      <c r="AM37" s="38">
        <f t="shared" si="22"/>
        <v>1060990641.9966037</v>
      </c>
      <c r="AN37" s="38">
        <f t="shared" si="22"/>
        <v>1174596873.1286693</v>
      </c>
      <c r="AO37" s="38">
        <f t="shared" si="22"/>
        <v>1162675000.1413651</v>
      </c>
      <c r="AP37" s="38" t="e">
        <f t="shared" si="22"/>
        <v>#DIV/0!</v>
      </c>
      <c r="AQ37" s="38" t="e">
        <f t="shared" si="22"/>
        <v>#DIV/0!</v>
      </c>
    </row>
    <row r="38" spans="1:43">
      <c r="A38" s="9">
        <v>9.1</v>
      </c>
      <c r="B38" s="9" t="s">
        <v>189</v>
      </c>
      <c r="C38" s="38">
        <f>'Evolutitve SCI'!B5</f>
        <v>38601227.369999997</v>
      </c>
      <c r="D38" s="38">
        <f>'Evolutitve SCI'!C5</f>
        <v>90310521.340000004</v>
      </c>
      <c r="E38" s="38">
        <f>'Evolutitve SCI'!D5</f>
        <v>155311618.28</v>
      </c>
      <c r="F38" s="38">
        <f>'Evolutitve SCI'!E5</f>
        <v>207710866.52000001</v>
      </c>
      <c r="G38" s="38">
        <f>'Evolutitve SCI'!F5</f>
        <v>270516159.97000003</v>
      </c>
      <c r="H38" s="38">
        <f>'Evolutitve SCI'!G5</f>
        <v>325303225.19999999</v>
      </c>
      <c r="I38" s="38">
        <f>'Evolutitve SCI'!H5</f>
        <v>765138046.60000002</v>
      </c>
      <c r="J38" s="38">
        <f>'Evolutitve SCI'!I5</f>
        <v>442163358.58999997</v>
      </c>
      <c r="K38" s="38">
        <f>'Evolutitve SCI'!J5</f>
        <v>503376576.27999997</v>
      </c>
      <c r="L38" s="38">
        <f>'Evolutitve SCI'!K5</f>
        <v>564589793.97000003</v>
      </c>
      <c r="M38" s="38">
        <f>'Evolutitve SCI'!L5</f>
        <v>623928204.42999995</v>
      </c>
      <c r="N38" s="38">
        <f>'Evolutitve SCI'!M5</f>
        <v>718840105.83000004</v>
      </c>
      <c r="O38" s="38">
        <f>'Evolutitve SCI'!N5</f>
        <v>715367000</v>
      </c>
      <c r="P38" s="38">
        <f>'Evolutitve SCI'!O5</f>
        <v>36935437.75</v>
      </c>
      <c r="Q38" s="38">
        <f>'Evolutitve SCI'!P5</f>
        <v>166731367.05000001</v>
      </c>
      <c r="R38" s="38">
        <f>'Evolutitve SCI'!Q5</f>
        <v>214077738.11000001</v>
      </c>
      <c r="S38" s="38">
        <f>'Evolutitve SCI'!R5</f>
        <v>258960483.63999999</v>
      </c>
      <c r="T38" s="38">
        <f>'Evolutitve SCI'!S5</f>
        <v>317482334.38999999</v>
      </c>
      <c r="U38" s="38">
        <f>'Evolutitve SCI'!T5</f>
        <v>392085721.01999998</v>
      </c>
      <c r="V38" s="38">
        <f>'Evolutitve SCI'!U5</f>
        <v>455563441.33999997</v>
      </c>
      <c r="W38" s="38">
        <f>'Evolutitve SCI'!V5</f>
        <v>524272039.74000001</v>
      </c>
      <c r="X38" s="38">
        <f>'Evolutitve SCI'!W5</f>
        <v>595834314.35000002</v>
      </c>
      <c r="Y38" s="38">
        <f>'Evolutitve SCI'!X5</f>
        <v>663826196.82000005</v>
      </c>
      <c r="Z38" s="38">
        <f>'Evolutitve SCI'!Y5</f>
        <v>747561624.90999997</v>
      </c>
      <c r="AA38" s="38">
        <f>'Evolutitve SCI'!Z5</f>
        <v>808598459.54999995</v>
      </c>
      <c r="AB38" s="38">
        <f>'Evolutitve SCI'!AA5</f>
        <v>803226000</v>
      </c>
      <c r="AC38" s="38">
        <f>'Evolutitve SCI'!AB5</f>
        <v>74525991.829999998</v>
      </c>
      <c r="AD38" s="38">
        <f>'Evolutitve SCI'!AC5</f>
        <v>150004071.94999999</v>
      </c>
      <c r="AE38" s="38">
        <f>'Evolutitve SCI'!AD5</f>
        <v>230636927.81999999</v>
      </c>
      <c r="AF38" s="38">
        <f>'Evolutitve SCI'!AE5</f>
        <v>306359201.13999999</v>
      </c>
      <c r="AG38" s="38">
        <f>'Evolutitve SCI'!AF5</f>
        <v>388284136.05000001</v>
      </c>
      <c r="AH38" s="38">
        <f>'Evolutitve SCI'!AG5</f>
        <v>470469561.81999999</v>
      </c>
      <c r="AI38" s="38">
        <f>'Evolutitve SCI'!AH5</f>
        <v>549043004.35000002</v>
      </c>
      <c r="AJ38" s="38">
        <f>'Evolutitve SCI'!AI5</f>
        <v>626802615.82000005</v>
      </c>
      <c r="AK38" s="38">
        <f>'Evolutitve SCI'!AJ5</f>
        <v>714333012.77999997</v>
      </c>
      <c r="AL38" s="38">
        <f>'Evolutitve SCI'!AK5</f>
        <v>800887802.07000005</v>
      </c>
      <c r="AM38" s="38">
        <f>'Evolutitve SCI'!AL5</f>
        <v>889259387.30999994</v>
      </c>
      <c r="AN38" s="38">
        <f>'Evolutitve SCI'!AM5</f>
        <v>982983125.00999999</v>
      </c>
      <c r="AO38" s="38">
        <f>'Evolutitve SCI'!AN5</f>
        <v>1026147000</v>
      </c>
      <c r="AP38" s="38">
        <f>'Evolutitve SCI'!AO5</f>
        <v>0</v>
      </c>
      <c r="AQ38" s="38">
        <f>'Evolutitve SCI'!AP5</f>
        <v>0</v>
      </c>
    </row>
    <row r="39" spans="1:43">
      <c r="A39" s="9">
        <v>9.1999999999999993</v>
      </c>
      <c r="B39" s="9" t="s">
        <v>190</v>
      </c>
      <c r="C39" s="38">
        <f>'Evolutitve SCI'!B7</f>
        <v>8899589.1400000006</v>
      </c>
      <c r="D39" s="38">
        <f>'Evolutitve SCI'!C7</f>
        <v>17707756.510000002</v>
      </c>
      <c r="E39" s="38">
        <f>'Evolutitve SCI'!D7</f>
        <v>23343240.129999999</v>
      </c>
      <c r="F39" s="38">
        <f>'Evolutitve SCI'!E7</f>
        <v>28893744.48</v>
      </c>
      <c r="G39" s="38">
        <f>'Evolutitve SCI'!F7</f>
        <v>34730356.5</v>
      </c>
      <c r="H39" s="38">
        <f>'Evolutitve SCI'!G7</f>
        <v>51607620.549999997</v>
      </c>
      <c r="I39" s="38">
        <f>'Evolutitve SCI'!H7</f>
        <v>122396186.08000001</v>
      </c>
      <c r="J39" s="38">
        <f>'Evolutitve SCI'!I7</f>
        <v>68106553.450000003</v>
      </c>
      <c r="K39" s="38">
        <f>'Evolutitve SCI'!J7</f>
        <v>77062966.079999983</v>
      </c>
      <c r="L39" s="38">
        <f>'Evolutitve SCI'!K7</f>
        <v>86019378.709999993</v>
      </c>
      <c r="M39" s="38">
        <f>'Evolutitve SCI'!L7</f>
        <v>92079198.890000001</v>
      </c>
      <c r="N39" s="38">
        <f>'Evolutitve SCI'!M7</f>
        <v>120900177.84</v>
      </c>
      <c r="O39" s="38">
        <f>'Evolutitve SCI'!N7</f>
        <v>120691000</v>
      </c>
      <c r="P39" s="38">
        <f>'Evolutitve SCI'!O7</f>
        <v>9090519.5699999984</v>
      </c>
      <c r="Q39" s="38">
        <f>'Evolutitve SCI'!P7</f>
        <v>18611233.169999998</v>
      </c>
      <c r="R39" s="38">
        <f>'Evolutitve SCI'!Q7</f>
        <v>41277810.559999995</v>
      </c>
      <c r="S39" s="38">
        <f>'Evolutitve SCI'!R7</f>
        <v>52074923.280000001</v>
      </c>
      <c r="T39" s="38">
        <f>'Evolutitve SCI'!S7</f>
        <v>58721592.879999995</v>
      </c>
      <c r="U39" s="38">
        <f>'Evolutitve SCI'!T7</f>
        <v>74883290.099999994</v>
      </c>
      <c r="V39" s="38">
        <f>'Evolutitve SCI'!U7</f>
        <v>85717543.290000007</v>
      </c>
      <c r="W39" s="38">
        <f>'Evolutitve SCI'!V7</f>
        <v>96516464.199999988</v>
      </c>
      <c r="X39" s="38">
        <f>'Evolutitve SCI'!W7</f>
        <v>109973154.17999999</v>
      </c>
      <c r="Y39" s="38">
        <f>'Evolutitve SCI'!X7</f>
        <v>120074089.92</v>
      </c>
      <c r="Z39" s="38">
        <f>'Evolutitve SCI'!Y7</f>
        <v>130602411.81</v>
      </c>
      <c r="AA39" s="38">
        <f>'Evolutitve SCI'!Z7</f>
        <v>147252640.89000002</v>
      </c>
      <c r="AB39" s="38">
        <f>'Evolutitve SCI'!AA7</f>
        <v>153245000</v>
      </c>
      <c r="AC39" s="38">
        <f>'Evolutitve SCI'!AB7</f>
        <v>9892974.9900000002</v>
      </c>
      <c r="AD39" s="38">
        <f>'Evolutitve SCI'!AC7</f>
        <v>27965172.010000002</v>
      </c>
      <c r="AE39" s="38">
        <f>'Evolutitve SCI'!AD7</f>
        <v>45559790.359999999</v>
      </c>
      <c r="AF39" s="38">
        <f>'Evolutitve SCI'!AE7</f>
        <v>53706197.560000002</v>
      </c>
      <c r="AG39" s="38">
        <f>'Evolutitve SCI'!AF7</f>
        <v>62936103.119999997</v>
      </c>
      <c r="AH39" s="38">
        <f>'Evolutitve SCI'!AG7</f>
        <v>79473861.319999993</v>
      </c>
      <c r="AI39" s="38">
        <f>'Evolutitve SCI'!AH7</f>
        <v>78016401.399999991</v>
      </c>
      <c r="AJ39" s="38">
        <f>'Evolutitve SCI'!AI7</f>
        <v>88016687.439999998</v>
      </c>
      <c r="AK39" s="38">
        <f>'Evolutitve SCI'!AJ7</f>
        <v>103307402.72</v>
      </c>
      <c r="AL39" s="38">
        <f>'Evolutitve SCI'!AK7</f>
        <v>113880577.57000001</v>
      </c>
      <c r="AM39" s="38">
        <f>'Evolutitve SCI'!AL7</f>
        <v>125452867.95999999</v>
      </c>
      <c r="AN39" s="38">
        <f>'Evolutitve SCI'!AM7</f>
        <v>141133990.97999999</v>
      </c>
      <c r="AO39" s="38">
        <f>'Evolutitve SCI'!AN7</f>
        <v>136528000</v>
      </c>
      <c r="AP39" s="38">
        <f>'Evolutitve SCI'!AO7</f>
        <v>0</v>
      </c>
      <c r="AQ39" s="38">
        <f>'Evolutitve SCI'!AP7</f>
        <v>0</v>
      </c>
    </row>
    <row r="40" spans="1:43">
      <c r="A40" s="9">
        <v>9.3000000000000007</v>
      </c>
      <c r="B40" s="9" t="s">
        <v>191</v>
      </c>
      <c r="C40" s="38">
        <f>'Evolutitve SCI'!B6</f>
        <v>4805328.3</v>
      </c>
      <c r="D40" s="38">
        <f>'Evolutitve SCI'!C6</f>
        <v>7351713.5</v>
      </c>
      <c r="E40" s="38">
        <f>'Evolutitve SCI'!D6</f>
        <v>17181414.199999999</v>
      </c>
      <c r="F40" s="38">
        <f>'Evolutitve SCI'!E6</f>
        <v>22264156.600000001</v>
      </c>
      <c r="G40" s="38">
        <f>'Evolutitve SCI'!F6</f>
        <v>26764235.600000001</v>
      </c>
      <c r="H40" s="38">
        <f>'Evolutitve SCI'!G6</f>
        <v>30257122.300000001</v>
      </c>
      <c r="I40" s="38">
        <f>'Evolutitve SCI'!H6</f>
        <v>65790293.600000001</v>
      </c>
      <c r="J40" s="38">
        <f>'Evolutitve SCI'!I6</f>
        <v>36694227.899999999</v>
      </c>
      <c r="K40" s="38">
        <f>'Evolutitve SCI'!J6</f>
        <v>39031001.899999999</v>
      </c>
      <c r="L40" s="38">
        <f>'Evolutitve SCI'!K6</f>
        <v>41367775.899999999</v>
      </c>
      <c r="M40" s="38">
        <f>'Evolutitve SCI'!L6</f>
        <v>43714148.299999997</v>
      </c>
      <c r="N40" s="38">
        <f>'Evolutitve SCI'!M6</f>
        <v>46361591.200000003</v>
      </c>
      <c r="O40" s="38">
        <f>'Evolutitve SCI'!N6</f>
        <v>50026000</v>
      </c>
      <c r="P40" s="38">
        <f>'Evolutitve SCI'!O6</f>
        <v>1634874.6</v>
      </c>
      <c r="Q40" s="38">
        <f>'Evolutitve SCI'!P6</f>
        <v>3407779.8</v>
      </c>
      <c r="R40" s="38">
        <f>'Evolutitve SCI'!Q6</f>
        <v>5269207</v>
      </c>
      <c r="S40" s="38">
        <f>'Evolutitve SCI'!R6</f>
        <v>8382611.2000000002</v>
      </c>
      <c r="T40" s="38">
        <f>'Evolutitve SCI'!S6</f>
        <v>11347974.800000001</v>
      </c>
      <c r="U40" s="38">
        <f>'Evolutitve SCI'!T6</f>
        <v>13749145.300000001</v>
      </c>
      <c r="V40" s="38">
        <f>'Evolutitve SCI'!U6</f>
        <v>15564610.4</v>
      </c>
      <c r="W40" s="38">
        <f>'Evolutitve SCI'!V6</f>
        <v>20332138.600000001</v>
      </c>
      <c r="X40" s="38">
        <f>'Evolutitve SCI'!W6</f>
        <v>24160161.399999999</v>
      </c>
      <c r="Y40" s="38">
        <f>'Evolutitve SCI'!X6</f>
        <v>26920230.699999999</v>
      </c>
      <c r="Z40" s="38">
        <f>'Evolutitve SCI'!Y6</f>
        <v>30276735.5</v>
      </c>
      <c r="AA40" s="38">
        <f>'Evolutitve SCI'!Z6</f>
        <v>32914306.800000001</v>
      </c>
      <c r="AB40" s="38">
        <f>'Evolutitve SCI'!AA6</f>
        <v>32295000</v>
      </c>
      <c r="AC40" s="38">
        <f>'Evolutitve SCI'!AB6</f>
        <v>2144530.7000000002</v>
      </c>
      <c r="AD40" s="38">
        <f>'Evolutitve SCI'!AC6</f>
        <v>4984721.8</v>
      </c>
      <c r="AE40" s="38">
        <f>'Evolutitve SCI'!AD6</f>
        <v>7106502.7000000002</v>
      </c>
      <c r="AF40" s="38">
        <f>'Evolutitve SCI'!AE6</f>
        <v>10671648.800000001</v>
      </c>
      <c r="AG40" s="38">
        <f>'Evolutitve SCI'!AF6</f>
        <v>14906003.199999999</v>
      </c>
      <c r="AH40" s="38">
        <f>'Evolutitve SCI'!AG6</f>
        <v>18300244.100000001</v>
      </c>
      <c r="AI40" s="38">
        <f>'Evolutitve SCI'!AH6</f>
        <v>21613307</v>
      </c>
      <c r="AJ40" s="38">
        <f>'Evolutitve SCI'!AI6</f>
        <v>27516536.199999999</v>
      </c>
      <c r="AK40" s="38">
        <f>'Evolutitve SCI'!AJ6</f>
        <v>33768241.399999999</v>
      </c>
      <c r="AL40" s="38">
        <f>'Evolutitve SCI'!AK6</f>
        <v>39951843.399999999</v>
      </c>
      <c r="AM40" s="38">
        <f>'Evolutitve SCI'!AL6</f>
        <v>46278386.600000001</v>
      </c>
      <c r="AN40" s="38">
        <f>'Evolutitve SCI'!AM6</f>
        <v>50479757</v>
      </c>
      <c r="AO40" s="38">
        <f>'Evolutitve SCI'!AN6</f>
        <v>0</v>
      </c>
      <c r="AP40" s="38">
        <f>'Evolutitve SCI'!AO6</f>
        <v>0</v>
      </c>
      <c r="AQ40" s="38">
        <f>'Evolutitve SCI'!AP6</f>
        <v>0</v>
      </c>
    </row>
    <row r="41" spans="1:43">
      <c r="A41" s="9">
        <v>9.4</v>
      </c>
      <c r="B41" s="9" t="s">
        <v>192</v>
      </c>
      <c r="C41" s="75">
        <f t="shared" ref="C41:J41" si="23">C38/C31</f>
        <v>7.1560562907165923E-3</v>
      </c>
      <c r="D41" s="75">
        <f t="shared" si="23"/>
        <v>1.7021620967427379E-2</v>
      </c>
      <c r="E41" s="75">
        <f t="shared" si="23"/>
        <v>2.8929486746415472E-2</v>
      </c>
      <c r="F41" s="75">
        <f t="shared" si="23"/>
        <v>3.8632963640949529E-2</v>
      </c>
      <c r="G41" s="75">
        <f t="shared" si="23"/>
        <v>5.0595413446584962E-2</v>
      </c>
      <c r="H41" s="75">
        <f t="shared" si="23"/>
        <v>6.1060899367879611E-2</v>
      </c>
      <c r="I41" s="75">
        <f t="shared" si="23"/>
        <v>0.14268090404344957</v>
      </c>
      <c r="J41" s="75">
        <f t="shared" si="23"/>
        <v>8.1465672820203394E-2</v>
      </c>
      <c r="K41" s="75">
        <f>K38/K31</f>
        <v>9.0671548076830158E-2</v>
      </c>
      <c r="L41" s="75">
        <f>L38/L31</f>
        <v>0.10077701275125167</v>
      </c>
      <c r="M41" s="75">
        <f>M38/M31</f>
        <v>0.11074893744703047</v>
      </c>
      <c r="N41" s="75">
        <f>N38/N31</f>
        <v>0.12671331485137011</v>
      </c>
      <c r="O41" s="75">
        <f>O38/O31</f>
        <v>0.12616043324722379</v>
      </c>
      <c r="P41" s="75">
        <f t="shared" ref="P41:AB41" si="24">P38/P31</f>
        <v>6.4815102936953929E-3</v>
      </c>
      <c r="Q41" s="75">
        <f t="shared" si="24"/>
        <v>2.9039348963152752E-2</v>
      </c>
      <c r="R41" s="75">
        <f t="shared" si="24"/>
        <v>3.7458084015141009E-2</v>
      </c>
      <c r="S41" s="75">
        <f t="shared" si="24"/>
        <v>4.4679904009048713E-2</v>
      </c>
      <c r="T41" s="75">
        <f t="shared" si="24"/>
        <v>5.4272509276117618E-2</v>
      </c>
      <c r="U41" s="75">
        <f t="shared" si="24"/>
        <v>6.7009573718322918E-2</v>
      </c>
      <c r="V41" s="75">
        <f t="shared" si="24"/>
        <v>7.6940992778556025E-2</v>
      </c>
      <c r="W41" s="75">
        <f t="shared" si="24"/>
        <v>8.6460134741185149E-2</v>
      </c>
      <c r="X41" s="75">
        <f t="shared" si="24"/>
        <v>9.6734792893423613E-2</v>
      </c>
      <c r="Y41" s="75">
        <f t="shared" si="24"/>
        <v>0.10714389971889406</v>
      </c>
      <c r="Z41" s="75">
        <f t="shared" si="24"/>
        <v>0.12011171218567741</v>
      </c>
      <c r="AA41" s="75">
        <f t="shared" si="24"/>
        <v>0.12885912395441806</v>
      </c>
      <c r="AB41" s="75">
        <f t="shared" si="24"/>
        <v>0.12679925747798568</v>
      </c>
      <c r="AC41" s="75">
        <f t="shared" ref="AC41:AQ41" si="25">AC38/AC31</f>
        <v>1.1634282755595755E-2</v>
      </c>
      <c r="AD41" s="75">
        <f t="shared" si="25"/>
        <v>2.3332860992176328E-2</v>
      </c>
      <c r="AE41" s="75">
        <f t="shared" si="25"/>
        <v>3.6258953444102529E-2</v>
      </c>
      <c r="AF41" s="75">
        <f t="shared" si="25"/>
        <v>4.7514854563192793E-2</v>
      </c>
      <c r="AG41" s="75">
        <f t="shared" si="25"/>
        <v>5.9696227133342473E-2</v>
      </c>
      <c r="AH41" s="75">
        <f t="shared" si="25"/>
        <v>7.2585156398367795E-2</v>
      </c>
      <c r="AI41" s="75">
        <f t="shared" si="25"/>
        <v>8.3119748576685096E-2</v>
      </c>
      <c r="AJ41" s="75">
        <f t="shared" si="25"/>
        <v>9.3654650676231022E-2</v>
      </c>
      <c r="AK41" s="75">
        <f t="shared" si="25"/>
        <v>0.10540653698435712</v>
      </c>
      <c r="AL41" s="75">
        <f t="shared" si="25"/>
        <v>0.11623432408187498</v>
      </c>
      <c r="AM41" s="75">
        <f t="shared" si="25"/>
        <v>0.12660374106505642</v>
      </c>
      <c r="AN41" s="75">
        <f t="shared" si="25"/>
        <v>0.13866932456622302</v>
      </c>
      <c r="AO41" s="75">
        <f t="shared" si="25"/>
        <v>0.14136499345350667</v>
      </c>
      <c r="AP41" s="75" t="e">
        <f t="shared" si="25"/>
        <v>#DIV/0!</v>
      </c>
      <c r="AQ41" s="75" t="e">
        <f t="shared" si="25"/>
        <v>#DIV/0!</v>
      </c>
    </row>
    <row r="42" spans="1:43">
      <c r="A42" s="9"/>
      <c r="B42" s="9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</row>
    <row r="43" spans="1:43">
      <c r="A43" s="11">
        <v>10</v>
      </c>
      <c r="B43" s="17" t="s">
        <v>193</v>
      </c>
      <c r="C43" s="39">
        <f t="shared" ref="C43:H43" si="26">SUM(C44:C47)</f>
        <v>46804182.459999993</v>
      </c>
      <c r="D43" s="39">
        <f t="shared" si="26"/>
        <v>93300915.349999994</v>
      </c>
      <c r="E43" s="39">
        <f t="shared" si="26"/>
        <v>147610906.56</v>
      </c>
      <c r="F43" s="39">
        <f t="shared" si="26"/>
        <v>195711832.91</v>
      </c>
      <c r="G43" s="39">
        <f t="shared" si="26"/>
        <v>250356824.18000001</v>
      </c>
      <c r="H43" s="39">
        <f t="shared" si="26"/>
        <v>305590972.81999999</v>
      </c>
      <c r="I43" s="39">
        <f t="shared" ref="I43:O43" si="27">SUM(I44:I47)</f>
        <v>719075231.03999996</v>
      </c>
      <c r="J43" s="39">
        <f t="shared" si="27"/>
        <v>416685905.81999999</v>
      </c>
      <c r="K43" s="39">
        <f t="shared" si="27"/>
        <v>475152082.83000004</v>
      </c>
      <c r="L43" s="39">
        <f t="shared" si="27"/>
        <v>533618259.83999997</v>
      </c>
      <c r="M43" s="39">
        <f t="shared" si="27"/>
        <v>593199479.71000004</v>
      </c>
      <c r="N43" s="39">
        <f t="shared" si="27"/>
        <v>743417611.75</v>
      </c>
      <c r="O43" s="39">
        <f t="shared" si="27"/>
        <v>671162000</v>
      </c>
      <c r="P43" s="39">
        <f t="shared" ref="P43:AB43" si="28">SUM(P44:P47)</f>
        <v>38351859.109999999</v>
      </c>
      <c r="Q43" s="39">
        <f t="shared" si="28"/>
        <v>49988445.229999997</v>
      </c>
      <c r="R43" s="39">
        <f t="shared" si="28"/>
        <v>184214525.41</v>
      </c>
      <c r="S43" s="39">
        <f t="shared" si="28"/>
        <v>228649884.79999998</v>
      </c>
      <c r="T43" s="39">
        <f t="shared" si="28"/>
        <v>280998037.69999999</v>
      </c>
      <c r="U43" s="39">
        <f t="shared" si="28"/>
        <v>323343072.55000001</v>
      </c>
      <c r="V43" s="39">
        <f t="shared" si="28"/>
        <v>378401235.78999996</v>
      </c>
      <c r="W43" s="39">
        <f t="shared" si="28"/>
        <v>451990668.52999997</v>
      </c>
      <c r="X43" s="39">
        <f t="shared" si="28"/>
        <v>514844278.26000005</v>
      </c>
      <c r="Y43" s="39">
        <f t="shared" si="28"/>
        <v>577298074.08000004</v>
      </c>
      <c r="Z43" s="39">
        <f t="shared" si="28"/>
        <v>644825841.38999999</v>
      </c>
      <c r="AA43" s="39">
        <f t="shared" si="28"/>
        <v>811248662.99000001</v>
      </c>
      <c r="AB43" s="39">
        <f t="shared" si="28"/>
        <v>752443000</v>
      </c>
      <c r="AC43" s="39">
        <f t="shared" ref="AC43:AQ43" si="29">SUM(AC44:AC47)</f>
        <v>53869625.359999999</v>
      </c>
      <c r="AD43" s="39">
        <f t="shared" si="29"/>
        <v>114050035.23999999</v>
      </c>
      <c r="AE43" s="39">
        <f t="shared" si="29"/>
        <v>184096736.99000001</v>
      </c>
      <c r="AF43" s="39">
        <f t="shared" si="29"/>
        <v>249615160.97999996</v>
      </c>
      <c r="AG43" s="39">
        <f t="shared" si="29"/>
        <v>317607928.05000001</v>
      </c>
      <c r="AH43" s="39">
        <f t="shared" si="29"/>
        <v>388218025.34999996</v>
      </c>
      <c r="AI43" s="39">
        <f t="shared" si="29"/>
        <v>459226600.77000004</v>
      </c>
      <c r="AJ43" s="39">
        <f t="shared" si="29"/>
        <v>535489901.81999999</v>
      </c>
      <c r="AK43" s="39">
        <f t="shared" si="29"/>
        <v>611041217.49000001</v>
      </c>
      <c r="AL43" s="39">
        <f t="shared" si="29"/>
        <v>684128752.71000004</v>
      </c>
      <c r="AM43" s="39">
        <f t="shared" si="29"/>
        <v>767957820.79999995</v>
      </c>
      <c r="AN43" s="39">
        <f t="shared" si="29"/>
        <v>967602012.1400001</v>
      </c>
      <c r="AO43" s="39">
        <f t="shared" si="29"/>
        <v>909788000</v>
      </c>
      <c r="AP43" s="39">
        <f t="shared" si="29"/>
        <v>0</v>
      </c>
      <c r="AQ43" s="39">
        <f t="shared" si="29"/>
        <v>0</v>
      </c>
    </row>
    <row r="44" spans="1:43">
      <c r="A44" s="9">
        <v>10.1</v>
      </c>
      <c r="B44" s="9" t="s">
        <v>194</v>
      </c>
      <c r="C44" s="38">
        <f>'Evolutitve SCI'!B13+'Evolutitve SCI'!B16</f>
        <v>35841892.579999998</v>
      </c>
      <c r="D44" s="38">
        <f>'Evolutitve SCI'!C13+'Evolutitve SCI'!C16</f>
        <v>70623451.569999993</v>
      </c>
      <c r="E44" s="38">
        <f>'Evolutitve SCI'!D13+'Evolutitve SCI'!D16</f>
        <v>111086007.59</v>
      </c>
      <c r="F44" s="38">
        <f>'Evolutitve SCI'!E13+'Evolutitve SCI'!E16</f>
        <v>148357103.72999999</v>
      </c>
      <c r="G44" s="38">
        <f>'Evolutitve SCI'!F13+'Evolutitve SCI'!F16</f>
        <v>191393027.06</v>
      </c>
      <c r="H44" s="38">
        <f>'Evolutitve SCI'!G13+'Evolutitve SCI'!G16</f>
        <v>234927637.75999999</v>
      </c>
      <c r="I44" s="38">
        <f>'Evolutitve SCI'!H13+'Evolutitve SCI'!H16</f>
        <v>550984398.81999993</v>
      </c>
      <c r="J44" s="38">
        <f>'Evolutitve SCI'!I13+'Evolutitve SCI'!I16</f>
        <v>316190047.31999999</v>
      </c>
      <c r="K44" s="38">
        <f>'Evolutitve SCI'!J13+'Evolutitve SCI'!J16</f>
        <v>357506466.48000002</v>
      </c>
      <c r="L44" s="38">
        <f>'Evolutitve SCI'!K13+'Evolutitve SCI'!K16</f>
        <v>398822885.63999999</v>
      </c>
      <c r="M44" s="38">
        <f>'Evolutitve SCI'!L13+'Evolutitve SCI'!L16</f>
        <v>441293444.30000001</v>
      </c>
      <c r="N44" s="38">
        <f>'Evolutitve SCI'!M13+'Evolutitve SCI'!M16</f>
        <v>486896861.68000001</v>
      </c>
      <c r="O44" s="38">
        <f>'Evolutitve SCI'!N13+'Evolutitve SCI'!N16</f>
        <v>485441000</v>
      </c>
      <c r="P44" s="38">
        <f>'Evolutitve SCI'!O13+'Evolutitve SCI'!O16</f>
        <v>27505628.140000001</v>
      </c>
      <c r="Q44" s="38">
        <f>'Evolutitve SCI'!P13+'Evolutitve SCI'!P16</f>
        <v>28005866.859999999</v>
      </c>
      <c r="R44" s="38">
        <f>'Evolutitve SCI'!Q13+'Evolutitve SCI'!Q16</f>
        <v>146739468.03</v>
      </c>
      <c r="S44" s="38">
        <f>'Evolutitve SCI'!R13+'Evolutitve SCI'!R16</f>
        <v>180000577.36999997</v>
      </c>
      <c r="T44" s="38">
        <f>'Evolutitve SCI'!S13+'Evolutitve SCI'!S16</f>
        <v>218406238.70999998</v>
      </c>
      <c r="U44" s="38">
        <f>'Evolutitve SCI'!T13+'Evolutitve SCI'!T16</f>
        <v>246688388.96000001</v>
      </c>
      <c r="V44" s="38">
        <f>'Evolutitve SCI'!U13+'Evolutitve SCI'!U16</f>
        <v>285568153.06</v>
      </c>
      <c r="W44" s="38">
        <f>'Evolutitve SCI'!V13+'Evolutitve SCI'!V16</f>
        <v>328581110.43000001</v>
      </c>
      <c r="X44" s="38">
        <f>'Evolutitve SCI'!W13+'Evolutitve SCI'!W16</f>
        <v>373860241.97000003</v>
      </c>
      <c r="Y44" s="38">
        <f>'Evolutitve SCI'!X13+'Evolutitve SCI'!X16</f>
        <v>415156767.08000004</v>
      </c>
      <c r="Z44" s="38">
        <f>'Evolutitve SCI'!Y13+'Evolutitve SCI'!Y16</f>
        <v>464899403.37</v>
      </c>
      <c r="AA44" s="38">
        <f>'Evolutitve SCI'!Z13+'Evolutitve SCI'!Z16</f>
        <v>507674534.12</v>
      </c>
      <c r="AB44" s="38">
        <f>'Evolutitve SCI'!AA13+'Evolutitve SCI'!AA16</f>
        <v>531044000</v>
      </c>
      <c r="AC44" s="38">
        <f>'Evolutitve SCI'!AB13+'Evolutitve SCI'!AB16</f>
        <v>41132904.009999998</v>
      </c>
      <c r="AD44" s="38">
        <f>'Evolutitve SCI'!AC13+'Evolutitve SCI'!AC16</f>
        <v>86908925.359999999</v>
      </c>
      <c r="AE44" s="38">
        <f>'Evolutitve SCI'!AD13+'Evolutitve SCI'!AD16</f>
        <v>139239334.28</v>
      </c>
      <c r="AF44" s="38">
        <f>'Evolutitve SCI'!AE13+'Evolutitve SCI'!AE16</f>
        <v>182248001.48999998</v>
      </c>
      <c r="AG44" s="38">
        <f>'Evolutitve SCI'!AF13+'Evolutitve SCI'!AF16</f>
        <v>229144958.03</v>
      </c>
      <c r="AH44" s="38">
        <f>'Evolutitve SCI'!AG13+'Evolutitve SCI'!AG16</f>
        <v>279318775.08999997</v>
      </c>
      <c r="AI44" s="38">
        <f>'Evolutitve SCI'!AH13+'Evolutitve SCI'!AH16</f>
        <v>318914481.77000004</v>
      </c>
      <c r="AJ44" s="38">
        <f>'Evolutitve SCI'!AI13+'Evolutitve SCI'!AI16</f>
        <v>364937190.19</v>
      </c>
      <c r="AK44" s="38">
        <f>'Evolutitve SCI'!AJ13+'Evolutitve SCI'!AJ16</f>
        <v>418440832.23000002</v>
      </c>
      <c r="AL44" s="38">
        <f>'Evolutitve SCI'!AK13+'Evolutitve SCI'!AK16</f>
        <v>469167373.99000001</v>
      </c>
      <c r="AM44" s="38">
        <f>'Evolutitve SCI'!AL13+'Evolutitve SCI'!AL16</f>
        <v>521299873.04000002</v>
      </c>
      <c r="AN44" s="38">
        <f>'Evolutitve SCI'!AM13+'Evolutitve SCI'!AM16</f>
        <v>577017718.13</v>
      </c>
      <c r="AO44" s="38">
        <f>'Evolutitve SCI'!AN13+'Evolutitve SCI'!AN16</f>
        <v>601754000</v>
      </c>
      <c r="AP44" s="38">
        <f>'Evolutitve SCI'!AO13+'Evolutitve SCI'!AO16</f>
        <v>0</v>
      </c>
      <c r="AQ44" s="38">
        <f>'Evolutitve SCI'!AP13+'Evolutitve SCI'!AP16</f>
        <v>0</v>
      </c>
    </row>
    <row r="45" spans="1:43">
      <c r="A45" s="9">
        <v>10.199999999999999</v>
      </c>
      <c r="B45" s="9" t="s">
        <v>195</v>
      </c>
      <c r="C45" s="38">
        <f>'Evolutitve SCI'!B15</f>
        <v>0</v>
      </c>
      <c r="D45" s="38">
        <f>'Evolutitve SCI'!C15</f>
        <v>0</v>
      </c>
      <c r="E45" s="38">
        <f>'Evolutitve SCI'!D15</f>
        <v>0</v>
      </c>
      <c r="F45" s="38">
        <f>'Evolutitve SCI'!E15</f>
        <v>0</v>
      </c>
      <c r="G45" s="38">
        <f>'Evolutitve SCI'!F15</f>
        <v>0</v>
      </c>
      <c r="H45" s="38">
        <f>'Evolutitve SCI'!G15</f>
        <v>0</v>
      </c>
      <c r="I45" s="38">
        <f>'Evolutitve SCI'!H15</f>
        <v>0</v>
      </c>
      <c r="J45" s="38">
        <f>'Evolutitve SCI'!I15</f>
        <v>0</v>
      </c>
      <c r="K45" s="38">
        <f>'Evolutitve SCI'!J15</f>
        <v>0</v>
      </c>
      <c r="L45" s="38">
        <f>'Evolutitve SCI'!K15</f>
        <v>0</v>
      </c>
      <c r="M45" s="38">
        <f>'Evolutitve SCI'!L15</f>
        <v>0</v>
      </c>
      <c r="N45" s="38">
        <f>'Evolutitve SCI'!M15</f>
        <v>64912195.399999999</v>
      </c>
      <c r="O45" s="38">
        <f>'Evolutitve SCI'!N15</f>
        <v>0</v>
      </c>
      <c r="P45" s="38">
        <f>'Evolutitve SCI'!O15</f>
        <v>0</v>
      </c>
      <c r="Q45" s="38">
        <f>'Evolutitve SCI'!P15</f>
        <v>0</v>
      </c>
      <c r="R45" s="38">
        <f>'Evolutitve SCI'!Q15</f>
        <v>0</v>
      </c>
      <c r="S45" s="38">
        <f>'Evolutitve SCI'!R15</f>
        <v>0</v>
      </c>
      <c r="T45" s="38">
        <f>'Evolutitve SCI'!S15</f>
        <v>0</v>
      </c>
      <c r="U45" s="38">
        <f>'Evolutitve SCI'!T15</f>
        <v>0</v>
      </c>
      <c r="V45" s="38">
        <f>'Evolutitve SCI'!U15</f>
        <v>0</v>
      </c>
      <c r="W45" s="38">
        <f>'Evolutitve SCI'!V15</f>
        <v>0</v>
      </c>
      <c r="X45" s="38">
        <f>'Evolutitve SCI'!W15</f>
        <v>0</v>
      </c>
      <c r="Y45" s="38">
        <f>'Evolutitve SCI'!X15</f>
        <v>0</v>
      </c>
      <c r="Z45" s="38">
        <f>'Evolutitve SCI'!Y15</f>
        <v>0</v>
      </c>
      <c r="AA45" s="38">
        <f>'Evolutitve SCI'!Z15</f>
        <v>72861280.5</v>
      </c>
      <c r="AB45" s="38">
        <f>'Evolutitve SCI'!AA15</f>
        <v>0</v>
      </c>
      <c r="AC45" s="38">
        <f>'Evolutitve SCI'!AB15</f>
        <v>0</v>
      </c>
      <c r="AD45" s="38">
        <f>'Evolutitve SCI'!AC15</f>
        <v>0</v>
      </c>
      <c r="AE45" s="38">
        <f>'Evolutitve SCI'!AD15</f>
        <v>0</v>
      </c>
      <c r="AF45" s="38">
        <f>'Evolutitve SCI'!AE15</f>
        <v>0</v>
      </c>
      <c r="AG45" s="38">
        <f>'Evolutitve SCI'!AF15</f>
        <v>0</v>
      </c>
      <c r="AH45" s="38">
        <f>'Evolutitve SCI'!AG15</f>
        <v>0</v>
      </c>
      <c r="AI45" s="38">
        <f>'Evolutitve SCI'!AH15</f>
        <v>0</v>
      </c>
      <c r="AJ45" s="38">
        <f>'Evolutitve SCI'!AI15</f>
        <v>0</v>
      </c>
      <c r="AK45" s="38">
        <f>'Evolutitve SCI'!AJ15</f>
        <v>0</v>
      </c>
      <c r="AL45" s="38">
        <f>'Evolutitve SCI'!AK15</f>
        <v>0</v>
      </c>
      <c r="AM45" s="38">
        <f>'Evolutitve SCI'!AL15</f>
        <v>0</v>
      </c>
      <c r="AN45" s="38">
        <f>'Evolutitve SCI'!AM15</f>
        <v>85505289.200000003</v>
      </c>
      <c r="AO45" s="38">
        <f>'Evolutitve SCI'!AN15</f>
        <v>0</v>
      </c>
      <c r="AP45" s="38">
        <f>'Evolutitve SCI'!AO15</f>
        <v>0</v>
      </c>
      <c r="AQ45" s="38">
        <f>'Evolutitve SCI'!AP15</f>
        <v>0</v>
      </c>
    </row>
    <row r="46" spans="1:43">
      <c r="A46" s="9">
        <v>10.3</v>
      </c>
      <c r="B46" s="9" t="s">
        <v>196</v>
      </c>
      <c r="C46" s="38">
        <f>'Evolutitve SCI'!B14</f>
        <v>0</v>
      </c>
      <c r="D46" s="38">
        <f>'Evolutitve SCI'!C14</f>
        <v>0</v>
      </c>
      <c r="E46" s="38">
        <f>'Evolutitve SCI'!D14</f>
        <v>0</v>
      </c>
      <c r="F46" s="38">
        <f>'Evolutitve SCI'!E14</f>
        <v>0</v>
      </c>
      <c r="G46" s="38">
        <f>'Evolutitve SCI'!F14</f>
        <v>0</v>
      </c>
      <c r="H46" s="38">
        <f>'Evolutitve SCI'!G14</f>
        <v>0</v>
      </c>
      <c r="I46" s="38">
        <f>'Evolutitve SCI'!H14</f>
        <v>0</v>
      </c>
      <c r="J46" s="38">
        <f>'Evolutitve SCI'!I14</f>
        <v>0</v>
      </c>
      <c r="K46" s="38">
        <f>'Evolutitve SCI'!J14</f>
        <v>0</v>
      </c>
      <c r="L46" s="38">
        <f>'Evolutitve SCI'!K14</f>
        <v>0</v>
      </c>
      <c r="M46" s="38">
        <f>'Evolutitve SCI'!L14</f>
        <v>0</v>
      </c>
      <c r="N46" s="38">
        <f>'Evolutitve SCI'!M14</f>
        <v>0</v>
      </c>
      <c r="O46" s="38">
        <f>'Evolutitve SCI'!N14</f>
        <v>0</v>
      </c>
      <c r="P46" s="38">
        <f>'Evolutitve SCI'!O14</f>
        <v>0</v>
      </c>
      <c r="Q46" s="38">
        <f>'Evolutitve SCI'!P14</f>
        <v>0</v>
      </c>
      <c r="R46" s="38">
        <f>'Evolutitve SCI'!Q14</f>
        <v>0</v>
      </c>
      <c r="S46" s="38">
        <f>'Evolutitve SCI'!R14</f>
        <v>0</v>
      </c>
      <c r="T46" s="38">
        <f>'Evolutitve SCI'!S14</f>
        <v>0</v>
      </c>
      <c r="U46" s="38">
        <f>'Evolutitve SCI'!T14</f>
        <v>0</v>
      </c>
      <c r="V46" s="38">
        <f>'Evolutitve SCI'!U14</f>
        <v>0</v>
      </c>
      <c r="W46" s="38">
        <f>'Evolutitve SCI'!V14</f>
        <v>0</v>
      </c>
      <c r="X46" s="38">
        <f>'Evolutitve SCI'!W14</f>
        <v>0</v>
      </c>
      <c r="Y46" s="38">
        <f>'Evolutitve SCI'!X14</f>
        <v>0</v>
      </c>
      <c r="Z46" s="38">
        <f>'Evolutitve SCI'!Y14</f>
        <v>0</v>
      </c>
      <c r="AA46" s="38">
        <f>'Evolutitve SCI'!Z14</f>
        <v>0</v>
      </c>
      <c r="AB46" s="38">
        <f>'Evolutitve SCI'!AA14</f>
        <v>0</v>
      </c>
      <c r="AC46" s="38">
        <f>'Evolutitve SCI'!AB14</f>
        <v>0</v>
      </c>
      <c r="AD46" s="38">
        <f>'Evolutitve SCI'!AC14</f>
        <v>0</v>
      </c>
      <c r="AE46" s="38">
        <f>'Evolutitve SCI'!AD14</f>
        <v>0</v>
      </c>
      <c r="AF46" s="38">
        <f>'Evolutitve SCI'!AE14</f>
        <v>0</v>
      </c>
      <c r="AG46" s="38">
        <f>'Evolutitve SCI'!AF14</f>
        <v>0</v>
      </c>
      <c r="AH46" s="38">
        <f>'Evolutitve SCI'!AG14</f>
        <v>0</v>
      </c>
      <c r="AI46" s="38">
        <f>'Evolutitve SCI'!AH14</f>
        <v>0</v>
      </c>
      <c r="AJ46" s="38">
        <f>'Evolutitve SCI'!AI14</f>
        <v>0</v>
      </c>
      <c r="AK46" s="38">
        <f>'Evolutitve SCI'!AJ14</f>
        <v>0</v>
      </c>
      <c r="AL46" s="38">
        <f>'Evolutitve SCI'!AK14</f>
        <v>0</v>
      </c>
      <c r="AM46" s="38">
        <f>'Evolutitve SCI'!AL14</f>
        <v>0</v>
      </c>
      <c r="AN46" s="38">
        <f>'Evolutitve SCI'!AM14</f>
        <v>0</v>
      </c>
      <c r="AO46" s="38">
        <f>'Evolutitve SCI'!AN14</f>
        <v>0</v>
      </c>
      <c r="AP46" s="38">
        <f>'Evolutitve SCI'!AO14</f>
        <v>0</v>
      </c>
      <c r="AQ46" s="38">
        <f>'Evolutitve SCI'!AP14</f>
        <v>0</v>
      </c>
    </row>
    <row r="47" spans="1:43">
      <c r="A47" s="9">
        <v>10.4</v>
      </c>
      <c r="B47" s="9" t="s">
        <v>197</v>
      </c>
      <c r="C47" s="38">
        <f>'Evolutitve SCI'!B23</f>
        <v>10962289.879999999</v>
      </c>
      <c r="D47" s="38">
        <f>'Evolutitve SCI'!C23</f>
        <v>22677463.779999997</v>
      </c>
      <c r="E47" s="38">
        <f>'Evolutitve SCI'!D23</f>
        <v>36524898.970000006</v>
      </c>
      <c r="F47" s="38">
        <f>'Evolutitve SCI'!E23</f>
        <v>47354729.18</v>
      </c>
      <c r="G47" s="38">
        <f>'Evolutitve SCI'!F23</f>
        <v>58963797.119999997</v>
      </c>
      <c r="H47" s="38">
        <f>'Evolutitve SCI'!G23</f>
        <v>70663335.060000002</v>
      </c>
      <c r="I47" s="38">
        <f>'Evolutitve SCI'!H23</f>
        <v>168090832.22</v>
      </c>
      <c r="J47" s="38">
        <f>'Evolutitve SCI'!I23</f>
        <v>100495858.5</v>
      </c>
      <c r="K47" s="38">
        <f>'Evolutitve SCI'!J23</f>
        <v>117645616.35000001</v>
      </c>
      <c r="L47" s="38">
        <f>'Evolutitve SCI'!K23</f>
        <v>134795374.19999999</v>
      </c>
      <c r="M47" s="38">
        <f>'Evolutitve SCI'!L23</f>
        <v>151906035.41</v>
      </c>
      <c r="N47" s="38">
        <f>'Evolutitve SCI'!M23</f>
        <v>191608554.67000002</v>
      </c>
      <c r="O47" s="38">
        <f>'Evolutitve SCI'!N23</f>
        <v>185721000</v>
      </c>
      <c r="P47" s="38">
        <f>'Evolutitve SCI'!O23</f>
        <v>10846230.969999999</v>
      </c>
      <c r="Q47" s="38">
        <f>'Evolutitve SCI'!P23</f>
        <v>21982578.369999997</v>
      </c>
      <c r="R47" s="38">
        <f>'Evolutitve SCI'!Q23</f>
        <v>37475057.380000003</v>
      </c>
      <c r="S47" s="38">
        <f>'Evolutitve SCI'!R23</f>
        <v>48649307.43</v>
      </c>
      <c r="T47" s="38">
        <f>'Evolutitve SCI'!S23</f>
        <v>62591798.99000001</v>
      </c>
      <c r="U47" s="38">
        <f>'Evolutitve SCI'!T23</f>
        <v>76654683.590000004</v>
      </c>
      <c r="V47" s="38">
        <f>'Evolutitve SCI'!U23</f>
        <v>92833082.729999989</v>
      </c>
      <c r="W47" s="38">
        <f>'Evolutitve SCI'!V23</f>
        <v>123409558.09999999</v>
      </c>
      <c r="X47" s="38">
        <f>'Evolutitve SCI'!W23</f>
        <v>140984036.29000002</v>
      </c>
      <c r="Y47" s="38">
        <f>'Evolutitve SCI'!X23</f>
        <v>162141307</v>
      </c>
      <c r="Z47" s="38">
        <f>'Evolutitve SCI'!Y23</f>
        <v>179926438.02000001</v>
      </c>
      <c r="AA47" s="38">
        <f>'Evolutitve SCI'!Z23</f>
        <v>230712848.37</v>
      </c>
      <c r="AB47" s="38">
        <f>'Evolutitve SCI'!AA23</f>
        <v>221399000</v>
      </c>
      <c r="AC47" s="38">
        <f>'Evolutitve SCI'!AB23</f>
        <v>12736721.35</v>
      </c>
      <c r="AD47" s="38">
        <f>'Evolutitve SCI'!AC23</f>
        <v>27141109.879999995</v>
      </c>
      <c r="AE47" s="38">
        <f>'Evolutitve SCI'!AD23</f>
        <v>44857402.710000008</v>
      </c>
      <c r="AF47" s="38">
        <f>'Evolutitve SCI'!AE23</f>
        <v>67367159.489999995</v>
      </c>
      <c r="AG47" s="38">
        <f>'Evolutitve SCI'!AF23</f>
        <v>88462970.019999996</v>
      </c>
      <c r="AH47" s="38">
        <f>'Evolutitve SCI'!AG23</f>
        <v>108899250.25999999</v>
      </c>
      <c r="AI47" s="38">
        <f>'Evolutitve SCI'!AH23</f>
        <v>140312119</v>
      </c>
      <c r="AJ47" s="38">
        <f>'Evolutitve SCI'!AI23</f>
        <v>170552711.63</v>
      </c>
      <c r="AK47" s="38">
        <f>'Evolutitve SCI'!AJ23</f>
        <v>192600385.26000002</v>
      </c>
      <c r="AL47" s="38">
        <f>'Evolutitve SCI'!AK23</f>
        <v>214961378.72</v>
      </c>
      <c r="AM47" s="38">
        <f>'Evolutitve SCI'!AL23</f>
        <v>246657947.75999999</v>
      </c>
      <c r="AN47" s="38">
        <f>'Evolutitve SCI'!AM23</f>
        <v>305079004.81</v>
      </c>
      <c r="AO47" s="38">
        <f>'Evolutitve SCI'!AN23</f>
        <v>308034000</v>
      </c>
      <c r="AP47" s="38">
        <f>'Evolutitve SCI'!AO23</f>
        <v>0</v>
      </c>
      <c r="AQ47" s="38">
        <f>'Evolutitve SCI'!AP23</f>
        <v>0</v>
      </c>
    </row>
    <row r="50" spans="2:2" ht="15.6">
      <c r="B50" s="172" t="s">
        <v>198</v>
      </c>
    </row>
    <row r="51" spans="2:2">
      <c r="B51" s="173" t="s">
        <v>66</v>
      </c>
    </row>
    <row r="52" spans="2:2">
      <c r="B52" s="173" t="s">
        <v>199</v>
      </c>
    </row>
    <row r="53" spans="2:2">
      <c r="B53" s="173" t="s">
        <v>200</v>
      </c>
    </row>
    <row r="54" spans="2:2">
      <c r="B54" s="173" t="s">
        <v>85</v>
      </c>
    </row>
    <row r="55" spans="2:2">
      <c r="B55" s="173" t="s">
        <v>201</v>
      </c>
    </row>
    <row r="56" spans="2:2">
      <c r="B56" s="173" t="s">
        <v>202</v>
      </c>
    </row>
    <row r="57" spans="2:2">
      <c r="B57" s="173" t="s">
        <v>203</v>
      </c>
    </row>
    <row r="58" spans="2:2">
      <c r="B58" s="173" t="s">
        <v>204</v>
      </c>
    </row>
    <row r="59" spans="2:2">
      <c r="B59" s="173" t="s">
        <v>205</v>
      </c>
    </row>
    <row r="60" spans="2:2">
      <c r="B60" s="174" t="s">
        <v>187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>
      <selection activeCell="C37" sqref="C37"/>
    </sheetView>
  </sheetViews>
  <sheetFormatPr defaultRowHeight="14.45"/>
  <cols>
    <col min="1" max="1" width="54.85546875" style="41" bestFit="1" customWidth="1"/>
    <col min="2" max="2" width="15" style="41" bestFit="1" customWidth="1"/>
    <col min="3" max="3" width="14.5703125" style="41" bestFit="1" customWidth="1"/>
    <col min="4" max="4" width="14" bestFit="1" customWidth="1"/>
    <col min="5" max="5" width="15.42578125" bestFit="1" customWidth="1"/>
    <col min="6" max="6" width="10.5703125" bestFit="1" customWidth="1"/>
  </cols>
  <sheetData>
    <row r="1" spans="1:8">
      <c r="A1" s="293" t="s">
        <v>206</v>
      </c>
      <c r="B1" s="293"/>
      <c r="C1" s="293"/>
    </row>
    <row r="2" spans="1:8">
      <c r="B2" s="42">
        <v>2015</v>
      </c>
      <c r="C2" s="42">
        <v>2014</v>
      </c>
    </row>
    <row r="3" spans="1:8">
      <c r="A3" s="43" t="s">
        <v>207</v>
      </c>
      <c r="B3" s="44"/>
      <c r="C3" s="45"/>
    </row>
    <row r="4" spans="1:8">
      <c r="A4" s="46" t="s">
        <v>208</v>
      </c>
      <c r="B4" s="47"/>
      <c r="C4" s="48"/>
      <c r="D4" s="47"/>
      <c r="F4" s="40"/>
    </row>
    <row r="5" spans="1:8">
      <c r="A5" s="46" t="s">
        <v>209</v>
      </c>
      <c r="B5" s="49"/>
      <c r="C5" s="50"/>
    </row>
    <row r="6" spans="1:8" ht="17.100000000000001">
      <c r="A6" s="46" t="s">
        <v>210</v>
      </c>
      <c r="B6" s="51"/>
      <c r="C6" s="52"/>
    </row>
    <row r="7" spans="1:8" ht="17.100000000000001">
      <c r="A7" s="46" t="s">
        <v>211</v>
      </c>
      <c r="B7" s="48"/>
      <c r="C7" s="50"/>
      <c r="E7" s="51"/>
      <c r="F7" s="52"/>
    </row>
    <row r="8" spans="1:8" ht="17.100000000000001">
      <c r="A8" s="53" t="s">
        <v>212</v>
      </c>
      <c r="B8" s="54">
        <f>B4+B5+B6+B7</f>
        <v>0</v>
      </c>
      <c r="C8" s="55">
        <f>SUM(C4:C7)</f>
        <v>0</v>
      </c>
      <c r="H8" s="56"/>
    </row>
    <row r="9" spans="1:8">
      <c r="A9" s="46" t="s">
        <v>213</v>
      </c>
      <c r="B9" s="49">
        <v>-21420750</v>
      </c>
      <c r="C9" s="50">
        <v>-19341453</v>
      </c>
      <c r="E9" s="57"/>
    </row>
    <row r="10" spans="1:8">
      <c r="A10" s="46" t="s">
        <v>214</v>
      </c>
      <c r="B10" s="49">
        <v>3405679</v>
      </c>
      <c r="C10" s="50">
        <v>644537</v>
      </c>
    </row>
    <row r="11" spans="1:8" ht="17.100000000000001">
      <c r="A11" s="46" t="s">
        <v>215</v>
      </c>
      <c r="B11" s="58"/>
      <c r="C11" s="52"/>
    </row>
    <row r="12" spans="1:8">
      <c r="A12" s="59" t="s">
        <v>216</v>
      </c>
      <c r="B12" s="60">
        <f>SUM(B9:B11)</f>
        <v>-18015071</v>
      </c>
      <c r="C12" s="61">
        <f>SUM(C9:C11)</f>
        <v>-18696916</v>
      </c>
    </row>
    <row r="13" spans="1:8">
      <c r="A13" s="62" t="s">
        <v>217</v>
      </c>
      <c r="B13" s="49">
        <v>37542318</v>
      </c>
      <c r="C13" s="50">
        <v>70912356</v>
      </c>
    </row>
    <row r="14" spans="1:8">
      <c r="A14" s="62" t="s">
        <v>218</v>
      </c>
      <c r="B14" s="48">
        <v>-2636186</v>
      </c>
      <c r="C14" s="50">
        <v>17927</v>
      </c>
    </row>
    <row r="15" spans="1:8">
      <c r="A15" s="62" t="s">
        <v>219</v>
      </c>
      <c r="B15" s="48">
        <v>-7154210</v>
      </c>
      <c r="C15" s="50">
        <v>-4536404</v>
      </c>
    </row>
    <row r="16" spans="1:8">
      <c r="A16" s="62" t="s">
        <v>220</v>
      </c>
      <c r="B16" s="48">
        <v>-312508</v>
      </c>
      <c r="C16" s="50">
        <v>-2877539</v>
      </c>
    </row>
    <row r="17" spans="1:5">
      <c r="A17" s="63" t="s">
        <v>221</v>
      </c>
      <c r="B17" s="64">
        <f>B8+B12+B13+B14+B15+B16</f>
        <v>9424343</v>
      </c>
      <c r="C17" s="64">
        <f>C8+C12+C13+C14+C15+C16</f>
        <v>44819424</v>
      </c>
    </row>
    <row r="18" spans="1:5" ht="17.100000000000001">
      <c r="A18" s="62" t="s">
        <v>222</v>
      </c>
      <c r="B18" s="58"/>
      <c r="C18" s="52"/>
    </row>
    <row r="19" spans="1:5" ht="17.100000000000001">
      <c r="A19" s="63" t="s">
        <v>223</v>
      </c>
      <c r="B19" s="65">
        <f>B17+B18</f>
        <v>9424343</v>
      </c>
      <c r="C19" s="66">
        <f>C17+C18</f>
        <v>44819424</v>
      </c>
    </row>
    <row r="20" spans="1:5">
      <c r="A20" s="62"/>
      <c r="B20" s="67"/>
      <c r="C20" s="68"/>
    </row>
    <row r="21" spans="1:5">
      <c r="A21" s="63" t="s">
        <v>224</v>
      </c>
      <c r="B21" s="44"/>
      <c r="C21" s="69"/>
    </row>
    <row r="22" spans="1:5">
      <c r="A22" s="62" t="s">
        <v>225</v>
      </c>
      <c r="B22" s="48">
        <v>-987736</v>
      </c>
      <c r="C22" s="50">
        <v>-4053993</v>
      </c>
    </row>
    <row r="23" spans="1:5">
      <c r="A23" s="62" t="s">
        <v>226</v>
      </c>
      <c r="B23" s="48"/>
      <c r="C23" s="50"/>
    </row>
    <row r="24" spans="1:5">
      <c r="A24" s="62" t="s">
        <v>227</v>
      </c>
      <c r="B24" s="48"/>
      <c r="C24" s="48"/>
    </row>
    <row r="25" spans="1:5">
      <c r="A25" s="62" t="s">
        <v>228</v>
      </c>
      <c r="B25" s="48"/>
      <c r="C25" s="50"/>
    </row>
    <row r="26" spans="1:5">
      <c r="A26" s="62" t="s">
        <v>229</v>
      </c>
      <c r="B26" s="48">
        <v>-286875</v>
      </c>
      <c r="C26" s="50">
        <v>-534318</v>
      </c>
    </row>
    <row r="27" spans="1:5" ht="17.100000000000001">
      <c r="A27" s="62" t="s">
        <v>230</v>
      </c>
      <c r="B27" s="58"/>
      <c r="C27" s="52"/>
    </row>
    <row r="28" spans="1:5" ht="17.100000000000001">
      <c r="A28" s="63" t="s">
        <v>231</v>
      </c>
      <c r="B28" s="54">
        <f>SUM(B22:B27)</f>
        <v>-1274611</v>
      </c>
      <c r="C28" s="55">
        <f>SUM(C22:C27)</f>
        <v>-4588311</v>
      </c>
      <c r="E28" s="40">
        <f>810794136-637456683</f>
        <v>173337453</v>
      </c>
    </row>
    <row r="29" spans="1:5">
      <c r="A29" s="62"/>
      <c r="B29" s="67"/>
      <c r="C29" s="68"/>
    </row>
    <row r="30" spans="1:5">
      <c r="A30" s="63" t="s">
        <v>232</v>
      </c>
      <c r="B30" s="44"/>
      <c r="C30" s="69"/>
    </row>
    <row r="31" spans="1:5">
      <c r="A31" s="62" t="s">
        <v>233</v>
      </c>
      <c r="B31" s="48">
        <v>34941877</v>
      </c>
      <c r="C31" s="50">
        <v>17467705</v>
      </c>
    </row>
    <row r="32" spans="1:5">
      <c r="A32" s="62" t="s">
        <v>234</v>
      </c>
      <c r="B32" s="48"/>
      <c r="C32" s="50"/>
    </row>
    <row r="33" spans="1:3">
      <c r="A33" s="62" t="s">
        <v>235</v>
      </c>
      <c r="B33" s="48"/>
      <c r="C33" s="50"/>
    </row>
    <row r="34" spans="1:3">
      <c r="A34" s="62" t="s">
        <v>236</v>
      </c>
      <c r="B34" s="48">
        <v>-6887998</v>
      </c>
      <c r="C34" s="50">
        <v>-6887998</v>
      </c>
    </row>
    <row r="35" spans="1:3" ht="17.100000000000001">
      <c r="A35" s="62" t="s">
        <v>237</v>
      </c>
      <c r="B35" s="58">
        <v>0</v>
      </c>
      <c r="C35" s="52">
        <v>0</v>
      </c>
    </row>
    <row r="36" spans="1:3" ht="17.100000000000001">
      <c r="A36" s="63" t="s">
        <v>238</v>
      </c>
      <c r="B36" s="54">
        <f>SUM(B31:B35)</f>
        <v>28053879</v>
      </c>
      <c r="C36" s="55">
        <f>SUM(C31:C35)</f>
        <v>10579707</v>
      </c>
    </row>
    <row r="37" spans="1:3">
      <c r="A37" s="63" t="s">
        <v>239</v>
      </c>
      <c r="B37" s="70">
        <f>B19+B28+B36</f>
        <v>36203611</v>
      </c>
      <c r="C37" s="71">
        <f>C19+C28+C36</f>
        <v>50810820</v>
      </c>
    </row>
    <row r="38" spans="1:3" ht="17.100000000000001">
      <c r="A38" s="62" t="s">
        <v>240</v>
      </c>
      <c r="B38" s="72">
        <v>207318182</v>
      </c>
      <c r="C38" s="73">
        <v>134933687</v>
      </c>
    </row>
    <row r="39" spans="1:3" ht="17.100000000000001">
      <c r="A39" s="63" t="s">
        <v>241</v>
      </c>
      <c r="B39" s="65">
        <f>SUM(B37:B38)</f>
        <v>243521793</v>
      </c>
      <c r="C39" s="74">
        <f>SUM(C37:C38)</f>
        <v>185744507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D63"/>
  <sheetViews>
    <sheetView zoomScale="98" zoomScaleNormal="98" zoomScaleSheetLayoutView="100" workbookViewId="0">
      <pane xSplit="3" topLeftCell="P1" activePane="topRight" state="frozen"/>
      <selection pane="topRight" activeCell="AD4" sqref="AD4:AP4"/>
    </sheetView>
  </sheetViews>
  <sheetFormatPr defaultColWidth="9.140625" defaultRowHeight="12.6"/>
  <cols>
    <col min="1" max="1" width="36.42578125" style="79" customWidth="1"/>
    <col min="2" max="2" width="10.42578125" style="78" bestFit="1" customWidth="1"/>
    <col min="3" max="3" width="5.85546875" style="79" bestFit="1" customWidth="1"/>
    <col min="4" max="4" width="9.140625" style="79" hidden="1" customWidth="1"/>
    <col min="5" max="5" width="8.140625" style="79" hidden="1" customWidth="1"/>
    <col min="6" max="15" width="0" style="79" hidden="1" customWidth="1"/>
    <col min="16" max="16" width="12.42578125" style="79" customWidth="1"/>
    <col min="17" max="17" width="0" style="79" hidden="1" customWidth="1"/>
    <col min="18" max="18" width="13.42578125" style="79" hidden="1" customWidth="1"/>
    <col min="19" max="19" width="12.85546875" style="79" customWidth="1"/>
    <col min="20" max="20" width="13" style="79" hidden="1" customWidth="1"/>
    <col min="21" max="21" width="12.140625" style="79" hidden="1" customWidth="1"/>
    <col min="22" max="22" width="9.140625" style="79"/>
    <col min="23" max="23" width="0" style="79" hidden="1" customWidth="1"/>
    <col min="24" max="24" width="11.5703125" style="79" hidden="1" customWidth="1"/>
    <col min="25" max="25" width="11.140625" style="79" customWidth="1"/>
    <col min="26" max="26" width="0" style="79" hidden="1" customWidth="1"/>
    <col min="27" max="27" width="18.42578125" style="79" hidden="1" customWidth="1"/>
    <col min="28" max="28" width="17.5703125" style="79" customWidth="1"/>
    <col min="29" max="29" width="19.85546875" style="79" customWidth="1"/>
    <col min="30" max="16384" width="9.140625" style="79"/>
  </cols>
  <sheetData>
    <row r="1" spans="1:56">
      <c r="A1" s="77" t="s">
        <v>242</v>
      </c>
    </row>
    <row r="2" spans="1:56" ht="12.95" thickBot="1">
      <c r="A2" s="80" t="s">
        <v>243</v>
      </c>
    </row>
    <row r="3" spans="1:56" s="80" customFormat="1" ht="15" customHeight="1">
      <c r="A3" s="81"/>
      <c r="B3" s="82"/>
      <c r="C3" s="83"/>
    </row>
    <row r="4" spans="1:56" s="80" customFormat="1" ht="29.45">
      <c r="A4" s="181" t="s">
        <v>244</v>
      </c>
      <c r="B4" s="182" t="s">
        <v>245</v>
      </c>
      <c r="C4" s="183" t="s">
        <v>246</v>
      </c>
      <c r="D4" s="184">
        <v>43831</v>
      </c>
      <c r="E4" s="184">
        <v>43862</v>
      </c>
      <c r="F4" s="184">
        <v>43891</v>
      </c>
      <c r="G4" s="184">
        <v>43922</v>
      </c>
      <c r="H4" s="184">
        <v>43952</v>
      </c>
      <c r="I4" s="184">
        <v>43983</v>
      </c>
      <c r="J4" s="184">
        <v>44013</v>
      </c>
      <c r="K4" s="184">
        <v>44044</v>
      </c>
      <c r="L4" s="184">
        <v>44075</v>
      </c>
      <c r="M4" s="184">
        <v>44105</v>
      </c>
      <c r="N4" s="184">
        <v>44136</v>
      </c>
      <c r="O4" s="184">
        <v>44166</v>
      </c>
      <c r="P4" s="184" t="s">
        <v>156</v>
      </c>
      <c r="Q4" s="214">
        <v>44197</v>
      </c>
      <c r="R4" s="214">
        <v>44228</v>
      </c>
      <c r="S4" s="214">
        <v>44256</v>
      </c>
      <c r="T4" s="214">
        <v>44287</v>
      </c>
      <c r="U4" s="214">
        <v>44317</v>
      </c>
      <c r="V4" s="214">
        <v>44348</v>
      </c>
      <c r="W4" s="214">
        <v>44378</v>
      </c>
      <c r="X4" s="214">
        <v>44409</v>
      </c>
      <c r="Y4" s="214">
        <v>44440</v>
      </c>
      <c r="Z4" s="214">
        <v>44470</v>
      </c>
      <c r="AA4" s="214">
        <v>44501</v>
      </c>
      <c r="AB4" s="214">
        <v>44531</v>
      </c>
      <c r="AC4" s="215" t="s">
        <v>1</v>
      </c>
      <c r="AD4" s="287">
        <v>44562</v>
      </c>
      <c r="AE4" s="287">
        <v>44593</v>
      </c>
      <c r="AF4" s="287">
        <v>44621</v>
      </c>
      <c r="AG4" s="287">
        <v>44652</v>
      </c>
      <c r="AH4" s="287">
        <v>44682</v>
      </c>
      <c r="AI4" s="287">
        <v>44713</v>
      </c>
      <c r="AJ4" s="287">
        <v>44743</v>
      </c>
      <c r="AK4" s="287">
        <v>44774</v>
      </c>
      <c r="AL4" s="287">
        <v>44805</v>
      </c>
      <c r="AM4" s="287">
        <v>44835</v>
      </c>
      <c r="AN4" s="287">
        <v>44866</v>
      </c>
      <c r="AO4" s="287">
        <v>44896</v>
      </c>
      <c r="AP4" s="287">
        <v>44927</v>
      </c>
    </row>
    <row r="5" spans="1:56" s="80" customFormat="1" ht="14.1">
      <c r="A5" s="185" t="s">
        <v>247</v>
      </c>
      <c r="B5" s="186"/>
      <c r="C5" s="187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56" s="80" customFormat="1" ht="14.1">
      <c r="A6" s="189" t="s">
        <v>248</v>
      </c>
      <c r="B6" s="190" t="s">
        <v>249</v>
      </c>
      <c r="C6" s="191" t="s">
        <v>250</v>
      </c>
      <c r="D6" s="192">
        <f>Financials!C11/1000000</f>
        <v>737.17807335999998</v>
      </c>
      <c r="E6" s="192">
        <f>Financials!D11/1000000</f>
        <v>761.19551391000005</v>
      </c>
      <c r="F6" s="192">
        <f>Financials!E11/1000000</f>
        <v>772.71667023999998</v>
      </c>
      <c r="G6" s="192">
        <f>Financials!F11/1000000</f>
        <v>791.23496544999989</v>
      </c>
      <c r="H6" s="192">
        <f>Financials!G11/1000000</f>
        <v>813.64083277999998</v>
      </c>
      <c r="I6" s="192">
        <f>Financials!H11/1000000</f>
        <v>837.87222050000003</v>
      </c>
      <c r="J6" s="192">
        <f>Financials!I11/1000000</f>
        <v>859.01278429999991</v>
      </c>
      <c r="K6" s="192">
        <f>Financials!J11/1000000</f>
        <v>867.81054166999991</v>
      </c>
      <c r="L6" s="192">
        <f>Financials!K11/1000000</f>
        <v>886.94207334999987</v>
      </c>
      <c r="M6" s="192">
        <f>Financials!L11/1000000</f>
        <v>907.39017349999995</v>
      </c>
      <c r="N6" s="192">
        <f>Financials!M11/1000000</f>
        <v>921.93901576999997</v>
      </c>
      <c r="O6" s="192">
        <f>Financials!N11/1000000</f>
        <v>928.50222143999997</v>
      </c>
      <c r="P6" s="192">
        <f>Financials!O11/1000000</f>
        <v>969.03499999999997</v>
      </c>
      <c r="Q6" s="192">
        <f>Financials!P11/1000000</f>
        <v>883.81580741000005</v>
      </c>
      <c r="R6" s="192">
        <f>Financials!Q11/1000000</f>
        <v>896.96288476000007</v>
      </c>
      <c r="S6" s="192">
        <f>Financials!R11/1000000</f>
        <v>996.37579671000003</v>
      </c>
      <c r="T6" s="192">
        <f>Financials!S11/1000000</f>
        <v>1012.5028984700001</v>
      </c>
      <c r="U6" s="192">
        <f>Financials!T11/1000000</f>
        <v>1027.56818479</v>
      </c>
      <c r="V6" s="192">
        <f>Financials!U11/1000000</f>
        <v>1085.9730183800002</v>
      </c>
      <c r="W6" s="192">
        <f>Financials!V11/1000000</f>
        <v>1107.94047344</v>
      </c>
      <c r="X6" s="192">
        <f>Financials!W11/1000000</f>
        <v>1114.53283822</v>
      </c>
      <c r="Y6" s="192">
        <f>Financials!X11/1000000</f>
        <v>1147.7996245100001</v>
      </c>
      <c r="Z6" s="192">
        <f>Financials!Y11/1000000</f>
        <v>1157.4133939400001</v>
      </c>
      <c r="AA6" s="192">
        <f>Financials!Z11/1000000</f>
        <v>1245.8321403200002</v>
      </c>
      <c r="AB6" s="192">
        <f>Financials!AA11/1000000</f>
        <v>1115.06639107</v>
      </c>
      <c r="AC6" s="192">
        <f>Financials!AB11/1000000</f>
        <v>939.73</v>
      </c>
      <c r="AD6" s="192">
        <f>Financials!AC11/1000000</f>
        <v>1132.0706683999999</v>
      </c>
      <c r="AE6" s="192">
        <f>Financials!AD11/1000000</f>
        <v>1174.9271797599999</v>
      </c>
      <c r="AF6" s="192">
        <f>Financials!AE11/1000000</f>
        <v>1218.2794064099999</v>
      </c>
      <c r="AG6" s="192">
        <f>Financials!AF11/1000000</f>
        <v>1248.5530321900001</v>
      </c>
      <c r="AH6" s="192">
        <f>Financials!AG11/1000000</f>
        <v>1289.4264659400001</v>
      </c>
      <c r="AI6" s="192">
        <f>Financials!AH11/1000000</f>
        <v>1330.9084223499999</v>
      </c>
      <c r="AJ6" s="192">
        <f>Financials!AI11/1000000</f>
        <v>1347.01949246</v>
      </c>
      <c r="AK6" s="192">
        <f>Financials!AJ11/1000000</f>
        <v>1374.27907301</v>
      </c>
      <c r="AL6" s="192">
        <f>Financials!AK11/1000000</f>
        <v>1419.0377070299999</v>
      </c>
      <c r="AM6" s="192">
        <f>Financials!AL11/1000000</f>
        <v>1463.2080417899999</v>
      </c>
      <c r="AN6" s="192">
        <f>Financials!AM11/1000000</f>
        <v>1497.5745065000001</v>
      </c>
      <c r="AO6" s="192">
        <f>Financials!AN11/1000000</f>
        <v>1379.4605667799999</v>
      </c>
      <c r="AP6" s="192">
        <f>Financials!AO11/1000000</f>
        <v>1340.5409999999999</v>
      </c>
      <c r="AQ6" s="192">
        <f>Financials!AP11/1000000</f>
        <v>0</v>
      </c>
      <c r="AR6" s="192">
        <f>Financials!AQ11/1000000</f>
        <v>0</v>
      </c>
      <c r="AS6" s="192">
        <f>Financials!AR11/1000000</f>
        <v>0</v>
      </c>
      <c r="AT6" s="192">
        <f>Financials!AS11/1000000</f>
        <v>0</v>
      </c>
      <c r="AU6" s="192">
        <f>Financials!AT11/1000000</f>
        <v>0</v>
      </c>
      <c r="AV6" s="192">
        <f>Financials!AU11/1000000</f>
        <v>0</v>
      </c>
      <c r="AW6" s="192">
        <f>Financials!AV11/1000000</f>
        <v>0</v>
      </c>
      <c r="AX6" s="192">
        <f>Financials!AW11/1000000</f>
        <v>0</v>
      </c>
      <c r="AY6" s="192">
        <f>Financials!AX11/1000000</f>
        <v>0</v>
      </c>
      <c r="AZ6" s="192">
        <f>Financials!AY11/1000000</f>
        <v>0</v>
      </c>
      <c r="BA6" s="192">
        <f>Financials!AZ11/1000000</f>
        <v>0</v>
      </c>
      <c r="BB6" s="192">
        <f>Financials!BA11/1000000</f>
        <v>0</v>
      </c>
      <c r="BC6" s="192">
        <f>Financials!BB11/1000000</f>
        <v>0</v>
      </c>
      <c r="BD6" s="192">
        <f>Financials!BC11/1000000</f>
        <v>0</v>
      </c>
    </row>
    <row r="7" spans="1:56" s="80" customFormat="1" ht="14.1">
      <c r="A7" s="189" t="s">
        <v>251</v>
      </c>
      <c r="B7" s="190" t="s">
        <v>252</v>
      </c>
      <c r="C7" s="191" t="s">
        <v>253</v>
      </c>
      <c r="D7" s="193">
        <f>Financials!C11/Financials!C4</f>
        <v>0.10654463546837674</v>
      </c>
      <c r="E7" s="193">
        <f>Financials!D11/Financials!D4</f>
        <v>0.10984823371995155</v>
      </c>
      <c r="F7" s="193">
        <f>Financials!E11/Financials!E4</f>
        <v>0.11521163583423182</v>
      </c>
      <c r="G7" s="193">
        <f>Financials!F11/Financials!F4</f>
        <v>0.11727833951111788</v>
      </c>
      <c r="H7" s="193">
        <f>Financials!G11/Financials!G4</f>
        <v>0.11871892228434645</v>
      </c>
      <c r="I7" s="193">
        <f>Financials!H11/Financials!H4</f>
        <v>0.12011943345731448</v>
      </c>
      <c r="J7" s="193">
        <f>Financials!I11/Financials!I4</f>
        <v>0.12076843033422625</v>
      </c>
      <c r="K7" s="193">
        <f>Financials!J11/Financials!J4</f>
        <v>0.12033802674565028</v>
      </c>
      <c r="L7" s="193">
        <f>Financials!K11/Financials!K4</f>
        <v>0.12151620061743912</v>
      </c>
      <c r="M7" s="193">
        <f>Financials!L11/Financials!L4</f>
        <v>0.12324800780433347</v>
      </c>
      <c r="N7" s="193">
        <f>Financials!M11/Financials!M4</f>
        <v>0.12241404898791979</v>
      </c>
      <c r="O7" s="193">
        <f>Financials!N11/Financials!N4</f>
        <v>0.12121558650562582</v>
      </c>
      <c r="P7" s="193">
        <f>Financials!O11/Financials!O4</f>
        <v>0.12647882867867158</v>
      </c>
      <c r="Q7" s="193">
        <f>Financials!P11/Financials!P4</f>
        <v>0.11548560143613033</v>
      </c>
      <c r="R7" s="193">
        <f>Financials!Q11/Financials!Q4</f>
        <v>0.11677620638082288</v>
      </c>
      <c r="S7" s="193">
        <f>Financials!R11/Financials!R4</f>
        <v>0.12935126014950196</v>
      </c>
      <c r="T7" s="193">
        <f>Financials!S11/Financials!S4</f>
        <v>0.1301337435556679</v>
      </c>
      <c r="U7" s="193">
        <f>Financials!T11/Financials!T4</f>
        <v>0.13199142008947379</v>
      </c>
      <c r="V7" s="193">
        <f>Financials!U11/Financials!U4</f>
        <v>0.13872555423490104</v>
      </c>
      <c r="W7" s="193">
        <f>Financials!V11/Financials!V4</f>
        <v>0.1388953782669137</v>
      </c>
      <c r="X7" s="193">
        <f>Financials!W11/Financials!W4</f>
        <v>0.13700514355771173</v>
      </c>
      <c r="Y7" s="193">
        <f>Financials!X11/Financials!X4</f>
        <v>0.139497032349161</v>
      </c>
      <c r="Z7" s="193">
        <f>Financials!Y11/Financials!Y4</f>
        <v>0.13913333322971944</v>
      </c>
      <c r="AA7" s="193">
        <f>Financials!Z11/Financials!Z4</f>
        <v>0.14765122883385279</v>
      </c>
      <c r="AB7" s="193">
        <f>Financials!AA11/Financials!AA4</f>
        <v>0.13065182205930417</v>
      </c>
      <c r="AC7" s="193">
        <f>Financials!AB11/Financials!AB4</f>
        <v>0.10964997489577634</v>
      </c>
      <c r="AD7" s="193">
        <f>Financials!AC11/Financials!AC4</f>
        <v>0.1307779754176755</v>
      </c>
      <c r="AE7" s="193">
        <f>Financials!AD11/Financials!AD4</f>
        <v>0.13407668665856637</v>
      </c>
      <c r="AF7" s="193">
        <f>Financials!AE11/Financials!AE4</f>
        <v>0.14201551662459461</v>
      </c>
      <c r="AG7" s="193">
        <f>Financials!AF11/Financials!AF4</f>
        <v>0.14521865234084155</v>
      </c>
      <c r="AH7" s="193">
        <f>Financials!AG11/Financials!AG4</f>
        <v>0.14861090824264031</v>
      </c>
      <c r="AI7" s="193">
        <f>Financials!AH11/Financials!AH4</f>
        <v>0.15189719540704039</v>
      </c>
      <c r="AJ7" s="193">
        <f>Financials!AI11/Financials!AI4</f>
        <v>0.15110758835023499</v>
      </c>
      <c r="AK7" s="193">
        <f>Financials!AJ11/Financials!AJ4</f>
        <v>0.15268800207030173</v>
      </c>
      <c r="AL7" s="193">
        <f>Financials!AK11/Financials!AK4</f>
        <v>0.15552302816151425</v>
      </c>
      <c r="AM7" s="193">
        <f>Financials!AL11/Financials!AL4</f>
        <v>0.15710141627273763</v>
      </c>
      <c r="AN7" s="193">
        <f>Financials!AM11/Financials!AM4</f>
        <v>0.15779903017058877</v>
      </c>
      <c r="AO7" s="193">
        <f>Financials!AN11/Financials!AN4</f>
        <v>0.14325836348539162</v>
      </c>
      <c r="AP7" s="193">
        <f>Financials!AO11/Financials!AO4</f>
        <v>0.14047857874607866</v>
      </c>
      <c r="AQ7" s="193" t="e">
        <f>Financials!AP11/Financials!AP4</f>
        <v>#DIV/0!</v>
      </c>
      <c r="AR7" s="193" t="e">
        <f>Financials!AQ11/Financials!AQ4</f>
        <v>#DIV/0!</v>
      </c>
      <c r="AS7" s="193" t="e">
        <f>Financials!AR11/Financials!AR4</f>
        <v>#DIV/0!</v>
      </c>
      <c r="AT7" s="193" t="e">
        <f>Financials!AS11/Financials!AS4</f>
        <v>#DIV/0!</v>
      </c>
      <c r="AU7" s="193" t="e">
        <f>Financials!AT11/Financials!AT4</f>
        <v>#DIV/0!</v>
      </c>
      <c r="AV7" s="193" t="e">
        <f>Financials!AU11/Financials!AU4</f>
        <v>#DIV/0!</v>
      </c>
      <c r="AW7" s="193" t="e">
        <f>Financials!AV11/Financials!AV4</f>
        <v>#DIV/0!</v>
      </c>
      <c r="AX7" s="193" t="e">
        <f>Financials!AW11/Financials!AW4</f>
        <v>#DIV/0!</v>
      </c>
      <c r="AY7" s="193" t="e">
        <f>Financials!AX11/Financials!AX4</f>
        <v>#DIV/0!</v>
      </c>
      <c r="AZ7" s="193" t="e">
        <f>Financials!AY11/Financials!AY4</f>
        <v>#DIV/0!</v>
      </c>
      <c r="BA7" s="193" t="e">
        <f>Financials!AZ11/Financials!AZ4</f>
        <v>#DIV/0!</v>
      </c>
      <c r="BB7" s="193" t="e">
        <f>Financials!BA11/Financials!BA4</f>
        <v>#DIV/0!</v>
      </c>
      <c r="BC7" s="193" t="e">
        <f>Financials!BB11/Financials!BB4</f>
        <v>#DIV/0!</v>
      </c>
      <c r="BD7" s="193" t="e">
        <f>Financials!BC11/Financials!BC4</f>
        <v>#DIV/0!</v>
      </c>
    </row>
    <row r="8" spans="1:56" s="80" customFormat="1" ht="14.1">
      <c r="A8" s="189" t="s">
        <v>254</v>
      </c>
      <c r="B8" s="190" t="s">
        <v>255</v>
      </c>
      <c r="C8" s="191" t="s">
        <v>256</v>
      </c>
      <c r="D8" s="193">
        <f>Financials!C11/Financials!C5</f>
        <v>0.13639996003421731</v>
      </c>
      <c r="E8" s="193">
        <f>Financials!D11/Financials!D5</f>
        <v>0.13882672242621383</v>
      </c>
      <c r="F8" s="193">
        <f>Financials!E11/Financials!E5</f>
        <v>0.13896628402470451</v>
      </c>
      <c r="G8" s="193">
        <f>Financials!F11/Financials!F5</f>
        <v>0.14138328425240859</v>
      </c>
      <c r="H8" s="193">
        <f>Financials!G11/Financials!G5</f>
        <v>0.14408246175351902</v>
      </c>
      <c r="I8" s="193">
        <f>Financials!H11/Financials!H5</f>
        <v>0.14690676529860447</v>
      </c>
      <c r="J8" s="193">
        <f>Financials!I11/Financials!I5</f>
        <v>0.14844853509287198</v>
      </c>
      <c r="K8" s="193">
        <f>Financials!J11/Financials!J5</f>
        <v>0.14876144802515545</v>
      </c>
      <c r="L8" s="193">
        <f>Financials!K11/Financials!K5</f>
        <v>0.15092761829654402</v>
      </c>
      <c r="M8" s="193">
        <f>Financials!L11/Financials!L5</f>
        <v>0.15234604616047218</v>
      </c>
      <c r="N8" s="193">
        <f>Financials!M11/Financials!M5</f>
        <v>0.15353237488110622</v>
      </c>
      <c r="O8" s="193">
        <f>Financials!N11/Financials!N5</f>
        <v>0.15463035130586816</v>
      </c>
      <c r="P8" s="193">
        <f>Financials!O11/Financials!O5</f>
        <v>0.16137087349280219</v>
      </c>
      <c r="Q8" s="193">
        <f>Financials!P11/Financials!P5</f>
        <v>0.14571293067716348</v>
      </c>
      <c r="R8" s="193">
        <f>Financials!Q11/Financials!Q5</f>
        <v>0.14186795581510994</v>
      </c>
      <c r="S8" s="193">
        <f>Financials!R11/Financials!R5</f>
        <v>0.15758276975976065</v>
      </c>
      <c r="T8" s="193">
        <f>Financials!S11/Financials!S5</f>
        <v>0.15890656469110548</v>
      </c>
      <c r="U8" s="193">
        <f>Financials!T11/Financials!T5</f>
        <v>0.16216395208085357</v>
      </c>
      <c r="V8" s="193">
        <f>Financials!U11/Financials!U5</f>
        <v>0.17182795954569197</v>
      </c>
      <c r="W8" s="193">
        <f>Financials!V11/Financials!V5</f>
        <v>0.17291756522435947</v>
      </c>
      <c r="X8" s="193">
        <f>Financials!W11/Financials!W5</f>
        <v>0.171478787579464</v>
      </c>
      <c r="Y8" s="193">
        <f>Financials!X11/Financials!X5</f>
        <v>0.1767991429682271</v>
      </c>
      <c r="Z8" s="193">
        <f>Financials!Y11/Financials!Y5</f>
        <v>0.17740263839455747</v>
      </c>
      <c r="AA8" s="193">
        <f>Financials!Z11/Financials!Z5</f>
        <v>0.1910784682507698</v>
      </c>
      <c r="AB8" s="193">
        <f>Financials!AA11/Financials!AA5</f>
        <v>0.16984951300958412</v>
      </c>
      <c r="AC8" s="193">
        <f>Financials!AB11/Financials!AB5</f>
        <v>0.14314085207290947</v>
      </c>
      <c r="AD8" s="193">
        <f>Financials!AC11/Financials!AC5</f>
        <v>0.17015824101020491</v>
      </c>
      <c r="AE8" s="193">
        <f>Financials!AD11/Financials!AD5</f>
        <v>0.1759880786024193</v>
      </c>
      <c r="AF8" s="193">
        <f>Financials!AE11/Financials!AE5</f>
        <v>0.17457848792979608</v>
      </c>
      <c r="AG8" s="193">
        <f>Financials!AF11/Financials!AF5</f>
        <v>0.17937413258411541</v>
      </c>
      <c r="AH8" s="193">
        <f>Financials!AG11/Financials!AG5</f>
        <v>0.18461595551216994</v>
      </c>
      <c r="AI8" s="193">
        <f>Financials!AH11/Financials!AH5</f>
        <v>0.19042233330096178</v>
      </c>
      <c r="AJ8" s="193">
        <f>Financials!AI11/Financials!AI5</f>
        <v>0.19035586653823328</v>
      </c>
      <c r="AK8" s="193">
        <f>Financials!AJ11/Financials!AJ5</f>
        <v>0.19376870728408951</v>
      </c>
      <c r="AL8" s="193">
        <f>Financials!AK11/Financials!AK5</f>
        <v>0.19967638978413024</v>
      </c>
      <c r="AM8" s="193">
        <f>Financials!AL11/Financials!AL5</f>
        <v>0.20314653684451051</v>
      </c>
      <c r="AN8" s="193">
        <f>Financials!AM11/Financials!AM5</f>
        <v>0.20546303262711729</v>
      </c>
      <c r="AO8" s="193">
        <f>Financials!AN11/Financials!AN5</f>
        <v>0.1880137556686467</v>
      </c>
      <c r="AP8" s="193">
        <f>Financials!AO11/Financials!AO5</f>
        <v>0.18270518336674535</v>
      </c>
      <c r="AQ8" s="193" t="e">
        <f>Financials!AP11/Financials!AP5</f>
        <v>#DIV/0!</v>
      </c>
      <c r="AR8" s="193" t="e">
        <f>Financials!AQ11/Financials!AQ5</f>
        <v>#DIV/0!</v>
      </c>
      <c r="AS8" s="193" t="e">
        <f>Financials!AR11/Financials!AR5</f>
        <v>#DIV/0!</v>
      </c>
      <c r="AT8" s="193" t="e">
        <f>Financials!AS11/Financials!AS5</f>
        <v>#DIV/0!</v>
      </c>
      <c r="AU8" s="193" t="e">
        <f>Financials!AT11/Financials!AT5</f>
        <v>#DIV/0!</v>
      </c>
      <c r="AV8" s="193" t="e">
        <f>Financials!AU11/Financials!AU5</f>
        <v>#DIV/0!</v>
      </c>
      <c r="AW8" s="193" t="e">
        <f>Financials!AV11/Financials!AV5</f>
        <v>#DIV/0!</v>
      </c>
      <c r="AX8" s="193" t="e">
        <f>Financials!AW11/Financials!AW5</f>
        <v>#DIV/0!</v>
      </c>
      <c r="AY8" s="193" t="e">
        <f>Financials!AX11/Financials!AX5</f>
        <v>#DIV/0!</v>
      </c>
      <c r="AZ8" s="193" t="e">
        <f>Financials!AY11/Financials!AY5</f>
        <v>#DIV/0!</v>
      </c>
      <c r="BA8" s="193" t="e">
        <f>Financials!AZ11/Financials!AZ5</f>
        <v>#DIV/0!</v>
      </c>
      <c r="BB8" s="193" t="e">
        <f>Financials!BA11/Financials!BA5</f>
        <v>#DIV/0!</v>
      </c>
      <c r="BC8" s="193" t="e">
        <f>Financials!BB11/Financials!BB5</f>
        <v>#DIV/0!</v>
      </c>
      <c r="BD8" s="193" t="e">
        <f>Financials!BC11/Financials!BC5</f>
        <v>#DIV/0!</v>
      </c>
    </row>
    <row r="9" spans="1:56" s="80" customFormat="1" ht="14.1" hidden="1">
      <c r="A9" s="194" t="s">
        <v>257</v>
      </c>
      <c r="B9" s="190" t="s">
        <v>258</v>
      </c>
      <c r="C9" s="191" t="s">
        <v>259</v>
      </c>
      <c r="D9" s="193">
        <f>Financials!C15/Financials!C4</f>
        <v>4.8991284043288508E-2</v>
      </c>
      <c r="E9" s="193">
        <f>Financials!D15/Financials!D4</f>
        <v>4.987831183882524E-2</v>
      </c>
      <c r="F9" s="193">
        <f>Financials!E15/Financials!E4</f>
        <v>5.195118948738546E-2</v>
      </c>
      <c r="G9" s="193">
        <f>Financials!F15/Financials!F4</f>
        <v>5.2244435815388235E-2</v>
      </c>
      <c r="H9" s="193">
        <f>Financials!G15/Financials!G4</f>
        <v>5.1815454554582065E-2</v>
      </c>
      <c r="I9" s="193">
        <f>Financials!H15/Financials!H4</f>
        <v>5.1397962168632398E-2</v>
      </c>
      <c r="J9" s="193">
        <f>Financials!I15/Financials!I4</f>
        <v>5.0992341229664249E-2</v>
      </c>
      <c r="K9" s="193">
        <f>Financials!J15/Financials!J4</f>
        <v>5.0741425463197112E-2</v>
      </c>
      <c r="L9" s="193">
        <f>Financials!K15/Financials!K4</f>
        <v>5.0530155750114866E-2</v>
      </c>
      <c r="M9" s="193">
        <f>Financials!L15/Financials!L4</f>
        <v>5.0824778577223215E-2</v>
      </c>
      <c r="N9" s="193">
        <f>Financials!M15/Financials!M4</f>
        <v>5.0226494481172369E-2</v>
      </c>
      <c r="O9" s="193">
        <f>Financials!N15/Financials!N4</f>
        <v>5.6495070997028822E-2</v>
      </c>
      <c r="P9" s="193">
        <f>Financials!O15/Financials!O4</f>
        <v>5.6480742107627636E-2</v>
      </c>
      <c r="Q9" s="193">
        <f>Financials!P15/Financials!P4</f>
        <v>5.6886078192929533E-2</v>
      </c>
      <c r="R9" s="193">
        <f>Financials!Q15/Financials!Q4</f>
        <v>5.7147235241930196E-2</v>
      </c>
      <c r="S9" s="193">
        <f>Financials!R15/Financials!R4</f>
        <v>5.7565006917207368E-2</v>
      </c>
      <c r="T9" s="193">
        <f>Financials!S15/Financials!S4</f>
        <v>5.7803289533371202E-2</v>
      </c>
      <c r="U9" s="193">
        <f>Financials!T15/Financials!T4</f>
        <v>5.8237291397279595E-2</v>
      </c>
      <c r="V9" s="193">
        <f>Financials!U15/Financials!U4</f>
        <v>5.8464587109839358E-2</v>
      </c>
      <c r="W9" s="193">
        <f>Financials!V15/Financials!V4</f>
        <v>5.7898791288458817E-2</v>
      </c>
      <c r="X9" s="193">
        <f>Financials!W15/Financials!W4</f>
        <v>5.7212485004906853E-2</v>
      </c>
      <c r="Y9" s="193">
        <f>Financials!X15/Financials!X4</f>
        <v>5.7124441433971551E-2</v>
      </c>
      <c r="Z9" s="193">
        <f>Financials!Y15/Financials!Y4</f>
        <v>5.7001891759331728E-2</v>
      </c>
      <c r="AA9" s="193">
        <f>Financials!Z15/Financials!Z4</f>
        <v>5.6824724365343686E-2</v>
      </c>
      <c r="AB9" s="193">
        <f>Financials!AA15/Financials!AA4</f>
        <v>5.6914154071825034E-2</v>
      </c>
      <c r="AC9" s="193">
        <f>Financials!AB15/Financials!AB4</f>
        <v>5.6677554303708716E-2</v>
      </c>
      <c r="AD9" s="193">
        <f>Financials!AC15/Financials!AC4</f>
        <v>5.6519796523560352E-2</v>
      </c>
      <c r="AE9" s="193">
        <f>Financials!AD15/Financials!AD4</f>
        <v>5.6433687380290407E-2</v>
      </c>
      <c r="AF9" s="193">
        <f>Financials!AE15/Financials!AE4</f>
        <v>5.896201448417996E-2</v>
      </c>
      <c r="AG9" s="193">
        <f>Financials!AF15/Financials!AF4</f>
        <v>5.9472289913539693E-2</v>
      </c>
      <c r="AH9" s="193">
        <f>Financials!AG15/Financials!AG4</f>
        <v>5.962154228855724E-2</v>
      </c>
      <c r="AI9" s="193">
        <f>Financials!AH15/Financials!AH4</f>
        <v>5.9682049288463906E-2</v>
      </c>
      <c r="AJ9" s="193">
        <f>Financials!AI15/Financials!AI4</f>
        <v>5.9330285194393068E-2</v>
      </c>
      <c r="AK9" s="193">
        <f>Financials!AJ15/Financials!AJ4</f>
        <v>5.9502682924788053E-2</v>
      </c>
      <c r="AL9" s="193">
        <f>Financials!AK15/Financials!AK4</f>
        <v>5.951533645861469E-2</v>
      </c>
      <c r="AM9" s="193">
        <f>Financials!AL15/Financials!AL4</f>
        <v>5.9502756479103865E-2</v>
      </c>
      <c r="AN9" s="193">
        <f>Financials!AM15/Financials!AM4</f>
        <v>5.9301360559985382E-2</v>
      </c>
      <c r="AO9" s="193">
        <f>Financials!AN15/Financials!AN4</f>
        <v>5.9198733625640466E-2</v>
      </c>
      <c r="AP9" s="193">
        <f>Financials!AO15/Financials!AO4</f>
        <v>5.9735365524456879E-2</v>
      </c>
      <c r="AQ9" s="193" t="e">
        <f>Financials!AP15/Financials!AP4</f>
        <v>#DIV/0!</v>
      </c>
      <c r="AR9" s="193" t="e">
        <f>Financials!AQ15/Financials!AQ4</f>
        <v>#DIV/0!</v>
      </c>
      <c r="AS9" s="193" t="e">
        <f>Financials!AR15/Financials!AR4</f>
        <v>#DIV/0!</v>
      </c>
      <c r="AT9" s="193" t="e">
        <f>Financials!AS15/Financials!AS4</f>
        <v>#DIV/0!</v>
      </c>
      <c r="AU9" s="193" t="e">
        <f>Financials!AT15/Financials!AT4</f>
        <v>#DIV/0!</v>
      </c>
      <c r="AV9" s="193" t="e">
        <f>Financials!AU15/Financials!AU4</f>
        <v>#DIV/0!</v>
      </c>
      <c r="AW9" s="193" t="e">
        <f>Financials!AV15/Financials!AV4</f>
        <v>#DIV/0!</v>
      </c>
      <c r="AX9" s="193" t="e">
        <f>Financials!AW15/Financials!AW4</f>
        <v>#DIV/0!</v>
      </c>
      <c r="AY9" s="193" t="e">
        <f>Financials!AX15/Financials!AX4</f>
        <v>#DIV/0!</v>
      </c>
      <c r="AZ9" s="193" t="e">
        <f>Financials!AY15/Financials!AY4</f>
        <v>#DIV/0!</v>
      </c>
      <c r="BA9" s="193" t="e">
        <f>Financials!AZ15/Financials!AZ4</f>
        <v>#DIV/0!</v>
      </c>
      <c r="BB9" s="193" t="e">
        <f>Financials!BA15/Financials!BA4</f>
        <v>#DIV/0!</v>
      </c>
      <c r="BC9" s="193" t="e">
        <f>Financials!BB15/Financials!BB4</f>
        <v>#DIV/0!</v>
      </c>
      <c r="BD9" s="193" t="e">
        <f>Financials!BC15/Financials!BC4</f>
        <v>#DIV/0!</v>
      </c>
    </row>
    <row r="10" spans="1:56" s="80" customFormat="1" ht="14.1">
      <c r="A10" s="194" t="s">
        <v>260</v>
      </c>
      <c r="B10" s="190" t="s">
        <v>255</v>
      </c>
      <c r="C10" s="191" t="s">
        <v>259</v>
      </c>
      <c r="D10" s="193">
        <f>Financials!C12/Financials!C4</f>
        <v>5.7553351425088224E-2</v>
      </c>
      <c r="E10" s="193">
        <f>Financials!D12/Financials!D4</f>
        <v>5.9969921881126313E-2</v>
      </c>
      <c r="F10" s="193">
        <f>Financials!E12/Financials!E4</f>
        <v>6.3260446346846355E-2</v>
      </c>
      <c r="G10" s="193">
        <f>Financials!F12/Financials!F4</f>
        <v>6.5033903695729645E-2</v>
      </c>
      <c r="H10" s="193">
        <f>Financials!G12/Financials!G4</f>
        <v>6.6903467729764382E-2</v>
      </c>
      <c r="I10" s="193">
        <f>Financials!H12/Financials!H4</f>
        <v>6.8721471288682071E-2</v>
      </c>
      <c r="J10" s="193">
        <f>Financials!I12/Financials!I4</f>
        <v>6.9776089104561997E-2</v>
      </c>
      <c r="K10" s="193">
        <f>Financials!J12/Financials!J4</f>
        <v>6.9596601282453152E-2</v>
      </c>
      <c r="L10" s="193">
        <f>Financials!K12/Financials!K4</f>
        <v>7.0986044867324252E-2</v>
      </c>
      <c r="M10" s="193">
        <f>Financials!L12/Financials!L4</f>
        <v>7.2423229227110267E-2</v>
      </c>
      <c r="N10" s="193">
        <f>Financials!M12/Financials!M4</f>
        <v>7.2187554506747423E-2</v>
      </c>
      <c r="O10" s="193">
        <f>Financials!N12/Financials!N4</f>
        <v>6.4720515508597004E-2</v>
      </c>
      <c r="P10" s="193">
        <f>Financials!O12/Financials!O4</f>
        <v>6.9998086571043949E-2</v>
      </c>
      <c r="Q10" s="193">
        <f>Financials!P12/Financials!P4</f>
        <v>5.85995232432008E-2</v>
      </c>
      <c r="R10" s="193">
        <f>Financials!Q12/Financials!Q4</f>
        <v>5.9628971138892678E-2</v>
      </c>
      <c r="S10" s="193">
        <f>Financials!R12/Financials!R4</f>
        <v>7.1786253232294608E-2</v>
      </c>
      <c r="T10" s="193">
        <f>Financials!S12/Financials!S4</f>
        <v>7.2330454022296709E-2</v>
      </c>
      <c r="U10" s="193">
        <f>Financials!T12/Financials!T4</f>
        <v>7.3754128692194207E-2</v>
      </c>
      <c r="V10" s="193">
        <f>Financials!U12/Financials!U4</f>
        <v>8.0260967125061686E-2</v>
      </c>
      <c r="W10" s="193">
        <f>Financials!V12/Financials!V4</f>
        <v>8.0996586978454882E-2</v>
      </c>
      <c r="X10" s="193">
        <f>Financials!W12/Financials!W4</f>
        <v>7.9792658552804874E-2</v>
      </c>
      <c r="Y10" s="193">
        <f>Financials!X12/Financials!X4</f>
        <v>8.2372590915189461E-2</v>
      </c>
      <c r="Z10" s="193">
        <f>Financials!Y12/Financials!Y4</f>
        <v>8.2131441470387714E-2</v>
      </c>
      <c r="AA10" s="193">
        <f>Financials!Z12/Financials!Z4</f>
        <v>9.0826504468509109E-2</v>
      </c>
      <c r="AB10" s="193">
        <f>Financials!AA12/Financials!AA4</f>
        <v>7.3737667987479147E-2</v>
      </c>
      <c r="AC10" s="193">
        <f>Financials!AB12/Financials!AB4</f>
        <v>5.2972420592067623E-2</v>
      </c>
      <c r="AD10" s="193">
        <f>Financials!AC12/Financials!AC4</f>
        <v>7.4258178894115151E-2</v>
      </c>
      <c r="AE10" s="193">
        <f>Financials!AD12/Financials!AD4</f>
        <v>7.7642999278275962E-2</v>
      </c>
      <c r="AF10" s="193">
        <f>Financials!AE12/Financials!AE4</f>
        <v>8.305350214041464E-2</v>
      </c>
      <c r="AG10" s="193">
        <f>Financials!AF12/Financials!AF4</f>
        <v>8.5746362427301867E-2</v>
      </c>
      <c r="AH10" s="193">
        <f>Financials!AG12/Financials!AG4</f>
        <v>8.8989365954083063E-2</v>
      </c>
      <c r="AI10" s="193">
        <f>Financials!AH12/Financials!AH4</f>
        <v>9.2215146118576494E-2</v>
      </c>
      <c r="AJ10" s="193">
        <f>Financials!AI12/Financials!AI4</f>
        <v>9.1777303155841913E-2</v>
      </c>
      <c r="AK10" s="193">
        <f>Financials!AJ12/Financials!AJ4</f>
        <v>9.3185319145513687E-2</v>
      </c>
      <c r="AL10" s="193">
        <f>Financials!AK12/Financials!AK4</f>
        <v>9.600769170289955E-2</v>
      </c>
      <c r="AM10" s="193">
        <f>Financials!AL12/Financials!AL4</f>
        <v>9.759865979363376E-2</v>
      </c>
      <c r="AN10" s="193">
        <f>Financials!AM12/Financials!AM4</f>
        <v>9.8497669610603383E-2</v>
      </c>
      <c r="AO10" s="193">
        <f>Financials!AN12/Financials!AN4</f>
        <v>8.4059629859751142E-2</v>
      </c>
      <c r="AP10" s="193">
        <f>Financials!AO12/Financials!AO4</f>
        <v>8.0743213221621785E-2</v>
      </c>
      <c r="AQ10" s="193" t="e">
        <f>Financials!AP12/Financials!AP4</f>
        <v>#DIV/0!</v>
      </c>
      <c r="AR10" s="193" t="e">
        <f>Financials!AQ12/Financials!AQ4</f>
        <v>#DIV/0!</v>
      </c>
      <c r="AS10" s="193" t="e">
        <f>Financials!AR12/Financials!AR4</f>
        <v>#DIV/0!</v>
      </c>
      <c r="AT10" s="193" t="e">
        <f>Financials!AS12/Financials!AS4</f>
        <v>#DIV/0!</v>
      </c>
      <c r="AU10" s="193" t="e">
        <f>Financials!AT12/Financials!AT4</f>
        <v>#DIV/0!</v>
      </c>
      <c r="AV10" s="193" t="e">
        <f>Financials!AU12/Financials!AU4</f>
        <v>#DIV/0!</v>
      </c>
      <c r="AW10" s="193" t="e">
        <f>Financials!AV12/Financials!AV4</f>
        <v>#DIV/0!</v>
      </c>
      <c r="AX10" s="193" t="e">
        <f>Financials!AW12/Financials!AW4</f>
        <v>#DIV/0!</v>
      </c>
      <c r="AY10" s="193" t="e">
        <f>Financials!AX12/Financials!AX4</f>
        <v>#DIV/0!</v>
      </c>
      <c r="AZ10" s="193" t="e">
        <f>Financials!AY12/Financials!AY4</f>
        <v>#DIV/0!</v>
      </c>
      <c r="BA10" s="193" t="e">
        <f>Financials!AZ12/Financials!AZ4</f>
        <v>#DIV/0!</v>
      </c>
      <c r="BB10" s="193" t="e">
        <f>Financials!BA12/Financials!BA4</f>
        <v>#DIV/0!</v>
      </c>
      <c r="BC10" s="193" t="e">
        <f>Financials!BB12/Financials!BB4</f>
        <v>#DIV/0!</v>
      </c>
      <c r="BD10" s="193" t="e">
        <f>Financials!BC12/Financials!BC4</f>
        <v>#DIV/0!</v>
      </c>
    </row>
    <row r="11" spans="1:56" s="80" customFormat="1" ht="14.1" hidden="1">
      <c r="A11" s="189"/>
      <c r="B11" s="195"/>
      <c r="C11" s="196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</row>
    <row r="12" spans="1:56" s="80" customFormat="1" ht="14.1" hidden="1">
      <c r="A12" s="197" t="s">
        <v>261</v>
      </c>
      <c r="B12" s="198"/>
      <c r="C12" s="199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</row>
    <row r="13" spans="1:56" s="80" customFormat="1" ht="14.1">
      <c r="A13" s="185" t="s">
        <v>262</v>
      </c>
      <c r="B13" s="186"/>
      <c r="C13" s="187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</row>
    <row r="14" spans="1:56" s="80" customFormat="1" ht="14.1">
      <c r="A14" s="194" t="s">
        <v>263</v>
      </c>
      <c r="B14" s="190" t="s">
        <v>264</v>
      </c>
      <c r="C14" s="191">
        <v>48.1</v>
      </c>
      <c r="D14" s="193">
        <f>('Evolutive SFP'!B7+'Evolutive SFP'!B17+'Evolutive SFP'!B21)/'Evolutive SFP'!B27</f>
        <v>7.3166298577137037E-2</v>
      </c>
      <c r="E14" s="193">
        <f>('Evolutive SFP'!C7+'Evolutive SFP'!C17+'Evolutive SFP'!C21)/'Evolutive SFP'!C27</f>
        <v>7.4890794801442506E-2</v>
      </c>
      <c r="F14" s="193">
        <f>('Evolutive SFP'!D7+'Evolutive SFP'!D17+'Evolutive SFP'!D21)/'Evolutive SFP'!D27</f>
        <v>7.7806931257413434E-2</v>
      </c>
      <c r="G14" s="193">
        <f>('Evolutive SFP'!E7+'Evolutive SFP'!E17+'Evolutive SFP'!E21)/'Evolutive SFP'!E27</f>
        <v>8.1944270771000707E-2</v>
      </c>
      <c r="H14" s="193">
        <f>('Evolutive SFP'!F7+'Evolutive SFP'!F17+'Evolutive SFP'!F21)/'Evolutive SFP'!F27</f>
        <v>8.0704933504927565E-2</v>
      </c>
      <c r="I14" s="193">
        <f>('Evolutive SFP'!G7+'Evolutive SFP'!G17+'Evolutive SFP'!G21)/'Evolutive SFP'!G27</f>
        <v>6.7809418650601139E-2</v>
      </c>
      <c r="J14" s="193">
        <f>('Evolutive SFP'!H7+'Evolutive SFP'!H17+'Evolutive SFP'!H21)/'Evolutive SFP'!H27</f>
        <v>6.735525351134089E-2</v>
      </c>
      <c r="K14" s="193">
        <f>('Evolutive SFP'!I7+'Evolutive SFP'!I17+'Evolutive SFP'!I21)/'Evolutive SFP'!I27</f>
        <v>6.7365509926454015E-2</v>
      </c>
      <c r="L14" s="193">
        <f>('Evolutive SFP'!J7+'Evolutive SFP'!J17+'Evolutive SFP'!J21)/'Evolutive SFP'!J27</f>
        <v>6.3249472413496752E-2</v>
      </c>
      <c r="M14" s="193">
        <f>('Evolutive SFP'!K7+'Evolutive SFP'!K17+'Evolutive SFP'!K21)/'Evolutive SFP'!K27</f>
        <v>6.3026311506015356E-2</v>
      </c>
      <c r="N14" s="193">
        <f>('Evolutive SFP'!L7+'Evolutive SFP'!L17+'Evolutive SFP'!L21)/'Evolutive SFP'!L27</f>
        <v>6.1644341430412149E-2</v>
      </c>
      <c r="O14" s="193">
        <f>('Evolutive SFP'!M7+'Evolutive SFP'!M17+'Evolutive SFP'!M21)/'Evolutive SFP'!M27</f>
        <v>6.0884826560957818E-2</v>
      </c>
      <c r="P14" s="193">
        <f>('Evolutive SFP'!N7+'Evolutive SFP'!N17+'Evolutive SFP'!N21)/'Evolutive SFP'!N27</f>
        <v>6.1748284113658201E-2</v>
      </c>
      <c r="Q14" s="193">
        <f>('Evolutive SFP'!O7+'Evolutive SFP'!O17+'Evolutive SFP'!O21)/'Evolutive SFP'!O27</f>
        <v>5.9059519032743188E-2</v>
      </c>
      <c r="R14" s="193">
        <f>('Evolutive SFP'!P7+'Evolutive SFP'!P17+'Evolutive SFP'!P21)/'Evolutive SFP'!P27</f>
        <v>6.8701958416328257E-2</v>
      </c>
      <c r="S14" s="193">
        <f>('Evolutive SFP'!Q7+'Evolutive SFP'!Q17+'Evolutive SFP'!Q21)/'Evolutive SFP'!Q27</f>
        <v>6.9136509887119724E-2</v>
      </c>
      <c r="T14" s="193">
        <f>('Evolutive SFP'!R7+'Evolutive SFP'!R17+'Evolutive SFP'!R21)/'Evolutive SFP'!R27</f>
        <v>6.912206820760998E-2</v>
      </c>
      <c r="U14" s="193">
        <f>('Evolutive SFP'!S7+'Evolutive SFP'!S17+'Evolutive SFP'!S21)/'Evolutive SFP'!S27</f>
        <v>6.8756554014340124E-2</v>
      </c>
      <c r="V14" s="193">
        <f>('Evolutive SFP'!T7+'Evolutive SFP'!T17+'Evolutive SFP'!T21)/'Evolutive SFP'!T27</f>
        <v>6.9727361788741005E-2</v>
      </c>
      <c r="W14" s="193">
        <f>('Evolutive SFP'!U7+'Evolutive SFP'!U17+'Evolutive SFP'!U21)/'Evolutive SFP'!U27</f>
        <v>6.931577838342276E-2</v>
      </c>
      <c r="X14" s="193">
        <f>('Evolutive SFP'!V7+'Evolutive SFP'!V17+'Evolutive SFP'!V21)/'Evolutive SFP'!V27</f>
        <v>6.8374565337357113E-2</v>
      </c>
      <c r="Y14" s="193">
        <f>('Evolutive SFP'!W7+'Evolutive SFP'!W17+'Evolutive SFP'!W21)/'Evolutive SFP'!W27</f>
        <v>6.9116837994625133E-2</v>
      </c>
      <c r="Z14" s="193">
        <f>('Evolutive SFP'!X7+'Evolutive SFP'!X17+'Evolutive SFP'!X21)/'Evolutive SFP'!X27</f>
        <v>6.846393165650913E-2</v>
      </c>
      <c r="AA14" s="193">
        <f>('Evolutive SFP'!Y7+'Evolutive SFP'!Y17+'Evolutive SFP'!Y21)/'Evolutive SFP'!Y27</f>
        <v>6.6965814368736068E-2</v>
      </c>
      <c r="AB14" s="193">
        <f>('Evolutive SFP'!Z7+'Evolutive SFP'!Z17+'Evolutive SFP'!Z21)/'Evolutive SFP'!Z27</f>
        <v>6.5553977229018442E-2</v>
      </c>
      <c r="AC14" s="193">
        <f>('Evolutive SFP'!AA7+'Evolutive SFP'!AA17+'Evolutive SFP'!AA21)/'Evolutive SFP'!AA27</f>
        <v>5.8208661079678814E-2</v>
      </c>
      <c r="AD14" s="193">
        <f>('Evolutive SFP'!AB7+'Evolutive SFP'!AB17+'Evolutive SFP'!AB21)/'Evolutive SFP'!AB27</f>
        <v>6.6514440031786415E-2</v>
      </c>
      <c r="AE14" s="193">
        <f>('Evolutive SFP'!AC7+'Evolutive SFP'!AC17+'Evolutive SFP'!AC21)/'Evolutive SFP'!AC27</f>
        <v>6.6670227509540839E-2</v>
      </c>
      <c r="AF14" s="193">
        <f>('Evolutive SFP'!AD7+'Evolutive SFP'!AD17+'Evolutive SFP'!AD21)/'Evolutive SFP'!AD27</f>
        <v>6.9364858480497893E-2</v>
      </c>
      <c r="AG14" s="193">
        <f>('Evolutive SFP'!AE7+'Evolutive SFP'!AE17+'Evolutive SFP'!AE21)/'Evolutive SFP'!AE27</f>
        <v>6.9985583708093976E-2</v>
      </c>
      <c r="AH14" s="193">
        <f>('Evolutive SFP'!AF7+'Evolutive SFP'!AF17+'Evolutive SFP'!AF21)/'Evolutive SFP'!AF27</f>
        <v>6.8557690135197372E-2</v>
      </c>
      <c r="AI14" s="193">
        <f>('Evolutive SFP'!AG7+'Evolutive SFP'!AG17+'Evolutive SFP'!AG21)/'Evolutive SFP'!AG27</f>
        <v>6.8759757822799167E-2</v>
      </c>
      <c r="AJ14" s="193">
        <f>('Evolutive SFP'!AH7+'Evolutive SFP'!AH17+'Evolutive SFP'!AH21)/'Evolutive SFP'!AH27</f>
        <v>6.8355845086331038E-2</v>
      </c>
      <c r="AK14" s="193">
        <f>('Evolutive SFP'!AI7+'Evolutive SFP'!AI17+'Evolutive SFP'!AI21)/'Evolutive SFP'!AI27</f>
        <v>6.6861426273187405E-2</v>
      </c>
      <c r="AL14" s="193">
        <f>('Evolutive SFP'!AJ7+'Evolutive SFP'!AJ17+'Evolutive SFP'!AJ21)/'Evolutive SFP'!AJ27</f>
        <v>6.5710974862748225E-2</v>
      </c>
      <c r="AM14" s="193">
        <f>('Evolutive SFP'!AK7+'Evolutive SFP'!AK17+'Evolutive SFP'!AK21)/'Evolutive SFP'!AK27</f>
        <v>6.4638429928238081E-2</v>
      </c>
      <c r="AN14" s="193">
        <f>('Evolutive SFP'!AL7+'Evolutive SFP'!AL17+'Evolutive SFP'!AL21)/'Evolutive SFP'!AL27</f>
        <v>6.4444152489139095E-2</v>
      </c>
      <c r="AO14" s="193">
        <f>('Evolutive SFP'!AM7+'Evolutive SFP'!AM17+'Evolutive SFP'!AM21)/'Evolutive SFP'!AM27</f>
        <v>6.2400844048187916E-2</v>
      </c>
      <c r="AP14" s="193">
        <f>('Evolutive SFP'!AN7+'Evolutive SFP'!AN17+'Evolutive SFP'!AN21)/'Evolutive SFP'!AN27</f>
        <v>4.4033893232419602E-2</v>
      </c>
      <c r="AQ14" s="193" t="e">
        <f>('Evolutive SFP'!AO7+'Evolutive SFP'!AO17+'Evolutive SFP'!AO21)/'Evolutive SFP'!AO27</f>
        <v>#DIV/0!</v>
      </c>
      <c r="AR14" s="193" t="e">
        <f>('Evolutive SFP'!AP7+'Evolutive SFP'!AP17+'Evolutive SFP'!AP21)/'Evolutive SFP'!AP27</f>
        <v>#DIV/0!</v>
      </c>
      <c r="AS14" s="193" t="e">
        <f>('Evolutive SFP'!AQ7+'Evolutive SFP'!AQ17+'Evolutive SFP'!AQ21)/'Evolutive SFP'!AQ27</f>
        <v>#DIV/0!</v>
      </c>
      <c r="AT14" s="193" t="e">
        <f>('Evolutive SFP'!AR7+'Evolutive SFP'!AR17+'Evolutive SFP'!AR21)/'Evolutive SFP'!AR27</f>
        <v>#DIV/0!</v>
      </c>
      <c r="AU14" s="193" t="e">
        <f>('Evolutive SFP'!AS7+'Evolutive SFP'!AS17+'Evolutive SFP'!AS21)/'Evolutive SFP'!AS27</f>
        <v>#DIV/0!</v>
      </c>
      <c r="AV14" s="193" t="e">
        <f>('Evolutive SFP'!AT7+'Evolutive SFP'!AT17+'Evolutive SFP'!AT21)/'Evolutive SFP'!AT27</f>
        <v>#DIV/0!</v>
      </c>
      <c r="AW14" s="193" t="e">
        <f>('Evolutive SFP'!AU7+'Evolutive SFP'!AU17+'Evolutive SFP'!AU21)/'Evolutive SFP'!AU27</f>
        <v>#DIV/0!</v>
      </c>
      <c r="AX14" s="193" t="e">
        <f>('Evolutive SFP'!AV7+'Evolutive SFP'!AV17+'Evolutive SFP'!AV21)/'Evolutive SFP'!AV27</f>
        <v>#DIV/0!</v>
      </c>
      <c r="AY14" s="193" t="e">
        <f>('Evolutive SFP'!AW7+'Evolutive SFP'!AW17+'Evolutive SFP'!AW21)/'Evolutive SFP'!AW27</f>
        <v>#DIV/0!</v>
      </c>
      <c r="AZ14" s="193" t="e">
        <f>('Evolutive SFP'!AX7+'Evolutive SFP'!AX17+'Evolutive SFP'!AX21)/'Evolutive SFP'!AX27</f>
        <v>#DIV/0!</v>
      </c>
      <c r="BA14" s="193" t="e">
        <f>('Evolutive SFP'!AY7+'Evolutive SFP'!AY17+'Evolutive SFP'!AY21)/'Evolutive SFP'!AY27</f>
        <v>#DIV/0!</v>
      </c>
      <c r="BB14" s="193" t="e">
        <f>('Evolutive SFP'!AZ7+'Evolutive SFP'!AZ17+'Evolutive SFP'!AZ21)/'Evolutive SFP'!AZ27</f>
        <v>#DIV/0!</v>
      </c>
      <c r="BC14" s="193" t="e">
        <f>('Evolutive SFP'!BA7+'Evolutive SFP'!BA17+'Evolutive SFP'!BA21)/'Evolutive SFP'!BA27</f>
        <v>#DIV/0!</v>
      </c>
      <c r="BD14" s="193" t="e">
        <f>('Evolutive SFP'!BB7+'Evolutive SFP'!BB17+'Evolutive SFP'!BB21)/'Evolutive SFP'!BB27</f>
        <v>#DIV/0!</v>
      </c>
    </row>
    <row r="15" spans="1:56" s="80" customFormat="1" ht="14.1">
      <c r="A15" s="189" t="s">
        <v>265</v>
      </c>
      <c r="B15" s="190" t="s">
        <v>266</v>
      </c>
      <c r="C15" s="191">
        <v>48.1</v>
      </c>
      <c r="D15" s="193">
        <f>Financials!C35/Financials!C4</f>
        <v>5.1279292663045713E-2</v>
      </c>
      <c r="E15" s="193">
        <f>Financials!D35/Financials!D4</f>
        <v>0</v>
      </c>
      <c r="F15" s="193">
        <f>Financials!E35/Financials!E4</f>
        <v>5.3653345398297095E-2</v>
      </c>
      <c r="G15" s="193">
        <f>Financials!F35/Financials!F4</f>
        <v>5.3678243627970003E-2</v>
      </c>
      <c r="H15" s="193">
        <f>Financials!G35/Financials!G4</f>
        <v>5.2995711506762459E-2</v>
      </c>
      <c r="I15" s="193">
        <f>Financials!H35/Financials!H4</f>
        <v>5.2021881109687987E-2</v>
      </c>
      <c r="J15" s="193">
        <f>Financials!I35/Financials!I4</f>
        <v>5.1070776814160772E-2</v>
      </c>
      <c r="K15" s="193">
        <f>Financials!J35/Financials!J4</f>
        <v>5.0495563666896726E-2</v>
      </c>
      <c r="L15" s="193">
        <f>Financials!K35/Financials!K4</f>
        <v>4.4978628748103544E-2</v>
      </c>
      <c r="M15" s="193">
        <f>Financials!L35/Financials!L4</f>
        <v>4.51103659314748E-2</v>
      </c>
      <c r="N15" s="193">
        <f>Financials!M35/Financials!M4</f>
        <v>4.4149552195607927E-2</v>
      </c>
      <c r="O15" s="193">
        <f>Financials!N35/Financials!N4</f>
        <v>4.558921041094853E-2</v>
      </c>
      <c r="P15" s="193">
        <f>Financials!O35/Financials!O4</f>
        <v>4.5578895792257476E-2</v>
      </c>
      <c r="Q15" s="193">
        <f>Financials!P35/Financials!P4</f>
        <v>4.5613961795564102E-2</v>
      </c>
      <c r="R15" s="193">
        <f>Financials!Q35/Financials!Q4</f>
        <v>4.5408764545247393E-2</v>
      </c>
      <c r="S15" s="193">
        <f>Financials!R35/Financials!R4</f>
        <v>4.5097096261355947E-2</v>
      </c>
      <c r="T15" s="193">
        <f>Financials!S35/Financials!S4</f>
        <v>4.4585490220050351E-2</v>
      </c>
      <c r="U15" s="193">
        <f>Financials!T35/Financials!T4</f>
        <v>4.4484682273453743E-2</v>
      </c>
      <c r="V15" s="193">
        <f>Financials!U35/Financials!U4</f>
        <v>4.5136164294871502E-2</v>
      </c>
      <c r="W15" s="193">
        <f>Financials!V35/Financials!V4</f>
        <v>4.4426837633982093E-2</v>
      </c>
      <c r="X15" s="193">
        <f>Financials!W35/Financials!W4</f>
        <v>4.3315030419939893E-2</v>
      </c>
      <c r="Y15" s="193">
        <f>Financials!X35/Financials!X4</f>
        <v>4.2772721870324409E-2</v>
      </c>
      <c r="Z15" s="193">
        <f>Financials!Y35/Financials!Y4</f>
        <v>4.2237444825029315E-2</v>
      </c>
      <c r="AA15" s="193">
        <f>Financials!Z35/Financials!Z4</f>
        <v>4.1605465139289248E-2</v>
      </c>
      <c r="AB15" s="193">
        <f>Financials!AA35/Financials!AA4</f>
        <v>4.1164934168185792E-2</v>
      </c>
      <c r="AC15" s="193">
        <f>Financials!AB35/Financials!AB4</f>
        <v>4.1152257612390553E-2</v>
      </c>
      <c r="AD15" s="193">
        <f>Financials!AC35/Financials!AC4</f>
        <v>4.0683937568108335E-2</v>
      </c>
      <c r="AE15" s="193">
        <f>Financials!AD35/Financials!AD4</f>
        <v>4.0130707312348364E-2</v>
      </c>
      <c r="AF15" s="193">
        <f>Financials!AE35/Financials!AE4</f>
        <v>4.0950950377181591E-2</v>
      </c>
      <c r="AG15" s="193">
        <f>Financials!AF35/Financials!AF4</f>
        <v>4.0748675725110109E-2</v>
      </c>
      <c r="AH15" s="193">
        <f>Financials!AG35/Financials!AG4</f>
        <v>4.0603478572114812E-2</v>
      </c>
      <c r="AI15" s="193">
        <f>Financials!AH35/Financials!AH4</f>
        <v>4.008348738094366E-2</v>
      </c>
      <c r="AJ15" s="193">
        <f>Financials!AI35/Financials!AI4</f>
        <v>3.9275302121315941E-2</v>
      </c>
      <c r="AK15" s="193">
        <f>Financials!AJ35/Financials!AJ4</f>
        <v>3.8776285308380523E-2</v>
      </c>
      <c r="AL15" s="193">
        <f>Financials!AK35/Financials!AK4</f>
        <v>3.8177871331573361E-2</v>
      </c>
      <c r="AM15" s="193">
        <f>Financials!AL35/Financials!AL4</f>
        <v>3.7282176822923965E-2</v>
      </c>
      <c r="AN15" s="193">
        <f>Financials!AM35/Financials!AM4</f>
        <v>3.6472324120571241E-2</v>
      </c>
      <c r="AO15" s="193">
        <f>Financials!AN35/Financials!AN4</f>
        <v>3.6338805344575814E-2</v>
      </c>
      <c r="AP15" s="193">
        <f>Financials!AO35/Financials!AO4</f>
        <v>3.6816627460317192E-2</v>
      </c>
      <c r="AQ15" s="193" t="e">
        <f>Financials!AP35/Financials!AP4</f>
        <v>#DIV/0!</v>
      </c>
      <c r="AR15" s="193" t="e">
        <f>Financials!AQ35/Financials!AQ4</f>
        <v>#DIV/0!</v>
      </c>
      <c r="AS15" s="193" t="e">
        <f>Financials!AR35/Financials!AR4</f>
        <v>#DIV/0!</v>
      </c>
      <c r="AT15" s="193" t="e">
        <f>Financials!AS35/Financials!AS4</f>
        <v>#DIV/0!</v>
      </c>
      <c r="AU15" s="193" t="e">
        <f>Financials!AT35/Financials!AT4</f>
        <v>#DIV/0!</v>
      </c>
      <c r="AV15" s="193" t="e">
        <f>Financials!AU35/Financials!AU4</f>
        <v>#DIV/0!</v>
      </c>
      <c r="AW15" s="193" t="e">
        <f>Financials!AV35/Financials!AV4</f>
        <v>#DIV/0!</v>
      </c>
      <c r="AX15" s="193" t="e">
        <f>Financials!AW35/Financials!AW4</f>
        <v>#DIV/0!</v>
      </c>
      <c r="AY15" s="193" t="e">
        <f>Financials!AX35/Financials!AX4</f>
        <v>#DIV/0!</v>
      </c>
      <c r="AZ15" s="193" t="e">
        <f>Financials!AY35/Financials!AY4</f>
        <v>#DIV/0!</v>
      </c>
      <c r="BA15" s="193" t="e">
        <f>Financials!AZ35/Financials!AZ4</f>
        <v>#DIV/0!</v>
      </c>
      <c r="BB15" s="193" t="e">
        <f>Financials!BA35/Financials!BA4</f>
        <v>#DIV/0!</v>
      </c>
      <c r="BC15" s="193" t="e">
        <f>Financials!BB35/Financials!BB4</f>
        <v>#DIV/0!</v>
      </c>
      <c r="BD15" s="193" t="e">
        <f>Financials!BC35/Financials!BC4</f>
        <v>#DIV/0!</v>
      </c>
    </row>
    <row r="16" spans="1:56" s="80" customFormat="1" ht="14.1" hidden="1">
      <c r="A16" s="189" t="s">
        <v>267</v>
      </c>
      <c r="B16" s="190" t="s">
        <v>268</v>
      </c>
      <c r="C16" s="191">
        <v>41</v>
      </c>
      <c r="D16" s="202" t="e">
        <f>'FORM 4'!#REF!</f>
        <v>#REF!</v>
      </c>
      <c r="E16" s="202" t="e">
        <f>'FORM 4'!#REF!</f>
        <v>#REF!</v>
      </c>
      <c r="F16" s="202">
        <v>0.04</v>
      </c>
      <c r="G16" s="202" t="e">
        <f>'FORM 4'!#REF!</f>
        <v>#REF!</v>
      </c>
      <c r="H16" s="202" t="e">
        <f>'FORM 4'!#REF!</f>
        <v>#REF!</v>
      </c>
      <c r="I16" s="202">
        <v>5.0099999999999999E-2</v>
      </c>
      <c r="J16" s="202" t="e">
        <f>'FORM 4'!#REF!</f>
        <v>#REF!</v>
      </c>
      <c r="K16" s="202" t="e">
        <f>'FORM 4'!#REF!</f>
        <v>#REF!</v>
      </c>
      <c r="L16" s="202" t="e">
        <f>'FORM 4'!#REF!</f>
        <v>#REF!</v>
      </c>
      <c r="M16" s="202" t="e">
        <f>'FORM 4'!#REF!</f>
        <v>#REF!</v>
      </c>
      <c r="N16" s="202" t="e">
        <f>'FORM 4'!#REF!</f>
        <v>#REF!</v>
      </c>
      <c r="O16" s="202" t="e">
        <f>'FORM 4'!#REF!</f>
        <v>#REF!</v>
      </c>
      <c r="P16" s="202" t="e">
        <f>'FORM 4'!#REF!</f>
        <v>#REF!</v>
      </c>
      <c r="Q16" s="202" t="e">
        <f>'FORM 4'!#REF!</f>
        <v>#REF!</v>
      </c>
      <c r="R16" s="202" t="e">
        <f>'FORM 4'!#REF!</f>
        <v>#REF!</v>
      </c>
      <c r="S16" s="202" t="e">
        <f>'FORM 4'!#REF!</f>
        <v>#REF!</v>
      </c>
      <c r="T16" s="202" t="e">
        <f>'FORM 4'!#REF!</f>
        <v>#REF!</v>
      </c>
      <c r="U16" s="202" t="e">
        <f>'FORM 4'!#REF!</f>
        <v>#REF!</v>
      </c>
      <c r="V16" s="202" t="e">
        <f>'FORM 4'!#REF!</f>
        <v>#REF!</v>
      </c>
      <c r="W16" s="202" t="e">
        <f>'FORM 4'!#REF!</f>
        <v>#REF!</v>
      </c>
      <c r="X16" s="202" t="e">
        <f>'FORM 4'!#REF!</f>
        <v>#REF!</v>
      </c>
      <c r="Y16" s="202" t="e">
        <f>'FORM 4'!#REF!</f>
        <v>#REF!</v>
      </c>
      <c r="Z16" s="202" t="e">
        <f>'FORM 4'!#REF!</f>
        <v>#REF!</v>
      </c>
      <c r="AA16" s="202" t="e">
        <f>'FORM 4'!#REF!</f>
        <v>#REF!</v>
      </c>
      <c r="AB16" s="202" t="e">
        <f>'FORM 4'!#REF!</f>
        <v>#REF!</v>
      </c>
      <c r="AC16" s="202" t="e">
        <f>'FORM 4'!#REF!</f>
        <v>#REF!</v>
      </c>
      <c r="AD16" s="202" t="e">
        <f>'FORM 4'!#REF!</f>
        <v>#REF!</v>
      </c>
      <c r="AE16" s="202" t="e">
        <f>'FORM 4'!#REF!</f>
        <v>#REF!</v>
      </c>
      <c r="AF16" s="202" t="e">
        <f>'FORM 4'!#REF!</f>
        <v>#REF!</v>
      </c>
      <c r="AG16" s="202" t="e">
        <f>'FORM 4'!#REF!</f>
        <v>#REF!</v>
      </c>
      <c r="AH16" s="202" t="e">
        <f>'FORM 4'!#REF!</f>
        <v>#REF!</v>
      </c>
      <c r="AI16" s="202" t="e">
        <f>'FORM 4'!#REF!</f>
        <v>#REF!</v>
      </c>
      <c r="AJ16" s="202" t="e">
        <f>'FORM 4'!#REF!</f>
        <v>#REF!</v>
      </c>
      <c r="AK16" s="202" t="e">
        <f>'FORM 4'!#REF!</f>
        <v>#REF!</v>
      </c>
      <c r="AL16" s="202" t="e">
        <f>'FORM 4'!#REF!</f>
        <v>#REF!</v>
      </c>
      <c r="AM16" s="202" t="e">
        <f>'FORM 4'!#REF!</f>
        <v>#REF!</v>
      </c>
      <c r="AN16" s="202" t="e">
        <f>'FORM 4'!#REF!</f>
        <v>#REF!</v>
      </c>
      <c r="AO16" s="202" t="e">
        <f>'FORM 4'!#REF!</f>
        <v>#REF!</v>
      </c>
      <c r="AP16" s="202" t="e">
        <f>'FORM 4'!#REF!</f>
        <v>#REF!</v>
      </c>
      <c r="AQ16" s="202" t="e">
        <f>'FORM 4'!#REF!</f>
        <v>#REF!</v>
      </c>
      <c r="AR16" s="202" t="e">
        <f>'FORM 4'!#REF!</f>
        <v>#REF!</v>
      </c>
      <c r="AS16" s="202" t="e">
        <f>'FORM 4'!#REF!</f>
        <v>#REF!</v>
      </c>
      <c r="AT16" s="202" t="e">
        <f>'FORM 4'!#REF!</f>
        <v>#REF!</v>
      </c>
      <c r="AU16" s="202" t="e">
        <f>'FORM 4'!#REF!</f>
        <v>#REF!</v>
      </c>
      <c r="AV16" s="202" t="e">
        <f>'FORM 4'!#REF!</f>
        <v>#REF!</v>
      </c>
      <c r="AW16" s="202" t="e">
        <f>'FORM 4'!#REF!</f>
        <v>#REF!</v>
      </c>
      <c r="AX16" s="202" t="e">
        <f>'FORM 4'!#REF!</f>
        <v>#REF!</v>
      </c>
      <c r="AY16" s="202" t="e">
        <f>'FORM 4'!#REF!</f>
        <v>#REF!</v>
      </c>
      <c r="AZ16" s="202" t="e">
        <f>'FORM 4'!#REF!</f>
        <v>#REF!</v>
      </c>
      <c r="BA16" s="202" t="e">
        <f>'FORM 4'!#REF!</f>
        <v>#REF!</v>
      </c>
      <c r="BB16" s="202" t="e">
        <f>'FORM 4'!#REF!</f>
        <v>#REF!</v>
      </c>
      <c r="BC16" s="202" t="e">
        <f>'FORM 4'!#REF!</f>
        <v>#REF!</v>
      </c>
      <c r="BD16" s="202" t="e">
        <f>'FORM 4'!#REF!</f>
        <v>#REF!</v>
      </c>
    </row>
    <row r="17" spans="1:56" s="80" customFormat="1" ht="14.1" hidden="1">
      <c r="A17" s="189"/>
      <c r="B17" s="190"/>
      <c r="C17" s="191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</row>
    <row r="18" spans="1:56" s="80" customFormat="1" ht="14.1">
      <c r="A18" s="185" t="s">
        <v>269</v>
      </c>
      <c r="B18" s="203"/>
      <c r="C18" s="204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</row>
    <row r="19" spans="1:56" s="80" customFormat="1" ht="14.1">
      <c r="A19" s="189" t="s">
        <v>270</v>
      </c>
      <c r="B19" s="190" t="s">
        <v>266</v>
      </c>
      <c r="C19" s="191">
        <v>48.4</v>
      </c>
      <c r="D19" s="193">
        <f>Financials!C25/Financials!C5</f>
        <v>6.8816508840881807E-3</v>
      </c>
      <c r="E19" s="193">
        <f>Financials!D25/Financials!D5</f>
        <v>6.7830911462136529E-3</v>
      </c>
      <c r="F19" s="193">
        <f>Financials!E25/Financials!E5</f>
        <v>6.6886730157854658E-3</v>
      </c>
      <c r="G19" s="193">
        <f>Financials!F25/Financials!F5</f>
        <v>5.1317453490301548E-2</v>
      </c>
      <c r="H19" s="193">
        <f>Financials!G25/Financials!G5</f>
        <v>5.0857017433967415E-2</v>
      </c>
      <c r="I19" s="193">
        <f>Financials!H25/Financials!H5</f>
        <v>5.2814128177672517E-2</v>
      </c>
      <c r="J19" s="193">
        <f>Financials!I25/Financials!I5</f>
        <v>5.2554851350698706E-2</v>
      </c>
      <c r="K19" s="193">
        <f>Financials!J25/Financials!J5</f>
        <v>5.7960046844772357E-2</v>
      </c>
      <c r="L19" s="193">
        <f>Financials!K25/Financials!K5</f>
        <v>5.7957205413636186E-2</v>
      </c>
      <c r="M19" s="193">
        <f>Financials!L25/Financials!L5</f>
        <v>5.4901591868258187E-2</v>
      </c>
      <c r="N19" s="193">
        <f>Financials!M25/Financials!M5</f>
        <v>5.4455982082301187E-2</v>
      </c>
      <c r="O19" s="193">
        <f>Financials!N25/Financials!N5</f>
        <v>6.719235631185376E-2</v>
      </c>
      <c r="P19" s="193">
        <f>Financials!O25/Financials!O5</f>
        <v>0.26132677703880319</v>
      </c>
      <c r="Q19" s="193">
        <f>Financials!P25/Financials!P5</f>
        <v>6.6212623615007293E-2</v>
      </c>
      <c r="R19" s="193">
        <f>Financials!Q25/Financials!Q5</f>
        <v>6.376883165349484E-2</v>
      </c>
      <c r="S19" s="193">
        <f>Financials!R25/Financials!R5</f>
        <v>7.2357216736717356E-2</v>
      </c>
      <c r="T19" s="193">
        <f>Financials!S25/Financials!S5</f>
        <v>7.1802878795361277E-2</v>
      </c>
      <c r="U19" s="193">
        <f>Financials!T25/Financials!T5</f>
        <v>7.2200459835679714E-2</v>
      </c>
      <c r="V19" s="193">
        <f>Financials!U25/Financials!U5</f>
        <v>7.3943683266003882E-2</v>
      </c>
      <c r="W19" s="193">
        <f>Financials!V25/Financials!V5</f>
        <v>5.1983819417248792E-2</v>
      </c>
      <c r="X19" s="193">
        <f>Financials!W25/Financials!W5</f>
        <v>5.1498863222682371E-2</v>
      </c>
      <c r="Y19" s="193">
        <f>Financials!X25/Financials!X5</f>
        <v>5.2373671347648802E-2</v>
      </c>
      <c r="Z19" s="193">
        <f>Financials!Y25/Financials!Y5</f>
        <v>5.211593241349588E-2</v>
      </c>
      <c r="AA19" s="193">
        <f>Financials!Z25/Financials!Z5</f>
        <v>5.2414119394353122E-2</v>
      </c>
      <c r="AB19" s="193">
        <f>Financials!AA25/Financials!AA5</f>
        <v>5.7463821386819589E-2</v>
      </c>
      <c r="AC19" s="193">
        <f>Financials!AB25/Financials!AB5</f>
        <v>5.828466161528769E-2</v>
      </c>
      <c r="AD19" s="193">
        <f>Financials!AC25/Financials!AC5</f>
        <v>5.7513828068530566E-2</v>
      </c>
      <c r="AE19" s="193">
        <f>Financials!AD25/Financials!AD5</f>
        <v>5.7680132475351725E-2</v>
      </c>
      <c r="AF19" s="193">
        <f>Financials!AE25/Financials!AE5</f>
        <v>4.5969814418215627E-2</v>
      </c>
      <c r="AG19" s="193">
        <f>Financials!AF25/Financials!AF5</f>
        <v>5.3270631437714225E-2</v>
      </c>
      <c r="AH19" s="193">
        <f>Financials!AG25/Financials!AG5</f>
        <v>5.3217651511897425E-2</v>
      </c>
      <c r="AI19" s="193">
        <f>Financials!AH25/Financials!AH5</f>
        <v>4.6638929720438892E-2</v>
      </c>
      <c r="AJ19" s="193">
        <f>Financials!AI25/Financials!AI5</f>
        <v>5.3858614955302878E-2</v>
      </c>
      <c r="AK19" s="193">
        <f>Financials!AJ25/Financials!AJ5</f>
        <v>5.3865983991555351E-2</v>
      </c>
      <c r="AL19" s="193">
        <f>Financials!AK25/Financials!AK5</f>
        <v>5.4413259664237365E-2</v>
      </c>
      <c r="AM19" s="193">
        <f>Financials!AL25/Financials!AL5</f>
        <v>5.4010758739024466E-2</v>
      </c>
      <c r="AN19" s="193">
        <f>Financials!AM25/Financials!AM5</f>
        <v>5.3501711796851897E-2</v>
      </c>
      <c r="AO19" s="193">
        <f>Financials!AN25/Financials!AN5</f>
        <v>5.3779369620334729E-2</v>
      </c>
      <c r="AP19" s="193">
        <f>Financials!AO25/Financials!AO5</f>
        <v>5.7269951497720987E-3</v>
      </c>
      <c r="AQ19" s="193" t="e">
        <f>Financials!AP25/Financials!AP5</f>
        <v>#DIV/0!</v>
      </c>
      <c r="AR19" s="193" t="e">
        <f>Financials!AQ25/Financials!AQ5</f>
        <v>#DIV/0!</v>
      </c>
      <c r="AS19" s="193" t="e">
        <f>Financials!AR25/Financials!AR5</f>
        <v>#DIV/0!</v>
      </c>
      <c r="AT19" s="193" t="e">
        <f>Financials!AS25/Financials!AS5</f>
        <v>#DIV/0!</v>
      </c>
      <c r="AU19" s="193" t="e">
        <f>Financials!AT25/Financials!AT5</f>
        <v>#DIV/0!</v>
      </c>
      <c r="AV19" s="193" t="e">
        <f>Financials!AU25/Financials!AU5</f>
        <v>#DIV/0!</v>
      </c>
      <c r="AW19" s="193" t="e">
        <f>Financials!AV25/Financials!AV5</f>
        <v>#DIV/0!</v>
      </c>
      <c r="AX19" s="193" t="e">
        <f>Financials!AW25/Financials!AW5</f>
        <v>#DIV/0!</v>
      </c>
      <c r="AY19" s="193" t="e">
        <f>Financials!AX25/Financials!AX5</f>
        <v>#DIV/0!</v>
      </c>
      <c r="AZ19" s="193" t="e">
        <f>Financials!AY25/Financials!AY5</f>
        <v>#DIV/0!</v>
      </c>
      <c r="BA19" s="193" t="e">
        <f>Financials!AZ25/Financials!AZ5</f>
        <v>#DIV/0!</v>
      </c>
      <c r="BB19" s="193" t="e">
        <f>Financials!BA25/Financials!BA5</f>
        <v>#DIV/0!</v>
      </c>
      <c r="BC19" s="193" t="e">
        <f>Financials!BB25/Financials!BB5</f>
        <v>#DIV/0!</v>
      </c>
      <c r="BD19" s="193" t="e">
        <f>Financials!BC25/Financials!BC5</f>
        <v>#DIV/0!</v>
      </c>
    </row>
    <row r="20" spans="1:56" s="80" customFormat="1" ht="14.1">
      <c r="A20" s="189" t="s">
        <v>271</v>
      </c>
      <c r="B20" s="190" t="s">
        <v>272</v>
      </c>
      <c r="C20" s="191">
        <v>48.4</v>
      </c>
      <c r="D20" s="193">
        <f>Financials!C25/Financials!C11</f>
        <v>5.0452000736377414E-2</v>
      </c>
      <c r="E20" s="193">
        <f>Financials!D25/Financials!D11</f>
        <v>4.8860125973361174E-2</v>
      </c>
      <c r="F20" s="193">
        <f>Financials!E25/Financials!E11</f>
        <v>4.8131624607565947E-2</v>
      </c>
      <c r="G20" s="193">
        <f>Financials!F25/Financials!F11</f>
        <v>0.36296690773348839</v>
      </c>
      <c r="H20" s="193">
        <f>Financials!G25/Financials!G11</f>
        <v>0.35297160261578681</v>
      </c>
      <c r="I20" s="193">
        <f>Financials!H25/Financials!H11</f>
        <v>0.35950780122564047</v>
      </c>
      <c r="J20" s="193">
        <f>Financials!I25/Financials!I11</f>
        <v>0.35402741642293389</v>
      </c>
      <c r="K20" s="193">
        <f>Financials!J25/Financials!J11</f>
        <v>0.38961738820242836</v>
      </c>
      <c r="L20" s="193">
        <f>Financials!K25/Financials!K11</f>
        <v>0.3840066256114989</v>
      </c>
      <c r="M20" s="193">
        <f>Financials!L25/Financials!L11</f>
        <v>0.36037424831116488</v>
      </c>
      <c r="N20" s="193">
        <f>Financials!M25/Financials!M11</f>
        <v>0.35468729070641486</v>
      </c>
      <c r="O20" s="193">
        <f>Financials!N25/Financials!N11</f>
        <v>0.43453536608051307</v>
      </c>
      <c r="P20" s="193">
        <f>Financials!O25/Financials!O11</f>
        <v>1.6194172553106958</v>
      </c>
      <c r="Q20" s="193">
        <f>Financials!P25/Financials!P11</f>
        <v>0.45440458377510567</v>
      </c>
      <c r="R20" s="193">
        <f>Financials!Q25/Financials!Q11</f>
        <v>0.44949425884871325</v>
      </c>
      <c r="S20" s="193">
        <f>Financials!R25/Financials!R11</f>
        <v>0.45916959606071123</v>
      </c>
      <c r="T20" s="193">
        <f>Financials!S25/Financials!S11</f>
        <v>0.45185596287313307</v>
      </c>
      <c r="U20" s="193">
        <f>Financials!T25/Financials!T11</f>
        <v>0.44523125459893309</v>
      </c>
      <c r="V20" s="193">
        <f>Financials!U25/Financials!U11</f>
        <v>0.43033557205421513</v>
      </c>
      <c r="W20" s="193">
        <f>Financials!V25/Financials!V11</f>
        <v>0.30062775490621851</v>
      </c>
      <c r="X20" s="193">
        <f>Financials!W25/Financials!W11</f>
        <v>0.3003220628605015</v>
      </c>
      <c r="Y20" s="193">
        <f>Financials!X25/Financials!X11</f>
        <v>0.29623260875795632</v>
      </c>
      <c r="Z20" s="193">
        <f>Financials!Y25/Financials!Y11</f>
        <v>0.29377202551850401</v>
      </c>
      <c r="AA20" s="193">
        <f>Financials!Z25/Financials!Z11</f>
        <v>0.2743067802153682</v>
      </c>
      <c r="AB20" s="193">
        <f>Financials!AA25/Financials!AA11</f>
        <v>0.33832196730276798</v>
      </c>
      <c r="AC20" s="193">
        <f>Financials!AB25/Financials!AB11</f>
        <v>0.40718397837676779</v>
      </c>
      <c r="AD20" s="193">
        <f>Financials!AC25/Financials!AC11</f>
        <v>0.33800201346158298</v>
      </c>
      <c r="AE20" s="193">
        <f>Financials!AD25/Financials!AD11</f>
        <v>0.32775022565965328</v>
      </c>
      <c r="AF20" s="193">
        <f>Financials!AE25/Financials!AE11</f>
        <v>0.26331889434568617</v>
      </c>
      <c r="AG20" s="193">
        <f>Financials!AF25/Financials!AF11</f>
        <v>0.29698056609546858</v>
      </c>
      <c r="AH20" s="193">
        <f>Financials!AG25/Financials!AG11</f>
        <v>0.28826138761548864</v>
      </c>
      <c r="AI20" s="193">
        <f>Financials!AH25/Financials!AH11</f>
        <v>0.24492363323122526</v>
      </c>
      <c r="AJ20" s="193">
        <f>Financials!AI25/Financials!AI11</f>
        <v>0.28293645966768921</v>
      </c>
      <c r="AK20" s="193">
        <f>Financials!AJ25/Financials!AJ11</f>
        <v>0.27799114081192161</v>
      </c>
      <c r="AL20" s="193">
        <f>Financials!AK25/Financials!AK11</f>
        <v>0.27250722893709883</v>
      </c>
      <c r="AM20" s="193">
        <f>Financials!AL25/Financials!AL11</f>
        <v>0.26587093030468251</v>
      </c>
      <c r="AN20" s="193">
        <f>Financials!AM25/Financials!AM11</f>
        <v>0.26039580508844623</v>
      </c>
      <c r="AO20" s="193">
        <f>Financials!AN25/Financials!AN11</f>
        <v>0.28603954763349804</v>
      </c>
      <c r="AP20" s="193">
        <f>Financials!AO25/Financials!AO11</f>
        <v>3.1345553772693262E-2</v>
      </c>
      <c r="AQ20" s="193" t="e">
        <f>Financials!AP25/Financials!AP11</f>
        <v>#DIV/0!</v>
      </c>
      <c r="AR20" s="193" t="e">
        <f>Financials!AQ25/Financials!AQ11</f>
        <v>#DIV/0!</v>
      </c>
      <c r="AS20" s="193" t="e">
        <f>Financials!AR25/Financials!AR11</f>
        <v>#DIV/0!</v>
      </c>
      <c r="AT20" s="193" t="e">
        <f>Financials!AS25/Financials!AS11</f>
        <v>#DIV/0!</v>
      </c>
      <c r="AU20" s="193" t="e">
        <f>Financials!AT25/Financials!AT11</f>
        <v>#DIV/0!</v>
      </c>
      <c r="AV20" s="193" t="e">
        <f>Financials!AU25/Financials!AU11</f>
        <v>#DIV/0!</v>
      </c>
      <c r="AW20" s="193" t="e">
        <f>Financials!AV25/Financials!AV11</f>
        <v>#DIV/0!</v>
      </c>
      <c r="AX20" s="193" t="e">
        <f>Financials!AW25/Financials!AW11</f>
        <v>#DIV/0!</v>
      </c>
      <c r="AY20" s="193" t="e">
        <f>Financials!AX25/Financials!AX11</f>
        <v>#DIV/0!</v>
      </c>
      <c r="AZ20" s="193" t="e">
        <f>Financials!AY25/Financials!AY11</f>
        <v>#DIV/0!</v>
      </c>
      <c r="BA20" s="193" t="e">
        <f>Financials!AZ25/Financials!AZ11</f>
        <v>#DIV/0!</v>
      </c>
      <c r="BB20" s="193" t="e">
        <f>Financials!BA25/Financials!BA11</f>
        <v>#DIV/0!</v>
      </c>
      <c r="BC20" s="193" t="e">
        <f>Financials!BB25/Financials!BB11</f>
        <v>#DIV/0!</v>
      </c>
      <c r="BD20" s="193" t="e">
        <f>Financials!BC25/Financials!BC11</f>
        <v>#DIV/0!</v>
      </c>
    </row>
    <row r="21" spans="1:56" s="80" customFormat="1" ht="14.1">
      <c r="A21" s="194" t="s">
        <v>273</v>
      </c>
      <c r="B21" s="206" t="s">
        <v>274</v>
      </c>
      <c r="C21" s="207"/>
      <c r="D21" s="193">
        <f>Financials!C30/Financials!C4</f>
        <v>0.75938915430842413</v>
      </c>
      <c r="E21" s="193">
        <f>Financials!D30/Financials!D4</f>
        <v>0.74545064098508618</v>
      </c>
      <c r="F21" s="193">
        <f>Financials!E30/Financials!E4</f>
        <v>0.7763220649394198</v>
      </c>
      <c r="G21" s="193">
        <f>Financials!F30/Financials!F4</f>
        <v>0.77292259423196064</v>
      </c>
      <c r="H21" s="193">
        <f>Financials!G30/Financials!G4</f>
        <v>0.75651306113515471</v>
      </c>
      <c r="I21" s="193">
        <f>Financials!H30/Financials!H4</f>
        <v>0.74055805477336478</v>
      </c>
      <c r="J21" s="193">
        <f>Financials!I30/Financials!I4</f>
        <v>0.73116462459862541</v>
      </c>
      <c r="K21" s="193">
        <f>Financials!J30/Financials!J4</f>
        <v>0.72873214509938755</v>
      </c>
      <c r="L21" s="193">
        <f>Financials!K30/Financials!K4</f>
        <v>0.73698894083026345</v>
      </c>
      <c r="M21" s="193">
        <f>Financials!L30/Financials!L4</f>
        <v>0.73753636115515564</v>
      </c>
      <c r="N21" s="193">
        <f>Financials!M30/Financials!M4</f>
        <v>0.72514840899381205</v>
      </c>
      <c r="O21" s="193">
        <f>Financials!N30/Financials!N4</f>
        <v>0.71646628693710612</v>
      </c>
      <c r="P21" s="193">
        <f>Financials!O30/Financials!O4</f>
        <v>0.71595786697309372</v>
      </c>
      <c r="Q21" s="193">
        <f>Financials!P30/Financials!P4</f>
        <v>0.70929072996458964</v>
      </c>
      <c r="R21" s="193">
        <f>Financials!Q30/Financials!Q4</f>
        <v>0.69627720351752853</v>
      </c>
      <c r="S21" s="193">
        <f>Financials!R30/Financials!R4</f>
        <v>0.71082459289578193</v>
      </c>
      <c r="T21" s="193">
        <f>Financials!S30/Financials!S4</f>
        <v>0.71320654127437755</v>
      </c>
      <c r="U21" s="193">
        <f>Financials!T30/Financials!T4</f>
        <v>0.71879340063847152</v>
      </c>
      <c r="V21" s="193">
        <f>Financials!U30/Financials!U4</f>
        <v>0.71501591979432744</v>
      </c>
      <c r="W21" s="193">
        <f>Financials!V30/Financials!V4</f>
        <v>0.70979567930134024</v>
      </c>
      <c r="X21" s="193">
        <f>Financials!W30/Financials!W4</f>
        <v>0.71202245153864685</v>
      </c>
      <c r="Y21" s="193">
        <f>Financials!X30/Financials!X4</f>
        <v>0.71559414062661342</v>
      </c>
      <c r="Z21" s="193">
        <f>Financials!Y30/Financials!Y4</f>
        <v>0.71031524684413161</v>
      </c>
      <c r="AA21" s="193">
        <f>Financials!Z30/Financials!Z4</f>
        <v>0.70927809210948978</v>
      </c>
      <c r="AB21" s="193">
        <f>Financials!AA30/Financials!AA4</f>
        <v>0.70514895500155439</v>
      </c>
      <c r="AC21" s="193">
        <f>Financials!AB30/Financials!AB4</f>
        <v>0.71313287526147073</v>
      </c>
      <c r="AD21" s="193">
        <f>Financials!AC30/Financials!AC4</f>
        <v>0.71048454826701646</v>
      </c>
      <c r="AE21" s="193">
        <f>Financials!AD30/Financials!AD4</f>
        <v>0.70447851191405697</v>
      </c>
      <c r="AF21" s="193">
        <f>Financials!AE30/Financials!AE4</f>
        <v>0.71170586960193305</v>
      </c>
      <c r="AG21" s="193">
        <f>Financials!AF30/Financials!AF4</f>
        <v>0.72021081435208567</v>
      </c>
      <c r="AH21" s="193">
        <f>Financials!AG30/Financials!AG4</f>
        <v>0.72020426129200588</v>
      </c>
      <c r="AI21" s="193">
        <f>Financials!AH30/Financials!AH4</f>
        <v>0.71059459088087862</v>
      </c>
      <c r="AJ21" s="193">
        <f>Financials!AI30/Financials!AI4</f>
        <v>0.71233624576276799</v>
      </c>
      <c r="AK21" s="193">
        <f>Financials!AJ30/Financials!AJ4</f>
        <v>0.71520355724780571</v>
      </c>
      <c r="AL21" s="193">
        <f>Financials!AK30/Financials!AK4</f>
        <v>0.7147371260795421</v>
      </c>
      <c r="AM21" s="193">
        <f>Financials!AL30/Financials!AL4</f>
        <v>0.71236649905480043</v>
      </c>
      <c r="AN21" s="193">
        <f>Financials!AM30/Financials!AM4</f>
        <v>0.71319469443326977</v>
      </c>
      <c r="AO21" s="193">
        <f>Financials!AN30/Financials!AN4</f>
        <v>0.70963707088465744</v>
      </c>
      <c r="AP21" s="193">
        <f>Financials!AO30/Financials!AO4</f>
        <v>0.72593598522510261</v>
      </c>
      <c r="AQ21" s="193" t="e">
        <f>Financials!AP30/Financials!AP4</f>
        <v>#DIV/0!</v>
      </c>
      <c r="AR21" s="193" t="e">
        <f>Financials!AQ30/Financials!AQ4</f>
        <v>#DIV/0!</v>
      </c>
      <c r="AS21" s="193" t="e">
        <f>Financials!AR30/Financials!AR4</f>
        <v>#DIV/0!</v>
      </c>
      <c r="AT21" s="193" t="e">
        <f>Financials!AS30/Financials!AS4</f>
        <v>#DIV/0!</v>
      </c>
      <c r="AU21" s="193" t="e">
        <f>Financials!AT30/Financials!AT4</f>
        <v>#DIV/0!</v>
      </c>
      <c r="AV21" s="193" t="e">
        <f>Financials!AU30/Financials!AU4</f>
        <v>#DIV/0!</v>
      </c>
      <c r="AW21" s="193" t="e">
        <f>Financials!AV30/Financials!AV4</f>
        <v>#DIV/0!</v>
      </c>
      <c r="AX21" s="193" t="e">
        <f>Financials!AW30/Financials!AW4</f>
        <v>#DIV/0!</v>
      </c>
      <c r="AY21" s="193" t="e">
        <f>Financials!AX30/Financials!AX4</f>
        <v>#DIV/0!</v>
      </c>
      <c r="AZ21" s="193" t="e">
        <f>Financials!AY30/Financials!AY4</f>
        <v>#DIV/0!</v>
      </c>
      <c r="BA21" s="193" t="e">
        <f>Financials!AZ30/Financials!AZ4</f>
        <v>#DIV/0!</v>
      </c>
      <c r="BB21" s="193" t="e">
        <f>Financials!BA30/Financials!BA4</f>
        <v>#DIV/0!</v>
      </c>
      <c r="BC21" s="193" t="e">
        <f>Financials!BB30/Financials!BB4</f>
        <v>#DIV/0!</v>
      </c>
      <c r="BD21" s="193" t="e">
        <f>Financials!BC30/Financials!BC4</f>
        <v>#DIV/0!</v>
      </c>
    </row>
    <row r="22" spans="1:56" s="80" customFormat="1" ht="14.1" hidden="1">
      <c r="A22" s="197"/>
      <c r="B22" s="198"/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</row>
    <row r="23" spans="1:56" s="80" customFormat="1" ht="14.1">
      <c r="A23" s="185" t="s">
        <v>132</v>
      </c>
      <c r="B23" s="186"/>
      <c r="C23" s="18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8"/>
      <c r="AR23" s="208"/>
      <c r="AS23" s="208"/>
      <c r="AT23" s="208"/>
      <c r="AU23" s="208"/>
      <c r="AV23" s="208"/>
      <c r="AW23" s="208"/>
      <c r="AX23" s="208"/>
      <c r="AY23" s="208"/>
      <c r="AZ23" s="208"/>
      <c r="BA23" s="208"/>
      <c r="BB23" s="208"/>
      <c r="BC23" s="208"/>
      <c r="BD23" s="208"/>
    </row>
    <row r="24" spans="1:56" s="80" customFormat="1" ht="14.1">
      <c r="A24" s="194" t="s">
        <v>133</v>
      </c>
      <c r="B24" s="206" t="s">
        <v>274</v>
      </c>
      <c r="C24" s="209"/>
      <c r="D24" s="193">
        <f>Financials!C5/Financials!C4</f>
        <v>0.78111925723181252</v>
      </c>
      <c r="E24" s="193">
        <f>Financials!D5/Financials!D4</f>
        <v>0.79126145024662453</v>
      </c>
      <c r="F24" s="193">
        <f>Financials!E5/Financials!E4</f>
        <v>0.82906178748904469</v>
      </c>
      <c r="G24" s="193">
        <f>Financials!F5/Financials!F4</f>
        <v>0.82950640262213282</v>
      </c>
      <c r="H24" s="193">
        <f>Financials!G5/Financials!G4</f>
        <v>0.82396511580596243</v>
      </c>
      <c r="I24" s="193">
        <f>Financials!H5/Financials!H4</f>
        <v>0.81765760217480965</v>
      </c>
      <c r="J24" s="193">
        <f>Financials!I5/Financials!I4</f>
        <v>0.81353736672895716</v>
      </c>
      <c r="K24" s="193">
        <f>Financials!J5/Financials!J4</f>
        <v>0.80893288108691441</v>
      </c>
      <c r="L24" s="193">
        <f>Financials!K5/Financials!K4</f>
        <v>0.80512898824576251</v>
      </c>
      <c r="M24" s="193">
        <f>Financials!L5/Financials!L4</f>
        <v>0.80900037060700236</v>
      </c>
      <c r="N24" s="193">
        <f>Financials!M5/Financials!M4</f>
        <v>0.79731749790697815</v>
      </c>
      <c r="O24" s="193">
        <f>Financials!N5/Financials!N4</f>
        <v>0.78390552360483279</v>
      </c>
      <c r="P24" s="193">
        <f>Financials!O5/Financials!O4</f>
        <v>0.78377730715024652</v>
      </c>
      <c r="Q24" s="193">
        <f>Financials!P5/Financials!P4</f>
        <v>0.79255561534203323</v>
      </c>
      <c r="R24" s="193">
        <f>Financials!Q5/Financials!Q4</f>
        <v>0.82313307265110658</v>
      </c>
      <c r="S24" s="193">
        <f>Financials!R5/Financials!R4</f>
        <v>0.82084646910764159</v>
      </c>
      <c r="T24" s="193">
        <f>Financials!S5/Financials!S4</f>
        <v>0.81893245762773659</v>
      </c>
      <c r="U24" s="193">
        <f>Financials!T5/Financials!T4</f>
        <v>0.81393810643973441</v>
      </c>
      <c r="V24" s="193">
        <f>Financials!U5/Financials!U4</f>
        <v>0.80735146132030733</v>
      </c>
      <c r="W24" s="193">
        <f>Financials!V5/Financials!V4</f>
        <v>0.80324620628735899</v>
      </c>
      <c r="X24" s="193">
        <f>Financials!W5/Financials!W4</f>
        <v>0.79896263258931066</v>
      </c>
      <c r="Y24" s="193">
        <f>Financials!X5/Financials!X4</f>
        <v>0.78901418868433248</v>
      </c>
      <c r="Z24" s="193">
        <f>Financials!Y5/Financials!Y4</f>
        <v>0.78427995484642066</v>
      </c>
      <c r="AA24" s="193">
        <f>Financials!Z5/Financials!Z4</f>
        <v>0.77272562516084509</v>
      </c>
      <c r="AB24" s="193">
        <f>Financials!AA5/Financials!AA4</f>
        <v>0.76922105777207539</v>
      </c>
      <c r="AC24" s="193">
        <f>Financials!AB5/Financials!AB4</f>
        <v>0.76602851881813305</v>
      </c>
      <c r="AD24" s="193">
        <f>Financials!AC5/Financials!AC4</f>
        <v>0.76856680370733466</v>
      </c>
      <c r="AE24" s="193">
        <f>Financials!AD5/Financials!AD4</f>
        <v>0.76185096015204301</v>
      </c>
      <c r="AF24" s="193">
        <f>Financials!AE5/Financials!AE4</f>
        <v>0.81347661048424158</v>
      </c>
      <c r="AG24" s="193">
        <f>Financials!AF5/Financials!AF4</f>
        <v>0.80958525205825294</v>
      </c>
      <c r="AH24" s="193">
        <f>Financials!AG5/Financials!AG4</f>
        <v>0.80497326371578881</v>
      </c>
      <c r="AI24" s="193">
        <f>Financials!AH5/Financials!AH4</f>
        <v>0.79768582168861168</v>
      </c>
      <c r="AJ24" s="193">
        <f>Financials!AI5/Financials!AI4</f>
        <v>0.79381629312635227</v>
      </c>
      <c r="AK24" s="193">
        <f>Financials!AJ5/Financials!AJ4</f>
        <v>0.78799102399151455</v>
      </c>
      <c r="AL24" s="193">
        <f>Financials!AK5/Financials!AK4</f>
        <v>0.77887540099082264</v>
      </c>
      <c r="AM24" s="193">
        <f>Financials!AL5/Financials!AL4</f>
        <v>0.77334036165718112</v>
      </c>
      <c r="AN24" s="193">
        <f>Financials!AM5/Financials!AM4</f>
        <v>0.76801665074694425</v>
      </c>
      <c r="AO24" s="193">
        <f>Financials!AN5/Financials!AN4</f>
        <v>0.76195682053109193</v>
      </c>
      <c r="AP24" s="193">
        <f>Financials!AO5/Financials!AO4</f>
        <v>0.76888118967098529</v>
      </c>
      <c r="AQ24" s="193" t="e">
        <f>Financials!AP5/Financials!AP4</f>
        <v>#DIV/0!</v>
      </c>
      <c r="AR24" s="193" t="e">
        <f>Financials!AQ5/Financials!AQ4</f>
        <v>#DIV/0!</v>
      </c>
      <c r="AS24" s="193" t="e">
        <f>Financials!AR5/Financials!AR4</f>
        <v>#DIV/0!</v>
      </c>
      <c r="AT24" s="193" t="e">
        <f>Financials!AS5/Financials!AS4</f>
        <v>#DIV/0!</v>
      </c>
      <c r="AU24" s="193" t="e">
        <f>Financials!AT5/Financials!AT4</f>
        <v>#DIV/0!</v>
      </c>
      <c r="AV24" s="193" t="e">
        <f>Financials!AU5/Financials!AU4</f>
        <v>#DIV/0!</v>
      </c>
      <c r="AW24" s="193" t="e">
        <f>Financials!AV5/Financials!AV4</f>
        <v>#DIV/0!</v>
      </c>
      <c r="AX24" s="193" t="e">
        <f>Financials!AW5/Financials!AW4</f>
        <v>#DIV/0!</v>
      </c>
      <c r="AY24" s="193" t="e">
        <f>Financials!AX5/Financials!AX4</f>
        <v>#DIV/0!</v>
      </c>
      <c r="AZ24" s="193" t="e">
        <f>Financials!AY5/Financials!AY4</f>
        <v>#DIV/0!</v>
      </c>
      <c r="BA24" s="193" t="e">
        <f>Financials!AZ5/Financials!AZ4</f>
        <v>#DIV/0!</v>
      </c>
      <c r="BB24" s="193" t="e">
        <f>Financials!BA5/Financials!BA4</f>
        <v>#DIV/0!</v>
      </c>
      <c r="BC24" s="193" t="e">
        <f>Financials!BB5/Financials!BB4</f>
        <v>#DIV/0!</v>
      </c>
      <c r="BD24" s="193" t="e">
        <f>Financials!BC5/Financials!BC4</f>
        <v>#DIV/0!</v>
      </c>
    </row>
    <row r="25" spans="1:56" s="80" customFormat="1" ht="14.1">
      <c r="A25" s="210" t="s">
        <v>134</v>
      </c>
      <c r="B25" s="211" t="s">
        <v>274</v>
      </c>
      <c r="C25" s="212"/>
      <c r="D25" s="213">
        <f>Financials!C6/Financials!C4</f>
        <v>0.77315198878756097</v>
      </c>
      <c r="E25" s="213">
        <f>Financials!D6/Financials!D4</f>
        <v>0.78293655746604196</v>
      </c>
      <c r="F25" s="213">
        <f>Financials!E6/Financials!E4</f>
        <v>0.81997074731573527</v>
      </c>
      <c r="G25" s="213">
        <f>Financials!F6/Financials!F4</f>
        <v>0.81967270250311364</v>
      </c>
      <c r="H25" s="213">
        <f>Financials!G6/Financials!G4</f>
        <v>0.81371588627911151</v>
      </c>
      <c r="I25" s="213">
        <f>Financials!H6/Financials!H4</f>
        <v>0.80453669650414372</v>
      </c>
      <c r="J25" s="213">
        <f>Financials!I6/Financials!I4</f>
        <v>0.80070728132938407</v>
      </c>
      <c r="K25" s="213">
        <f>Financials!J6/Financials!J4</f>
        <v>0.79722406092143894</v>
      </c>
      <c r="L25" s="213">
        <f>Financials!K6/Financials!K4</f>
        <v>0.79267431624485196</v>
      </c>
      <c r="M25" s="213">
        <f>Financials!L6/Financials!L4</f>
        <v>0.79594282216471968</v>
      </c>
      <c r="N25" s="213">
        <f>Financials!M6/Financials!M4</f>
        <v>0.78445607105126081</v>
      </c>
      <c r="O25" s="213">
        <f>Financials!N6/Financials!N4</f>
        <v>0.77244861930177255</v>
      </c>
      <c r="P25" s="213">
        <f>Financials!O6/Financials!O4</f>
        <v>1.1499760234038727E-2</v>
      </c>
      <c r="Q25" s="213">
        <f>Financials!P6/Financials!P4</f>
        <v>0.78027824465188345</v>
      </c>
      <c r="R25" s="213">
        <f>Financials!Q6/Financials!Q4</f>
        <v>0.78683668363694481</v>
      </c>
      <c r="S25" s="213">
        <f>Financials!R6/Financials!R4</f>
        <v>0.79687929815126413</v>
      </c>
      <c r="T25" s="213">
        <f>Financials!S6/Financials!S4</f>
        <v>0.79626888085139425</v>
      </c>
      <c r="U25" s="213">
        <f>Financials!T6/Financials!T4</f>
        <v>0.79264943530946241</v>
      </c>
      <c r="V25" s="213">
        <f>Financials!U6/Financials!U4</f>
        <v>0.78619197622281045</v>
      </c>
      <c r="W25" s="213">
        <f>Financials!V6/Financials!V4</f>
        <v>0.77785122971333975</v>
      </c>
      <c r="X25" s="213">
        <f>Financials!W6/Financials!W4</f>
        <v>0.7670967513181628</v>
      </c>
      <c r="Y25" s="213">
        <f>Financials!X6/Financials!X4</f>
        <v>0.75906867295256109</v>
      </c>
      <c r="Z25" s="213">
        <f>Financials!Y6/Financials!Y4</f>
        <v>0.75722989528009066</v>
      </c>
      <c r="AA25" s="213">
        <f>Financials!Z6/Financials!Z4</f>
        <v>0.74456564556520788</v>
      </c>
      <c r="AB25" s="213">
        <f>Financials!AA6/Financials!AA4</f>
        <v>0.74375551513251392</v>
      </c>
      <c r="AC25" s="213">
        <f>Financials!AB6/Financials!AB4</f>
        <v>0.74066339325792618</v>
      </c>
      <c r="AD25" s="213">
        <f>Financials!AC6/Financials!AC4</f>
        <v>0.74088364032195519</v>
      </c>
      <c r="AE25" s="213">
        <f>Financials!AD6/Financials!AD4</f>
        <v>0.73511014792806162</v>
      </c>
      <c r="AF25" s="213">
        <f>Financials!AE6/Financials!AE4</f>
        <v>0.76266359307603437</v>
      </c>
      <c r="AG25" s="213">
        <f>Financials!AF6/Financials!AF4</f>
        <v>0.76886982385436708</v>
      </c>
      <c r="AH25" s="213">
        <f>Financials!AG6/Financials!AG4</f>
        <v>0.76681531599520691</v>
      </c>
      <c r="AI25" s="213">
        <f>Financials!AH6/Financials!AH4</f>
        <v>0.758922114222634</v>
      </c>
      <c r="AJ25" s="213">
        <f>Financials!AI6/Financials!AI4</f>
        <v>0.75197604345121749</v>
      </c>
      <c r="AK25" s="213">
        <f>Financials!AJ6/Financials!AJ4</f>
        <v>0.74932400396901055</v>
      </c>
      <c r="AL25" s="213">
        <f>Financials!AK6/Financials!AK4</f>
        <v>0.74347337676843939</v>
      </c>
      <c r="AM25" s="213">
        <f>Financials!AL6/Financials!AL4</f>
        <v>0.73659027077317596</v>
      </c>
      <c r="AN25" s="213">
        <f>Financials!AM6/Financials!AM4</f>
        <v>0.73226691943005484</v>
      </c>
      <c r="AO25" s="213">
        <f>Financials!AN6/Financials!AN4</f>
        <v>0.72760313269848709</v>
      </c>
      <c r="AP25" s="213">
        <f>Financials!AO6/Financials!AO4</f>
        <v>0.73420211865188278</v>
      </c>
      <c r="AQ25" s="213" t="e">
        <f>Financials!AP6/Financials!AP4</f>
        <v>#DIV/0!</v>
      </c>
      <c r="AR25" s="213" t="e">
        <f>Financials!AQ6/Financials!AQ4</f>
        <v>#DIV/0!</v>
      </c>
      <c r="AS25" s="213" t="e">
        <f>Financials!AR6/Financials!AR4</f>
        <v>#DIV/0!</v>
      </c>
      <c r="AT25" s="213" t="e">
        <f>Financials!AS6/Financials!AS4</f>
        <v>#DIV/0!</v>
      </c>
      <c r="AU25" s="213" t="e">
        <f>Financials!AT6/Financials!AT4</f>
        <v>#DIV/0!</v>
      </c>
      <c r="AV25" s="213" t="e">
        <f>Financials!AU6/Financials!AU4</f>
        <v>#DIV/0!</v>
      </c>
      <c r="AW25" s="213" t="e">
        <f>Financials!AV6/Financials!AV4</f>
        <v>#DIV/0!</v>
      </c>
      <c r="AX25" s="213" t="e">
        <f>Financials!AW6/Financials!AW4</f>
        <v>#DIV/0!</v>
      </c>
      <c r="AY25" s="213" t="e">
        <f>Financials!AX6/Financials!AX4</f>
        <v>#DIV/0!</v>
      </c>
      <c r="AZ25" s="213" t="e">
        <f>Financials!AY6/Financials!AY4</f>
        <v>#DIV/0!</v>
      </c>
      <c r="BA25" s="213" t="e">
        <f>Financials!AZ6/Financials!AZ4</f>
        <v>#DIV/0!</v>
      </c>
      <c r="BB25" s="213" t="e">
        <f>Financials!BA6/Financials!BA4</f>
        <v>#DIV/0!</v>
      </c>
      <c r="BC25" s="213" t="e">
        <f>Financials!BB6/Financials!BB4</f>
        <v>#DIV/0!</v>
      </c>
      <c r="BD25" s="213" t="e">
        <f>Financials!BC6/Financials!BC4</f>
        <v>#DIV/0!</v>
      </c>
    </row>
    <row r="26" spans="1:56" s="80" customFormat="1" ht="14.1">
      <c r="A26" s="210" t="s">
        <v>135</v>
      </c>
      <c r="B26" s="211" t="s">
        <v>274</v>
      </c>
      <c r="C26" s="212"/>
      <c r="D26" s="213">
        <f>Financials!C7/Financials!C4</f>
        <v>7.9672684442515622E-3</v>
      </c>
      <c r="E26" s="213">
        <f>Financials!D7/Financials!D4</f>
        <v>8.3248927805826128E-3</v>
      </c>
      <c r="F26" s="213">
        <f>Financials!E7/Financials!E4</f>
        <v>9.091040173309568E-3</v>
      </c>
      <c r="G26" s="213">
        <f>Financials!F7/Financials!F4</f>
        <v>9.8337001190190836E-3</v>
      </c>
      <c r="H26" s="213">
        <f>Financials!G7/Financials!G4</f>
        <v>1.0249229526850997E-2</v>
      </c>
      <c r="I26" s="213">
        <f>Financials!H7/Financials!H4</f>
        <v>1.3120905670665955E-2</v>
      </c>
      <c r="J26" s="213">
        <f>Financials!I7/Financials!I4</f>
        <v>1.2830085399573003E-2</v>
      </c>
      <c r="K26" s="213">
        <f>Financials!J7/Financials!J4</f>
        <v>1.1708820165475453E-2</v>
      </c>
      <c r="L26" s="213">
        <f>Financials!K7/Financials!K4</f>
        <v>1.2454672000910626E-2</v>
      </c>
      <c r="M26" s="213">
        <f>Financials!L7/Financials!L4</f>
        <v>1.30575484422827E-2</v>
      </c>
      <c r="N26" s="213">
        <f>Financials!M7/Financials!M4</f>
        <v>1.2861426855717287E-2</v>
      </c>
      <c r="O26" s="213">
        <f>Financials!N7/Financials!N4</f>
        <v>1.1456904303060289E-2</v>
      </c>
      <c r="P26" s="213">
        <f>Financials!O7/Financials!O4</f>
        <v>0.77227754691620776</v>
      </c>
      <c r="Q26" s="213">
        <f>Financials!P7/Financials!P4</f>
        <v>1.2277370690149841E-2</v>
      </c>
      <c r="R26" s="213">
        <f>Financials!Q7/Financials!Q4</f>
        <v>3.6296389014161767E-2</v>
      </c>
      <c r="S26" s="213">
        <f>Financials!R7/Financials!R4</f>
        <v>2.3967170956377504E-2</v>
      </c>
      <c r="T26" s="213">
        <f>Financials!S7/Financials!S4</f>
        <v>2.2663576776342297E-2</v>
      </c>
      <c r="U26" s="213">
        <f>Financials!T7/Financials!T4</f>
        <v>2.1288671130272004E-2</v>
      </c>
      <c r="V26" s="213">
        <f>Financials!U7/Financials!U4</f>
        <v>2.1159485097496832E-2</v>
      </c>
      <c r="W26" s="213">
        <f>Financials!V7/Financials!V4</f>
        <v>2.5394976574019262E-2</v>
      </c>
      <c r="X26" s="213">
        <f>Financials!W7/Financials!W4</f>
        <v>3.1865881271147777E-2</v>
      </c>
      <c r="Y26" s="213">
        <f>Financials!X7/Financials!X4</f>
        <v>2.9945515731771417E-2</v>
      </c>
      <c r="Z26" s="213">
        <f>Financials!Y7/Financials!Y4</f>
        <v>2.7050059566330054E-2</v>
      </c>
      <c r="AA26" s="213">
        <f>Financials!Z7/Financials!Z4</f>
        <v>2.815997959563726E-2</v>
      </c>
      <c r="AB26" s="213">
        <f>Financials!AA7/Financials!AA4</f>
        <v>2.5465542639561436E-2</v>
      </c>
      <c r="AC26" s="213">
        <f>Financials!AB7/Financials!AB4</f>
        <v>2.5365125560206907E-2</v>
      </c>
      <c r="AD26" s="213">
        <f>Financials!AC7/Financials!AC4</f>
        <v>2.7683163385379378E-2</v>
      </c>
      <c r="AE26" s="213">
        <f>Financials!AD7/Financials!AD4</f>
        <v>2.6740812223981433E-2</v>
      </c>
      <c r="AF26" s="213">
        <f>Financials!AE7/Financials!AE4</f>
        <v>5.0813017408207276E-2</v>
      </c>
      <c r="AG26" s="213">
        <f>Financials!AF7/Financials!AF4</f>
        <v>4.0715428203885975E-2</v>
      </c>
      <c r="AH26" s="213">
        <f>Financials!AG7/Financials!AG4</f>
        <v>3.8157947720581856E-2</v>
      </c>
      <c r="AI26" s="213">
        <f>Financials!AH7/Financials!AH4</f>
        <v>3.876370746597764E-2</v>
      </c>
      <c r="AJ26" s="213">
        <f>Financials!AI7/Financials!AI4</f>
        <v>4.1840249675134708E-2</v>
      </c>
      <c r="AK26" s="213">
        <f>Financials!AJ7/Financials!AJ4</f>
        <v>3.8667020022503967E-2</v>
      </c>
      <c r="AL26" s="213">
        <f>Financials!AK7/Financials!AK4</f>
        <v>3.5402024222383227E-2</v>
      </c>
      <c r="AM26" s="213">
        <f>Financials!AL7/Financials!AL4</f>
        <v>3.6750090884005208E-2</v>
      </c>
      <c r="AN26" s="213">
        <f>Financials!AM7/Financials!AM4</f>
        <v>3.5749731316889452E-2</v>
      </c>
      <c r="AO26" s="213">
        <f>Financials!AN7/Financials!AN4</f>
        <v>3.435368783260484E-2</v>
      </c>
      <c r="AP26" s="213">
        <f>Financials!AO7/Financials!AO4</f>
        <v>3.4679071019102406E-2</v>
      </c>
      <c r="AQ26" s="213" t="e">
        <f>Financials!AP7/Financials!AP4</f>
        <v>#DIV/0!</v>
      </c>
      <c r="AR26" s="213" t="e">
        <f>Financials!AQ7/Financials!AQ4</f>
        <v>#DIV/0!</v>
      </c>
      <c r="AS26" s="213" t="e">
        <f>Financials!AR7/Financials!AR4</f>
        <v>#DIV/0!</v>
      </c>
      <c r="AT26" s="213" t="e">
        <f>Financials!AS7/Financials!AS4</f>
        <v>#DIV/0!</v>
      </c>
      <c r="AU26" s="213" t="e">
        <f>Financials!AT7/Financials!AT4</f>
        <v>#DIV/0!</v>
      </c>
      <c r="AV26" s="213" t="e">
        <f>Financials!AU7/Financials!AU4</f>
        <v>#DIV/0!</v>
      </c>
      <c r="AW26" s="213" t="e">
        <f>Financials!AV7/Financials!AV4</f>
        <v>#DIV/0!</v>
      </c>
      <c r="AX26" s="213" t="e">
        <f>Financials!AW7/Financials!AW4</f>
        <v>#DIV/0!</v>
      </c>
      <c r="AY26" s="213" t="e">
        <f>Financials!AX7/Financials!AX4</f>
        <v>#DIV/0!</v>
      </c>
      <c r="AZ26" s="213" t="e">
        <f>Financials!AY7/Financials!AY4</f>
        <v>#DIV/0!</v>
      </c>
      <c r="BA26" s="213" t="e">
        <f>Financials!AZ7/Financials!AZ4</f>
        <v>#DIV/0!</v>
      </c>
      <c r="BB26" s="213" t="e">
        <f>Financials!BA7/Financials!BA4</f>
        <v>#DIV/0!</v>
      </c>
      <c r="BC26" s="213" t="e">
        <f>Financials!BB7/Financials!BB4</f>
        <v>#DIV/0!</v>
      </c>
      <c r="BD26" s="213" t="e">
        <f>Financials!BC7/Financials!BC4</f>
        <v>#DIV/0!</v>
      </c>
    </row>
    <row r="27" spans="1:56" s="80" customFormat="1" ht="14.1">
      <c r="A27" s="194" t="s">
        <v>275</v>
      </c>
      <c r="B27" s="190" t="s">
        <v>276</v>
      </c>
      <c r="C27" s="191">
        <v>35.1</v>
      </c>
      <c r="D27" s="193">
        <f>Financials!C8/Financials!C4</f>
        <v>0</v>
      </c>
      <c r="E27" s="193">
        <f>Financials!D8/Financials!D4</f>
        <v>1.9921986757578925E-3</v>
      </c>
      <c r="F27" s="193">
        <f>Financials!E8/Financials!E4</f>
        <v>0</v>
      </c>
      <c r="G27" s="193">
        <f>Financials!F8/Financials!F4</f>
        <v>0</v>
      </c>
      <c r="H27" s="193">
        <f>Financials!G8/Financials!G4</f>
        <v>0</v>
      </c>
      <c r="I27" s="193">
        <f>Financials!H8/Financials!H4</f>
        <v>0</v>
      </c>
      <c r="J27" s="193">
        <f>Financials!I8/Financials!I4</f>
        <v>0</v>
      </c>
      <c r="K27" s="193">
        <f>Financials!J8/Financials!J4</f>
        <v>0</v>
      </c>
      <c r="L27" s="193">
        <f>Financials!K8/Financials!K4</f>
        <v>0</v>
      </c>
      <c r="M27" s="193">
        <f>Financials!L8/Financials!L4</f>
        <v>0</v>
      </c>
      <c r="N27" s="193">
        <f>Financials!M8/Financials!M4</f>
        <v>-1.2697433823710524E-5</v>
      </c>
      <c r="O27" s="193">
        <f>Financials!N8/Financials!N4</f>
        <v>1.0502602105583001E-3</v>
      </c>
      <c r="P27" s="193">
        <f>Financials!O8/Financials!O4</f>
        <v>0</v>
      </c>
      <c r="Q27" s="193">
        <f>Financials!P8/Financials!P4</f>
        <v>1.8332544572899358E-3</v>
      </c>
      <c r="R27" s="193">
        <f>Financials!Q8/Financials!Q4</f>
        <v>1.6101490307958235E-3</v>
      </c>
      <c r="S27" s="193">
        <f>Financials!R8/Financials!R4</f>
        <v>9.9364750547013066E-4</v>
      </c>
      <c r="T27" s="193">
        <f>Financials!S8/Financials!S4</f>
        <v>6.5958455123033466E-4</v>
      </c>
      <c r="U27" s="193">
        <f>Financials!T8/Financials!T4</f>
        <v>6.443499106301543E-4</v>
      </c>
      <c r="V27" s="193">
        <f>Financials!U8/Financials!U4</f>
        <v>6.4679544828599072E-4</v>
      </c>
      <c r="W27" s="193">
        <f>Financials!V8/Financials!V4</f>
        <v>3.1869568032615037E-4</v>
      </c>
      <c r="X27" s="193">
        <f>Financials!W8/Financials!W4</f>
        <v>3.2942029242322195E-4</v>
      </c>
      <c r="Y27" s="193">
        <f>Financials!X8/Financials!X4</f>
        <v>3.3676982045290164E-4</v>
      </c>
      <c r="Z27" s="193">
        <f>Financials!Y8/Financials!Y4</f>
        <v>3.2534349365503814E-4</v>
      </c>
      <c r="AA27" s="193">
        <f>Financials!Z8/Financials!Z4</f>
        <v>5.9422658384293015E-6</v>
      </c>
      <c r="AB27" s="193">
        <f>Financials!AA8/Financials!AA4</f>
        <v>2.1846063933683053E-3</v>
      </c>
      <c r="AC27" s="193">
        <f>Financials!AB8/Financials!AB4</f>
        <v>0</v>
      </c>
      <c r="AD27" s="193">
        <f>Financials!AC8/Financials!AC4</f>
        <v>1.9225311350714767E-3</v>
      </c>
      <c r="AE27" s="193">
        <f>Financials!AD8/Financials!AD4</f>
        <v>1.8740954671508867E-3</v>
      </c>
      <c r="AF27" s="193">
        <f>Financials!AE8/Financials!AE4</f>
        <v>9.3245089764909398E-4</v>
      </c>
      <c r="AG27" s="193">
        <f>Financials!AF8/Financials!AF4</f>
        <v>6.0551624573986884E-4</v>
      </c>
      <c r="AH27" s="193">
        <f>Financials!AG8/Financials!AG4</f>
        <v>5.8254619392391932E-4</v>
      </c>
      <c r="AI27" s="193">
        <f>Financials!AH8/Financials!AH4</f>
        <v>5.7445021976286904E-4</v>
      </c>
      <c r="AJ27" s="193">
        <f>Financials!AI8/Financials!AI4</f>
        <v>5.6984019668616102E-4</v>
      </c>
      <c r="AK27" s="193">
        <f>Financials!AJ8/Financials!AJ4</f>
        <v>5.6383794892563227E-4</v>
      </c>
      <c r="AL27" s="193">
        <f>Financials!AK8/Financials!AK4</f>
        <v>5.5065813366101215E-4</v>
      </c>
      <c r="AM27" s="193">
        <f>Financials!AL8/Financials!AL4</f>
        <v>5.3326087540031715E-4</v>
      </c>
      <c r="AN27" s="193">
        <f>Financials!AM8/Financials!AM4</f>
        <v>2.980386318832117E-4</v>
      </c>
      <c r="AO27" s="193">
        <f>Financials!AN8/Financials!AN4</f>
        <v>4.0723573906679385E-3</v>
      </c>
      <c r="AP27" s="193">
        <f>Financials!AO8/Financials!AO4</f>
        <v>0</v>
      </c>
      <c r="AQ27" s="193" t="e">
        <f>Financials!AP8/Financials!AP4</f>
        <v>#DIV/0!</v>
      </c>
      <c r="AR27" s="193" t="e">
        <f>Financials!AQ8/Financials!AQ4</f>
        <v>#DIV/0!</v>
      </c>
      <c r="AS27" s="193" t="e">
        <f>Financials!AR8/Financials!AR4</f>
        <v>#DIV/0!</v>
      </c>
      <c r="AT27" s="193" t="e">
        <f>Financials!AS8/Financials!AS4</f>
        <v>#DIV/0!</v>
      </c>
      <c r="AU27" s="193" t="e">
        <f>Financials!AT8/Financials!AT4</f>
        <v>#DIV/0!</v>
      </c>
      <c r="AV27" s="193" t="e">
        <f>Financials!AU8/Financials!AU4</f>
        <v>#DIV/0!</v>
      </c>
      <c r="AW27" s="193" t="e">
        <f>Financials!AV8/Financials!AV4</f>
        <v>#DIV/0!</v>
      </c>
      <c r="AX27" s="193" t="e">
        <f>Financials!AW8/Financials!AW4</f>
        <v>#DIV/0!</v>
      </c>
      <c r="AY27" s="193" t="e">
        <f>Financials!AX8/Financials!AX4</f>
        <v>#DIV/0!</v>
      </c>
      <c r="AZ27" s="193" t="e">
        <f>Financials!AY8/Financials!AY4</f>
        <v>#DIV/0!</v>
      </c>
      <c r="BA27" s="193" t="e">
        <f>Financials!AZ8/Financials!AZ4</f>
        <v>#DIV/0!</v>
      </c>
      <c r="BB27" s="193" t="e">
        <f>Financials!BA8/Financials!BA4</f>
        <v>#DIV/0!</v>
      </c>
      <c r="BC27" s="193" t="e">
        <f>Financials!BB8/Financials!BB4</f>
        <v>#DIV/0!</v>
      </c>
      <c r="BD27" s="193" t="e">
        <f>Financials!BC8/Financials!BC4</f>
        <v>#DIV/0!</v>
      </c>
    </row>
    <row r="28" spans="1:56" s="80" customFormat="1">
      <c r="A28" s="88"/>
      <c r="B28" s="95"/>
      <c r="C28" s="92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</row>
    <row r="29" spans="1:56" s="80" customFormat="1">
      <c r="A29" s="84" t="s">
        <v>277</v>
      </c>
      <c r="B29" s="85"/>
      <c r="C29" s="86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</row>
    <row r="30" spans="1:56">
      <c r="A30" s="90" t="s">
        <v>26</v>
      </c>
      <c r="B30" s="91" t="s">
        <v>274</v>
      </c>
      <c r="C30" s="94"/>
      <c r="D30" s="180">
        <v>3.1257704607964405E-2</v>
      </c>
      <c r="E30" s="180">
        <v>6.7457958613314738E-3</v>
      </c>
      <c r="F30" s="180">
        <v>1.9779457056970956E-2</v>
      </c>
      <c r="G30" s="180">
        <v>-8.5266309616776996E-3</v>
      </c>
      <c r="H30" s="180">
        <v>7.7077653451246659E-3</v>
      </c>
      <c r="I30" s="180">
        <v>5.0623348067085757E-3</v>
      </c>
      <c r="J30" s="180">
        <v>-3.7644420884911148E-3</v>
      </c>
      <c r="K30" s="180">
        <v>2.5332080260724917E-3</v>
      </c>
      <c r="L30" s="180">
        <v>2.5332080260724917E-3</v>
      </c>
      <c r="M30" s="180">
        <v>2.5332080260724917E-3</v>
      </c>
      <c r="N30" s="180">
        <v>2.5332080260724917E-3</v>
      </c>
      <c r="O30" s="180">
        <v>2.5332080260724917E-3</v>
      </c>
      <c r="P30" s="180">
        <v>2.5332080260724917E-3</v>
      </c>
      <c r="Q30" s="180">
        <v>2.5332080260724917E-3</v>
      </c>
      <c r="R30" s="180">
        <v>2.5332080260724917E-3</v>
      </c>
      <c r="S30" s="180">
        <v>2.5332080260724917E-3</v>
      </c>
      <c r="T30" s="180">
        <v>2.5332080260724917E-3</v>
      </c>
      <c r="U30" s="180">
        <v>2.5332080260724917E-3</v>
      </c>
      <c r="V30" s="180">
        <v>2.5332080260724917E-3</v>
      </c>
      <c r="W30" s="180">
        <v>2.5332080260724917E-3</v>
      </c>
      <c r="X30" s="180">
        <v>2.53320802607249E-3</v>
      </c>
      <c r="Y30" s="180">
        <v>2.53320802607249E-3</v>
      </c>
      <c r="Z30" s="180">
        <v>2.53320802607249E-3</v>
      </c>
      <c r="AA30" s="180">
        <v>2.53320802607249E-3</v>
      </c>
      <c r="AB30" s="180">
        <v>2.53320802607249E-3</v>
      </c>
      <c r="AC30" s="180">
        <v>2.53320802607249E-3</v>
      </c>
      <c r="AD30" s="180">
        <v>2.53320802607249E-3</v>
      </c>
      <c r="AE30" s="180">
        <v>2.53320802607249E-3</v>
      </c>
      <c r="AF30" s="180">
        <v>2.53320802607249E-3</v>
      </c>
      <c r="AG30" s="180">
        <v>2.53320802607249E-3</v>
      </c>
      <c r="AH30" s="180">
        <v>2.53320802607249E-3</v>
      </c>
      <c r="AI30" s="180">
        <v>2.53320802607249E-3</v>
      </c>
      <c r="AJ30" s="180">
        <v>2.53320802607249E-3</v>
      </c>
      <c r="AK30" s="180">
        <v>2.53320802607249E-3</v>
      </c>
      <c r="AL30" s="180">
        <v>2.53320802607249E-3</v>
      </c>
      <c r="AM30" s="180">
        <v>2.53320802607249E-3</v>
      </c>
      <c r="AN30" s="180">
        <v>2.53320802607249E-3</v>
      </c>
      <c r="AO30" s="180">
        <v>2.53320802607249E-3</v>
      </c>
      <c r="AP30" s="180">
        <v>2.53320802607249E-3</v>
      </c>
      <c r="AQ30" s="180">
        <v>2.53320802607249E-3</v>
      </c>
      <c r="AR30" s="180">
        <v>2.53320802607249E-3</v>
      </c>
      <c r="AS30" s="180">
        <v>2.53320802607249E-3</v>
      </c>
      <c r="AT30" s="180">
        <v>2.53320802607249E-3</v>
      </c>
      <c r="AU30" s="180">
        <v>2.53320802607249E-3</v>
      </c>
      <c r="AV30" s="180">
        <v>2.53320802607249E-3</v>
      </c>
      <c r="AW30" s="180">
        <v>2.53320802607249E-3</v>
      </c>
      <c r="AX30" s="180">
        <v>2.53320802607249E-3</v>
      </c>
      <c r="AY30" s="180">
        <v>2.53320802607249E-3</v>
      </c>
      <c r="AZ30" s="180">
        <v>2.53320802607249E-3</v>
      </c>
      <c r="BA30" s="180">
        <v>2.53320802607249E-3</v>
      </c>
      <c r="BB30" s="180">
        <v>2.53320802607249E-3</v>
      </c>
      <c r="BC30" s="180">
        <v>2.53320802607249E-3</v>
      </c>
      <c r="BD30" s="180">
        <v>2.53320802607249E-3</v>
      </c>
    </row>
    <row r="31" spans="1:56">
      <c r="A31" s="90" t="s">
        <v>137</v>
      </c>
      <c r="B31" s="91" t="s">
        <v>274</v>
      </c>
      <c r="C31" s="94"/>
      <c r="D31" s="180">
        <v>-3.5093982605545811E-2</v>
      </c>
      <c r="E31" s="180">
        <v>5.2817350400579652E-2</v>
      </c>
      <c r="F31" s="180">
        <v>-8.7600183872994803E-3</v>
      </c>
      <c r="G31" s="180">
        <v>-1.0638541521873002E-3</v>
      </c>
      <c r="H31" s="180">
        <v>2.2941793783393108E-3</v>
      </c>
      <c r="I31" s="180">
        <v>-1.792858216421681E-4</v>
      </c>
      <c r="J31" s="180">
        <v>-2.1102954664046148E-2</v>
      </c>
      <c r="K31" s="180">
        <v>-1.5087471169934414E-3</v>
      </c>
      <c r="L31" s="180">
        <v>-1.5087471169934414E-3</v>
      </c>
      <c r="M31" s="180">
        <v>-1.5087471169934414E-3</v>
      </c>
      <c r="N31" s="180">
        <v>-1.5087471169934414E-3</v>
      </c>
      <c r="O31" s="180">
        <v>-1.5087471169934414E-3</v>
      </c>
      <c r="P31" s="180">
        <v>-1.5087471169934414E-3</v>
      </c>
      <c r="Q31" s="180">
        <v>-1.5087471169934414E-3</v>
      </c>
      <c r="R31" s="180">
        <v>-1.5087471169934414E-3</v>
      </c>
      <c r="S31" s="180">
        <v>-1.5087471169934414E-3</v>
      </c>
      <c r="T31" s="180">
        <v>-1.5087471169934414E-3</v>
      </c>
      <c r="U31" s="180">
        <v>-1.5087471169934414E-3</v>
      </c>
      <c r="V31" s="180">
        <v>-1.5087471169934414E-3</v>
      </c>
      <c r="W31" s="180">
        <v>-1.5087471169934414E-3</v>
      </c>
      <c r="X31" s="180">
        <v>-1.5087471169934401E-3</v>
      </c>
      <c r="Y31" s="180">
        <v>-1.5087471169934401E-3</v>
      </c>
      <c r="Z31" s="180">
        <v>-1.5087471169934401E-3</v>
      </c>
      <c r="AA31" s="180">
        <v>-1.5087471169934401E-3</v>
      </c>
      <c r="AB31" s="180">
        <v>-1.5087471169934401E-3</v>
      </c>
      <c r="AC31" s="180">
        <v>-1.5087471169934401E-3</v>
      </c>
      <c r="AD31" s="180">
        <v>-1.5087471169934401E-3</v>
      </c>
      <c r="AE31" s="180">
        <v>-1.5087471169934401E-3</v>
      </c>
      <c r="AF31" s="180">
        <v>-1.5087471169934401E-3</v>
      </c>
      <c r="AG31" s="180">
        <v>-1.5087471169934401E-3</v>
      </c>
      <c r="AH31" s="180">
        <v>-1.5087471169934401E-3</v>
      </c>
      <c r="AI31" s="180">
        <v>-1.5087471169934401E-3</v>
      </c>
      <c r="AJ31" s="180">
        <v>-1.5087471169934401E-3</v>
      </c>
      <c r="AK31" s="180">
        <v>-1.5087471169934401E-3</v>
      </c>
      <c r="AL31" s="180">
        <v>-1.5087471169934401E-3</v>
      </c>
      <c r="AM31" s="180">
        <v>-1.5087471169934401E-3</v>
      </c>
      <c r="AN31" s="180">
        <v>-1.5087471169934401E-3</v>
      </c>
      <c r="AO31" s="180">
        <v>-1.5087471169934401E-3</v>
      </c>
      <c r="AP31" s="180">
        <v>-1.5087471169934401E-3</v>
      </c>
      <c r="AQ31" s="180">
        <v>-1.5087471169934401E-3</v>
      </c>
      <c r="AR31" s="180">
        <v>-1.5087471169934401E-3</v>
      </c>
      <c r="AS31" s="180">
        <v>-1.5087471169934401E-3</v>
      </c>
      <c r="AT31" s="180">
        <v>-1.5087471169934401E-3</v>
      </c>
      <c r="AU31" s="180">
        <v>-1.5087471169934401E-3</v>
      </c>
      <c r="AV31" s="180">
        <v>-1.5087471169934401E-3</v>
      </c>
      <c r="AW31" s="180">
        <v>-1.5087471169934401E-3</v>
      </c>
      <c r="AX31" s="180">
        <v>-1.5087471169934401E-3</v>
      </c>
      <c r="AY31" s="180">
        <v>-1.5087471169934401E-3</v>
      </c>
      <c r="AZ31" s="180">
        <v>-1.5087471169934401E-3</v>
      </c>
      <c r="BA31" s="180">
        <v>-1.5087471169934401E-3</v>
      </c>
      <c r="BB31" s="180">
        <v>-1.5087471169934401E-3</v>
      </c>
      <c r="BC31" s="180">
        <v>-1.5087471169934401E-3</v>
      </c>
      <c r="BD31" s="180">
        <v>-1.5087471169934401E-3</v>
      </c>
    </row>
    <row r="32" spans="1:56">
      <c r="A32" s="97" t="s">
        <v>139</v>
      </c>
      <c r="B32" s="91" t="s">
        <v>274</v>
      </c>
      <c r="C32" s="94"/>
      <c r="D32" s="180">
        <v>-5.2971373391956435E-2</v>
      </c>
      <c r="E32" s="180">
        <v>6.7219695606924493E-2</v>
      </c>
      <c r="F32" s="180">
        <v>-1.6154937347014026E-2</v>
      </c>
      <c r="G32" s="180">
        <v>-4.7446665228819077E-3</v>
      </c>
      <c r="H32" s="180">
        <v>-6.1806270880995361E-4</v>
      </c>
      <c r="I32" s="180">
        <v>-5.161377564387855E-3</v>
      </c>
      <c r="J32" s="180">
        <v>-4.1211834063076887E-2</v>
      </c>
      <c r="K32" s="180">
        <v>-5.7699175767064962E-3</v>
      </c>
      <c r="L32" s="180">
        <v>-5.7699175767064962E-3</v>
      </c>
      <c r="M32" s="180">
        <v>-5.7699175767064962E-3</v>
      </c>
      <c r="N32" s="180">
        <v>-5.7699175767064962E-3</v>
      </c>
      <c r="O32" s="180">
        <v>-5.7699175767064962E-3</v>
      </c>
      <c r="P32" s="180">
        <v>-5.7699175767064962E-3</v>
      </c>
      <c r="Q32" s="180">
        <v>-5.7699175767064962E-3</v>
      </c>
      <c r="R32" s="180">
        <v>-5.7699175767064962E-3</v>
      </c>
      <c r="S32" s="180">
        <v>-5.7699175767064962E-3</v>
      </c>
      <c r="T32" s="180">
        <v>-5.7699175767064962E-3</v>
      </c>
      <c r="U32" s="180">
        <v>-5.7699175767064962E-3</v>
      </c>
      <c r="V32" s="180">
        <v>-5.7699175767064962E-3</v>
      </c>
      <c r="W32" s="180">
        <v>-5.7699175767064962E-3</v>
      </c>
      <c r="X32" s="180">
        <v>-5.7699175767064997E-3</v>
      </c>
      <c r="Y32" s="180">
        <v>-5.7699175767064997E-3</v>
      </c>
      <c r="Z32" s="180">
        <v>-5.7699175767064997E-3</v>
      </c>
      <c r="AA32" s="180">
        <v>-5.7699175767064997E-3</v>
      </c>
      <c r="AB32" s="180">
        <v>-5.7699175767064997E-3</v>
      </c>
      <c r="AC32" s="180">
        <v>-5.7699175767064997E-3</v>
      </c>
      <c r="AD32" s="180">
        <v>-5.7699175767064997E-3</v>
      </c>
      <c r="AE32" s="180">
        <v>-5.7699175767064997E-3</v>
      </c>
      <c r="AF32" s="180">
        <v>-5.7699175767064997E-3</v>
      </c>
      <c r="AG32" s="180">
        <v>-5.7699175767064997E-3</v>
      </c>
      <c r="AH32" s="180">
        <v>-5.7699175767064997E-3</v>
      </c>
      <c r="AI32" s="180">
        <v>-5.7699175767064997E-3</v>
      </c>
      <c r="AJ32" s="180">
        <v>-5.7699175767064997E-3</v>
      </c>
      <c r="AK32" s="180">
        <v>-5.7699175767064997E-3</v>
      </c>
      <c r="AL32" s="180">
        <v>-5.7699175767064997E-3</v>
      </c>
      <c r="AM32" s="180">
        <v>-5.7699175767064997E-3</v>
      </c>
      <c r="AN32" s="180">
        <v>-5.7699175767064997E-3</v>
      </c>
      <c r="AO32" s="180">
        <v>-5.7699175767064997E-3</v>
      </c>
      <c r="AP32" s="180">
        <v>-5.7699175767064997E-3</v>
      </c>
      <c r="AQ32" s="180">
        <v>-5.7699175767064997E-3</v>
      </c>
      <c r="AR32" s="180">
        <v>-5.7699175767064997E-3</v>
      </c>
      <c r="AS32" s="180">
        <v>-5.7699175767064997E-3</v>
      </c>
      <c r="AT32" s="180">
        <v>-5.7699175767064997E-3</v>
      </c>
      <c r="AU32" s="180">
        <v>-5.7699175767064997E-3</v>
      </c>
      <c r="AV32" s="180">
        <v>-5.7699175767064997E-3</v>
      </c>
      <c r="AW32" s="180">
        <v>-5.7699175767064997E-3</v>
      </c>
      <c r="AX32" s="180">
        <v>-5.7699175767064997E-3</v>
      </c>
      <c r="AY32" s="180">
        <v>-5.7699175767064997E-3</v>
      </c>
      <c r="AZ32" s="180">
        <v>-5.7699175767064997E-3</v>
      </c>
      <c r="BA32" s="180">
        <v>-5.7699175767064997E-3</v>
      </c>
      <c r="BB32" s="180">
        <v>-5.7699175767064997E-3</v>
      </c>
      <c r="BC32" s="180">
        <v>-5.7699175767064997E-3</v>
      </c>
      <c r="BD32" s="180">
        <v>-5.7699175767064997E-3</v>
      </c>
    </row>
    <row r="33" spans="1:56">
      <c r="A33" s="97" t="s">
        <v>138</v>
      </c>
      <c r="B33" s="91" t="s">
        <v>274</v>
      </c>
      <c r="C33" s="94"/>
      <c r="D33" s="180">
        <v>9.8330654239332047E-3</v>
      </c>
      <c r="E33" s="180">
        <v>1.8874329892564875E-2</v>
      </c>
      <c r="F33" s="180">
        <v>9.4950683309012723E-3</v>
      </c>
      <c r="G33" s="180">
        <v>7.791718901547136E-3</v>
      </c>
      <c r="H33" s="180">
        <v>9.2135117471636337E-3</v>
      </c>
      <c r="I33" s="180">
        <v>1.1542583580561575E-2</v>
      </c>
      <c r="J33" s="180">
        <v>2.5427949812066166E-2</v>
      </c>
      <c r="K33" s="180">
        <v>7.7105974546110428E-3</v>
      </c>
      <c r="L33" s="180">
        <v>7.7105974546110428E-3</v>
      </c>
      <c r="M33" s="180">
        <v>7.7105974546110428E-3</v>
      </c>
      <c r="N33" s="180">
        <v>7.7105974546110428E-3</v>
      </c>
      <c r="O33" s="180">
        <v>7.7105974546110428E-3</v>
      </c>
      <c r="P33" s="180">
        <v>7.7105974546110428E-3</v>
      </c>
      <c r="Q33" s="180">
        <v>7.7105974546110428E-3</v>
      </c>
      <c r="R33" s="180">
        <v>7.7105974546110428E-3</v>
      </c>
      <c r="S33" s="180">
        <v>7.7105974546110428E-3</v>
      </c>
      <c r="T33" s="180">
        <v>7.7105974546110428E-3</v>
      </c>
      <c r="U33" s="180">
        <v>7.7105974546110428E-3</v>
      </c>
      <c r="V33" s="180">
        <v>7.7105974546110428E-3</v>
      </c>
      <c r="W33" s="180">
        <v>7.7105974546110428E-3</v>
      </c>
      <c r="X33" s="180">
        <v>7.7105974546110402E-3</v>
      </c>
      <c r="Y33" s="180">
        <v>7.7105974546110402E-3</v>
      </c>
      <c r="Z33" s="180">
        <v>7.7105974546110402E-3</v>
      </c>
      <c r="AA33" s="180">
        <v>7.7105974546110402E-3</v>
      </c>
      <c r="AB33" s="180">
        <v>7.7105974546110402E-3</v>
      </c>
      <c r="AC33" s="180">
        <v>7.7105974546110402E-3</v>
      </c>
      <c r="AD33" s="180">
        <v>7.7105974546110402E-3</v>
      </c>
      <c r="AE33" s="180">
        <v>7.7105974546110402E-3</v>
      </c>
      <c r="AF33" s="180">
        <v>7.7105974546110402E-3</v>
      </c>
      <c r="AG33" s="180">
        <v>7.7105974546110402E-3</v>
      </c>
      <c r="AH33" s="180">
        <v>7.7105974546110402E-3</v>
      </c>
      <c r="AI33" s="180">
        <v>7.7105974546110402E-3</v>
      </c>
      <c r="AJ33" s="180">
        <v>7.7105974546110402E-3</v>
      </c>
      <c r="AK33" s="180">
        <v>7.7105974546110402E-3</v>
      </c>
      <c r="AL33" s="180">
        <v>7.7105974546110402E-3</v>
      </c>
      <c r="AM33" s="180">
        <v>7.7105974546110402E-3</v>
      </c>
      <c r="AN33" s="180">
        <v>7.7105974546110402E-3</v>
      </c>
      <c r="AO33" s="180">
        <v>7.7105974546110402E-3</v>
      </c>
      <c r="AP33" s="180">
        <v>7.7105974546110402E-3</v>
      </c>
      <c r="AQ33" s="180">
        <v>7.7105974546110402E-3</v>
      </c>
      <c r="AR33" s="180">
        <v>7.7105974546110402E-3</v>
      </c>
      <c r="AS33" s="180">
        <v>7.7105974546110402E-3</v>
      </c>
      <c r="AT33" s="180">
        <v>7.7105974546110402E-3</v>
      </c>
      <c r="AU33" s="180">
        <v>7.7105974546110402E-3</v>
      </c>
      <c r="AV33" s="180">
        <v>7.7105974546110402E-3</v>
      </c>
      <c r="AW33" s="180">
        <v>7.7105974546110402E-3</v>
      </c>
      <c r="AX33" s="180">
        <v>7.7105974546110402E-3</v>
      </c>
      <c r="AY33" s="180">
        <v>7.7105974546110402E-3</v>
      </c>
      <c r="AZ33" s="180">
        <v>7.7105974546110402E-3</v>
      </c>
      <c r="BA33" s="180">
        <v>7.7105974546110402E-3</v>
      </c>
      <c r="BB33" s="180">
        <v>7.7105974546110402E-3</v>
      </c>
      <c r="BC33" s="180">
        <v>7.7105974546110402E-3</v>
      </c>
      <c r="BD33" s="180">
        <v>7.7105974546110402E-3</v>
      </c>
    </row>
    <row r="34" spans="1:56">
      <c r="A34" s="90" t="s">
        <v>278</v>
      </c>
      <c r="B34" s="91" t="s">
        <v>274</v>
      </c>
      <c r="C34" s="94"/>
      <c r="D34" s="180" t="e">
        <f>('Evolutive SFP'!B14-'Evolutive SFP'!#REF!)/'Evolutive SFP'!#REF!</f>
        <v>#REF!</v>
      </c>
      <c r="E34" s="180">
        <f>('Evolutive SFP'!C14-'Evolutive SFP'!B14)/'Evolutive SFP'!B14</f>
        <v>-1.6856701988213207E-2</v>
      </c>
      <c r="F34" s="180">
        <f>('Evolutive SFP'!D14-'Evolutive SFP'!C14)/'Evolutive SFP'!C14</f>
        <v>7.9612447685194036E-3</v>
      </c>
      <c r="G34" s="180">
        <f>('Evolutive SFP'!E14-'Evolutive SFP'!D14)/'Evolutive SFP'!D14</f>
        <v>1.5157806664416048E-3</v>
      </c>
      <c r="H34" s="180">
        <f>('Evolutive SFP'!F14-'Evolutive SFP'!E14)/'Evolutive SFP'!E14</f>
        <v>-5.7272079907016585E-3</v>
      </c>
      <c r="I34" s="180">
        <f>('Evolutive SFP'!G14-'Evolutive SFP'!F14)/'Evolutive SFP'!F14</f>
        <v>-3.6901916344922879E-3</v>
      </c>
      <c r="J34" s="180">
        <f>('Evolutive SFP'!H14-'Evolutive SFP'!G14)/'Evolutive SFP'!G14</f>
        <v>6.7873502185408566E-3</v>
      </c>
      <c r="K34" s="180">
        <f>('Evolutive SFP'!I14-'Evolutive SFP'!H14)/'Evolutive SFP'!H14</f>
        <v>1.0482009911665972E-2</v>
      </c>
      <c r="L34" s="180">
        <f>('Evolutive SFP'!J14-'Evolutive SFP'!I14)/'Evolutive SFP'!I14</f>
        <v>2.3604255672232014E-2</v>
      </c>
      <c r="M34" s="180">
        <f>('Evolutive SFP'!K14-'Evolutive SFP'!J14)/'Evolutive SFP'!J14</f>
        <v>9.4284818842681074E-3</v>
      </c>
      <c r="N34" s="180">
        <f>('Evolutive SFP'!L14-'Evolutive SFP'!K14)/'Evolutive SFP'!K14</f>
        <v>5.7735952329596284E-3</v>
      </c>
      <c r="O34" s="180">
        <f>('Evolutive SFP'!M14-'Evolutive SFP'!L14)/'Evolutive SFP'!L14</f>
        <v>4.8989900198988679E-3</v>
      </c>
      <c r="P34" s="180">
        <f>('Evolutive SFP'!N14-'Evolutive SFP'!M14)/'Evolutive SFP'!M14</f>
        <v>-4.8606273247977258E-4</v>
      </c>
      <c r="Q34" s="180">
        <f>('Evolutive SFP'!O14-'Evolutive SFP'!N14)/'Evolutive SFP'!N14</f>
        <v>-1.0424090044317472E-2</v>
      </c>
      <c r="R34" s="180">
        <f>('Evolutive SFP'!P14-'Evolutive SFP'!O14)/'Evolutive SFP'!O14</f>
        <v>-1.4755365636090546E-2</v>
      </c>
      <c r="S34" s="180">
        <f>('Evolutive SFP'!Q14-'Evolutive SFP'!P14)/'Evolutive SFP'!P14</f>
        <v>2.3794197331306752E-2</v>
      </c>
      <c r="T34" s="180">
        <f>('Evolutive SFP'!R14-'Evolutive SFP'!Q14)/'Evolutive SFP'!Q14</f>
        <v>1.3460249337439719E-2</v>
      </c>
      <c r="U34" s="180">
        <f>('Evolutive SFP'!S14-'Evolutive SFP'!R14)/'Evolutive SFP'!R14</f>
        <v>8.433720671142609E-3</v>
      </c>
      <c r="V34" s="180">
        <f>('Evolutive SFP'!T14-'Evolutive SFP'!S14)/'Evolutive SFP'!S14</f>
        <v>2.5158666151878993E-4</v>
      </c>
      <c r="W34" s="180">
        <f>('Evolutive SFP'!U14-'Evolutive SFP'!T14)/'Evolutive SFP'!T14</f>
        <v>1.1541502483507758E-2</v>
      </c>
      <c r="X34" s="180">
        <f>('Evolutive SFP'!V14-'Evolutive SFP'!U14)/'Evolutive SFP'!U14</f>
        <v>2.3028424918876991E-2</v>
      </c>
      <c r="Y34" s="180">
        <f>('Evolutive SFP'!W14-'Evolutive SFP'!V14)/'Evolutive SFP'!V14</f>
        <v>1.6525320195382914E-2</v>
      </c>
      <c r="Z34" s="180">
        <f>('Evolutive SFP'!X14-'Evolutive SFP'!W14)/'Evolutive SFP'!W14</f>
        <v>3.5535819392600054E-3</v>
      </c>
      <c r="AA34" s="180">
        <f>('Evolutive SFP'!Y14-'Evolutive SFP'!X14)/'Evolutive SFP'!X14</f>
        <v>1.2816014453717694E-2</v>
      </c>
      <c r="AB34" s="180">
        <f>('Evolutive SFP'!Z14-'Evolutive SFP'!Y14)/'Evolutive SFP'!Y14</f>
        <v>5.6042756584179926E-3</v>
      </c>
      <c r="AC34" s="180">
        <f>('Evolutive SFP'!AA14-'Evolutive SFP'!Z14)/'Evolutive SFP'!Z14</f>
        <v>1.5544341747439436E-2</v>
      </c>
      <c r="AD34" s="180">
        <f>('Evolutive SFP'!AB14-'Evolutive SFP'!AA14)/'Evolutive SFP'!AA14</f>
        <v>6.3025029557858391E-3</v>
      </c>
      <c r="AE34" s="180">
        <f>('Evolutive SFP'!AC14-'Evolutive SFP'!AB14)/'Evolutive SFP'!AB14</f>
        <v>3.7645800635059622E-3</v>
      </c>
      <c r="AF34" s="180">
        <f>('Evolutive SFP'!AD14-'Evolutive SFP'!AC14)/'Evolutive SFP'!AC14</f>
        <v>-1.102293459946287E-2</v>
      </c>
      <c r="AG34" s="180">
        <f>('Evolutive SFP'!AE14-'Evolutive SFP'!AD14)/'Evolutive SFP'!AD14</f>
        <v>1.4220950174892567E-2</v>
      </c>
      <c r="AH34" s="180">
        <f>('Evolutive SFP'!AF14-'Evolutive SFP'!AE14)/'Evolutive SFP'!AE14</f>
        <v>9.1537733614763857E-3</v>
      </c>
      <c r="AI34" s="180">
        <f>('Evolutive SFP'!AG14-'Evolutive SFP'!AF14)/'Evolutive SFP'!AF14</f>
        <v>-3.6343718661030889E-3</v>
      </c>
      <c r="AJ34" s="180">
        <f>('Evolutive SFP'!AH14-'Evolutive SFP'!AG14)/'Evolutive SFP'!AG14</f>
        <v>1.9887651789887335E-2</v>
      </c>
      <c r="AK34" s="180">
        <f>('Evolutive SFP'!AI14-'Evolutive SFP'!AH14)/'Evolutive SFP'!AH14</f>
        <v>1.3741060996269792E-2</v>
      </c>
      <c r="AL34" s="180">
        <f>('Evolutive SFP'!AJ14-'Evolutive SFP'!AI14)/'Evolutive SFP'!AI14</f>
        <v>1.3085003967397178E-2</v>
      </c>
      <c r="AM34" s="180">
        <f>('Evolutive SFP'!AK14-'Evolutive SFP'!AJ14)/'Evolutive SFP'!AJ14</f>
        <v>1.738163294074099E-2</v>
      </c>
      <c r="AN34" s="180">
        <f>('Evolutive SFP'!AL14-'Evolutive SFP'!AK14)/'Evolutive SFP'!AK14</f>
        <v>2.0146974412828325E-2</v>
      </c>
      <c r="AO34" s="180">
        <f>('Evolutive SFP'!AM14-'Evolutive SFP'!AL14)/'Evolutive SFP'!AL14</f>
        <v>9.5629100474559445E-3</v>
      </c>
      <c r="AP34" s="180">
        <f>('Evolutive SFP'!AN14-'Evolutive SFP'!AM14)/'Evolutive SFP'!AM14</f>
        <v>1.377767375728515E-2</v>
      </c>
      <c r="AQ34" s="180">
        <f>('Evolutive SFP'!AO14-'Evolutive SFP'!AN14)/'Evolutive SFP'!AN14</f>
        <v>-1</v>
      </c>
      <c r="AR34" s="180" t="e">
        <f>('Evolutive SFP'!AP14-'Evolutive SFP'!AO14)/'Evolutive SFP'!AO14</f>
        <v>#DIV/0!</v>
      </c>
      <c r="AS34" s="180" t="e">
        <f>('Evolutive SFP'!AQ14-'Evolutive SFP'!AP14)/'Evolutive SFP'!AP14</f>
        <v>#DIV/0!</v>
      </c>
      <c r="AT34" s="180" t="e">
        <f>('Evolutive SFP'!AR14-'Evolutive SFP'!AQ14)/'Evolutive SFP'!AQ14</f>
        <v>#DIV/0!</v>
      </c>
      <c r="AU34" s="180" t="e">
        <f>('Evolutive SFP'!AS14-'Evolutive SFP'!AR14)/'Evolutive SFP'!AR14</f>
        <v>#DIV/0!</v>
      </c>
      <c r="AV34" s="180" t="e">
        <f>('Evolutive SFP'!AT14-'Evolutive SFP'!AS14)/'Evolutive SFP'!AS14</f>
        <v>#DIV/0!</v>
      </c>
      <c r="AW34" s="180" t="e">
        <f>('Evolutive SFP'!AU14-'Evolutive SFP'!AT14)/'Evolutive SFP'!AT14</f>
        <v>#DIV/0!</v>
      </c>
      <c r="AX34" s="180" t="e">
        <f>('Evolutive SFP'!AV14-'Evolutive SFP'!AU14)/'Evolutive SFP'!AU14</f>
        <v>#DIV/0!</v>
      </c>
      <c r="AY34" s="180" t="e">
        <f>('Evolutive SFP'!AW14-'Evolutive SFP'!AV14)/'Evolutive SFP'!AV14</f>
        <v>#DIV/0!</v>
      </c>
      <c r="AZ34" s="180" t="e">
        <f>('Evolutive SFP'!AX14-'Evolutive SFP'!AW14)/'Evolutive SFP'!AW14</f>
        <v>#DIV/0!</v>
      </c>
      <c r="BA34" s="180" t="e">
        <f>('Evolutive SFP'!AY14-'Evolutive SFP'!AX14)/'Evolutive SFP'!AX14</f>
        <v>#DIV/0!</v>
      </c>
      <c r="BB34" s="180" t="e">
        <f>('Evolutive SFP'!AZ14-'Evolutive SFP'!AY14)/'Evolutive SFP'!AY14</f>
        <v>#DIV/0!</v>
      </c>
      <c r="BC34" s="180" t="e">
        <f>('Evolutive SFP'!BA14-'Evolutive SFP'!AZ14)/'Evolutive SFP'!AZ14</f>
        <v>#DIV/0!</v>
      </c>
      <c r="BD34" s="180" t="e">
        <f>('Evolutive SFP'!BB14-'Evolutive SFP'!BA14)/'Evolutive SFP'!BA14</f>
        <v>#DIV/0!</v>
      </c>
    </row>
    <row r="35" spans="1:56">
      <c r="A35" s="90" t="s">
        <v>141</v>
      </c>
      <c r="B35" s="91" t="s">
        <v>274</v>
      </c>
      <c r="C35" s="94"/>
      <c r="D35" s="180" t="e">
        <f>(Financials!C11-Financials!#REF!)/Financials!#REF!</f>
        <v>#REF!</v>
      </c>
      <c r="E35" s="180">
        <f>(Financials!D11-Financials!C11)/Financials!C11</f>
        <v>3.258024270924182E-2</v>
      </c>
      <c r="F35" s="180">
        <f>(Financials!E11-Financials!D11)/Financials!D11</f>
        <v>1.5135607238171568E-2</v>
      </c>
      <c r="G35" s="180">
        <f>(Financials!F11-Financials!E11)/Financials!E11</f>
        <v>2.3965181447746269E-2</v>
      </c>
      <c r="H35" s="180">
        <f>(Financials!G11-Financials!F11)/Financials!F11</f>
        <v>2.8317589980691931E-2</v>
      </c>
      <c r="I35" s="180">
        <f>(Financials!H11-Financials!G11)/Financials!G11</f>
        <v>2.9781430262303395E-2</v>
      </c>
      <c r="J35" s="180">
        <f>(Financials!I11-Financials!H11)/Financials!H11</f>
        <v>2.5231250401623682E-2</v>
      </c>
      <c r="K35" s="180">
        <f>(Financials!J11-Financials!I11)/Financials!I11</f>
        <v>1.0241707144287963E-2</v>
      </c>
      <c r="L35" s="180">
        <f>(Financials!K11-Financials!J11)/Financials!J11</f>
        <v>2.204574703965171E-2</v>
      </c>
      <c r="M35" s="180">
        <f>(Financials!L11-Financials!K11)/Financials!K11</f>
        <v>2.3054606117361383E-2</v>
      </c>
      <c r="N35" s="180">
        <f>(Financials!M11-Financials!L11)/Financials!L11</f>
        <v>1.603372253182107E-2</v>
      </c>
      <c r="O35" s="180">
        <f>(Financials!N11-Financials!M11)/Financials!M11</f>
        <v>7.118915196921558E-3</v>
      </c>
      <c r="P35" s="180">
        <f>(Financials!O11-Financials!N11)/Financials!N11</f>
        <v>4.3653938164131038E-2</v>
      </c>
      <c r="Q35" s="180">
        <f>(Financials!P11-Financials!O11)/Financials!O11</f>
        <v>-8.7942326737424262E-2</v>
      </c>
      <c r="R35" s="180">
        <f>(Financials!Q11-Financials!P11)/Financials!P11</f>
        <v>1.4875358915029141E-2</v>
      </c>
      <c r="S35" s="180">
        <f>(Financials!R11-Financials!Q11)/Financials!Q11</f>
        <v>0.11083280438810998</v>
      </c>
      <c r="T35" s="180">
        <f>(Financials!S11-Financials!R11)/Financials!R11</f>
        <v>1.6185762252807892E-2</v>
      </c>
      <c r="U35" s="180">
        <f>(Financials!T11-Financials!S11)/Financials!S11</f>
        <v>1.4879252536229841E-2</v>
      </c>
      <c r="V35" s="180">
        <f>(Financials!U11-Financials!T11)/Financials!T11</f>
        <v>5.6837915434230883E-2</v>
      </c>
      <c r="W35" s="180">
        <f>(Financials!V11-Financials!U11)/Financials!U11</f>
        <v>2.0228361743986869E-2</v>
      </c>
      <c r="X35" s="180">
        <f>(Financials!W11-Financials!V11)/Financials!V11</f>
        <v>5.9501073731259239E-3</v>
      </c>
      <c r="Y35" s="180">
        <f>(Financials!X11-Financials!W11)/Financials!W11</f>
        <v>2.9848188540707098E-2</v>
      </c>
      <c r="Z35" s="180">
        <f>(Financials!Y11-Financials!X11)/Financials!X11</f>
        <v>8.3758255576222383E-3</v>
      </c>
      <c r="AA35" s="180">
        <f>(Financials!Z11-Financials!Y11)/Financials!Y11</f>
        <v>7.6393401737826883E-2</v>
      </c>
      <c r="AB35" s="180">
        <f>(Financials!AA11-Financials!Z11)/Financials!Z11</f>
        <v>-0.10496257482682393</v>
      </c>
      <c r="AC35" s="180">
        <f>(Financials!AB11-Financials!AA11)/Financials!AA11</f>
        <v>-0.15724300586420681</v>
      </c>
      <c r="AD35" s="180">
        <f>(Financials!AC11-Financials!AB11)/Financials!AB11</f>
        <v>0.2046765224053716</v>
      </c>
      <c r="AE35" s="180">
        <f>(Financials!AD11-Financials!AC11)/Financials!AC11</f>
        <v>3.7856745657557693E-2</v>
      </c>
      <c r="AF35" s="180">
        <f>(Financials!AE11-Financials!AD11)/Financials!AD11</f>
        <v>3.689779877154202E-2</v>
      </c>
      <c r="AG35" s="180">
        <f>(Financials!AF11-Financials!AE11)/Financials!AE11</f>
        <v>2.4849493162828626E-2</v>
      </c>
      <c r="AH35" s="180">
        <f>(Financials!AG11-Financials!AF11)/Financials!AF11</f>
        <v>3.2736642093853838E-2</v>
      </c>
      <c r="AI35" s="180">
        <f>(Financials!AH11-Financials!AG11)/Financials!AG11</f>
        <v>3.2170858521784133E-2</v>
      </c>
      <c r="AJ35" s="180">
        <f>(Financials!AI11-Financials!AH11)/Financials!AH11</f>
        <v>1.2105318322016955E-2</v>
      </c>
      <c r="AK35" s="180">
        <f>(Financials!AJ11-Financials!AI11)/Financials!AI11</f>
        <v>2.0236960714070312E-2</v>
      </c>
      <c r="AL35" s="180">
        <f>(Financials!AK11-Financials!AJ11)/Financials!AJ11</f>
        <v>3.2568810003027887E-2</v>
      </c>
      <c r="AM35" s="180">
        <f>(Financials!AL11-Financials!AK11)/Financials!AK11</f>
        <v>3.1126963392993322E-2</v>
      </c>
      <c r="AN35" s="180">
        <f>(Financials!AM11-Financials!AL11)/Financials!AL11</f>
        <v>2.3487066588260538E-2</v>
      </c>
      <c r="AO35" s="180">
        <f>(Financials!AN11-Financials!AM11)/Financials!AM11</f>
        <v>-7.8870159185632491E-2</v>
      </c>
      <c r="AP35" s="180">
        <f>(Financials!AO11-Financials!AN11)/Financials!AN11</f>
        <v>-2.8213613145062787E-2</v>
      </c>
      <c r="AQ35" s="180">
        <f>(Financials!AP11-Financials!AO11)/Financials!AO11</f>
        <v>-1</v>
      </c>
      <c r="AR35" s="180" t="e">
        <f>(Financials!AQ11-Financials!AP11)/Financials!AP11</f>
        <v>#DIV/0!</v>
      </c>
      <c r="AS35" s="180" t="e">
        <f>(Financials!AR11-Financials!AQ11)/Financials!AQ11</f>
        <v>#DIV/0!</v>
      </c>
      <c r="AT35" s="180" t="e">
        <f>(Financials!AS11-Financials!AR11)/Financials!AR11</f>
        <v>#DIV/0!</v>
      </c>
      <c r="AU35" s="180" t="e">
        <f>(Financials!AT11-Financials!AS11)/Financials!AS11</f>
        <v>#DIV/0!</v>
      </c>
      <c r="AV35" s="180" t="e">
        <f>(Financials!AU11-Financials!AT11)/Financials!AT11</f>
        <v>#DIV/0!</v>
      </c>
      <c r="AW35" s="180" t="e">
        <f>(Financials!AV11-Financials!AU11)/Financials!AU11</f>
        <v>#DIV/0!</v>
      </c>
      <c r="AX35" s="180" t="e">
        <f>(Financials!AW11-Financials!AV11)/Financials!AV11</f>
        <v>#DIV/0!</v>
      </c>
      <c r="AY35" s="180" t="e">
        <f>(Financials!AX11-Financials!AW11)/Financials!AW11</f>
        <v>#DIV/0!</v>
      </c>
      <c r="AZ35" s="180" t="e">
        <f>(Financials!AY11-Financials!AX11)/Financials!AX11</f>
        <v>#DIV/0!</v>
      </c>
      <c r="BA35" s="180" t="e">
        <f>(Financials!AZ11-Financials!AY11)/Financials!AY11</f>
        <v>#DIV/0!</v>
      </c>
      <c r="BB35" s="180" t="e">
        <f>(Financials!BA11-Financials!AZ11)/Financials!AZ11</f>
        <v>#DIV/0!</v>
      </c>
      <c r="BC35" s="180" t="e">
        <f>(Financials!BB11-Financials!BA11)/Financials!BA11</f>
        <v>#DIV/0!</v>
      </c>
      <c r="BD35" s="180" t="e">
        <f>(Financials!BC11-Financials!BB11)/Financials!BB11</f>
        <v>#DIV/0!</v>
      </c>
    </row>
    <row r="36" spans="1:56">
      <c r="A36" s="90" t="s">
        <v>279</v>
      </c>
      <c r="B36" s="91" t="s">
        <v>274</v>
      </c>
      <c r="C36" s="94"/>
      <c r="D36" s="180" t="e">
        <f>('Evolutitve SCI'!B3-'Evolutitve SCI'!#REF!)/'Evolutitve SCI'!#REF!</f>
        <v>#REF!</v>
      </c>
      <c r="E36" s="180">
        <f>('Evolutitve SCI'!C3-'Evolutitve SCI'!B3)/'Evolutitve SCI'!B3</f>
        <v>1.2056680294270767</v>
      </c>
      <c r="F36" s="180">
        <f>('Evolutitve SCI'!D3-'Evolutitve SCI'!C3)/'Evolutitve SCI'!C3</f>
        <v>0.6974628351655846</v>
      </c>
      <c r="G36" s="180">
        <f>('Evolutitve SCI'!E3-'Evolutitve SCI'!D3)/'Evolutitve SCI'!D3</f>
        <v>0.32186322865492173</v>
      </c>
      <c r="H36" s="180">
        <f>('Evolutitve SCI'!F3-'Evolutitve SCI'!E3)/'Evolutitve SCI'!E3</f>
        <v>0.28254464664898438</v>
      </c>
      <c r="I36" s="180">
        <f>('Evolutitve SCI'!G3-'Evolutitve SCI'!F3)/'Evolutitve SCI'!F3</f>
        <v>0.22636982540900982</v>
      </c>
      <c r="J36" s="180">
        <f>('Evolutitve SCI'!H3-'Evolutitve SCI'!G3)/'Evolutitve SCI'!G3</f>
        <v>1.3413544313066696</v>
      </c>
      <c r="K36" s="180">
        <f>('Evolutitve SCI'!I3-'Evolutitve SCI'!H3)/'Evolutitve SCI'!H3</f>
        <v>-0.42625609132880782</v>
      </c>
      <c r="L36" s="180">
        <f>('Evolutitve SCI'!J3-'Evolutitve SCI'!I3)/'Evolutitve SCI'!I3</f>
        <v>0.13256153196433271</v>
      </c>
      <c r="M36" s="180">
        <f>('Evolutitve SCI'!K3-'Evolutitve SCI'!J3)/'Evolutitve SCI'!J3</f>
        <v>0.11704576592356609</v>
      </c>
      <c r="N36" s="180">
        <f>('Evolutitve SCI'!L3-'Evolutitve SCI'!K3)/'Evolutitve SCI'!K3</f>
        <v>9.7900086381515969E-2</v>
      </c>
      <c r="O36" s="180">
        <f>('Evolutitve SCI'!M3-'Evolutitve SCI'!L3)/'Evolutitve SCI'!L3</f>
        <v>0.16635084654438442</v>
      </c>
      <c r="P36" s="180">
        <f>('Evolutitve SCI'!N3-'Evolutitve SCI'!M3)/'Evolutitve SCI'!M3</f>
        <v>-2.0172477349454201E-5</v>
      </c>
      <c r="Q36" s="180">
        <f>('Evolutitve SCI'!O3-'Evolutitve SCI'!N3)/'Evolutitve SCI'!N3</f>
        <v>-0.94621183553703714</v>
      </c>
      <c r="R36" s="180">
        <f>('Evolutitve SCI'!P3-'Evolutitve SCI'!O3)/'Evolutitve SCI'!O3</f>
        <v>2.9602829496728602</v>
      </c>
      <c r="S36" s="180">
        <f>('Evolutitve SCI'!Q3-'Evolutitve SCI'!P3)/'Evolutitve SCI'!P3</f>
        <v>0.38079062750699727</v>
      </c>
      <c r="T36" s="180">
        <f>('Evolutitve SCI'!R3-'Evolutitve SCI'!Q3)/'Evolutitve SCI'!Q3</f>
        <v>0.22558587076219008</v>
      </c>
      <c r="U36" s="180">
        <f>('Evolutitve SCI'!S3-'Evolutitve SCI'!R3)/'Evolutitve SCI'!R3</f>
        <v>0.21330632614595721</v>
      </c>
      <c r="V36" s="180">
        <f>('Evolutitve SCI'!T3-'Evolutitve SCI'!S3)/'Evolutitve SCI'!S3</f>
        <v>0.240396844531993</v>
      </c>
      <c r="W36" s="180">
        <f>('Evolutitve SCI'!U3-'Evolutitve SCI'!T3)/'Evolutitve SCI'!T3</f>
        <v>0.15836189582880664</v>
      </c>
      <c r="X36" s="180">
        <f>('Evolutitve SCI'!V3-'Evolutitve SCI'!U3)/'Evolutitve SCI'!U3</f>
        <v>0.151343654797987</v>
      </c>
      <c r="Y36" s="180">
        <f>('Evolutitve SCI'!W3-'Evolutitve SCI'!V3)/'Evolutitve SCI'!V3</f>
        <v>0.1385807623320392</v>
      </c>
      <c r="Z36" s="180">
        <f>('Evolutitve SCI'!X3-'Evolutitve SCI'!W3)/'Evolutitve SCI'!W3</f>
        <v>0.1107622916344297</v>
      </c>
      <c r="AA36" s="180">
        <f>('Evolutitve SCI'!Y3-'Evolutitve SCI'!X3)/'Evolutitve SCI'!X3</f>
        <v>0.12039687289637904</v>
      </c>
      <c r="AB36" s="180">
        <f>('Evolutitve SCI'!Z3-'Evolutitve SCI'!Y3)/'Evolutitve SCI'!Y3</f>
        <v>8.8420332372034255E-2</v>
      </c>
      <c r="AC36" s="180">
        <f>('Evolutitve SCI'!AA3-'Evolutitve SCI'!Z3)/'Evolutitve SCI'!Z3</f>
        <v>5.9949508323139965E-7</v>
      </c>
      <c r="AD36" s="180">
        <f>('Evolutitve SCI'!AB3-'Evolutitve SCI'!AA3)/'Evolutitve SCI'!AA3</f>
        <v>-0.91245299947611469</v>
      </c>
      <c r="AE36" s="180">
        <f>('Evolutitve SCI'!AC3-'Evolutitve SCI'!AB3)/'Evolutitve SCI'!AB3</f>
        <v>1.1135232632869245</v>
      </c>
      <c r="AF36" s="180">
        <f>('Evolutitve SCI'!AD3-'Evolutitve SCI'!AC3)/'Evolutitve SCI'!AC3</f>
        <v>0.54849456093036375</v>
      </c>
      <c r="AG36" s="180">
        <f>('Evolutitve SCI'!AE3-'Evolutitve SCI'!AD3)/'Evolutitve SCI'!AD3</f>
        <v>0.30862277650219422</v>
      </c>
      <c r="AH36" s="180">
        <f>('Evolutitve SCI'!AF3-'Evolutitve SCI'!AE3)/'Evolutitve SCI'!AE3</f>
        <v>0.25729609574559714</v>
      </c>
      <c r="AI36" s="180">
        <f>('Evolutitve SCI'!AG3-'Evolutitve SCI'!AF3)/'Evolutitve SCI'!AF3</f>
        <v>0.21907675558189579</v>
      </c>
      <c r="AJ36" s="180">
        <f>('Evolutitve SCI'!AH3-'Evolutitve SCI'!AG3)/'Evolutitve SCI'!AG3</f>
        <v>0.14153971288523037</v>
      </c>
      <c r="AK36" s="180">
        <f>('Evolutitve SCI'!AI3-'Evolutitve SCI'!AH3)/'Evolutitve SCI'!AH3</f>
        <v>0.14439196357269621</v>
      </c>
      <c r="AL36" s="180">
        <f>('Evolutitve SCI'!AJ3-'Evolutitve SCI'!AI3)/'Evolutitve SCI'!AI3</f>
        <v>0.14693190284244279</v>
      </c>
      <c r="AM36" s="180">
        <f>('Evolutitve SCI'!AK3-'Evolutitve SCI'!AJ3)/'Evolutitve SCI'!AJ3</f>
        <v>0.12134192588099829</v>
      </c>
      <c r="AN36" s="180">
        <f>('Evolutitve SCI'!AL3-'Evolutitve SCI'!AK3)/'Evolutitve SCI'!AK3</f>
        <v>0.11131053502943081</v>
      </c>
      <c r="AO36" s="180">
        <f>('Evolutitve SCI'!AM3-'Evolutitve SCI'!AL3)/'Evolutitve SCI'!AL3</f>
        <v>0.10707562030874146</v>
      </c>
      <c r="AP36" s="180">
        <f>('Evolutitve SCI'!AN3-'Evolutitve SCI'!AM3)/'Evolutitve SCI'!AM3</f>
        <v>-1.0149757132974682E-2</v>
      </c>
      <c r="AQ36" s="180">
        <f>('Evolutitve SCI'!AO3-'Evolutitve SCI'!AN3)/'Evolutitve SCI'!AN3</f>
        <v>-1</v>
      </c>
      <c r="AR36" s="180" t="e">
        <f>('Evolutitve SCI'!AP3-'Evolutitve SCI'!AO3)/'Evolutitve SCI'!AO3</f>
        <v>#DIV/0!</v>
      </c>
      <c r="AS36" s="180" t="e">
        <f>('Evolutitve SCI'!AQ3-'Evolutitve SCI'!AP3)/'Evolutitve SCI'!AP3</f>
        <v>#DIV/0!</v>
      </c>
      <c r="AT36" s="180" t="e">
        <f>('Evolutitve SCI'!AR3-'Evolutitve SCI'!AQ3)/'Evolutitve SCI'!AQ3</f>
        <v>#DIV/0!</v>
      </c>
      <c r="AU36" s="180" t="e">
        <f>('Evolutitve SCI'!AS3-'Evolutitve SCI'!AR3)/'Evolutitve SCI'!AR3</f>
        <v>#DIV/0!</v>
      </c>
      <c r="AV36" s="180" t="e">
        <f>('Evolutitve SCI'!AT3-'Evolutitve SCI'!AS3)/'Evolutitve SCI'!AS3</f>
        <v>#DIV/0!</v>
      </c>
      <c r="AW36" s="180" t="e">
        <f>('Evolutitve SCI'!AU3-'Evolutitve SCI'!AT3)/'Evolutitve SCI'!AT3</f>
        <v>#DIV/0!</v>
      </c>
      <c r="AX36" s="180" t="e">
        <f>('Evolutitve SCI'!AV3-'Evolutitve SCI'!AU3)/'Evolutitve SCI'!AU3</f>
        <v>#DIV/0!</v>
      </c>
      <c r="AY36" s="180" t="e">
        <f>('Evolutitve SCI'!AW3-'Evolutitve SCI'!AV3)/'Evolutitve SCI'!AV3</f>
        <v>#DIV/0!</v>
      </c>
      <c r="AZ36" s="180" t="e">
        <f>('Evolutitve SCI'!AX3-'Evolutitve SCI'!AW3)/'Evolutitve SCI'!AW3</f>
        <v>#DIV/0!</v>
      </c>
      <c r="BA36" s="180" t="e">
        <f>('Evolutitve SCI'!AY3-'Evolutitve SCI'!AX3)/'Evolutitve SCI'!AX3</f>
        <v>#DIV/0!</v>
      </c>
      <c r="BB36" s="180" t="e">
        <f>('Evolutitve SCI'!AZ3-'Evolutitve SCI'!AY3)/'Evolutitve SCI'!AY3</f>
        <v>#DIV/0!</v>
      </c>
      <c r="BC36" s="180" t="e">
        <f>('Evolutitve SCI'!BA3-'Evolutitve SCI'!AZ3)/'Evolutitve SCI'!AZ3</f>
        <v>#DIV/0!</v>
      </c>
      <c r="BD36" s="180" t="e">
        <f>('Evolutitve SCI'!BB3-'Evolutitve SCI'!BA3)/'Evolutitve SCI'!BA3</f>
        <v>#DIV/0!</v>
      </c>
    </row>
    <row r="37" spans="1:56">
      <c r="A37" s="90" t="s">
        <v>143</v>
      </c>
      <c r="B37" s="91" t="s">
        <v>274</v>
      </c>
      <c r="C37" s="94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</row>
    <row r="38" spans="1:56">
      <c r="A38" s="90"/>
      <c r="B38" s="95"/>
      <c r="C38" s="92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</row>
    <row r="39" spans="1:56">
      <c r="A39" s="100" t="s">
        <v>145</v>
      </c>
      <c r="B39" s="95"/>
      <c r="C39" s="92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</row>
    <row r="40" spans="1:56">
      <c r="A40" s="90" t="s">
        <v>280</v>
      </c>
      <c r="B40" s="91" t="s">
        <v>274</v>
      </c>
      <c r="C40" s="92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</row>
    <row r="41" spans="1:56">
      <c r="A41" s="90" t="s">
        <v>281</v>
      </c>
      <c r="B41" s="91" t="s">
        <v>274</v>
      </c>
      <c r="C41" s="92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</row>
    <row r="42" spans="1:56">
      <c r="A42" s="90" t="s">
        <v>282</v>
      </c>
      <c r="B42" s="91" t="s">
        <v>274</v>
      </c>
      <c r="C42" s="92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</row>
    <row r="43" spans="1:56">
      <c r="A43" s="90" t="s">
        <v>149</v>
      </c>
      <c r="B43" s="91" t="s">
        <v>274</v>
      </c>
      <c r="C43" s="92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</row>
    <row r="44" spans="1:56">
      <c r="A44" s="90" t="s">
        <v>151</v>
      </c>
      <c r="B44" s="91" t="s">
        <v>274</v>
      </c>
      <c r="C44" s="92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</row>
    <row r="45" spans="1:56">
      <c r="A45" s="100"/>
      <c r="B45" s="95"/>
      <c r="C45" s="9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</row>
    <row r="46" spans="1:56">
      <c r="A46" s="100" t="s">
        <v>283</v>
      </c>
      <c r="B46" s="95"/>
      <c r="C46" s="92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</row>
    <row r="47" spans="1:56">
      <c r="A47" s="90" t="s">
        <v>284</v>
      </c>
      <c r="B47" s="104">
        <v>0.15</v>
      </c>
      <c r="C47" s="89">
        <v>13.2</v>
      </c>
      <c r="D47" s="179">
        <f>('Evolutive SFP'!B4+'Evolutive SFP'!B11)/('Evolutive SFP'!B28+'Evolutive SFP'!B29+'Evolutive SFP'!B32+'Evolutive SFP'!B33+'Evolutive SFP'!B34+'Evolutive SFP'!B35+'Evolutive SFP'!B36)</f>
        <v>1.2990297916816131</v>
      </c>
      <c r="E47" s="179">
        <f>('Evolutive SFP'!C4+'Evolutive SFP'!C11)/('Evolutive SFP'!C28+'Evolutive SFP'!C29+'Evolutive SFP'!C32+'Evolutive SFP'!C33+'Evolutive SFP'!C34+'Evolutive SFP'!C35+'Evolutive SFP'!C36)</f>
        <v>1.5695611471904996</v>
      </c>
      <c r="F47" s="179">
        <f>('Evolutive SFP'!D4+'Evolutive SFP'!D11)/('Evolutive SFP'!D28+'Evolutive SFP'!D29+'Evolutive SFP'!D32+'Evolutive SFP'!D33+'Evolutive SFP'!D34+'Evolutive SFP'!D35+'Evolutive SFP'!D36)</f>
        <v>2.0708481798381042</v>
      </c>
      <c r="G47" s="179">
        <f>('Evolutive SFP'!E4+'Evolutive SFP'!E11)/('Evolutive SFP'!E28+'Evolutive SFP'!E29+'Evolutive SFP'!E32+'Evolutive SFP'!E33+'Evolutive SFP'!E34+'Evolutive SFP'!E35+'Evolutive SFP'!E36)</f>
        <v>2.1253289382949223</v>
      </c>
      <c r="H47" s="179">
        <f>('Evolutive SFP'!F4+'Evolutive SFP'!F11)/('Evolutive SFP'!F28+'Evolutive SFP'!F29+'Evolutive SFP'!F32+'Evolutive SFP'!F33+'Evolutive SFP'!F34+'Evolutive SFP'!F35+'Evolutive SFP'!F36)</f>
        <v>2.2633506468027558</v>
      </c>
      <c r="I47" s="179">
        <f>('Evolutive SFP'!G4+'Evolutive SFP'!G11)/('Evolutive SFP'!G28+'Evolutive SFP'!G29+'Evolutive SFP'!G32+'Evolutive SFP'!G33+'Evolutive SFP'!G34+'Evolutive SFP'!G35+'Evolutive SFP'!G36)</f>
        <v>2.4452244483510599</v>
      </c>
      <c r="J47" s="179">
        <f>('Evolutive SFP'!H4+'Evolutive SFP'!H11)/('Evolutive SFP'!H28+'Evolutive SFP'!H29+'Evolutive SFP'!H32+'Evolutive SFP'!H33+'Evolutive SFP'!H34+'Evolutive SFP'!H35+'Evolutive SFP'!H36)</f>
        <v>2.4764784751733018</v>
      </c>
      <c r="K47" s="179">
        <f>('Evolutive SFP'!I4+'Evolutive SFP'!I11)/('Evolutive SFP'!I28+'Evolutive SFP'!I29+'Evolutive SFP'!I32+'Evolutive SFP'!I33+'Evolutive SFP'!I34+'Evolutive SFP'!I35+'Evolutive SFP'!I36)</f>
        <v>2.3806393594355888</v>
      </c>
      <c r="L47" s="179">
        <f>('Evolutive SFP'!J4+'Evolutive SFP'!J11)/('Evolutive SFP'!J28+'Evolutive SFP'!J29+'Evolutive SFP'!J32+'Evolutive SFP'!J33+'Evolutive SFP'!J34+'Evolutive SFP'!J35+'Evolutive SFP'!J36)</f>
        <v>2.2701842722176941</v>
      </c>
      <c r="M47" s="179">
        <f>('Evolutive SFP'!K4+'Evolutive SFP'!K11)/('Evolutive SFP'!K28+'Evolutive SFP'!K29+'Evolutive SFP'!K32+'Evolutive SFP'!K33+'Evolutive SFP'!K34+'Evolutive SFP'!K35+'Evolutive SFP'!K36)</f>
        <v>2.2637384591217429</v>
      </c>
      <c r="N47" s="179">
        <f>('Evolutive SFP'!L4+'Evolutive SFP'!L11)/('Evolutive SFP'!L28+'Evolutive SFP'!L29+'Evolutive SFP'!L32+'Evolutive SFP'!L33+'Evolutive SFP'!L34+'Evolutive SFP'!L35+'Evolutive SFP'!L36)</f>
        <v>2.335179202575294</v>
      </c>
      <c r="O47" s="179">
        <f>('Evolutive SFP'!M4+'Evolutive SFP'!M11)/('Evolutive SFP'!M28+'Evolutive SFP'!M29+'Evolutive SFP'!M32+'Evolutive SFP'!M33+'Evolutive SFP'!M34+'Evolutive SFP'!M35+'Evolutive SFP'!M36)</f>
        <v>2.1417261734495843</v>
      </c>
      <c r="P47" s="179" t="e">
        <f>('Evolutive SFP'!N4+'Evolutive SFP'!#REF!)/('Evolutive SFP'!N28+'Evolutive SFP'!N29+'Evolutive SFP'!N32+'Evolutive SFP'!N33+'Evolutive SFP'!N34+'Evolutive SFP'!N35+'Evolutive SFP'!N36)</f>
        <v>#REF!</v>
      </c>
      <c r="Q47" s="179" t="e">
        <f>('Evolutive SFP'!O4+'Evolutive SFP'!#REF!)/('Evolutive SFP'!O28+'Evolutive SFP'!O29+'Evolutive SFP'!O32+'Evolutive SFP'!O33+'Evolutive SFP'!O34+'Evolutive SFP'!O35+'Evolutive SFP'!O36)</f>
        <v>#REF!</v>
      </c>
      <c r="R47" s="179" t="e">
        <f>('Evolutive SFP'!P4+'Evolutive SFP'!#REF!)/('Evolutive SFP'!P28+'Evolutive SFP'!P29+'Evolutive SFP'!P32+'Evolutive SFP'!P33+'Evolutive SFP'!P34+'Evolutive SFP'!P35+'Evolutive SFP'!P36)</f>
        <v>#REF!</v>
      </c>
      <c r="S47" s="179" t="e">
        <f>('Evolutive SFP'!Q4+'Evolutive SFP'!#REF!)/('Evolutive SFP'!Q28+'Evolutive SFP'!Q29+'Evolutive SFP'!Q32+'Evolutive SFP'!Q33+'Evolutive SFP'!Q34+'Evolutive SFP'!Q35+'Evolutive SFP'!Q36)</f>
        <v>#REF!</v>
      </c>
      <c r="T47" s="179" t="e">
        <f>('Evolutive SFP'!R4+'Evolutive SFP'!#REF!)/('Evolutive SFP'!R28+'Evolutive SFP'!R29+'Evolutive SFP'!R32+'Evolutive SFP'!R33+'Evolutive SFP'!R34+'Evolutive SFP'!R35+'Evolutive SFP'!R36)</f>
        <v>#REF!</v>
      </c>
      <c r="U47" s="179" t="e">
        <f>('Evolutive SFP'!S4+'Evolutive SFP'!#REF!)/('Evolutive SFP'!S28+'Evolutive SFP'!S29+'Evolutive SFP'!S32+'Evolutive SFP'!S33+'Evolutive SFP'!S34+'Evolutive SFP'!S35+'Evolutive SFP'!S36)</f>
        <v>#REF!</v>
      </c>
      <c r="V47" s="179" t="e">
        <f>('Evolutive SFP'!T4+'Evolutive SFP'!#REF!)/('Evolutive SFP'!T28+'Evolutive SFP'!T29+'Evolutive SFP'!T32+'Evolutive SFP'!T33+'Evolutive SFP'!T34+'Evolutive SFP'!T35+'Evolutive SFP'!T36)</f>
        <v>#REF!</v>
      </c>
      <c r="W47" s="179" t="e">
        <f>('Evolutive SFP'!U4+'Evolutive SFP'!#REF!)/('Evolutive SFP'!U28+'Evolutive SFP'!U29+'Evolutive SFP'!U32+'Evolutive SFP'!U33+'Evolutive SFP'!U34+'Evolutive SFP'!U35+'Evolutive SFP'!U36)</f>
        <v>#REF!</v>
      </c>
      <c r="X47" s="179" t="e">
        <f>('Evolutive SFP'!V4+'Evolutive SFP'!#REF!)/('Evolutive SFP'!V28+'Evolutive SFP'!V29+'Evolutive SFP'!V32+'Evolutive SFP'!V33+'Evolutive SFP'!V34+'Evolutive SFP'!V35+'Evolutive SFP'!V36)</f>
        <v>#REF!</v>
      </c>
      <c r="Y47" s="179" t="e">
        <f>('Evolutive SFP'!W4+'Evolutive SFP'!#REF!)/('Evolutive SFP'!W28+'Evolutive SFP'!W29+'Evolutive SFP'!W32+'Evolutive SFP'!W33+'Evolutive SFP'!W34+'Evolutive SFP'!W35+'Evolutive SFP'!W36)</f>
        <v>#REF!</v>
      </c>
      <c r="Z47" s="179" t="e">
        <f>('Evolutive SFP'!X4+'Evolutive SFP'!#REF!)/('Evolutive SFP'!X28+'Evolutive SFP'!X29+'Evolutive SFP'!X32+'Evolutive SFP'!X33+'Evolutive SFP'!X34+'Evolutive SFP'!X35+'Evolutive SFP'!X36)</f>
        <v>#REF!</v>
      </c>
      <c r="AA47" s="179" t="e">
        <f>('Evolutive SFP'!Y4+'Evolutive SFP'!#REF!)/('Evolutive SFP'!Y28+'Evolutive SFP'!Y29+'Evolutive SFP'!Y32+'Evolutive SFP'!Y33+'Evolutive SFP'!Y34+'Evolutive SFP'!Y35+'Evolutive SFP'!Y36)</f>
        <v>#REF!</v>
      </c>
      <c r="AB47" s="179" t="e">
        <f>('Evolutive SFP'!Z4+'Evolutive SFP'!#REF!)/('Evolutive SFP'!Z28+'Evolutive SFP'!Z29+'Evolutive SFP'!Z32+'Evolutive SFP'!Z33+'Evolutive SFP'!Z34+'Evolutive SFP'!Z35+'Evolutive SFP'!Z36)</f>
        <v>#REF!</v>
      </c>
      <c r="AC47" s="179" t="e">
        <f>('Evolutive SFP'!AA4+'Evolutive SFP'!#REF!)/('Evolutive SFP'!AA28+'Evolutive SFP'!AA29+'Evolutive SFP'!AA32+'Evolutive SFP'!AA33+'Evolutive SFP'!AA34+'Evolutive SFP'!AA35+'Evolutive SFP'!AA36)</f>
        <v>#REF!</v>
      </c>
      <c r="AD47" s="179" t="e">
        <f>('Evolutive SFP'!AB4+'Evolutive SFP'!#REF!)/('Evolutive SFP'!AB28+'Evolutive SFP'!AB29+'Evolutive SFP'!AB32+'Evolutive SFP'!AB33+'Evolutive SFP'!AB34+'Evolutive SFP'!AB35+'Evolutive SFP'!AB36)</f>
        <v>#REF!</v>
      </c>
      <c r="AE47" s="179" t="e">
        <f>('Evolutive SFP'!AC4+'Evolutive SFP'!#REF!)/('Evolutive SFP'!AC28+'Evolutive SFP'!AC29+'Evolutive SFP'!AC32+'Evolutive SFP'!AC33+'Evolutive SFP'!AC34+'Evolutive SFP'!AC35+'Evolutive SFP'!AC36)</f>
        <v>#REF!</v>
      </c>
      <c r="AF47" s="179" t="e">
        <f>('Evolutive SFP'!AD4+'Evolutive SFP'!#REF!)/('Evolutive SFP'!AD28+'Evolutive SFP'!AD29+'Evolutive SFP'!AD32+'Evolutive SFP'!AD33+'Evolutive SFP'!AD34+'Evolutive SFP'!AD35+'Evolutive SFP'!AD36)</f>
        <v>#REF!</v>
      </c>
      <c r="AG47" s="179" t="e">
        <f>('Evolutive SFP'!AE4+'Evolutive SFP'!#REF!)/('Evolutive SFP'!AE28+'Evolutive SFP'!AE29+'Evolutive SFP'!AE32+'Evolutive SFP'!AE33+'Evolutive SFP'!AE34+'Evolutive SFP'!AE35+'Evolutive SFP'!AE36)</f>
        <v>#REF!</v>
      </c>
      <c r="AH47" s="179" t="e">
        <f>('Evolutive SFP'!AF4+'Evolutive SFP'!#REF!)/('Evolutive SFP'!AF28+'Evolutive SFP'!AF29+'Evolutive SFP'!AF32+'Evolutive SFP'!AF33+'Evolutive SFP'!AF34+'Evolutive SFP'!AF35+'Evolutive SFP'!AF36)</f>
        <v>#REF!</v>
      </c>
      <c r="AI47" s="179" t="e">
        <f>('Evolutive SFP'!AG4+'Evolutive SFP'!#REF!)/('Evolutive SFP'!AG28+'Evolutive SFP'!AG29+'Evolutive SFP'!AG32+'Evolutive SFP'!AG33+'Evolutive SFP'!AG34+'Evolutive SFP'!AG35+'Evolutive SFP'!AG36)</f>
        <v>#REF!</v>
      </c>
      <c r="AJ47" s="179" t="e">
        <f>('Evolutive SFP'!AH4+'Evolutive SFP'!#REF!)/('Evolutive SFP'!AH28+'Evolutive SFP'!AH29+'Evolutive SFP'!AH32+'Evolutive SFP'!AH33+'Evolutive SFP'!AH34+'Evolutive SFP'!AH35+'Evolutive SFP'!AH36)</f>
        <v>#REF!</v>
      </c>
      <c r="AK47" s="179" t="e">
        <f>('Evolutive SFP'!AI4+'Evolutive SFP'!#REF!)/('Evolutive SFP'!AI28+'Evolutive SFP'!AI29+'Evolutive SFP'!AI32+'Evolutive SFP'!AI33+'Evolutive SFP'!AI34+'Evolutive SFP'!AI35+'Evolutive SFP'!AI36)</f>
        <v>#REF!</v>
      </c>
      <c r="AL47" s="179" t="e">
        <f>('Evolutive SFP'!AJ4+'Evolutive SFP'!#REF!)/('Evolutive SFP'!AJ28+'Evolutive SFP'!AJ29+'Evolutive SFP'!AJ32+'Evolutive SFP'!AJ33+'Evolutive SFP'!AJ34+'Evolutive SFP'!AJ35+'Evolutive SFP'!AJ36)</f>
        <v>#REF!</v>
      </c>
      <c r="AM47" s="179" t="e">
        <f>('Evolutive SFP'!AK4+'Evolutive SFP'!#REF!)/('Evolutive SFP'!AK28+'Evolutive SFP'!AK29+'Evolutive SFP'!AK32+'Evolutive SFP'!AK33+'Evolutive SFP'!AK34+'Evolutive SFP'!AK35+'Evolutive SFP'!AK36)</f>
        <v>#REF!</v>
      </c>
      <c r="AN47" s="179" t="e">
        <f>('Evolutive SFP'!AL4+'Evolutive SFP'!#REF!)/('Evolutive SFP'!AL28+'Evolutive SFP'!AL29+'Evolutive SFP'!AL32+'Evolutive SFP'!AL33+'Evolutive SFP'!AL34+'Evolutive SFP'!AL35+'Evolutive SFP'!AL36)</f>
        <v>#REF!</v>
      </c>
      <c r="AO47" s="179" t="e">
        <f>('Evolutive SFP'!AM4+'Evolutive SFP'!#REF!)/('Evolutive SFP'!AM28+'Evolutive SFP'!AM29+'Evolutive SFP'!AM32+'Evolutive SFP'!AM33+'Evolutive SFP'!AM34+'Evolutive SFP'!AM35+'Evolutive SFP'!AM36)</f>
        <v>#REF!</v>
      </c>
      <c r="AP47" s="179" t="e">
        <f>('Evolutive SFP'!AN4+'Evolutive SFP'!#REF!)/('Evolutive SFP'!AN28+'Evolutive SFP'!AN29+'Evolutive SFP'!AN32+'Evolutive SFP'!AN33+'Evolutive SFP'!AN34+'Evolutive SFP'!AN35+'Evolutive SFP'!AN36)</f>
        <v>#REF!</v>
      </c>
      <c r="AQ47" s="179" t="e">
        <f>('Evolutive SFP'!AO4+'Evolutive SFP'!#REF!)/('Evolutive SFP'!AO28+'Evolutive SFP'!AO29+'Evolutive SFP'!AO32+'Evolutive SFP'!AO33+'Evolutive SFP'!AO34+'Evolutive SFP'!AO35+'Evolutive SFP'!AO36)</f>
        <v>#REF!</v>
      </c>
      <c r="AR47" s="179" t="e">
        <f>('Evolutive SFP'!AP4+'Evolutive SFP'!#REF!)/('Evolutive SFP'!AP28+'Evolutive SFP'!AP29+'Evolutive SFP'!AP32+'Evolutive SFP'!AP33+'Evolutive SFP'!AP34+'Evolutive SFP'!AP35+'Evolutive SFP'!AP36)</f>
        <v>#REF!</v>
      </c>
      <c r="AS47" s="179" t="e">
        <f>('Evolutive SFP'!AQ4+'Evolutive SFP'!#REF!)/('Evolutive SFP'!AQ28+'Evolutive SFP'!AQ29+'Evolutive SFP'!AQ32+'Evolutive SFP'!AQ33+'Evolutive SFP'!AQ34+'Evolutive SFP'!AQ35+'Evolutive SFP'!AQ36)</f>
        <v>#REF!</v>
      </c>
      <c r="AT47" s="179" t="e">
        <f>('Evolutive SFP'!AR4+'Evolutive SFP'!#REF!)/('Evolutive SFP'!AR28+'Evolutive SFP'!AR29+'Evolutive SFP'!AR32+'Evolutive SFP'!AR33+'Evolutive SFP'!AR34+'Evolutive SFP'!AR35+'Evolutive SFP'!AR36)</f>
        <v>#REF!</v>
      </c>
      <c r="AU47" s="179" t="e">
        <f>('Evolutive SFP'!AS4+'Evolutive SFP'!#REF!)/('Evolutive SFP'!AS28+'Evolutive SFP'!AS29+'Evolutive SFP'!AS32+'Evolutive SFP'!AS33+'Evolutive SFP'!AS34+'Evolutive SFP'!AS35+'Evolutive SFP'!AS36)</f>
        <v>#REF!</v>
      </c>
      <c r="AV47" s="179" t="e">
        <f>('Evolutive SFP'!AT4+'Evolutive SFP'!#REF!)/('Evolutive SFP'!AT28+'Evolutive SFP'!AT29+'Evolutive SFP'!AT32+'Evolutive SFP'!AT33+'Evolutive SFP'!AT34+'Evolutive SFP'!AT35+'Evolutive SFP'!AT36)</f>
        <v>#REF!</v>
      </c>
      <c r="AW47" s="179" t="e">
        <f>('Evolutive SFP'!AU4+'Evolutive SFP'!#REF!)/('Evolutive SFP'!AU28+'Evolutive SFP'!AU29+'Evolutive SFP'!AU32+'Evolutive SFP'!AU33+'Evolutive SFP'!AU34+'Evolutive SFP'!AU35+'Evolutive SFP'!AU36)</f>
        <v>#REF!</v>
      </c>
      <c r="AX47" s="179" t="e">
        <f>('Evolutive SFP'!AV4+'Evolutive SFP'!#REF!)/('Evolutive SFP'!AV28+'Evolutive SFP'!AV29+'Evolutive SFP'!AV32+'Evolutive SFP'!AV33+'Evolutive SFP'!AV34+'Evolutive SFP'!AV35+'Evolutive SFP'!AV36)</f>
        <v>#REF!</v>
      </c>
      <c r="AY47" s="179" t="e">
        <f>('Evolutive SFP'!AW4+'Evolutive SFP'!#REF!)/('Evolutive SFP'!AW28+'Evolutive SFP'!AW29+'Evolutive SFP'!AW32+'Evolutive SFP'!AW33+'Evolutive SFP'!AW34+'Evolutive SFP'!AW35+'Evolutive SFP'!AW36)</f>
        <v>#REF!</v>
      </c>
      <c r="AZ47" s="179" t="e">
        <f>('Evolutive SFP'!AX4+'Evolutive SFP'!#REF!)/('Evolutive SFP'!AX28+'Evolutive SFP'!AX29+'Evolutive SFP'!AX32+'Evolutive SFP'!AX33+'Evolutive SFP'!AX34+'Evolutive SFP'!AX35+'Evolutive SFP'!AX36)</f>
        <v>#REF!</v>
      </c>
      <c r="BA47" s="179" t="e">
        <f>('Evolutive SFP'!AY4+'Evolutive SFP'!#REF!)/('Evolutive SFP'!AY28+'Evolutive SFP'!AY29+'Evolutive SFP'!AY32+'Evolutive SFP'!AY33+'Evolutive SFP'!AY34+'Evolutive SFP'!AY35+'Evolutive SFP'!AY36)</f>
        <v>#REF!</v>
      </c>
      <c r="BB47" s="179" t="e">
        <f>('Evolutive SFP'!AZ4+'Evolutive SFP'!#REF!)/('Evolutive SFP'!AZ28+'Evolutive SFP'!AZ29+'Evolutive SFP'!AZ32+'Evolutive SFP'!AZ33+'Evolutive SFP'!AZ34+'Evolutive SFP'!AZ35+'Evolutive SFP'!AZ36)</f>
        <v>#REF!</v>
      </c>
      <c r="BC47" s="179" t="e">
        <f>('Evolutive SFP'!BA4+'Evolutive SFP'!#REF!)/('Evolutive SFP'!BA28+'Evolutive SFP'!BA29+'Evolutive SFP'!BA32+'Evolutive SFP'!BA33+'Evolutive SFP'!BA34+'Evolutive SFP'!BA35+'Evolutive SFP'!BA36)</f>
        <v>#REF!</v>
      </c>
      <c r="BD47" s="179" t="e">
        <f>('Evolutive SFP'!BB4+'Evolutive SFP'!#REF!)/('Evolutive SFP'!BB28+'Evolutive SFP'!BB29+'Evolutive SFP'!BB32+'Evolutive SFP'!BB33+'Evolutive SFP'!BB34+'Evolutive SFP'!BB35+'Evolutive SFP'!BB36)</f>
        <v>#REF!</v>
      </c>
    </row>
    <row r="48" spans="1:56">
      <c r="A48" s="105"/>
      <c r="B48" s="95"/>
      <c r="C48" s="89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</row>
    <row r="49" spans="1:56">
      <c r="A49" s="100" t="s">
        <v>285</v>
      </c>
      <c r="B49" s="95"/>
      <c r="C49" s="89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</row>
    <row r="50" spans="1:56" ht="12.95" thickBot="1">
      <c r="A50" s="107" t="s">
        <v>286</v>
      </c>
      <c r="B50" s="108">
        <v>1</v>
      </c>
      <c r="C50" s="109">
        <v>44.1</v>
      </c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</row>
    <row r="51" spans="1:56">
      <c r="A51" s="111"/>
    </row>
    <row r="53" spans="1:56">
      <c r="A53" s="79" t="s">
        <v>287</v>
      </c>
      <c r="D53" s="179">
        <f>('Evolutive SFP'!B4+'Evolutive SFP'!C11)/('Evolutive SFP'!B28+'Evolutive SFP'!B29+'Evolutive SFP'!B32+'Evolutive SFP'!B33+'Evolutive SFP'!B34+'Evolutive SFP'!B35+'Evolutive SFP'!B36)</f>
        <v>1.2990297916816131</v>
      </c>
      <c r="E53" s="179">
        <f>('Evolutive SFP'!C4+'Evolutive SFP'!D11)/('Evolutive SFP'!C28+'Evolutive SFP'!C29+'Evolutive SFP'!C32+'Evolutive SFP'!C33+'Evolutive SFP'!C34+'Evolutive SFP'!C35+'Evolutive SFP'!C36)</f>
        <v>1.5695611471904996</v>
      </c>
      <c r="F53" s="179">
        <f>('Evolutive SFP'!D4+'Evolutive SFP'!E11)/('Evolutive SFP'!D28+'Evolutive SFP'!D29+'Evolutive SFP'!D32+'Evolutive SFP'!D33+'Evolutive SFP'!D34+'Evolutive SFP'!D35+'Evolutive SFP'!D36)</f>
        <v>2.7286853268638298</v>
      </c>
      <c r="G53" s="179">
        <f>('Evolutive SFP'!E4+'Evolutive SFP'!F11)/('Evolutive SFP'!E28+'Evolutive SFP'!E29+'Evolutive SFP'!E32+'Evolutive SFP'!E33+'Evolutive SFP'!E34+'Evolutive SFP'!E35+'Evolutive SFP'!E36)</f>
        <v>2.1253289382949223</v>
      </c>
      <c r="H53" s="179">
        <f>('Evolutive SFP'!F4+'Evolutive SFP'!G11)/('Evolutive SFP'!F28+'Evolutive SFP'!F29+'Evolutive SFP'!F32+'Evolutive SFP'!F33+'Evolutive SFP'!F34+'Evolutive SFP'!F35+'Evolutive SFP'!F36)</f>
        <v>2.2977059768710579</v>
      </c>
      <c r="I53" s="179">
        <f>('Evolutive SFP'!G4+'Evolutive SFP'!H11)/('Evolutive SFP'!G28+'Evolutive SFP'!G29+'Evolutive SFP'!G32+'Evolutive SFP'!G33+'Evolutive SFP'!G34+'Evolutive SFP'!G35+'Evolutive SFP'!G36)</f>
        <v>2.4513674933887182</v>
      </c>
      <c r="J53" s="179">
        <f>('Evolutive SFP'!H4+'Evolutive SFP'!I11)/('Evolutive SFP'!H28+'Evolutive SFP'!H29+'Evolutive SFP'!H32+'Evolutive SFP'!H33+'Evolutive SFP'!H34+'Evolutive SFP'!H35+'Evolutive SFP'!H36)</f>
        <v>2.543960127881979</v>
      </c>
      <c r="K53" s="179">
        <f>('Evolutive SFP'!I4+'Evolutive SFP'!J11)/('Evolutive SFP'!I28+'Evolutive SFP'!I29+'Evolutive SFP'!I32+'Evolutive SFP'!I33+'Evolutive SFP'!I34+'Evolutive SFP'!I35+'Evolutive SFP'!I36)</f>
        <v>2.3852291090323701</v>
      </c>
      <c r="L53" s="179">
        <f>('Evolutive SFP'!J4+'Evolutive SFP'!K11)/('Evolutive SFP'!J28+'Evolutive SFP'!J29+'Evolutive SFP'!J32+'Evolutive SFP'!J33+'Evolutive SFP'!J34+'Evolutive SFP'!J35+'Evolutive SFP'!J36)</f>
        <v>2.2464072203912488</v>
      </c>
      <c r="M53" s="179">
        <f>('Evolutive SFP'!K4+'Evolutive SFP'!L11)/('Evolutive SFP'!K28+'Evolutive SFP'!K29+'Evolutive SFP'!K32+'Evolutive SFP'!K33+'Evolutive SFP'!K34+'Evolutive SFP'!K35+'Evolutive SFP'!K36)</f>
        <v>2.2637384591217429</v>
      </c>
      <c r="N53" s="179">
        <f>('Evolutive SFP'!L4+'Evolutive SFP'!M11)/('Evolutive SFP'!L28+'Evolutive SFP'!L29+'Evolutive SFP'!L32+'Evolutive SFP'!L33+'Evolutive SFP'!L34+'Evolutive SFP'!L35+'Evolutive SFP'!L36)</f>
        <v>2.4534041983880028</v>
      </c>
      <c r="O53" s="179" t="e">
        <f>('Evolutive SFP'!M4+'Evolutive SFP'!#REF!)/('Evolutive SFP'!M28+'Evolutive SFP'!M29+'Evolutive SFP'!M32+'Evolutive SFP'!M33+'Evolutive SFP'!M34+'Evolutive SFP'!M35+'Evolutive SFP'!M36)</f>
        <v>#REF!</v>
      </c>
      <c r="P53" s="179">
        <f>('Evolutive SFP'!N4+'Evolutive SFP'!O11)/('Evolutive SFP'!N28+'Evolutive SFP'!N29+'Evolutive SFP'!N32+'Evolutive SFP'!N33+'Evolutive SFP'!N34+'Evolutive SFP'!N35+'Evolutive SFP'!N36)</f>
        <v>6.4494053107093663E-2</v>
      </c>
    </row>
    <row r="54" spans="1:56">
      <c r="A54" s="79" t="s">
        <v>288</v>
      </c>
      <c r="D54" s="179">
        <f>('Evolutive SFP'!B4+'Evolutive SFP'!B11)/('Evolutive SFP'!B28+'Evolutive SFP'!B29+'Evolutive SFP'!B30+'Evolutive SFP'!B32+'Evolutive SFP'!B33+'Evolutive SFP'!B34+'Evolutive SFP'!B35+'Evolutive SFP'!B36)</f>
        <v>0.16487307972258125</v>
      </c>
      <c r="E54" s="179">
        <f>('Evolutive SFP'!C4+'Evolutive SFP'!C11)/('Evolutive SFP'!C28+'Evolutive SFP'!C29+'Evolutive SFP'!C30+'Evolutive SFP'!C32+'Evolutive SFP'!C33+'Evolutive SFP'!C34+'Evolutive SFP'!C35+'Evolutive SFP'!C36)</f>
        <v>0.17354461171307953</v>
      </c>
      <c r="F54" s="179">
        <f>('Evolutive SFP'!D4+'Evolutive SFP'!D11)/('Evolutive SFP'!D28+'Evolutive SFP'!D29+'Evolutive SFP'!D30+'Evolutive SFP'!D32+'Evolutive SFP'!D33+'Evolutive SFP'!D34+'Evolutive SFP'!D35+'Evolutive SFP'!D36)</f>
        <v>0.13385292731756257</v>
      </c>
      <c r="G54" s="179">
        <f>('Evolutive SFP'!E4+'Evolutive SFP'!E11)/('Evolutive SFP'!E28+'Evolutive SFP'!E29+'Evolutive SFP'!E30+'Evolutive SFP'!E32+'Evolutive SFP'!E33+'Evolutive SFP'!E34+'Evolutive SFP'!E35+'Evolutive SFP'!E36)</f>
        <v>0.13351022669798268</v>
      </c>
      <c r="H54" s="179">
        <f>('Evolutive SFP'!F4+'Evolutive SFP'!F11)/('Evolutive SFP'!F28+'Evolutive SFP'!F29+'Evolutive SFP'!F30+'Evolutive SFP'!F32+'Evolutive SFP'!F33+'Evolutive SFP'!F34+'Evolutive SFP'!F35+'Evolutive SFP'!F36)</f>
        <v>0.1544269424259756</v>
      </c>
      <c r="I54" s="179">
        <f>('Evolutive SFP'!G4+'Evolutive SFP'!G11)/('Evolutive SFP'!G28+'Evolutive SFP'!G29+'Evolutive SFP'!G30+'Evolutive SFP'!G32+'Evolutive SFP'!G33+'Evolutive SFP'!G34+'Evolutive SFP'!G35+'Evolutive SFP'!G36)</f>
        <v>0.18927980471406827</v>
      </c>
      <c r="J54" s="179">
        <f>('Evolutive SFP'!H4+'Evolutive SFP'!H11)/('Evolutive SFP'!H28+'Evolutive SFP'!H29+'Evolutive SFP'!H30+'Evolutive SFP'!H32+'Evolutive SFP'!H33+'Evolutive SFP'!H34+'Evolutive SFP'!H35+'Evolutive SFP'!H36)</f>
        <v>0.20127654570225947</v>
      </c>
      <c r="K54" s="179">
        <f>('Evolutive SFP'!I4+'Evolutive SFP'!I11)/('Evolutive SFP'!I28+'Evolutive SFP'!I29+'Evolutive SFP'!I30+'Evolutive SFP'!I32+'Evolutive SFP'!I33+'Evolutive SFP'!I34+'Evolutive SFP'!I35+'Evolutive SFP'!I36)</f>
        <v>0.20433883834244615</v>
      </c>
      <c r="L54" s="179">
        <f>('Evolutive SFP'!J4+'Evolutive SFP'!J11)/('Evolutive SFP'!J28+'Evolutive SFP'!J29+'Evolutive SFP'!J30+'Evolutive SFP'!J32+'Evolutive SFP'!J33+'Evolutive SFP'!J34+'Evolutive SFP'!J35+'Evolutive SFP'!J36)</f>
        <v>0.20412615106159118</v>
      </c>
      <c r="M54" s="179">
        <f>('Evolutive SFP'!K4+'Evolutive SFP'!K11)/('Evolutive SFP'!K28+'Evolutive SFP'!K29+'Evolutive SFP'!K30+'Evolutive SFP'!K32+'Evolutive SFP'!K33+'Evolutive SFP'!K34+'Evolutive SFP'!K35+'Evolutive SFP'!K36)</f>
        <v>0.21232007785327803</v>
      </c>
      <c r="N54" s="179">
        <f>('Evolutive SFP'!L4+'Evolutive SFP'!L11)/('Evolutive SFP'!L28+'Evolutive SFP'!L29+'Evolutive SFP'!L30+'Evolutive SFP'!L32+'Evolutive SFP'!L33+'Evolutive SFP'!L34+'Evolutive SFP'!L35+'Evolutive SFP'!L36)</f>
        <v>0.23042355565381414</v>
      </c>
      <c r="O54" s="179">
        <f>('Evolutive SFP'!M4+'Evolutive SFP'!M11)/('Evolutive SFP'!M28+'Evolutive SFP'!M29+'Evolutive SFP'!M30+'Evolutive SFP'!M32+'Evolutive SFP'!M33+'Evolutive SFP'!M34+'Evolutive SFP'!M35+'Evolutive SFP'!M36)</f>
        <v>0.24144464799413434</v>
      </c>
      <c r="P54" s="179" t="e">
        <f>('Evolutive SFP'!N4+'Evolutive SFP'!#REF!)/('Evolutive SFP'!N28+'Evolutive SFP'!N29+'Evolutive SFP'!N30+'Evolutive SFP'!N32+'Evolutive SFP'!N33+'Evolutive SFP'!N34+'Evolutive SFP'!N35+'Evolutive SFP'!N36)</f>
        <v>#REF!</v>
      </c>
    </row>
    <row r="55" spans="1:56">
      <c r="A55" s="79" t="s">
        <v>289</v>
      </c>
      <c r="D55" s="179">
        <f>('Evolutitve SCI'!B5-'Evolutitve SCI'!B13)/'Evolutive SFP'!B27</f>
        <v>3.87983137853072E-4</v>
      </c>
      <c r="E55" s="179">
        <f>('Evolutitve SCI'!C5-'Evolutitve SCI'!C13)/'Evolutive SFP'!C27</f>
        <v>2.8414702521346912E-3</v>
      </c>
      <c r="F55" s="179">
        <f>('Evolutitve SCI'!D5-'Evolutitve SCI'!D13)/'Evolutive SFP'!D27</f>
        <v>6.5940145328820532E-3</v>
      </c>
      <c r="G55" s="179">
        <f>('Evolutitve SCI'!E5-'Evolutitve SCI'!E13)/'Evolutive SFP'!E27</f>
        <v>8.7475723132555278E-3</v>
      </c>
      <c r="H55" s="179">
        <f>('Evolutitve SCI'!F5-'Evolutitve SCI'!F13)/'Evolutive SFP'!F27</f>
        <v>1.1544913539726673E-2</v>
      </c>
      <c r="I55" s="179">
        <f>('Evolutitve SCI'!G5-'Evolutitve SCI'!G13)/'Evolutive SFP'!G27</f>
        <v>1.301905043855105E-2</v>
      </c>
      <c r="J55" s="179">
        <f>('Evolutitve SCI'!H5-'Evolutitve SCI'!H13)/'Evolutive SFP'!H27</f>
        <v>3.0277928388590811E-2</v>
      </c>
      <c r="K55" s="179">
        <f>('Evolutitve SCI'!I5-'Evolutitve SCI'!I13)/'Evolutive SFP'!I27</f>
        <v>1.7579382435430089E-2</v>
      </c>
      <c r="L55" s="179">
        <f>('Evolutitve SCI'!J5-'Evolutitve SCI'!J13)/'Evolutive SFP'!J27</f>
        <v>2.0120796913944972E-2</v>
      </c>
      <c r="M55" s="179">
        <f>('Evolutitve SCI'!K5-'Evolutitve SCI'!K13)/'Evolutive SFP'!K27</f>
        <v>2.2676190899287903E-2</v>
      </c>
      <c r="N55" s="179">
        <f>('Evolutitve SCI'!L5-'Evolutitve SCI'!L13)/'Evolutive SFP'!L27</f>
        <v>2.4427576286555789E-2</v>
      </c>
      <c r="O55" s="179">
        <f>('Evolutitve SCI'!M5-'Evolutitve SCI'!M13)/'Evolutive SFP'!M27</f>
        <v>3.0482940492789122E-2</v>
      </c>
      <c r="P55" s="179">
        <f>('Evolutitve SCI'!N5-'Evolutitve SCI'!N13)/'Evolutive SFP'!N27</f>
        <v>3.0010031797378055E-2</v>
      </c>
    </row>
    <row r="56" spans="1:56">
      <c r="A56" s="79" t="s">
        <v>113</v>
      </c>
      <c r="D56" s="179" t="e">
        <f>('Evolutitve SCI'!B33)/(('Evolutive SFP'!B27+'Evolutive SFP'!#REF!)/2)</f>
        <v>#REF!</v>
      </c>
      <c r="E56" s="179">
        <f>('Evolutitve SCI'!C33)/(('Evolutive SFP'!C27+'Evolutive SFP'!B27)/2)</f>
        <v>2.0127032350780753E-3</v>
      </c>
      <c r="F56" s="179">
        <f>('Evolutitve SCI'!D33)/(('Evolutive SFP'!D27+'Evolutive SFP'!C27)/2)</f>
        <v>2.6783662412502396E-3</v>
      </c>
      <c r="G56" s="179">
        <f>('Evolutitve SCI'!E33)/(('Evolutive SFP'!E27+'Evolutive SFP'!D27)/2)</f>
        <v>4.9292469432639331E-3</v>
      </c>
      <c r="H56" s="179">
        <f>('Evolutitve SCI'!F33)/(('Evolutive SFP'!F27+'Evolutive SFP'!E27)/2)</f>
        <v>7.5962392909109666E-3</v>
      </c>
      <c r="I56" s="179">
        <f>('Evolutitve SCI'!G33)/(('Evolutive SFP'!G27+'Evolutive SFP'!F27)/2)</f>
        <v>1.035200312590949E-2</v>
      </c>
      <c r="J56" s="179">
        <f>('Evolutitve SCI'!H33)/(('Evolutive SFP'!H27+'Evolutive SFP'!G27)/2)</f>
        <v>2.4737183551703477E-2</v>
      </c>
      <c r="K56" s="179">
        <f>('Evolutitve SCI'!I33)/(('Evolutive SFP'!I27+'Evolutive SFP'!H27)/2)</f>
        <v>1.2534151032371437E-2</v>
      </c>
      <c r="L56" s="179">
        <f>('Evolutitve SCI'!J33)/(('Evolutive SFP'!J27+'Evolutive SFP'!I27)/2)</f>
        <v>1.4308617986800143E-2</v>
      </c>
      <c r="M56" s="179">
        <f>('Evolutitve SCI'!K33)/(('Evolutive SFP'!K27+'Evolutive SFP'!J27)/2)</f>
        <v>1.6076657393464189E-2</v>
      </c>
      <c r="N56" s="179">
        <f>('Evolutitve SCI'!L33)/(('Evolutive SFP'!L27+'Evolutive SFP'!K27)/2)</f>
        <v>1.692207033838829E-2</v>
      </c>
      <c r="O56" s="179">
        <f>('Evolutitve SCI'!M33)/(('Evolutive SFP'!M27+'Evolutive SFP'!L27)/2)</f>
        <v>1.1807554899274309E-2</v>
      </c>
      <c r="P56" s="179">
        <f>('Evolutitve SCI'!N33)/(('Evolutive SFP'!N27+'Evolutive SFP'!M27)/2)</f>
        <v>2.1141316584807595E-2</v>
      </c>
    </row>
    <row r="57" spans="1:56">
      <c r="A57" s="79" t="s">
        <v>290</v>
      </c>
      <c r="D57" s="179" t="e">
        <f>('Evolutive SFP'!B27-'Evolutive SFP'!#REF!)/'Evolutive SFP'!#REF!</f>
        <v>#REF!</v>
      </c>
      <c r="E57" s="179">
        <f>('Evolutive SFP'!C27-'Evolutive SFP'!B27)/'Evolutive SFP'!B27</f>
        <v>1.5262132642023846E-3</v>
      </c>
      <c r="F57" s="179">
        <f>('Evolutive SFP'!D27-'Evolutive SFP'!C27)/'Evolutive SFP'!C27</f>
        <v>-3.2121602701769975E-2</v>
      </c>
      <c r="G57" s="179">
        <f>('Evolutive SFP'!E27-'Evolutive SFP'!D27)/'Evolutive SFP'!D27</f>
        <v>5.9206506816814001E-3</v>
      </c>
      <c r="H57" s="179">
        <f>('Evolutive SFP'!F27-'Evolutive SFP'!E27)/'Evolutive SFP'!E27</f>
        <v>1.5839574033191792E-2</v>
      </c>
      <c r="I57" s="179">
        <f>('Evolutive SFP'!G27-'Evolutive SFP'!F27)/'Evolutive SFP'!F27</f>
        <v>1.7774876807238597E-2</v>
      </c>
      <c r="J57" s="179">
        <f>('Evolutive SFP'!H27-'Evolutive SFP'!G27)/'Evolutive SFP'!G27</f>
        <v>1.9721765201049384E-2</v>
      </c>
      <c r="K57" s="179">
        <f>('Evolutive SFP'!I27-'Evolutive SFP'!H27)/'Evolutive SFP'!H27</f>
        <v>1.385495947892239E-2</v>
      </c>
      <c r="L57" s="179">
        <f>('Evolutive SFP'!J27-'Evolutive SFP'!I27)/'Evolutive SFP'!I27</f>
        <v>1.2136388544104574E-2</v>
      </c>
      <c r="M57" s="179">
        <f>('Evolutive SFP'!K27-'Evolutive SFP'!J27)/'Evolutive SFP'!J27</f>
        <v>8.6792555455923407E-3</v>
      </c>
      <c r="N57" s="179">
        <f>('Evolutive SFP'!L27-'Evolutive SFP'!K27)/'Evolutive SFP'!K27</f>
        <v>2.2955561060033172E-2</v>
      </c>
      <c r="O57" s="179">
        <f>('Evolutive SFP'!M27-'Evolutive SFP'!L27)/'Evolutive SFP'!L27</f>
        <v>1.7076332966921726E-2</v>
      </c>
      <c r="P57" s="179">
        <f>('Evolutive SFP'!N27-'Evolutive SFP'!M27)/'Evolutive SFP'!M27</f>
        <v>2.2371763792650913E-4</v>
      </c>
    </row>
    <row r="58" spans="1:56">
      <c r="A58" s="79" t="s">
        <v>291</v>
      </c>
      <c r="D58" s="179" t="e">
        <f>(Financials!C5-Financials!#REF!)/Financials!#REF!</f>
        <v>#REF!</v>
      </c>
      <c r="E58" s="179">
        <f>(Financials!D5-Financials!C5)/Financials!C5</f>
        <v>1.4530209863027518E-2</v>
      </c>
      <c r="F58" s="179">
        <f>(Financials!E5-Financials!D5)/Financials!D5</f>
        <v>1.4116122914867704E-2</v>
      </c>
      <c r="G58" s="179">
        <f>(Financials!F5-Financials!E5)/Financials!E5</f>
        <v>6.4601129397761125E-3</v>
      </c>
      <c r="H58" s="179">
        <f>(Financials!G5-Financials!F5)/Financials!F5</f>
        <v>9.0535402893407984E-3</v>
      </c>
      <c r="I58" s="179">
        <f>(Financials!H5-Financials!G5)/Financials!G5</f>
        <v>9.9837351851479982E-3</v>
      </c>
      <c r="J58" s="179">
        <f>(Financials!I5-Financials!H5)/Financials!H5</f>
        <v>1.4583313909563198E-2</v>
      </c>
      <c r="K58" s="179">
        <f>(Financials!J5-Financials!I5)/Financials!I5</f>
        <v>8.1167097132053036E-3</v>
      </c>
      <c r="L58" s="179">
        <f>(Financials!K5-Financials!J5)/Financials!J5</f>
        <v>7.3769598539527477E-3</v>
      </c>
      <c r="M58" s="179">
        <f>(Financials!L5-Financials!K5)/Financials!K5</f>
        <v>1.3529389046034349E-2</v>
      </c>
      <c r="N58" s="179">
        <f>(Financials!M5-Financials!L5)/Financials!L5</f>
        <v>8.182935444696067E-3</v>
      </c>
      <c r="O58" s="179">
        <f>(Financials!N5-Financials!M5)/Financials!M5</f>
        <v>-3.2286468725029434E-5</v>
      </c>
      <c r="P58" s="179">
        <f>(Financials!O5-Financials!N5)/Financials!N5</f>
        <v>6.0119940235893569E-5</v>
      </c>
    </row>
    <row r="59" spans="1:56">
      <c r="A59" s="79" t="s">
        <v>292</v>
      </c>
      <c r="D59" s="179" t="e">
        <f>(Financials!C6-Financials!#REF!)/Financials!#REF!</f>
        <v>#REF!</v>
      </c>
      <c r="E59" s="179">
        <f>(Financials!D6-Financials!C6)/Financials!C6</f>
        <v>1.4200955305996783E-2</v>
      </c>
      <c r="F59" s="179">
        <f>(Financials!E6-Financials!D6)/Financials!D6</f>
        <v>1.3660641051120746E-2</v>
      </c>
      <c r="G59" s="179">
        <f>(Financials!F6-Financials!E6)/Financials!E6</f>
        <v>5.5550163796943396E-3</v>
      </c>
      <c r="H59" s="179">
        <f>(Financials!G6-Financials!F6)/Financials!F6</f>
        <v>8.4571521993240667E-3</v>
      </c>
      <c r="I59" s="179">
        <f>(Financials!H6-Financials!G6)/Financials!G6</f>
        <v>6.2937826072371715E-3</v>
      </c>
      <c r="J59" s="179">
        <f>(Financials!I6-Financials!H6)/Financials!H6</f>
        <v>1.486811710934495E-2</v>
      </c>
      <c r="K59" s="179">
        <f>(Financials!J6-Financials!I6)/Financials!I6</f>
        <v>9.4445084091004296E-3</v>
      </c>
      <c r="L59" s="179">
        <f>(Financials!K6-Financials!J6)/Financials!J6</f>
        <v>6.3601427287987731E-3</v>
      </c>
      <c r="M59" s="179">
        <f>(Financials!L6-Financials!K6)/Financials!K6</f>
        <v>1.2838434227723607E-2</v>
      </c>
      <c r="N59" s="179">
        <f>(Financials!M6-Financials!L6)/Financials!L6</f>
        <v>8.1926464350005491E-3</v>
      </c>
      <c r="O59" s="179">
        <f>(Financials!N6-Financials!M6)/Financials!M6</f>
        <v>1.5082273147076228E-3</v>
      </c>
      <c r="P59" s="179">
        <f>(Financials!O6-Financials!N6)/Financials!N6</f>
        <v>-0.98510925821366324</v>
      </c>
    </row>
    <row r="60" spans="1:56">
      <c r="A60" s="79" t="s">
        <v>293</v>
      </c>
      <c r="D60" s="179" t="e">
        <f>(Financials!C7-Financials!#REF!)/Financials!#REF!</f>
        <v>#REF!</v>
      </c>
      <c r="E60" s="179">
        <f>(Financials!D7-Financials!C7)/Financials!C7</f>
        <v>4.6481413386169103E-2</v>
      </c>
      <c r="F60" s="179">
        <f>(Financials!E7-Financials!D7)/Financials!D7</f>
        <v>5.6953119353075107E-2</v>
      </c>
      <c r="G60" s="179">
        <f>(Financials!F7-Financials!E7)/Financials!E7</f>
        <v>8.8095733134471332E-2</v>
      </c>
      <c r="H60" s="179">
        <f>(Financials!G7-Financials!F7)/Financials!F7</f>
        <v>5.8764537326900693E-2</v>
      </c>
      <c r="I60" s="179">
        <f>(Financials!H7-Financials!G7)/Financials!G7</f>
        <v>0.30293971049981966</v>
      </c>
      <c r="J60" s="179">
        <f>(Financials!I7-Financials!H7)/Financials!H7</f>
        <v>-2.8800099841922704E-3</v>
      </c>
      <c r="K60" s="179">
        <f>(Financials!J7-Financials!I7)/Financials!I7</f>
        <v>-7.4749307996875569E-2</v>
      </c>
      <c r="L60" s="179">
        <f>(Financials!K7-Financials!J7)/Financials!J7</f>
        <v>7.6609475707254737E-2</v>
      </c>
      <c r="M60" s="179">
        <f>(Financials!L7-Financials!K7)/Financials!K7</f>
        <v>5.7505026310546908E-2</v>
      </c>
      <c r="N60" s="179">
        <f>(Financials!M7-Financials!L7)/Financials!L7</f>
        <v>7.5909871886200974E-3</v>
      </c>
      <c r="O60" s="179">
        <f>(Financials!N7-Financials!M7)/Financials!M7</f>
        <v>-9.3992731410698707E-2</v>
      </c>
      <c r="P60" s="179">
        <f>(Financials!O7-Financials!N7)/Financials!N7</f>
        <v>66.422254615367251</v>
      </c>
    </row>
    <row r="63" spans="1:56">
      <c r="M63" s="79">
        <f>12.2-9.64</f>
        <v>2.5599999999999987</v>
      </c>
    </row>
  </sheetData>
  <phoneticPr fontId="30" type="noConversion"/>
  <pageMargins left="0.7" right="0.7" top="0.75" bottom="0.75" header="0.3" footer="0.3"/>
  <pageSetup scale="4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"/>
  <sheetViews>
    <sheetView topLeftCell="A37" zoomScaleNormal="100" workbookViewId="0">
      <selection activeCell="A61" sqref="A61"/>
    </sheetView>
  </sheetViews>
  <sheetFormatPr defaultColWidth="9.140625" defaultRowHeight="14.45"/>
  <cols>
    <col min="1" max="1" width="36.85546875" style="123" customWidth="1"/>
    <col min="2" max="2" width="13" style="170" customWidth="1"/>
    <col min="3" max="5" width="18.42578125" style="123" bestFit="1" customWidth="1"/>
    <col min="6" max="6" width="10.42578125" style="123" hidden="1" customWidth="1"/>
    <col min="7" max="7" width="21.42578125" style="171" customWidth="1"/>
    <col min="8" max="8" width="13.5703125" style="123" bestFit="1" customWidth="1"/>
    <col min="9" max="16384" width="9.140625" style="123"/>
  </cols>
  <sheetData>
    <row r="1" spans="1:7">
      <c r="A1" s="307" t="s">
        <v>294</v>
      </c>
      <c r="B1" s="308"/>
      <c r="C1" s="308"/>
      <c r="D1" s="308"/>
      <c r="E1" s="308"/>
      <c r="F1" s="309"/>
      <c r="G1" s="310"/>
    </row>
    <row r="2" spans="1:7">
      <c r="A2" s="311" t="s">
        <v>295</v>
      </c>
      <c r="B2" s="312"/>
      <c r="C2" s="312"/>
      <c r="D2" s="312"/>
      <c r="E2" s="312"/>
      <c r="F2" s="313"/>
      <c r="G2" s="314"/>
    </row>
    <row r="3" spans="1:7">
      <c r="A3" s="124"/>
      <c r="B3" s="315" t="s">
        <v>296</v>
      </c>
      <c r="C3" s="125" t="s">
        <v>297</v>
      </c>
      <c r="D3" s="317" t="s">
        <v>298</v>
      </c>
      <c r="E3" s="318"/>
      <c r="F3" s="319" t="s">
        <v>299</v>
      </c>
      <c r="G3" s="321" t="s">
        <v>300</v>
      </c>
    </row>
    <row r="4" spans="1:7" ht="21.75" customHeight="1">
      <c r="A4" s="31"/>
      <c r="B4" s="316"/>
      <c r="C4" s="126">
        <v>2017</v>
      </c>
      <c r="D4" s="127">
        <v>43160</v>
      </c>
      <c r="E4" s="128">
        <v>43252</v>
      </c>
      <c r="F4" s="320"/>
      <c r="G4" s="322"/>
    </row>
    <row r="5" spans="1:7">
      <c r="A5" s="303" t="s">
        <v>301</v>
      </c>
      <c r="B5" s="304"/>
      <c r="C5" s="304"/>
      <c r="D5" s="304"/>
      <c r="E5" s="304"/>
      <c r="F5" s="305"/>
      <c r="G5" s="306"/>
    </row>
    <row r="6" spans="1:7">
      <c r="A6" s="129" t="s">
        <v>302</v>
      </c>
      <c r="B6" s="130" t="s">
        <v>303</v>
      </c>
      <c r="C6" s="131">
        <f>C33</f>
        <v>3575294000</v>
      </c>
      <c r="D6" s="131">
        <f>D33</f>
        <v>3638388109.2157083</v>
      </c>
      <c r="E6" s="131">
        <f>E33</f>
        <v>3850883587.7828484</v>
      </c>
      <c r="F6" s="131">
        <f>F33</f>
        <v>0</v>
      </c>
      <c r="G6" s="131">
        <f>G33</f>
        <v>69326567615.863998</v>
      </c>
    </row>
    <row r="7" spans="1:7">
      <c r="A7" s="129" t="s">
        <v>304</v>
      </c>
      <c r="B7" s="132" t="s">
        <v>305</v>
      </c>
      <c r="C7" s="133">
        <f>C33/C29</f>
        <v>0.12516246590040864</v>
      </c>
      <c r="D7" s="133">
        <f>D33/D29</f>
        <v>0.12404378252661359</v>
      </c>
      <c r="E7" s="133">
        <f>E33/E29</f>
        <v>0.12810105414315853</v>
      </c>
      <c r="F7" s="133" t="e">
        <f>F33/F29</f>
        <v>#DIV/0!</v>
      </c>
      <c r="G7" s="133">
        <f>G33/G29</f>
        <v>0.15142618549789269</v>
      </c>
    </row>
    <row r="8" spans="1:7">
      <c r="A8" s="129" t="s">
        <v>260</v>
      </c>
      <c r="B8" s="132" t="s">
        <v>306</v>
      </c>
      <c r="C8" s="133">
        <f>C34/C29</f>
        <v>8.4655345791955078E-2</v>
      </c>
      <c r="D8" s="133">
        <f>D34/D29</f>
        <v>8.042760202256892E-2</v>
      </c>
      <c r="E8" s="133">
        <f>E34/E29</f>
        <v>8.2116799218848416E-2</v>
      </c>
      <c r="F8" s="133" t="e">
        <f>F34/F29</f>
        <v>#DIV/0!</v>
      </c>
      <c r="G8" s="133">
        <f>G34/G29</f>
        <v>8.6793276578618864E-2</v>
      </c>
    </row>
    <row r="9" spans="1:7">
      <c r="A9" s="303" t="s">
        <v>307</v>
      </c>
      <c r="B9" s="304"/>
      <c r="C9" s="304"/>
      <c r="D9" s="304"/>
      <c r="E9" s="304"/>
      <c r="F9" s="305"/>
      <c r="G9" s="306"/>
    </row>
    <row r="10" spans="1:7">
      <c r="A10" s="129" t="s">
        <v>308</v>
      </c>
      <c r="B10" s="130" t="s">
        <v>309</v>
      </c>
      <c r="C10" s="133">
        <f>C35/C32</f>
        <v>8.3758751660342134E-2</v>
      </c>
      <c r="D10" s="133">
        <f>D35/D32</f>
        <v>6.990596473643039E-2</v>
      </c>
      <c r="E10" s="133">
        <f>E35/E32</f>
        <v>6.4128918777493063E-2</v>
      </c>
      <c r="F10" s="133" t="e">
        <f>F35/F32</f>
        <v>#DIV/0!</v>
      </c>
      <c r="G10" s="133">
        <f>G35/G32</f>
        <v>6.4216555660073046E-2</v>
      </c>
    </row>
    <row r="11" spans="1:7">
      <c r="A11" s="129" t="s">
        <v>187</v>
      </c>
      <c r="B11" s="130" t="s">
        <v>310</v>
      </c>
      <c r="C11" s="133">
        <f>C36/C29</f>
        <v>7.8233551459860717E-2</v>
      </c>
      <c r="D11" s="133">
        <f>D36/D29</f>
        <v>7.0771560179866924E-2</v>
      </c>
      <c r="E11" s="133">
        <f>E36/E29</f>
        <v>7.3871285467047465E-2</v>
      </c>
      <c r="F11" s="133" t="e">
        <f>F36/F29</f>
        <v>#DIV/0!</v>
      </c>
      <c r="G11" s="133">
        <f>G36/G29</f>
        <v>0.21105591650727981</v>
      </c>
    </row>
    <row r="12" spans="1:7">
      <c r="A12" s="129" t="s">
        <v>311</v>
      </c>
      <c r="B12" s="130" t="s">
        <v>309</v>
      </c>
      <c r="C12" s="134">
        <f>C38/C31</f>
        <v>3.9319754241610334E-2</v>
      </c>
      <c r="D12" s="134">
        <f>D38/D31</f>
        <v>3.5325791682766637E-2</v>
      </c>
      <c r="E12" s="134">
        <f>E38/E31</f>
        <v>3.7197617219539458E-2</v>
      </c>
      <c r="F12" s="134" t="e">
        <f>F38/F31</f>
        <v>#DIV/0!</v>
      </c>
      <c r="G12" s="134">
        <f>G38/G31</f>
        <v>4.1240427366101499E-2</v>
      </c>
    </row>
    <row r="13" spans="1:7" s="137" customFormat="1">
      <c r="A13" s="135" t="s">
        <v>312</v>
      </c>
      <c r="B13" s="130" t="s">
        <v>313</v>
      </c>
      <c r="C13" s="136">
        <f>C38/C33</f>
        <v>0.24098997173379308</v>
      </c>
      <c r="D13" s="136">
        <f>D38/D33</f>
        <v>0.22956689395624905</v>
      </c>
      <c r="E13" s="136">
        <f>E38/E33</f>
        <v>0.22930110535447146</v>
      </c>
      <c r="F13" s="136" t="e">
        <f>F38/F33</f>
        <v>#DIV/0!</v>
      </c>
      <c r="G13" s="136">
        <f>G38/G33</f>
        <v>0.19351902642905425</v>
      </c>
    </row>
    <row r="14" spans="1:7">
      <c r="A14" s="303" t="s">
        <v>314</v>
      </c>
      <c r="B14" s="304"/>
      <c r="C14" s="304"/>
      <c r="D14" s="304"/>
      <c r="E14" s="304"/>
      <c r="F14" s="305"/>
      <c r="G14" s="306"/>
    </row>
    <row r="15" spans="1:7">
      <c r="A15" s="129" t="s">
        <v>315</v>
      </c>
      <c r="B15" s="130"/>
      <c r="C15" s="138">
        <f>C41/C32</f>
        <v>7.6755321619858249E-2</v>
      </c>
      <c r="D15" s="133">
        <f>D41/D32</f>
        <v>1.9738298154250281E-2</v>
      </c>
      <c r="E15" s="133">
        <f>E41/E32</f>
        <v>3.8638319225778109E-2</v>
      </c>
      <c r="F15" s="133" t="e">
        <f>F41/F32</f>
        <v>#DIV/0!</v>
      </c>
      <c r="G15" s="133">
        <f>G41/G32</f>
        <v>6.0128915991312128E-2</v>
      </c>
    </row>
    <row r="16" spans="1:7">
      <c r="A16" s="129" t="s">
        <v>316</v>
      </c>
      <c r="B16" s="130"/>
      <c r="C16" s="138">
        <f>C44/C40</f>
        <v>0.86029119555425726</v>
      </c>
      <c r="D16" s="136">
        <f>D44/D40</f>
        <v>0.91284222053722508</v>
      </c>
      <c r="E16" s="136">
        <f>E44/E40</f>
        <v>0.88209002620604382</v>
      </c>
      <c r="F16" s="136" t="e">
        <f>F44/F40</f>
        <v>#DIV/0!</v>
      </c>
      <c r="G16" s="136">
        <f>G44/G40</f>
        <v>0.79898157254733526</v>
      </c>
    </row>
    <row r="17" spans="1:9">
      <c r="A17" s="129" t="s">
        <v>317</v>
      </c>
      <c r="B17" s="130"/>
      <c r="C17" s="136">
        <f>C42/C30</f>
        <v>2.1114194279738794E-2</v>
      </c>
      <c r="D17" s="136">
        <f>D42/D30</f>
        <v>3.2004404024709877E-3</v>
      </c>
      <c r="E17" s="136">
        <f>E42/E30</f>
        <v>8.5246189240273697E-3</v>
      </c>
      <c r="F17" s="136" t="e">
        <f>F42/F30</f>
        <v>#DIV/0!</v>
      </c>
      <c r="G17" s="136">
        <f>G42/G30</f>
        <v>1.4471496280025024E-2</v>
      </c>
    </row>
    <row r="18" spans="1:9">
      <c r="A18" s="135" t="s">
        <v>318</v>
      </c>
      <c r="B18" s="139"/>
      <c r="C18" s="136">
        <f>C45/C42</f>
        <v>1.8241432510035285</v>
      </c>
      <c r="D18" s="136">
        <f>D45/D42</f>
        <v>2.5388456697716548</v>
      </c>
      <c r="E18" s="136">
        <f>E45/E42</f>
        <v>2.0792721396963407</v>
      </c>
      <c r="F18" s="136" t="e">
        <f>F45/F42</f>
        <v>#DIV/0!</v>
      </c>
      <c r="G18" s="136">
        <f>G45/G42</f>
        <v>1.6778104875343056</v>
      </c>
    </row>
    <row r="19" spans="1:9">
      <c r="A19" s="303" t="s">
        <v>319</v>
      </c>
      <c r="B19" s="304"/>
      <c r="C19" s="304"/>
      <c r="D19" s="304"/>
      <c r="E19" s="304"/>
      <c r="F19" s="305"/>
      <c r="G19" s="306"/>
    </row>
    <row r="20" spans="1:9">
      <c r="A20" s="129" t="s">
        <v>320</v>
      </c>
      <c r="B20" s="140" t="s">
        <v>321</v>
      </c>
      <c r="C20" s="133">
        <f>C46/C47</f>
        <v>0.33588266230535635</v>
      </c>
      <c r="D20" s="133">
        <f>D46/D47</f>
        <v>0.4454413297462288</v>
      </c>
      <c r="E20" s="133">
        <f>E46/E47</f>
        <v>0.45759283090446018</v>
      </c>
      <c r="F20" s="133" t="e">
        <f>F46/F47</f>
        <v>#DIV/0!</v>
      </c>
      <c r="G20" s="133">
        <f>G46/G47</f>
        <v>0.53762832801063953</v>
      </c>
      <c r="I20" s="141"/>
    </row>
    <row r="21" spans="1:9">
      <c r="A21" s="129" t="s">
        <v>322</v>
      </c>
      <c r="B21" s="130" t="s">
        <v>323</v>
      </c>
      <c r="C21" s="133">
        <f>C48/C29</f>
        <v>1.5941271248519837E-2</v>
      </c>
      <c r="D21" s="133">
        <f>D48/D29</f>
        <v>1.415577054217552E-2</v>
      </c>
      <c r="E21" s="133">
        <f>E48/E29</f>
        <v>1.2698777397005291E-2</v>
      </c>
      <c r="F21" s="133" t="e">
        <f>F48/F29</f>
        <v>#DIV/0!</v>
      </c>
      <c r="G21" s="133">
        <f>G48/G29</f>
        <v>4.885822210180283E-2</v>
      </c>
      <c r="I21" s="142"/>
    </row>
    <row r="22" spans="1:9">
      <c r="A22" s="129" t="s">
        <v>324</v>
      </c>
      <c r="B22" s="130"/>
      <c r="C22" s="133">
        <f>C46/C29</f>
        <v>8.9409237980796585E-2</v>
      </c>
      <c r="D22" s="133">
        <f>D46/D29</f>
        <v>0.11709895139952284</v>
      </c>
      <c r="E22" s="133">
        <f>E46/E29</f>
        <v>0.11553873104851002</v>
      </c>
      <c r="F22" s="133" t="e">
        <f>F46/F29</f>
        <v>#DIV/0!</v>
      </c>
      <c r="G22" s="133">
        <f>G46/G29</f>
        <v>0.10366677035926812</v>
      </c>
    </row>
    <row r="23" spans="1:9">
      <c r="A23" s="303" t="s">
        <v>325</v>
      </c>
      <c r="B23" s="304"/>
      <c r="C23" s="304"/>
      <c r="D23" s="304"/>
      <c r="E23" s="304"/>
      <c r="F23" s="305"/>
      <c r="G23" s="306"/>
    </row>
    <row r="24" spans="1:9">
      <c r="A24" s="143" t="s">
        <v>326</v>
      </c>
      <c r="B24" s="139" t="s">
        <v>327</v>
      </c>
      <c r="C24" s="136">
        <f>C32/C29</f>
        <v>0.81615737316964942</v>
      </c>
      <c r="D24" s="136">
        <f>D32/D29</f>
        <v>0.80219752120140031</v>
      </c>
      <c r="E24" s="136">
        <f>E32/E29</f>
        <v>0.80146236854830355</v>
      </c>
      <c r="F24" s="136" t="e">
        <f>F32/F29</f>
        <v>#DIV/0!</v>
      </c>
      <c r="G24" s="136">
        <f>G32/G29</f>
        <v>0.7574673642475942</v>
      </c>
    </row>
    <row r="25" spans="1:9">
      <c r="A25" s="143" t="s">
        <v>328</v>
      </c>
      <c r="B25" s="144" t="s">
        <v>329</v>
      </c>
      <c r="C25" s="136">
        <f>C32/C31</f>
        <v>1.0639264882463775</v>
      </c>
      <c r="D25" s="136">
        <f>D32/D31</f>
        <v>0.99515094571962126</v>
      </c>
      <c r="E25" s="136">
        <f>E32/E31</f>
        <v>1.0149377466976661</v>
      </c>
      <c r="F25" s="136" t="e">
        <f>F32/F31</f>
        <v>#DIV/0!</v>
      </c>
      <c r="G25" s="136">
        <f>G32/G31</f>
        <v>1.0660128261811286</v>
      </c>
    </row>
    <row r="26" spans="1:9">
      <c r="A26" s="143" t="s">
        <v>330</v>
      </c>
      <c r="B26" s="144"/>
      <c r="C26" s="136">
        <f>C39/C29</f>
        <v>3.8223399255563367E-2</v>
      </c>
      <c r="D26" s="136">
        <f>D39/D29</f>
        <v>2.9374880113870454E-2</v>
      </c>
      <c r="E26" s="136">
        <f>E39/E29</f>
        <v>3.0250433424650686E-2</v>
      </c>
      <c r="F26" s="136" t="e">
        <f>F39/F29</f>
        <v>#DIV/0!</v>
      </c>
      <c r="G26" s="136">
        <f>G39/G29</f>
        <v>4.3658487304164585E-2</v>
      </c>
    </row>
    <row r="27" spans="1:9">
      <c r="A27" s="145" t="s">
        <v>331</v>
      </c>
      <c r="B27" s="146"/>
      <c r="C27" s="147">
        <f>C43/C40</f>
        <v>0.95525792757356909</v>
      </c>
      <c r="D27" s="147">
        <f>D43/D40</f>
        <v>0.54694557621917517</v>
      </c>
      <c r="E27" s="147">
        <f>E43/E40</f>
        <v>0.54728258705267863</v>
      </c>
      <c r="F27" s="147" t="e">
        <f>F43/F40</f>
        <v>#DIV/0!</v>
      </c>
      <c r="G27" s="148">
        <f>G43/G40</f>
        <v>0.27724022592509417</v>
      </c>
    </row>
    <row r="28" spans="1:9">
      <c r="A28" s="303" t="s">
        <v>332</v>
      </c>
      <c r="B28" s="304"/>
      <c r="C28" s="304">
        <v>2015</v>
      </c>
      <c r="D28" s="304">
        <v>2016</v>
      </c>
      <c r="E28" s="304">
        <v>2017</v>
      </c>
      <c r="F28" s="305"/>
      <c r="G28" s="306" t="s">
        <v>333</v>
      </c>
    </row>
    <row r="29" spans="1:9">
      <c r="A29" s="145" t="s">
        <v>26</v>
      </c>
      <c r="B29" s="149"/>
      <c r="C29" s="38">
        <v>28565225000</v>
      </c>
      <c r="D29" s="38">
        <v>29331483086.909996</v>
      </c>
      <c r="E29" s="38">
        <v>30061295073.179626</v>
      </c>
      <c r="F29" s="150"/>
      <c r="G29" s="175">
        <v>457824169498.27197</v>
      </c>
    </row>
    <row r="30" spans="1:9">
      <c r="A30" s="145" t="s">
        <v>334</v>
      </c>
      <c r="B30" s="149"/>
      <c r="C30" s="150">
        <v>26523579000</v>
      </c>
      <c r="D30" s="150">
        <v>28948354043.454998</v>
      </c>
      <c r="E30" s="150">
        <v>29313260036.589813</v>
      </c>
      <c r="F30" s="150"/>
      <c r="G30" s="175">
        <v>450050648721.08301</v>
      </c>
    </row>
    <row r="31" spans="1:9">
      <c r="A31" s="145" t="s">
        <v>137</v>
      </c>
      <c r="B31" s="149"/>
      <c r="C31" s="38">
        <v>21912904000</v>
      </c>
      <c r="D31" s="38">
        <v>23644295497.769997</v>
      </c>
      <c r="E31" s="38">
        <v>23738398566.190002</v>
      </c>
      <c r="F31" s="151"/>
      <c r="G31" s="175">
        <v>325312096103.96991</v>
      </c>
    </row>
    <row r="32" spans="1:9">
      <c r="A32" s="145" t="s">
        <v>335</v>
      </c>
      <c r="B32" s="149"/>
      <c r="C32" s="38">
        <v>23313719000</v>
      </c>
      <c r="D32" s="38">
        <v>23529643025.479996</v>
      </c>
      <c r="E32" s="38">
        <v>24092996750.979992</v>
      </c>
      <c r="F32" s="152"/>
      <c r="G32" s="175">
        <v>346786866958.69989</v>
      </c>
    </row>
    <row r="33" spans="1:7">
      <c r="A33" s="145" t="s">
        <v>102</v>
      </c>
      <c r="B33" s="149"/>
      <c r="C33" s="38">
        <v>3575294000</v>
      </c>
      <c r="D33" s="38">
        <v>3638388109.2157083</v>
      </c>
      <c r="E33" s="38">
        <v>3850883587.7828484</v>
      </c>
      <c r="F33" s="150"/>
      <c r="G33" s="175">
        <v>69326567615.863998</v>
      </c>
    </row>
    <row r="34" spans="1:7">
      <c r="A34" s="145" t="s">
        <v>336</v>
      </c>
      <c r="B34" s="149"/>
      <c r="C34" s="38">
        <v>2418199000</v>
      </c>
      <c r="D34" s="38">
        <v>2359060848.4457083</v>
      </c>
      <c r="E34" s="38">
        <v>2468537331.7828484</v>
      </c>
      <c r="F34" s="150"/>
      <c r="G34" s="175">
        <v>39736059767.639999</v>
      </c>
    </row>
    <row r="35" spans="1:7">
      <c r="A35" s="145" t="s">
        <v>337</v>
      </c>
      <c r="B35" s="149"/>
      <c r="C35" s="151">
        <v>1952728000</v>
      </c>
      <c r="D35" s="151">
        <v>1644862395.5999999</v>
      </c>
      <c r="E35" s="151">
        <v>1545057831.75</v>
      </c>
      <c r="F35" s="151"/>
      <c r="G35" s="175">
        <v>22269458144.235699</v>
      </c>
    </row>
    <row r="36" spans="1:7">
      <c r="A36" s="145" t="s">
        <v>187</v>
      </c>
      <c r="B36" s="149"/>
      <c r="C36" s="113">
        <v>2234759000</v>
      </c>
      <c r="D36" s="113">
        <v>2075834820.4499998</v>
      </c>
      <c r="E36" s="113">
        <v>2220666509.8599997</v>
      </c>
      <c r="F36" s="152"/>
      <c r="G36" s="175">
        <v>96626499692.642014</v>
      </c>
    </row>
    <row r="37" spans="1:7">
      <c r="A37" s="145" t="s">
        <v>22</v>
      </c>
      <c r="B37" s="149"/>
      <c r="C37" s="150">
        <v>235465000</v>
      </c>
      <c r="D37" s="38">
        <v>234856882.59999996</v>
      </c>
      <c r="E37" s="38">
        <v>226150949.63</v>
      </c>
      <c r="F37" s="150"/>
      <c r="G37" s="175">
        <v>15408701421.012005</v>
      </c>
    </row>
    <row r="38" spans="1:7">
      <c r="A38" s="145" t="s">
        <v>205</v>
      </c>
      <c r="B38" s="149"/>
      <c r="C38" s="113">
        <v>861610000</v>
      </c>
      <c r="D38" s="113">
        <v>835253457.24000001</v>
      </c>
      <c r="E38" s="113">
        <v>883011863.26999998</v>
      </c>
      <c r="F38" s="150"/>
      <c r="G38" s="175">
        <v>13416009870.690001</v>
      </c>
    </row>
    <row r="39" spans="1:7">
      <c r="A39" s="145" t="s">
        <v>204</v>
      </c>
      <c r="B39" s="149"/>
      <c r="C39" s="113">
        <v>1091860000</v>
      </c>
      <c r="D39" s="113">
        <v>861608799.24000001</v>
      </c>
      <c r="E39" s="113">
        <v>909367205.26999998</v>
      </c>
      <c r="F39" s="150"/>
      <c r="G39" s="175">
        <v>19987910691.580002</v>
      </c>
    </row>
    <row r="40" spans="1:7">
      <c r="A40" s="145" t="s">
        <v>198</v>
      </c>
      <c r="B40" s="149"/>
      <c r="C40" s="113">
        <v>4008509000</v>
      </c>
      <c r="D40" s="113">
        <v>1062985799.2799999</v>
      </c>
      <c r="E40" s="113">
        <v>2119281034.4399998</v>
      </c>
      <c r="F40" s="150"/>
      <c r="G40" s="175">
        <v>32399548495.73999</v>
      </c>
    </row>
    <row r="41" spans="1:7">
      <c r="A41" s="145" t="s">
        <v>66</v>
      </c>
      <c r="B41" s="149"/>
      <c r="C41" s="113">
        <v>1789452000</v>
      </c>
      <c r="D41" s="113">
        <v>464435109.49999976</v>
      </c>
      <c r="E41" s="113">
        <v>930912899.56999969</v>
      </c>
      <c r="F41" s="150"/>
      <c r="G41" s="175">
        <v>20851918390.25</v>
      </c>
    </row>
    <row r="42" spans="1:7">
      <c r="A42" s="145" t="s">
        <v>199</v>
      </c>
      <c r="B42" s="149"/>
      <c r="C42" s="113">
        <v>560024000</v>
      </c>
      <c r="D42" s="113">
        <v>92647481.865707755</v>
      </c>
      <c r="E42" s="113">
        <v>249884371.23284873</v>
      </c>
      <c r="F42" s="150"/>
      <c r="G42" s="175">
        <v>6512906288.7900019</v>
      </c>
    </row>
    <row r="43" spans="1:7">
      <c r="A43" s="145" t="s">
        <v>338</v>
      </c>
      <c r="B43" s="149"/>
      <c r="C43" s="113">
        <v>3829160000</v>
      </c>
      <c r="D43" s="113">
        <v>581395380.5</v>
      </c>
      <c r="E43" s="113">
        <v>1159845607.22</v>
      </c>
      <c r="F43" s="150"/>
      <c r="G43" s="175">
        <v>8982458144.8299999</v>
      </c>
    </row>
    <row r="44" spans="1:7">
      <c r="A44" s="145" t="s">
        <v>85</v>
      </c>
      <c r="B44" s="149"/>
      <c r="C44" s="113">
        <v>3448485000</v>
      </c>
      <c r="D44" s="113">
        <v>970338317.4142921</v>
      </c>
      <c r="E44" s="113">
        <v>1869396663.2071512</v>
      </c>
      <c r="F44" s="150"/>
      <c r="G44" s="175">
        <v>25886642206.949989</v>
      </c>
    </row>
    <row r="45" spans="1:7">
      <c r="A45" s="145" t="s">
        <v>203</v>
      </c>
      <c r="B45" s="149"/>
      <c r="C45" s="113">
        <v>1021564000</v>
      </c>
      <c r="D45" s="113">
        <v>235217658.15000004</v>
      </c>
      <c r="E45" s="113">
        <v>519577611.25000012</v>
      </c>
      <c r="F45" s="150"/>
      <c r="G45" s="175">
        <v>10927422475.659998</v>
      </c>
    </row>
    <row r="46" spans="1:7">
      <c r="A46" s="145" t="s">
        <v>201</v>
      </c>
      <c r="B46" s="149"/>
      <c r="C46" s="113">
        <v>2553995000</v>
      </c>
      <c r="D46" s="113">
        <v>3434685912.4699998</v>
      </c>
      <c r="E46" s="113">
        <v>3473243886.4300003</v>
      </c>
      <c r="F46" s="150"/>
      <c r="G46" s="175">
        <v>47461153044.300003</v>
      </c>
    </row>
    <row r="47" spans="1:7">
      <c r="A47" s="145" t="s">
        <v>339</v>
      </c>
      <c r="B47" s="149"/>
      <c r="C47" s="113">
        <v>7603831000</v>
      </c>
      <c r="D47" s="113">
        <v>7710748157.1742916</v>
      </c>
      <c r="E47" s="113">
        <v>7590249785.0871515</v>
      </c>
      <c r="F47" s="150"/>
      <c r="G47" s="175">
        <v>88278743086.173019</v>
      </c>
    </row>
    <row r="48" spans="1:7">
      <c r="A48" s="145" t="s">
        <v>159</v>
      </c>
      <c r="B48" s="149"/>
      <c r="C48" s="150">
        <v>455366000</v>
      </c>
      <c r="D48" s="38">
        <v>415209744.24000001</v>
      </c>
      <c r="E48" s="38">
        <v>381741694.39999998</v>
      </c>
      <c r="F48" s="150"/>
      <c r="G48" s="175">
        <v>22368474956.919998</v>
      </c>
    </row>
    <row r="49" spans="1:7">
      <c r="A49" s="294" t="s">
        <v>340</v>
      </c>
      <c r="B49" s="295"/>
      <c r="C49" s="295"/>
      <c r="D49" s="295"/>
      <c r="E49" s="295"/>
      <c r="F49" s="295"/>
      <c r="G49" s="296"/>
    </row>
    <row r="50" spans="1:7">
      <c r="A50" s="153" t="s">
        <v>341</v>
      </c>
      <c r="B50" s="154"/>
      <c r="C50" s="155"/>
      <c r="D50" s="155"/>
      <c r="E50" s="155"/>
      <c r="F50" s="156"/>
      <c r="G50" s="157"/>
    </row>
    <row r="51" spans="1:7">
      <c r="A51" s="153">
        <v>2</v>
      </c>
      <c r="B51" s="154"/>
      <c r="C51" s="155"/>
      <c r="D51" s="155"/>
      <c r="E51" s="155"/>
      <c r="F51" s="156"/>
      <c r="G51" s="157"/>
    </row>
    <row r="52" spans="1:7">
      <c r="A52" s="153">
        <v>3</v>
      </c>
      <c r="B52" s="154"/>
      <c r="C52" s="155"/>
      <c r="D52" s="155"/>
      <c r="E52" s="155"/>
      <c r="F52" s="156"/>
      <c r="G52" s="157"/>
    </row>
    <row r="53" spans="1:7">
      <c r="A53" s="158">
        <v>4</v>
      </c>
      <c r="B53" s="297"/>
      <c r="C53" s="297"/>
      <c r="D53" s="297"/>
      <c r="E53" s="298"/>
      <c r="F53" s="298"/>
      <c r="G53" s="299"/>
    </row>
    <row r="54" spans="1:7">
      <c r="A54" s="159" t="s">
        <v>342</v>
      </c>
      <c r="B54" s="154"/>
      <c r="C54" s="300"/>
      <c r="D54" s="301"/>
      <c r="E54" s="301"/>
      <c r="F54" s="301"/>
      <c r="G54" s="302"/>
    </row>
    <row r="55" spans="1:7">
      <c r="A55" s="159"/>
      <c r="B55" s="154"/>
      <c r="C55" s="160"/>
      <c r="D55" s="160"/>
      <c r="E55" s="161"/>
      <c r="F55" s="161"/>
      <c r="G55" s="162"/>
    </row>
    <row r="56" spans="1:7">
      <c r="A56" s="163" t="s">
        <v>343</v>
      </c>
      <c r="B56" s="164"/>
      <c r="C56" s="300"/>
      <c r="D56" s="301"/>
      <c r="E56" s="301"/>
      <c r="F56" s="301"/>
      <c r="G56" s="302"/>
    </row>
    <row r="57" spans="1:7">
      <c r="A57" s="31"/>
      <c r="B57" s="154"/>
      <c r="C57" s="155"/>
      <c r="D57" s="155"/>
      <c r="E57" s="155"/>
      <c r="F57" s="156"/>
      <c r="G57" s="157"/>
    </row>
    <row r="58" spans="1:7">
      <c r="A58" s="159" t="s">
        <v>344</v>
      </c>
      <c r="B58" s="154"/>
      <c r="C58" s="300"/>
      <c r="D58" s="301"/>
      <c r="E58" s="301"/>
      <c r="F58" s="301"/>
      <c r="G58" s="302"/>
    </row>
    <row r="59" spans="1:7" ht="15" thickBot="1">
      <c r="A59" s="165"/>
      <c r="B59" s="166"/>
      <c r="C59" s="167"/>
      <c r="D59" s="167"/>
      <c r="E59" s="167"/>
      <c r="F59" s="168"/>
      <c r="G59" s="169"/>
    </row>
    <row r="60" spans="1:7">
      <c r="A60" s="176" t="s">
        <v>345</v>
      </c>
    </row>
    <row r="61" spans="1:7">
      <c r="A61" s="137"/>
    </row>
    <row r="62" spans="1:7">
      <c r="A62" s="137"/>
    </row>
  </sheetData>
  <mergeCells count="17">
    <mergeCell ref="A28:G28"/>
    <mergeCell ref="A1:G1"/>
    <mergeCell ref="A2:G2"/>
    <mergeCell ref="B3:B4"/>
    <mergeCell ref="D3:E3"/>
    <mergeCell ref="F3:F4"/>
    <mergeCell ref="G3:G4"/>
    <mergeCell ref="A5:G5"/>
    <mergeCell ref="A9:G9"/>
    <mergeCell ref="A14:G14"/>
    <mergeCell ref="A19:G19"/>
    <mergeCell ref="A23:G23"/>
    <mergeCell ref="A49:G49"/>
    <mergeCell ref="B53:G53"/>
    <mergeCell ref="C54:G54"/>
    <mergeCell ref="C56:G56"/>
    <mergeCell ref="C58:G5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125C7B-6A6E-4327-A0F3-33B156F7DBD4}"/>
</file>

<file path=customXml/itemProps2.xml><?xml version="1.0" encoding="utf-8"?>
<ds:datastoreItem xmlns:ds="http://schemas.openxmlformats.org/officeDocument/2006/customXml" ds:itemID="{5B1CD7C7-FECF-4D5E-B550-3BFB277C8AF7}"/>
</file>

<file path=customXml/itemProps3.xml><?xml version="1.0" encoding="utf-8"?>
<ds:datastoreItem xmlns:ds="http://schemas.openxmlformats.org/officeDocument/2006/customXml" ds:itemID="{AE2BBCC6-1DEB-4308-BA18-934102C27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Levy Ntabo</cp:lastModifiedBy>
  <cp:revision/>
  <dcterms:created xsi:type="dcterms:W3CDTF">2012-11-01T05:11:14Z</dcterms:created>
  <dcterms:modified xsi:type="dcterms:W3CDTF">2023-05-19T07:47:42Z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2022-02-09T09:02:02Z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d165642e-3d25-461e-9e3f-003e8ace0f29</vt:lpwstr>
  </property>
  <property fmtid="{D5CDD505-2E9C-101B-9397-08002B2CF9AE}" pid="9" name="MSIP_Label_6294dde6-398b-42fd-9ab1-a1959fc6b9e2_ContentBits">
    <vt:lpwstr>0</vt:lpwstr>
  </property>
  <property fmtid="{D5CDD505-2E9C-101B-9397-08002B2CF9AE}" pid="10" name="ContentTypeId">
    <vt:lpwstr>0x010100F4FB27488935CD4FBFBB981DE553EA38</vt:lpwstr>
  </property>
  <property fmtid="{D5CDD505-2E9C-101B-9397-08002B2CF9AE}" pid="11" name="MediaServiceImageTags">
    <vt:lpwstr/>
  </property>
</Properties>
</file>
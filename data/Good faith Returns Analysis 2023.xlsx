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emison\Desktop\"/>
    </mc:Choice>
  </mc:AlternateContent>
  <xr:revisionPtr revIDLastSave="282" documentId="13_ncr:1_{2F7C7E86-2875-48FA-8BD6-A3EBE2CAD145}" xr6:coauthVersionLast="47" xr6:coauthVersionMax="47" xr10:uidLastSave="{B35FEF98-5CC9-4F0F-B389-D6BC0EF9717B}"/>
  <bookViews>
    <workbookView xWindow="0" yWindow="0" windowWidth="14380" windowHeight="3780" firstSheet="1" activeTab="1" xr2:uid="{00000000-000D-0000-FFFF-FFFF00000000}"/>
  </bookViews>
  <sheets>
    <sheet name="SFP" sheetId="4" r:id="rId1"/>
    <sheet name="SCI" sheetId="7" r:id="rId2"/>
    <sheet name="Financials" sheetId="6" r:id="rId3"/>
    <sheet name="Prudential Ratios" sheetId="5" r:id="rId4"/>
    <sheet name="form4 " sheetId="23" r:id="rId5"/>
    <sheet name="Sacco Performance" sheetId="24" r:id="rId6"/>
    <sheet name="Sheet2" sheetId="25" r:id="rId7"/>
  </sheets>
  <externalReferences>
    <externalReference r:id="rId8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'Prudential Ratios'!#REF!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5">'Sacco Performance'!$A$1:$H$53</definedName>
    <definedName name="_xlnm.Print_Area" localSheetId="0">SFP!$A$1:$A$51</definedName>
    <definedName name="units">'[1]SASRA B.S.'!$C$2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" i="5" l="1"/>
  <c r="AK6" i="5"/>
  <c r="AJ7" i="5"/>
  <c r="AK7" i="5"/>
  <c r="AJ8" i="5"/>
  <c r="AK8" i="5"/>
  <c r="AJ9" i="5"/>
  <c r="AK9" i="5"/>
  <c r="AJ10" i="5"/>
  <c r="AK10" i="5"/>
  <c r="AJ14" i="5"/>
  <c r="AK14" i="5"/>
  <c r="AJ15" i="5"/>
  <c r="AK15" i="5"/>
  <c r="AJ16" i="5"/>
  <c r="AK16" i="5"/>
  <c r="AJ19" i="5"/>
  <c r="AK19" i="5"/>
  <c r="AJ20" i="5"/>
  <c r="AK20" i="5"/>
  <c r="AJ21" i="5"/>
  <c r="AK21" i="5"/>
  <c r="AJ24" i="5"/>
  <c r="AK24" i="5"/>
  <c r="AJ25" i="5"/>
  <c r="AK25" i="5"/>
  <c r="AJ26" i="5"/>
  <c r="AK26" i="5"/>
  <c r="AJ27" i="5"/>
  <c r="AK27" i="5"/>
  <c r="AJ30" i="5"/>
  <c r="AK30" i="5"/>
  <c r="AJ31" i="5"/>
  <c r="AK31" i="5"/>
  <c r="AJ32" i="5"/>
  <c r="AK32" i="5"/>
  <c r="AJ33" i="5"/>
  <c r="AK33" i="5"/>
  <c r="AJ34" i="5"/>
  <c r="AK34" i="5"/>
  <c r="AJ35" i="5"/>
  <c r="AK35" i="5"/>
  <c r="AJ36" i="5"/>
  <c r="AK36" i="5"/>
  <c r="AJ37" i="5"/>
  <c r="AK37" i="5"/>
  <c r="AJ40" i="5"/>
  <c r="AK40" i="5"/>
  <c r="AJ41" i="5"/>
  <c r="AK41" i="5"/>
  <c r="AJ42" i="5"/>
  <c r="AK42" i="5"/>
  <c r="AJ43" i="5"/>
  <c r="AK43" i="5"/>
  <c r="AJ44" i="5"/>
  <c r="AK44" i="5"/>
  <c r="AJ47" i="5"/>
  <c r="AK47" i="5"/>
  <c r="AJ48" i="5"/>
  <c r="AK48" i="5"/>
  <c r="AJ52" i="5"/>
  <c r="AK52" i="5"/>
  <c r="AJ54" i="5"/>
  <c r="AK54" i="5"/>
  <c r="AJ55" i="5"/>
  <c r="AK55" i="5"/>
  <c r="AJ56" i="5"/>
  <c r="AK56" i="5"/>
  <c r="AJ57" i="5"/>
  <c r="AK57" i="5"/>
  <c r="AJ59" i="5"/>
  <c r="AK59" i="5"/>
  <c r="AK37" i="7"/>
  <c r="AL37" i="7"/>
  <c r="AK35" i="7"/>
  <c r="AL35" i="7"/>
  <c r="AK33" i="7"/>
  <c r="AL33" i="7"/>
  <c r="AK29" i="7"/>
  <c r="AL29" i="7"/>
  <c r="AK30" i="7"/>
  <c r="AL30" i="7"/>
  <c r="AK23" i="7"/>
  <c r="AL23" i="7"/>
  <c r="AK19" i="7"/>
  <c r="AL19" i="7"/>
  <c r="AK20" i="7"/>
  <c r="AL20" i="7"/>
  <c r="AK12" i="7"/>
  <c r="AL12" i="7"/>
  <c r="AK7" i="7"/>
  <c r="AJ4" i="7"/>
  <c r="AK4" i="7"/>
  <c r="AK3" i="7" s="1"/>
  <c r="AK50" i="4"/>
  <c r="AL50" i="4"/>
  <c r="AK51" i="4"/>
  <c r="AL51" i="4"/>
  <c r="AJ44" i="4"/>
  <c r="AK44" i="4"/>
  <c r="AL44" i="4"/>
  <c r="AJ41" i="4"/>
  <c r="AJ50" i="4" s="1"/>
  <c r="AK41" i="4"/>
  <c r="AL41" i="4"/>
  <c r="AK38" i="4"/>
  <c r="AL38" i="4"/>
  <c r="AJ30" i="4"/>
  <c r="AK30" i="4"/>
  <c r="AL30" i="4"/>
  <c r="AJ31" i="4"/>
  <c r="AK31" i="4"/>
  <c r="AL31" i="4"/>
  <c r="AK26" i="4"/>
  <c r="AL26" i="4"/>
  <c r="AJ20" i="4"/>
  <c r="AK20" i="4"/>
  <c r="AL20" i="4"/>
  <c r="AJ13" i="4"/>
  <c r="AK13" i="4"/>
  <c r="AL13" i="4"/>
  <c r="AJ8" i="4"/>
  <c r="AK8" i="4"/>
  <c r="AL8" i="4"/>
  <c r="AJ4" i="4"/>
  <c r="AJ26" i="4" s="1"/>
  <c r="AK4" i="4"/>
  <c r="AL4" i="4"/>
  <c r="AI6" i="5"/>
  <c r="AI7" i="5"/>
  <c r="AI8" i="5"/>
  <c r="AI9" i="5"/>
  <c r="AI10" i="5"/>
  <c r="AI14" i="5"/>
  <c r="AI15" i="5"/>
  <c r="AI16" i="5"/>
  <c r="AI19" i="5"/>
  <c r="AI20" i="5"/>
  <c r="AI21" i="5"/>
  <c r="AI24" i="5"/>
  <c r="AI25" i="5"/>
  <c r="AI26" i="5"/>
  <c r="AI27" i="5"/>
  <c r="AI30" i="5"/>
  <c r="AI31" i="5"/>
  <c r="AI32" i="5"/>
  <c r="AI33" i="5"/>
  <c r="AI34" i="5"/>
  <c r="AI35" i="5"/>
  <c r="AI36" i="5"/>
  <c r="AI37" i="5"/>
  <c r="AI47" i="5"/>
  <c r="AI48" i="5"/>
  <c r="AI52" i="5"/>
  <c r="AI54" i="5"/>
  <c r="AI55" i="5"/>
  <c r="AI56" i="5"/>
  <c r="AI57" i="5"/>
  <c r="AI59" i="5"/>
  <c r="AH6" i="5"/>
  <c r="AH7" i="5"/>
  <c r="AH8" i="5"/>
  <c r="AH9" i="5"/>
  <c r="AH10" i="5"/>
  <c r="AH14" i="5"/>
  <c r="AH15" i="5"/>
  <c r="AH16" i="5"/>
  <c r="AH19" i="5"/>
  <c r="AH20" i="5"/>
  <c r="AH21" i="5"/>
  <c r="AH24" i="5"/>
  <c r="AH25" i="5"/>
  <c r="AH26" i="5"/>
  <c r="AH27" i="5"/>
  <c r="AH30" i="5"/>
  <c r="AH31" i="5"/>
  <c r="AH32" i="5"/>
  <c r="AH33" i="5"/>
  <c r="AH34" i="5"/>
  <c r="AH35" i="5"/>
  <c r="AH36" i="5"/>
  <c r="AH37" i="5"/>
  <c r="AH47" i="5"/>
  <c r="AH48" i="5"/>
  <c r="AH52" i="5"/>
  <c r="AH54" i="5"/>
  <c r="AH55" i="5"/>
  <c r="AH56" i="5"/>
  <c r="AH57" i="5"/>
  <c r="AH59" i="5"/>
  <c r="AG30" i="7"/>
  <c r="AH30" i="7"/>
  <c r="AI30" i="7"/>
  <c r="AJ30" i="7"/>
  <c r="AG23" i="7"/>
  <c r="AH23" i="7"/>
  <c r="AI23" i="7"/>
  <c r="AJ23" i="7"/>
  <c r="AG20" i="7"/>
  <c r="AH20" i="7"/>
  <c r="AI20" i="7"/>
  <c r="AJ20" i="7"/>
  <c r="AG12" i="7"/>
  <c r="AH12" i="7"/>
  <c r="AI12" i="7"/>
  <c r="AJ12" i="7"/>
  <c r="AH7" i="7"/>
  <c r="AI7" i="7"/>
  <c r="AJ7" i="7"/>
  <c r="AH4" i="7"/>
  <c r="AH3" i="7" s="1"/>
  <c r="AH19" i="7" s="1"/>
  <c r="AH29" i="7" s="1"/>
  <c r="AH33" i="7" s="1"/>
  <c r="AH35" i="7" s="1"/>
  <c r="AH37" i="7" s="1"/>
  <c r="AI4" i="7"/>
  <c r="AI3" i="7" s="1"/>
  <c r="AI19" i="7" s="1"/>
  <c r="AI29" i="7" s="1"/>
  <c r="AI33" i="7" s="1"/>
  <c r="AI35" i="7" s="1"/>
  <c r="AI37" i="7" s="1"/>
  <c r="AG7" i="7"/>
  <c r="AG4" i="7"/>
  <c r="AG3" i="7" s="1"/>
  <c r="AG19" i="7" s="1"/>
  <c r="AG29" i="7" s="1"/>
  <c r="AG33" i="7" s="1"/>
  <c r="AG35" i="7" s="1"/>
  <c r="AG37" i="7" s="1"/>
  <c r="AG44" i="4"/>
  <c r="AH44" i="4"/>
  <c r="AI44" i="4"/>
  <c r="AG41" i="4"/>
  <c r="AG50" i="4" s="1"/>
  <c r="AH41" i="4"/>
  <c r="AH50" i="4" s="1"/>
  <c r="AI41" i="4"/>
  <c r="AI50" i="4" s="1"/>
  <c r="AG30" i="4"/>
  <c r="AH30" i="4"/>
  <c r="AI30" i="4"/>
  <c r="AG31" i="4"/>
  <c r="AH31" i="4"/>
  <c r="AI31" i="4"/>
  <c r="AG20" i="4"/>
  <c r="AH20" i="4"/>
  <c r="AI20" i="4"/>
  <c r="AG13" i="4"/>
  <c r="AH13" i="4"/>
  <c r="AI13" i="4"/>
  <c r="AG8" i="4"/>
  <c r="AH8" i="4"/>
  <c r="AI8" i="4"/>
  <c r="AG4" i="4"/>
  <c r="AG26" i="4" s="1"/>
  <c r="AH4" i="4"/>
  <c r="AH26" i="4" s="1"/>
  <c r="AI4" i="4"/>
  <c r="AI26" i="4" s="1"/>
  <c r="AG6" i="5"/>
  <c r="AG8" i="5"/>
  <c r="AG16" i="5"/>
  <c r="AG19" i="5"/>
  <c r="AG20" i="5"/>
  <c r="AG31" i="5"/>
  <c r="AG32" i="5"/>
  <c r="AG33" i="5"/>
  <c r="AG34" i="5"/>
  <c r="AG35" i="5"/>
  <c r="AG36" i="5"/>
  <c r="AG37" i="5"/>
  <c r="AG47" i="5"/>
  <c r="AG48" i="5"/>
  <c r="AG52" i="5"/>
  <c r="AG54" i="5"/>
  <c r="AG55" i="5"/>
  <c r="AG56" i="5"/>
  <c r="AG6" i="6"/>
  <c r="AG7" i="6"/>
  <c r="AG8" i="6"/>
  <c r="AG9" i="6"/>
  <c r="AG10" i="6"/>
  <c r="AG18" i="6"/>
  <c r="AG19" i="6"/>
  <c r="AG20" i="6"/>
  <c r="AG21" i="6"/>
  <c r="AG23" i="6"/>
  <c r="AG27" i="6"/>
  <c r="AG29" i="6"/>
  <c r="AG32" i="6"/>
  <c r="AG33" i="6"/>
  <c r="AG36" i="6"/>
  <c r="AG38" i="6"/>
  <c r="AG39" i="6"/>
  <c r="AG42" i="6"/>
  <c r="AG43" i="6"/>
  <c r="AG44" i="6"/>
  <c r="AG45" i="6"/>
  <c r="AG48" i="6"/>
  <c r="AG40" i="5" s="1"/>
  <c r="AG49" i="6"/>
  <c r="AG41" i="5" s="1"/>
  <c r="AG50" i="6"/>
  <c r="AG42" i="5" s="1"/>
  <c r="AG51" i="6"/>
  <c r="AG43" i="5" s="1"/>
  <c r="AG52" i="6"/>
  <c r="AG44" i="5" s="1"/>
  <c r="AG53" i="6"/>
  <c r="AG56" i="6"/>
  <c r="AG57" i="6"/>
  <c r="AG58" i="6"/>
  <c r="AG59" i="6"/>
  <c r="AF30" i="7"/>
  <c r="AF23" i="7"/>
  <c r="AF20" i="7"/>
  <c r="AF12" i="7"/>
  <c r="AF7" i="7"/>
  <c r="AF4" i="7"/>
  <c r="AF3" i="7" s="1"/>
  <c r="AF19" i="7" s="1"/>
  <c r="AF29" i="7" s="1"/>
  <c r="AF33" i="7" s="1"/>
  <c r="AF35" i="7" s="1"/>
  <c r="AF37" i="7" s="1"/>
  <c r="AF41" i="4"/>
  <c r="AF31" i="4"/>
  <c r="AF30" i="4"/>
  <c r="AF38" i="4" s="1"/>
  <c r="AF20" i="4"/>
  <c r="AF13" i="4"/>
  <c r="AF8" i="4"/>
  <c r="AF4" i="4"/>
  <c r="AF26" i="4" s="1"/>
  <c r="AG5" i="6" s="1"/>
  <c r="AC6" i="5"/>
  <c r="AD6" i="5"/>
  <c r="AE6" i="5"/>
  <c r="AF6" i="5"/>
  <c r="AC7" i="5"/>
  <c r="AD7" i="5"/>
  <c r="AE7" i="5"/>
  <c r="AF7" i="5"/>
  <c r="AC8" i="5"/>
  <c r="AD8" i="5"/>
  <c r="AE8" i="5"/>
  <c r="AF8" i="5"/>
  <c r="AC9" i="5"/>
  <c r="AD9" i="5"/>
  <c r="AE9" i="5"/>
  <c r="AF9" i="5"/>
  <c r="AC10" i="5"/>
  <c r="AD10" i="5"/>
  <c r="AE10" i="5"/>
  <c r="AF10" i="5"/>
  <c r="AC14" i="5"/>
  <c r="AD14" i="5"/>
  <c r="AE14" i="5"/>
  <c r="AF14" i="5"/>
  <c r="AC15" i="5"/>
  <c r="AD15" i="5"/>
  <c r="AE15" i="5"/>
  <c r="AF15" i="5"/>
  <c r="AC16" i="5"/>
  <c r="AD16" i="5"/>
  <c r="AE16" i="5"/>
  <c r="AF16" i="5"/>
  <c r="AC19" i="5"/>
  <c r="AD19" i="5"/>
  <c r="AE19" i="5"/>
  <c r="AF19" i="5"/>
  <c r="AC20" i="5"/>
  <c r="AD20" i="5"/>
  <c r="AE20" i="5"/>
  <c r="AF20" i="5"/>
  <c r="AC21" i="5"/>
  <c r="AD21" i="5"/>
  <c r="AE21" i="5"/>
  <c r="AF21" i="5"/>
  <c r="AC24" i="5"/>
  <c r="AD24" i="5"/>
  <c r="AE24" i="5"/>
  <c r="AF24" i="5"/>
  <c r="AC25" i="5"/>
  <c r="AD25" i="5"/>
  <c r="AE25" i="5"/>
  <c r="AF25" i="5"/>
  <c r="AC26" i="5"/>
  <c r="AD26" i="5"/>
  <c r="AE26" i="5"/>
  <c r="AF26" i="5"/>
  <c r="AC27" i="5"/>
  <c r="AD27" i="5"/>
  <c r="AE27" i="5"/>
  <c r="AF27" i="5"/>
  <c r="AC30" i="5"/>
  <c r="AD30" i="5"/>
  <c r="AE30" i="5"/>
  <c r="AF30" i="5"/>
  <c r="AC31" i="5"/>
  <c r="AD31" i="5"/>
  <c r="AE31" i="5"/>
  <c r="AF31" i="5"/>
  <c r="AC32" i="5"/>
  <c r="AD32" i="5"/>
  <c r="AE32" i="5"/>
  <c r="AF32" i="5"/>
  <c r="AC33" i="5"/>
  <c r="AD33" i="5"/>
  <c r="AE33" i="5"/>
  <c r="AF33" i="5"/>
  <c r="AC34" i="5"/>
  <c r="AD34" i="5"/>
  <c r="AE34" i="5"/>
  <c r="AF34" i="5"/>
  <c r="AC35" i="5"/>
  <c r="AD35" i="5"/>
  <c r="AE35" i="5"/>
  <c r="AF35" i="5"/>
  <c r="AC36" i="5"/>
  <c r="AD36" i="5"/>
  <c r="AE36" i="5"/>
  <c r="AF36" i="5"/>
  <c r="AC37" i="5"/>
  <c r="AD37" i="5"/>
  <c r="AE37" i="5"/>
  <c r="AF37" i="5"/>
  <c r="AC40" i="5"/>
  <c r="AD40" i="5"/>
  <c r="AE40" i="5"/>
  <c r="AC41" i="5"/>
  <c r="AD41" i="5"/>
  <c r="AE41" i="5"/>
  <c r="AC42" i="5"/>
  <c r="AD42" i="5"/>
  <c r="AE42" i="5"/>
  <c r="AC43" i="5"/>
  <c r="AD43" i="5"/>
  <c r="AE43" i="5"/>
  <c r="AC44" i="5"/>
  <c r="AD44" i="5"/>
  <c r="AE44" i="5"/>
  <c r="AC47" i="5"/>
  <c r="AD47" i="5"/>
  <c r="AE47" i="5"/>
  <c r="AF47" i="5"/>
  <c r="AC48" i="5"/>
  <c r="AD48" i="5"/>
  <c r="AE48" i="5"/>
  <c r="AF48" i="5"/>
  <c r="AC52" i="5"/>
  <c r="AD52" i="5"/>
  <c r="AE52" i="5"/>
  <c r="AF52" i="5"/>
  <c r="AC54" i="5"/>
  <c r="AD54" i="5"/>
  <c r="AE54" i="5"/>
  <c r="AF54" i="5"/>
  <c r="AC55" i="5"/>
  <c r="AD55" i="5"/>
  <c r="AE55" i="5"/>
  <c r="AF55" i="5"/>
  <c r="AC56" i="5"/>
  <c r="AD56" i="5"/>
  <c r="AE56" i="5"/>
  <c r="AF56" i="5"/>
  <c r="AC57" i="5"/>
  <c r="AD57" i="5"/>
  <c r="AE57" i="5"/>
  <c r="AF57" i="5"/>
  <c r="AC59" i="5"/>
  <c r="AD59" i="5"/>
  <c r="AE59" i="5"/>
  <c r="AF59" i="5"/>
  <c r="AC5" i="6"/>
  <c r="AD5" i="6"/>
  <c r="AE5" i="6"/>
  <c r="AF5" i="6"/>
  <c r="AC6" i="6"/>
  <c r="AD6" i="6"/>
  <c r="AE6" i="6"/>
  <c r="AF6" i="6"/>
  <c r="AC7" i="6"/>
  <c r="AD7" i="6"/>
  <c r="AE7" i="6"/>
  <c r="AF7" i="6"/>
  <c r="AC8" i="6"/>
  <c r="AD8" i="6"/>
  <c r="AE8" i="6"/>
  <c r="AF8" i="6"/>
  <c r="AC9" i="6"/>
  <c r="AD9" i="6"/>
  <c r="AE9" i="6"/>
  <c r="AF9" i="6"/>
  <c r="AC10" i="6"/>
  <c r="AD10" i="6"/>
  <c r="AE10" i="6"/>
  <c r="AF10" i="6"/>
  <c r="AC18" i="6"/>
  <c r="AD18" i="6"/>
  <c r="AE18" i="6"/>
  <c r="AF18" i="6"/>
  <c r="AC19" i="6"/>
  <c r="AD19" i="6"/>
  <c r="AE19" i="6"/>
  <c r="AF19" i="6"/>
  <c r="AC20" i="6"/>
  <c r="AD20" i="6"/>
  <c r="AE20" i="6"/>
  <c r="AF20" i="6"/>
  <c r="AC21" i="6"/>
  <c r="AD21" i="6"/>
  <c r="AE21" i="6"/>
  <c r="AF21" i="6"/>
  <c r="AC23" i="6"/>
  <c r="AD23" i="6"/>
  <c r="AE23" i="6"/>
  <c r="AF23" i="6"/>
  <c r="AC27" i="6"/>
  <c r="AD27" i="6"/>
  <c r="AE27" i="6"/>
  <c r="AF27" i="6"/>
  <c r="AC29" i="6"/>
  <c r="AD29" i="6"/>
  <c r="AE29" i="6"/>
  <c r="AF29" i="6"/>
  <c r="AC32" i="6"/>
  <c r="AD32" i="6"/>
  <c r="AE32" i="6"/>
  <c r="AF32" i="6"/>
  <c r="AC33" i="6"/>
  <c r="AD33" i="6"/>
  <c r="AE33" i="6"/>
  <c r="AF33" i="6"/>
  <c r="AC36" i="6"/>
  <c r="AD36" i="6"/>
  <c r="AE36" i="6"/>
  <c r="AF36" i="6"/>
  <c r="AC38" i="6"/>
  <c r="AD38" i="6"/>
  <c r="AE38" i="6"/>
  <c r="AF38" i="6"/>
  <c r="AC39" i="6"/>
  <c r="AD39" i="6"/>
  <c r="AE39" i="6"/>
  <c r="AF39" i="6"/>
  <c r="AC42" i="6"/>
  <c r="AD42" i="6"/>
  <c r="AE42" i="6"/>
  <c r="AF42" i="6"/>
  <c r="AC43" i="6"/>
  <c r="AD43" i="6"/>
  <c r="AE43" i="6"/>
  <c r="AF43" i="6"/>
  <c r="AC44" i="6"/>
  <c r="AD44" i="6"/>
  <c r="AE44" i="6"/>
  <c r="AF44" i="6"/>
  <c r="AC45" i="6"/>
  <c r="AD45" i="6"/>
  <c r="AE45" i="6"/>
  <c r="AF45" i="6"/>
  <c r="AC48" i="6"/>
  <c r="AD48" i="6"/>
  <c r="AE48" i="6"/>
  <c r="AF48" i="6"/>
  <c r="AF40" i="5" s="1"/>
  <c r="AC49" i="6"/>
  <c r="AD49" i="6"/>
  <c r="AE49" i="6"/>
  <c r="AF49" i="6"/>
  <c r="AF41" i="5" s="1"/>
  <c r="AC50" i="6"/>
  <c r="AD50" i="6"/>
  <c r="AE50" i="6"/>
  <c r="AF50" i="6"/>
  <c r="AF42" i="5" s="1"/>
  <c r="AC51" i="6"/>
  <c r="AD51" i="6"/>
  <c r="AE51" i="6"/>
  <c r="AF51" i="6"/>
  <c r="AF43" i="5" s="1"/>
  <c r="AC52" i="6"/>
  <c r="AD52" i="6"/>
  <c r="AE52" i="6"/>
  <c r="AF52" i="6"/>
  <c r="AF44" i="5" s="1"/>
  <c r="AC53" i="6"/>
  <c r="AD53" i="6"/>
  <c r="AE53" i="6"/>
  <c r="AF53" i="6"/>
  <c r="AC56" i="6"/>
  <c r="AD56" i="6"/>
  <c r="AE56" i="6"/>
  <c r="AF56" i="6"/>
  <c r="AC57" i="6"/>
  <c r="AD57" i="6"/>
  <c r="AE57" i="6"/>
  <c r="AF57" i="6"/>
  <c r="AC58" i="6"/>
  <c r="AD58" i="6"/>
  <c r="AE58" i="6"/>
  <c r="AF58" i="6"/>
  <c r="AC59" i="6"/>
  <c r="AD59" i="6"/>
  <c r="AE59" i="6"/>
  <c r="AF59" i="6"/>
  <c r="AB37" i="7"/>
  <c r="AC37" i="7"/>
  <c r="AD37" i="7"/>
  <c r="AE37" i="7"/>
  <c r="AB20" i="4"/>
  <c r="AC20" i="4"/>
  <c r="AD20" i="4"/>
  <c r="AE20" i="4"/>
  <c r="AB13" i="4"/>
  <c r="AC13" i="4"/>
  <c r="AD13" i="4"/>
  <c r="AE13" i="4"/>
  <c r="AB8" i="4"/>
  <c r="AC8" i="4"/>
  <c r="AD8" i="4"/>
  <c r="AE8" i="4"/>
  <c r="AB30" i="7"/>
  <c r="AC30" i="7"/>
  <c r="AD30" i="7"/>
  <c r="AE30" i="7"/>
  <c r="AB23" i="7"/>
  <c r="AC23" i="7"/>
  <c r="AD23" i="7"/>
  <c r="AE23" i="7"/>
  <c r="AB20" i="7"/>
  <c r="AC20" i="7"/>
  <c r="AD20" i="7"/>
  <c r="AE20" i="7"/>
  <c r="AD12" i="7"/>
  <c r="AE12" i="7"/>
  <c r="AB7" i="7"/>
  <c r="AC7" i="7"/>
  <c r="AD7" i="7"/>
  <c r="AE7" i="7"/>
  <c r="AB4" i="7"/>
  <c r="AC4" i="7"/>
  <c r="AD4" i="7"/>
  <c r="AE4" i="7"/>
  <c r="AB3" i="7"/>
  <c r="AC3" i="7"/>
  <c r="AD3" i="7"/>
  <c r="AD19" i="7" s="1"/>
  <c r="AD29" i="7" s="1"/>
  <c r="AD33" i="7" s="1"/>
  <c r="AD35" i="7" s="1"/>
  <c r="AE3" i="7"/>
  <c r="AE19" i="7" s="1"/>
  <c r="AE29" i="7" s="1"/>
  <c r="AE33" i="7" s="1"/>
  <c r="AE35" i="7" s="1"/>
  <c r="AC41" i="4"/>
  <c r="AC50" i="4" s="1"/>
  <c r="AD41" i="4"/>
  <c r="AD50" i="4" s="1"/>
  <c r="AE41" i="4"/>
  <c r="AB31" i="4"/>
  <c r="AC31" i="4"/>
  <c r="AD31" i="4"/>
  <c r="AE31" i="4"/>
  <c r="AB30" i="4"/>
  <c r="AB38" i="4" s="1"/>
  <c r="AC30" i="4"/>
  <c r="AC38" i="4" s="1"/>
  <c r="AC51" i="4" s="1"/>
  <c r="AD30" i="4"/>
  <c r="AD38" i="4" s="1"/>
  <c r="AD51" i="4" s="1"/>
  <c r="AE30" i="4"/>
  <c r="AE38" i="4" s="1"/>
  <c r="AB4" i="4"/>
  <c r="AB26" i="4" s="1"/>
  <c r="AC4" i="4"/>
  <c r="AC26" i="4" s="1"/>
  <c r="AC52" i="4" s="1"/>
  <c r="AD4" i="4"/>
  <c r="AD26" i="4" s="1"/>
  <c r="AD52" i="4" s="1"/>
  <c r="AE4" i="4"/>
  <c r="AE26" i="4" s="1"/>
  <c r="AB18" i="6"/>
  <c r="AB20" i="6"/>
  <c r="AB21" i="6"/>
  <c r="AB23" i="6"/>
  <c r="P18" i="6"/>
  <c r="Q18" i="6"/>
  <c r="R18" i="6"/>
  <c r="S18" i="6"/>
  <c r="T18" i="6"/>
  <c r="U18" i="6"/>
  <c r="V18" i="6"/>
  <c r="W18" i="6"/>
  <c r="X18" i="6"/>
  <c r="Y18" i="6"/>
  <c r="Z18" i="6"/>
  <c r="AA18" i="6"/>
  <c r="P20" i="6"/>
  <c r="Q20" i="6"/>
  <c r="R20" i="6"/>
  <c r="S20" i="6"/>
  <c r="T20" i="6"/>
  <c r="U20" i="6"/>
  <c r="V20" i="6"/>
  <c r="W20" i="6"/>
  <c r="X20" i="6"/>
  <c r="Y20" i="6"/>
  <c r="Z20" i="6"/>
  <c r="AA20" i="6"/>
  <c r="P21" i="6"/>
  <c r="Q21" i="6"/>
  <c r="R21" i="6"/>
  <c r="S21" i="6"/>
  <c r="T21" i="6"/>
  <c r="U21" i="6"/>
  <c r="V21" i="6"/>
  <c r="W21" i="6"/>
  <c r="X21" i="6"/>
  <c r="Y21" i="6"/>
  <c r="Z21" i="6"/>
  <c r="AA21" i="6"/>
  <c r="P23" i="6"/>
  <c r="Q23" i="6"/>
  <c r="R23" i="6"/>
  <c r="S23" i="6"/>
  <c r="T23" i="6"/>
  <c r="U23" i="6"/>
  <c r="V23" i="6"/>
  <c r="W23" i="6"/>
  <c r="X23" i="6"/>
  <c r="Y23" i="6"/>
  <c r="Z23" i="6"/>
  <c r="AA23" i="6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H5" i="6"/>
  <c r="AI5" i="6"/>
  <c r="AJ5" i="6"/>
  <c r="AK5" i="6"/>
  <c r="AH6" i="6"/>
  <c r="AI6" i="6"/>
  <c r="AJ6" i="6"/>
  <c r="AK6" i="6"/>
  <c r="R7" i="6"/>
  <c r="S7" i="6"/>
  <c r="S32" i="5" s="1"/>
  <c r="T7" i="6"/>
  <c r="T32" i="5" s="1"/>
  <c r="U7" i="6"/>
  <c r="V7" i="6"/>
  <c r="V32" i="5" s="1"/>
  <c r="W7" i="6"/>
  <c r="W32" i="5" s="1"/>
  <c r="X7" i="6"/>
  <c r="X32" i="5" s="1"/>
  <c r="Y7" i="6"/>
  <c r="Z7" i="6"/>
  <c r="Z32" i="5" s="1"/>
  <c r="AA7" i="6"/>
  <c r="AA32" i="5" s="1"/>
  <c r="AB7" i="6"/>
  <c r="AB32" i="5" s="1"/>
  <c r="AH7" i="6"/>
  <c r="AI7" i="6"/>
  <c r="AJ7" i="6"/>
  <c r="AK7" i="6"/>
  <c r="R8" i="6"/>
  <c r="R33" i="5" s="1"/>
  <c r="S8" i="6"/>
  <c r="S33" i="5" s="1"/>
  <c r="T8" i="6"/>
  <c r="T33" i="5" s="1"/>
  <c r="U8" i="6"/>
  <c r="V8" i="6"/>
  <c r="W8" i="6"/>
  <c r="W33" i="5" s="1"/>
  <c r="X8" i="6"/>
  <c r="X33" i="5" s="1"/>
  <c r="Y8" i="6"/>
  <c r="Z8" i="6"/>
  <c r="Z33" i="5" s="1"/>
  <c r="AA8" i="6"/>
  <c r="AA33" i="5" s="1"/>
  <c r="AB8" i="6"/>
  <c r="AB33" i="5" s="1"/>
  <c r="AH8" i="6"/>
  <c r="AI8" i="6"/>
  <c r="AJ8" i="6"/>
  <c r="AK8" i="6"/>
  <c r="R10" i="6"/>
  <c r="R35" i="5" s="1"/>
  <c r="S10" i="6"/>
  <c r="S35" i="5" s="1"/>
  <c r="T10" i="6"/>
  <c r="T35" i="5" s="1"/>
  <c r="U10" i="6"/>
  <c r="U35" i="5" s="1"/>
  <c r="V10" i="6"/>
  <c r="V35" i="5" s="1"/>
  <c r="W10" i="6"/>
  <c r="W35" i="5" s="1"/>
  <c r="X10" i="6"/>
  <c r="X35" i="5" s="1"/>
  <c r="Y10" i="6"/>
  <c r="Y35" i="5" s="1"/>
  <c r="Z10" i="6"/>
  <c r="Z35" i="5" s="1"/>
  <c r="AA10" i="6"/>
  <c r="AA35" i="5" s="1"/>
  <c r="AB10" i="6"/>
  <c r="AB35" i="5" s="1"/>
  <c r="AH10" i="6"/>
  <c r="AI10" i="6"/>
  <c r="AJ10" i="6"/>
  <c r="AK10" i="6"/>
  <c r="R13" i="6"/>
  <c r="Z13" i="6"/>
  <c r="AA13" i="6"/>
  <c r="AB13" i="6"/>
  <c r="AH18" i="6"/>
  <c r="AI18" i="6"/>
  <c r="AJ18" i="6"/>
  <c r="AK18" i="6"/>
  <c r="AH19" i="6"/>
  <c r="AI19" i="6"/>
  <c r="AJ19" i="6"/>
  <c r="AK19" i="6"/>
  <c r="AH20" i="6"/>
  <c r="AI20" i="6"/>
  <c r="AJ20" i="6"/>
  <c r="AK20" i="6"/>
  <c r="AH21" i="6"/>
  <c r="AI21" i="6"/>
  <c r="AJ21" i="6"/>
  <c r="AK21" i="6"/>
  <c r="R27" i="6"/>
  <c r="S27" i="6"/>
  <c r="T27" i="6"/>
  <c r="U27" i="6"/>
  <c r="V27" i="6"/>
  <c r="W27" i="6"/>
  <c r="X27" i="6"/>
  <c r="Y27" i="6"/>
  <c r="Z27" i="6"/>
  <c r="AA27" i="6"/>
  <c r="AB27" i="6"/>
  <c r="AH27" i="6"/>
  <c r="AI27" i="6"/>
  <c r="AJ27" i="6"/>
  <c r="AK27" i="6"/>
  <c r="R29" i="6"/>
  <c r="S29" i="6"/>
  <c r="T29" i="6"/>
  <c r="T26" i="6" s="1"/>
  <c r="U29" i="6"/>
  <c r="U26" i="6" s="1"/>
  <c r="V29" i="6"/>
  <c r="W29" i="6"/>
  <c r="W26" i="6" s="1"/>
  <c r="X29" i="6"/>
  <c r="Y29" i="6"/>
  <c r="Z29" i="6"/>
  <c r="AA29" i="6"/>
  <c r="AB29" i="6"/>
  <c r="AB26" i="6" s="1"/>
  <c r="AH29" i="6"/>
  <c r="AI29" i="6"/>
  <c r="AJ29" i="6"/>
  <c r="AJ26" i="6" s="1"/>
  <c r="AK29" i="6"/>
  <c r="AK26" i="6" s="1"/>
  <c r="R32" i="6"/>
  <c r="R16" i="5" s="1"/>
  <c r="S32" i="6"/>
  <c r="T32" i="6"/>
  <c r="T16" i="5" s="1"/>
  <c r="U32" i="6"/>
  <c r="U16" i="5" s="1"/>
  <c r="V32" i="6"/>
  <c r="V16" i="5" s="1"/>
  <c r="W32" i="6"/>
  <c r="X32" i="6"/>
  <c r="Y32" i="6"/>
  <c r="Y16" i="5" s="1"/>
  <c r="Z32" i="6"/>
  <c r="Z16" i="5" s="1"/>
  <c r="AA32" i="6"/>
  <c r="AB32" i="6"/>
  <c r="AB16" i="5" s="1"/>
  <c r="AH32" i="6"/>
  <c r="AI32" i="6"/>
  <c r="AJ32" i="6"/>
  <c r="AK32" i="6"/>
  <c r="R33" i="6"/>
  <c r="S33" i="6"/>
  <c r="T33" i="6"/>
  <c r="U33" i="6"/>
  <c r="V33" i="6"/>
  <c r="W33" i="6"/>
  <c r="X33" i="6"/>
  <c r="Y33" i="6"/>
  <c r="Y31" i="6" s="1"/>
  <c r="Z33" i="6"/>
  <c r="AA33" i="6"/>
  <c r="AB33" i="6"/>
  <c r="AH33" i="6"/>
  <c r="AI33" i="6"/>
  <c r="AJ33" i="6"/>
  <c r="AK33" i="6"/>
  <c r="AH36" i="6"/>
  <c r="AI36" i="6"/>
  <c r="AJ36" i="6"/>
  <c r="AK36" i="6"/>
  <c r="R38" i="6"/>
  <c r="S38" i="6"/>
  <c r="T38" i="6"/>
  <c r="U38" i="6"/>
  <c r="V38" i="6"/>
  <c r="W38" i="6"/>
  <c r="X38" i="6"/>
  <c r="Y38" i="6"/>
  <c r="Z38" i="6"/>
  <c r="AA38" i="6"/>
  <c r="AB38" i="6"/>
  <c r="AH38" i="6"/>
  <c r="AI38" i="6"/>
  <c r="AJ38" i="6"/>
  <c r="AK38" i="6"/>
  <c r="R39" i="6"/>
  <c r="S39" i="6"/>
  <c r="T39" i="6"/>
  <c r="U39" i="6"/>
  <c r="V39" i="6"/>
  <c r="W39" i="6"/>
  <c r="X39" i="6"/>
  <c r="Y39" i="6"/>
  <c r="Z39" i="6"/>
  <c r="AA39" i="6"/>
  <c r="AB39" i="6"/>
  <c r="AH39" i="6"/>
  <c r="AI39" i="6"/>
  <c r="AJ39" i="6"/>
  <c r="AK39" i="6"/>
  <c r="R42" i="6"/>
  <c r="R45" i="6" s="1"/>
  <c r="S42" i="6"/>
  <c r="T42" i="6"/>
  <c r="U42" i="6"/>
  <c r="V42" i="6"/>
  <c r="W42" i="6"/>
  <c r="X42" i="6"/>
  <c r="X45" i="6" s="1"/>
  <c r="Y42" i="6"/>
  <c r="Z42" i="6"/>
  <c r="Z45" i="6" s="1"/>
  <c r="AA42" i="6"/>
  <c r="AB42" i="6"/>
  <c r="AH42" i="6"/>
  <c r="AH45" i="6" s="1"/>
  <c r="AI42" i="6"/>
  <c r="AI45" i="6" s="1"/>
  <c r="AJ42" i="6"/>
  <c r="AK42" i="6"/>
  <c r="AB43" i="6"/>
  <c r="AH43" i="6"/>
  <c r="AI43" i="6"/>
  <c r="AJ43" i="6"/>
  <c r="AK43" i="6"/>
  <c r="R44" i="6"/>
  <c r="S44" i="6"/>
  <c r="T44" i="6"/>
  <c r="U44" i="6"/>
  <c r="V44" i="6"/>
  <c r="W44" i="6"/>
  <c r="X44" i="6"/>
  <c r="Y44" i="6"/>
  <c r="Z44" i="6"/>
  <c r="AA44" i="6"/>
  <c r="AB44" i="6"/>
  <c r="AH44" i="6"/>
  <c r="AI44" i="6"/>
  <c r="AJ44" i="6"/>
  <c r="AK44" i="6"/>
  <c r="S45" i="6"/>
  <c r="Y45" i="6"/>
  <c r="R48" i="6"/>
  <c r="S48" i="6"/>
  <c r="T48" i="6"/>
  <c r="U48" i="6"/>
  <c r="V48" i="6"/>
  <c r="W48" i="6"/>
  <c r="X48" i="6"/>
  <c r="Y48" i="6"/>
  <c r="Z48" i="6"/>
  <c r="AA48" i="6"/>
  <c r="AB48" i="6"/>
  <c r="AH48" i="6"/>
  <c r="AH40" i="5" s="1"/>
  <c r="AI48" i="6"/>
  <c r="AI40" i="5" s="1"/>
  <c r="AJ48" i="6"/>
  <c r="AK48" i="6"/>
  <c r="R49" i="6"/>
  <c r="R41" i="5" s="1"/>
  <c r="S49" i="6"/>
  <c r="S41" i="5" s="1"/>
  <c r="T49" i="6"/>
  <c r="U49" i="6"/>
  <c r="U41" i="5" s="1"/>
  <c r="V49" i="6"/>
  <c r="W49" i="6"/>
  <c r="X49" i="6"/>
  <c r="X41" i="5" s="1"/>
  <c r="Y49" i="6"/>
  <c r="Y41" i="5" s="1"/>
  <c r="Z49" i="6"/>
  <c r="Z41" i="5" s="1"/>
  <c r="AA49" i="6"/>
  <c r="AA41" i="5" s="1"/>
  <c r="AB49" i="6"/>
  <c r="AH49" i="6"/>
  <c r="AH41" i="5" s="1"/>
  <c r="AI49" i="6"/>
  <c r="AI41" i="5" s="1"/>
  <c r="AJ49" i="6"/>
  <c r="AK49" i="6"/>
  <c r="R50" i="6"/>
  <c r="R42" i="5" s="1"/>
  <c r="S50" i="6"/>
  <c r="S42" i="5" s="1"/>
  <c r="T50" i="6"/>
  <c r="T42" i="5" s="1"/>
  <c r="U50" i="6"/>
  <c r="U42" i="5" s="1"/>
  <c r="V50" i="6"/>
  <c r="V42" i="5" s="1"/>
  <c r="W50" i="6"/>
  <c r="W42" i="5" s="1"/>
  <c r="X50" i="6"/>
  <c r="X42" i="5" s="1"/>
  <c r="Y50" i="6"/>
  <c r="Y42" i="5" s="1"/>
  <c r="Z50" i="6"/>
  <c r="Z42" i="5" s="1"/>
  <c r="AA50" i="6"/>
  <c r="AA42" i="5" s="1"/>
  <c r="AB50" i="6"/>
  <c r="AB42" i="5" s="1"/>
  <c r="AH50" i="6"/>
  <c r="AH42" i="5" s="1"/>
  <c r="AI50" i="6"/>
  <c r="AI42" i="5" s="1"/>
  <c r="AJ50" i="6"/>
  <c r="AK50" i="6"/>
  <c r="R51" i="6"/>
  <c r="S51" i="6"/>
  <c r="T51" i="6"/>
  <c r="U51" i="6"/>
  <c r="V51" i="6"/>
  <c r="W51" i="6"/>
  <c r="X51" i="6"/>
  <c r="Y51" i="6"/>
  <c r="Z51" i="6"/>
  <c r="AA51" i="6"/>
  <c r="AB51" i="6"/>
  <c r="AH51" i="6"/>
  <c r="AH43" i="5" s="1"/>
  <c r="AI51" i="6"/>
  <c r="AI43" i="5" s="1"/>
  <c r="AJ51" i="6"/>
  <c r="AK51" i="6"/>
  <c r="R52" i="6"/>
  <c r="R44" i="5" s="1"/>
  <c r="S52" i="6"/>
  <c r="S44" i="5" s="1"/>
  <c r="T52" i="6"/>
  <c r="U52" i="6"/>
  <c r="U44" i="5" s="1"/>
  <c r="V52" i="6"/>
  <c r="V44" i="5" s="1"/>
  <c r="W52" i="6"/>
  <c r="W44" i="5" s="1"/>
  <c r="X52" i="6"/>
  <c r="X44" i="5" s="1"/>
  <c r="Y52" i="6"/>
  <c r="Y44" i="5" s="1"/>
  <c r="Z52" i="6"/>
  <c r="Z44" i="5" s="1"/>
  <c r="AA52" i="6"/>
  <c r="AA44" i="5" s="1"/>
  <c r="AB52" i="6"/>
  <c r="AH52" i="6"/>
  <c r="AH44" i="5" s="1"/>
  <c r="AI52" i="6"/>
  <c r="AI44" i="5" s="1"/>
  <c r="AJ52" i="6"/>
  <c r="AK52" i="6"/>
  <c r="R53" i="6"/>
  <c r="S53" i="6"/>
  <c r="T53" i="6"/>
  <c r="U53" i="6"/>
  <c r="V53" i="6"/>
  <c r="W53" i="6"/>
  <c r="X53" i="6"/>
  <c r="Y53" i="6"/>
  <c r="Z53" i="6"/>
  <c r="AA53" i="6"/>
  <c r="AB53" i="6"/>
  <c r="AH53" i="6"/>
  <c r="AI53" i="6"/>
  <c r="AJ53" i="6"/>
  <c r="AK53" i="6"/>
  <c r="AB56" i="6"/>
  <c r="AH56" i="6"/>
  <c r="AI56" i="6"/>
  <c r="AK56" i="6"/>
  <c r="AH57" i="6"/>
  <c r="AI57" i="6"/>
  <c r="AJ57" i="6"/>
  <c r="AK57" i="6"/>
  <c r="R58" i="6"/>
  <c r="S58" i="6"/>
  <c r="T58" i="6"/>
  <c r="U58" i="6"/>
  <c r="V58" i="6"/>
  <c r="W58" i="6"/>
  <c r="X58" i="6"/>
  <c r="Y58" i="6"/>
  <c r="Z58" i="6"/>
  <c r="AA58" i="6"/>
  <c r="AB58" i="6"/>
  <c r="AH58" i="6"/>
  <c r="AI58" i="6"/>
  <c r="AJ58" i="6"/>
  <c r="AK58" i="6"/>
  <c r="R59" i="6"/>
  <c r="S59" i="6"/>
  <c r="T59" i="6"/>
  <c r="U59" i="6"/>
  <c r="V59" i="6"/>
  <c r="W59" i="6"/>
  <c r="X59" i="6"/>
  <c r="Y59" i="6"/>
  <c r="Z59" i="6"/>
  <c r="AA59" i="6"/>
  <c r="AB59" i="6"/>
  <c r="AH59" i="6"/>
  <c r="AI59" i="6"/>
  <c r="AJ59" i="6"/>
  <c r="AK59" i="6"/>
  <c r="O8" i="4"/>
  <c r="P8" i="4"/>
  <c r="Q8" i="4"/>
  <c r="R8" i="4"/>
  <c r="S8" i="4"/>
  <c r="T8" i="4"/>
  <c r="U8" i="4"/>
  <c r="V8" i="4"/>
  <c r="W8" i="4"/>
  <c r="X8" i="4"/>
  <c r="Y8" i="4"/>
  <c r="Z8" i="4"/>
  <c r="AA8" i="4"/>
  <c r="O4" i="7"/>
  <c r="P4" i="7"/>
  <c r="Q4" i="7"/>
  <c r="R4" i="7"/>
  <c r="S4" i="7"/>
  <c r="T4" i="7"/>
  <c r="U4" i="7"/>
  <c r="V4" i="7"/>
  <c r="W4" i="7"/>
  <c r="X4" i="7"/>
  <c r="Y4" i="7"/>
  <c r="Z4" i="7"/>
  <c r="AA4" i="7"/>
  <c r="O7" i="7"/>
  <c r="O43" i="6" s="1"/>
  <c r="P7" i="7"/>
  <c r="Q7" i="7"/>
  <c r="R7" i="7"/>
  <c r="R43" i="6" s="1"/>
  <c r="R41" i="6" s="1"/>
  <c r="S7" i="7"/>
  <c r="S43" i="6" s="1"/>
  <c r="T7" i="7"/>
  <c r="T43" i="6" s="1"/>
  <c r="U7" i="7"/>
  <c r="U43" i="6" s="1"/>
  <c r="V7" i="7"/>
  <c r="V43" i="6" s="1"/>
  <c r="W7" i="7"/>
  <c r="W43" i="6" s="1"/>
  <c r="X7" i="7"/>
  <c r="X43" i="6" s="1"/>
  <c r="X41" i="6" s="1"/>
  <c r="Y7" i="7"/>
  <c r="Y43" i="6" s="1"/>
  <c r="Y41" i="6" s="1"/>
  <c r="Z7" i="7"/>
  <c r="Z43" i="6" s="1"/>
  <c r="Z41" i="6" s="1"/>
  <c r="AA7" i="7"/>
  <c r="AA43" i="6" s="1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O23" i="7"/>
  <c r="P56" i="5" s="1"/>
  <c r="P23" i="7"/>
  <c r="Q23" i="7"/>
  <c r="R23" i="7"/>
  <c r="S23" i="7"/>
  <c r="T56" i="5" s="1"/>
  <c r="T23" i="7"/>
  <c r="U23" i="7"/>
  <c r="V56" i="5" s="1"/>
  <c r="V23" i="7"/>
  <c r="W56" i="5" s="1"/>
  <c r="W23" i="7"/>
  <c r="X56" i="5" s="1"/>
  <c r="X23" i="7"/>
  <c r="Y23" i="7"/>
  <c r="Z23" i="7"/>
  <c r="AA23" i="7"/>
  <c r="AB56" i="5" s="1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A44" i="4"/>
  <c r="AB44" i="4"/>
  <c r="AE44" i="4"/>
  <c r="AF44" i="4"/>
  <c r="AA41" i="4"/>
  <c r="AB19" i="6" s="1"/>
  <c r="AB41" i="4"/>
  <c r="AA30" i="4"/>
  <c r="AB6" i="6" s="1"/>
  <c r="AA31" i="4"/>
  <c r="AA38" i="4" s="1"/>
  <c r="AB9" i="6" s="1"/>
  <c r="AB34" i="5" s="1"/>
  <c r="AA20" i="4"/>
  <c r="AA13" i="4"/>
  <c r="AA4" i="4"/>
  <c r="O4" i="4"/>
  <c r="P4" i="4"/>
  <c r="Q4" i="4"/>
  <c r="R4" i="4"/>
  <c r="S57" i="6" s="1"/>
  <c r="S4" i="4"/>
  <c r="T36" i="6" s="1"/>
  <c r="T4" i="4"/>
  <c r="U4" i="4"/>
  <c r="V4" i="4"/>
  <c r="W4" i="4"/>
  <c r="X4" i="4"/>
  <c r="Y4" i="4"/>
  <c r="Z4" i="4"/>
  <c r="O13" i="4"/>
  <c r="P13" i="4"/>
  <c r="Q13" i="4"/>
  <c r="R13" i="4"/>
  <c r="S13" i="4"/>
  <c r="T13" i="4"/>
  <c r="U13" i="4"/>
  <c r="V13" i="4"/>
  <c r="W13" i="4"/>
  <c r="X13" i="4"/>
  <c r="Y13" i="4"/>
  <c r="Z13" i="4"/>
  <c r="O20" i="4"/>
  <c r="P20" i="4"/>
  <c r="Q20" i="4"/>
  <c r="R20" i="4"/>
  <c r="S20" i="4"/>
  <c r="T20" i="4"/>
  <c r="U20" i="4"/>
  <c r="V20" i="4"/>
  <c r="W20" i="4"/>
  <c r="X20" i="4"/>
  <c r="Y20" i="4"/>
  <c r="Z20" i="4"/>
  <c r="Q26" i="4"/>
  <c r="R5" i="6" s="1"/>
  <c r="O30" i="4"/>
  <c r="P6" i="6" s="1"/>
  <c r="P30" i="4"/>
  <c r="Q30" i="4"/>
  <c r="R6" i="6" s="1"/>
  <c r="R31" i="5" s="1"/>
  <c r="R30" i="4"/>
  <c r="S6" i="6" s="1"/>
  <c r="S30" i="4"/>
  <c r="T6" i="6" s="1"/>
  <c r="T30" i="4"/>
  <c r="U30" i="4"/>
  <c r="V6" i="6" s="1"/>
  <c r="V30" i="4"/>
  <c r="W30" i="4"/>
  <c r="X6" i="6" s="1"/>
  <c r="X30" i="4"/>
  <c r="Y6" i="6" s="1"/>
  <c r="Y30" i="4"/>
  <c r="Z6" i="6" s="1"/>
  <c r="Z31" i="5" s="1"/>
  <c r="Z30" i="4"/>
  <c r="AA6" i="6" s="1"/>
  <c r="O31" i="4"/>
  <c r="P31" i="4"/>
  <c r="P38" i="4" s="1"/>
  <c r="Q9" i="6" s="1"/>
  <c r="Q31" i="4"/>
  <c r="R31" i="4"/>
  <c r="S31" i="4"/>
  <c r="S38" i="4" s="1"/>
  <c r="T9" i="6" s="1"/>
  <c r="T31" i="4"/>
  <c r="U31" i="4"/>
  <c r="V31" i="4"/>
  <c r="W31" i="4"/>
  <c r="X31" i="4"/>
  <c r="X38" i="4" s="1"/>
  <c r="Y9" i="6" s="1"/>
  <c r="Y31" i="4"/>
  <c r="Z31" i="4"/>
  <c r="O38" i="4"/>
  <c r="P9" i="6" s="1"/>
  <c r="U38" i="4"/>
  <c r="V9" i="6" s="1"/>
  <c r="V34" i="5" s="1"/>
  <c r="O41" i="4"/>
  <c r="P41" i="4"/>
  <c r="Q41" i="4"/>
  <c r="R19" i="6" s="1"/>
  <c r="R41" i="4"/>
  <c r="S19" i="6" s="1"/>
  <c r="S41" i="4"/>
  <c r="T19" i="6" s="1"/>
  <c r="T17" i="6" s="1"/>
  <c r="T14" i="6" s="1"/>
  <c r="T15" i="6" s="1"/>
  <c r="T41" i="4"/>
  <c r="U19" i="6" s="1"/>
  <c r="U41" i="4"/>
  <c r="V19" i="6" s="1"/>
  <c r="V17" i="6" s="1"/>
  <c r="V14" i="6" s="1"/>
  <c r="V15" i="6" s="1"/>
  <c r="V41" i="4"/>
  <c r="W19" i="6" s="1"/>
  <c r="W17" i="6" s="1"/>
  <c r="W14" i="6" s="1"/>
  <c r="W15" i="6" s="1"/>
  <c r="W41" i="4"/>
  <c r="X19" i="6" s="1"/>
  <c r="X41" i="4"/>
  <c r="Y41" i="4"/>
  <c r="Z19" i="6" s="1"/>
  <c r="Z41" i="4"/>
  <c r="AA19" i="6" s="1"/>
  <c r="O44" i="4"/>
  <c r="P44" i="4"/>
  <c r="Q44" i="4"/>
  <c r="R44" i="4"/>
  <c r="S44" i="4"/>
  <c r="T44" i="4"/>
  <c r="U44" i="4"/>
  <c r="V44" i="4"/>
  <c r="W44" i="4"/>
  <c r="W50" i="4" s="1"/>
  <c r="X44" i="4"/>
  <c r="Y44" i="4"/>
  <c r="Y50" i="4" s="1"/>
  <c r="Z44" i="4"/>
  <c r="T50" i="4"/>
  <c r="Q50" i="4"/>
  <c r="O52" i="4"/>
  <c r="P52" i="4"/>
  <c r="N47" i="7"/>
  <c r="N48" i="7" s="1"/>
  <c r="N20" i="7"/>
  <c r="N23" i="7"/>
  <c r="I23" i="7"/>
  <c r="J56" i="5" s="1"/>
  <c r="J23" i="7"/>
  <c r="K23" i="7"/>
  <c r="L23" i="7"/>
  <c r="M56" i="5" s="1"/>
  <c r="M23" i="7"/>
  <c r="K7" i="7"/>
  <c r="L7" i="7"/>
  <c r="M7" i="7"/>
  <c r="N43" i="6" s="1"/>
  <c r="N7" i="7"/>
  <c r="J12" i="7"/>
  <c r="K12" i="7"/>
  <c r="L12" i="7"/>
  <c r="M12" i="7"/>
  <c r="N12" i="7"/>
  <c r="O15" i="6"/>
  <c r="D36" i="5"/>
  <c r="E36" i="5"/>
  <c r="F36" i="5"/>
  <c r="G36" i="5"/>
  <c r="H36" i="5"/>
  <c r="I36" i="5"/>
  <c r="J36" i="5"/>
  <c r="K36" i="5"/>
  <c r="L36" i="5"/>
  <c r="M36" i="5"/>
  <c r="N36" i="5"/>
  <c r="O36" i="5"/>
  <c r="D37" i="5"/>
  <c r="E37" i="5"/>
  <c r="F37" i="5"/>
  <c r="G37" i="5"/>
  <c r="H37" i="5"/>
  <c r="I37" i="5"/>
  <c r="J37" i="5"/>
  <c r="K37" i="5"/>
  <c r="L37" i="5"/>
  <c r="M37" i="5"/>
  <c r="N37" i="5"/>
  <c r="O37" i="5"/>
  <c r="D52" i="5"/>
  <c r="E52" i="5"/>
  <c r="F52" i="5"/>
  <c r="G52" i="5"/>
  <c r="H52" i="5"/>
  <c r="I52" i="5"/>
  <c r="J52" i="5"/>
  <c r="K52" i="5"/>
  <c r="L52" i="5"/>
  <c r="M52" i="5"/>
  <c r="N52" i="5"/>
  <c r="O52" i="5"/>
  <c r="N4" i="7"/>
  <c r="N3" i="7" s="1"/>
  <c r="N19" i="7" s="1"/>
  <c r="N29" i="7" s="1"/>
  <c r="K56" i="5"/>
  <c r="L56" i="5"/>
  <c r="N56" i="5"/>
  <c r="O56" i="5"/>
  <c r="C20" i="4"/>
  <c r="D20" i="4"/>
  <c r="E20" i="4"/>
  <c r="F20" i="4"/>
  <c r="G20" i="4"/>
  <c r="H20" i="4"/>
  <c r="I20" i="4"/>
  <c r="J20" i="4"/>
  <c r="K20" i="4"/>
  <c r="L20" i="4"/>
  <c r="M20" i="4"/>
  <c r="N20" i="4"/>
  <c r="C13" i="4"/>
  <c r="D13" i="4"/>
  <c r="E13" i="4"/>
  <c r="F13" i="4"/>
  <c r="G13" i="4"/>
  <c r="H13" i="4"/>
  <c r="I13" i="4"/>
  <c r="J13" i="4"/>
  <c r="K13" i="4"/>
  <c r="L13" i="4"/>
  <c r="M13" i="4"/>
  <c r="N13" i="4"/>
  <c r="C8" i="4"/>
  <c r="D8" i="4"/>
  <c r="E8" i="4"/>
  <c r="F8" i="4"/>
  <c r="G8" i="4"/>
  <c r="H8" i="4"/>
  <c r="I8" i="4"/>
  <c r="J8" i="4"/>
  <c r="K8" i="4"/>
  <c r="L8" i="4"/>
  <c r="M8" i="4"/>
  <c r="N8" i="4"/>
  <c r="N43" i="4"/>
  <c r="O59" i="6" s="1"/>
  <c r="N36" i="4"/>
  <c r="O58" i="6" s="1"/>
  <c r="N6" i="4"/>
  <c r="N4" i="4" s="1"/>
  <c r="C23" i="7"/>
  <c r="D23" i="7"/>
  <c r="E23" i="7"/>
  <c r="F23" i="7"/>
  <c r="G23" i="7"/>
  <c r="H23" i="7"/>
  <c r="C4" i="7"/>
  <c r="C7" i="7"/>
  <c r="C3" i="7"/>
  <c r="C12" i="7"/>
  <c r="D4" i="7"/>
  <c r="D7" i="7"/>
  <c r="D3" i="7"/>
  <c r="D12" i="7"/>
  <c r="E4" i="7"/>
  <c r="E7" i="7"/>
  <c r="F43" i="6" s="1"/>
  <c r="E12" i="7"/>
  <c r="F4" i="7"/>
  <c r="F7" i="7"/>
  <c r="G43" i="6" s="1"/>
  <c r="F12" i="7"/>
  <c r="G4" i="7"/>
  <c r="G7" i="7"/>
  <c r="G3" i="7" s="1"/>
  <c r="G12" i="7"/>
  <c r="G19" i="7"/>
  <c r="H4" i="7"/>
  <c r="H7" i="7"/>
  <c r="I43" i="6" s="1"/>
  <c r="H12" i="7"/>
  <c r="I4" i="7"/>
  <c r="I7" i="7"/>
  <c r="J43" i="6" s="1"/>
  <c r="I3" i="7"/>
  <c r="I12" i="7"/>
  <c r="I19" i="7"/>
  <c r="J4" i="7"/>
  <c r="J7" i="7"/>
  <c r="K4" i="7"/>
  <c r="K3" i="7" s="1"/>
  <c r="L4" i="7"/>
  <c r="L3" i="7" s="1"/>
  <c r="L19" i="7" s="1"/>
  <c r="M4" i="7"/>
  <c r="M3" i="7" s="1"/>
  <c r="M19" i="7" s="1"/>
  <c r="F20" i="7"/>
  <c r="G20" i="7"/>
  <c r="H20" i="7"/>
  <c r="I20" i="7"/>
  <c r="J20" i="7"/>
  <c r="K20" i="7"/>
  <c r="L20" i="7"/>
  <c r="M20" i="7"/>
  <c r="D4" i="4"/>
  <c r="E57" i="6" s="1"/>
  <c r="D16" i="4"/>
  <c r="E38" i="6" s="1"/>
  <c r="E4" i="4"/>
  <c r="F57" i="6" s="1"/>
  <c r="E16" i="4"/>
  <c r="F38" i="6" s="1"/>
  <c r="F4" i="4"/>
  <c r="G57" i="6" s="1"/>
  <c r="F16" i="4"/>
  <c r="G4" i="4"/>
  <c r="H36" i="6" s="1"/>
  <c r="G16" i="4"/>
  <c r="H4" i="4"/>
  <c r="I36" i="6" s="1"/>
  <c r="H16" i="4"/>
  <c r="I4" i="4"/>
  <c r="J36" i="6" s="1"/>
  <c r="I16" i="4"/>
  <c r="J38" i="6" s="1"/>
  <c r="J4" i="4"/>
  <c r="J16" i="4"/>
  <c r="K4" i="4"/>
  <c r="L57" i="6" s="1"/>
  <c r="L4" i="4"/>
  <c r="M57" i="6" s="1"/>
  <c r="L16" i="4"/>
  <c r="M38" i="6" s="1"/>
  <c r="M4" i="4"/>
  <c r="M16" i="4"/>
  <c r="N38" i="6" s="1"/>
  <c r="D30" i="4"/>
  <c r="E6" i="6"/>
  <c r="E30" i="4"/>
  <c r="F6" i="6" s="1"/>
  <c r="F30" i="4"/>
  <c r="G6" i="6"/>
  <c r="G30" i="4"/>
  <c r="H6" i="6" s="1"/>
  <c r="H30" i="4"/>
  <c r="I6" i="6"/>
  <c r="I30" i="4"/>
  <c r="J6" i="6" s="1"/>
  <c r="J30" i="4"/>
  <c r="K6" i="6" s="1"/>
  <c r="K30" i="4"/>
  <c r="L6" i="6" s="1"/>
  <c r="L30" i="4"/>
  <c r="M6" i="6" s="1"/>
  <c r="M30" i="4"/>
  <c r="N30" i="4"/>
  <c r="O6" i="6"/>
  <c r="Q6" i="6"/>
  <c r="E7" i="6"/>
  <c r="F7" i="6"/>
  <c r="G7" i="6"/>
  <c r="H7" i="6"/>
  <c r="I7" i="6"/>
  <c r="J7" i="6"/>
  <c r="K7" i="6"/>
  <c r="L7" i="6"/>
  <c r="M7" i="6"/>
  <c r="N7" i="6"/>
  <c r="O7" i="6"/>
  <c r="P7" i="6"/>
  <c r="P32" i="5" s="1"/>
  <c r="Q7" i="6"/>
  <c r="E8" i="6"/>
  <c r="F8" i="6"/>
  <c r="G8" i="6"/>
  <c r="H8" i="6"/>
  <c r="I8" i="6"/>
  <c r="J8" i="6"/>
  <c r="K8" i="6"/>
  <c r="L8" i="6"/>
  <c r="M8" i="6"/>
  <c r="N8" i="6"/>
  <c r="O8" i="6"/>
  <c r="P8" i="6"/>
  <c r="Q8" i="6"/>
  <c r="E9" i="6"/>
  <c r="F9" i="6"/>
  <c r="G9" i="6"/>
  <c r="H9" i="6"/>
  <c r="I9" i="6"/>
  <c r="J9" i="6"/>
  <c r="K9" i="6"/>
  <c r="L9" i="6"/>
  <c r="M9" i="6"/>
  <c r="N9" i="6"/>
  <c r="O9" i="6"/>
  <c r="E10" i="6"/>
  <c r="E35" i="5" s="1"/>
  <c r="F10" i="6"/>
  <c r="F35" i="5" s="1"/>
  <c r="G10" i="6"/>
  <c r="G35" i="5" s="1"/>
  <c r="H10" i="6"/>
  <c r="H35" i="5" s="1"/>
  <c r="I10" i="6"/>
  <c r="I35" i="5" s="1"/>
  <c r="J10" i="6"/>
  <c r="J35" i="5" s="1"/>
  <c r="K10" i="6"/>
  <c r="K35" i="5" s="1"/>
  <c r="L10" i="6"/>
  <c r="L35" i="5" s="1"/>
  <c r="M10" i="6"/>
  <c r="M35" i="5" s="1"/>
  <c r="N10" i="6"/>
  <c r="N35" i="5" s="1"/>
  <c r="P10" i="6"/>
  <c r="P35" i="5" s="1"/>
  <c r="Q10" i="6"/>
  <c r="Q35" i="5" s="1"/>
  <c r="E18" i="6"/>
  <c r="E20" i="6"/>
  <c r="E21" i="6"/>
  <c r="F18" i="6"/>
  <c r="F20" i="6"/>
  <c r="F21" i="6"/>
  <c r="G18" i="6"/>
  <c r="G20" i="6"/>
  <c r="G21" i="6"/>
  <c r="H18" i="6"/>
  <c r="H20" i="6"/>
  <c r="H21" i="6"/>
  <c r="I18" i="6"/>
  <c r="I20" i="6"/>
  <c r="I21" i="6"/>
  <c r="J18" i="6"/>
  <c r="J20" i="6"/>
  <c r="J21" i="6"/>
  <c r="K18" i="6"/>
  <c r="K20" i="6"/>
  <c r="K21" i="6"/>
  <c r="L18" i="6"/>
  <c r="L20" i="6"/>
  <c r="L21" i="6"/>
  <c r="M18" i="6"/>
  <c r="M20" i="6"/>
  <c r="M21" i="6"/>
  <c r="N18" i="6"/>
  <c r="N20" i="6"/>
  <c r="N21" i="6"/>
  <c r="O18" i="6"/>
  <c r="O20" i="6"/>
  <c r="O21" i="6"/>
  <c r="D41" i="4"/>
  <c r="E19" i="6" s="1"/>
  <c r="E41" i="4"/>
  <c r="F19" i="6" s="1"/>
  <c r="F41" i="4"/>
  <c r="G19" i="6" s="1"/>
  <c r="G41" i="4"/>
  <c r="H41" i="4"/>
  <c r="I19" i="6" s="1"/>
  <c r="I41" i="4"/>
  <c r="J19" i="6" s="1"/>
  <c r="J41" i="4"/>
  <c r="K19" i="6" s="1"/>
  <c r="K41" i="4"/>
  <c r="L19" i="6" s="1"/>
  <c r="L41" i="4"/>
  <c r="M19" i="6" s="1"/>
  <c r="M41" i="4"/>
  <c r="N19" i="6" s="1"/>
  <c r="E23" i="6"/>
  <c r="F23" i="6"/>
  <c r="G23" i="6"/>
  <c r="H23" i="6"/>
  <c r="I23" i="6"/>
  <c r="J23" i="6"/>
  <c r="K23" i="6"/>
  <c r="L23" i="6"/>
  <c r="M23" i="6"/>
  <c r="N23" i="6"/>
  <c r="O23" i="6"/>
  <c r="E27" i="6"/>
  <c r="E29" i="6"/>
  <c r="F27" i="6"/>
  <c r="F29" i="6"/>
  <c r="G27" i="6"/>
  <c r="G29" i="6"/>
  <c r="H27" i="6"/>
  <c r="H29" i="6"/>
  <c r="I27" i="6"/>
  <c r="I29" i="6"/>
  <c r="J27" i="6"/>
  <c r="J29" i="6"/>
  <c r="K27" i="6"/>
  <c r="K29" i="6"/>
  <c r="L27" i="6"/>
  <c r="L29" i="6"/>
  <c r="M27" i="6"/>
  <c r="M29" i="6"/>
  <c r="N27" i="6"/>
  <c r="N29" i="6"/>
  <c r="O27" i="6"/>
  <c r="O29" i="6"/>
  <c r="P27" i="6"/>
  <c r="P29" i="6"/>
  <c r="Q27" i="6"/>
  <c r="Q29" i="6"/>
  <c r="E32" i="6"/>
  <c r="E33" i="6"/>
  <c r="F32" i="6"/>
  <c r="F33" i="6"/>
  <c r="G32" i="6"/>
  <c r="G33" i="6"/>
  <c r="H32" i="6"/>
  <c r="H33" i="6"/>
  <c r="I32" i="6"/>
  <c r="I33" i="6"/>
  <c r="J32" i="6"/>
  <c r="J33" i="6"/>
  <c r="K32" i="6"/>
  <c r="K33" i="6"/>
  <c r="L32" i="6"/>
  <c r="L33" i="6"/>
  <c r="M32" i="6"/>
  <c r="M33" i="6"/>
  <c r="N32" i="6"/>
  <c r="N33" i="6"/>
  <c r="O32" i="6"/>
  <c r="O33" i="6"/>
  <c r="P32" i="6"/>
  <c r="P33" i="6"/>
  <c r="Q32" i="6"/>
  <c r="Q16" i="5" s="1"/>
  <c r="Q33" i="6"/>
  <c r="N36" i="6"/>
  <c r="G38" i="6"/>
  <c r="H38" i="6"/>
  <c r="I38" i="6"/>
  <c r="K38" i="6"/>
  <c r="L38" i="6"/>
  <c r="O38" i="6"/>
  <c r="P38" i="6"/>
  <c r="Q38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E42" i="6"/>
  <c r="E43" i="6"/>
  <c r="E44" i="6"/>
  <c r="E41" i="6"/>
  <c r="F42" i="6"/>
  <c r="F44" i="6"/>
  <c r="G42" i="6"/>
  <c r="G44" i="6"/>
  <c r="G41" i="6"/>
  <c r="H42" i="6"/>
  <c r="H43" i="6"/>
  <c r="H44" i="6"/>
  <c r="I42" i="6"/>
  <c r="I44" i="6"/>
  <c r="J42" i="6"/>
  <c r="J44" i="6"/>
  <c r="J41" i="6"/>
  <c r="K42" i="6"/>
  <c r="K43" i="6"/>
  <c r="K44" i="6"/>
  <c r="K41" i="6"/>
  <c r="L42" i="6"/>
  <c r="L43" i="6"/>
  <c r="L44" i="6"/>
  <c r="L41" i="6"/>
  <c r="M42" i="6"/>
  <c r="M43" i="6"/>
  <c r="M44" i="6"/>
  <c r="M41" i="6"/>
  <c r="N42" i="6"/>
  <c r="N44" i="6"/>
  <c r="O42" i="6"/>
  <c r="O44" i="6"/>
  <c r="P42" i="6"/>
  <c r="P43" i="6"/>
  <c r="P44" i="6"/>
  <c r="Q42" i="6"/>
  <c r="Q43" i="6"/>
  <c r="Q44" i="6"/>
  <c r="E45" i="6"/>
  <c r="M45" i="6"/>
  <c r="E48" i="6"/>
  <c r="E49" i="6"/>
  <c r="E50" i="6"/>
  <c r="E51" i="6"/>
  <c r="E47" i="6"/>
  <c r="F48" i="6"/>
  <c r="F49" i="6"/>
  <c r="F50" i="6"/>
  <c r="F51" i="6"/>
  <c r="F47" i="6"/>
  <c r="G48" i="6"/>
  <c r="G49" i="6"/>
  <c r="G50" i="6"/>
  <c r="G51" i="6"/>
  <c r="H48" i="6"/>
  <c r="H49" i="6"/>
  <c r="H50" i="6"/>
  <c r="H51" i="6"/>
  <c r="I48" i="6"/>
  <c r="I49" i="6"/>
  <c r="I50" i="6"/>
  <c r="I51" i="6"/>
  <c r="I47" i="6"/>
  <c r="J48" i="6"/>
  <c r="J49" i="6"/>
  <c r="J50" i="6"/>
  <c r="J51" i="6"/>
  <c r="K48" i="6"/>
  <c r="K49" i="6"/>
  <c r="K50" i="6"/>
  <c r="K51" i="6"/>
  <c r="K43" i="5" s="1"/>
  <c r="L48" i="6"/>
  <c r="L49" i="6"/>
  <c r="L50" i="6"/>
  <c r="L51" i="6"/>
  <c r="M48" i="6"/>
  <c r="M49" i="6"/>
  <c r="M50" i="6"/>
  <c r="M51" i="6"/>
  <c r="N48" i="6"/>
  <c r="N49" i="6"/>
  <c r="N50" i="6"/>
  <c r="N51" i="6"/>
  <c r="N47" i="6" s="1"/>
  <c r="O48" i="6"/>
  <c r="O49" i="6"/>
  <c r="O50" i="6"/>
  <c r="O51" i="6"/>
  <c r="P48" i="6"/>
  <c r="P49" i="6"/>
  <c r="P50" i="6"/>
  <c r="P51" i="6"/>
  <c r="Q48" i="6"/>
  <c r="Q40" i="5" s="1"/>
  <c r="Q49" i="6"/>
  <c r="Q50" i="6"/>
  <c r="Q51" i="6"/>
  <c r="Q43" i="5" s="1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D20" i="7"/>
  <c r="D30" i="7"/>
  <c r="E20" i="7"/>
  <c r="E30" i="7"/>
  <c r="F30" i="7"/>
  <c r="G30" i="7"/>
  <c r="H30" i="7"/>
  <c r="I30" i="7"/>
  <c r="J30" i="7"/>
  <c r="N57" i="6"/>
  <c r="P57" i="6"/>
  <c r="Q57" i="6"/>
  <c r="E58" i="6"/>
  <c r="F58" i="6"/>
  <c r="G58" i="6"/>
  <c r="H58" i="6"/>
  <c r="I58" i="6"/>
  <c r="J58" i="6"/>
  <c r="K58" i="6"/>
  <c r="L58" i="6"/>
  <c r="M58" i="6"/>
  <c r="N58" i="6"/>
  <c r="P58" i="6"/>
  <c r="Q58" i="6"/>
  <c r="E59" i="6"/>
  <c r="F59" i="6"/>
  <c r="G59" i="6"/>
  <c r="E33" i="24" s="1"/>
  <c r="H59" i="6"/>
  <c r="I59" i="6"/>
  <c r="J59" i="6"/>
  <c r="G33" i="24" s="1"/>
  <c r="K59" i="6"/>
  <c r="L59" i="6"/>
  <c r="M59" i="6"/>
  <c r="N59" i="6"/>
  <c r="P59" i="6"/>
  <c r="Q59" i="6"/>
  <c r="C41" i="4"/>
  <c r="C44" i="4"/>
  <c r="D44" i="4"/>
  <c r="E44" i="4"/>
  <c r="E50" i="4"/>
  <c r="F44" i="4"/>
  <c r="G44" i="4"/>
  <c r="H44" i="4"/>
  <c r="I44" i="4"/>
  <c r="J44" i="4"/>
  <c r="K44" i="4"/>
  <c r="L44" i="4"/>
  <c r="L50" i="4" s="1"/>
  <c r="M44" i="4"/>
  <c r="N44" i="4"/>
  <c r="C30" i="4"/>
  <c r="D6" i="6" s="1"/>
  <c r="C31" i="4"/>
  <c r="D31" i="4"/>
  <c r="D38" i="4"/>
  <c r="E31" i="4"/>
  <c r="E38" i="4" s="1"/>
  <c r="F31" i="4"/>
  <c r="G31" i="4"/>
  <c r="H31" i="4"/>
  <c r="H38" i="4" s="1"/>
  <c r="I31" i="4"/>
  <c r="J31" i="4"/>
  <c r="J38" i="4" s="1"/>
  <c r="K31" i="4"/>
  <c r="L31" i="4"/>
  <c r="M31" i="4"/>
  <c r="C4" i="4"/>
  <c r="D57" i="6" s="1"/>
  <c r="C16" i="4"/>
  <c r="D38" i="6" s="1"/>
  <c r="D7" i="6"/>
  <c r="D8" i="6"/>
  <c r="D9" i="6"/>
  <c r="D10" i="6"/>
  <c r="D35" i="5" s="1"/>
  <c r="D18" i="6"/>
  <c r="D20" i="6"/>
  <c r="D21" i="6"/>
  <c r="D23" i="6"/>
  <c r="D27" i="6"/>
  <c r="D29" i="6"/>
  <c r="D32" i="6"/>
  <c r="D33" i="6"/>
  <c r="D31" i="6" s="1"/>
  <c r="D39" i="6"/>
  <c r="D42" i="6"/>
  <c r="D43" i="6"/>
  <c r="D44" i="6"/>
  <c r="D41" i="6"/>
  <c r="D48" i="6"/>
  <c r="D49" i="6"/>
  <c r="D50" i="6"/>
  <c r="D51" i="6"/>
  <c r="D47" i="6" s="1"/>
  <c r="D52" i="6"/>
  <c r="D53" i="6"/>
  <c r="C20" i="7"/>
  <c r="C30" i="7"/>
  <c r="D58" i="6"/>
  <c r="D59" i="6"/>
  <c r="D33" i="24" s="1"/>
  <c r="A4" i="25"/>
  <c r="D5" i="25"/>
  <c r="D9" i="25"/>
  <c r="A10" i="25"/>
  <c r="D15" i="25"/>
  <c r="A16" i="25"/>
  <c r="A20" i="25"/>
  <c r="A25" i="25"/>
  <c r="D26" i="25"/>
  <c r="D30" i="25"/>
  <c r="A39" i="25"/>
  <c r="D39" i="25"/>
  <c r="A41" i="25"/>
  <c r="A48" i="25" s="1"/>
  <c r="A54" i="25"/>
  <c r="A58" i="25"/>
  <c r="F6" i="24"/>
  <c r="H6" i="24"/>
  <c r="F7" i="24"/>
  <c r="H7" i="24"/>
  <c r="F8" i="24"/>
  <c r="H8" i="24"/>
  <c r="C10" i="24"/>
  <c r="E10" i="24"/>
  <c r="F10" i="24"/>
  <c r="H10" i="24"/>
  <c r="C11" i="24"/>
  <c r="D11" i="24"/>
  <c r="E11" i="24"/>
  <c r="F11" i="24"/>
  <c r="G11" i="24"/>
  <c r="H11" i="24"/>
  <c r="C12" i="24"/>
  <c r="D12" i="24"/>
  <c r="E12" i="24"/>
  <c r="F12" i="24"/>
  <c r="G12" i="24"/>
  <c r="H12" i="24"/>
  <c r="F13" i="24"/>
  <c r="H13" i="24"/>
  <c r="C15" i="24"/>
  <c r="D15" i="24"/>
  <c r="E15" i="24"/>
  <c r="F15" i="24"/>
  <c r="G15" i="24"/>
  <c r="H15" i="24"/>
  <c r="C16" i="24"/>
  <c r="D16" i="24"/>
  <c r="E16" i="24"/>
  <c r="F16" i="24"/>
  <c r="G16" i="24"/>
  <c r="H16" i="24"/>
  <c r="C17" i="24"/>
  <c r="D17" i="24"/>
  <c r="E17" i="24"/>
  <c r="F17" i="24"/>
  <c r="G17" i="24"/>
  <c r="H17" i="24"/>
  <c r="C18" i="24"/>
  <c r="D18" i="24"/>
  <c r="E18" i="24"/>
  <c r="F18" i="24"/>
  <c r="G18" i="24"/>
  <c r="H18" i="24"/>
  <c r="C20" i="24"/>
  <c r="D20" i="24"/>
  <c r="E20" i="24"/>
  <c r="F20" i="24"/>
  <c r="G20" i="24"/>
  <c r="H20" i="24"/>
  <c r="C21" i="24"/>
  <c r="D21" i="24"/>
  <c r="E21" i="24"/>
  <c r="F21" i="24"/>
  <c r="G21" i="24"/>
  <c r="H21" i="24"/>
  <c r="C22" i="24"/>
  <c r="D22" i="24"/>
  <c r="E22" i="24"/>
  <c r="F22" i="24"/>
  <c r="G22" i="24"/>
  <c r="H22" i="24"/>
  <c r="C24" i="24"/>
  <c r="D24" i="24"/>
  <c r="E24" i="24"/>
  <c r="F24" i="24"/>
  <c r="G24" i="24"/>
  <c r="H24" i="24"/>
  <c r="C25" i="24"/>
  <c r="D25" i="24"/>
  <c r="E25" i="24"/>
  <c r="F25" i="24"/>
  <c r="G25" i="24"/>
  <c r="H25" i="24"/>
  <c r="C26" i="24"/>
  <c r="D26" i="24"/>
  <c r="E26" i="24"/>
  <c r="F26" i="24"/>
  <c r="G26" i="24"/>
  <c r="H26" i="24"/>
  <c r="C27" i="24"/>
  <c r="D27" i="24"/>
  <c r="E27" i="24"/>
  <c r="F27" i="24"/>
  <c r="G27" i="24"/>
  <c r="H27" i="24"/>
  <c r="C33" i="24"/>
  <c r="C7" i="24" s="1"/>
  <c r="D35" i="24"/>
  <c r="D10" i="24" s="1"/>
  <c r="G35" i="24"/>
  <c r="G10" i="24" s="1"/>
  <c r="F10" i="23"/>
  <c r="F11" i="23"/>
  <c r="F12" i="23"/>
  <c r="F13" i="23"/>
  <c r="F14" i="23"/>
  <c r="G14" i="23"/>
  <c r="C15" i="23"/>
  <c r="D15" i="23"/>
  <c r="F17" i="23"/>
  <c r="F18" i="23"/>
  <c r="F19" i="23"/>
  <c r="F20" i="23"/>
  <c r="F21" i="23"/>
  <c r="C22" i="23"/>
  <c r="D22" i="23"/>
  <c r="D23" i="23" s="1"/>
  <c r="F37" i="23"/>
  <c r="F38" i="23"/>
  <c r="F39" i="23"/>
  <c r="F40" i="23"/>
  <c r="F41" i="23"/>
  <c r="G41" i="23"/>
  <c r="C42" i="23"/>
  <c r="D42" i="23"/>
  <c r="F44" i="23"/>
  <c r="F45" i="23"/>
  <c r="F46" i="23"/>
  <c r="G46" i="23"/>
  <c r="F47" i="23"/>
  <c r="F48" i="23"/>
  <c r="C49" i="23"/>
  <c r="D49" i="23"/>
  <c r="F63" i="23"/>
  <c r="F64" i="23"/>
  <c r="F65" i="23"/>
  <c r="F66" i="23"/>
  <c r="F67" i="23"/>
  <c r="C68" i="23"/>
  <c r="D68" i="23"/>
  <c r="F70" i="23"/>
  <c r="F71" i="23"/>
  <c r="F72" i="23"/>
  <c r="F73" i="23"/>
  <c r="F74" i="23"/>
  <c r="C75" i="23"/>
  <c r="D75" i="23"/>
  <c r="D76" i="23" s="1"/>
  <c r="C36" i="5"/>
  <c r="C37" i="5"/>
  <c r="C52" i="5"/>
  <c r="C7" i="6"/>
  <c r="C8" i="6"/>
  <c r="C50" i="6"/>
  <c r="C9" i="6"/>
  <c r="C10" i="6"/>
  <c r="C18" i="6"/>
  <c r="C20" i="6"/>
  <c r="C21" i="6"/>
  <c r="C23" i="6"/>
  <c r="C27" i="6"/>
  <c r="C29" i="6"/>
  <c r="C32" i="6"/>
  <c r="C42" i="6"/>
  <c r="C33" i="6"/>
  <c r="C39" i="6"/>
  <c r="C44" i="6"/>
  <c r="C48" i="6"/>
  <c r="C49" i="6"/>
  <c r="C51" i="6"/>
  <c r="C52" i="6"/>
  <c r="C53" i="6"/>
  <c r="C58" i="6"/>
  <c r="C59" i="6"/>
  <c r="B4" i="7"/>
  <c r="B7" i="7"/>
  <c r="C43" i="6"/>
  <c r="B12" i="7"/>
  <c r="B20" i="7"/>
  <c r="B23" i="7"/>
  <c r="C56" i="5"/>
  <c r="B30" i="7"/>
  <c r="K30" i="7"/>
  <c r="L30" i="7"/>
  <c r="M30" i="7"/>
  <c r="N30" i="7"/>
  <c r="B4" i="4"/>
  <c r="C57" i="6" s="1"/>
  <c r="B8" i="4"/>
  <c r="B13" i="4"/>
  <c r="B16" i="4"/>
  <c r="C38" i="6" s="1"/>
  <c r="B20" i="4"/>
  <c r="B30" i="4"/>
  <c r="C6" i="6" s="1"/>
  <c r="C31" i="5" s="1"/>
  <c r="B31" i="4"/>
  <c r="B41" i="4"/>
  <c r="C19" i="6" s="1"/>
  <c r="B44" i="4"/>
  <c r="B50" i="4" s="1"/>
  <c r="C47" i="6"/>
  <c r="F15" i="23"/>
  <c r="B3" i="7"/>
  <c r="B19" i="7" s="1"/>
  <c r="B29" i="7" s="1"/>
  <c r="B33" i="7" s="1"/>
  <c r="C36" i="6"/>
  <c r="AJ3" i="7" l="1"/>
  <c r="AJ19" i="7" s="1"/>
  <c r="AJ29" i="7" s="1"/>
  <c r="AJ33" i="7" s="1"/>
  <c r="AJ35" i="7" s="1"/>
  <c r="AJ37" i="7" s="1"/>
  <c r="AJ56" i="6" s="1"/>
  <c r="AI38" i="4"/>
  <c r="AJ38" i="4"/>
  <c r="AH38" i="4"/>
  <c r="AG38" i="4"/>
  <c r="AG7" i="5"/>
  <c r="AG9" i="5"/>
  <c r="AG10" i="5"/>
  <c r="AG15" i="5"/>
  <c r="AG21" i="5"/>
  <c r="AG24" i="5"/>
  <c r="AG25" i="5"/>
  <c r="AG26" i="5"/>
  <c r="AG27" i="5"/>
  <c r="AG30" i="5"/>
  <c r="AG57" i="5"/>
  <c r="AG59" i="5"/>
  <c r="AG14" i="5"/>
  <c r="AG47" i="6"/>
  <c r="AG41" i="6"/>
  <c r="AG31" i="6"/>
  <c r="AG26" i="6"/>
  <c r="AG13" i="6"/>
  <c r="AG17" i="6"/>
  <c r="AG14" i="6" s="1"/>
  <c r="AG15" i="6" s="1"/>
  <c r="AF50" i="4"/>
  <c r="AF51" i="4" s="1"/>
  <c r="AF47" i="6"/>
  <c r="AE47" i="6"/>
  <c r="AD47" i="6"/>
  <c r="AC47" i="6"/>
  <c r="AF41" i="6"/>
  <c r="AE41" i="6"/>
  <c r="AD41" i="6"/>
  <c r="AC41" i="6"/>
  <c r="AF31" i="6"/>
  <c r="AE31" i="6"/>
  <c r="AD31" i="6"/>
  <c r="AC31" i="6"/>
  <c r="AF26" i="6"/>
  <c r="AE26" i="6"/>
  <c r="AD26" i="6"/>
  <c r="AC26" i="6"/>
  <c r="AF13" i="6"/>
  <c r="AF17" i="6"/>
  <c r="AF14" i="6" s="1"/>
  <c r="AF15" i="6" s="1"/>
  <c r="AE13" i="6"/>
  <c r="AE17" i="6"/>
  <c r="AE14" i="6" s="1"/>
  <c r="AE15" i="6" s="1"/>
  <c r="AD13" i="6"/>
  <c r="AD17" i="6"/>
  <c r="AD14" i="6" s="1"/>
  <c r="AD15" i="6" s="1"/>
  <c r="AC13" i="6"/>
  <c r="AC17" i="6"/>
  <c r="AC14" i="6" s="1"/>
  <c r="AC15" i="6" s="1"/>
  <c r="AC19" i="7"/>
  <c r="AC29" i="7" s="1"/>
  <c r="AC33" i="7" s="1"/>
  <c r="AC35" i="7" s="1"/>
  <c r="AB19" i="7"/>
  <c r="AB29" i="7" s="1"/>
  <c r="AB33" i="7" s="1"/>
  <c r="AB35" i="7" s="1"/>
  <c r="AE50" i="4"/>
  <c r="AE51" i="4" s="1"/>
  <c r="C41" i="6"/>
  <c r="C44" i="5"/>
  <c r="F75" i="23"/>
  <c r="C76" i="23"/>
  <c r="A32" i="25"/>
  <c r="M47" i="6"/>
  <c r="H47" i="6"/>
  <c r="P41" i="6"/>
  <c r="N41" i="6"/>
  <c r="H41" i="6"/>
  <c r="F41" i="6"/>
  <c r="K45" i="6"/>
  <c r="G45" i="6"/>
  <c r="F38" i="4"/>
  <c r="J3" i="7"/>
  <c r="J19" i="7" s="1"/>
  <c r="I41" i="6"/>
  <c r="X50" i="4"/>
  <c r="Y19" i="6"/>
  <c r="P50" i="4"/>
  <c r="Q19" i="6"/>
  <c r="AA36" i="6"/>
  <c r="AA57" i="6"/>
  <c r="X47" i="5"/>
  <c r="V47" i="5"/>
  <c r="V57" i="6"/>
  <c r="P47" i="5"/>
  <c r="AB36" i="6"/>
  <c r="AB48" i="5"/>
  <c r="AB57" i="6"/>
  <c r="AA50" i="4"/>
  <c r="V3" i="7"/>
  <c r="U3" i="7"/>
  <c r="T3" i="7"/>
  <c r="W26" i="4"/>
  <c r="X5" i="6" s="1"/>
  <c r="V43" i="5"/>
  <c r="R40" i="5"/>
  <c r="R14" i="5"/>
  <c r="AI26" i="6"/>
  <c r="AA26" i="6"/>
  <c r="X26" i="6"/>
  <c r="V26" i="6"/>
  <c r="S26" i="6"/>
  <c r="P34" i="5"/>
  <c r="P31" i="5"/>
  <c r="C54" i="5"/>
  <c r="B35" i="7"/>
  <c r="B37" i="7" s="1"/>
  <c r="C56" i="6" s="1"/>
  <c r="T34" i="5"/>
  <c r="U48" i="5"/>
  <c r="U47" i="5"/>
  <c r="U57" i="6"/>
  <c r="AH47" i="6"/>
  <c r="P33" i="5"/>
  <c r="K57" i="6"/>
  <c r="K36" i="6"/>
  <c r="D19" i="7"/>
  <c r="D29" i="7" s="1"/>
  <c r="D33" i="7" s="1"/>
  <c r="R9" i="5"/>
  <c r="R30" i="5"/>
  <c r="R26" i="5"/>
  <c r="P43" i="5"/>
  <c r="M41" i="5"/>
  <c r="K47" i="6"/>
  <c r="H3" i="7"/>
  <c r="H19" i="7" s="1"/>
  <c r="H29" i="7" s="1"/>
  <c r="V31" i="5"/>
  <c r="AB31" i="5"/>
  <c r="Z47" i="6"/>
  <c r="Z40" i="5"/>
  <c r="H33" i="7"/>
  <c r="G50" i="4"/>
  <c r="H19" i="6"/>
  <c r="R47" i="5"/>
  <c r="R48" i="5"/>
  <c r="R57" i="6"/>
  <c r="G36" i="6"/>
  <c r="J45" i="6"/>
  <c r="S50" i="4"/>
  <c r="R24" i="5"/>
  <c r="G47" i="6"/>
  <c r="G29" i="7"/>
  <c r="G33" i="7" s="1"/>
  <c r="C19" i="7"/>
  <c r="C29" i="7" s="1"/>
  <c r="C33" i="7" s="1"/>
  <c r="AA31" i="5"/>
  <c r="S31" i="5"/>
  <c r="X26" i="5"/>
  <c r="R59" i="5"/>
  <c r="X31" i="5"/>
  <c r="P42" i="5"/>
  <c r="AB50" i="4"/>
  <c r="AB51" i="4" s="1"/>
  <c r="AB52" i="4" s="1"/>
  <c r="W41" i="6"/>
  <c r="W45" i="6"/>
  <c r="U36" i="6"/>
  <c r="F3" i="7"/>
  <c r="F19" i="7" s="1"/>
  <c r="F29" i="7" s="1"/>
  <c r="T31" i="5"/>
  <c r="R36" i="6"/>
  <c r="R57" i="5" s="1"/>
  <c r="G47" i="23"/>
  <c r="E41" i="5"/>
  <c r="O55" i="5"/>
  <c r="W38" i="4"/>
  <c r="W48" i="5"/>
  <c r="AB44" i="5"/>
  <c r="T44" i="5"/>
  <c r="AB40" i="5"/>
  <c r="T40" i="5"/>
  <c r="X15" i="5"/>
  <c r="X19" i="5"/>
  <c r="R15" i="5"/>
  <c r="Q47" i="6"/>
  <c r="Q41" i="5"/>
  <c r="Q33" i="5"/>
  <c r="V47" i="6"/>
  <c r="V41" i="5"/>
  <c r="R47" i="6"/>
  <c r="A64" i="25"/>
  <c r="A66" i="25" s="1"/>
  <c r="A67" i="25" s="1"/>
  <c r="Q44" i="5"/>
  <c r="C55" i="5"/>
  <c r="C50" i="23"/>
  <c r="I13" i="6"/>
  <c r="Z47" i="5"/>
  <c r="Y26" i="4"/>
  <c r="Z5" i="6" s="1"/>
  <c r="Z57" i="6"/>
  <c r="Z48" i="5"/>
  <c r="Z36" i="6"/>
  <c r="P47" i="6"/>
  <c r="N45" i="6"/>
  <c r="F45" i="6"/>
  <c r="N41" i="4"/>
  <c r="O19" i="6" s="1"/>
  <c r="P26" i="4"/>
  <c r="Q5" i="6" s="1"/>
  <c r="F22" i="23"/>
  <c r="F23" i="23" s="1"/>
  <c r="F49" i="23"/>
  <c r="L47" i="6"/>
  <c r="J47" i="6"/>
  <c r="H42" i="5"/>
  <c r="E3" i="7"/>
  <c r="E19" i="7" s="1"/>
  <c r="E29" i="7" s="1"/>
  <c r="E33" i="7" s="1"/>
  <c r="Y31" i="5"/>
  <c r="AA56" i="5"/>
  <c r="S56" i="5"/>
  <c r="X3" i="7"/>
  <c r="X19" i="7" s="1"/>
  <c r="Y55" i="5" s="1"/>
  <c r="P3" i="7"/>
  <c r="P19" i="7" s="1"/>
  <c r="P29" i="7" s="1"/>
  <c r="W3" i="7"/>
  <c r="W19" i="7" s="1"/>
  <c r="O3" i="7"/>
  <c r="O19" i="7" s="1"/>
  <c r="P55" i="5" s="1"/>
  <c r="U47" i="6"/>
  <c r="AK47" i="6"/>
  <c r="Y47" i="6"/>
  <c r="Y40" i="5"/>
  <c r="P41" i="5"/>
  <c r="X25" i="5"/>
  <c r="T47" i="5"/>
  <c r="C41" i="5"/>
  <c r="C23" i="23"/>
  <c r="P44" i="5"/>
  <c r="O47" i="6"/>
  <c r="G26" i="6"/>
  <c r="Q31" i="5"/>
  <c r="Q24" i="5"/>
  <c r="R50" i="4"/>
  <c r="AA48" i="5"/>
  <c r="S48" i="5"/>
  <c r="Y56" i="5"/>
  <c r="Q55" i="5"/>
  <c r="Q56" i="5"/>
  <c r="T57" i="6"/>
  <c r="AB43" i="5"/>
  <c r="T43" i="5"/>
  <c r="AJ47" i="6"/>
  <c r="AB47" i="6"/>
  <c r="AB41" i="5"/>
  <c r="T47" i="6"/>
  <c r="T41" i="5"/>
  <c r="X47" i="6"/>
  <c r="X40" i="5"/>
  <c r="X14" i="5"/>
  <c r="S36" i="6"/>
  <c r="AI31" i="6"/>
  <c r="AA16" i="5"/>
  <c r="S16" i="5"/>
  <c r="AA19" i="5"/>
  <c r="S19" i="5"/>
  <c r="Z25" i="5"/>
  <c r="R25" i="5"/>
  <c r="S47" i="5"/>
  <c r="U17" i="6"/>
  <c r="U14" i="6" s="1"/>
  <c r="V40" i="5"/>
  <c r="AH41" i="6"/>
  <c r="V41" i="6"/>
  <c r="Z56" i="5"/>
  <c r="S13" i="6"/>
  <c r="R38" i="4"/>
  <c r="S9" i="6" s="1"/>
  <c r="Y47" i="5"/>
  <c r="Y48" i="5"/>
  <c r="F33" i="7"/>
  <c r="Q59" i="5"/>
  <c r="E31" i="6"/>
  <c r="J26" i="6"/>
  <c r="Q25" i="5"/>
  <c r="Q32" i="5"/>
  <c r="K19" i="7"/>
  <c r="Y38" i="4"/>
  <c r="Z9" i="6" s="1"/>
  <c r="Q38" i="4"/>
  <c r="R9" i="6" s="1"/>
  <c r="X26" i="4"/>
  <c r="Y5" i="6" s="1"/>
  <c r="X48" i="5"/>
  <c r="O26" i="4"/>
  <c r="P5" i="6" s="1"/>
  <c r="P48" i="5"/>
  <c r="AA3" i="7"/>
  <c r="AA19" i="7" s="1"/>
  <c r="S3" i="7"/>
  <c r="S19" i="7" s="1"/>
  <c r="T55" i="5" s="1"/>
  <c r="Y57" i="6"/>
  <c r="Y43" i="5"/>
  <c r="AK41" i="6"/>
  <c r="U41" i="6"/>
  <c r="Y15" i="5"/>
  <c r="Y36" i="6"/>
  <c r="X16" i="5"/>
  <c r="X59" i="5"/>
  <c r="AB19" i="5"/>
  <c r="T19" i="5"/>
  <c r="AJ17" i="6"/>
  <c r="AJ14" i="6" s="1"/>
  <c r="AJ15" i="6" s="1"/>
  <c r="V33" i="5"/>
  <c r="B38" i="4"/>
  <c r="L38" i="4"/>
  <c r="P40" i="5"/>
  <c r="N41" i="5"/>
  <c r="L43" i="5"/>
  <c r="I42" i="5"/>
  <c r="F41" i="5"/>
  <c r="P14" i="5"/>
  <c r="M38" i="4"/>
  <c r="Y34" i="5"/>
  <c r="Q27" i="5"/>
  <c r="Q34" i="5"/>
  <c r="T38" i="4"/>
  <c r="U9" i="6" s="1"/>
  <c r="U43" i="5" s="1"/>
  <c r="U6" i="6"/>
  <c r="Z26" i="4"/>
  <c r="AA5" i="6" s="1"/>
  <c r="R26" i="4"/>
  <c r="S5" i="6" s="1"/>
  <c r="W47" i="5"/>
  <c r="W36" i="6"/>
  <c r="AB47" i="5"/>
  <c r="U56" i="5"/>
  <c r="Z3" i="7"/>
  <c r="Z19" i="7" s="1"/>
  <c r="Z29" i="7" s="1"/>
  <c r="Z33" i="7" s="1"/>
  <c r="R3" i="7"/>
  <c r="R19" i="7" s="1"/>
  <c r="S55" i="5" s="1"/>
  <c r="X57" i="6"/>
  <c r="AA45" i="6"/>
  <c r="AJ41" i="6"/>
  <c r="AB41" i="6"/>
  <c r="T41" i="6"/>
  <c r="X36" i="6"/>
  <c r="X57" i="5" s="1"/>
  <c r="AJ13" i="6"/>
  <c r="T48" i="5"/>
  <c r="R32" i="5"/>
  <c r="Z38" i="4"/>
  <c r="AA9" i="6" s="1"/>
  <c r="V38" i="4"/>
  <c r="W9" i="6" s="1"/>
  <c r="W6" i="6"/>
  <c r="Q47" i="5"/>
  <c r="Q48" i="5"/>
  <c r="C43" i="5"/>
  <c r="D50" i="23"/>
  <c r="D45" i="6"/>
  <c r="Q42" i="5"/>
  <c r="Q36" i="6"/>
  <c r="Q57" i="5" s="1"/>
  <c r="P45" i="6"/>
  <c r="P16" i="5"/>
  <c r="P59" i="5"/>
  <c r="L45" i="6"/>
  <c r="H45" i="6"/>
  <c r="M26" i="6"/>
  <c r="Z50" i="4"/>
  <c r="Z51" i="4" s="1"/>
  <c r="O50" i="4"/>
  <c r="O51" i="4" s="1"/>
  <c r="P19" i="6"/>
  <c r="S26" i="4"/>
  <c r="T5" i="6" s="1"/>
  <c r="V48" i="5"/>
  <c r="Y3" i="7"/>
  <c r="Q3" i="7"/>
  <c r="Q19" i="7" s="1"/>
  <c r="W57" i="6"/>
  <c r="W47" i="6"/>
  <c r="W41" i="5"/>
  <c r="AI47" i="6"/>
  <c r="AA47" i="6"/>
  <c r="AA40" i="5"/>
  <c r="S47" i="6"/>
  <c r="S40" i="5"/>
  <c r="AI41" i="6"/>
  <c r="AA41" i="6"/>
  <c r="S41" i="6"/>
  <c r="AA14" i="5"/>
  <c r="S14" i="5"/>
  <c r="V36" i="6"/>
  <c r="V31" i="6"/>
  <c r="V19" i="5"/>
  <c r="Y33" i="5"/>
  <c r="Y26" i="5"/>
  <c r="U32" i="5"/>
  <c r="R56" i="5"/>
  <c r="AA47" i="5"/>
  <c r="X9" i="5"/>
  <c r="X17" i="6"/>
  <c r="X14" i="6" s="1"/>
  <c r="X15" i="6" s="1"/>
  <c r="X10" i="5" s="1"/>
  <c r="P9" i="5"/>
  <c r="AA31" i="6"/>
  <c r="S31" i="6"/>
  <c r="S21" i="5" s="1"/>
  <c r="W31" i="6"/>
  <c r="AK13" i="6"/>
  <c r="T13" i="6"/>
  <c r="AK31" i="6"/>
  <c r="U31" i="6"/>
  <c r="AI13" i="6"/>
  <c r="U33" i="5"/>
  <c r="Y32" i="5"/>
  <c r="X31" i="6"/>
  <c r="X21" i="5" s="1"/>
  <c r="AJ31" i="6"/>
  <c r="AB31" i="6"/>
  <c r="T31" i="6"/>
  <c r="T21" i="5" s="1"/>
  <c r="AH13" i="6"/>
  <c r="Y17" i="6"/>
  <c r="Y14" i="6" s="1"/>
  <c r="Y15" i="6" s="1"/>
  <c r="Y10" i="5" s="1"/>
  <c r="AH31" i="6"/>
  <c r="Z31" i="6"/>
  <c r="Z21" i="5" s="1"/>
  <c r="R31" i="6"/>
  <c r="R21" i="5" s="1"/>
  <c r="AH26" i="6"/>
  <c r="Z26" i="6"/>
  <c r="Z19" i="5" s="1"/>
  <c r="R26" i="6"/>
  <c r="R19" i="5" s="1"/>
  <c r="Y26" i="6"/>
  <c r="Y19" i="5" s="1"/>
  <c r="AK17" i="6"/>
  <c r="AK14" i="6" s="1"/>
  <c r="AK15" i="6" s="1"/>
  <c r="W16" i="5"/>
  <c r="AB17" i="6"/>
  <c r="AB14" i="6" s="1"/>
  <c r="U8" i="5"/>
  <c r="Y6" i="5"/>
  <c r="U13" i="6"/>
  <c r="W20" i="5"/>
  <c r="V20" i="5"/>
  <c r="T20" i="5"/>
  <c r="X8" i="5"/>
  <c r="T7" i="5"/>
  <c r="X6" i="5"/>
  <c r="W8" i="5"/>
  <c r="W6" i="5"/>
  <c r="V8" i="5"/>
  <c r="V6" i="5"/>
  <c r="X20" i="5"/>
  <c r="T8" i="5"/>
  <c r="X7" i="5"/>
  <c r="T6" i="5"/>
  <c r="X13" i="6"/>
  <c r="Y13" i="6"/>
  <c r="AI17" i="6"/>
  <c r="AI14" i="6" s="1"/>
  <c r="AA17" i="6"/>
  <c r="AA14" i="6" s="1"/>
  <c r="S17" i="6"/>
  <c r="S14" i="6" s="1"/>
  <c r="W13" i="6"/>
  <c r="V45" i="6"/>
  <c r="AH17" i="6"/>
  <c r="AH14" i="6" s="1"/>
  <c r="Z17" i="6"/>
  <c r="Z14" i="6" s="1"/>
  <c r="R17" i="6"/>
  <c r="R14" i="6" s="1"/>
  <c r="V13" i="6"/>
  <c r="AK45" i="6"/>
  <c r="U45" i="6"/>
  <c r="AJ45" i="6"/>
  <c r="AB45" i="6"/>
  <c r="T45" i="6"/>
  <c r="AA51" i="4"/>
  <c r="AA26" i="4"/>
  <c r="X29" i="7"/>
  <c r="X33" i="7" s="1"/>
  <c r="V19" i="7"/>
  <c r="W55" i="5" s="1"/>
  <c r="T19" i="7"/>
  <c r="U55" i="5" s="1"/>
  <c r="Y19" i="7"/>
  <c r="U19" i="7"/>
  <c r="U29" i="7" s="1"/>
  <c r="U33" i="7" s="1"/>
  <c r="O41" i="6"/>
  <c r="Q41" i="6"/>
  <c r="R29" i="7"/>
  <c r="R33" i="7" s="1"/>
  <c r="O29" i="7"/>
  <c r="O33" i="7" s="1"/>
  <c r="T29" i="7"/>
  <c r="T33" i="7" s="1"/>
  <c r="S29" i="7"/>
  <c r="S33" i="7" s="1"/>
  <c r="P33" i="7"/>
  <c r="P36" i="6"/>
  <c r="P57" i="5" s="1"/>
  <c r="U26" i="4"/>
  <c r="V5" i="6" s="1"/>
  <c r="T26" i="4"/>
  <c r="U5" i="6" s="1"/>
  <c r="U30" i="5" s="1"/>
  <c r="V26" i="4"/>
  <c r="W5" i="6" s="1"/>
  <c r="P51" i="4"/>
  <c r="Y51" i="4"/>
  <c r="X51" i="4"/>
  <c r="T51" i="4"/>
  <c r="Q51" i="4"/>
  <c r="S51" i="4"/>
  <c r="V50" i="4"/>
  <c r="U50" i="4"/>
  <c r="U51" i="4" s="1"/>
  <c r="C47" i="5"/>
  <c r="P17" i="6"/>
  <c r="P14" i="6" s="1"/>
  <c r="E13" i="6"/>
  <c r="K50" i="4"/>
  <c r="J57" i="6"/>
  <c r="O26" i="6"/>
  <c r="N6" i="6"/>
  <c r="N31" i="5" s="1"/>
  <c r="B26" i="4"/>
  <c r="C5" i="6" s="1"/>
  <c r="C15" i="5" s="1"/>
  <c r="C38" i="4"/>
  <c r="K38" i="4"/>
  <c r="F36" i="6"/>
  <c r="C48" i="5"/>
  <c r="C40" i="5"/>
  <c r="G38" i="4"/>
  <c r="K40" i="5"/>
  <c r="D40" i="5"/>
  <c r="L26" i="6"/>
  <c r="C26" i="6"/>
  <c r="C19" i="5" s="1"/>
  <c r="L44" i="5"/>
  <c r="O31" i="6"/>
  <c r="F42" i="5"/>
  <c r="N42" i="5"/>
  <c r="I43" i="5"/>
  <c r="D42" i="5"/>
  <c r="J44" i="5"/>
  <c r="C13" i="6"/>
  <c r="C31" i="6"/>
  <c r="O43" i="5"/>
  <c r="L42" i="5"/>
  <c r="I41" i="5"/>
  <c r="G43" i="5"/>
  <c r="K41" i="5"/>
  <c r="J17" i="6"/>
  <c r="J14" i="6" s="1"/>
  <c r="J15" i="6" s="1"/>
  <c r="E26" i="6"/>
  <c r="O57" i="6"/>
  <c r="O36" i="6"/>
  <c r="E34" i="24"/>
  <c r="E8" i="24" s="1"/>
  <c r="E13" i="24"/>
  <c r="O10" i="6"/>
  <c r="O35" i="5" s="1"/>
  <c r="D36" i="6"/>
  <c r="I17" i="6"/>
  <c r="I14" i="6" s="1"/>
  <c r="I15" i="6" s="1"/>
  <c r="N31" i="4"/>
  <c r="N38" i="4" s="1"/>
  <c r="H44" i="5"/>
  <c r="I40" i="5"/>
  <c r="L36" i="6"/>
  <c r="J31" i="6"/>
  <c r="N17" i="6"/>
  <c r="N14" i="6" s="1"/>
  <c r="N15" i="6" s="1"/>
  <c r="K13" i="6"/>
  <c r="F13" i="6"/>
  <c r="N13" i="6"/>
  <c r="E51" i="4"/>
  <c r="I57" i="6"/>
  <c r="F40" i="5"/>
  <c r="B51" i="4"/>
  <c r="H57" i="6"/>
  <c r="C17" i="6"/>
  <c r="C14" i="6" s="1"/>
  <c r="C6" i="5" s="1"/>
  <c r="I50" i="4"/>
  <c r="D50" i="4"/>
  <c r="D51" i="4" s="1"/>
  <c r="G44" i="5"/>
  <c r="O41" i="5"/>
  <c r="M43" i="5"/>
  <c r="J42" i="5"/>
  <c r="G41" i="5"/>
  <c r="E43" i="5"/>
  <c r="Q31" i="6"/>
  <c r="Q21" i="5" s="1"/>
  <c r="M31" i="6"/>
  <c r="M17" i="6"/>
  <c r="M14" i="6" s="1"/>
  <c r="M15" i="6" s="1"/>
  <c r="G17" i="6"/>
  <c r="G14" i="6" s="1"/>
  <c r="G15" i="6" s="1"/>
  <c r="L17" i="6"/>
  <c r="L14" i="6" s="1"/>
  <c r="L15" i="6" s="1"/>
  <c r="G31" i="6"/>
  <c r="I38" i="4"/>
  <c r="I51" i="4" s="1"/>
  <c r="M36" i="6"/>
  <c r="H50" i="4"/>
  <c r="H51" i="4" s="1"/>
  <c r="N44" i="5"/>
  <c r="F44" i="5"/>
  <c r="L31" i="6"/>
  <c r="F17" i="6"/>
  <c r="F14" i="6" s="1"/>
  <c r="F15" i="6" s="1"/>
  <c r="M13" i="6"/>
  <c r="J13" i="6"/>
  <c r="H17" i="6"/>
  <c r="H14" i="6" s="1"/>
  <c r="H15" i="6" s="1"/>
  <c r="I44" i="5"/>
  <c r="C45" i="6"/>
  <c r="G13" i="6"/>
  <c r="E36" i="6"/>
  <c r="J40" i="5"/>
  <c r="D13" i="6"/>
  <c r="M50" i="4"/>
  <c r="M51" i="4" s="1"/>
  <c r="C50" i="4"/>
  <c r="C51" i="4" s="1"/>
  <c r="N43" i="5"/>
  <c r="M40" i="5"/>
  <c r="K42" i="5"/>
  <c r="H41" i="5"/>
  <c r="F43" i="5"/>
  <c r="E40" i="5"/>
  <c r="K31" i="6"/>
  <c r="F26" i="6"/>
  <c r="F19" i="5" s="1"/>
  <c r="K17" i="6"/>
  <c r="K14" i="6" s="1"/>
  <c r="K15" i="6" s="1"/>
  <c r="O13" i="6"/>
  <c r="G13" i="24"/>
  <c r="G34" i="24"/>
  <c r="G8" i="24" s="1"/>
  <c r="G7" i="24"/>
  <c r="G6" i="24"/>
  <c r="C13" i="24"/>
  <c r="C34" i="5"/>
  <c r="O45" i="6"/>
  <c r="I31" i="6"/>
  <c r="H26" i="6"/>
  <c r="H19" i="5" s="1"/>
  <c r="L13" i="6"/>
  <c r="O17" i="6"/>
  <c r="O14" i="6" s="1"/>
  <c r="O6" i="5" s="1"/>
  <c r="E6" i="24"/>
  <c r="C34" i="24"/>
  <c r="C8" i="24" s="1"/>
  <c r="D19" i="6"/>
  <c r="D17" i="6" s="1"/>
  <c r="D14" i="6" s="1"/>
  <c r="D15" i="6" s="1"/>
  <c r="L51" i="4"/>
  <c r="N26" i="6"/>
  <c r="K26" i="6"/>
  <c r="K19" i="5" s="1"/>
  <c r="P13" i="6"/>
  <c r="O42" i="5"/>
  <c r="L41" i="5"/>
  <c r="J43" i="5"/>
  <c r="G42" i="5"/>
  <c r="N31" i="6"/>
  <c r="Q26" i="6"/>
  <c r="Q19" i="5" s="1"/>
  <c r="E7" i="24"/>
  <c r="E17" i="6"/>
  <c r="E14" i="6" s="1"/>
  <c r="E15" i="6" s="1"/>
  <c r="C6" i="24"/>
  <c r="C59" i="5"/>
  <c r="C35" i="5"/>
  <c r="D26" i="6"/>
  <c r="D19" i="5" s="1"/>
  <c r="F31" i="6"/>
  <c r="I26" i="6"/>
  <c r="I19" i="5" s="1"/>
  <c r="H13" i="6"/>
  <c r="D6" i="24"/>
  <c r="D7" i="24"/>
  <c r="D34" i="24"/>
  <c r="D8" i="24" s="1"/>
  <c r="D13" i="24"/>
  <c r="C33" i="5"/>
  <c r="C16" i="5"/>
  <c r="C32" i="5"/>
  <c r="D41" i="5"/>
  <c r="P31" i="6"/>
  <c r="P21" i="5" s="1"/>
  <c r="H31" i="6"/>
  <c r="P26" i="6"/>
  <c r="P19" i="5" s="1"/>
  <c r="Q17" i="6"/>
  <c r="Q14" i="6" s="1"/>
  <c r="L40" i="5"/>
  <c r="O40" i="5"/>
  <c r="M42" i="5"/>
  <c r="J41" i="5"/>
  <c r="H43" i="5"/>
  <c r="G40" i="5"/>
  <c r="E42" i="5"/>
  <c r="D44" i="5"/>
  <c r="M44" i="5"/>
  <c r="E44" i="5"/>
  <c r="C27" i="5"/>
  <c r="C42" i="5"/>
  <c r="N50" i="4"/>
  <c r="J50" i="4"/>
  <c r="J51" i="4" s="1"/>
  <c r="F50" i="4"/>
  <c r="F51" i="4" s="1"/>
  <c r="I45" i="6"/>
  <c r="D43" i="5"/>
  <c r="K44" i="5"/>
  <c r="H40" i="5"/>
  <c r="Q45" i="6"/>
  <c r="Q13" i="6"/>
  <c r="F68" i="23"/>
  <c r="F76" i="23" s="1"/>
  <c r="F42" i="23"/>
  <c r="F50" i="23" s="1"/>
  <c r="D4" i="25"/>
  <c r="D24" i="25" s="1"/>
  <c r="D37" i="25" s="1"/>
  <c r="D43" i="25" s="1"/>
  <c r="D47" i="25" s="1"/>
  <c r="D50" i="25" s="1"/>
  <c r="D16" i="5"/>
  <c r="D34" i="5"/>
  <c r="D33" i="5"/>
  <c r="D32" i="5"/>
  <c r="D31" i="5"/>
  <c r="D47" i="5"/>
  <c r="D48" i="5"/>
  <c r="C26" i="4"/>
  <c r="I54" i="5"/>
  <c r="H35" i="7"/>
  <c r="H37" i="7" s="1"/>
  <c r="I56" i="6" s="1"/>
  <c r="H54" i="5"/>
  <c r="G35" i="7"/>
  <c r="G37" i="7" s="1"/>
  <c r="H56" i="6" s="1"/>
  <c r="G54" i="5"/>
  <c r="F35" i="7"/>
  <c r="F37" i="7" s="1"/>
  <c r="G56" i="6" s="1"/>
  <c r="O16" i="5"/>
  <c r="N16" i="5"/>
  <c r="M16" i="5"/>
  <c r="L16" i="5"/>
  <c r="K16" i="5"/>
  <c r="J16" i="5"/>
  <c r="I16" i="5"/>
  <c r="H16" i="5"/>
  <c r="G16" i="5"/>
  <c r="F16" i="5"/>
  <c r="E16" i="5"/>
  <c r="O19" i="5"/>
  <c r="O20" i="5"/>
  <c r="M19" i="5"/>
  <c r="L19" i="5"/>
  <c r="L20" i="5"/>
  <c r="J19" i="5"/>
  <c r="G19" i="5"/>
  <c r="E19" i="5"/>
  <c r="J6" i="5"/>
  <c r="I6" i="5"/>
  <c r="G6" i="5"/>
  <c r="G8" i="5"/>
  <c r="O34" i="5"/>
  <c r="N34" i="5"/>
  <c r="M34" i="5"/>
  <c r="L34" i="5"/>
  <c r="K34" i="5"/>
  <c r="J34" i="5"/>
  <c r="I34" i="5"/>
  <c r="H34" i="5"/>
  <c r="G34" i="5"/>
  <c r="F34" i="5"/>
  <c r="E34" i="5"/>
  <c r="O33" i="5"/>
  <c r="N33" i="5"/>
  <c r="M33" i="5"/>
  <c r="L33" i="5"/>
  <c r="K33" i="5"/>
  <c r="J33" i="5"/>
  <c r="I33" i="5"/>
  <c r="H33" i="5"/>
  <c r="G33" i="5"/>
  <c r="F33" i="5"/>
  <c r="E33" i="5"/>
  <c r="O32" i="5"/>
  <c r="N32" i="5"/>
  <c r="M32" i="5"/>
  <c r="L32" i="5"/>
  <c r="K32" i="5"/>
  <c r="J32" i="5"/>
  <c r="I32" i="5"/>
  <c r="H32" i="5"/>
  <c r="G32" i="5"/>
  <c r="F32" i="5"/>
  <c r="E32" i="5"/>
  <c r="O31" i="5"/>
  <c r="M31" i="5"/>
  <c r="L31" i="5"/>
  <c r="K31" i="5"/>
  <c r="J31" i="5"/>
  <c r="I31" i="5"/>
  <c r="H31" i="5"/>
  <c r="G31" i="5"/>
  <c r="F31" i="5"/>
  <c r="E31" i="5"/>
  <c r="N26" i="4"/>
  <c r="O5" i="6" s="1"/>
  <c r="N47" i="5"/>
  <c r="N48" i="5"/>
  <c r="M26" i="4"/>
  <c r="N5" i="6" s="1"/>
  <c r="M47" i="5"/>
  <c r="M48" i="5"/>
  <c r="L26" i="4"/>
  <c r="M5" i="6" s="1"/>
  <c r="L47" i="5"/>
  <c r="L48" i="5"/>
  <c r="K26" i="4"/>
  <c r="L5" i="6" s="1"/>
  <c r="K47" i="5"/>
  <c r="K48" i="5"/>
  <c r="J26" i="4"/>
  <c r="K5" i="6" s="1"/>
  <c r="J47" i="5"/>
  <c r="J48" i="5"/>
  <c r="I26" i="4"/>
  <c r="J5" i="6" s="1"/>
  <c r="I47" i="5"/>
  <c r="I48" i="5"/>
  <c r="H26" i="4"/>
  <c r="I5" i="6" s="1"/>
  <c r="H47" i="5"/>
  <c r="H48" i="5"/>
  <c r="G26" i="4"/>
  <c r="G47" i="5"/>
  <c r="G48" i="5"/>
  <c r="F26" i="4"/>
  <c r="F47" i="5"/>
  <c r="F48" i="5"/>
  <c r="E26" i="4"/>
  <c r="E47" i="5"/>
  <c r="E48" i="5"/>
  <c r="D26" i="4"/>
  <c r="M29" i="7"/>
  <c r="M33" i="7" s="1"/>
  <c r="N55" i="5"/>
  <c r="L29" i="7"/>
  <c r="L33" i="7" s="1"/>
  <c r="M55" i="5"/>
  <c r="K29" i="7"/>
  <c r="K33" i="7" s="1"/>
  <c r="L55" i="5"/>
  <c r="J29" i="7"/>
  <c r="J33" i="7" s="1"/>
  <c r="K55" i="5"/>
  <c r="I29" i="7"/>
  <c r="I33" i="7" s="1"/>
  <c r="J55" i="5"/>
  <c r="I55" i="5"/>
  <c r="I56" i="5"/>
  <c r="H55" i="5"/>
  <c r="H56" i="5"/>
  <c r="G55" i="5"/>
  <c r="G56" i="5"/>
  <c r="F56" i="5"/>
  <c r="E55" i="5"/>
  <c r="E56" i="5"/>
  <c r="D55" i="5"/>
  <c r="D56" i="5"/>
  <c r="N33" i="7"/>
  <c r="AJ51" i="4" l="1"/>
  <c r="AK23" i="6" s="1"/>
  <c r="AK9" i="6"/>
  <c r="AI51" i="4"/>
  <c r="AJ9" i="6"/>
  <c r="AH51" i="4"/>
  <c r="AI9" i="6"/>
  <c r="AG51" i="4"/>
  <c r="AH9" i="6"/>
  <c r="AF52" i="4"/>
  <c r="AE52" i="4"/>
  <c r="W25" i="5"/>
  <c r="W10" i="5"/>
  <c r="W15" i="5"/>
  <c r="W7" i="5"/>
  <c r="V24" i="5"/>
  <c r="V59" i="5"/>
  <c r="Y29" i="7"/>
  <c r="Y33" i="7" s="1"/>
  <c r="Z55" i="5"/>
  <c r="W21" i="5"/>
  <c r="T10" i="5"/>
  <c r="T27" i="5"/>
  <c r="T14" i="5"/>
  <c r="W40" i="5"/>
  <c r="W19" i="5"/>
  <c r="S15" i="5"/>
  <c r="S26" i="5"/>
  <c r="AA59" i="5"/>
  <c r="AA24" i="5"/>
  <c r="AA9" i="5"/>
  <c r="P30" i="5"/>
  <c r="P26" i="5"/>
  <c r="P15" i="5"/>
  <c r="Y25" i="5"/>
  <c r="Y24" i="5"/>
  <c r="Y59" i="5"/>
  <c r="U7" i="5"/>
  <c r="S57" i="5"/>
  <c r="W29" i="7"/>
  <c r="W33" i="7" s="1"/>
  <c r="X55" i="5"/>
  <c r="X9" i="6"/>
  <c r="X43" i="5" s="1"/>
  <c r="W51" i="4"/>
  <c r="U57" i="5"/>
  <c r="X30" i="5"/>
  <c r="X24" i="5"/>
  <c r="Q29" i="7"/>
  <c r="Q33" i="7" s="1"/>
  <c r="R55" i="5"/>
  <c r="X35" i="7"/>
  <c r="X37" i="7" s="1"/>
  <c r="X56" i="6" s="1"/>
  <c r="Y54" i="5"/>
  <c r="AB55" i="5"/>
  <c r="AA29" i="7"/>
  <c r="AA33" i="7" s="1"/>
  <c r="AA52" i="4"/>
  <c r="AB5" i="6"/>
  <c r="U24" i="5"/>
  <c r="U31" i="5"/>
  <c r="U19" i="5"/>
  <c r="S34" i="5"/>
  <c r="S27" i="5"/>
  <c r="R51" i="4"/>
  <c r="U6" i="5"/>
  <c r="U21" i="5"/>
  <c r="V21" i="5"/>
  <c r="AA34" i="5"/>
  <c r="AA27" i="5"/>
  <c r="U34" i="5"/>
  <c r="U27" i="5"/>
  <c r="S9" i="5"/>
  <c r="U26" i="5"/>
  <c r="W14" i="5"/>
  <c r="S24" i="5"/>
  <c r="AA57" i="5"/>
  <c r="V15" i="5"/>
  <c r="P35" i="7"/>
  <c r="P37" i="7" s="1"/>
  <c r="P56" i="6" s="1"/>
  <c r="Q54" i="5"/>
  <c r="W27" i="5"/>
  <c r="W34" i="5"/>
  <c r="Z35" i="7"/>
  <c r="Z37" i="7" s="1"/>
  <c r="Z56" i="6" s="1"/>
  <c r="AA54" i="5"/>
  <c r="V29" i="7"/>
  <c r="V33" i="7" s="1"/>
  <c r="U35" i="7"/>
  <c r="U37" i="7" s="1"/>
  <c r="U56" i="6" s="1"/>
  <c r="V54" i="5"/>
  <c r="Y8" i="5"/>
  <c r="U20" i="5"/>
  <c r="AA21" i="5"/>
  <c r="V10" i="5"/>
  <c r="Z9" i="5"/>
  <c r="Z30" i="5"/>
  <c r="Z26" i="5"/>
  <c r="Z24" i="5"/>
  <c r="Z15" i="5"/>
  <c r="Z59" i="5"/>
  <c r="AA15" i="5"/>
  <c r="V51" i="4"/>
  <c r="M20" i="5"/>
  <c r="N51" i="4"/>
  <c r="G51" i="4"/>
  <c r="W9" i="5"/>
  <c r="W26" i="5"/>
  <c r="W59" i="5"/>
  <c r="W30" i="5"/>
  <c r="Y35" i="7"/>
  <c r="Y37" i="7" s="1"/>
  <c r="Y56" i="6" s="1"/>
  <c r="Z54" i="5"/>
  <c r="AI15" i="6"/>
  <c r="Y20" i="5"/>
  <c r="U59" i="5"/>
  <c r="V57" i="5"/>
  <c r="W57" i="5"/>
  <c r="AA26" i="5"/>
  <c r="U40" i="5"/>
  <c r="Y30" i="5"/>
  <c r="Y9" i="5"/>
  <c r="Y14" i="5"/>
  <c r="P25" i="5"/>
  <c r="S59" i="5"/>
  <c r="V14" i="5"/>
  <c r="D54" i="5"/>
  <c r="C35" i="7"/>
  <c r="C37" i="7" s="1"/>
  <c r="D56" i="6" s="1"/>
  <c r="Z14" i="5"/>
  <c r="Y21" i="5"/>
  <c r="E54" i="5"/>
  <c r="D35" i="7"/>
  <c r="D37" i="7" s="1"/>
  <c r="E56" i="6" s="1"/>
  <c r="P24" i="5"/>
  <c r="S35" i="7"/>
  <c r="S37" i="7" s="1"/>
  <c r="S56" i="6" s="1"/>
  <c r="T54" i="5"/>
  <c r="F54" i="5"/>
  <c r="E35" i="7"/>
  <c r="E37" i="7" s="1"/>
  <c r="F56" i="6" s="1"/>
  <c r="F55" i="5"/>
  <c r="O48" i="5"/>
  <c r="K8" i="5"/>
  <c r="T35" i="7"/>
  <c r="T37" i="7" s="1"/>
  <c r="T56" i="6" s="1"/>
  <c r="U54" i="5"/>
  <c r="AH15" i="6"/>
  <c r="V7" i="5"/>
  <c r="Y7" i="5"/>
  <c r="U9" i="5"/>
  <c r="U25" i="5"/>
  <c r="T30" i="5"/>
  <c r="T59" i="5"/>
  <c r="T9" i="5"/>
  <c r="T26" i="5"/>
  <c r="Y27" i="5"/>
  <c r="Y57" i="5"/>
  <c r="R27" i="5"/>
  <c r="R34" i="5"/>
  <c r="T15" i="5"/>
  <c r="Q30" i="5"/>
  <c r="Q9" i="5"/>
  <c r="Q14" i="5"/>
  <c r="Q26" i="5"/>
  <c r="T24" i="5"/>
  <c r="T25" i="5"/>
  <c r="U15" i="5"/>
  <c r="U15" i="6"/>
  <c r="U10" i="5" s="1"/>
  <c r="K6" i="5"/>
  <c r="K51" i="4"/>
  <c r="V30" i="5"/>
  <c r="V9" i="5"/>
  <c r="V25" i="5"/>
  <c r="V27" i="5"/>
  <c r="O35" i="7"/>
  <c r="O37" i="7" s="1"/>
  <c r="O56" i="6" s="1"/>
  <c r="P54" i="5"/>
  <c r="W43" i="5"/>
  <c r="S30" i="5"/>
  <c r="S25" i="5"/>
  <c r="U14" i="5"/>
  <c r="Z27" i="5"/>
  <c r="Z34" i="5"/>
  <c r="R43" i="5"/>
  <c r="V26" i="5"/>
  <c r="W35" i="7"/>
  <c r="W37" i="7" s="1"/>
  <c r="W56" i="6" s="1"/>
  <c r="X54" i="5"/>
  <c r="AA55" i="5"/>
  <c r="AA43" i="5"/>
  <c r="X34" i="5"/>
  <c r="X27" i="5"/>
  <c r="Q15" i="5"/>
  <c r="T57" i="5"/>
  <c r="P27" i="5"/>
  <c r="R35" i="7"/>
  <c r="R37" i="7" s="1"/>
  <c r="R56" i="6" s="1"/>
  <c r="S54" i="5"/>
  <c r="W31" i="5"/>
  <c r="W24" i="5"/>
  <c r="AA30" i="5"/>
  <c r="AA25" i="5"/>
  <c r="Z43" i="5"/>
  <c r="V55" i="5"/>
  <c r="Z57" i="5"/>
  <c r="S43" i="5"/>
  <c r="AB15" i="6"/>
  <c r="AB20" i="5"/>
  <c r="AB6" i="5"/>
  <c r="AB7" i="5"/>
  <c r="AB8" i="5"/>
  <c r="P15" i="6"/>
  <c r="P10" i="5" s="1"/>
  <c r="P7" i="5"/>
  <c r="P20" i="5"/>
  <c r="P6" i="5"/>
  <c r="P8" i="5"/>
  <c r="S15" i="6"/>
  <c r="S10" i="5" s="1"/>
  <c r="S7" i="5"/>
  <c r="S20" i="5"/>
  <c r="S6" i="5"/>
  <c r="S8" i="5"/>
  <c r="Z15" i="6"/>
  <c r="Z10" i="5" s="1"/>
  <c r="Z7" i="5"/>
  <c r="Z20" i="5"/>
  <c r="Z6" i="5"/>
  <c r="Z8" i="5"/>
  <c r="Q15" i="6"/>
  <c r="Q10" i="5" s="1"/>
  <c r="Q7" i="5"/>
  <c r="Q20" i="5"/>
  <c r="Q8" i="5"/>
  <c r="Q6" i="5"/>
  <c r="R15" i="6"/>
  <c r="R10" i="5" s="1"/>
  <c r="R7" i="5"/>
  <c r="R20" i="5"/>
  <c r="R6" i="5"/>
  <c r="R8" i="5"/>
  <c r="AA15" i="6"/>
  <c r="AA10" i="5" s="1"/>
  <c r="AA7" i="5"/>
  <c r="AA20" i="5"/>
  <c r="AA6" i="5"/>
  <c r="AA8" i="5"/>
  <c r="N19" i="5"/>
  <c r="B52" i="4"/>
  <c r="N40" i="5"/>
  <c r="C25" i="5"/>
  <c r="C30" i="5"/>
  <c r="C57" i="5"/>
  <c r="C24" i="5"/>
  <c r="C14" i="5"/>
  <c r="N8" i="5"/>
  <c r="C9" i="5"/>
  <c r="C26" i="5"/>
  <c r="C21" i="5"/>
  <c r="E20" i="5"/>
  <c r="N6" i="5"/>
  <c r="O44" i="5"/>
  <c r="E6" i="5"/>
  <c r="N20" i="5"/>
  <c r="G20" i="5"/>
  <c r="F8" i="5"/>
  <c r="L8" i="5"/>
  <c r="E8" i="5"/>
  <c r="F6" i="5"/>
  <c r="L6" i="5"/>
  <c r="K20" i="5"/>
  <c r="J8" i="5"/>
  <c r="C20" i="5"/>
  <c r="H8" i="5"/>
  <c r="I20" i="5"/>
  <c r="H6" i="5"/>
  <c r="I8" i="5"/>
  <c r="J20" i="5"/>
  <c r="C15" i="6"/>
  <c r="C10" i="5" s="1"/>
  <c r="F20" i="5"/>
  <c r="M6" i="5"/>
  <c r="C8" i="5"/>
  <c r="O47" i="5"/>
  <c r="C7" i="5"/>
  <c r="O8" i="5"/>
  <c r="H20" i="5"/>
  <c r="M8" i="5"/>
  <c r="D6" i="5"/>
  <c r="D20" i="5"/>
  <c r="D8" i="5"/>
  <c r="N35" i="7"/>
  <c r="O54" i="5"/>
  <c r="J54" i="5"/>
  <c r="I35" i="7"/>
  <c r="I37" i="7" s="1"/>
  <c r="J56" i="6" s="1"/>
  <c r="K54" i="5"/>
  <c r="J35" i="7"/>
  <c r="J37" i="7" s="1"/>
  <c r="K56" i="6" s="1"/>
  <c r="L54" i="5"/>
  <c r="K35" i="7"/>
  <c r="K37" i="7" s="1"/>
  <c r="L56" i="6" s="1"/>
  <c r="M54" i="5"/>
  <c r="L35" i="7"/>
  <c r="L37" i="7" s="1"/>
  <c r="M56" i="6" s="1"/>
  <c r="N54" i="5"/>
  <c r="M35" i="7"/>
  <c r="M37" i="7" s="1"/>
  <c r="N56" i="6" s="1"/>
  <c r="E5" i="6"/>
  <c r="D52" i="4"/>
  <c r="F5" i="6"/>
  <c r="E52" i="4"/>
  <c r="G5" i="6"/>
  <c r="F52" i="4"/>
  <c r="H5" i="6"/>
  <c r="G52" i="4"/>
  <c r="I30" i="5"/>
  <c r="I15" i="5"/>
  <c r="I14" i="5"/>
  <c r="I57" i="5"/>
  <c r="I21" i="5"/>
  <c r="I59" i="5"/>
  <c r="I10" i="5"/>
  <c r="I7" i="5"/>
  <c r="I9" i="5"/>
  <c r="I27" i="5"/>
  <c r="I26" i="5"/>
  <c r="I25" i="5"/>
  <c r="I24" i="5"/>
  <c r="J30" i="5"/>
  <c r="J15" i="5"/>
  <c r="J14" i="5"/>
  <c r="J57" i="5"/>
  <c r="J21" i="5"/>
  <c r="J59" i="5"/>
  <c r="J10" i="5"/>
  <c r="J7" i="5"/>
  <c r="J9" i="5"/>
  <c r="J27" i="5"/>
  <c r="J26" i="5"/>
  <c r="J25" i="5"/>
  <c r="J24" i="5"/>
  <c r="K30" i="5"/>
  <c r="K15" i="5"/>
  <c r="K14" i="5"/>
  <c r="K57" i="5"/>
  <c r="K21" i="5"/>
  <c r="K59" i="5"/>
  <c r="K10" i="5"/>
  <c r="K7" i="5"/>
  <c r="K9" i="5"/>
  <c r="K27" i="5"/>
  <c r="K26" i="5"/>
  <c r="K25" i="5"/>
  <c r="K24" i="5"/>
  <c r="L30" i="5"/>
  <c r="L15" i="5"/>
  <c r="L14" i="5"/>
  <c r="L57" i="5"/>
  <c r="L21" i="5"/>
  <c r="L59" i="5"/>
  <c r="L10" i="5"/>
  <c r="L7" i="5"/>
  <c r="L9" i="5"/>
  <c r="L27" i="5"/>
  <c r="L26" i="5"/>
  <c r="L25" i="5"/>
  <c r="L24" i="5"/>
  <c r="M30" i="5"/>
  <c r="M15" i="5"/>
  <c r="M14" i="5"/>
  <c r="M57" i="5"/>
  <c r="M21" i="5"/>
  <c r="M59" i="5"/>
  <c r="M10" i="5"/>
  <c r="M7" i="5"/>
  <c r="M9" i="5"/>
  <c r="M27" i="5"/>
  <c r="M26" i="5"/>
  <c r="M25" i="5"/>
  <c r="M24" i="5"/>
  <c r="N30" i="5"/>
  <c r="N15" i="5"/>
  <c r="N14" i="5"/>
  <c r="N57" i="5"/>
  <c r="N21" i="5"/>
  <c r="N59" i="5"/>
  <c r="N10" i="5"/>
  <c r="N7" i="5"/>
  <c r="N9" i="5"/>
  <c r="N27" i="5"/>
  <c r="N26" i="5"/>
  <c r="N25" i="5"/>
  <c r="N24" i="5"/>
  <c r="O10" i="5"/>
  <c r="O30" i="5"/>
  <c r="O15" i="5"/>
  <c r="O14" i="5"/>
  <c r="O57" i="5"/>
  <c r="O21" i="5"/>
  <c r="O59" i="5"/>
  <c r="O7" i="5"/>
  <c r="O9" i="5"/>
  <c r="O27" i="5"/>
  <c r="O26" i="5"/>
  <c r="O25" i="5"/>
  <c r="O24" i="5"/>
  <c r="D5" i="6"/>
  <c r="C52" i="4"/>
  <c r="AJ23" i="6" l="1"/>
  <c r="AI52" i="4"/>
  <c r="AI23" i="6"/>
  <c r="AH52" i="4"/>
  <c r="AH23" i="6"/>
  <c r="AG52" i="4"/>
  <c r="AB59" i="5"/>
  <c r="AB30" i="5"/>
  <c r="AB26" i="5"/>
  <c r="AB25" i="5"/>
  <c r="AB15" i="5"/>
  <c r="AB57" i="5"/>
  <c r="AB14" i="5"/>
  <c r="AB24" i="5"/>
  <c r="AB27" i="5"/>
  <c r="AB9" i="5"/>
  <c r="V35" i="7"/>
  <c r="V37" i="7" s="1"/>
  <c r="V56" i="6" s="1"/>
  <c r="W54" i="5"/>
  <c r="AA35" i="7"/>
  <c r="AA37" i="7" s="1"/>
  <c r="AA56" i="6" s="1"/>
  <c r="AB54" i="5"/>
  <c r="AB21" i="5"/>
  <c r="AB10" i="5"/>
  <c r="Q35" i="7"/>
  <c r="Q37" i="7" s="1"/>
  <c r="Q56" i="6" s="1"/>
  <c r="R54" i="5"/>
  <c r="D30" i="5"/>
  <c r="D10" i="5"/>
  <c r="D15" i="5"/>
  <c r="D14" i="5"/>
  <c r="D57" i="5"/>
  <c r="D21" i="5"/>
  <c r="D59" i="5"/>
  <c r="D7" i="5"/>
  <c r="D9" i="5"/>
  <c r="D27" i="5"/>
  <c r="D26" i="5"/>
  <c r="D25" i="5"/>
  <c r="D24" i="5"/>
  <c r="H30" i="5"/>
  <c r="H15" i="5"/>
  <c r="H14" i="5"/>
  <c r="H57" i="5"/>
  <c r="H21" i="5"/>
  <c r="H59" i="5"/>
  <c r="H10" i="5"/>
  <c r="H7" i="5"/>
  <c r="H9" i="5"/>
  <c r="H27" i="5"/>
  <c r="H26" i="5"/>
  <c r="H25" i="5"/>
  <c r="H24" i="5"/>
  <c r="G30" i="5"/>
  <c r="G15" i="5"/>
  <c r="G14" i="5"/>
  <c r="G57" i="5"/>
  <c r="G21" i="5"/>
  <c r="G59" i="5"/>
  <c r="G10" i="5"/>
  <c r="G7" i="5"/>
  <c r="G9" i="5"/>
  <c r="G27" i="5"/>
  <c r="G26" i="5"/>
  <c r="G25" i="5"/>
  <c r="G24" i="5"/>
  <c r="F30" i="5"/>
  <c r="F15" i="5"/>
  <c r="F14" i="5"/>
  <c r="F57" i="5"/>
  <c r="F21" i="5"/>
  <c r="F59" i="5"/>
  <c r="F10" i="5"/>
  <c r="F7" i="5"/>
  <c r="F9" i="5"/>
  <c r="F27" i="5"/>
  <c r="F26" i="5"/>
  <c r="F25" i="5"/>
  <c r="F24" i="5"/>
  <c r="E30" i="5"/>
  <c r="E15" i="5"/>
  <c r="E14" i="5"/>
  <c r="E57" i="5"/>
  <c r="E21" i="5"/>
  <c r="E59" i="5"/>
  <c r="E10" i="5"/>
  <c r="E7" i="5"/>
  <c r="E9" i="5"/>
  <c r="E27" i="5"/>
  <c r="E26" i="5"/>
  <c r="E25" i="5"/>
  <c r="E24" i="5"/>
  <c r="N40" i="7"/>
  <c r="N3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IORETA</author>
  </authors>
  <commentList>
    <comment ref="F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F6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F32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F3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F58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F59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George Okeyo</author>
  </authors>
  <commentList>
    <comment ref="A3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George Okeyo:</t>
        </r>
        <r>
          <rPr>
            <sz val="9"/>
            <color indexed="81"/>
            <rFont val="Tahoma"/>
            <family val="2"/>
          </rPr>
          <t xml:space="preserve">
Listing</t>
        </r>
      </text>
    </comment>
  </commentList>
</comments>
</file>

<file path=xl/sharedStrings.xml><?xml version="1.0" encoding="utf-8"?>
<sst xmlns="http://schemas.openxmlformats.org/spreadsheetml/2006/main" count="454" uniqueCount="314">
  <si>
    <t xml:space="preserve">Good Faith Sacco </t>
  </si>
  <si>
    <t>STATEMENT OF FINANCIAL POSITION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</si>
  <si>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</si>
  <si>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</si>
  <si>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</si>
  <si>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</si>
  <si>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</si>
  <si>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</si>
  <si>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</si>
  <si>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</si>
  <si>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</si>
  <si>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</si>
  <si>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</si>
  <si>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</si>
  <si>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audited 2021</t>
  </si>
  <si>
    <t>Aud-22</t>
  </si>
  <si>
    <t>Cash &amp; Cash Equivalent</t>
  </si>
  <si>
    <t>Cash in hand</t>
  </si>
  <si>
    <t>Cash at bank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</si>
  <si>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</si>
  <si>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</si>
  <si>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</si>
  <si>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</si>
  <si>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with other SACCO Societies</t>
  </si>
  <si>
    <t xml:space="preserve">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</si>
  <si>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</si>
  <si>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</si>
  <si>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</si>
  <si>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</si>
  <si>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</si>
  <si>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</si>
  <si>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</si>
  <si>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</si>
  <si>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</si>
  <si>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</si>
  <si>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</si>
  <si>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</si>
  <si>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</si>
  <si>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</si>
  <si>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</si>
  <si>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</si>
  <si>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</si>
  <si>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</si>
  <si>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</si>
  <si>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</si>
  <si>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</si>
  <si>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</si>
  <si>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</si>
  <si>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</si>
  <si>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</si>
  <si>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</si>
  <si>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</si>
  <si>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</si>
  <si>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</si>
  <si>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</si>
  <si>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</si>
  <si>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</si>
  <si>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</si>
  <si>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</si>
  <si>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</si>
  <si>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</si>
  <si>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</si>
  <si>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</si>
  <si>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</si>
  <si>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t>ELIMU SACCO SOCIETY</t>
  </si>
  <si>
    <t>STATEMENT OF COMPREHENSIVE INCOME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</si>
  <si>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</si>
  <si>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</si>
  <si>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</si>
  <si>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</si>
  <si>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</si>
  <si>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</si>
  <si>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</si>
  <si>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</si>
  <si>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</si>
  <si>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</si>
  <si>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</si>
  <si>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</si>
  <si>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Aud-21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</si>
  <si>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</si>
  <si>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</si>
  <si>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</si>
  <si>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</si>
  <si>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</si>
  <si>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</si>
  <si>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</si>
  <si>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</si>
  <si>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</si>
  <si>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</si>
  <si>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</si>
  <si>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</si>
  <si>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</si>
  <si>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</si>
  <si>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</si>
  <si>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</si>
  <si>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</si>
  <si>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</si>
  <si>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</si>
  <si>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</si>
  <si>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</si>
  <si>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</si>
  <si>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</si>
  <si>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</si>
  <si>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</si>
  <si>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</si>
  <si>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</si>
  <si>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</si>
  <si>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</si>
  <si>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</si>
  <si>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0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</si>
  <si>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</si>
  <si>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</si>
  <si>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</si>
  <si>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 xml:space="preserve">ELIMU SACCO SOCIETY </t>
  </si>
  <si>
    <t>Year</t>
  </si>
  <si>
    <t>Membership</t>
  </si>
  <si>
    <t>Total Deposits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</si>
  <si>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</si>
  <si>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</si>
  <si>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</si>
  <si>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</si>
  <si>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</si>
  <si>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</si>
  <si>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</si>
  <si>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</si>
  <si>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</si>
  <si>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</si>
  <si>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</si>
  <si>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</si>
  <si>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</si>
  <si>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</si>
  <si>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</si>
  <si>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</si>
  <si>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</si>
  <si>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</si>
  <si>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</si>
  <si>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</si>
  <si>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</si>
  <si>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</si>
  <si>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</si>
  <si>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</si>
  <si>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</si>
  <si>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</si>
  <si>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 Performing Loans</t>
  </si>
  <si>
    <t>Required loan loss provision</t>
  </si>
  <si>
    <t>Cash and Cash equipments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</si>
  <si>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</si>
  <si>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</si>
  <si>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</si>
  <si>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</si>
  <si>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</si>
  <si>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</si>
  <si>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</si>
  <si>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</si>
  <si>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</si>
  <si>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</si>
  <si>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</si>
  <si>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</si>
  <si>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LLP</t>
  </si>
  <si>
    <t>Net Surplus</t>
  </si>
  <si>
    <t>Liquid Assets</t>
  </si>
  <si>
    <t>Short term Liabilities + deposits</t>
  </si>
  <si>
    <t>Good Faith SACCO SOCIETY LTD</t>
  </si>
  <si>
    <t xml:space="preserve"> Sacco Financial Performance </t>
  </si>
  <si>
    <t>FINANCIAL SOUNDNESS INDICATORS</t>
  </si>
  <si>
    <t>Prude.  Std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</si>
  <si>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</si>
  <si>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</si>
  <si>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</si>
  <si>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</si>
  <si>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</si>
  <si>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</si>
  <si>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</si>
  <si>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Share Capital/Total Assets</t>
  </si>
  <si>
    <t>≤2%</t>
  </si>
  <si>
    <t>Institutional Capital/Total Assets</t>
  </si>
  <si>
    <t>ASSET MIX AND QUALITY</t>
  </si>
  <si>
    <t>Non Earning Assets</t>
  </si>
  <si>
    <t>Non earning Assets/Total assets</t>
  </si>
  <si>
    <t>≤ 10%</t>
  </si>
  <si>
    <t xml:space="preserve">Property and Equipment/Total Assets </t>
  </si>
  <si>
    <t>≤ 5%</t>
  </si>
  <si>
    <t xml:space="preserve">Non Performing loans/Gross Loans </t>
  </si>
  <si>
    <t>≤ 6%</t>
  </si>
  <si>
    <t>Earning Assets</t>
  </si>
  <si>
    <t>Equities &amp; Investments/Deposits</t>
  </si>
  <si>
    <t>Equities &amp; Investments/Core Capital</t>
  </si>
  <si>
    <t>≤ 40%</t>
  </si>
  <si>
    <t>Net Loans &amp; advances /Total assets</t>
  </si>
  <si>
    <t>NPR</t>
  </si>
  <si>
    <t>NPL</t>
  </si>
  <si>
    <t>FUNDING MIX</t>
  </si>
  <si>
    <t>Total Deposits/Total Assets</t>
  </si>
  <si>
    <t>BOSA Deposits/Total Assets</t>
  </si>
  <si>
    <t>FOSA Deposits/Total Assets</t>
  </si>
  <si>
    <t>External Borrowing/Total assets</t>
  </si>
  <si>
    <t>≤ 25%</t>
  </si>
  <si>
    <t>GROWTH RATIOS</t>
  </si>
  <si>
    <t>FOSA Deposits</t>
  </si>
  <si>
    <t>BOSA Deposits</t>
  </si>
  <si>
    <t>Core capital</t>
  </si>
  <si>
    <t>Total Gross Income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</si>
  <si>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</si>
  <si>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</si>
  <si>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</si>
  <si>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</si>
  <si>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</si>
  <si>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</si>
  <si>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</si>
  <si>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>minimum Liquidity</t>
  </si>
  <si>
    <t>technical Liquidity</t>
  </si>
  <si>
    <t>Loan Loss Provisions Ratios</t>
  </si>
  <si>
    <t>Actual LLP / Required LLP</t>
  </si>
  <si>
    <t xml:space="preserve">Loan interest/Net Loans </t>
  </si>
  <si>
    <t>RETURN ON ASSETS</t>
  </si>
  <si>
    <t>COST INCOME RATIO</t>
  </si>
  <si>
    <t>OPERATING EXPENSE RATIO</t>
  </si>
  <si>
    <t>LIQUID ASSETS/TOTAL ASSETS</t>
  </si>
  <si>
    <t>ALLOWANCE FOR LOAN LOSS/NON PERFORMING L0ANS</t>
  </si>
  <si>
    <t>GROSS LOANS/TOTAL ASSETS</t>
  </si>
  <si>
    <t>FORM 4 SASRA2/004</t>
  </si>
  <si>
    <t>RISK CLASSIFICATION OF ASSETS AND PROVISIONING</t>
  </si>
  <si>
    <t>SACCO SOCIETY CS NUMBER</t>
  </si>
  <si>
    <t>2032</t>
  </si>
  <si>
    <t xml:space="preserve">FINANCIAL YEAR </t>
  </si>
  <si>
    <t>START DATE:</t>
  </si>
  <si>
    <t>1/1/2018</t>
  </si>
  <si>
    <t>END DATE:</t>
  </si>
  <si>
    <t>31/3/2018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</si>
  <si>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</si>
  <si>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</si>
  <si>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</si>
  <si>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</si>
  <si>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</si>
  <si>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</si>
  <si>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</si>
  <si>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</si>
  <si>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</si>
  <si>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</si>
  <si>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</si>
  <si>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</si>
  <si>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</si>
  <si>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</si>
  <si>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</si>
  <si>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</si>
  <si>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</si>
  <si>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</si>
  <si>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</si>
  <si>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r>
      <t>Note:</t>
    </r>
    <r>
      <rPr>
        <sz val="10.5"/>
        <rFont val="Cambria"/>
        <family val="1"/>
      </rPr>
      <t xml:space="preserve"> This return should be received on or before the 15th day of the month following end of every  quarter </t>
    </r>
  </si>
  <si>
    <t>31/6/2018</t>
  </si>
  <si>
    <t>30/9/2018</t>
  </si>
  <si>
    <t>ELIMU SACCO SOCIETY LIMITED</t>
  </si>
  <si>
    <t>PERFORMANCE AND COMPLIANCE REPORT AS AT :  30th September , 2018</t>
  </si>
  <si>
    <t>Prud Std</t>
  </si>
  <si>
    <t>Audited</t>
  </si>
  <si>
    <t>Returns</t>
  </si>
  <si>
    <t>Aggregate for all Licensed Saccos</t>
  </si>
  <si>
    <t>Validated July 2018</t>
  </si>
  <si>
    <t>A. CAPITAL  ADEQUACY</t>
  </si>
  <si>
    <t xml:space="preserve">Core Capital </t>
  </si>
  <si>
    <r>
      <rPr>
        <sz val="12"/>
        <color indexed="8"/>
        <rFont val="Calibri"/>
        <family val="2"/>
      </rPr>
      <t>≥</t>
    </r>
    <r>
      <rPr>
        <sz val="12"/>
        <color indexed="8"/>
        <rFont val="Cambria"/>
        <family val="1"/>
      </rPr>
      <t>10M</t>
    </r>
  </si>
  <si>
    <t>Core Capital/Total Assets</t>
  </si>
  <si>
    <r>
      <rPr>
        <sz val="12"/>
        <color indexed="8"/>
        <rFont val="Calibri"/>
        <family val="2"/>
      </rPr>
      <t>≥</t>
    </r>
    <r>
      <rPr>
        <sz val="12"/>
        <color indexed="8"/>
        <rFont val="Cambria"/>
        <family val="1"/>
      </rPr>
      <t>10%</t>
    </r>
  </si>
  <si>
    <r>
      <rPr>
        <sz val="12"/>
        <color indexed="8"/>
        <rFont val="Calibri"/>
        <family val="2"/>
      </rPr>
      <t>≥</t>
    </r>
    <r>
      <rPr>
        <sz val="12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</si>
  <si>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</si>
  <si>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</si>
  <si>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</si>
  <si>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</si>
  <si>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</si>
  <si>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</si>
  <si>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</si>
  <si>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</si>
  <si>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</si>
  <si>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</si>
  <si>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</si>
  <si>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</si>
  <si>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</si>
  <si>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</si>
  <si>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</si>
  <si>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</si>
  <si>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</si>
  <si>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</si>
  <si>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</si>
  <si>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</si>
  <si>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</si>
  <si>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</si>
  <si>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</si>
  <si>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</si>
  <si>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</si>
  <si>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</si>
  <si>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Average Assets</t>
  </si>
  <si>
    <t>Gross Loans</t>
  </si>
  <si>
    <t>Institutional Capital</t>
  </si>
  <si>
    <t>Non-performing Loans</t>
  </si>
  <si>
    <t>Equity Investments</t>
  </si>
  <si>
    <t>Short-term Liabilities)</t>
  </si>
  <si>
    <t>External Borrowing</t>
  </si>
  <si>
    <t>Total Income</t>
  </si>
  <si>
    <t>Net Financial Income/Loss</t>
  </si>
  <si>
    <t>Dividends+Interest on Deposits</t>
  </si>
  <si>
    <t>Total Expenses</t>
  </si>
  <si>
    <t>Net Income</t>
  </si>
  <si>
    <t>G. AREAS OF IMPROVEMENT/REGULATORY CONCERNS</t>
  </si>
  <si>
    <t>High NPL ratio at 17.1%</t>
  </si>
  <si>
    <t>High Non -earning assets ratio at  21.8%</t>
  </si>
  <si>
    <t>Non compliance with equity investments to total deposits and core capital ratios</t>
  </si>
  <si>
    <t xml:space="preserve">Gross loans to Total assets ratio below the industry standards 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</si>
  <si>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</si>
  <si>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</si>
  <si>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</si>
  <si>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</si>
  <si>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VALIDATED JULY</t>
  </si>
  <si>
    <t>TB</t>
  </si>
  <si>
    <t>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</si>
</sst>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d/mmm/yy"/>
    <numFmt numFmtId="170" formatCode="\£#,##0;&quot;-£&quot;#,##0"/>
    <numFmt numFmtId="171" formatCode="_-* #,##0.00_-;\-* #,##0.00_-;_-* \-??_-;_-@_-"/>
    <numFmt numFmtId="172" formatCode="0.0"/>
    <numFmt numFmtId="173" formatCode="0.0%"/>
    <numFmt numFmtId="174" formatCode="#,##0.00_);\-#,##0.00"/>
    <numFmt numFmtId="175" formatCode="[$-10409]0.00;\-\ 0.00"/>
    <numFmt numFmtId="176" formatCode="_(* #,##0.0_);_(* \(#,##0.0\);_(* \-??_);_(@_)"/>
  </numFmts>
  <fonts count="6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b/>
      <sz val="10"/>
      <name val="Cambria"/>
      <family val="1"/>
    </font>
    <font>
      <i/>
      <sz val="10"/>
      <name val="Cambria"/>
      <family val="1"/>
    </font>
    <font>
      <b/>
      <sz val="9"/>
      <name val="Cambria"/>
      <family val="1"/>
    </font>
    <font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b/>
      <sz val="10"/>
      <name val="Arial"/>
      <family val="2"/>
    </font>
    <font>
      <b/>
      <sz val="10.5"/>
      <name val="Cambria"/>
      <family val="1"/>
    </font>
    <font>
      <sz val="10.5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2"/>
      <color indexed="8"/>
      <name val="Cambria"/>
      <family val="1"/>
    </font>
    <font>
      <sz val="12"/>
      <color indexed="8"/>
      <name val="Calibri"/>
      <family val="2"/>
    </font>
    <font>
      <sz val="12"/>
      <name val="Cambria"/>
      <family val="1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i/>
      <sz val="10"/>
      <name val="Cambria"/>
      <family val="1"/>
      <scheme val="major"/>
    </font>
    <font>
      <i/>
      <sz val="10"/>
      <color indexed="8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sz val="10"/>
      <name val="Cambria"/>
      <family val="1"/>
      <scheme val="major"/>
    </font>
    <font>
      <sz val="10"/>
      <color rgb="FFFF0000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mbria"/>
      <family val="1"/>
      <scheme val="major"/>
    </font>
    <font>
      <b/>
      <sz val="9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i/>
      <sz val="10"/>
      <color indexed="8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mbria"/>
      <family val="1"/>
    </font>
    <font>
      <b/>
      <sz val="12"/>
      <name val="Calibri"/>
      <family val="2"/>
      <scheme val="minor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7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A520"/>
        <bgColor rgb="FF000000"/>
      </patternFill>
    </fill>
  </fills>
  <borders count="5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687">
    <xf numFmtId="0" fontId="0" fillId="0" borderId="0"/>
    <xf numFmtId="0" fontId="3" fillId="2" borderId="0" applyNumberFormat="0" applyBorder="0" applyAlignment="0" applyProtection="0"/>
    <xf numFmtId="0" fontId="30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31" fillId="13" borderId="0" applyNumberFormat="0" applyBorder="0" applyAlignment="0" applyProtection="0"/>
    <xf numFmtId="0" fontId="4" fillId="3" borderId="0" applyNumberFormat="0" applyBorder="0" applyAlignment="0" applyProtection="0"/>
    <xf numFmtId="0" fontId="31" fillId="13" borderId="0" applyNumberFormat="0" applyBorder="0" applyAlignment="0" applyProtection="0"/>
    <xf numFmtId="0" fontId="4" fillId="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4" fillId="3" borderId="0" applyNumberFormat="0" applyBorder="0" applyAlignment="0" applyProtection="0"/>
    <xf numFmtId="0" fontId="31" fillId="13" borderId="0" applyNumberFormat="0" applyBorder="0" applyAlignment="0" applyProtection="0"/>
    <xf numFmtId="0" fontId="4" fillId="3" borderId="0" applyNumberFormat="0" applyBorder="0" applyAlignment="0" applyProtection="0"/>
    <xf numFmtId="0" fontId="31" fillId="13" borderId="0" applyNumberFormat="0" applyBorder="0" applyAlignment="0" applyProtection="0"/>
    <xf numFmtId="0" fontId="4" fillId="3" borderId="0" applyNumberFormat="0" applyBorder="0" applyAlignment="0" applyProtection="0"/>
    <xf numFmtId="0" fontId="31" fillId="13" borderId="0" applyNumberFormat="0" applyBorder="0" applyAlignment="0" applyProtection="0"/>
    <xf numFmtId="0" fontId="4" fillId="3" borderId="0" applyNumberFormat="0" applyBorder="0" applyAlignment="0" applyProtection="0"/>
    <xf numFmtId="0" fontId="31" fillId="13" borderId="0" applyNumberFormat="0" applyBorder="0" applyAlignment="0" applyProtection="0"/>
    <xf numFmtId="0" fontId="4" fillId="3" borderId="0" applyNumberFormat="0" applyBorder="0" applyAlignment="0" applyProtection="0"/>
    <xf numFmtId="0" fontId="31" fillId="13" borderId="0" applyNumberFormat="0" applyBorder="0" applyAlignment="0" applyProtection="0"/>
    <xf numFmtId="0" fontId="4" fillId="3" borderId="0" applyNumberFormat="0" applyBorder="0" applyAlignment="0" applyProtection="0"/>
    <xf numFmtId="0" fontId="31" fillId="13" borderId="0" applyNumberFormat="0" applyBorder="0" applyAlignment="0" applyProtection="0"/>
    <xf numFmtId="0" fontId="4" fillId="3" borderId="0" applyNumberFormat="0" applyBorder="0" applyAlignment="0" applyProtection="0"/>
    <xf numFmtId="0" fontId="31" fillId="13" borderId="0" applyNumberFormat="0" applyBorder="0" applyAlignment="0" applyProtection="0"/>
    <xf numFmtId="0" fontId="4" fillId="3" borderId="0" applyNumberFormat="0" applyBorder="0" applyAlignment="0" applyProtection="0"/>
    <xf numFmtId="0" fontId="31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31" fillId="14" borderId="0" applyNumberFormat="0" applyBorder="0" applyAlignment="0" applyProtection="0"/>
    <xf numFmtId="0" fontId="4" fillId="4" borderId="0" applyNumberFormat="0" applyBorder="0" applyAlignment="0" applyProtection="0"/>
    <xf numFmtId="0" fontId="31" fillId="14" borderId="0" applyNumberFormat="0" applyBorder="0" applyAlignment="0" applyProtection="0"/>
    <xf numFmtId="0" fontId="4" fillId="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4" fillId="4" borderId="0" applyNumberFormat="0" applyBorder="0" applyAlignment="0" applyProtection="0"/>
    <xf numFmtId="0" fontId="31" fillId="14" borderId="0" applyNumberFormat="0" applyBorder="0" applyAlignment="0" applyProtection="0"/>
    <xf numFmtId="0" fontId="4" fillId="4" borderId="0" applyNumberFormat="0" applyBorder="0" applyAlignment="0" applyProtection="0"/>
    <xf numFmtId="0" fontId="31" fillId="14" borderId="0" applyNumberFormat="0" applyBorder="0" applyAlignment="0" applyProtection="0"/>
    <xf numFmtId="0" fontId="4" fillId="4" borderId="0" applyNumberFormat="0" applyBorder="0" applyAlignment="0" applyProtection="0"/>
    <xf numFmtId="0" fontId="31" fillId="14" borderId="0" applyNumberFormat="0" applyBorder="0" applyAlignment="0" applyProtection="0"/>
    <xf numFmtId="0" fontId="4" fillId="4" borderId="0" applyNumberFormat="0" applyBorder="0" applyAlignment="0" applyProtection="0"/>
    <xf numFmtId="0" fontId="31" fillId="14" borderId="0" applyNumberFormat="0" applyBorder="0" applyAlignment="0" applyProtection="0"/>
    <xf numFmtId="0" fontId="4" fillId="4" borderId="0" applyNumberFormat="0" applyBorder="0" applyAlignment="0" applyProtection="0"/>
    <xf numFmtId="0" fontId="31" fillId="14" borderId="0" applyNumberFormat="0" applyBorder="0" applyAlignment="0" applyProtection="0"/>
    <xf numFmtId="0" fontId="4" fillId="4" borderId="0" applyNumberFormat="0" applyBorder="0" applyAlignment="0" applyProtection="0"/>
    <xf numFmtId="0" fontId="31" fillId="14" borderId="0" applyNumberFormat="0" applyBorder="0" applyAlignment="0" applyProtection="0"/>
    <xf numFmtId="0" fontId="4" fillId="4" borderId="0" applyNumberFormat="0" applyBorder="0" applyAlignment="0" applyProtection="0"/>
    <xf numFmtId="0" fontId="31" fillId="14" borderId="0" applyNumberFormat="0" applyBorder="0" applyAlignment="0" applyProtection="0"/>
    <xf numFmtId="0" fontId="4" fillId="4" borderId="0" applyNumberFormat="0" applyBorder="0" applyAlignment="0" applyProtection="0"/>
    <xf numFmtId="0" fontId="31" fillId="14" borderId="0" applyNumberFormat="0" applyBorder="0" applyAlignment="0" applyProtection="0"/>
    <xf numFmtId="0" fontId="5" fillId="5" borderId="2" applyNumberFormat="0" applyAlignment="0" applyProtection="0"/>
    <xf numFmtId="0" fontId="32" fillId="15" borderId="45" applyNumberFormat="0" applyAlignment="0" applyProtection="0"/>
    <xf numFmtId="43" fontId="29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6" fillId="0" borderId="0" applyFont="0" applyFill="0" applyBorder="0" applyAlignment="0" applyProtection="0"/>
    <xf numFmtId="171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4" fontId="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9" fillId="6" borderId="1" applyNumberFormat="0" applyAlignment="0" applyProtection="0"/>
    <xf numFmtId="0" fontId="33" fillId="16" borderId="44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9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34" fillId="0" borderId="0"/>
    <xf numFmtId="0" fontId="6" fillId="0" borderId="0"/>
    <xf numFmtId="0" fontId="34" fillId="0" borderId="0"/>
    <xf numFmtId="0" fontId="6" fillId="0" borderId="0"/>
    <xf numFmtId="0" fontId="34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6" fillId="0" borderId="0"/>
    <xf numFmtId="0" fontId="34" fillId="0" borderId="0"/>
    <xf numFmtId="0" fontId="6" fillId="0" borderId="0"/>
    <xf numFmtId="0" fontId="34" fillId="0" borderId="0"/>
    <xf numFmtId="0" fontId="6" fillId="0" borderId="0"/>
    <xf numFmtId="0" fontId="34" fillId="0" borderId="0"/>
    <xf numFmtId="0" fontId="6" fillId="0" borderId="0"/>
    <xf numFmtId="0" fontId="34" fillId="0" borderId="0"/>
    <xf numFmtId="0" fontId="6" fillId="0" borderId="0"/>
    <xf numFmtId="0" fontId="34" fillId="0" borderId="0"/>
    <xf numFmtId="0" fontId="6" fillId="0" borderId="0"/>
    <xf numFmtId="0" fontId="34" fillId="0" borderId="0"/>
    <xf numFmtId="0" fontId="6" fillId="0" borderId="0"/>
    <xf numFmtId="0" fontId="34" fillId="0" borderId="0"/>
    <xf numFmtId="0" fontId="6" fillId="0" borderId="0"/>
    <xf numFmtId="0" fontId="34" fillId="0" borderId="0"/>
    <xf numFmtId="0" fontId="6" fillId="0" borderId="0"/>
    <xf numFmtId="0" fontId="34" fillId="0" borderId="0"/>
    <xf numFmtId="0" fontId="6" fillId="0" borderId="0"/>
    <xf numFmtId="0" fontId="34" fillId="0" borderId="0"/>
    <xf numFmtId="0" fontId="2" fillId="7" borderId="3" applyNumberFormat="0" applyAlignment="0" applyProtection="0"/>
    <xf numFmtId="0" fontId="2" fillId="17" borderId="46" applyNumberFormat="0" applyFont="0" applyAlignment="0" applyProtection="0"/>
    <xf numFmtId="9" fontId="29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6" fillId="0" borderId="47" applyNumberFormat="0" applyFill="0" applyAlignment="0" applyProtection="0"/>
    <xf numFmtId="0" fontId="36" fillId="0" borderId="47" applyNumberFormat="0" applyFill="0" applyAlignment="0" applyProtection="0"/>
  </cellStyleXfs>
  <cellXfs count="307">
    <xf numFmtId="0" fontId="0" fillId="0" borderId="0" xfId="0"/>
    <xf numFmtId="0" fontId="38" fillId="0" borderId="0" xfId="638" applyFont="1"/>
    <xf numFmtId="0" fontId="38" fillId="0" borderId="0" xfId="638" applyFont="1" applyAlignment="1">
      <alignment horizontal="center"/>
    </xf>
    <xf numFmtId="0" fontId="39" fillId="0" borderId="0" xfId="638" applyFont="1"/>
    <xf numFmtId="0" fontId="39" fillId="0" borderId="5" xfId="638" applyFont="1" applyBorder="1"/>
    <xf numFmtId="0" fontId="39" fillId="8" borderId="6" xfId="638" applyFont="1" applyFill="1" applyBorder="1"/>
    <xf numFmtId="0" fontId="39" fillId="0" borderId="7" xfId="638" applyFont="1" applyBorder="1"/>
    <xf numFmtId="0" fontId="39" fillId="0" borderId="8" xfId="638" applyFont="1" applyBorder="1"/>
    <xf numFmtId="0" fontId="38" fillId="0" borderId="7" xfId="638" applyFont="1" applyBorder="1"/>
    <xf numFmtId="173" fontId="40" fillId="0" borderId="8" xfId="678" applyNumberFormat="1" applyFont="1" applyBorder="1"/>
    <xf numFmtId="0" fontId="38" fillId="18" borderId="7" xfId="638" applyFont="1" applyFill="1" applyBorder="1"/>
    <xf numFmtId="14" fontId="39" fillId="8" borderId="8" xfId="638" applyNumberFormat="1" applyFont="1" applyFill="1" applyBorder="1" applyAlignment="1">
      <alignment horizontal="center"/>
    </xf>
    <xf numFmtId="0" fontId="41" fillId="0" borderId="7" xfId="638" applyFont="1" applyBorder="1"/>
    <xf numFmtId="173" fontId="42" fillId="0" borderId="8" xfId="678" applyNumberFormat="1" applyFont="1" applyBorder="1"/>
    <xf numFmtId="173" fontId="40" fillId="0" borderId="8" xfId="678" applyNumberFormat="1" applyFont="1" applyBorder="1" applyAlignment="1">
      <alignment horizontal="right"/>
    </xf>
    <xf numFmtId="0" fontId="42" fillId="18" borderId="7" xfId="638" applyFont="1" applyFill="1" applyBorder="1"/>
    <xf numFmtId="166" fontId="40" fillId="0" borderId="8" xfId="56" applyNumberFormat="1" applyFont="1" applyBorder="1" applyAlignment="1">
      <alignment horizontal="right"/>
    </xf>
    <xf numFmtId="0" fontId="43" fillId="18" borderId="7" xfId="638" applyFont="1" applyFill="1" applyBorder="1"/>
    <xf numFmtId="14" fontId="39" fillId="8" borderId="8" xfId="638" applyNumberFormat="1" applyFont="1" applyFill="1" applyBorder="1" applyAlignment="1">
      <alignment horizontal="right"/>
    </xf>
    <xf numFmtId="9" fontId="38" fillId="0" borderId="8" xfId="678" applyFont="1" applyBorder="1" applyAlignment="1">
      <alignment horizontal="right"/>
    </xf>
    <xf numFmtId="0" fontId="38" fillId="0" borderId="8" xfId="638" applyFont="1" applyBorder="1" applyAlignment="1">
      <alignment horizontal="right"/>
    </xf>
    <xf numFmtId="173" fontId="38" fillId="0" borderId="8" xfId="678" applyNumberFormat="1" applyFont="1" applyBorder="1" applyAlignment="1">
      <alignment horizontal="right"/>
    </xf>
    <xf numFmtId="0" fontId="38" fillId="18" borderId="9" xfId="638" applyFont="1" applyFill="1" applyBorder="1"/>
    <xf numFmtId="173" fontId="40" fillId="0" borderId="10" xfId="678" applyNumberFormat="1" applyFont="1" applyBorder="1" applyAlignment="1">
      <alignment horizontal="right"/>
    </xf>
    <xf numFmtId="173" fontId="38" fillId="0" borderId="0" xfId="678" applyNumberFormat="1" applyFont="1" applyBorder="1"/>
    <xf numFmtId="0" fontId="44" fillId="0" borderId="0" xfId="0" applyFont="1"/>
    <xf numFmtId="0" fontId="45" fillId="0" borderId="11" xfId="0" applyFont="1" applyBorder="1"/>
    <xf numFmtId="0" fontId="45" fillId="0" borderId="12" xfId="0" applyFont="1" applyBorder="1"/>
    <xf numFmtId="0" fontId="45" fillId="0" borderId="13" xfId="0" applyFont="1" applyBorder="1"/>
    <xf numFmtId="43" fontId="45" fillId="0" borderId="8" xfId="56" applyFont="1" applyBorder="1"/>
    <xf numFmtId="0" fontId="38" fillId="0" borderId="14" xfId="0" applyFont="1" applyBorder="1"/>
    <xf numFmtId="0" fontId="38" fillId="0" borderId="8" xfId="0" applyFont="1" applyBorder="1"/>
    <xf numFmtId="0" fontId="46" fillId="0" borderId="8" xfId="0" applyFont="1" applyBorder="1"/>
    <xf numFmtId="0" fontId="38" fillId="0" borderId="13" xfId="0" applyFont="1" applyBorder="1"/>
    <xf numFmtId="0" fontId="38" fillId="0" borderId="0" xfId="0" applyFont="1"/>
    <xf numFmtId="172" fontId="38" fillId="0" borderId="15" xfId="0" applyNumberFormat="1" applyFont="1" applyBorder="1"/>
    <xf numFmtId="0" fontId="45" fillId="0" borderId="16" xfId="0" applyFont="1" applyBorder="1"/>
    <xf numFmtId="172" fontId="38" fillId="0" borderId="14" xfId="0" applyNumberFormat="1" applyFont="1" applyBorder="1"/>
    <xf numFmtId="172" fontId="38" fillId="0" borderId="17" xfId="0" applyNumberFormat="1" applyFont="1" applyBorder="1"/>
    <xf numFmtId="172" fontId="38" fillId="0" borderId="13" xfId="0" applyNumberFormat="1" applyFont="1" applyBorder="1"/>
    <xf numFmtId="0" fontId="45" fillId="0" borderId="0" xfId="0" applyFont="1"/>
    <xf numFmtId="172" fontId="38" fillId="0" borderId="11" xfId="0" applyNumberFormat="1" applyFont="1" applyBorder="1"/>
    <xf numFmtId="9" fontId="46" fillId="0" borderId="8" xfId="678" applyFont="1" applyBorder="1"/>
    <xf numFmtId="0" fontId="47" fillId="0" borderId="8" xfId="0" applyFont="1" applyBorder="1"/>
    <xf numFmtId="172" fontId="38" fillId="0" borderId="14" xfId="0" applyNumberFormat="1" applyFont="1" applyBorder="1" applyAlignment="1">
      <alignment horizontal="right"/>
    </xf>
    <xf numFmtId="172" fontId="38" fillId="0" borderId="17" xfId="0" applyNumberFormat="1" applyFont="1" applyBorder="1" applyAlignment="1">
      <alignment horizontal="right"/>
    </xf>
    <xf numFmtId="0" fontId="46" fillId="0" borderId="10" xfId="0" applyFont="1" applyBorder="1"/>
    <xf numFmtId="166" fontId="46" fillId="0" borderId="0" xfId="0" applyNumberFormat="1" applyFont="1"/>
    <xf numFmtId="0" fontId="47" fillId="0" borderId="16" xfId="0" applyFont="1" applyBorder="1"/>
    <xf numFmtId="0" fontId="46" fillId="0" borderId="0" xfId="0" applyFont="1"/>
    <xf numFmtId="0" fontId="38" fillId="0" borderId="16" xfId="0" applyFont="1" applyBorder="1"/>
    <xf numFmtId="0" fontId="38" fillId="0" borderId="17" xfId="0" applyFont="1" applyBorder="1"/>
    <xf numFmtId="0" fontId="41" fillId="0" borderId="8" xfId="0" applyFont="1" applyBorder="1"/>
    <xf numFmtId="0" fontId="41" fillId="0" borderId="0" xfId="0" applyFont="1"/>
    <xf numFmtId="43" fontId="45" fillId="0" borderId="0" xfId="56" applyFont="1" applyBorder="1"/>
    <xf numFmtId="0" fontId="38" fillId="0" borderId="10" xfId="0" applyFont="1" applyBorder="1"/>
    <xf numFmtId="172" fontId="38" fillId="0" borderId="18" xfId="0" applyNumberFormat="1" applyFont="1" applyBorder="1"/>
    <xf numFmtId="0" fontId="48" fillId="0" borderId="15" xfId="0" applyFont="1" applyBorder="1"/>
    <xf numFmtId="172" fontId="38" fillId="0" borderId="19" xfId="0" applyNumberFormat="1" applyFont="1" applyBorder="1"/>
    <xf numFmtId="172" fontId="38" fillId="0" borderId="20" xfId="0" applyNumberFormat="1" applyFont="1" applyBorder="1"/>
    <xf numFmtId="172" fontId="48" fillId="0" borderId="11" xfId="0" applyNumberFormat="1" applyFont="1" applyBorder="1"/>
    <xf numFmtId="0" fontId="48" fillId="0" borderId="12" xfId="0" applyFont="1" applyBorder="1"/>
    <xf numFmtId="0" fontId="38" fillId="0" borderId="21" xfId="0" applyFont="1" applyBorder="1"/>
    <xf numFmtId="0" fontId="38" fillId="0" borderId="22" xfId="0" applyFont="1" applyBorder="1"/>
    <xf numFmtId="0" fontId="38" fillId="0" borderId="23" xfId="0" applyFont="1" applyBorder="1"/>
    <xf numFmtId="43" fontId="44" fillId="0" borderId="8" xfId="53" applyFont="1" applyBorder="1"/>
    <xf numFmtId="43" fontId="38" fillId="0" borderId="8" xfId="56" applyFont="1" applyFill="1" applyBorder="1" applyAlignment="1">
      <alignment horizontal="left" wrapText="1"/>
    </xf>
    <xf numFmtId="43" fontId="38" fillId="0" borderId="8" xfId="56" applyFont="1" applyFill="1" applyBorder="1" applyAlignment="1">
      <alignment horizontal="left"/>
    </xf>
    <xf numFmtId="43" fontId="43" fillId="19" borderId="8" xfId="53" applyFont="1" applyFill="1" applyBorder="1" applyAlignment="1">
      <alignment horizontal="left" wrapText="1"/>
    </xf>
    <xf numFmtId="43" fontId="38" fillId="0" borderId="8" xfId="53" applyFont="1" applyBorder="1"/>
    <xf numFmtId="0" fontId="39" fillId="0" borderId="24" xfId="638" applyFont="1" applyBorder="1" applyAlignment="1">
      <alignment horizontal="center"/>
    </xf>
    <xf numFmtId="0" fontId="39" fillId="8" borderId="25" xfId="638" applyFont="1" applyFill="1" applyBorder="1" applyAlignment="1">
      <alignment horizontal="center"/>
    </xf>
    <xf numFmtId="0" fontId="39" fillId="0" borderId="14" xfId="638" applyFont="1" applyBorder="1" applyAlignment="1">
      <alignment horizontal="center"/>
    </xf>
    <xf numFmtId="0" fontId="38" fillId="0" borderId="8" xfId="638" applyFont="1" applyBorder="1" applyAlignment="1">
      <alignment horizontal="center"/>
    </xf>
    <xf numFmtId="173" fontId="38" fillId="0" borderId="8" xfId="678" applyNumberFormat="1" applyFont="1" applyBorder="1"/>
    <xf numFmtId="173" fontId="43" fillId="0" borderId="8" xfId="676" applyNumberFormat="1" applyFont="1" applyBorder="1"/>
    <xf numFmtId="173" fontId="38" fillId="0" borderId="8" xfId="676" applyNumberFormat="1" applyFont="1" applyBorder="1"/>
    <xf numFmtId="173" fontId="43" fillId="0" borderId="16" xfId="678" applyNumberFormat="1" applyFont="1" applyBorder="1"/>
    <xf numFmtId="0" fontId="38" fillId="0" borderId="16" xfId="638" applyFont="1" applyBorder="1" applyAlignment="1">
      <alignment horizontal="center"/>
    </xf>
    <xf numFmtId="173" fontId="38" fillId="0" borderId="16" xfId="678" applyNumberFormat="1" applyFont="1" applyBorder="1"/>
    <xf numFmtId="0" fontId="38" fillId="0" borderId="10" xfId="638" applyFont="1" applyBorder="1"/>
    <xf numFmtId="0" fontId="38" fillId="0" borderId="10" xfId="638" applyFont="1" applyBorder="1" applyAlignment="1">
      <alignment horizontal="center"/>
    </xf>
    <xf numFmtId="9" fontId="38" fillId="0" borderId="10" xfId="676" applyFont="1" applyBorder="1"/>
    <xf numFmtId="0" fontId="43" fillId="0" borderId="8" xfId="638" applyFont="1" applyBorder="1"/>
    <xf numFmtId="0" fontId="43" fillId="0" borderId="8" xfId="638" applyFont="1" applyBorder="1" applyAlignment="1">
      <alignment horizontal="center"/>
    </xf>
    <xf numFmtId="173" fontId="43" fillId="0" borderId="8" xfId="678" applyNumberFormat="1" applyFont="1" applyBorder="1"/>
    <xf numFmtId="166" fontId="38" fillId="0" borderId="8" xfId="53" applyNumberFormat="1" applyFont="1" applyFill="1" applyBorder="1" applyAlignment="1">
      <alignment horizontal="right"/>
    </xf>
    <xf numFmtId="173" fontId="40" fillId="0" borderId="8" xfId="678" applyNumberFormat="1" applyFont="1" applyFill="1" applyBorder="1"/>
    <xf numFmtId="173" fontId="42" fillId="0" borderId="8" xfId="678" applyNumberFormat="1" applyFont="1" applyFill="1" applyBorder="1"/>
    <xf numFmtId="173" fontId="49" fillId="0" borderId="8" xfId="678" applyNumberFormat="1" applyFont="1" applyFill="1" applyBorder="1"/>
    <xf numFmtId="0" fontId="38" fillId="0" borderId="26" xfId="638" applyFont="1" applyBorder="1"/>
    <xf numFmtId="0" fontId="38" fillId="0" borderId="26" xfId="638" applyFont="1" applyBorder="1" applyAlignment="1">
      <alignment horizontal="center"/>
    </xf>
    <xf numFmtId="9" fontId="38" fillId="0" borderId="26" xfId="676" applyFont="1" applyBorder="1"/>
    <xf numFmtId="0" fontId="38" fillId="0" borderId="8" xfId="638" applyFont="1" applyBorder="1" applyAlignment="1">
      <alignment wrapText="1"/>
    </xf>
    <xf numFmtId="9" fontId="38" fillId="0" borderId="8" xfId="676" applyFont="1" applyBorder="1"/>
    <xf numFmtId="0" fontId="50" fillId="0" borderId="0" xfId="0" applyFont="1"/>
    <xf numFmtId="43" fontId="51" fillId="19" borderId="0" xfId="53" applyFont="1" applyFill="1"/>
    <xf numFmtId="0" fontId="51" fillId="0" borderId="0" xfId="0" applyFont="1"/>
    <xf numFmtId="43" fontId="50" fillId="0" borderId="0" xfId="53" applyFont="1"/>
    <xf numFmtId="0" fontId="45" fillId="20" borderId="8" xfId="0" applyFont="1" applyFill="1" applyBorder="1"/>
    <xf numFmtId="43" fontId="44" fillId="20" borderId="8" xfId="53" applyFont="1" applyFill="1" applyBorder="1"/>
    <xf numFmtId="0" fontId="45" fillId="21" borderId="10" xfId="0" applyFont="1" applyFill="1" applyBorder="1"/>
    <xf numFmtId="43" fontId="52" fillId="0" borderId="8" xfId="53" applyFont="1" applyFill="1" applyBorder="1"/>
    <xf numFmtId="43" fontId="53" fillId="19" borderId="8" xfId="56" applyFont="1" applyFill="1" applyBorder="1" applyAlignment="1">
      <alignment horizontal="left" wrapText="1"/>
    </xf>
    <xf numFmtId="0" fontId="52" fillId="0" borderId="0" xfId="0" applyFont="1"/>
    <xf numFmtId="0" fontId="53" fillId="19" borderId="0" xfId="0" applyFont="1" applyFill="1"/>
    <xf numFmtId="43" fontId="52" fillId="0" borderId="0" xfId="56" applyFont="1" applyFill="1" applyBorder="1" applyAlignment="1">
      <alignment horizontal="left" wrapText="1"/>
    </xf>
    <xf numFmtId="0" fontId="53" fillId="0" borderId="0" xfId="0" applyFont="1"/>
    <xf numFmtId="0" fontId="53" fillId="0" borderId="8" xfId="0" applyFont="1" applyBorder="1" applyAlignment="1" applyProtection="1">
      <alignment horizontal="center" vertical="center" wrapText="1"/>
      <protection locked="0"/>
    </xf>
    <xf numFmtId="43" fontId="52" fillId="0" borderId="8" xfId="56" applyFont="1" applyFill="1" applyBorder="1" applyAlignment="1">
      <alignment horizontal="left"/>
    </xf>
    <xf numFmtId="43" fontId="52" fillId="0" borderId="8" xfId="56" applyFont="1" applyFill="1" applyBorder="1" applyAlignment="1">
      <alignment horizontal="left" wrapText="1"/>
    </xf>
    <xf numFmtId="0" fontId="53" fillId="0" borderId="8" xfId="0" applyFont="1" applyBorder="1" applyAlignment="1" applyProtection="1">
      <alignment horizontal="left" vertical="top" wrapText="1" readingOrder="1"/>
      <protection locked="0"/>
    </xf>
    <xf numFmtId="0" fontId="54" fillId="0" borderId="12" xfId="0" applyFont="1" applyBorder="1"/>
    <xf numFmtId="0" fontId="53" fillId="0" borderId="0" xfId="638" applyFont="1"/>
    <xf numFmtId="9" fontId="39" fillId="0" borderId="17" xfId="638" applyNumberFormat="1" applyFont="1" applyBorder="1" applyAlignment="1">
      <alignment horizontal="center"/>
    </xf>
    <xf numFmtId="9" fontId="39" fillId="0" borderId="14" xfId="638" applyNumberFormat="1" applyFont="1" applyBorder="1" applyAlignment="1">
      <alignment horizontal="center"/>
    </xf>
    <xf numFmtId="0" fontId="43" fillId="0" borderId="14" xfId="638" applyFont="1" applyBorder="1" applyAlignment="1">
      <alignment horizontal="center"/>
    </xf>
    <xf numFmtId="173" fontId="55" fillId="0" borderId="14" xfId="678" applyNumberFormat="1" applyFont="1" applyBorder="1" applyAlignment="1">
      <alignment horizontal="center"/>
    </xf>
    <xf numFmtId="173" fontId="39" fillId="0" borderId="14" xfId="678" applyNumberFormat="1" applyFont="1" applyBorder="1" applyAlignment="1">
      <alignment horizontal="center"/>
    </xf>
    <xf numFmtId="9" fontId="39" fillId="0" borderId="14" xfId="678" applyFont="1" applyBorder="1" applyAlignment="1">
      <alignment horizontal="center"/>
    </xf>
    <xf numFmtId="9" fontId="40" fillId="0" borderId="8" xfId="676" applyFont="1" applyBorder="1" applyAlignment="1">
      <alignment horizontal="right"/>
    </xf>
    <xf numFmtId="0" fontId="52" fillId="0" borderId="8" xfId="0" applyFont="1" applyBorder="1"/>
    <xf numFmtId="43" fontId="50" fillId="0" borderId="8" xfId="53" applyFont="1" applyBorder="1"/>
    <xf numFmtId="0" fontId="50" fillId="0" borderId="8" xfId="0" applyFont="1" applyBorder="1"/>
    <xf numFmtId="176" fontId="17" fillId="9" borderId="8" xfId="54" applyNumberFormat="1" applyFont="1" applyFill="1" applyBorder="1" applyAlignment="1" applyProtection="1"/>
    <xf numFmtId="174" fontId="18" fillId="9" borderId="8" xfId="0" applyNumberFormat="1" applyFont="1" applyFill="1" applyBorder="1" applyAlignment="1" applyProtection="1">
      <alignment horizontal="right" vertical="center"/>
      <protection locked="0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5" fillId="0" borderId="0" xfId="0" applyFont="1"/>
    <xf numFmtId="0" fontId="16" fillId="0" borderId="27" xfId="0" applyFont="1" applyBorder="1" applyAlignment="1">
      <alignment wrapText="1"/>
    </xf>
    <xf numFmtId="0" fontId="17" fillId="0" borderId="27" xfId="0" applyFont="1" applyBorder="1" applyAlignment="1">
      <alignment wrapText="1"/>
    </xf>
    <xf numFmtId="49" fontId="17" fillId="0" borderId="27" xfId="0" applyNumberFormat="1" applyFont="1" applyBorder="1" applyAlignment="1" applyProtection="1">
      <alignment horizontal="right" wrapText="1"/>
      <protection locked="0"/>
    </xf>
    <xf numFmtId="0" fontId="17" fillId="0" borderId="28" xfId="0" applyFont="1" applyBorder="1" applyAlignment="1" applyProtection="1">
      <alignment horizontal="right" wrapText="1"/>
      <protection locked="0"/>
    </xf>
    <xf numFmtId="0" fontId="16" fillId="0" borderId="29" xfId="0" applyFont="1" applyBorder="1" applyAlignment="1">
      <alignment wrapText="1"/>
    </xf>
    <xf numFmtId="49" fontId="19" fillId="0" borderId="8" xfId="0" applyNumberFormat="1" applyFont="1" applyBorder="1" applyAlignment="1" applyProtection="1">
      <alignment horizontal="right"/>
      <protection locked="0"/>
    </xf>
    <xf numFmtId="0" fontId="16" fillId="0" borderId="27" xfId="0" applyFont="1" applyBorder="1" applyAlignment="1" applyProtection="1">
      <alignment wrapText="1"/>
      <protection locked="0"/>
    </xf>
    <xf numFmtId="2" fontId="16" fillId="0" borderId="27" xfId="0" applyNumberFormat="1" applyFont="1" applyBorder="1" applyAlignment="1">
      <alignment horizontal="center" wrapText="1"/>
    </xf>
    <xf numFmtId="0" fontId="17" fillId="22" borderId="27" xfId="0" applyFont="1" applyFill="1" applyBorder="1" applyAlignment="1">
      <alignment wrapText="1"/>
    </xf>
    <xf numFmtId="2" fontId="17" fillId="0" borderId="27" xfId="0" applyNumberFormat="1" applyFont="1" applyBorder="1" applyAlignment="1">
      <alignment wrapText="1"/>
    </xf>
    <xf numFmtId="0" fontId="16" fillId="0" borderId="30" xfId="0" applyFont="1" applyBorder="1" applyAlignment="1">
      <alignment wrapText="1"/>
    </xf>
    <xf numFmtId="0" fontId="16" fillId="0" borderId="31" xfId="0" applyFont="1" applyBorder="1" applyAlignment="1">
      <alignment wrapText="1"/>
    </xf>
    <xf numFmtId="0" fontId="20" fillId="0" borderId="0" xfId="0" applyFont="1" applyAlignment="1">
      <alignment horizontal="left" wrapText="1"/>
    </xf>
    <xf numFmtId="0" fontId="12" fillId="0" borderId="0" xfId="0" applyFont="1" applyAlignment="1" applyProtection="1">
      <alignment wrapText="1"/>
      <protection locked="0"/>
    </xf>
    <xf numFmtId="0" fontId="15" fillId="0" borderId="0" xfId="0" applyFont="1" applyAlignment="1" applyProtection="1">
      <alignment wrapText="1"/>
      <protection locked="0"/>
    </xf>
    <xf numFmtId="0" fontId="16" fillId="0" borderId="0" xfId="0" applyFont="1" applyAlignment="1" applyProtection="1">
      <alignment wrapText="1"/>
      <protection locked="0"/>
    </xf>
    <xf numFmtId="9" fontId="15" fillId="0" borderId="0" xfId="676" applyFont="1"/>
    <xf numFmtId="176" fontId="12" fillId="19" borderId="8" xfId="54" applyNumberFormat="1" applyFont="1" applyFill="1" applyBorder="1" applyAlignment="1" applyProtection="1"/>
    <xf numFmtId="43" fontId="14" fillId="19" borderId="8" xfId="53" applyFont="1" applyFill="1" applyBorder="1" applyAlignment="1" applyProtection="1"/>
    <xf numFmtId="0" fontId="51" fillId="19" borderId="0" xfId="0" applyFont="1" applyFill="1"/>
    <xf numFmtId="0" fontId="50" fillId="19" borderId="0" xfId="0" applyFont="1" applyFill="1"/>
    <xf numFmtId="0" fontId="52" fillId="19" borderId="0" xfId="0" applyFont="1" applyFill="1"/>
    <xf numFmtId="176" fontId="17" fillId="9" borderId="8" xfId="54" applyNumberFormat="1" applyFont="1" applyFill="1" applyBorder="1" applyAlignment="1" applyProtection="1">
      <protection locked="0"/>
    </xf>
    <xf numFmtId="43" fontId="44" fillId="0" borderId="8" xfId="53" applyFont="1" applyFill="1" applyBorder="1"/>
    <xf numFmtId="0" fontId="44" fillId="0" borderId="8" xfId="0" applyFont="1" applyBorder="1"/>
    <xf numFmtId="43" fontId="44" fillId="23" borderId="8" xfId="53" applyFont="1" applyFill="1" applyBorder="1"/>
    <xf numFmtId="43" fontId="44" fillId="21" borderId="8" xfId="53" applyFont="1" applyFill="1" applyBorder="1"/>
    <xf numFmtId="9" fontId="56" fillId="0" borderId="8" xfId="676" applyFont="1" applyBorder="1"/>
    <xf numFmtId="38" fontId="45" fillId="0" borderId="8" xfId="53" applyNumberFormat="1" applyFont="1" applyBorder="1"/>
    <xf numFmtId="43" fontId="45" fillId="0" borderId="8" xfId="53" applyFont="1" applyBorder="1"/>
    <xf numFmtId="17" fontId="53" fillId="0" borderId="0" xfId="0" applyNumberFormat="1" applyFont="1" applyAlignment="1">
      <alignment horizontal="left" vertical="center"/>
    </xf>
    <xf numFmtId="0" fontId="53" fillId="0" borderId="0" xfId="0" applyFont="1" applyAlignment="1">
      <alignment horizontal="center" vertical="center"/>
    </xf>
    <xf numFmtId="43" fontId="17" fillId="10" borderId="8" xfId="53" applyFont="1" applyFill="1" applyBorder="1" applyAlignment="1" applyProtection="1"/>
    <xf numFmtId="43" fontId="29" fillId="0" borderId="8" xfId="53" applyFont="1" applyBorder="1" applyAlignment="1" applyProtection="1">
      <alignment vertical="top" wrapText="1"/>
      <protection locked="0"/>
    </xf>
    <xf numFmtId="43" fontId="29" fillId="22" borderId="8" xfId="53" applyFont="1" applyFill="1" applyBorder="1" applyAlignment="1" applyProtection="1">
      <alignment vertical="top" wrapText="1"/>
      <protection locked="0"/>
    </xf>
    <xf numFmtId="43" fontId="17" fillId="9" borderId="8" xfId="53" applyFont="1" applyFill="1" applyBorder="1" applyAlignment="1" applyProtection="1"/>
    <xf numFmtId="166" fontId="52" fillId="0" borderId="8" xfId="54" applyNumberFormat="1" applyFont="1" applyFill="1" applyBorder="1" applyAlignment="1" applyProtection="1"/>
    <xf numFmtId="168" fontId="24" fillId="0" borderId="32" xfId="476" applyNumberFormat="1" applyFont="1" applyBorder="1" applyAlignment="1" applyProtection="1">
      <alignment vertical="top" wrapText="1" readingOrder="1"/>
      <protection locked="0"/>
    </xf>
    <xf numFmtId="0" fontId="51" fillId="0" borderId="8" xfId="0" applyFont="1" applyBorder="1"/>
    <xf numFmtId="17" fontId="51" fillId="0" borderId="8" xfId="0" applyNumberFormat="1" applyFont="1" applyBorder="1"/>
    <xf numFmtId="168" fontId="25" fillId="0" borderId="32" xfId="476" applyNumberFormat="1" applyFont="1" applyBorder="1" applyAlignment="1" applyProtection="1">
      <alignment vertical="top" wrapText="1" readingOrder="1"/>
      <protection locked="0"/>
    </xf>
    <xf numFmtId="168" fontId="25" fillId="11" borderId="32" xfId="476" applyNumberFormat="1" applyFont="1" applyFill="1" applyBorder="1" applyAlignment="1" applyProtection="1">
      <alignment vertical="top" wrapText="1" readingOrder="1"/>
      <protection locked="0"/>
    </xf>
    <xf numFmtId="43" fontId="52" fillId="0" borderId="0" xfId="0" applyNumberFormat="1" applyFont="1"/>
    <xf numFmtId="0" fontId="16" fillId="0" borderId="27" xfId="476" applyFont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14" xfId="0" applyBorder="1"/>
    <xf numFmtId="0" fontId="0" fillId="18" borderId="0" xfId="0" applyFill="1" applyProtection="1"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0" fillId="0" borderId="21" xfId="0" applyBorder="1" applyProtection="1">
      <protection locked="0"/>
    </xf>
    <xf numFmtId="0" fontId="35" fillId="18" borderId="14" xfId="0" applyFont="1" applyFill="1" applyBorder="1"/>
    <xf numFmtId="0" fontId="0" fillId="0" borderId="8" xfId="0" applyBorder="1" applyAlignment="1" applyProtection="1">
      <alignment horizontal="left"/>
      <protection locked="0"/>
    </xf>
    <xf numFmtId="0" fontId="0" fillId="0" borderId="21" xfId="0" applyBorder="1" applyAlignment="1" applyProtection="1">
      <alignment horizontal="left"/>
      <protection locked="0"/>
    </xf>
    <xf numFmtId="0" fontId="35" fillId="18" borderId="33" xfId="0" applyFont="1" applyFill="1" applyBorder="1"/>
    <xf numFmtId="0" fontId="0" fillId="0" borderId="26" xfId="0" applyBorder="1" applyAlignment="1" applyProtection="1">
      <alignment horizontal="center"/>
      <protection locked="0"/>
    </xf>
    <xf numFmtId="0" fontId="35" fillId="18" borderId="17" xfId="0" applyFont="1" applyFill="1" applyBorder="1"/>
    <xf numFmtId="0" fontId="0" fillId="0" borderId="10" xfId="0" applyBorder="1" applyAlignment="1" applyProtection="1">
      <alignment horizontal="center"/>
      <protection locked="0"/>
    </xf>
    <xf numFmtId="0" fontId="0" fillId="0" borderId="10" xfId="0" applyBorder="1" applyProtection="1">
      <protection locked="0"/>
    </xf>
    <xf numFmtId="0" fontId="0" fillId="0" borderId="23" xfId="0" applyBorder="1" applyProtection="1">
      <protection locked="0"/>
    </xf>
    <xf numFmtId="0" fontId="35" fillId="18" borderId="34" xfId="0" applyFont="1" applyFill="1" applyBorder="1"/>
    <xf numFmtId="0" fontId="0" fillId="0" borderId="0" xfId="0" applyAlignment="1" applyProtection="1">
      <alignment horizontal="center"/>
      <protection locked="0"/>
    </xf>
    <xf numFmtId="0" fontId="37" fillId="0" borderId="0" xfId="0" applyFont="1" applyProtection="1">
      <protection locked="0"/>
    </xf>
    <xf numFmtId="43" fontId="44" fillId="0" borderId="0" xfId="0" applyNumberFormat="1" applyFont="1"/>
    <xf numFmtId="43" fontId="29" fillId="0" borderId="8" xfId="53" applyFont="1" applyBorder="1" applyAlignment="1" applyProtection="1">
      <alignment vertical="top" wrapText="1" readingOrder="1"/>
      <protection locked="0"/>
    </xf>
    <xf numFmtId="0" fontId="37" fillId="0" borderId="21" xfId="0" applyFont="1" applyBorder="1" applyProtection="1">
      <protection locked="0"/>
    </xf>
    <xf numFmtId="0" fontId="37" fillId="0" borderId="21" xfId="0" applyFont="1" applyBorder="1" applyAlignment="1" applyProtection="1">
      <alignment horizontal="left"/>
      <protection locked="0"/>
    </xf>
    <xf numFmtId="0" fontId="37" fillId="0" borderId="23" xfId="0" applyFont="1" applyBorder="1" applyProtection="1">
      <protection locked="0"/>
    </xf>
    <xf numFmtId="0" fontId="35" fillId="18" borderId="35" xfId="0" applyFont="1" applyFill="1" applyBorder="1"/>
    <xf numFmtId="0" fontId="0" fillId="0" borderId="36" xfId="0" applyBorder="1" applyAlignment="1" applyProtection="1">
      <alignment horizontal="center"/>
      <protection locked="0"/>
    </xf>
    <xf numFmtId="0" fontId="57" fillId="0" borderId="37" xfId="0" applyFont="1" applyBorder="1" applyAlignment="1">
      <alignment horizontal="center"/>
    </xf>
    <xf numFmtId="0" fontId="57" fillId="0" borderId="37" xfId="0" applyFont="1" applyBorder="1" applyAlignment="1">
      <alignment horizontal="right"/>
    </xf>
    <xf numFmtId="0" fontId="58" fillId="0" borderId="37" xfId="0" applyFont="1" applyBorder="1"/>
    <xf numFmtId="0" fontId="57" fillId="0" borderId="37" xfId="0" applyFont="1" applyBorder="1" applyAlignment="1" applyProtection="1">
      <alignment horizontal="right"/>
      <protection locked="0"/>
    </xf>
    <xf numFmtId="17" fontId="57" fillId="0" borderId="37" xfId="0" applyNumberFormat="1" applyFont="1" applyBorder="1" applyProtection="1">
      <protection locked="0"/>
    </xf>
    <xf numFmtId="17" fontId="57" fillId="0" borderId="37" xfId="0" applyNumberFormat="1" applyFont="1" applyBorder="1" applyAlignment="1" applyProtection="1">
      <alignment horizontal="right" wrapText="1"/>
      <protection locked="0"/>
    </xf>
    <xf numFmtId="0" fontId="59" fillId="0" borderId="37" xfId="0" applyFont="1" applyBorder="1"/>
    <xf numFmtId="0" fontId="59" fillId="0" borderId="37" xfId="0" applyFont="1" applyBorder="1" applyAlignment="1">
      <alignment horizontal="center"/>
    </xf>
    <xf numFmtId="166" fontId="59" fillId="0" borderId="37" xfId="56" applyNumberFormat="1" applyFont="1" applyBorder="1" applyAlignment="1" applyProtection="1">
      <alignment horizontal="right"/>
    </xf>
    <xf numFmtId="9" fontId="59" fillId="0" borderId="37" xfId="0" applyNumberFormat="1" applyFont="1" applyBorder="1" applyAlignment="1">
      <alignment horizontal="center"/>
    </xf>
    <xf numFmtId="173" fontId="59" fillId="0" borderId="37" xfId="676" applyNumberFormat="1" applyFont="1" applyBorder="1" applyAlignment="1" applyProtection="1">
      <alignment horizontal="right"/>
    </xf>
    <xf numFmtId="173" fontId="59" fillId="0" borderId="37" xfId="676" applyNumberFormat="1" applyFont="1" applyFill="1" applyBorder="1" applyAlignment="1" applyProtection="1">
      <alignment horizontal="right"/>
    </xf>
    <xf numFmtId="173" fontId="58" fillId="18" borderId="37" xfId="676" applyNumberFormat="1" applyFont="1" applyFill="1" applyBorder="1" applyAlignment="1" applyProtection="1">
      <alignment horizontal="right"/>
    </xf>
    <xf numFmtId="0" fontId="59" fillId="18" borderId="37" xfId="0" applyFont="1" applyFill="1" applyBorder="1"/>
    <xf numFmtId="173" fontId="59" fillId="18" borderId="37" xfId="676" applyNumberFormat="1" applyFont="1" applyFill="1" applyBorder="1" applyAlignment="1" applyProtection="1">
      <alignment horizontal="right"/>
    </xf>
    <xf numFmtId="0" fontId="59" fillId="18" borderId="37" xfId="0" applyFont="1" applyFill="1" applyBorder="1" applyAlignment="1">
      <alignment horizontal="center"/>
    </xf>
    <xf numFmtId="0" fontId="58" fillId="0" borderId="37" xfId="0" applyFont="1" applyBorder="1" applyAlignment="1">
      <alignment horizontal="center"/>
    </xf>
    <xf numFmtId="0" fontId="59" fillId="18" borderId="37" xfId="0" applyFont="1" applyFill="1" applyBorder="1" applyAlignment="1">
      <alignment horizontal="left"/>
    </xf>
    <xf numFmtId="9" fontId="59" fillId="18" borderId="37" xfId="0" applyNumberFormat="1" applyFont="1" applyFill="1" applyBorder="1" applyAlignment="1">
      <alignment horizontal="center"/>
    </xf>
    <xf numFmtId="0" fontId="60" fillId="0" borderId="37" xfId="0" applyFont="1" applyBorder="1" applyAlignment="1">
      <alignment horizontal="center"/>
    </xf>
    <xf numFmtId="0" fontId="61" fillId="18" borderId="37" xfId="0" applyFont="1" applyFill="1" applyBorder="1"/>
    <xf numFmtId="43" fontId="61" fillId="0" borderId="37" xfId="53" applyFont="1" applyBorder="1" applyAlignment="1" applyProtection="1">
      <alignment horizontal="center"/>
    </xf>
    <xf numFmtId="43" fontId="61" fillId="0" borderId="37" xfId="53" applyFont="1" applyBorder="1" applyProtection="1">
      <protection locked="0"/>
    </xf>
    <xf numFmtId="43" fontId="28" fillId="0" borderId="37" xfId="53" applyFont="1" applyBorder="1" applyProtection="1">
      <protection locked="0"/>
    </xf>
    <xf numFmtId="0" fontId="58" fillId="0" borderId="37" xfId="0" applyFont="1" applyBorder="1" applyAlignment="1" applyProtection="1">
      <alignment horizontal="left"/>
      <protection locked="0"/>
    </xf>
    <xf numFmtId="0" fontId="58" fillId="0" borderId="37" xfId="0" applyFont="1" applyBorder="1" applyAlignment="1" applyProtection="1">
      <alignment horizontal="center"/>
      <protection locked="0"/>
    </xf>
    <xf numFmtId="0" fontId="58" fillId="0" borderId="37" xfId="0" applyFont="1" applyBorder="1" applyProtection="1">
      <protection locked="0"/>
    </xf>
    <xf numFmtId="0" fontId="60" fillId="0" borderId="37" xfId="0" applyFont="1" applyBorder="1" applyProtection="1">
      <protection locked="0"/>
    </xf>
    <xf numFmtId="0" fontId="59" fillId="18" borderId="37" xfId="0" applyFont="1" applyFill="1" applyBorder="1" applyAlignment="1" applyProtection="1">
      <alignment horizontal="left"/>
      <protection locked="0"/>
    </xf>
    <xf numFmtId="168" fontId="25" fillId="11" borderId="0" xfId="476" applyNumberFormat="1" applyFont="1" applyFill="1" applyAlignment="1" applyProtection="1">
      <alignment vertical="top" wrapText="1" readingOrder="1"/>
      <protection locked="0"/>
    </xf>
    <xf numFmtId="43" fontId="25" fillId="0" borderId="0" xfId="53" applyFont="1" applyBorder="1" applyAlignment="1" applyProtection="1">
      <alignment vertical="top" wrapText="1" readingOrder="1"/>
      <protection locked="0"/>
    </xf>
    <xf numFmtId="173" fontId="40" fillId="0" borderId="14" xfId="678" applyNumberFormat="1" applyFont="1" applyFill="1" applyBorder="1"/>
    <xf numFmtId="43" fontId="51" fillId="0" borderId="8" xfId="53" applyFont="1" applyBorder="1"/>
    <xf numFmtId="9" fontId="52" fillId="0" borderId="0" xfId="676" applyFont="1" applyFill="1" applyBorder="1"/>
    <xf numFmtId="43" fontId="52" fillId="0" borderId="0" xfId="53" applyFont="1" applyFill="1" applyBorder="1"/>
    <xf numFmtId="43" fontId="52" fillId="19" borderId="0" xfId="53" applyFont="1" applyFill="1" applyBorder="1"/>
    <xf numFmtId="43" fontId="53" fillId="19" borderId="0" xfId="53" applyFont="1" applyFill="1" applyBorder="1"/>
    <xf numFmtId="9" fontId="50" fillId="0" borderId="0" xfId="676" applyFont="1"/>
    <xf numFmtId="168" fontId="24" fillId="11" borderId="32" xfId="0" applyNumberFormat="1" applyFont="1" applyFill="1" applyBorder="1" applyAlignment="1" applyProtection="1">
      <alignment vertical="top" wrapText="1" readingOrder="1"/>
      <protection locked="0"/>
    </xf>
    <xf numFmtId="168" fontId="24" fillId="0" borderId="32" xfId="0" applyNumberFormat="1" applyFont="1" applyBorder="1" applyAlignment="1" applyProtection="1">
      <alignment vertical="top" wrapText="1" readingOrder="1"/>
      <protection locked="0"/>
    </xf>
    <xf numFmtId="175" fontId="24" fillId="0" borderId="32" xfId="0" applyNumberFormat="1" applyFont="1" applyBorder="1" applyAlignment="1" applyProtection="1">
      <alignment vertical="top" wrapText="1" readingOrder="1"/>
      <protection locked="0"/>
    </xf>
    <xf numFmtId="17" fontId="53" fillId="0" borderId="0" xfId="0" applyNumberFormat="1" applyFont="1" applyAlignment="1">
      <alignment horizontal="center" vertical="center"/>
    </xf>
    <xf numFmtId="168" fontId="25" fillId="11" borderId="32" xfId="0" applyNumberFormat="1" applyFont="1" applyFill="1" applyBorder="1" applyAlignment="1" applyProtection="1">
      <alignment vertical="top" wrapText="1" readingOrder="1"/>
      <protection locked="0"/>
    </xf>
    <xf numFmtId="168" fontId="25" fillId="0" borderId="32" xfId="0" applyNumberFormat="1" applyFont="1" applyBorder="1" applyAlignment="1" applyProtection="1">
      <alignment vertical="top" wrapText="1" readingOrder="1"/>
      <protection locked="0"/>
    </xf>
    <xf numFmtId="17" fontId="51" fillId="0" borderId="0" xfId="0" applyNumberFormat="1" applyFont="1"/>
    <xf numFmtId="3" fontId="0" fillId="0" borderId="0" xfId="0" applyNumberFormat="1"/>
    <xf numFmtId="3" fontId="52" fillId="0" borderId="0" xfId="0" applyNumberFormat="1" applyFont="1"/>
    <xf numFmtId="43" fontId="52" fillId="0" borderId="0" xfId="53" applyFont="1"/>
    <xf numFmtId="43" fontId="53" fillId="0" borderId="0" xfId="53" applyFont="1" applyAlignment="1">
      <alignment horizontal="center" vertical="center"/>
    </xf>
    <xf numFmtId="43" fontId="0" fillId="0" borderId="0" xfId="53" applyFont="1"/>
    <xf numFmtId="43" fontId="53" fillId="19" borderId="0" xfId="53" applyFont="1" applyFill="1"/>
    <xf numFmtId="17" fontId="44" fillId="0" borderId="0" xfId="0" applyNumberFormat="1" applyFont="1"/>
    <xf numFmtId="17" fontId="39" fillId="0" borderId="0" xfId="638" applyNumberFormat="1" applyFont="1"/>
    <xf numFmtId="0" fontId="64" fillId="0" borderId="48" xfId="0" applyFont="1" applyBorder="1" applyAlignment="1">
      <alignment wrapText="1" readingOrder="1"/>
    </xf>
    <xf numFmtId="4" fontId="64" fillId="0" borderId="48" xfId="0" applyNumberFormat="1" applyFont="1" applyBorder="1" applyAlignment="1">
      <alignment wrapText="1" readingOrder="1"/>
    </xf>
    <xf numFmtId="0" fontId="64" fillId="0" borderId="49" xfId="0" applyFont="1" applyBorder="1" applyAlignment="1">
      <alignment wrapText="1" readingOrder="1"/>
    </xf>
    <xf numFmtId="4" fontId="64" fillId="0" borderId="49" xfId="0" applyNumberFormat="1" applyFont="1" applyBorder="1" applyAlignment="1">
      <alignment wrapText="1" readingOrder="1"/>
    </xf>
    <xf numFmtId="0" fontId="64" fillId="0" borderId="50" xfId="0" applyFont="1" applyBorder="1" applyAlignment="1">
      <alignment wrapText="1" readingOrder="1"/>
    </xf>
    <xf numFmtId="4" fontId="64" fillId="0" borderId="50" xfId="0" applyNumberFormat="1" applyFont="1" applyBorder="1" applyAlignment="1">
      <alignment wrapText="1" readingOrder="1"/>
    </xf>
    <xf numFmtId="0" fontId="64" fillId="0" borderId="51" xfId="0" applyFont="1" applyBorder="1" applyAlignment="1">
      <alignment wrapText="1" readingOrder="1"/>
    </xf>
    <xf numFmtId="4" fontId="64" fillId="0" borderId="51" xfId="0" applyNumberFormat="1" applyFont="1" applyBorder="1" applyAlignment="1">
      <alignment wrapText="1" readingOrder="1"/>
    </xf>
    <xf numFmtId="0" fontId="65" fillId="0" borderId="48" xfId="0" applyFont="1" applyBorder="1" applyAlignment="1">
      <alignment wrapText="1" readingOrder="1"/>
    </xf>
    <xf numFmtId="4" fontId="65" fillId="0" borderId="48" xfId="0" applyNumberFormat="1" applyFont="1" applyBorder="1" applyAlignment="1">
      <alignment wrapText="1" readingOrder="1"/>
    </xf>
    <xf numFmtId="0" fontId="65" fillId="0" borderId="49" xfId="0" applyFont="1" applyBorder="1" applyAlignment="1">
      <alignment wrapText="1" readingOrder="1"/>
    </xf>
    <xf numFmtId="4" fontId="65" fillId="0" borderId="49" xfId="0" applyNumberFormat="1" applyFont="1" applyBorder="1" applyAlignment="1">
      <alignment wrapText="1" readingOrder="1"/>
    </xf>
    <xf numFmtId="0" fontId="65" fillId="0" borderId="50" xfId="0" applyFont="1" applyBorder="1" applyAlignment="1">
      <alignment wrapText="1" readingOrder="1"/>
    </xf>
    <xf numFmtId="4" fontId="65" fillId="0" borderId="50" xfId="0" applyNumberFormat="1" applyFont="1" applyBorder="1" applyAlignment="1">
      <alignment wrapText="1" readingOrder="1"/>
    </xf>
    <xf numFmtId="0" fontId="65" fillId="0" borderId="51" xfId="0" applyFont="1" applyBorder="1" applyAlignment="1">
      <alignment wrapText="1" readingOrder="1"/>
    </xf>
    <xf numFmtId="4" fontId="65" fillId="0" borderId="51" xfId="0" applyNumberFormat="1" applyFont="1" applyBorder="1" applyAlignment="1">
      <alignment wrapText="1" readingOrder="1"/>
    </xf>
    <xf numFmtId="4" fontId="65" fillId="26" borderId="50" xfId="0" applyNumberFormat="1" applyFont="1" applyFill="1" applyBorder="1" applyAlignment="1">
      <alignment wrapText="1" readingOrder="1"/>
    </xf>
    <xf numFmtId="4" fontId="65" fillId="26" borderId="51" xfId="0" applyNumberFormat="1" applyFont="1" applyFill="1" applyBorder="1" applyAlignment="1">
      <alignment wrapText="1" readingOrder="1"/>
    </xf>
    <xf numFmtId="43" fontId="17" fillId="10" borderId="8" xfId="53" applyFont="1" applyFill="1" applyBorder="1" applyAlignment="1" applyProtection="1">
      <alignment horizontal="right"/>
    </xf>
    <xf numFmtId="43" fontId="17" fillId="9" borderId="8" xfId="53" applyFont="1" applyFill="1" applyBorder="1" applyAlignment="1" applyProtection="1">
      <alignment horizontal="right"/>
    </xf>
    <xf numFmtId="4" fontId="64" fillId="19" borderId="51" xfId="0" applyNumberFormat="1" applyFont="1" applyFill="1" applyBorder="1" applyAlignment="1">
      <alignment wrapText="1" readingOrder="1"/>
    </xf>
    <xf numFmtId="4" fontId="64" fillId="19" borderId="50" xfId="0" applyNumberFormat="1" applyFont="1" applyFill="1" applyBorder="1" applyAlignment="1">
      <alignment wrapText="1" readingOrder="1"/>
    </xf>
    <xf numFmtId="4" fontId="52" fillId="0" borderId="0" xfId="0" applyNumberFormat="1" applyFont="1"/>
    <xf numFmtId="0" fontId="17" fillId="0" borderId="27" xfId="0" applyFont="1" applyBorder="1" applyAlignment="1">
      <alignment horizontal="center" wrapText="1"/>
    </xf>
    <xf numFmtId="0" fontId="16" fillId="0" borderId="27" xfId="0" applyFont="1" applyBorder="1" applyAlignment="1">
      <alignment horizontal="center" wrapText="1"/>
    </xf>
    <xf numFmtId="0" fontId="16" fillId="0" borderId="38" xfId="0" applyFont="1" applyBorder="1" applyAlignment="1">
      <alignment horizontal="center" wrapText="1"/>
    </xf>
    <xf numFmtId="0" fontId="20" fillId="0" borderId="27" xfId="0" applyFont="1" applyBorder="1" applyAlignment="1">
      <alignment horizontal="left" wrapText="1"/>
    </xf>
    <xf numFmtId="0" fontId="0" fillId="0" borderId="21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/>
      <protection locked="0"/>
    </xf>
    <xf numFmtId="0" fontId="57" fillId="0" borderId="37" xfId="0" applyFont="1" applyBorder="1" applyAlignment="1" applyProtection="1">
      <alignment horizontal="center"/>
      <protection locked="0"/>
    </xf>
    <xf numFmtId="0" fontId="62" fillId="25" borderId="37" xfId="0" applyFont="1" applyFill="1" applyBorder="1" applyAlignment="1">
      <alignment horizontal="center"/>
    </xf>
    <xf numFmtId="0" fontId="62" fillId="25" borderId="37" xfId="0" applyFont="1" applyFill="1" applyBorder="1" applyAlignment="1">
      <alignment horizontal="left"/>
    </xf>
    <xf numFmtId="0" fontId="62" fillId="0" borderId="37" xfId="0" applyFont="1" applyBorder="1" applyAlignment="1">
      <alignment horizontal="center" wrapText="1"/>
    </xf>
    <xf numFmtId="0" fontId="57" fillId="0" borderId="37" xfId="0" applyFont="1" applyBorder="1" applyAlignment="1">
      <alignment horizontal="center"/>
    </xf>
    <xf numFmtId="0" fontId="63" fillId="24" borderId="37" xfId="0" applyFont="1" applyFill="1" applyBorder="1" applyAlignment="1">
      <alignment horizontal="left"/>
    </xf>
    <xf numFmtId="0" fontId="0" fillId="0" borderId="40" xfId="0" applyBorder="1" applyAlignment="1" applyProtection="1">
      <alignment horizontal="center"/>
      <protection locked="0"/>
    </xf>
    <xf numFmtId="0" fontId="0" fillId="0" borderId="41" xfId="0" applyBorder="1" applyAlignment="1" applyProtection="1">
      <alignment horizontal="center"/>
      <protection locked="0"/>
    </xf>
    <xf numFmtId="0" fontId="0" fillId="0" borderId="42" xfId="0" applyBorder="1" applyAlignment="1" applyProtection="1">
      <alignment horizontal="center"/>
      <protection locked="0"/>
    </xf>
    <xf numFmtId="0" fontId="64" fillId="0" borderId="48" xfId="0" applyFont="1" applyFill="1" applyBorder="1" applyAlignment="1">
      <alignment wrapText="1" readingOrder="1"/>
    </xf>
    <xf numFmtId="4" fontId="64" fillId="0" borderId="48" xfId="0" applyNumberFormat="1" applyFont="1" applyFill="1" applyBorder="1" applyAlignment="1">
      <alignment wrapText="1" readingOrder="1"/>
    </xf>
    <xf numFmtId="0" fontId="64" fillId="0" borderId="49" xfId="0" applyFont="1" applyFill="1" applyBorder="1" applyAlignment="1">
      <alignment wrapText="1" readingOrder="1"/>
    </xf>
    <xf numFmtId="4" fontId="64" fillId="0" borderId="49" xfId="0" applyNumberFormat="1" applyFont="1" applyFill="1" applyBorder="1" applyAlignment="1">
      <alignment wrapText="1" readingOrder="1"/>
    </xf>
    <xf numFmtId="0" fontId="64" fillId="0" borderId="50" xfId="0" applyFont="1" applyFill="1" applyBorder="1" applyAlignment="1">
      <alignment wrapText="1" readingOrder="1"/>
    </xf>
    <xf numFmtId="4" fontId="64" fillId="0" borderId="50" xfId="0" applyNumberFormat="1" applyFont="1" applyFill="1" applyBorder="1" applyAlignment="1">
      <alignment wrapText="1" readingOrder="1"/>
    </xf>
    <xf numFmtId="0" fontId="64" fillId="0" borderId="51" xfId="0" applyFont="1" applyFill="1" applyBorder="1" applyAlignment="1">
      <alignment wrapText="1" readingOrder="1"/>
    </xf>
    <xf numFmtId="4" fontId="64" fillId="0" borderId="51" xfId="0" applyNumberFormat="1" applyFont="1" applyFill="1" applyBorder="1" applyAlignment="1">
      <alignment wrapText="1" readingOrder="1"/>
    </xf>
    <xf numFmtId="0" fontId="65" fillId="0" borderId="48" xfId="0" applyFont="1" applyFill="1" applyBorder="1" applyAlignment="1">
      <alignment wrapText="1" readingOrder="1"/>
    </xf>
    <xf numFmtId="4" fontId="65" fillId="0" borderId="48" xfId="0" applyNumberFormat="1" applyFont="1" applyFill="1" applyBorder="1" applyAlignment="1">
      <alignment wrapText="1" readingOrder="1"/>
    </xf>
    <xf numFmtId="0" fontId="65" fillId="0" borderId="49" xfId="0" applyFont="1" applyFill="1" applyBorder="1" applyAlignment="1">
      <alignment wrapText="1" readingOrder="1"/>
    </xf>
    <xf numFmtId="4" fontId="65" fillId="0" borderId="49" xfId="0" applyNumberFormat="1" applyFont="1" applyFill="1" applyBorder="1" applyAlignment="1">
      <alignment wrapText="1" readingOrder="1"/>
    </xf>
    <xf numFmtId="0" fontId="65" fillId="0" borderId="50" xfId="0" applyFont="1" applyFill="1" applyBorder="1" applyAlignment="1">
      <alignment wrapText="1" readingOrder="1"/>
    </xf>
    <xf numFmtId="4" fontId="65" fillId="0" borderId="50" xfId="0" applyNumberFormat="1" applyFont="1" applyFill="1" applyBorder="1" applyAlignment="1">
      <alignment wrapText="1" readingOrder="1"/>
    </xf>
    <xf numFmtId="0" fontId="65" fillId="0" borderId="51" xfId="0" applyFont="1" applyFill="1" applyBorder="1" applyAlignment="1">
      <alignment wrapText="1" readingOrder="1"/>
    </xf>
    <xf numFmtId="4" fontId="65" fillId="0" borderId="51" xfId="0" applyNumberFormat="1" applyFont="1" applyFill="1" applyBorder="1" applyAlignment="1">
      <alignment wrapText="1" readingOrder="1"/>
    </xf>
    <xf numFmtId="0" fontId="62" fillId="25" borderId="37" xfId="0" applyFont="1" applyFill="1" applyBorder="1" applyAlignment="1"/>
  </cellXfs>
  <cellStyles count="687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2" xfId="70" xr:uid="{00000000-0005-0000-0000-000045000000}"/>
    <cellStyle name="Comma 10 2 2" xfId="71" xr:uid="{00000000-0005-0000-0000-000046000000}"/>
    <cellStyle name="Comma 10 3" xfId="72" xr:uid="{00000000-0005-0000-0000-000047000000}"/>
    <cellStyle name="Comma 10 3 2" xfId="73" xr:uid="{00000000-0005-0000-0000-000048000000}"/>
    <cellStyle name="Comma 10 4" xfId="74" xr:uid="{00000000-0005-0000-0000-000049000000}"/>
    <cellStyle name="Comma 10 4 2" xfId="75" xr:uid="{00000000-0005-0000-0000-00004A000000}"/>
    <cellStyle name="Comma 10 5" xfId="76" xr:uid="{00000000-0005-0000-0000-00004B000000}"/>
    <cellStyle name="Comma 10 5 2" xfId="77" xr:uid="{00000000-0005-0000-0000-00004C000000}"/>
    <cellStyle name="Comma 10 6" xfId="78" xr:uid="{00000000-0005-0000-0000-00004D000000}"/>
    <cellStyle name="Comma 10 6 2" xfId="79" xr:uid="{00000000-0005-0000-0000-00004E000000}"/>
    <cellStyle name="Comma 10 7" xfId="80" xr:uid="{00000000-0005-0000-0000-00004F000000}"/>
    <cellStyle name="Comma 10 7 2" xfId="81" xr:uid="{00000000-0005-0000-0000-000050000000}"/>
    <cellStyle name="Comma 10 8" xfId="82" xr:uid="{00000000-0005-0000-0000-000051000000}"/>
    <cellStyle name="Comma 10 8 2" xfId="83" xr:uid="{00000000-0005-0000-0000-000052000000}"/>
    <cellStyle name="Comma 10 9" xfId="84" xr:uid="{00000000-0005-0000-0000-000053000000}"/>
    <cellStyle name="Comma 10 9 2" xfId="85" xr:uid="{00000000-0005-0000-0000-000054000000}"/>
    <cellStyle name="Comma 11" xfId="86" xr:uid="{00000000-0005-0000-0000-000055000000}"/>
    <cellStyle name="Comma 11 10" xfId="87" xr:uid="{00000000-0005-0000-0000-000056000000}"/>
    <cellStyle name="Comma 11 10 2" xfId="88" xr:uid="{00000000-0005-0000-0000-000057000000}"/>
    <cellStyle name="Comma 11 11" xfId="89" xr:uid="{00000000-0005-0000-0000-000058000000}"/>
    <cellStyle name="Comma 11 11 2" xfId="90" xr:uid="{00000000-0005-0000-0000-000059000000}"/>
    <cellStyle name="Comma 11 12" xfId="91" xr:uid="{00000000-0005-0000-0000-00005A000000}"/>
    <cellStyle name="Comma 11 12 2" xfId="92" xr:uid="{00000000-0005-0000-0000-00005B000000}"/>
    <cellStyle name="Comma 11 13" xfId="93" xr:uid="{00000000-0005-0000-0000-00005C000000}"/>
    <cellStyle name="Comma 11 13 2" xfId="94" xr:uid="{00000000-0005-0000-0000-00005D000000}"/>
    <cellStyle name="Comma 11 14" xfId="95" xr:uid="{00000000-0005-0000-0000-00005E000000}"/>
    <cellStyle name="Comma 11 14 2" xfId="96" xr:uid="{00000000-0005-0000-0000-00005F000000}"/>
    <cellStyle name="Comma 11 15" xfId="97" xr:uid="{00000000-0005-0000-0000-000060000000}"/>
    <cellStyle name="Comma 11 15 2" xfId="98" xr:uid="{00000000-0005-0000-0000-000061000000}"/>
    <cellStyle name="Comma 11 16" xfId="99" xr:uid="{00000000-0005-0000-0000-000062000000}"/>
    <cellStyle name="Comma 11 16 2" xfId="100" xr:uid="{00000000-0005-0000-0000-000063000000}"/>
    <cellStyle name="Comma 11 17" xfId="101" xr:uid="{00000000-0005-0000-0000-000064000000}"/>
    <cellStyle name="Comma 11 17 2" xfId="102" xr:uid="{00000000-0005-0000-0000-000065000000}"/>
    <cellStyle name="Comma 11 18" xfId="103" xr:uid="{00000000-0005-0000-0000-000066000000}"/>
    <cellStyle name="Comma 11 2" xfId="104" xr:uid="{00000000-0005-0000-0000-000067000000}"/>
    <cellStyle name="Comma 11 2 2" xfId="105" xr:uid="{00000000-0005-0000-0000-000068000000}"/>
    <cellStyle name="Comma 11 2 2 2" xfId="106" xr:uid="{00000000-0005-0000-0000-000069000000}"/>
    <cellStyle name="Comma 11 2 3" xfId="107" xr:uid="{00000000-0005-0000-0000-00006A000000}"/>
    <cellStyle name="Comma 11 3" xfId="108" xr:uid="{00000000-0005-0000-0000-00006B000000}"/>
    <cellStyle name="Comma 11 3 2" xfId="109" xr:uid="{00000000-0005-0000-0000-00006C000000}"/>
    <cellStyle name="Comma 11 4" xfId="110" xr:uid="{00000000-0005-0000-0000-00006D000000}"/>
    <cellStyle name="Comma 11 4 2" xfId="111" xr:uid="{00000000-0005-0000-0000-00006E000000}"/>
    <cellStyle name="Comma 11 5" xfId="112" xr:uid="{00000000-0005-0000-0000-00006F000000}"/>
    <cellStyle name="Comma 11 5 2" xfId="113" xr:uid="{00000000-0005-0000-0000-000070000000}"/>
    <cellStyle name="Comma 11 6" xfId="114" xr:uid="{00000000-0005-0000-0000-000071000000}"/>
    <cellStyle name="Comma 11 6 2" xfId="115" xr:uid="{00000000-0005-0000-0000-000072000000}"/>
    <cellStyle name="Comma 11 7" xfId="116" xr:uid="{00000000-0005-0000-0000-000073000000}"/>
    <cellStyle name="Comma 11 7 2" xfId="117" xr:uid="{00000000-0005-0000-0000-000074000000}"/>
    <cellStyle name="Comma 11 8" xfId="118" xr:uid="{00000000-0005-0000-0000-000075000000}"/>
    <cellStyle name="Comma 11 8 2" xfId="119" xr:uid="{00000000-0005-0000-0000-000076000000}"/>
    <cellStyle name="Comma 11 9" xfId="120" xr:uid="{00000000-0005-0000-0000-000077000000}"/>
    <cellStyle name="Comma 11 9 2" xfId="121" xr:uid="{00000000-0005-0000-0000-000078000000}"/>
    <cellStyle name="Comma 12" xfId="122" xr:uid="{00000000-0005-0000-0000-000079000000}"/>
    <cellStyle name="Comma 12 2" xfId="123" xr:uid="{00000000-0005-0000-0000-00007A000000}"/>
    <cellStyle name="Comma 13" xfId="124" xr:uid="{00000000-0005-0000-0000-00007B000000}"/>
    <cellStyle name="Comma 13 2" xfId="125" xr:uid="{00000000-0005-0000-0000-00007C000000}"/>
    <cellStyle name="Comma 14" xfId="126" xr:uid="{00000000-0005-0000-0000-00007D000000}"/>
    <cellStyle name="Comma 14 2" xfId="127" xr:uid="{00000000-0005-0000-0000-00007E000000}"/>
    <cellStyle name="Comma 15" xfId="128" xr:uid="{00000000-0005-0000-0000-00007F000000}"/>
    <cellStyle name="Comma 15 2" xfId="129" xr:uid="{00000000-0005-0000-0000-000080000000}"/>
    <cellStyle name="Comma 16" xfId="130" xr:uid="{00000000-0005-0000-0000-000081000000}"/>
    <cellStyle name="Comma 16 10" xfId="131" xr:uid="{00000000-0005-0000-0000-000082000000}"/>
    <cellStyle name="Comma 16 10 2" xfId="132" xr:uid="{00000000-0005-0000-0000-000083000000}"/>
    <cellStyle name="Comma 16 11" xfId="133" xr:uid="{00000000-0005-0000-0000-000084000000}"/>
    <cellStyle name="Comma 16 11 2" xfId="134" xr:uid="{00000000-0005-0000-0000-000085000000}"/>
    <cellStyle name="Comma 16 12" xfId="135" xr:uid="{00000000-0005-0000-0000-000086000000}"/>
    <cellStyle name="Comma 16 12 2" xfId="136" xr:uid="{00000000-0005-0000-0000-000087000000}"/>
    <cellStyle name="Comma 16 13" xfId="137" xr:uid="{00000000-0005-0000-0000-000088000000}"/>
    <cellStyle name="Comma 16 13 2" xfId="138" xr:uid="{00000000-0005-0000-0000-000089000000}"/>
    <cellStyle name="Comma 16 14" xfId="139" xr:uid="{00000000-0005-0000-0000-00008A000000}"/>
    <cellStyle name="Comma 16 14 2" xfId="140" xr:uid="{00000000-0005-0000-0000-00008B000000}"/>
    <cellStyle name="Comma 16 15" xfId="141" xr:uid="{00000000-0005-0000-0000-00008C000000}"/>
    <cellStyle name="Comma 16 15 2" xfId="142" xr:uid="{00000000-0005-0000-0000-00008D000000}"/>
    <cellStyle name="Comma 16 16" xfId="143" xr:uid="{00000000-0005-0000-0000-00008E000000}"/>
    <cellStyle name="Comma 16 16 2" xfId="144" xr:uid="{00000000-0005-0000-0000-00008F000000}"/>
    <cellStyle name="Comma 16 17" xfId="145" xr:uid="{00000000-0005-0000-0000-000090000000}"/>
    <cellStyle name="Comma 16 2" xfId="146" xr:uid="{00000000-0005-0000-0000-000091000000}"/>
    <cellStyle name="Comma 16 2 2" xfId="147" xr:uid="{00000000-0005-0000-0000-000092000000}"/>
    <cellStyle name="Comma 16 3" xfId="148" xr:uid="{00000000-0005-0000-0000-000093000000}"/>
    <cellStyle name="Comma 16 3 2" xfId="149" xr:uid="{00000000-0005-0000-0000-000094000000}"/>
    <cellStyle name="Comma 16 4" xfId="150" xr:uid="{00000000-0005-0000-0000-000095000000}"/>
    <cellStyle name="Comma 16 4 2" xfId="151" xr:uid="{00000000-0005-0000-0000-000096000000}"/>
    <cellStyle name="Comma 16 5" xfId="152" xr:uid="{00000000-0005-0000-0000-000097000000}"/>
    <cellStyle name="Comma 16 5 2" xfId="153" xr:uid="{00000000-0005-0000-0000-000098000000}"/>
    <cellStyle name="Comma 16 6" xfId="154" xr:uid="{00000000-0005-0000-0000-000099000000}"/>
    <cellStyle name="Comma 16 6 2" xfId="155" xr:uid="{00000000-0005-0000-0000-00009A000000}"/>
    <cellStyle name="Comma 16 7" xfId="156" xr:uid="{00000000-0005-0000-0000-00009B000000}"/>
    <cellStyle name="Comma 16 7 2" xfId="157" xr:uid="{00000000-0005-0000-0000-00009C000000}"/>
    <cellStyle name="Comma 16 8" xfId="158" xr:uid="{00000000-0005-0000-0000-00009D000000}"/>
    <cellStyle name="Comma 16 8 2" xfId="159" xr:uid="{00000000-0005-0000-0000-00009E000000}"/>
    <cellStyle name="Comma 16 9" xfId="160" xr:uid="{00000000-0005-0000-0000-00009F000000}"/>
    <cellStyle name="Comma 16 9 2" xfId="161" xr:uid="{00000000-0005-0000-0000-0000A0000000}"/>
    <cellStyle name="Comma 17" xfId="162" xr:uid="{00000000-0005-0000-0000-0000A1000000}"/>
    <cellStyle name="Comma 17 10" xfId="163" xr:uid="{00000000-0005-0000-0000-0000A2000000}"/>
    <cellStyle name="Comma 17 10 2" xfId="164" xr:uid="{00000000-0005-0000-0000-0000A3000000}"/>
    <cellStyle name="Comma 17 11" xfId="165" xr:uid="{00000000-0005-0000-0000-0000A4000000}"/>
    <cellStyle name="Comma 17 2" xfId="166" xr:uid="{00000000-0005-0000-0000-0000A5000000}"/>
    <cellStyle name="Comma 17 2 2" xfId="167" xr:uid="{00000000-0005-0000-0000-0000A6000000}"/>
    <cellStyle name="Comma 17 3" xfId="168" xr:uid="{00000000-0005-0000-0000-0000A7000000}"/>
    <cellStyle name="Comma 17 3 2" xfId="169" xr:uid="{00000000-0005-0000-0000-0000A8000000}"/>
    <cellStyle name="Comma 17 4" xfId="170" xr:uid="{00000000-0005-0000-0000-0000A9000000}"/>
    <cellStyle name="Comma 17 4 2" xfId="171" xr:uid="{00000000-0005-0000-0000-0000AA000000}"/>
    <cellStyle name="Comma 17 5" xfId="172" xr:uid="{00000000-0005-0000-0000-0000AB000000}"/>
    <cellStyle name="Comma 17 5 2" xfId="173" xr:uid="{00000000-0005-0000-0000-0000AC000000}"/>
    <cellStyle name="Comma 17 6" xfId="174" xr:uid="{00000000-0005-0000-0000-0000AD000000}"/>
    <cellStyle name="Comma 17 6 2" xfId="175" xr:uid="{00000000-0005-0000-0000-0000AE000000}"/>
    <cellStyle name="Comma 17 7" xfId="176" xr:uid="{00000000-0005-0000-0000-0000AF000000}"/>
    <cellStyle name="Comma 17 7 2" xfId="177" xr:uid="{00000000-0005-0000-0000-0000B0000000}"/>
    <cellStyle name="Comma 17 8" xfId="178" xr:uid="{00000000-0005-0000-0000-0000B1000000}"/>
    <cellStyle name="Comma 17 8 2" xfId="179" xr:uid="{00000000-0005-0000-0000-0000B2000000}"/>
    <cellStyle name="Comma 17 9" xfId="180" xr:uid="{00000000-0005-0000-0000-0000B3000000}"/>
    <cellStyle name="Comma 17 9 2" xfId="181" xr:uid="{00000000-0005-0000-0000-0000B4000000}"/>
    <cellStyle name="Comma 18" xfId="182" xr:uid="{00000000-0005-0000-0000-0000B5000000}"/>
    <cellStyle name="Comma 18 2" xfId="183" xr:uid="{00000000-0005-0000-0000-0000B6000000}"/>
    <cellStyle name="Comma 19" xfId="184" xr:uid="{00000000-0005-0000-0000-0000B7000000}"/>
    <cellStyle name="Comma 2" xfId="185" xr:uid="{00000000-0005-0000-0000-0000B8000000}"/>
    <cellStyle name="Comma 2 10" xfId="186" xr:uid="{00000000-0005-0000-0000-0000B9000000}"/>
    <cellStyle name="Comma 2 10 2" xfId="187" xr:uid="{00000000-0005-0000-0000-0000BA000000}"/>
    <cellStyle name="Comma 2 11" xfId="188" xr:uid="{00000000-0005-0000-0000-0000BB000000}"/>
    <cellStyle name="Comma 2 11 2" xfId="189" xr:uid="{00000000-0005-0000-0000-0000BC000000}"/>
    <cellStyle name="Comma 2 12" xfId="190" xr:uid="{00000000-0005-0000-0000-0000BD000000}"/>
    <cellStyle name="Comma 2 12 2" xfId="191" xr:uid="{00000000-0005-0000-0000-0000BE000000}"/>
    <cellStyle name="Comma 2 13" xfId="192" xr:uid="{00000000-0005-0000-0000-0000BF000000}"/>
    <cellStyle name="Comma 2 13 2" xfId="193" xr:uid="{00000000-0005-0000-0000-0000C0000000}"/>
    <cellStyle name="Comma 2 14" xfId="194" xr:uid="{00000000-0005-0000-0000-0000C1000000}"/>
    <cellStyle name="Comma 2 14 2" xfId="195" xr:uid="{00000000-0005-0000-0000-0000C2000000}"/>
    <cellStyle name="Comma 2 15" xfId="196" xr:uid="{00000000-0005-0000-0000-0000C3000000}"/>
    <cellStyle name="Comma 2 15 2" xfId="197" xr:uid="{00000000-0005-0000-0000-0000C4000000}"/>
    <cellStyle name="Comma 2 16" xfId="198" xr:uid="{00000000-0005-0000-0000-0000C5000000}"/>
    <cellStyle name="Comma 2 16 2" xfId="199" xr:uid="{00000000-0005-0000-0000-0000C6000000}"/>
    <cellStyle name="Comma 2 17" xfId="200" xr:uid="{00000000-0005-0000-0000-0000C7000000}"/>
    <cellStyle name="Comma 2 17 2" xfId="201" xr:uid="{00000000-0005-0000-0000-0000C8000000}"/>
    <cellStyle name="Comma 2 18" xfId="202" xr:uid="{00000000-0005-0000-0000-0000C9000000}"/>
    <cellStyle name="Comma 2 18 2" xfId="203" xr:uid="{00000000-0005-0000-0000-0000CA000000}"/>
    <cellStyle name="Comma 2 19" xfId="204" xr:uid="{00000000-0005-0000-0000-0000CB000000}"/>
    <cellStyle name="Comma 2 19 2" xfId="205" xr:uid="{00000000-0005-0000-0000-0000CC000000}"/>
    <cellStyle name="Comma 2 2" xfId="206" xr:uid="{00000000-0005-0000-0000-0000CD000000}"/>
    <cellStyle name="Comma 2 2 2" xfId="207" xr:uid="{00000000-0005-0000-0000-0000CE000000}"/>
    <cellStyle name="Comma 2 20" xfId="208" xr:uid="{00000000-0005-0000-0000-0000CF000000}"/>
    <cellStyle name="Comma 2 20 2" xfId="209" xr:uid="{00000000-0005-0000-0000-0000D0000000}"/>
    <cellStyle name="Comma 2 21" xfId="210" xr:uid="{00000000-0005-0000-0000-0000D1000000}"/>
    <cellStyle name="Comma 2 21 2" xfId="211" xr:uid="{00000000-0005-0000-0000-0000D2000000}"/>
    <cellStyle name="Comma 2 22" xfId="212" xr:uid="{00000000-0005-0000-0000-0000D3000000}"/>
    <cellStyle name="Comma 2 22 2" xfId="213" xr:uid="{00000000-0005-0000-0000-0000D4000000}"/>
    <cellStyle name="Comma 2 23" xfId="214" xr:uid="{00000000-0005-0000-0000-0000D5000000}"/>
    <cellStyle name="Comma 2 23 2" xfId="215" xr:uid="{00000000-0005-0000-0000-0000D6000000}"/>
    <cellStyle name="Comma 2 24" xfId="216" xr:uid="{00000000-0005-0000-0000-0000D7000000}"/>
    <cellStyle name="Comma 2 24 2" xfId="217" xr:uid="{00000000-0005-0000-0000-0000D8000000}"/>
    <cellStyle name="Comma 2 25" xfId="218" xr:uid="{00000000-0005-0000-0000-0000D9000000}"/>
    <cellStyle name="Comma 2 25 2" xfId="219" xr:uid="{00000000-0005-0000-0000-0000DA000000}"/>
    <cellStyle name="Comma 2 26" xfId="220" xr:uid="{00000000-0005-0000-0000-0000DB000000}"/>
    <cellStyle name="Comma 2 26 2" xfId="221" xr:uid="{00000000-0005-0000-0000-0000DC000000}"/>
    <cellStyle name="Comma 2 27" xfId="222" xr:uid="{00000000-0005-0000-0000-0000DD000000}"/>
    <cellStyle name="Comma 2 3" xfId="223" xr:uid="{00000000-0005-0000-0000-0000DE000000}"/>
    <cellStyle name="Comma 2 3 2" xfId="224" xr:uid="{00000000-0005-0000-0000-0000DF000000}"/>
    <cellStyle name="Comma 2 4" xfId="225" xr:uid="{00000000-0005-0000-0000-0000E0000000}"/>
    <cellStyle name="Comma 2 4 2" xfId="226" xr:uid="{00000000-0005-0000-0000-0000E1000000}"/>
    <cellStyle name="Comma 2 5" xfId="227" xr:uid="{00000000-0005-0000-0000-0000E2000000}"/>
    <cellStyle name="Comma 2 5 2" xfId="228" xr:uid="{00000000-0005-0000-0000-0000E3000000}"/>
    <cellStyle name="Comma 2 6" xfId="229" xr:uid="{00000000-0005-0000-0000-0000E4000000}"/>
    <cellStyle name="Comma 2 6 2" xfId="230" xr:uid="{00000000-0005-0000-0000-0000E5000000}"/>
    <cellStyle name="Comma 2 7" xfId="231" xr:uid="{00000000-0005-0000-0000-0000E6000000}"/>
    <cellStyle name="Comma 2 7 2" xfId="232" xr:uid="{00000000-0005-0000-0000-0000E7000000}"/>
    <cellStyle name="Comma 2 8" xfId="233" xr:uid="{00000000-0005-0000-0000-0000E8000000}"/>
    <cellStyle name="Comma 2 8 2" xfId="234" xr:uid="{00000000-0005-0000-0000-0000E9000000}"/>
    <cellStyle name="Comma 2 9" xfId="235" xr:uid="{00000000-0005-0000-0000-0000EA000000}"/>
    <cellStyle name="Comma 2 9 2" xfId="236" xr:uid="{00000000-0005-0000-0000-0000EB000000}"/>
    <cellStyle name="Comma 24" xfId="237" xr:uid="{00000000-0005-0000-0000-0000EC000000}"/>
    <cellStyle name="Comma 24 2" xfId="238" xr:uid="{00000000-0005-0000-0000-0000ED000000}"/>
    <cellStyle name="Comma 3" xfId="239" xr:uid="{00000000-0005-0000-0000-0000EE000000}"/>
    <cellStyle name="Comma 3 10" xfId="240" xr:uid="{00000000-0005-0000-0000-0000EF000000}"/>
    <cellStyle name="Comma 3 10 2" xfId="241" xr:uid="{00000000-0005-0000-0000-0000F0000000}"/>
    <cellStyle name="Comma 3 11" xfId="242" xr:uid="{00000000-0005-0000-0000-0000F1000000}"/>
    <cellStyle name="Comma 3 11 2" xfId="243" xr:uid="{00000000-0005-0000-0000-0000F2000000}"/>
    <cellStyle name="Comma 3 12" xfId="244" xr:uid="{00000000-0005-0000-0000-0000F3000000}"/>
    <cellStyle name="Comma 3 12 2" xfId="245" xr:uid="{00000000-0005-0000-0000-0000F4000000}"/>
    <cellStyle name="Comma 3 13" xfId="246" xr:uid="{00000000-0005-0000-0000-0000F5000000}"/>
    <cellStyle name="Comma 3 13 2" xfId="247" xr:uid="{00000000-0005-0000-0000-0000F6000000}"/>
    <cellStyle name="Comma 3 14" xfId="248" xr:uid="{00000000-0005-0000-0000-0000F7000000}"/>
    <cellStyle name="Comma 3 14 2" xfId="249" xr:uid="{00000000-0005-0000-0000-0000F8000000}"/>
    <cellStyle name="Comma 3 15" xfId="250" xr:uid="{00000000-0005-0000-0000-0000F9000000}"/>
    <cellStyle name="Comma 3 15 2" xfId="251" xr:uid="{00000000-0005-0000-0000-0000FA000000}"/>
    <cellStyle name="Comma 3 16" xfId="252" xr:uid="{00000000-0005-0000-0000-0000FB000000}"/>
    <cellStyle name="Comma 3 16 2" xfId="253" xr:uid="{00000000-0005-0000-0000-0000FC000000}"/>
    <cellStyle name="Comma 3 17" xfId="254" xr:uid="{00000000-0005-0000-0000-0000FD000000}"/>
    <cellStyle name="Comma 3 17 2" xfId="255" xr:uid="{00000000-0005-0000-0000-0000FE000000}"/>
    <cellStyle name="Comma 3 18" xfId="256" xr:uid="{00000000-0005-0000-0000-0000FF000000}"/>
    <cellStyle name="Comma 3 18 2" xfId="257" xr:uid="{00000000-0005-0000-0000-000000010000}"/>
    <cellStyle name="Comma 3 19" xfId="258" xr:uid="{00000000-0005-0000-0000-000001010000}"/>
    <cellStyle name="Comma 3 19 2" xfId="259" xr:uid="{00000000-0005-0000-0000-000002010000}"/>
    <cellStyle name="Comma 3 2" xfId="260" xr:uid="{00000000-0005-0000-0000-000003010000}"/>
    <cellStyle name="Comma 3 2 2" xfId="261" xr:uid="{00000000-0005-0000-0000-000004010000}"/>
    <cellStyle name="Comma 3 20" xfId="262" xr:uid="{00000000-0005-0000-0000-000005010000}"/>
    <cellStyle name="Comma 3 20 2" xfId="263" xr:uid="{00000000-0005-0000-0000-000006010000}"/>
    <cellStyle name="Comma 3 21" xfId="264" xr:uid="{00000000-0005-0000-0000-000007010000}"/>
    <cellStyle name="Comma 3 3" xfId="265" xr:uid="{00000000-0005-0000-0000-000008010000}"/>
    <cellStyle name="Comma 3 3 2" xfId="266" xr:uid="{00000000-0005-0000-0000-000009010000}"/>
    <cellStyle name="Comma 3 4" xfId="267" xr:uid="{00000000-0005-0000-0000-00000A010000}"/>
    <cellStyle name="Comma 3 4 2" xfId="268" xr:uid="{00000000-0005-0000-0000-00000B010000}"/>
    <cellStyle name="Comma 3 5" xfId="269" xr:uid="{00000000-0005-0000-0000-00000C010000}"/>
    <cellStyle name="Comma 3 5 2" xfId="270" xr:uid="{00000000-0005-0000-0000-00000D010000}"/>
    <cellStyle name="Comma 3 6" xfId="271" xr:uid="{00000000-0005-0000-0000-00000E010000}"/>
    <cellStyle name="Comma 3 6 2" xfId="272" xr:uid="{00000000-0005-0000-0000-00000F010000}"/>
    <cellStyle name="Comma 3 7" xfId="273" xr:uid="{00000000-0005-0000-0000-000010010000}"/>
    <cellStyle name="Comma 3 7 2" xfId="274" xr:uid="{00000000-0005-0000-0000-000011010000}"/>
    <cellStyle name="Comma 3 8" xfId="275" xr:uid="{00000000-0005-0000-0000-000012010000}"/>
    <cellStyle name="Comma 3 8 2" xfId="276" xr:uid="{00000000-0005-0000-0000-000013010000}"/>
    <cellStyle name="Comma 3 9" xfId="277" xr:uid="{00000000-0005-0000-0000-000014010000}"/>
    <cellStyle name="Comma 3 9 2" xfId="278" xr:uid="{00000000-0005-0000-0000-000015010000}"/>
    <cellStyle name="Comma 4" xfId="279" xr:uid="{00000000-0005-0000-0000-000016010000}"/>
    <cellStyle name="Comma 4 2" xfId="280" xr:uid="{00000000-0005-0000-0000-000017010000}"/>
    <cellStyle name="Comma 5" xfId="281" xr:uid="{00000000-0005-0000-0000-000018010000}"/>
    <cellStyle name="Comma 5 10" xfId="282" xr:uid="{00000000-0005-0000-0000-000019010000}"/>
    <cellStyle name="Comma 5 10 2" xfId="283" xr:uid="{00000000-0005-0000-0000-00001A010000}"/>
    <cellStyle name="Comma 5 11" xfId="284" xr:uid="{00000000-0005-0000-0000-00001B010000}"/>
    <cellStyle name="Comma 5 11 2" xfId="285" xr:uid="{00000000-0005-0000-0000-00001C010000}"/>
    <cellStyle name="Comma 5 12" xfId="286" xr:uid="{00000000-0005-0000-0000-00001D010000}"/>
    <cellStyle name="Comma 5 12 2" xfId="287" xr:uid="{00000000-0005-0000-0000-00001E010000}"/>
    <cellStyle name="Comma 5 13" xfId="288" xr:uid="{00000000-0005-0000-0000-00001F010000}"/>
    <cellStyle name="Comma 5 13 2" xfId="289" xr:uid="{00000000-0005-0000-0000-000020010000}"/>
    <cellStyle name="Comma 5 14" xfId="290" xr:uid="{00000000-0005-0000-0000-000021010000}"/>
    <cellStyle name="Comma 5 14 2" xfId="291" xr:uid="{00000000-0005-0000-0000-000022010000}"/>
    <cellStyle name="Comma 5 15" xfId="292" xr:uid="{00000000-0005-0000-0000-000023010000}"/>
    <cellStyle name="Comma 5 15 2" xfId="293" xr:uid="{00000000-0005-0000-0000-000024010000}"/>
    <cellStyle name="Comma 5 16" xfId="294" xr:uid="{00000000-0005-0000-0000-000025010000}"/>
    <cellStyle name="Comma 5 16 2" xfId="295" xr:uid="{00000000-0005-0000-0000-000026010000}"/>
    <cellStyle name="Comma 5 17" xfId="296" xr:uid="{00000000-0005-0000-0000-000027010000}"/>
    <cellStyle name="Comma 5 17 2" xfId="297" xr:uid="{00000000-0005-0000-0000-000028010000}"/>
    <cellStyle name="Comma 5 18" xfId="298" xr:uid="{00000000-0005-0000-0000-000029010000}"/>
    <cellStyle name="Comma 5 18 2" xfId="299" xr:uid="{00000000-0005-0000-0000-00002A010000}"/>
    <cellStyle name="Comma 5 19" xfId="300" xr:uid="{00000000-0005-0000-0000-00002B010000}"/>
    <cellStyle name="Comma 5 19 2" xfId="301" xr:uid="{00000000-0005-0000-0000-00002C010000}"/>
    <cellStyle name="Comma 5 2" xfId="302" xr:uid="{00000000-0005-0000-0000-00002D010000}"/>
    <cellStyle name="Comma 5 2 2" xfId="303" xr:uid="{00000000-0005-0000-0000-00002E010000}"/>
    <cellStyle name="Comma 5 20" xfId="304" xr:uid="{00000000-0005-0000-0000-00002F010000}"/>
    <cellStyle name="Comma 5 20 2" xfId="305" xr:uid="{00000000-0005-0000-0000-000030010000}"/>
    <cellStyle name="Comma 5 21" xfId="306" xr:uid="{00000000-0005-0000-0000-000031010000}"/>
    <cellStyle name="Comma 5 3" xfId="307" xr:uid="{00000000-0005-0000-0000-000032010000}"/>
    <cellStyle name="Comma 5 3 2" xfId="308" xr:uid="{00000000-0005-0000-0000-000033010000}"/>
    <cellStyle name="Comma 5 4" xfId="309" xr:uid="{00000000-0005-0000-0000-000034010000}"/>
    <cellStyle name="Comma 5 4 2" xfId="310" xr:uid="{00000000-0005-0000-0000-000035010000}"/>
    <cellStyle name="Comma 5 5" xfId="311" xr:uid="{00000000-0005-0000-0000-000036010000}"/>
    <cellStyle name="Comma 5 5 2" xfId="312" xr:uid="{00000000-0005-0000-0000-000037010000}"/>
    <cellStyle name="Comma 5 6" xfId="313" xr:uid="{00000000-0005-0000-0000-000038010000}"/>
    <cellStyle name="Comma 5 6 2" xfId="314" xr:uid="{00000000-0005-0000-0000-000039010000}"/>
    <cellStyle name="Comma 5 7" xfId="315" xr:uid="{00000000-0005-0000-0000-00003A010000}"/>
    <cellStyle name="Comma 5 7 2" xfId="316" xr:uid="{00000000-0005-0000-0000-00003B010000}"/>
    <cellStyle name="Comma 5 8" xfId="317" xr:uid="{00000000-0005-0000-0000-00003C010000}"/>
    <cellStyle name="Comma 5 8 2" xfId="318" xr:uid="{00000000-0005-0000-0000-00003D010000}"/>
    <cellStyle name="Comma 5 9" xfId="319" xr:uid="{00000000-0005-0000-0000-00003E010000}"/>
    <cellStyle name="Comma 5 9 2" xfId="320" xr:uid="{00000000-0005-0000-0000-00003F010000}"/>
    <cellStyle name="Comma 6" xfId="321" xr:uid="{00000000-0005-0000-0000-000040010000}"/>
    <cellStyle name="Comma 6 10" xfId="322" xr:uid="{00000000-0005-0000-0000-000041010000}"/>
    <cellStyle name="Comma 6 10 2" xfId="323" xr:uid="{00000000-0005-0000-0000-000042010000}"/>
    <cellStyle name="Comma 6 11" xfId="324" xr:uid="{00000000-0005-0000-0000-000043010000}"/>
    <cellStyle name="Comma 6 11 2" xfId="325" xr:uid="{00000000-0005-0000-0000-000044010000}"/>
    <cellStyle name="Comma 6 12" xfId="326" xr:uid="{00000000-0005-0000-0000-000045010000}"/>
    <cellStyle name="Comma 6 12 2" xfId="327" xr:uid="{00000000-0005-0000-0000-000046010000}"/>
    <cellStyle name="Comma 6 13" xfId="328" xr:uid="{00000000-0005-0000-0000-000047010000}"/>
    <cellStyle name="Comma 6 13 2" xfId="329" xr:uid="{00000000-0005-0000-0000-000048010000}"/>
    <cellStyle name="Comma 6 14" xfId="330" xr:uid="{00000000-0005-0000-0000-000049010000}"/>
    <cellStyle name="Comma 6 14 2" xfId="331" xr:uid="{00000000-0005-0000-0000-00004A010000}"/>
    <cellStyle name="Comma 6 15" xfId="332" xr:uid="{00000000-0005-0000-0000-00004B010000}"/>
    <cellStyle name="Comma 6 15 2" xfId="333" xr:uid="{00000000-0005-0000-0000-00004C010000}"/>
    <cellStyle name="Comma 6 16" xfId="334" xr:uid="{00000000-0005-0000-0000-00004D010000}"/>
    <cellStyle name="Comma 6 16 2" xfId="335" xr:uid="{00000000-0005-0000-0000-00004E010000}"/>
    <cellStyle name="Comma 6 17" xfId="336" xr:uid="{00000000-0005-0000-0000-00004F010000}"/>
    <cellStyle name="Comma 6 17 2" xfId="337" xr:uid="{00000000-0005-0000-0000-000050010000}"/>
    <cellStyle name="Comma 6 18" xfId="338" xr:uid="{00000000-0005-0000-0000-000051010000}"/>
    <cellStyle name="Comma 6 18 2" xfId="339" xr:uid="{00000000-0005-0000-0000-000052010000}"/>
    <cellStyle name="Comma 6 19" xfId="340" xr:uid="{00000000-0005-0000-0000-000053010000}"/>
    <cellStyle name="Comma 6 19 2" xfId="341" xr:uid="{00000000-0005-0000-0000-000054010000}"/>
    <cellStyle name="Comma 6 2" xfId="342" xr:uid="{00000000-0005-0000-0000-000055010000}"/>
    <cellStyle name="Comma 6 2 2" xfId="343" xr:uid="{00000000-0005-0000-0000-000056010000}"/>
    <cellStyle name="Comma 6 20" xfId="344" xr:uid="{00000000-0005-0000-0000-000057010000}"/>
    <cellStyle name="Comma 6 3" xfId="345" xr:uid="{00000000-0005-0000-0000-000058010000}"/>
    <cellStyle name="Comma 6 3 2" xfId="346" xr:uid="{00000000-0005-0000-0000-000059010000}"/>
    <cellStyle name="Comma 6 4" xfId="347" xr:uid="{00000000-0005-0000-0000-00005A010000}"/>
    <cellStyle name="Comma 6 4 2" xfId="348" xr:uid="{00000000-0005-0000-0000-00005B010000}"/>
    <cellStyle name="Comma 6 5" xfId="349" xr:uid="{00000000-0005-0000-0000-00005C010000}"/>
    <cellStyle name="Comma 6 5 2" xfId="350" xr:uid="{00000000-0005-0000-0000-00005D010000}"/>
    <cellStyle name="Comma 6 6" xfId="351" xr:uid="{00000000-0005-0000-0000-00005E010000}"/>
    <cellStyle name="Comma 6 6 2" xfId="352" xr:uid="{00000000-0005-0000-0000-00005F010000}"/>
    <cellStyle name="Comma 6 7" xfId="353" xr:uid="{00000000-0005-0000-0000-000060010000}"/>
    <cellStyle name="Comma 6 7 2" xfId="354" xr:uid="{00000000-0005-0000-0000-000061010000}"/>
    <cellStyle name="Comma 6 8" xfId="355" xr:uid="{00000000-0005-0000-0000-000062010000}"/>
    <cellStyle name="Comma 6 8 2" xfId="356" xr:uid="{00000000-0005-0000-0000-000063010000}"/>
    <cellStyle name="Comma 6 9" xfId="357" xr:uid="{00000000-0005-0000-0000-000064010000}"/>
    <cellStyle name="Comma 6 9 2" xfId="358" xr:uid="{00000000-0005-0000-0000-000065010000}"/>
    <cellStyle name="Comma 7" xfId="359" xr:uid="{00000000-0005-0000-0000-000066010000}"/>
    <cellStyle name="Comma 7 10" xfId="360" xr:uid="{00000000-0005-0000-0000-000067010000}"/>
    <cellStyle name="Comma 7 10 2" xfId="361" xr:uid="{00000000-0005-0000-0000-000068010000}"/>
    <cellStyle name="Comma 7 11" xfId="362" xr:uid="{00000000-0005-0000-0000-000069010000}"/>
    <cellStyle name="Comma 7 11 2" xfId="363" xr:uid="{00000000-0005-0000-0000-00006A010000}"/>
    <cellStyle name="Comma 7 12" xfId="364" xr:uid="{00000000-0005-0000-0000-00006B010000}"/>
    <cellStyle name="Comma 7 12 2" xfId="365" xr:uid="{00000000-0005-0000-0000-00006C010000}"/>
    <cellStyle name="Comma 7 13" xfId="366" xr:uid="{00000000-0005-0000-0000-00006D010000}"/>
    <cellStyle name="Comma 7 13 2" xfId="367" xr:uid="{00000000-0005-0000-0000-00006E010000}"/>
    <cellStyle name="Comma 7 14" xfId="368" xr:uid="{00000000-0005-0000-0000-00006F010000}"/>
    <cellStyle name="Comma 7 14 2" xfId="369" xr:uid="{00000000-0005-0000-0000-000070010000}"/>
    <cellStyle name="Comma 7 15" xfId="370" xr:uid="{00000000-0005-0000-0000-000071010000}"/>
    <cellStyle name="Comma 7 15 2" xfId="371" xr:uid="{00000000-0005-0000-0000-000072010000}"/>
    <cellStyle name="Comma 7 16" xfId="372" xr:uid="{00000000-0005-0000-0000-000073010000}"/>
    <cellStyle name="Comma 7 16 2" xfId="373" xr:uid="{00000000-0005-0000-0000-000074010000}"/>
    <cellStyle name="Comma 7 17" xfId="374" xr:uid="{00000000-0005-0000-0000-000075010000}"/>
    <cellStyle name="Comma 7 17 2" xfId="375" xr:uid="{00000000-0005-0000-0000-000076010000}"/>
    <cellStyle name="Comma 7 18" xfId="376" xr:uid="{00000000-0005-0000-0000-000077010000}"/>
    <cellStyle name="Comma 7 18 2" xfId="377" xr:uid="{00000000-0005-0000-0000-000078010000}"/>
    <cellStyle name="Comma 7 19" xfId="378" xr:uid="{00000000-0005-0000-0000-000079010000}"/>
    <cellStyle name="Comma 7 19 2" xfId="379" xr:uid="{00000000-0005-0000-0000-00007A010000}"/>
    <cellStyle name="Comma 7 2" xfId="380" xr:uid="{00000000-0005-0000-0000-00007B010000}"/>
    <cellStyle name="Comma 7 2 2" xfId="381" xr:uid="{00000000-0005-0000-0000-00007C010000}"/>
    <cellStyle name="Comma 7 20" xfId="382" xr:uid="{00000000-0005-0000-0000-00007D010000}"/>
    <cellStyle name="Comma 7 3" xfId="383" xr:uid="{00000000-0005-0000-0000-00007E010000}"/>
    <cellStyle name="Comma 7 3 2" xfId="384" xr:uid="{00000000-0005-0000-0000-00007F010000}"/>
    <cellStyle name="Comma 7 4" xfId="385" xr:uid="{00000000-0005-0000-0000-000080010000}"/>
    <cellStyle name="Comma 7 4 2" xfId="386" xr:uid="{00000000-0005-0000-0000-000081010000}"/>
    <cellStyle name="Comma 7 5" xfId="387" xr:uid="{00000000-0005-0000-0000-000082010000}"/>
    <cellStyle name="Comma 7 5 2" xfId="388" xr:uid="{00000000-0005-0000-0000-000083010000}"/>
    <cellStyle name="Comma 7 6" xfId="389" xr:uid="{00000000-0005-0000-0000-000084010000}"/>
    <cellStyle name="Comma 7 6 2" xfId="390" xr:uid="{00000000-0005-0000-0000-000085010000}"/>
    <cellStyle name="Comma 7 7" xfId="391" xr:uid="{00000000-0005-0000-0000-000086010000}"/>
    <cellStyle name="Comma 7 7 2" xfId="392" xr:uid="{00000000-0005-0000-0000-000087010000}"/>
    <cellStyle name="Comma 7 8" xfId="393" xr:uid="{00000000-0005-0000-0000-000088010000}"/>
    <cellStyle name="Comma 7 8 2" xfId="394" xr:uid="{00000000-0005-0000-0000-000089010000}"/>
    <cellStyle name="Comma 7 9" xfId="395" xr:uid="{00000000-0005-0000-0000-00008A010000}"/>
    <cellStyle name="Comma 7 9 2" xfId="396" xr:uid="{00000000-0005-0000-0000-00008B010000}"/>
    <cellStyle name="Comma 8" xfId="397" xr:uid="{00000000-0005-0000-0000-00008C010000}"/>
    <cellStyle name="Comma 8 10" xfId="398" xr:uid="{00000000-0005-0000-0000-00008D010000}"/>
    <cellStyle name="Comma 8 10 2" xfId="399" xr:uid="{00000000-0005-0000-0000-00008E010000}"/>
    <cellStyle name="Comma 8 11" xfId="400" xr:uid="{00000000-0005-0000-0000-00008F010000}"/>
    <cellStyle name="Comma 8 11 2" xfId="401" xr:uid="{00000000-0005-0000-0000-000090010000}"/>
    <cellStyle name="Comma 8 12" xfId="402" xr:uid="{00000000-0005-0000-0000-000091010000}"/>
    <cellStyle name="Comma 8 12 2" xfId="403" xr:uid="{00000000-0005-0000-0000-000092010000}"/>
    <cellStyle name="Comma 8 13" xfId="404" xr:uid="{00000000-0005-0000-0000-000093010000}"/>
    <cellStyle name="Comma 8 13 2" xfId="405" xr:uid="{00000000-0005-0000-0000-000094010000}"/>
    <cellStyle name="Comma 8 14" xfId="406" xr:uid="{00000000-0005-0000-0000-000095010000}"/>
    <cellStyle name="Comma 8 14 2" xfId="407" xr:uid="{00000000-0005-0000-0000-000096010000}"/>
    <cellStyle name="Comma 8 15" xfId="408" xr:uid="{00000000-0005-0000-0000-000097010000}"/>
    <cellStyle name="Comma 8 15 2" xfId="409" xr:uid="{00000000-0005-0000-0000-000098010000}"/>
    <cellStyle name="Comma 8 16" xfId="410" xr:uid="{00000000-0005-0000-0000-000099010000}"/>
    <cellStyle name="Comma 8 16 2" xfId="411" xr:uid="{00000000-0005-0000-0000-00009A010000}"/>
    <cellStyle name="Comma 8 17" xfId="412" xr:uid="{00000000-0005-0000-0000-00009B010000}"/>
    <cellStyle name="Comma 8 17 2" xfId="413" xr:uid="{00000000-0005-0000-0000-00009C010000}"/>
    <cellStyle name="Comma 8 18" xfId="414" xr:uid="{00000000-0005-0000-0000-00009D010000}"/>
    <cellStyle name="Comma 8 18 2" xfId="415" xr:uid="{00000000-0005-0000-0000-00009E010000}"/>
    <cellStyle name="Comma 8 19" xfId="416" xr:uid="{00000000-0005-0000-0000-00009F010000}"/>
    <cellStyle name="Comma 8 19 2" xfId="417" xr:uid="{00000000-0005-0000-0000-0000A0010000}"/>
    <cellStyle name="Comma 8 2" xfId="418" xr:uid="{00000000-0005-0000-0000-0000A1010000}"/>
    <cellStyle name="Comma 8 2 2" xfId="419" xr:uid="{00000000-0005-0000-0000-0000A2010000}"/>
    <cellStyle name="Comma 8 20" xfId="420" xr:uid="{00000000-0005-0000-0000-0000A3010000}"/>
    <cellStyle name="Comma 8 3" xfId="421" xr:uid="{00000000-0005-0000-0000-0000A4010000}"/>
    <cellStyle name="Comma 8 3 2" xfId="422" xr:uid="{00000000-0005-0000-0000-0000A5010000}"/>
    <cellStyle name="Comma 8 4" xfId="423" xr:uid="{00000000-0005-0000-0000-0000A6010000}"/>
    <cellStyle name="Comma 8 4 2" xfId="424" xr:uid="{00000000-0005-0000-0000-0000A7010000}"/>
    <cellStyle name="Comma 8 5" xfId="425" xr:uid="{00000000-0005-0000-0000-0000A8010000}"/>
    <cellStyle name="Comma 8 5 2" xfId="426" xr:uid="{00000000-0005-0000-0000-0000A9010000}"/>
    <cellStyle name="Comma 8 6" xfId="427" xr:uid="{00000000-0005-0000-0000-0000AA010000}"/>
    <cellStyle name="Comma 8 6 2" xfId="428" xr:uid="{00000000-0005-0000-0000-0000AB010000}"/>
    <cellStyle name="Comma 8 7" xfId="429" xr:uid="{00000000-0005-0000-0000-0000AC010000}"/>
    <cellStyle name="Comma 8 7 2" xfId="430" xr:uid="{00000000-0005-0000-0000-0000AD010000}"/>
    <cellStyle name="Comma 8 8" xfId="431" xr:uid="{00000000-0005-0000-0000-0000AE010000}"/>
    <cellStyle name="Comma 8 8 2" xfId="432" xr:uid="{00000000-0005-0000-0000-0000AF010000}"/>
    <cellStyle name="Comma 8 9" xfId="433" xr:uid="{00000000-0005-0000-0000-0000B0010000}"/>
    <cellStyle name="Comma 8 9 2" xfId="434" xr:uid="{00000000-0005-0000-0000-0000B1010000}"/>
    <cellStyle name="Comma 9" xfId="435" xr:uid="{00000000-0005-0000-0000-0000B2010000}"/>
    <cellStyle name="Comma 9 10" xfId="436" xr:uid="{00000000-0005-0000-0000-0000B3010000}"/>
    <cellStyle name="Comma 9 10 2" xfId="437" xr:uid="{00000000-0005-0000-0000-0000B4010000}"/>
    <cellStyle name="Comma 9 11" xfId="438" xr:uid="{00000000-0005-0000-0000-0000B5010000}"/>
    <cellStyle name="Comma 9 11 2" xfId="439" xr:uid="{00000000-0005-0000-0000-0000B6010000}"/>
    <cellStyle name="Comma 9 12" xfId="440" xr:uid="{00000000-0005-0000-0000-0000B7010000}"/>
    <cellStyle name="Comma 9 12 2" xfId="441" xr:uid="{00000000-0005-0000-0000-0000B8010000}"/>
    <cellStyle name="Comma 9 13" xfId="442" xr:uid="{00000000-0005-0000-0000-0000B9010000}"/>
    <cellStyle name="Comma 9 13 2" xfId="443" xr:uid="{00000000-0005-0000-0000-0000BA010000}"/>
    <cellStyle name="Comma 9 14" xfId="444" xr:uid="{00000000-0005-0000-0000-0000BB010000}"/>
    <cellStyle name="Comma 9 14 2" xfId="445" xr:uid="{00000000-0005-0000-0000-0000BC010000}"/>
    <cellStyle name="Comma 9 15" xfId="446" xr:uid="{00000000-0005-0000-0000-0000BD010000}"/>
    <cellStyle name="Comma 9 15 2" xfId="447" xr:uid="{00000000-0005-0000-0000-0000BE010000}"/>
    <cellStyle name="Comma 9 16" xfId="448" xr:uid="{00000000-0005-0000-0000-0000BF010000}"/>
    <cellStyle name="Comma 9 16 2" xfId="449" xr:uid="{00000000-0005-0000-0000-0000C0010000}"/>
    <cellStyle name="Comma 9 17" xfId="450" xr:uid="{00000000-0005-0000-0000-0000C1010000}"/>
    <cellStyle name="Comma 9 17 2" xfId="451" xr:uid="{00000000-0005-0000-0000-0000C2010000}"/>
    <cellStyle name="Comma 9 18" xfId="452" xr:uid="{00000000-0005-0000-0000-0000C3010000}"/>
    <cellStyle name="Comma 9 18 2" xfId="453" xr:uid="{00000000-0005-0000-0000-0000C4010000}"/>
    <cellStyle name="Comma 9 19" xfId="454" xr:uid="{00000000-0005-0000-0000-0000C5010000}"/>
    <cellStyle name="Comma 9 19 2" xfId="455" xr:uid="{00000000-0005-0000-0000-0000C6010000}"/>
    <cellStyle name="Comma 9 2" xfId="456" xr:uid="{00000000-0005-0000-0000-0000C7010000}"/>
    <cellStyle name="Comma 9 2 2" xfId="457" xr:uid="{00000000-0005-0000-0000-0000C8010000}"/>
    <cellStyle name="Comma 9 20" xfId="458" xr:uid="{00000000-0005-0000-0000-0000C9010000}"/>
    <cellStyle name="Comma 9 3" xfId="459" xr:uid="{00000000-0005-0000-0000-0000CA010000}"/>
    <cellStyle name="Comma 9 3 2" xfId="460" xr:uid="{00000000-0005-0000-0000-0000CB010000}"/>
    <cellStyle name="Comma 9 4" xfId="461" xr:uid="{00000000-0005-0000-0000-0000CC010000}"/>
    <cellStyle name="Comma 9 4 2" xfId="462" xr:uid="{00000000-0005-0000-0000-0000CD010000}"/>
    <cellStyle name="Comma 9 5" xfId="463" xr:uid="{00000000-0005-0000-0000-0000CE010000}"/>
    <cellStyle name="Comma 9 5 2" xfId="464" xr:uid="{00000000-0005-0000-0000-0000CF010000}"/>
    <cellStyle name="Comma 9 6" xfId="465" xr:uid="{00000000-0005-0000-0000-0000D0010000}"/>
    <cellStyle name="Comma 9 6 2" xfId="466" xr:uid="{00000000-0005-0000-0000-0000D1010000}"/>
    <cellStyle name="Comma 9 7" xfId="467" xr:uid="{00000000-0005-0000-0000-0000D2010000}"/>
    <cellStyle name="Comma 9 7 2" xfId="468" xr:uid="{00000000-0005-0000-0000-0000D3010000}"/>
    <cellStyle name="Comma 9 8" xfId="469" xr:uid="{00000000-0005-0000-0000-0000D4010000}"/>
    <cellStyle name="Comma 9 8 2" xfId="470" xr:uid="{00000000-0005-0000-0000-0000D5010000}"/>
    <cellStyle name="Comma 9 9" xfId="471" xr:uid="{00000000-0005-0000-0000-0000D6010000}"/>
    <cellStyle name="Comma 9 9 2" xfId="472" xr:uid="{00000000-0005-0000-0000-0000D7010000}"/>
    <cellStyle name="Input 2" xfId="473" xr:uid="{00000000-0005-0000-0000-0000D8010000}"/>
    <cellStyle name="Input 2 2" xfId="474" xr:uid="{00000000-0005-0000-0000-0000D9010000}"/>
    <cellStyle name="Jun" xfId="475" xr:uid="{00000000-0005-0000-0000-0000DA010000}"/>
    <cellStyle name="Normal" xfId="0" builtinId="0"/>
    <cellStyle name="Normal 10" xfId="476" xr:uid="{00000000-0005-0000-0000-0000DC010000}"/>
    <cellStyle name="Normal 10 2" xfId="477" xr:uid="{00000000-0005-0000-0000-0000DD010000}"/>
    <cellStyle name="Normal 10 3" xfId="478" xr:uid="{00000000-0005-0000-0000-0000DE010000}"/>
    <cellStyle name="Normal 10 4" xfId="479" xr:uid="{00000000-0005-0000-0000-0000DF010000}"/>
    <cellStyle name="Normal 10 5" xfId="480" xr:uid="{00000000-0005-0000-0000-0000E0010000}"/>
    <cellStyle name="Normal 11" xfId="481" xr:uid="{00000000-0005-0000-0000-0000E1010000}"/>
    <cellStyle name="Normal 12" xfId="482" xr:uid="{00000000-0005-0000-0000-0000E2010000}"/>
    <cellStyle name="Normal 12 2" xfId="483" xr:uid="{00000000-0005-0000-0000-0000E3010000}"/>
    <cellStyle name="Normal 12 3" xfId="484" xr:uid="{00000000-0005-0000-0000-0000E4010000}"/>
    <cellStyle name="Normal 12 4" xfId="485" xr:uid="{00000000-0005-0000-0000-0000E5010000}"/>
    <cellStyle name="Normal 12 5" xfId="486" xr:uid="{00000000-0005-0000-0000-0000E6010000}"/>
    <cellStyle name="Normal 13" xfId="487" xr:uid="{00000000-0005-0000-0000-0000E7010000}"/>
    <cellStyle name="Normal 13 2" xfId="488" xr:uid="{00000000-0005-0000-0000-0000E8010000}"/>
    <cellStyle name="Normal 13 3" xfId="489" xr:uid="{00000000-0005-0000-0000-0000E9010000}"/>
    <cellStyle name="Normal 13 4" xfId="490" xr:uid="{00000000-0005-0000-0000-0000EA010000}"/>
    <cellStyle name="Normal 13 5" xfId="491" xr:uid="{00000000-0005-0000-0000-0000EB010000}"/>
    <cellStyle name="Normal 14" xfId="492" xr:uid="{00000000-0005-0000-0000-0000EC010000}"/>
    <cellStyle name="Normal 14 10" xfId="493" xr:uid="{00000000-0005-0000-0000-0000ED010000}"/>
    <cellStyle name="Normal 14 11" xfId="494" xr:uid="{00000000-0005-0000-0000-0000EE010000}"/>
    <cellStyle name="Normal 14 12" xfId="495" xr:uid="{00000000-0005-0000-0000-0000EF010000}"/>
    <cellStyle name="Normal 14 2" xfId="496" xr:uid="{00000000-0005-0000-0000-0000F0010000}"/>
    <cellStyle name="Normal 14 3" xfId="497" xr:uid="{00000000-0005-0000-0000-0000F1010000}"/>
    <cellStyle name="Normal 14 4" xfId="498" xr:uid="{00000000-0005-0000-0000-0000F2010000}"/>
    <cellStyle name="Normal 14 5" xfId="499" xr:uid="{00000000-0005-0000-0000-0000F3010000}"/>
    <cellStyle name="Normal 14 6" xfId="500" xr:uid="{00000000-0005-0000-0000-0000F4010000}"/>
    <cellStyle name="Normal 14 7" xfId="501" xr:uid="{00000000-0005-0000-0000-0000F5010000}"/>
    <cellStyle name="Normal 14 8" xfId="502" xr:uid="{00000000-0005-0000-0000-0000F6010000}"/>
    <cellStyle name="Normal 14 9" xfId="503" xr:uid="{00000000-0005-0000-0000-0000F7010000}"/>
    <cellStyle name="Normal 15" xfId="504" xr:uid="{00000000-0005-0000-0000-0000F8010000}"/>
    <cellStyle name="Normal 16" xfId="505" xr:uid="{00000000-0005-0000-0000-0000F9010000}"/>
    <cellStyle name="Normal 17" xfId="506" xr:uid="{00000000-0005-0000-0000-0000FA010000}"/>
    <cellStyle name="Normal 17 2" xfId="507" xr:uid="{00000000-0005-0000-0000-0000FB010000}"/>
    <cellStyle name="Normal 17 2 2" xfId="508" xr:uid="{00000000-0005-0000-0000-0000FC010000}"/>
    <cellStyle name="Normal 17 3" xfId="509" xr:uid="{00000000-0005-0000-0000-0000FD010000}"/>
    <cellStyle name="Normal 17 3 2" xfId="510" xr:uid="{00000000-0005-0000-0000-0000FE010000}"/>
    <cellStyle name="Normal 17 4" xfId="511" xr:uid="{00000000-0005-0000-0000-0000FF010000}"/>
    <cellStyle name="Normal 17 4 2" xfId="512" xr:uid="{00000000-0005-0000-0000-000000020000}"/>
    <cellStyle name="Normal 17 5" xfId="513" xr:uid="{00000000-0005-0000-0000-000001020000}"/>
    <cellStyle name="Normal 17 5 2" xfId="514" xr:uid="{00000000-0005-0000-0000-000002020000}"/>
    <cellStyle name="Normal 17 6" xfId="515" xr:uid="{00000000-0005-0000-0000-000003020000}"/>
    <cellStyle name="Normal 18" xfId="516" xr:uid="{00000000-0005-0000-0000-000004020000}"/>
    <cellStyle name="Normal 2" xfId="517" xr:uid="{00000000-0005-0000-0000-000005020000}"/>
    <cellStyle name="Normal 2 10" xfId="518" xr:uid="{00000000-0005-0000-0000-000006020000}"/>
    <cellStyle name="Normal 2 11" xfId="519" xr:uid="{00000000-0005-0000-0000-000007020000}"/>
    <cellStyle name="Normal 2 12" xfId="520" xr:uid="{00000000-0005-0000-0000-000008020000}"/>
    <cellStyle name="Normal 2 13" xfId="521" xr:uid="{00000000-0005-0000-0000-000009020000}"/>
    <cellStyle name="Normal 2 14" xfId="522" xr:uid="{00000000-0005-0000-0000-00000A020000}"/>
    <cellStyle name="Normal 2 15" xfId="523" xr:uid="{00000000-0005-0000-0000-00000B020000}"/>
    <cellStyle name="Normal 2 16" xfId="524" xr:uid="{00000000-0005-0000-0000-00000C020000}"/>
    <cellStyle name="Normal 2 17" xfId="525" xr:uid="{00000000-0005-0000-0000-00000D020000}"/>
    <cellStyle name="Normal 2 18" xfId="526" xr:uid="{00000000-0005-0000-0000-00000E020000}"/>
    <cellStyle name="Normal 2 19" xfId="527" xr:uid="{00000000-0005-0000-0000-00000F020000}"/>
    <cellStyle name="Normal 2 2" xfId="528" xr:uid="{00000000-0005-0000-0000-000010020000}"/>
    <cellStyle name="Normal 2 20" xfId="529" xr:uid="{00000000-0005-0000-0000-000011020000}"/>
    <cellStyle name="Normal 2 3" xfId="530" xr:uid="{00000000-0005-0000-0000-000012020000}"/>
    <cellStyle name="Normal 2 4" xfId="531" xr:uid="{00000000-0005-0000-0000-000013020000}"/>
    <cellStyle name="Normal 2 5" xfId="532" xr:uid="{00000000-0005-0000-0000-000014020000}"/>
    <cellStyle name="Normal 2 6" xfId="533" xr:uid="{00000000-0005-0000-0000-000015020000}"/>
    <cellStyle name="Normal 2 7" xfId="534" xr:uid="{00000000-0005-0000-0000-000016020000}"/>
    <cellStyle name="Normal 2 8" xfId="535" xr:uid="{00000000-0005-0000-0000-000017020000}"/>
    <cellStyle name="Normal 2 9" xfId="536" xr:uid="{00000000-0005-0000-0000-000018020000}"/>
    <cellStyle name="Normal 2_deposits mobilized" xfId="537" xr:uid="{00000000-0005-0000-0000-000019020000}"/>
    <cellStyle name="Normal 21" xfId="538" xr:uid="{00000000-0005-0000-0000-00001A020000}"/>
    <cellStyle name="Normal 21 10" xfId="539" xr:uid="{00000000-0005-0000-0000-00001B020000}"/>
    <cellStyle name="Normal 21 11" xfId="540" xr:uid="{00000000-0005-0000-0000-00001C020000}"/>
    <cellStyle name="Normal 21 12" xfId="541" xr:uid="{00000000-0005-0000-0000-00001D020000}"/>
    <cellStyle name="Normal 21 13" xfId="542" xr:uid="{00000000-0005-0000-0000-00001E020000}"/>
    <cellStyle name="Normal 21 14" xfId="543" xr:uid="{00000000-0005-0000-0000-00001F020000}"/>
    <cellStyle name="Normal 21 15" xfId="544" xr:uid="{00000000-0005-0000-0000-000020020000}"/>
    <cellStyle name="Normal 21 16" xfId="545" xr:uid="{00000000-0005-0000-0000-000021020000}"/>
    <cellStyle name="Normal 21 2" xfId="546" xr:uid="{00000000-0005-0000-0000-000022020000}"/>
    <cellStyle name="Normal 21 3" xfId="547" xr:uid="{00000000-0005-0000-0000-000023020000}"/>
    <cellStyle name="Normal 21 4" xfId="548" xr:uid="{00000000-0005-0000-0000-000024020000}"/>
    <cellStyle name="Normal 21 5" xfId="549" xr:uid="{00000000-0005-0000-0000-000025020000}"/>
    <cellStyle name="Normal 21 6" xfId="550" xr:uid="{00000000-0005-0000-0000-000026020000}"/>
    <cellStyle name="Normal 21 7" xfId="551" xr:uid="{00000000-0005-0000-0000-000027020000}"/>
    <cellStyle name="Normal 21 8" xfId="552" xr:uid="{00000000-0005-0000-0000-000028020000}"/>
    <cellStyle name="Normal 21 9" xfId="553" xr:uid="{00000000-0005-0000-0000-000029020000}"/>
    <cellStyle name="Normal 22" xfId="554" xr:uid="{00000000-0005-0000-0000-00002A020000}"/>
    <cellStyle name="Normal 26" xfId="555" xr:uid="{00000000-0005-0000-0000-00002B020000}"/>
    <cellStyle name="Normal 27" xfId="556" xr:uid="{00000000-0005-0000-0000-00002C020000}"/>
    <cellStyle name="Normal 3" xfId="557" xr:uid="{00000000-0005-0000-0000-00002D020000}"/>
    <cellStyle name="Normal 3 10" xfId="558" xr:uid="{00000000-0005-0000-0000-00002E020000}"/>
    <cellStyle name="Normal 3 11" xfId="559" xr:uid="{00000000-0005-0000-0000-00002F020000}"/>
    <cellStyle name="Normal 3 12" xfId="560" xr:uid="{00000000-0005-0000-0000-000030020000}"/>
    <cellStyle name="Normal 3 13" xfId="561" xr:uid="{00000000-0005-0000-0000-000031020000}"/>
    <cellStyle name="Normal 3 14" xfId="562" xr:uid="{00000000-0005-0000-0000-000032020000}"/>
    <cellStyle name="Normal 3 15" xfId="563" xr:uid="{00000000-0005-0000-0000-000033020000}"/>
    <cellStyle name="Normal 3 16" xfId="564" xr:uid="{00000000-0005-0000-0000-000034020000}"/>
    <cellStyle name="Normal 3 17" xfId="565" xr:uid="{00000000-0005-0000-0000-000035020000}"/>
    <cellStyle name="Normal 3 18" xfId="566" xr:uid="{00000000-0005-0000-0000-000036020000}"/>
    <cellStyle name="Normal 3 19" xfId="567" xr:uid="{00000000-0005-0000-0000-000037020000}"/>
    <cellStyle name="Normal 3 2" xfId="568" xr:uid="{00000000-0005-0000-0000-000038020000}"/>
    <cellStyle name="Normal 3 20" xfId="569" xr:uid="{00000000-0005-0000-0000-000039020000}"/>
    <cellStyle name="Normal 3 21" xfId="570" xr:uid="{00000000-0005-0000-0000-00003A020000}"/>
    <cellStyle name="Normal 3 22" xfId="571" xr:uid="{00000000-0005-0000-0000-00003B020000}"/>
    <cellStyle name="Normal 3 23" xfId="572" xr:uid="{00000000-0005-0000-0000-00003C020000}"/>
    <cellStyle name="Normal 3 24" xfId="573" xr:uid="{00000000-0005-0000-0000-00003D020000}"/>
    <cellStyle name="Normal 3 25" xfId="574" xr:uid="{00000000-0005-0000-0000-00003E020000}"/>
    <cellStyle name="Normal 3 26" xfId="575" xr:uid="{00000000-0005-0000-0000-00003F020000}"/>
    <cellStyle name="Normal 3 27" xfId="576" xr:uid="{00000000-0005-0000-0000-000040020000}"/>
    <cellStyle name="Normal 3 28" xfId="577" xr:uid="{00000000-0005-0000-0000-000041020000}"/>
    <cellStyle name="Normal 3 29" xfId="578" xr:uid="{00000000-0005-0000-0000-000042020000}"/>
    <cellStyle name="Normal 3 3" xfId="579" xr:uid="{00000000-0005-0000-0000-000043020000}"/>
    <cellStyle name="Normal 3 30" xfId="580" xr:uid="{00000000-0005-0000-0000-000044020000}"/>
    <cellStyle name="Normal 3 4" xfId="581" xr:uid="{00000000-0005-0000-0000-000045020000}"/>
    <cellStyle name="Normal 3 5" xfId="582" xr:uid="{00000000-0005-0000-0000-000046020000}"/>
    <cellStyle name="Normal 3 6" xfId="583" xr:uid="{00000000-0005-0000-0000-000047020000}"/>
    <cellStyle name="Normal 3 7" xfId="584" xr:uid="{00000000-0005-0000-0000-000048020000}"/>
    <cellStyle name="Normal 3 8" xfId="585" xr:uid="{00000000-0005-0000-0000-000049020000}"/>
    <cellStyle name="Normal 3 9" xfId="586" xr:uid="{00000000-0005-0000-0000-00004A020000}"/>
    <cellStyle name="Normal 3_deposits mobilized" xfId="587" xr:uid="{00000000-0005-0000-0000-00004B020000}"/>
    <cellStyle name="Normal 4" xfId="588" xr:uid="{00000000-0005-0000-0000-00004C020000}"/>
    <cellStyle name="Normal 4 10" xfId="589" xr:uid="{00000000-0005-0000-0000-00004D020000}"/>
    <cellStyle name="Normal 4 11" xfId="590" xr:uid="{00000000-0005-0000-0000-00004E020000}"/>
    <cellStyle name="Normal 4 12" xfId="591" xr:uid="{00000000-0005-0000-0000-00004F020000}"/>
    <cellStyle name="Normal 4 13" xfId="592" xr:uid="{00000000-0005-0000-0000-000050020000}"/>
    <cellStyle name="Normal 4 14" xfId="593" xr:uid="{00000000-0005-0000-0000-000051020000}"/>
    <cellStyle name="Normal 4 15" xfId="594" xr:uid="{00000000-0005-0000-0000-000052020000}"/>
    <cellStyle name="Normal 4 16" xfId="595" xr:uid="{00000000-0005-0000-0000-000053020000}"/>
    <cellStyle name="Normal 4 17" xfId="596" xr:uid="{00000000-0005-0000-0000-000054020000}"/>
    <cellStyle name="Normal 4 18" xfId="597" xr:uid="{00000000-0005-0000-0000-000055020000}"/>
    <cellStyle name="Normal 4 19" xfId="598" xr:uid="{00000000-0005-0000-0000-000056020000}"/>
    <cellStyle name="Normal 4 2" xfId="599" xr:uid="{00000000-0005-0000-0000-000057020000}"/>
    <cellStyle name="Normal 4 20" xfId="600" xr:uid="{00000000-0005-0000-0000-000058020000}"/>
    <cellStyle name="Normal 4 21" xfId="601" xr:uid="{00000000-0005-0000-0000-000059020000}"/>
    <cellStyle name="Normal 4 22" xfId="602" xr:uid="{00000000-0005-0000-0000-00005A020000}"/>
    <cellStyle name="Normal 4 23" xfId="603" xr:uid="{00000000-0005-0000-0000-00005B020000}"/>
    <cellStyle name="Normal 4 24" xfId="604" xr:uid="{00000000-0005-0000-0000-00005C020000}"/>
    <cellStyle name="Normal 4 25" xfId="605" xr:uid="{00000000-0005-0000-0000-00005D020000}"/>
    <cellStyle name="Normal 4 26" xfId="606" xr:uid="{00000000-0005-0000-0000-00005E020000}"/>
    <cellStyle name="Normal 4 27" xfId="607" xr:uid="{00000000-0005-0000-0000-00005F020000}"/>
    <cellStyle name="Normal 4 28" xfId="608" xr:uid="{00000000-0005-0000-0000-000060020000}"/>
    <cellStyle name="Normal 4 29" xfId="609" xr:uid="{00000000-0005-0000-0000-000061020000}"/>
    <cellStyle name="Normal 4 3" xfId="610" xr:uid="{00000000-0005-0000-0000-000062020000}"/>
    <cellStyle name="Normal 4 30" xfId="611" xr:uid="{00000000-0005-0000-0000-000063020000}"/>
    <cellStyle name="Normal 4 4" xfId="612" xr:uid="{00000000-0005-0000-0000-000064020000}"/>
    <cellStyle name="Normal 4 5" xfId="613" xr:uid="{00000000-0005-0000-0000-000065020000}"/>
    <cellStyle name="Normal 4 6" xfId="614" xr:uid="{00000000-0005-0000-0000-000066020000}"/>
    <cellStyle name="Normal 4 7" xfId="615" xr:uid="{00000000-0005-0000-0000-000067020000}"/>
    <cellStyle name="Normal 4 8" xfId="616" xr:uid="{00000000-0005-0000-0000-000068020000}"/>
    <cellStyle name="Normal 4 9" xfId="617" xr:uid="{00000000-0005-0000-0000-000069020000}"/>
    <cellStyle name="Normal 5" xfId="618" xr:uid="{00000000-0005-0000-0000-00006A020000}"/>
    <cellStyle name="Normal 5 10" xfId="619" xr:uid="{00000000-0005-0000-0000-00006B020000}"/>
    <cellStyle name="Normal 5 11" xfId="620" xr:uid="{00000000-0005-0000-0000-00006C020000}"/>
    <cellStyle name="Normal 5 12" xfId="621" xr:uid="{00000000-0005-0000-0000-00006D020000}"/>
    <cellStyle name="Normal 5 13" xfId="622" xr:uid="{00000000-0005-0000-0000-00006E020000}"/>
    <cellStyle name="Normal 5 14" xfId="623" xr:uid="{00000000-0005-0000-0000-00006F020000}"/>
    <cellStyle name="Normal 5 15" xfId="624" xr:uid="{00000000-0005-0000-0000-000070020000}"/>
    <cellStyle name="Normal 5 2" xfId="625" xr:uid="{00000000-0005-0000-0000-000071020000}"/>
    <cellStyle name="Normal 5 3" xfId="626" xr:uid="{00000000-0005-0000-0000-000072020000}"/>
    <cellStyle name="Normal 5 4" xfId="627" xr:uid="{00000000-0005-0000-0000-000073020000}"/>
    <cellStyle name="Normal 5 5" xfId="628" xr:uid="{00000000-0005-0000-0000-000074020000}"/>
    <cellStyle name="Normal 5 6" xfId="629" xr:uid="{00000000-0005-0000-0000-000075020000}"/>
    <cellStyle name="Normal 5 7" xfId="630" xr:uid="{00000000-0005-0000-0000-000076020000}"/>
    <cellStyle name="Normal 5 8" xfId="631" xr:uid="{00000000-0005-0000-0000-000077020000}"/>
    <cellStyle name="Normal 5 9" xfId="632" xr:uid="{00000000-0005-0000-0000-000078020000}"/>
    <cellStyle name="Normal 6" xfId="633" xr:uid="{00000000-0005-0000-0000-000079020000}"/>
    <cellStyle name="Normal 6 2" xfId="634" xr:uid="{00000000-0005-0000-0000-00007A020000}"/>
    <cellStyle name="Normal 6 3" xfId="635" xr:uid="{00000000-0005-0000-0000-00007B020000}"/>
    <cellStyle name="Normal 6 4" xfId="636" xr:uid="{00000000-0005-0000-0000-00007C020000}"/>
    <cellStyle name="Normal 6 5" xfId="637" xr:uid="{00000000-0005-0000-0000-00007D020000}"/>
    <cellStyle name="Normal 7" xfId="638" xr:uid="{00000000-0005-0000-0000-00007E020000}"/>
    <cellStyle name="Normal 7 2" xfId="639" xr:uid="{00000000-0005-0000-0000-00007F020000}"/>
    <cellStyle name="Normal 7 3" xfId="640" xr:uid="{00000000-0005-0000-0000-000080020000}"/>
    <cellStyle name="Normal 7 4" xfId="641" xr:uid="{00000000-0005-0000-0000-000081020000}"/>
    <cellStyle name="Normal 8" xfId="642" xr:uid="{00000000-0005-0000-0000-000082020000}"/>
    <cellStyle name="Normal 9" xfId="643" xr:uid="{00000000-0005-0000-0000-000083020000}"/>
    <cellStyle name="Normal 9 10" xfId="644" xr:uid="{00000000-0005-0000-0000-000084020000}"/>
    <cellStyle name="Normal 9 10 2" xfId="645" xr:uid="{00000000-0005-0000-0000-000085020000}"/>
    <cellStyle name="Normal 9 11" xfId="646" xr:uid="{00000000-0005-0000-0000-000086020000}"/>
    <cellStyle name="Normal 9 11 2" xfId="647" xr:uid="{00000000-0005-0000-0000-000087020000}"/>
    <cellStyle name="Normal 9 12" xfId="648" xr:uid="{00000000-0005-0000-0000-000088020000}"/>
    <cellStyle name="Normal 9 12 2" xfId="649" xr:uid="{00000000-0005-0000-0000-000089020000}"/>
    <cellStyle name="Normal 9 13" xfId="650" xr:uid="{00000000-0005-0000-0000-00008A020000}"/>
    <cellStyle name="Normal 9 14" xfId="651" xr:uid="{00000000-0005-0000-0000-00008B020000}"/>
    <cellStyle name="Normal 9 15" xfId="652" xr:uid="{00000000-0005-0000-0000-00008C020000}"/>
    <cellStyle name="Normal 9 2" xfId="653" xr:uid="{00000000-0005-0000-0000-00008D020000}"/>
    <cellStyle name="Normal 9 2 2" xfId="654" xr:uid="{00000000-0005-0000-0000-00008E020000}"/>
    <cellStyle name="Normal 9 2 2 2" xfId="655" xr:uid="{00000000-0005-0000-0000-00008F020000}"/>
    <cellStyle name="Normal 9 2 3" xfId="656" xr:uid="{00000000-0005-0000-0000-000090020000}"/>
    <cellStyle name="Normal 9 2 3 2" xfId="657" xr:uid="{00000000-0005-0000-0000-000091020000}"/>
    <cellStyle name="Normal 9 2 4" xfId="658" xr:uid="{00000000-0005-0000-0000-000092020000}"/>
    <cellStyle name="Normal 9 2 4 2" xfId="659" xr:uid="{00000000-0005-0000-0000-000093020000}"/>
    <cellStyle name="Normal 9 3" xfId="660" xr:uid="{00000000-0005-0000-0000-000094020000}"/>
    <cellStyle name="Normal 9 3 2" xfId="661" xr:uid="{00000000-0005-0000-0000-000095020000}"/>
    <cellStyle name="Normal 9 4" xfId="662" xr:uid="{00000000-0005-0000-0000-000096020000}"/>
    <cellStyle name="Normal 9 4 2" xfId="663" xr:uid="{00000000-0005-0000-0000-000097020000}"/>
    <cellStyle name="Normal 9 5" xfId="664" xr:uid="{00000000-0005-0000-0000-000098020000}"/>
    <cellStyle name="Normal 9 5 2" xfId="665" xr:uid="{00000000-0005-0000-0000-000099020000}"/>
    <cellStyle name="Normal 9 6" xfId="666" xr:uid="{00000000-0005-0000-0000-00009A020000}"/>
    <cellStyle name="Normal 9 6 2" xfId="667" xr:uid="{00000000-0005-0000-0000-00009B020000}"/>
    <cellStyle name="Normal 9 7" xfId="668" xr:uid="{00000000-0005-0000-0000-00009C020000}"/>
    <cellStyle name="Normal 9 7 2" xfId="669" xr:uid="{00000000-0005-0000-0000-00009D020000}"/>
    <cellStyle name="Normal 9 8" xfId="670" xr:uid="{00000000-0005-0000-0000-00009E020000}"/>
    <cellStyle name="Normal 9 8 2" xfId="671" xr:uid="{00000000-0005-0000-0000-00009F020000}"/>
    <cellStyle name="Normal 9 9" xfId="672" xr:uid="{00000000-0005-0000-0000-0000A0020000}"/>
    <cellStyle name="Normal 9 9 2" xfId="673" xr:uid="{00000000-0005-0000-0000-0000A1020000}"/>
    <cellStyle name="Note 2" xfId="674" xr:uid="{00000000-0005-0000-0000-0000A2020000}"/>
    <cellStyle name="Note 2 2" xfId="675" xr:uid="{00000000-0005-0000-0000-0000A3020000}"/>
    <cellStyle name="Percent" xfId="676" builtinId="5"/>
    <cellStyle name="Percent 2" xfId="677" xr:uid="{00000000-0005-0000-0000-0000A5020000}"/>
    <cellStyle name="Percent 2 2" xfId="678" xr:uid="{00000000-0005-0000-0000-0000A6020000}"/>
    <cellStyle name="Percent 3" xfId="679" xr:uid="{00000000-0005-0000-0000-0000A7020000}"/>
    <cellStyle name="Percent 3 2" xfId="680" xr:uid="{00000000-0005-0000-0000-0000A8020000}"/>
    <cellStyle name="Percent 4" xfId="681" xr:uid="{00000000-0005-0000-0000-0000A9020000}"/>
    <cellStyle name="Percent 5" xfId="682" xr:uid="{00000000-0005-0000-0000-0000AA020000}"/>
    <cellStyle name="Total 2" xfId="683" xr:uid="{00000000-0005-0000-0000-0000AB020000}"/>
    <cellStyle name="Total 2 2" xfId="684" xr:uid="{00000000-0005-0000-0000-0000AC020000}"/>
    <cellStyle name="Total 2 2 2" xfId="685" xr:uid="{00000000-0005-0000-0000-0000AD020000}"/>
    <cellStyle name="Total 2 3" xfId="686" xr:uid="{00000000-0005-0000-0000-0000AE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3"/>
  <sheetViews>
    <sheetView zoomScale="80" zoomScaleNormal="80" zoomScaleSheetLayoutView="100" workbookViewId="0">
      <pane xSplit="1" ySplit="4" topLeftCell="AF42" activePane="bottomRight" state="frozen"/>
      <selection pane="bottomRight" activeCell="AI45" sqref="AI45:AJ49"/>
      <selection pane="bottomLeft" activeCell="A5" sqref="A5"/>
      <selection pane="topRight" activeCell="B1" sqref="B1"/>
    </sheetView>
  </sheetViews>
  <sheetFormatPr defaultColWidth="8.85546875" defaultRowHeight="11.45"/>
  <cols>
    <col min="1" max="1" width="36.140625" style="107" customWidth="1"/>
    <col min="2" max="2" width="20.5703125" style="104" customWidth="1"/>
    <col min="3" max="3" width="20.5703125" style="104" bestFit="1" customWidth="1"/>
    <col min="4" max="5" width="23.85546875" style="104" customWidth="1"/>
    <col min="6" max="6" width="20.5703125" style="104" bestFit="1" customWidth="1"/>
    <col min="7" max="7" width="23.85546875" style="104" customWidth="1"/>
    <col min="8" max="8" width="20.5703125" style="104" customWidth="1"/>
    <col min="9" max="9" width="20.5703125" style="104" bestFit="1" customWidth="1"/>
    <col min="10" max="11" width="20.5703125" style="104" customWidth="1"/>
    <col min="12" max="12" width="21.85546875" style="104" customWidth="1"/>
    <col min="13" max="13" width="20.5703125" style="104" bestFit="1" customWidth="1"/>
    <col min="14" max="26" width="16.85546875" style="104" bestFit="1" customWidth="1"/>
    <col min="27" max="27" width="16.85546875" style="245" bestFit="1" customWidth="1"/>
    <col min="28" max="28" width="18.7109375" style="104" customWidth="1"/>
    <col min="29" max="29" width="16" style="104" customWidth="1"/>
    <col min="30" max="30" width="20.28515625" style="104" customWidth="1"/>
    <col min="31" max="31" width="19.28515625" style="104" customWidth="1"/>
    <col min="32" max="33" width="16.5703125" style="104" bestFit="1" customWidth="1"/>
    <col min="34" max="34" width="16.42578125" style="104" customWidth="1"/>
    <col min="35" max="36" width="16.5703125" style="104" bestFit="1" customWidth="1"/>
    <col min="37" max="16384" width="8.85546875" style="104"/>
  </cols>
  <sheetData>
    <row r="1" spans="1:38">
      <c r="A1" s="107" t="s">
        <v>0</v>
      </c>
      <c r="B1" s="171"/>
      <c r="C1" s="171"/>
      <c r="D1" s="171"/>
      <c r="E1" s="171"/>
      <c r="F1" s="171"/>
      <c r="G1" s="171"/>
      <c r="H1" s="171"/>
    </row>
    <row r="2" spans="1:38">
      <c r="A2" s="111" t="s">
        <v>1</v>
      </c>
      <c r="AC2" s="244"/>
    </row>
    <row r="3" spans="1:38" s="160" customFormat="1">
      <c r="A3" s="108"/>
      <c r="B3" s="159" t="s">
        <v>2</v>
      </c>
      <c r="C3" s="159" t="s">
        <v>3</v>
      </c>
      <c r="D3" s="159" t="s">
        <v>4</v>
      </c>
      <c r="E3" s="159" t="s">
        <v>5</v>
      </c>
      <c r="F3" s="159" t="s">
        <v>6</v>
      </c>
      <c r="G3" s="159" t="s">
        <v>7</v>
      </c>
      <c r="H3" s="159" t="s">
        <v>8</v>
      </c>
      <c r="I3" s="159" t="s">
        <v>9</v>
      </c>
      <c r="J3" s="159" t="s">
        <v>10</v>
      </c>
      <c r="K3" s="159" t="s">
        <v>11</v>
      </c>
      <c r="L3" s="159" t="s">
        <v>12</v>
      </c>
      <c r="M3" s="159" t="s">
        <v>13</v>
      </c>
      <c r="N3" s="160" t="s">
        <v>14</v>
      </c>
      <c r="O3" s="239">
        <v>44562</v>
      </c>
      <c r="P3" s="239">
        <v>44593</v>
      </c>
      <c r="Q3" s="239">
        <v>44621</v>
      </c>
      <c r="R3" s="239">
        <v>44652</v>
      </c>
      <c r="S3" s="239">
        <v>44682</v>
      </c>
      <c r="T3" s="239">
        <v>44713</v>
      </c>
      <c r="U3" s="239">
        <v>44743</v>
      </c>
      <c r="V3" s="239">
        <v>44774</v>
      </c>
      <c r="W3" s="239">
        <v>44805</v>
      </c>
      <c r="X3" s="239">
        <v>44835</v>
      </c>
      <c r="Y3" s="239">
        <v>44866</v>
      </c>
      <c r="Z3" s="239">
        <v>44896</v>
      </c>
      <c r="AA3" s="246" t="s">
        <v>15</v>
      </c>
      <c r="AB3" s="239">
        <v>44927</v>
      </c>
      <c r="AC3" s="239">
        <v>44958</v>
      </c>
      <c r="AD3" s="239">
        <v>44986</v>
      </c>
      <c r="AE3" s="239">
        <v>45017</v>
      </c>
      <c r="AF3" s="239">
        <v>45047</v>
      </c>
      <c r="AG3" s="239">
        <v>45078</v>
      </c>
      <c r="AH3" s="239">
        <v>45108</v>
      </c>
      <c r="AI3" s="239">
        <v>45139</v>
      </c>
      <c r="AJ3" s="239">
        <v>45170</v>
      </c>
      <c r="AK3" s="239">
        <v>45200</v>
      </c>
      <c r="AL3" s="239">
        <v>45231</v>
      </c>
    </row>
    <row r="4" spans="1:38" s="105" customFormat="1" ht="14.25">
      <c r="A4" s="103" t="s">
        <v>16</v>
      </c>
      <c r="B4" s="161">
        <f t="shared" ref="B4:AI4" si="0">SUM(B5:B6)</f>
        <v>10823132.639999999</v>
      </c>
      <c r="C4" s="161">
        <f t="shared" si="0"/>
        <v>8750063.0500000007</v>
      </c>
      <c r="D4" s="161">
        <f t="shared" si="0"/>
        <v>10397052.34</v>
      </c>
      <c r="E4" s="161">
        <f t="shared" si="0"/>
        <v>10542542.669999998</v>
      </c>
      <c r="F4" s="161">
        <f t="shared" si="0"/>
        <v>12327489.689999999</v>
      </c>
      <c r="G4" s="161">
        <f t="shared" si="0"/>
        <v>11429195.279999999</v>
      </c>
      <c r="H4" s="161">
        <f t="shared" si="0"/>
        <v>9501091.5099999998</v>
      </c>
      <c r="I4" s="161">
        <f t="shared" si="0"/>
        <v>13459097.59</v>
      </c>
      <c r="J4" s="161">
        <f t="shared" si="0"/>
        <v>14218874.119999999</v>
      </c>
      <c r="K4" s="161">
        <f t="shared" si="0"/>
        <v>15167722.109999999</v>
      </c>
      <c r="L4" s="161">
        <f t="shared" si="0"/>
        <v>16324344.33</v>
      </c>
      <c r="M4" s="161">
        <f t="shared" si="0"/>
        <v>16902420.890000001</v>
      </c>
      <c r="N4" s="161">
        <f t="shared" si="0"/>
        <v>19799397</v>
      </c>
      <c r="O4" s="161">
        <f t="shared" si="0"/>
        <v>19324856.559999999</v>
      </c>
      <c r="P4" s="161">
        <f t="shared" si="0"/>
        <v>19473191.559999999</v>
      </c>
      <c r="Q4" s="161">
        <f t="shared" si="0"/>
        <v>19942304.030000001</v>
      </c>
      <c r="R4" s="161">
        <f t="shared" si="0"/>
        <v>18083505.359999999</v>
      </c>
      <c r="S4" s="161">
        <f t="shared" si="0"/>
        <v>17803565.580000002</v>
      </c>
      <c r="T4" s="161">
        <f t="shared" si="0"/>
        <v>19537950.809999999</v>
      </c>
      <c r="U4" s="161">
        <f t="shared" si="0"/>
        <v>17532787.580000002</v>
      </c>
      <c r="V4" s="161">
        <f t="shared" si="0"/>
        <v>18719290.829999998</v>
      </c>
      <c r="W4" s="161">
        <f t="shared" si="0"/>
        <v>19497063.129999999</v>
      </c>
      <c r="X4" s="161">
        <f t="shared" si="0"/>
        <v>19198337.629999999</v>
      </c>
      <c r="Y4" s="161">
        <f t="shared" si="0"/>
        <v>17322159.77</v>
      </c>
      <c r="Z4" s="161">
        <f t="shared" si="0"/>
        <v>17420994.699999999</v>
      </c>
      <c r="AA4" s="161">
        <f t="shared" si="0"/>
        <v>20884959</v>
      </c>
      <c r="AB4" s="161">
        <f t="shared" si="0"/>
        <v>17525624.830000002</v>
      </c>
      <c r="AC4" s="161">
        <f t="shared" si="0"/>
        <v>16766651.289999999</v>
      </c>
      <c r="AD4" s="161">
        <f t="shared" si="0"/>
        <v>15099253.640000001</v>
      </c>
      <c r="AE4" s="161">
        <f t="shared" si="0"/>
        <v>14932906.590000002</v>
      </c>
      <c r="AF4" s="269">
        <f t="shared" si="0"/>
        <v>12336982.59</v>
      </c>
      <c r="AG4" s="269">
        <f t="shared" si="0"/>
        <v>13932602.520000001</v>
      </c>
      <c r="AH4" s="269">
        <f t="shared" si="0"/>
        <v>15533727.550000001</v>
      </c>
      <c r="AI4" s="269">
        <f t="shared" si="0"/>
        <v>14539469.350000001</v>
      </c>
      <c r="AJ4" s="269">
        <f t="shared" ref="AJ4:AL4" si="1">SUM(AJ5:AJ6)</f>
        <v>14707195.270000001</v>
      </c>
      <c r="AK4" s="269">
        <f t="shared" si="1"/>
        <v>0</v>
      </c>
      <c r="AL4" s="269">
        <f t="shared" si="1"/>
        <v>0</v>
      </c>
    </row>
    <row r="5" spans="1:38" ht="14.25">
      <c r="A5" s="109" t="s">
        <v>17</v>
      </c>
      <c r="B5" s="237">
        <v>270074.95</v>
      </c>
      <c r="C5" s="237">
        <v>909061.4</v>
      </c>
      <c r="D5" s="237">
        <v>747078.4</v>
      </c>
      <c r="E5" s="237">
        <v>1590778.8799999999</v>
      </c>
      <c r="F5" s="237">
        <v>1700729.41</v>
      </c>
      <c r="G5" s="237">
        <v>944263</v>
      </c>
      <c r="H5" s="237">
        <v>1155344.83</v>
      </c>
      <c r="I5" s="237">
        <v>2734725.83</v>
      </c>
      <c r="J5" s="237">
        <v>2518022.83</v>
      </c>
      <c r="K5" s="237">
        <v>2266156.33</v>
      </c>
      <c r="L5" s="237">
        <v>1847953.2</v>
      </c>
      <c r="M5" s="237">
        <v>551659.19999999995</v>
      </c>
      <c r="N5" s="232">
        <v>551659</v>
      </c>
      <c r="O5" s="237">
        <v>544653.06999999995</v>
      </c>
      <c r="P5" s="237">
        <v>1303878.07</v>
      </c>
      <c r="Q5" s="237">
        <v>409311</v>
      </c>
      <c r="R5" s="237">
        <v>920579.73</v>
      </c>
      <c r="S5" s="237">
        <v>1338303.18</v>
      </c>
      <c r="T5" s="237">
        <v>1064859.72</v>
      </c>
      <c r="U5" s="237">
        <v>955694.93</v>
      </c>
      <c r="V5" s="237">
        <v>883448.93</v>
      </c>
      <c r="W5" s="237">
        <v>738220.73</v>
      </c>
      <c r="X5" s="237">
        <v>640273.04</v>
      </c>
      <c r="Y5" s="237">
        <v>892872.18</v>
      </c>
      <c r="Z5" s="237">
        <v>448188.18</v>
      </c>
      <c r="AA5" s="247">
        <v>448188</v>
      </c>
      <c r="AB5" s="252">
        <v>1165957.18</v>
      </c>
      <c r="AC5" s="254">
        <v>692816.18</v>
      </c>
      <c r="AD5" s="254">
        <v>659541.18000000005</v>
      </c>
      <c r="AE5" s="254">
        <v>398668.13</v>
      </c>
      <c r="AF5" s="252">
        <v>1133997.31</v>
      </c>
      <c r="AG5" s="252">
        <v>1425037.47</v>
      </c>
      <c r="AH5" s="252">
        <v>485825.47</v>
      </c>
      <c r="AI5" s="291">
        <v>1073171.47</v>
      </c>
      <c r="AJ5" s="293">
        <v>1461075.47</v>
      </c>
    </row>
    <row r="6" spans="1:38" ht="12.75">
      <c r="A6" s="109" t="s">
        <v>18</v>
      </c>
      <c r="B6" s="237">
        <v>10553057.689999999</v>
      </c>
      <c r="C6" s="237">
        <v>7841001.6500000004</v>
      </c>
      <c r="D6" s="237">
        <v>9649973.9399999995</v>
      </c>
      <c r="E6" s="237">
        <v>8951763.7899999991</v>
      </c>
      <c r="F6" s="237">
        <v>10626760.279999999</v>
      </c>
      <c r="G6" s="237">
        <v>10484932.279999999</v>
      </c>
      <c r="H6" s="237">
        <v>8345746.6799999997</v>
      </c>
      <c r="I6" s="237">
        <v>10724371.76</v>
      </c>
      <c r="J6" s="237">
        <v>11700851.289999999</v>
      </c>
      <c r="K6" s="237">
        <v>12901565.779999999</v>
      </c>
      <c r="L6" s="237">
        <v>14476391.130000001</v>
      </c>
      <c r="M6" s="237">
        <v>16350761.689999999</v>
      </c>
      <c r="N6" s="232">
        <f>7133257+12666140-551659</f>
        <v>19247738</v>
      </c>
      <c r="O6" s="237">
        <v>18780203.489999998</v>
      </c>
      <c r="P6" s="237">
        <v>18169313.489999998</v>
      </c>
      <c r="Q6" s="237">
        <v>19532993.030000001</v>
      </c>
      <c r="R6" s="237">
        <v>17162925.629999999</v>
      </c>
      <c r="S6" s="237">
        <v>16465262.4</v>
      </c>
      <c r="T6" s="237">
        <v>18473091.09</v>
      </c>
      <c r="U6" s="237">
        <v>16577092.65</v>
      </c>
      <c r="V6" s="237">
        <v>17835841.899999999</v>
      </c>
      <c r="W6" s="237">
        <v>18758842.399999999</v>
      </c>
      <c r="X6" s="237">
        <v>18558064.59</v>
      </c>
      <c r="Y6" s="237">
        <v>16429287.59</v>
      </c>
      <c r="Z6" s="237">
        <v>16972806.52</v>
      </c>
      <c r="AA6" s="245">
        <v>20436771</v>
      </c>
      <c r="AB6" s="256">
        <v>16359667.65</v>
      </c>
      <c r="AC6" s="258">
        <v>16073835.109999999</v>
      </c>
      <c r="AD6" s="258">
        <v>14439712.460000001</v>
      </c>
      <c r="AE6" s="258">
        <v>14534238.460000001</v>
      </c>
      <c r="AF6" s="256">
        <v>11202985.279999999</v>
      </c>
      <c r="AG6" s="256">
        <v>12507565.050000001</v>
      </c>
      <c r="AH6" s="256">
        <v>15047902.08</v>
      </c>
      <c r="AI6" s="295">
        <v>13466297.880000001</v>
      </c>
      <c r="AJ6" s="297">
        <v>13246119.800000001</v>
      </c>
    </row>
    <row r="7" spans="1:38" s="150" customFormat="1" ht="14.25">
      <c r="A7" s="103" t="s">
        <v>19</v>
      </c>
      <c r="B7" s="237">
        <v>1465559</v>
      </c>
      <c r="C7" s="237">
        <v>1465559</v>
      </c>
      <c r="D7" s="237">
        <v>1165559</v>
      </c>
      <c r="E7" s="237">
        <v>965559</v>
      </c>
      <c r="F7" s="237">
        <v>965559</v>
      </c>
      <c r="G7" s="237">
        <v>765559</v>
      </c>
      <c r="H7" s="237">
        <v>765559</v>
      </c>
      <c r="I7" s="237">
        <v>565559</v>
      </c>
      <c r="J7" s="237">
        <v>565559</v>
      </c>
      <c r="K7" s="237">
        <v>565559</v>
      </c>
      <c r="L7" s="237">
        <v>565559</v>
      </c>
      <c r="M7" s="237">
        <v>365559</v>
      </c>
      <c r="N7" s="233">
        <v>624332</v>
      </c>
      <c r="O7" s="237">
        <v>365559</v>
      </c>
      <c r="P7" s="237">
        <v>365559</v>
      </c>
      <c r="Q7" s="237">
        <v>365559</v>
      </c>
      <c r="R7" s="237">
        <v>365559</v>
      </c>
      <c r="S7" s="237">
        <v>365559</v>
      </c>
      <c r="T7" s="237">
        <v>365559</v>
      </c>
      <c r="U7" s="237">
        <v>365559</v>
      </c>
      <c r="V7" s="237">
        <v>365559</v>
      </c>
      <c r="W7" s="237">
        <v>365559</v>
      </c>
      <c r="X7" s="237">
        <v>365559</v>
      </c>
      <c r="Y7" s="237">
        <v>365559</v>
      </c>
      <c r="Z7" s="237">
        <v>669559</v>
      </c>
      <c r="AA7" s="243">
        <v>1011462</v>
      </c>
      <c r="AB7" s="256">
        <v>672609</v>
      </c>
      <c r="AC7" s="258">
        <v>672609</v>
      </c>
      <c r="AD7" s="271">
        <v>179609</v>
      </c>
      <c r="AE7" s="271">
        <v>365559</v>
      </c>
      <c r="AF7" s="272">
        <v>365559</v>
      </c>
      <c r="AG7" s="272">
        <v>365559</v>
      </c>
      <c r="AH7" s="272">
        <v>365559</v>
      </c>
      <c r="AI7" s="272">
        <v>365559</v>
      </c>
      <c r="AJ7" s="271">
        <v>365559</v>
      </c>
    </row>
    <row r="8" spans="1:38" s="105" customFormat="1" ht="14.25">
      <c r="A8" s="103" t="s">
        <v>20</v>
      </c>
      <c r="B8" s="161">
        <f t="shared" ref="B8:AL8" si="2">SUM(B9:B12)</f>
        <v>2405123.6</v>
      </c>
      <c r="C8" s="161">
        <f t="shared" si="2"/>
        <v>2450123.6</v>
      </c>
      <c r="D8" s="161">
        <f t="shared" si="2"/>
        <v>2450123.6</v>
      </c>
      <c r="E8" s="161">
        <f t="shared" si="2"/>
        <v>2540123.6</v>
      </c>
      <c r="F8" s="161">
        <f t="shared" si="2"/>
        <v>2585123.6</v>
      </c>
      <c r="G8" s="161">
        <f t="shared" si="2"/>
        <v>2642769.5499999998</v>
      </c>
      <c r="H8" s="161">
        <f t="shared" si="2"/>
        <v>2687769.55</v>
      </c>
      <c r="I8" s="161">
        <f t="shared" si="2"/>
        <v>2738029.6</v>
      </c>
      <c r="J8" s="161">
        <f t="shared" si="2"/>
        <v>2783029.6</v>
      </c>
      <c r="K8" s="161">
        <f t="shared" si="2"/>
        <v>2783029.6</v>
      </c>
      <c r="L8" s="161">
        <f t="shared" si="2"/>
        <v>2878715.35</v>
      </c>
      <c r="M8" s="161">
        <f t="shared" si="2"/>
        <v>2923715.35</v>
      </c>
      <c r="N8" s="161">
        <f t="shared" si="2"/>
        <v>25330</v>
      </c>
      <c r="O8" s="161">
        <f t="shared" si="2"/>
        <v>2968715.35</v>
      </c>
      <c r="P8" s="161">
        <f t="shared" si="2"/>
        <v>3018140.35</v>
      </c>
      <c r="Q8" s="161">
        <f t="shared" si="2"/>
        <v>3063380.35</v>
      </c>
      <c r="R8" s="161">
        <f t="shared" si="2"/>
        <v>3108380.35</v>
      </c>
      <c r="S8" s="161">
        <f t="shared" si="2"/>
        <v>3159808</v>
      </c>
      <c r="T8" s="161">
        <f t="shared" si="2"/>
        <v>3204808</v>
      </c>
      <c r="U8" s="161">
        <f t="shared" si="2"/>
        <v>3249808</v>
      </c>
      <c r="V8" s="161">
        <f t="shared" si="2"/>
        <v>3294808</v>
      </c>
      <c r="W8" s="161">
        <f t="shared" si="2"/>
        <v>3339808</v>
      </c>
      <c r="X8" s="161">
        <f t="shared" si="2"/>
        <v>3384808</v>
      </c>
      <c r="Y8" s="161">
        <f t="shared" si="2"/>
        <v>3398724.85</v>
      </c>
      <c r="Z8" s="161">
        <f t="shared" si="2"/>
        <v>3488724.85</v>
      </c>
      <c r="AA8" s="161">
        <f t="shared" si="2"/>
        <v>24550</v>
      </c>
      <c r="AB8" s="161">
        <f t="shared" si="2"/>
        <v>3488724.85</v>
      </c>
      <c r="AC8" s="161">
        <f t="shared" si="2"/>
        <v>3541215.85</v>
      </c>
      <c r="AD8" s="161">
        <f t="shared" si="2"/>
        <v>3585435.85</v>
      </c>
      <c r="AE8" s="161">
        <f t="shared" si="2"/>
        <v>3594735.85</v>
      </c>
      <c r="AF8" s="161">
        <f t="shared" si="2"/>
        <v>3602583.1</v>
      </c>
      <c r="AG8" s="161">
        <f t="shared" si="2"/>
        <v>3603983.1</v>
      </c>
      <c r="AH8" s="161">
        <f t="shared" si="2"/>
        <v>3603983.1</v>
      </c>
      <c r="AI8" s="161">
        <f t="shared" si="2"/>
        <v>3603983.1</v>
      </c>
      <c r="AJ8" s="161">
        <f t="shared" si="2"/>
        <v>3621987.45</v>
      </c>
      <c r="AK8" s="161">
        <f t="shared" si="2"/>
        <v>0</v>
      </c>
      <c r="AL8" s="161">
        <f t="shared" si="2"/>
        <v>0</v>
      </c>
    </row>
    <row r="9" spans="1:38" ht="12.75">
      <c r="A9" s="110" t="s">
        <v>21</v>
      </c>
      <c r="B9" s="237">
        <v>0</v>
      </c>
      <c r="C9" s="237">
        <v>0</v>
      </c>
      <c r="D9" s="237">
        <v>0</v>
      </c>
      <c r="E9" s="237">
        <v>0</v>
      </c>
      <c r="F9" s="237">
        <v>0</v>
      </c>
      <c r="G9" s="237">
        <v>0</v>
      </c>
      <c r="H9" s="237">
        <v>0</v>
      </c>
      <c r="I9" s="237">
        <v>0</v>
      </c>
      <c r="J9" s="237">
        <v>0</v>
      </c>
      <c r="K9" s="237">
        <v>0</v>
      </c>
      <c r="L9" s="237">
        <v>0</v>
      </c>
      <c r="M9" s="237">
        <v>0</v>
      </c>
      <c r="N9" s="232"/>
      <c r="O9" s="237">
        <v>0</v>
      </c>
      <c r="P9" s="237">
        <v>0</v>
      </c>
      <c r="Q9" s="237">
        <v>0</v>
      </c>
      <c r="R9" s="237">
        <v>0</v>
      </c>
      <c r="S9" s="237">
        <v>0</v>
      </c>
      <c r="T9" s="237">
        <v>0</v>
      </c>
      <c r="U9" s="237">
        <v>0</v>
      </c>
      <c r="V9" s="237">
        <v>0</v>
      </c>
      <c r="W9" s="237">
        <v>0</v>
      </c>
      <c r="X9" s="237">
        <v>0</v>
      </c>
      <c r="Y9" s="237">
        <v>0</v>
      </c>
      <c r="Z9" s="237">
        <v>0</v>
      </c>
      <c r="AB9" s="251">
        <v>0</v>
      </c>
      <c r="AC9" s="253">
        <v>0</v>
      </c>
      <c r="AD9" s="253">
        <v>0</v>
      </c>
      <c r="AE9" s="253">
        <v>0</v>
      </c>
      <c r="AF9" s="251">
        <v>0</v>
      </c>
      <c r="AG9" s="251">
        <v>0</v>
      </c>
      <c r="AH9" s="251">
        <v>0</v>
      </c>
      <c r="AI9" s="290">
        <v>0</v>
      </c>
      <c r="AJ9" s="292">
        <v>0</v>
      </c>
    </row>
    <row r="10" spans="1:38" ht="12.75">
      <c r="A10" s="109" t="s">
        <v>22</v>
      </c>
      <c r="B10" s="237">
        <v>0</v>
      </c>
      <c r="C10" s="237">
        <v>0</v>
      </c>
      <c r="D10" s="237">
        <v>0</v>
      </c>
      <c r="E10" s="237">
        <v>0</v>
      </c>
      <c r="F10" s="237">
        <v>0</v>
      </c>
      <c r="G10" s="237">
        <v>0</v>
      </c>
      <c r="H10" s="237">
        <v>0</v>
      </c>
      <c r="I10" s="237">
        <v>0</v>
      </c>
      <c r="J10" s="237">
        <v>0</v>
      </c>
      <c r="K10" s="237">
        <v>0</v>
      </c>
      <c r="L10" s="237">
        <v>0</v>
      </c>
      <c r="M10" s="237">
        <v>0</v>
      </c>
      <c r="N10" s="232"/>
      <c r="O10" s="237">
        <v>0</v>
      </c>
      <c r="P10" s="237">
        <v>0</v>
      </c>
      <c r="Q10" s="237">
        <v>0</v>
      </c>
      <c r="R10" s="237">
        <v>0</v>
      </c>
      <c r="S10" s="237">
        <v>0</v>
      </c>
      <c r="T10" s="237">
        <v>0</v>
      </c>
      <c r="U10" s="237">
        <v>0</v>
      </c>
      <c r="V10" s="237">
        <v>0</v>
      </c>
      <c r="W10" s="237">
        <v>0</v>
      </c>
      <c r="X10" s="237">
        <v>0</v>
      </c>
      <c r="Y10" s="237">
        <v>0</v>
      </c>
      <c r="Z10" s="237">
        <v>0</v>
      </c>
      <c r="AB10" s="255">
        <v>0</v>
      </c>
      <c r="AC10" s="257">
        <v>0</v>
      </c>
      <c r="AD10" s="257">
        <v>0</v>
      </c>
      <c r="AE10" s="257">
        <v>0</v>
      </c>
      <c r="AF10" s="255">
        <v>0</v>
      </c>
      <c r="AG10" s="255">
        <v>0</v>
      </c>
      <c r="AH10" s="255">
        <v>0</v>
      </c>
      <c r="AI10" s="294">
        <v>0</v>
      </c>
      <c r="AJ10" s="296">
        <v>0</v>
      </c>
    </row>
    <row r="11" spans="1:38" ht="14.25">
      <c r="A11" s="110" t="s">
        <v>23</v>
      </c>
      <c r="B11" s="237">
        <v>2405123.6</v>
      </c>
      <c r="C11" s="237">
        <v>2450123.6</v>
      </c>
      <c r="D11" s="237">
        <v>2450123.6</v>
      </c>
      <c r="E11" s="237">
        <v>2540123.6</v>
      </c>
      <c r="F11" s="237">
        <v>2585123.6</v>
      </c>
      <c r="G11" s="237">
        <v>2642769.5499999998</v>
      </c>
      <c r="H11" s="237">
        <v>2687769.55</v>
      </c>
      <c r="I11" s="237">
        <v>2738029.6</v>
      </c>
      <c r="J11" s="237">
        <v>2783029.6</v>
      </c>
      <c r="K11" s="237">
        <v>2783029.6</v>
      </c>
      <c r="L11" s="237">
        <v>2878715.35</v>
      </c>
      <c r="M11" s="237">
        <v>2923715.35</v>
      </c>
      <c r="N11" s="232">
        <v>25330</v>
      </c>
      <c r="O11" s="237">
        <v>2968715.35</v>
      </c>
      <c r="P11" s="237">
        <v>3018140.35</v>
      </c>
      <c r="Q11" s="237">
        <v>3063380.35</v>
      </c>
      <c r="R11" s="237">
        <v>3108380.35</v>
      </c>
      <c r="S11" s="237">
        <v>3159808</v>
      </c>
      <c r="T11" s="237">
        <v>3204808</v>
      </c>
      <c r="U11" s="237">
        <v>3249808</v>
      </c>
      <c r="V11" s="237">
        <v>3294808</v>
      </c>
      <c r="W11" s="237">
        <v>3339808</v>
      </c>
      <c r="X11" s="237">
        <v>3384808</v>
      </c>
      <c r="Y11" s="237">
        <v>3398724.85</v>
      </c>
      <c r="Z11" s="237">
        <v>3488724.85</v>
      </c>
      <c r="AA11" s="243">
        <v>24550</v>
      </c>
      <c r="AB11" s="256">
        <v>3488724.85</v>
      </c>
      <c r="AC11" s="258">
        <v>3541215.85</v>
      </c>
      <c r="AD11" s="258">
        <v>3585435.85</v>
      </c>
      <c r="AE11" s="258">
        <v>3594735.85</v>
      </c>
      <c r="AF11" s="256">
        <v>3602583.1</v>
      </c>
      <c r="AG11" s="256">
        <v>3603983.1</v>
      </c>
      <c r="AH11" s="256">
        <v>3603983.1</v>
      </c>
      <c r="AI11" s="295">
        <v>3603983.1</v>
      </c>
      <c r="AJ11" s="297">
        <v>3621987.45</v>
      </c>
    </row>
    <row r="12" spans="1:38" ht="12.75">
      <c r="A12" s="110" t="s">
        <v>24</v>
      </c>
      <c r="B12" s="237">
        <v>0</v>
      </c>
      <c r="C12" s="237">
        <v>0</v>
      </c>
      <c r="D12" s="237">
        <v>0</v>
      </c>
      <c r="E12" s="237">
        <v>0</v>
      </c>
      <c r="F12" s="237">
        <v>0</v>
      </c>
      <c r="G12" s="237">
        <v>0</v>
      </c>
      <c r="H12" s="237">
        <v>0</v>
      </c>
      <c r="I12" s="237">
        <v>0</v>
      </c>
      <c r="J12" s="237">
        <v>0</v>
      </c>
      <c r="K12" s="237">
        <v>0</v>
      </c>
      <c r="L12" s="237">
        <v>0</v>
      </c>
      <c r="M12" s="237">
        <v>0</v>
      </c>
      <c r="N12" s="232"/>
      <c r="O12" s="237">
        <v>0</v>
      </c>
      <c r="P12" s="237">
        <v>0</v>
      </c>
      <c r="Q12" s="237">
        <v>0</v>
      </c>
      <c r="R12" s="237">
        <v>0</v>
      </c>
      <c r="S12" s="237">
        <v>0</v>
      </c>
      <c r="T12" s="237">
        <v>0</v>
      </c>
      <c r="U12" s="237">
        <v>0</v>
      </c>
      <c r="V12" s="237">
        <v>0</v>
      </c>
      <c r="W12" s="237">
        <v>0</v>
      </c>
      <c r="X12" s="237">
        <v>0</v>
      </c>
      <c r="Y12" s="237">
        <v>0</v>
      </c>
      <c r="Z12" s="237">
        <v>0</v>
      </c>
      <c r="AB12" s="255">
        <v>0</v>
      </c>
      <c r="AC12" s="257">
        <v>0</v>
      </c>
      <c r="AD12" s="257">
        <v>0</v>
      </c>
      <c r="AE12" s="257">
        <v>0</v>
      </c>
      <c r="AF12" s="255">
        <v>0</v>
      </c>
      <c r="AG12" s="255">
        <v>0</v>
      </c>
      <c r="AH12" s="255">
        <v>0</v>
      </c>
      <c r="AI12" s="294">
        <v>0</v>
      </c>
      <c r="AJ12" s="296">
        <v>0</v>
      </c>
    </row>
    <row r="13" spans="1:38" s="105" customFormat="1" ht="14.25">
      <c r="A13" s="103" t="s">
        <v>25</v>
      </c>
      <c r="B13" s="161">
        <f t="shared" ref="B13:AL13" si="3">B14-B15</f>
        <v>41776740.030000001</v>
      </c>
      <c r="C13" s="161">
        <f t="shared" si="3"/>
        <v>43679590.090000004</v>
      </c>
      <c r="D13" s="161">
        <f t="shared" si="3"/>
        <v>41525224.019999996</v>
      </c>
      <c r="E13" s="161">
        <f t="shared" si="3"/>
        <v>40111712.730000004</v>
      </c>
      <c r="F13" s="161">
        <f t="shared" si="3"/>
        <v>38802510.859999999</v>
      </c>
      <c r="G13" s="161">
        <f t="shared" si="3"/>
        <v>39916356.899999999</v>
      </c>
      <c r="H13" s="161">
        <f t="shared" si="3"/>
        <v>42300310.880000003</v>
      </c>
      <c r="I13" s="161">
        <f t="shared" si="3"/>
        <v>39065163.5</v>
      </c>
      <c r="J13" s="161">
        <f t="shared" si="3"/>
        <v>38722637.989999995</v>
      </c>
      <c r="K13" s="161">
        <f t="shared" si="3"/>
        <v>38069312.07</v>
      </c>
      <c r="L13" s="161">
        <f t="shared" si="3"/>
        <v>37598091.420000002</v>
      </c>
      <c r="M13" s="161">
        <f t="shared" si="3"/>
        <v>37479311.480000004</v>
      </c>
      <c r="N13" s="161">
        <f t="shared" si="3"/>
        <v>37252147</v>
      </c>
      <c r="O13" s="161">
        <f t="shared" si="3"/>
        <v>34643267.009999998</v>
      </c>
      <c r="P13" s="161">
        <f t="shared" si="3"/>
        <v>35522724.959999993</v>
      </c>
      <c r="Q13" s="161">
        <f t="shared" si="3"/>
        <v>35156735.460000001</v>
      </c>
      <c r="R13" s="161">
        <f t="shared" si="3"/>
        <v>37994525.890000001</v>
      </c>
      <c r="S13" s="161">
        <f t="shared" si="3"/>
        <v>37788731.469999999</v>
      </c>
      <c r="T13" s="161">
        <f t="shared" si="3"/>
        <v>36011798.909999996</v>
      </c>
      <c r="U13" s="161">
        <f t="shared" si="3"/>
        <v>38287539.659999996</v>
      </c>
      <c r="V13" s="161">
        <f t="shared" si="3"/>
        <v>37909132.239999995</v>
      </c>
      <c r="W13" s="161">
        <f t="shared" si="3"/>
        <v>37550132.640000001</v>
      </c>
      <c r="X13" s="161">
        <f t="shared" si="3"/>
        <v>39469334.920000002</v>
      </c>
      <c r="Y13" s="161">
        <f t="shared" si="3"/>
        <v>43459050.710000001</v>
      </c>
      <c r="Z13" s="161">
        <f t="shared" si="3"/>
        <v>44088835.770000003</v>
      </c>
      <c r="AA13" s="161">
        <f t="shared" si="3"/>
        <v>44088836.25</v>
      </c>
      <c r="AB13" s="161">
        <f t="shared" si="3"/>
        <v>44358048.300000004</v>
      </c>
      <c r="AC13" s="161">
        <f t="shared" si="3"/>
        <v>45344954.060000002</v>
      </c>
      <c r="AD13" s="161">
        <f t="shared" si="3"/>
        <v>48080606.260000005</v>
      </c>
      <c r="AE13" s="161">
        <f t="shared" si="3"/>
        <v>47136918.729999997</v>
      </c>
      <c r="AF13" s="269">
        <f t="shared" si="3"/>
        <v>49070982.729999997</v>
      </c>
      <c r="AG13" s="269">
        <f t="shared" si="3"/>
        <v>47717435.979999997</v>
      </c>
      <c r="AH13" s="269">
        <f t="shared" si="3"/>
        <v>47080010.259999998</v>
      </c>
      <c r="AI13" s="269">
        <f t="shared" si="3"/>
        <v>49534908.620000005</v>
      </c>
      <c r="AJ13" s="269">
        <f t="shared" si="3"/>
        <v>49200470.510000005</v>
      </c>
      <c r="AK13" s="269">
        <f t="shared" si="3"/>
        <v>0</v>
      </c>
      <c r="AL13" s="269">
        <f t="shared" si="3"/>
        <v>0</v>
      </c>
    </row>
    <row r="14" spans="1:38" ht="14.25">
      <c r="A14" s="110" t="s">
        <v>26</v>
      </c>
      <c r="B14" s="237">
        <v>52223619.210000001</v>
      </c>
      <c r="C14" s="237">
        <v>54516104.07</v>
      </c>
      <c r="D14" s="237">
        <v>52561210.869999997</v>
      </c>
      <c r="E14" s="237">
        <v>51822541.700000003</v>
      </c>
      <c r="F14" s="237">
        <v>49942174.07</v>
      </c>
      <c r="G14" s="237">
        <v>50586146.32</v>
      </c>
      <c r="H14" s="237">
        <v>52944158.530000001</v>
      </c>
      <c r="I14" s="237">
        <v>49455695.909999996</v>
      </c>
      <c r="J14" s="237">
        <v>49024213.689999998</v>
      </c>
      <c r="K14" s="237">
        <v>48386795.630000003</v>
      </c>
      <c r="L14" s="237">
        <v>47894556.5</v>
      </c>
      <c r="M14" s="237">
        <v>47572949.700000003</v>
      </c>
      <c r="N14" s="232">
        <v>47572950</v>
      </c>
      <c r="O14" s="237">
        <v>44732529.689999998</v>
      </c>
      <c r="P14" s="237">
        <v>45138817.369999997</v>
      </c>
      <c r="Q14" s="237">
        <v>45321718.020000003</v>
      </c>
      <c r="R14" s="237">
        <v>48156126.460000001</v>
      </c>
      <c r="S14" s="237">
        <v>47977386.100000001</v>
      </c>
      <c r="T14" s="237">
        <v>46258004.909999996</v>
      </c>
      <c r="U14" s="237">
        <v>48713391.649999999</v>
      </c>
      <c r="V14" s="237">
        <v>48309249.979999997</v>
      </c>
      <c r="W14" s="237">
        <v>47976714.289999999</v>
      </c>
      <c r="X14" s="237">
        <v>49307156.189999998</v>
      </c>
      <c r="Y14" s="237">
        <v>52164577.130000003</v>
      </c>
      <c r="Z14" s="237">
        <v>52516191.520000003</v>
      </c>
      <c r="AA14" s="243">
        <v>52516192</v>
      </c>
      <c r="AB14" s="252">
        <v>52759707.630000003</v>
      </c>
      <c r="AC14" s="254">
        <v>53790704.880000003</v>
      </c>
      <c r="AD14" s="254">
        <v>56606716.740000002</v>
      </c>
      <c r="AE14" s="254">
        <v>55731228.189999998</v>
      </c>
      <c r="AF14" s="252">
        <v>57596435.119999997</v>
      </c>
      <c r="AG14" s="252">
        <v>56572467.299999997</v>
      </c>
      <c r="AH14" s="252">
        <v>55582510.729999997</v>
      </c>
      <c r="AI14" s="291">
        <v>57952305.82</v>
      </c>
      <c r="AJ14" s="293">
        <v>57949936.960000001</v>
      </c>
    </row>
    <row r="15" spans="1:38" ht="12.75">
      <c r="A15" s="110" t="s">
        <v>27</v>
      </c>
      <c r="B15" s="237">
        <v>10446879.18</v>
      </c>
      <c r="C15" s="237">
        <v>10836513.98</v>
      </c>
      <c r="D15" s="237">
        <v>11035986.85</v>
      </c>
      <c r="E15" s="237">
        <v>11710828.970000001</v>
      </c>
      <c r="F15" s="237">
        <v>11139663.210000001</v>
      </c>
      <c r="G15" s="237">
        <v>10669789.42</v>
      </c>
      <c r="H15" s="237">
        <v>10643847.65</v>
      </c>
      <c r="I15" s="237">
        <v>10390532.41</v>
      </c>
      <c r="J15" s="237">
        <v>10301575.699999999</v>
      </c>
      <c r="K15" s="237">
        <v>10317483.560000001</v>
      </c>
      <c r="L15" s="237">
        <v>10296465.08</v>
      </c>
      <c r="M15" s="237">
        <v>10093638.220000001</v>
      </c>
      <c r="N15" s="232">
        <v>10320803</v>
      </c>
      <c r="O15" s="237">
        <v>10089262.68</v>
      </c>
      <c r="P15" s="237">
        <v>9616092.4100000001</v>
      </c>
      <c r="Q15" s="237">
        <v>10164982.560000001</v>
      </c>
      <c r="R15" s="237">
        <v>10161600.57</v>
      </c>
      <c r="S15" s="237">
        <v>10188654.630000001</v>
      </c>
      <c r="T15" s="237">
        <v>10246206</v>
      </c>
      <c r="U15" s="237">
        <v>10425851.99</v>
      </c>
      <c r="V15" s="237">
        <v>10400117.74</v>
      </c>
      <c r="W15" s="237">
        <v>10426581.65</v>
      </c>
      <c r="X15" s="237">
        <v>9837821.2699999996</v>
      </c>
      <c r="Y15" s="237">
        <v>8705526.4199999999</v>
      </c>
      <c r="Z15" s="237">
        <v>8427355.75</v>
      </c>
      <c r="AA15" s="237">
        <v>8427355.75</v>
      </c>
      <c r="AB15" s="256">
        <v>8401659.3300000001</v>
      </c>
      <c r="AC15" s="258">
        <v>8445750.8200000003</v>
      </c>
      <c r="AD15" s="258">
        <v>8526110.4800000004</v>
      </c>
      <c r="AE15" s="258">
        <v>8594309.4600000009</v>
      </c>
      <c r="AF15" s="256">
        <v>8525452.3900000006</v>
      </c>
      <c r="AG15" s="256">
        <v>8855031.3200000003</v>
      </c>
      <c r="AH15" s="256">
        <v>8502500.4700000007</v>
      </c>
      <c r="AI15" s="295">
        <v>8417397.1999999993</v>
      </c>
      <c r="AJ15" s="297">
        <v>8749466.4499999993</v>
      </c>
    </row>
    <row r="16" spans="1:38" s="105" customFormat="1" ht="14.1">
      <c r="A16" s="103" t="s">
        <v>28</v>
      </c>
      <c r="B16" s="161">
        <f t="shared" ref="B16:M16" si="4">SUM(B17:B19)</f>
        <v>0</v>
      </c>
      <c r="C16" s="161">
        <f t="shared" si="4"/>
        <v>0</v>
      </c>
      <c r="D16" s="161">
        <f t="shared" si="4"/>
        <v>0</v>
      </c>
      <c r="E16" s="161">
        <f t="shared" si="4"/>
        <v>0</v>
      </c>
      <c r="F16" s="161">
        <f t="shared" si="4"/>
        <v>0</v>
      </c>
      <c r="G16" s="161">
        <f t="shared" si="4"/>
        <v>0</v>
      </c>
      <c r="H16" s="161">
        <f t="shared" si="4"/>
        <v>0</v>
      </c>
      <c r="I16" s="161">
        <f t="shared" si="4"/>
        <v>0</v>
      </c>
      <c r="J16" s="161">
        <f t="shared" si="4"/>
        <v>0</v>
      </c>
      <c r="K16" s="161"/>
      <c r="L16" s="161">
        <f t="shared" si="4"/>
        <v>0</v>
      </c>
      <c r="M16" s="161">
        <f t="shared" si="4"/>
        <v>0</v>
      </c>
      <c r="N16" s="234"/>
      <c r="O16" s="236">
        <v>0</v>
      </c>
      <c r="P16" s="236">
        <v>0</v>
      </c>
      <c r="Q16" s="236">
        <v>0</v>
      </c>
      <c r="R16" s="236">
        <v>0</v>
      </c>
      <c r="S16" s="236">
        <v>0</v>
      </c>
      <c r="T16" s="236">
        <v>0</v>
      </c>
      <c r="U16" s="236">
        <v>0</v>
      </c>
      <c r="V16" s="236">
        <v>0</v>
      </c>
      <c r="W16" s="236">
        <v>0</v>
      </c>
      <c r="X16" s="236">
        <v>0</v>
      </c>
      <c r="Y16" s="236">
        <v>0</v>
      </c>
      <c r="Z16" s="236">
        <v>0</v>
      </c>
      <c r="AA16" s="248"/>
      <c r="AB16" s="105">
        <v>0</v>
      </c>
      <c r="AC16" s="105">
        <v>0</v>
      </c>
      <c r="AD16" s="105">
        <v>0</v>
      </c>
      <c r="AE16" s="105">
        <v>0</v>
      </c>
      <c r="AF16" s="105">
        <v>0</v>
      </c>
      <c r="AG16" s="105">
        <v>0</v>
      </c>
    </row>
    <row r="17" spans="1:38" ht="12.75">
      <c r="A17" s="110" t="s">
        <v>29</v>
      </c>
      <c r="B17" s="237">
        <v>0</v>
      </c>
      <c r="C17" s="237">
        <v>0</v>
      </c>
      <c r="D17" s="237">
        <v>0</v>
      </c>
      <c r="E17" s="237">
        <v>0</v>
      </c>
      <c r="F17" s="237">
        <v>0</v>
      </c>
      <c r="G17" s="237">
        <v>0</v>
      </c>
      <c r="H17" s="237">
        <v>0</v>
      </c>
      <c r="I17" s="237">
        <v>0</v>
      </c>
      <c r="J17" s="237">
        <v>0</v>
      </c>
      <c r="K17" s="237">
        <v>0</v>
      </c>
      <c r="L17" s="237">
        <v>0</v>
      </c>
      <c r="M17" s="237">
        <v>0</v>
      </c>
      <c r="N17" s="232"/>
      <c r="O17" s="237">
        <v>0</v>
      </c>
      <c r="P17" s="237">
        <v>0</v>
      </c>
      <c r="Q17" s="237">
        <v>0</v>
      </c>
      <c r="R17" s="237">
        <v>0</v>
      </c>
      <c r="S17" s="237">
        <v>0</v>
      </c>
      <c r="T17" s="237">
        <v>0</v>
      </c>
      <c r="U17" s="237">
        <v>0</v>
      </c>
      <c r="V17" s="237">
        <v>0</v>
      </c>
      <c r="W17" s="237">
        <v>0</v>
      </c>
      <c r="X17" s="237">
        <v>0</v>
      </c>
      <c r="Y17" s="237">
        <v>0</v>
      </c>
      <c r="Z17" s="237">
        <v>0</v>
      </c>
      <c r="AB17" s="251">
        <v>0</v>
      </c>
      <c r="AC17" s="253">
        <v>0</v>
      </c>
      <c r="AD17" s="253">
        <v>0</v>
      </c>
      <c r="AE17" s="253">
        <v>0</v>
      </c>
      <c r="AF17" s="251">
        <v>0</v>
      </c>
      <c r="AG17" s="251">
        <v>0</v>
      </c>
      <c r="AH17" s="251">
        <v>0</v>
      </c>
      <c r="AI17" s="290">
        <v>0</v>
      </c>
      <c r="AJ17" s="292">
        <v>0</v>
      </c>
    </row>
    <row r="18" spans="1:38" ht="12.75">
      <c r="A18" s="110" t="s">
        <v>30</v>
      </c>
      <c r="B18" s="237">
        <v>0</v>
      </c>
      <c r="C18" s="237">
        <v>0</v>
      </c>
      <c r="D18" s="237">
        <v>0</v>
      </c>
      <c r="E18" s="237">
        <v>0</v>
      </c>
      <c r="F18" s="237">
        <v>0</v>
      </c>
      <c r="G18" s="237">
        <v>0</v>
      </c>
      <c r="H18" s="237">
        <v>0</v>
      </c>
      <c r="I18" s="237">
        <v>0</v>
      </c>
      <c r="J18" s="237">
        <v>0</v>
      </c>
      <c r="K18" s="237">
        <v>0</v>
      </c>
      <c r="L18" s="237">
        <v>0</v>
      </c>
      <c r="M18" s="237">
        <v>0</v>
      </c>
      <c r="N18" s="232"/>
      <c r="O18" s="237">
        <v>0</v>
      </c>
      <c r="P18" s="237">
        <v>0</v>
      </c>
      <c r="Q18" s="237">
        <v>0</v>
      </c>
      <c r="R18" s="237">
        <v>0</v>
      </c>
      <c r="S18" s="237">
        <v>0</v>
      </c>
      <c r="T18" s="237">
        <v>0</v>
      </c>
      <c r="U18" s="237">
        <v>0</v>
      </c>
      <c r="V18" s="237">
        <v>0</v>
      </c>
      <c r="W18" s="237">
        <v>0</v>
      </c>
      <c r="X18" s="237">
        <v>0</v>
      </c>
      <c r="Y18" s="237">
        <v>0</v>
      </c>
      <c r="Z18" s="237">
        <v>0</v>
      </c>
      <c r="AB18" s="255">
        <v>0</v>
      </c>
      <c r="AC18" s="257">
        <v>0</v>
      </c>
      <c r="AD18" s="257">
        <v>0</v>
      </c>
      <c r="AE18" s="257">
        <v>0</v>
      </c>
      <c r="AF18" s="255">
        <v>0</v>
      </c>
      <c r="AG18" s="255">
        <v>0</v>
      </c>
      <c r="AH18" s="255">
        <v>0</v>
      </c>
      <c r="AI18" s="294">
        <v>0</v>
      </c>
      <c r="AJ18" s="296">
        <v>0</v>
      </c>
    </row>
    <row r="19" spans="1:38" ht="12.75">
      <c r="A19" s="110" t="s">
        <v>31</v>
      </c>
      <c r="B19" s="237">
        <v>0</v>
      </c>
      <c r="C19" s="237">
        <v>0</v>
      </c>
      <c r="D19" s="237">
        <v>0</v>
      </c>
      <c r="E19" s="237">
        <v>0</v>
      </c>
      <c r="F19" s="237">
        <v>0</v>
      </c>
      <c r="G19" s="237">
        <v>0</v>
      </c>
      <c r="H19" s="237">
        <v>0</v>
      </c>
      <c r="I19" s="237">
        <v>0</v>
      </c>
      <c r="J19" s="237">
        <v>0</v>
      </c>
      <c r="K19" s="237">
        <v>0</v>
      </c>
      <c r="L19" s="237">
        <v>0</v>
      </c>
      <c r="M19" s="237">
        <v>0</v>
      </c>
      <c r="N19" s="232"/>
      <c r="O19" s="237">
        <v>0</v>
      </c>
      <c r="P19" s="237">
        <v>0</v>
      </c>
      <c r="Q19" s="237">
        <v>0</v>
      </c>
      <c r="R19" s="237">
        <v>0</v>
      </c>
      <c r="S19" s="237">
        <v>0</v>
      </c>
      <c r="T19" s="237">
        <v>0</v>
      </c>
      <c r="U19" s="237">
        <v>0</v>
      </c>
      <c r="V19" s="237">
        <v>0</v>
      </c>
      <c r="W19" s="237">
        <v>0</v>
      </c>
      <c r="X19" s="237">
        <v>0</v>
      </c>
      <c r="Y19" s="237">
        <v>0</v>
      </c>
      <c r="Z19" s="237">
        <v>0</v>
      </c>
      <c r="AB19" s="255">
        <v>0</v>
      </c>
      <c r="AC19" s="257">
        <v>0</v>
      </c>
      <c r="AD19" s="257">
        <v>0</v>
      </c>
      <c r="AE19" s="257">
        <v>0</v>
      </c>
      <c r="AF19" s="255">
        <v>0</v>
      </c>
      <c r="AG19" s="255">
        <v>0</v>
      </c>
      <c r="AH19" s="255">
        <v>0</v>
      </c>
      <c r="AI19" s="294">
        <v>0</v>
      </c>
      <c r="AJ19" s="296">
        <v>0</v>
      </c>
    </row>
    <row r="20" spans="1:38" s="105" customFormat="1" ht="14.25">
      <c r="A20" s="103" t="s">
        <v>32</v>
      </c>
      <c r="B20" s="161">
        <f t="shared" ref="B20:AL20" si="5">SUM(B21:B25)</f>
        <v>6676533.7400000002</v>
      </c>
      <c r="C20" s="161">
        <f t="shared" si="5"/>
        <v>6668047.04</v>
      </c>
      <c r="D20" s="161">
        <f t="shared" si="5"/>
        <v>7659560.3399999999</v>
      </c>
      <c r="E20" s="161">
        <f t="shared" si="5"/>
        <v>7651073.6400000006</v>
      </c>
      <c r="F20" s="161">
        <f t="shared" si="5"/>
        <v>8242450.0700000003</v>
      </c>
      <c r="G20" s="161">
        <f t="shared" si="5"/>
        <v>8233963.3700000001</v>
      </c>
      <c r="H20" s="161">
        <f t="shared" si="5"/>
        <v>8225476.6699999999</v>
      </c>
      <c r="I20" s="161">
        <f t="shared" si="5"/>
        <v>8216989.9699999997</v>
      </c>
      <c r="J20" s="161">
        <f t="shared" si="5"/>
        <v>8208503.2700000005</v>
      </c>
      <c r="K20" s="161">
        <f t="shared" si="5"/>
        <v>8550016.5700000003</v>
      </c>
      <c r="L20" s="161">
        <f t="shared" si="5"/>
        <v>8541529.8699999992</v>
      </c>
      <c r="M20" s="161">
        <f t="shared" si="5"/>
        <v>8533043.1699999999</v>
      </c>
      <c r="N20" s="161">
        <f t="shared" si="5"/>
        <v>8344706</v>
      </c>
      <c r="O20" s="161">
        <f t="shared" si="5"/>
        <v>8568391.0899999999</v>
      </c>
      <c r="P20" s="161">
        <f t="shared" si="5"/>
        <v>8561959.540000001</v>
      </c>
      <c r="Q20" s="161">
        <f t="shared" si="5"/>
        <v>8623659.540000001</v>
      </c>
      <c r="R20" s="161">
        <f t="shared" si="5"/>
        <v>8617296.4399999995</v>
      </c>
      <c r="S20" s="161">
        <f t="shared" si="5"/>
        <v>8610864.8900000006</v>
      </c>
      <c r="T20" s="161">
        <f t="shared" si="5"/>
        <v>8606433.3399999999</v>
      </c>
      <c r="U20" s="161">
        <f t="shared" si="5"/>
        <v>9825715.120000001</v>
      </c>
      <c r="V20" s="161">
        <f t="shared" si="5"/>
        <v>9821777.9000000004</v>
      </c>
      <c r="W20" s="161">
        <f t="shared" si="5"/>
        <v>9795159.6800000016</v>
      </c>
      <c r="X20" s="161">
        <f t="shared" si="5"/>
        <v>9799541.4600000009</v>
      </c>
      <c r="Y20" s="161">
        <f t="shared" si="5"/>
        <v>9784623.2400000002</v>
      </c>
      <c r="Z20" s="161">
        <f t="shared" si="5"/>
        <v>8808005.0200000014</v>
      </c>
      <c r="AA20" s="161">
        <f t="shared" si="5"/>
        <v>8522208</v>
      </c>
      <c r="AB20" s="161">
        <f t="shared" si="5"/>
        <v>8780869.0500000007</v>
      </c>
      <c r="AC20" s="161">
        <f t="shared" si="5"/>
        <v>8758290.0800000001</v>
      </c>
      <c r="AD20" s="161">
        <f t="shared" si="5"/>
        <v>8731154.1100000013</v>
      </c>
      <c r="AE20" s="161">
        <f t="shared" si="5"/>
        <v>8704018.1400000006</v>
      </c>
      <c r="AF20" s="161">
        <f t="shared" si="5"/>
        <v>9756882.1700000018</v>
      </c>
      <c r="AG20" s="161">
        <f t="shared" si="5"/>
        <v>9741146.2000000011</v>
      </c>
      <c r="AH20" s="161">
        <f t="shared" si="5"/>
        <v>9714010.2300000023</v>
      </c>
      <c r="AI20" s="161">
        <f t="shared" si="5"/>
        <v>9686874.2599999998</v>
      </c>
      <c r="AJ20" s="161">
        <f t="shared" si="5"/>
        <v>9676918.290000001</v>
      </c>
      <c r="AK20" s="161">
        <f t="shared" si="5"/>
        <v>0</v>
      </c>
      <c r="AL20" s="161">
        <f t="shared" si="5"/>
        <v>0</v>
      </c>
    </row>
    <row r="21" spans="1:38" ht="14.25">
      <c r="A21" s="110" t="s">
        <v>33</v>
      </c>
      <c r="B21" s="237">
        <v>5950000</v>
      </c>
      <c r="C21" s="237">
        <v>5950000</v>
      </c>
      <c r="D21" s="237">
        <v>6950000</v>
      </c>
      <c r="E21" s="237">
        <v>6950000</v>
      </c>
      <c r="F21" s="237">
        <v>7600000</v>
      </c>
      <c r="G21" s="237">
        <v>7600000</v>
      </c>
      <c r="H21" s="237">
        <v>7600000</v>
      </c>
      <c r="I21" s="237">
        <v>7600000</v>
      </c>
      <c r="J21" s="237">
        <v>7600000</v>
      </c>
      <c r="K21" s="237">
        <v>7950000</v>
      </c>
      <c r="L21" s="237">
        <v>7950000</v>
      </c>
      <c r="M21" s="237">
        <v>7950000</v>
      </c>
      <c r="N21" s="232">
        <v>7950000</v>
      </c>
      <c r="O21" s="237">
        <v>7950000</v>
      </c>
      <c r="P21" s="237">
        <v>7950000</v>
      </c>
      <c r="Q21" s="237">
        <v>7950000</v>
      </c>
      <c r="R21" s="237">
        <v>7950000</v>
      </c>
      <c r="S21" s="237">
        <v>7950000</v>
      </c>
      <c r="T21" s="237">
        <v>7950000</v>
      </c>
      <c r="U21" s="237">
        <v>7950000</v>
      </c>
      <c r="V21" s="237">
        <v>7950000</v>
      </c>
      <c r="W21" s="237">
        <v>7950000</v>
      </c>
      <c r="X21" s="237">
        <v>7950000</v>
      </c>
      <c r="Y21" s="237">
        <v>7950000</v>
      </c>
      <c r="Z21" s="237">
        <v>7000000</v>
      </c>
      <c r="AA21" s="243">
        <v>7000000</v>
      </c>
      <c r="AB21" s="252">
        <v>7000000</v>
      </c>
      <c r="AC21" s="254">
        <v>7000000</v>
      </c>
      <c r="AD21" s="254">
        <v>7000000</v>
      </c>
      <c r="AE21" s="254">
        <v>7000000</v>
      </c>
      <c r="AF21" s="252">
        <v>8080000</v>
      </c>
      <c r="AG21" s="252">
        <v>8080000</v>
      </c>
      <c r="AH21" s="252">
        <v>8080000</v>
      </c>
      <c r="AI21" s="291">
        <v>8080000</v>
      </c>
      <c r="AJ21" s="293">
        <v>8080000</v>
      </c>
    </row>
    <row r="22" spans="1:38" ht="14.25">
      <c r="A22" s="110" t="s">
        <v>34</v>
      </c>
      <c r="B22" s="237">
        <v>488059.71</v>
      </c>
      <c r="C22" s="237">
        <v>479573.01</v>
      </c>
      <c r="D22" s="237">
        <v>471086.31</v>
      </c>
      <c r="E22" s="237">
        <v>462599.61</v>
      </c>
      <c r="F22" s="237">
        <v>454112.91</v>
      </c>
      <c r="G22" s="237">
        <v>445626.21</v>
      </c>
      <c r="H22" s="237">
        <v>437139.51</v>
      </c>
      <c r="I22" s="237">
        <v>428652.81</v>
      </c>
      <c r="J22" s="237">
        <v>420166.11</v>
      </c>
      <c r="K22" s="237">
        <v>411679.41</v>
      </c>
      <c r="L22" s="237">
        <v>403192.71</v>
      </c>
      <c r="M22" s="237">
        <v>394706.01</v>
      </c>
      <c r="N22" s="232">
        <v>394706</v>
      </c>
      <c r="O22" s="237">
        <v>388274.46</v>
      </c>
      <c r="P22" s="237">
        <v>381842.91</v>
      </c>
      <c r="Q22" s="237">
        <v>443542.91</v>
      </c>
      <c r="R22" s="237">
        <v>437179.81</v>
      </c>
      <c r="S22" s="237">
        <v>430748.26</v>
      </c>
      <c r="T22" s="237">
        <v>424316.71</v>
      </c>
      <c r="U22" s="237">
        <v>452585.16</v>
      </c>
      <c r="V22" s="237">
        <v>446153.61</v>
      </c>
      <c r="W22" s="237">
        <v>439722.06</v>
      </c>
      <c r="X22" s="237">
        <v>433290.51</v>
      </c>
      <c r="Y22" s="237">
        <v>438558.96</v>
      </c>
      <c r="Z22" s="237">
        <v>432127.41</v>
      </c>
      <c r="AA22" s="243">
        <v>432128</v>
      </c>
      <c r="AB22" s="256">
        <v>425178.11</v>
      </c>
      <c r="AC22" s="258">
        <v>418228.81</v>
      </c>
      <c r="AD22" s="258">
        <v>411279.51</v>
      </c>
      <c r="AE22" s="258">
        <v>404330.21</v>
      </c>
      <c r="AF22" s="256">
        <v>397380.91</v>
      </c>
      <c r="AG22" s="256">
        <v>401831.61</v>
      </c>
      <c r="AH22" s="256">
        <v>394882.31</v>
      </c>
      <c r="AI22" s="295">
        <v>387933.01</v>
      </c>
      <c r="AJ22" s="297">
        <v>387983.71</v>
      </c>
    </row>
    <row r="23" spans="1:38" ht="12.75">
      <c r="A23" s="110" t="s">
        <v>35</v>
      </c>
      <c r="B23" s="237">
        <v>0</v>
      </c>
      <c r="C23" s="237">
        <v>0</v>
      </c>
      <c r="D23" s="237">
        <v>0</v>
      </c>
      <c r="E23" s="237">
        <v>0</v>
      </c>
      <c r="F23" s="237">
        <v>0</v>
      </c>
      <c r="G23" s="237">
        <v>0</v>
      </c>
      <c r="H23" s="237">
        <v>0</v>
      </c>
      <c r="I23" s="237">
        <v>0</v>
      </c>
      <c r="J23" s="237">
        <v>0</v>
      </c>
      <c r="K23" s="237">
        <v>0</v>
      </c>
      <c r="L23" s="237">
        <v>0</v>
      </c>
      <c r="M23" s="237">
        <v>0</v>
      </c>
      <c r="N23" s="232"/>
      <c r="O23" s="237">
        <v>0</v>
      </c>
      <c r="P23" s="237">
        <v>0</v>
      </c>
      <c r="Q23" s="237">
        <v>0</v>
      </c>
      <c r="R23" s="237">
        <v>0</v>
      </c>
      <c r="S23" s="237">
        <v>0</v>
      </c>
      <c r="T23" s="237">
        <v>0</v>
      </c>
      <c r="U23" s="237">
        <v>0</v>
      </c>
      <c r="V23" s="237">
        <v>0</v>
      </c>
      <c r="W23" s="237">
        <v>0</v>
      </c>
      <c r="X23" s="237">
        <v>0</v>
      </c>
      <c r="Y23" s="237">
        <v>0</v>
      </c>
      <c r="Z23" s="237">
        <v>0</v>
      </c>
      <c r="AB23" s="255">
        <v>0</v>
      </c>
      <c r="AC23" s="257">
        <v>0</v>
      </c>
      <c r="AD23" s="257">
        <v>0</v>
      </c>
      <c r="AE23" s="257">
        <v>0</v>
      </c>
      <c r="AF23" s="255">
        <v>0</v>
      </c>
      <c r="AG23" s="255">
        <v>0</v>
      </c>
      <c r="AH23" s="255">
        <v>0</v>
      </c>
      <c r="AI23" s="294">
        <v>0</v>
      </c>
      <c r="AJ23" s="296">
        <v>0</v>
      </c>
    </row>
    <row r="24" spans="1:38" ht="14.25">
      <c r="A24" s="110" t="s">
        <v>36</v>
      </c>
      <c r="B24" s="237">
        <v>0</v>
      </c>
      <c r="C24" s="237">
        <v>0</v>
      </c>
      <c r="D24" s="237">
        <v>0</v>
      </c>
      <c r="E24" s="237">
        <v>0</v>
      </c>
      <c r="F24" s="237">
        <v>0</v>
      </c>
      <c r="G24" s="237">
        <v>0</v>
      </c>
      <c r="H24" s="237">
        <v>0</v>
      </c>
      <c r="I24" s="237">
        <v>0</v>
      </c>
      <c r="J24" s="237">
        <v>0</v>
      </c>
      <c r="K24" s="237">
        <v>0</v>
      </c>
      <c r="L24" s="237">
        <v>0</v>
      </c>
      <c r="M24" s="237">
        <v>0</v>
      </c>
      <c r="N24" s="232"/>
      <c r="O24" s="237">
        <v>0</v>
      </c>
      <c r="P24" s="237">
        <v>0</v>
      </c>
      <c r="Q24" s="237">
        <v>0</v>
      </c>
      <c r="R24" s="237">
        <v>0</v>
      </c>
      <c r="S24" s="237">
        <v>0</v>
      </c>
      <c r="T24" s="237">
        <v>0</v>
      </c>
      <c r="U24" s="237">
        <v>1191013.33</v>
      </c>
      <c r="V24" s="237">
        <v>1170826.6599999999</v>
      </c>
      <c r="W24" s="237">
        <v>1150639.99</v>
      </c>
      <c r="X24" s="237">
        <v>1130453.32</v>
      </c>
      <c r="Y24" s="237">
        <v>1110266.6499999999</v>
      </c>
      <c r="Z24" s="237">
        <v>1090079.98</v>
      </c>
      <c r="AA24" s="243">
        <v>1090080</v>
      </c>
      <c r="AB24" s="256">
        <v>1069893.31</v>
      </c>
      <c r="AC24" s="258">
        <v>1049706.6399999999</v>
      </c>
      <c r="AD24" s="258">
        <v>1029519.97</v>
      </c>
      <c r="AE24" s="258">
        <v>1009333.3</v>
      </c>
      <c r="AF24" s="256">
        <v>989146.63</v>
      </c>
      <c r="AG24" s="256">
        <v>968959.96</v>
      </c>
      <c r="AH24" s="256">
        <v>948773.29</v>
      </c>
      <c r="AI24" s="295">
        <v>928586.62</v>
      </c>
      <c r="AJ24" s="297">
        <v>908399.95</v>
      </c>
    </row>
    <row r="25" spans="1:38" ht="12.75">
      <c r="A25" s="110" t="s">
        <v>37</v>
      </c>
      <c r="B25" s="237">
        <v>238474.03</v>
      </c>
      <c r="C25" s="237">
        <v>238474.03</v>
      </c>
      <c r="D25" s="237">
        <v>238474.03</v>
      </c>
      <c r="E25" s="237">
        <v>238474.03</v>
      </c>
      <c r="F25" s="237">
        <v>188337.16</v>
      </c>
      <c r="G25" s="237">
        <v>188337.16</v>
      </c>
      <c r="H25" s="237">
        <v>188337.16</v>
      </c>
      <c r="I25" s="237">
        <v>188337.16</v>
      </c>
      <c r="J25" s="237">
        <v>188337.16</v>
      </c>
      <c r="K25" s="237">
        <v>188337.16</v>
      </c>
      <c r="L25" s="237">
        <v>188337.16</v>
      </c>
      <c r="M25" s="237">
        <v>188337.16</v>
      </c>
      <c r="N25" s="232"/>
      <c r="O25" s="237">
        <v>230116.63</v>
      </c>
      <c r="P25" s="237">
        <v>230116.63</v>
      </c>
      <c r="Q25" s="237">
        <v>230116.63</v>
      </c>
      <c r="R25" s="237">
        <v>230116.63</v>
      </c>
      <c r="S25" s="237">
        <v>230116.63</v>
      </c>
      <c r="T25" s="237">
        <v>232116.63</v>
      </c>
      <c r="U25" s="237">
        <v>232116.63</v>
      </c>
      <c r="V25" s="237">
        <v>254797.63</v>
      </c>
      <c r="W25" s="237">
        <v>254797.63</v>
      </c>
      <c r="X25" s="237">
        <v>285797.63</v>
      </c>
      <c r="Y25" s="237">
        <v>285797.63</v>
      </c>
      <c r="Z25" s="237">
        <v>285797.63</v>
      </c>
      <c r="AB25" s="256">
        <v>285797.63</v>
      </c>
      <c r="AC25" s="258">
        <v>290354.63</v>
      </c>
      <c r="AD25" s="258">
        <v>290354.63</v>
      </c>
      <c r="AE25" s="258">
        <v>290354.63</v>
      </c>
      <c r="AF25" s="256">
        <v>290354.63</v>
      </c>
      <c r="AG25" s="256">
        <v>290354.63</v>
      </c>
      <c r="AH25" s="256">
        <v>290354.63</v>
      </c>
      <c r="AI25" s="295">
        <v>290354.63</v>
      </c>
      <c r="AJ25" s="297">
        <v>300534.63</v>
      </c>
    </row>
    <row r="26" spans="1:38" s="105" customFormat="1" ht="14.25">
      <c r="A26" s="103" t="s">
        <v>38</v>
      </c>
      <c r="B26" s="161">
        <f t="shared" ref="B26:AL26" si="6">SUM(B4,B7,B8,B13,B16,B20)</f>
        <v>63147089.009999998</v>
      </c>
      <c r="C26" s="161">
        <f t="shared" si="6"/>
        <v>63013382.780000001</v>
      </c>
      <c r="D26" s="161">
        <f t="shared" si="6"/>
        <v>63197519.299999997</v>
      </c>
      <c r="E26" s="161">
        <f t="shared" si="6"/>
        <v>61811011.640000001</v>
      </c>
      <c r="F26" s="161">
        <f t="shared" si="6"/>
        <v>62923133.219999999</v>
      </c>
      <c r="G26" s="161">
        <f t="shared" si="6"/>
        <v>62987844.099999994</v>
      </c>
      <c r="H26" s="161">
        <f t="shared" si="6"/>
        <v>63480207.609999999</v>
      </c>
      <c r="I26" s="161">
        <f t="shared" si="6"/>
        <v>64044839.659999996</v>
      </c>
      <c r="J26" s="161">
        <f t="shared" si="6"/>
        <v>64498603.979999997</v>
      </c>
      <c r="K26" s="161">
        <f t="shared" si="6"/>
        <v>65135639.350000001</v>
      </c>
      <c r="L26" s="161">
        <f t="shared" si="6"/>
        <v>65908239.969999999</v>
      </c>
      <c r="M26" s="161">
        <f t="shared" si="6"/>
        <v>66204049.890000008</v>
      </c>
      <c r="N26" s="161">
        <f t="shared" si="6"/>
        <v>66045912</v>
      </c>
      <c r="O26" s="161">
        <f t="shared" si="6"/>
        <v>65870789.010000005</v>
      </c>
      <c r="P26" s="161">
        <f t="shared" si="6"/>
        <v>66941575.409999989</v>
      </c>
      <c r="Q26" s="161">
        <f t="shared" si="6"/>
        <v>67151638.38000001</v>
      </c>
      <c r="R26" s="161">
        <f t="shared" si="6"/>
        <v>68169267.040000007</v>
      </c>
      <c r="S26" s="161">
        <f t="shared" si="6"/>
        <v>67728528.939999998</v>
      </c>
      <c r="T26" s="161">
        <f t="shared" si="6"/>
        <v>67726550.060000002</v>
      </c>
      <c r="U26" s="161">
        <f t="shared" si="6"/>
        <v>69261409.359999999</v>
      </c>
      <c r="V26" s="161">
        <f t="shared" si="6"/>
        <v>70110567.969999999</v>
      </c>
      <c r="W26" s="161">
        <f t="shared" si="6"/>
        <v>70547722.450000003</v>
      </c>
      <c r="X26" s="161">
        <f t="shared" si="6"/>
        <v>72217581.00999999</v>
      </c>
      <c r="Y26" s="161">
        <f t="shared" si="6"/>
        <v>74330117.569999993</v>
      </c>
      <c r="Z26" s="161">
        <f t="shared" si="6"/>
        <v>74476119.340000004</v>
      </c>
      <c r="AA26" s="161">
        <f t="shared" si="6"/>
        <v>74532015.25</v>
      </c>
      <c r="AB26" s="161">
        <f t="shared" si="6"/>
        <v>74825876.030000001</v>
      </c>
      <c r="AC26" s="161">
        <f t="shared" si="6"/>
        <v>75083720.280000001</v>
      </c>
      <c r="AD26" s="161">
        <f t="shared" si="6"/>
        <v>75676058.860000014</v>
      </c>
      <c r="AE26" s="161">
        <f t="shared" si="6"/>
        <v>74734138.310000002</v>
      </c>
      <c r="AF26" s="161">
        <f t="shared" si="6"/>
        <v>75132989.590000004</v>
      </c>
      <c r="AG26" s="161">
        <f t="shared" si="6"/>
        <v>75360726.799999997</v>
      </c>
      <c r="AH26" s="161">
        <f t="shared" si="6"/>
        <v>76297290.140000001</v>
      </c>
      <c r="AI26" s="161">
        <f t="shared" si="6"/>
        <v>77730794.330000013</v>
      </c>
      <c r="AJ26" s="161">
        <f t="shared" si="6"/>
        <v>77572130.520000011</v>
      </c>
      <c r="AK26" s="161">
        <f t="shared" si="6"/>
        <v>0</v>
      </c>
      <c r="AL26" s="161">
        <f t="shared" si="6"/>
        <v>0</v>
      </c>
    </row>
    <row r="27" spans="1:38" ht="24">
      <c r="A27" s="110" t="s">
        <v>39</v>
      </c>
      <c r="B27" s="237">
        <v>4599353.49</v>
      </c>
      <c r="C27" s="237">
        <v>4238526.6900000004</v>
      </c>
      <c r="D27" s="237">
        <v>4146261.19</v>
      </c>
      <c r="E27" s="237">
        <v>3817660.7</v>
      </c>
      <c r="F27" s="237">
        <v>4514703.71</v>
      </c>
      <c r="G27" s="237">
        <v>3756857.41</v>
      </c>
      <c r="H27" s="237">
        <v>3617001.09</v>
      </c>
      <c r="I27" s="237">
        <v>3856212.5</v>
      </c>
      <c r="J27" s="237">
        <v>3925535.68</v>
      </c>
      <c r="K27" s="237">
        <v>4119820.3</v>
      </c>
      <c r="L27" s="237">
        <v>4587062.83</v>
      </c>
      <c r="M27" s="237">
        <v>4653140.76</v>
      </c>
      <c r="N27" s="232">
        <v>4653141</v>
      </c>
      <c r="O27" s="237">
        <v>3935431.54</v>
      </c>
      <c r="P27" s="237">
        <v>3849470.59</v>
      </c>
      <c r="Q27" s="237">
        <v>4423456.32</v>
      </c>
      <c r="R27" s="237">
        <v>4175564.27</v>
      </c>
      <c r="S27" s="237">
        <v>4110530.6</v>
      </c>
      <c r="T27" s="237">
        <v>4369860.22</v>
      </c>
      <c r="U27" s="237">
        <v>4329166.5999999996</v>
      </c>
      <c r="V27" s="237">
        <v>4426303.47</v>
      </c>
      <c r="W27" s="237">
        <v>4392049.33</v>
      </c>
      <c r="X27" s="237">
        <v>4717944.6500000004</v>
      </c>
      <c r="Y27" s="237">
        <v>4982786.72</v>
      </c>
      <c r="Z27" s="237">
        <v>4229106.1900000004</v>
      </c>
      <c r="AA27" s="243">
        <v>4229106</v>
      </c>
      <c r="AB27" s="252">
        <v>4245395.5999999996</v>
      </c>
      <c r="AC27" s="254">
        <v>4513600.33</v>
      </c>
      <c r="AD27" s="254">
        <v>4424851.67</v>
      </c>
      <c r="AE27" s="254">
        <v>4536657.6399999997</v>
      </c>
      <c r="AF27" s="252">
        <v>4412550.21</v>
      </c>
      <c r="AG27" s="252">
        <v>4534392.6100000003</v>
      </c>
      <c r="AH27" s="252">
        <v>4521018.51</v>
      </c>
      <c r="AI27" s="291">
        <v>4800350.8099999996</v>
      </c>
      <c r="AJ27" s="293">
        <v>3945078.15</v>
      </c>
    </row>
    <row r="28" spans="1:38" ht="24">
      <c r="A28" s="110" t="s">
        <v>40</v>
      </c>
      <c r="B28" s="237">
        <v>1005900</v>
      </c>
      <c r="C28" s="237">
        <v>753000</v>
      </c>
      <c r="D28" s="237">
        <v>1253000</v>
      </c>
      <c r="E28" s="237">
        <v>1103000</v>
      </c>
      <c r="F28" s="237">
        <v>603000</v>
      </c>
      <c r="G28" s="237">
        <v>603000</v>
      </c>
      <c r="H28" s="237">
        <v>603000</v>
      </c>
      <c r="I28" s="237">
        <v>603000</v>
      </c>
      <c r="J28" s="237">
        <v>603000</v>
      </c>
      <c r="K28" s="237">
        <v>603000</v>
      </c>
      <c r="L28" s="237">
        <v>603000</v>
      </c>
      <c r="M28" s="237">
        <v>603000</v>
      </c>
      <c r="N28" s="232">
        <v>603000</v>
      </c>
      <c r="O28" s="237">
        <v>603000</v>
      </c>
      <c r="P28" s="237">
        <v>603000</v>
      </c>
      <c r="Q28" s="237">
        <v>603000</v>
      </c>
      <c r="R28" s="237">
        <v>783000</v>
      </c>
      <c r="S28" s="237">
        <v>1023000</v>
      </c>
      <c r="T28" s="237">
        <v>1023000</v>
      </c>
      <c r="U28" s="237">
        <v>1023000</v>
      </c>
      <c r="V28" s="237">
        <v>1023000</v>
      </c>
      <c r="W28" s="237">
        <v>1023000</v>
      </c>
      <c r="X28" s="237">
        <v>1023000</v>
      </c>
      <c r="Y28" s="237">
        <v>843000</v>
      </c>
      <c r="Z28" s="237">
        <v>903000</v>
      </c>
      <c r="AA28" s="243">
        <v>903000</v>
      </c>
      <c r="AB28" s="256">
        <v>903000</v>
      </c>
      <c r="AC28" s="258">
        <v>903000</v>
      </c>
      <c r="AD28" s="258">
        <v>903000</v>
      </c>
      <c r="AE28" s="258">
        <v>903000</v>
      </c>
      <c r="AF28" s="256">
        <v>903000</v>
      </c>
      <c r="AG28" s="256">
        <v>953000</v>
      </c>
      <c r="AH28" s="256">
        <v>953000</v>
      </c>
      <c r="AI28" s="295">
        <v>953000</v>
      </c>
      <c r="AJ28" s="297">
        <v>953000</v>
      </c>
    </row>
    <row r="29" spans="1:38" ht="24">
      <c r="A29" s="110" t="s">
        <v>41</v>
      </c>
      <c r="B29" s="237">
        <v>42639604.659999996</v>
      </c>
      <c r="C29" s="237">
        <v>42952605.18</v>
      </c>
      <c r="D29" s="237">
        <v>42653632.079999998</v>
      </c>
      <c r="E29" s="237">
        <v>42623959.109999999</v>
      </c>
      <c r="F29" s="237">
        <v>42728067.740000002</v>
      </c>
      <c r="G29" s="237">
        <v>42804787.890000001</v>
      </c>
      <c r="H29" s="237">
        <v>43115098.439999998</v>
      </c>
      <c r="I29" s="237">
        <v>43237356.689999998</v>
      </c>
      <c r="J29" s="237">
        <v>43124824.490000002</v>
      </c>
      <c r="K29" s="237">
        <v>43263702.219999999</v>
      </c>
      <c r="L29" s="237">
        <v>43301366.07</v>
      </c>
      <c r="M29" s="237">
        <v>43532508.640000001</v>
      </c>
      <c r="N29" s="232">
        <v>42324690</v>
      </c>
      <c r="O29" s="237">
        <v>43749290.479999997</v>
      </c>
      <c r="P29" s="237">
        <v>44226217.619999997</v>
      </c>
      <c r="Q29" s="237">
        <v>44596224.560000002</v>
      </c>
      <c r="R29" s="237">
        <v>45728426.43</v>
      </c>
      <c r="S29" s="237">
        <v>45636162.07</v>
      </c>
      <c r="T29" s="237">
        <v>45447393.289999999</v>
      </c>
      <c r="U29" s="237">
        <v>45938107.460000001</v>
      </c>
      <c r="V29" s="237">
        <v>46191632.789999999</v>
      </c>
      <c r="W29" s="237">
        <v>46463926.93</v>
      </c>
      <c r="X29" s="237">
        <v>46814109.659999996</v>
      </c>
      <c r="Y29" s="237">
        <v>47211861.630000003</v>
      </c>
      <c r="Z29" s="237">
        <v>47770133.170000002</v>
      </c>
      <c r="AA29" s="243">
        <v>46509568</v>
      </c>
      <c r="AB29" s="256">
        <v>47997584.640000001</v>
      </c>
      <c r="AC29" s="258">
        <v>47963376.259999998</v>
      </c>
      <c r="AD29" s="258">
        <v>48224994.789999999</v>
      </c>
      <c r="AE29" s="258">
        <v>48066329.350000001</v>
      </c>
      <c r="AF29" s="256">
        <v>48413332.090000004</v>
      </c>
      <c r="AG29" s="256">
        <v>48731864.119999997</v>
      </c>
      <c r="AH29" s="256">
        <v>49400249.539999999</v>
      </c>
      <c r="AI29" s="295">
        <v>49722132.170000002</v>
      </c>
      <c r="AJ29" s="297">
        <v>50283934.200000003</v>
      </c>
    </row>
    <row r="30" spans="1:38" s="105" customFormat="1" ht="14.25">
      <c r="A30" s="103" t="s">
        <v>42</v>
      </c>
      <c r="B30" s="161">
        <f>SUM(B27:B29)</f>
        <v>48244858.149999999</v>
      </c>
      <c r="C30" s="161">
        <f t="shared" ref="C30:N30" si="7">SUM(C27:C29)</f>
        <v>47944131.869999997</v>
      </c>
      <c r="D30" s="161">
        <f t="shared" si="7"/>
        <v>48052893.269999996</v>
      </c>
      <c r="E30" s="161">
        <f t="shared" si="7"/>
        <v>47544619.810000002</v>
      </c>
      <c r="F30" s="161">
        <f t="shared" si="7"/>
        <v>47845771.450000003</v>
      </c>
      <c r="G30" s="161">
        <f t="shared" si="7"/>
        <v>47164645.299999997</v>
      </c>
      <c r="H30" s="161">
        <f t="shared" si="7"/>
        <v>47335099.530000001</v>
      </c>
      <c r="I30" s="161">
        <f t="shared" si="7"/>
        <v>47696569.189999998</v>
      </c>
      <c r="J30" s="161">
        <f t="shared" si="7"/>
        <v>47653360.170000002</v>
      </c>
      <c r="K30" s="161">
        <f t="shared" si="7"/>
        <v>47986522.519999996</v>
      </c>
      <c r="L30" s="161">
        <f t="shared" si="7"/>
        <v>48491428.899999999</v>
      </c>
      <c r="M30" s="161">
        <f t="shared" si="7"/>
        <v>48788649.399999999</v>
      </c>
      <c r="N30" s="161">
        <f t="shared" si="7"/>
        <v>47580831</v>
      </c>
      <c r="O30" s="161">
        <f t="shared" ref="O30:Z30" si="8">SUM(O27:O29)</f>
        <v>48287722.019999996</v>
      </c>
      <c r="P30" s="161">
        <f t="shared" si="8"/>
        <v>48678688.209999993</v>
      </c>
      <c r="Q30" s="161">
        <f t="shared" si="8"/>
        <v>49622680.880000003</v>
      </c>
      <c r="R30" s="161">
        <f t="shared" si="8"/>
        <v>50686990.700000003</v>
      </c>
      <c r="S30" s="161">
        <f t="shared" si="8"/>
        <v>50769692.670000002</v>
      </c>
      <c r="T30" s="161">
        <f t="shared" si="8"/>
        <v>50840253.509999998</v>
      </c>
      <c r="U30" s="161">
        <f t="shared" si="8"/>
        <v>51290274.060000002</v>
      </c>
      <c r="V30" s="161">
        <f t="shared" si="8"/>
        <v>51640936.259999998</v>
      </c>
      <c r="W30" s="161">
        <f t="shared" si="8"/>
        <v>51878976.259999998</v>
      </c>
      <c r="X30" s="161">
        <f t="shared" si="8"/>
        <v>52555054.309999995</v>
      </c>
      <c r="Y30" s="161">
        <f t="shared" si="8"/>
        <v>53037648.350000001</v>
      </c>
      <c r="Z30" s="161">
        <f t="shared" si="8"/>
        <v>52902239.359999999</v>
      </c>
      <c r="AA30" s="161">
        <f t="shared" ref="AA30:AF30" si="9">SUM(AA27:AA29)</f>
        <v>51641674</v>
      </c>
      <c r="AB30" s="161">
        <f t="shared" si="9"/>
        <v>53145980.240000002</v>
      </c>
      <c r="AC30" s="161">
        <f t="shared" si="9"/>
        <v>53379976.589999996</v>
      </c>
      <c r="AD30" s="161">
        <f t="shared" si="9"/>
        <v>53552846.460000001</v>
      </c>
      <c r="AE30" s="161">
        <f t="shared" si="9"/>
        <v>53505986.990000002</v>
      </c>
      <c r="AF30" s="161">
        <f t="shared" si="9"/>
        <v>53728882.300000004</v>
      </c>
      <c r="AG30" s="161">
        <f t="shared" ref="AG30:AI30" si="10">SUM(AG27:AG29)</f>
        <v>54219256.729999997</v>
      </c>
      <c r="AH30" s="161">
        <f t="shared" si="10"/>
        <v>54874268.049999997</v>
      </c>
      <c r="AI30" s="161">
        <f t="shared" si="10"/>
        <v>55475482.980000004</v>
      </c>
      <c r="AJ30" s="161">
        <f t="shared" ref="AJ30:AL30" si="11">SUM(AJ27:AJ29)</f>
        <v>55182012.350000001</v>
      </c>
      <c r="AK30" s="161">
        <f t="shared" si="11"/>
        <v>0</v>
      </c>
      <c r="AL30" s="161">
        <f t="shared" si="11"/>
        <v>0</v>
      </c>
    </row>
    <row r="31" spans="1:38" s="105" customFormat="1" ht="14.25">
      <c r="A31" s="103" t="s">
        <v>43</v>
      </c>
      <c r="B31" s="164">
        <f>SUM(B32:B37)</f>
        <v>742171.29</v>
      </c>
      <c r="C31" s="164">
        <f t="shared" ref="C31:N31" si="12">SUM(C32:C37)</f>
        <v>705460.00999999989</v>
      </c>
      <c r="D31" s="164">
        <f t="shared" si="12"/>
        <v>1484749.53</v>
      </c>
      <c r="E31" s="164">
        <f t="shared" si="12"/>
        <v>1232363.0999999999</v>
      </c>
      <c r="F31" s="164">
        <f t="shared" si="12"/>
        <v>1127691.45</v>
      </c>
      <c r="G31" s="164">
        <f t="shared" si="12"/>
        <v>980421.08000000007</v>
      </c>
      <c r="H31" s="164">
        <f t="shared" si="12"/>
        <v>992968.92</v>
      </c>
      <c r="I31" s="164">
        <f t="shared" si="12"/>
        <v>533866.28999999992</v>
      </c>
      <c r="J31" s="164">
        <f t="shared" si="12"/>
        <v>547953.32999999996</v>
      </c>
      <c r="K31" s="164">
        <f t="shared" si="12"/>
        <v>541478.31999999995</v>
      </c>
      <c r="L31" s="164">
        <f t="shared" si="12"/>
        <v>538606.86</v>
      </c>
      <c r="M31" s="164">
        <f t="shared" si="12"/>
        <v>-29182.410000000003</v>
      </c>
      <c r="N31" s="164">
        <f t="shared" si="12"/>
        <v>2861188</v>
      </c>
      <c r="O31" s="164">
        <f t="shared" ref="O31:Z31" si="13">SUM(O32:O37)</f>
        <v>-44769.75</v>
      </c>
      <c r="P31" s="164">
        <f t="shared" si="13"/>
        <v>-43714.65</v>
      </c>
      <c r="Q31" s="164">
        <f t="shared" si="13"/>
        <v>1518949.79</v>
      </c>
      <c r="R31" s="164">
        <f t="shared" si="13"/>
        <v>1271679.52</v>
      </c>
      <c r="S31" s="164">
        <f t="shared" si="13"/>
        <v>715950.71</v>
      </c>
      <c r="T31" s="164">
        <f t="shared" si="13"/>
        <v>512468.37999999995</v>
      </c>
      <c r="U31" s="164">
        <f t="shared" si="13"/>
        <v>-3460.1399999999958</v>
      </c>
      <c r="V31" s="164">
        <f t="shared" si="13"/>
        <v>3875.9799999999959</v>
      </c>
      <c r="W31" s="164">
        <f t="shared" si="13"/>
        <v>4579.4100000000035</v>
      </c>
      <c r="X31" s="164">
        <f t="shared" si="13"/>
        <v>3376.7200000000012</v>
      </c>
      <c r="Y31" s="164">
        <f t="shared" si="13"/>
        <v>-17094.57</v>
      </c>
      <c r="Z31" s="164">
        <f t="shared" si="13"/>
        <v>-22817.079999999998</v>
      </c>
      <c r="AA31" s="164">
        <f t="shared" ref="AA31:AF31" si="14">SUM(AA32:AA37)</f>
        <v>3539652</v>
      </c>
      <c r="AB31" s="164">
        <f t="shared" si="14"/>
        <v>-10881.2</v>
      </c>
      <c r="AC31" s="164">
        <f t="shared" si="14"/>
        <v>1166.6899999999987</v>
      </c>
      <c r="AD31" s="164">
        <f t="shared" si="14"/>
        <v>2196595.79</v>
      </c>
      <c r="AE31" s="164">
        <f t="shared" si="14"/>
        <v>1240425.9899999998</v>
      </c>
      <c r="AF31" s="164">
        <f t="shared" si="14"/>
        <v>883105</v>
      </c>
      <c r="AG31" s="164">
        <f t="shared" ref="AG31:AI31" si="15">SUM(AG32:AG37)</f>
        <v>773909.88</v>
      </c>
      <c r="AH31" s="164">
        <f t="shared" si="15"/>
        <v>53881.1</v>
      </c>
      <c r="AI31" s="164">
        <f t="shared" si="15"/>
        <v>68111.62</v>
      </c>
      <c r="AJ31" s="164">
        <f t="shared" ref="AJ31:AL31" si="16">SUM(AJ32:AJ37)</f>
        <v>63325.619999999995</v>
      </c>
      <c r="AK31" s="164">
        <f t="shared" si="16"/>
        <v>0</v>
      </c>
      <c r="AL31" s="164">
        <f t="shared" si="16"/>
        <v>0</v>
      </c>
    </row>
    <row r="32" spans="1:38" ht="14.25">
      <c r="A32" s="110" t="s">
        <v>44</v>
      </c>
      <c r="B32" s="237">
        <v>39429.760000000002</v>
      </c>
      <c r="C32" s="237">
        <v>40557.71</v>
      </c>
      <c r="D32" s="237">
        <v>60576.9</v>
      </c>
      <c r="E32" s="237">
        <v>-14576.36</v>
      </c>
      <c r="F32" s="237">
        <v>5441.82</v>
      </c>
      <c r="G32" s="237">
        <v>7521.93</v>
      </c>
      <c r="H32" s="237">
        <v>20830.669999999998</v>
      </c>
      <c r="I32" s="237">
        <v>7701.33</v>
      </c>
      <c r="J32" s="237">
        <v>20198.52</v>
      </c>
      <c r="K32" s="237">
        <v>16843.419999999998</v>
      </c>
      <c r="L32" s="237">
        <v>13565.9</v>
      </c>
      <c r="M32" s="237">
        <v>16787.32</v>
      </c>
      <c r="N32" s="232">
        <v>39290</v>
      </c>
      <c r="O32" s="237">
        <v>0</v>
      </c>
      <c r="P32" s="237">
        <v>0</v>
      </c>
      <c r="Q32" s="237">
        <v>1477066</v>
      </c>
      <c r="R32" s="237">
        <v>1229024.73</v>
      </c>
      <c r="S32" s="237">
        <v>735146.25</v>
      </c>
      <c r="T32" s="237">
        <v>541793.71</v>
      </c>
      <c r="U32" s="237">
        <v>32750.63</v>
      </c>
      <c r="V32" s="237">
        <v>40642.129999999997</v>
      </c>
      <c r="W32" s="237">
        <v>41449.75</v>
      </c>
      <c r="X32" s="237">
        <v>40167.06</v>
      </c>
      <c r="Y32" s="237">
        <v>14488.2</v>
      </c>
      <c r="Z32" s="237">
        <v>10880.66</v>
      </c>
      <c r="AA32" s="243">
        <v>52697</v>
      </c>
      <c r="AB32" s="252">
        <v>4910.8</v>
      </c>
      <c r="AC32" s="254">
        <v>15734.69</v>
      </c>
      <c r="AD32" s="254">
        <v>78636.05</v>
      </c>
      <c r="AE32" s="254">
        <v>9004.67</v>
      </c>
      <c r="AF32" s="252">
        <v>26459.62</v>
      </c>
      <c r="AG32" s="273">
        <v>-4591.78</v>
      </c>
      <c r="AH32" s="252">
        <v>1544.73</v>
      </c>
      <c r="AI32" s="291">
        <v>8179.03</v>
      </c>
      <c r="AJ32" s="293">
        <v>5590.45</v>
      </c>
    </row>
    <row r="33" spans="1:38" ht="12.75">
      <c r="A33" s="110" t="s">
        <v>45</v>
      </c>
      <c r="B33" s="237">
        <v>742848.18</v>
      </c>
      <c r="C33" s="237">
        <v>745699.95</v>
      </c>
      <c r="D33" s="237">
        <v>1368787.28</v>
      </c>
      <c r="E33" s="237">
        <v>1274202.27</v>
      </c>
      <c r="F33" s="237">
        <v>1150551.8799999999</v>
      </c>
      <c r="G33" s="237">
        <v>1014630.37</v>
      </c>
      <c r="H33" s="237">
        <v>1012189.49</v>
      </c>
      <c r="I33" s="237">
        <v>568796.18999999994</v>
      </c>
      <c r="J33" s="237">
        <v>568796.18999999994</v>
      </c>
      <c r="K33" s="237">
        <v>568796.18999999994</v>
      </c>
      <c r="L33" s="237">
        <v>568796.18999999994</v>
      </c>
      <c r="M33" s="237">
        <v>0</v>
      </c>
      <c r="N33" s="232">
        <v>846494</v>
      </c>
      <c r="O33" s="237">
        <v>0</v>
      </c>
      <c r="P33" s="237">
        <v>0</v>
      </c>
      <c r="Q33" s="237">
        <v>0</v>
      </c>
      <c r="R33" s="237">
        <v>0</v>
      </c>
      <c r="S33" s="237">
        <v>0</v>
      </c>
      <c r="T33" s="237">
        <v>0</v>
      </c>
      <c r="U33" s="237">
        <v>0</v>
      </c>
      <c r="V33" s="237">
        <v>0</v>
      </c>
      <c r="W33" s="237">
        <v>0</v>
      </c>
      <c r="X33" s="237">
        <v>0</v>
      </c>
      <c r="Y33" s="237">
        <v>0</v>
      </c>
      <c r="Z33" s="237">
        <v>0</v>
      </c>
      <c r="AA33" s="245">
        <v>2111329</v>
      </c>
      <c r="AB33" s="256">
        <v>10880.66</v>
      </c>
      <c r="AC33" s="258">
        <v>10880.66</v>
      </c>
      <c r="AD33" s="258">
        <v>2061448.91</v>
      </c>
      <c r="AE33" s="258">
        <v>1170443.1299999999</v>
      </c>
      <c r="AF33" s="256">
        <v>808622.83</v>
      </c>
      <c r="AG33" s="273">
        <v>727779.75</v>
      </c>
      <c r="AH33" s="255">
        <v>763.1</v>
      </c>
      <c r="AI33" s="295">
        <v>1095.6500000000001</v>
      </c>
      <c r="AJ33" s="297">
        <v>1095.6500000000001</v>
      </c>
    </row>
    <row r="34" spans="1:38" ht="12.75">
      <c r="A34" s="110" t="s">
        <v>46</v>
      </c>
      <c r="B34" s="237">
        <v>0</v>
      </c>
      <c r="C34" s="237">
        <v>0</v>
      </c>
      <c r="D34" s="237">
        <v>0</v>
      </c>
      <c r="E34" s="237">
        <v>0</v>
      </c>
      <c r="F34" s="237">
        <v>0</v>
      </c>
      <c r="G34" s="237">
        <v>0</v>
      </c>
      <c r="H34" s="237">
        <v>0</v>
      </c>
      <c r="I34" s="237">
        <v>0</v>
      </c>
      <c r="J34" s="237">
        <v>0</v>
      </c>
      <c r="K34" s="237">
        <v>0</v>
      </c>
      <c r="L34" s="237">
        <v>0</v>
      </c>
      <c r="M34" s="237">
        <v>0</v>
      </c>
      <c r="N34" s="232"/>
      <c r="O34" s="237">
        <v>0</v>
      </c>
      <c r="P34" s="237">
        <v>0</v>
      </c>
      <c r="Q34" s="237">
        <v>0</v>
      </c>
      <c r="R34" s="237">
        <v>0</v>
      </c>
      <c r="S34" s="237">
        <v>0</v>
      </c>
      <c r="T34" s="237">
        <v>0</v>
      </c>
      <c r="U34" s="237">
        <v>0</v>
      </c>
      <c r="V34" s="237">
        <v>0</v>
      </c>
      <c r="W34" s="237">
        <v>0</v>
      </c>
      <c r="X34" s="237">
        <v>0</v>
      </c>
      <c r="Y34" s="237">
        <v>0</v>
      </c>
      <c r="Z34" s="237">
        <v>0</v>
      </c>
      <c r="AB34" s="255">
        <v>0</v>
      </c>
      <c r="AC34" s="257">
        <v>0</v>
      </c>
      <c r="AD34" s="257">
        <v>0</v>
      </c>
      <c r="AE34" s="257">
        <v>0</v>
      </c>
      <c r="AF34" s="255">
        <v>0</v>
      </c>
      <c r="AG34" s="104">
        <v>0</v>
      </c>
      <c r="AH34" s="255">
        <v>0</v>
      </c>
      <c r="AI34" s="294">
        <v>0</v>
      </c>
      <c r="AJ34" s="296">
        <v>0</v>
      </c>
    </row>
    <row r="35" spans="1:38" ht="12.75">
      <c r="A35" s="110" t="s">
        <v>47</v>
      </c>
      <c r="B35" s="237">
        <v>0</v>
      </c>
      <c r="C35" s="237">
        <v>0</v>
      </c>
      <c r="D35" s="237">
        <v>0</v>
      </c>
      <c r="E35" s="237">
        <v>0</v>
      </c>
      <c r="F35" s="237">
        <v>0</v>
      </c>
      <c r="G35" s="237">
        <v>0</v>
      </c>
      <c r="H35" s="237">
        <v>0</v>
      </c>
      <c r="I35" s="237">
        <v>0</v>
      </c>
      <c r="J35" s="237">
        <v>0</v>
      </c>
      <c r="K35" s="237">
        <v>0</v>
      </c>
      <c r="L35" s="237">
        <v>0</v>
      </c>
      <c r="M35" s="237">
        <v>0</v>
      </c>
      <c r="N35" s="232"/>
      <c r="O35" s="237">
        <v>-44769.75</v>
      </c>
      <c r="P35" s="237">
        <v>-43714.65</v>
      </c>
      <c r="Q35" s="237">
        <v>41883.79</v>
      </c>
      <c r="R35" s="237">
        <v>42654.79</v>
      </c>
      <c r="S35" s="237">
        <v>-19195.54</v>
      </c>
      <c r="T35" s="237">
        <v>-29325.33</v>
      </c>
      <c r="U35" s="237">
        <v>-36210.769999999997</v>
      </c>
      <c r="V35" s="237">
        <v>-36766.15</v>
      </c>
      <c r="W35" s="237">
        <v>-36870.339999999997</v>
      </c>
      <c r="X35" s="237">
        <v>-36790.339999999997</v>
      </c>
      <c r="Y35" s="237">
        <v>-31582.77</v>
      </c>
      <c r="Z35" s="237">
        <v>-33697.74</v>
      </c>
      <c r="AB35" s="255">
        <v>0</v>
      </c>
      <c r="AC35" s="257">
        <v>0</v>
      </c>
      <c r="AD35" s="257">
        <v>0</v>
      </c>
      <c r="AE35" s="257">
        <v>0</v>
      </c>
      <c r="AF35" s="255">
        <v>0</v>
      </c>
      <c r="AG35" s="104">
        <v>0</v>
      </c>
      <c r="AH35" s="255">
        <v>30</v>
      </c>
      <c r="AI35" s="294">
        <v>30</v>
      </c>
      <c r="AJ35" s="296">
        <v>0</v>
      </c>
    </row>
    <row r="36" spans="1:38" ht="12.75">
      <c r="A36" s="110" t="s">
        <v>48</v>
      </c>
      <c r="B36" s="237">
        <v>-40106.65</v>
      </c>
      <c r="C36" s="237">
        <v>-80797.649999999994</v>
      </c>
      <c r="D36" s="237">
        <v>55385.35</v>
      </c>
      <c r="E36" s="237">
        <v>-27262.81</v>
      </c>
      <c r="F36" s="237">
        <v>-28302.25</v>
      </c>
      <c r="G36" s="237">
        <v>-41731.22</v>
      </c>
      <c r="H36" s="237">
        <v>-40051.24</v>
      </c>
      <c r="I36" s="237">
        <v>-42631.23</v>
      </c>
      <c r="J36" s="237">
        <v>-41041.379999999997</v>
      </c>
      <c r="K36" s="237">
        <v>-44161.29</v>
      </c>
      <c r="L36" s="237">
        <v>-43755.23</v>
      </c>
      <c r="M36" s="237">
        <v>-45969.73</v>
      </c>
      <c r="N36" s="232">
        <f>1207819+513572+150000+104013</f>
        <v>1975404</v>
      </c>
      <c r="O36" s="237">
        <v>0</v>
      </c>
      <c r="P36" s="237">
        <v>0</v>
      </c>
      <c r="Q36" s="237">
        <v>0</v>
      </c>
      <c r="R36" s="237">
        <v>0</v>
      </c>
      <c r="S36" s="237">
        <v>0</v>
      </c>
      <c r="T36" s="237">
        <v>0</v>
      </c>
      <c r="U36" s="237">
        <v>0</v>
      </c>
      <c r="V36" s="237">
        <v>0</v>
      </c>
      <c r="W36" s="237">
        <v>0</v>
      </c>
      <c r="X36" s="237">
        <v>0</v>
      </c>
      <c r="Y36" s="237">
        <v>0</v>
      </c>
      <c r="Z36" s="237">
        <v>0</v>
      </c>
      <c r="AA36" s="245">
        <v>1375626</v>
      </c>
      <c r="AB36" s="256">
        <v>-26672.66</v>
      </c>
      <c r="AC36" s="258">
        <v>-25448.66</v>
      </c>
      <c r="AD36" s="258">
        <v>56510.83</v>
      </c>
      <c r="AE36" s="258">
        <v>60978.19</v>
      </c>
      <c r="AF36" s="256">
        <v>48022.55</v>
      </c>
      <c r="AG36" s="273">
        <v>50721.91</v>
      </c>
      <c r="AH36" s="256">
        <v>51543.27</v>
      </c>
      <c r="AI36" s="295">
        <v>58806.94</v>
      </c>
      <c r="AJ36" s="297">
        <v>56639.519999999997</v>
      </c>
    </row>
    <row r="37" spans="1:38" ht="12.75">
      <c r="A37" s="110" t="s">
        <v>49</v>
      </c>
      <c r="B37" s="237">
        <v>0</v>
      </c>
      <c r="C37" s="237">
        <v>0</v>
      </c>
      <c r="D37" s="237">
        <v>0</v>
      </c>
      <c r="E37" s="237">
        <v>0</v>
      </c>
      <c r="F37" s="237">
        <v>0</v>
      </c>
      <c r="G37" s="237">
        <v>0</v>
      </c>
      <c r="H37" s="237">
        <v>0</v>
      </c>
      <c r="I37" s="237">
        <v>0</v>
      </c>
      <c r="J37" s="237">
        <v>0</v>
      </c>
      <c r="K37" s="237">
        <v>0</v>
      </c>
      <c r="L37" s="237">
        <v>0</v>
      </c>
      <c r="M37" s="237">
        <v>0</v>
      </c>
      <c r="N37" s="232"/>
      <c r="AB37" s="255">
        <v>0</v>
      </c>
      <c r="AC37" s="257">
        <v>0</v>
      </c>
      <c r="AD37" s="257">
        <v>0</v>
      </c>
      <c r="AE37" s="257">
        <v>0</v>
      </c>
      <c r="AF37" s="255">
        <v>0</v>
      </c>
      <c r="AG37" s="104">
        <v>0</v>
      </c>
      <c r="AH37" s="255">
        <v>0</v>
      </c>
      <c r="AI37" s="294">
        <v>0</v>
      </c>
      <c r="AJ37" s="296">
        <v>0</v>
      </c>
    </row>
    <row r="38" spans="1:38" s="105" customFormat="1" ht="14.25">
      <c r="A38" s="103" t="s">
        <v>50</v>
      </c>
      <c r="B38" s="161">
        <f>B31+B30</f>
        <v>48987029.439999998</v>
      </c>
      <c r="C38" s="161">
        <f t="shared" ref="C38:AL38" si="17">C31+C30</f>
        <v>48649591.879999995</v>
      </c>
      <c r="D38" s="161">
        <f t="shared" si="17"/>
        <v>49537642.799999997</v>
      </c>
      <c r="E38" s="161">
        <f t="shared" si="17"/>
        <v>48776982.910000004</v>
      </c>
      <c r="F38" s="161">
        <f t="shared" si="17"/>
        <v>48973462.900000006</v>
      </c>
      <c r="G38" s="161">
        <f t="shared" si="17"/>
        <v>48145066.379999995</v>
      </c>
      <c r="H38" s="161">
        <f t="shared" si="17"/>
        <v>48328068.450000003</v>
      </c>
      <c r="I38" s="161">
        <f t="shared" si="17"/>
        <v>48230435.479999997</v>
      </c>
      <c r="J38" s="161">
        <f t="shared" si="17"/>
        <v>48201313.5</v>
      </c>
      <c r="K38" s="161">
        <f t="shared" si="17"/>
        <v>48528000.839999996</v>
      </c>
      <c r="L38" s="161">
        <f t="shared" si="17"/>
        <v>49030035.759999998</v>
      </c>
      <c r="M38" s="161">
        <f t="shared" si="17"/>
        <v>48759466.990000002</v>
      </c>
      <c r="N38" s="161">
        <f t="shared" si="17"/>
        <v>50442019</v>
      </c>
      <c r="O38" s="161">
        <f t="shared" si="17"/>
        <v>48242952.269999996</v>
      </c>
      <c r="P38" s="161">
        <f t="shared" si="17"/>
        <v>48634973.559999995</v>
      </c>
      <c r="Q38" s="161">
        <f t="shared" si="17"/>
        <v>51141630.670000002</v>
      </c>
      <c r="R38" s="161">
        <f t="shared" si="17"/>
        <v>51958670.220000006</v>
      </c>
      <c r="S38" s="161">
        <f t="shared" si="17"/>
        <v>51485643.380000003</v>
      </c>
      <c r="T38" s="161">
        <f t="shared" si="17"/>
        <v>51352721.890000001</v>
      </c>
      <c r="U38" s="161">
        <f t="shared" si="17"/>
        <v>51286813.920000002</v>
      </c>
      <c r="V38" s="161">
        <f t="shared" si="17"/>
        <v>51644812.239999995</v>
      </c>
      <c r="W38" s="161">
        <f t="shared" si="17"/>
        <v>51883555.669999994</v>
      </c>
      <c r="X38" s="161">
        <f t="shared" si="17"/>
        <v>52558431.029999994</v>
      </c>
      <c r="Y38" s="161">
        <f t="shared" si="17"/>
        <v>53020553.780000001</v>
      </c>
      <c r="Z38" s="161">
        <f t="shared" si="17"/>
        <v>52879422.280000001</v>
      </c>
      <c r="AA38" s="161">
        <f t="shared" si="17"/>
        <v>55181326</v>
      </c>
      <c r="AB38" s="161">
        <f t="shared" si="17"/>
        <v>53135099.039999999</v>
      </c>
      <c r="AC38" s="161">
        <f t="shared" si="17"/>
        <v>53381143.279999994</v>
      </c>
      <c r="AD38" s="161">
        <f t="shared" si="17"/>
        <v>55749442.25</v>
      </c>
      <c r="AE38" s="161">
        <f t="shared" si="17"/>
        <v>54746412.980000004</v>
      </c>
      <c r="AF38" s="161">
        <f t="shared" si="17"/>
        <v>54611987.300000004</v>
      </c>
      <c r="AG38" s="161">
        <f t="shared" si="17"/>
        <v>54993166.609999999</v>
      </c>
      <c r="AH38" s="161">
        <f t="shared" si="17"/>
        <v>54928149.149999999</v>
      </c>
      <c r="AI38" s="161">
        <f t="shared" si="17"/>
        <v>55543594.600000001</v>
      </c>
      <c r="AJ38" s="161">
        <f t="shared" si="17"/>
        <v>55245337.969999999</v>
      </c>
      <c r="AK38" s="161">
        <f t="shared" si="17"/>
        <v>0</v>
      </c>
      <c r="AL38" s="161">
        <f t="shared" si="17"/>
        <v>0</v>
      </c>
    </row>
    <row r="39" spans="1:38" ht="13.35" customHeight="1">
      <c r="A39" s="110" t="s">
        <v>51</v>
      </c>
      <c r="B39" s="237">
        <v>10034849.07</v>
      </c>
      <c r="C39" s="237">
        <v>10040664.859999999</v>
      </c>
      <c r="D39" s="237">
        <v>10040750.41</v>
      </c>
      <c r="E39" s="237">
        <v>10039164.82</v>
      </c>
      <c r="F39" s="237">
        <v>10039164.82</v>
      </c>
      <c r="G39" s="237">
        <v>10048404.82</v>
      </c>
      <c r="H39" s="237">
        <v>10049978.32</v>
      </c>
      <c r="I39" s="237">
        <v>10090837.48</v>
      </c>
      <c r="J39" s="237">
        <v>10103837.48</v>
      </c>
      <c r="K39" s="237">
        <v>10111671.810000001</v>
      </c>
      <c r="L39" s="237">
        <v>10119671.810000001</v>
      </c>
      <c r="M39" s="237">
        <v>10271434.199999999</v>
      </c>
      <c r="N39" s="232">
        <v>10271434</v>
      </c>
      <c r="O39" s="237">
        <v>10306473.220000001</v>
      </c>
      <c r="P39" s="237">
        <v>10311673.75</v>
      </c>
      <c r="Q39" s="237">
        <v>10325673.75</v>
      </c>
      <c r="R39" s="237">
        <v>10343673.75</v>
      </c>
      <c r="S39" s="237">
        <v>10367161.699999999</v>
      </c>
      <c r="T39" s="237">
        <v>10391265.48</v>
      </c>
      <c r="U39" s="237">
        <v>10567742.07</v>
      </c>
      <c r="V39" s="237">
        <v>10611107.220000001</v>
      </c>
      <c r="W39" s="237">
        <v>10637625.220000001</v>
      </c>
      <c r="X39" s="237">
        <v>10658390.619999999</v>
      </c>
      <c r="Y39" s="237">
        <v>10694611.619999999</v>
      </c>
      <c r="Z39" s="237">
        <v>10720831.619999999</v>
      </c>
      <c r="AA39" s="243">
        <v>10720832</v>
      </c>
      <c r="AB39" s="252">
        <v>10747916.18</v>
      </c>
      <c r="AC39" s="254">
        <v>10784394.210000001</v>
      </c>
      <c r="AD39" s="254">
        <v>10819950.17</v>
      </c>
      <c r="AE39" s="254">
        <v>10892237.17</v>
      </c>
      <c r="AF39" s="252">
        <v>10942839.17</v>
      </c>
      <c r="AG39" s="252">
        <v>10976047.17</v>
      </c>
      <c r="AH39" s="252">
        <v>11168593.24</v>
      </c>
      <c r="AI39" s="291">
        <v>11208521.4</v>
      </c>
      <c r="AJ39" s="293">
        <v>11242230.83</v>
      </c>
    </row>
    <row r="40" spans="1:38" ht="12.75">
      <c r="A40" s="109" t="s">
        <v>52</v>
      </c>
      <c r="B40" s="237">
        <v>0</v>
      </c>
      <c r="C40" s="237">
        <v>0</v>
      </c>
      <c r="D40" s="237">
        <v>0</v>
      </c>
      <c r="E40" s="237">
        <v>0</v>
      </c>
      <c r="F40" s="237">
        <v>0</v>
      </c>
      <c r="G40" s="237">
        <v>0</v>
      </c>
      <c r="H40" s="237">
        <v>0</v>
      </c>
      <c r="I40" s="237">
        <v>0</v>
      </c>
      <c r="J40" s="237">
        <v>0</v>
      </c>
      <c r="K40" s="237">
        <v>0</v>
      </c>
      <c r="L40" s="237">
        <v>0</v>
      </c>
      <c r="M40" s="237">
        <v>0</v>
      </c>
      <c r="N40" s="232">
        <v>3469552</v>
      </c>
      <c r="O40" s="237">
        <v>0</v>
      </c>
      <c r="P40" s="237">
        <v>0</v>
      </c>
      <c r="Q40" s="237">
        <v>0</v>
      </c>
      <c r="R40" s="237">
        <v>0</v>
      </c>
      <c r="S40" s="237">
        <v>0</v>
      </c>
      <c r="T40" s="237">
        <v>0</v>
      </c>
      <c r="U40" s="237">
        <v>0</v>
      </c>
      <c r="V40" s="237">
        <v>0</v>
      </c>
      <c r="W40" s="237">
        <v>0</v>
      </c>
      <c r="X40" s="237">
        <v>0</v>
      </c>
      <c r="Y40" s="237">
        <v>0</v>
      </c>
      <c r="Z40" s="237">
        <v>0</v>
      </c>
      <c r="AB40" s="255">
        <v>0</v>
      </c>
      <c r="AC40" s="257">
        <v>0</v>
      </c>
      <c r="AD40" s="257">
        <v>0</v>
      </c>
      <c r="AE40" s="257">
        <v>0</v>
      </c>
      <c r="AF40" s="255">
        <v>0</v>
      </c>
      <c r="AG40" s="255">
        <v>0</v>
      </c>
      <c r="AH40" s="255">
        <v>0</v>
      </c>
      <c r="AI40" s="294">
        <v>0</v>
      </c>
      <c r="AJ40" s="296">
        <v>0</v>
      </c>
    </row>
    <row r="41" spans="1:38" s="105" customFormat="1" ht="14.25">
      <c r="A41" s="103" t="s">
        <v>53</v>
      </c>
      <c r="B41" s="164">
        <f t="shared" ref="B41:AL41" si="18">B43+B42</f>
        <v>762124.57000000007</v>
      </c>
      <c r="C41" s="164">
        <f t="shared" si="18"/>
        <v>960040.06</v>
      </c>
      <c r="D41" s="164">
        <f t="shared" si="18"/>
        <v>125226.09000000003</v>
      </c>
      <c r="E41" s="164">
        <f t="shared" si="18"/>
        <v>-499036.09</v>
      </c>
      <c r="F41" s="164">
        <f t="shared" si="18"/>
        <v>416605.5</v>
      </c>
      <c r="G41" s="164">
        <f t="shared" si="18"/>
        <v>1300472.8999999999</v>
      </c>
      <c r="H41" s="164">
        <f t="shared" si="18"/>
        <v>1608260.84</v>
      </c>
      <c r="I41" s="164">
        <f t="shared" si="18"/>
        <v>2229666.7000000002</v>
      </c>
      <c r="J41" s="164">
        <f t="shared" si="18"/>
        <v>2699553</v>
      </c>
      <c r="K41" s="164">
        <f t="shared" si="18"/>
        <v>3002066.7</v>
      </c>
      <c r="L41" s="164">
        <f t="shared" si="18"/>
        <v>3264632.4</v>
      </c>
      <c r="M41" s="164">
        <f t="shared" si="18"/>
        <v>3679248.7</v>
      </c>
      <c r="N41" s="164">
        <f t="shared" si="18"/>
        <v>1337278</v>
      </c>
      <c r="O41" s="164">
        <f t="shared" si="18"/>
        <v>3820189.4000000004</v>
      </c>
      <c r="P41" s="164">
        <f t="shared" si="18"/>
        <v>4475679.2799999993</v>
      </c>
      <c r="Q41" s="164">
        <f t="shared" si="18"/>
        <v>1652487.8900000001</v>
      </c>
      <c r="R41" s="164">
        <f t="shared" si="18"/>
        <v>1859222.09</v>
      </c>
      <c r="S41" s="164">
        <f t="shared" si="18"/>
        <v>1881666.37</v>
      </c>
      <c r="T41" s="164">
        <f t="shared" si="18"/>
        <v>1991035.3900000001</v>
      </c>
      <c r="U41" s="164">
        <f t="shared" si="18"/>
        <v>2190048.9900000002</v>
      </c>
      <c r="V41" s="164">
        <f t="shared" si="18"/>
        <v>2649742.4400000004</v>
      </c>
      <c r="W41" s="164">
        <f t="shared" si="18"/>
        <v>2821178.84</v>
      </c>
      <c r="X41" s="164">
        <f t="shared" si="18"/>
        <v>3789964.77</v>
      </c>
      <c r="Y41" s="164">
        <f t="shared" si="18"/>
        <v>5388203.0300000003</v>
      </c>
      <c r="Z41" s="164">
        <f t="shared" si="18"/>
        <v>5668280.6399999997</v>
      </c>
      <c r="AA41" s="164">
        <f t="shared" si="18"/>
        <v>2863652</v>
      </c>
      <c r="AB41" s="164">
        <f t="shared" si="18"/>
        <v>5736478.8099999996</v>
      </c>
      <c r="AC41" s="164">
        <f t="shared" si="18"/>
        <v>5711800.7899999991</v>
      </c>
      <c r="AD41" s="164">
        <f t="shared" si="18"/>
        <v>3340460.44</v>
      </c>
      <c r="AE41" s="164">
        <f t="shared" si="18"/>
        <v>3329282.16</v>
      </c>
      <c r="AF41" s="164">
        <f t="shared" si="18"/>
        <v>3811957.12</v>
      </c>
      <c r="AG41" s="164">
        <f t="shared" si="18"/>
        <v>3625307.02</v>
      </c>
      <c r="AH41" s="164">
        <f t="shared" si="18"/>
        <v>4434341.75</v>
      </c>
      <c r="AI41" s="164">
        <f t="shared" si="18"/>
        <v>5212472.33</v>
      </c>
      <c r="AJ41" s="164">
        <f t="shared" si="18"/>
        <v>5318355.7200000007</v>
      </c>
      <c r="AK41" s="164">
        <f t="shared" si="18"/>
        <v>0</v>
      </c>
      <c r="AL41" s="164">
        <f t="shared" si="18"/>
        <v>0</v>
      </c>
    </row>
    <row r="42" spans="1:38" ht="14.25">
      <c r="A42" s="110" t="s">
        <v>54</v>
      </c>
      <c r="B42" s="237">
        <v>716731.06</v>
      </c>
      <c r="C42" s="237">
        <v>716731.06</v>
      </c>
      <c r="D42" s="237">
        <v>-135784.54999999999</v>
      </c>
      <c r="E42" s="237">
        <v>-135784</v>
      </c>
      <c r="F42" s="237">
        <v>-135784</v>
      </c>
      <c r="G42" s="237">
        <v>-135784</v>
      </c>
      <c r="H42" s="237">
        <v>-135784</v>
      </c>
      <c r="I42" s="237">
        <v>-135784</v>
      </c>
      <c r="J42" s="237">
        <v>-135784</v>
      </c>
      <c r="K42" s="237">
        <v>-135784</v>
      </c>
      <c r="L42" s="237">
        <v>-135784</v>
      </c>
      <c r="M42" s="237">
        <v>-135784</v>
      </c>
      <c r="N42" s="232">
        <v>-135784</v>
      </c>
      <c r="O42" s="237">
        <v>3679248.7</v>
      </c>
      <c r="P42" s="237">
        <v>3677293.07</v>
      </c>
      <c r="Q42" s="237">
        <v>1337278</v>
      </c>
      <c r="R42" s="237">
        <v>1337278</v>
      </c>
      <c r="S42" s="237">
        <v>1337275.8700000001</v>
      </c>
      <c r="T42" s="237">
        <v>1337275.8700000001</v>
      </c>
      <c r="U42" s="237">
        <v>1337275.8700000001</v>
      </c>
      <c r="V42" s="237">
        <v>1337275.8700000001</v>
      </c>
      <c r="W42" s="237">
        <v>1337275.8700000001</v>
      </c>
      <c r="X42" s="237">
        <v>1337275.8700000001</v>
      </c>
      <c r="Y42" s="237">
        <v>1337275.8700000001</v>
      </c>
      <c r="Z42" s="237">
        <v>1337275.8700000001</v>
      </c>
      <c r="AA42" s="243">
        <v>1337278</v>
      </c>
      <c r="AB42" s="252">
        <v>5668282.7699999996</v>
      </c>
      <c r="AC42" s="254">
        <v>5668282.7699999996</v>
      </c>
      <c r="AD42" s="254">
        <v>2863650.64</v>
      </c>
      <c r="AE42" s="254">
        <v>2863650.64</v>
      </c>
      <c r="AF42" s="252">
        <v>2863650.64</v>
      </c>
      <c r="AG42" s="252">
        <v>2863650.64</v>
      </c>
      <c r="AH42" s="252">
        <v>2863650.64</v>
      </c>
      <c r="AI42" s="291">
        <v>2863650.64</v>
      </c>
      <c r="AJ42" s="293">
        <v>2863650.64</v>
      </c>
    </row>
    <row r="43" spans="1:38" ht="12.75">
      <c r="A43" s="110" t="s">
        <v>55</v>
      </c>
      <c r="B43" s="237">
        <v>45393.51</v>
      </c>
      <c r="C43" s="237">
        <v>243309</v>
      </c>
      <c r="D43" s="237">
        <v>261010.64</v>
      </c>
      <c r="E43" s="237">
        <v>-363252.09</v>
      </c>
      <c r="F43" s="237">
        <v>552389.5</v>
      </c>
      <c r="G43" s="237">
        <v>1436256.9</v>
      </c>
      <c r="H43" s="237">
        <v>1744044.84</v>
      </c>
      <c r="I43" s="237">
        <v>2365450.7000000002</v>
      </c>
      <c r="J43" s="237">
        <v>2835337</v>
      </c>
      <c r="K43" s="237">
        <v>3137850.7</v>
      </c>
      <c r="L43" s="237">
        <v>3400416.4</v>
      </c>
      <c r="M43" s="237">
        <v>3815032.7</v>
      </c>
      <c r="N43" s="232">
        <f>1337278-N42</f>
        <v>1473062</v>
      </c>
      <c r="O43" s="237">
        <v>140940.70000000001</v>
      </c>
      <c r="P43" s="237">
        <v>798386.21</v>
      </c>
      <c r="Q43" s="237">
        <v>315209.89</v>
      </c>
      <c r="R43" s="237">
        <v>521944.09</v>
      </c>
      <c r="S43" s="237">
        <v>544390.5</v>
      </c>
      <c r="T43" s="237">
        <v>653759.52</v>
      </c>
      <c r="U43" s="237">
        <v>852773.12</v>
      </c>
      <c r="V43" s="237">
        <v>1312466.57</v>
      </c>
      <c r="W43" s="237">
        <v>1483902.97</v>
      </c>
      <c r="X43" s="237">
        <v>2452688.9</v>
      </c>
      <c r="Y43" s="237">
        <v>4050927.16</v>
      </c>
      <c r="Z43" s="237">
        <v>4331004.7699999996</v>
      </c>
      <c r="AA43" s="245">
        <v>1526374</v>
      </c>
      <c r="AB43" s="256">
        <v>68196.039999999994</v>
      </c>
      <c r="AC43" s="258">
        <v>43518.02</v>
      </c>
      <c r="AD43" s="258">
        <v>476809.8</v>
      </c>
      <c r="AE43" s="258">
        <v>465631.52</v>
      </c>
      <c r="AF43" s="256">
        <v>948306.48</v>
      </c>
      <c r="AG43" s="256">
        <v>761656.38</v>
      </c>
      <c r="AH43" s="256">
        <v>1570691.11</v>
      </c>
      <c r="AI43" s="295">
        <v>2348821.69</v>
      </c>
      <c r="AJ43" s="297">
        <v>2454705.08</v>
      </c>
    </row>
    <row r="44" spans="1:38" s="105" customFormat="1" ht="14.25">
      <c r="A44" s="103" t="s">
        <v>56</v>
      </c>
      <c r="B44" s="164">
        <f t="shared" ref="B44:AL44" si="19">SUM(B45:B49)</f>
        <v>3363086</v>
      </c>
      <c r="C44" s="164">
        <f t="shared" si="19"/>
        <v>3363086</v>
      </c>
      <c r="D44" s="164">
        <f t="shared" si="19"/>
        <v>3493900</v>
      </c>
      <c r="E44" s="164">
        <f t="shared" si="19"/>
        <v>3493900</v>
      </c>
      <c r="F44" s="164">
        <f t="shared" si="19"/>
        <v>3493900</v>
      </c>
      <c r="G44" s="164">
        <f t="shared" si="19"/>
        <v>3493900</v>
      </c>
      <c r="H44" s="164">
        <f t="shared" si="19"/>
        <v>3493900</v>
      </c>
      <c r="I44" s="164">
        <f t="shared" si="19"/>
        <v>3493900</v>
      </c>
      <c r="J44" s="164">
        <f t="shared" si="19"/>
        <v>3493900</v>
      </c>
      <c r="K44" s="164">
        <f t="shared" si="19"/>
        <v>3493900</v>
      </c>
      <c r="L44" s="164">
        <f t="shared" si="19"/>
        <v>3493900</v>
      </c>
      <c r="M44" s="164">
        <f t="shared" si="19"/>
        <v>3493900</v>
      </c>
      <c r="N44" s="164">
        <f t="shared" si="19"/>
        <v>525630</v>
      </c>
      <c r="O44" s="164">
        <f t="shared" si="19"/>
        <v>3493900</v>
      </c>
      <c r="P44" s="164">
        <f t="shared" si="19"/>
        <v>3492250</v>
      </c>
      <c r="Q44" s="164">
        <f t="shared" si="19"/>
        <v>3995182</v>
      </c>
      <c r="R44" s="164">
        <f t="shared" si="19"/>
        <v>3995182</v>
      </c>
      <c r="S44" s="164">
        <f t="shared" si="19"/>
        <v>3995182</v>
      </c>
      <c r="T44" s="164">
        <f t="shared" si="19"/>
        <v>3995182</v>
      </c>
      <c r="U44" s="164">
        <f t="shared" si="19"/>
        <v>5206382</v>
      </c>
      <c r="V44" s="164">
        <f t="shared" si="19"/>
        <v>5206382</v>
      </c>
      <c r="W44" s="164">
        <f t="shared" si="19"/>
        <v>5206382</v>
      </c>
      <c r="X44" s="164">
        <f t="shared" si="19"/>
        <v>5206382</v>
      </c>
      <c r="Y44" s="164">
        <f t="shared" si="19"/>
        <v>5206382</v>
      </c>
      <c r="Z44" s="164">
        <f t="shared" si="19"/>
        <v>5206382</v>
      </c>
      <c r="AA44" s="164">
        <f t="shared" si="19"/>
        <v>5766206</v>
      </c>
      <c r="AB44" s="164">
        <f t="shared" si="19"/>
        <v>5206382</v>
      </c>
      <c r="AC44" s="164"/>
      <c r="AD44" s="164"/>
      <c r="AE44" s="164">
        <f t="shared" si="19"/>
        <v>5766206</v>
      </c>
      <c r="AF44" s="164">
        <f t="shared" si="19"/>
        <v>5766206</v>
      </c>
      <c r="AG44" s="164">
        <f t="shared" si="19"/>
        <v>5766206</v>
      </c>
      <c r="AH44" s="164">
        <f t="shared" si="19"/>
        <v>5766206</v>
      </c>
      <c r="AI44" s="164">
        <f t="shared" si="19"/>
        <v>5766206</v>
      </c>
      <c r="AJ44" s="164">
        <f t="shared" si="19"/>
        <v>5766206</v>
      </c>
      <c r="AK44" s="164">
        <f t="shared" si="19"/>
        <v>0</v>
      </c>
      <c r="AL44" s="164">
        <f t="shared" si="19"/>
        <v>0</v>
      </c>
    </row>
    <row r="45" spans="1:38" ht="14.25">
      <c r="A45" s="110" t="s">
        <v>57</v>
      </c>
      <c r="B45" s="237">
        <v>2836046</v>
      </c>
      <c r="C45" s="237">
        <v>2836046</v>
      </c>
      <c r="D45" s="237">
        <v>2966860</v>
      </c>
      <c r="E45" s="237">
        <v>2966860</v>
      </c>
      <c r="F45" s="237">
        <v>2966860</v>
      </c>
      <c r="G45" s="237">
        <v>2966860</v>
      </c>
      <c r="H45" s="237">
        <v>2966860</v>
      </c>
      <c r="I45" s="237">
        <v>2966860</v>
      </c>
      <c r="J45" s="237">
        <v>2966860</v>
      </c>
      <c r="K45" s="237">
        <v>2966860</v>
      </c>
      <c r="L45" s="237">
        <v>2966860</v>
      </c>
      <c r="M45" s="237">
        <v>2966860</v>
      </c>
      <c r="N45" s="232"/>
      <c r="O45" s="237">
        <v>2966860</v>
      </c>
      <c r="P45" s="237">
        <v>2966860</v>
      </c>
      <c r="Q45" s="237">
        <v>3469552</v>
      </c>
      <c r="R45" s="237">
        <v>3469552</v>
      </c>
      <c r="S45" s="237">
        <v>3469552</v>
      </c>
      <c r="T45" s="237">
        <v>3469552</v>
      </c>
      <c r="U45" s="237">
        <v>3469552</v>
      </c>
      <c r="V45" s="237">
        <v>3469552</v>
      </c>
      <c r="W45" s="237">
        <v>3469552</v>
      </c>
      <c r="X45" s="237">
        <v>3469552</v>
      </c>
      <c r="Y45" s="237">
        <v>3469552</v>
      </c>
      <c r="Z45" s="237">
        <v>3469552</v>
      </c>
      <c r="AA45" s="243">
        <v>4030156</v>
      </c>
      <c r="AB45" s="252">
        <v>3469552</v>
      </c>
      <c r="AC45" s="254">
        <v>3469552</v>
      </c>
      <c r="AD45" s="254">
        <v>4030156</v>
      </c>
      <c r="AE45" s="254">
        <v>4030156</v>
      </c>
      <c r="AF45" s="252">
        <v>4030156</v>
      </c>
      <c r="AG45" s="252">
        <v>4030156</v>
      </c>
      <c r="AH45" s="252">
        <v>4030156</v>
      </c>
      <c r="AI45" s="291">
        <v>4030156</v>
      </c>
      <c r="AJ45" s="293">
        <v>4030156</v>
      </c>
    </row>
    <row r="46" spans="1:38" ht="24">
      <c r="A46" s="110" t="s">
        <v>58</v>
      </c>
      <c r="B46" s="237">
        <v>200000</v>
      </c>
      <c r="C46" s="237">
        <v>200000</v>
      </c>
      <c r="D46" s="237">
        <v>200000</v>
      </c>
      <c r="E46" s="237">
        <v>200000</v>
      </c>
      <c r="F46" s="237">
        <v>200000</v>
      </c>
      <c r="G46" s="237">
        <v>200000</v>
      </c>
      <c r="H46" s="237">
        <v>200000</v>
      </c>
      <c r="I46" s="237">
        <v>200000</v>
      </c>
      <c r="J46" s="237">
        <v>200000</v>
      </c>
      <c r="K46" s="237">
        <v>200000</v>
      </c>
      <c r="L46" s="237">
        <v>200000</v>
      </c>
      <c r="M46" s="237">
        <v>200000</v>
      </c>
      <c r="N46" s="232">
        <v>200000</v>
      </c>
      <c r="O46" s="237">
        <v>200000</v>
      </c>
      <c r="P46" s="237">
        <v>200000</v>
      </c>
      <c r="Q46" s="237">
        <v>200000</v>
      </c>
      <c r="R46" s="237">
        <v>200000</v>
      </c>
      <c r="S46" s="237">
        <v>200000</v>
      </c>
      <c r="T46" s="237">
        <v>200000</v>
      </c>
      <c r="U46" s="237">
        <v>200000</v>
      </c>
      <c r="V46" s="237">
        <v>200000</v>
      </c>
      <c r="W46" s="237">
        <v>200000</v>
      </c>
      <c r="X46" s="237">
        <v>200000</v>
      </c>
      <c r="Y46" s="237">
        <v>200000</v>
      </c>
      <c r="Z46" s="237">
        <v>200000</v>
      </c>
      <c r="AA46" s="243">
        <v>200000</v>
      </c>
      <c r="AB46" s="256">
        <v>200000</v>
      </c>
      <c r="AC46" s="258">
        <v>200000</v>
      </c>
      <c r="AD46" s="258">
        <v>200000</v>
      </c>
      <c r="AE46" s="258">
        <v>200000</v>
      </c>
      <c r="AF46" s="256">
        <v>200000</v>
      </c>
      <c r="AG46" s="256">
        <v>200000</v>
      </c>
      <c r="AH46" s="256">
        <v>200000</v>
      </c>
      <c r="AI46" s="295">
        <v>200000</v>
      </c>
      <c r="AJ46" s="297">
        <v>200000</v>
      </c>
    </row>
    <row r="47" spans="1:38" ht="14.25">
      <c r="A47" s="110" t="s">
        <v>59</v>
      </c>
      <c r="B47" s="237">
        <v>327040</v>
      </c>
      <c r="C47" s="237">
        <v>327040</v>
      </c>
      <c r="D47" s="237">
        <v>327040</v>
      </c>
      <c r="E47" s="237">
        <v>327040</v>
      </c>
      <c r="F47" s="237">
        <v>327040</v>
      </c>
      <c r="G47" s="237">
        <v>327040</v>
      </c>
      <c r="H47" s="237">
        <v>327040</v>
      </c>
      <c r="I47" s="237">
        <v>327040</v>
      </c>
      <c r="J47" s="237">
        <v>327040</v>
      </c>
      <c r="K47" s="237">
        <v>327040</v>
      </c>
      <c r="L47" s="237">
        <v>327040</v>
      </c>
      <c r="M47" s="237">
        <v>327040</v>
      </c>
      <c r="N47" s="232">
        <v>325630</v>
      </c>
      <c r="O47" s="237">
        <v>327040</v>
      </c>
      <c r="P47" s="237">
        <v>325390</v>
      </c>
      <c r="Q47" s="237">
        <v>325630</v>
      </c>
      <c r="R47" s="237">
        <v>325630</v>
      </c>
      <c r="S47" s="237">
        <v>325630</v>
      </c>
      <c r="T47" s="237">
        <v>325630</v>
      </c>
      <c r="U47" s="237">
        <v>1536830</v>
      </c>
      <c r="V47" s="237">
        <v>1536830</v>
      </c>
      <c r="W47" s="237">
        <v>1536830</v>
      </c>
      <c r="X47" s="237">
        <v>1536830</v>
      </c>
      <c r="Y47" s="237">
        <v>1536830</v>
      </c>
      <c r="Z47" s="237">
        <v>1536830</v>
      </c>
      <c r="AA47" s="243">
        <v>1536050</v>
      </c>
      <c r="AB47" s="256">
        <v>1536830</v>
      </c>
      <c r="AC47" s="258">
        <v>1536830</v>
      </c>
      <c r="AD47" s="258">
        <v>1536050</v>
      </c>
      <c r="AE47" s="258">
        <v>1536050</v>
      </c>
      <c r="AF47" s="256">
        <v>1536050</v>
      </c>
      <c r="AG47" s="256">
        <v>1536050</v>
      </c>
      <c r="AH47" s="256">
        <v>1536050</v>
      </c>
      <c r="AI47" s="295">
        <v>1536050</v>
      </c>
      <c r="AJ47" s="297">
        <v>1536050</v>
      </c>
    </row>
    <row r="48" spans="1:38" ht="12.75">
      <c r="A48" s="110" t="s">
        <v>60</v>
      </c>
      <c r="B48" s="238">
        <v>0</v>
      </c>
      <c r="C48" s="238">
        <v>0</v>
      </c>
      <c r="D48" s="238">
        <v>0</v>
      </c>
      <c r="E48" s="238">
        <v>0</v>
      </c>
      <c r="F48" s="238">
        <v>0</v>
      </c>
      <c r="G48" s="238">
        <v>0</v>
      </c>
      <c r="H48" s="238">
        <v>0</v>
      </c>
      <c r="I48" s="238">
        <v>0</v>
      </c>
      <c r="J48" s="238">
        <v>0</v>
      </c>
      <c r="K48" s="238">
        <v>0</v>
      </c>
      <c r="L48" s="238">
        <v>0</v>
      </c>
      <c r="M48" s="238">
        <v>0</v>
      </c>
      <c r="N48" s="232"/>
      <c r="O48" s="238">
        <v>0</v>
      </c>
      <c r="P48" s="238">
        <v>0</v>
      </c>
      <c r="Q48" s="238">
        <v>0</v>
      </c>
      <c r="R48" s="238">
        <v>0</v>
      </c>
      <c r="S48" s="238">
        <v>0</v>
      </c>
      <c r="T48" s="238">
        <v>0</v>
      </c>
      <c r="U48" s="238">
        <v>0</v>
      </c>
      <c r="V48" s="238">
        <v>0</v>
      </c>
      <c r="W48" s="238">
        <v>0</v>
      </c>
      <c r="X48" s="238">
        <v>0</v>
      </c>
      <c r="Y48" s="238">
        <v>0</v>
      </c>
      <c r="Z48" s="238">
        <v>0</v>
      </c>
      <c r="AB48" s="255">
        <v>0</v>
      </c>
      <c r="AC48" s="257">
        <v>0</v>
      </c>
      <c r="AD48" s="257">
        <v>0</v>
      </c>
      <c r="AE48" s="257">
        <v>0</v>
      </c>
      <c r="AF48" s="255">
        <v>0</v>
      </c>
      <c r="AG48" s="255">
        <v>0</v>
      </c>
      <c r="AH48" s="255">
        <v>0</v>
      </c>
      <c r="AI48" s="294">
        <v>0</v>
      </c>
      <c r="AJ48" s="296">
        <v>0</v>
      </c>
    </row>
    <row r="49" spans="1:38" ht="12.75">
      <c r="A49" s="110" t="s">
        <v>61</v>
      </c>
      <c r="B49" s="238">
        <v>0</v>
      </c>
      <c r="C49" s="238">
        <v>0</v>
      </c>
      <c r="D49" s="238">
        <v>0</v>
      </c>
      <c r="E49" s="238">
        <v>0</v>
      </c>
      <c r="F49" s="238">
        <v>0</v>
      </c>
      <c r="G49" s="238">
        <v>0</v>
      </c>
      <c r="H49" s="238">
        <v>0</v>
      </c>
      <c r="I49" s="238">
        <v>0</v>
      </c>
      <c r="J49" s="238">
        <v>0</v>
      </c>
      <c r="K49" s="238">
        <v>0</v>
      </c>
      <c r="L49" s="238">
        <v>0</v>
      </c>
      <c r="M49" s="238">
        <v>0</v>
      </c>
      <c r="N49" s="232"/>
      <c r="O49" s="238">
        <v>0</v>
      </c>
      <c r="P49" s="238">
        <v>0</v>
      </c>
      <c r="Q49" s="238">
        <v>0</v>
      </c>
      <c r="R49" s="238">
        <v>0</v>
      </c>
      <c r="S49" s="238">
        <v>0</v>
      </c>
      <c r="T49" s="238">
        <v>0</v>
      </c>
      <c r="U49" s="238">
        <v>0</v>
      </c>
      <c r="V49" s="238">
        <v>0</v>
      </c>
      <c r="W49" s="238">
        <v>0</v>
      </c>
      <c r="X49" s="238">
        <v>0</v>
      </c>
      <c r="Y49" s="238">
        <v>0</v>
      </c>
      <c r="Z49" s="238">
        <v>0</v>
      </c>
      <c r="AB49" s="255">
        <v>0</v>
      </c>
      <c r="AC49" s="257">
        <v>0</v>
      </c>
      <c r="AD49" s="257">
        <v>0</v>
      </c>
      <c r="AE49" s="257">
        <v>0</v>
      </c>
      <c r="AF49" s="255">
        <v>0</v>
      </c>
      <c r="AG49" s="255">
        <v>0</v>
      </c>
      <c r="AH49" s="255">
        <v>0</v>
      </c>
      <c r="AI49" s="294">
        <v>0</v>
      </c>
      <c r="AJ49" s="296">
        <v>0</v>
      </c>
    </row>
    <row r="50" spans="1:38" s="105" customFormat="1" ht="14.25">
      <c r="A50" s="103" t="s">
        <v>62</v>
      </c>
      <c r="B50" s="161">
        <f>SUM(B39,B40,B41,B44)</f>
        <v>14160059.640000001</v>
      </c>
      <c r="C50" s="161">
        <f t="shared" ref="C50:N50" si="20">SUM(C39,C40,C41,C44)</f>
        <v>14363790.92</v>
      </c>
      <c r="D50" s="161">
        <f t="shared" si="20"/>
        <v>13659876.5</v>
      </c>
      <c r="E50" s="161">
        <f t="shared" si="20"/>
        <v>13034028.73</v>
      </c>
      <c r="F50" s="161">
        <f t="shared" si="20"/>
        <v>13949670.32</v>
      </c>
      <c r="G50" s="161">
        <f t="shared" si="20"/>
        <v>14842777.720000001</v>
      </c>
      <c r="H50" s="161">
        <f t="shared" si="20"/>
        <v>15152139.16</v>
      </c>
      <c r="I50" s="161">
        <f t="shared" si="20"/>
        <v>15814404.18</v>
      </c>
      <c r="J50" s="161">
        <f t="shared" si="20"/>
        <v>16297290.48</v>
      </c>
      <c r="K50" s="161">
        <f t="shared" si="20"/>
        <v>16607638.510000002</v>
      </c>
      <c r="L50" s="161">
        <f t="shared" si="20"/>
        <v>16878204.210000001</v>
      </c>
      <c r="M50" s="161">
        <f t="shared" si="20"/>
        <v>17444582.899999999</v>
      </c>
      <c r="N50" s="161">
        <f t="shared" si="20"/>
        <v>15603894</v>
      </c>
      <c r="O50" s="161">
        <f t="shared" ref="O50:Z50" si="21">SUM(O39,O40,O41,O44)</f>
        <v>17620562.620000001</v>
      </c>
      <c r="P50" s="161">
        <f t="shared" si="21"/>
        <v>18279603.030000001</v>
      </c>
      <c r="Q50" s="161">
        <f t="shared" si="21"/>
        <v>15973343.640000001</v>
      </c>
      <c r="R50" s="161">
        <f t="shared" si="21"/>
        <v>16198077.84</v>
      </c>
      <c r="S50" s="161">
        <f t="shared" si="21"/>
        <v>16244010.07</v>
      </c>
      <c r="T50" s="161">
        <f t="shared" si="21"/>
        <v>16377482.870000001</v>
      </c>
      <c r="U50" s="161">
        <f t="shared" si="21"/>
        <v>17964173.060000002</v>
      </c>
      <c r="V50" s="161">
        <f t="shared" si="21"/>
        <v>18467231.66</v>
      </c>
      <c r="W50" s="161">
        <f t="shared" si="21"/>
        <v>18665186.060000002</v>
      </c>
      <c r="X50" s="161">
        <f t="shared" si="21"/>
        <v>19654737.390000001</v>
      </c>
      <c r="Y50" s="161">
        <f t="shared" si="21"/>
        <v>21289196.649999999</v>
      </c>
      <c r="Z50" s="161">
        <f t="shared" si="21"/>
        <v>21595494.259999998</v>
      </c>
      <c r="AA50" s="161">
        <f t="shared" ref="AA50:AF50" si="22">SUM(AA39,AA40,AA41,AA44)</f>
        <v>19350690</v>
      </c>
      <c r="AB50" s="161">
        <f t="shared" si="22"/>
        <v>21690776.989999998</v>
      </c>
      <c r="AC50" s="161">
        <f t="shared" si="22"/>
        <v>16496195</v>
      </c>
      <c r="AD50" s="161">
        <f t="shared" si="22"/>
        <v>14160410.609999999</v>
      </c>
      <c r="AE50" s="161">
        <f t="shared" si="22"/>
        <v>19987725.329999998</v>
      </c>
      <c r="AF50" s="269">
        <f t="shared" si="22"/>
        <v>20521002.289999999</v>
      </c>
      <c r="AG50" s="269">
        <f t="shared" ref="AG50:AI50" si="23">SUM(AG39,AG40,AG41,AG44)</f>
        <v>20367560.189999998</v>
      </c>
      <c r="AH50" s="269">
        <f t="shared" si="23"/>
        <v>21369140.990000002</v>
      </c>
      <c r="AI50" s="269">
        <f t="shared" si="23"/>
        <v>22187199.73</v>
      </c>
      <c r="AJ50" s="269">
        <f t="shared" ref="AJ50:AL50" si="24">SUM(AJ39,AJ40,AJ41,AJ44)</f>
        <v>22326792.550000001</v>
      </c>
      <c r="AK50" s="269">
        <f t="shared" si="24"/>
        <v>0</v>
      </c>
      <c r="AL50" s="269">
        <f t="shared" si="24"/>
        <v>0</v>
      </c>
    </row>
    <row r="51" spans="1:38" s="105" customFormat="1" ht="14.25">
      <c r="A51" s="103" t="s">
        <v>63</v>
      </c>
      <c r="B51" s="161">
        <f>SUM(B38,B50)</f>
        <v>63147089.079999998</v>
      </c>
      <c r="C51" s="161">
        <f t="shared" ref="C51:N51" si="25">SUM(C38,C50)</f>
        <v>63013382.799999997</v>
      </c>
      <c r="D51" s="161">
        <f t="shared" si="25"/>
        <v>63197519.299999997</v>
      </c>
      <c r="E51" s="161">
        <f t="shared" si="25"/>
        <v>61811011.640000001</v>
      </c>
      <c r="F51" s="161">
        <f t="shared" si="25"/>
        <v>62923133.220000006</v>
      </c>
      <c r="G51" s="161">
        <f t="shared" si="25"/>
        <v>62987844.099999994</v>
      </c>
      <c r="H51" s="161">
        <f t="shared" si="25"/>
        <v>63480207.609999999</v>
      </c>
      <c r="I51" s="161">
        <f t="shared" si="25"/>
        <v>64044839.659999996</v>
      </c>
      <c r="J51" s="161">
        <f t="shared" si="25"/>
        <v>64498603.980000004</v>
      </c>
      <c r="K51" s="161">
        <f t="shared" si="25"/>
        <v>65135639.349999994</v>
      </c>
      <c r="L51" s="161">
        <f t="shared" si="25"/>
        <v>65908239.969999999</v>
      </c>
      <c r="M51" s="161">
        <f t="shared" si="25"/>
        <v>66204049.890000001</v>
      </c>
      <c r="N51" s="161">
        <f t="shared" si="25"/>
        <v>66045913</v>
      </c>
      <c r="O51" s="161">
        <f t="shared" ref="O51:Z51" si="26">SUM(O38,O50)</f>
        <v>65863514.890000001</v>
      </c>
      <c r="P51" s="161">
        <f t="shared" si="26"/>
        <v>66914576.589999996</v>
      </c>
      <c r="Q51" s="161">
        <f t="shared" si="26"/>
        <v>67114974.310000002</v>
      </c>
      <c r="R51" s="161">
        <f t="shared" si="26"/>
        <v>68156748.060000002</v>
      </c>
      <c r="S51" s="161">
        <f t="shared" si="26"/>
        <v>67729653.450000003</v>
      </c>
      <c r="T51" s="161">
        <f t="shared" si="26"/>
        <v>67730204.760000005</v>
      </c>
      <c r="U51" s="161">
        <f t="shared" si="26"/>
        <v>69250986.980000004</v>
      </c>
      <c r="V51" s="161">
        <f t="shared" si="26"/>
        <v>70112043.899999991</v>
      </c>
      <c r="W51" s="161">
        <f t="shared" si="26"/>
        <v>70548741.729999989</v>
      </c>
      <c r="X51" s="161">
        <f t="shared" si="26"/>
        <v>72213168.419999987</v>
      </c>
      <c r="Y51" s="161">
        <f t="shared" si="26"/>
        <v>74309750.430000007</v>
      </c>
      <c r="Z51" s="161">
        <f t="shared" si="26"/>
        <v>74474916.539999992</v>
      </c>
      <c r="AA51" s="161">
        <f t="shared" ref="AA51:AF51" si="27">SUM(AA38,AA50)</f>
        <v>74532016</v>
      </c>
      <c r="AB51" s="161">
        <f t="shared" si="27"/>
        <v>74825876.030000001</v>
      </c>
      <c r="AC51" s="161">
        <f t="shared" si="27"/>
        <v>69877338.280000001</v>
      </c>
      <c r="AD51" s="161">
        <f t="shared" si="27"/>
        <v>69909852.859999999</v>
      </c>
      <c r="AE51" s="161">
        <f t="shared" si="27"/>
        <v>74734138.310000002</v>
      </c>
      <c r="AF51" s="269">
        <f t="shared" si="27"/>
        <v>75132989.590000004</v>
      </c>
      <c r="AG51" s="269">
        <f t="shared" ref="AG51:AI51" si="28">SUM(AG38,AG50)</f>
        <v>75360726.799999997</v>
      </c>
      <c r="AH51" s="269">
        <f t="shared" si="28"/>
        <v>76297290.140000001</v>
      </c>
      <c r="AI51" s="269">
        <f t="shared" si="28"/>
        <v>77730794.329999998</v>
      </c>
      <c r="AJ51" s="269">
        <f t="shared" ref="AJ51:AL51" si="29">SUM(AJ38,AJ50)</f>
        <v>77572130.519999996</v>
      </c>
      <c r="AK51" s="269">
        <f t="shared" si="29"/>
        <v>0</v>
      </c>
      <c r="AL51" s="269">
        <f t="shared" si="29"/>
        <v>0</v>
      </c>
    </row>
    <row r="52" spans="1:38" ht="14.1">
      <c r="A52" s="106"/>
      <c r="B52" s="165">
        <f t="shared" ref="B52:G52" si="30">B26-B51</f>
        <v>-7.0000000298023224E-2</v>
      </c>
      <c r="C52" s="165">
        <f t="shared" si="30"/>
        <v>-1.9999995827674866E-2</v>
      </c>
      <c r="D52" s="165">
        <f t="shared" si="30"/>
        <v>0</v>
      </c>
      <c r="E52" s="165">
        <f t="shared" si="30"/>
        <v>0</v>
      </c>
      <c r="F52" s="165">
        <f t="shared" si="30"/>
        <v>0</v>
      </c>
      <c r="G52" s="165">
        <f t="shared" si="30"/>
        <v>0</v>
      </c>
      <c r="H52" s="165"/>
      <c r="I52" s="165"/>
      <c r="J52" s="165"/>
      <c r="K52" s="165"/>
      <c r="L52" s="165"/>
      <c r="M52" s="165"/>
      <c r="O52" s="161" t="e">
        <f>SUM(O39,#REF!)</f>
        <v>#REF!</v>
      </c>
      <c r="P52" s="161" t="e">
        <f>SUM(P39,#REF!)</f>
        <v>#REF!</v>
      </c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245">
        <f>AA51-AA26</f>
        <v>0.75</v>
      </c>
      <c r="AB52" s="245">
        <f t="shared" ref="AB52:AF52" si="31">AB51-AB26</f>
        <v>0</v>
      </c>
      <c r="AC52" s="245">
        <f t="shared" si="31"/>
        <v>-5206382</v>
      </c>
      <c r="AD52" s="245">
        <f t="shared" si="31"/>
        <v>-5766206.0000000149</v>
      </c>
      <c r="AE52" s="245">
        <f t="shared" si="31"/>
        <v>0</v>
      </c>
      <c r="AF52" s="245">
        <f t="shared" si="31"/>
        <v>0</v>
      </c>
      <c r="AG52" s="245">
        <f t="shared" ref="AG52:AI52" si="32">AG51-AG26</f>
        <v>0</v>
      </c>
      <c r="AH52" s="245">
        <f t="shared" si="32"/>
        <v>0</v>
      </c>
      <c r="AI52" s="245">
        <f t="shared" si="32"/>
        <v>0</v>
      </c>
    </row>
    <row r="61" spans="1:38">
      <c r="N61" s="231"/>
    </row>
    <row r="63" spans="1:38">
      <c r="L63" s="231"/>
    </row>
  </sheetData>
  <pageMargins left="0.7" right="0.7" top="0.75" bottom="0.75" header="0.3" footer="0.3"/>
  <pageSetup scale="2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8"/>
  <sheetViews>
    <sheetView tabSelected="1" topLeftCell="A19" zoomScale="85" zoomScaleNormal="85" workbookViewId="0">
      <pane xSplit="1" topLeftCell="AE1" activePane="topRight" state="frozen"/>
      <selection pane="topRight" activeCell="AI36" sqref="AI36:AJ36"/>
    </sheetView>
  </sheetViews>
  <sheetFormatPr defaultColWidth="8.85546875" defaultRowHeight="12.95"/>
  <cols>
    <col min="1" max="1" width="38.140625" style="95" customWidth="1"/>
    <col min="2" max="2" width="18.42578125" style="95" customWidth="1"/>
    <col min="3" max="3" width="18.42578125" style="95" bestFit="1" customWidth="1"/>
    <col min="4" max="5" width="18.42578125" style="95" customWidth="1"/>
    <col min="6" max="6" width="18.42578125" style="95" bestFit="1" customWidth="1"/>
    <col min="7" max="8" width="18.42578125" style="95" customWidth="1"/>
    <col min="9" max="10" width="16.42578125" style="95" bestFit="1" customWidth="1"/>
    <col min="11" max="11" width="13.85546875" style="95" bestFit="1" customWidth="1"/>
    <col min="12" max="13" width="16.42578125" style="95" bestFit="1" customWidth="1"/>
    <col min="14" max="14" width="15.140625" style="98" bestFit="1" customWidth="1"/>
    <col min="15" max="15" width="13.42578125" style="95" bestFit="1" customWidth="1"/>
    <col min="16" max="25" width="15.140625" style="95" bestFit="1" customWidth="1"/>
    <col min="26" max="26" width="16.140625" style="95" bestFit="1" customWidth="1"/>
    <col min="27" max="27" width="27.42578125" style="95" customWidth="1"/>
    <col min="28" max="28" width="18.42578125" style="95" customWidth="1"/>
    <col min="29" max="29" width="18" style="95" customWidth="1"/>
    <col min="30" max="30" width="21.140625" style="95" customWidth="1"/>
    <col min="31" max="31" width="19.28515625" style="95" customWidth="1"/>
    <col min="32" max="36" width="15.28515625" style="95" bestFit="1" customWidth="1"/>
    <col min="37" max="16384" width="8.85546875" style="95"/>
  </cols>
  <sheetData>
    <row r="1" spans="1:38">
      <c r="A1" s="97" t="s">
        <v>64</v>
      </c>
    </row>
    <row r="2" spans="1:38" s="97" customFormat="1">
      <c r="A2" s="97" t="s">
        <v>65</v>
      </c>
      <c r="B2" s="168" t="s">
        <v>66</v>
      </c>
      <c r="C2" s="168" t="s">
        <v>67</v>
      </c>
      <c r="D2" s="168" t="s">
        <v>68</v>
      </c>
      <c r="E2" s="168" t="s">
        <v>69</v>
      </c>
      <c r="F2" s="168" t="s">
        <v>70</v>
      </c>
      <c r="G2" s="168" t="s">
        <v>71</v>
      </c>
      <c r="H2" s="168" t="s">
        <v>72</v>
      </c>
      <c r="I2" s="168" t="s">
        <v>73</v>
      </c>
      <c r="J2" s="168" t="s">
        <v>74</v>
      </c>
      <c r="K2" s="168" t="s">
        <v>75</v>
      </c>
      <c r="L2" s="168" t="s">
        <v>76</v>
      </c>
      <c r="M2" s="168" t="s">
        <v>77</v>
      </c>
      <c r="N2" s="230" t="s">
        <v>78</v>
      </c>
      <c r="O2" s="242">
        <v>44562</v>
      </c>
      <c r="P2" s="242">
        <v>44593</v>
      </c>
      <c r="Q2" s="242">
        <v>44621</v>
      </c>
      <c r="R2" s="242">
        <v>44652</v>
      </c>
      <c r="S2" s="242">
        <v>44682</v>
      </c>
      <c r="T2" s="242">
        <v>44713</v>
      </c>
      <c r="U2" s="242">
        <v>44743</v>
      </c>
      <c r="V2" s="242">
        <v>44774</v>
      </c>
      <c r="W2" s="242">
        <v>44805</v>
      </c>
      <c r="X2" s="242">
        <v>44835</v>
      </c>
      <c r="Y2" s="242">
        <v>44866</v>
      </c>
      <c r="Z2" s="242">
        <v>44896</v>
      </c>
      <c r="AA2" s="242" t="s">
        <v>15</v>
      </c>
      <c r="AB2" s="242">
        <v>44927</v>
      </c>
      <c r="AC2" s="242">
        <v>44958</v>
      </c>
      <c r="AD2" s="242">
        <v>44986</v>
      </c>
      <c r="AE2" s="242">
        <v>45017</v>
      </c>
      <c r="AF2" s="242">
        <v>45047</v>
      </c>
      <c r="AG2" s="242">
        <v>45078</v>
      </c>
      <c r="AH2" s="242">
        <v>45108</v>
      </c>
      <c r="AI2" s="242">
        <v>45139</v>
      </c>
      <c r="AJ2" s="242">
        <v>45170</v>
      </c>
      <c r="AK2" s="242">
        <v>45200</v>
      </c>
    </row>
    <row r="3" spans="1:38" s="96" customFormat="1" ht="14.25">
      <c r="A3" s="68" t="s">
        <v>79</v>
      </c>
      <c r="B3" s="124">
        <f t="shared" ref="B3:N3" si="0">B4+B7</f>
        <v>627685.11</v>
      </c>
      <c r="C3" s="124">
        <f t="shared" si="0"/>
        <v>1484673.5999999999</v>
      </c>
      <c r="D3" s="124">
        <f t="shared" si="0"/>
        <v>2163427.83</v>
      </c>
      <c r="E3" s="124">
        <f t="shared" si="0"/>
        <v>2671685.7199999997</v>
      </c>
      <c r="F3" s="124">
        <f t="shared" si="0"/>
        <v>3324884.34</v>
      </c>
      <c r="G3" s="124">
        <f t="shared" si="0"/>
        <v>3889010.78</v>
      </c>
      <c r="H3" s="124">
        <f t="shared" si="0"/>
        <v>4604034.8</v>
      </c>
      <c r="I3" s="124">
        <f t="shared" si="0"/>
        <v>5334046.75</v>
      </c>
      <c r="J3" s="124">
        <f t="shared" si="0"/>
        <v>6120352.9800000004</v>
      </c>
      <c r="K3" s="124">
        <f t="shared" si="0"/>
        <v>6120352.9800000004</v>
      </c>
      <c r="L3" s="124">
        <f t="shared" si="0"/>
        <v>7362980.8000000007</v>
      </c>
      <c r="M3" s="124">
        <f t="shared" si="0"/>
        <v>8108788.8799999999</v>
      </c>
      <c r="N3" s="164">
        <f t="shared" si="0"/>
        <v>8346343</v>
      </c>
      <c r="O3" s="164">
        <f t="shared" ref="O3:AE3" si="1">O4+O7</f>
        <v>505852.81</v>
      </c>
      <c r="P3" s="164">
        <f t="shared" si="1"/>
        <v>1104143.06</v>
      </c>
      <c r="Q3" s="164">
        <f t="shared" si="1"/>
        <v>1553430.8</v>
      </c>
      <c r="R3" s="164">
        <f t="shared" si="1"/>
        <v>2352621.0500000003</v>
      </c>
      <c r="S3" s="164">
        <f t="shared" si="1"/>
        <v>2979230.75</v>
      </c>
      <c r="T3" s="164">
        <f t="shared" si="1"/>
        <v>3640578.5500000003</v>
      </c>
      <c r="U3" s="164">
        <f t="shared" si="1"/>
        <v>4517393.9399999995</v>
      </c>
      <c r="V3" s="164">
        <f t="shared" si="1"/>
        <v>5309642.91</v>
      </c>
      <c r="W3" s="164">
        <f t="shared" si="1"/>
        <v>5858899.29</v>
      </c>
      <c r="X3" s="164">
        <f t="shared" si="1"/>
        <v>6618225.0999999996</v>
      </c>
      <c r="Y3" s="164">
        <f t="shared" si="1"/>
        <v>7539552.2899999991</v>
      </c>
      <c r="Z3" s="164">
        <f t="shared" si="1"/>
        <v>8181843.8999999994</v>
      </c>
      <c r="AA3" s="164">
        <f t="shared" si="1"/>
        <v>8181844</v>
      </c>
      <c r="AB3" s="164">
        <f t="shared" si="1"/>
        <v>787151.14</v>
      </c>
      <c r="AC3" s="164">
        <f t="shared" si="1"/>
        <v>1545672.74</v>
      </c>
      <c r="AD3" s="164">
        <f t="shared" si="1"/>
        <v>2766454.21</v>
      </c>
      <c r="AE3" s="164">
        <f t="shared" si="1"/>
        <v>3654228.38</v>
      </c>
      <c r="AF3" s="270">
        <f t="shared" ref="AF3:AG3" si="2">AF4+AF7</f>
        <v>4777224.0199999996</v>
      </c>
      <c r="AG3" s="270">
        <f t="shared" si="2"/>
        <v>5505333.79</v>
      </c>
      <c r="AH3" s="270">
        <f t="shared" ref="AH3:AI3" si="3">AH4+AH7</f>
        <v>6320926.6499999994</v>
      </c>
      <c r="AI3" s="270">
        <f t="shared" si="3"/>
        <v>7454065.8700000001</v>
      </c>
      <c r="AJ3" s="270">
        <f t="shared" ref="AJ3:AK3" si="4">AJ4+AJ7</f>
        <v>8494829.5600000005</v>
      </c>
      <c r="AK3" s="270">
        <f t="shared" si="4"/>
        <v>0</v>
      </c>
    </row>
    <row r="4" spans="1:38" s="148" customFormat="1" ht="14.25">
      <c r="A4" s="146" t="s">
        <v>80</v>
      </c>
      <c r="B4" s="124">
        <f t="shared" ref="B4:N4" si="5">SUM(B5:B6)</f>
        <v>588407.36</v>
      </c>
      <c r="C4" s="124">
        <f t="shared" si="5"/>
        <v>1405691.89</v>
      </c>
      <c r="D4" s="124">
        <f t="shared" si="5"/>
        <v>2057061.29</v>
      </c>
      <c r="E4" s="124">
        <f t="shared" si="5"/>
        <v>2533705.34</v>
      </c>
      <c r="F4" s="124">
        <f t="shared" si="5"/>
        <v>3160522.4699999997</v>
      </c>
      <c r="G4" s="124">
        <f t="shared" si="5"/>
        <v>3712002.96</v>
      </c>
      <c r="H4" s="124">
        <f t="shared" si="5"/>
        <v>4370844.66</v>
      </c>
      <c r="I4" s="124">
        <f t="shared" si="5"/>
        <v>5066122.84</v>
      </c>
      <c r="J4" s="124">
        <f t="shared" si="5"/>
        <v>5818165.3900000006</v>
      </c>
      <c r="K4" s="124">
        <f t="shared" si="5"/>
        <v>5818165.3900000006</v>
      </c>
      <c r="L4" s="124">
        <f t="shared" si="5"/>
        <v>6996454.7300000004</v>
      </c>
      <c r="M4" s="124">
        <f t="shared" si="5"/>
        <v>7586303.3300000001</v>
      </c>
      <c r="N4" s="164">
        <f t="shared" si="5"/>
        <v>7866908</v>
      </c>
      <c r="O4" s="164">
        <f t="shared" ref="O4:AE4" si="6">SUM(O5:O6)</f>
        <v>464864.01</v>
      </c>
      <c r="P4" s="164">
        <f t="shared" si="6"/>
        <v>1050183.26</v>
      </c>
      <c r="Q4" s="164">
        <f t="shared" si="6"/>
        <v>1422729.21</v>
      </c>
      <c r="R4" s="164">
        <f t="shared" si="6"/>
        <v>2168369.9500000002</v>
      </c>
      <c r="S4" s="164">
        <f t="shared" si="6"/>
        <v>2731199.5</v>
      </c>
      <c r="T4" s="164">
        <f t="shared" si="6"/>
        <v>3273768.93</v>
      </c>
      <c r="U4" s="164">
        <f t="shared" si="6"/>
        <v>4096937.86</v>
      </c>
      <c r="V4" s="164">
        <f t="shared" si="6"/>
        <v>4791266.13</v>
      </c>
      <c r="W4" s="164">
        <f t="shared" si="6"/>
        <v>5287876.84</v>
      </c>
      <c r="X4" s="164">
        <f t="shared" si="6"/>
        <v>5995370.46</v>
      </c>
      <c r="Y4" s="164">
        <f t="shared" si="6"/>
        <v>6879630.6999999993</v>
      </c>
      <c r="Z4" s="164">
        <f t="shared" si="6"/>
        <v>7366895.8599999994</v>
      </c>
      <c r="AA4" s="164">
        <f t="shared" si="6"/>
        <v>7630611</v>
      </c>
      <c r="AB4" s="164">
        <f t="shared" si="6"/>
        <v>757186.5</v>
      </c>
      <c r="AC4" s="164">
        <f t="shared" si="6"/>
        <v>1378040.08</v>
      </c>
      <c r="AD4" s="164">
        <f t="shared" si="6"/>
        <v>2412560.6799999997</v>
      </c>
      <c r="AE4" s="164">
        <f t="shared" si="6"/>
        <v>3004315.1799999997</v>
      </c>
      <c r="AF4" s="270">
        <f t="shared" ref="AF4:AG4" si="7">SUM(AF5:AF6)</f>
        <v>4058154.34</v>
      </c>
      <c r="AG4" s="270">
        <f t="shared" si="7"/>
        <v>4622791.04</v>
      </c>
      <c r="AH4" s="270">
        <f t="shared" ref="AH4:AI4" si="8">SUM(AH5:AH6)</f>
        <v>5330599.43</v>
      </c>
      <c r="AI4" s="270">
        <f t="shared" si="8"/>
        <v>6374177.1500000004</v>
      </c>
      <c r="AJ4" s="270">
        <f t="shared" ref="AJ4:AK4" si="9">SUM(AJ5:AJ6)</f>
        <v>7319184.0500000007</v>
      </c>
      <c r="AK4" s="270">
        <f t="shared" si="9"/>
        <v>0</v>
      </c>
    </row>
    <row r="5" spans="1:38" ht="14.25">
      <c r="A5" s="66" t="s">
        <v>81</v>
      </c>
      <c r="B5" s="241">
        <v>417187.46</v>
      </c>
      <c r="C5" s="241">
        <v>891941.19</v>
      </c>
      <c r="D5" s="241">
        <v>1413892.59</v>
      </c>
      <c r="E5" s="241">
        <v>1839805.4399999999</v>
      </c>
      <c r="F5" s="241">
        <v>2437105.77</v>
      </c>
      <c r="G5" s="241">
        <v>2837543.36</v>
      </c>
      <c r="H5" s="241">
        <v>3202792.76</v>
      </c>
      <c r="I5" s="241">
        <v>3871962.84</v>
      </c>
      <c r="J5" s="241">
        <v>4415056.6900000004</v>
      </c>
      <c r="K5" s="241">
        <v>4415056.6900000004</v>
      </c>
      <c r="L5" s="241">
        <v>5329709.2300000004</v>
      </c>
      <c r="M5" s="241">
        <v>5776188.4299999997</v>
      </c>
      <c r="N5" s="228">
        <v>5776188</v>
      </c>
      <c r="O5" s="241">
        <v>442271.21</v>
      </c>
      <c r="P5" s="241">
        <v>801751.26</v>
      </c>
      <c r="Q5" s="241">
        <v>1092433.6100000001</v>
      </c>
      <c r="R5" s="241">
        <v>1516779.65</v>
      </c>
      <c r="S5" s="241">
        <v>1957729.6</v>
      </c>
      <c r="T5" s="241">
        <v>2435134.83</v>
      </c>
      <c r="U5" s="241">
        <v>2810794.26</v>
      </c>
      <c r="V5" s="241">
        <v>3303691.03</v>
      </c>
      <c r="W5" s="241">
        <v>3665321.34</v>
      </c>
      <c r="X5" s="241">
        <v>4095515.86</v>
      </c>
      <c r="Y5" s="241">
        <v>4532050.8</v>
      </c>
      <c r="Z5" s="241">
        <v>4883184.5599999996</v>
      </c>
      <c r="AA5" s="243">
        <v>4883185</v>
      </c>
      <c r="AB5" s="260">
        <v>558194.69999999995</v>
      </c>
      <c r="AC5" s="262">
        <v>913081.28</v>
      </c>
      <c r="AD5" s="262">
        <v>1466053.88</v>
      </c>
      <c r="AE5" s="262">
        <v>1937205.88</v>
      </c>
      <c r="AF5" s="260">
        <v>2535553.94</v>
      </c>
      <c r="AG5" s="260">
        <v>3012247.14</v>
      </c>
      <c r="AH5" s="260">
        <v>3519438.13</v>
      </c>
      <c r="AI5" s="299">
        <v>4103345.15</v>
      </c>
      <c r="AJ5" s="301">
        <v>4731921.95</v>
      </c>
    </row>
    <row r="6" spans="1:38" ht="14.25">
      <c r="A6" s="66" t="s">
        <v>82</v>
      </c>
      <c r="B6" s="241">
        <v>171219.9</v>
      </c>
      <c r="C6" s="241">
        <v>513750.7</v>
      </c>
      <c r="D6" s="241">
        <v>643168.69999999995</v>
      </c>
      <c r="E6" s="241">
        <v>693899.9</v>
      </c>
      <c r="F6" s="241">
        <v>723416.7</v>
      </c>
      <c r="G6" s="241">
        <v>874459.6</v>
      </c>
      <c r="H6" s="241">
        <v>1168051.8999999999</v>
      </c>
      <c r="I6" s="241">
        <v>1194160</v>
      </c>
      <c r="J6" s="241">
        <v>1403108.7</v>
      </c>
      <c r="K6" s="241">
        <v>1403108.7</v>
      </c>
      <c r="L6" s="241">
        <v>1666745.5</v>
      </c>
      <c r="M6" s="241">
        <v>1810114.9</v>
      </c>
      <c r="N6" s="98">
        <v>2090720</v>
      </c>
      <c r="O6" s="241">
        <v>22592.799999999999</v>
      </c>
      <c r="P6" s="241">
        <v>248432</v>
      </c>
      <c r="Q6" s="241">
        <v>330295.59999999998</v>
      </c>
      <c r="R6" s="241">
        <v>651590.30000000005</v>
      </c>
      <c r="S6" s="241">
        <v>773469.9</v>
      </c>
      <c r="T6" s="241">
        <v>838634.1</v>
      </c>
      <c r="U6" s="241">
        <v>1286143.6000000001</v>
      </c>
      <c r="V6" s="241">
        <v>1487575.1</v>
      </c>
      <c r="W6" s="241">
        <v>1622555.5</v>
      </c>
      <c r="X6" s="241">
        <v>1899854.6</v>
      </c>
      <c r="Y6" s="241">
        <v>2347579.9</v>
      </c>
      <c r="Z6" s="241">
        <v>2483711.2999999998</v>
      </c>
      <c r="AA6" s="243">
        <v>2747426</v>
      </c>
      <c r="AB6" s="264">
        <v>198991.8</v>
      </c>
      <c r="AC6" s="266">
        <v>464958.8</v>
      </c>
      <c r="AD6" s="266">
        <v>946506.8</v>
      </c>
      <c r="AE6" s="266">
        <v>1067109.3</v>
      </c>
      <c r="AF6" s="264">
        <v>1522600.4</v>
      </c>
      <c r="AG6" s="264">
        <v>1610543.9</v>
      </c>
      <c r="AH6" s="264">
        <v>1811161.3</v>
      </c>
      <c r="AI6" s="303">
        <v>2270832</v>
      </c>
      <c r="AJ6" s="305">
        <v>2587262.1</v>
      </c>
    </row>
    <row r="7" spans="1:38" s="148" customFormat="1" ht="14.25">
      <c r="A7" s="146" t="s">
        <v>83</v>
      </c>
      <c r="B7" s="124">
        <f t="shared" ref="B7:AK7" si="10">SUM(B8:B11)</f>
        <v>39277.75</v>
      </c>
      <c r="C7" s="124">
        <f t="shared" si="10"/>
        <v>78981.710000000006</v>
      </c>
      <c r="D7" s="124">
        <f t="shared" si="10"/>
        <v>106366.54</v>
      </c>
      <c r="E7" s="124">
        <f t="shared" si="10"/>
        <v>137980.38</v>
      </c>
      <c r="F7" s="124">
        <f t="shared" si="10"/>
        <v>164361.87</v>
      </c>
      <c r="G7" s="124">
        <f t="shared" si="10"/>
        <v>177007.82</v>
      </c>
      <c r="H7" s="124">
        <f t="shared" si="10"/>
        <v>233190.14</v>
      </c>
      <c r="I7" s="124">
        <f t="shared" si="10"/>
        <v>267923.90999999997</v>
      </c>
      <c r="J7" s="124">
        <f t="shared" si="10"/>
        <v>302187.58999999997</v>
      </c>
      <c r="K7" s="124">
        <f t="shared" si="10"/>
        <v>302187.58999999997</v>
      </c>
      <c r="L7" s="124">
        <f t="shared" si="10"/>
        <v>366526.06999999995</v>
      </c>
      <c r="M7" s="124">
        <f t="shared" si="10"/>
        <v>522485.54999999993</v>
      </c>
      <c r="N7" s="124">
        <f t="shared" si="10"/>
        <v>479435</v>
      </c>
      <c r="O7" s="124">
        <f t="shared" si="10"/>
        <v>40988.800000000003</v>
      </c>
      <c r="P7" s="124">
        <f t="shared" si="10"/>
        <v>53959.8</v>
      </c>
      <c r="Q7" s="124">
        <f t="shared" si="10"/>
        <v>130701.59</v>
      </c>
      <c r="R7" s="124">
        <f t="shared" si="10"/>
        <v>184251.1</v>
      </c>
      <c r="S7" s="124">
        <f t="shared" si="10"/>
        <v>248031.25</v>
      </c>
      <c r="T7" s="124">
        <f t="shared" si="10"/>
        <v>366809.62</v>
      </c>
      <c r="U7" s="124">
        <f t="shared" si="10"/>
        <v>420456.07999999996</v>
      </c>
      <c r="V7" s="124">
        <f t="shared" si="10"/>
        <v>518376.78</v>
      </c>
      <c r="W7" s="124">
        <f t="shared" si="10"/>
        <v>571022.45000000007</v>
      </c>
      <c r="X7" s="124">
        <f t="shared" si="10"/>
        <v>622854.64</v>
      </c>
      <c r="Y7" s="124">
        <f t="shared" si="10"/>
        <v>659921.59000000008</v>
      </c>
      <c r="Z7" s="124">
        <f t="shared" si="10"/>
        <v>814948.04</v>
      </c>
      <c r="AA7" s="124">
        <f t="shared" si="10"/>
        <v>551233</v>
      </c>
      <c r="AB7" s="124">
        <f t="shared" si="10"/>
        <v>29964.639999999999</v>
      </c>
      <c r="AC7" s="124">
        <f t="shared" si="10"/>
        <v>167632.66</v>
      </c>
      <c r="AD7" s="124">
        <f t="shared" si="10"/>
        <v>353893.53</v>
      </c>
      <c r="AE7" s="124">
        <f t="shared" si="10"/>
        <v>649913.19999999995</v>
      </c>
      <c r="AF7" s="124">
        <f t="shared" si="10"/>
        <v>719069.67999999993</v>
      </c>
      <c r="AG7" s="124">
        <f t="shared" si="10"/>
        <v>882542.75</v>
      </c>
      <c r="AH7" s="124">
        <f t="shared" si="10"/>
        <v>990327.22</v>
      </c>
      <c r="AI7" s="124">
        <f t="shared" si="10"/>
        <v>1079888.72</v>
      </c>
      <c r="AJ7" s="124">
        <f t="shared" si="10"/>
        <v>1175645.5099999998</v>
      </c>
      <c r="AK7" s="124">
        <f t="shared" si="10"/>
        <v>0</v>
      </c>
    </row>
    <row r="8" spans="1:38" ht="12.75">
      <c r="A8" s="66" t="s">
        <v>84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Z8" s="241">
        <v>0</v>
      </c>
      <c r="AB8" s="259">
        <v>0</v>
      </c>
      <c r="AC8" s="261">
        <v>0</v>
      </c>
      <c r="AD8" s="261">
        <v>0</v>
      </c>
      <c r="AE8" s="261">
        <v>0</v>
      </c>
      <c r="AF8" s="259">
        <v>0</v>
      </c>
      <c r="AG8" s="259">
        <v>0</v>
      </c>
      <c r="AH8" s="259">
        <v>0</v>
      </c>
      <c r="AI8" s="298">
        <v>0</v>
      </c>
      <c r="AJ8" s="300">
        <v>0</v>
      </c>
    </row>
    <row r="9" spans="1:38" ht="12.75">
      <c r="A9" s="66" t="s">
        <v>85</v>
      </c>
      <c r="B9" s="241">
        <v>39277.75</v>
      </c>
      <c r="C9" s="241">
        <v>78981.710000000006</v>
      </c>
      <c r="D9" s="241">
        <v>106366.54</v>
      </c>
      <c r="E9" s="241">
        <v>137980.38</v>
      </c>
      <c r="F9" s="241">
        <v>164361.87</v>
      </c>
      <c r="G9" s="241">
        <v>164361.87</v>
      </c>
      <c r="H9" s="241">
        <v>220544.19</v>
      </c>
      <c r="I9" s="241">
        <v>249996</v>
      </c>
      <c r="J9" s="241">
        <v>279129.68</v>
      </c>
      <c r="K9" s="241">
        <v>279129.68</v>
      </c>
      <c r="L9" s="241">
        <v>337782.41</v>
      </c>
      <c r="M9" s="241">
        <v>367874.97</v>
      </c>
      <c r="N9" s="98">
        <v>479435</v>
      </c>
      <c r="O9" s="241">
        <v>32194.799999999999</v>
      </c>
      <c r="P9" s="241">
        <v>32194.799999999999</v>
      </c>
      <c r="Q9" s="241">
        <v>93760.34</v>
      </c>
      <c r="R9" s="241">
        <v>126201.94</v>
      </c>
      <c r="S9" s="241">
        <v>126573.71</v>
      </c>
      <c r="T9" s="241">
        <v>164955.12</v>
      </c>
      <c r="U9" s="241">
        <v>198698.68</v>
      </c>
      <c r="V9" s="241">
        <v>234080.42</v>
      </c>
      <c r="W9" s="241">
        <v>270218.53000000003</v>
      </c>
      <c r="X9" s="241">
        <v>308072.07</v>
      </c>
      <c r="Y9" s="241">
        <v>308072.07</v>
      </c>
      <c r="Z9" s="241">
        <v>421702.48</v>
      </c>
      <c r="AB9" s="263">
        <v>0</v>
      </c>
      <c r="AC9" s="266">
        <v>94822.57</v>
      </c>
      <c r="AD9" s="266">
        <v>215108.67</v>
      </c>
      <c r="AE9" s="266">
        <v>278522.23999999999</v>
      </c>
      <c r="AF9" s="264">
        <v>278522.23999999999</v>
      </c>
      <c r="AG9" s="264">
        <v>413408.49</v>
      </c>
      <c r="AH9" s="264">
        <v>459676.44</v>
      </c>
      <c r="AI9" s="303">
        <v>510117.63</v>
      </c>
      <c r="AJ9" s="305">
        <v>563884.94999999995</v>
      </c>
    </row>
    <row r="10" spans="1:38" ht="25.5">
      <c r="A10" s="66" t="s">
        <v>86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12645.95</v>
      </c>
      <c r="H10" s="241">
        <v>12645.95</v>
      </c>
      <c r="I10" s="241">
        <v>17927.91</v>
      </c>
      <c r="J10" s="241">
        <v>23057.91</v>
      </c>
      <c r="K10" s="241">
        <v>23057.91</v>
      </c>
      <c r="L10" s="241">
        <v>28743.66</v>
      </c>
      <c r="M10" s="241">
        <v>154610.57999999999</v>
      </c>
      <c r="O10" s="241">
        <v>0</v>
      </c>
      <c r="P10" s="241">
        <v>6075</v>
      </c>
      <c r="Q10" s="241">
        <v>6075</v>
      </c>
      <c r="R10" s="241">
        <v>6075</v>
      </c>
      <c r="S10" s="241">
        <v>12502.65</v>
      </c>
      <c r="T10" s="241">
        <v>12502.65</v>
      </c>
      <c r="U10" s="241">
        <v>12502.65</v>
      </c>
      <c r="V10" s="241">
        <v>12502.65</v>
      </c>
      <c r="W10" s="241">
        <v>12502.65</v>
      </c>
      <c r="X10" s="241">
        <v>12502.65</v>
      </c>
      <c r="Y10" s="241">
        <v>26419.5</v>
      </c>
      <c r="Z10" s="241">
        <v>26995</v>
      </c>
      <c r="AB10" s="263">
        <v>0</v>
      </c>
      <c r="AC10" s="266">
        <v>7491</v>
      </c>
      <c r="AD10" s="266">
        <v>18014.22</v>
      </c>
      <c r="AE10" s="266">
        <v>18014.22</v>
      </c>
      <c r="AF10" s="264">
        <v>25861.47</v>
      </c>
      <c r="AG10" s="264">
        <v>25861.47</v>
      </c>
      <c r="AH10" s="264">
        <v>25861.47</v>
      </c>
      <c r="AI10" s="303">
        <v>25861.47</v>
      </c>
      <c r="AJ10" s="305">
        <v>33865.82</v>
      </c>
    </row>
    <row r="11" spans="1:38" ht="25.5">
      <c r="A11" s="66" t="s">
        <v>87</v>
      </c>
      <c r="B11" s="170"/>
      <c r="C11" s="170"/>
      <c r="D11" s="170"/>
      <c r="E11" s="170"/>
      <c r="F11" s="170"/>
      <c r="G11" s="170"/>
      <c r="H11" s="170"/>
      <c r="I11" s="170"/>
      <c r="J11" s="170"/>
      <c r="K11" s="227"/>
      <c r="L11" s="227"/>
      <c r="M11" s="227"/>
      <c r="O11" s="240">
        <v>8794</v>
      </c>
      <c r="P11" s="240">
        <v>15690</v>
      </c>
      <c r="Q11" s="240">
        <v>30866.25</v>
      </c>
      <c r="R11" s="240">
        <v>51974.16</v>
      </c>
      <c r="S11" s="240">
        <v>108954.89</v>
      </c>
      <c r="T11" s="240">
        <v>189351.85</v>
      </c>
      <c r="U11" s="240">
        <v>209254.75</v>
      </c>
      <c r="V11" s="240">
        <v>271793.71000000002</v>
      </c>
      <c r="W11" s="240">
        <v>288301.27</v>
      </c>
      <c r="X11" s="240">
        <v>302279.92</v>
      </c>
      <c r="Y11" s="240">
        <v>325430.02</v>
      </c>
      <c r="Z11" s="240">
        <v>366250.56</v>
      </c>
      <c r="AA11" s="243">
        <v>551233</v>
      </c>
      <c r="AB11" s="267">
        <v>29964.639999999999</v>
      </c>
      <c r="AC11" s="268">
        <v>65319.09</v>
      </c>
      <c r="AD11" s="268">
        <v>120770.64</v>
      </c>
      <c r="AE11" s="268">
        <v>353376.74</v>
      </c>
      <c r="AF11" s="267">
        <v>414685.97</v>
      </c>
      <c r="AG11" s="267">
        <v>443272.79</v>
      </c>
      <c r="AH11" s="267">
        <v>504789.31</v>
      </c>
      <c r="AI11" s="267">
        <v>543909.62</v>
      </c>
      <c r="AJ11" s="268">
        <v>577894.74</v>
      </c>
    </row>
    <row r="12" spans="1:38" s="148" customFormat="1" ht="14.25">
      <c r="A12" s="146" t="s">
        <v>88</v>
      </c>
      <c r="B12" s="124">
        <f t="shared" ref="B12:AL12" si="11">B13+B14+B15+B16+B18+B17</f>
        <v>47066.65</v>
      </c>
      <c r="C12" s="124">
        <f t="shared" si="11"/>
        <v>56473.15</v>
      </c>
      <c r="D12" s="124">
        <f t="shared" si="11"/>
        <v>63238.15</v>
      </c>
      <c r="E12" s="124">
        <f t="shared" si="11"/>
        <v>76174.64</v>
      </c>
      <c r="F12" s="124">
        <f t="shared" si="11"/>
        <v>85204.94</v>
      </c>
      <c r="G12" s="124">
        <f t="shared" si="11"/>
        <v>87912.14</v>
      </c>
      <c r="H12" s="124">
        <f t="shared" si="11"/>
        <v>100493.64</v>
      </c>
      <c r="I12" s="124">
        <f t="shared" si="11"/>
        <v>115953.64</v>
      </c>
      <c r="J12" s="124">
        <f t="shared" si="11"/>
        <v>122872.64</v>
      </c>
      <c r="K12" s="124">
        <f t="shared" si="11"/>
        <v>122872.64</v>
      </c>
      <c r="L12" s="124">
        <f t="shared" si="11"/>
        <v>129108.73999999999</v>
      </c>
      <c r="M12" s="124">
        <f t="shared" si="11"/>
        <v>199221.74</v>
      </c>
      <c r="N12" s="124">
        <f t="shared" si="11"/>
        <v>910470</v>
      </c>
      <c r="O12" s="124">
        <f t="shared" si="11"/>
        <v>4405.1000000000004</v>
      </c>
      <c r="P12" s="124">
        <f t="shared" si="11"/>
        <v>50536.1</v>
      </c>
      <c r="Q12" s="124">
        <f t="shared" si="11"/>
        <v>57226.2</v>
      </c>
      <c r="R12" s="124">
        <f t="shared" si="11"/>
        <v>134711.20000000001</v>
      </c>
      <c r="S12" s="124">
        <f t="shared" si="11"/>
        <v>147389.9</v>
      </c>
      <c r="T12" s="124">
        <f t="shared" si="11"/>
        <v>165824.76999999999</v>
      </c>
      <c r="U12" s="124">
        <f t="shared" si="11"/>
        <v>171532.77</v>
      </c>
      <c r="V12" s="124">
        <f t="shared" si="11"/>
        <v>185387.77</v>
      </c>
      <c r="W12" s="124">
        <f t="shared" si="11"/>
        <v>189092.77</v>
      </c>
      <c r="X12" s="124">
        <f t="shared" si="11"/>
        <v>191672.77</v>
      </c>
      <c r="Y12" s="124">
        <f t="shared" si="11"/>
        <v>201722.77</v>
      </c>
      <c r="Z12" s="124">
        <f t="shared" si="11"/>
        <v>309094.77</v>
      </c>
      <c r="AA12" s="124">
        <f t="shared" si="11"/>
        <v>1451987</v>
      </c>
      <c r="AB12" s="124">
        <f t="shared" si="11"/>
        <v>3492.5</v>
      </c>
      <c r="AC12" s="124">
        <f t="shared" si="11"/>
        <v>49392.5</v>
      </c>
      <c r="AD12" s="124">
        <f t="shared" si="11"/>
        <v>66831.5</v>
      </c>
      <c r="AE12" s="124">
        <f t="shared" si="11"/>
        <v>79240.5</v>
      </c>
      <c r="AF12" s="124">
        <f t="shared" si="11"/>
        <v>168764.5</v>
      </c>
      <c r="AG12" s="124">
        <f t="shared" si="11"/>
        <v>185794.5</v>
      </c>
      <c r="AH12" s="124">
        <f t="shared" si="11"/>
        <v>199505.5</v>
      </c>
      <c r="AI12" s="124">
        <f t="shared" si="11"/>
        <v>211694.5</v>
      </c>
      <c r="AJ12" s="124">
        <f t="shared" si="11"/>
        <v>219049.5</v>
      </c>
      <c r="AK12" s="124">
        <f t="shared" si="11"/>
        <v>0</v>
      </c>
      <c r="AL12" s="124">
        <f t="shared" si="11"/>
        <v>0</v>
      </c>
    </row>
    <row r="13" spans="1:38" ht="14.25">
      <c r="A13" s="66" t="s">
        <v>89</v>
      </c>
      <c r="B13" s="241">
        <v>46666.65</v>
      </c>
      <c r="C13" s="241">
        <v>55518.15</v>
      </c>
      <c r="D13" s="241">
        <v>55518.15</v>
      </c>
      <c r="E13" s="241">
        <v>58143.15</v>
      </c>
      <c r="F13" s="241">
        <v>63976.45</v>
      </c>
      <c r="G13" s="241">
        <v>63976.45</v>
      </c>
      <c r="H13" s="241">
        <v>63976.45</v>
      </c>
      <c r="I13" s="241">
        <v>63976.45</v>
      </c>
      <c r="J13" s="241">
        <v>63976.45</v>
      </c>
      <c r="K13" s="241">
        <v>63976.45</v>
      </c>
      <c r="L13" s="241">
        <v>63976.45</v>
      </c>
      <c r="M13" s="241">
        <v>63976.45</v>
      </c>
      <c r="N13" s="98">
        <v>910470</v>
      </c>
      <c r="O13" s="241">
        <v>0</v>
      </c>
      <c r="P13" s="241">
        <v>42000</v>
      </c>
      <c r="Q13" s="241">
        <v>42000</v>
      </c>
      <c r="R13" s="241">
        <v>42000</v>
      </c>
      <c r="S13" s="241">
        <v>42000</v>
      </c>
      <c r="T13" s="241">
        <v>42000</v>
      </c>
      <c r="U13" s="241">
        <v>42000</v>
      </c>
      <c r="V13" s="241">
        <v>42000</v>
      </c>
      <c r="W13" s="241">
        <v>42000</v>
      </c>
      <c r="X13" s="241">
        <v>42000</v>
      </c>
      <c r="Y13" s="241">
        <v>48300</v>
      </c>
      <c r="Z13" s="241">
        <v>56700</v>
      </c>
      <c r="AA13" s="243">
        <v>1451987</v>
      </c>
      <c r="AB13" s="259">
        <v>0</v>
      </c>
      <c r="AC13" s="262">
        <v>42000</v>
      </c>
      <c r="AD13" s="262">
        <v>42000</v>
      </c>
      <c r="AE13" s="262">
        <v>42000</v>
      </c>
      <c r="AF13" s="260">
        <v>42000</v>
      </c>
      <c r="AG13" s="260">
        <v>52500</v>
      </c>
      <c r="AH13" s="260">
        <v>52500</v>
      </c>
      <c r="AI13" s="299">
        <v>52500</v>
      </c>
      <c r="AJ13" s="301">
        <v>52500</v>
      </c>
    </row>
    <row r="14" spans="1:38" ht="12.75">
      <c r="A14" s="66" t="s">
        <v>90</v>
      </c>
      <c r="B14" s="241">
        <v>0</v>
      </c>
      <c r="C14" s="241">
        <v>0</v>
      </c>
      <c r="D14" s="241">
        <v>0</v>
      </c>
      <c r="E14" s="241">
        <v>0</v>
      </c>
      <c r="F14" s="241">
        <v>0</v>
      </c>
      <c r="G14" s="241">
        <v>0</v>
      </c>
      <c r="H14" s="241">
        <v>0</v>
      </c>
      <c r="I14" s="241">
        <v>0</v>
      </c>
      <c r="J14" s="241">
        <v>0</v>
      </c>
      <c r="K14" s="241">
        <v>0</v>
      </c>
      <c r="L14" s="241">
        <v>0</v>
      </c>
      <c r="M14" s="241">
        <v>0</v>
      </c>
      <c r="O14" s="241">
        <v>0</v>
      </c>
      <c r="P14" s="241">
        <v>0</v>
      </c>
      <c r="Q14" s="241">
        <v>0</v>
      </c>
      <c r="R14" s="241">
        <v>0</v>
      </c>
      <c r="S14" s="241">
        <v>0</v>
      </c>
      <c r="T14" s="241">
        <v>0</v>
      </c>
      <c r="U14" s="241">
        <v>0</v>
      </c>
      <c r="V14" s="241">
        <v>0</v>
      </c>
      <c r="W14" s="241">
        <v>0</v>
      </c>
      <c r="X14" s="241">
        <v>0</v>
      </c>
      <c r="Y14" s="241">
        <v>0</v>
      </c>
      <c r="Z14" s="241">
        <v>0</v>
      </c>
      <c r="AB14" s="263">
        <v>0</v>
      </c>
      <c r="AC14" s="265">
        <v>0</v>
      </c>
      <c r="AD14" s="265">
        <v>0</v>
      </c>
      <c r="AE14" s="265">
        <v>0</v>
      </c>
      <c r="AF14" s="263">
        <v>0</v>
      </c>
      <c r="AG14" s="263">
        <v>0</v>
      </c>
      <c r="AH14" s="263">
        <v>0</v>
      </c>
      <c r="AI14" s="302">
        <v>0</v>
      </c>
      <c r="AJ14" s="304">
        <v>0</v>
      </c>
    </row>
    <row r="15" spans="1:38" ht="12.75">
      <c r="A15" s="66" t="s">
        <v>91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1900</v>
      </c>
      <c r="U15" s="241">
        <v>1900</v>
      </c>
      <c r="V15" s="241">
        <v>1900</v>
      </c>
      <c r="W15" s="241">
        <v>1900</v>
      </c>
      <c r="X15" s="241">
        <v>1900</v>
      </c>
      <c r="Y15" s="241">
        <v>1900</v>
      </c>
      <c r="Z15" s="241">
        <v>1900</v>
      </c>
      <c r="AB15" s="263">
        <v>237.5</v>
      </c>
      <c r="AC15" s="265">
        <v>237.5</v>
      </c>
      <c r="AD15" s="265">
        <v>237.5</v>
      </c>
      <c r="AE15" s="265">
        <v>237.5</v>
      </c>
      <c r="AF15" s="263">
        <v>237.5</v>
      </c>
      <c r="AG15" s="263">
        <v>237.5</v>
      </c>
      <c r="AH15" s="263">
        <v>237.5</v>
      </c>
      <c r="AI15" s="302">
        <v>237.5</v>
      </c>
      <c r="AJ15" s="304">
        <v>237.5</v>
      </c>
    </row>
    <row r="16" spans="1:38" ht="12.75">
      <c r="A16" s="66" t="s">
        <v>92</v>
      </c>
      <c r="B16" s="241">
        <v>0</v>
      </c>
      <c r="C16" s="241">
        <v>0</v>
      </c>
      <c r="D16" s="241">
        <v>0</v>
      </c>
      <c r="E16" s="241">
        <v>6221.19</v>
      </c>
      <c r="F16" s="241">
        <v>6221.19</v>
      </c>
      <c r="G16" s="241">
        <v>6221.19</v>
      </c>
      <c r="H16" s="241">
        <v>6221.19</v>
      </c>
      <c r="I16" s="241">
        <v>8741.19</v>
      </c>
      <c r="J16" s="241">
        <v>10961.19</v>
      </c>
      <c r="K16" s="241">
        <v>10961.19</v>
      </c>
      <c r="L16" s="241">
        <v>11621.19</v>
      </c>
      <c r="M16" s="241">
        <v>13181.19</v>
      </c>
      <c r="O16" s="241">
        <v>0</v>
      </c>
      <c r="P16" s="241">
        <v>2346</v>
      </c>
      <c r="Q16" s="241">
        <v>2346</v>
      </c>
      <c r="R16" s="241">
        <v>6856</v>
      </c>
      <c r="S16" s="241">
        <v>7816</v>
      </c>
      <c r="T16" s="241">
        <v>9662.8700000000008</v>
      </c>
      <c r="U16" s="241">
        <v>9662.8700000000008</v>
      </c>
      <c r="V16" s="241">
        <v>12702.87</v>
      </c>
      <c r="W16" s="241">
        <v>13302.87</v>
      </c>
      <c r="X16" s="241">
        <v>13302.87</v>
      </c>
      <c r="Y16" s="241">
        <v>13302.87</v>
      </c>
      <c r="Z16" s="241">
        <v>21738.87</v>
      </c>
      <c r="AB16" s="263">
        <v>0</v>
      </c>
      <c r="AC16" s="265">
        <v>0</v>
      </c>
      <c r="AD16" s="266">
        <v>10044</v>
      </c>
      <c r="AE16" s="266">
        <v>12148</v>
      </c>
      <c r="AF16" s="264">
        <v>12148</v>
      </c>
      <c r="AG16" s="264">
        <v>12148</v>
      </c>
      <c r="AH16" s="264">
        <v>18496</v>
      </c>
      <c r="AI16" s="303">
        <v>21790</v>
      </c>
      <c r="AJ16" s="305">
        <v>21790</v>
      </c>
    </row>
    <row r="17" spans="1:38" ht="12.75">
      <c r="A17" s="66" t="s">
        <v>93</v>
      </c>
      <c r="B17" s="241">
        <v>0</v>
      </c>
      <c r="C17" s="241">
        <v>955</v>
      </c>
      <c r="D17" s="241">
        <v>0</v>
      </c>
      <c r="E17" s="241">
        <v>0</v>
      </c>
      <c r="F17" s="241">
        <v>0</v>
      </c>
      <c r="G17" s="241">
        <v>0</v>
      </c>
      <c r="H17" s="241">
        <v>0</v>
      </c>
      <c r="I17" s="241">
        <v>0</v>
      </c>
      <c r="J17" s="241">
        <v>0</v>
      </c>
      <c r="K17" s="241">
        <v>0</v>
      </c>
      <c r="L17" s="241">
        <v>0</v>
      </c>
      <c r="M17" s="241">
        <v>0</v>
      </c>
      <c r="O17" s="241">
        <v>0</v>
      </c>
      <c r="P17" s="241">
        <v>0</v>
      </c>
      <c r="Q17" s="241">
        <v>0</v>
      </c>
      <c r="R17" s="241">
        <v>0</v>
      </c>
      <c r="S17" s="241">
        <v>0</v>
      </c>
      <c r="T17" s="241">
        <v>0</v>
      </c>
      <c r="U17" s="241">
        <v>0</v>
      </c>
      <c r="V17" s="241">
        <v>0</v>
      </c>
      <c r="W17" s="241">
        <v>0</v>
      </c>
      <c r="X17" s="241">
        <v>0</v>
      </c>
      <c r="Y17" s="241">
        <v>0</v>
      </c>
      <c r="Z17" s="241">
        <v>0</v>
      </c>
      <c r="AB17" s="263">
        <v>0</v>
      </c>
      <c r="AC17" s="265">
        <v>0</v>
      </c>
      <c r="AD17" s="265">
        <v>0</v>
      </c>
      <c r="AE17" s="265">
        <v>0</v>
      </c>
      <c r="AF17" s="263">
        <v>0</v>
      </c>
      <c r="AG17" s="263">
        <v>0</v>
      </c>
      <c r="AH17" s="263">
        <v>0</v>
      </c>
      <c r="AI17" s="302">
        <v>0</v>
      </c>
      <c r="AJ17" s="304">
        <v>0</v>
      </c>
    </row>
    <row r="18" spans="1:38" ht="12.75">
      <c r="A18" s="66" t="s">
        <v>94</v>
      </c>
      <c r="B18" s="241">
        <v>400</v>
      </c>
      <c r="C18" s="241">
        <v>0</v>
      </c>
      <c r="D18" s="241">
        <v>7720</v>
      </c>
      <c r="E18" s="241">
        <v>11810.3</v>
      </c>
      <c r="F18" s="241">
        <v>15007.3</v>
      </c>
      <c r="G18" s="241">
        <v>17714.5</v>
      </c>
      <c r="H18" s="241">
        <v>30296</v>
      </c>
      <c r="I18" s="241">
        <v>43236</v>
      </c>
      <c r="J18" s="241">
        <v>47935</v>
      </c>
      <c r="K18" s="241">
        <v>47935</v>
      </c>
      <c r="L18" s="241">
        <v>53511.1</v>
      </c>
      <c r="M18" s="241">
        <v>122064.1</v>
      </c>
      <c r="O18" s="241">
        <v>4405.1000000000004</v>
      </c>
      <c r="P18" s="241">
        <v>6190.1</v>
      </c>
      <c r="Q18" s="241">
        <v>12880.2</v>
      </c>
      <c r="R18" s="241">
        <v>85855.2</v>
      </c>
      <c r="S18" s="241">
        <v>97573.9</v>
      </c>
      <c r="T18" s="241">
        <v>112261.9</v>
      </c>
      <c r="U18" s="241">
        <v>117969.9</v>
      </c>
      <c r="V18" s="241">
        <v>128784.9</v>
      </c>
      <c r="W18" s="241">
        <v>131889.9</v>
      </c>
      <c r="X18" s="241">
        <v>134469.9</v>
      </c>
      <c r="Y18" s="241">
        <v>138219.9</v>
      </c>
      <c r="Z18" s="241">
        <v>228755.9</v>
      </c>
      <c r="AB18" s="264">
        <v>3255</v>
      </c>
      <c r="AC18" s="266">
        <v>7155</v>
      </c>
      <c r="AD18" s="266">
        <v>14550</v>
      </c>
      <c r="AE18" s="266">
        <v>24855</v>
      </c>
      <c r="AF18" s="264">
        <v>114379</v>
      </c>
      <c r="AG18" s="264">
        <v>120909</v>
      </c>
      <c r="AH18" s="264">
        <v>128272</v>
      </c>
      <c r="AI18" s="303">
        <v>137167</v>
      </c>
      <c r="AJ18" s="305">
        <v>144522</v>
      </c>
    </row>
    <row r="19" spans="1:38" s="148" customFormat="1" ht="14.25">
      <c r="A19" s="146" t="s">
        <v>95</v>
      </c>
      <c r="B19" s="124">
        <f t="shared" ref="B19:N19" si="12">B3-B12</f>
        <v>580618.46</v>
      </c>
      <c r="C19" s="124">
        <f t="shared" si="12"/>
        <v>1428200.45</v>
      </c>
      <c r="D19" s="124">
        <f t="shared" si="12"/>
        <v>2100189.6800000002</v>
      </c>
      <c r="E19" s="124">
        <f t="shared" si="12"/>
        <v>2595511.0799999996</v>
      </c>
      <c r="F19" s="124">
        <f t="shared" si="12"/>
        <v>3239679.4</v>
      </c>
      <c r="G19" s="124">
        <f t="shared" si="12"/>
        <v>3801098.6399999997</v>
      </c>
      <c r="H19" s="124">
        <f t="shared" si="12"/>
        <v>4503541.16</v>
      </c>
      <c r="I19" s="124">
        <f t="shared" si="12"/>
        <v>5218093.1100000003</v>
      </c>
      <c r="J19" s="124">
        <f t="shared" si="12"/>
        <v>5997480.3400000008</v>
      </c>
      <c r="K19" s="124">
        <f t="shared" si="12"/>
        <v>5997480.3400000008</v>
      </c>
      <c r="L19" s="124">
        <f t="shared" si="12"/>
        <v>7233872.0600000005</v>
      </c>
      <c r="M19" s="124">
        <f t="shared" si="12"/>
        <v>7909567.1399999997</v>
      </c>
      <c r="N19" s="124">
        <f t="shared" si="12"/>
        <v>7435873</v>
      </c>
      <c r="O19" s="124">
        <f t="shared" ref="O19:AE19" si="13">O3-O12</f>
        <v>501447.71</v>
      </c>
      <c r="P19" s="124">
        <f t="shared" si="13"/>
        <v>1053606.96</v>
      </c>
      <c r="Q19" s="124">
        <f t="shared" si="13"/>
        <v>1496204.6</v>
      </c>
      <c r="R19" s="124">
        <f t="shared" si="13"/>
        <v>2217909.85</v>
      </c>
      <c r="S19" s="124">
        <f t="shared" si="13"/>
        <v>2831840.85</v>
      </c>
      <c r="T19" s="124">
        <f t="shared" si="13"/>
        <v>3474753.7800000003</v>
      </c>
      <c r="U19" s="124">
        <f t="shared" si="13"/>
        <v>4345861.17</v>
      </c>
      <c r="V19" s="124">
        <f t="shared" si="13"/>
        <v>5124255.1400000006</v>
      </c>
      <c r="W19" s="124">
        <f t="shared" si="13"/>
        <v>5669806.5200000005</v>
      </c>
      <c r="X19" s="124">
        <f t="shared" si="13"/>
        <v>6426552.3300000001</v>
      </c>
      <c r="Y19" s="124">
        <f t="shared" si="13"/>
        <v>7337829.5199999996</v>
      </c>
      <c r="Z19" s="124">
        <f t="shared" si="13"/>
        <v>7872749.129999999</v>
      </c>
      <c r="AA19" s="124">
        <f t="shared" si="13"/>
        <v>6729857</v>
      </c>
      <c r="AB19" s="124">
        <f t="shared" si="13"/>
        <v>783658.64</v>
      </c>
      <c r="AC19" s="124">
        <f t="shared" si="13"/>
        <v>1496280.24</v>
      </c>
      <c r="AD19" s="124">
        <f t="shared" si="13"/>
        <v>2699622.71</v>
      </c>
      <c r="AE19" s="124">
        <f t="shared" si="13"/>
        <v>3574987.88</v>
      </c>
      <c r="AF19" s="124">
        <f t="shared" ref="AF19:AJ19" si="14">AF3-AF12</f>
        <v>4608459.5199999996</v>
      </c>
      <c r="AG19" s="124">
        <f t="shared" si="14"/>
        <v>5319539.29</v>
      </c>
      <c r="AH19" s="124">
        <f t="shared" si="14"/>
        <v>6121421.1499999994</v>
      </c>
      <c r="AI19" s="124">
        <f t="shared" si="14"/>
        <v>7242371.3700000001</v>
      </c>
      <c r="AJ19" s="124">
        <f t="shared" si="14"/>
        <v>8275780.0600000005</v>
      </c>
      <c r="AK19" s="124">
        <f t="shared" ref="AK19:AL19" si="15">AK3-AK12</f>
        <v>0</v>
      </c>
      <c r="AL19" s="124">
        <f t="shared" si="15"/>
        <v>0</v>
      </c>
    </row>
    <row r="20" spans="1:38" s="148" customFormat="1" ht="14.25">
      <c r="A20" s="146" t="s">
        <v>27</v>
      </c>
      <c r="B20" s="124">
        <f t="shared" ref="B20:N20" si="16">B21-B22</f>
        <v>126075.8</v>
      </c>
      <c r="C20" s="124">
        <f t="shared" si="16"/>
        <v>515710.6</v>
      </c>
      <c r="D20" s="124">
        <f t="shared" si="16"/>
        <v>715183.9</v>
      </c>
      <c r="E20" s="124">
        <f t="shared" si="16"/>
        <v>1390025.4</v>
      </c>
      <c r="F20" s="124">
        <f t="shared" si="16"/>
        <v>818860.2</v>
      </c>
      <c r="G20" s="124">
        <f t="shared" si="16"/>
        <v>348986.4</v>
      </c>
      <c r="H20" s="124">
        <f t="shared" si="16"/>
        <v>323044.7</v>
      </c>
      <c r="I20" s="124">
        <f t="shared" si="16"/>
        <v>69729.399999999994</v>
      </c>
      <c r="J20" s="124">
        <f t="shared" si="16"/>
        <v>-19227.900000000001</v>
      </c>
      <c r="K20" s="124">
        <f t="shared" si="16"/>
        <v>-19227.900000000001</v>
      </c>
      <c r="L20" s="124">
        <f t="shared" si="16"/>
        <v>-24337.9</v>
      </c>
      <c r="M20" s="124">
        <f t="shared" si="16"/>
        <v>-227164.79999999999</v>
      </c>
      <c r="N20" s="164">
        <f t="shared" si="16"/>
        <v>0</v>
      </c>
      <c r="O20" s="164">
        <f t="shared" ref="O20:AE20" si="17">O21-O22</f>
        <v>-4375.5</v>
      </c>
      <c r="P20" s="164">
        <f t="shared" si="17"/>
        <v>-477546.4</v>
      </c>
      <c r="Q20" s="164">
        <f t="shared" si="17"/>
        <v>-155820.4</v>
      </c>
      <c r="R20" s="164">
        <f t="shared" si="17"/>
        <v>-159202.4</v>
      </c>
      <c r="S20" s="164">
        <f t="shared" si="17"/>
        <v>-132148.4</v>
      </c>
      <c r="T20" s="164">
        <f t="shared" si="17"/>
        <v>-74597</v>
      </c>
      <c r="U20" s="164">
        <f t="shared" si="17"/>
        <v>105049</v>
      </c>
      <c r="V20" s="164">
        <f t="shared" si="17"/>
        <v>79314.399999999994</v>
      </c>
      <c r="W20" s="164">
        <f t="shared" si="17"/>
        <v>105778.1</v>
      </c>
      <c r="X20" s="164">
        <f t="shared" si="17"/>
        <v>-482982.3</v>
      </c>
      <c r="Y20" s="164">
        <f t="shared" si="17"/>
        <v>-1615276.6</v>
      </c>
      <c r="Z20" s="164">
        <f t="shared" si="17"/>
        <v>-1893447.8</v>
      </c>
      <c r="AA20" s="164">
        <f t="shared" si="17"/>
        <v>-1893447</v>
      </c>
      <c r="AB20" s="164">
        <f t="shared" si="17"/>
        <v>-25694.400000000001</v>
      </c>
      <c r="AC20" s="164">
        <f t="shared" si="17"/>
        <v>18395.099999999999</v>
      </c>
      <c r="AD20" s="164">
        <f t="shared" si="17"/>
        <v>98754.7</v>
      </c>
      <c r="AE20" s="164">
        <f t="shared" si="17"/>
        <v>166953.70000000001</v>
      </c>
      <c r="AF20" s="164">
        <f t="shared" ref="AF20:AJ20" si="18">AF21-AF22</f>
        <v>98096.6</v>
      </c>
      <c r="AG20" s="164">
        <f t="shared" si="18"/>
        <v>427675.6</v>
      </c>
      <c r="AH20" s="164">
        <f t="shared" si="18"/>
        <v>75144.7</v>
      </c>
      <c r="AI20" s="164">
        <f t="shared" si="18"/>
        <v>-9958.5</v>
      </c>
      <c r="AJ20" s="164">
        <f t="shared" si="18"/>
        <v>322110.7</v>
      </c>
      <c r="AK20" s="164">
        <f t="shared" ref="AK20:AL20" si="19">AK21-AK22</f>
        <v>0</v>
      </c>
      <c r="AL20" s="164">
        <f t="shared" si="19"/>
        <v>0</v>
      </c>
    </row>
    <row r="21" spans="1:38" ht="14.25">
      <c r="A21" s="66" t="s">
        <v>96</v>
      </c>
      <c r="B21" s="241">
        <v>126075.8</v>
      </c>
      <c r="C21" s="241">
        <v>515710.6</v>
      </c>
      <c r="D21" s="241">
        <v>715183.9</v>
      </c>
      <c r="E21" s="241">
        <v>1390025.4</v>
      </c>
      <c r="F21" s="241">
        <v>818860.2</v>
      </c>
      <c r="G21" s="241">
        <v>348986.4</v>
      </c>
      <c r="H21" s="241">
        <v>323044.7</v>
      </c>
      <c r="I21" s="241">
        <v>69729.399999999994</v>
      </c>
      <c r="J21" s="241">
        <v>0</v>
      </c>
      <c r="K21" s="241">
        <v>0</v>
      </c>
      <c r="L21" s="241">
        <v>0</v>
      </c>
      <c r="M21" s="241">
        <v>0</v>
      </c>
      <c r="O21" s="241">
        <v>0</v>
      </c>
      <c r="P21" s="241">
        <v>0</v>
      </c>
      <c r="Q21" s="241">
        <v>0</v>
      </c>
      <c r="R21" s="241">
        <v>0</v>
      </c>
      <c r="S21" s="241">
        <v>0</v>
      </c>
      <c r="T21" s="241">
        <v>0</v>
      </c>
      <c r="U21" s="241">
        <v>105049</v>
      </c>
      <c r="V21" s="241">
        <v>79314.399999999994</v>
      </c>
      <c r="W21" s="241">
        <v>105778.1</v>
      </c>
      <c r="X21" s="241">
        <v>0</v>
      </c>
      <c r="Y21" s="241">
        <v>0</v>
      </c>
      <c r="Z21" s="241">
        <v>0</v>
      </c>
      <c r="AA21" s="243">
        <v>-1893447</v>
      </c>
      <c r="AB21" s="259">
        <v>0</v>
      </c>
      <c r="AC21" s="262">
        <v>18395.099999999999</v>
      </c>
      <c r="AD21" s="262">
        <v>98754.7</v>
      </c>
      <c r="AE21" s="262">
        <v>166953.70000000001</v>
      </c>
      <c r="AF21" s="260">
        <v>98096.6</v>
      </c>
      <c r="AG21" s="260">
        <v>427675.6</v>
      </c>
      <c r="AH21" s="260">
        <v>75144.7</v>
      </c>
      <c r="AI21" s="298">
        <v>0</v>
      </c>
      <c r="AJ21" s="301">
        <v>322110.7</v>
      </c>
    </row>
    <row r="22" spans="1:38" ht="12.75">
      <c r="A22" s="66" t="s">
        <v>97</v>
      </c>
      <c r="B22" s="241">
        <v>0</v>
      </c>
      <c r="C22" s="241">
        <v>0</v>
      </c>
      <c r="D22" s="241">
        <v>0</v>
      </c>
      <c r="E22" s="241">
        <v>0</v>
      </c>
      <c r="F22" s="241">
        <v>0</v>
      </c>
      <c r="G22" s="241">
        <v>0</v>
      </c>
      <c r="H22" s="241">
        <v>0</v>
      </c>
      <c r="I22" s="241">
        <v>0</v>
      </c>
      <c r="J22" s="241">
        <v>19227.900000000001</v>
      </c>
      <c r="K22" s="241">
        <v>19227.900000000001</v>
      </c>
      <c r="L22" s="241">
        <v>24337.9</v>
      </c>
      <c r="M22" s="241">
        <v>227164.79999999999</v>
      </c>
      <c r="O22" s="241">
        <v>4375.5</v>
      </c>
      <c r="P22" s="241">
        <v>477546.4</v>
      </c>
      <c r="Q22" s="241">
        <v>155820.4</v>
      </c>
      <c r="R22" s="241">
        <v>159202.4</v>
      </c>
      <c r="S22" s="241">
        <v>132148.4</v>
      </c>
      <c r="T22" s="241">
        <v>74597</v>
      </c>
      <c r="U22" s="241">
        <v>0</v>
      </c>
      <c r="V22" s="241">
        <v>0</v>
      </c>
      <c r="W22" s="241">
        <v>0</v>
      </c>
      <c r="X22" s="241">
        <v>482982.3</v>
      </c>
      <c r="Y22" s="241">
        <v>1615276.6</v>
      </c>
      <c r="Z22" s="241">
        <v>1893447.8</v>
      </c>
      <c r="AB22" s="264">
        <v>25694.400000000001</v>
      </c>
      <c r="AC22" s="265">
        <v>0</v>
      </c>
      <c r="AD22" s="265">
        <v>0</v>
      </c>
      <c r="AE22" s="265">
        <v>0</v>
      </c>
      <c r="AF22" s="263">
        <v>0</v>
      </c>
      <c r="AG22" s="263">
        <v>0</v>
      </c>
      <c r="AH22" s="263">
        <v>0</v>
      </c>
      <c r="AI22" s="303">
        <v>9958.5</v>
      </c>
      <c r="AJ22" s="304">
        <v>0</v>
      </c>
    </row>
    <row r="23" spans="1:38" s="148" customFormat="1" ht="14.25">
      <c r="A23" s="146" t="s">
        <v>98</v>
      </c>
      <c r="B23" s="151">
        <f t="shared" ref="B23:AL23" si="20">SUM(B24:B28)</f>
        <v>442148.7</v>
      </c>
      <c r="C23" s="151">
        <f t="shared" si="20"/>
        <v>715050.4</v>
      </c>
      <c r="D23" s="151">
        <f t="shared" si="20"/>
        <v>1185101.1000000001</v>
      </c>
      <c r="E23" s="151">
        <f t="shared" si="20"/>
        <v>1651413.8</v>
      </c>
      <c r="F23" s="151">
        <f t="shared" si="20"/>
        <v>1944607.5</v>
      </c>
      <c r="G23" s="151">
        <f t="shared" si="20"/>
        <v>2279713.7999999998</v>
      </c>
      <c r="H23" s="151">
        <f t="shared" si="20"/>
        <v>2741526.5</v>
      </c>
      <c r="I23" s="151">
        <f t="shared" si="20"/>
        <v>3034875.95</v>
      </c>
      <c r="J23" s="151">
        <f t="shared" si="20"/>
        <v>3462131.6500000004</v>
      </c>
      <c r="K23" s="151">
        <f t="shared" si="20"/>
        <v>3462131.6500000004</v>
      </c>
      <c r="L23" s="151">
        <f t="shared" si="20"/>
        <v>4180143.05</v>
      </c>
      <c r="M23" s="151">
        <f t="shared" si="20"/>
        <v>4666278.75</v>
      </c>
      <c r="N23" s="151">
        <f t="shared" si="20"/>
        <v>4883124</v>
      </c>
      <c r="O23" s="151">
        <f t="shared" si="20"/>
        <v>364882.55</v>
      </c>
      <c r="P23" s="151">
        <f t="shared" si="20"/>
        <v>732767.1</v>
      </c>
      <c r="Q23" s="151">
        <f t="shared" si="20"/>
        <v>1336815.1000000001</v>
      </c>
      <c r="R23" s="151">
        <f t="shared" si="20"/>
        <v>1855168.2</v>
      </c>
      <c r="S23" s="151">
        <f t="shared" si="20"/>
        <v>2419598.75</v>
      </c>
      <c r="T23" s="151">
        <f t="shared" si="20"/>
        <v>2890591.3</v>
      </c>
      <c r="U23" s="151">
        <f t="shared" si="20"/>
        <v>3383039.0700000003</v>
      </c>
      <c r="V23" s="151">
        <f t="shared" si="20"/>
        <v>3727474.29</v>
      </c>
      <c r="W23" s="151">
        <f t="shared" si="20"/>
        <v>4075125.51</v>
      </c>
      <c r="X23" s="151">
        <f t="shared" si="20"/>
        <v>4451845.7300000004</v>
      </c>
      <c r="Y23" s="151">
        <f t="shared" si="20"/>
        <v>4897178.9499999993</v>
      </c>
      <c r="Z23" s="151">
        <f t="shared" si="20"/>
        <v>5430192.1699999999</v>
      </c>
      <c r="AA23" s="151">
        <f t="shared" si="20"/>
        <v>5767587</v>
      </c>
      <c r="AB23" s="151">
        <f t="shared" si="20"/>
        <v>741156.97</v>
      </c>
      <c r="AC23" s="151">
        <f t="shared" si="20"/>
        <v>1434367.17</v>
      </c>
      <c r="AD23" s="151">
        <f t="shared" si="20"/>
        <v>2124058.14</v>
      </c>
      <c r="AE23" s="151">
        <f t="shared" si="20"/>
        <v>2937402.61</v>
      </c>
      <c r="AF23" s="151">
        <f t="shared" si="20"/>
        <v>3557056.35</v>
      </c>
      <c r="AG23" s="151">
        <f t="shared" si="20"/>
        <v>4125207.3200000003</v>
      </c>
      <c r="AH23" s="151">
        <f t="shared" si="20"/>
        <v>4470585.29</v>
      </c>
      <c r="AI23" s="151">
        <f t="shared" si="20"/>
        <v>4898508.26</v>
      </c>
      <c r="AJ23" s="151">
        <f t="shared" si="20"/>
        <v>5493964.2300000004</v>
      </c>
      <c r="AK23" s="151">
        <f t="shared" si="20"/>
        <v>0</v>
      </c>
      <c r="AL23" s="151">
        <f t="shared" si="20"/>
        <v>0</v>
      </c>
    </row>
    <row r="24" spans="1:38" ht="14.25">
      <c r="A24" s="66" t="s">
        <v>99</v>
      </c>
      <c r="B24" s="241">
        <v>66800</v>
      </c>
      <c r="C24" s="241">
        <v>142000</v>
      </c>
      <c r="D24" s="241">
        <v>232330</v>
      </c>
      <c r="E24" s="241">
        <v>396810</v>
      </c>
      <c r="F24" s="241">
        <v>472010</v>
      </c>
      <c r="G24" s="241">
        <v>616994.6</v>
      </c>
      <c r="H24" s="241">
        <v>731794.6</v>
      </c>
      <c r="I24" s="241">
        <v>836994.6</v>
      </c>
      <c r="J24" s="241">
        <v>973394.6</v>
      </c>
      <c r="K24" s="241">
        <v>973394.6</v>
      </c>
      <c r="L24" s="241">
        <v>1189794.6000000001</v>
      </c>
      <c r="M24" s="241">
        <v>1304594.6000000001</v>
      </c>
      <c r="N24" s="98">
        <v>1441163</v>
      </c>
      <c r="O24" s="241">
        <v>121800</v>
      </c>
      <c r="P24" s="241">
        <v>227400</v>
      </c>
      <c r="Q24" s="241">
        <v>350500</v>
      </c>
      <c r="R24" s="241">
        <v>487050</v>
      </c>
      <c r="S24" s="241">
        <v>592250</v>
      </c>
      <c r="T24" s="241">
        <v>716050</v>
      </c>
      <c r="U24" s="241">
        <v>854450</v>
      </c>
      <c r="V24" s="241">
        <v>970650</v>
      </c>
      <c r="W24" s="241">
        <v>1088350</v>
      </c>
      <c r="X24" s="241">
        <v>1214150</v>
      </c>
      <c r="Y24" s="241">
        <v>1345950</v>
      </c>
      <c r="Z24" s="241">
        <v>1462400</v>
      </c>
      <c r="AA24" s="243">
        <v>1590073</v>
      </c>
      <c r="AB24" s="260">
        <v>139350</v>
      </c>
      <c r="AC24" s="262">
        <v>452180</v>
      </c>
      <c r="AD24" s="262">
        <v>588430</v>
      </c>
      <c r="AE24" s="262">
        <v>724680</v>
      </c>
      <c r="AF24" s="260">
        <v>860930</v>
      </c>
      <c r="AG24" s="260">
        <v>997210</v>
      </c>
      <c r="AH24" s="260">
        <v>1128860</v>
      </c>
      <c r="AI24" s="299">
        <v>1260510</v>
      </c>
      <c r="AJ24" s="301">
        <v>1402100</v>
      </c>
    </row>
    <row r="25" spans="1:38" ht="14.25">
      <c r="A25" s="66" t="s">
        <v>100</v>
      </c>
      <c r="B25" s="241">
        <v>27945</v>
      </c>
      <c r="C25" s="241">
        <v>71015</v>
      </c>
      <c r="D25" s="241">
        <v>127225</v>
      </c>
      <c r="E25" s="241">
        <v>160510</v>
      </c>
      <c r="F25" s="241">
        <v>208890</v>
      </c>
      <c r="G25" s="241">
        <v>287605</v>
      </c>
      <c r="H25" s="241">
        <v>329450</v>
      </c>
      <c r="I25" s="241">
        <v>353590</v>
      </c>
      <c r="J25" s="241">
        <v>421670</v>
      </c>
      <c r="K25" s="241">
        <v>421670</v>
      </c>
      <c r="L25" s="241">
        <v>515170</v>
      </c>
      <c r="M25" s="241">
        <v>561180</v>
      </c>
      <c r="N25" s="98">
        <v>561580</v>
      </c>
      <c r="O25" s="241">
        <v>23100</v>
      </c>
      <c r="P25" s="241">
        <v>56550</v>
      </c>
      <c r="Q25" s="241">
        <v>143390</v>
      </c>
      <c r="R25" s="241">
        <v>397060</v>
      </c>
      <c r="S25" s="241">
        <v>454810</v>
      </c>
      <c r="T25" s="241">
        <v>548565</v>
      </c>
      <c r="U25" s="241">
        <v>708845</v>
      </c>
      <c r="V25" s="241">
        <v>772755</v>
      </c>
      <c r="W25" s="241">
        <v>822530</v>
      </c>
      <c r="X25" s="241">
        <v>853610</v>
      </c>
      <c r="Y25" s="241">
        <v>918695</v>
      </c>
      <c r="Z25" s="241">
        <v>974800</v>
      </c>
      <c r="AA25" s="243">
        <v>1001200</v>
      </c>
      <c r="AB25" s="264">
        <v>46460</v>
      </c>
      <c r="AC25" s="266">
        <v>106725</v>
      </c>
      <c r="AD25" s="266">
        <v>186565</v>
      </c>
      <c r="AE25" s="266">
        <v>478520</v>
      </c>
      <c r="AF25" s="264">
        <v>563305</v>
      </c>
      <c r="AG25" s="264">
        <v>668125</v>
      </c>
      <c r="AH25" s="264">
        <v>727315</v>
      </c>
      <c r="AI25" s="303">
        <v>800495</v>
      </c>
      <c r="AJ25" s="305">
        <v>866045</v>
      </c>
    </row>
    <row r="26" spans="1:38" ht="14.25">
      <c r="A26" s="66" t="s">
        <v>101</v>
      </c>
      <c r="B26" s="241">
        <v>3300</v>
      </c>
      <c r="C26" s="241">
        <v>8300</v>
      </c>
      <c r="D26" s="241">
        <v>13300</v>
      </c>
      <c r="E26" s="241">
        <v>19000</v>
      </c>
      <c r="F26" s="241">
        <v>19000</v>
      </c>
      <c r="G26" s="241">
        <v>23000</v>
      </c>
      <c r="H26" s="241">
        <v>28000</v>
      </c>
      <c r="I26" s="241">
        <v>34000</v>
      </c>
      <c r="J26" s="241">
        <v>68975</v>
      </c>
      <c r="K26" s="241">
        <v>68975</v>
      </c>
      <c r="L26" s="241">
        <v>91885</v>
      </c>
      <c r="M26" s="241">
        <v>94245</v>
      </c>
      <c r="N26" s="98">
        <v>94245</v>
      </c>
      <c r="O26" s="241">
        <v>15060</v>
      </c>
      <c r="P26" s="241">
        <v>27410</v>
      </c>
      <c r="Q26" s="241">
        <v>29410</v>
      </c>
      <c r="R26" s="241">
        <v>33410</v>
      </c>
      <c r="S26" s="241">
        <v>39770</v>
      </c>
      <c r="T26" s="241">
        <v>42770</v>
      </c>
      <c r="U26" s="241">
        <v>52275</v>
      </c>
      <c r="V26" s="241">
        <v>57275</v>
      </c>
      <c r="W26" s="241">
        <v>78777</v>
      </c>
      <c r="X26" s="241">
        <v>97782</v>
      </c>
      <c r="Y26" s="241">
        <v>106382</v>
      </c>
      <c r="Z26" s="241">
        <v>114382</v>
      </c>
      <c r="AA26" s="243">
        <v>114382</v>
      </c>
      <c r="AB26" s="264">
        <v>14000</v>
      </c>
      <c r="AC26" s="266">
        <v>18600</v>
      </c>
      <c r="AD26" s="266">
        <v>34415</v>
      </c>
      <c r="AE26" s="266">
        <v>51415</v>
      </c>
      <c r="AF26" s="264">
        <v>64045</v>
      </c>
      <c r="AG26" s="264">
        <v>73495</v>
      </c>
      <c r="AH26" s="264">
        <v>81175</v>
      </c>
      <c r="AI26" s="303">
        <v>91175</v>
      </c>
      <c r="AJ26" s="305">
        <v>99175</v>
      </c>
    </row>
    <row r="27" spans="1:38" ht="12.75">
      <c r="A27" s="66" t="s">
        <v>102</v>
      </c>
      <c r="B27" s="241">
        <v>8486.7000000000007</v>
      </c>
      <c r="C27" s="241">
        <v>16973.400000000001</v>
      </c>
      <c r="D27" s="241">
        <v>25460.1</v>
      </c>
      <c r="E27" s="241">
        <v>33946.800000000003</v>
      </c>
      <c r="F27" s="241">
        <v>42433.5</v>
      </c>
      <c r="G27" s="241">
        <v>50920.2</v>
      </c>
      <c r="H27" s="241">
        <v>59406.9</v>
      </c>
      <c r="I27" s="241">
        <v>67893.600000000006</v>
      </c>
      <c r="J27" s="241">
        <v>76380.3</v>
      </c>
      <c r="K27" s="241">
        <v>76380.3</v>
      </c>
      <c r="L27" s="241">
        <v>93353.7</v>
      </c>
      <c r="M27" s="241">
        <v>101840.4</v>
      </c>
      <c r="N27" s="98">
        <v>101840</v>
      </c>
      <c r="O27" s="241">
        <v>6431.55</v>
      </c>
      <c r="P27" s="241">
        <v>12863.1</v>
      </c>
      <c r="Q27" s="241">
        <v>12863.1</v>
      </c>
      <c r="R27" s="241">
        <v>25726.2</v>
      </c>
      <c r="S27" s="241">
        <v>32157.75</v>
      </c>
      <c r="T27" s="241">
        <v>38589.300000000003</v>
      </c>
      <c r="U27" s="241">
        <v>65207.519999999997</v>
      </c>
      <c r="V27" s="241">
        <v>91825.74</v>
      </c>
      <c r="W27" s="241">
        <v>118443.96</v>
      </c>
      <c r="X27" s="241">
        <v>145062.18</v>
      </c>
      <c r="Y27" s="241">
        <v>171680.4</v>
      </c>
      <c r="Z27" s="241">
        <v>198298.62</v>
      </c>
      <c r="AA27" s="95">
        <v>198299</v>
      </c>
      <c r="AB27" s="264">
        <v>27135.97</v>
      </c>
      <c r="AC27" s="266">
        <v>54271.94</v>
      </c>
      <c r="AD27" s="266">
        <v>81407.91</v>
      </c>
      <c r="AE27" s="266">
        <v>108543.88</v>
      </c>
      <c r="AF27" s="264">
        <v>135679.85</v>
      </c>
      <c r="AG27" s="264">
        <v>162815.82</v>
      </c>
      <c r="AH27" s="264">
        <v>189951.79</v>
      </c>
      <c r="AI27" s="303">
        <v>217087.76</v>
      </c>
      <c r="AJ27" s="305">
        <v>244223.73</v>
      </c>
    </row>
    <row r="28" spans="1:38" ht="14.25">
      <c r="A28" s="66" t="s">
        <v>103</v>
      </c>
      <c r="B28" s="241">
        <v>335617</v>
      </c>
      <c r="C28" s="241">
        <v>476762</v>
      </c>
      <c r="D28" s="241">
        <v>786786</v>
      </c>
      <c r="E28" s="241">
        <v>1041147</v>
      </c>
      <c r="F28" s="241">
        <v>1202274</v>
      </c>
      <c r="G28" s="241">
        <v>1301194</v>
      </c>
      <c r="H28" s="241">
        <v>1592875</v>
      </c>
      <c r="I28" s="241">
        <v>1742397.75</v>
      </c>
      <c r="J28" s="241">
        <v>1921711.75</v>
      </c>
      <c r="K28" s="241">
        <v>1921711.75</v>
      </c>
      <c r="L28" s="241">
        <v>2289939.75</v>
      </c>
      <c r="M28" s="241">
        <v>2604418.75</v>
      </c>
      <c r="N28" s="98">
        <v>2684296</v>
      </c>
      <c r="O28" s="241">
        <v>198491</v>
      </c>
      <c r="P28" s="241">
        <v>408544</v>
      </c>
      <c r="Q28" s="241">
        <v>800652</v>
      </c>
      <c r="R28" s="241">
        <v>911922</v>
      </c>
      <c r="S28" s="241">
        <v>1300611</v>
      </c>
      <c r="T28" s="241">
        <v>1544617</v>
      </c>
      <c r="U28" s="241">
        <v>1702261.55</v>
      </c>
      <c r="V28" s="241">
        <v>1834968.55</v>
      </c>
      <c r="W28" s="241">
        <v>1967024.55</v>
      </c>
      <c r="X28" s="241">
        <v>2141241.5499999998</v>
      </c>
      <c r="Y28" s="241">
        <v>2354471.5499999998</v>
      </c>
      <c r="Z28" s="241">
        <v>2680311.5499999998</v>
      </c>
      <c r="AA28" s="243">
        <v>2863633</v>
      </c>
      <c r="AB28" s="264">
        <v>514211</v>
      </c>
      <c r="AC28" s="266">
        <v>802590.23</v>
      </c>
      <c r="AD28" s="266">
        <v>1233240.23</v>
      </c>
      <c r="AE28" s="266">
        <v>1574243.73</v>
      </c>
      <c r="AF28" s="264">
        <v>1933096.5</v>
      </c>
      <c r="AG28" s="264">
        <v>2223561.5</v>
      </c>
      <c r="AH28" s="264">
        <v>2343283.5</v>
      </c>
      <c r="AI28" s="303">
        <v>2529240.5</v>
      </c>
      <c r="AJ28" s="305">
        <v>2882420.5</v>
      </c>
    </row>
    <row r="29" spans="1:38" s="148" customFormat="1" ht="14.25">
      <c r="A29" s="146" t="s">
        <v>104</v>
      </c>
      <c r="B29" s="124">
        <f t="shared" ref="B29:N29" si="21">B19-B20-B23</f>
        <v>12393.959999999963</v>
      </c>
      <c r="C29" s="124">
        <f t="shared" si="21"/>
        <v>197439.44999999995</v>
      </c>
      <c r="D29" s="124">
        <f t="shared" si="21"/>
        <v>199904.68000000017</v>
      </c>
      <c r="E29" s="124">
        <f t="shared" si="21"/>
        <v>-445928.12000000034</v>
      </c>
      <c r="F29" s="124">
        <f t="shared" si="21"/>
        <v>476211.70000000019</v>
      </c>
      <c r="G29" s="124">
        <f t="shared" si="21"/>
        <v>1172398.44</v>
      </c>
      <c r="H29" s="124">
        <f t="shared" si="21"/>
        <v>1438969.96</v>
      </c>
      <c r="I29" s="124">
        <f t="shared" si="21"/>
        <v>2113487.7599999998</v>
      </c>
      <c r="J29" s="124">
        <f t="shared" si="21"/>
        <v>2554576.5900000008</v>
      </c>
      <c r="K29" s="124">
        <f t="shared" si="21"/>
        <v>2554576.5900000008</v>
      </c>
      <c r="L29" s="124">
        <f t="shared" si="21"/>
        <v>3078066.9100000011</v>
      </c>
      <c r="M29" s="124">
        <f t="shared" si="21"/>
        <v>3470453.1899999995</v>
      </c>
      <c r="N29" s="124">
        <f t="shared" si="21"/>
        <v>2552749</v>
      </c>
      <c r="O29" s="124">
        <f t="shared" ref="O29:AE29" si="22">O19-O20-O23</f>
        <v>140940.66000000003</v>
      </c>
      <c r="P29" s="124">
        <f t="shared" si="22"/>
        <v>798386.25999999989</v>
      </c>
      <c r="Q29" s="124">
        <f t="shared" si="22"/>
        <v>315209.89999999991</v>
      </c>
      <c r="R29" s="124">
        <f t="shared" si="22"/>
        <v>521944.05000000005</v>
      </c>
      <c r="S29" s="124">
        <f t="shared" si="22"/>
        <v>544390.5</v>
      </c>
      <c r="T29" s="124">
        <f t="shared" si="22"/>
        <v>658759.48000000045</v>
      </c>
      <c r="U29" s="124">
        <f t="shared" si="22"/>
        <v>857773.09999999963</v>
      </c>
      <c r="V29" s="124">
        <f t="shared" si="22"/>
        <v>1317466.4500000002</v>
      </c>
      <c r="W29" s="124">
        <f t="shared" si="22"/>
        <v>1488902.9100000011</v>
      </c>
      <c r="X29" s="124">
        <f t="shared" si="22"/>
        <v>2457688.8999999994</v>
      </c>
      <c r="Y29" s="124">
        <f t="shared" si="22"/>
        <v>4055927.17</v>
      </c>
      <c r="Z29" s="124">
        <f t="shared" si="22"/>
        <v>4336004.76</v>
      </c>
      <c r="AA29" s="124">
        <f t="shared" si="22"/>
        <v>2855717</v>
      </c>
      <c r="AB29" s="124">
        <f t="shared" si="22"/>
        <v>68196.070000000065</v>
      </c>
      <c r="AC29" s="124">
        <f t="shared" si="22"/>
        <v>43517.969999999972</v>
      </c>
      <c r="AD29" s="124">
        <f t="shared" si="22"/>
        <v>476809.86999999965</v>
      </c>
      <c r="AE29" s="124">
        <f t="shared" si="22"/>
        <v>470631.56999999983</v>
      </c>
      <c r="AF29" s="124">
        <f t="shared" ref="AF29:AJ29" si="23">AF19-AF20-AF23</f>
        <v>953306.56999999983</v>
      </c>
      <c r="AG29" s="124">
        <f t="shared" si="23"/>
        <v>766656.37000000011</v>
      </c>
      <c r="AH29" s="124">
        <f t="shared" si="23"/>
        <v>1575691.1599999992</v>
      </c>
      <c r="AI29" s="124">
        <f t="shared" si="23"/>
        <v>2353821.6100000003</v>
      </c>
      <c r="AJ29" s="124">
        <f t="shared" si="23"/>
        <v>2459705.13</v>
      </c>
      <c r="AK29" s="124">
        <f t="shared" ref="AK29:AL29" si="24">AK19-AK20-AK23</f>
        <v>0</v>
      </c>
      <c r="AL29" s="124">
        <f t="shared" si="24"/>
        <v>0</v>
      </c>
    </row>
    <row r="30" spans="1:38" s="149" customFormat="1" ht="14.25">
      <c r="A30" s="146" t="s">
        <v>105</v>
      </c>
      <c r="B30" s="124">
        <f t="shared" ref="B30:N30" si="25">B31-B32</f>
        <v>0</v>
      </c>
      <c r="C30" s="124">
        <f t="shared" si="25"/>
        <v>0</v>
      </c>
      <c r="D30" s="124">
        <f t="shared" si="25"/>
        <v>0</v>
      </c>
      <c r="E30" s="124">
        <f t="shared" si="25"/>
        <v>0</v>
      </c>
      <c r="F30" s="124">
        <f t="shared" si="25"/>
        <v>0</v>
      </c>
      <c r="G30" s="124">
        <f t="shared" si="25"/>
        <v>0</v>
      </c>
      <c r="H30" s="124">
        <f t="shared" si="25"/>
        <v>0</v>
      </c>
      <c r="I30" s="124">
        <f t="shared" si="25"/>
        <v>0</v>
      </c>
      <c r="J30" s="124">
        <f t="shared" si="25"/>
        <v>0</v>
      </c>
      <c r="K30" s="124">
        <f t="shared" si="25"/>
        <v>0</v>
      </c>
      <c r="L30" s="124">
        <f t="shared" si="25"/>
        <v>0</v>
      </c>
      <c r="M30" s="124">
        <f t="shared" si="25"/>
        <v>0</v>
      </c>
      <c r="N30" s="164">
        <f t="shared" si="25"/>
        <v>0</v>
      </c>
      <c r="O30" s="164">
        <f t="shared" ref="O30:AE30" si="26">O31-O32</f>
        <v>0</v>
      </c>
      <c r="P30" s="164">
        <f t="shared" si="26"/>
        <v>0</v>
      </c>
      <c r="Q30" s="164">
        <f t="shared" si="26"/>
        <v>0</v>
      </c>
      <c r="R30" s="164">
        <f t="shared" si="26"/>
        <v>0</v>
      </c>
      <c r="S30" s="164">
        <f t="shared" si="26"/>
        <v>0</v>
      </c>
      <c r="T30" s="164">
        <f t="shared" si="26"/>
        <v>-5000</v>
      </c>
      <c r="U30" s="164">
        <f t="shared" si="26"/>
        <v>-5000</v>
      </c>
      <c r="V30" s="164">
        <f t="shared" si="26"/>
        <v>-5000</v>
      </c>
      <c r="W30" s="164">
        <f t="shared" si="26"/>
        <v>-5000</v>
      </c>
      <c r="X30" s="164">
        <f t="shared" si="26"/>
        <v>-5000</v>
      </c>
      <c r="Y30" s="164">
        <f t="shared" si="26"/>
        <v>-5000</v>
      </c>
      <c r="Z30" s="164">
        <f t="shared" si="26"/>
        <v>-5000</v>
      </c>
      <c r="AA30" s="164">
        <f t="shared" si="26"/>
        <v>0</v>
      </c>
      <c r="AB30" s="164">
        <f t="shared" si="26"/>
        <v>0</v>
      </c>
      <c r="AC30" s="164">
        <f t="shared" si="26"/>
        <v>0</v>
      </c>
      <c r="AD30" s="164">
        <f t="shared" si="26"/>
        <v>0</v>
      </c>
      <c r="AE30" s="164">
        <f t="shared" si="26"/>
        <v>-5000</v>
      </c>
      <c r="AF30" s="164">
        <f t="shared" ref="AF30:AJ30" si="27">AF31-AF32</f>
        <v>-5000</v>
      </c>
      <c r="AG30" s="164">
        <f t="shared" si="27"/>
        <v>-5000</v>
      </c>
      <c r="AH30" s="164">
        <f t="shared" si="27"/>
        <v>-5000</v>
      </c>
      <c r="AI30" s="164">
        <f t="shared" si="27"/>
        <v>-5000</v>
      </c>
      <c r="AJ30" s="164">
        <f t="shared" si="27"/>
        <v>-5000</v>
      </c>
      <c r="AK30" s="164">
        <f t="shared" ref="AK30:AL30" si="28">AK31-AK32</f>
        <v>0</v>
      </c>
      <c r="AL30" s="164">
        <f t="shared" si="28"/>
        <v>0</v>
      </c>
    </row>
    <row r="31" spans="1:38" ht="12.75">
      <c r="A31" s="66" t="s">
        <v>106</v>
      </c>
      <c r="B31" s="241">
        <v>0</v>
      </c>
      <c r="C31" s="241">
        <v>0</v>
      </c>
      <c r="D31" s="241">
        <v>0</v>
      </c>
      <c r="E31" s="241">
        <v>0</v>
      </c>
      <c r="F31" s="241">
        <v>0</v>
      </c>
      <c r="G31" s="241">
        <v>0</v>
      </c>
      <c r="H31" s="241">
        <v>0</v>
      </c>
      <c r="I31" s="241">
        <v>0</v>
      </c>
      <c r="J31" s="241">
        <v>0</v>
      </c>
      <c r="K31" s="95">
        <v>0</v>
      </c>
      <c r="L31" s="95">
        <v>0</v>
      </c>
      <c r="M31" s="95">
        <v>0</v>
      </c>
      <c r="O31" s="241">
        <v>0</v>
      </c>
      <c r="P31" s="241">
        <v>0</v>
      </c>
      <c r="Q31" s="241">
        <v>0</v>
      </c>
      <c r="R31" s="241">
        <v>0</v>
      </c>
      <c r="S31" s="241">
        <v>0</v>
      </c>
      <c r="T31" s="241">
        <v>0</v>
      </c>
      <c r="U31" s="241">
        <v>0</v>
      </c>
      <c r="V31" s="241">
        <v>0</v>
      </c>
      <c r="W31" s="241">
        <v>0</v>
      </c>
      <c r="X31" s="241">
        <v>0</v>
      </c>
      <c r="Y31" s="241">
        <v>0</v>
      </c>
      <c r="Z31" s="241">
        <v>0</v>
      </c>
      <c r="AB31" s="259">
        <v>0</v>
      </c>
      <c r="AC31" s="261">
        <v>0</v>
      </c>
      <c r="AD31" s="261">
        <v>0</v>
      </c>
      <c r="AE31" s="261">
        <v>0</v>
      </c>
      <c r="AF31" s="259">
        <v>0</v>
      </c>
      <c r="AG31" s="259">
        <v>0</v>
      </c>
      <c r="AH31" s="259">
        <v>0</v>
      </c>
      <c r="AI31" s="298">
        <v>0</v>
      </c>
      <c r="AJ31" s="300">
        <v>0</v>
      </c>
    </row>
    <row r="32" spans="1:38" ht="12.75">
      <c r="A32" s="66" t="s">
        <v>107</v>
      </c>
      <c r="B32" s="241">
        <v>0</v>
      </c>
      <c r="C32" s="241">
        <v>0</v>
      </c>
      <c r="D32" s="241">
        <v>0</v>
      </c>
      <c r="E32" s="241">
        <v>0</v>
      </c>
      <c r="F32" s="241">
        <v>0</v>
      </c>
      <c r="G32" s="241">
        <v>0</v>
      </c>
      <c r="H32" s="241">
        <v>0</v>
      </c>
      <c r="I32" s="241">
        <v>0</v>
      </c>
      <c r="J32" s="241">
        <v>0</v>
      </c>
      <c r="K32" s="95">
        <v>0</v>
      </c>
      <c r="L32" s="95">
        <v>0</v>
      </c>
      <c r="M32" s="95">
        <v>0</v>
      </c>
      <c r="O32" s="241">
        <v>0</v>
      </c>
      <c r="P32" s="241">
        <v>0</v>
      </c>
      <c r="Q32" s="241">
        <v>0</v>
      </c>
      <c r="R32" s="241">
        <v>0</v>
      </c>
      <c r="S32" s="241">
        <v>0</v>
      </c>
      <c r="T32" s="241">
        <v>5000</v>
      </c>
      <c r="U32" s="241">
        <v>5000</v>
      </c>
      <c r="V32" s="241">
        <v>5000</v>
      </c>
      <c r="W32" s="241">
        <v>5000</v>
      </c>
      <c r="X32" s="241">
        <v>5000</v>
      </c>
      <c r="Y32" s="241">
        <v>5000</v>
      </c>
      <c r="Z32" s="241">
        <v>5000</v>
      </c>
      <c r="AB32" s="263">
        <v>0</v>
      </c>
      <c r="AC32" s="265">
        <v>0</v>
      </c>
      <c r="AD32" s="265">
        <v>0</v>
      </c>
      <c r="AE32" s="266">
        <v>5000</v>
      </c>
      <c r="AF32" s="264">
        <v>5000</v>
      </c>
      <c r="AG32" s="264">
        <v>5000</v>
      </c>
      <c r="AH32" s="264">
        <v>5000</v>
      </c>
      <c r="AI32" s="303">
        <v>5000</v>
      </c>
      <c r="AJ32" s="305">
        <v>5000</v>
      </c>
    </row>
    <row r="33" spans="1:38" s="148" customFormat="1" ht="14.25">
      <c r="A33" s="146" t="s">
        <v>108</v>
      </c>
      <c r="B33" s="125">
        <f t="shared" ref="B33:AL33" si="29">B29+B30</f>
        <v>12393.959999999963</v>
      </c>
      <c r="C33" s="125">
        <f t="shared" si="29"/>
        <v>197439.44999999995</v>
      </c>
      <c r="D33" s="125">
        <f t="shared" si="29"/>
        <v>199904.68000000017</v>
      </c>
      <c r="E33" s="125">
        <f t="shared" si="29"/>
        <v>-445928.12000000034</v>
      </c>
      <c r="F33" s="125">
        <f t="shared" si="29"/>
        <v>476211.70000000019</v>
      </c>
      <c r="G33" s="125">
        <f t="shared" si="29"/>
        <v>1172398.44</v>
      </c>
      <c r="H33" s="125">
        <f t="shared" si="29"/>
        <v>1438969.96</v>
      </c>
      <c r="I33" s="125">
        <f t="shared" si="29"/>
        <v>2113487.7599999998</v>
      </c>
      <c r="J33" s="125">
        <f t="shared" si="29"/>
        <v>2554576.5900000008</v>
      </c>
      <c r="K33" s="125">
        <f t="shared" si="29"/>
        <v>2554576.5900000008</v>
      </c>
      <c r="L33" s="125">
        <f t="shared" si="29"/>
        <v>3078066.9100000011</v>
      </c>
      <c r="M33" s="125">
        <f t="shared" si="29"/>
        <v>3470453.1899999995</v>
      </c>
      <c r="N33" s="125">
        <f t="shared" si="29"/>
        <v>2552749</v>
      </c>
      <c r="O33" s="125">
        <f t="shared" si="29"/>
        <v>140940.66000000003</v>
      </c>
      <c r="P33" s="125">
        <f t="shared" si="29"/>
        <v>798386.25999999989</v>
      </c>
      <c r="Q33" s="125">
        <f t="shared" si="29"/>
        <v>315209.89999999991</v>
      </c>
      <c r="R33" s="125">
        <f t="shared" si="29"/>
        <v>521944.05000000005</v>
      </c>
      <c r="S33" s="125">
        <f t="shared" si="29"/>
        <v>544390.5</v>
      </c>
      <c r="T33" s="125">
        <f t="shared" si="29"/>
        <v>653759.48000000045</v>
      </c>
      <c r="U33" s="125">
        <f t="shared" si="29"/>
        <v>852773.09999999963</v>
      </c>
      <c r="V33" s="125">
        <f t="shared" si="29"/>
        <v>1312466.4500000002</v>
      </c>
      <c r="W33" s="125">
        <f t="shared" si="29"/>
        <v>1483902.9100000011</v>
      </c>
      <c r="X33" s="125">
        <f t="shared" si="29"/>
        <v>2452688.8999999994</v>
      </c>
      <c r="Y33" s="125">
        <f t="shared" si="29"/>
        <v>4050927.17</v>
      </c>
      <c r="Z33" s="125">
        <f t="shared" si="29"/>
        <v>4331004.76</v>
      </c>
      <c r="AA33" s="125">
        <f t="shared" si="29"/>
        <v>2855717</v>
      </c>
      <c r="AB33" s="125">
        <f t="shared" si="29"/>
        <v>68196.070000000065</v>
      </c>
      <c r="AC33" s="125">
        <f t="shared" si="29"/>
        <v>43517.969999999972</v>
      </c>
      <c r="AD33" s="125">
        <f t="shared" si="29"/>
        <v>476809.86999999965</v>
      </c>
      <c r="AE33" s="125">
        <f t="shared" si="29"/>
        <v>465631.56999999983</v>
      </c>
      <c r="AF33" s="125">
        <f t="shared" si="29"/>
        <v>948306.56999999983</v>
      </c>
      <c r="AG33" s="125">
        <f t="shared" si="29"/>
        <v>761656.37000000011</v>
      </c>
      <c r="AH33" s="125">
        <f t="shared" si="29"/>
        <v>1570691.1599999992</v>
      </c>
      <c r="AI33" s="125">
        <f t="shared" si="29"/>
        <v>2348821.6100000003</v>
      </c>
      <c r="AJ33" s="125">
        <f t="shared" si="29"/>
        <v>2454705.13</v>
      </c>
      <c r="AK33" s="125">
        <f t="shared" si="29"/>
        <v>0</v>
      </c>
      <c r="AL33" s="125">
        <f t="shared" si="29"/>
        <v>0</v>
      </c>
    </row>
    <row r="34" spans="1:38" ht="15.75" customHeight="1">
      <c r="A34" s="66" t="s">
        <v>109</v>
      </c>
      <c r="B34" s="241">
        <v>0</v>
      </c>
      <c r="C34" s="241">
        <v>0</v>
      </c>
      <c r="D34" s="241">
        <v>0</v>
      </c>
      <c r="E34" s="241">
        <v>0</v>
      </c>
      <c r="F34" s="241">
        <v>20395.599999999999</v>
      </c>
      <c r="G34" s="241">
        <v>20395.599999999999</v>
      </c>
      <c r="H34" s="241">
        <v>20395.599999999999</v>
      </c>
      <c r="I34" s="241">
        <v>20395.599999999999</v>
      </c>
      <c r="J34" s="241">
        <v>20395.599999999999</v>
      </c>
      <c r="K34" s="241">
        <v>20395.599999999999</v>
      </c>
      <c r="L34" s="241">
        <v>20395.599999999999</v>
      </c>
      <c r="M34" s="241">
        <v>20395.599999999999</v>
      </c>
      <c r="N34" s="98">
        <v>39290</v>
      </c>
      <c r="O34" s="241">
        <v>0</v>
      </c>
      <c r="P34" s="241">
        <v>0</v>
      </c>
      <c r="Q34" s="241">
        <v>0</v>
      </c>
      <c r="R34" s="241">
        <v>0</v>
      </c>
      <c r="S34" s="241">
        <v>0</v>
      </c>
      <c r="T34" s="241">
        <v>0</v>
      </c>
      <c r="U34" s="241">
        <v>0</v>
      </c>
      <c r="V34" s="241">
        <v>0</v>
      </c>
      <c r="W34" s="241">
        <v>0</v>
      </c>
      <c r="X34" s="241">
        <v>0</v>
      </c>
      <c r="Y34" s="241">
        <v>0</v>
      </c>
      <c r="Z34" s="241">
        <v>0</v>
      </c>
      <c r="AB34" s="259">
        <v>0</v>
      </c>
      <c r="AC34" s="261">
        <v>0</v>
      </c>
      <c r="AD34" s="261">
        <v>0</v>
      </c>
      <c r="AE34" s="261">
        <v>0</v>
      </c>
      <c r="AF34" s="259">
        <v>0</v>
      </c>
      <c r="AG34" s="259">
        <v>0</v>
      </c>
      <c r="AH34" s="259">
        <v>0</v>
      </c>
      <c r="AI34" s="298">
        <v>0</v>
      </c>
      <c r="AJ34" s="300">
        <v>0</v>
      </c>
    </row>
    <row r="35" spans="1:38" s="148" customFormat="1" ht="12.75">
      <c r="A35" s="146" t="s">
        <v>110</v>
      </c>
      <c r="B35" s="147">
        <f t="shared" ref="B35:AL35" si="30">B33-B34</f>
        <v>12393.959999999963</v>
      </c>
      <c r="C35" s="147">
        <f t="shared" si="30"/>
        <v>197439.44999999995</v>
      </c>
      <c r="D35" s="147">
        <f t="shared" si="30"/>
        <v>199904.68000000017</v>
      </c>
      <c r="E35" s="147">
        <f t="shared" si="30"/>
        <v>-445928.12000000034</v>
      </c>
      <c r="F35" s="147">
        <f t="shared" si="30"/>
        <v>455816.10000000021</v>
      </c>
      <c r="G35" s="147">
        <f t="shared" si="30"/>
        <v>1152002.8399999999</v>
      </c>
      <c r="H35" s="147">
        <f t="shared" si="30"/>
        <v>1418574.3599999999</v>
      </c>
      <c r="I35" s="147">
        <f t="shared" si="30"/>
        <v>2093092.1599999997</v>
      </c>
      <c r="J35" s="147">
        <f t="shared" si="30"/>
        <v>2534180.9900000007</v>
      </c>
      <c r="K35" s="147">
        <f t="shared" si="30"/>
        <v>2534180.9900000007</v>
      </c>
      <c r="L35" s="147">
        <f t="shared" si="30"/>
        <v>3057671.310000001</v>
      </c>
      <c r="M35" s="147">
        <f t="shared" si="30"/>
        <v>3450057.5899999994</v>
      </c>
      <c r="N35" s="147">
        <f t="shared" si="30"/>
        <v>2513459</v>
      </c>
      <c r="O35" s="147">
        <f t="shared" si="30"/>
        <v>140940.66000000003</v>
      </c>
      <c r="P35" s="147">
        <f t="shared" si="30"/>
        <v>798386.25999999989</v>
      </c>
      <c r="Q35" s="147">
        <f t="shared" si="30"/>
        <v>315209.89999999991</v>
      </c>
      <c r="R35" s="147">
        <f t="shared" si="30"/>
        <v>521944.05000000005</v>
      </c>
      <c r="S35" s="147">
        <f t="shared" si="30"/>
        <v>544390.5</v>
      </c>
      <c r="T35" s="147">
        <f t="shared" si="30"/>
        <v>653759.48000000045</v>
      </c>
      <c r="U35" s="147">
        <f t="shared" si="30"/>
        <v>852773.09999999963</v>
      </c>
      <c r="V35" s="147">
        <f t="shared" si="30"/>
        <v>1312466.4500000002</v>
      </c>
      <c r="W35" s="147">
        <f t="shared" si="30"/>
        <v>1483902.9100000011</v>
      </c>
      <c r="X35" s="147">
        <f t="shared" si="30"/>
        <v>2452688.8999999994</v>
      </c>
      <c r="Y35" s="147">
        <f t="shared" si="30"/>
        <v>4050927.17</v>
      </c>
      <c r="Z35" s="147">
        <f t="shared" si="30"/>
        <v>4331004.76</v>
      </c>
      <c r="AA35" s="147">
        <f t="shared" si="30"/>
        <v>2855717</v>
      </c>
      <c r="AB35" s="147">
        <f t="shared" si="30"/>
        <v>68196.070000000065</v>
      </c>
      <c r="AC35" s="147">
        <f t="shared" si="30"/>
        <v>43517.969999999972</v>
      </c>
      <c r="AD35" s="147">
        <f t="shared" si="30"/>
        <v>476809.86999999965</v>
      </c>
      <c r="AE35" s="147">
        <f t="shared" si="30"/>
        <v>465631.56999999983</v>
      </c>
      <c r="AF35" s="147">
        <f t="shared" si="30"/>
        <v>948306.56999999983</v>
      </c>
      <c r="AG35" s="147">
        <f t="shared" si="30"/>
        <v>761656.37000000011</v>
      </c>
      <c r="AH35" s="147">
        <f t="shared" si="30"/>
        <v>1570691.1599999992</v>
      </c>
      <c r="AI35" s="147">
        <f t="shared" si="30"/>
        <v>2348821.6100000003</v>
      </c>
      <c r="AJ35" s="147">
        <f t="shared" si="30"/>
        <v>2454705.13</v>
      </c>
      <c r="AK35" s="147">
        <f t="shared" si="30"/>
        <v>0</v>
      </c>
      <c r="AL35" s="147">
        <f t="shared" si="30"/>
        <v>0</v>
      </c>
    </row>
    <row r="36" spans="1:38" ht="12.75">
      <c r="A36" s="67" t="s">
        <v>111</v>
      </c>
      <c r="B36" s="123">
        <v>0</v>
      </c>
      <c r="C36" s="123">
        <v>0</v>
      </c>
      <c r="D36" s="123">
        <v>0</v>
      </c>
      <c r="E36" s="123">
        <v>0</v>
      </c>
      <c r="F36" s="123">
        <v>0</v>
      </c>
      <c r="G36" s="123">
        <v>0</v>
      </c>
      <c r="H36" s="123">
        <v>0</v>
      </c>
      <c r="I36" s="123">
        <v>0</v>
      </c>
      <c r="J36" s="123">
        <v>0</v>
      </c>
      <c r="K36" s="95">
        <v>0</v>
      </c>
      <c r="L36" s="95">
        <v>0</v>
      </c>
      <c r="M36" s="95">
        <v>0</v>
      </c>
      <c r="O36" s="241">
        <v>0</v>
      </c>
      <c r="P36" s="241">
        <v>0</v>
      </c>
      <c r="Q36" s="241">
        <v>0</v>
      </c>
      <c r="R36" s="241">
        <v>0</v>
      </c>
      <c r="S36" s="241">
        <v>0</v>
      </c>
      <c r="T36" s="241">
        <v>0</v>
      </c>
      <c r="U36" s="241">
        <v>0</v>
      </c>
      <c r="V36" s="241">
        <v>0</v>
      </c>
      <c r="W36" s="241">
        <v>0</v>
      </c>
      <c r="X36" s="241">
        <v>0</v>
      </c>
      <c r="Y36" s="241">
        <v>0</v>
      </c>
      <c r="Z36" s="241">
        <v>0</v>
      </c>
      <c r="AB36" s="259">
        <v>0</v>
      </c>
      <c r="AC36" s="261">
        <v>0</v>
      </c>
      <c r="AD36" s="261">
        <v>0</v>
      </c>
      <c r="AE36" s="261">
        <v>0</v>
      </c>
      <c r="AF36" s="259">
        <v>0</v>
      </c>
      <c r="AG36" s="259">
        <v>0</v>
      </c>
      <c r="AH36" s="259">
        <v>0</v>
      </c>
      <c r="AI36" s="298">
        <v>0</v>
      </c>
      <c r="AJ36" s="300">
        <v>0</v>
      </c>
    </row>
    <row r="37" spans="1:38" s="148" customFormat="1" ht="12.75">
      <c r="A37" s="146" t="s">
        <v>112</v>
      </c>
      <c r="B37" s="147">
        <f t="shared" ref="B37:AL37" si="31">B35-B36</f>
        <v>12393.959999999963</v>
      </c>
      <c r="C37" s="147">
        <f t="shared" si="31"/>
        <v>197439.44999999995</v>
      </c>
      <c r="D37" s="147">
        <f t="shared" si="31"/>
        <v>199904.68000000017</v>
      </c>
      <c r="E37" s="147">
        <f t="shared" si="31"/>
        <v>-445928.12000000034</v>
      </c>
      <c r="F37" s="147">
        <f t="shared" si="31"/>
        <v>455816.10000000021</v>
      </c>
      <c r="G37" s="147">
        <f t="shared" si="31"/>
        <v>1152002.8399999999</v>
      </c>
      <c r="H37" s="147">
        <f t="shared" si="31"/>
        <v>1418574.3599999999</v>
      </c>
      <c r="I37" s="147">
        <f t="shared" si="31"/>
        <v>2093092.1599999997</v>
      </c>
      <c r="J37" s="147">
        <f t="shared" si="31"/>
        <v>2534180.9900000007</v>
      </c>
      <c r="K37" s="147">
        <f t="shared" si="31"/>
        <v>2534180.9900000007</v>
      </c>
      <c r="L37" s="147">
        <f t="shared" si="31"/>
        <v>3057671.310000001</v>
      </c>
      <c r="M37" s="147">
        <f t="shared" si="31"/>
        <v>3450057.5899999994</v>
      </c>
      <c r="N37" s="147">
        <f t="shared" si="31"/>
        <v>2513459</v>
      </c>
      <c r="O37" s="147">
        <f t="shared" si="31"/>
        <v>140940.66000000003</v>
      </c>
      <c r="P37" s="147">
        <f t="shared" si="31"/>
        <v>798386.25999999989</v>
      </c>
      <c r="Q37" s="147">
        <f t="shared" si="31"/>
        <v>315209.89999999991</v>
      </c>
      <c r="R37" s="147">
        <f t="shared" si="31"/>
        <v>521944.05000000005</v>
      </c>
      <c r="S37" s="147">
        <f t="shared" si="31"/>
        <v>544390.5</v>
      </c>
      <c r="T37" s="147">
        <f t="shared" si="31"/>
        <v>653759.48000000045</v>
      </c>
      <c r="U37" s="147">
        <f t="shared" si="31"/>
        <v>852773.09999999963</v>
      </c>
      <c r="V37" s="147">
        <f t="shared" si="31"/>
        <v>1312466.4500000002</v>
      </c>
      <c r="W37" s="147">
        <f t="shared" si="31"/>
        <v>1483902.9100000011</v>
      </c>
      <c r="X37" s="147">
        <f t="shared" si="31"/>
        <v>2452688.8999999994</v>
      </c>
      <c r="Y37" s="147">
        <f t="shared" si="31"/>
        <v>4050927.17</v>
      </c>
      <c r="Z37" s="147">
        <f t="shared" si="31"/>
        <v>4331004.76</v>
      </c>
      <c r="AA37" s="147">
        <f t="shared" si="31"/>
        <v>2855717</v>
      </c>
      <c r="AB37" s="147">
        <f t="shared" si="31"/>
        <v>68196.070000000065</v>
      </c>
      <c r="AC37" s="147">
        <f t="shared" si="31"/>
        <v>43517.969999999972</v>
      </c>
      <c r="AD37" s="147">
        <f t="shared" si="31"/>
        <v>476809.86999999965</v>
      </c>
      <c r="AE37" s="147">
        <f t="shared" si="31"/>
        <v>465631.56999999983</v>
      </c>
      <c r="AF37" s="147">
        <f t="shared" si="31"/>
        <v>948306.56999999983</v>
      </c>
      <c r="AG37" s="147">
        <f t="shared" si="31"/>
        <v>761656.37000000011</v>
      </c>
      <c r="AH37" s="147">
        <f t="shared" si="31"/>
        <v>1570691.1599999992</v>
      </c>
      <c r="AI37" s="147">
        <f t="shared" si="31"/>
        <v>2348821.6100000003</v>
      </c>
      <c r="AJ37" s="147">
        <f t="shared" si="31"/>
        <v>2454705.13</v>
      </c>
      <c r="AK37" s="147">
        <f t="shared" si="31"/>
        <v>0</v>
      </c>
      <c r="AL37" s="147">
        <f t="shared" si="31"/>
        <v>0</v>
      </c>
    </row>
    <row r="40" spans="1:38">
      <c r="N40" s="98">
        <f>N35-2513459</f>
        <v>0</v>
      </c>
    </row>
    <row r="47" spans="1:38">
      <c r="N47" s="98">
        <f>8178719+1271421+6894369</f>
        <v>16344509</v>
      </c>
    </row>
    <row r="48" spans="1:38">
      <c r="N48" s="235">
        <f>N47/47572951</f>
        <v>0.34356727208282706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59"/>
  <sheetViews>
    <sheetView workbookViewId="0">
      <pane xSplit="2" ySplit="11" topLeftCell="AG61" activePane="bottomRight" state="frozen"/>
      <selection pane="bottomRight" activeCell="AI3" sqref="AI3:AL3"/>
      <selection pane="bottomLeft" activeCell="A12" sqref="A12"/>
      <selection pane="topRight" activeCell="D1" sqref="D1"/>
    </sheetView>
  </sheetViews>
  <sheetFormatPr defaultColWidth="9.140625" defaultRowHeight="12.6"/>
  <cols>
    <col min="1" max="1" width="5" style="25" bestFit="1" customWidth="1"/>
    <col min="2" max="2" width="46" style="25" bestFit="1" customWidth="1"/>
    <col min="3" max="3" width="16.42578125" style="25" customWidth="1"/>
    <col min="4" max="4" width="16.42578125" style="25" bestFit="1" customWidth="1"/>
    <col min="5" max="6" width="16.42578125" style="25" customWidth="1"/>
    <col min="7" max="7" width="16.42578125" style="25" bestFit="1" customWidth="1"/>
    <col min="8" max="9" width="16.42578125" style="25" customWidth="1"/>
    <col min="10" max="10" width="16.42578125" style="25" bestFit="1" customWidth="1"/>
    <col min="11" max="13" width="16.42578125" style="25" customWidth="1"/>
    <col min="14" max="15" width="16.42578125" style="25" bestFit="1" customWidth="1"/>
    <col min="16" max="28" width="13.42578125" style="25" bestFit="1" customWidth="1"/>
    <col min="29" max="31" width="8.140625" style="25" bestFit="1" customWidth="1"/>
    <col min="32" max="33" width="13.5703125" style="25" bestFit="1" customWidth="1"/>
    <col min="34" max="37" width="8.140625" style="25" bestFit="1" customWidth="1"/>
    <col min="38" max="16384" width="9.140625" style="25"/>
  </cols>
  <sheetData>
    <row r="1" spans="1:38" ht="12.95" thickBot="1"/>
    <row r="2" spans="1:38">
      <c r="A2" s="26"/>
      <c r="B2" s="112" t="s">
        <v>113</v>
      </c>
    </row>
    <row r="3" spans="1:38">
      <c r="A3" s="28"/>
      <c r="B3" s="29" t="s">
        <v>114</v>
      </c>
      <c r="C3" s="159" t="s">
        <v>2</v>
      </c>
      <c r="D3" s="159" t="s">
        <v>3</v>
      </c>
      <c r="E3" s="159" t="s">
        <v>4</v>
      </c>
      <c r="F3" s="159" t="s">
        <v>5</v>
      </c>
      <c r="G3" s="159" t="s">
        <v>6</v>
      </c>
      <c r="H3" s="159" t="s">
        <v>7</v>
      </c>
      <c r="I3" s="159" t="s">
        <v>8</v>
      </c>
      <c r="J3" s="159" t="s">
        <v>9</v>
      </c>
      <c r="K3" s="159" t="s">
        <v>10</v>
      </c>
      <c r="L3" s="159" t="s">
        <v>11</v>
      </c>
      <c r="M3" s="159" t="s">
        <v>12</v>
      </c>
      <c r="N3" s="159" t="s">
        <v>13</v>
      </c>
      <c r="O3" s="159" t="s">
        <v>14</v>
      </c>
      <c r="P3" s="249">
        <v>44562</v>
      </c>
      <c r="Q3" s="249">
        <v>44593</v>
      </c>
      <c r="R3" s="249">
        <v>44621</v>
      </c>
      <c r="S3" s="249">
        <v>44652</v>
      </c>
      <c r="T3" s="249">
        <v>44682</v>
      </c>
      <c r="U3" s="249">
        <v>44713</v>
      </c>
      <c r="V3" s="249">
        <v>44743</v>
      </c>
      <c r="W3" s="249">
        <v>44774</v>
      </c>
      <c r="X3" s="249">
        <v>44805</v>
      </c>
      <c r="Y3" s="249">
        <v>44835</v>
      </c>
      <c r="Z3" s="249">
        <v>44866</v>
      </c>
      <c r="AA3" s="249">
        <v>44896</v>
      </c>
      <c r="AB3" s="249" t="s">
        <v>15</v>
      </c>
      <c r="AC3" s="249">
        <v>44927</v>
      </c>
      <c r="AD3" s="249">
        <v>44958</v>
      </c>
      <c r="AE3" s="249">
        <v>44986</v>
      </c>
      <c r="AF3" s="249">
        <v>45017</v>
      </c>
      <c r="AG3" s="249">
        <v>45047</v>
      </c>
      <c r="AH3" s="249">
        <v>45078</v>
      </c>
      <c r="AI3" s="249">
        <v>45108</v>
      </c>
      <c r="AJ3" s="249">
        <v>45139</v>
      </c>
      <c r="AK3" s="249">
        <v>45170</v>
      </c>
      <c r="AL3" s="249">
        <v>45200</v>
      </c>
    </row>
    <row r="4" spans="1:38">
      <c r="A4" s="30">
        <v>1</v>
      </c>
      <c r="B4" s="31" t="s">
        <v>115</v>
      </c>
    </row>
    <row r="5" spans="1:38">
      <c r="A5" s="30">
        <v>2</v>
      </c>
      <c r="B5" s="31" t="s">
        <v>38</v>
      </c>
      <c r="C5" s="65">
        <f>SFP!B26</f>
        <v>63147089.009999998</v>
      </c>
      <c r="D5" s="65">
        <f>SFP!C26</f>
        <v>63013382.780000001</v>
      </c>
      <c r="E5" s="65">
        <f>SFP!D26</f>
        <v>63197519.299999997</v>
      </c>
      <c r="F5" s="65">
        <f>SFP!E26</f>
        <v>61811011.640000001</v>
      </c>
      <c r="G5" s="65">
        <f>SFP!F26</f>
        <v>62923133.219999999</v>
      </c>
      <c r="H5" s="65">
        <f>SFP!G26</f>
        <v>62987844.099999994</v>
      </c>
      <c r="I5" s="65">
        <f>SFP!H26</f>
        <v>63480207.609999999</v>
      </c>
      <c r="J5" s="65">
        <f>SFP!I26</f>
        <v>64044839.659999996</v>
      </c>
      <c r="K5" s="65">
        <f>SFP!J26</f>
        <v>64498603.979999997</v>
      </c>
      <c r="L5" s="65">
        <f>SFP!K26</f>
        <v>65135639.350000001</v>
      </c>
      <c r="M5" s="65">
        <f>SFP!L26</f>
        <v>65908239.969999999</v>
      </c>
      <c r="N5" s="65">
        <f>SFP!M26</f>
        <v>66204049.890000008</v>
      </c>
      <c r="O5" s="65">
        <f>SFP!N26</f>
        <v>66045912</v>
      </c>
      <c r="P5" s="65">
        <f>SFP!O26</f>
        <v>65870789.010000005</v>
      </c>
      <c r="Q5" s="65">
        <f>SFP!P26</f>
        <v>66941575.409999989</v>
      </c>
      <c r="R5" s="65">
        <f>SFP!Q26</f>
        <v>67151638.38000001</v>
      </c>
      <c r="S5" s="65">
        <f>SFP!R26</f>
        <v>68169267.040000007</v>
      </c>
      <c r="T5" s="65">
        <f>SFP!S26</f>
        <v>67728528.939999998</v>
      </c>
      <c r="U5" s="65">
        <f>SFP!T26</f>
        <v>67726550.060000002</v>
      </c>
      <c r="V5" s="65">
        <f>SFP!U26</f>
        <v>69261409.359999999</v>
      </c>
      <c r="W5" s="65">
        <f>SFP!V26</f>
        <v>70110567.969999999</v>
      </c>
      <c r="X5" s="65">
        <f>SFP!W26</f>
        <v>70547722.450000003</v>
      </c>
      <c r="Y5" s="65">
        <f>SFP!X26</f>
        <v>72217581.00999999</v>
      </c>
      <c r="Z5" s="65">
        <f>SFP!Y26</f>
        <v>74330117.569999993</v>
      </c>
      <c r="AA5" s="65">
        <f>SFP!Z26</f>
        <v>74476119.340000004</v>
      </c>
      <c r="AB5" s="65">
        <f>SFP!AA26</f>
        <v>74532015.25</v>
      </c>
      <c r="AC5" s="65">
        <f>SFP!AB26</f>
        <v>74825876.030000001</v>
      </c>
      <c r="AD5" s="65">
        <f>SFP!AC26</f>
        <v>75083720.280000001</v>
      </c>
      <c r="AE5" s="65">
        <f>SFP!AD26</f>
        <v>75676058.860000014</v>
      </c>
      <c r="AF5" s="65">
        <f>SFP!AE26</f>
        <v>74734138.310000002</v>
      </c>
      <c r="AG5" s="65">
        <f>SFP!AF26</f>
        <v>75132989.590000004</v>
      </c>
      <c r="AH5" s="65">
        <f>SFP!AG26</f>
        <v>75360726.799999997</v>
      </c>
      <c r="AI5" s="65">
        <f>SFP!AH26</f>
        <v>76297290.140000001</v>
      </c>
      <c r="AJ5" s="65">
        <f>SFP!AI26</f>
        <v>77730794.330000013</v>
      </c>
      <c r="AK5" s="65">
        <f>SFP!AJ26</f>
        <v>77572130.520000011</v>
      </c>
    </row>
    <row r="6" spans="1:38">
      <c r="A6" s="30">
        <v>3</v>
      </c>
      <c r="B6" s="31" t="s">
        <v>116</v>
      </c>
      <c r="C6" s="65">
        <f>SFP!B30</f>
        <v>48244858.149999999</v>
      </c>
      <c r="D6" s="65">
        <f>SFP!C30</f>
        <v>47944131.869999997</v>
      </c>
      <c r="E6" s="65">
        <f>SFP!D30</f>
        <v>48052893.269999996</v>
      </c>
      <c r="F6" s="65">
        <f>SFP!E30</f>
        <v>47544619.810000002</v>
      </c>
      <c r="G6" s="65">
        <f>SFP!F30</f>
        <v>47845771.450000003</v>
      </c>
      <c r="H6" s="65">
        <f>SFP!G30</f>
        <v>47164645.299999997</v>
      </c>
      <c r="I6" s="65">
        <f>SFP!H30</f>
        <v>47335099.530000001</v>
      </c>
      <c r="J6" s="65">
        <f>SFP!I30</f>
        <v>47696569.189999998</v>
      </c>
      <c r="K6" s="65">
        <f>SFP!J30</f>
        <v>47653360.170000002</v>
      </c>
      <c r="L6" s="65">
        <f>SFP!K30</f>
        <v>47986522.519999996</v>
      </c>
      <c r="M6" s="65">
        <f>SFP!L30</f>
        <v>48491428.899999999</v>
      </c>
      <c r="N6" s="65">
        <f>SFP!M30</f>
        <v>48788649.399999999</v>
      </c>
      <c r="O6" s="65">
        <f>SFP!N30</f>
        <v>47580831</v>
      </c>
      <c r="P6" s="65">
        <f>SFP!O30</f>
        <v>48287722.019999996</v>
      </c>
      <c r="Q6" s="65">
        <f>SFP!P30</f>
        <v>48678688.209999993</v>
      </c>
      <c r="R6" s="65">
        <f>SFP!Q30</f>
        <v>49622680.880000003</v>
      </c>
      <c r="S6" s="65">
        <f>SFP!R30</f>
        <v>50686990.700000003</v>
      </c>
      <c r="T6" s="65">
        <f>SFP!S30</f>
        <v>50769692.670000002</v>
      </c>
      <c r="U6" s="65">
        <f>SFP!T30</f>
        <v>50840253.509999998</v>
      </c>
      <c r="V6" s="65">
        <f>SFP!U30</f>
        <v>51290274.060000002</v>
      </c>
      <c r="W6" s="65">
        <f>SFP!V30</f>
        <v>51640936.259999998</v>
      </c>
      <c r="X6" s="65">
        <f>SFP!W30</f>
        <v>51878976.259999998</v>
      </c>
      <c r="Y6" s="65">
        <f>SFP!X30</f>
        <v>52555054.309999995</v>
      </c>
      <c r="Z6" s="65">
        <f>SFP!Y30</f>
        <v>53037648.350000001</v>
      </c>
      <c r="AA6" s="65">
        <f>SFP!Z30</f>
        <v>52902239.359999999</v>
      </c>
      <c r="AB6" s="65">
        <f>SFP!AA30</f>
        <v>51641674</v>
      </c>
      <c r="AC6" s="65">
        <f>SFP!AB30</f>
        <v>53145980.240000002</v>
      </c>
      <c r="AD6" s="65">
        <f>SFP!AC30</f>
        <v>53379976.589999996</v>
      </c>
      <c r="AE6" s="65">
        <f>SFP!AD30</f>
        <v>53552846.460000001</v>
      </c>
      <c r="AF6" s="65">
        <f>SFP!AE30</f>
        <v>53505986.990000002</v>
      </c>
      <c r="AG6" s="65">
        <f>SFP!AF30</f>
        <v>53728882.300000004</v>
      </c>
      <c r="AH6" s="65">
        <f>SFP!AG30</f>
        <v>54219256.729999997</v>
      </c>
      <c r="AI6" s="65">
        <f>SFP!AH30</f>
        <v>54874268.049999997</v>
      </c>
      <c r="AJ6" s="65">
        <f>SFP!AI30</f>
        <v>55475482.980000004</v>
      </c>
      <c r="AK6" s="65">
        <f>SFP!AJ30</f>
        <v>55182012.350000001</v>
      </c>
    </row>
    <row r="7" spans="1:38">
      <c r="A7" s="30">
        <v>3.1</v>
      </c>
      <c r="B7" s="32" t="s">
        <v>117</v>
      </c>
      <c r="C7" s="65">
        <f>SFP!B29</f>
        <v>42639604.659999996</v>
      </c>
      <c r="D7" s="65">
        <f>SFP!C29</f>
        <v>42952605.18</v>
      </c>
      <c r="E7" s="65">
        <f>SFP!D29</f>
        <v>42653632.079999998</v>
      </c>
      <c r="F7" s="65">
        <f>SFP!E29</f>
        <v>42623959.109999999</v>
      </c>
      <c r="G7" s="65">
        <f>SFP!F29</f>
        <v>42728067.740000002</v>
      </c>
      <c r="H7" s="65">
        <f>SFP!G29</f>
        <v>42804787.890000001</v>
      </c>
      <c r="I7" s="65">
        <f>SFP!H29</f>
        <v>43115098.439999998</v>
      </c>
      <c r="J7" s="65">
        <f>SFP!I29</f>
        <v>43237356.689999998</v>
      </c>
      <c r="K7" s="65">
        <f>SFP!J29</f>
        <v>43124824.490000002</v>
      </c>
      <c r="L7" s="65">
        <f>SFP!K29</f>
        <v>43263702.219999999</v>
      </c>
      <c r="M7" s="65">
        <f>SFP!L29</f>
        <v>43301366.07</v>
      </c>
      <c r="N7" s="65">
        <f>SFP!M29</f>
        <v>43532508.640000001</v>
      </c>
      <c r="O7" s="65">
        <f>SFP!N29</f>
        <v>42324690</v>
      </c>
      <c r="P7" s="65">
        <f>SFP!O29</f>
        <v>43749290.479999997</v>
      </c>
      <c r="Q7" s="65">
        <f>SFP!P29</f>
        <v>44226217.619999997</v>
      </c>
      <c r="R7" s="65">
        <f>SFP!Q29</f>
        <v>44596224.560000002</v>
      </c>
      <c r="S7" s="65">
        <f>SFP!R29</f>
        <v>45728426.43</v>
      </c>
      <c r="T7" s="65">
        <f>SFP!S29</f>
        <v>45636162.07</v>
      </c>
      <c r="U7" s="65">
        <f>SFP!T29</f>
        <v>45447393.289999999</v>
      </c>
      <c r="V7" s="65">
        <f>SFP!U29</f>
        <v>45938107.460000001</v>
      </c>
      <c r="W7" s="65">
        <f>SFP!V29</f>
        <v>46191632.789999999</v>
      </c>
      <c r="X7" s="65">
        <f>SFP!W29</f>
        <v>46463926.93</v>
      </c>
      <c r="Y7" s="65">
        <f>SFP!X29</f>
        <v>46814109.659999996</v>
      </c>
      <c r="Z7" s="65">
        <f>SFP!Y29</f>
        <v>47211861.630000003</v>
      </c>
      <c r="AA7" s="65">
        <f>SFP!Z29</f>
        <v>47770133.170000002</v>
      </c>
      <c r="AB7" s="65">
        <f>SFP!AA29</f>
        <v>46509568</v>
      </c>
      <c r="AC7" s="65">
        <f>SFP!AB29</f>
        <v>47997584.640000001</v>
      </c>
      <c r="AD7" s="65">
        <f>SFP!AC29</f>
        <v>47963376.259999998</v>
      </c>
      <c r="AE7" s="65">
        <f>SFP!AD29</f>
        <v>48224994.789999999</v>
      </c>
      <c r="AF7" s="65">
        <f>SFP!AE29</f>
        <v>48066329.350000001</v>
      </c>
      <c r="AG7" s="65">
        <f>SFP!AF29</f>
        <v>48413332.090000004</v>
      </c>
      <c r="AH7" s="65">
        <f>SFP!AG29</f>
        <v>48731864.119999997</v>
      </c>
      <c r="AI7" s="65">
        <f>SFP!AH29</f>
        <v>49400249.539999999</v>
      </c>
      <c r="AJ7" s="65">
        <f>SFP!AI29</f>
        <v>49722132.170000002</v>
      </c>
      <c r="AK7" s="65">
        <f>SFP!AJ29</f>
        <v>50283934.200000003</v>
      </c>
    </row>
    <row r="8" spans="1:38">
      <c r="A8" s="30">
        <v>3.2</v>
      </c>
      <c r="B8" s="32" t="s">
        <v>118</v>
      </c>
      <c r="C8" s="65">
        <f>SFP!B27</f>
        <v>4599353.49</v>
      </c>
      <c r="D8" s="65">
        <f>SFP!C27</f>
        <v>4238526.6900000004</v>
      </c>
      <c r="E8" s="65">
        <f>SFP!D27</f>
        <v>4146261.19</v>
      </c>
      <c r="F8" s="65">
        <f>SFP!E27</f>
        <v>3817660.7</v>
      </c>
      <c r="G8" s="65">
        <f>SFP!F27</f>
        <v>4514703.71</v>
      </c>
      <c r="H8" s="65">
        <f>SFP!G27</f>
        <v>3756857.41</v>
      </c>
      <c r="I8" s="65">
        <f>SFP!H27</f>
        <v>3617001.09</v>
      </c>
      <c r="J8" s="65">
        <f>SFP!I27</f>
        <v>3856212.5</v>
      </c>
      <c r="K8" s="65">
        <f>SFP!J27</f>
        <v>3925535.68</v>
      </c>
      <c r="L8" s="65">
        <f>SFP!K27</f>
        <v>4119820.3</v>
      </c>
      <c r="M8" s="65">
        <f>SFP!L27</f>
        <v>4587062.83</v>
      </c>
      <c r="N8" s="65">
        <f>SFP!M27</f>
        <v>4653140.76</v>
      </c>
      <c r="O8" s="65">
        <f>SFP!N27</f>
        <v>4653141</v>
      </c>
      <c r="P8" s="65">
        <f>SFP!O27</f>
        <v>3935431.54</v>
      </c>
      <c r="Q8" s="65">
        <f>SFP!P27</f>
        <v>3849470.59</v>
      </c>
      <c r="R8" s="65">
        <f>SFP!Q27</f>
        <v>4423456.32</v>
      </c>
      <c r="S8" s="65">
        <f>SFP!R27</f>
        <v>4175564.27</v>
      </c>
      <c r="T8" s="65">
        <f>SFP!S27</f>
        <v>4110530.6</v>
      </c>
      <c r="U8" s="65">
        <f>SFP!T27</f>
        <v>4369860.22</v>
      </c>
      <c r="V8" s="65">
        <f>SFP!U27</f>
        <v>4329166.5999999996</v>
      </c>
      <c r="W8" s="65">
        <f>SFP!V27</f>
        <v>4426303.47</v>
      </c>
      <c r="X8" s="65">
        <f>SFP!W27</f>
        <v>4392049.33</v>
      </c>
      <c r="Y8" s="65">
        <f>SFP!X27</f>
        <v>4717944.6500000004</v>
      </c>
      <c r="Z8" s="65">
        <f>SFP!Y27</f>
        <v>4982786.72</v>
      </c>
      <c r="AA8" s="65">
        <f>SFP!Z27</f>
        <v>4229106.1900000004</v>
      </c>
      <c r="AB8" s="65">
        <f>SFP!AA27</f>
        <v>4229106</v>
      </c>
      <c r="AC8" s="65">
        <f>SFP!AB27</f>
        <v>4245395.5999999996</v>
      </c>
      <c r="AD8" s="65">
        <f>SFP!AC27</f>
        <v>4513600.33</v>
      </c>
      <c r="AE8" s="65">
        <f>SFP!AD27</f>
        <v>4424851.67</v>
      </c>
      <c r="AF8" s="65">
        <f>SFP!AE27</f>
        <v>4536657.6399999997</v>
      </c>
      <c r="AG8" s="65">
        <f>SFP!AF27</f>
        <v>4412550.21</v>
      </c>
      <c r="AH8" s="65">
        <f>SFP!AG27</f>
        <v>4534392.6100000003</v>
      </c>
      <c r="AI8" s="65">
        <f>SFP!AH27</f>
        <v>4521018.51</v>
      </c>
      <c r="AJ8" s="65">
        <f>SFP!AI27</f>
        <v>4800350.8099999996</v>
      </c>
      <c r="AK8" s="65">
        <f>SFP!AJ27</f>
        <v>3945078.15</v>
      </c>
    </row>
    <row r="9" spans="1:38">
      <c r="A9" s="30">
        <v>4</v>
      </c>
      <c r="B9" s="31" t="s">
        <v>119</v>
      </c>
      <c r="C9" s="69">
        <f>SFP!B37</f>
        <v>0</v>
      </c>
      <c r="D9" s="69">
        <f>SFP!C37</f>
        <v>0</v>
      </c>
      <c r="E9" s="69">
        <f>SFP!D37</f>
        <v>0</v>
      </c>
      <c r="F9" s="69">
        <f>SFP!E37</f>
        <v>0</v>
      </c>
      <c r="G9" s="69">
        <f>SFP!F37</f>
        <v>0</v>
      </c>
      <c r="H9" s="69">
        <f>SFP!G37</f>
        <v>0</v>
      </c>
      <c r="I9" s="69">
        <f>SFP!H37</f>
        <v>0</v>
      </c>
      <c r="J9" s="69">
        <f>SFP!I37</f>
        <v>0</v>
      </c>
      <c r="K9" s="69">
        <f>SFP!J37</f>
        <v>0</v>
      </c>
      <c r="L9" s="69">
        <f>SFP!K37</f>
        <v>0</v>
      </c>
      <c r="M9" s="69">
        <f>SFP!L37</f>
        <v>0</v>
      </c>
      <c r="N9" s="69">
        <f>SFP!M37</f>
        <v>0</v>
      </c>
      <c r="O9" s="69">
        <f>SFP!N37</f>
        <v>0</v>
      </c>
      <c r="P9" s="69">
        <f>SFP!O38</f>
        <v>48242952.269999996</v>
      </c>
      <c r="Q9" s="69">
        <f>SFP!P38</f>
        <v>48634973.559999995</v>
      </c>
      <c r="R9" s="69">
        <f>SFP!Q38</f>
        <v>51141630.670000002</v>
      </c>
      <c r="S9" s="69">
        <f>SFP!R38</f>
        <v>51958670.220000006</v>
      </c>
      <c r="T9" s="69">
        <f>SFP!S38</f>
        <v>51485643.380000003</v>
      </c>
      <c r="U9" s="69">
        <f>SFP!T38</f>
        <v>51352721.890000001</v>
      </c>
      <c r="V9" s="69">
        <f>SFP!U38</f>
        <v>51286813.920000002</v>
      </c>
      <c r="W9" s="69">
        <f>SFP!V38</f>
        <v>51644812.239999995</v>
      </c>
      <c r="X9" s="69">
        <f>SFP!W38</f>
        <v>51883555.669999994</v>
      </c>
      <c r="Y9" s="69">
        <f>SFP!X38</f>
        <v>52558431.029999994</v>
      </c>
      <c r="Z9" s="69">
        <f>SFP!Y38</f>
        <v>53020553.780000001</v>
      </c>
      <c r="AA9" s="69">
        <f>SFP!Z38</f>
        <v>52879422.280000001</v>
      </c>
      <c r="AB9" s="69">
        <f>SFP!AA38</f>
        <v>55181326</v>
      </c>
      <c r="AC9" s="69">
        <f>SFP!AB38</f>
        <v>53135099.039999999</v>
      </c>
      <c r="AD9" s="69">
        <f>SFP!AC38</f>
        <v>53381143.279999994</v>
      </c>
      <c r="AE9" s="69">
        <f>SFP!AD38</f>
        <v>55749442.25</v>
      </c>
      <c r="AF9" s="69">
        <f>SFP!AE38</f>
        <v>54746412.980000004</v>
      </c>
      <c r="AG9" s="69">
        <f>SFP!AF38</f>
        <v>54611987.300000004</v>
      </c>
      <c r="AH9" s="69">
        <f>SFP!AG38</f>
        <v>54993166.609999999</v>
      </c>
      <c r="AI9" s="69">
        <f>SFP!AH38</f>
        <v>54928149.149999999</v>
      </c>
      <c r="AJ9" s="69">
        <f>SFP!AI38</f>
        <v>55543594.600000001</v>
      </c>
      <c r="AK9" s="69">
        <f>SFP!AJ38</f>
        <v>55245337.969999999</v>
      </c>
    </row>
    <row r="10" spans="1:38" ht="12.95" thickBot="1">
      <c r="A10" s="51">
        <v>4.0999999999999996</v>
      </c>
      <c r="B10" s="55" t="s">
        <v>120</v>
      </c>
      <c r="C10" s="152">
        <f>SFP!B32+SFP!B33+SFP!B34+SFP!B35+SFP!B36</f>
        <v>742171.29</v>
      </c>
      <c r="D10" s="152">
        <f>SFP!C32+SFP!C33+SFP!C34+SFP!C35+SFP!C36</f>
        <v>705460.00999999989</v>
      </c>
      <c r="E10" s="152">
        <f>SFP!D32+SFP!D33+SFP!D34+SFP!D35+SFP!D36</f>
        <v>1484749.53</v>
      </c>
      <c r="F10" s="152">
        <f>SFP!E32+SFP!E33+SFP!E34+SFP!E35+SFP!E36</f>
        <v>1232363.0999999999</v>
      </c>
      <c r="G10" s="152">
        <f>SFP!F32+SFP!F33+SFP!F34+SFP!F35+SFP!F36</f>
        <v>1127691.45</v>
      </c>
      <c r="H10" s="152">
        <f>SFP!G32+SFP!G33+SFP!G34+SFP!G35+SFP!G36</f>
        <v>980421.08000000007</v>
      </c>
      <c r="I10" s="152">
        <f>SFP!H32+SFP!H33+SFP!H34+SFP!H35+SFP!H36</f>
        <v>992968.92</v>
      </c>
      <c r="J10" s="152">
        <f>SFP!I32+SFP!I33+SFP!I34+SFP!I35+SFP!I36</f>
        <v>533866.28999999992</v>
      </c>
      <c r="K10" s="152">
        <f>SFP!J32+SFP!J33+SFP!J34+SFP!J35+SFP!J36</f>
        <v>547953.32999999996</v>
      </c>
      <c r="L10" s="152">
        <f>SFP!K32+SFP!K33+SFP!K34+SFP!K35+SFP!K36</f>
        <v>541478.31999999995</v>
      </c>
      <c r="M10" s="152">
        <f>SFP!L32+SFP!L33+SFP!L34+SFP!L35+SFP!L36</f>
        <v>538606.86</v>
      </c>
      <c r="N10" s="152">
        <f>SFP!M32+SFP!M33+SFP!M34+SFP!M35+SFP!M36</f>
        <v>-29182.410000000003</v>
      </c>
      <c r="O10" s="152">
        <f>SFP!N32+SFP!N33+SFP!N34+SFP!N35+SFP!N36</f>
        <v>2861188</v>
      </c>
      <c r="P10" s="152">
        <f>SFP!O32+SFP!O33+SFP!O34+SFP!O35+SFP!O36</f>
        <v>-44769.75</v>
      </c>
      <c r="Q10" s="152">
        <f>SFP!P32+SFP!P33+SFP!P34+SFP!P35+SFP!P36</f>
        <v>-43714.65</v>
      </c>
      <c r="R10" s="152">
        <f>SFP!Q32+SFP!Q33+SFP!Q34+SFP!Q35+SFP!Q36</f>
        <v>1518949.79</v>
      </c>
      <c r="S10" s="152">
        <f>SFP!R32+SFP!R33+SFP!R34+SFP!R35+SFP!R36</f>
        <v>1271679.52</v>
      </c>
      <c r="T10" s="152">
        <f>SFP!S32+SFP!S33+SFP!S34+SFP!S35+SFP!S36</f>
        <v>715950.71</v>
      </c>
      <c r="U10" s="152">
        <f>SFP!T32+SFP!T33+SFP!T34+SFP!T35+SFP!T36</f>
        <v>512468.37999999995</v>
      </c>
      <c r="V10" s="152">
        <f>SFP!U32+SFP!U33+SFP!U34+SFP!U35+SFP!U36</f>
        <v>-3460.1399999999958</v>
      </c>
      <c r="W10" s="152">
        <f>SFP!V32+SFP!V33+SFP!V34+SFP!V35+SFP!V36</f>
        <v>3875.9799999999959</v>
      </c>
      <c r="X10" s="152">
        <f>SFP!W32+SFP!W33+SFP!W34+SFP!W35+SFP!W36</f>
        <v>4579.4100000000035</v>
      </c>
      <c r="Y10" s="152">
        <f>SFP!X32+SFP!X33+SFP!X34+SFP!X35+SFP!X36</f>
        <v>3376.7200000000012</v>
      </c>
      <c r="Z10" s="152">
        <f>SFP!Y32+SFP!Y33+SFP!Y34+SFP!Y35+SFP!Y36</f>
        <v>-17094.57</v>
      </c>
      <c r="AA10" s="152">
        <f>SFP!Z32+SFP!Z33+SFP!Z34+SFP!Z35+SFP!Z36</f>
        <v>-22817.079999999998</v>
      </c>
      <c r="AB10" s="152">
        <f>SFP!AA32+SFP!AA33+SFP!AA34+SFP!AA35+SFP!AA36</f>
        <v>3539652</v>
      </c>
      <c r="AC10" s="152">
        <f>SFP!AB32+SFP!AB33+SFP!AB34+SFP!AB35+SFP!AB36</f>
        <v>-10881.2</v>
      </c>
      <c r="AD10" s="152">
        <f>SFP!AC32+SFP!AC33+SFP!AC34+SFP!AC35+SFP!AC36</f>
        <v>1166.6899999999987</v>
      </c>
      <c r="AE10" s="152">
        <f>SFP!AD32+SFP!AD33+SFP!AD34+SFP!AD35+SFP!AD36</f>
        <v>2196595.79</v>
      </c>
      <c r="AF10" s="152">
        <f>SFP!AE32+SFP!AE33+SFP!AE34+SFP!AE35+SFP!AE36</f>
        <v>1240425.9899999998</v>
      </c>
      <c r="AG10" s="152">
        <f>SFP!AF32+SFP!AF33+SFP!AF34+SFP!AF35+SFP!AF36</f>
        <v>883105</v>
      </c>
      <c r="AH10" s="152">
        <f>SFP!AG32+SFP!AG33+SFP!AG34+SFP!AG35+SFP!AG36</f>
        <v>773909.88</v>
      </c>
      <c r="AI10" s="152">
        <f>SFP!AH32+SFP!AH33+SFP!AH34+SFP!AH35+SFP!AH36</f>
        <v>53881.1</v>
      </c>
      <c r="AJ10" s="152">
        <f>SFP!AI32+SFP!AI33+SFP!AI34+SFP!AI35+SFP!AI36</f>
        <v>68111.62</v>
      </c>
      <c r="AK10" s="152">
        <f>SFP!AJ32+SFP!AJ33+SFP!AJ34+SFP!AJ35+SFP!AJ36</f>
        <v>63325.619999999995</v>
      </c>
    </row>
    <row r="11" spans="1:38">
      <c r="A11" s="33"/>
      <c r="B11" s="34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</row>
    <row r="12" spans="1:38" ht="12.95" thickBot="1">
      <c r="A12" s="33"/>
      <c r="B12" s="34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</row>
    <row r="13" spans="1:38">
      <c r="A13" s="35">
        <v>5</v>
      </c>
      <c r="B13" s="36" t="s">
        <v>121</v>
      </c>
      <c r="C13" s="154">
        <f t="shared" ref="C13:Q13" si="0">C18+C20+C21</f>
        <v>13070895.07</v>
      </c>
      <c r="D13" s="154">
        <f>D18+D20+D21</f>
        <v>13076710.859999999</v>
      </c>
      <c r="E13" s="154">
        <f t="shared" si="0"/>
        <v>13207610.41</v>
      </c>
      <c r="F13" s="154">
        <f t="shared" si="0"/>
        <v>13206024.82</v>
      </c>
      <c r="G13" s="154">
        <f t="shared" si="0"/>
        <v>13206024.82</v>
      </c>
      <c r="H13" s="154">
        <f t="shared" si="0"/>
        <v>13215264.82</v>
      </c>
      <c r="I13" s="154">
        <f t="shared" si="0"/>
        <v>13216838.32</v>
      </c>
      <c r="J13" s="154">
        <f t="shared" si="0"/>
        <v>13257697.48</v>
      </c>
      <c r="K13" s="154">
        <f t="shared" si="0"/>
        <v>13270697.48</v>
      </c>
      <c r="L13" s="154">
        <f t="shared" si="0"/>
        <v>13278531.810000001</v>
      </c>
      <c r="M13" s="154">
        <f t="shared" si="0"/>
        <v>13286531.810000001</v>
      </c>
      <c r="N13" s="154">
        <f t="shared" si="0"/>
        <v>13438294.199999999</v>
      </c>
      <c r="O13" s="154">
        <f t="shared" si="0"/>
        <v>10471434</v>
      </c>
      <c r="P13" s="154">
        <f t="shared" si="0"/>
        <v>13473333.220000001</v>
      </c>
      <c r="Q13" s="154">
        <f t="shared" si="0"/>
        <v>13478533.75</v>
      </c>
      <c r="R13" s="154">
        <f t="shared" ref="R13:AK13" si="1">R18+R20+R21</f>
        <v>13995225.75</v>
      </c>
      <c r="S13" s="154">
        <f t="shared" si="1"/>
        <v>14013225.75</v>
      </c>
      <c r="T13" s="154">
        <f t="shared" si="1"/>
        <v>14036713.699999999</v>
      </c>
      <c r="U13" s="154">
        <f t="shared" si="1"/>
        <v>14060817.48</v>
      </c>
      <c r="V13" s="154">
        <f t="shared" si="1"/>
        <v>14237294.07</v>
      </c>
      <c r="W13" s="154">
        <f t="shared" si="1"/>
        <v>14280659.220000001</v>
      </c>
      <c r="X13" s="154">
        <f t="shared" si="1"/>
        <v>14307177.220000001</v>
      </c>
      <c r="Y13" s="154">
        <f t="shared" si="1"/>
        <v>14327942.619999999</v>
      </c>
      <c r="Z13" s="154">
        <f t="shared" si="1"/>
        <v>14364163.619999999</v>
      </c>
      <c r="AA13" s="154">
        <f t="shared" si="1"/>
        <v>14390383.619999999</v>
      </c>
      <c r="AB13" s="154">
        <f t="shared" si="1"/>
        <v>14950988</v>
      </c>
      <c r="AC13" s="154">
        <f t="shared" ref="AC13:AF13" si="2">AC18+AC20+AC21</f>
        <v>14417468.18</v>
      </c>
      <c r="AD13" s="154">
        <f t="shared" si="2"/>
        <v>14453946.210000001</v>
      </c>
      <c r="AE13" s="154">
        <f t="shared" si="2"/>
        <v>15050106.17</v>
      </c>
      <c r="AF13" s="154">
        <f t="shared" si="2"/>
        <v>15122393.17</v>
      </c>
      <c r="AG13" s="154">
        <f t="shared" ref="AG13" si="3">AG18+AG20+AG21</f>
        <v>15172995.17</v>
      </c>
      <c r="AH13" s="154">
        <f t="shared" si="1"/>
        <v>0</v>
      </c>
      <c r="AI13" s="154">
        <f t="shared" si="1"/>
        <v>0</v>
      </c>
      <c r="AJ13" s="154">
        <f t="shared" si="1"/>
        <v>0</v>
      </c>
      <c r="AK13" s="154">
        <f t="shared" si="1"/>
        <v>0</v>
      </c>
    </row>
    <row r="14" spans="1:38">
      <c r="A14" s="37">
        <v>5.0999999999999996</v>
      </c>
      <c r="B14" s="99" t="s">
        <v>122</v>
      </c>
      <c r="C14" s="100">
        <f t="shared" ref="C14:Q14" si="4">C17</f>
        <v>13833019.640000001</v>
      </c>
      <c r="D14" s="100">
        <f>D17</f>
        <v>14036750.92</v>
      </c>
      <c r="E14" s="100">
        <f t="shared" si="4"/>
        <v>13332836.5</v>
      </c>
      <c r="F14" s="100">
        <f t="shared" si="4"/>
        <v>12706988.73</v>
      </c>
      <c r="G14" s="100">
        <f t="shared" si="4"/>
        <v>13622630.32</v>
      </c>
      <c r="H14" s="100">
        <f t="shared" si="4"/>
        <v>14515737.720000001</v>
      </c>
      <c r="I14" s="100">
        <f t="shared" si="4"/>
        <v>14825099.16</v>
      </c>
      <c r="J14" s="100">
        <f t="shared" si="4"/>
        <v>15487364.18</v>
      </c>
      <c r="K14" s="100">
        <f t="shared" si="4"/>
        <v>15970250.48</v>
      </c>
      <c r="L14" s="100">
        <f t="shared" si="4"/>
        <v>16280598.510000002</v>
      </c>
      <c r="M14" s="100">
        <f t="shared" si="4"/>
        <v>16551164.210000001</v>
      </c>
      <c r="N14" s="100">
        <f t="shared" si="4"/>
        <v>17117542.899999999</v>
      </c>
      <c r="O14" s="100">
        <f t="shared" si="4"/>
        <v>11808712</v>
      </c>
      <c r="P14" s="100">
        <f t="shared" si="4"/>
        <v>17293522.620000001</v>
      </c>
      <c r="Q14" s="100">
        <f t="shared" si="4"/>
        <v>17954213.030000001</v>
      </c>
      <c r="R14" s="100">
        <f t="shared" ref="R14:AK14" si="5">R17</f>
        <v>15647713.640000001</v>
      </c>
      <c r="S14" s="100">
        <f t="shared" si="5"/>
        <v>15872447.84</v>
      </c>
      <c r="T14" s="100">
        <f t="shared" si="5"/>
        <v>15918380.07</v>
      </c>
      <c r="U14" s="100">
        <f t="shared" si="5"/>
        <v>16051852.870000001</v>
      </c>
      <c r="V14" s="100">
        <f t="shared" si="5"/>
        <v>16427343.060000001</v>
      </c>
      <c r="W14" s="100">
        <f t="shared" si="5"/>
        <v>16930401.66</v>
      </c>
      <c r="X14" s="100">
        <f t="shared" si="5"/>
        <v>17128356.060000002</v>
      </c>
      <c r="Y14" s="100">
        <f t="shared" si="5"/>
        <v>18117907.390000001</v>
      </c>
      <c r="Z14" s="100">
        <f t="shared" si="5"/>
        <v>19752366.649999999</v>
      </c>
      <c r="AA14" s="100">
        <f t="shared" si="5"/>
        <v>20058664.259999998</v>
      </c>
      <c r="AB14" s="100">
        <f t="shared" si="5"/>
        <v>17814640</v>
      </c>
      <c r="AC14" s="100">
        <f t="shared" ref="AC14:AF14" si="6">AC17</f>
        <v>20153946.989999998</v>
      </c>
      <c r="AD14" s="100">
        <f t="shared" si="6"/>
        <v>20165747</v>
      </c>
      <c r="AE14" s="100">
        <f t="shared" si="6"/>
        <v>18390566.609999999</v>
      </c>
      <c r="AF14" s="100">
        <f t="shared" si="6"/>
        <v>18451675.329999998</v>
      </c>
      <c r="AG14" s="100">
        <f t="shared" ref="AG14" si="7">AG17</f>
        <v>18984952.289999999</v>
      </c>
      <c r="AH14" s="100">
        <f t="shared" si="5"/>
        <v>761656.38</v>
      </c>
      <c r="AI14" s="100">
        <f t="shared" si="5"/>
        <v>1570691.11</v>
      </c>
      <c r="AJ14" s="100">
        <f t="shared" si="5"/>
        <v>2348821.69</v>
      </c>
      <c r="AK14" s="100">
        <f t="shared" si="5"/>
        <v>2454705.08</v>
      </c>
    </row>
    <row r="15" spans="1:38" ht="12.95" thickBot="1">
      <c r="A15" s="38">
        <v>5.2</v>
      </c>
      <c r="B15" s="101" t="s">
        <v>123</v>
      </c>
      <c r="C15" s="155">
        <f t="shared" ref="C15:Q15" si="8">C14-C18</f>
        <v>3798170.5700000003</v>
      </c>
      <c r="D15" s="155">
        <f>D14-D18</f>
        <v>3996086.0600000005</v>
      </c>
      <c r="E15" s="155">
        <f t="shared" si="8"/>
        <v>3292086.09</v>
      </c>
      <c r="F15" s="155">
        <f t="shared" si="8"/>
        <v>2667823.91</v>
      </c>
      <c r="G15" s="155">
        <f t="shared" si="8"/>
        <v>3583465.5</v>
      </c>
      <c r="H15" s="155">
        <f t="shared" si="8"/>
        <v>4467332.9000000004</v>
      </c>
      <c r="I15" s="155">
        <f t="shared" si="8"/>
        <v>4775120.84</v>
      </c>
      <c r="J15" s="155">
        <f t="shared" si="8"/>
        <v>5396526.6999999993</v>
      </c>
      <c r="K15" s="155">
        <f t="shared" si="8"/>
        <v>5866413</v>
      </c>
      <c r="L15" s="155">
        <f t="shared" si="8"/>
        <v>6168926.7000000011</v>
      </c>
      <c r="M15" s="155">
        <f t="shared" si="8"/>
        <v>6431492.4000000004</v>
      </c>
      <c r="N15" s="155">
        <f t="shared" si="8"/>
        <v>6846108.6999999993</v>
      </c>
      <c r="O15" s="155">
        <f>3469552+200000+1337278</f>
        <v>5006830</v>
      </c>
      <c r="P15" s="155">
        <f t="shared" si="8"/>
        <v>6987049.4000000004</v>
      </c>
      <c r="Q15" s="155">
        <f t="shared" si="8"/>
        <v>7642539.2800000012</v>
      </c>
      <c r="R15" s="155">
        <f t="shared" ref="R15:AK15" si="9">R14-R18</f>
        <v>5322039.8900000006</v>
      </c>
      <c r="S15" s="155">
        <f t="shared" si="9"/>
        <v>5528774.0899999999</v>
      </c>
      <c r="T15" s="155">
        <f t="shared" si="9"/>
        <v>5551218.370000001</v>
      </c>
      <c r="U15" s="155">
        <f t="shared" si="9"/>
        <v>5660587.3900000006</v>
      </c>
      <c r="V15" s="155">
        <f t="shared" si="9"/>
        <v>5859600.9900000002</v>
      </c>
      <c r="W15" s="155">
        <f t="shared" si="9"/>
        <v>6319294.4399999995</v>
      </c>
      <c r="X15" s="155">
        <f t="shared" si="9"/>
        <v>6490730.8400000017</v>
      </c>
      <c r="Y15" s="155">
        <f t="shared" si="9"/>
        <v>7459516.7700000014</v>
      </c>
      <c r="Z15" s="155">
        <f t="shared" si="9"/>
        <v>9057755.0299999993</v>
      </c>
      <c r="AA15" s="155">
        <f t="shared" si="9"/>
        <v>9337832.6399999987</v>
      </c>
      <c r="AB15" s="155">
        <f t="shared" si="9"/>
        <v>7093808</v>
      </c>
      <c r="AC15" s="155">
        <f t="shared" ref="AC15:AF15" si="10">AC14-AC18</f>
        <v>9406030.8099999987</v>
      </c>
      <c r="AD15" s="155">
        <f t="shared" si="10"/>
        <v>9381352.7899999991</v>
      </c>
      <c r="AE15" s="155">
        <f t="shared" si="10"/>
        <v>7570616.4399999995</v>
      </c>
      <c r="AF15" s="155">
        <f t="shared" si="10"/>
        <v>7559438.1599999983</v>
      </c>
      <c r="AG15" s="155">
        <f t="shared" ref="AG15" si="11">AG14-AG18</f>
        <v>8042113.1199999992</v>
      </c>
      <c r="AH15" s="155">
        <f t="shared" si="9"/>
        <v>761656.38</v>
      </c>
      <c r="AI15" s="155">
        <f t="shared" si="9"/>
        <v>1570691.11</v>
      </c>
      <c r="AJ15" s="155">
        <f t="shared" si="9"/>
        <v>2348821.69</v>
      </c>
      <c r="AK15" s="155">
        <f t="shared" si="9"/>
        <v>2454705.08</v>
      </c>
    </row>
    <row r="16" spans="1:38" ht="12.95" thickBot="1">
      <c r="A16" s="39"/>
      <c r="B16" s="40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</row>
    <row r="17" spans="1:37">
      <c r="A17" s="41">
        <v>5.3</v>
      </c>
      <c r="B17" s="27" t="s">
        <v>124</v>
      </c>
      <c r="C17" s="65">
        <f t="shared" ref="C17:Q17" si="12">SUM(C18:C21)</f>
        <v>13833019.640000001</v>
      </c>
      <c r="D17" s="65">
        <f>SUM(D18:D21)</f>
        <v>14036750.92</v>
      </c>
      <c r="E17" s="65">
        <f t="shared" si="12"/>
        <v>13332836.5</v>
      </c>
      <c r="F17" s="65">
        <f t="shared" si="12"/>
        <v>12706988.73</v>
      </c>
      <c r="G17" s="65">
        <f t="shared" si="12"/>
        <v>13622630.32</v>
      </c>
      <c r="H17" s="65">
        <f t="shared" si="12"/>
        <v>14515737.720000001</v>
      </c>
      <c r="I17" s="65">
        <f t="shared" si="12"/>
        <v>14825099.16</v>
      </c>
      <c r="J17" s="65">
        <f t="shared" si="12"/>
        <v>15487364.18</v>
      </c>
      <c r="K17" s="65">
        <f t="shared" si="12"/>
        <v>15970250.48</v>
      </c>
      <c r="L17" s="65">
        <f t="shared" si="12"/>
        <v>16280598.510000002</v>
      </c>
      <c r="M17" s="65">
        <f t="shared" si="12"/>
        <v>16551164.210000001</v>
      </c>
      <c r="N17" s="65">
        <f t="shared" si="12"/>
        <v>17117542.899999999</v>
      </c>
      <c r="O17" s="65">
        <f t="shared" si="12"/>
        <v>11808712</v>
      </c>
      <c r="P17" s="65">
        <f t="shared" si="12"/>
        <v>17293522.620000001</v>
      </c>
      <c r="Q17" s="65">
        <f t="shared" si="12"/>
        <v>17954213.030000001</v>
      </c>
      <c r="R17" s="65">
        <f t="shared" ref="R17:AK17" si="13">SUM(R18:R21)</f>
        <v>15647713.640000001</v>
      </c>
      <c r="S17" s="65">
        <f t="shared" si="13"/>
        <v>15872447.84</v>
      </c>
      <c r="T17" s="65">
        <f t="shared" si="13"/>
        <v>15918380.07</v>
      </c>
      <c r="U17" s="65">
        <f t="shared" si="13"/>
        <v>16051852.870000001</v>
      </c>
      <c r="V17" s="65">
        <f t="shared" si="13"/>
        <v>16427343.060000001</v>
      </c>
      <c r="W17" s="65">
        <f t="shared" si="13"/>
        <v>16930401.66</v>
      </c>
      <c r="X17" s="65">
        <f t="shared" si="13"/>
        <v>17128356.060000002</v>
      </c>
      <c r="Y17" s="65">
        <f t="shared" si="13"/>
        <v>18117907.390000001</v>
      </c>
      <c r="Z17" s="65">
        <f t="shared" si="13"/>
        <v>19752366.649999999</v>
      </c>
      <c r="AA17" s="65">
        <f t="shared" si="13"/>
        <v>20058664.259999998</v>
      </c>
      <c r="AB17" s="65">
        <f t="shared" si="13"/>
        <v>17814640</v>
      </c>
      <c r="AC17" s="65">
        <f t="shared" ref="AC17:AF17" si="14">SUM(AC18:AC21)</f>
        <v>20153946.989999998</v>
      </c>
      <c r="AD17" s="65">
        <f t="shared" si="14"/>
        <v>20165747</v>
      </c>
      <c r="AE17" s="65">
        <f t="shared" si="14"/>
        <v>18390566.609999999</v>
      </c>
      <c r="AF17" s="65">
        <f t="shared" si="14"/>
        <v>18451675.329999998</v>
      </c>
      <c r="AG17" s="65">
        <f t="shared" ref="AG17" si="15">SUM(AG18:AG21)</f>
        <v>18984952.289999999</v>
      </c>
      <c r="AH17" s="65">
        <f t="shared" si="13"/>
        <v>761656.38</v>
      </c>
      <c r="AI17" s="65">
        <f t="shared" si="13"/>
        <v>1570691.11</v>
      </c>
      <c r="AJ17" s="65">
        <f t="shared" si="13"/>
        <v>2348821.69</v>
      </c>
      <c r="AK17" s="65">
        <f t="shared" si="13"/>
        <v>2454705.08</v>
      </c>
    </row>
    <row r="18" spans="1:37">
      <c r="A18" s="37" t="s">
        <v>125</v>
      </c>
      <c r="B18" s="42" t="s">
        <v>126</v>
      </c>
      <c r="C18" s="65">
        <f>SFP!B39</f>
        <v>10034849.07</v>
      </c>
      <c r="D18" s="65">
        <f>SFP!C39</f>
        <v>10040664.859999999</v>
      </c>
      <c r="E18" s="65">
        <f>SFP!D39</f>
        <v>10040750.41</v>
      </c>
      <c r="F18" s="65">
        <f>SFP!E39</f>
        <v>10039164.82</v>
      </c>
      <c r="G18" s="65">
        <f>SFP!F39</f>
        <v>10039164.82</v>
      </c>
      <c r="H18" s="65">
        <f>SFP!G39</f>
        <v>10048404.82</v>
      </c>
      <c r="I18" s="65">
        <f>SFP!H39</f>
        <v>10049978.32</v>
      </c>
      <c r="J18" s="65">
        <f>SFP!I39</f>
        <v>10090837.48</v>
      </c>
      <c r="K18" s="65">
        <f>SFP!J39</f>
        <v>10103837.48</v>
      </c>
      <c r="L18" s="65">
        <f>SFP!K39</f>
        <v>10111671.810000001</v>
      </c>
      <c r="M18" s="65">
        <f>SFP!L39</f>
        <v>10119671.810000001</v>
      </c>
      <c r="N18" s="65">
        <f>SFP!M39</f>
        <v>10271434.199999999</v>
      </c>
      <c r="O18" s="65">
        <f>SFP!N39</f>
        <v>10271434</v>
      </c>
      <c r="P18" s="65">
        <f>SFP!O39</f>
        <v>10306473.220000001</v>
      </c>
      <c r="Q18" s="65">
        <f>SFP!P39</f>
        <v>10311673.75</v>
      </c>
      <c r="R18" s="65">
        <f>SFP!Q39</f>
        <v>10325673.75</v>
      </c>
      <c r="S18" s="65">
        <f>SFP!R39</f>
        <v>10343673.75</v>
      </c>
      <c r="T18" s="65">
        <f>SFP!S39</f>
        <v>10367161.699999999</v>
      </c>
      <c r="U18" s="65">
        <f>SFP!T39</f>
        <v>10391265.48</v>
      </c>
      <c r="V18" s="65">
        <f>SFP!U39</f>
        <v>10567742.07</v>
      </c>
      <c r="W18" s="65">
        <f>SFP!V39</f>
        <v>10611107.220000001</v>
      </c>
      <c r="X18" s="65">
        <f>SFP!W39</f>
        <v>10637625.220000001</v>
      </c>
      <c r="Y18" s="65">
        <f>SFP!X39</f>
        <v>10658390.619999999</v>
      </c>
      <c r="Z18" s="65">
        <f>SFP!Y39</f>
        <v>10694611.619999999</v>
      </c>
      <c r="AA18" s="65">
        <f>SFP!Z39</f>
        <v>10720831.619999999</v>
      </c>
      <c r="AB18" s="65">
        <f>SFP!AA39</f>
        <v>10720832</v>
      </c>
      <c r="AC18" s="65">
        <f>SFP!AB39</f>
        <v>10747916.18</v>
      </c>
      <c r="AD18" s="65">
        <f>SFP!AC39</f>
        <v>10784394.210000001</v>
      </c>
      <c r="AE18" s="65">
        <f>SFP!AD39</f>
        <v>10819950.17</v>
      </c>
      <c r="AF18" s="65">
        <f>SFP!AE39</f>
        <v>10892237.17</v>
      </c>
      <c r="AG18" s="65">
        <f>SFP!AF39</f>
        <v>10942839.17</v>
      </c>
      <c r="AH18" s="65">
        <f>SFP!AG40</f>
        <v>0</v>
      </c>
      <c r="AI18" s="65">
        <f>SFP!AH40</f>
        <v>0</v>
      </c>
      <c r="AJ18" s="65">
        <f>SFP!AI40</f>
        <v>0</v>
      </c>
      <c r="AK18" s="65">
        <f>SFP!AJ40</f>
        <v>0</v>
      </c>
    </row>
    <row r="19" spans="1:37">
      <c r="A19" s="37" t="s">
        <v>127</v>
      </c>
      <c r="B19" s="32" t="s">
        <v>53</v>
      </c>
      <c r="C19" s="65">
        <f>SFP!B41</f>
        <v>762124.57000000007</v>
      </c>
      <c r="D19" s="65">
        <f>SFP!C41</f>
        <v>960040.06</v>
      </c>
      <c r="E19" s="65">
        <f>SFP!D41</f>
        <v>125226.09000000003</v>
      </c>
      <c r="F19" s="65">
        <f>SFP!E41</f>
        <v>-499036.09</v>
      </c>
      <c r="G19" s="65">
        <f>SFP!F41</f>
        <v>416605.5</v>
      </c>
      <c r="H19" s="65">
        <f>SFP!G41</f>
        <v>1300472.8999999999</v>
      </c>
      <c r="I19" s="65">
        <f>SFP!H41</f>
        <v>1608260.84</v>
      </c>
      <c r="J19" s="65">
        <f>SFP!I41</f>
        <v>2229666.7000000002</v>
      </c>
      <c r="K19" s="65">
        <f>SFP!J41</f>
        <v>2699553</v>
      </c>
      <c r="L19" s="65">
        <f>SFP!K41</f>
        <v>3002066.7</v>
      </c>
      <c r="M19" s="65">
        <f>SFP!L41</f>
        <v>3264632.4</v>
      </c>
      <c r="N19" s="65">
        <f>SFP!M41</f>
        <v>3679248.7</v>
      </c>
      <c r="O19" s="65">
        <f>SFP!N41</f>
        <v>1337278</v>
      </c>
      <c r="P19" s="65">
        <f>SFP!O41</f>
        <v>3820189.4000000004</v>
      </c>
      <c r="Q19" s="65">
        <f>SFP!P41</f>
        <v>4475679.2799999993</v>
      </c>
      <c r="R19" s="65">
        <f>SFP!Q41</f>
        <v>1652487.8900000001</v>
      </c>
      <c r="S19" s="65">
        <f>SFP!R41</f>
        <v>1859222.09</v>
      </c>
      <c r="T19" s="65">
        <f>SFP!S41</f>
        <v>1881666.37</v>
      </c>
      <c r="U19" s="65">
        <f>SFP!T41</f>
        <v>1991035.3900000001</v>
      </c>
      <c r="V19" s="65">
        <f>SFP!U41</f>
        <v>2190048.9900000002</v>
      </c>
      <c r="W19" s="65">
        <f>SFP!V41</f>
        <v>2649742.4400000004</v>
      </c>
      <c r="X19" s="65">
        <f>SFP!W41</f>
        <v>2821178.84</v>
      </c>
      <c r="Y19" s="65">
        <f>SFP!X41</f>
        <v>3789964.77</v>
      </c>
      <c r="Z19" s="65">
        <f>SFP!Y41</f>
        <v>5388203.0300000003</v>
      </c>
      <c r="AA19" s="65">
        <f>SFP!Z41</f>
        <v>5668280.6399999997</v>
      </c>
      <c r="AB19" s="65">
        <f>SFP!AA41</f>
        <v>2863652</v>
      </c>
      <c r="AC19" s="65">
        <f>SFP!AB41</f>
        <v>5736478.8099999996</v>
      </c>
      <c r="AD19" s="65">
        <f>SFP!AC41</f>
        <v>5711800.7899999991</v>
      </c>
      <c r="AE19" s="65">
        <f>SFP!AD41</f>
        <v>3340460.44</v>
      </c>
      <c r="AF19" s="65">
        <f>SFP!AE41</f>
        <v>3329282.16</v>
      </c>
      <c r="AG19" s="65">
        <f>SFP!AF41</f>
        <v>3811957.12</v>
      </c>
      <c r="AH19" s="65">
        <f>SFP!AG43</f>
        <v>761656.38</v>
      </c>
      <c r="AI19" s="65">
        <f>SFP!AH43</f>
        <v>1570691.11</v>
      </c>
      <c r="AJ19" s="65">
        <f>SFP!AI43</f>
        <v>2348821.69</v>
      </c>
      <c r="AK19" s="65">
        <f>SFP!AJ43</f>
        <v>2454705.08</v>
      </c>
    </row>
    <row r="20" spans="1:37">
      <c r="A20" s="37" t="s">
        <v>128</v>
      </c>
      <c r="B20" s="32" t="s">
        <v>129</v>
      </c>
      <c r="C20" s="65">
        <f>SFP!B45</f>
        <v>2836046</v>
      </c>
      <c r="D20" s="65">
        <f>SFP!C45</f>
        <v>2836046</v>
      </c>
      <c r="E20" s="65">
        <f>SFP!D45</f>
        <v>2966860</v>
      </c>
      <c r="F20" s="65">
        <f>SFP!E45</f>
        <v>2966860</v>
      </c>
      <c r="G20" s="65">
        <f>SFP!F45</f>
        <v>2966860</v>
      </c>
      <c r="H20" s="65">
        <f>SFP!G45</f>
        <v>2966860</v>
      </c>
      <c r="I20" s="65">
        <f>SFP!H45</f>
        <v>2966860</v>
      </c>
      <c r="J20" s="65">
        <f>SFP!I45</f>
        <v>2966860</v>
      </c>
      <c r="K20" s="65">
        <f>SFP!J45</f>
        <v>2966860</v>
      </c>
      <c r="L20" s="65">
        <f>SFP!K45</f>
        <v>2966860</v>
      </c>
      <c r="M20" s="65">
        <f>SFP!L45</f>
        <v>2966860</v>
      </c>
      <c r="N20" s="65">
        <f>SFP!M45</f>
        <v>2966860</v>
      </c>
      <c r="O20" s="65">
        <f>SFP!N45</f>
        <v>0</v>
      </c>
      <c r="P20" s="65">
        <f>SFP!O45</f>
        <v>2966860</v>
      </c>
      <c r="Q20" s="65">
        <f>SFP!P45</f>
        <v>2966860</v>
      </c>
      <c r="R20" s="65">
        <f>SFP!Q45</f>
        <v>3469552</v>
      </c>
      <c r="S20" s="65">
        <f>SFP!R45</f>
        <v>3469552</v>
      </c>
      <c r="T20" s="65">
        <f>SFP!S45</f>
        <v>3469552</v>
      </c>
      <c r="U20" s="65">
        <f>SFP!T45</f>
        <v>3469552</v>
      </c>
      <c r="V20" s="65">
        <f>SFP!U45</f>
        <v>3469552</v>
      </c>
      <c r="W20" s="65">
        <f>SFP!V45</f>
        <v>3469552</v>
      </c>
      <c r="X20" s="65">
        <f>SFP!W45</f>
        <v>3469552</v>
      </c>
      <c r="Y20" s="65">
        <f>SFP!X45</f>
        <v>3469552</v>
      </c>
      <c r="Z20" s="65">
        <f>SFP!Y45</f>
        <v>3469552</v>
      </c>
      <c r="AA20" s="65">
        <f>SFP!Z45</f>
        <v>3469552</v>
      </c>
      <c r="AB20" s="65">
        <f>SFP!AA45</f>
        <v>4030156</v>
      </c>
      <c r="AC20" s="65">
        <f>SFP!AB45</f>
        <v>3469552</v>
      </c>
      <c r="AD20" s="65">
        <f>SFP!AC45</f>
        <v>3469552</v>
      </c>
      <c r="AE20" s="65">
        <f>SFP!AD45</f>
        <v>4030156</v>
      </c>
      <c r="AF20" s="65">
        <f>SFP!AE45</f>
        <v>4030156</v>
      </c>
      <c r="AG20" s="65">
        <f>SFP!AF45</f>
        <v>4030156</v>
      </c>
      <c r="AH20" s="65">
        <f>SFP!AG48</f>
        <v>0</v>
      </c>
      <c r="AI20" s="65">
        <f>SFP!AH48</f>
        <v>0</v>
      </c>
      <c r="AJ20" s="65">
        <f>SFP!AI48</f>
        <v>0</v>
      </c>
      <c r="AK20" s="65">
        <f>SFP!AJ48</f>
        <v>0</v>
      </c>
    </row>
    <row r="21" spans="1:37">
      <c r="A21" s="37" t="s">
        <v>130</v>
      </c>
      <c r="B21" s="32" t="s">
        <v>131</v>
      </c>
      <c r="C21" s="65">
        <f>SFP!B46</f>
        <v>200000</v>
      </c>
      <c r="D21" s="65">
        <f>SFP!C46</f>
        <v>200000</v>
      </c>
      <c r="E21" s="65">
        <f>SFP!D46</f>
        <v>200000</v>
      </c>
      <c r="F21" s="65">
        <f>SFP!E46</f>
        <v>200000</v>
      </c>
      <c r="G21" s="65">
        <f>SFP!F46</f>
        <v>200000</v>
      </c>
      <c r="H21" s="65">
        <f>SFP!G46</f>
        <v>200000</v>
      </c>
      <c r="I21" s="65">
        <f>SFP!H46</f>
        <v>200000</v>
      </c>
      <c r="J21" s="65">
        <f>SFP!I46</f>
        <v>200000</v>
      </c>
      <c r="K21" s="65">
        <f>SFP!J46</f>
        <v>200000</v>
      </c>
      <c r="L21" s="65">
        <f>SFP!K46</f>
        <v>200000</v>
      </c>
      <c r="M21" s="65">
        <f>SFP!L46</f>
        <v>200000</v>
      </c>
      <c r="N21" s="65">
        <f>SFP!M46</f>
        <v>200000</v>
      </c>
      <c r="O21" s="65">
        <f>SFP!N46</f>
        <v>200000</v>
      </c>
      <c r="P21" s="65">
        <f>SFP!O46</f>
        <v>200000</v>
      </c>
      <c r="Q21" s="65">
        <f>SFP!P46</f>
        <v>200000</v>
      </c>
      <c r="R21" s="65">
        <f>SFP!Q46</f>
        <v>200000</v>
      </c>
      <c r="S21" s="65">
        <f>SFP!R46</f>
        <v>200000</v>
      </c>
      <c r="T21" s="65">
        <f>SFP!S46</f>
        <v>200000</v>
      </c>
      <c r="U21" s="65">
        <f>SFP!T46</f>
        <v>200000</v>
      </c>
      <c r="V21" s="65">
        <f>SFP!U46</f>
        <v>200000</v>
      </c>
      <c r="W21" s="65">
        <f>SFP!V46</f>
        <v>200000</v>
      </c>
      <c r="X21" s="65">
        <f>SFP!W46</f>
        <v>200000</v>
      </c>
      <c r="Y21" s="65">
        <f>SFP!X46</f>
        <v>200000</v>
      </c>
      <c r="Z21" s="65">
        <f>SFP!Y46</f>
        <v>200000</v>
      </c>
      <c r="AA21" s="65">
        <f>SFP!Z46</f>
        <v>200000</v>
      </c>
      <c r="AB21" s="65">
        <f>SFP!AA46</f>
        <v>200000</v>
      </c>
      <c r="AC21" s="65">
        <f>SFP!AB46</f>
        <v>200000</v>
      </c>
      <c r="AD21" s="65">
        <f>SFP!AC46</f>
        <v>200000</v>
      </c>
      <c r="AE21" s="65">
        <f>SFP!AD46</f>
        <v>200000</v>
      </c>
      <c r="AF21" s="65">
        <f>SFP!AE46</f>
        <v>200000</v>
      </c>
      <c r="AG21" s="65">
        <f>SFP!AF46</f>
        <v>200000</v>
      </c>
      <c r="AH21" s="65">
        <f>SFP!AG49</f>
        <v>0</v>
      </c>
      <c r="AI21" s="65">
        <f>SFP!AH49</f>
        <v>0</v>
      </c>
      <c r="AJ21" s="65">
        <f>SFP!AI49</f>
        <v>0</v>
      </c>
      <c r="AK21" s="65">
        <f>SFP!AJ49</f>
        <v>0</v>
      </c>
    </row>
    <row r="22" spans="1:37">
      <c r="A22" s="37" t="s">
        <v>132</v>
      </c>
      <c r="B22" s="43" t="s">
        <v>133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</row>
    <row r="23" spans="1:37">
      <c r="A23" s="44" t="s">
        <v>134</v>
      </c>
      <c r="B23" s="32" t="s">
        <v>60</v>
      </c>
      <c r="C23" s="65">
        <f>SFP!B48</f>
        <v>0</v>
      </c>
      <c r="D23" s="65">
        <f>SFP!C48</f>
        <v>0</v>
      </c>
      <c r="E23" s="65">
        <f>SFP!D48</f>
        <v>0</v>
      </c>
      <c r="F23" s="65">
        <f>SFP!E48</f>
        <v>0</v>
      </c>
      <c r="G23" s="65">
        <f>SFP!F48</f>
        <v>0</v>
      </c>
      <c r="H23" s="65">
        <f>SFP!G48</f>
        <v>0</v>
      </c>
      <c r="I23" s="65">
        <f>SFP!H48</f>
        <v>0</v>
      </c>
      <c r="J23" s="65">
        <f>SFP!I48</f>
        <v>0</v>
      </c>
      <c r="K23" s="65">
        <f>SFP!J48</f>
        <v>0</v>
      </c>
      <c r="L23" s="65">
        <f>SFP!K48</f>
        <v>0</v>
      </c>
      <c r="M23" s="65">
        <f>SFP!L48</f>
        <v>0</v>
      </c>
      <c r="N23" s="65">
        <f>SFP!M48</f>
        <v>0</v>
      </c>
      <c r="O23" s="65">
        <f>SFP!N48</f>
        <v>0</v>
      </c>
      <c r="P23" s="65">
        <f>SFP!O48</f>
        <v>0</v>
      </c>
      <c r="Q23" s="65">
        <f>SFP!P48</f>
        <v>0</v>
      </c>
      <c r="R23" s="65">
        <f>SFP!Q48</f>
        <v>0</v>
      </c>
      <c r="S23" s="65">
        <f>SFP!R48</f>
        <v>0</v>
      </c>
      <c r="T23" s="65">
        <f>SFP!S48</f>
        <v>0</v>
      </c>
      <c r="U23" s="65">
        <f>SFP!T48</f>
        <v>0</v>
      </c>
      <c r="V23" s="65">
        <f>SFP!U48</f>
        <v>0</v>
      </c>
      <c r="W23" s="65">
        <f>SFP!V48</f>
        <v>0</v>
      </c>
      <c r="X23" s="65">
        <f>SFP!W48</f>
        <v>0</v>
      </c>
      <c r="Y23" s="65">
        <f>SFP!X48</f>
        <v>0</v>
      </c>
      <c r="Z23" s="65">
        <f>SFP!Y48</f>
        <v>0</v>
      </c>
      <c r="AA23" s="65">
        <f>SFP!Z48</f>
        <v>0</v>
      </c>
      <c r="AB23" s="65">
        <f>SFP!AA48</f>
        <v>0</v>
      </c>
      <c r="AC23" s="65">
        <f>SFP!AB48</f>
        <v>0</v>
      </c>
      <c r="AD23" s="65">
        <f>SFP!AC48</f>
        <v>0</v>
      </c>
      <c r="AE23" s="65">
        <f>SFP!AD48</f>
        <v>0</v>
      </c>
      <c r="AF23" s="65">
        <f>SFP!AE48</f>
        <v>0</v>
      </c>
      <c r="AG23" s="65">
        <f>SFP!AF48</f>
        <v>0</v>
      </c>
      <c r="AH23" s="65">
        <f>SFP!AG51</f>
        <v>75360726.799999997</v>
      </c>
      <c r="AI23" s="65">
        <f>SFP!AH51</f>
        <v>76297290.140000001</v>
      </c>
      <c r="AJ23" s="65">
        <f>SFP!AI51</f>
        <v>77730794.329999998</v>
      </c>
      <c r="AK23" s="65">
        <f>SFP!AJ51</f>
        <v>77572130.519999996</v>
      </c>
    </row>
    <row r="24" spans="1:37" ht="12.95" thickBot="1">
      <c r="A24" s="45" t="s">
        <v>135</v>
      </c>
      <c r="B24" s="46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</row>
    <row r="25" spans="1:37" ht="12.95" thickBot="1">
      <c r="A25" s="33"/>
      <c r="B25" s="47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</row>
    <row r="26" spans="1:37">
      <c r="A26" s="35">
        <v>6</v>
      </c>
      <c r="B26" s="48" t="s">
        <v>136</v>
      </c>
      <c r="C26" s="65">
        <f t="shared" ref="C26:Q26" si="16">C27+C28+C29</f>
        <v>2405123.6</v>
      </c>
      <c r="D26" s="65">
        <f>D27+D28+D29</f>
        <v>2450123.6</v>
      </c>
      <c r="E26" s="65">
        <f t="shared" si="16"/>
        <v>2450123.6</v>
      </c>
      <c r="F26" s="65">
        <f t="shared" si="16"/>
        <v>2540123.6</v>
      </c>
      <c r="G26" s="65">
        <f t="shared" si="16"/>
        <v>2585123.6</v>
      </c>
      <c r="H26" s="65">
        <f t="shared" si="16"/>
        <v>2642769.5499999998</v>
      </c>
      <c r="I26" s="65">
        <f t="shared" si="16"/>
        <v>2687769.55</v>
      </c>
      <c r="J26" s="65">
        <f t="shared" si="16"/>
        <v>2738029.6</v>
      </c>
      <c r="K26" s="65">
        <f t="shared" si="16"/>
        <v>2783029.6</v>
      </c>
      <c r="L26" s="65">
        <f t="shared" si="16"/>
        <v>2783029.6</v>
      </c>
      <c r="M26" s="65">
        <f t="shared" si="16"/>
        <v>2878715.35</v>
      </c>
      <c r="N26" s="65">
        <f t="shared" si="16"/>
        <v>2923715.35</v>
      </c>
      <c r="O26" s="65">
        <f t="shared" si="16"/>
        <v>25330</v>
      </c>
      <c r="P26" s="65">
        <f t="shared" si="16"/>
        <v>2968715.35</v>
      </c>
      <c r="Q26" s="65">
        <f t="shared" si="16"/>
        <v>3018140.35</v>
      </c>
      <c r="R26" s="65">
        <f t="shared" ref="R26:AK26" si="17">R27+R28+R29</f>
        <v>3063380.35</v>
      </c>
      <c r="S26" s="65">
        <f t="shared" si="17"/>
        <v>3108380.35</v>
      </c>
      <c r="T26" s="65">
        <f t="shared" si="17"/>
        <v>3159808</v>
      </c>
      <c r="U26" s="65">
        <f t="shared" si="17"/>
        <v>3204808</v>
      </c>
      <c r="V26" s="65">
        <f t="shared" si="17"/>
        <v>3249808</v>
      </c>
      <c r="W26" s="65">
        <f t="shared" si="17"/>
        <v>3294808</v>
      </c>
      <c r="X26" s="65">
        <f t="shared" si="17"/>
        <v>3339808</v>
      </c>
      <c r="Y26" s="65">
        <f t="shared" si="17"/>
        <v>3384808</v>
      </c>
      <c r="Z26" s="65">
        <f t="shared" si="17"/>
        <v>3398724.85</v>
      </c>
      <c r="AA26" s="65">
        <f t="shared" si="17"/>
        <v>3488724.85</v>
      </c>
      <c r="AB26" s="65">
        <f t="shared" si="17"/>
        <v>24550</v>
      </c>
      <c r="AC26" s="65">
        <f t="shared" ref="AC26:AF26" si="18">AC27+AC28+AC29</f>
        <v>3488724.85</v>
      </c>
      <c r="AD26" s="65">
        <f t="shared" si="18"/>
        <v>3541215.85</v>
      </c>
      <c r="AE26" s="65">
        <f t="shared" si="18"/>
        <v>3585435.85</v>
      </c>
      <c r="AF26" s="65">
        <f t="shared" si="18"/>
        <v>3594735.85</v>
      </c>
      <c r="AG26" s="65">
        <f t="shared" ref="AG26" si="19">AG27+AG28+AG29</f>
        <v>3602583.1</v>
      </c>
      <c r="AH26" s="65">
        <f t="shared" si="17"/>
        <v>3603983.1</v>
      </c>
      <c r="AI26" s="65">
        <f t="shared" si="17"/>
        <v>3603983.1</v>
      </c>
      <c r="AJ26" s="65">
        <f t="shared" si="17"/>
        <v>3603983.1</v>
      </c>
      <c r="AK26" s="65">
        <f t="shared" si="17"/>
        <v>3621987.45</v>
      </c>
    </row>
    <row r="27" spans="1:37">
      <c r="A27" s="37">
        <v>6.1</v>
      </c>
      <c r="B27" s="32" t="s">
        <v>137</v>
      </c>
      <c r="C27" s="65">
        <f>SFP!B12</f>
        <v>0</v>
      </c>
      <c r="D27" s="65">
        <f>SFP!C12</f>
        <v>0</v>
      </c>
      <c r="E27" s="65">
        <f>SFP!D12</f>
        <v>0</v>
      </c>
      <c r="F27" s="65">
        <f>SFP!E12</f>
        <v>0</v>
      </c>
      <c r="G27" s="65">
        <f>SFP!F12</f>
        <v>0</v>
      </c>
      <c r="H27" s="65">
        <f>SFP!G12</f>
        <v>0</v>
      </c>
      <c r="I27" s="65">
        <f>SFP!H12</f>
        <v>0</v>
      </c>
      <c r="J27" s="65">
        <f>SFP!I12</f>
        <v>0</v>
      </c>
      <c r="K27" s="65">
        <f>SFP!J12</f>
        <v>0</v>
      </c>
      <c r="L27" s="65">
        <f>SFP!K12</f>
        <v>0</v>
      </c>
      <c r="M27" s="65">
        <f>SFP!L12</f>
        <v>0</v>
      </c>
      <c r="N27" s="65">
        <f>SFP!M12</f>
        <v>0</v>
      </c>
      <c r="O27" s="65">
        <f>SFP!N12</f>
        <v>0</v>
      </c>
      <c r="P27" s="65">
        <f>SFP!O12</f>
        <v>0</v>
      </c>
      <c r="Q27" s="65">
        <f>SFP!P12</f>
        <v>0</v>
      </c>
      <c r="R27" s="65">
        <f>SFP!Q12</f>
        <v>0</v>
      </c>
      <c r="S27" s="65">
        <f>SFP!R12</f>
        <v>0</v>
      </c>
      <c r="T27" s="65">
        <f>SFP!S12</f>
        <v>0</v>
      </c>
      <c r="U27" s="65">
        <f>SFP!T12</f>
        <v>0</v>
      </c>
      <c r="V27" s="65">
        <f>SFP!U12</f>
        <v>0</v>
      </c>
      <c r="W27" s="65">
        <f>SFP!V12</f>
        <v>0</v>
      </c>
      <c r="X27" s="65">
        <f>SFP!W12</f>
        <v>0</v>
      </c>
      <c r="Y27" s="65">
        <f>SFP!X12</f>
        <v>0</v>
      </c>
      <c r="Z27" s="65">
        <f>SFP!Y12</f>
        <v>0</v>
      </c>
      <c r="AA27" s="65">
        <f>SFP!Z12</f>
        <v>0</v>
      </c>
      <c r="AB27" s="65">
        <f>SFP!AA12</f>
        <v>0</v>
      </c>
      <c r="AC27" s="65">
        <f>SFP!AB12</f>
        <v>0</v>
      </c>
      <c r="AD27" s="65">
        <f>SFP!AC12</f>
        <v>0</v>
      </c>
      <c r="AE27" s="65">
        <f>SFP!AD12</f>
        <v>0</v>
      </c>
      <c r="AF27" s="65">
        <f>SFP!AE12</f>
        <v>0</v>
      </c>
      <c r="AG27" s="65">
        <f>SFP!AF12</f>
        <v>0</v>
      </c>
      <c r="AH27" s="65">
        <f>SFP!AG12</f>
        <v>0</v>
      </c>
      <c r="AI27" s="65">
        <f>SFP!AH12</f>
        <v>0</v>
      </c>
      <c r="AJ27" s="65">
        <f>SFP!AI12</f>
        <v>0</v>
      </c>
      <c r="AK27" s="65">
        <f>SFP!AJ12</f>
        <v>0</v>
      </c>
    </row>
    <row r="28" spans="1:37">
      <c r="A28" s="37">
        <v>6.2</v>
      </c>
      <c r="B28" s="32" t="s">
        <v>138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</row>
    <row r="29" spans="1:37" ht="12.95" thickBot="1">
      <c r="A29" s="38">
        <v>6.3</v>
      </c>
      <c r="B29" s="46" t="s">
        <v>139</v>
      </c>
      <c r="C29" s="65">
        <f>SFP!B11</f>
        <v>2405123.6</v>
      </c>
      <c r="D29" s="65">
        <f>SFP!C11</f>
        <v>2450123.6</v>
      </c>
      <c r="E29" s="65">
        <f>SFP!D11</f>
        <v>2450123.6</v>
      </c>
      <c r="F29" s="65">
        <f>SFP!E11</f>
        <v>2540123.6</v>
      </c>
      <c r="G29" s="65">
        <f>SFP!F11</f>
        <v>2585123.6</v>
      </c>
      <c r="H29" s="65">
        <f>SFP!G11</f>
        <v>2642769.5499999998</v>
      </c>
      <c r="I29" s="65">
        <f>SFP!H11</f>
        <v>2687769.55</v>
      </c>
      <c r="J29" s="65">
        <f>SFP!I11</f>
        <v>2738029.6</v>
      </c>
      <c r="K29" s="65">
        <f>SFP!J11</f>
        <v>2783029.6</v>
      </c>
      <c r="L29" s="65">
        <f>SFP!K11</f>
        <v>2783029.6</v>
      </c>
      <c r="M29" s="65">
        <f>SFP!L11</f>
        <v>2878715.35</v>
      </c>
      <c r="N29" s="65">
        <f>SFP!M11</f>
        <v>2923715.35</v>
      </c>
      <c r="O29" s="65">
        <f>SFP!N11</f>
        <v>25330</v>
      </c>
      <c r="P29" s="65">
        <f>SFP!O11</f>
        <v>2968715.35</v>
      </c>
      <c r="Q29" s="65">
        <f>SFP!P11</f>
        <v>3018140.35</v>
      </c>
      <c r="R29" s="65">
        <f>SFP!Q11</f>
        <v>3063380.35</v>
      </c>
      <c r="S29" s="65">
        <f>SFP!R11</f>
        <v>3108380.35</v>
      </c>
      <c r="T29" s="65">
        <f>SFP!S11</f>
        <v>3159808</v>
      </c>
      <c r="U29" s="65">
        <f>SFP!T11</f>
        <v>3204808</v>
      </c>
      <c r="V29" s="65">
        <f>SFP!U11</f>
        <v>3249808</v>
      </c>
      <c r="W29" s="65">
        <f>SFP!V11</f>
        <v>3294808</v>
      </c>
      <c r="X29" s="65">
        <f>SFP!W11</f>
        <v>3339808</v>
      </c>
      <c r="Y29" s="65">
        <f>SFP!X11</f>
        <v>3384808</v>
      </c>
      <c r="Z29" s="65">
        <f>SFP!Y11</f>
        <v>3398724.85</v>
      </c>
      <c r="AA29" s="65">
        <f>SFP!Z11</f>
        <v>3488724.85</v>
      </c>
      <c r="AB29" s="65">
        <f>SFP!AA11</f>
        <v>24550</v>
      </c>
      <c r="AC29" s="65">
        <f>SFP!AB11</f>
        <v>3488724.85</v>
      </c>
      <c r="AD29" s="65">
        <f>SFP!AC11</f>
        <v>3541215.85</v>
      </c>
      <c r="AE29" s="65">
        <f>SFP!AD11</f>
        <v>3585435.85</v>
      </c>
      <c r="AF29" s="65">
        <f>SFP!AE11</f>
        <v>3594735.85</v>
      </c>
      <c r="AG29" s="65">
        <f>SFP!AF11</f>
        <v>3602583.1</v>
      </c>
      <c r="AH29" s="65">
        <f>SFP!AG11</f>
        <v>3603983.1</v>
      </c>
      <c r="AI29" s="65">
        <f>SFP!AH11</f>
        <v>3603983.1</v>
      </c>
      <c r="AJ29" s="65">
        <f>SFP!AI11</f>
        <v>3603983.1</v>
      </c>
      <c r="AK29" s="65">
        <f>SFP!AJ11</f>
        <v>3621987.45</v>
      </c>
    </row>
    <row r="30" spans="1:37" ht="12.95" thickBot="1">
      <c r="A30" s="33"/>
      <c r="B30" s="49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</row>
    <row r="31" spans="1:37">
      <c r="A31" s="35">
        <v>7</v>
      </c>
      <c r="B31" s="50" t="s">
        <v>140</v>
      </c>
      <c r="C31" s="65">
        <f t="shared" ref="C31:Q31" si="20">C32-C33</f>
        <v>41776740.030000001</v>
      </c>
      <c r="D31" s="65">
        <f>D32-D33</f>
        <v>43679590.090000004</v>
      </c>
      <c r="E31" s="65">
        <f t="shared" si="20"/>
        <v>41525224.019999996</v>
      </c>
      <c r="F31" s="65">
        <f t="shared" si="20"/>
        <v>40111712.730000004</v>
      </c>
      <c r="G31" s="65">
        <f t="shared" si="20"/>
        <v>38802510.859999999</v>
      </c>
      <c r="H31" s="65">
        <f t="shared" si="20"/>
        <v>39916356.899999999</v>
      </c>
      <c r="I31" s="65">
        <f t="shared" si="20"/>
        <v>42300310.880000003</v>
      </c>
      <c r="J31" s="65">
        <f t="shared" si="20"/>
        <v>39065163.5</v>
      </c>
      <c r="K31" s="65">
        <f t="shared" si="20"/>
        <v>38722637.989999995</v>
      </c>
      <c r="L31" s="65">
        <f t="shared" si="20"/>
        <v>38069312.07</v>
      </c>
      <c r="M31" s="65">
        <f t="shared" si="20"/>
        <v>37598091.420000002</v>
      </c>
      <c r="N31" s="65">
        <f t="shared" si="20"/>
        <v>37479311.480000004</v>
      </c>
      <c r="O31" s="65">
        <f t="shared" si="20"/>
        <v>37252147</v>
      </c>
      <c r="P31" s="65">
        <f t="shared" si="20"/>
        <v>34643267.009999998</v>
      </c>
      <c r="Q31" s="65">
        <f t="shared" si="20"/>
        <v>35522724.959999993</v>
      </c>
      <c r="R31" s="65">
        <f t="shared" ref="R31:AK31" si="21">R32-R33</f>
        <v>35156735.460000001</v>
      </c>
      <c r="S31" s="65">
        <f t="shared" si="21"/>
        <v>37994525.890000001</v>
      </c>
      <c r="T31" s="65">
        <f t="shared" si="21"/>
        <v>37788731.469999999</v>
      </c>
      <c r="U31" s="65">
        <f t="shared" si="21"/>
        <v>36011798.909999996</v>
      </c>
      <c r="V31" s="65">
        <f t="shared" si="21"/>
        <v>38287539.659999996</v>
      </c>
      <c r="W31" s="65">
        <f t="shared" si="21"/>
        <v>37909132.239999995</v>
      </c>
      <c r="X31" s="65">
        <f t="shared" si="21"/>
        <v>37550132.640000001</v>
      </c>
      <c r="Y31" s="65">
        <f t="shared" si="21"/>
        <v>39469334.920000002</v>
      </c>
      <c r="Z31" s="65">
        <f t="shared" si="21"/>
        <v>43459050.710000001</v>
      </c>
      <c r="AA31" s="65">
        <f t="shared" si="21"/>
        <v>44088835.770000003</v>
      </c>
      <c r="AB31" s="65">
        <f t="shared" si="21"/>
        <v>44088836.25</v>
      </c>
      <c r="AC31" s="65">
        <f t="shared" ref="AC31:AF31" si="22">AC32-AC33</f>
        <v>44358048.300000004</v>
      </c>
      <c r="AD31" s="65">
        <f t="shared" si="22"/>
        <v>45344954.060000002</v>
      </c>
      <c r="AE31" s="65">
        <f t="shared" si="22"/>
        <v>48080606.260000005</v>
      </c>
      <c r="AF31" s="65">
        <f t="shared" si="22"/>
        <v>47136918.729999997</v>
      </c>
      <c r="AG31" s="65">
        <f t="shared" ref="AG31" si="23">AG32-AG33</f>
        <v>49070982.729999997</v>
      </c>
      <c r="AH31" s="65">
        <f t="shared" si="21"/>
        <v>47717435.979999997</v>
      </c>
      <c r="AI31" s="65">
        <f t="shared" si="21"/>
        <v>47080010.259999998</v>
      </c>
      <c r="AJ31" s="65">
        <f t="shared" si="21"/>
        <v>49534908.620000005</v>
      </c>
      <c r="AK31" s="65">
        <f t="shared" si="21"/>
        <v>49200470.510000005</v>
      </c>
    </row>
    <row r="32" spans="1:37">
      <c r="A32" s="37">
        <v>7.1</v>
      </c>
      <c r="B32" s="31" t="s">
        <v>141</v>
      </c>
      <c r="C32" s="65">
        <f>SFP!B14</f>
        <v>52223619.210000001</v>
      </c>
      <c r="D32" s="65">
        <f>SFP!C14</f>
        <v>54516104.07</v>
      </c>
      <c r="E32" s="65">
        <f>SFP!D14</f>
        <v>52561210.869999997</v>
      </c>
      <c r="F32" s="65">
        <f>SFP!E14</f>
        <v>51822541.700000003</v>
      </c>
      <c r="G32" s="65">
        <f>SFP!F14</f>
        <v>49942174.07</v>
      </c>
      <c r="H32" s="65">
        <f>SFP!G14</f>
        <v>50586146.32</v>
      </c>
      <c r="I32" s="65">
        <f>SFP!H14</f>
        <v>52944158.530000001</v>
      </c>
      <c r="J32" s="65">
        <f>SFP!I14</f>
        <v>49455695.909999996</v>
      </c>
      <c r="K32" s="65">
        <f>SFP!J14</f>
        <v>49024213.689999998</v>
      </c>
      <c r="L32" s="65">
        <f>SFP!K14</f>
        <v>48386795.630000003</v>
      </c>
      <c r="M32" s="65">
        <f>SFP!L14</f>
        <v>47894556.5</v>
      </c>
      <c r="N32" s="65">
        <f>SFP!M14</f>
        <v>47572949.700000003</v>
      </c>
      <c r="O32" s="65">
        <f>SFP!N14</f>
        <v>47572950</v>
      </c>
      <c r="P32" s="65">
        <f>SFP!O14</f>
        <v>44732529.689999998</v>
      </c>
      <c r="Q32" s="65">
        <f>SFP!P14</f>
        <v>45138817.369999997</v>
      </c>
      <c r="R32" s="65">
        <f>SFP!Q14</f>
        <v>45321718.020000003</v>
      </c>
      <c r="S32" s="65">
        <f>SFP!R14</f>
        <v>48156126.460000001</v>
      </c>
      <c r="T32" s="65">
        <f>SFP!S14</f>
        <v>47977386.100000001</v>
      </c>
      <c r="U32" s="65">
        <f>SFP!T14</f>
        <v>46258004.909999996</v>
      </c>
      <c r="V32" s="65">
        <f>SFP!U14</f>
        <v>48713391.649999999</v>
      </c>
      <c r="W32" s="65">
        <f>SFP!V14</f>
        <v>48309249.979999997</v>
      </c>
      <c r="X32" s="65">
        <f>SFP!W14</f>
        <v>47976714.289999999</v>
      </c>
      <c r="Y32" s="65">
        <f>SFP!X14</f>
        <v>49307156.189999998</v>
      </c>
      <c r="Z32" s="65">
        <f>SFP!Y14</f>
        <v>52164577.130000003</v>
      </c>
      <c r="AA32" s="65">
        <f>SFP!Z14</f>
        <v>52516191.520000003</v>
      </c>
      <c r="AB32" s="65">
        <f>SFP!AA14</f>
        <v>52516192</v>
      </c>
      <c r="AC32" s="65">
        <f>SFP!AB14</f>
        <v>52759707.630000003</v>
      </c>
      <c r="AD32" s="65">
        <f>SFP!AC14</f>
        <v>53790704.880000003</v>
      </c>
      <c r="AE32" s="65">
        <f>SFP!AD14</f>
        <v>56606716.740000002</v>
      </c>
      <c r="AF32" s="65">
        <f>SFP!AE14</f>
        <v>55731228.189999998</v>
      </c>
      <c r="AG32" s="65">
        <f>SFP!AF14</f>
        <v>57596435.119999997</v>
      </c>
      <c r="AH32" s="65">
        <f>SFP!AG14</f>
        <v>56572467.299999997</v>
      </c>
      <c r="AI32" s="65">
        <f>SFP!AH14</f>
        <v>55582510.729999997</v>
      </c>
      <c r="AJ32" s="65">
        <f>SFP!AI14</f>
        <v>57952305.82</v>
      </c>
      <c r="AK32" s="65">
        <f>SFP!AJ14</f>
        <v>57949936.960000001</v>
      </c>
    </row>
    <row r="33" spans="1:37">
      <c r="A33" s="37">
        <v>7.3</v>
      </c>
      <c r="B33" s="31" t="s">
        <v>142</v>
      </c>
      <c r="C33" s="65">
        <f>SFP!B15</f>
        <v>10446879.18</v>
      </c>
      <c r="D33" s="65">
        <f>SFP!C15</f>
        <v>10836513.98</v>
      </c>
      <c r="E33" s="65">
        <f>SFP!D15</f>
        <v>11035986.85</v>
      </c>
      <c r="F33" s="65">
        <f>SFP!E15</f>
        <v>11710828.970000001</v>
      </c>
      <c r="G33" s="65">
        <f>SFP!F15</f>
        <v>11139663.210000001</v>
      </c>
      <c r="H33" s="65">
        <f>SFP!G15</f>
        <v>10669789.42</v>
      </c>
      <c r="I33" s="65">
        <f>SFP!H15</f>
        <v>10643847.65</v>
      </c>
      <c r="J33" s="65">
        <f>SFP!I15</f>
        <v>10390532.41</v>
      </c>
      <c r="K33" s="65">
        <f>SFP!J15</f>
        <v>10301575.699999999</v>
      </c>
      <c r="L33" s="65">
        <f>SFP!K15</f>
        <v>10317483.560000001</v>
      </c>
      <c r="M33" s="65">
        <f>SFP!L15</f>
        <v>10296465.08</v>
      </c>
      <c r="N33" s="65">
        <f>SFP!M15</f>
        <v>10093638.220000001</v>
      </c>
      <c r="O33" s="65">
        <f>SFP!N15</f>
        <v>10320803</v>
      </c>
      <c r="P33" s="65">
        <f>SFP!O15</f>
        <v>10089262.68</v>
      </c>
      <c r="Q33" s="65">
        <f>SFP!P15</f>
        <v>9616092.4100000001</v>
      </c>
      <c r="R33" s="65">
        <f>SFP!Q15</f>
        <v>10164982.560000001</v>
      </c>
      <c r="S33" s="65">
        <f>SFP!R15</f>
        <v>10161600.57</v>
      </c>
      <c r="T33" s="65">
        <f>SFP!S15</f>
        <v>10188654.630000001</v>
      </c>
      <c r="U33" s="65">
        <f>SFP!T15</f>
        <v>10246206</v>
      </c>
      <c r="V33" s="65">
        <f>SFP!U15</f>
        <v>10425851.99</v>
      </c>
      <c r="W33" s="65">
        <f>SFP!V15</f>
        <v>10400117.74</v>
      </c>
      <c r="X33" s="65">
        <f>SFP!W15</f>
        <v>10426581.65</v>
      </c>
      <c r="Y33" s="65">
        <f>SFP!X15</f>
        <v>9837821.2699999996</v>
      </c>
      <c r="Z33" s="65">
        <f>SFP!Y15</f>
        <v>8705526.4199999999</v>
      </c>
      <c r="AA33" s="65">
        <f>SFP!Z15</f>
        <v>8427355.75</v>
      </c>
      <c r="AB33" s="65">
        <f>SFP!AA15</f>
        <v>8427355.75</v>
      </c>
      <c r="AC33" s="65">
        <f>SFP!AB15</f>
        <v>8401659.3300000001</v>
      </c>
      <c r="AD33" s="65">
        <f>SFP!AC15</f>
        <v>8445750.8200000003</v>
      </c>
      <c r="AE33" s="65">
        <f>SFP!AD15</f>
        <v>8526110.4800000004</v>
      </c>
      <c r="AF33" s="65">
        <f>SFP!AE15</f>
        <v>8594309.4600000009</v>
      </c>
      <c r="AG33" s="65">
        <f>SFP!AF15</f>
        <v>8525452.3900000006</v>
      </c>
      <c r="AH33" s="65">
        <f>SFP!AG15</f>
        <v>8855031.3200000003</v>
      </c>
      <c r="AI33" s="65">
        <f>SFP!AH15</f>
        <v>8502500.4700000007</v>
      </c>
      <c r="AJ33" s="65">
        <f>SFP!AI15</f>
        <v>8417397.1999999993</v>
      </c>
      <c r="AK33" s="65">
        <f>SFP!AJ15</f>
        <v>8749466.4499999993</v>
      </c>
    </row>
    <row r="34" spans="1:37" ht="12.95" thickBot="1">
      <c r="A34" s="51">
        <v>7.4</v>
      </c>
      <c r="B34" s="31" t="s">
        <v>143</v>
      </c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</row>
    <row r="35" spans="1:37" ht="12.95" thickBot="1">
      <c r="A35" s="51">
        <v>7.5</v>
      </c>
      <c r="B35" s="52" t="s">
        <v>144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</row>
    <row r="36" spans="1:37" ht="12.95" thickBot="1">
      <c r="A36" s="51">
        <v>7.6</v>
      </c>
      <c r="B36" s="53" t="s">
        <v>145</v>
      </c>
      <c r="C36" s="65">
        <f>SFP!B4</f>
        <v>10823132.639999999</v>
      </c>
      <c r="D36" s="65">
        <f>SFP!C4</f>
        <v>8750063.0500000007</v>
      </c>
      <c r="E36" s="65">
        <f>SFP!D4</f>
        <v>10397052.34</v>
      </c>
      <c r="F36" s="65">
        <f>SFP!E4</f>
        <v>10542542.669999998</v>
      </c>
      <c r="G36" s="65">
        <f>SFP!F4</f>
        <v>12327489.689999999</v>
      </c>
      <c r="H36" s="65">
        <f>SFP!G4</f>
        <v>11429195.279999999</v>
      </c>
      <c r="I36" s="65">
        <f>SFP!H4</f>
        <v>9501091.5099999998</v>
      </c>
      <c r="J36" s="65">
        <f>SFP!I4</f>
        <v>13459097.59</v>
      </c>
      <c r="K36" s="65">
        <f>SFP!J4</f>
        <v>14218874.119999999</v>
      </c>
      <c r="L36" s="65">
        <f>SFP!K4</f>
        <v>15167722.109999999</v>
      </c>
      <c r="M36" s="65">
        <f>SFP!L4</f>
        <v>16324344.33</v>
      </c>
      <c r="N36" s="65">
        <f>SFP!M4</f>
        <v>16902420.890000001</v>
      </c>
      <c r="O36" s="65">
        <f>SFP!N4</f>
        <v>19799397</v>
      </c>
      <c r="P36" s="65">
        <f>SFP!O4</f>
        <v>19324856.559999999</v>
      </c>
      <c r="Q36" s="65">
        <f>SFP!P4</f>
        <v>19473191.559999999</v>
      </c>
      <c r="R36" s="65">
        <f>SFP!Q4</f>
        <v>19942304.030000001</v>
      </c>
      <c r="S36" s="65">
        <f>SFP!R4</f>
        <v>18083505.359999999</v>
      </c>
      <c r="T36" s="65">
        <f>SFP!S4</f>
        <v>17803565.580000002</v>
      </c>
      <c r="U36" s="65">
        <f>SFP!T4</f>
        <v>19537950.809999999</v>
      </c>
      <c r="V36" s="65">
        <f>SFP!U4</f>
        <v>17532787.580000002</v>
      </c>
      <c r="W36" s="65">
        <f>SFP!V4</f>
        <v>18719290.829999998</v>
      </c>
      <c r="X36" s="65">
        <f>SFP!W4</f>
        <v>19497063.129999999</v>
      </c>
      <c r="Y36" s="65">
        <f>SFP!X4</f>
        <v>19198337.629999999</v>
      </c>
      <c r="Z36" s="65">
        <f>SFP!Y4</f>
        <v>17322159.77</v>
      </c>
      <c r="AA36" s="65">
        <f>SFP!Z4</f>
        <v>17420994.699999999</v>
      </c>
      <c r="AB36" s="65">
        <f>SFP!AA4</f>
        <v>20884959</v>
      </c>
      <c r="AC36" s="65">
        <f>SFP!AB4</f>
        <v>17525624.830000002</v>
      </c>
      <c r="AD36" s="65">
        <f>SFP!AC4</f>
        <v>16766651.289999999</v>
      </c>
      <c r="AE36" s="65">
        <f>SFP!AD4</f>
        <v>15099253.640000001</v>
      </c>
      <c r="AF36" s="65">
        <f>SFP!AE4</f>
        <v>14932906.590000002</v>
      </c>
      <c r="AG36" s="65">
        <f>SFP!AF4</f>
        <v>12336982.59</v>
      </c>
      <c r="AH36" s="65">
        <f>SFP!AG4</f>
        <v>13932602.520000001</v>
      </c>
      <c r="AI36" s="65">
        <f>SFP!AH4</f>
        <v>15533727.550000001</v>
      </c>
      <c r="AJ36" s="65">
        <f>SFP!AI4</f>
        <v>14539469.350000001</v>
      </c>
      <c r="AK36" s="65">
        <f>SFP!AJ4</f>
        <v>14707195.270000001</v>
      </c>
    </row>
    <row r="37" spans="1:37" ht="12.95" thickBot="1">
      <c r="A37" s="33"/>
      <c r="B37" s="54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</row>
    <row r="38" spans="1:37">
      <c r="A38" s="35">
        <v>8</v>
      </c>
      <c r="B38" s="50" t="s">
        <v>146</v>
      </c>
      <c r="C38" s="65">
        <f>SFP!B7+SFP!B16+SFP!B22+SFP!B23+SFP!B24+SFP!B25</f>
        <v>2192092.7399999998</v>
      </c>
      <c r="D38" s="65">
        <f>SFP!C7+SFP!C16+SFP!C22+SFP!C23+SFP!C24+SFP!C25</f>
        <v>2183606.04</v>
      </c>
      <c r="E38" s="65">
        <f>SFP!D7+SFP!D16+SFP!D22+SFP!D23+SFP!D24+SFP!D25</f>
        <v>1875119.34</v>
      </c>
      <c r="F38" s="65">
        <f>SFP!E7+SFP!E16+SFP!E22+SFP!E23+SFP!E24+SFP!E25</f>
        <v>1666632.64</v>
      </c>
      <c r="G38" s="65">
        <f>SFP!F7+SFP!F16+SFP!F22+SFP!F23+SFP!F24+SFP!F25</f>
        <v>1608009.0699999998</v>
      </c>
      <c r="H38" s="65">
        <f>SFP!G7+SFP!G16+SFP!G22+SFP!G23+SFP!G24+SFP!G25</f>
        <v>1399522.3699999999</v>
      </c>
      <c r="I38" s="65">
        <f>SFP!H7+SFP!H16+SFP!H22+SFP!H23+SFP!H24+SFP!H25</f>
        <v>1391035.67</v>
      </c>
      <c r="J38" s="65">
        <f>SFP!I7+SFP!I16+SFP!I22+SFP!I23+SFP!I24+SFP!I25</f>
        <v>1182548.97</v>
      </c>
      <c r="K38" s="65">
        <f>SFP!J7+SFP!J16+SFP!J22+SFP!J23+SFP!J24+SFP!J25</f>
        <v>1174062.27</v>
      </c>
      <c r="L38" s="65">
        <f>SFP!K7+SFP!K16+SFP!K22+SFP!K23+SFP!K24+SFP!K25</f>
        <v>1165575.5699999998</v>
      </c>
      <c r="M38" s="65">
        <f>SFP!L7+SFP!L16+SFP!L22+SFP!L23+SFP!L24+SFP!L25</f>
        <v>1157088.8699999999</v>
      </c>
      <c r="N38" s="65">
        <f>SFP!M7+SFP!M16+SFP!M22+SFP!M23+SFP!M24+SFP!M25</f>
        <v>948602.17</v>
      </c>
      <c r="O38" s="65">
        <f>SFP!N7+SFP!N16+SFP!N22+SFP!N23+SFP!N24+SFP!N25</f>
        <v>1019038</v>
      </c>
      <c r="P38" s="65">
        <f>SFP!O7+SFP!O16+SFP!O22+SFP!O23+SFP!O24+SFP!O25</f>
        <v>983950.09</v>
      </c>
      <c r="Q38" s="65">
        <f>SFP!P7+SFP!P16+SFP!P22+SFP!P23+SFP!P24+SFP!P25</f>
        <v>977518.53999999992</v>
      </c>
      <c r="R38" s="65">
        <f>SFP!Q7+SFP!Q16+SFP!Q22+SFP!Q23+SFP!Q24+SFP!Q25</f>
        <v>1039218.5399999999</v>
      </c>
      <c r="S38" s="65">
        <f>SFP!R7+SFP!R16+SFP!R22+SFP!R23+SFP!R24+SFP!R25</f>
        <v>1032855.4400000001</v>
      </c>
      <c r="T38" s="65">
        <f>SFP!S7+SFP!S16+SFP!S22+SFP!S23+SFP!S24+SFP!S25</f>
        <v>1026423.89</v>
      </c>
      <c r="U38" s="65">
        <f>SFP!T7+SFP!T16+SFP!T22+SFP!T23+SFP!T24+SFP!T25</f>
        <v>1021992.34</v>
      </c>
      <c r="V38" s="65">
        <f>SFP!U7+SFP!U16+SFP!U22+SFP!U23+SFP!U24+SFP!U25</f>
        <v>2241274.12</v>
      </c>
      <c r="W38" s="65">
        <f>SFP!V7+SFP!V16+SFP!V22+SFP!V23+SFP!V24+SFP!V25</f>
        <v>2237336.9</v>
      </c>
      <c r="X38" s="65">
        <f>SFP!W7+SFP!W16+SFP!W22+SFP!W23+SFP!W24+SFP!W25</f>
        <v>2210718.6800000002</v>
      </c>
      <c r="Y38" s="65">
        <f>SFP!X7+SFP!X16+SFP!X22+SFP!X23+SFP!X24+SFP!X25</f>
        <v>2215100.46</v>
      </c>
      <c r="Z38" s="65">
        <f>SFP!Y7+SFP!Y16+SFP!Y22+SFP!Y23+SFP!Y24+SFP!Y25</f>
        <v>2200182.2399999998</v>
      </c>
      <c r="AA38" s="65">
        <f>SFP!Z7+SFP!Z16+SFP!Z22+SFP!Z23+SFP!Z24+SFP!Z25</f>
        <v>2477564.0199999996</v>
      </c>
      <c r="AB38" s="65">
        <f>SFP!AA7+SFP!AA16+SFP!AA22+SFP!AA23+SFP!AA24+SFP!AA25</f>
        <v>2533670</v>
      </c>
      <c r="AC38" s="65">
        <f>SFP!AB7+SFP!AB16+SFP!AB22+SFP!AB23+SFP!AB24+SFP!AB25</f>
        <v>2453478.0499999998</v>
      </c>
      <c r="AD38" s="65">
        <f>SFP!AC7+SFP!AC16+SFP!AC22+SFP!AC23+SFP!AC24+SFP!AC25</f>
        <v>2430899.08</v>
      </c>
      <c r="AE38" s="65">
        <f>SFP!AD7+SFP!AD16+SFP!AD22+SFP!AD23+SFP!AD24+SFP!AD25</f>
        <v>1910763.1099999999</v>
      </c>
      <c r="AF38" s="65">
        <f>SFP!AE7+SFP!AE16+SFP!AE22+SFP!AE23+SFP!AE24+SFP!AE25</f>
        <v>2069577.1400000001</v>
      </c>
      <c r="AG38" s="65">
        <f>SFP!AF7+SFP!AF16+SFP!AF22+SFP!AF23+SFP!AF24+SFP!AF25</f>
        <v>2042441.17</v>
      </c>
      <c r="AH38" s="65">
        <f>SFP!AG7+SFP!AG16+SFP!AG22+SFP!AG23+SFP!AG24+SFP!AG25</f>
        <v>2026705.1999999997</v>
      </c>
      <c r="AI38" s="65">
        <f>SFP!AH7+SFP!AH16+SFP!AH22+SFP!AH23+SFP!AH24+SFP!AH25</f>
        <v>1999569.23</v>
      </c>
      <c r="AJ38" s="65">
        <f>SFP!AI7+SFP!AI16+SFP!AI22+SFP!AI23+SFP!AI24+SFP!AI25</f>
        <v>1972433.2599999998</v>
      </c>
      <c r="AK38" s="65">
        <f>SFP!AJ7+SFP!AJ16+SFP!AJ22+SFP!AJ23+SFP!AJ24+SFP!AJ25</f>
        <v>1962477.29</v>
      </c>
    </row>
    <row r="39" spans="1:37" ht="12.95" thickBot="1">
      <c r="A39" s="38">
        <v>8.1</v>
      </c>
      <c r="B39" s="55" t="s">
        <v>147</v>
      </c>
      <c r="C39" s="65">
        <f>SFP!B22</f>
        <v>488059.71</v>
      </c>
      <c r="D39" s="65">
        <f>SFP!C22</f>
        <v>479573.01</v>
      </c>
      <c r="E39" s="65">
        <f>SFP!D22</f>
        <v>471086.31</v>
      </c>
      <c r="F39" s="65">
        <f>SFP!E22</f>
        <v>462599.61</v>
      </c>
      <c r="G39" s="65">
        <f>SFP!F22</f>
        <v>454112.91</v>
      </c>
      <c r="H39" s="65">
        <f>SFP!G22</f>
        <v>445626.21</v>
      </c>
      <c r="I39" s="65">
        <f>SFP!H22</f>
        <v>437139.51</v>
      </c>
      <c r="J39" s="65">
        <f>SFP!I22</f>
        <v>428652.81</v>
      </c>
      <c r="K39" s="65">
        <f>SFP!J22</f>
        <v>420166.11</v>
      </c>
      <c r="L39" s="65">
        <f>SFP!K22</f>
        <v>411679.41</v>
      </c>
      <c r="M39" s="65">
        <f>SFP!L22</f>
        <v>403192.71</v>
      </c>
      <c r="N39" s="65">
        <f>SFP!M22</f>
        <v>394706.01</v>
      </c>
      <c r="O39" s="65">
        <f>SFP!N22</f>
        <v>394706</v>
      </c>
      <c r="P39" s="65">
        <f>SFP!O22</f>
        <v>388274.46</v>
      </c>
      <c r="Q39" s="65">
        <f>SFP!P22</f>
        <v>381842.91</v>
      </c>
      <c r="R39" s="65">
        <f>SFP!Q22</f>
        <v>443542.91</v>
      </c>
      <c r="S39" s="65">
        <f>SFP!R22</f>
        <v>437179.81</v>
      </c>
      <c r="T39" s="65">
        <f>SFP!S22</f>
        <v>430748.26</v>
      </c>
      <c r="U39" s="65">
        <f>SFP!T22</f>
        <v>424316.71</v>
      </c>
      <c r="V39" s="65">
        <f>SFP!U22</f>
        <v>452585.16</v>
      </c>
      <c r="W39" s="65">
        <f>SFP!V22</f>
        <v>446153.61</v>
      </c>
      <c r="X39" s="65">
        <f>SFP!W22</f>
        <v>439722.06</v>
      </c>
      <c r="Y39" s="65">
        <f>SFP!X22</f>
        <v>433290.51</v>
      </c>
      <c r="Z39" s="65">
        <f>SFP!Y22</f>
        <v>438558.96</v>
      </c>
      <c r="AA39" s="65">
        <f>SFP!Z22</f>
        <v>432127.41</v>
      </c>
      <c r="AB39" s="65">
        <f>SFP!AA22</f>
        <v>432128</v>
      </c>
      <c r="AC39" s="65">
        <f>SFP!AB22</f>
        <v>425178.11</v>
      </c>
      <c r="AD39" s="65">
        <f>SFP!AC22</f>
        <v>418228.81</v>
      </c>
      <c r="AE39" s="65">
        <f>SFP!AD22</f>
        <v>411279.51</v>
      </c>
      <c r="AF39" s="65">
        <f>SFP!AE22</f>
        <v>404330.21</v>
      </c>
      <c r="AG39" s="65">
        <f>SFP!AF22</f>
        <v>397380.91</v>
      </c>
      <c r="AH39" s="65">
        <f>SFP!AG22</f>
        <v>401831.61</v>
      </c>
      <c r="AI39" s="65">
        <f>SFP!AH22</f>
        <v>394882.31</v>
      </c>
      <c r="AJ39" s="65">
        <f>SFP!AI22</f>
        <v>387933.01</v>
      </c>
      <c r="AK39" s="65">
        <f>SFP!AJ22</f>
        <v>387983.71</v>
      </c>
    </row>
    <row r="40" spans="1:37" ht="12.95" thickBot="1">
      <c r="A40" s="33"/>
      <c r="B40" s="34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  <c r="AK40" s="153"/>
    </row>
    <row r="41" spans="1:37">
      <c r="A41" s="56">
        <v>9</v>
      </c>
      <c r="B41" s="57" t="s">
        <v>148</v>
      </c>
      <c r="C41" s="65">
        <f t="shared" ref="C41:Q41" si="24">C42+C43+C44</f>
        <v>627685.11</v>
      </c>
      <c r="D41" s="65">
        <f>D42+D43+D44</f>
        <v>1484673.5999999999</v>
      </c>
      <c r="E41" s="65">
        <f t="shared" si="24"/>
        <v>2163427.83</v>
      </c>
      <c r="F41" s="65">
        <f t="shared" si="24"/>
        <v>2671685.7199999997</v>
      </c>
      <c r="G41" s="65">
        <f t="shared" si="24"/>
        <v>3324884.34</v>
      </c>
      <c r="H41" s="65">
        <f t="shared" si="24"/>
        <v>3889010.78</v>
      </c>
      <c r="I41" s="65">
        <f t="shared" si="24"/>
        <v>4604034.8</v>
      </c>
      <c r="J41" s="65">
        <f t="shared" si="24"/>
        <v>5334046.75</v>
      </c>
      <c r="K41" s="65">
        <f t="shared" si="24"/>
        <v>6120352.9800000004</v>
      </c>
      <c r="L41" s="65">
        <f t="shared" si="24"/>
        <v>6120352.9800000004</v>
      </c>
      <c r="M41" s="65">
        <f t="shared" si="24"/>
        <v>7362980.8000000007</v>
      </c>
      <c r="N41" s="65">
        <f t="shared" si="24"/>
        <v>8108788.879999999</v>
      </c>
      <c r="O41" s="65">
        <f t="shared" si="24"/>
        <v>505852.81</v>
      </c>
      <c r="P41" s="65">
        <f t="shared" si="24"/>
        <v>1104143.06</v>
      </c>
      <c r="Q41" s="65">
        <f t="shared" si="24"/>
        <v>1553430.8000000003</v>
      </c>
      <c r="R41" s="65">
        <f t="shared" ref="R41:AK41" si="25">R42+R43+R44</f>
        <v>2352621.0499999998</v>
      </c>
      <c r="S41" s="65">
        <f t="shared" si="25"/>
        <v>2979230.75</v>
      </c>
      <c r="T41" s="65">
        <f t="shared" si="25"/>
        <v>3640578.5500000003</v>
      </c>
      <c r="U41" s="65">
        <f t="shared" si="25"/>
        <v>4517393.9399999995</v>
      </c>
      <c r="V41" s="65">
        <f t="shared" si="25"/>
        <v>5309642.91</v>
      </c>
      <c r="W41" s="65">
        <f t="shared" si="25"/>
        <v>5858899.29</v>
      </c>
      <c r="X41" s="65">
        <f t="shared" si="25"/>
        <v>6618225.0999999996</v>
      </c>
      <c r="Y41" s="65">
        <f t="shared" si="25"/>
        <v>7539552.2899999991</v>
      </c>
      <c r="Z41" s="65">
        <f t="shared" si="25"/>
        <v>8181843.8999999994</v>
      </c>
      <c r="AA41" s="65">
        <f t="shared" si="25"/>
        <v>8181844</v>
      </c>
      <c r="AB41" s="65">
        <f t="shared" si="25"/>
        <v>787151.1399999999</v>
      </c>
      <c r="AC41" s="65">
        <f t="shared" ref="AC41:AF41" si="26">AC42+AC43+AC44</f>
        <v>1545672.74</v>
      </c>
      <c r="AD41" s="65">
        <f t="shared" si="26"/>
        <v>2766454.21</v>
      </c>
      <c r="AE41" s="65">
        <f t="shared" si="26"/>
        <v>3654228.38</v>
      </c>
      <c r="AF41" s="65">
        <f t="shared" si="26"/>
        <v>4777224.0199999996</v>
      </c>
      <c r="AG41" s="65">
        <f t="shared" ref="AG41" si="27">AG42+AG43+AG44</f>
        <v>5505333.79</v>
      </c>
      <c r="AH41" s="65">
        <f t="shared" si="25"/>
        <v>6320926.6499999994</v>
      </c>
      <c r="AI41" s="65">
        <f t="shared" si="25"/>
        <v>7454065.8700000001</v>
      </c>
      <c r="AJ41" s="65">
        <f t="shared" si="25"/>
        <v>8494829.5600000005</v>
      </c>
      <c r="AK41" s="65">
        <f t="shared" si="25"/>
        <v>0</v>
      </c>
    </row>
    <row r="42" spans="1:37">
      <c r="A42" s="58">
        <v>9.1</v>
      </c>
      <c r="B42" s="30" t="s">
        <v>149</v>
      </c>
      <c r="C42" s="65">
        <f>SCI!B5</f>
        <v>417187.46</v>
      </c>
      <c r="D42" s="65">
        <f>SCI!C5</f>
        <v>891941.19</v>
      </c>
      <c r="E42" s="65">
        <f>SCI!D5</f>
        <v>1413892.59</v>
      </c>
      <c r="F42" s="65">
        <f>SCI!E5</f>
        <v>1839805.4399999999</v>
      </c>
      <c r="G42" s="65">
        <f>SCI!F5</f>
        <v>2437105.77</v>
      </c>
      <c r="H42" s="65">
        <f>SCI!G5</f>
        <v>2837543.36</v>
      </c>
      <c r="I42" s="65">
        <f>SCI!H5</f>
        <v>3202792.76</v>
      </c>
      <c r="J42" s="65">
        <f>SCI!I5</f>
        <v>3871962.84</v>
      </c>
      <c r="K42" s="65">
        <f>SCI!J5</f>
        <v>4415056.6900000004</v>
      </c>
      <c r="L42" s="65">
        <f>SCI!K5</f>
        <v>4415056.6900000004</v>
      </c>
      <c r="M42" s="65">
        <f>SCI!L5</f>
        <v>5329709.2300000004</v>
      </c>
      <c r="N42" s="65">
        <f>SCI!M5</f>
        <v>5776188.4299999997</v>
      </c>
      <c r="O42" s="65">
        <f>SCI!O5</f>
        <v>442271.21</v>
      </c>
      <c r="P42" s="65">
        <f>SCI!P5</f>
        <v>801751.26</v>
      </c>
      <c r="Q42" s="65">
        <f>SCI!Q5</f>
        <v>1092433.6100000001</v>
      </c>
      <c r="R42" s="65">
        <f>SCI!R5</f>
        <v>1516779.65</v>
      </c>
      <c r="S42" s="65">
        <f>SCI!S5</f>
        <v>1957729.6</v>
      </c>
      <c r="T42" s="65">
        <f>SCI!T5</f>
        <v>2435134.83</v>
      </c>
      <c r="U42" s="65">
        <f>SCI!U5</f>
        <v>2810794.26</v>
      </c>
      <c r="V42" s="65">
        <f>SCI!V5</f>
        <v>3303691.03</v>
      </c>
      <c r="W42" s="65">
        <f>SCI!W5</f>
        <v>3665321.34</v>
      </c>
      <c r="X42" s="65">
        <f>SCI!X5</f>
        <v>4095515.86</v>
      </c>
      <c r="Y42" s="65">
        <f>SCI!Y5</f>
        <v>4532050.8</v>
      </c>
      <c r="Z42" s="65">
        <f>SCI!Z5</f>
        <v>4883184.5599999996</v>
      </c>
      <c r="AA42" s="65">
        <f>SCI!AA5</f>
        <v>4883185</v>
      </c>
      <c r="AB42" s="65">
        <f>SCI!AB5</f>
        <v>558194.69999999995</v>
      </c>
      <c r="AC42" s="65">
        <f>SCI!AC5</f>
        <v>913081.28</v>
      </c>
      <c r="AD42" s="65">
        <f>SCI!AD5</f>
        <v>1466053.88</v>
      </c>
      <c r="AE42" s="65">
        <f>SCI!AE5</f>
        <v>1937205.88</v>
      </c>
      <c r="AF42" s="65">
        <f>SCI!AF5</f>
        <v>2535553.94</v>
      </c>
      <c r="AG42" s="65">
        <f>SCI!AG5</f>
        <v>3012247.14</v>
      </c>
      <c r="AH42" s="65">
        <f>SCI!AH5</f>
        <v>3519438.13</v>
      </c>
      <c r="AI42" s="65">
        <f>SCI!AI5</f>
        <v>4103345.15</v>
      </c>
      <c r="AJ42" s="65">
        <f>SCI!AJ5</f>
        <v>4731921.95</v>
      </c>
      <c r="AK42" s="65">
        <f>SCI!AK5</f>
        <v>0</v>
      </c>
    </row>
    <row r="43" spans="1:37">
      <c r="A43" s="58"/>
      <c r="B43" s="30" t="s">
        <v>150</v>
      </c>
      <c r="C43" s="65">
        <f>SCI!B7</f>
        <v>39277.75</v>
      </c>
      <c r="D43" s="65">
        <f>SCI!C7</f>
        <v>78981.710000000006</v>
      </c>
      <c r="E43" s="65">
        <f>SCI!D7</f>
        <v>106366.54</v>
      </c>
      <c r="F43" s="65">
        <f>SCI!E7</f>
        <v>137980.38</v>
      </c>
      <c r="G43" s="65">
        <f>SCI!F7</f>
        <v>164361.87</v>
      </c>
      <c r="H43" s="65">
        <f>SCI!G7</f>
        <v>177007.82</v>
      </c>
      <c r="I43" s="65">
        <f>SCI!H7</f>
        <v>233190.14</v>
      </c>
      <c r="J43" s="65">
        <f>SCI!I7</f>
        <v>267923.90999999997</v>
      </c>
      <c r="K43" s="65">
        <f>SCI!J7</f>
        <v>302187.58999999997</v>
      </c>
      <c r="L43" s="65">
        <f>SCI!K7</f>
        <v>302187.58999999997</v>
      </c>
      <c r="M43" s="65">
        <f>SCI!L7</f>
        <v>366526.06999999995</v>
      </c>
      <c r="N43" s="65">
        <f>SCI!M7</f>
        <v>522485.54999999993</v>
      </c>
      <c r="O43" s="65">
        <f>SCI!O7</f>
        <v>40988.800000000003</v>
      </c>
      <c r="P43" s="65">
        <f>SCI!P7</f>
        <v>53959.8</v>
      </c>
      <c r="Q43" s="65">
        <f>SCI!Q7</f>
        <v>130701.59</v>
      </c>
      <c r="R43" s="65">
        <f>SCI!R7</f>
        <v>184251.1</v>
      </c>
      <c r="S43" s="65">
        <f>SCI!S7</f>
        <v>248031.25</v>
      </c>
      <c r="T43" s="65">
        <f>SCI!T7</f>
        <v>366809.62</v>
      </c>
      <c r="U43" s="65">
        <f>SCI!U7</f>
        <v>420456.07999999996</v>
      </c>
      <c r="V43" s="65">
        <f>SCI!V7</f>
        <v>518376.78</v>
      </c>
      <c r="W43" s="65">
        <f>SCI!W7</f>
        <v>571022.45000000007</v>
      </c>
      <c r="X43" s="65">
        <f>SCI!X7</f>
        <v>622854.64</v>
      </c>
      <c r="Y43" s="65">
        <f>SCI!Y7</f>
        <v>659921.59000000008</v>
      </c>
      <c r="Z43" s="65">
        <f>SCI!Z7</f>
        <v>814948.04</v>
      </c>
      <c r="AA43" s="65">
        <f>SCI!AA7</f>
        <v>551233</v>
      </c>
      <c r="AB43" s="65">
        <f>SCI!AB7</f>
        <v>29964.639999999999</v>
      </c>
      <c r="AC43" s="65">
        <f>SCI!AC7</f>
        <v>167632.66</v>
      </c>
      <c r="AD43" s="65">
        <f>SCI!AD7</f>
        <v>353893.53</v>
      </c>
      <c r="AE43" s="65">
        <f>SCI!AE7</f>
        <v>649913.19999999995</v>
      </c>
      <c r="AF43" s="65">
        <f>SCI!AF7</f>
        <v>719069.67999999993</v>
      </c>
      <c r="AG43" s="65">
        <f>SCI!AG7</f>
        <v>882542.75</v>
      </c>
      <c r="AH43" s="65">
        <f>SCI!AH7</f>
        <v>990327.22</v>
      </c>
      <c r="AI43" s="65">
        <f>SCI!AI7</f>
        <v>1079888.72</v>
      </c>
      <c r="AJ43" s="65">
        <f>SCI!AJ7</f>
        <v>1175645.5099999998</v>
      </c>
      <c r="AK43" s="65">
        <f>SCI!AK7</f>
        <v>0</v>
      </c>
    </row>
    <row r="44" spans="1:37">
      <c r="A44" s="58">
        <v>9.1999999999999993</v>
      </c>
      <c r="B44" s="30" t="s">
        <v>151</v>
      </c>
      <c r="C44" s="65">
        <f>SCI!B6</f>
        <v>171219.9</v>
      </c>
      <c r="D44" s="65">
        <f>SCI!C6</f>
        <v>513750.7</v>
      </c>
      <c r="E44" s="65">
        <f>SCI!D6</f>
        <v>643168.69999999995</v>
      </c>
      <c r="F44" s="65">
        <f>SCI!E6</f>
        <v>693899.9</v>
      </c>
      <c r="G44" s="65">
        <f>SCI!F6</f>
        <v>723416.7</v>
      </c>
      <c r="H44" s="65">
        <f>SCI!G6</f>
        <v>874459.6</v>
      </c>
      <c r="I44" s="65">
        <f>SCI!H6</f>
        <v>1168051.8999999999</v>
      </c>
      <c r="J44" s="65">
        <f>SCI!I6</f>
        <v>1194160</v>
      </c>
      <c r="K44" s="65">
        <f>SCI!J6</f>
        <v>1403108.7</v>
      </c>
      <c r="L44" s="65">
        <f>SCI!K6</f>
        <v>1403108.7</v>
      </c>
      <c r="M44" s="65">
        <f>SCI!L6</f>
        <v>1666745.5</v>
      </c>
      <c r="N44" s="65">
        <f>SCI!M6</f>
        <v>1810114.9</v>
      </c>
      <c r="O44" s="65">
        <f>SCI!O6</f>
        <v>22592.799999999999</v>
      </c>
      <c r="P44" s="65">
        <f>SCI!P6</f>
        <v>248432</v>
      </c>
      <c r="Q44" s="65">
        <f>SCI!Q6</f>
        <v>330295.59999999998</v>
      </c>
      <c r="R44" s="65">
        <f>SCI!R6</f>
        <v>651590.30000000005</v>
      </c>
      <c r="S44" s="65">
        <f>SCI!S6</f>
        <v>773469.9</v>
      </c>
      <c r="T44" s="65">
        <f>SCI!T6</f>
        <v>838634.1</v>
      </c>
      <c r="U44" s="65">
        <f>SCI!U6</f>
        <v>1286143.6000000001</v>
      </c>
      <c r="V44" s="65">
        <f>SCI!V6</f>
        <v>1487575.1</v>
      </c>
      <c r="W44" s="65">
        <f>SCI!W6</f>
        <v>1622555.5</v>
      </c>
      <c r="X44" s="65">
        <f>SCI!X6</f>
        <v>1899854.6</v>
      </c>
      <c r="Y44" s="65">
        <f>SCI!Y6</f>
        <v>2347579.9</v>
      </c>
      <c r="Z44" s="65">
        <f>SCI!Z6</f>
        <v>2483711.2999999998</v>
      </c>
      <c r="AA44" s="65">
        <f>SCI!AA6</f>
        <v>2747426</v>
      </c>
      <c r="AB44" s="65">
        <f>SCI!AB6</f>
        <v>198991.8</v>
      </c>
      <c r="AC44" s="65">
        <f>SCI!AC6</f>
        <v>464958.8</v>
      </c>
      <c r="AD44" s="65">
        <f>SCI!AD6</f>
        <v>946506.8</v>
      </c>
      <c r="AE44" s="65">
        <f>SCI!AE6</f>
        <v>1067109.3</v>
      </c>
      <c r="AF44" s="65">
        <f>SCI!AF6</f>
        <v>1522600.4</v>
      </c>
      <c r="AG44" s="65">
        <f>SCI!AG6</f>
        <v>1610543.9</v>
      </c>
      <c r="AH44" s="65">
        <f>SCI!AH6</f>
        <v>1811161.3</v>
      </c>
      <c r="AI44" s="65">
        <f>SCI!AI6</f>
        <v>2270832</v>
      </c>
      <c r="AJ44" s="65">
        <f>SCI!AJ6</f>
        <v>2587262.1</v>
      </c>
      <c r="AK44" s="65">
        <f>SCI!AK6</f>
        <v>0</v>
      </c>
    </row>
    <row r="45" spans="1:37" ht="12.95" thickBot="1">
      <c r="A45" s="59"/>
      <c r="B45" s="51" t="s">
        <v>152</v>
      </c>
      <c r="C45" s="156">
        <f t="shared" ref="C45:Q45" si="28">C42/C32</f>
        <v>7.9884823440217485E-3</v>
      </c>
      <c r="D45" s="156">
        <f>D42/D32</f>
        <v>1.6361058905726752E-2</v>
      </c>
      <c r="E45" s="156">
        <f t="shared" si="28"/>
        <v>2.6899924233043077E-2</v>
      </c>
      <c r="F45" s="156">
        <f t="shared" si="28"/>
        <v>3.5502030190850326E-2</v>
      </c>
      <c r="G45" s="156">
        <f t="shared" si="28"/>
        <v>4.8798551832847752E-2</v>
      </c>
      <c r="H45" s="156">
        <f t="shared" si="28"/>
        <v>5.6093289693390502E-2</v>
      </c>
      <c r="I45" s="156">
        <f t="shared" si="28"/>
        <v>6.0493789096396459E-2</v>
      </c>
      <c r="J45" s="156">
        <f t="shared" si="28"/>
        <v>7.829154496271247E-2</v>
      </c>
      <c r="K45" s="156">
        <f t="shared" si="28"/>
        <v>9.0058694626255431E-2</v>
      </c>
      <c r="L45" s="156">
        <f t="shared" si="28"/>
        <v>9.1245072803759875E-2</v>
      </c>
      <c r="M45" s="156">
        <f t="shared" si="28"/>
        <v>0.11128006227597076</v>
      </c>
      <c r="N45" s="156">
        <f t="shared" si="28"/>
        <v>0.12141749600193488</v>
      </c>
      <c r="O45" s="156">
        <f t="shared" si="28"/>
        <v>9.2966950756680003E-3</v>
      </c>
      <c r="P45" s="156">
        <f t="shared" si="28"/>
        <v>1.7923226465308362E-2</v>
      </c>
      <c r="Q45" s="156">
        <f t="shared" si="28"/>
        <v>2.4201644474763077E-2</v>
      </c>
      <c r="R45" s="156">
        <f t="shared" ref="R45:AK45" si="29">R42/R32</f>
        <v>3.3466949539085453E-2</v>
      </c>
      <c r="S45" s="156">
        <f t="shared" si="29"/>
        <v>4.0653801373043412E-2</v>
      </c>
      <c r="T45" s="156">
        <f t="shared" si="29"/>
        <v>5.0755887886939299E-2</v>
      </c>
      <c r="U45" s="156">
        <f t="shared" si="29"/>
        <v>6.0763413066964457E-2</v>
      </c>
      <c r="V45" s="156">
        <f t="shared" si="29"/>
        <v>6.7818949124639732E-2</v>
      </c>
      <c r="W45" s="156">
        <f t="shared" si="29"/>
        <v>7.5872039858152232E-2</v>
      </c>
      <c r="X45" s="156">
        <f t="shared" si="29"/>
        <v>8.5364659097833348E-2</v>
      </c>
      <c r="Y45" s="156">
        <f t="shared" si="29"/>
        <v>9.1914666149802135E-2</v>
      </c>
      <c r="Z45" s="156">
        <f t="shared" si="29"/>
        <v>9.3611121352149634E-2</v>
      </c>
      <c r="AA45" s="156">
        <f t="shared" si="29"/>
        <v>9.298437031825342E-2</v>
      </c>
      <c r="AB45" s="156">
        <f t="shared" si="29"/>
        <v>1.0629001813383575E-2</v>
      </c>
      <c r="AC45" s="156">
        <f t="shared" ref="AC45:AF45" si="30">AC42/AC32</f>
        <v>1.7306412810385013E-2</v>
      </c>
      <c r="AD45" s="156">
        <f t="shared" si="30"/>
        <v>2.7254780975088048E-2</v>
      </c>
      <c r="AE45" s="156">
        <f t="shared" si="30"/>
        <v>3.4222191138513998E-2</v>
      </c>
      <c r="AF45" s="156">
        <f t="shared" si="30"/>
        <v>4.5496107341394663E-2</v>
      </c>
      <c r="AG45" s="156">
        <f t="shared" ref="AG45" si="31">AG42/AG32</f>
        <v>5.2299194103317279E-2</v>
      </c>
      <c r="AH45" s="156">
        <f t="shared" si="29"/>
        <v>6.2211147895258938E-2</v>
      </c>
      <c r="AI45" s="156">
        <f t="shared" si="29"/>
        <v>7.3824393610655459E-2</v>
      </c>
      <c r="AJ45" s="156">
        <f t="shared" si="29"/>
        <v>8.1652004748479917E-2</v>
      </c>
      <c r="AK45" s="156">
        <f t="shared" si="29"/>
        <v>0</v>
      </c>
    </row>
    <row r="46" spans="1:37" ht="12.95" thickBot="1">
      <c r="A46" s="39"/>
      <c r="B46" s="34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</row>
    <row r="47" spans="1:37">
      <c r="A47" s="60">
        <v>10</v>
      </c>
      <c r="B47" s="61" t="s">
        <v>153</v>
      </c>
      <c r="C47" s="158" t="e">
        <f t="shared" ref="C47:Q47" si="32">SUM(C48:C53)</f>
        <v>#REF!</v>
      </c>
      <c r="D47" s="158" t="e">
        <f>SUM(D48:D53)</f>
        <v>#REF!</v>
      </c>
      <c r="E47" s="158" t="e">
        <f t="shared" si="32"/>
        <v>#REF!</v>
      </c>
      <c r="F47" s="158" t="e">
        <f t="shared" si="32"/>
        <v>#REF!</v>
      </c>
      <c r="G47" s="158" t="e">
        <f t="shared" si="32"/>
        <v>#REF!</v>
      </c>
      <c r="H47" s="158" t="e">
        <f t="shared" si="32"/>
        <v>#REF!</v>
      </c>
      <c r="I47" s="158" t="e">
        <f t="shared" si="32"/>
        <v>#REF!</v>
      </c>
      <c r="J47" s="158" t="e">
        <f t="shared" si="32"/>
        <v>#REF!</v>
      </c>
      <c r="K47" s="158" t="e">
        <f t="shared" si="32"/>
        <v>#REF!</v>
      </c>
      <c r="L47" s="158" t="e">
        <f t="shared" si="32"/>
        <v>#REF!</v>
      </c>
      <c r="M47" s="158" t="e">
        <f t="shared" si="32"/>
        <v>#REF!</v>
      </c>
      <c r="N47" s="158" t="e">
        <f t="shared" si="32"/>
        <v>#REF!</v>
      </c>
      <c r="O47" s="158" t="e">
        <f t="shared" si="32"/>
        <v>#REF!</v>
      </c>
      <c r="P47" s="158" t="e">
        <f t="shared" si="32"/>
        <v>#REF!</v>
      </c>
      <c r="Q47" s="158" t="e">
        <f t="shared" si="32"/>
        <v>#REF!</v>
      </c>
      <c r="R47" s="158" t="e">
        <f t="shared" ref="R47:AK47" si="33">SUM(R48:R53)</f>
        <v>#REF!</v>
      </c>
      <c r="S47" s="158" t="e">
        <f t="shared" si="33"/>
        <v>#REF!</v>
      </c>
      <c r="T47" s="158" t="e">
        <f t="shared" si="33"/>
        <v>#REF!</v>
      </c>
      <c r="U47" s="158" t="e">
        <f t="shared" si="33"/>
        <v>#REF!</v>
      </c>
      <c r="V47" s="158" t="e">
        <f t="shared" si="33"/>
        <v>#REF!</v>
      </c>
      <c r="W47" s="158" t="e">
        <f t="shared" si="33"/>
        <v>#REF!</v>
      </c>
      <c r="X47" s="158" t="e">
        <f t="shared" si="33"/>
        <v>#REF!</v>
      </c>
      <c r="Y47" s="158" t="e">
        <f t="shared" si="33"/>
        <v>#REF!</v>
      </c>
      <c r="Z47" s="158" t="e">
        <f t="shared" si="33"/>
        <v>#REF!</v>
      </c>
      <c r="AA47" s="158" t="e">
        <f t="shared" si="33"/>
        <v>#REF!</v>
      </c>
      <c r="AB47" s="158" t="e">
        <f t="shared" si="33"/>
        <v>#REF!</v>
      </c>
      <c r="AC47" s="158" t="e">
        <f t="shared" ref="AC47:AF47" si="34">SUM(AC48:AC53)</f>
        <v>#REF!</v>
      </c>
      <c r="AD47" s="158" t="e">
        <f t="shared" si="34"/>
        <v>#REF!</v>
      </c>
      <c r="AE47" s="158" t="e">
        <f t="shared" si="34"/>
        <v>#REF!</v>
      </c>
      <c r="AF47" s="158" t="e">
        <f t="shared" si="34"/>
        <v>#REF!</v>
      </c>
      <c r="AG47" s="158" t="e">
        <f t="shared" ref="AG47" si="35">SUM(AG48:AG53)</f>
        <v>#REF!</v>
      </c>
      <c r="AH47" s="158" t="e">
        <f t="shared" si="33"/>
        <v>#REF!</v>
      </c>
      <c r="AI47" s="158" t="e">
        <f t="shared" si="33"/>
        <v>#REF!</v>
      </c>
      <c r="AJ47" s="158" t="e">
        <f t="shared" si="33"/>
        <v>#REF!</v>
      </c>
      <c r="AK47" s="158" t="e">
        <f t="shared" si="33"/>
        <v>#REF!</v>
      </c>
    </row>
    <row r="48" spans="1:37">
      <c r="A48" s="37">
        <v>10.1</v>
      </c>
      <c r="B48" s="62" t="s">
        <v>154</v>
      </c>
      <c r="C48" s="65">
        <f>SCI!B13</f>
        <v>46666.65</v>
      </c>
      <c r="D48" s="65">
        <f>SCI!C13</f>
        <v>55518.15</v>
      </c>
      <c r="E48" s="65">
        <f>SCI!D13</f>
        <v>55518.15</v>
      </c>
      <c r="F48" s="65">
        <f>SCI!E13</f>
        <v>58143.15</v>
      </c>
      <c r="G48" s="65">
        <f>SCI!F13</f>
        <v>63976.45</v>
      </c>
      <c r="H48" s="65">
        <f>SCI!G13</f>
        <v>63976.45</v>
      </c>
      <c r="I48" s="65">
        <f>SCI!H13</f>
        <v>63976.45</v>
      </c>
      <c r="J48" s="65">
        <f>SCI!I13</f>
        <v>63976.45</v>
      </c>
      <c r="K48" s="65">
        <f>SCI!J13</f>
        <v>63976.45</v>
      </c>
      <c r="L48" s="65">
        <f>SCI!K13</f>
        <v>63976.45</v>
      </c>
      <c r="M48" s="65">
        <f>SCI!L13</f>
        <v>63976.45</v>
      </c>
      <c r="N48" s="65">
        <f>SCI!M13</f>
        <v>63976.45</v>
      </c>
      <c r="O48" s="65">
        <f>SCI!O13</f>
        <v>0</v>
      </c>
      <c r="P48" s="65">
        <f>SCI!P13</f>
        <v>42000</v>
      </c>
      <c r="Q48" s="65">
        <f>SCI!Q13</f>
        <v>42000</v>
      </c>
      <c r="R48" s="65">
        <f>SCI!R13</f>
        <v>42000</v>
      </c>
      <c r="S48" s="65">
        <f>SCI!S13</f>
        <v>42000</v>
      </c>
      <c r="T48" s="65">
        <f>SCI!T13</f>
        <v>42000</v>
      </c>
      <c r="U48" s="65">
        <f>SCI!U13</f>
        <v>42000</v>
      </c>
      <c r="V48" s="65">
        <f>SCI!V13</f>
        <v>42000</v>
      </c>
      <c r="W48" s="65">
        <f>SCI!W13</f>
        <v>42000</v>
      </c>
      <c r="X48" s="65">
        <f>SCI!X13</f>
        <v>42000</v>
      </c>
      <c r="Y48" s="65">
        <f>SCI!Y13</f>
        <v>48300</v>
      </c>
      <c r="Z48" s="65">
        <f>SCI!Z13</f>
        <v>56700</v>
      </c>
      <c r="AA48" s="65">
        <f>SCI!AA13</f>
        <v>1451987</v>
      </c>
      <c r="AB48" s="65">
        <f>SCI!AB13</f>
        <v>0</v>
      </c>
      <c r="AC48" s="65">
        <f>SCI!AC13</f>
        <v>42000</v>
      </c>
      <c r="AD48" s="65">
        <f>SCI!AD13</f>
        <v>42000</v>
      </c>
      <c r="AE48" s="65">
        <f>SCI!AE13</f>
        <v>42000</v>
      </c>
      <c r="AF48" s="65">
        <f>SCI!AF13</f>
        <v>42000</v>
      </c>
      <c r="AG48" s="65">
        <f>SCI!AG13</f>
        <v>52500</v>
      </c>
      <c r="AH48" s="65">
        <f>SCI!AH13</f>
        <v>52500</v>
      </c>
      <c r="AI48" s="65">
        <f>SCI!AI13</f>
        <v>52500</v>
      </c>
      <c r="AJ48" s="65">
        <f>SCI!AJ13</f>
        <v>52500</v>
      </c>
      <c r="AK48" s="65">
        <f>SCI!AK13</f>
        <v>0</v>
      </c>
    </row>
    <row r="49" spans="1:37">
      <c r="A49" s="37">
        <v>10.199999999999999</v>
      </c>
      <c r="B49" s="62" t="s">
        <v>155</v>
      </c>
      <c r="C49" s="65">
        <f>SCI!B15</f>
        <v>0</v>
      </c>
      <c r="D49" s="65">
        <f>SCI!C15</f>
        <v>0</v>
      </c>
      <c r="E49" s="65">
        <f>SCI!D15</f>
        <v>0</v>
      </c>
      <c r="F49" s="65">
        <f>SCI!E15</f>
        <v>0</v>
      </c>
      <c r="G49" s="65">
        <f>SCI!F15</f>
        <v>0</v>
      </c>
      <c r="H49" s="65">
        <f>SCI!G15</f>
        <v>0</v>
      </c>
      <c r="I49" s="65">
        <f>SCI!H15</f>
        <v>0</v>
      </c>
      <c r="J49" s="65">
        <f>SCI!I15</f>
        <v>0</v>
      </c>
      <c r="K49" s="65">
        <f>SCI!J15</f>
        <v>0</v>
      </c>
      <c r="L49" s="65">
        <f>SCI!K15</f>
        <v>0</v>
      </c>
      <c r="M49" s="65">
        <f>SCI!L15</f>
        <v>0</v>
      </c>
      <c r="N49" s="65">
        <f>SCI!M15</f>
        <v>0</v>
      </c>
      <c r="O49" s="65">
        <f>SCI!O15</f>
        <v>0</v>
      </c>
      <c r="P49" s="65">
        <f>SCI!P15</f>
        <v>0</v>
      </c>
      <c r="Q49" s="65">
        <f>SCI!Q15</f>
        <v>0</v>
      </c>
      <c r="R49" s="65">
        <f>SCI!R15</f>
        <v>0</v>
      </c>
      <c r="S49" s="65">
        <f>SCI!S15</f>
        <v>0</v>
      </c>
      <c r="T49" s="65">
        <f>SCI!T15</f>
        <v>1900</v>
      </c>
      <c r="U49" s="65">
        <f>SCI!U15</f>
        <v>1900</v>
      </c>
      <c r="V49" s="65">
        <f>SCI!V15</f>
        <v>1900</v>
      </c>
      <c r="W49" s="65">
        <f>SCI!W15</f>
        <v>1900</v>
      </c>
      <c r="X49" s="65">
        <f>SCI!X15</f>
        <v>1900</v>
      </c>
      <c r="Y49" s="65">
        <f>SCI!Y15</f>
        <v>1900</v>
      </c>
      <c r="Z49" s="65">
        <f>SCI!Z15</f>
        <v>1900</v>
      </c>
      <c r="AA49" s="65">
        <f>SCI!AA15</f>
        <v>0</v>
      </c>
      <c r="AB49" s="65">
        <f>SCI!AB15</f>
        <v>237.5</v>
      </c>
      <c r="AC49" s="65">
        <f>SCI!AC15</f>
        <v>237.5</v>
      </c>
      <c r="AD49" s="65">
        <f>SCI!AD15</f>
        <v>237.5</v>
      </c>
      <c r="AE49" s="65">
        <f>SCI!AE15</f>
        <v>237.5</v>
      </c>
      <c r="AF49" s="65">
        <f>SCI!AF15</f>
        <v>237.5</v>
      </c>
      <c r="AG49" s="65">
        <f>SCI!AG15</f>
        <v>237.5</v>
      </c>
      <c r="AH49" s="65">
        <f>SCI!AH15</f>
        <v>237.5</v>
      </c>
      <c r="AI49" s="65">
        <f>SCI!AI15</f>
        <v>237.5</v>
      </c>
      <c r="AJ49" s="65">
        <f>SCI!AJ15</f>
        <v>237.5</v>
      </c>
      <c r="AK49" s="65">
        <f>SCI!AK15</f>
        <v>0</v>
      </c>
    </row>
    <row r="50" spans="1:37">
      <c r="A50" s="37">
        <v>10.3</v>
      </c>
      <c r="B50" s="62" t="s">
        <v>156</v>
      </c>
      <c r="C50" s="69">
        <f>SCI!B14</f>
        <v>0</v>
      </c>
      <c r="D50" s="69">
        <f>SCI!C14</f>
        <v>0</v>
      </c>
      <c r="E50" s="69">
        <f>SCI!D14</f>
        <v>0</v>
      </c>
      <c r="F50" s="69">
        <f>SCI!E14</f>
        <v>0</v>
      </c>
      <c r="G50" s="69">
        <f>SCI!F14</f>
        <v>0</v>
      </c>
      <c r="H50" s="69">
        <f>SCI!G14</f>
        <v>0</v>
      </c>
      <c r="I50" s="69">
        <f>SCI!H14</f>
        <v>0</v>
      </c>
      <c r="J50" s="69">
        <f>SCI!I14</f>
        <v>0</v>
      </c>
      <c r="K50" s="69">
        <f>SCI!J14</f>
        <v>0</v>
      </c>
      <c r="L50" s="69">
        <f>SCI!K14</f>
        <v>0</v>
      </c>
      <c r="M50" s="69">
        <f>SCI!L14</f>
        <v>0</v>
      </c>
      <c r="N50" s="69">
        <f>SCI!M14</f>
        <v>0</v>
      </c>
      <c r="O50" s="69">
        <f>SCI!O14</f>
        <v>0</v>
      </c>
      <c r="P50" s="69">
        <f>SCI!P14</f>
        <v>0</v>
      </c>
      <c r="Q50" s="69">
        <f>SCI!Q14</f>
        <v>0</v>
      </c>
      <c r="R50" s="69">
        <f>SCI!R14</f>
        <v>0</v>
      </c>
      <c r="S50" s="69">
        <f>SCI!S14</f>
        <v>0</v>
      </c>
      <c r="T50" s="69">
        <f>SCI!T14</f>
        <v>0</v>
      </c>
      <c r="U50" s="69">
        <f>SCI!U14</f>
        <v>0</v>
      </c>
      <c r="V50" s="69">
        <f>SCI!V14</f>
        <v>0</v>
      </c>
      <c r="W50" s="69">
        <f>SCI!W14</f>
        <v>0</v>
      </c>
      <c r="X50" s="69">
        <f>SCI!X14</f>
        <v>0</v>
      </c>
      <c r="Y50" s="69">
        <f>SCI!Y14</f>
        <v>0</v>
      </c>
      <c r="Z50" s="69">
        <f>SCI!Z14</f>
        <v>0</v>
      </c>
      <c r="AA50" s="69">
        <f>SCI!AA14</f>
        <v>0</v>
      </c>
      <c r="AB50" s="69">
        <f>SCI!AB14</f>
        <v>0</v>
      </c>
      <c r="AC50" s="69">
        <f>SCI!AC14</f>
        <v>0</v>
      </c>
      <c r="AD50" s="69">
        <f>SCI!AD14</f>
        <v>0</v>
      </c>
      <c r="AE50" s="69">
        <f>SCI!AE14</f>
        <v>0</v>
      </c>
      <c r="AF50" s="69">
        <f>SCI!AF14</f>
        <v>0</v>
      </c>
      <c r="AG50" s="69">
        <f>SCI!AG14</f>
        <v>0</v>
      </c>
      <c r="AH50" s="69">
        <f>SCI!AH14</f>
        <v>0</v>
      </c>
      <c r="AI50" s="69">
        <f>SCI!AI14</f>
        <v>0</v>
      </c>
      <c r="AJ50" s="69">
        <f>SCI!AJ14</f>
        <v>0</v>
      </c>
      <c r="AK50" s="69">
        <f>SCI!AK14</f>
        <v>0</v>
      </c>
    </row>
    <row r="51" spans="1:37">
      <c r="A51" s="37">
        <v>10.4</v>
      </c>
      <c r="B51" s="62" t="s">
        <v>157</v>
      </c>
      <c r="C51" s="65" t="e">
        <f>SCI!B16+SCI!B18+SCI!#REF!</f>
        <v>#REF!</v>
      </c>
      <c r="D51" s="65" t="e">
        <f>SCI!C16+SCI!C18+SCI!#REF!</f>
        <v>#REF!</v>
      </c>
      <c r="E51" s="65" t="e">
        <f>SCI!D16+SCI!D18+SCI!#REF!</f>
        <v>#REF!</v>
      </c>
      <c r="F51" s="65" t="e">
        <f>SCI!E16+SCI!E18+SCI!#REF!</f>
        <v>#REF!</v>
      </c>
      <c r="G51" s="65" t="e">
        <f>SCI!F16+SCI!F18+SCI!#REF!</f>
        <v>#REF!</v>
      </c>
      <c r="H51" s="65" t="e">
        <f>SCI!G16+SCI!G18+SCI!#REF!</f>
        <v>#REF!</v>
      </c>
      <c r="I51" s="65" t="e">
        <f>SCI!H16+SCI!H18+SCI!#REF!</f>
        <v>#REF!</v>
      </c>
      <c r="J51" s="65" t="e">
        <f>SCI!I16+SCI!I18+SCI!#REF!</f>
        <v>#REF!</v>
      </c>
      <c r="K51" s="65" t="e">
        <f>SCI!J16+SCI!J18+SCI!#REF!</f>
        <v>#REF!</v>
      </c>
      <c r="L51" s="65" t="e">
        <f>SCI!K16+SCI!K18+SCI!#REF!</f>
        <v>#REF!</v>
      </c>
      <c r="M51" s="65" t="e">
        <f>SCI!L16+SCI!L18+SCI!#REF!</f>
        <v>#REF!</v>
      </c>
      <c r="N51" s="65" t="e">
        <f>SCI!M16+SCI!M18+SCI!#REF!</f>
        <v>#REF!</v>
      </c>
      <c r="O51" s="65" t="e">
        <f>SCI!O16+SCI!O18+SCI!#REF!</f>
        <v>#REF!</v>
      </c>
      <c r="P51" s="65" t="e">
        <f>SCI!P16+SCI!P18+SCI!#REF!</f>
        <v>#REF!</v>
      </c>
      <c r="Q51" s="65" t="e">
        <f>SCI!Q16+SCI!Q18+SCI!#REF!</f>
        <v>#REF!</v>
      </c>
      <c r="R51" s="65" t="e">
        <f>SCI!R16+SCI!R18+SCI!#REF!</f>
        <v>#REF!</v>
      </c>
      <c r="S51" s="65" t="e">
        <f>SCI!S16+SCI!S18+SCI!#REF!</f>
        <v>#REF!</v>
      </c>
      <c r="T51" s="65" t="e">
        <f>SCI!T16+SCI!T18+SCI!#REF!</f>
        <v>#REF!</v>
      </c>
      <c r="U51" s="65" t="e">
        <f>SCI!U16+SCI!U18+SCI!#REF!</f>
        <v>#REF!</v>
      </c>
      <c r="V51" s="65" t="e">
        <f>SCI!V16+SCI!V18+SCI!#REF!</f>
        <v>#REF!</v>
      </c>
      <c r="W51" s="65" t="e">
        <f>SCI!W16+SCI!W18+SCI!#REF!</f>
        <v>#REF!</v>
      </c>
      <c r="X51" s="65" t="e">
        <f>SCI!X16+SCI!X18+SCI!#REF!</f>
        <v>#REF!</v>
      </c>
      <c r="Y51" s="65" t="e">
        <f>SCI!Y16+SCI!Y18+SCI!#REF!</f>
        <v>#REF!</v>
      </c>
      <c r="Z51" s="65" t="e">
        <f>SCI!Z16+SCI!Z18+SCI!#REF!</f>
        <v>#REF!</v>
      </c>
      <c r="AA51" s="65" t="e">
        <f>SCI!AA16+SCI!AA18+SCI!#REF!</f>
        <v>#REF!</v>
      </c>
      <c r="AB51" s="65" t="e">
        <f>SCI!AB16+SCI!AB18+SCI!#REF!</f>
        <v>#REF!</v>
      </c>
      <c r="AC51" s="65" t="e">
        <f>SCI!AC16+SCI!AC18+SCI!#REF!</f>
        <v>#REF!</v>
      </c>
      <c r="AD51" s="65" t="e">
        <f>SCI!AD16+SCI!AD18+SCI!#REF!</f>
        <v>#REF!</v>
      </c>
      <c r="AE51" s="65" t="e">
        <f>SCI!AE16+SCI!AE18+SCI!#REF!</f>
        <v>#REF!</v>
      </c>
      <c r="AF51" s="65" t="e">
        <f>SCI!AF16+SCI!AF18+SCI!#REF!</f>
        <v>#REF!</v>
      </c>
      <c r="AG51" s="65" t="e">
        <f>SCI!AG16+SCI!AG18+SCI!#REF!</f>
        <v>#REF!</v>
      </c>
      <c r="AH51" s="65" t="e">
        <f>SCI!AH16+SCI!AH18+SCI!#REF!</f>
        <v>#REF!</v>
      </c>
      <c r="AI51" s="65" t="e">
        <f>SCI!AI16+SCI!AI18+SCI!#REF!</f>
        <v>#REF!</v>
      </c>
      <c r="AJ51" s="65" t="e">
        <f>SCI!AJ16+SCI!AJ18+SCI!#REF!</f>
        <v>#REF!</v>
      </c>
      <c r="AK51" s="65" t="e">
        <f>SCI!AK16+SCI!AK18+SCI!#REF!</f>
        <v>#REF!</v>
      </c>
    </row>
    <row r="52" spans="1:37">
      <c r="A52" s="37">
        <v>10.5</v>
      </c>
      <c r="B52" s="63" t="s">
        <v>103</v>
      </c>
      <c r="C52" s="65">
        <f>SCI!B28</f>
        <v>335617</v>
      </c>
      <c r="D52" s="65">
        <f>SCI!C28</f>
        <v>476762</v>
      </c>
      <c r="E52" s="65">
        <f>SCI!D28</f>
        <v>786786</v>
      </c>
      <c r="F52" s="65">
        <f>SCI!E28</f>
        <v>1041147</v>
      </c>
      <c r="G52" s="65">
        <f>SCI!F28</f>
        <v>1202274</v>
      </c>
      <c r="H52" s="65">
        <f>SCI!G28</f>
        <v>1301194</v>
      </c>
      <c r="I52" s="65">
        <f>SCI!H28</f>
        <v>1592875</v>
      </c>
      <c r="J52" s="65">
        <f>SCI!I28</f>
        <v>1742397.75</v>
      </c>
      <c r="K52" s="65">
        <f>SCI!J28</f>
        <v>1921711.75</v>
      </c>
      <c r="L52" s="65">
        <f>SCI!K28</f>
        <v>1921711.75</v>
      </c>
      <c r="M52" s="65">
        <f>SCI!L28</f>
        <v>2289939.75</v>
      </c>
      <c r="N52" s="65">
        <f>SCI!M28</f>
        <v>2604418.75</v>
      </c>
      <c r="O52" s="65">
        <f>SCI!O28</f>
        <v>198491</v>
      </c>
      <c r="P52" s="65">
        <f>SCI!P28</f>
        <v>408544</v>
      </c>
      <c r="Q52" s="65">
        <f>SCI!Q28</f>
        <v>800652</v>
      </c>
      <c r="R52" s="65">
        <f>SCI!R28</f>
        <v>911922</v>
      </c>
      <c r="S52" s="65">
        <f>SCI!S28</f>
        <v>1300611</v>
      </c>
      <c r="T52" s="65">
        <f>SCI!T28</f>
        <v>1544617</v>
      </c>
      <c r="U52" s="65">
        <f>SCI!U28</f>
        <v>1702261.55</v>
      </c>
      <c r="V52" s="65">
        <f>SCI!V28</f>
        <v>1834968.55</v>
      </c>
      <c r="W52" s="65">
        <f>SCI!W28</f>
        <v>1967024.55</v>
      </c>
      <c r="X52" s="65">
        <f>SCI!X28</f>
        <v>2141241.5499999998</v>
      </c>
      <c r="Y52" s="65">
        <f>SCI!Y28</f>
        <v>2354471.5499999998</v>
      </c>
      <c r="Z52" s="65">
        <f>SCI!Z28</f>
        <v>2680311.5499999998</v>
      </c>
      <c r="AA52" s="65">
        <f>SCI!AA28</f>
        <v>2863633</v>
      </c>
      <c r="AB52" s="65">
        <f>SCI!AB28</f>
        <v>514211</v>
      </c>
      <c r="AC52" s="65">
        <f>SCI!AC28</f>
        <v>802590.23</v>
      </c>
      <c r="AD52" s="65">
        <f>SCI!AD28</f>
        <v>1233240.23</v>
      </c>
      <c r="AE52" s="65">
        <f>SCI!AE28</f>
        <v>1574243.73</v>
      </c>
      <c r="AF52" s="65">
        <f>SCI!AF28</f>
        <v>1933096.5</v>
      </c>
      <c r="AG52" s="65">
        <f>SCI!AG28</f>
        <v>2223561.5</v>
      </c>
      <c r="AH52" s="65">
        <f>SCI!AH28</f>
        <v>2343283.5</v>
      </c>
      <c r="AI52" s="65">
        <f>SCI!AI28</f>
        <v>2529240.5</v>
      </c>
      <c r="AJ52" s="65">
        <f>SCI!AJ28</f>
        <v>2882420.5</v>
      </c>
      <c r="AK52" s="65">
        <f>SCI!AK28</f>
        <v>0</v>
      </c>
    </row>
    <row r="53" spans="1:37">
      <c r="A53" s="37">
        <v>10.6</v>
      </c>
      <c r="B53" s="63" t="s">
        <v>100</v>
      </c>
      <c r="C53" s="65">
        <f>SCI!B25</f>
        <v>27945</v>
      </c>
      <c r="D53" s="65">
        <f>SCI!C25</f>
        <v>71015</v>
      </c>
      <c r="E53" s="65">
        <f>SCI!D25</f>
        <v>127225</v>
      </c>
      <c r="F53" s="65">
        <f>SCI!E25</f>
        <v>160510</v>
      </c>
      <c r="G53" s="65">
        <f>SCI!F25</f>
        <v>208890</v>
      </c>
      <c r="H53" s="65">
        <f>SCI!G25</f>
        <v>287605</v>
      </c>
      <c r="I53" s="65">
        <f>SCI!H25</f>
        <v>329450</v>
      </c>
      <c r="J53" s="65">
        <f>SCI!I25</f>
        <v>353590</v>
      </c>
      <c r="K53" s="65">
        <f>SCI!J25</f>
        <v>421670</v>
      </c>
      <c r="L53" s="65">
        <f>SCI!K25</f>
        <v>421670</v>
      </c>
      <c r="M53" s="65">
        <f>SCI!L25</f>
        <v>515170</v>
      </c>
      <c r="N53" s="65">
        <f>SCI!M25</f>
        <v>561180</v>
      </c>
      <c r="O53" s="65">
        <f>SCI!O25</f>
        <v>23100</v>
      </c>
      <c r="P53" s="65">
        <f>SCI!P25</f>
        <v>56550</v>
      </c>
      <c r="Q53" s="65">
        <f>SCI!Q25</f>
        <v>143390</v>
      </c>
      <c r="R53" s="65">
        <f>SCI!R25</f>
        <v>397060</v>
      </c>
      <c r="S53" s="65">
        <f>SCI!S25</f>
        <v>454810</v>
      </c>
      <c r="T53" s="65">
        <f>SCI!T25</f>
        <v>548565</v>
      </c>
      <c r="U53" s="65">
        <f>SCI!U25</f>
        <v>708845</v>
      </c>
      <c r="V53" s="65">
        <f>SCI!V25</f>
        <v>772755</v>
      </c>
      <c r="W53" s="65">
        <f>SCI!W25</f>
        <v>822530</v>
      </c>
      <c r="X53" s="65">
        <f>SCI!X25</f>
        <v>853610</v>
      </c>
      <c r="Y53" s="65">
        <f>SCI!Y25</f>
        <v>918695</v>
      </c>
      <c r="Z53" s="65">
        <f>SCI!Z25</f>
        <v>974800</v>
      </c>
      <c r="AA53" s="65">
        <f>SCI!AA25</f>
        <v>1001200</v>
      </c>
      <c r="AB53" s="65">
        <f>SCI!AB25</f>
        <v>46460</v>
      </c>
      <c r="AC53" s="65">
        <f>SCI!AC25</f>
        <v>106725</v>
      </c>
      <c r="AD53" s="65">
        <f>SCI!AD25</f>
        <v>186565</v>
      </c>
      <c r="AE53" s="65">
        <f>SCI!AE25</f>
        <v>478520</v>
      </c>
      <c r="AF53" s="65">
        <f>SCI!AF25</f>
        <v>563305</v>
      </c>
      <c r="AG53" s="65">
        <f>SCI!AG25</f>
        <v>668125</v>
      </c>
      <c r="AH53" s="65">
        <f>SCI!AH25</f>
        <v>727315</v>
      </c>
      <c r="AI53" s="65">
        <f>SCI!AI25</f>
        <v>800495</v>
      </c>
      <c r="AJ53" s="65">
        <f>SCI!AJ25</f>
        <v>866045</v>
      </c>
      <c r="AK53" s="65">
        <f>SCI!AK25</f>
        <v>0</v>
      </c>
    </row>
    <row r="54" spans="1:37" ht="12.95" thickBot="1">
      <c r="A54" s="37"/>
      <c r="B54" s="64" t="s">
        <v>158</v>
      </c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  <c r="AJ54" s="153"/>
      <c r="AK54" s="153"/>
    </row>
    <row r="55" spans="1:37"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</row>
    <row r="56" spans="1:37">
      <c r="B56" s="25" t="s">
        <v>159</v>
      </c>
      <c r="C56" s="65">
        <f>SCI!B37</f>
        <v>12393.959999999963</v>
      </c>
      <c r="D56" s="65">
        <f>SCI!C37</f>
        <v>197439.44999999995</v>
      </c>
      <c r="E56" s="65">
        <f>SCI!D37</f>
        <v>199904.68000000017</v>
      </c>
      <c r="F56" s="65">
        <f>SCI!E37</f>
        <v>-445928.12000000034</v>
      </c>
      <c r="G56" s="65">
        <f>SCI!F37</f>
        <v>455816.10000000021</v>
      </c>
      <c r="H56" s="65">
        <f>SCI!G37</f>
        <v>1152002.8399999999</v>
      </c>
      <c r="I56" s="65">
        <f>SCI!H37</f>
        <v>1418574.3599999999</v>
      </c>
      <c r="J56" s="65">
        <f>SCI!I37</f>
        <v>2093092.1599999997</v>
      </c>
      <c r="K56" s="65">
        <f>SCI!J37</f>
        <v>2534180.9900000007</v>
      </c>
      <c r="L56" s="65">
        <f>SCI!K37</f>
        <v>2534180.9900000007</v>
      </c>
      <c r="M56" s="65">
        <f>SCI!L37</f>
        <v>3057671.310000001</v>
      </c>
      <c r="N56" s="65">
        <f>SCI!M37</f>
        <v>3450057.5899999994</v>
      </c>
      <c r="O56" s="65">
        <f>SCI!O37</f>
        <v>140940.66000000003</v>
      </c>
      <c r="P56" s="65">
        <f>SCI!P37</f>
        <v>798386.25999999989</v>
      </c>
      <c r="Q56" s="65">
        <f>SCI!Q37</f>
        <v>315209.89999999991</v>
      </c>
      <c r="R56" s="65">
        <f>SCI!R37</f>
        <v>521944.05000000005</v>
      </c>
      <c r="S56" s="65">
        <f>SCI!S37</f>
        <v>544390.5</v>
      </c>
      <c r="T56" s="65">
        <f>SCI!T37</f>
        <v>653759.48000000045</v>
      </c>
      <c r="U56" s="65">
        <f>SCI!U37</f>
        <v>852773.09999999963</v>
      </c>
      <c r="V56" s="65">
        <f>SCI!V37</f>
        <v>1312466.4500000002</v>
      </c>
      <c r="W56" s="65">
        <f>SCI!W37</f>
        <v>1483902.9100000011</v>
      </c>
      <c r="X56" s="65">
        <f>SCI!X37</f>
        <v>2452688.8999999994</v>
      </c>
      <c r="Y56" s="65">
        <f>SCI!Y37</f>
        <v>4050927.17</v>
      </c>
      <c r="Z56" s="65">
        <f>SCI!Z37</f>
        <v>4331004.76</v>
      </c>
      <c r="AA56" s="65">
        <f>SCI!AA37</f>
        <v>2855717</v>
      </c>
      <c r="AB56" s="65">
        <f>SCI!AB37</f>
        <v>68196.070000000065</v>
      </c>
      <c r="AC56" s="65">
        <f>SCI!AC37</f>
        <v>43517.969999999972</v>
      </c>
      <c r="AD56" s="65">
        <f>SCI!AD37</f>
        <v>476809.86999999965</v>
      </c>
      <c r="AE56" s="65">
        <f>SCI!AE37</f>
        <v>465631.56999999983</v>
      </c>
      <c r="AF56" s="65">
        <f>SCI!AF37</f>
        <v>948306.56999999983</v>
      </c>
      <c r="AG56" s="65">
        <f>SCI!AG37</f>
        <v>761656.37000000011</v>
      </c>
      <c r="AH56" s="65">
        <f>SCI!AH37</f>
        <v>1570691.1599999992</v>
      </c>
      <c r="AI56" s="65">
        <f>SCI!AI37</f>
        <v>2348821.6100000003</v>
      </c>
      <c r="AJ56" s="65">
        <f>SCI!AJ37</f>
        <v>2454705.13</v>
      </c>
      <c r="AK56" s="65">
        <f>SCI!AK37</f>
        <v>0</v>
      </c>
    </row>
    <row r="57" spans="1:37">
      <c r="B57" s="25" t="s">
        <v>160</v>
      </c>
      <c r="C57" s="191">
        <f>SFP!B4+SFP!B9+SFP!B10</f>
        <v>10823132.639999999</v>
      </c>
      <c r="D57" s="191">
        <f>SFP!C4+SFP!C9+SFP!C10</f>
        <v>8750063.0500000007</v>
      </c>
      <c r="E57" s="191">
        <f>SFP!D4+SFP!D9+SFP!D10</f>
        <v>10397052.34</v>
      </c>
      <c r="F57" s="191">
        <f>SFP!E4+SFP!E9+SFP!E10</f>
        <v>10542542.669999998</v>
      </c>
      <c r="G57" s="191">
        <f>SFP!F4+SFP!F9+SFP!F10</f>
        <v>12327489.689999999</v>
      </c>
      <c r="H57" s="191">
        <f>SFP!G4+SFP!G9+SFP!G10</f>
        <v>11429195.279999999</v>
      </c>
      <c r="I57" s="191">
        <f>SFP!H4+SFP!H9+SFP!H10</f>
        <v>9501091.5099999998</v>
      </c>
      <c r="J57" s="191">
        <f>SFP!I4+SFP!I9+SFP!I10</f>
        <v>13459097.59</v>
      </c>
      <c r="K57" s="191">
        <f>SFP!J4+SFP!J9+SFP!J10</f>
        <v>14218874.119999999</v>
      </c>
      <c r="L57" s="191">
        <f>SFP!K4+SFP!K9+SFP!K10</f>
        <v>15167722.109999999</v>
      </c>
      <c r="M57" s="191">
        <f>SFP!L4+SFP!L9+SFP!L10</f>
        <v>16324344.33</v>
      </c>
      <c r="N57" s="191">
        <f>SFP!M4+SFP!M9+SFP!M10</f>
        <v>16902420.890000001</v>
      </c>
      <c r="O57" s="191">
        <f>SFP!N4+SFP!N9+SFP!N10</f>
        <v>19799397</v>
      </c>
      <c r="P57" s="191">
        <f>SFP!O4+SFP!O9+SFP!O10</f>
        <v>19324856.559999999</v>
      </c>
      <c r="Q57" s="191">
        <f>SFP!P4+SFP!P9+SFP!P10</f>
        <v>19473191.559999999</v>
      </c>
      <c r="R57" s="191">
        <f>SFP!Q4+SFP!Q9+SFP!Q10</f>
        <v>19942304.030000001</v>
      </c>
      <c r="S57" s="191">
        <f>SFP!R4+SFP!R9+SFP!R10</f>
        <v>18083505.359999999</v>
      </c>
      <c r="T57" s="191">
        <f>SFP!S4+SFP!S9+SFP!S10</f>
        <v>17803565.580000002</v>
      </c>
      <c r="U57" s="191">
        <f>SFP!T4+SFP!T9+SFP!T10</f>
        <v>19537950.809999999</v>
      </c>
      <c r="V57" s="191">
        <f>SFP!U4+SFP!U9+SFP!U10</f>
        <v>17532787.580000002</v>
      </c>
      <c r="W57" s="191">
        <f>SFP!V4+SFP!V9+SFP!V10</f>
        <v>18719290.829999998</v>
      </c>
      <c r="X57" s="191">
        <f>SFP!W4+SFP!W9+SFP!W10</f>
        <v>19497063.129999999</v>
      </c>
      <c r="Y57" s="191">
        <f>SFP!X4+SFP!X9+SFP!X10</f>
        <v>19198337.629999999</v>
      </c>
      <c r="Z57" s="191">
        <f>SFP!Y4+SFP!Y9+SFP!Y10</f>
        <v>17322159.77</v>
      </c>
      <c r="AA57" s="191">
        <f>SFP!Z4+SFP!Z9+SFP!Z10</f>
        <v>17420994.699999999</v>
      </c>
      <c r="AB57" s="191">
        <f>SFP!AA4+SFP!AA9+SFP!AA10</f>
        <v>20884959</v>
      </c>
      <c r="AC57" s="191">
        <f>SFP!AB4+SFP!AB9+SFP!AB10</f>
        <v>17525624.830000002</v>
      </c>
      <c r="AD57" s="191">
        <f>SFP!AC4+SFP!AC9+SFP!AC10</f>
        <v>16766651.289999999</v>
      </c>
      <c r="AE57" s="191">
        <f>SFP!AD4+SFP!AD9+SFP!AD10</f>
        <v>15099253.640000001</v>
      </c>
      <c r="AF57" s="191">
        <f>SFP!AE4+SFP!AE9+SFP!AE10</f>
        <v>14932906.590000002</v>
      </c>
      <c r="AG57" s="191">
        <f>SFP!AF4+SFP!AF9+SFP!AF10</f>
        <v>12336982.59</v>
      </c>
      <c r="AH57" s="191">
        <f>SFP!AG4+SFP!AG9+SFP!AG10</f>
        <v>13932602.520000001</v>
      </c>
      <c r="AI57" s="191">
        <f>SFP!AH4+SFP!AH9+SFP!AH10</f>
        <v>15533727.550000001</v>
      </c>
      <c r="AJ57" s="191">
        <f>SFP!AI4+SFP!AI9+SFP!AI10</f>
        <v>14539469.350000001</v>
      </c>
      <c r="AK57" s="191">
        <f>SFP!AJ4+SFP!AJ9+SFP!AJ10</f>
        <v>14707195.270000001</v>
      </c>
    </row>
    <row r="58" spans="1:37">
      <c r="B58" s="25" t="s">
        <v>161</v>
      </c>
      <c r="C58" s="191">
        <f>SFP!B27+SFP!B28+SFP!B32+SFP!B33+SFP!B34+SFP!B35+SFP!B36</f>
        <v>6347424.7799999993</v>
      </c>
      <c r="D58" s="191">
        <f>SFP!C27+SFP!C28+SFP!C32+SFP!C33+SFP!C34+SFP!C35+SFP!C36</f>
        <v>5696986.7000000002</v>
      </c>
      <c r="E58" s="191">
        <f>SFP!D27+SFP!D28+SFP!D32+SFP!D33+SFP!D34+SFP!D35+SFP!D36</f>
        <v>6884010.7199999997</v>
      </c>
      <c r="F58" s="191">
        <f>SFP!E27+SFP!E28+SFP!E32+SFP!E33+SFP!E34+SFP!E35+SFP!E36</f>
        <v>6153023.7999999998</v>
      </c>
      <c r="G58" s="191">
        <f>SFP!F27+SFP!F28+SFP!F32+SFP!F33+SFP!F34+SFP!F35+SFP!F36</f>
        <v>6245395.1600000001</v>
      </c>
      <c r="H58" s="191">
        <f>SFP!G27+SFP!G28+SFP!G32+SFP!G33+SFP!G34+SFP!G35+SFP!G36</f>
        <v>5340278.49</v>
      </c>
      <c r="I58" s="191">
        <f>SFP!H27+SFP!H28+SFP!H32+SFP!H33+SFP!H34+SFP!H35+SFP!H36</f>
        <v>5212970.01</v>
      </c>
      <c r="J58" s="191">
        <f>SFP!I27+SFP!I28+SFP!I32+SFP!I33+SFP!I34+SFP!I35+SFP!I36</f>
        <v>4993078.7899999991</v>
      </c>
      <c r="K58" s="191">
        <f>SFP!J27+SFP!J28+SFP!J32+SFP!J33+SFP!J34+SFP!J35+SFP!J36</f>
        <v>5076489.0099999988</v>
      </c>
      <c r="L58" s="191">
        <f>SFP!K27+SFP!K28+SFP!K32+SFP!K33+SFP!K34+SFP!K35+SFP!K36</f>
        <v>5264298.62</v>
      </c>
      <c r="M58" s="191">
        <f>SFP!L27+SFP!L28+SFP!L32+SFP!L33+SFP!L34+SFP!L35+SFP!L36</f>
        <v>5728669.6899999995</v>
      </c>
      <c r="N58" s="191">
        <f>SFP!M27+SFP!M28+SFP!M32+SFP!M33+SFP!M34+SFP!M35+SFP!M36</f>
        <v>5226958.3499999996</v>
      </c>
      <c r="O58" s="191">
        <f>SFP!N27+SFP!N28+SFP!N32+SFP!N33+SFP!N34+SFP!N35+SFP!N36</f>
        <v>8117329</v>
      </c>
      <c r="P58" s="191">
        <f>SFP!O27+SFP!O28+SFP!O32+SFP!O33+SFP!O34+SFP!O35+SFP!O36</f>
        <v>4493661.79</v>
      </c>
      <c r="Q58" s="191">
        <f>SFP!P27+SFP!P28+SFP!P32+SFP!P33+SFP!P34+SFP!P35+SFP!P36</f>
        <v>4408755.9399999995</v>
      </c>
      <c r="R58" s="191">
        <f>SFP!Q27+SFP!Q28+SFP!Q32+SFP!Q33+SFP!Q34+SFP!Q35+SFP!Q36</f>
        <v>6545406.1100000003</v>
      </c>
      <c r="S58" s="191">
        <f>SFP!R27+SFP!R28+SFP!R32+SFP!R33+SFP!R34+SFP!R35+SFP!R36</f>
        <v>6230243.79</v>
      </c>
      <c r="T58" s="191">
        <f>SFP!S27+SFP!S28+SFP!S32+SFP!S33+SFP!S34+SFP!S35+SFP!S36</f>
        <v>5849481.3099999996</v>
      </c>
      <c r="U58" s="191">
        <f>SFP!T27+SFP!T28+SFP!T32+SFP!T33+SFP!T34+SFP!T35+SFP!T36</f>
        <v>5905328.5999999996</v>
      </c>
      <c r="V58" s="191">
        <f>SFP!U27+SFP!U28+SFP!U32+SFP!U33+SFP!U34+SFP!U35+SFP!U36</f>
        <v>5348706.46</v>
      </c>
      <c r="W58" s="191">
        <f>SFP!V27+SFP!V28+SFP!V32+SFP!V33+SFP!V34+SFP!V35+SFP!V36</f>
        <v>5453179.4499999993</v>
      </c>
      <c r="X58" s="191">
        <f>SFP!W27+SFP!W28+SFP!W32+SFP!W33+SFP!W34+SFP!W35+SFP!W36</f>
        <v>5419628.7400000002</v>
      </c>
      <c r="Y58" s="191">
        <f>SFP!X27+SFP!X28+SFP!X32+SFP!X33+SFP!X34+SFP!X35+SFP!X36</f>
        <v>5744321.3700000001</v>
      </c>
      <c r="Z58" s="191">
        <f>SFP!Y27+SFP!Y28+SFP!Y32+SFP!Y33+SFP!Y34+SFP!Y35+SFP!Y36</f>
        <v>5808692.1500000004</v>
      </c>
      <c r="AA58" s="191">
        <f>SFP!Z27+SFP!Z28+SFP!Z32+SFP!Z33+SFP!Z34+SFP!Z35+SFP!Z36</f>
        <v>5109289.1100000003</v>
      </c>
      <c r="AB58" s="191">
        <f>SFP!AA27+SFP!AA28+SFP!AA32+SFP!AA33+SFP!AA34+SFP!AA35+SFP!AA36</f>
        <v>8671758</v>
      </c>
      <c r="AC58" s="191">
        <f>SFP!AB27+SFP!AB28+SFP!AB32+SFP!AB33+SFP!AB34+SFP!AB35+SFP!AB36</f>
        <v>5137514.3999999994</v>
      </c>
      <c r="AD58" s="191">
        <f>SFP!AC27+SFP!AC28+SFP!AC32+SFP!AC33+SFP!AC34+SFP!AC35+SFP!AC36</f>
        <v>5417767.0200000005</v>
      </c>
      <c r="AE58" s="191">
        <f>SFP!AD27+SFP!AD28+SFP!AD32+SFP!AD33+SFP!AD34+SFP!AD35+SFP!AD36</f>
        <v>7524447.46</v>
      </c>
      <c r="AF58" s="191">
        <f>SFP!AE27+SFP!AE28+SFP!AE32+SFP!AE33+SFP!AE34+SFP!AE35+SFP!AE36</f>
        <v>6680083.6299999999</v>
      </c>
      <c r="AG58" s="191">
        <f>SFP!AF27+SFP!AF28+SFP!AF32+SFP!AF33+SFP!AF34+SFP!AF35+SFP!AF36</f>
        <v>6198655.21</v>
      </c>
      <c r="AH58" s="191">
        <f>SFP!AG27+SFP!AG28+SFP!AG32+SFP!AG33+SFP!AG34+SFP!AG35+SFP!AG36</f>
        <v>6261302.4900000002</v>
      </c>
      <c r="AI58" s="191">
        <f>SFP!AH27+SFP!AH28+SFP!AH32+SFP!AH33+SFP!AH34+SFP!AH35+SFP!AH36</f>
        <v>5527899.6099999994</v>
      </c>
      <c r="AJ58" s="191">
        <f>SFP!AI27+SFP!AI28+SFP!AI32+SFP!AI33+SFP!AI34+SFP!AI35+SFP!AI36</f>
        <v>5821462.4300000006</v>
      </c>
      <c r="AK58" s="191">
        <f>SFP!AJ27+SFP!AJ28+SFP!AJ32+SFP!AJ33+SFP!AJ34+SFP!AJ35+SFP!AJ36</f>
        <v>4961403.7700000005</v>
      </c>
    </row>
    <row r="59" spans="1:37">
      <c r="C59" s="191">
        <f>(SFP!B39+SFP!B40+SFP!B42+(0.5*SFP!B43)+SFP!B45+SFP!B46)</f>
        <v>13810322.885000002</v>
      </c>
      <c r="D59" s="191">
        <f>(SFP!C39+SFP!C40+SFP!C42+(0.5*SFP!C43)+SFP!C45+SFP!C46)</f>
        <v>13915096.42</v>
      </c>
      <c r="E59" s="191">
        <f>(SFP!D39+SFP!D40+SFP!D42+(0.5*SFP!D43)+SFP!D45+SFP!D46)</f>
        <v>13202331.18</v>
      </c>
      <c r="F59" s="191">
        <f>(SFP!E39+SFP!E40+SFP!E42+(0.5*SFP!E43)+SFP!E45+SFP!E46)</f>
        <v>12888614.775</v>
      </c>
      <c r="G59" s="191">
        <f>(SFP!F39+SFP!F40+SFP!F42+(0.5*SFP!F43)+SFP!F45+SFP!F46)</f>
        <v>13346435.57</v>
      </c>
      <c r="H59" s="191">
        <f>(SFP!G39+SFP!G40+SFP!G42+(0.5*SFP!G43)+SFP!G45+SFP!G46)</f>
        <v>13797609.27</v>
      </c>
      <c r="I59" s="191">
        <f>(SFP!H39+SFP!H40+SFP!H42+(0.5*SFP!H43)+SFP!H45+SFP!H46)</f>
        <v>13953076.74</v>
      </c>
      <c r="J59" s="191">
        <f>(SFP!I39+SFP!I40+SFP!I42+(0.5*SFP!I43)+SFP!I45+SFP!I46)</f>
        <v>14304638.83</v>
      </c>
      <c r="K59" s="191">
        <f>(SFP!J39+SFP!J40+SFP!J42+(0.5*SFP!J43)+SFP!J45+SFP!J46)</f>
        <v>14552581.98</v>
      </c>
      <c r="L59" s="191">
        <f>(SFP!K39+SFP!K40+SFP!K42+(0.5*SFP!K43)+SFP!K45+SFP!K46)</f>
        <v>14711673.16</v>
      </c>
      <c r="M59" s="191">
        <f>(SFP!L39+SFP!L40+SFP!L42+(0.5*SFP!L43)+SFP!L45+SFP!L46)</f>
        <v>14850956.01</v>
      </c>
      <c r="N59" s="191">
        <f>(SFP!M39+SFP!M40+SFP!M42+(0.5*SFP!M43)+SFP!M45+SFP!M46)</f>
        <v>15210026.549999999</v>
      </c>
      <c r="O59" s="191">
        <f>(SFP!N39+SFP!N40+SFP!N42+(0.5*SFP!N43)+SFP!N45+SFP!N46)</f>
        <v>14541733</v>
      </c>
      <c r="P59" s="191">
        <f>(SFP!O40+SFP!O42+SFP!O45+(0.5*SFP!O46)+SFP!O48+SFP!O49)</f>
        <v>6746108.7000000002</v>
      </c>
      <c r="Q59" s="191">
        <f>(SFP!P40+SFP!P42+SFP!P45+(0.5*SFP!P46)+SFP!P48+SFP!P49)</f>
        <v>6744153.0700000003</v>
      </c>
      <c r="R59" s="191">
        <f>(SFP!Q40+SFP!Q42+SFP!Q45+(0.5*SFP!Q46)+SFP!Q48+SFP!Q49)</f>
        <v>4906830</v>
      </c>
      <c r="S59" s="191">
        <f>(SFP!R40+SFP!R42+SFP!R45+(0.5*SFP!R46)+SFP!R48+SFP!R49)</f>
        <v>4906830</v>
      </c>
      <c r="T59" s="191">
        <f>(SFP!S40+SFP!S42+SFP!S45+(0.5*SFP!S46)+SFP!S48+SFP!S49)</f>
        <v>4906827.87</v>
      </c>
      <c r="U59" s="191">
        <f>(SFP!T40+SFP!T42+SFP!T45+(0.5*SFP!T46)+SFP!T48+SFP!T49)</f>
        <v>4906827.87</v>
      </c>
      <c r="V59" s="191">
        <f>(SFP!U40+SFP!U42+SFP!U45+(0.5*SFP!U46)+SFP!U48+SFP!U49)</f>
        <v>4906827.87</v>
      </c>
      <c r="W59" s="191">
        <f>(SFP!V40+SFP!V42+SFP!V45+(0.5*SFP!V46)+SFP!V48+SFP!V49)</f>
        <v>4906827.87</v>
      </c>
      <c r="X59" s="191">
        <f>(SFP!W40+SFP!W42+SFP!W45+(0.5*SFP!W46)+SFP!W48+SFP!W49)</f>
        <v>4906827.87</v>
      </c>
      <c r="Y59" s="191">
        <f>(SFP!X40+SFP!X42+SFP!X45+(0.5*SFP!X46)+SFP!X48+SFP!X49)</f>
        <v>4906827.87</v>
      </c>
      <c r="Z59" s="191">
        <f>(SFP!Y40+SFP!Y42+SFP!Y45+(0.5*SFP!Y46)+SFP!Y48+SFP!Y49)</f>
        <v>4906827.87</v>
      </c>
      <c r="AA59" s="191">
        <f>(SFP!Z40+SFP!Z42+SFP!Z45+(0.5*SFP!Z46)+SFP!Z48+SFP!Z49)</f>
        <v>4906827.87</v>
      </c>
      <c r="AB59" s="191">
        <f>(SFP!AA40+SFP!AA42+SFP!AA45+(0.5*SFP!AA46)+SFP!AA48+SFP!AA49)</f>
        <v>5467434</v>
      </c>
      <c r="AC59" s="191">
        <f>(SFP!AB40+SFP!AB42+SFP!AB45+(0.5*SFP!AB46)+SFP!AB48+SFP!AB49)</f>
        <v>9237834.7699999996</v>
      </c>
      <c r="AD59" s="191">
        <f>(SFP!AC40+SFP!AC42+SFP!AC45+(0.5*SFP!AC46)+SFP!AC48+SFP!AC49)</f>
        <v>9237834.7699999996</v>
      </c>
      <c r="AE59" s="191">
        <f>(SFP!AD40+SFP!AD42+SFP!AD45+(0.5*SFP!AD46)+SFP!AD48+SFP!AD49)</f>
        <v>6993806.6400000006</v>
      </c>
      <c r="AF59" s="191">
        <f>(SFP!AE40+SFP!AE42+SFP!AE45+(0.5*SFP!AE46)+SFP!AE48+SFP!AE49)</f>
        <v>6993806.6400000006</v>
      </c>
      <c r="AG59" s="191">
        <f>(SFP!AF40+SFP!AF42+SFP!AF45+(0.5*SFP!AF46)+SFP!AF48+SFP!AF49)</f>
        <v>6993806.6400000006</v>
      </c>
      <c r="AH59" s="191">
        <f>(SFP!AG40+SFP!AG42+SFP!AG45+(0.5*SFP!AG46)+SFP!AG48+SFP!AG49)</f>
        <v>6993806.6400000006</v>
      </c>
      <c r="AI59" s="191">
        <f>(SFP!AH40+SFP!AH42+SFP!AH45+(0.5*SFP!AH46)+SFP!AH48+SFP!AH49)</f>
        <v>6993806.6400000006</v>
      </c>
      <c r="AJ59" s="191">
        <f>(SFP!AI40+SFP!AI42+SFP!AI45+(0.5*SFP!AI46)+SFP!AI48+SFP!AI49)</f>
        <v>6993806.6400000006</v>
      </c>
      <c r="AK59" s="191">
        <f>(SFP!AJ40+SFP!AJ42+SFP!AJ45+(0.5*SFP!AJ46)+SFP!AJ48+SFP!AJ49)</f>
        <v>6993806.6400000006</v>
      </c>
    </row>
  </sheetData>
  <pageMargins left="0.7" right="0.7" top="0.75" bottom="0.75" header="0.3" footer="0.3"/>
  <pageSetup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K79"/>
  <sheetViews>
    <sheetView workbookViewId="0">
      <pane xSplit="2" ySplit="4" topLeftCell="AH52" activePane="bottomRight" state="frozen"/>
      <selection pane="bottomRight" activeCell="AI4" sqref="AI4:AK59"/>
      <selection pane="bottomLeft" activeCell="A5" sqref="A5"/>
      <selection pane="topRight" activeCell="E1" sqref="E1"/>
    </sheetView>
  </sheetViews>
  <sheetFormatPr defaultColWidth="9.140625" defaultRowHeight="12.6"/>
  <cols>
    <col min="1" max="1" width="34" style="1" customWidth="1"/>
    <col min="2" max="2" width="10.42578125" style="2" bestFit="1" customWidth="1"/>
    <col min="3" max="3" width="11.5703125" style="1" customWidth="1"/>
    <col min="4" max="4" width="0.42578125" style="1" customWidth="1"/>
    <col min="5" max="5" width="7.140625" style="1" customWidth="1"/>
    <col min="6" max="6" width="0.140625" style="1" customWidth="1"/>
    <col min="7" max="7" width="7.140625" style="1" hidden="1" customWidth="1"/>
    <col min="8" max="8" width="7.140625" style="1" bestFit="1" customWidth="1"/>
    <col min="9" max="9" width="0.42578125" style="1" customWidth="1"/>
    <col min="10" max="10" width="7.140625" style="1" hidden="1" customWidth="1"/>
    <col min="11" max="11" width="9.140625" style="1" customWidth="1"/>
    <col min="12" max="12" width="0.140625" style="1" customWidth="1"/>
    <col min="13" max="13" width="8.5703125" style="1" hidden="1" customWidth="1"/>
    <col min="14" max="14" width="8.42578125" style="1" hidden="1" customWidth="1"/>
    <col min="15" max="15" width="12.85546875" style="1" customWidth="1"/>
    <col min="16" max="16384" width="9.140625" style="1"/>
  </cols>
  <sheetData>
    <row r="1" spans="1:37">
      <c r="A1" s="113" t="s">
        <v>162</v>
      </c>
    </row>
    <row r="2" spans="1:37" ht="12.95" thickBot="1">
      <c r="A2" s="3" t="s">
        <v>163</v>
      </c>
    </row>
    <row r="3" spans="1:37" s="3" customFormat="1" ht="15" customHeight="1">
      <c r="A3" s="4"/>
      <c r="B3" s="70"/>
    </row>
    <row r="4" spans="1:37" s="3" customFormat="1" ht="12.75">
      <c r="A4" s="5" t="s">
        <v>164</v>
      </c>
      <c r="B4" s="71" t="s">
        <v>165</v>
      </c>
      <c r="C4" s="159" t="s">
        <v>2</v>
      </c>
      <c r="D4" s="159" t="s">
        <v>3</v>
      </c>
      <c r="E4" s="159" t="s">
        <v>4</v>
      </c>
      <c r="F4" s="159" t="s">
        <v>5</v>
      </c>
      <c r="G4" s="159" t="s">
        <v>6</v>
      </c>
      <c r="H4" s="159" t="s">
        <v>7</v>
      </c>
      <c r="I4" s="159" t="s">
        <v>8</v>
      </c>
      <c r="J4" s="159" t="s">
        <v>9</v>
      </c>
      <c r="K4" s="159" t="s">
        <v>10</v>
      </c>
      <c r="L4" s="159" t="s">
        <v>11</v>
      </c>
      <c r="M4" s="159" t="s">
        <v>12</v>
      </c>
      <c r="N4" s="159" t="s">
        <v>13</v>
      </c>
      <c r="O4" s="159" t="s">
        <v>14</v>
      </c>
      <c r="P4" s="250">
        <v>44562</v>
      </c>
      <c r="Q4" s="250">
        <v>44593</v>
      </c>
      <c r="R4" s="250">
        <v>44621</v>
      </c>
      <c r="S4" s="250">
        <v>44652</v>
      </c>
      <c r="T4" s="250">
        <v>44682</v>
      </c>
      <c r="U4" s="250">
        <v>44713</v>
      </c>
      <c r="V4" s="250">
        <v>44743</v>
      </c>
      <c r="W4" s="250">
        <v>44774</v>
      </c>
      <c r="X4" s="250">
        <v>44805</v>
      </c>
      <c r="Y4" s="250">
        <v>44835</v>
      </c>
      <c r="Z4" s="250">
        <v>44866</v>
      </c>
      <c r="AA4" s="250">
        <v>44896</v>
      </c>
      <c r="AB4" s="250" t="s">
        <v>15</v>
      </c>
      <c r="AC4" s="250">
        <v>44927</v>
      </c>
      <c r="AD4" s="250">
        <v>44958</v>
      </c>
      <c r="AE4" s="250">
        <v>44986</v>
      </c>
      <c r="AF4" s="250">
        <v>45017</v>
      </c>
      <c r="AG4" s="250">
        <v>45047</v>
      </c>
      <c r="AH4" s="250">
        <v>45078</v>
      </c>
      <c r="AI4" s="250">
        <v>45108</v>
      </c>
      <c r="AJ4" s="250">
        <v>45139</v>
      </c>
      <c r="AK4" s="250">
        <v>45170</v>
      </c>
    </row>
    <row r="5" spans="1:37" s="3" customFormat="1" ht="12.75">
      <c r="A5" s="6" t="s">
        <v>166</v>
      </c>
      <c r="B5" s="72"/>
    </row>
    <row r="6" spans="1:37" s="3" customFormat="1" ht="12.75">
      <c r="A6" s="8" t="s">
        <v>167</v>
      </c>
      <c r="B6" s="72" t="s">
        <v>168</v>
      </c>
      <c r="C6" s="86">
        <f>Financials!C14/1000000</f>
        <v>13.83301964</v>
      </c>
      <c r="D6" s="86">
        <f>Financials!D14/1000000</f>
        <v>14.036750919999999</v>
      </c>
      <c r="E6" s="86">
        <f>Financials!E14/1000000</f>
        <v>13.332836500000001</v>
      </c>
      <c r="F6" s="86">
        <f>Financials!F14/1000000</f>
        <v>12.706988730000001</v>
      </c>
      <c r="G6" s="86">
        <f>Financials!G14/1000000</f>
        <v>13.622630320000001</v>
      </c>
      <c r="H6" s="86">
        <f>Financials!H14/1000000</f>
        <v>14.515737720000001</v>
      </c>
      <c r="I6" s="86">
        <f>Financials!I14/1000000</f>
        <v>14.825099160000001</v>
      </c>
      <c r="J6" s="86">
        <f>Financials!J14/1000000</f>
        <v>15.48736418</v>
      </c>
      <c r="K6" s="86">
        <f>Financials!K14/1000000</f>
        <v>15.970250480000001</v>
      </c>
      <c r="L6" s="86">
        <f>Financials!L14/1000000</f>
        <v>16.280598510000001</v>
      </c>
      <c r="M6" s="86">
        <f>Financials!M14/1000000</f>
        <v>16.55116421</v>
      </c>
      <c r="N6" s="86">
        <f>Financials!N14/1000000</f>
        <v>17.1175429</v>
      </c>
      <c r="O6" s="86">
        <f>Financials!O14/1000000</f>
        <v>11.808712</v>
      </c>
      <c r="P6" s="86">
        <f>Financials!P14/1000000</f>
        <v>17.293522620000001</v>
      </c>
      <c r="Q6" s="86">
        <f>Financials!Q14/1000000</f>
        <v>17.954213030000002</v>
      </c>
      <c r="R6" s="86">
        <f>Financials!R14/1000000</f>
        <v>15.647713640000001</v>
      </c>
      <c r="S6" s="86">
        <f>Financials!S14/1000000</f>
        <v>15.87244784</v>
      </c>
      <c r="T6" s="86">
        <f>Financials!T14/1000000</f>
        <v>15.91838007</v>
      </c>
      <c r="U6" s="86">
        <f>Financials!U14/1000000</f>
        <v>16.051852870000001</v>
      </c>
      <c r="V6" s="86">
        <f>Financials!V14/1000000</f>
        <v>16.427343060000002</v>
      </c>
      <c r="W6" s="86">
        <f>Financials!W14/1000000</f>
        <v>16.930401660000001</v>
      </c>
      <c r="X6" s="86">
        <f>Financials!X14/1000000</f>
        <v>17.128356060000002</v>
      </c>
      <c r="Y6" s="86">
        <f>Financials!Y14/1000000</f>
        <v>18.117907389999999</v>
      </c>
      <c r="Z6" s="86">
        <f>Financials!Z14/1000000</f>
        <v>19.752366649999999</v>
      </c>
      <c r="AA6" s="86">
        <f>Financials!AA14/1000000</f>
        <v>20.058664259999997</v>
      </c>
      <c r="AB6" s="86">
        <f>Financials!AB14/1000000</f>
        <v>17.814640000000001</v>
      </c>
      <c r="AC6" s="86">
        <f>Financials!AC14/1000000</f>
        <v>20.153946989999998</v>
      </c>
      <c r="AD6" s="86">
        <f>Financials!AD14/1000000</f>
        <v>20.165747</v>
      </c>
      <c r="AE6" s="86">
        <f>Financials!AE14/1000000</f>
        <v>18.39056661</v>
      </c>
      <c r="AF6" s="86">
        <f>Financials!AF14/1000000</f>
        <v>18.451675329999997</v>
      </c>
      <c r="AG6" s="86">
        <f>Financials!AG14/1000000</f>
        <v>18.984952289999999</v>
      </c>
      <c r="AH6" s="86">
        <f>Financials!AH14/1000000</f>
        <v>0.76165638000000002</v>
      </c>
      <c r="AI6" s="86">
        <f>Financials!AI14/1000000</f>
        <v>1.5706911100000001</v>
      </c>
      <c r="AJ6" s="86">
        <f>Financials!AJ14/1000000</f>
        <v>2.3488216899999999</v>
      </c>
      <c r="AK6" s="86">
        <f>Financials!AK14/1000000</f>
        <v>2.4547050800000001</v>
      </c>
    </row>
    <row r="7" spans="1:37" s="3" customFormat="1" ht="12.75">
      <c r="A7" s="8" t="s">
        <v>169</v>
      </c>
      <c r="B7" s="72" t="s">
        <v>170</v>
      </c>
      <c r="C7" s="87">
        <f>Financials!C14/Financials!C5</f>
        <v>0.21906029013957237</v>
      </c>
      <c r="D7" s="87">
        <f>Financials!D14/Financials!D5</f>
        <v>0.22275825071964181</v>
      </c>
      <c r="E7" s="87">
        <f>Financials!E14/Financials!E5</f>
        <v>0.2109708837891047</v>
      </c>
      <c r="F7" s="87">
        <f>Financials!F14/Financials!F5</f>
        <v>0.20557807408181744</v>
      </c>
      <c r="G7" s="87">
        <f>Financials!G14/Financials!G5</f>
        <v>0.2164963761796603</v>
      </c>
      <c r="H7" s="87">
        <f>Financials!H14/Financials!H5</f>
        <v>0.23045300132760063</v>
      </c>
      <c r="I7" s="87">
        <f>Financials!I14/Financials!I5</f>
        <v>0.2335389205259091</v>
      </c>
      <c r="J7" s="87">
        <f>Financials!J14/Financials!J5</f>
        <v>0.24182064101056414</v>
      </c>
      <c r="K7" s="87">
        <f>Financials!K14/Financials!K5</f>
        <v>0.24760614175389167</v>
      </c>
      <c r="L7" s="87">
        <f>Financials!L14/Financials!L5</f>
        <v>0.24994916258544411</v>
      </c>
      <c r="M7" s="87">
        <f>Financials!M14/Financials!M5</f>
        <v>0.25112435436803854</v>
      </c>
      <c r="N7" s="87">
        <f>Financials!N14/Financials!N5</f>
        <v>0.2585573379338772</v>
      </c>
      <c r="O7" s="87">
        <f>Financials!O14/Financials!O5</f>
        <v>0.17879550213493911</v>
      </c>
      <c r="P7" s="87">
        <f>Financials!P14/Financials!P5</f>
        <v>0.26253704988070858</v>
      </c>
      <c r="Q7" s="87">
        <f>Financials!Q14/Financials!Q5</f>
        <v>0.26820720785304275</v>
      </c>
      <c r="R7" s="87">
        <f>Financials!R14/Financials!R5</f>
        <v>0.23302057876015145</v>
      </c>
      <c r="S7" s="87">
        <f>Financials!S14/Financials!S5</f>
        <v>0.23283876340765769</v>
      </c>
      <c r="T7" s="87">
        <f>Financials!T14/Financials!T5</f>
        <v>0.23503212485394342</v>
      </c>
      <c r="U7" s="87">
        <f>Financials!U14/Financials!U5</f>
        <v>0.23700975253839765</v>
      </c>
      <c r="V7" s="87">
        <f>Financials!V14/Financials!V5</f>
        <v>0.23717887365842652</v>
      </c>
      <c r="W7" s="87">
        <f>Financials!W14/Financials!W5</f>
        <v>0.24148145066011223</v>
      </c>
      <c r="X7" s="87">
        <f>Financials!X14/Financials!X5</f>
        <v>0.24279105639646348</v>
      </c>
      <c r="Y7" s="87">
        <f>Financials!Y14/Financials!Y5</f>
        <v>0.25087945534330774</v>
      </c>
      <c r="Z7" s="87">
        <f>Financials!Z14/Financials!Z5</f>
        <v>0.26573840181805597</v>
      </c>
      <c r="AA7" s="87">
        <f>Financials!AA14/Financials!AA5</f>
        <v>0.26933014821070023</v>
      </c>
      <c r="AB7" s="87">
        <f>Financials!AB14/Financials!AB5</f>
        <v>0.23901996934129591</v>
      </c>
      <c r="AC7" s="87">
        <f>Financials!AC14/Financials!AC5</f>
        <v>0.26934461792227676</v>
      </c>
      <c r="AD7" s="87">
        <f>Financials!AD14/Financials!AD5</f>
        <v>0.26857682230979618</v>
      </c>
      <c r="AE7" s="87">
        <f>Financials!AE14/Financials!AE5</f>
        <v>0.24301697111397375</v>
      </c>
      <c r="AF7" s="87">
        <f>Financials!AF14/Financials!AF5</f>
        <v>0.24689754571681496</v>
      </c>
      <c r="AG7" s="87">
        <f>Financials!AG14/Financials!AG5</f>
        <v>0.25268463818092024</v>
      </c>
      <c r="AH7" s="87">
        <f>Financials!AH14/Financials!AH5</f>
        <v>1.010680778094619E-2</v>
      </c>
      <c r="AI7" s="87">
        <f>Financials!AI14/Financials!AI5</f>
        <v>2.0586459979350456E-2</v>
      </c>
      <c r="AJ7" s="87">
        <f>Financials!AJ14/Financials!AJ5</f>
        <v>3.0217389520403728E-2</v>
      </c>
      <c r="AK7" s="87">
        <f>Financials!AK14/Financials!AK5</f>
        <v>3.1644162195172874E-2</v>
      </c>
    </row>
    <row r="8" spans="1:37" s="3" customFormat="1" ht="12.75">
      <c r="A8" s="8" t="s">
        <v>171</v>
      </c>
      <c r="B8" s="72" t="s">
        <v>172</v>
      </c>
      <c r="C8" s="87">
        <f>Financials!C14/Financials!C6</f>
        <v>0.28672526296981143</v>
      </c>
      <c r="D8" s="87">
        <f>Financials!D14/Financials!D6</f>
        <v>0.29277307508790651</v>
      </c>
      <c r="E8" s="87">
        <f>Financials!E14/Financials!E6</f>
        <v>0.27746168009250449</v>
      </c>
      <c r="F8" s="87">
        <f>Financials!F14/Financials!F6</f>
        <v>0.26726449345436465</v>
      </c>
      <c r="G8" s="87">
        <f>Financials!G14/Financials!G6</f>
        <v>0.28471962949193913</v>
      </c>
      <c r="H8" s="87">
        <f>Financials!H14/Financials!H6</f>
        <v>0.3077673462329632</v>
      </c>
      <c r="I8" s="87">
        <f>Financials!I14/Financials!I6</f>
        <v>0.31319463373271583</v>
      </c>
      <c r="J8" s="87">
        <f>Financials!J14/Financials!J6</f>
        <v>0.3247060416086921</v>
      </c>
      <c r="K8" s="87">
        <f>Financials!K14/Financials!K6</f>
        <v>0.33513377489073715</v>
      </c>
      <c r="L8" s="87">
        <f>Financials!L14/Financials!L6</f>
        <v>0.33927439737302312</v>
      </c>
      <c r="M8" s="87">
        <f>Financials!M14/Financials!M6</f>
        <v>0.34132143732312253</v>
      </c>
      <c r="N8" s="87">
        <f>Financials!N14/Financials!N6</f>
        <v>0.35085092763400005</v>
      </c>
      <c r="O8" s="87">
        <f>Financials!O14/Financials!O6</f>
        <v>0.24818213032050659</v>
      </c>
      <c r="P8" s="87">
        <f>Financials!P14/Financials!P6</f>
        <v>0.35813498538691269</v>
      </c>
      <c r="Q8" s="87">
        <f>Financials!Q14/Financials!Q6</f>
        <v>0.36883107762775935</v>
      </c>
      <c r="R8" s="87">
        <f>Financials!R14/Financials!R6</f>
        <v>0.31533390301584208</v>
      </c>
      <c r="S8" s="87">
        <f>Financials!S14/Financials!S6</f>
        <v>0.31314638373273951</v>
      </c>
      <c r="T8" s="87">
        <f>Financials!T14/Financials!T6</f>
        <v>0.31354099725339146</v>
      </c>
      <c r="U8" s="87">
        <f>Financials!U14/Financials!U6</f>
        <v>0.31573117287549896</v>
      </c>
      <c r="V8" s="87">
        <f>Financials!V14/Financials!V6</f>
        <v>0.32028183434510588</v>
      </c>
      <c r="W8" s="87">
        <f>Financials!W14/Financials!W6</f>
        <v>0.32784846453517807</v>
      </c>
      <c r="X8" s="87">
        <f>Financials!X14/Financials!X6</f>
        <v>0.33015987004366543</v>
      </c>
      <c r="Y8" s="87">
        <f>Financials!Y14/Financials!Y6</f>
        <v>0.34474148353325146</v>
      </c>
      <c r="Z8" s="87">
        <f>Financials!Z14/Financials!Z6</f>
        <v>0.3724216149187542</v>
      </c>
      <c r="AA8" s="87">
        <f>Financials!AA14/Financials!AA6</f>
        <v>0.37916474808373779</v>
      </c>
      <c r="AB8" s="87">
        <f>Financials!AB14/Financials!AB6</f>
        <v>0.34496635411160376</v>
      </c>
      <c r="AC8" s="87">
        <f>Financials!AC14/Financials!AC6</f>
        <v>0.37921865207843608</v>
      </c>
      <c r="AD8" s="87">
        <f>Financials!AD14/Financials!AD6</f>
        <v>0.3777773668746377</v>
      </c>
      <c r="AE8" s="87">
        <f>Financials!AE14/Financials!AE6</f>
        <v>0.34340969389435511</v>
      </c>
      <c r="AF8" s="87">
        <f>Financials!AF14/Financials!AF6</f>
        <v>0.3448525364731338</v>
      </c>
      <c r="AG8" s="87">
        <f>Financials!AG14/Financials!AG6</f>
        <v>0.35334724039104004</v>
      </c>
      <c r="AH8" s="87">
        <f>Financials!AH14/Financials!AH6</f>
        <v>1.4047709724109307E-2</v>
      </c>
      <c r="AI8" s="87">
        <f>Financials!AI14/Financials!AI6</f>
        <v>2.8623454413438873E-2</v>
      </c>
      <c r="AJ8" s="87">
        <f>Financials!AJ14/Financials!AJ6</f>
        <v>4.233981506473402E-2</v>
      </c>
      <c r="AK8" s="87">
        <f>Financials!AK14/Financials!AK6</f>
        <v>4.4483790558971885E-2</v>
      </c>
    </row>
    <row r="9" spans="1:37" s="3" customFormat="1" ht="12.75">
      <c r="A9" s="10" t="s">
        <v>173</v>
      </c>
      <c r="B9" s="72" t="s">
        <v>174</v>
      </c>
      <c r="C9" s="87">
        <f>Financials!C18/Financials!C5</f>
        <v>0.15891229868744824</v>
      </c>
      <c r="D9" s="87">
        <f>Financials!D18/Financials!D5</f>
        <v>0.15934178450719258</v>
      </c>
      <c r="E9" s="87">
        <f>Financials!E18/Financials!E5</f>
        <v>0.15887886931663156</v>
      </c>
      <c r="F9" s="87">
        <f>Financials!F18/Financials!F5</f>
        <v>0.16241709290361001</v>
      </c>
      <c r="G9" s="87">
        <f>Financials!G18/Financials!G5</f>
        <v>0.15954648642335997</v>
      </c>
      <c r="H9" s="87">
        <f>Financials!H18/Financials!H5</f>
        <v>0.15952927050570384</v>
      </c>
      <c r="I9" s="87">
        <f>Financials!I18/Financials!I5</f>
        <v>0.15831672104388067</v>
      </c>
      <c r="J9" s="87">
        <f>Financials!J18/Financials!J5</f>
        <v>0.15755894672498272</v>
      </c>
      <c r="K9" s="87">
        <f>Financials!K18/Financials!K5</f>
        <v>0.15665203363367433</v>
      </c>
      <c r="L9" s="87">
        <f>Financials!L18/Financials!L5</f>
        <v>0.15524023270372644</v>
      </c>
      <c r="M9" s="87">
        <f>Financials!M18/Financials!M5</f>
        <v>0.15354183049958936</v>
      </c>
      <c r="N9" s="87">
        <f>Financials!N18/Financials!N5</f>
        <v>0.15514812488157886</v>
      </c>
      <c r="O9" s="87">
        <f>Financials!O18/Financials!O5</f>
        <v>0.15551960278783039</v>
      </c>
      <c r="P9" s="87">
        <f>Financials!P18/Financials!P5</f>
        <v>0.15646500330268323</v>
      </c>
      <c r="Q9" s="87">
        <f>Financials!Q18/Financials!Q5</f>
        <v>0.1540399025096682</v>
      </c>
      <c r="R9" s="87">
        <f>Financials!R18/Financials!R5</f>
        <v>0.15376652005970012</v>
      </c>
      <c r="S9" s="87">
        <f>Financials!S18/Financials!S5</f>
        <v>0.15173514692376835</v>
      </c>
      <c r="T9" s="87">
        <f>Financials!T18/Financials!T5</f>
        <v>0.153069347027811</v>
      </c>
      <c r="U9" s="87">
        <f>Financials!U18/Financials!U5</f>
        <v>0.15342971804697297</v>
      </c>
      <c r="V9" s="87">
        <f>Financials!V18/Financials!V5</f>
        <v>0.15257763547767345</v>
      </c>
      <c r="W9" s="87">
        <f>Financials!W18/Financials!W5</f>
        <v>0.1513481851201155</v>
      </c>
      <c r="X9" s="87">
        <f>Financials!X18/Financials!X5</f>
        <v>0.15078623165388949</v>
      </c>
      <c r="Y9" s="87">
        <f>Financials!Y18/Financials!Y5</f>
        <v>0.14758720066411707</v>
      </c>
      <c r="Z9" s="87">
        <f>Financials!Z18/Financials!Z5</f>
        <v>0.14387992336926422</v>
      </c>
      <c r="AA9" s="87">
        <f>Financials!AA18/Financials!AA5</f>
        <v>0.14394992267329376</v>
      </c>
      <c r="AB9" s="87">
        <f>Financials!AB18/Financials!AB5</f>
        <v>0.14384197131983492</v>
      </c>
      <c r="AC9" s="87">
        <f>Financials!AC18/Financials!AC5</f>
        <v>0.14363902903977802</v>
      </c>
      <c r="AD9" s="87">
        <f>Financials!AD18/Financials!AD5</f>
        <v>0.1436315911063431</v>
      </c>
      <c r="AE9" s="87">
        <f>Financials!AE18/Financials!AE5</f>
        <v>0.14297718899469652</v>
      </c>
      <c r="AF9" s="87">
        <f>Financials!AF18/Financials!AF5</f>
        <v>0.14574647431965554</v>
      </c>
      <c r="AG9" s="87">
        <f>Financials!AG18/Financials!AG5</f>
        <v>0.14564626310912113</v>
      </c>
      <c r="AH9" s="87">
        <f>Financials!AH18/Financials!AH5</f>
        <v>0</v>
      </c>
      <c r="AI9" s="87">
        <f>Financials!AI18/Financials!AI5</f>
        <v>0</v>
      </c>
      <c r="AJ9" s="87">
        <f>Financials!AJ18/Financials!AJ5</f>
        <v>0</v>
      </c>
      <c r="AK9" s="87">
        <f>Financials!AK18/Financials!AK5</f>
        <v>0</v>
      </c>
    </row>
    <row r="10" spans="1:37" s="3" customFormat="1" ht="12.75">
      <c r="A10" s="10" t="s">
        <v>175</v>
      </c>
      <c r="B10" s="72" t="s">
        <v>172</v>
      </c>
      <c r="C10" s="87">
        <f>Financials!C15/Financials!C5</f>
        <v>6.0147991452124114E-2</v>
      </c>
      <c r="D10" s="87">
        <f>Financials!D15/Financials!D5</f>
        <v>6.341646621244923E-2</v>
      </c>
      <c r="E10" s="87">
        <f>Financials!E15/Financials!E5</f>
        <v>5.2092014472473129E-2</v>
      </c>
      <c r="F10" s="87">
        <f>Financials!F15/Financials!F5</f>
        <v>4.3160981178207429E-2</v>
      </c>
      <c r="G10" s="87">
        <f>Financials!G15/Financials!G5</f>
        <v>5.6949889756300345E-2</v>
      </c>
      <c r="H10" s="87">
        <f>Financials!H15/Financials!H5</f>
        <v>7.0923730821896805E-2</v>
      </c>
      <c r="I10" s="87">
        <f>Financials!I15/Financials!I5</f>
        <v>7.5222199482028435E-2</v>
      </c>
      <c r="J10" s="87">
        <f>Financials!J15/Financials!J5</f>
        <v>8.4261694285581404E-2</v>
      </c>
      <c r="K10" s="87">
        <f>Financials!K15/Financials!K5</f>
        <v>9.0954108120217342E-2</v>
      </c>
      <c r="L10" s="87">
        <f>Financials!L15/Financials!L5</f>
        <v>9.4708929881717682E-2</v>
      </c>
      <c r="M10" s="87">
        <f>Financials!M15/Financials!M5</f>
        <v>9.7582523868449164E-2</v>
      </c>
      <c r="N10" s="87">
        <f>Financials!N15/Financials!N5</f>
        <v>0.10340921305229835</v>
      </c>
      <c r="O10" s="87">
        <f>Financials!O15/Financials!O5</f>
        <v>7.5808325578122074E-2</v>
      </c>
      <c r="P10" s="87">
        <f>Financials!P15/Financials!P5</f>
        <v>0.10607204657802534</v>
      </c>
      <c r="Q10" s="87">
        <f>Financials!Q15/Financials!Q5</f>
        <v>0.11416730534337453</v>
      </c>
      <c r="R10" s="87">
        <f>Financials!R15/Financials!R5</f>
        <v>7.9254058700451324E-2</v>
      </c>
      <c r="S10" s="87">
        <f>Financials!S15/Financials!S5</f>
        <v>8.1103616483889349E-2</v>
      </c>
      <c r="T10" s="87">
        <f>Financials!T15/Financials!T5</f>
        <v>8.1962777826132441E-2</v>
      </c>
      <c r="U10" s="87">
        <f>Financials!U15/Financials!U5</f>
        <v>8.3580034491424676E-2</v>
      </c>
      <c r="V10" s="87">
        <f>Financials!V15/Financials!V5</f>
        <v>8.4601238180753074E-2</v>
      </c>
      <c r="W10" s="87">
        <f>Financials!W15/Financials!W5</f>
        <v>9.0133265539996732E-2</v>
      </c>
      <c r="X10" s="87">
        <f>Financials!X15/Financials!X5</f>
        <v>9.2004824742573973E-2</v>
      </c>
      <c r="Y10" s="87">
        <f>Financials!Y15/Financials!Y5</f>
        <v>0.10329225467919065</v>
      </c>
      <c r="Z10" s="87">
        <f>Financials!Z15/Financials!Z5</f>
        <v>0.12185847844879173</v>
      </c>
      <c r="AA10" s="87">
        <f>Financials!AA15/Financials!AA5</f>
        <v>0.12538022553740644</v>
      </c>
      <c r="AB10" s="87">
        <f>Financials!AB15/Financials!AB5</f>
        <v>9.5177998021460986E-2</v>
      </c>
      <c r="AC10" s="87">
        <f>Financials!AC15/Financials!AC5</f>
        <v>0.12570558888249875</v>
      </c>
      <c r="AD10" s="87">
        <f>Financials!AD15/Financials!AD5</f>
        <v>0.12494523120345308</v>
      </c>
      <c r="AE10" s="87">
        <f>Financials!AE15/Financials!AE5</f>
        <v>0.10003978211927722</v>
      </c>
      <c r="AF10" s="87">
        <f>Financials!AF15/Financials!AF5</f>
        <v>0.10115107139715944</v>
      </c>
      <c r="AG10" s="87">
        <f>Financials!AG15/Financials!AG5</f>
        <v>0.10703837507179911</v>
      </c>
      <c r="AH10" s="87">
        <f>Financials!AH15/Financials!AH5</f>
        <v>1.010680778094619E-2</v>
      </c>
      <c r="AI10" s="87">
        <f>Financials!AI15/Financials!AI5</f>
        <v>2.0586459979350456E-2</v>
      </c>
      <c r="AJ10" s="87">
        <f>Financials!AJ15/Financials!AJ5</f>
        <v>3.0217389520403728E-2</v>
      </c>
      <c r="AK10" s="87">
        <f>Financials!AK15/Financials!AK5</f>
        <v>3.1644162195172874E-2</v>
      </c>
    </row>
    <row r="11" spans="1:37" s="3" customFormat="1" ht="12.75">
      <c r="A11" s="8"/>
      <c r="B11" s="119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</row>
    <row r="12" spans="1:37" s="3" customFormat="1" ht="12.75">
      <c r="A12" s="6" t="s">
        <v>176</v>
      </c>
      <c r="B12" s="72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 s="3" customFormat="1" ht="12.75">
      <c r="A13" s="6" t="s">
        <v>177</v>
      </c>
      <c r="B13" s="72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 s="3" customFormat="1" ht="12.75">
      <c r="A14" s="10" t="s">
        <v>178</v>
      </c>
      <c r="B14" s="72" t="s">
        <v>179</v>
      </c>
      <c r="C14" s="87">
        <f>Financials!C38/Financials!C5</f>
        <v>3.4714074304404735E-2</v>
      </c>
      <c r="D14" s="87">
        <f>Financials!D38/Financials!D5</f>
        <v>3.4653052155978858E-2</v>
      </c>
      <c r="E14" s="87">
        <f>Financials!E38/Financials!E5</f>
        <v>2.9670774434970584E-2</v>
      </c>
      <c r="F14" s="87">
        <f>Financials!F38/Financials!F5</f>
        <v>2.6963361313463205E-2</v>
      </c>
      <c r="G14" s="87">
        <f>Financials!G38/Financials!G5</f>
        <v>2.5555133505158912E-2</v>
      </c>
      <c r="H14" s="87">
        <f>Financials!H38/Financials!H5</f>
        <v>2.2218927953433477E-2</v>
      </c>
      <c r="I14" s="87">
        <f>Financials!I38/Financials!I5</f>
        <v>2.1912903602112212E-2</v>
      </c>
      <c r="J14" s="87">
        <f>Financials!J38/Financials!J5</f>
        <v>1.8464391140299408E-2</v>
      </c>
      <c r="K14" s="87">
        <f>Financials!K38/Financials!K5</f>
        <v>1.8202909792653162E-2</v>
      </c>
      <c r="L14" s="87">
        <f>Financials!L38/Financials!L5</f>
        <v>1.7894590144987958E-2</v>
      </c>
      <c r="M14" s="87">
        <f>Financials!M38/Financials!M5</f>
        <v>1.7556057793785444E-2</v>
      </c>
      <c r="N14" s="87">
        <f>Financials!N38/Financials!N5</f>
        <v>1.4328461349058413E-2</v>
      </c>
      <c r="O14" s="87">
        <f>Financials!O38/Financials!O5</f>
        <v>1.5429236558956139E-2</v>
      </c>
      <c r="P14" s="87">
        <f>Financials!P38/Financials!P5</f>
        <v>1.4937578626098196E-2</v>
      </c>
      <c r="Q14" s="87">
        <f>Financials!Q38/Financials!Q5</f>
        <v>1.4602562518329594E-2</v>
      </c>
      <c r="R14" s="87">
        <f>Financials!R38/Financials!R5</f>
        <v>1.5475698956431028E-2</v>
      </c>
      <c r="S14" s="87">
        <f>Financials!S38/Financials!S5</f>
        <v>1.515133556290031E-2</v>
      </c>
      <c r="T14" s="87">
        <f>Financials!T38/Financials!T5</f>
        <v>1.5154970971085143E-2</v>
      </c>
      <c r="U14" s="87">
        <f>Financials!U38/Financials!U5</f>
        <v>1.5089980799178476E-2</v>
      </c>
      <c r="V14" s="87">
        <f>Financials!V38/Financials!V5</f>
        <v>3.2359637794121841E-2</v>
      </c>
      <c r="W14" s="87">
        <f>Financials!W38/Financials!W5</f>
        <v>3.1911550066993415E-2</v>
      </c>
      <c r="X14" s="87">
        <f>Financials!X38/Financials!X5</f>
        <v>3.133649965194589E-2</v>
      </c>
      <c r="Y14" s="87">
        <f>Financials!Y38/Financials!Y5</f>
        <v>3.0672592864793884E-2</v>
      </c>
      <c r="Z14" s="87">
        <f>Financials!Z38/Financials!Z5</f>
        <v>2.960014475865708E-2</v>
      </c>
      <c r="AA14" s="87">
        <f>Financials!AA38/Financials!AA5</f>
        <v>3.3266556339883534E-2</v>
      </c>
      <c r="AB14" s="87">
        <f>Financials!AB38/Financials!AB5</f>
        <v>3.3994384715097317E-2</v>
      </c>
      <c r="AC14" s="87">
        <f>Financials!AC38/Financials!AC5</f>
        <v>3.2789165729464026E-2</v>
      </c>
      <c r="AD14" s="87">
        <f>Financials!AD38/Financials!AD5</f>
        <v>3.2375847533057271E-2</v>
      </c>
      <c r="AE14" s="87">
        <f>Financials!AE38/Financials!AE5</f>
        <v>2.5249241818140838E-2</v>
      </c>
      <c r="AF14" s="87">
        <f>Financials!AF38/Financials!AF5</f>
        <v>2.7692526960240268E-2</v>
      </c>
      <c r="AG14" s="87">
        <f>Financials!AG38/Financials!AG5</f>
        <v>2.7184345799968583E-2</v>
      </c>
      <c r="AH14" s="87">
        <f>Financials!AH38/Financials!AH5</f>
        <v>2.6893387126940498E-2</v>
      </c>
      <c r="AI14" s="87">
        <f>Financials!AI38/Financials!AI5</f>
        <v>2.6207604835387144E-2</v>
      </c>
      <c r="AJ14" s="87">
        <f>Financials!AJ38/Financials!AJ5</f>
        <v>2.5375184661386434E-2</v>
      </c>
      <c r="AK14" s="87">
        <f>Financials!AK38/Financials!AK5</f>
        <v>2.5298741659467827E-2</v>
      </c>
    </row>
    <row r="15" spans="1:37" s="3" customFormat="1" ht="12.75">
      <c r="A15" s="8" t="s">
        <v>180</v>
      </c>
      <c r="B15" s="72" t="s">
        <v>181</v>
      </c>
      <c r="C15" s="87">
        <f>Financials!C39/Financials!C5</f>
        <v>7.7289344236075664E-3</v>
      </c>
      <c r="D15" s="87">
        <f>Financials!D39/Financials!D5</f>
        <v>7.6106533063673744E-3</v>
      </c>
      <c r="E15" s="87">
        <f>Financials!E39/Financials!E5</f>
        <v>7.4541898988747177E-3</v>
      </c>
      <c r="F15" s="87">
        <f>Financials!F39/Financials!F5</f>
        <v>7.4840970520637148E-3</v>
      </c>
      <c r="G15" s="87">
        <f>Financials!G39/Financials!G5</f>
        <v>7.2169468804465231E-3</v>
      </c>
      <c r="H15" s="87">
        <f>Financials!H39/Financials!H5</f>
        <v>7.0747969924565184E-3</v>
      </c>
      <c r="I15" s="87">
        <f>Financials!I39/Financials!I5</f>
        <v>6.8862331497973502E-3</v>
      </c>
      <c r="J15" s="87">
        <f>Financials!J39/Financials!J5</f>
        <v>6.6930109010440771E-3</v>
      </c>
      <c r="K15" s="87">
        <f>Financials!K39/Financials!K5</f>
        <v>6.5143442504629542E-3</v>
      </c>
      <c r="L15" s="87">
        <f>Financials!L39/Financials!L5</f>
        <v>6.320340356035823E-3</v>
      </c>
      <c r="M15" s="87">
        <f>Financials!M39/Financials!M5</f>
        <v>6.1174856161160512E-3</v>
      </c>
      <c r="N15" s="87">
        <f>Financials!N39/Financials!N5</f>
        <v>5.9619617025818772E-3</v>
      </c>
      <c r="O15" s="87">
        <f>Financials!O39/Financials!O5</f>
        <v>5.9762366518612085E-3</v>
      </c>
      <c r="P15" s="87">
        <f>Financials!P39/Financials!P5</f>
        <v>5.8944862485411417E-3</v>
      </c>
      <c r="Q15" s="87">
        <f>Financials!Q39/Financials!Q5</f>
        <v>5.7041219550228693E-3</v>
      </c>
      <c r="R15" s="87">
        <f>Financials!R39/Financials!R5</f>
        <v>6.6050943908481288E-3</v>
      </c>
      <c r="S15" s="87">
        <f>Financials!S39/Financials!S5</f>
        <v>6.4131511014116366E-3</v>
      </c>
      <c r="T15" s="87">
        <f>Financials!T39/Financials!T5</f>
        <v>6.3599234582755433E-3</v>
      </c>
      <c r="U15" s="87">
        <f>Financials!U39/Financials!U5</f>
        <v>6.2651457903007204E-3</v>
      </c>
      <c r="V15" s="87">
        <f>Financials!V39/Financials!V5</f>
        <v>6.5344491858027069E-3</v>
      </c>
      <c r="W15" s="87">
        <f>Financials!W39/Financials!W5</f>
        <v>6.3635714688676766E-3</v>
      </c>
      <c r="X15" s="87">
        <f>Financials!X39/Financials!X5</f>
        <v>6.2329731524876459E-3</v>
      </c>
      <c r="Y15" s="87">
        <f>Financials!Y39/Financials!Y5</f>
        <v>5.999792625842759E-3</v>
      </c>
      <c r="Z15" s="87">
        <f>Financials!Z39/Financials!Z5</f>
        <v>5.9001515716289492E-3</v>
      </c>
      <c r="AA15" s="87">
        <f>Financials!AA39/Financials!AA5</f>
        <v>5.802227799051163E-3</v>
      </c>
      <c r="AB15" s="87">
        <f>Financials!AB39/Financials!AB5</f>
        <v>5.7978842857063359E-3</v>
      </c>
      <c r="AC15" s="87">
        <f>Financials!AC39/Financials!AC5</f>
        <v>5.6822336410673356E-3</v>
      </c>
      <c r="AD15" s="87">
        <f>Financials!AD39/Financials!AD5</f>
        <v>5.5701663215455147E-3</v>
      </c>
      <c r="AE15" s="87">
        <f>Financials!AE39/Financials!AE5</f>
        <v>5.4347374347396074E-3</v>
      </c>
      <c r="AF15" s="87">
        <f>Financials!AF39/Financials!AF5</f>
        <v>5.4102478351034594E-3</v>
      </c>
      <c r="AG15" s="87">
        <f>Financials!AG39/Financials!AG5</f>
        <v>5.2890336477824686E-3</v>
      </c>
      <c r="AH15" s="87">
        <f>Financials!AH39/Financials!AH5</f>
        <v>5.3321090050845957E-3</v>
      </c>
      <c r="AI15" s="87">
        <f>Financials!AI39/Financials!AI5</f>
        <v>5.1755745095981723E-3</v>
      </c>
      <c r="AJ15" s="87">
        <f>Financials!AJ39/Financials!AJ5</f>
        <v>4.9907248902289706E-3</v>
      </c>
      <c r="AK15" s="87">
        <f>Financials!AK39/Financials!AK5</f>
        <v>5.0015863609672064E-3</v>
      </c>
    </row>
    <row r="16" spans="1:37" s="3" customFormat="1" ht="12.75">
      <c r="A16" s="8" t="s">
        <v>182</v>
      </c>
      <c r="B16" s="72" t="s">
        <v>183</v>
      </c>
      <c r="C16" s="229">
        <f>Financials!C34/Financials!C32</f>
        <v>0</v>
      </c>
      <c r="D16" s="229">
        <f>Financials!D34/Financials!D32</f>
        <v>0</v>
      </c>
      <c r="E16" s="229">
        <f>Financials!E34/Financials!E32</f>
        <v>0</v>
      </c>
      <c r="F16" s="229">
        <f>Financials!F34/Financials!F32</f>
        <v>0</v>
      </c>
      <c r="G16" s="229">
        <f>Financials!G34/Financials!G32</f>
        <v>0</v>
      </c>
      <c r="H16" s="229">
        <f>Financials!H34/Financials!H32</f>
        <v>0</v>
      </c>
      <c r="I16" s="229">
        <f>Financials!I34/Financials!I32</f>
        <v>0</v>
      </c>
      <c r="J16" s="229">
        <f>Financials!J34/Financials!J32</f>
        <v>0</v>
      </c>
      <c r="K16" s="229">
        <f>Financials!K34/Financials!K32</f>
        <v>0</v>
      </c>
      <c r="L16" s="229">
        <f>Financials!L34/Financials!L32</f>
        <v>0</v>
      </c>
      <c r="M16" s="229">
        <f>Financials!M34/Financials!M32</f>
        <v>0</v>
      </c>
      <c r="N16" s="229">
        <f>Financials!N34/Financials!N32</f>
        <v>0</v>
      </c>
      <c r="O16" s="229">
        <f>Financials!O34/Financials!O32</f>
        <v>0</v>
      </c>
      <c r="P16" s="229">
        <f>Financials!P34/Financials!P32</f>
        <v>0</v>
      </c>
      <c r="Q16" s="229">
        <f>Financials!Q34/Financials!Q32</f>
        <v>0</v>
      </c>
      <c r="R16" s="229">
        <f>Financials!R34/Financials!R32</f>
        <v>0</v>
      </c>
      <c r="S16" s="229">
        <f>Financials!S34/Financials!S32</f>
        <v>0</v>
      </c>
      <c r="T16" s="229">
        <f>Financials!T34/Financials!T32</f>
        <v>0</v>
      </c>
      <c r="U16" s="229">
        <f>Financials!U34/Financials!U32</f>
        <v>0</v>
      </c>
      <c r="V16" s="229">
        <f>Financials!V34/Financials!V32</f>
        <v>0</v>
      </c>
      <c r="W16" s="229">
        <f>Financials!W34/Financials!W32</f>
        <v>0</v>
      </c>
      <c r="X16" s="229">
        <f>Financials!X34/Financials!X32</f>
        <v>0</v>
      </c>
      <c r="Y16" s="229">
        <f>Financials!Y34/Financials!Y32</f>
        <v>0</v>
      </c>
      <c r="Z16" s="229">
        <f>Financials!Z34/Financials!Z32</f>
        <v>0</v>
      </c>
      <c r="AA16" s="229">
        <f>Financials!AA34/Financials!AA32</f>
        <v>0</v>
      </c>
      <c r="AB16" s="229">
        <f>Financials!AB34/Financials!AB32</f>
        <v>0</v>
      </c>
      <c r="AC16" s="229">
        <f>Financials!AC34/Financials!AC32</f>
        <v>0</v>
      </c>
      <c r="AD16" s="229">
        <f>Financials!AD34/Financials!AD32</f>
        <v>0</v>
      </c>
      <c r="AE16" s="229">
        <f>Financials!AE34/Financials!AE32</f>
        <v>0</v>
      </c>
      <c r="AF16" s="229">
        <f>Financials!AF34/Financials!AF32</f>
        <v>0</v>
      </c>
      <c r="AG16" s="229">
        <f>Financials!AG34/Financials!AG32</f>
        <v>0</v>
      </c>
      <c r="AH16" s="229">
        <f>Financials!AH34/Financials!AH32</f>
        <v>0</v>
      </c>
      <c r="AI16" s="229">
        <f>Financials!AI34/Financials!AI32</f>
        <v>0</v>
      </c>
      <c r="AJ16" s="229">
        <f>Financials!AJ34/Financials!AJ32</f>
        <v>0</v>
      </c>
      <c r="AK16" s="229">
        <f>Financials!AK34/Financials!AK32</f>
        <v>0</v>
      </c>
    </row>
    <row r="17" spans="1:37" s="3" customFormat="1" ht="12.75">
      <c r="A17" s="8"/>
      <c r="B17" s="72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</row>
    <row r="18" spans="1:37" s="3" customFormat="1" ht="12.75">
      <c r="A18" s="6" t="s">
        <v>184</v>
      </c>
      <c r="B18" s="72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</row>
    <row r="19" spans="1:37" s="3" customFormat="1" ht="12.75">
      <c r="A19" s="8" t="s">
        <v>185</v>
      </c>
      <c r="B19" s="72" t="s">
        <v>181</v>
      </c>
      <c r="C19" s="9">
        <f>Financials!C26/Financials!C6</f>
        <v>4.9852433859835073E-2</v>
      </c>
      <c r="D19" s="9">
        <f>Financials!D26/Financials!D6</f>
        <v>5.110372227916201E-2</v>
      </c>
      <c r="E19" s="9">
        <f>Financials!E26/Financials!E6</f>
        <v>5.0988055729198768E-2</v>
      </c>
      <c r="F19" s="9">
        <f>Financials!F26/Financials!F6</f>
        <v>5.3426099738539477E-2</v>
      </c>
      <c r="G19" s="9">
        <f>Financials!G26/Financials!G6</f>
        <v>5.4030346290925985E-2</v>
      </c>
      <c r="H19" s="9">
        <f>Financials!H26/Financials!H6</f>
        <v>5.6032851157686962E-2</v>
      </c>
      <c r="I19" s="9">
        <f>Financials!I26/Financials!I6</f>
        <v>5.6781744977562526E-2</v>
      </c>
      <c r="J19" s="9">
        <f>Financials!J26/Financials!J6</f>
        <v>5.7405168683999433E-2</v>
      </c>
      <c r="K19" s="9">
        <f>Financials!K26/Financials!K6</f>
        <v>5.8401539578148073E-2</v>
      </c>
      <c r="L19" s="9">
        <f>Financials!L26/Financials!L6</f>
        <v>5.7996067517500957E-2</v>
      </c>
      <c r="M19" s="9">
        <f>Financials!M26/Financials!M6</f>
        <v>5.9365446952213859E-2</v>
      </c>
      <c r="N19" s="9">
        <f>Financials!N26/Financials!N6</f>
        <v>5.9926138271005305E-2</v>
      </c>
      <c r="O19" s="9">
        <f>Financials!O26/Financials!O6</f>
        <v>5.3235724277283006E-4</v>
      </c>
      <c r="P19" s="9">
        <f>Financials!P26/Financials!P6</f>
        <v>6.1479714217423757E-2</v>
      </c>
      <c r="Q19" s="9">
        <f>Financials!Q26/Financials!Q6</f>
        <v>6.2001267104399661E-2</v>
      </c>
      <c r="R19" s="9">
        <f>Financials!R26/Financials!R6</f>
        <v>6.1733471381927481E-2</v>
      </c>
      <c r="S19" s="9">
        <f>Financials!S26/Financials!S6</f>
        <v>6.1325012731521265E-2</v>
      </c>
      <c r="T19" s="9">
        <f>Financials!T26/Financials!T6</f>
        <v>6.2238076179396341E-2</v>
      </c>
      <c r="U19" s="9">
        <f>Financials!U26/Financials!U6</f>
        <v>6.3036821784722849E-2</v>
      </c>
      <c r="V19" s="9">
        <f>Financials!V26/Financials!V6</f>
        <v>6.3361096417584625E-2</v>
      </c>
      <c r="W19" s="9">
        <f>Financials!W26/Financials!W6</f>
        <v>6.3802251442758792E-2</v>
      </c>
      <c r="X19" s="9">
        <f>Financials!X26/Financials!X6</f>
        <v>6.4376906422786845E-2</v>
      </c>
      <c r="Y19" s="9">
        <f>Financials!Y26/Financials!Y6</f>
        <v>6.4404994808576393E-2</v>
      </c>
      <c r="Z19" s="9">
        <f>Financials!Z26/Financials!Z6</f>
        <v>6.4081364007158137E-2</v>
      </c>
      <c r="AA19" s="9">
        <f>Financials!AA26/Financials!AA6</f>
        <v>6.5946638407104283E-2</v>
      </c>
      <c r="AB19" s="9">
        <f>Financials!AB26/Financials!AB6</f>
        <v>4.7539125087230907E-4</v>
      </c>
      <c r="AC19" s="9">
        <f>Financials!AC26/Financials!AC6</f>
        <v>6.5644190477725586E-2</v>
      </c>
      <c r="AD19" s="9">
        <f>Financials!AD26/Financials!AD6</f>
        <v>6.6339778999891852E-2</v>
      </c>
      <c r="AE19" s="9">
        <f>Financials!AE26/Financials!AE6</f>
        <v>6.6951359022121348E-2</v>
      </c>
      <c r="AF19" s="9">
        <f>Financials!AF26/Financials!AF6</f>
        <v>6.7183806004211047E-2</v>
      </c>
      <c r="AG19" s="9">
        <f>Financials!AG26/Financials!AG6</f>
        <v>6.7051145413460425E-2</v>
      </c>
      <c r="AH19" s="9">
        <f>Financials!AH26/Financials!AH6</f>
        <v>6.647053680479327E-2</v>
      </c>
      <c r="AI19" s="9">
        <f>Financials!AI26/Financials!AI6</f>
        <v>6.5677105646605533E-2</v>
      </c>
      <c r="AJ19" s="9">
        <f>Financials!AJ26/Financials!AJ6</f>
        <v>6.4965330744381378E-2</v>
      </c>
      <c r="AK19" s="9">
        <f>Financials!AK26/Financials!AK6</f>
        <v>6.5637103392080259E-2</v>
      </c>
    </row>
    <row r="20" spans="1:37" s="3" customFormat="1" ht="12.75">
      <c r="A20" s="8" t="s">
        <v>186</v>
      </c>
      <c r="B20" s="72" t="s">
        <v>187</v>
      </c>
      <c r="C20" s="9">
        <f>Financials!C26/Financials!C14</f>
        <v>0.17386829937299214</v>
      </c>
      <c r="D20" s="9">
        <f>Financials!D26/Financials!D14</f>
        <v>0.17455062171894692</v>
      </c>
      <c r="E20" s="9">
        <f>Financials!E26/Financials!E14</f>
        <v>0.18376611758495651</v>
      </c>
      <c r="F20" s="9">
        <f>Financials!F26/Financials!F14</f>
        <v>0.19989972872195977</v>
      </c>
      <c r="G20" s="9">
        <f>Financials!G26/Financials!G14</f>
        <v>0.18976684673037506</v>
      </c>
      <c r="H20" s="9">
        <f>Financials!H26/Financials!H14</f>
        <v>0.18206236575622006</v>
      </c>
      <c r="I20" s="9">
        <f>Financials!I26/Financials!I14</f>
        <v>0.18129858835966126</v>
      </c>
      <c r="J20" s="9">
        <f>Financials!J26/Financials!J14</f>
        <v>0.17679119365810639</v>
      </c>
      <c r="K20" s="9">
        <f>Financials!K26/Financials!K14</f>
        <v>0.17426336571773043</v>
      </c>
      <c r="L20" s="9">
        <f>Financials!L26/Financials!L14</f>
        <v>0.17094147971836446</v>
      </c>
      <c r="M20" s="9">
        <f>Financials!M26/Financials!M14</f>
        <v>0.17392826954497359</v>
      </c>
      <c r="N20" s="9">
        <f>Financials!N26/Financials!N14</f>
        <v>0.17080227968933556</v>
      </c>
      <c r="O20" s="9">
        <f>Financials!O26/Financials!O14</f>
        <v>2.1450264855303442E-3</v>
      </c>
      <c r="P20" s="9">
        <f>Financials!P26/Financials!P14</f>
        <v>0.17166631780194241</v>
      </c>
      <c r="Q20" s="9">
        <f>Financials!Q26/Financials!Q14</f>
        <v>0.16810206857615748</v>
      </c>
      <c r="R20" s="9">
        <f>Financials!R26/Financials!R14</f>
        <v>0.1957717542944504</v>
      </c>
      <c r="S20" s="9">
        <f>Financials!S26/Financials!S14</f>
        <v>0.19583497021591095</v>
      </c>
      <c r="T20" s="9">
        <f>Financials!T26/Financials!T14</f>
        <v>0.19850060031893685</v>
      </c>
      <c r="U20" s="9">
        <f>Financials!U26/Financials!U14</f>
        <v>0.19965346218626284</v>
      </c>
      <c r="V20" s="9">
        <f>Financials!V26/Financials!V14</f>
        <v>0.19782919174027402</v>
      </c>
      <c r="W20" s="9">
        <f>Financials!W26/Financials!W14</f>
        <v>0.19460896830252755</v>
      </c>
      <c r="X20" s="9">
        <f>Financials!X26/Financials!X14</f>
        <v>0.19498707221526546</v>
      </c>
      <c r="Y20" s="9">
        <f>Financials!Y26/Financials!Y14</f>
        <v>0.18682113376229151</v>
      </c>
      <c r="Z20" s="9">
        <f>Financials!Z26/Financials!Z14</f>
        <v>0.17206671535737214</v>
      </c>
      <c r="AA20" s="9">
        <f>Financials!AA26/Financials!AA14</f>
        <v>0.17392608026034134</v>
      </c>
      <c r="AB20" s="9">
        <f>Financials!AB26/Financials!AB14</f>
        <v>1.378080051014222E-3</v>
      </c>
      <c r="AC20" s="9">
        <f>Financials!AC26/Financials!AC14</f>
        <v>0.17310380203595049</v>
      </c>
      <c r="AD20" s="9">
        <f>Financials!AD26/Financials!AD14</f>
        <v>0.17560548835607231</v>
      </c>
      <c r="AE20" s="9">
        <f>Financials!AE26/Financials!AE14</f>
        <v>0.19496059724719925</v>
      </c>
      <c r="AF20" s="9">
        <f>Financials!AF26/Financials!AF14</f>
        <v>0.19481894113730866</v>
      </c>
      <c r="AG20" s="9">
        <f>Financials!AG26/Financials!AG14</f>
        <v>0.1897599238054235</v>
      </c>
      <c r="AH20" s="9">
        <f>Financials!AH26/Financials!AH14</f>
        <v>4.7317703818091825</v>
      </c>
      <c r="AI20" s="9">
        <f>Financials!AI26/Financials!AI14</f>
        <v>2.2945205948227465</v>
      </c>
      <c r="AJ20" s="9">
        <f>Financials!AJ26/Financials!AJ14</f>
        <v>1.5343791805669167</v>
      </c>
      <c r="AK20" s="9">
        <f>Financials!AK26/Financials!AK14</f>
        <v>1.4755285592190164</v>
      </c>
    </row>
    <row r="21" spans="1:37" s="3" customFormat="1" ht="12.75">
      <c r="A21" s="10" t="s">
        <v>188</v>
      </c>
      <c r="B21" s="118" t="s">
        <v>189</v>
      </c>
      <c r="C21" s="9">
        <f>Financials!C31/Financials!C5</f>
        <v>0.66157824034270563</v>
      </c>
      <c r="D21" s="9">
        <f>Financials!D31/Financials!D5</f>
        <v>0.69317957809850506</v>
      </c>
      <c r="E21" s="9">
        <f>Financials!E31/Financials!E5</f>
        <v>0.65707047491656845</v>
      </c>
      <c r="F21" s="9">
        <f>Financials!F31/Financials!F5</f>
        <v>0.64894121072825728</v>
      </c>
      <c r="G21" s="9">
        <f>Financials!G31/Financials!G5</f>
        <v>0.6166652687864993</v>
      </c>
      <c r="H21" s="9">
        <f>Financials!H31/Financials!H5</f>
        <v>0.63371524252566058</v>
      </c>
      <c r="I21" s="9">
        <f>Financials!I31/Financials!I5</f>
        <v>0.66635432479802503</v>
      </c>
      <c r="J21" s="9">
        <f>Financials!J31/Financials!J5</f>
        <v>0.60996582562136747</v>
      </c>
      <c r="K21" s="9">
        <f>Financials!K31/Financials!K5</f>
        <v>0.60036397069938563</v>
      </c>
      <c r="L21" s="9">
        <f>Financials!L31/Financials!L5</f>
        <v>0.58446209248731351</v>
      </c>
      <c r="M21" s="9">
        <f>Financials!M31/Financials!M5</f>
        <v>0.57046116596519403</v>
      </c>
      <c r="N21" s="9">
        <f>Financials!N31/Financials!N5</f>
        <v>0.56611810821653652</v>
      </c>
      <c r="O21" s="9">
        <f>Financials!O31/Financials!O5</f>
        <v>0.56403410706176638</v>
      </c>
      <c r="P21" s="9">
        <f>Financials!P31/Financials!P5</f>
        <v>0.52592761572570079</v>
      </c>
      <c r="Q21" s="9">
        <f>Financials!Q31/Financials!Q5</f>
        <v>0.53065265856730159</v>
      </c>
      <c r="R21" s="9">
        <f>Financials!R31/Financials!R5</f>
        <v>0.52354248247904023</v>
      </c>
      <c r="S21" s="9">
        <f>Financials!S31/Financials!S5</f>
        <v>0.55735564631648116</v>
      </c>
      <c r="T21" s="9">
        <f>Financials!T31/Financials!T5</f>
        <v>0.55794407558263437</v>
      </c>
      <c r="U21" s="9">
        <f>Financials!U31/Financials!U5</f>
        <v>0.53172350988049122</v>
      </c>
      <c r="V21" s="9">
        <f>Financials!V31/Financials!V5</f>
        <v>0.55279758257578715</v>
      </c>
      <c r="W21" s="9">
        <f>Financials!W31/Financials!W5</f>
        <v>0.54070496556554992</v>
      </c>
      <c r="X21" s="9">
        <f>Financials!X31/Financials!X5</f>
        <v>0.53226569669365709</v>
      </c>
      <c r="Y21" s="9">
        <f>Financials!Y31/Financials!Y5</f>
        <v>0.546533605363141</v>
      </c>
      <c r="Z21" s="9">
        <f>Financials!Z31/Financials!Z5</f>
        <v>0.58467620031776046</v>
      </c>
      <c r="AA21" s="9">
        <f>Financials!AA31/Financials!AA5</f>
        <v>0.59198621196580736</v>
      </c>
      <c r="AB21" s="9">
        <f>Financials!AB31/Financials!AB5</f>
        <v>0.59154225338083821</v>
      </c>
      <c r="AC21" s="9">
        <f>Financials!AC31/Financials!AC5</f>
        <v>0.59281695923233158</v>
      </c>
      <c r="AD21" s="9">
        <f>Financials!AD31/Financials!AD5</f>
        <v>0.60392524359343058</v>
      </c>
      <c r="AE21" s="9">
        <f>Financials!AE31/Financials!AE5</f>
        <v>0.63534765134834348</v>
      </c>
      <c r="AF21" s="9">
        <f>Financials!AF31/Financials!AF5</f>
        <v>0.63072806880403565</v>
      </c>
      <c r="AG21" s="9">
        <f>Financials!AG31/Financials!AG5</f>
        <v>0.65312165797980182</v>
      </c>
      <c r="AH21" s="9">
        <f>Financials!AH31/Financials!AH5</f>
        <v>0.6331870459083736</v>
      </c>
      <c r="AI21" s="9">
        <f>Financials!AI31/Financials!AI5</f>
        <v>0.61706005775056483</v>
      </c>
      <c r="AJ21" s="9">
        <f>Financials!AJ31/Financials!AJ5</f>
        <v>0.63726234945835525</v>
      </c>
      <c r="AK21" s="9">
        <f>Financials!AK31/Financials!AK5</f>
        <v>0.63425446974561195</v>
      </c>
    </row>
    <row r="22" spans="1:37" s="3" customFormat="1" ht="12.75">
      <c r="A22" s="6" t="s">
        <v>190</v>
      </c>
      <c r="B22" s="72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 s="3" customFormat="1" ht="12.75">
      <c r="A23" s="6" t="s">
        <v>191</v>
      </c>
      <c r="B23" s="72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spans="1:37" s="3" customFormat="1" ht="12.75">
      <c r="A24" s="10" t="s">
        <v>192</v>
      </c>
      <c r="B24" s="118" t="s">
        <v>189</v>
      </c>
      <c r="C24" s="9">
        <f>Financials!C6/Financials!C5</f>
        <v>0.76400763529036031</v>
      </c>
      <c r="D24" s="9">
        <f>Financials!D6/Financials!D5</f>
        <v>0.76085634122180668</v>
      </c>
      <c r="E24" s="9">
        <f>Financials!E6/Financials!E5</f>
        <v>0.7603604350653681</v>
      </c>
      <c r="F24" s="9">
        <f>Financials!F6/Financials!F5</f>
        <v>0.76919336132062699</v>
      </c>
      <c r="G24" s="9">
        <f>Financials!G6/Financials!G5</f>
        <v>0.76038444053183785</v>
      </c>
      <c r="H24" s="9">
        <f>Financials!H6/Financials!H5</f>
        <v>0.74878964304796714</v>
      </c>
      <c r="I24" s="9">
        <f>Financials!I6/Financials!I5</f>
        <v>0.74566705611314554</v>
      </c>
      <c r="J24" s="9">
        <f>Financials!J6/Financials!J5</f>
        <v>0.7447371161081926</v>
      </c>
      <c r="K24" s="9">
        <f>Financials!K6/Financials!K5</f>
        <v>0.73882777656360688</v>
      </c>
      <c r="L24" s="9">
        <f>Financials!L6/Financials!L5</f>
        <v>0.73671684194499265</v>
      </c>
      <c r="M24" s="9">
        <f>Financials!M6/Financials!M5</f>
        <v>0.7357415237013194</v>
      </c>
      <c r="N24" s="9">
        <f>Financials!N6/Financials!N5</f>
        <v>0.7369435779391712</v>
      </c>
      <c r="O24" s="9">
        <f>Financials!O6/Financials!O5</f>
        <v>0.72042053109963866</v>
      </c>
      <c r="P24" s="9">
        <f>Financials!P6/Financials!P5</f>
        <v>0.73306730867713332</v>
      </c>
      <c r="Q24" s="9">
        <f>Financials!Q6/Financials!Q5</f>
        <v>0.72718169406464528</v>
      </c>
      <c r="R24" s="9">
        <f>Financials!R6/Financials!R5</f>
        <v>0.73896455957177787</v>
      </c>
      <c r="S24" s="9">
        <f>Financials!S6/Financials!S5</f>
        <v>0.74354607143213314</v>
      </c>
      <c r="T24" s="9">
        <f>Financials!T6/Financials!T5</f>
        <v>0.74960571954805555</v>
      </c>
      <c r="U24" s="9">
        <f>Financials!U6/Financials!U5</f>
        <v>0.75066947105617854</v>
      </c>
      <c r="V24" s="9">
        <f>Financials!V6/Financials!V5</f>
        <v>0.7405317699125723</v>
      </c>
      <c r="W24" s="9">
        <f>Financials!W6/Financials!W5</f>
        <v>0.73656422641016006</v>
      </c>
      <c r="X24" s="9">
        <f>Financials!X6/Financials!X5</f>
        <v>0.73537421844863538</v>
      </c>
      <c r="Y24" s="9">
        <f>Financials!Y6/Financials!Y5</f>
        <v>0.72773213357454714</v>
      </c>
      <c r="Z24" s="9">
        <f>Financials!Z6/Financials!Z5</f>
        <v>0.71354183316139752</v>
      </c>
      <c r="AA24" s="9">
        <f>Financials!AA6/Financials!AA5</f>
        <v>0.71032486424929775</v>
      </c>
      <c r="AB24" s="9">
        <f>Financials!AB6/Financials!AB5</f>
        <v>0.69287907789397929</v>
      </c>
      <c r="AC24" s="9">
        <f>Financials!AC6/Financials!AC5</f>
        <v>0.71026205184276281</v>
      </c>
      <c r="AD24" s="9">
        <f>Financials!AD6/Financials!AD5</f>
        <v>0.71093942056862602</v>
      </c>
      <c r="AE24" s="9">
        <f>Financials!AE6/Financials!AE5</f>
        <v>0.70765903069915748</v>
      </c>
      <c r="AF24" s="9">
        <f>Financials!AF6/Financials!AF5</f>
        <v>0.71595107938563718</v>
      </c>
      <c r="AG24" s="9">
        <f>Financials!AG6/Financials!AG5</f>
        <v>0.71511705567950901</v>
      </c>
      <c r="AH24" s="9">
        <f>Financials!AH6/Financials!AH5</f>
        <v>0.71946302845370114</v>
      </c>
      <c r="AI24" s="9">
        <f>Financials!AI6/Financials!AI5</f>
        <v>0.7192164747831763</v>
      </c>
      <c r="AJ24" s="9">
        <f>Financials!AJ6/Financials!AJ5</f>
        <v>0.71368732891732944</v>
      </c>
      <c r="AK24" s="9">
        <f>Financials!AK6/Financials!AK5</f>
        <v>0.7113638877789068</v>
      </c>
    </row>
    <row r="25" spans="1:37" s="3" customFormat="1" ht="12.75">
      <c r="A25" s="12" t="s">
        <v>193</v>
      </c>
      <c r="B25" s="117" t="s">
        <v>189</v>
      </c>
      <c r="C25" s="13">
        <f>Financials!C7/Financials!C5</f>
        <v>0.67524260149581194</v>
      </c>
      <c r="D25" s="13">
        <f>Financials!D7/Financials!D5</f>
        <v>0.6816425858291304</v>
      </c>
      <c r="E25" s="13">
        <f>Financials!E7/Financials!E5</f>
        <v>0.6749257336751191</v>
      </c>
      <c r="F25" s="13">
        <f>Financials!F7/Financials!F5</f>
        <v>0.68958520462746464</v>
      </c>
      <c r="G25" s="13">
        <f>Financials!G7/Financials!G5</f>
        <v>0.67905181375200441</v>
      </c>
      <c r="H25" s="13">
        <f>Financials!H7/Financials!H5</f>
        <v>0.67957220161469223</v>
      </c>
      <c r="I25" s="13">
        <f>Financials!I7/Financials!I5</f>
        <v>0.67918962560557383</v>
      </c>
      <c r="J25" s="13">
        <f>Financials!J7/Financials!J5</f>
        <v>0.67511070243188431</v>
      </c>
      <c r="K25" s="13">
        <f>Financials!K7/Financials!K5</f>
        <v>0.66861640142432122</v>
      </c>
      <c r="L25" s="13">
        <f>Financials!L7/Financials!L5</f>
        <v>0.6642093737274416</v>
      </c>
      <c r="M25" s="13">
        <f>Financials!M7/Financials!M5</f>
        <v>0.65699472614819998</v>
      </c>
      <c r="N25" s="13">
        <f>Financials!N7/Financials!N5</f>
        <v>0.65755053825756216</v>
      </c>
      <c r="O25" s="13">
        <f>Financials!O7/Financials!O5</f>
        <v>0.64083739202511125</v>
      </c>
      <c r="P25" s="13">
        <f>Financials!P7/Financials!P5</f>
        <v>0.66416830794843384</v>
      </c>
      <c r="Q25" s="13">
        <f>Financials!Q7/Financials!Q5</f>
        <v>0.66066890940533973</v>
      </c>
      <c r="R25" s="13">
        <f>Financials!R7/Financials!R5</f>
        <v>0.6641122336827785</v>
      </c>
      <c r="S25" s="13">
        <f>Financials!S7/Financials!S5</f>
        <v>0.67080707209551937</v>
      </c>
      <c r="T25" s="13">
        <f>Financials!T7/Financials!T5</f>
        <v>0.67381002930727474</v>
      </c>
      <c r="U25" s="13">
        <f>Financials!U7/Financials!U5</f>
        <v>0.67104249736237043</v>
      </c>
      <c r="V25" s="13">
        <f>Financials!V7/Financials!V5</f>
        <v>0.6632568970872007</v>
      </c>
      <c r="W25" s="13">
        <f>Financials!W7/Financials!W5</f>
        <v>0.65883980300609168</v>
      </c>
      <c r="X25" s="13">
        <f>Financials!X7/Financials!X5</f>
        <v>0.65861696616685028</v>
      </c>
      <c r="Y25" s="13">
        <f>Financials!Y7/Financials!Y5</f>
        <v>0.64823702213893919</v>
      </c>
      <c r="Z25" s="13">
        <f>Financials!Z7/Financials!Z5</f>
        <v>0.63516463007795576</v>
      </c>
      <c r="AA25" s="13">
        <f>Financials!AA7/Financials!AA5</f>
        <v>0.64141544421667229</v>
      </c>
      <c r="AB25" s="13">
        <f>Financials!AB7/Financials!AB5</f>
        <v>0.62402133960814909</v>
      </c>
      <c r="AC25" s="13">
        <f>Financials!AC7/Financials!AC5</f>
        <v>0.64145703580879276</v>
      </c>
      <c r="AD25" s="13">
        <f>Financials!AD7/Financials!AD5</f>
        <v>0.63879861148510475</v>
      </c>
      <c r="AE25" s="13">
        <f>Financials!AE7/Financials!AE5</f>
        <v>0.63725563297655041</v>
      </c>
      <c r="AF25" s="13">
        <f>Financials!AF7/Financials!AF5</f>
        <v>0.643164294617529</v>
      </c>
      <c r="AG25" s="13">
        <f>Financials!AG7/Financials!AG5</f>
        <v>0.64436850382489885</v>
      </c>
      <c r="AH25" s="13">
        <f>Financials!AH7/Financials!AH5</f>
        <v>0.64664801136180128</v>
      </c>
      <c r="AI25" s="13">
        <f>Financials!AI7/Financials!AI5</f>
        <v>0.64747056480451826</v>
      </c>
      <c r="AJ25" s="13">
        <f>Financials!AJ7/Financials!AJ5</f>
        <v>0.63967096436591886</v>
      </c>
      <c r="AK25" s="13">
        <f>Financials!AK7/Financials!AK5</f>
        <v>0.64822164691010464</v>
      </c>
    </row>
    <row r="26" spans="1:37" s="3" customFormat="1" ht="12.75">
      <c r="A26" s="12" t="s">
        <v>194</v>
      </c>
      <c r="B26" s="117" t="s">
        <v>189</v>
      </c>
      <c r="C26" s="88">
        <f>Financials!C8/Financials!C5</f>
        <v>7.2835558409852355E-2</v>
      </c>
      <c r="D26" s="88">
        <f>Financials!D8/Financials!D5</f>
        <v>6.7263912886538102E-2</v>
      </c>
      <c r="E26" s="88">
        <f>Financials!E8/Financials!E5</f>
        <v>6.5607973792730825E-2</v>
      </c>
      <c r="F26" s="88">
        <f>Financials!F8/Financials!F5</f>
        <v>6.1763439858173466E-2</v>
      </c>
      <c r="G26" s="88">
        <f>Financials!G8/Financials!G5</f>
        <v>7.1749505769445859E-2</v>
      </c>
      <c r="H26" s="88">
        <f>Financials!H8/Financials!H5</f>
        <v>5.9644165690693966E-2</v>
      </c>
      <c r="I26" s="88">
        <f>Financials!I8/Financials!I5</f>
        <v>5.6978406753512505E-2</v>
      </c>
      <c r="J26" s="88">
        <f>Financials!J8/Financials!J5</f>
        <v>6.0211135205768117E-2</v>
      </c>
      <c r="K26" s="88">
        <f>Financials!K8/Financials!K5</f>
        <v>6.0862335581980148E-2</v>
      </c>
      <c r="L26" s="88">
        <f>Financials!L8/Financials!L5</f>
        <v>6.3249863532659101E-2</v>
      </c>
      <c r="M26" s="88">
        <f>Financials!M8/Financials!M5</f>
        <v>6.9597713913888942E-2</v>
      </c>
      <c r="N26" s="88">
        <f>Financials!N8/Financials!N5</f>
        <v>7.0284835561137585E-2</v>
      </c>
      <c r="O26" s="88">
        <f>Financials!O8/Financials!O5</f>
        <v>7.0453126606836766E-2</v>
      </c>
      <c r="P26" s="88">
        <f>Financials!P8/Financials!P5</f>
        <v>5.9744715360894686E-2</v>
      </c>
      <c r="Q26" s="88">
        <f>Financials!Q8/Financials!Q5</f>
        <v>5.7504929730484822E-2</v>
      </c>
      <c r="R26" s="88">
        <f>Financials!R8/Financials!R5</f>
        <v>6.5872649226641253E-2</v>
      </c>
      <c r="S26" s="88">
        <f>Financials!S8/Financials!S5</f>
        <v>6.1252884933468393E-2</v>
      </c>
      <c r="T26" s="88">
        <f>Financials!T8/Financials!T5</f>
        <v>6.0691272412567478E-2</v>
      </c>
      <c r="U26" s="88">
        <f>Financials!U8/Financials!U5</f>
        <v>6.452211453453148E-2</v>
      </c>
      <c r="V26" s="88">
        <f>Financials!V8/Financials!V5</f>
        <v>6.2504743117459419E-2</v>
      </c>
      <c r="W26" s="88">
        <f>Financials!W8/Financials!W5</f>
        <v>6.3133185169659378E-2</v>
      </c>
      <c r="X26" s="88">
        <f>Financials!X8/Financials!X5</f>
        <v>6.2256429796338518E-2</v>
      </c>
      <c r="Y26" s="88">
        <f>Financials!Y8/Financials!Y5</f>
        <v>6.532958573268613E-2</v>
      </c>
      <c r="Z26" s="88">
        <f>Financials!Z8/Financials!Z5</f>
        <v>6.7035905268244558E-2</v>
      </c>
      <c r="AA26" s="88">
        <f>Financials!AA8/Financials!AA5</f>
        <v>5.6784728144778765E-2</v>
      </c>
      <c r="AB26" s="88">
        <f>Financials!AB8/Financials!AB5</f>
        <v>5.6742139412364806E-2</v>
      </c>
      <c r="AC26" s="88">
        <f>Financials!AC8/Financials!AC5</f>
        <v>5.6736998285163938E-2</v>
      </c>
      <c r="AD26" s="88">
        <f>Financials!AD8/Financials!AD5</f>
        <v>6.0114233993307932E-2</v>
      </c>
      <c r="AE26" s="88">
        <f>Financials!AE8/Financials!AE5</f>
        <v>5.8470958142600067E-2</v>
      </c>
      <c r="AF26" s="88">
        <f>Financials!AF8/Financials!AF5</f>
        <v>6.0703953274764126E-2</v>
      </c>
      <c r="AG26" s="88">
        <f>Financials!AG8/Financials!AG5</f>
        <v>5.872986332740443E-2</v>
      </c>
      <c r="AH26" s="88">
        <f>Financials!AH8/Financials!AH5</f>
        <v>6.0169173023421535E-2</v>
      </c>
      <c r="AI26" s="88">
        <f>Financials!AI8/Financials!AI5</f>
        <v>5.9255295983700842E-2</v>
      </c>
      <c r="AJ26" s="88">
        <f>Financials!AJ8/Financials!AJ5</f>
        <v>6.1756101315785933E-2</v>
      </c>
      <c r="AK26" s="88">
        <f>Financials!AK8/Financials!AK5</f>
        <v>5.0856900842537273E-2</v>
      </c>
    </row>
    <row r="27" spans="1:37" s="3" customFormat="1" ht="12.75">
      <c r="A27" s="10" t="s">
        <v>195</v>
      </c>
      <c r="B27" s="72" t="s">
        <v>196</v>
      </c>
      <c r="C27" s="89">
        <f>Financials!C9/Financials!C5</f>
        <v>0</v>
      </c>
      <c r="D27" s="89">
        <f>Financials!D9/Financials!D5</f>
        <v>0</v>
      </c>
      <c r="E27" s="89">
        <f>Financials!E9/Financials!E5</f>
        <v>0</v>
      </c>
      <c r="F27" s="89">
        <f>Financials!F9/Financials!F5</f>
        <v>0</v>
      </c>
      <c r="G27" s="89">
        <f>Financials!G9/Financials!G5</f>
        <v>0</v>
      </c>
      <c r="H27" s="89">
        <f>Financials!H9/Financials!H5</f>
        <v>0</v>
      </c>
      <c r="I27" s="89">
        <f>Financials!I9/Financials!I5</f>
        <v>0</v>
      </c>
      <c r="J27" s="89">
        <f>Financials!J9/Financials!J5</f>
        <v>0</v>
      </c>
      <c r="K27" s="89">
        <f>Financials!K9/Financials!K5</f>
        <v>0</v>
      </c>
      <c r="L27" s="89">
        <f>Financials!L9/Financials!L5</f>
        <v>0</v>
      </c>
      <c r="M27" s="89">
        <f>Financials!M9/Financials!M5</f>
        <v>0</v>
      </c>
      <c r="N27" s="89">
        <f>Financials!N9/Financials!N5</f>
        <v>0</v>
      </c>
      <c r="O27" s="89">
        <f>Financials!O9/Financials!O5</f>
        <v>0</v>
      </c>
      <c r="P27" s="89">
        <f>Financials!P9/Financials!P5</f>
        <v>0.73238764853228211</v>
      </c>
      <c r="Q27" s="89">
        <f>Financials!Q9/Financials!Q5</f>
        <v>0.72652866715674447</v>
      </c>
      <c r="R27" s="89">
        <f>Financials!R9/Financials!R5</f>
        <v>0.76158425771532146</v>
      </c>
      <c r="S27" s="89">
        <f>Financials!S9/Financials!S5</f>
        <v>0.76220080508584565</v>
      </c>
      <c r="T27" s="89">
        <f>Financials!T9/Financials!T5</f>
        <v>0.76017660778681018</v>
      </c>
      <c r="U27" s="89">
        <f>Financials!U9/Financials!U5</f>
        <v>0.75823619901657213</v>
      </c>
      <c r="V27" s="89">
        <f>Financials!V9/Financials!V5</f>
        <v>0.74048181222282883</v>
      </c>
      <c r="W27" s="89">
        <f>Financials!W9/Financials!W5</f>
        <v>0.73661951022987837</v>
      </c>
      <c r="X27" s="89">
        <f>Financials!X9/Financials!X5</f>
        <v>0.7354391306788387</v>
      </c>
      <c r="Y27" s="89">
        <f>Financials!Y9/Financials!Y5</f>
        <v>0.72777889116394268</v>
      </c>
      <c r="Z27" s="89">
        <f>Financials!Z9/Financials!Z5</f>
        <v>0.71331185141834574</v>
      </c>
      <c r="AA27" s="89">
        <f>Financials!AA9/Financials!AA5</f>
        <v>0.71001849651421434</v>
      </c>
      <c r="AB27" s="89">
        <f>Financials!AB9/Financials!AB5</f>
        <v>0.74037077643623761</v>
      </c>
      <c r="AC27" s="89">
        <f>Financials!AC9/Financials!AC5</f>
        <v>0.71011663156067162</v>
      </c>
      <c r="AD27" s="89">
        <f>Financials!AD9/Financials!AD5</f>
        <v>0.71095495909010109</v>
      </c>
      <c r="AE27" s="89">
        <f>Financials!AE9/Financials!AE5</f>
        <v>0.73668532809215048</v>
      </c>
      <c r="AF27" s="89">
        <f>Financials!AF9/Financials!AF5</f>
        <v>0.7325489290170154</v>
      </c>
      <c r="AG27" s="89">
        <f>Financials!AG9/Financials!AG5</f>
        <v>0.72687094707687117</v>
      </c>
      <c r="AH27" s="89">
        <f>Financials!AH9/Financials!AH5</f>
        <v>0.72973243418878497</v>
      </c>
      <c r="AI27" s="89">
        <f>Financials!AI9/Financials!AI5</f>
        <v>0.71992267417638067</v>
      </c>
      <c r="AJ27" s="89">
        <f>Financials!AJ9/Financials!AJ5</f>
        <v>0.71456357906486856</v>
      </c>
      <c r="AK27" s="89">
        <f>Financials!AK9/Financials!AK5</f>
        <v>0.71218023276744202</v>
      </c>
    </row>
    <row r="28" spans="1:37" s="3" customFormat="1" ht="12.75">
      <c r="A28" s="8"/>
      <c r="B28" s="11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 s="3" customFormat="1" ht="12.75">
      <c r="A29" s="6" t="s">
        <v>197</v>
      </c>
      <c r="B29" s="7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spans="1:37" ht="12.75">
      <c r="A30" s="10" t="s">
        <v>38</v>
      </c>
      <c r="B30" s="118" t="s">
        <v>189</v>
      </c>
      <c r="C30" s="120" t="e">
        <f>Financials!C5/Financials!#REF!-1</f>
        <v>#REF!</v>
      </c>
      <c r="D30" s="120" t="e">
        <f>Financials!D5/Financials!#REF!-1</f>
        <v>#REF!</v>
      </c>
      <c r="E30" s="120" t="e">
        <f>Financials!E5/Financials!#REF!-1</f>
        <v>#REF!</v>
      </c>
      <c r="F30" s="120" t="e">
        <f>Financials!F5/Financials!#REF!-1</f>
        <v>#REF!</v>
      </c>
      <c r="G30" s="120" t="e">
        <f>Financials!G5/Financials!#REF!-1</f>
        <v>#REF!</v>
      </c>
      <c r="H30" s="120" t="e">
        <f>Financials!H5/Financials!#REF!-1</f>
        <v>#REF!</v>
      </c>
      <c r="I30" s="120" t="e">
        <f>Financials!I5/Financials!#REF!-1</f>
        <v>#REF!</v>
      </c>
      <c r="J30" s="120" t="e">
        <f>Financials!J5/Financials!#REF!-1</f>
        <v>#REF!</v>
      </c>
      <c r="K30" s="120" t="e">
        <f>Financials!K5/Financials!#REF!-1</f>
        <v>#REF!</v>
      </c>
      <c r="L30" s="120" t="e">
        <f>Financials!L5/Financials!#REF!-1</f>
        <v>#REF!</v>
      </c>
      <c r="M30" s="120" t="e">
        <f>Financials!M5/Financials!#REF!-1</f>
        <v>#REF!</v>
      </c>
      <c r="N30" s="120" t="e">
        <f>Financials!N5/Financials!#REF!-1</f>
        <v>#REF!</v>
      </c>
      <c r="O30" s="120" t="e">
        <f>Financials!O5/Financials!#REF!-1</f>
        <v>#REF!</v>
      </c>
      <c r="P30" s="120" t="e">
        <f>Financials!P5/Financials!#REF!-1</f>
        <v>#REF!</v>
      </c>
      <c r="Q30" s="120" t="e">
        <f>Financials!Q5/Financials!#REF!-1</f>
        <v>#REF!</v>
      </c>
      <c r="R30" s="120" t="e">
        <f>Financials!R5/Financials!#REF!-1</f>
        <v>#REF!</v>
      </c>
      <c r="S30" s="120" t="e">
        <f>Financials!S5/Financials!#REF!-1</f>
        <v>#REF!</v>
      </c>
      <c r="T30" s="120" t="e">
        <f>Financials!T5/Financials!#REF!-1</f>
        <v>#REF!</v>
      </c>
      <c r="U30" s="120" t="e">
        <f>Financials!U5/Financials!#REF!-1</f>
        <v>#REF!</v>
      </c>
      <c r="V30" s="120" t="e">
        <f>Financials!V5/Financials!#REF!-1</f>
        <v>#REF!</v>
      </c>
      <c r="W30" s="120" t="e">
        <f>Financials!W5/Financials!#REF!-1</f>
        <v>#REF!</v>
      </c>
      <c r="X30" s="120" t="e">
        <f>Financials!X5/Financials!#REF!-1</f>
        <v>#REF!</v>
      </c>
      <c r="Y30" s="120" t="e">
        <f>Financials!Y5/Financials!#REF!-1</f>
        <v>#REF!</v>
      </c>
      <c r="Z30" s="120" t="e">
        <f>Financials!Z5/Financials!#REF!-1</f>
        <v>#REF!</v>
      </c>
      <c r="AA30" s="120" t="e">
        <f>Financials!AA5/Financials!#REF!-1</f>
        <v>#REF!</v>
      </c>
      <c r="AB30" s="120" t="e">
        <f>Financials!AB5/Financials!#REF!-1</f>
        <v>#REF!</v>
      </c>
      <c r="AC30" s="120" t="e">
        <f>Financials!AC5/Financials!#REF!-1</f>
        <v>#REF!</v>
      </c>
      <c r="AD30" s="120" t="e">
        <f>Financials!AD5/Financials!#REF!-1</f>
        <v>#REF!</v>
      </c>
      <c r="AE30" s="120" t="e">
        <f>Financials!AE5/Financials!#REF!-1</f>
        <v>#REF!</v>
      </c>
      <c r="AF30" s="120" t="e">
        <f>Financials!AF5/Financials!#REF!-1</f>
        <v>#REF!</v>
      </c>
      <c r="AG30" s="120" t="e">
        <f>Financials!AG5/Financials!#REF!-1</f>
        <v>#REF!</v>
      </c>
      <c r="AH30" s="120" t="e">
        <f>Financials!AH5/Financials!#REF!-1</f>
        <v>#REF!</v>
      </c>
      <c r="AI30" s="120" t="e">
        <f>Financials!AI5/Financials!#REF!-1</f>
        <v>#REF!</v>
      </c>
      <c r="AJ30" s="120" t="e">
        <f>Financials!AJ5/Financials!#REF!-1</f>
        <v>#REF!</v>
      </c>
      <c r="AK30" s="120" t="e">
        <f>Financials!AK5/Financials!#REF!-1</f>
        <v>#REF!</v>
      </c>
    </row>
    <row r="31" spans="1:37" ht="12.75">
      <c r="A31" s="10" t="s">
        <v>116</v>
      </c>
      <c r="B31" s="118" t="s">
        <v>189</v>
      </c>
      <c r="C31" s="120" t="e">
        <f>Financials!C6/Financials!#REF!-1</f>
        <v>#REF!</v>
      </c>
      <c r="D31" s="120" t="e">
        <f>Financials!D6/Financials!#REF!-1</f>
        <v>#REF!</v>
      </c>
      <c r="E31" s="120" t="e">
        <f>Financials!E6/Financials!#REF!-1</f>
        <v>#REF!</v>
      </c>
      <c r="F31" s="120" t="e">
        <f>Financials!F6/Financials!#REF!-1</f>
        <v>#REF!</v>
      </c>
      <c r="G31" s="120" t="e">
        <f>Financials!G6/Financials!#REF!-1</f>
        <v>#REF!</v>
      </c>
      <c r="H31" s="120" t="e">
        <f>Financials!H6/Financials!#REF!-1</f>
        <v>#REF!</v>
      </c>
      <c r="I31" s="120" t="e">
        <f>Financials!I6/Financials!#REF!-1</f>
        <v>#REF!</v>
      </c>
      <c r="J31" s="120" t="e">
        <f>Financials!J6/Financials!#REF!-1</f>
        <v>#REF!</v>
      </c>
      <c r="K31" s="120" t="e">
        <f>Financials!K6/Financials!#REF!-1</f>
        <v>#REF!</v>
      </c>
      <c r="L31" s="120" t="e">
        <f>Financials!L6/Financials!#REF!-1</f>
        <v>#REF!</v>
      </c>
      <c r="M31" s="120" t="e">
        <f>Financials!M6/Financials!#REF!-1</f>
        <v>#REF!</v>
      </c>
      <c r="N31" s="120" t="e">
        <f>Financials!N6/Financials!#REF!-1</f>
        <v>#REF!</v>
      </c>
      <c r="O31" s="120" t="e">
        <f>Financials!O6/Financials!#REF!-1</f>
        <v>#REF!</v>
      </c>
      <c r="P31" s="120" t="e">
        <f>Financials!P6/Financials!#REF!-1</f>
        <v>#REF!</v>
      </c>
      <c r="Q31" s="120" t="e">
        <f>Financials!Q6/Financials!#REF!-1</f>
        <v>#REF!</v>
      </c>
      <c r="R31" s="120" t="e">
        <f>Financials!R6/Financials!#REF!-1</f>
        <v>#REF!</v>
      </c>
      <c r="S31" s="120" t="e">
        <f>Financials!S6/Financials!#REF!-1</f>
        <v>#REF!</v>
      </c>
      <c r="T31" s="120" t="e">
        <f>Financials!T6/Financials!#REF!-1</f>
        <v>#REF!</v>
      </c>
      <c r="U31" s="120" t="e">
        <f>Financials!U6/Financials!#REF!-1</f>
        <v>#REF!</v>
      </c>
      <c r="V31" s="120" t="e">
        <f>Financials!V6/Financials!#REF!-1</f>
        <v>#REF!</v>
      </c>
      <c r="W31" s="120" t="e">
        <f>Financials!W6/Financials!#REF!-1</f>
        <v>#REF!</v>
      </c>
      <c r="X31" s="120" t="e">
        <f>Financials!X6/Financials!#REF!-1</f>
        <v>#REF!</v>
      </c>
      <c r="Y31" s="120" t="e">
        <f>Financials!Y6/Financials!#REF!-1</f>
        <v>#REF!</v>
      </c>
      <c r="Z31" s="120" t="e">
        <f>Financials!Z6/Financials!#REF!-1</f>
        <v>#REF!</v>
      </c>
      <c r="AA31" s="120" t="e">
        <f>Financials!AA6/Financials!#REF!-1</f>
        <v>#REF!</v>
      </c>
      <c r="AB31" s="120" t="e">
        <f>Financials!AB6/Financials!#REF!-1</f>
        <v>#REF!</v>
      </c>
      <c r="AC31" s="120" t="e">
        <f>Financials!AC6/Financials!#REF!-1</f>
        <v>#REF!</v>
      </c>
      <c r="AD31" s="120" t="e">
        <f>Financials!AD6/Financials!#REF!-1</f>
        <v>#REF!</v>
      </c>
      <c r="AE31" s="120" t="e">
        <f>Financials!AE6/Financials!#REF!-1</f>
        <v>#REF!</v>
      </c>
      <c r="AF31" s="120" t="e">
        <f>Financials!AF6/Financials!#REF!-1</f>
        <v>#REF!</v>
      </c>
      <c r="AG31" s="120" t="e">
        <f>Financials!AG6/Financials!#REF!-1</f>
        <v>#REF!</v>
      </c>
      <c r="AH31" s="120" t="e">
        <f>Financials!AH6/Financials!#REF!-1</f>
        <v>#REF!</v>
      </c>
      <c r="AI31" s="120" t="e">
        <f>Financials!AI6/Financials!#REF!-1</f>
        <v>#REF!</v>
      </c>
      <c r="AJ31" s="120" t="e">
        <f>Financials!AJ6/Financials!#REF!-1</f>
        <v>#REF!</v>
      </c>
      <c r="AK31" s="120" t="e">
        <f>Financials!AK6/Financials!#REF!-1</f>
        <v>#REF!</v>
      </c>
    </row>
    <row r="32" spans="1:37" ht="12.75">
      <c r="A32" s="15" t="s">
        <v>198</v>
      </c>
      <c r="B32" s="118" t="s">
        <v>189</v>
      </c>
      <c r="C32" s="120" t="e">
        <f>Financials!C7/Financials!#REF!-1</f>
        <v>#REF!</v>
      </c>
      <c r="D32" s="120" t="e">
        <f>Financials!D7/Financials!#REF!-1</f>
        <v>#REF!</v>
      </c>
      <c r="E32" s="120" t="e">
        <f>Financials!E7/Financials!#REF!-1</f>
        <v>#REF!</v>
      </c>
      <c r="F32" s="120" t="e">
        <f>Financials!F7/Financials!#REF!-1</f>
        <v>#REF!</v>
      </c>
      <c r="G32" s="120" t="e">
        <f>Financials!G7/Financials!#REF!-1</f>
        <v>#REF!</v>
      </c>
      <c r="H32" s="120" t="e">
        <f>Financials!H7/Financials!#REF!-1</f>
        <v>#REF!</v>
      </c>
      <c r="I32" s="120" t="e">
        <f>Financials!I7/Financials!#REF!-1</f>
        <v>#REF!</v>
      </c>
      <c r="J32" s="120" t="e">
        <f>Financials!J7/Financials!#REF!-1</f>
        <v>#REF!</v>
      </c>
      <c r="K32" s="120" t="e">
        <f>Financials!K7/Financials!#REF!-1</f>
        <v>#REF!</v>
      </c>
      <c r="L32" s="120" t="e">
        <f>Financials!L7/Financials!#REF!-1</f>
        <v>#REF!</v>
      </c>
      <c r="M32" s="120" t="e">
        <f>Financials!M7/Financials!#REF!-1</f>
        <v>#REF!</v>
      </c>
      <c r="N32" s="120" t="e">
        <f>Financials!N7/Financials!#REF!-1</f>
        <v>#REF!</v>
      </c>
      <c r="O32" s="120" t="e">
        <f>Financials!O7/Financials!#REF!-1</f>
        <v>#REF!</v>
      </c>
      <c r="P32" s="120" t="e">
        <f>Financials!P7/Financials!#REF!-1</f>
        <v>#REF!</v>
      </c>
      <c r="Q32" s="120" t="e">
        <f>Financials!Q7/Financials!#REF!-1</f>
        <v>#REF!</v>
      </c>
      <c r="R32" s="120" t="e">
        <f>Financials!R7/Financials!#REF!-1</f>
        <v>#REF!</v>
      </c>
      <c r="S32" s="120" t="e">
        <f>Financials!S7/Financials!#REF!-1</f>
        <v>#REF!</v>
      </c>
      <c r="T32" s="120" t="e">
        <f>Financials!T7/Financials!#REF!-1</f>
        <v>#REF!</v>
      </c>
      <c r="U32" s="120" t="e">
        <f>Financials!U7/Financials!#REF!-1</f>
        <v>#REF!</v>
      </c>
      <c r="V32" s="120" t="e">
        <f>Financials!V7/Financials!#REF!-1</f>
        <v>#REF!</v>
      </c>
      <c r="W32" s="120" t="e">
        <f>Financials!W7/Financials!#REF!-1</f>
        <v>#REF!</v>
      </c>
      <c r="X32" s="120" t="e">
        <f>Financials!X7/Financials!#REF!-1</f>
        <v>#REF!</v>
      </c>
      <c r="Y32" s="120" t="e">
        <f>Financials!Y7/Financials!#REF!-1</f>
        <v>#REF!</v>
      </c>
      <c r="Z32" s="120" t="e">
        <f>Financials!Z7/Financials!#REF!-1</f>
        <v>#REF!</v>
      </c>
      <c r="AA32" s="120" t="e">
        <f>Financials!AA7/Financials!#REF!-1</f>
        <v>#REF!</v>
      </c>
      <c r="AB32" s="120" t="e">
        <f>Financials!AB7/Financials!#REF!-1</f>
        <v>#REF!</v>
      </c>
      <c r="AC32" s="120" t="e">
        <f>Financials!AC7/Financials!#REF!-1</f>
        <v>#REF!</v>
      </c>
      <c r="AD32" s="120" t="e">
        <f>Financials!AD7/Financials!#REF!-1</f>
        <v>#REF!</v>
      </c>
      <c r="AE32" s="120" t="e">
        <f>Financials!AE7/Financials!#REF!-1</f>
        <v>#REF!</v>
      </c>
      <c r="AF32" s="120" t="e">
        <f>Financials!AF7/Financials!#REF!-1</f>
        <v>#REF!</v>
      </c>
      <c r="AG32" s="120" t="e">
        <f>Financials!AG7/Financials!#REF!-1</f>
        <v>#REF!</v>
      </c>
      <c r="AH32" s="120" t="e">
        <f>Financials!AH7/Financials!#REF!-1</f>
        <v>#REF!</v>
      </c>
      <c r="AI32" s="120" t="e">
        <f>Financials!AI7/Financials!#REF!-1</f>
        <v>#REF!</v>
      </c>
      <c r="AJ32" s="120" t="e">
        <f>Financials!AJ7/Financials!#REF!-1</f>
        <v>#REF!</v>
      </c>
      <c r="AK32" s="120" t="e">
        <f>Financials!AK7/Financials!#REF!-1</f>
        <v>#REF!</v>
      </c>
    </row>
    <row r="33" spans="1:37" ht="12.75">
      <c r="A33" s="15" t="s">
        <v>199</v>
      </c>
      <c r="B33" s="118" t="s">
        <v>189</v>
      </c>
      <c r="C33" s="120" t="e">
        <f>Financials!C8/Financials!#REF!-1</f>
        <v>#REF!</v>
      </c>
      <c r="D33" s="120" t="e">
        <f>Financials!D8/Financials!#REF!-1</f>
        <v>#REF!</v>
      </c>
      <c r="E33" s="120" t="e">
        <f>Financials!E8/Financials!#REF!-1</f>
        <v>#REF!</v>
      </c>
      <c r="F33" s="120" t="e">
        <f>Financials!F8/Financials!#REF!-1</f>
        <v>#REF!</v>
      </c>
      <c r="G33" s="120" t="e">
        <f>Financials!G8/Financials!#REF!-1</f>
        <v>#REF!</v>
      </c>
      <c r="H33" s="120" t="e">
        <f>Financials!H8/Financials!#REF!-1</f>
        <v>#REF!</v>
      </c>
      <c r="I33" s="120" t="e">
        <f>Financials!I8/Financials!#REF!-1</f>
        <v>#REF!</v>
      </c>
      <c r="J33" s="120" t="e">
        <f>Financials!J8/Financials!#REF!-1</f>
        <v>#REF!</v>
      </c>
      <c r="K33" s="120" t="e">
        <f>Financials!K8/Financials!#REF!-1</f>
        <v>#REF!</v>
      </c>
      <c r="L33" s="120" t="e">
        <f>Financials!L8/Financials!#REF!-1</f>
        <v>#REF!</v>
      </c>
      <c r="M33" s="120" t="e">
        <f>Financials!M8/Financials!#REF!-1</f>
        <v>#REF!</v>
      </c>
      <c r="N33" s="120" t="e">
        <f>Financials!N8/Financials!#REF!-1</f>
        <v>#REF!</v>
      </c>
      <c r="O33" s="120" t="e">
        <f>Financials!O8/Financials!#REF!-1</f>
        <v>#REF!</v>
      </c>
      <c r="P33" s="120" t="e">
        <f>Financials!P8/Financials!#REF!-1</f>
        <v>#REF!</v>
      </c>
      <c r="Q33" s="120" t="e">
        <f>Financials!Q8/Financials!#REF!-1</f>
        <v>#REF!</v>
      </c>
      <c r="R33" s="120" t="e">
        <f>Financials!R8/Financials!#REF!-1</f>
        <v>#REF!</v>
      </c>
      <c r="S33" s="120" t="e">
        <f>Financials!S8/Financials!#REF!-1</f>
        <v>#REF!</v>
      </c>
      <c r="T33" s="120" t="e">
        <f>Financials!T8/Financials!#REF!-1</f>
        <v>#REF!</v>
      </c>
      <c r="U33" s="120" t="e">
        <f>Financials!U8/Financials!#REF!-1</f>
        <v>#REF!</v>
      </c>
      <c r="V33" s="120" t="e">
        <f>Financials!V8/Financials!#REF!-1</f>
        <v>#REF!</v>
      </c>
      <c r="W33" s="120" t="e">
        <f>Financials!W8/Financials!#REF!-1</f>
        <v>#REF!</v>
      </c>
      <c r="X33" s="120" t="e">
        <f>Financials!X8/Financials!#REF!-1</f>
        <v>#REF!</v>
      </c>
      <c r="Y33" s="120" t="e">
        <f>Financials!Y8/Financials!#REF!-1</f>
        <v>#REF!</v>
      </c>
      <c r="Z33" s="120" t="e">
        <f>Financials!Z8/Financials!#REF!-1</f>
        <v>#REF!</v>
      </c>
      <c r="AA33" s="120" t="e">
        <f>Financials!AA8/Financials!#REF!-1</f>
        <v>#REF!</v>
      </c>
      <c r="AB33" s="120" t="e">
        <f>Financials!AB8/Financials!#REF!-1</f>
        <v>#REF!</v>
      </c>
      <c r="AC33" s="120" t="e">
        <f>Financials!AC8/Financials!#REF!-1</f>
        <v>#REF!</v>
      </c>
      <c r="AD33" s="120" t="e">
        <f>Financials!AD8/Financials!#REF!-1</f>
        <v>#REF!</v>
      </c>
      <c r="AE33" s="120" t="e">
        <f>Financials!AE8/Financials!#REF!-1</f>
        <v>#REF!</v>
      </c>
      <c r="AF33" s="120" t="e">
        <f>Financials!AF8/Financials!#REF!-1</f>
        <v>#REF!</v>
      </c>
      <c r="AG33" s="120" t="e">
        <f>Financials!AG8/Financials!#REF!-1</f>
        <v>#REF!</v>
      </c>
      <c r="AH33" s="120" t="e">
        <f>Financials!AH8/Financials!#REF!-1</f>
        <v>#REF!</v>
      </c>
      <c r="AI33" s="120" t="e">
        <f>Financials!AI8/Financials!#REF!-1</f>
        <v>#REF!</v>
      </c>
      <c r="AJ33" s="120" t="e">
        <f>Financials!AJ8/Financials!#REF!-1</f>
        <v>#REF!</v>
      </c>
      <c r="AK33" s="120" t="e">
        <f>Financials!AK8/Financials!#REF!-1</f>
        <v>#REF!</v>
      </c>
    </row>
    <row r="34" spans="1:37" ht="12.75">
      <c r="A34" s="10" t="s">
        <v>140</v>
      </c>
      <c r="B34" s="118" t="s">
        <v>189</v>
      </c>
      <c r="C34" s="120" t="e">
        <f>Financials!C9/Financials!#REF!-1</f>
        <v>#REF!</v>
      </c>
      <c r="D34" s="120" t="e">
        <f>Financials!D9/Financials!#REF!-1</f>
        <v>#REF!</v>
      </c>
      <c r="E34" s="120" t="e">
        <f>Financials!E9/Financials!#REF!-1</f>
        <v>#REF!</v>
      </c>
      <c r="F34" s="120" t="e">
        <f>Financials!F9/Financials!#REF!-1</f>
        <v>#REF!</v>
      </c>
      <c r="G34" s="120" t="e">
        <f>Financials!G9/Financials!#REF!-1</f>
        <v>#REF!</v>
      </c>
      <c r="H34" s="120" t="e">
        <f>Financials!H9/Financials!#REF!-1</f>
        <v>#REF!</v>
      </c>
      <c r="I34" s="120" t="e">
        <f>Financials!I9/Financials!#REF!-1</f>
        <v>#REF!</v>
      </c>
      <c r="J34" s="120" t="e">
        <f>Financials!J9/Financials!#REF!-1</f>
        <v>#REF!</v>
      </c>
      <c r="K34" s="120" t="e">
        <f>Financials!K9/Financials!#REF!-1</f>
        <v>#REF!</v>
      </c>
      <c r="L34" s="120" t="e">
        <f>Financials!L9/Financials!#REF!-1</f>
        <v>#REF!</v>
      </c>
      <c r="M34" s="120" t="e">
        <f>Financials!M9/Financials!#REF!-1</f>
        <v>#REF!</v>
      </c>
      <c r="N34" s="120" t="e">
        <f>Financials!N9/Financials!#REF!-1</f>
        <v>#REF!</v>
      </c>
      <c r="O34" s="120" t="e">
        <f>Financials!O9/Financials!#REF!-1</f>
        <v>#REF!</v>
      </c>
      <c r="P34" s="120" t="e">
        <f>Financials!P9/Financials!#REF!-1</f>
        <v>#REF!</v>
      </c>
      <c r="Q34" s="120" t="e">
        <f>Financials!Q9/Financials!#REF!-1</f>
        <v>#REF!</v>
      </c>
      <c r="R34" s="120" t="e">
        <f>Financials!R9/Financials!#REF!-1</f>
        <v>#REF!</v>
      </c>
      <c r="S34" s="120" t="e">
        <f>Financials!S9/Financials!#REF!-1</f>
        <v>#REF!</v>
      </c>
      <c r="T34" s="120" t="e">
        <f>Financials!T9/Financials!#REF!-1</f>
        <v>#REF!</v>
      </c>
      <c r="U34" s="120" t="e">
        <f>Financials!U9/Financials!#REF!-1</f>
        <v>#REF!</v>
      </c>
      <c r="V34" s="120" t="e">
        <f>Financials!V9/Financials!#REF!-1</f>
        <v>#REF!</v>
      </c>
      <c r="W34" s="120" t="e">
        <f>Financials!W9/Financials!#REF!-1</f>
        <v>#REF!</v>
      </c>
      <c r="X34" s="120" t="e">
        <f>Financials!X9/Financials!#REF!-1</f>
        <v>#REF!</v>
      </c>
      <c r="Y34" s="120" t="e">
        <f>Financials!Y9/Financials!#REF!-1</f>
        <v>#REF!</v>
      </c>
      <c r="Z34" s="120" t="e">
        <f>Financials!Z9/Financials!#REF!-1</f>
        <v>#REF!</v>
      </c>
      <c r="AA34" s="120" t="e">
        <f>Financials!AA9/Financials!#REF!-1</f>
        <v>#REF!</v>
      </c>
      <c r="AB34" s="120" t="e">
        <f>Financials!AB9/Financials!#REF!-1</f>
        <v>#REF!</v>
      </c>
      <c r="AC34" s="120" t="e">
        <f>Financials!AC9/Financials!#REF!-1</f>
        <v>#REF!</v>
      </c>
      <c r="AD34" s="120" t="e">
        <f>Financials!AD9/Financials!#REF!-1</f>
        <v>#REF!</v>
      </c>
      <c r="AE34" s="120" t="e">
        <f>Financials!AE9/Financials!#REF!-1</f>
        <v>#REF!</v>
      </c>
      <c r="AF34" s="120" t="e">
        <f>Financials!AF9/Financials!#REF!-1</f>
        <v>#REF!</v>
      </c>
      <c r="AG34" s="120" t="e">
        <f>Financials!AG9/Financials!#REF!-1</f>
        <v>#REF!</v>
      </c>
      <c r="AH34" s="120" t="e">
        <f>Financials!AH9/Financials!#REF!-1</f>
        <v>#REF!</v>
      </c>
      <c r="AI34" s="120" t="e">
        <f>Financials!AI9/Financials!#REF!-1</f>
        <v>#REF!</v>
      </c>
      <c r="AJ34" s="120" t="e">
        <f>Financials!AJ9/Financials!#REF!-1</f>
        <v>#REF!</v>
      </c>
      <c r="AK34" s="120" t="e">
        <f>Financials!AK9/Financials!#REF!-1</f>
        <v>#REF!</v>
      </c>
    </row>
    <row r="35" spans="1:37" ht="12.75">
      <c r="A35" s="10" t="s">
        <v>200</v>
      </c>
      <c r="B35" s="118" t="s">
        <v>189</v>
      </c>
      <c r="C35" s="120" t="e">
        <f>Financials!C10/Financials!#REF!-1</f>
        <v>#REF!</v>
      </c>
      <c r="D35" s="120" t="e">
        <f>Financials!D10/Financials!#REF!-1</f>
        <v>#REF!</v>
      </c>
      <c r="E35" s="120" t="e">
        <f>Financials!E10/Financials!#REF!-1</f>
        <v>#REF!</v>
      </c>
      <c r="F35" s="120" t="e">
        <f>Financials!F10/Financials!#REF!-1</f>
        <v>#REF!</v>
      </c>
      <c r="G35" s="120" t="e">
        <f>Financials!G10/Financials!#REF!-1</f>
        <v>#REF!</v>
      </c>
      <c r="H35" s="120" t="e">
        <f>Financials!H10/Financials!#REF!-1</f>
        <v>#REF!</v>
      </c>
      <c r="I35" s="120" t="e">
        <f>Financials!I10/Financials!#REF!-1</f>
        <v>#REF!</v>
      </c>
      <c r="J35" s="120" t="e">
        <f>Financials!J10/Financials!#REF!-1</f>
        <v>#REF!</v>
      </c>
      <c r="K35" s="120" t="e">
        <f>Financials!K10/Financials!#REF!-1</f>
        <v>#REF!</v>
      </c>
      <c r="L35" s="120" t="e">
        <f>Financials!L10/Financials!#REF!-1</f>
        <v>#REF!</v>
      </c>
      <c r="M35" s="120" t="e">
        <f>Financials!M10/Financials!#REF!-1</f>
        <v>#REF!</v>
      </c>
      <c r="N35" s="120" t="e">
        <f>Financials!N10/Financials!#REF!-1</f>
        <v>#REF!</v>
      </c>
      <c r="O35" s="120" t="e">
        <f>Financials!O10/Financials!#REF!-1</f>
        <v>#REF!</v>
      </c>
      <c r="P35" s="120" t="e">
        <f>Financials!P10/Financials!#REF!-1</f>
        <v>#REF!</v>
      </c>
      <c r="Q35" s="120" t="e">
        <f>Financials!Q10/Financials!#REF!-1</f>
        <v>#REF!</v>
      </c>
      <c r="R35" s="120" t="e">
        <f>Financials!R10/Financials!#REF!-1</f>
        <v>#REF!</v>
      </c>
      <c r="S35" s="120" t="e">
        <f>Financials!S10/Financials!#REF!-1</f>
        <v>#REF!</v>
      </c>
      <c r="T35" s="120" t="e">
        <f>Financials!T10/Financials!#REF!-1</f>
        <v>#REF!</v>
      </c>
      <c r="U35" s="120" t="e">
        <f>Financials!U10/Financials!#REF!-1</f>
        <v>#REF!</v>
      </c>
      <c r="V35" s="120" t="e">
        <f>Financials!V10/Financials!#REF!-1</f>
        <v>#REF!</v>
      </c>
      <c r="W35" s="120" t="e">
        <f>Financials!W10/Financials!#REF!-1</f>
        <v>#REF!</v>
      </c>
      <c r="X35" s="120" t="e">
        <f>Financials!X10/Financials!#REF!-1</f>
        <v>#REF!</v>
      </c>
      <c r="Y35" s="120" t="e">
        <f>Financials!Y10/Financials!#REF!-1</f>
        <v>#REF!</v>
      </c>
      <c r="Z35" s="120" t="e">
        <f>Financials!Z10/Financials!#REF!-1</f>
        <v>#REF!</v>
      </c>
      <c r="AA35" s="120" t="e">
        <f>Financials!AA10/Financials!#REF!-1</f>
        <v>#REF!</v>
      </c>
      <c r="AB35" s="120" t="e">
        <f>Financials!AB10/Financials!#REF!-1</f>
        <v>#REF!</v>
      </c>
      <c r="AC35" s="120" t="e">
        <f>Financials!AC10/Financials!#REF!-1</f>
        <v>#REF!</v>
      </c>
      <c r="AD35" s="120" t="e">
        <f>Financials!AD10/Financials!#REF!-1</f>
        <v>#REF!</v>
      </c>
      <c r="AE35" s="120" t="e">
        <f>Financials!AE10/Financials!#REF!-1</f>
        <v>#REF!</v>
      </c>
      <c r="AF35" s="120" t="e">
        <f>Financials!AF10/Financials!#REF!-1</f>
        <v>#REF!</v>
      </c>
      <c r="AG35" s="120" t="e">
        <f>Financials!AG10/Financials!#REF!-1</f>
        <v>#REF!</v>
      </c>
      <c r="AH35" s="120" t="e">
        <f>Financials!AH10/Financials!#REF!-1</f>
        <v>#REF!</v>
      </c>
      <c r="AI35" s="120" t="e">
        <f>Financials!AI10/Financials!#REF!-1</f>
        <v>#REF!</v>
      </c>
      <c r="AJ35" s="120" t="e">
        <f>Financials!AJ10/Financials!#REF!-1</f>
        <v>#REF!</v>
      </c>
      <c r="AK35" s="120" t="e">
        <f>Financials!AK10/Financials!#REF!-1</f>
        <v>#REF!</v>
      </c>
    </row>
    <row r="36" spans="1:37" ht="12.75">
      <c r="A36" s="10" t="s">
        <v>201</v>
      </c>
      <c r="B36" s="118" t="s">
        <v>189</v>
      </c>
      <c r="C36" s="120" t="e">
        <f>Financials!C11/Financials!#REF!-1</f>
        <v>#REF!</v>
      </c>
      <c r="D36" s="120" t="e">
        <f>Financials!D11/Financials!#REF!-1</f>
        <v>#REF!</v>
      </c>
      <c r="E36" s="120" t="e">
        <f>Financials!E11/Financials!#REF!-1</f>
        <v>#REF!</v>
      </c>
      <c r="F36" s="120" t="e">
        <f>Financials!F11/Financials!#REF!-1</f>
        <v>#REF!</v>
      </c>
      <c r="G36" s="120" t="e">
        <f>Financials!G11/Financials!#REF!-1</f>
        <v>#REF!</v>
      </c>
      <c r="H36" s="120" t="e">
        <f>Financials!H11/Financials!#REF!-1</f>
        <v>#REF!</v>
      </c>
      <c r="I36" s="120" t="e">
        <f>Financials!I11/Financials!#REF!-1</f>
        <v>#REF!</v>
      </c>
      <c r="J36" s="120" t="e">
        <f>Financials!J11/Financials!#REF!-1</f>
        <v>#REF!</v>
      </c>
      <c r="K36" s="120" t="e">
        <f>Financials!K11/Financials!#REF!-1</f>
        <v>#REF!</v>
      </c>
      <c r="L36" s="120" t="e">
        <f>Financials!L11/Financials!#REF!-1</f>
        <v>#REF!</v>
      </c>
      <c r="M36" s="120" t="e">
        <f>Financials!M11/Financials!#REF!-1</f>
        <v>#REF!</v>
      </c>
      <c r="N36" s="120" t="e">
        <f>Financials!N11/Financials!#REF!-1</f>
        <v>#REF!</v>
      </c>
      <c r="O36" s="120" t="e">
        <f>Financials!O11/Financials!#REF!-1</f>
        <v>#REF!</v>
      </c>
      <c r="P36" s="120" t="e">
        <f>Financials!P11/Financials!#REF!-1</f>
        <v>#REF!</v>
      </c>
      <c r="Q36" s="120" t="e">
        <f>Financials!Q11/Financials!#REF!-1</f>
        <v>#REF!</v>
      </c>
      <c r="R36" s="120" t="e">
        <f>Financials!R11/Financials!#REF!-1</f>
        <v>#REF!</v>
      </c>
      <c r="S36" s="120" t="e">
        <f>Financials!S11/Financials!#REF!-1</f>
        <v>#REF!</v>
      </c>
      <c r="T36" s="120" t="e">
        <f>Financials!T11/Financials!#REF!-1</f>
        <v>#REF!</v>
      </c>
      <c r="U36" s="120" t="e">
        <f>Financials!U11/Financials!#REF!-1</f>
        <v>#REF!</v>
      </c>
      <c r="V36" s="120" t="e">
        <f>Financials!V11/Financials!#REF!-1</f>
        <v>#REF!</v>
      </c>
      <c r="W36" s="120" t="e">
        <f>Financials!W11/Financials!#REF!-1</f>
        <v>#REF!</v>
      </c>
      <c r="X36" s="120" t="e">
        <f>Financials!X11/Financials!#REF!-1</f>
        <v>#REF!</v>
      </c>
      <c r="Y36" s="120" t="e">
        <f>Financials!Y11/Financials!#REF!-1</f>
        <v>#REF!</v>
      </c>
      <c r="Z36" s="120" t="e">
        <f>Financials!Z11/Financials!#REF!-1</f>
        <v>#REF!</v>
      </c>
      <c r="AA36" s="120" t="e">
        <f>Financials!AA11/Financials!#REF!-1</f>
        <v>#REF!</v>
      </c>
      <c r="AB36" s="120" t="e">
        <f>Financials!AB11/Financials!#REF!-1</f>
        <v>#REF!</v>
      </c>
      <c r="AC36" s="120" t="e">
        <f>Financials!AC11/Financials!#REF!-1</f>
        <v>#REF!</v>
      </c>
      <c r="AD36" s="120" t="e">
        <f>Financials!AD11/Financials!#REF!-1</f>
        <v>#REF!</v>
      </c>
      <c r="AE36" s="120" t="e">
        <f>Financials!AE11/Financials!#REF!-1</f>
        <v>#REF!</v>
      </c>
      <c r="AF36" s="120" t="e">
        <f>Financials!AF11/Financials!#REF!-1</f>
        <v>#REF!</v>
      </c>
      <c r="AG36" s="120" t="e">
        <f>Financials!AG11/Financials!#REF!-1</f>
        <v>#REF!</v>
      </c>
      <c r="AH36" s="120" t="e">
        <f>Financials!AH11/Financials!#REF!-1</f>
        <v>#REF!</v>
      </c>
      <c r="AI36" s="120" t="e">
        <f>Financials!AI11/Financials!#REF!-1</f>
        <v>#REF!</v>
      </c>
      <c r="AJ36" s="120" t="e">
        <f>Financials!AJ11/Financials!#REF!-1</f>
        <v>#REF!</v>
      </c>
      <c r="AK36" s="120" t="e">
        <f>Financials!AK11/Financials!#REF!-1</f>
        <v>#REF!</v>
      </c>
    </row>
    <row r="37" spans="1:37" ht="12.75">
      <c r="A37" s="10" t="s">
        <v>115</v>
      </c>
      <c r="B37" s="118" t="s">
        <v>189</v>
      </c>
      <c r="C37" s="120" t="e">
        <f>Financials!C12/Financials!#REF!-1</f>
        <v>#REF!</v>
      </c>
      <c r="D37" s="120" t="e">
        <f>Financials!D12/Financials!#REF!-1</f>
        <v>#REF!</v>
      </c>
      <c r="E37" s="120" t="e">
        <f>Financials!E12/Financials!#REF!-1</f>
        <v>#REF!</v>
      </c>
      <c r="F37" s="120" t="e">
        <f>Financials!F12/Financials!#REF!-1</f>
        <v>#REF!</v>
      </c>
      <c r="G37" s="120" t="e">
        <f>Financials!G12/Financials!#REF!-1</f>
        <v>#REF!</v>
      </c>
      <c r="H37" s="120" t="e">
        <f>Financials!H12/Financials!#REF!-1</f>
        <v>#REF!</v>
      </c>
      <c r="I37" s="120" t="e">
        <f>Financials!I12/Financials!#REF!-1</f>
        <v>#REF!</v>
      </c>
      <c r="J37" s="120" t="e">
        <f>Financials!J12/Financials!#REF!-1</f>
        <v>#REF!</v>
      </c>
      <c r="K37" s="120" t="e">
        <f>Financials!K12/Financials!#REF!-1</f>
        <v>#REF!</v>
      </c>
      <c r="L37" s="120" t="e">
        <f>Financials!L12/Financials!#REF!-1</f>
        <v>#REF!</v>
      </c>
      <c r="M37" s="120" t="e">
        <f>Financials!M12/Financials!#REF!-1</f>
        <v>#REF!</v>
      </c>
      <c r="N37" s="120" t="e">
        <f>Financials!N12/Financials!#REF!-1</f>
        <v>#REF!</v>
      </c>
      <c r="O37" s="120" t="e">
        <f>Financials!O12/Financials!#REF!-1</f>
        <v>#REF!</v>
      </c>
      <c r="P37" s="120" t="e">
        <f>Financials!P12/Financials!#REF!-1</f>
        <v>#REF!</v>
      </c>
      <c r="Q37" s="120" t="e">
        <f>Financials!Q12/Financials!#REF!-1</f>
        <v>#REF!</v>
      </c>
      <c r="R37" s="120" t="e">
        <f>Financials!R12/Financials!#REF!-1</f>
        <v>#REF!</v>
      </c>
      <c r="S37" s="120" t="e">
        <f>Financials!S12/Financials!#REF!-1</f>
        <v>#REF!</v>
      </c>
      <c r="T37" s="120" t="e">
        <f>Financials!T12/Financials!#REF!-1</f>
        <v>#REF!</v>
      </c>
      <c r="U37" s="120" t="e">
        <f>Financials!U12/Financials!#REF!-1</f>
        <v>#REF!</v>
      </c>
      <c r="V37" s="120" t="e">
        <f>Financials!V12/Financials!#REF!-1</f>
        <v>#REF!</v>
      </c>
      <c r="W37" s="120" t="e">
        <f>Financials!W12/Financials!#REF!-1</f>
        <v>#REF!</v>
      </c>
      <c r="X37" s="120" t="e">
        <f>Financials!X12/Financials!#REF!-1</f>
        <v>#REF!</v>
      </c>
      <c r="Y37" s="120" t="e">
        <f>Financials!Y12/Financials!#REF!-1</f>
        <v>#REF!</v>
      </c>
      <c r="Z37" s="120" t="e">
        <f>Financials!Z12/Financials!#REF!-1</f>
        <v>#REF!</v>
      </c>
      <c r="AA37" s="120" t="e">
        <f>Financials!AA12/Financials!#REF!-1</f>
        <v>#REF!</v>
      </c>
      <c r="AB37" s="120" t="e">
        <f>Financials!AB12/Financials!#REF!-1</f>
        <v>#REF!</v>
      </c>
      <c r="AC37" s="120" t="e">
        <f>Financials!AC12/Financials!#REF!-1</f>
        <v>#REF!</v>
      </c>
      <c r="AD37" s="120" t="e">
        <f>Financials!AD12/Financials!#REF!-1</f>
        <v>#REF!</v>
      </c>
      <c r="AE37" s="120" t="e">
        <f>Financials!AE12/Financials!#REF!-1</f>
        <v>#REF!</v>
      </c>
      <c r="AF37" s="120" t="e">
        <f>Financials!AF12/Financials!#REF!-1</f>
        <v>#REF!</v>
      </c>
      <c r="AG37" s="120" t="e">
        <f>Financials!AG12/Financials!#REF!-1</f>
        <v>#REF!</v>
      </c>
      <c r="AH37" s="120" t="e">
        <f>Financials!AH12/Financials!#REF!-1</f>
        <v>#REF!</v>
      </c>
      <c r="AI37" s="120" t="e">
        <f>Financials!AI12/Financials!#REF!-1</f>
        <v>#REF!</v>
      </c>
      <c r="AJ37" s="120" t="e">
        <f>Financials!AJ12/Financials!#REF!-1</f>
        <v>#REF!</v>
      </c>
      <c r="AK37" s="120" t="e">
        <f>Financials!AK12/Financials!#REF!-1</f>
        <v>#REF!</v>
      </c>
    </row>
    <row r="38" spans="1:37" ht="12.75">
      <c r="A38" s="10"/>
      <c r="B38" s="1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1:37" ht="12.75">
      <c r="A39" s="17" t="s">
        <v>202</v>
      </c>
      <c r="B39" s="116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37" ht="12.75">
      <c r="A40" s="10" t="s">
        <v>203</v>
      </c>
      <c r="B40" s="118" t="s">
        <v>189</v>
      </c>
      <c r="C40" s="14" t="e">
        <f>Financials!C48/((Financials!C6+Financials!#REF!)/2)</f>
        <v>#REF!</v>
      </c>
      <c r="D40" s="14" t="e">
        <f>Financials!D48/((Financials!D6+Financials!#REF!)/2)</f>
        <v>#REF!</v>
      </c>
      <c r="E40" s="14" t="e">
        <f>Financials!E48/((Financials!E6+Financials!#REF!)/2)</f>
        <v>#REF!</v>
      </c>
      <c r="F40" s="14" t="e">
        <f>Financials!F48/((Financials!F6+Financials!#REF!)/2)</f>
        <v>#REF!</v>
      </c>
      <c r="G40" s="14" t="e">
        <f>Financials!G48/((Financials!G6+Financials!#REF!)/2)</f>
        <v>#REF!</v>
      </c>
      <c r="H40" s="14" t="e">
        <f>Financials!H48/((Financials!H6+Financials!#REF!)/2)</f>
        <v>#REF!</v>
      </c>
      <c r="I40" s="14" t="e">
        <f>Financials!I48/((Financials!I6+Financials!#REF!)/2)</f>
        <v>#REF!</v>
      </c>
      <c r="J40" s="14" t="e">
        <f>Financials!J48/((Financials!J6+Financials!#REF!)/2)</f>
        <v>#REF!</v>
      </c>
      <c r="K40" s="14" t="e">
        <f>Financials!K48/((Financials!K6+Financials!#REF!)/2)</f>
        <v>#REF!</v>
      </c>
      <c r="L40" s="14" t="e">
        <f>Financials!L48/((Financials!L6+Financials!#REF!)/2)</f>
        <v>#REF!</v>
      </c>
      <c r="M40" s="14" t="e">
        <f>Financials!M48/((Financials!M6+Financials!#REF!)/2)</f>
        <v>#REF!</v>
      </c>
      <c r="N40" s="14" t="e">
        <f>Financials!N48/((Financials!N6+Financials!#REF!)/2)</f>
        <v>#REF!</v>
      </c>
      <c r="O40" s="14" t="e">
        <f>Financials!O48/((Financials!O6+Financials!#REF!)/2)</f>
        <v>#REF!</v>
      </c>
      <c r="P40" s="14" t="e">
        <f>Financials!P48/((Financials!P6+Financials!#REF!)/2)</f>
        <v>#REF!</v>
      </c>
      <c r="Q40" s="14" t="e">
        <f>Financials!Q48/((Financials!Q6+Financials!#REF!)/2)</f>
        <v>#REF!</v>
      </c>
      <c r="R40" s="14" t="e">
        <f>Financials!R48/((Financials!R6+Financials!#REF!)/2)</f>
        <v>#REF!</v>
      </c>
      <c r="S40" s="14" t="e">
        <f>Financials!S48/((Financials!S6+Financials!#REF!)/2)</f>
        <v>#REF!</v>
      </c>
      <c r="T40" s="14" t="e">
        <f>Financials!T48/((Financials!T6+Financials!#REF!)/2)</f>
        <v>#REF!</v>
      </c>
      <c r="U40" s="14" t="e">
        <f>Financials!U48/((Financials!U6+Financials!#REF!)/2)</f>
        <v>#REF!</v>
      </c>
      <c r="V40" s="14" t="e">
        <f>Financials!V48/((Financials!V6+Financials!#REF!)/2)</f>
        <v>#REF!</v>
      </c>
      <c r="W40" s="14" t="e">
        <f>Financials!W48/((Financials!W6+Financials!#REF!)/2)</f>
        <v>#REF!</v>
      </c>
      <c r="X40" s="14" t="e">
        <f>Financials!X48/((Financials!X6+Financials!#REF!)/2)</f>
        <v>#REF!</v>
      </c>
      <c r="Y40" s="14" t="e">
        <f>Financials!Y48/((Financials!Y6+Financials!#REF!)/2)</f>
        <v>#REF!</v>
      </c>
      <c r="Z40" s="14" t="e">
        <f>Financials!Z48/((Financials!Z6+Financials!#REF!)/2)</f>
        <v>#REF!</v>
      </c>
      <c r="AA40" s="14" t="e">
        <f>Financials!AA48/((Financials!AA6+Financials!#REF!)/2)</f>
        <v>#REF!</v>
      </c>
      <c r="AB40" s="14" t="e">
        <f>Financials!AB48/((Financials!AB6+Financials!#REF!)/2)</f>
        <v>#REF!</v>
      </c>
      <c r="AC40" s="14" t="e">
        <f>Financials!AC48/((Financials!AC6+Financials!#REF!)/2)</f>
        <v>#REF!</v>
      </c>
      <c r="AD40" s="14" t="e">
        <f>Financials!AD48/((Financials!AD6+Financials!#REF!)/2)</f>
        <v>#REF!</v>
      </c>
      <c r="AE40" s="14" t="e">
        <f>Financials!AE48/((Financials!AE6+Financials!#REF!)/2)</f>
        <v>#REF!</v>
      </c>
      <c r="AF40" s="14" t="e">
        <f>Financials!AF48/((Financials!AF6+Financials!#REF!)/2)</f>
        <v>#REF!</v>
      </c>
      <c r="AG40" s="14" t="e">
        <f>Financials!AG48/((Financials!AG6+Financials!#REF!)/2)</f>
        <v>#REF!</v>
      </c>
      <c r="AH40" s="14" t="e">
        <f>Financials!AH48/((Financials!AH6+Financials!#REF!)/2)</f>
        <v>#REF!</v>
      </c>
      <c r="AI40" s="14" t="e">
        <f>Financials!AI48/((Financials!AI6+Financials!#REF!)/2)</f>
        <v>#REF!</v>
      </c>
      <c r="AJ40" s="14" t="e">
        <f>Financials!AJ48/((Financials!AJ6+Financials!#REF!)/2)</f>
        <v>#REF!</v>
      </c>
      <c r="AK40" s="14" t="e">
        <f>Financials!AK48/((Financials!AK6+Financials!#REF!)/2)</f>
        <v>#REF!</v>
      </c>
    </row>
    <row r="41" spans="1:37" ht="12.75">
      <c r="A41" s="10" t="s">
        <v>204</v>
      </c>
      <c r="B41" s="118" t="s">
        <v>189</v>
      </c>
      <c r="C41" s="14" t="e">
        <f>Financials!C49/((Financials!C7+Financials!#REF!)/2)</f>
        <v>#REF!</v>
      </c>
      <c r="D41" s="14" t="e">
        <f>Financials!D49/((Financials!D7+Financials!#REF!)/2)</f>
        <v>#REF!</v>
      </c>
      <c r="E41" s="14" t="e">
        <f>Financials!E49/((Financials!E7+Financials!#REF!)/2)</f>
        <v>#REF!</v>
      </c>
      <c r="F41" s="14" t="e">
        <f>Financials!F49/((Financials!F7+Financials!#REF!)/2)</f>
        <v>#REF!</v>
      </c>
      <c r="G41" s="14" t="e">
        <f>Financials!G49/((Financials!G7+Financials!#REF!)/2)</f>
        <v>#REF!</v>
      </c>
      <c r="H41" s="14" t="e">
        <f>Financials!H49/((Financials!H7+Financials!#REF!)/2)</f>
        <v>#REF!</v>
      </c>
      <c r="I41" s="14" t="e">
        <f>Financials!I49/((Financials!I7+Financials!#REF!)/2)</f>
        <v>#REF!</v>
      </c>
      <c r="J41" s="14" t="e">
        <f>Financials!J49/((Financials!J7+Financials!#REF!)/2)</f>
        <v>#REF!</v>
      </c>
      <c r="K41" s="14" t="e">
        <f>Financials!K49/((Financials!K7+Financials!#REF!)/2)</f>
        <v>#REF!</v>
      </c>
      <c r="L41" s="14" t="e">
        <f>Financials!L49/((Financials!L7+Financials!#REF!)/2)</f>
        <v>#REF!</v>
      </c>
      <c r="M41" s="14" t="e">
        <f>Financials!M49/((Financials!M7+Financials!#REF!)/2)</f>
        <v>#REF!</v>
      </c>
      <c r="N41" s="14" t="e">
        <f>Financials!N49/((Financials!N7+Financials!#REF!)/2)</f>
        <v>#REF!</v>
      </c>
      <c r="O41" s="14" t="e">
        <f>Financials!O49/((Financials!O7+Financials!#REF!)/2)</f>
        <v>#REF!</v>
      </c>
      <c r="P41" s="14" t="e">
        <f>Financials!P49/((Financials!P7+Financials!#REF!)/2)</f>
        <v>#REF!</v>
      </c>
      <c r="Q41" s="14" t="e">
        <f>Financials!Q49/((Financials!Q7+Financials!#REF!)/2)</f>
        <v>#REF!</v>
      </c>
      <c r="R41" s="14" t="e">
        <f>Financials!R49/((Financials!R7+Financials!#REF!)/2)</f>
        <v>#REF!</v>
      </c>
      <c r="S41" s="14" t="e">
        <f>Financials!S49/((Financials!S7+Financials!#REF!)/2)</f>
        <v>#REF!</v>
      </c>
      <c r="T41" s="14" t="e">
        <f>Financials!T49/((Financials!T7+Financials!#REF!)/2)</f>
        <v>#REF!</v>
      </c>
      <c r="U41" s="14" t="e">
        <f>Financials!U49/((Financials!U7+Financials!#REF!)/2)</f>
        <v>#REF!</v>
      </c>
      <c r="V41" s="14" t="e">
        <f>Financials!V49/((Financials!V7+Financials!#REF!)/2)</f>
        <v>#REF!</v>
      </c>
      <c r="W41" s="14" t="e">
        <f>Financials!W49/((Financials!W7+Financials!#REF!)/2)</f>
        <v>#REF!</v>
      </c>
      <c r="X41" s="14" t="e">
        <f>Financials!X49/((Financials!X7+Financials!#REF!)/2)</f>
        <v>#REF!</v>
      </c>
      <c r="Y41" s="14" t="e">
        <f>Financials!Y49/((Financials!Y7+Financials!#REF!)/2)</f>
        <v>#REF!</v>
      </c>
      <c r="Z41" s="14" t="e">
        <f>Financials!Z49/((Financials!Z7+Financials!#REF!)/2)</f>
        <v>#REF!</v>
      </c>
      <c r="AA41" s="14" t="e">
        <f>Financials!AA49/((Financials!AA7+Financials!#REF!)/2)</f>
        <v>#REF!</v>
      </c>
      <c r="AB41" s="14" t="e">
        <f>Financials!AB49/((Financials!AB7+Financials!#REF!)/2)</f>
        <v>#REF!</v>
      </c>
      <c r="AC41" s="14" t="e">
        <f>Financials!AC49/((Financials!AC7+Financials!#REF!)/2)</f>
        <v>#REF!</v>
      </c>
      <c r="AD41" s="14" t="e">
        <f>Financials!AD49/((Financials!AD7+Financials!#REF!)/2)</f>
        <v>#REF!</v>
      </c>
      <c r="AE41" s="14" t="e">
        <f>Financials!AE49/((Financials!AE7+Financials!#REF!)/2)</f>
        <v>#REF!</v>
      </c>
      <c r="AF41" s="14" t="e">
        <f>Financials!AF49/((Financials!AF7+Financials!#REF!)/2)</f>
        <v>#REF!</v>
      </c>
      <c r="AG41" s="14" t="e">
        <f>Financials!AG49/((Financials!AG7+Financials!#REF!)/2)</f>
        <v>#REF!</v>
      </c>
      <c r="AH41" s="14" t="e">
        <f>Financials!AH49/((Financials!AH7+Financials!#REF!)/2)</f>
        <v>#REF!</v>
      </c>
      <c r="AI41" s="14" t="e">
        <f>Financials!AI49/((Financials!AI7+Financials!#REF!)/2)</f>
        <v>#REF!</v>
      </c>
      <c r="AJ41" s="14" t="e">
        <f>Financials!AJ49/((Financials!AJ7+Financials!#REF!)/2)</f>
        <v>#REF!</v>
      </c>
      <c r="AK41" s="14" t="e">
        <f>Financials!AK49/((Financials!AK7+Financials!#REF!)/2)</f>
        <v>#REF!</v>
      </c>
    </row>
    <row r="42" spans="1:37" ht="12.75">
      <c r="A42" s="10" t="s">
        <v>205</v>
      </c>
      <c r="B42" s="118" t="s">
        <v>189</v>
      </c>
      <c r="C42" s="14" t="e">
        <f>Financials!C50/((Financials!C8+Financials!#REF!)/2)</f>
        <v>#REF!</v>
      </c>
      <c r="D42" s="14" t="e">
        <f>Financials!D50/((Financials!D8+Financials!#REF!)/2)</f>
        <v>#REF!</v>
      </c>
      <c r="E42" s="14" t="e">
        <f>Financials!E50/((Financials!E8+Financials!#REF!)/2)</f>
        <v>#REF!</v>
      </c>
      <c r="F42" s="14" t="e">
        <f>Financials!F50/((Financials!F8+Financials!#REF!)/2)</f>
        <v>#REF!</v>
      </c>
      <c r="G42" s="14" t="e">
        <f>Financials!G50/((Financials!G8+Financials!#REF!)/2)</f>
        <v>#REF!</v>
      </c>
      <c r="H42" s="14" t="e">
        <f>Financials!H50/((Financials!H8+Financials!#REF!)/2)</f>
        <v>#REF!</v>
      </c>
      <c r="I42" s="14" t="e">
        <f>Financials!I50/((Financials!I8+Financials!#REF!)/2)</f>
        <v>#REF!</v>
      </c>
      <c r="J42" s="14" t="e">
        <f>Financials!J50/((Financials!J8+Financials!#REF!)/2)</f>
        <v>#REF!</v>
      </c>
      <c r="K42" s="14" t="e">
        <f>Financials!K50/((Financials!K8+Financials!#REF!)/2)</f>
        <v>#REF!</v>
      </c>
      <c r="L42" s="14" t="e">
        <f>Financials!L50/((Financials!L8+Financials!#REF!)/2)</f>
        <v>#REF!</v>
      </c>
      <c r="M42" s="14" t="e">
        <f>Financials!M50/((Financials!M8+Financials!#REF!)/2)</f>
        <v>#REF!</v>
      </c>
      <c r="N42" s="14" t="e">
        <f>Financials!N50/((Financials!N8+Financials!#REF!)/2)</f>
        <v>#REF!</v>
      </c>
      <c r="O42" s="14" t="e">
        <f>Financials!O50/((Financials!O8+Financials!#REF!)/2)</f>
        <v>#REF!</v>
      </c>
      <c r="P42" s="14" t="e">
        <f>Financials!P50/((Financials!P8+Financials!#REF!)/2)</f>
        <v>#REF!</v>
      </c>
      <c r="Q42" s="14" t="e">
        <f>Financials!Q50/((Financials!Q8+Financials!#REF!)/2)</f>
        <v>#REF!</v>
      </c>
      <c r="R42" s="14" t="e">
        <f>Financials!R50/((Financials!R8+Financials!#REF!)/2)</f>
        <v>#REF!</v>
      </c>
      <c r="S42" s="14" t="e">
        <f>Financials!S50/((Financials!S8+Financials!#REF!)/2)</f>
        <v>#REF!</v>
      </c>
      <c r="T42" s="14" t="e">
        <f>Financials!T50/((Financials!T8+Financials!#REF!)/2)</f>
        <v>#REF!</v>
      </c>
      <c r="U42" s="14" t="e">
        <f>Financials!U50/((Financials!U8+Financials!#REF!)/2)</f>
        <v>#REF!</v>
      </c>
      <c r="V42" s="14" t="e">
        <f>Financials!V50/((Financials!V8+Financials!#REF!)/2)</f>
        <v>#REF!</v>
      </c>
      <c r="W42" s="14" t="e">
        <f>Financials!W50/((Financials!W8+Financials!#REF!)/2)</f>
        <v>#REF!</v>
      </c>
      <c r="X42" s="14" t="e">
        <f>Financials!X50/((Financials!X8+Financials!#REF!)/2)</f>
        <v>#REF!</v>
      </c>
      <c r="Y42" s="14" t="e">
        <f>Financials!Y50/((Financials!Y8+Financials!#REF!)/2)</f>
        <v>#REF!</v>
      </c>
      <c r="Z42" s="14" t="e">
        <f>Financials!Z50/((Financials!Z8+Financials!#REF!)/2)</f>
        <v>#REF!</v>
      </c>
      <c r="AA42" s="14" t="e">
        <f>Financials!AA50/((Financials!AA8+Financials!#REF!)/2)</f>
        <v>#REF!</v>
      </c>
      <c r="AB42" s="14" t="e">
        <f>Financials!AB50/((Financials!AB8+Financials!#REF!)/2)</f>
        <v>#REF!</v>
      </c>
      <c r="AC42" s="14" t="e">
        <f>Financials!AC50/((Financials!AC8+Financials!#REF!)/2)</f>
        <v>#REF!</v>
      </c>
      <c r="AD42" s="14" t="e">
        <f>Financials!AD50/((Financials!AD8+Financials!#REF!)/2)</f>
        <v>#REF!</v>
      </c>
      <c r="AE42" s="14" t="e">
        <f>Financials!AE50/((Financials!AE8+Financials!#REF!)/2)</f>
        <v>#REF!</v>
      </c>
      <c r="AF42" s="14" t="e">
        <f>Financials!AF50/((Financials!AF8+Financials!#REF!)/2)</f>
        <v>#REF!</v>
      </c>
      <c r="AG42" s="14" t="e">
        <f>Financials!AG50/((Financials!AG8+Financials!#REF!)/2)</f>
        <v>#REF!</v>
      </c>
      <c r="AH42" s="14" t="e">
        <f>Financials!AH50/((Financials!AH8+Financials!#REF!)/2)</f>
        <v>#REF!</v>
      </c>
      <c r="AI42" s="14" t="e">
        <f>Financials!AI50/((Financials!AI8+Financials!#REF!)/2)</f>
        <v>#REF!</v>
      </c>
      <c r="AJ42" s="14" t="e">
        <f>Financials!AJ50/((Financials!AJ8+Financials!#REF!)/2)</f>
        <v>#REF!</v>
      </c>
      <c r="AK42" s="14" t="e">
        <f>Financials!AK50/((Financials!AK8+Financials!#REF!)/2)</f>
        <v>#REF!</v>
      </c>
    </row>
    <row r="43" spans="1:37" ht="12.75">
      <c r="A43" s="10" t="s">
        <v>206</v>
      </c>
      <c r="B43" s="118" t="s">
        <v>189</v>
      </c>
      <c r="C43" s="14" t="e">
        <f>Financials!C51/((Financials!C9+Financials!#REF!)/2)</f>
        <v>#REF!</v>
      </c>
      <c r="D43" s="14" t="e">
        <f>Financials!D51/((Financials!D9+Financials!#REF!)/2)</f>
        <v>#REF!</v>
      </c>
      <c r="E43" s="14" t="e">
        <f>Financials!E51/((Financials!E9+Financials!#REF!)/2)</f>
        <v>#REF!</v>
      </c>
      <c r="F43" s="14" t="e">
        <f>Financials!F51/((Financials!F9+Financials!#REF!)/2)</f>
        <v>#REF!</v>
      </c>
      <c r="G43" s="14" t="e">
        <f>Financials!G51/((Financials!G9+Financials!#REF!)/2)</f>
        <v>#REF!</v>
      </c>
      <c r="H43" s="14" t="e">
        <f>Financials!H51/((Financials!H9+Financials!#REF!)/2)</f>
        <v>#REF!</v>
      </c>
      <c r="I43" s="14" t="e">
        <f>Financials!I51/((Financials!I9+Financials!#REF!)/2)</f>
        <v>#REF!</v>
      </c>
      <c r="J43" s="14" t="e">
        <f>Financials!J51/((Financials!J9+Financials!#REF!)/2)</f>
        <v>#REF!</v>
      </c>
      <c r="K43" s="14" t="e">
        <f>Financials!K51/((Financials!K9+Financials!#REF!)/2)</f>
        <v>#REF!</v>
      </c>
      <c r="L43" s="14" t="e">
        <f>Financials!L51/((Financials!L9+Financials!#REF!)/2)</f>
        <v>#REF!</v>
      </c>
      <c r="M43" s="14" t="e">
        <f>Financials!M51/((Financials!M9+Financials!#REF!)/2)</f>
        <v>#REF!</v>
      </c>
      <c r="N43" s="14" t="e">
        <f>Financials!N51/((Financials!N9+Financials!#REF!)/2)</f>
        <v>#REF!</v>
      </c>
      <c r="O43" s="14" t="e">
        <f>Financials!O51/((Financials!O9+Financials!#REF!)/2)</f>
        <v>#REF!</v>
      </c>
      <c r="P43" s="14" t="e">
        <f>Financials!P51/((Financials!P9+Financials!#REF!)/2)</f>
        <v>#REF!</v>
      </c>
      <c r="Q43" s="14" t="e">
        <f>Financials!Q51/((Financials!Q9+Financials!#REF!)/2)</f>
        <v>#REF!</v>
      </c>
      <c r="R43" s="14" t="e">
        <f>Financials!R51/((Financials!R9+Financials!#REF!)/2)</f>
        <v>#REF!</v>
      </c>
      <c r="S43" s="14" t="e">
        <f>Financials!S51/((Financials!S9+Financials!#REF!)/2)</f>
        <v>#REF!</v>
      </c>
      <c r="T43" s="14" t="e">
        <f>Financials!T51/((Financials!T9+Financials!#REF!)/2)</f>
        <v>#REF!</v>
      </c>
      <c r="U43" s="14" t="e">
        <f>Financials!U51/((Financials!U9+Financials!#REF!)/2)</f>
        <v>#REF!</v>
      </c>
      <c r="V43" s="14" t="e">
        <f>Financials!V51/((Financials!V9+Financials!#REF!)/2)</f>
        <v>#REF!</v>
      </c>
      <c r="W43" s="14" t="e">
        <f>Financials!W51/((Financials!W9+Financials!#REF!)/2)</f>
        <v>#REF!</v>
      </c>
      <c r="X43" s="14" t="e">
        <f>Financials!X51/((Financials!X9+Financials!#REF!)/2)</f>
        <v>#REF!</v>
      </c>
      <c r="Y43" s="14" t="e">
        <f>Financials!Y51/((Financials!Y9+Financials!#REF!)/2)</f>
        <v>#REF!</v>
      </c>
      <c r="Z43" s="14" t="e">
        <f>Financials!Z51/((Financials!Z9+Financials!#REF!)/2)</f>
        <v>#REF!</v>
      </c>
      <c r="AA43" s="14" t="e">
        <f>Financials!AA51/((Financials!AA9+Financials!#REF!)/2)</f>
        <v>#REF!</v>
      </c>
      <c r="AB43" s="14" t="e">
        <f>Financials!AB51/((Financials!AB9+Financials!#REF!)/2)</f>
        <v>#REF!</v>
      </c>
      <c r="AC43" s="14" t="e">
        <f>Financials!AC51/((Financials!AC9+Financials!#REF!)/2)</f>
        <v>#REF!</v>
      </c>
      <c r="AD43" s="14" t="e">
        <f>Financials!AD51/((Financials!AD9+Financials!#REF!)/2)</f>
        <v>#REF!</v>
      </c>
      <c r="AE43" s="14" t="e">
        <f>Financials!AE51/((Financials!AE9+Financials!#REF!)/2)</f>
        <v>#REF!</v>
      </c>
      <c r="AF43" s="14" t="e">
        <f>Financials!AF51/((Financials!AF9+Financials!#REF!)/2)</f>
        <v>#REF!</v>
      </c>
      <c r="AG43" s="14" t="e">
        <f>Financials!AG51/((Financials!AG9+Financials!#REF!)/2)</f>
        <v>#REF!</v>
      </c>
      <c r="AH43" s="14" t="e">
        <f>Financials!AH51/((Financials!AH9+Financials!#REF!)/2)</f>
        <v>#REF!</v>
      </c>
      <c r="AI43" s="14" t="e">
        <f>Financials!AI51/((Financials!AI9+Financials!#REF!)/2)</f>
        <v>#REF!</v>
      </c>
      <c r="AJ43" s="14" t="e">
        <f>Financials!AJ51/((Financials!AJ9+Financials!#REF!)/2)</f>
        <v>#REF!</v>
      </c>
      <c r="AK43" s="14" t="e">
        <f>Financials!AK51/((Financials!AK9+Financials!#REF!)/2)</f>
        <v>#REF!</v>
      </c>
    </row>
    <row r="44" spans="1:37" ht="12.75">
      <c r="A44" s="10" t="s">
        <v>207</v>
      </c>
      <c r="B44" s="118" t="s">
        <v>189</v>
      </c>
      <c r="C44" s="14" t="e">
        <f>Financials!C52/((Financials!C10+Financials!#REF!)/2)</f>
        <v>#REF!</v>
      </c>
      <c r="D44" s="14" t="e">
        <f>Financials!D52/((Financials!D10+Financials!#REF!)/2)</f>
        <v>#REF!</v>
      </c>
      <c r="E44" s="14" t="e">
        <f>Financials!E52/((Financials!E10+Financials!#REF!)/2)</f>
        <v>#REF!</v>
      </c>
      <c r="F44" s="14" t="e">
        <f>Financials!F52/((Financials!F10+Financials!#REF!)/2)</f>
        <v>#REF!</v>
      </c>
      <c r="G44" s="14" t="e">
        <f>Financials!G52/((Financials!G10+Financials!#REF!)/2)</f>
        <v>#REF!</v>
      </c>
      <c r="H44" s="14" t="e">
        <f>Financials!H52/((Financials!H10+Financials!#REF!)/2)</f>
        <v>#REF!</v>
      </c>
      <c r="I44" s="14" t="e">
        <f>Financials!I52/((Financials!I10+Financials!#REF!)/2)</f>
        <v>#REF!</v>
      </c>
      <c r="J44" s="14" t="e">
        <f>Financials!J52/((Financials!J10+Financials!#REF!)/2)</f>
        <v>#REF!</v>
      </c>
      <c r="K44" s="14" t="e">
        <f>Financials!K52/((Financials!K10+Financials!#REF!)/2)</f>
        <v>#REF!</v>
      </c>
      <c r="L44" s="14" t="e">
        <f>Financials!L52/((Financials!L10+Financials!#REF!)/2)</f>
        <v>#REF!</v>
      </c>
      <c r="M44" s="14" t="e">
        <f>Financials!M52/((Financials!M10+Financials!#REF!)/2)</f>
        <v>#REF!</v>
      </c>
      <c r="N44" s="14" t="e">
        <f>Financials!N52/((Financials!N10+Financials!#REF!)/2)</f>
        <v>#REF!</v>
      </c>
      <c r="O44" s="14" t="e">
        <f>Financials!O52/((Financials!O10+Financials!#REF!)/2)</f>
        <v>#REF!</v>
      </c>
      <c r="P44" s="14" t="e">
        <f>Financials!P52/((Financials!P10+Financials!#REF!)/2)</f>
        <v>#REF!</v>
      </c>
      <c r="Q44" s="14" t="e">
        <f>Financials!Q52/((Financials!Q10+Financials!#REF!)/2)</f>
        <v>#REF!</v>
      </c>
      <c r="R44" s="14" t="e">
        <f>Financials!R52/((Financials!R10+Financials!#REF!)/2)</f>
        <v>#REF!</v>
      </c>
      <c r="S44" s="14" t="e">
        <f>Financials!S52/((Financials!S10+Financials!#REF!)/2)</f>
        <v>#REF!</v>
      </c>
      <c r="T44" s="14" t="e">
        <f>Financials!T52/((Financials!T10+Financials!#REF!)/2)</f>
        <v>#REF!</v>
      </c>
      <c r="U44" s="14" t="e">
        <f>Financials!U52/((Financials!U10+Financials!#REF!)/2)</f>
        <v>#REF!</v>
      </c>
      <c r="V44" s="14" t="e">
        <f>Financials!V52/((Financials!V10+Financials!#REF!)/2)</f>
        <v>#REF!</v>
      </c>
      <c r="W44" s="14" t="e">
        <f>Financials!W52/((Financials!W10+Financials!#REF!)/2)</f>
        <v>#REF!</v>
      </c>
      <c r="X44" s="14" t="e">
        <f>Financials!X52/((Financials!X10+Financials!#REF!)/2)</f>
        <v>#REF!</v>
      </c>
      <c r="Y44" s="14" t="e">
        <f>Financials!Y52/((Financials!Y10+Financials!#REF!)/2)</f>
        <v>#REF!</v>
      </c>
      <c r="Z44" s="14" t="e">
        <f>Financials!Z52/((Financials!Z10+Financials!#REF!)/2)</f>
        <v>#REF!</v>
      </c>
      <c r="AA44" s="14" t="e">
        <f>Financials!AA52/((Financials!AA10+Financials!#REF!)/2)</f>
        <v>#REF!</v>
      </c>
      <c r="AB44" s="14" t="e">
        <f>Financials!AB52/((Financials!AB10+Financials!#REF!)/2)</f>
        <v>#REF!</v>
      </c>
      <c r="AC44" s="14" t="e">
        <f>Financials!AC52/((Financials!AC10+Financials!#REF!)/2)</f>
        <v>#REF!</v>
      </c>
      <c r="AD44" s="14" t="e">
        <f>Financials!AD52/((Financials!AD10+Financials!#REF!)/2)</f>
        <v>#REF!</v>
      </c>
      <c r="AE44" s="14" t="e">
        <f>Financials!AE52/((Financials!AE10+Financials!#REF!)/2)</f>
        <v>#REF!</v>
      </c>
      <c r="AF44" s="14" t="e">
        <f>Financials!AF52/((Financials!AF10+Financials!#REF!)/2)</f>
        <v>#REF!</v>
      </c>
      <c r="AG44" s="14" t="e">
        <f>Financials!AG52/((Financials!AG10+Financials!#REF!)/2)</f>
        <v>#REF!</v>
      </c>
      <c r="AH44" s="14" t="e">
        <f>Financials!AH52/((Financials!AH10+Financials!#REF!)/2)</f>
        <v>#REF!</v>
      </c>
      <c r="AI44" s="14" t="e">
        <f>Financials!AI52/((Financials!AI10+Financials!#REF!)/2)</f>
        <v>#REF!</v>
      </c>
      <c r="AJ44" s="14" t="e">
        <f>Financials!AJ52/((Financials!AJ10+Financials!#REF!)/2)</f>
        <v>#REF!</v>
      </c>
      <c r="AK44" s="14" t="e">
        <f>Financials!AK52/((Financials!AK10+Financials!#REF!)/2)</f>
        <v>#REF!</v>
      </c>
    </row>
    <row r="45" spans="1:37" ht="12.75">
      <c r="A45" s="17"/>
      <c r="B45" s="116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</row>
    <row r="46" spans="1:37" ht="12.75">
      <c r="A46" s="17" t="s">
        <v>208</v>
      </c>
      <c r="B46" s="116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</row>
    <row r="47" spans="1:37" ht="12.75">
      <c r="A47" s="10" t="s">
        <v>209</v>
      </c>
      <c r="B47" s="115">
        <v>0.15</v>
      </c>
      <c r="C47" s="14">
        <f>SFP!B4/(SFP!B29+SFP!B31-SFP!B37)</f>
        <v>0.24948569769191295</v>
      </c>
      <c r="D47" s="14">
        <f>SFP!C4/(SFP!C29+SFP!C31-SFP!C37)</f>
        <v>0.20042260260320074</v>
      </c>
      <c r="E47" s="14">
        <f>SFP!D4/(SFP!D29+SFP!D31-SFP!D37)</f>
        <v>0.235555812441579</v>
      </c>
      <c r="F47" s="14">
        <f>SFP!E4/(SFP!E29+SFP!E31-SFP!E37)</f>
        <v>0.2403882071897975</v>
      </c>
      <c r="G47" s="14">
        <f>SFP!F4/(SFP!F29+SFP!F31-SFP!F37)</f>
        <v>0.28109169508598802</v>
      </c>
      <c r="H47" s="14">
        <f>SFP!G4/(SFP!G29+SFP!G31-SFP!G37)</f>
        <v>0.2610286795212251</v>
      </c>
      <c r="I47" s="14">
        <f>SFP!H4/(SFP!H29+SFP!H31-SFP!H37)</f>
        <v>0.21540484720072306</v>
      </c>
      <c r="J47" s="14">
        <f>SFP!I4/(SFP!I29+SFP!I31-SFP!I37)</f>
        <v>0.3074873552459283</v>
      </c>
      <c r="K47" s="14">
        <f>SFP!J4/(SFP!J29+SFP!J31-SFP!J37)</f>
        <v>0.32557750685344428</v>
      </c>
      <c r="L47" s="14">
        <f>SFP!K4/(SFP!K29+SFP!K31-SFP!K37)</f>
        <v>0.34625407139116426</v>
      </c>
      <c r="M47" s="14">
        <f>SFP!L4/(SFP!L29+SFP!L31-SFP!L37)</f>
        <v>0.37236209876464449</v>
      </c>
      <c r="N47" s="14">
        <f>SFP!M4/(SFP!M29+SFP!M31-SFP!M37)</f>
        <v>0.38853169067205828</v>
      </c>
      <c r="O47" s="14">
        <f>SFP!N4/(SFP!N29+SFP!N31-SFP!N37)</f>
        <v>0.43817665776019665</v>
      </c>
      <c r="P47" s="14">
        <f>SFP!O4/(SFP!O29+SFP!O31-SFP!O37)</f>
        <v>0.44217065505388053</v>
      </c>
      <c r="Q47" s="14">
        <f>SFP!P4/(SFP!P29+SFP!P31-SFP!P37)</f>
        <v>0.44074441806120246</v>
      </c>
      <c r="R47" s="14">
        <f>SFP!Q4/(SFP!Q29+SFP!Q31-SFP!Q37)</f>
        <v>0.43244559542687711</v>
      </c>
      <c r="S47" s="14">
        <f>SFP!R4/(SFP!R29+SFP!R31-SFP!R37)</f>
        <v>0.38475456585646267</v>
      </c>
      <c r="T47" s="14">
        <f>SFP!S4/(SFP!S29+SFP!S31-SFP!S37)</f>
        <v>0.38409393902928801</v>
      </c>
      <c r="U47" s="14">
        <f>SFP!T4/(SFP!T29+SFP!T31-SFP!T37)</f>
        <v>0.42510899946318309</v>
      </c>
      <c r="V47" s="14">
        <f>SFP!U4/(SFP!U29+SFP!U31-SFP!U37)</f>
        <v>0.38168982680675129</v>
      </c>
      <c r="W47" s="14">
        <f>SFP!V4/(SFP!V29+SFP!V31-SFP!V37)</f>
        <v>0.40521884764166871</v>
      </c>
      <c r="X47" s="14">
        <f>SFP!W4/(SFP!W29+SFP!W31-SFP!W37)</f>
        <v>0.4195758518112076</v>
      </c>
      <c r="Y47" s="14">
        <f>SFP!X4/(SFP!X29+SFP!X31-SFP!X37)</f>
        <v>0.41006767159975838</v>
      </c>
      <c r="Z47" s="14">
        <f>SFP!Y4/(SFP!Y29+SFP!Y31-SFP!Y37)</f>
        <v>0.36703560265437613</v>
      </c>
      <c r="AA47" s="14">
        <f>SFP!Z4/(SFP!Z29+SFP!Z31-SFP!Z37)</f>
        <v>0.36485809311590978</v>
      </c>
      <c r="AB47" s="14">
        <f>SFP!AA4/(SFP!AA29+SFP!AA31-SFP!AA37)</f>
        <v>0.41728840129776246</v>
      </c>
      <c r="AC47" s="14">
        <f>SFP!AB4/(SFP!AB29+SFP!AB31-SFP!AB37)</f>
        <v>0.36521835370318995</v>
      </c>
      <c r="AD47" s="14">
        <f>SFP!AC4/(SFP!AC29+SFP!AC31-SFP!AC37)</f>
        <v>0.3495634537261863</v>
      </c>
      <c r="AE47" s="14">
        <f>SFP!AD4/(SFP!AD29+SFP!AD31-SFP!AD37)</f>
        <v>0.29946008180847039</v>
      </c>
      <c r="AF47" s="14">
        <f>SFP!AE4/(SFP!AE29+SFP!AE31-SFP!AE37)</f>
        <v>0.30285721473718047</v>
      </c>
      <c r="AG47" s="14">
        <f>SFP!AF4/(SFP!AF29+SFP!AF31-SFP!AF37)</f>
        <v>0.25026114093147334</v>
      </c>
      <c r="AH47" s="14">
        <f>SFP!AG4/(SFP!AG29+SFP!AG31-SFP!AG37)</f>
        <v>0.28143388930753815</v>
      </c>
      <c r="AI47" s="14">
        <f>SFP!AH4/(SFP!AH29+SFP!AH31-SFP!AH37)</f>
        <v>0.31410374318532353</v>
      </c>
      <c r="AJ47" s="14">
        <f>SFP!AI4/(SFP!AI29+SFP!AI31-SFP!AI37)</f>
        <v>0.29201442377593151</v>
      </c>
      <c r="AK47" s="14">
        <f>SFP!AJ4/(SFP!AJ29+SFP!AJ31-SFP!AJ37)</f>
        <v>0.29211510859937007</v>
      </c>
    </row>
    <row r="48" spans="1:37" ht="12.75">
      <c r="A48" s="10" t="s">
        <v>210</v>
      </c>
      <c r="B48" s="116"/>
      <c r="C48" s="21">
        <f>SFP!B4/(SFP!B30+SFP!B31-SFP!B37)</f>
        <v>0.22093874161641755</v>
      </c>
      <c r="D48" s="21">
        <f>SFP!C4/(SFP!C30+SFP!C31-SFP!C37)</f>
        <v>0.17985891991824046</v>
      </c>
      <c r="E48" s="21">
        <f>SFP!D4/(SFP!D30+SFP!D31-SFP!D37)</f>
        <v>0.20988185453184302</v>
      </c>
      <c r="F48" s="21">
        <f>SFP!E4/(SFP!E30+SFP!E31-SFP!E37)</f>
        <v>0.2161376543000289</v>
      </c>
      <c r="G48" s="21">
        <f>SFP!F4/(SFP!F30+SFP!F31-SFP!F37)</f>
        <v>0.25171774589785029</v>
      </c>
      <c r="H48" s="21">
        <f>SFP!G4/(SFP!G30+SFP!G31-SFP!G37)</f>
        <v>0.23739078870078817</v>
      </c>
      <c r="I48" s="21">
        <f>SFP!H4/(SFP!H30+SFP!H31-SFP!H37)</f>
        <v>0.19659572200427966</v>
      </c>
      <c r="J48" s="21">
        <f>SFP!I4/(SFP!I30+SFP!I31-SFP!I37)</f>
        <v>0.27905818091941476</v>
      </c>
      <c r="K48" s="21">
        <f>SFP!J4/(SFP!J30+SFP!J31-SFP!J37)</f>
        <v>0.29498934961596013</v>
      </c>
      <c r="L48" s="21">
        <f>SFP!K4/(SFP!K30+SFP!K31-SFP!K37)</f>
        <v>0.31255608818523095</v>
      </c>
      <c r="M48" s="21">
        <f>SFP!L4/(SFP!L30+SFP!L31-SFP!L37)</f>
        <v>0.33294579693775855</v>
      </c>
      <c r="N48" s="21">
        <f>SFP!M4/(SFP!M30+SFP!M31-SFP!M37)</f>
        <v>0.34664900856005032</v>
      </c>
      <c r="O48" s="21">
        <f>SFP!N4/(SFP!N30+SFP!N31-SFP!N37)</f>
        <v>0.39251793232146398</v>
      </c>
      <c r="P48" s="21">
        <f>SFP!O4/(SFP!O30+SFP!O31-SFP!O37)</f>
        <v>0.40057367243706621</v>
      </c>
      <c r="Q48" s="21">
        <f>SFP!P4/(SFP!P30+SFP!P31-SFP!P37)</f>
        <v>0.40039482155729583</v>
      </c>
      <c r="R48" s="21">
        <f>SFP!Q4/(SFP!Q30+SFP!Q31-SFP!Q37)</f>
        <v>0.38994267035951752</v>
      </c>
      <c r="S48" s="21">
        <f>SFP!R4/(SFP!R30+SFP!R31-SFP!R37)</f>
        <v>0.34803633894847585</v>
      </c>
      <c r="T48" s="21">
        <f>SFP!S4/(SFP!S30+SFP!S31-SFP!S37)</f>
        <v>0.34579670003533325</v>
      </c>
      <c r="U48" s="21">
        <f>SFP!T4/(SFP!T30+SFP!T31-SFP!T37)</f>
        <v>0.38046572977867132</v>
      </c>
      <c r="V48" s="21">
        <f>SFP!U4/(SFP!U30+SFP!U31-SFP!U37)</f>
        <v>0.34185760900157708</v>
      </c>
      <c r="W48" s="21">
        <f>SFP!V4/(SFP!V30+SFP!V31-SFP!V37)</f>
        <v>0.36246217225089478</v>
      </c>
      <c r="X48" s="21">
        <f>SFP!W4/(SFP!W30+SFP!W31-SFP!W37)</f>
        <v>0.3757850224068886</v>
      </c>
      <c r="Y48" s="21">
        <f>SFP!X4/(SFP!X30+SFP!X31-SFP!X37)</f>
        <v>0.365276079475084</v>
      </c>
      <c r="Z48" s="21">
        <f>SFP!Y4/(SFP!Y30+SFP!Y31-SFP!Y37)</f>
        <v>0.32670650408283985</v>
      </c>
      <c r="AA48" s="21">
        <f>SFP!Z4/(SFP!Z30+SFP!Z31-SFP!Z37)</f>
        <v>0.32944752323039184</v>
      </c>
      <c r="AB48" s="21">
        <f>SFP!AA4/(SFP!AA30+SFP!AA31-SFP!AA37)</f>
        <v>0.37847874478405974</v>
      </c>
      <c r="AC48" s="21">
        <f>SFP!AB4/(SFP!AB30+SFP!AB31-SFP!AB37)</f>
        <v>0.32983141363502017</v>
      </c>
      <c r="AD48" s="21">
        <f>SFP!AC4/(SFP!AC30+SFP!AC31-SFP!AC37)</f>
        <v>0.31409314712601638</v>
      </c>
      <c r="AE48" s="21">
        <f>SFP!AD4/(SFP!AD30+SFP!AD31-SFP!AD37)</f>
        <v>0.27084133994183596</v>
      </c>
      <c r="AF48" s="21">
        <f>SFP!AE4/(SFP!AE30+SFP!AE31-SFP!AE37)</f>
        <v>0.27276502289666543</v>
      </c>
      <c r="AG48" s="21">
        <f>SFP!AF4/(SFP!AF30+SFP!AF31-SFP!AF37)</f>
        <v>0.22590246573942199</v>
      </c>
      <c r="AH48" s="21">
        <f>SFP!AG4/(SFP!AG30+SFP!AG31-SFP!AG37)</f>
        <v>0.25335152308662451</v>
      </c>
      <c r="AI48" s="21">
        <f>SFP!AH4/(SFP!AH30+SFP!AH31-SFP!AH37)</f>
        <v>0.28280085512402525</v>
      </c>
      <c r="AJ48" s="21">
        <f>SFP!AI4/(SFP!AI30+SFP!AI31-SFP!AI37)</f>
        <v>0.26176680596037621</v>
      </c>
      <c r="AK48" s="21">
        <f>SFP!AJ4/(SFP!AJ30+SFP!AJ31-SFP!AJ37)</f>
        <v>0.26621604302586549</v>
      </c>
    </row>
    <row r="49" spans="1:37" ht="12.75">
      <c r="A49" s="17" t="s">
        <v>211</v>
      </c>
      <c r="B49" s="116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</row>
    <row r="50" spans="1:37" ht="12.75">
      <c r="A50" s="22" t="s">
        <v>212</v>
      </c>
      <c r="B50" s="114">
        <v>1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:37" ht="12.75">
      <c r="A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</row>
    <row r="52" spans="1:37" ht="12.75">
      <c r="A52" s="77" t="s">
        <v>213</v>
      </c>
      <c r="B52" s="78"/>
      <c r="C52" s="79" t="e">
        <f>SCI!B5/SFP!#REF!</f>
        <v>#REF!</v>
      </c>
      <c r="D52" s="79" t="e">
        <f>SCI!C5/SFP!#REF!</f>
        <v>#REF!</v>
      </c>
      <c r="E52" s="79" t="e">
        <f>SCI!D5/SFP!#REF!</f>
        <v>#REF!</v>
      </c>
      <c r="F52" s="79" t="e">
        <f>SCI!E5/SFP!#REF!</f>
        <v>#REF!</v>
      </c>
      <c r="G52" s="79" t="e">
        <f>SCI!F5/SFP!#REF!</f>
        <v>#REF!</v>
      </c>
      <c r="H52" s="79" t="e">
        <f>SCI!G5/SFP!#REF!</f>
        <v>#REF!</v>
      </c>
      <c r="I52" s="79" t="e">
        <f>SCI!H5/SFP!#REF!</f>
        <v>#REF!</v>
      </c>
      <c r="J52" s="79" t="e">
        <f>SCI!I5/SFP!#REF!</f>
        <v>#REF!</v>
      </c>
      <c r="K52" s="79" t="e">
        <f>SCI!J5/SFP!#REF!</f>
        <v>#REF!</v>
      </c>
      <c r="L52" s="79" t="e">
        <f>SCI!K5/SFP!#REF!</f>
        <v>#REF!</v>
      </c>
      <c r="M52" s="79" t="e">
        <f>SCI!L5/SFP!#REF!</f>
        <v>#REF!</v>
      </c>
      <c r="N52" s="79" t="e">
        <f>SCI!M5/SFP!#REF!</f>
        <v>#REF!</v>
      </c>
      <c r="O52" s="79" t="e">
        <f>SCI!N5/SFP!#REF!</f>
        <v>#REF!</v>
      </c>
      <c r="P52" s="79" t="e">
        <f>SCI!O5/SFP!#REF!</f>
        <v>#REF!</v>
      </c>
      <c r="Q52" s="79" t="e">
        <f>SCI!P5/SFP!#REF!</f>
        <v>#REF!</v>
      </c>
      <c r="R52" s="79" t="e">
        <f>SCI!Q5/SFP!#REF!</f>
        <v>#REF!</v>
      </c>
      <c r="S52" s="79" t="e">
        <f>SCI!R5/SFP!#REF!</f>
        <v>#REF!</v>
      </c>
      <c r="T52" s="79" t="e">
        <f>SCI!S5/SFP!#REF!</f>
        <v>#REF!</v>
      </c>
      <c r="U52" s="79" t="e">
        <f>SCI!T5/SFP!#REF!</f>
        <v>#REF!</v>
      </c>
      <c r="V52" s="79" t="e">
        <f>SCI!U5/SFP!#REF!</f>
        <v>#REF!</v>
      </c>
      <c r="W52" s="79" t="e">
        <f>SCI!V5/SFP!#REF!</f>
        <v>#REF!</v>
      </c>
      <c r="X52" s="79" t="e">
        <f>SCI!W5/SFP!#REF!</f>
        <v>#REF!</v>
      </c>
      <c r="Y52" s="79" t="e">
        <f>SCI!X5/SFP!#REF!</f>
        <v>#REF!</v>
      </c>
      <c r="Z52" s="79" t="e">
        <f>SCI!Y5/SFP!#REF!</f>
        <v>#REF!</v>
      </c>
      <c r="AA52" s="79" t="e">
        <f>SCI!Z5/SFP!#REF!</f>
        <v>#REF!</v>
      </c>
      <c r="AB52" s="79" t="e">
        <f>SCI!AA5/SFP!#REF!</f>
        <v>#REF!</v>
      </c>
      <c r="AC52" s="79" t="e">
        <f>SCI!AB5/SFP!#REF!</f>
        <v>#REF!</v>
      </c>
      <c r="AD52" s="79" t="e">
        <f>SCI!AC5/SFP!#REF!</f>
        <v>#REF!</v>
      </c>
      <c r="AE52" s="79" t="e">
        <f>SCI!AD5/SFP!#REF!</f>
        <v>#REF!</v>
      </c>
      <c r="AF52" s="79" t="e">
        <f>SCI!AE5/SFP!#REF!</f>
        <v>#REF!</v>
      </c>
      <c r="AG52" s="79" t="e">
        <f>SCI!AF5/SFP!#REF!</f>
        <v>#REF!</v>
      </c>
      <c r="AH52" s="79" t="e">
        <f>SCI!AG5/SFP!#REF!</f>
        <v>#REF!</v>
      </c>
      <c r="AI52" s="79" t="e">
        <f>SCI!AH5/SFP!#REF!</f>
        <v>#REF!</v>
      </c>
      <c r="AJ52" s="79" t="e">
        <f>SCI!AI5/SFP!#REF!</f>
        <v>#REF!</v>
      </c>
      <c r="AK52" s="79" t="e">
        <f>SCI!AJ5/SFP!#REF!</f>
        <v>#REF!</v>
      </c>
    </row>
    <row r="53" spans="1:37" ht="12.75">
      <c r="A53" s="74"/>
      <c r="B53" s="73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</row>
    <row r="54" spans="1:37" ht="12.75">
      <c r="A54" s="85" t="s">
        <v>214</v>
      </c>
      <c r="B54" s="73"/>
      <c r="C54" s="75" t="e">
        <f>SCI!B33/((SFP!#REF!+SFP!#REF!)/2)</f>
        <v>#REF!</v>
      </c>
      <c r="D54" s="75" t="e">
        <f>SCI!C33/((SFP!#REF!+SFP!#REF!)/2)</f>
        <v>#REF!</v>
      </c>
      <c r="E54" s="75" t="e">
        <f>SCI!D33/((SFP!#REF!+SFP!#REF!)/2)</f>
        <v>#REF!</v>
      </c>
      <c r="F54" s="75" t="e">
        <f>SCI!E33/((SFP!#REF!+SFP!#REF!)/2)</f>
        <v>#REF!</v>
      </c>
      <c r="G54" s="75" t="e">
        <f>SCI!F33/((SFP!#REF!+SFP!#REF!)/2)</f>
        <v>#REF!</v>
      </c>
      <c r="H54" s="75" t="e">
        <f>SCI!G33/((SFP!#REF!+SFP!#REF!)/2)</f>
        <v>#REF!</v>
      </c>
      <c r="I54" s="75" t="e">
        <f>SCI!H33/((SFP!#REF!+SFP!#REF!)/2)</f>
        <v>#REF!</v>
      </c>
      <c r="J54" s="75" t="e">
        <f>SCI!I33/((SFP!#REF!+SFP!#REF!)/2)</f>
        <v>#REF!</v>
      </c>
      <c r="K54" s="75" t="e">
        <f>SCI!J33/((SFP!#REF!+SFP!#REF!)/2)</f>
        <v>#REF!</v>
      </c>
      <c r="L54" s="75" t="e">
        <f>SCI!K33/((SFP!#REF!+SFP!#REF!)/2)</f>
        <v>#REF!</v>
      </c>
      <c r="M54" s="75" t="e">
        <f>SCI!L33/((SFP!#REF!+SFP!#REF!)/2)</f>
        <v>#REF!</v>
      </c>
      <c r="N54" s="75" t="e">
        <f>SCI!M33/((SFP!#REF!+SFP!#REF!)/2)</f>
        <v>#REF!</v>
      </c>
      <c r="O54" s="75" t="e">
        <f>SCI!N33/((SFP!#REF!+SFP!#REF!)/2)</f>
        <v>#REF!</v>
      </c>
      <c r="P54" s="75" t="e">
        <f>SCI!O33/((SFP!#REF!+SFP!#REF!)/2)</f>
        <v>#REF!</v>
      </c>
      <c r="Q54" s="75" t="e">
        <f>SCI!P33/((SFP!#REF!+SFP!#REF!)/2)</f>
        <v>#REF!</v>
      </c>
      <c r="R54" s="75" t="e">
        <f>SCI!Q33/((SFP!#REF!+SFP!#REF!)/2)</f>
        <v>#REF!</v>
      </c>
      <c r="S54" s="75" t="e">
        <f>SCI!R33/((SFP!#REF!+SFP!#REF!)/2)</f>
        <v>#REF!</v>
      </c>
      <c r="T54" s="75" t="e">
        <f>SCI!S33/((SFP!#REF!+SFP!#REF!)/2)</f>
        <v>#REF!</v>
      </c>
      <c r="U54" s="75" t="e">
        <f>SCI!T33/((SFP!#REF!+SFP!#REF!)/2)</f>
        <v>#REF!</v>
      </c>
      <c r="V54" s="75" t="e">
        <f>SCI!U33/((SFP!#REF!+SFP!#REF!)/2)</f>
        <v>#REF!</v>
      </c>
      <c r="W54" s="75" t="e">
        <f>SCI!V33/((SFP!#REF!+SFP!#REF!)/2)</f>
        <v>#REF!</v>
      </c>
      <c r="X54" s="75" t="e">
        <f>SCI!W33/((SFP!#REF!+SFP!#REF!)/2)</f>
        <v>#REF!</v>
      </c>
      <c r="Y54" s="75" t="e">
        <f>SCI!X33/((SFP!#REF!+SFP!#REF!)/2)</f>
        <v>#REF!</v>
      </c>
      <c r="Z54" s="75" t="e">
        <f>SCI!Y33/((SFP!#REF!+SFP!#REF!)/2)</f>
        <v>#REF!</v>
      </c>
      <c r="AA54" s="75" t="e">
        <f>SCI!Z33/((SFP!#REF!+SFP!#REF!)/2)</f>
        <v>#REF!</v>
      </c>
      <c r="AB54" s="75" t="e">
        <f>SCI!AA33/((SFP!#REF!+SFP!#REF!)/2)</f>
        <v>#REF!</v>
      </c>
      <c r="AC54" s="75" t="e">
        <f>SCI!AB33/((SFP!#REF!+SFP!#REF!)/2)</f>
        <v>#REF!</v>
      </c>
      <c r="AD54" s="75" t="e">
        <f>SCI!AC33/((SFP!#REF!+SFP!#REF!)/2)</f>
        <v>#REF!</v>
      </c>
      <c r="AE54" s="75" t="e">
        <f>SCI!AD33/((SFP!#REF!+SFP!#REF!)/2)</f>
        <v>#REF!</v>
      </c>
      <c r="AF54" s="75" t="e">
        <f>SCI!AE33/((SFP!#REF!+SFP!#REF!)/2)</f>
        <v>#REF!</v>
      </c>
      <c r="AG54" s="75" t="e">
        <f>SCI!AF33/((SFP!#REF!+SFP!#REF!)/2)</f>
        <v>#REF!</v>
      </c>
      <c r="AH54" s="75" t="e">
        <f>SCI!AG33/((SFP!#REF!+SFP!#REF!)/2)</f>
        <v>#REF!</v>
      </c>
      <c r="AI54" s="75" t="e">
        <f>SCI!AH33/((SFP!#REF!+SFP!#REF!)/2)</f>
        <v>#REF!</v>
      </c>
      <c r="AJ54" s="75" t="e">
        <f>SCI!AI33/((SFP!#REF!+SFP!#REF!)/2)</f>
        <v>#REF!</v>
      </c>
      <c r="AK54" s="75" t="e">
        <f>SCI!AJ33/((SFP!#REF!+SFP!#REF!)/2)</f>
        <v>#REF!</v>
      </c>
    </row>
    <row r="55" spans="1:37" ht="12.75">
      <c r="A55" s="74" t="s">
        <v>215</v>
      </c>
      <c r="B55" s="73"/>
      <c r="C55" s="76">
        <f>SCI!B23/SCI!B19</f>
        <v>0.76151333528045262</v>
      </c>
      <c r="D55" s="76">
        <f>SCI!C23/SCI!C19</f>
        <v>0.50066529526720149</v>
      </c>
      <c r="E55" s="76">
        <f>SCI!D23/SCI!D19</f>
        <v>0.56428288896267698</v>
      </c>
      <c r="F55" s="76">
        <f>SCI!E23/SCI!E19</f>
        <v>0.63625765758626629</v>
      </c>
      <c r="G55" s="76">
        <f>SCI!F23/SCI!F19</f>
        <v>0.60024689480076332</v>
      </c>
      <c r="H55" s="76">
        <f>SCI!G23/SCI!G19</f>
        <v>0.5997512866438004</v>
      </c>
      <c r="I55" s="76">
        <f>SCI!H23/SCI!H19</f>
        <v>0.60874907158614711</v>
      </c>
      <c r="J55" s="76">
        <f>SCI!I23/SCI!I19</f>
        <v>0.58160632361732623</v>
      </c>
      <c r="K55" s="76">
        <f>SCI!J23/SCI!J19</f>
        <v>0.57726435998621384</v>
      </c>
      <c r="L55" s="76">
        <f>SCI!K23/SCI!K19</f>
        <v>0.57726435998621384</v>
      </c>
      <c r="M55" s="76">
        <f>SCI!L23/SCI!L19</f>
        <v>0.57785692300452429</v>
      </c>
      <c r="N55" s="76">
        <f>SCI!M23/SCI!M19</f>
        <v>0.58995374429554437</v>
      </c>
      <c r="O55" s="76">
        <f>SCI!N23/SCI!N19</f>
        <v>0.6566981442528671</v>
      </c>
      <c r="P55" s="76">
        <f>SCI!O23/SCI!O19</f>
        <v>0.72765822382557088</v>
      </c>
      <c r="Q55" s="76">
        <f>SCI!P23/SCI!P19</f>
        <v>0.69548430090097357</v>
      </c>
      <c r="R55" s="76">
        <f>SCI!Q23/SCI!Q19</f>
        <v>0.89347078601415875</v>
      </c>
      <c r="S55" s="76">
        <f>SCI!R23/SCI!R19</f>
        <v>0.83644887550321301</v>
      </c>
      <c r="T55" s="76">
        <f>SCI!S23/SCI!S19</f>
        <v>0.85442610590210244</v>
      </c>
      <c r="U55" s="76">
        <f>SCI!T23/SCI!T19</f>
        <v>0.83188377738810593</v>
      </c>
      <c r="V55" s="76">
        <f>SCI!U23/SCI!U19</f>
        <v>0.77845079206706469</v>
      </c>
      <c r="W55" s="76">
        <f>SCI!V23/SCI!V19</f>
        <v>0.7274177784207676</v>
      </c>
      <c r="X55" s="76">
        <f>SCI!W23/SCI!W19</f>
        <v>0.71874154711014715</v>
      </c>
      <c r="Y55" s="76">
        <f>SCI!X23/SCI!X19</f>
        <v>0.69272690883075727</v>
      </c>
      <c r="Z55" s="76">
        <f>SCI!Y23/SCI!Y19</f>
        <v>0.66738794307666061</v>
      </c>
      <c r="AA55" s="76">
        <f>SCI!Z23/SCI!Z19</f>
        <v>0.68974535836632211</v>
      </c>
      <c r="AB55" s="76">
        <f>SCI!AA23/SCI!AA19</f>
        <v>0.85701479243912615</v>
      </c>
      <c r="AC55" s="76">
        <f>SCI!AB23/SCI!AB19</f>
        <v>0.94576507189405834</v>
      </c>
      <c r="AD55" s="76">
        <f>SCI!AC23/SCI!AC19</f>
        <v>0.95862200920330265</v>
      </c>
      <c r="AE55" s="76">
        <f>SCI!AD23/SCI!AD19</f>
        <v>0.78679814484150645</v>
      </c>
      <c r="AF55" s="76">
        <f>SCI!AE23/SCI!AE19</f>
        <v>0.82165386529925799</v>
      </c>
      <c r="AG55" s="76">
        <f>SCI!AF23/SCI!AF19</f>
        <v>0.77185366054815652</v>
      </c>
      <c r="AH55" s="76">
        <f>SCI!AG23/SCI!AG19</f>
        <v>0.77548206622983706</v>
      </c>
      <c r="AI55" s="76">
        <f>SCI!AH23/SCI!AH19</f>
        <v>0.73031820233443678</v>
      </c>
      <c r="AJ55" s="76">
        <f>SCI!AI23/SCI!AI19</f>
        <v>0.67636800292940513</v>
      </c>
      <c r="AK55" s="76">
        <f>SCI!AJ23/SCI!AJ19</f>
        <v>0.66386058959619088</v>
      </c>
    </row>
    <row r="56" spans="1:37" ht="12.75">
      <c r="A56" s="83" t="s">
        <v>216</v>
      </c>
      <c r="B56" s="84"/>
      <c r="C56" s="75" t="e">
        <f>SCI!B23/SFP!#REF!</f>
        <v>#REF!</v>
      </c>
      <c r="D56" s="75" t="e">
        <f>SCI!C23/SFP!#REF!</f>
        <v>#REF!</v>
      </c>
      <c r="E56" s="75" t="e">
        <f>SCI!D23/SFP!#REF!</f>
        <v>#REF!</v>
      </c>
      <c r="F56" s="75" t="e">
        <f>SCI!E23/SFP!#REF!</f>
        <v>#REF!</v>
      </c>
      <c r="G56" s="75" t="e">
        <f>SCI!F23/SFP!#REF!</f>
        <v>#REF!</v>
      </c>
      <c r="H56" s="75" t="e">
        <f>SCI!G23/SFP!#REF!</f>
        <v>#REF!</v>
      </c>
      <c r="I56" s="75" t="e">
        <f>SCI!H23/SFP!#REF!</f>
        <v>#REF!</v>
      </c>
      <c r="J56" s="75" t="e">
        <f>SCI!I23/SFP!#REF!</f>
        <v>#REF!</v>
      </c>
      <c r="K56" s="75" t="e">
        <f>SCI!J23/SFP!#REF!</f>
        <v>#REF!</v>
      </c>
      <c r="L56" s="75" t="e">
        <f>SCI!K23/SFP!#REF!</f>
        <v>#REF!</v>
      </c>
      <c r="M56" s="75" t="e">
        <f>SCI!L23/SFP!#REF!</f>
        <v>#REF!</v>
      </c>
      <c r="N56" s="75" t="e">
        <f>SCI!M23/SFP!#REF!</f>
        <v>#REF!</v>
      </c>
      <c r="O56" s="75" t="e">
        <f>SCI!N23/SFP!#REF!</f>
        <v>#REF!</v>
      </c>
      <c r="P56" s="75" t="e">
        <f>SCI!O23/SFP!#REF!</f>
        <v>#REF!</v>
      </c>
      <c r="Q56" s="75" t="e">
        <f>SCI!P23/SFP!#REF!</f>
        <v>#REF!</v>
      </c>
      <c r="R56" s="75" t="e">
        <f>SCI!Q23/SFP!#REF!</f>
        <v>#REF!</v>
      </c>
      <c r="S56" s="75" t="e">
        <f>SCI!R23/SFP!#REF!</f>
        <v>#REF!</v>
      </c>
      <c r="T56" s="75" t="e">
        <f>SCI!S23/SFP!#REF!</f>
        <v>#REF!</v>
      </c>
      <c r="U56" s="75" t="e">
        <f>SCI!T23/SFP!#REF!</f>
        <v>#REF!</v>
      </c>
      <c r="V56" s="75" t="e">
        <f>SCI!U23/SFP!#REF!</f>
        <v>#REF!</v>
      </c>
      <c r="W56" s="75" t="e">
        <f>SCI!V23/SFP!#REF!</f>
        <v>#REF!</v>
      </c>
      <c r="X56" s="75" t="e">
        <f>SCI!W23/SFP!#REF!</f>
        <v>#REF!</v>
      </c>
      <c r="Y56" s="75" t="e">
        <f>SCI!X23/SFP!#REF!</f>
        <v>#REF!</v>
      </c>
      <c r="Z56" s="75" t="e">
        <f>SCI!Y23/SFP!#REF!</f>
        <v>#REF!</v>
      </c>
      <c r="AA56" s="75" t="e">
        <f>SCI!Z23/SFP!#REF!</f>
        <v>#REF!</v>
      </c>
      <c r="AB56" s="75" t="e">
        <f>SCI!AA23/SFP!#REF!</f>
        <v>#REF!</v>
      </c>
      <c r="AC56" s="75" t="e">
        <f>SCI!AB23/SFP!#REF!</f>
        <v>#REF!</v>
      </c>
      <c r="AD56" s="75" t="e">
        <f>SCI!AC23/SFP!#REF!</f>
        <v>#REF!</v>
      </c>
      <c r="AE56" s="75" t="e">
        <f>SCI!AD23/SFP!#REF!</f>
        <v>#REF!</v>
      </c>
      <c r="AF56" s="75" t="e">
        <f>SCI!AE23/SFP!#REF!</f>
        <v>#REF!</v>
      </c>
      <c r="AG56" s="75" t="e">
        <f>SCI!AF23/SFP!#REF!</f>
        <v>#REF!</v>
      </c>
      <c r="AH56" s="75" t="e">
        <f>SCI!AG23/SFP!#REF!</f>
        <v>#REF!</v>
      </c>
      <c r="AI56" s="75" t="e">
        <f>SCI!AH23/SFP!#REF!</f>
        <v>#REF!</v>
      </c>
      <c r="AJ56" s="75" t="e">
        <f>SCI!AI23/SFP!#REF!</f>
        <v>#REF!</v>
      </c>
      <c r="AK56" s="75" t="e">
        <f>SCI!AJ23/SFP!#REF!</f>
        <v>#REF!</v>
      </c>
    </row>
    <row r="57" spans="1:37" ht="12.75">
      <c r="A57" s="90" t="s">
        <v>217</v>
      </c>
      <c r="B57" s="91"/>
      <c r="C57" s="92">
        <f>(Financials!C36+Financials!C29)/Financials!C5</f>
        <v>0.20948323109407571</v>
      </c>
      <c r="D57" s="92">
        <f>(Financials!D36+Financials!D29)/Financials!D5</f>
        <v>0.17774298340883327</v>
      </c>
      <c r="E57" s="92">
        <f>(Financials!E36+Financials!E29)/Financials!E5</f>
        <v>0.20328607961673584</v>
      </c>
      <c r="F57" s="92">
        <f>(Financials!F36+Financials!F29)/Financials!F5</f>
        <v>0.21165591571605602</v>
      </c>
      <c r="G57" s="92">
        <f>(Financials!G36+Financials!G29)/Financials!G5</f>
        <v>0.23699730968355615</v>
      </c>
      <c r="H57" s="92">
        <f>(Financials!H36+Financials!H29)/Financials!H5</f>
        <v>0.22340762779020087</v>
      </c>
      <c r="I57" s="92">
        <f>(Financials!I36+Financials!I29)/Financials!I5</f>
        <v>0.19201041582730891</v>
      </c>
      <c r="J57" s="92">
        <f>(Financials!J36+Financials!J29)/Financials!J5</f>
        <v>0.25290292357646604</v>
      </c>
      <c r="K57" s="92">
        <f>(Financials!K36+Financials!K29)/Financials!K5</f>
        <v>0.26360111182052903</v>
      </c>
      <c r="L57" s="92">
        <f>(Financials!L36+Financials!L29)/Financials!L5</f>
        <v>0.27559032027832547</v>
      </c>
      <c r="M57" s="92">
        <f>(Financials!M36+Financials!M29)/Financials!M5</f>
        <v>0.29136052925614181</v>
      </c>
      <c r="N57" s="92">
        <f>(Financials!N36+Financials!N29)/Financials!N5</f>
        <v>0.29947014227893481</v>
      </c>
      <c r="O57" s="92">
        <f>(Financials!O36+Financials!O29)/Financials!O5</f>
        <v>0.30016584523808226</v>
      </c>
      <c r="P57" s="92">
        <f>(Financials!P36+Financials!P29)/Financials!P5</f>
        <v>0.33844397865972969</v>
      </c>
      <c r="Q57" s="92">
        <f>(Financials!Q36+Financials!Q29)/Financials!Q5</f>
        <v>0.33598450248961664</v>
      </c>
      <c r="R57" s="92">
        <f>(Financials!R36+Financials!R29)/Financials!R5</f>
        <v>0.34259304664786644</v>
      </c>
      <c r="S57" s="92">
        <f>(Financials!S36+Financials!S29)/Financials!S5</f>
        <v>0.31087155004270672</v>
      </c>
      <c r="T57" s="92">
        <f>(Financials!T36+Financials!T29)/Financials!T5</f>
        <v>0.30952058029447588</v>
      </c>
      <c r="U57" s="92">
        <f>(Financials!U36+Financials!U29)/Financials!U5</f>
        <v>0.33580270646964649</v>
      </c>
      <c r="V57" s="92">
        <f>(Financials!V36+Financials!V29)/Financials!V5</f>
        <v>0.30006024670936615</v>
      </c>
      <c r="W57" s="92">
        <f>(Financials!W36+Financials!W29)/Financials!W5</f>
        <v>0.3139911637774741</v>
      </c>
      <c r="X57" s="92">
        <f>(Financials!X36+Financials!X29)/Financials!X5</f>
        <v>0.32370812744784788</v>
      </c>
      <c r="Y57" s="92">
        <f>(Financials!Y36+Financials!Y29)/Financials!Y5</f>
        <v>0.31270980437399176</v>
      </c>
      <c r="Z57" s="92">
        <f>(Financials!Z36+Financials!Z29)/Financials!Z5</f>
        <v>0.27876835524289623</v>
      </c>
      <c r="AA57" s="92">
        <f>(Financials!AA36+Financials!AA29)/Financials!AA5</f>
        <v>0.28075737209859841</v>
      </c>
      <c r="AB57" s="92">
        <f>(Financials!AB36+Financials!AB29)/Financials!AB5</f>
        <v>0.28054399079193021</v>
      </c>
      <c r="AC57" s="92">
        <f>(Financials!AC36+Financials!AC29)/Financials!AC5</f>
        <v>0.28084334985366161</v>
      </c>
      <c r="AD57" s="92">
        <f>(Financials!AD36+Financials!AD29)/Financials!AD5</f>
        <v>0.27046964460829193</v>
      </c>
      <c r="AE57" s="92">
        <f>(Financials!AE36+Financials!AE29)/Financials!AE5</f>
        <v>0.24690357520555475</v>
      </c>
      <c r="AF57" s="92">
        <f>(Financials!AF36+Financials!AF29)/Financials!AF5</f>
        <v>0.24791404382220408</v>
      </c>
      <c r="AG57" s="92">
        <f>(Financials!AG36+Financials!AG29)/Financials!AG5</f>
        <v>0.21215135690702652</v>
      </c>
      <c r="AH57" s="92">
        <f>(Financials!AH36+Financials!AH29)/Financials!AH5</f>
        <v>0.2327019173599584</v>
      </c>
      <c r="AI57" s="92">
        <f>(Financials!AI36+Financials!AI29)/Financials!AI5</f>
        <v>0.25083080427736937</v>
      </c>
      <c r="AJ57" s="92">
        <f>(Financials!AJ36+Financials!AJ29)/Financials!AJ5</f>
        <v>0.23341395911861385</v>
      </c>
      <c r="AK57" s="92">
        <f>(Financials!AK36+Financials!AK29)/Financials!AK5</f>
        <v>0.23628566854012456</v>
      </c>
    </row>
    <row r="58" spans="1:37" ht="25.5">
      <c r="A58" s="93" t="s">
        <v>218</v>
      </c>
      <c r="B58" s="73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</row>
    <row r="59" spans="1:37" ht="12.75">
      <c r="A59" s="80" t="s">
        <v>219</v>
      </c>
      <c r="B59" s="81"/>
      <c r="C59" s="82">
        <f>Financials!C32/Financials!C5</f>
        <v>0.82701546545922089</v>
      </c>
      <c r="D59" s="82">
        <f>Financials!D32/Financials!D5</f>
        <v>0.8651512054246201</v>
      </c>
      <c r="E59" s="82">
        <f>Financials!E32/Financials!E5</f>
        <v>0.83169737439361802</v>
      </c>
      <c r="F59" s="82">
        <f>Financials!F32/Financials!F5</f>
        <v>0.83840306646047325</v>
      </c>
      <c r="G59" s="82">
        <f>Financials!G32/Financials!G5</f>
        <v>0.7937013227772004</v>
      </c>
      <c r="H59" s="82">
        <f>Financials!H32/Financials!H5</f>
        <v>0.80310966413914786</v>
      </c>
      <c r="I59" s="82">
        <f>Financials!I32/Financials!I5</f>
        <v>0.83402623468515147</v>
      </c>
      <c r="J59" s="82">
        <f>Financials!J32/Financials!J5</f>
        <v>0.77220422710946635</v>
      </c>
      <c r="K59" s="82">
        <f>Financials!K32/Financials!K5</f>
        <v>0.76008177952505196</v>
      </c>
      <c r="L59" s="82">
        <f>Financials!L32/Financials!L5</f>
        <v>0.74286206618773298</v>
      </c>
      <c r="M59" s="82">
        <f>Financials!M32/Financials!M5</f>
        <v>0.72668541174518642</v>
      </c>
      <c r="N59" s="82">
        <f>Financials!N32/Financials!N5</f>
        <v>0.71858065751330724</v>
      </c>
      <c r="O59" s="82">
        <f>Financials!O32/Financials!O5</f>
        <v>0.72030120501629236</v>
      </c>
      <c r="P59" s="82">
        <f>Financials!P32/Financials!P5</f>
        <v>0.6790950945374139</v>
      </c>
      <c r="Q59" s="82">
        <f>Financials!Q32/Financials!Q5</f>
        <v>0.67430168910032839</v>
      </c>
      <c r="R59" s="82">
        <f>Financials!R32/Financials!R5</f>
        <v>0.67491604245799486</v>
      </c>
      <c r="S59" s="82">
        <f>Financials!S32/Financials!S5</f>
        <v>0.70641989493217228</v>
      </c>
      <c r="T59" s="82">
        <f>Financials!T32/Financials!T5</f>
        <v>0.70837779663725864</v>
      </c>
      <c r="U59" s="82">
        <f>Financials!U32/Financials!U5</f>
        <v>0.68301138724797461</v>
      </c>
      <c r="V59" s="82">
        <f>Financials!V32/Financials!V5</f>
        <v>0.7033266013517343</v>
      </c>
      <c r="W59" s="82">
        <f>Financials!W32/Financials!W5</f>
        <v>0.68904376870361839</v>
      </c>
      <c r="X59" s="82">
        <f>Financials!X32/Financials!X5</f>
        <v>0.68006042752128559</v>
      </c>
      <c r="Y59" s="82">
        <f>Financials!Y32/Financials!Y5</f>
        <v>0.68275834638067456</v>
      </c>
      <c r="Z59" s="82">
        <f>Financials!Z32/Financials!Z5</f>
        <v>0.70179597228370172</v>
      </c>
      <c r="AA59" s="82">
        <f>Financials!AA32/Financials!AA5</f>
        <v>0.70514135249517962</v>
      </c>
      <c r="AB59" s="82">
        <f>Financials!AB32/Financials!AB5</f>
        <v>0.70461253226344234</v>
      </c>
      <c r="AC59" s="82">
        <f>Financials!AC32/Financials!AC5</f>
        <v>0.70509976533849072</v>
      </c>
      <c r="AD59" s="82">
        <f>Financials!AD32/Financials!AD5</f>
        <v>0.71640969146714217</v>
      </c>
      <c r="AE59" s="82">
        <f>Financials!AE32/Financials!AE5</f>
        <v>0.74801354077809323</v>
      </c>
      <c r="AF59" s="82">
        <f>Financials!AF32/Financials!AF5</f>
        <v>0.74572651067206763</v>
      </c>
      <c r="AG59" s="82">
        <f>Financials!AG32/Financials!AG5</f>
        <v>0.76659314948470958</v>
      </c>
      <c r="AH59" s="82">
        <f>Financials!AH32/Financials!AH5</f>
        <v>0.75068898220870128</v>
      </c>
      <c r="AI59" s="82">
        <f>Financials!AI32/Financials!AI5</f>
        <v>0.72849914627387313</v>
      </c>
      <c r="AJ59" s="82">
        <f>Financials!AJ32/Financials!AJ5</f>
        <v>0.74555144225039072</v>
      </c>
      <c r="AK59" s="82">
        <f>Financials!AK32/Financials!AK5</f>
        <v>0.74704583426465354</v>
      </c>
    </row>
    <row r="60" spans="1:37" ht="12.75"/>
    <row r="79" spans="2:2">
      <c r="B79" s="1"/>
    </row>
  </sheetData>
  <pageMargins left="0.7" right="0.7" top="0.75" bottom="0.75" header="0.3" footer="0.3"/>
  <pageSetup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6"/>
  <sheetViews>
    <sheetView topLeftCell="B58" workbookViewId="0">
      <selection activeCell="E62" sqref="E62"/>
    </sheetView>
  </sheetViews>
  <sheetFormatPr defaultColWidth="8.85546875" defaultRowHeight="12.6"/>
  <cols>
    <col min="1" max="1" width="4.5703125" style="128" customWidth="1"/>
    <col min="2" max="2" width="32.5703125" style="128" customWidth="1"/>
    <col min="3" max="3" width="7.5703125" style="128" customWidth="1"/>
    <col min="4" max="4" width="21.42578125" style="128" customWidth="1"/>
    <col min="5" max="5" width="12.5703125" style="128" customWidth="1"/>
    <col min="6" max="6" width="22.42578125" style="128" customWidth="1"/>
    <col min="7" max="8" width="35.140625" style="128" customWidth="1"/>
    <col min="9" max="16384" width="8.85546875" style="128"/>
  </cols>
  <sheetData>
    <row r="1" spans="1:8" ht="14.1">
      <c r="A1" s="126"/>
      <c r="B1" s="127" t="s">
        <v>220</v>
      </c>
      <c r="C1" s="126"/>
      <c r="D1" s="126"/>
      <c r="E1" s="126"/>
      <c r="F1" s="126"/>
    </row>
    <row r="2" spans="1:8" ht="14.25" customHeight="1">
      <c r="A2" s="129"/>
      <c r="B2" s="274" t="s">
        <v>221</v>
      </c>
      <c r="C2" s="274"/>
      <c r="D2" s="274"/>
      <c r="E2" s="274"/>
      <c r="F2" s="274"/>
    </row>
    <row r="3" spans="1:8" ht="14.1">
      <c r="A3" s="129"/>
      <c r="B3" s="130" t="s">
        <v>222</v>
      </c>
      <c r="C3" s="129"/>
      <c r="E3" s="129"/>
      <c r="F3" s="131" t="s">
        <v>223</v>
      </c>
    </row>
    <row r="4" spans="1:8" ht="14.1">
      <c r="A4" s="129"/>
      <c r="B4" s="130" t="s">
        <v>224</v>
      </c>
      <c r="C4" s="129"/>
      <c r="D4" s="129"/>
      <c r="E4" s="129"/>
      <c r="F4" s="132">
        <v>2016</v>
      </c>
    </row>
    <row r="5" spans="1:8" ht="14.1">
      <c r="A5" s="129"/>
      <c r="B5" s="130" t="s">
        <v>225</v>
      </c>
      <c r="C5" s="129"/>
      <c r="D5" s="129"/>
      <c r="E5" s="133"/>
      <c r="F5" s="134" t="s">
        <v>226</v>
      </c>
    </row>
    <row r="6" spans="1:8" ht="14.1">
      <c r="A6" s="129"/>
      <c r="B6" s="130" t="s">
        <v>227</v>
      </c>
      <c r="C6" s="129"/>
      <c r="D6" s="129"/>
      <c r="E6" s="133"/>
      <c r="F6" s="134" t="s">
        <v>228</v>
      </c>
    </row>
    <row r="7" spans="1:8" ht="14.25" customHeight="1">
      <c r="A7" s="129"/>
      <c r="B7" s="275" t="s">
        <v>229</v>
      </c>
      <c r="C7" s="275"/>
      <c r="D7" s="275"/>
      <c r="E7" s="275"/>
      <c r="F7" s="276"/>
    </row>
    <row r="8" spans="1:8" ht="14.1">
      <c r="A8" s="129"/>
      <c r="B8" s="129"/>
      <c r="C8" s="130" t="s">
        <v>230</v>
      </c>
      <c r="D8" s="130" t="s">
        <v>231</v>
      </c>
      <c r="E8" s="130" t="s">
        <v>232</v>
      </c>
      <c r="F8" s="130" t="s">
        <v>233</v>
      </c>
    </row>
    <row r="9" spans="1:8" ht="27.95">
      <c r="A9" s="129" t="s">
        <v>234</v>
      </c>
      <c r="B9" s="130" t="s">
        <v>235</v>
      </c>
      <c r="C9" s="130" t="s">
        <v>236</v>
      </c>
      <c r="D9" s="130" t="s">
        <v>237</v>
      </c>
      <c r="E9" s="130" t="s">
        <v>238</v>
      </c>
      <c r="F9" s="130" t="s">
        <v>239</v>
      </c>
    </row>
    <row r="10" spans="1:8" ht="14.1">
      <c r="A10" s="129">
        <v>1</v>
      </c>
      <c r="B10" s="129" t="s">
        <v>240</v>
      </c>
      <c r="C10" s="172">
        <v>7828</v>
      </c>
      <c r="D10" s="172">
        <v>407964215.23000002</v>
      </c>
      <c r="E10" s="136">
        <v>0.01</v>
      </c>
      <c r="F10" s="129">
        <f>D10*E10</f>
        <v>4079642.1523000002</v>
      </c>
    </row>
    <row r="11" spans="1:8" ht="14.1">
      <c r="A11" s="129">
        <v>2</v>
      </c>
      <c r="B11" s="129" t="s">
        <v>241</v>
      </c>
      <c r="C11" s="172">
        <v>857</v>
      </c>
      <c r="D11" s="172">
        <v>106098569.37</v>
      </c>
      <c r="E11" s="136">
        <v>0.05</v>
      </c>
      <c r="F11" s="129">
        <f>D11*E11</f>
        <v>5304928.4685000004</v>
      </c>
    </row>
    <row r="12" spans="1:8" ht="14.1">
      <c r="A12" s="129">
        <v>3</v>
      </c>
      <c r="B12" s="129" t="s">
        <v>242</v>
      </c>
      <c r="C12" s="172">
        <v>353</v>
      </c>
      <c r="D12" s="172">
        <v>40541696.395999998</v>
      </c>
      <c r="E12" s="136">
        <v>0.25</v>
      </c>
      <c r="F12" s="129">
        <f>D12*E12</f>
        <v>10135424.098999999</v>
      </c>
      <c r="H12" s="145"/>
    </row>
    <row r="13" spans="1:8" ht="14.1">
      <c r="A13" s="129">
        <v>4</v>
      </c>
      <c r="B13" s="129" t="s">
        <v>243</v>
      </c>
      <c r="C13" s="172">
        <v>146</v>
      </c>
      <c r="D13" s="172">
        <v>16738133.16</v>
      </c>
      <c r="E13" s="136">
        <v>0.5</v>
      </c>
      <c r="F13" s="129">
        <f>D13*E13</f>
        <v>8369066.5800000001</v>
      </c>
      <c r="H13" s="145"/>
    </row>
    <row r="14" spans="1:8" ht="14.1">
      <c r="A14" s="129">
        <v>5</v>
      </c>
      <c r="B14" s="129" t="s">
        <v>244</v>
      </c>
      <c r="C14" s="172">
        <v>95</v>
      </c>
      <c r="D14" s="172">
        <v>19768434.41</v>
      </c>
      <c r="E14" s="136">
        <v>1</v>
      </c>
      <c r="F14" s="129">
        <f>D14*E14</f>
        <v>19768434.41</v>
      </c>
      <c r="G14" s="128">
        <f>SUM(D12:D14)</f>
        <v>77048263.965999991</v>
      </c>
    </row>
    <row r="15" spans="1:8" ht="14.1">
      <c r="A15" s="129"/>
      <c r="B15" s="130" t="s">
        <v>245</v>
      </c>
      <c r="C15" s="137">
        <f>SUM(C10:C14)</f>
        <v>9279</v>
      </c>
      <c r="D15" s="137">
        <f>SUM(D10:D14)</f>
        <v>591111048.56599998</v>
      </c>
      <c r="E15" s="138"/>
      <c r="F15" s="137">
        <f>SUM(F10:F14)</f>
        <v>47657495.709800005</v>
      </c>
    </row>
    <row r="16" spans="1:8" ht="14.1">
      <c r="A16" s="129"/>
      <c r="B16" s="129" t="s">
        <v>246</v>
      </c>
      <c r="C16" s="135"/>
      <c r="D16" s="135"/>
      <c r="E16" s="135"/>
      <c r="F16" s="135"/>
    </row>
    <row r="17" spans="1:6" ht="14.1">
      <c r="A17" s="129">
        <v>1</v>
      </c>
      <c r="B17" s="129" t="s">
        <v>240</v>
      </c>
      <c r="C17" s="135">
        <v>0</v>
      </c>
      <c r="D17" s="135">
        <v>0</v>
      </c>
      <c r="E17" s="136">
        <v>0.01</v>
      </c>
      <c r="F17" s="129">
        <f>D17*E17</f>
        <v>0</v>
      </c>
    </row>
    <row r="18" spans="1:6" ht="14.1">
      <c r="A18" s="129">
        <v>2</v>
      </c>
      <c r="B18" s="129" t="s">
        <v>241</v>
      </c>
      <c r="C18" s="135">
        <v>0</v>
      </c>
      <c r="D18" s="135"/>
      <c r="E18" s="136">
        <v>0.05</v>
      </c>
      <c r="F18" s="129">
        <f>D18*E18</f>
        <v>0</v>
      </c>
    </row>
    <row r="19" spans="1:6" ht="14.1">
      <c r="A19" s="129">
        <v>3</v>
      </c>
      <c r="B19" s="129" t="s">
        <v>242</v>
      </c>
      <c r="C19" s="135"/>
      <c r="D19" s="135"/>
      <c r="E19" s="136">
        <v>0.25</v>
      </c>
      <c r="F19" s="129">
        <f>D19*E19</f>
        <v>0</v>
      </c>
    </row>
    <row r="20" spans="1:6" ht="14.1">
      <c r="A20" s="129">
        <v>4</v>
      </c>
      <c r="B20" s="129" t="s">
        <v>243</v>
      </c>
      <c r="C20" s="135">
        <v>0</v>
      </c>
      <c r="D20" s="135">
        <v>0</v>
      </c>
      <c r="E20" s="136">
        <v>0.5</v>
      </c>
      <c r="F20" s="129">
        <f>D20*E20</f>
        <v>0</v>
      </c>
    </row>
    <row r="21" spans="1:6" ht="14.1">
      <c r="A21" s="129">
        <v>5</v>
      </c>
      <c r="B21" s="129" t="s">
        <v>244</v>
      </c>
      <c r="C21" s="135">
        <v>0</v>
      </c>
      <c r="D21" s="135">
        <v>0</v>
      </c>
      <c r="E21" s="136">
        <v>1</v>
      </c>
      <c r="F21" s="129">
        <f>D21*E21</f>
        <v>0</v>
      </c>
    </row>
    <row r="22" spans="1:6" ht="14.1">
      <c r="A22" s="129"/>
      <c r="B22" s="130" t="s">
        <v>245</v>
      </c>
      <c r="C22" s="137">
        <f>SUM(C16:C21)</f>
        <v>0</v>
      </c>
      <c r="D22" s="137">
        <f>SUM(D16:D21)</f>
        <v>0</v>
      </c>
      <c r="E22" s="130"/>
      <c r="F22" s="137">
        <f>SUM(F16:F21)</f>
        <v>0</v>
      </c>
    </row>
    <row r="23" spans="1:6" ht="14.1">
      <c r="A23" s="129"/>
      <c r="B23" s="130" t="s">
        <v>247</v>
      </c>
      <c r="C23" s="137">
        <f>C15+C22</f>
        <v>9279</v>
      </c>
      <c r="D23" s="137">
        <f>D15+D22</f>
        <v>591111048.56599998</v>
      </c>
      <c r="E23" s="130"/>
      <c r="F23" s="137">
        <f>F15+F22</f>
        <v>47657495.709800005</v>
      </c>
    </row>
    <row r="24" spans="1:6" ht="14.1">
      <c r="A24" s="133"/>
      <c r="B24" s="139"/>
      <c r="C24" s="139"/>
      <c r="D24" s="139"/>
      <c r="E24" s="139"/>
      <c r="F24" s="140"/>
    </row>
    <row r="25" spans="1:6" ht="15" customHeight="1">
      <c r="A25" s="277" t="s">
        <v>248</v>
      </c>
      <c r="B25" s="277"/>
      <c r="C25" s="277"/>
      <c r="D25" s="277"/>
      <c r="E25" s="277"/>
      <c r="F25" s="277"/>
    </row>
    <row r="26" spans="1:6" ht="15" customHeight="1">
      <c r="A26" s="141"/>
      <c r="B26" s="141"/>
      <c r="C26" s="141"/>
      <c r="D26" s="141"/>
      <c r="E26" s="141"/>
      <c r="F26" s="141"/>
    </row>
    <row r="27" spans="1:6" ht="14.1">
      <c r="A27" s="127"/>
      <c r="B27" s="142"/>
      <c r="C27" s="143"/>
      <c r="D27" s="144"/>
      <c r="E27" s="144"/>
      <c r="F27" s="144"/>
    </row>
    <row r="28" spans="1:6" ht="15.75" customHeight="1">
      <c r="A28" s="126"/>
      <c r="B28" s="127" t="s">
        <v>220</v>
      </c>
      <c r="C28" s="126"/>
      <c r="D28" s="126"/>
      <c r="E28" s="126"/>
      <c r="F28" s="126"/>
    </row>
    <row r="29" spans="1:6" ht="24" customHeight="1">
      <c r="A29" s="129"/>
      <c r="B29" s="274" t="s">
        <v>221</v>
      </c>
      <c r="C29" s="274"/>
      <c r="D29" s="274"/>
      <c r="E29" s="274"/>
      <c r="F29" s="274"/>
    </row>
    <row r="30" spans="1:6" ht="14.1">
      <c r="A30" s="129"/>
      <c r="B30" s="130" t="s">
        <v>222</v>
      </c>
      <c r="C30" s="129"/>
      <c r="E30" s="129"/>
      <c r="F30" s="131" t="s">
        <v>223</v>
      </c>
    </row>
    <row r="31" spans="1:6" ht="20.25" customHeight="1">
      <c r="A31" s="129"/>
      <c r="B31" s="130" t="s">
        <v>224</v>
      </c>
      <c r="C31" s="129"/>
      <c r="D31" s="129"/>
      <c r="E31" s="129"/>
      <c r="F31" s="132">
        <v>2016</v>
      </c>
    </row>
    <row r="32" spans="1:6" ht="14.1">
      <c r="A32" s="129"/>
      <c r="B32" s="130" t="s">
        <v>225</v>
      </c>
      <c r="C32" s="129"/>
      <c r="D32" s="129"/>
      <c r="E32" s="133"/>
      <c r="F32" s="134" t="s">
        <v>226</v>
      </c>
    </row>
    <row r="33" spans="1:7" ht="14.1">
      <c r="A33" s="129"/>
      <c r="B33" s="130" t="s">
        <v>227</v>
      </c>
      <c r="C33" s="129"/>
      <c r="D33" s="129"/>
      <c r="E33" s="133"/>
      <c r="F33" s="134" t="s">
        <v>249</v>
      </c>
    </row>
    <row r="34" spans="1:7" ht="14.1">
      <c r="A34" s="129"/>
      <c r="B34" s="275" t="s">
        <v>229</v>
      </c>
      <c r="C34" s="275"/>
      <c r="D34" s="275"/>
      <c r="E34" s="275"/>
      <c r="F34" s="276"/>
    </row>
    <row r="35" spans="1:7" ht="14.1">
      <c r="A35" s="129"/>
      <c r="B35" s="129"/>
      <c r="C35" s="130" t="s">
        <v>230</v>
      </c>
      <c r="D35" s="130" t="s">
        <v>231</v>
      </c>
      <c r="E35" s="130" t="s">
        <v>232</v>
      </c>
      <c r="F35" s="130" t="s">
        <v>233</v>
      </c>
    </row>
    <row r="36" spans="1:7" ht="27.95">
      <c r="A36" s="129" t="s">
        <v>234</v>
      </c>
      <c r="B36" s="130" t="s">
        <v>235</v>
      </c>
      <c r="C36" s="130" t="s">
        <v>236</v>
      </c>
      <c r="D36" s="130" t="s">
        <v>237</v>
      </c>
      <c r="E36" s="130" t="s">
        <v>238</v>
      </c>
      <c r="F36" s="130" t="s">
        <v>239</v>
      </c>
    </row>
    <row r="37" spans="1:7" ht="14.1">
      <c r="A37" s="129">
        <v>1</v>
      </c>
      <c r="B37" s="129" t="s">
        <v>240</v>
      </c>
      <c r="C37" s="172">
        <v>7269</v>
      </c>
      <c r="D37" s="172">
        <v>395795312.26999998</v>
      </c>
      <c r="E37" s="136">
        <v>0.01</v>
      </c>
      <c r="F37" s="129">
        <f>D37*E37</f>
        <v>3957953.1226999997</v>
      </c>
    </row>
    <row r="38" spans="1:7" ht="14.1">
      <c r="A38" s="129">
        <v>2</v>
      </c>
      <c r="B38" s="129" t="s">
        <v>241</v>
      </c>
      <c r="C38" s="172">
        <v>1041</v>
      </c>
      <c r="D38" s="172">
        <v>97770528.760000005</v>
      </c>
      <c r="E38" s="136">
        <v>0.05</v>
      </c>
      <c r="F38" s="129">
        <f>D38*E38</f>
        <v>4888526.4380000001</v>
      </c>
    </row>
    <row r="39" spans="1:7" ht="14.1">
      <c r="A39" s="129">
        <v>3</v>
      </c>
      <c r="B39" s="129" t="s">
        <v>242</v>
      </c>
      <c r="C39" s="172">
        <v>772</v>
      </c>
      <c r="D39" s="172">
        <v>51701231.890000001</v>
      </c>
      <c r="E39" s="136">
        <v>0.25</v>
      </c>
      <c r="F39" s="129">
        <f>D39*E39</f>
        <v>12925307.9725</v>
      </c>
    </row>
    <row r="40" spans="1:7" ht="14.1">
      <c r="A40" s="129">
        <v>4</v>
      </c>
      <c r="B40" s="129" t="s">
        <v>243</v>
      </c>
      <c r="C40" s="172">
        <v>377</v>
      </c>
      <c r="D40" s="172">
        <v>28331435.5</v>
      </c>
      <c r="E40" s="136">
        <v>0.5</v>
      </c>
      <c r="F40" s="129">
        <f>D40*E40</f>
        <v>14165717.75</v>
      </c>
    </row>
    <row r="41" spans="1:7" ht="14.1">
      <c r="A41" s="129">
        <v>5</v>
      </c>
      <c r="B41" s="129" t="s">
        <v>244</v>
      </c>
      <c r="C41" s="172">
        <v>639</v>
      </c>
      <c r="D41" s="172">
        <v>26413437.559999999</v>
      </c>
      <c r="E41" s="136">
        <v>1</v>
      </c>
      <c r="F41" s="129">
        <f>D41*E41</f>
        <v>26413437.559999999</v>
      </c>
      <c r="G41" s="128">
        <f>SUM(D39:D41)</f>
        <v>106446104.95</v>
      </c>
    </row>
    <row r="42" spans="1:7" ht="14.1">
      <c r="A42" s="129"/>
      <c r="B42" s="130" t="s">
        <v>245</v>
      </c>
      <c r="C42" s="137">
        <f>SUM(C37:C41)</f>
        <v>10098</v>
      </c>
      <c r="D42" s="137">
        <f>SUM(D37:D41)</f>
        <v>600011945.9799999</v>
      </c>
      <c r="E42" s="138"/>
      <c r="F42" s="137">
        <f>SUM(F37:F41)</f>
        <v>62350942.843199998</v>
      </c>
    </row>
    <row r="43" spans="1:7" ht="14.1">
      <c r="A43" s="129"/>
      <c r="B43" s="129" t="s">
        <v>246</v>
      </c>
      <c r="C43" s="135"/>
      <c r="D43" s="135"/>
      <c r="E43" s="135"/>
      <c r="F43" s="135"/>
    </row>
    <row r="44" spans="1:7" ht="14.1">
      <c r="A44" s="129">
        <v>1</v>
      </c>
      <c r="B44" s="129" t="s">
        <v>240</v>
      </c>
      <c r="C44" s="135">
        <v>0</v>
      </c>
      <c r="D44" s="135">
        <v>0</v>
      </c>
      <c r="E44" s="136">
        <v>0.01</v>
      </c>
      <c r="F44" s="129">
        <f>D44*E44</f>
        <v>0</v>
      </c>
    </row>
    <row r="45" spans="1:7" ht="14.1">
      <c r="A45" s="129">
        <v>2</v>
      </c>
      <c r="B45" s="129" t="s">
        <v>241</v>
      </c>
      <c r="C45" s="135">
        <v>0</v>
      </c>
      <c r="D45" s="135"/>
      <c r="E45" s="136">
        <v>0.05</v>
      </c>
      <c r="F45" s="129">
        <f>D45*E45</f>
        <v>0</v>
      </c>
    </row>
    <row r="46" spans="1:7" ht="14.1">
      <c r="A46" s="129">
        <v>3</v>
      </c>
      <c r="B46" s="129" t="s">
        <v>242</v>
      </c>
      <c r="C46" s="135"/>
      <c r="D46" s="135"/>
      <c r="E46" s="136">
        <v>0.25</v>
      </c>
      <c r="F46" s="129">
        <f>D46*E46</f>
        <v>0</v>
      </c>
      <c r="G46" s="128">
        <f>SUM(D39:D41)</f>
        <v>106446104.95</v>
      </c>
    </row>
    <row r="47" spans="1:7" ht="14.1">
      <c r="A47" s="129">
        <v>4</v>
      </c>
      <c r="B47" s="129" t="s">
        <v>243</v>
      </c>
      <c r="C47" s="135">
        <v>0</v>
      </c>
      <c r="D47" s="135">
        <v>0</v>
      </c>
      <c r="E47" s="136">
        <v>0.5</v>
      </c>
      <c r="F47" s="129">
        <f>D47*E47</f>
        <v>0</v>
      </c>
      <c r="G47" s="145">
        <f>G46/D42</f>
        <v>0.17740664275632298</v>
      </c>
    </row>
    <row r="48" spans="1:7" ht="14.1">
      <c r="A48" s="129">
        <v>5</v>
      </c>
      <c r="B48" s="129" t="s">
        <v>244</v>
      </c>
      <c r="C48" s="135">
        <v>0</v>
      </c>
      <c r="D48" s="135">
        <v>0</v>
      </c>
      <c r="E48" s="136">
        <v>1</v>
      </c>
      <c r="F48" s="129">
        <f>D48*E48</f>
        <v>0</v>
      </c>
    </row>
    <row r="49" spans="1:6" ht="14.1">
      <c r="A49" s="129"/>
      <c r="B49" s="130" t="s">
        <v>245</v>
      </c>
      <c r="C49" s="137">
        <f>SUM(C43:C48)</f>
        <v>0</v>
      </c>
      <c r="D49" s="137">
        <f>SUM(D43:D48)</f>
        <v>0</v>
      </c>
      <c r="E49" s="130"/>
      <c r="F49" s="137">
        <f>SUM(F43:F48)</f>
        <v>0</v>
      </c>
    </row>
    <row r="50" spans="1:6" ht="14.1">
      <c r="A50" s="129"/>
      <c r="B50" s="130" t="s">
        <v>247</v>
      </c>
      <c r="C50" s="137">
        <f>C42+C49</f>
        <v>10098</v>
      </c>
      <c r="D50" s="137">
        <f>D42+D49</f>
        <v>600011945.9799999</v>
      </c>
      <c r="E50" s="130"/>
      <c r="F50" s="137">
        <f>F42+F49</f>
        <v>62350942.843199998</v>
      </c>
    </row>
    <row r="51" spans="1:6" ht="14.1">
      <c r="A51" s="133"/>
      <c r="B51" s="139"/>
      <c r="C51" s="139"/>
      <c r="D51" s="139"/>
      <c r="E51" s="139"/>
      <c r="F51" s="140"/>
    </row>
    <row r="52" spans="1:6" ht="13.5">
      <c r="A52" s="277" t="s">
        <v>248</v>
      </c>
      <c r="B52" s="277"/>
      <c r="C52" s="277"/>
      <c r="D52" s="277"/>
      <c r="E52" s="277"/>
      <c r="F52" s="277"/>
    </row>
    <row r="54" spans="1:6" ht="14.1">
      <c r="B54" s="127" t="s">
        <v>220</v>
      </c>
      <c r="C54" s="126"/>
      <c r="D54" s="126"/>
      <c r="E54" s="126"/>
      <c r="F54" s="126"/>
    </row>
    <row r="55" spans="1:6" ht="14.1">
      <c r="B55" s="274" t="s">
        <v>221</v>
      </c>
      <c r="C55" s="274"/>
      <c r="D55" s="274"/>
      <c r="E55" s="274"/>
      <c r="F55" s="274"/>
    </row>
    <row r="56" spans="1:6" ht="14.1">
      <c r="B56" s="130" t="s">
        <v>222</v>
      </c>
      <c r="C56" s="129"/>
      <c r="E56" s="129"/>
      <c r="F56" s="131" t="s">
        <v>223</v>
      </c>
    </row>
    <row r="57" spans="1:6" ht="14.1">
      <c r="B57" s="130" t="s">
        <v>224</v>
      </c>
      <c r="C57" s="129"/>
      <c r="D57" s="129"/>
      <c r="E57" s="129"/>
      <c r="F57" s="132">
        <v>2018</v>
      </c>
    </row>
    <row r="58" spans="1:6" ht="14.1">
      <c r="B58" s="130" t="s">
        <v>225</v>
      </c>
      <c r="C58" s="129"/>
      <c r="D58" s="129"/>
      <c r="E58" s="133"/>
      <c r="F58" s="134" t="s">
        <v>226</v>
      </c>
    </row>
    <row r="59" spans="1:6" ht="14.1">
      <c r="B59" s="130" t="s">
        <v>227</v>
      </c>
      <c r="C59" s="129"/>
      <c r="D59" s="129"/>
      <c r="E59" s="133"/>
      <c r="F59" s="134" t="s">
        <v>250</v>
      </c>
    </row>
    <row r="60" spans="1:6" ht="14.1">
      <c r="B60" s="275" t="s">
        <v>229</v>
      </c>
      <c r="C60" s="275"/>
      <c r="D60" s="275"/>
      <c r="E60" s="275"/>
      <c r="F60" s="276"/>
    </row>
    <row r="61" spans="1:6" ht="14.1">
      <c r="B61" s="129"/>
      <c r="C61" s="130" t="s">
        <v>230</v>
      </c>
      <c r="D61" s="130" t="s">
        <v>231</v>
      </c>
      <c r="E61" s="130" t="s">
        <v>232</v>
      </c>
      <c r="F61" s="130" t="s">
        <v>233</v>
      </c>
    </row>
    <row r="62" spans="1:6" ht="27.95">
      <c r="B62" s="130" t="s">
        <v>235</v>
      </c>
      <c r="C62" s="130" t="s">
        <v>236</v>
      </c>
      <c r="D62" s="130" t="s">
        <v>237</v>
      </c>
      <c r="E62" s="130" t="s">
        <v>238</v>
      </c>
      <c r="F62" s="130" t="s">
        <v>239</v>
      </c>
    </row>
    <row r="63" spans="1:6" ht="14.1">
      <c r="B63" s="129" t="s">
        <v>240</v>
      </c>
      <c r="C63" s="135">
        <v>6517</v>
      </c>
      <c r="D63" s="135">
        <v>374773193.30000001</v>
      </c>
      <c r="E63" s="136">
        <v>0.01</v>
      </c>
      <c r="F63" s="129">
        <f>D63*E63</f>
        <v>3747731.9330000002</v>
      </c>
    </row>
    <row r="64" spans="1:6" ht="14.1">
      <c r="B64" s="129" t="s">
        <v>241</v>
      </c>
      <c r="C64" s="135">
        <v>1404</v>
      </c>
      <c r="D64" s="135">
        <v>151338373.81</v>
      </c>
      <c r="E64" s="136">
        <v>0.05</v>
      </c>
      <c r="F64" s="129">
        <f>D64*E64</f>
        <v>7566918.6905000005</v>
      </c>
    </row>
    <row r="65" spans="2:6" ht="14.1">
      <c r="B65" s="129" t="s">
        <v>242</v>
      </c>
      <c r="C65" s="135">
        <v>685</v>
      </c>
      <c r="D65" s="135">
        <v>60509700.520000003</v>
      </c>
      <c r="E65" s="136">
        <v>0.25</v>
      </c>
      <c r="F65" s="129">
        <f>D65*E65</f>
        <v>15127425.130000001</v>
      </c>
    </row>
    <row r="66" spans="2:6" ht="14.1">
      <c r="B66" s="129" t="s">
        <v>243</v>
      </c>
      <c r="C66" s="135">
        <v>335</v>
      </c>
      <c r="D66" s="135">
        <v>25541759.989999998</v>
      </c>
      <c r="E66" s="136">
        <v>0.5</v>
      </c>
      <c r="F66" s="129">
        <f>D66*E66</f>
        <v>12770879.994999999</v>
      </c>
    </row>
    <row r="67" spans="2:6" ht="14.1">
      <c r="B67" s="129" t="s">
        <v>244</v>
      </c>
      <c r="C67" s="135">
        <v>543</v>
      </c>
      <c r="D67" s="135">
        <v>22647916.43</v>
      </c>
      <c r="E67" s="136">
        <v>1</v>
      </c>
      <c r="F67" s="129">
        <f>D67*E67</f>
        <v>22647916.43</v>
      </c>
    </row>
    <row r="68" spans="2:6" ht="14.1">
      <c r="B68" s="130" t="s">
        <v>245</v>
      </c>
      <c r="C68" s="137">
        <f>SUM(C63:C67)</f>
        <v>9484</v>
      </c>
      <c r="D68" s="137">
        <f>SUM(D63:D67)</f>
        <v>634810944.04999995</v>
      </c>
      <c r="E68" s="138"/>
      <c r="F68" s="137">
        <f>SUM(F63:F67)</f>
        <v>61860872.178499997</v>
      </c>
    </row>
    <row r="69" spans="2:6" ht="14.1">
      <c r="B69" s="129" t="s">
        <v>246</v>
      </c>
      <c r="C69" s="135"/>
      <c r="D69" s="135"/>
      <c r="E69" s="135"/>
      <c r="F69" s="135"/>
    </row>
    <row r="70" spans="2:6" ht="14.1">
      <c r="B70" s="129" t="s">
        <v>240</v>
      </c>
      <c r="C70" s="135">
        <v>0</v>
      </c>
      <c r="D70" s="135">
        <v>0</v>
      </c>
      <c r="E70" s="136">
        <v>0.01</v>
      </c>
      <c r="F70" s="129">
        <f>D70*E70</f>
        <v>0</v>
      </c>
    </row>
    <row r="71" spans="2:6" ht="14.1">
      <c r="B71" s="129" t="s">
        <v>241</v>
      </c>
      <c r="C71" s="135">
        <v>0</v>
      </c>
      <c r="D71" s="135"/>
      <c r="E71" s="136">
        <v>0.05</v>
      </c>
      <c r="F71" s="129">
        <f>D71*E71</f>
        <v>0</v>
      </c>
    </row>
    <row r="72" spans="2:6" ht="14.1">
      <c r="B72" s="129" t="s">
        <v>242</v>
      </c>
      <c r="C72" s="135"/>
      <c r="D72" s="135"/>
      <c r="E72" s="136">
        <v>0.25</v>
      </c>
      <c r="F72" s="129">
        <f>D72*E72</f>
        <v>0</v>
      </c>
    </row>
    <row r="73" spans="2:6" ht="14.1">
      <c r="B73" s="129" t="s">
        <v>243</v>
      </c>
      <c r="C73" s="135">
        <v>0</v>
      </c>
      <c r="D73" s="135">
        <v>0</v>
      </c>
      <c r="E73" s="136">
        <v>0.5</v>
      </c>
      <c r="F73" s="129">
        <f>D73*E73</f>
        <v>0</v>
      </c>
    </row>
    <row r="74" spans="2:6" ht="14.1">
      <c r="B74" s="129" t="s">
        <v>244</v>
      </c>
      <c r="C74" s="135">
        <v>0</v>
      </c>
      <c r="D74" s="135">
        <v>0</v>
      </c>
      <c r="E74" s="136">
        <v>1</v>
      </c>
      <c r="F74" s="129">
        <f>D74*E74</f>
        <v>0</v>
      </c>
    </row>
    <row r="75" spans="2:6" ht="14.1">
      <c r="B75" s="130" t="s">
        <v>245</v>
      </c>
      <c r="C75" s="137">
        <f>SUM(C69:C74)</f>
        <v>0</v>
      </c>
      <c r="D75" s="137">
        <f>SUM(D69:D74)</f>
        <v>0</v>
      </c>
      <c r="E75" s="130"/>
      <c r="F75" s="137">
        <f>SUM(F69:F74)</f>
        <v>0</v>
      </c>
    </row>
    <row r="76" spans="2:6" ht="14.1">
      <c r="B76" s="130" t="s">
        <v>247</v>
      </c>
      <c r="C76" s="137">
        <f>C68+C75</f>
        <v>9484</v>
      </c>
      <c r="D76" s="137">
        <f>D68+D75</f>
        <v>634810944.04999995</v>
      </c>
      <c r="E76" s="130"/>
      <c r="F76" s="137">
        <f>F68+F75</f>
        <v>61860872.178499997</v>
      </c>
    </row>
  </sheetData>
  <mergeCells count="8">
    <mergeCell ref="B55:F55"/>
    <mergeCell ref="B60:F60"/>
    <mergeCell ref="B34:F34"/>
    <mergeCell ref="A52:F52"/>
    <mergeCell ref="B2:F2"/>
    <mergeCell ref="B7:F7"/>
    <mergeCell ref="A25:F25"/>
    <mergeCell ref="B29:F29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J62"/>
  <sheetViews>
    <sheetView workbookViewId="0">
      <selection activeCell="A5" sqref="A5:H5"/>
    </sheetView>
  </sheetViews>
  <sheetFormatPr defaultRowHeight="14.45"/>
  <cols>
    <col min="1" max="1" width="47.42578125" style="173" customWidth="1"/>
    <col min="2" max="2" width="9.5703125" style="189" bestFit="1" customWidth="1"/>
    <col min="3" max="3" width="18.5703125" style="173" bestFit="1" customWidth="1"/>
    <col min="4" max="4" width="19" style="173" customWidth="1"/>
    <col min="5" max="6" width="18.5703125" style="173" bestFit="1" customWidth="1"/>
    <col min="7" max="7" width="18.5703125" style="190" bestFit="1" customWidth="1"/>
    <col min="8" max="8" width="25" style="173" customWidth="1"/>
    <col min="9" max="244" width="9.140625" style="173" customWidth="1"/>
  </cols>
  <sheetData>
    <row r="1" spans="1:244" ht="15.95" thickBot="1">
      <c r="A1" s="281" t="s">
        <v>251</v>
      </c>
      <c r="B1" s="281"/>
      <c r="C1" s="281"/>
      <c r="D1" s="281"/>
      <c r="E1" s="281"/>
      <c r="F1" s="281"/>
      <c r="G1" s="281"/>
      <c r="H1" s="281"/>
    </row>
    <row r="2" spans="1:244" ht="15.95" thickBot="1">
      <c r="A2" s="281" t="s">
        <v>252</v>
      </c>
      <c r="B2" s="281"/>
      <c r="C2" s="281"/>
      <c r="D2" s="281"/>
      <c r="E2" s="281"/>
      <c r="F2" s="281"/>
      <c r="G2" s="281"/>
      <c r="H2" s="281"/>
    </row>
    <row r="3" spans="1:244" ht="15.95" thickBot="1">
      <c r="A3" s="198"/>
      <c r="B3" s="285" t="s">
        <v>253</v>
      </c>
      <c r="C3" s="199" t="s">
        <v>254</v>
      </c>
      <c r="D3" s="281" t="s">
        <v>255</v>
      </c>
      <c r="E3" s="281"/>
      <c r="F3" s="281"/>
      <c r="G3" s="281"/>
      <c r="H3" s="284" t="s">
        <v>256</v>
      </c>
    </row>
    <row r="4" spans="1:244" ht="15.95" thickBot="1">
      <c r="A4" s="200"/>
      <c r="B4" s="285"/>
      <c r="C4" s="201">
        <v>2017</v>
      </c>
      <c r="D4" s="202">
        <v>43177</v>
      </c>
      <c r="E4" s="203">
        <v>43269</v>
      </c>
      <c r="F4" s="202" t="s">
        <v>257</v>
      </c>
      <c r="G4" s="203">
        <v>43361</v>
      </c>
      <c r="H4" s="284"/>
    </row>
    <row r="5" spans="1:244" ht="15.95" thickBot="1">
      <c r="A5" s="282" t="s">
        <v>258</v>
      </c>
      <c r="B5" s="282"/>
      <c r="C5" s="282"/>
      <c r="D5" s="282"/>
      <c r="E5" s="282"/>
      <c r="F5" s="282"/>
      <c r="G5" s="282"/>
      <c r="H5" s="282"/>
    </row>
    <row r="6" spans="1:244" ht="15.95" thickBot="1">
      <c r="A6" s="204" t="s">
        <v>259</v>
      </c>
      <c r="B6" s="205" t="s">
        <v>260</v>
      </c>
      <c r="C6" s="206" t="e">
        <f t="shared" ref="C6:H6" si="0">C33</f>
        <v>#REF!</v>
      </c>
      <c r="D6" s="206">
        <f t="shared" si="0"/>
        <v>13915096.42</v>
      </c>
      <c r="E6" s="206">
        <f t="shared" si="0"/>
        <v>13346435.57</v>
      </c>
      <c r="F6" s="206">
        <f t="shared" si="0"/>
        <v>220991783.40000001</v>
      </c>
      <c r="G6" s="206">
        <f t="shared" si="0"/>
        <v>14304638.83</v>
      </c>
      <c r="H6" s="206">
        <f t="shared" si="0"/>
        <v>68610901181</v>
      </c>
    </row>
    <row r="7" spans="1:244" ht="15.95" thickBot="1">
      <c r="A7" s="204" t="s">
        <v>261</v>
      </c>
      <c r="B7" s="207" t="s">
        <v>262</v>
      </c>
      <c r="C7" s="208" t="e">
        <f t="shared" ref="C7:H7" si="1">C33/C29</f>
        <v>#REF!</v>
      </c>
      <c r="D7" s="208">
        <f t="shared" si="1"/>
        <v>1.2788118525335561E-2</v>
      </c>
      <c r="E7" s="208">
        <f t="shared" si="1"/>
        <v>1.2677156754792121E-2</v>
      </c>
      <c r="F7" s="208">
        <f t="shared" si="1"/>
        <v>0.20503176925501718</v>
      </c>
      <c r="G7" s="208">
        <f t="shared" si="1"/>
        <v>1.3106769414996146E-2</v>
      </c>
      <c r="H7" s="208">
        <f t="shared" si="1"/>
        <v>0.14576061198523357</v>
      </c>
    </row>
    <row r="8" spans="1:244" ht="15.95" thickBot="1">
      <c r="A8" s="204" t="s">
        <v>175</v>
      </c>
      <c r="B8" s="207" t="s">
        <v>263</v>
      </c>
      <c r="C8" s="209" t="e">
        <f t="shared" ref="C8:H8" si="2">C34/C29</f>
        <v>#REF!</v>
      </c>
      <c r="D8" s="209">
        <f t="shared" si="2"/>
        <v>3.5606429529563234E-3</v>
      </c>
      <c r="E8" s="209">
        <f t="shared" si="2"/>
        <v>3.1414222552822698E-3</v>
      </c>
      <c r="F8" s="208">
        <f t="shared" si="2"/>
        <v>9.5871935727169386E-2</v>
      </c>
      <c r="G8" s="208">
        <f t="shared" si="2"/>
        <v>3.9068307138945251E-3</v>
      </c>
      <c r="H8" s="208">
        <f t="shared" si="2"/>
        <v>8.0885761199199546E-2</v>
      </c>
    </row>
    <row r="9" spans="1:244" ht="15.95" thickBot="1">
      <c r="A9" s="283" t="s">
        <v>264</v>
      </c>
      <c r="B9" s="283"/>
      <c r="C9" s="283"/>
      <c r="D9" s="283"/>
      <c r="E9" s="283"/>
      <c r="F9" s="283"/>
      <c r="G9" s="283"/>
      <c r="H9" s="283"/>
    </row>
    <row r="10" spans="1:244" ht="15.95" thickBot="1">
      <c r="A10" s="204" t="s">
        <v>265</v>
      </c>
      <c r="B10" s="205" t="s">
        <v>266</v>
      </c>
      <c r="C10" s="209">
        <f t="shared" ref="C10:H10" si="3">C35/C32</f>
        <v>0.15518114589779766</v>
      </c>
      <c r="D10" s="209">
        <f t="shared" si="3"/>
        <v>0</v>
      </c>
      <c r="E10" s="209">
        <f t="shared" si="3"/>
        <v>0.17740664275040952</v>
      </c>
      <c r="F10" s="209">
        <f t="shared" si="3"/>
        <v>0.2492447457549378</v>
      </c>
      <c r="G10" s="209">
        <f t="shared" si="3"/>
        <v>0</v>
      </c>
      <c r="H10" s="209">
        <f t="shared" si="3"/>
        <v>7.3088911237603985E-2</v>
      </c>
    </row>
    <row r="11" spans="1:244" ht="15.95" thickBot="1">
      <c r="A11" s="204" t="s">
        <v>146</v>
      </c>
      <c r="B11" s="205" t="s">
        <v>267</v>
      </c>
      <c r="C11" s="208">
        <f t="shared" ref="C11:H11" si="4">C36/C29</f>
        <v>0.19600848328944206</v>
      </c>
      <c r="D11" s="208">
        <f t="shared" si="4"/>
        <v>0.22705784262851145</v>
      </c>
      <c r="E11" s="208">
        <f t="shared" si="4"/>
        <v>0.18079153539768342</v>
      </c>
      <c r="F11" s="208">
        <f t="shared" si="4"/>
        <v>0.20917825038317842</v>
      </c>
      <c r="G11" s="208">
        <f t="shared" si="4"/>
        <v>0.2181451387584529</v>
      </c>
      <c r="H11" s="208">
        <f t="shared" si="4"/>
        <v>0.12029808094226868</v>
      </c>
    </row>
    <row r="12" spans="1:244" ht="15.95" thickBot="1">
      <c r="A12" s="204" t="s">
        <v>268</v>
      </c>
      <c r="B12" s="205" t="s">
        <v>266</v>
      </c>
      <c r="C12" s="210">
        <f t="shared" ref="C12:H12" si="5">C38/C31</f>
        <v>0.18442582700914728</v>
      </c>
      <c r="D12" s="210">
        <f t="shared" si="5"/>
        <v>0.18912769848095415</v>
      </c>
      <c r="E12" s="210">
        <f t="shared" si="5"/>
        <v>0.18474351045486706</v>
      </c>
      <c r="F12" s="210">
        <f t="shared" si="5"/>
        <v>0.18393759636151527</v>
      </c>
      <c r="G12" s="210">
        <f t="shared" si="5"/>
        <v>0.18073694677359925</v>
      </c>
      <c r="H12" s="210">
        <f t="shared" si="5"/>
        <v>4.1108342997492324E-2</v>
      </c>
    </row>
    <row r="13" spans="1:244" ht="15.95" thickBot="1">
      <c r="A13" s="211" t="s">
        <v>269</v>
      </c>
      <c r="B13" s="205" t="s">
        <v>270</v>
      </c>
      <c r="C13" s="212" t="e">
        <f t="shared" ref="C13:H13" si="6">C38/C33</f>
        <v>#REF!</v>
      </c>
      <c r="D13" s="212">
        <f t="shared" si="6"/>
        <v>10.792608794585702</v>
      </c>
      <c r="E13" s="212">
        <f t="shared" si="6"/>
        <v>11.252456973423953</v>
      </c>
      <c r="F13" s="212">
        <f t="shared" si="6"/>
        <v>0.67957364789518238</v>
      </c>
      <c r="G13" s="212">
        <f t="shared" si="6"/>
        <v>10.498705614645708</v>
      </c>
      <c r="H13" s="212">
        <f t="shared" si="6"/>
        <v>0.19682259256987619</v>
      </c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5"/>
      <c r="AU13" s="175"/>
      <c r="AV13" s="175"/>
      <c r="AW13" s="175"/>
      <c r="AX13" s="175"/>
      <c r="AY13" s="175"/>
      <c r="AZ13" s="175"/>
      <c r="BA13" s="175"/>
      <c r="BB13" s="175"/>
      <c r="BC13" s="175"/>
      <c r="BD13" s="175"/>
      <c r="BE13" s="175"/>
      <c r="BF13" s="175"/>
      <c r="BG13" s="175"/>
      <c r="BH13" s="175"/>
      <c r="BI13" s="175"/>
      <c r="BJ13" s="175"/>
      <c r="BK13" s="175"/>
      <c r="BL13" s="175"/>
      <c r="BM13" s="175"/>
      <c r="BN13" s="175"/>
      <c r="BO13" s="175"/>
      <c r="BP13" s="175"/>
      <c r="BQ13" s="175"/>
      <c r="BR13" s="175"/>
      <c r="BS13" s="175"/>
      <c r="BT13" s="175"/>
      <c r="BU13" s="175"/>
      <c r="BV13" s="175"/>
      <c r="BW13" s="175"/>
      <c r="BX13" s="175"/>
      <c r="BY13" s="175"/>
      <c r="BZ13" s="175"/>
      <c r="CA13" s="175"/>
      <c r="CB13" s="175"/>
      <c r="CC13" s="175"/>
      <c r="CD13" s="175"/>
      <c r="CE13" s="175"/>
      <c r="CF13" s="175"/>
      <c r="CG13" s="175"/>
      <c r="CH13" s="175"/>
      <c r="CI13" s="175"/>
      <c r="CJ13" s="175"/>
      <c r="CK13" s="175"/>
      <c r="CL13" s="175"/>
      <c r="CM13" s="175"/>
      <c r="CN13" s="175"/>
      <c r="CO13" s="175"/>
      <c r="CP13" s="175"/>
      <c r="CQ13" s="175"/>
      <c r="CR13" s="175"/>
      <c r="CS13" s="175"/>
      <c r="CT13" s="175"/>
      <c r="CU13" s="175"/>
      <c r="CV13" s="175"/>
      <c r="CW13" s="175"/>
      <c r="CX13" s="175"/>
      <c r="CY13" s="175"/>
      <c r="CZ13" s="175"/>
      <c r="DA13" s="175"/>
      <c r="DB13" s="175"/>
      <c r="DC13" s="175"/>
      <c r="DD13" s="175"/>
      <c r="DE13" s="175"/>
      <c r="DF13" s="175"/>
      <c r="DG13" s="175"/>
      <c r="DH13" s="175"/>
      <c r="DI13" s="175"/>
      <c r="DJ13" s="175"/>
      <c r="DK13" s="175"/>
      <c r="DL13" s="175"/>
      <c r="DM13" s="175"/>
      <c r="DN13" s="175"/>
      <c r="DO13" s="175"/>
      <c r="DP13" s="175"/>
      <c r="DQ13" s="175"/>
      <c r="DR13" s="175"/>
      <c r="DS13" s="175"/>
      <c r="DT13" s="175"/>
      <c r="DU13" s="175"/>
      <c r="DV13" s="175"/>
      <c r="DW13" s="175"/>
      <c r="DX13" s="175"/>
      <c r="DY13" s="175"/>
      <c r="DZ13" s="175"/>
      <c r="EA13" s="175"/>
      <c r="EB13" s="175"/>
      <c r="EC13" s="175"/>
      <c r="ED13" s="175"/>
      <c r="EE13" s="175"/>
      <c r="EF13" s="175"/>
      <c r="EG13" s="175"/>
      <c r="EH13" s="175"/>
      <c r="EI13" s="175"/>
      <c r="EJ13" s="175"/>
      <c r="EK13" s="175"/>
      <c r="EL13" s="175"/>
      <c r="EM13" s="175"/>
      <c r="EN13" s="175"/>
      <c r="EO13" s="175"/>
      <c r="EP13" s="175"/>
      <c r="EQ13" s="175"/>
      <c r="ER13" s="175"/>
      <c r="ES13" s="175"/>
      <c r="ET13" s="175"/>
      <c r="EU13" s="175"/>
      <c r="EV13" s="175"/>
      <c r="EW13" s="175"/>
      <c r="EX13" s="175"/>
      <c r="EY13" s="175"/>
      <c r="EZ13" s="175"/>
      <c r="FA13" s="175"/>
      <c r="FB13" s="175"/>
      <c r="FC13" s="175"/>
      <c r="FD13" s="175"/>
      <c r="FE13" s="175"/>
      <c r="FF13" s="175"/>
      <c r="FG13" s="175"/>
      <c r="FH13" s="175"/>
      <c r="FI13" s="175"/>
      <c r="FJ13" s="175"/>
      <c r="FK13" s="175"/>
      <c r="FL13" s="175"/>
      <c r="FM13" s="175"/>
      <c r="FN13" s="175"/>
      <c r="FO13" s="175"/>
      <c r="FP13" s="175"/>
      <c r="FQ13" s="175"/>
      <c r="FR13" s="175"/>
      <c r="FS13" s="175"/>
      <c r="FT13" s="175"/>
      <c r="FU13" s="175"/>
      <c r="FV13" s="175"/>
      <c r="FW13" s="175"/>
      <c r="FX13" s="175"/>
      <c r="FY13" s="175"/>
      <c r="FZ13" s="175"/>
      <c r="GA13" s="175"/>
      <c r="GB13" s="175"/>
      <c r="GC13" s="175"/>
      <c r="GD13" s="175"/>
      <c r="GE13" s="175"/>
      <c r="GF13" s="175"/>
      <c r="GG13" s="175"/>
      <c r="GH13" s="175"/>
      <c r="GI13" s="175"/>
      <c r="GJ13" s="175"/>
      <c r="GK13" s="175"/>
      <c r="GL13" s="175"/>
      <c r="GM13" s="175"/>
      <c r="GN13" s="175"/>
      <c r="GO13" s="175"/>
      <c r="GP13" s="175"/>
      <c r="GQ13" s="175"/>
      <c r="GR13" s="175"/>
      <c r="GS13" s="175"/>
      <c r="GT13" s="175"/>
      <c r="GU13" s="175"/>
      <c r="GV13" s="175"/>
      <c r="GW13" s="175"/>
      <c r="GX13" s="175"/>
      <c r="GY13" s="175"/>
      <c r="GZ13" s="175"/>
      <c r="HA13" s="175"/>
      <c r="HB13" s="175"/>
      <c r="HC13" s="175"/>
      <c r="HD13" s="175"/>
      <c r="HE13" s="175"/>
      <c r="HF13" s="175"/>
      <c r="HG13" s="175"/>
      <c r="HH13" s="175"/>
      <c r="HI13" s="175"/>
      <c r="HJ13" s="175"/>
      <c r="HK13" s="175"/>
      <c r="HL13" s="175"/>
      <c r="HM13" s="175"/>
      <c r="HN13" s="175"/>
      <c r="HO13" s="175"/>
      <c r="HP13" s="175"/>
      <c r="HQ13" s="175"/>
      <c r="HR13" s="175"/>
      <c r="HS13" s="175"/>
      <c r="HT13" s="175"/>
      <c r="HU13" s="175"/>
      <c r="HV13" s="175"/>
      <c r="HW13" s="175"/>
      <c r="HX13" s="175"/>
      <c r="HY13" s="175"/>
      <c r="HZ13" s="175"/>
      <c r="IA13" s="175"/>
      <c r="IB13" s="175"/>
      <c r="IC13" s="175"/>
      <c r="ID13" s="175"/>
      <c r="IE13" s="175"/>
      <c r="IF13" s="175"/>
      <c r="IG13" s="175"/>
      <c r="IH13" s="175"/>
      <c r="II13" s="175"/>
      <c r="IJ13" s="175"/>
    </row>
    <row r="14" spans="1:244" ht="15.95" thickBot="1">
      <c r="A14" s="283" t="s">
        <v>271</v>
      </c>
      <c r="B14" s="283"/>
      <c r="C14" s="283"/>
      <c r="D14" s="283"/>
      <c r="E14" s="283"/>
      <c r="F14" s="283"/>
      <c r="G14" s="283"/>
      <c r="H14" s="283"/>
    </row>
    <row r="15" spans="1:244" ht="15.95" thickBot="1">
      <c r="A15" s="204" t="s">
        <v>272</v>
      </c>
      <c r="B15" s="205"/>
      <c r="C15" s="209">
        <f t="shared" ref="C15:H15" si="7">C44/C32</f>
        <v>0.22818322933695895</v>
      </c>
      <c r="D15" s="209">
        <f t="shared" si="7"/>
        <v>7.7318821800497275E-2</v>
      </c>
      <c r="E15" s="209">
        <f t="shared" si="7"/>
        <v>0.15889457545900262</v>
      </c>
      <c r="F15" s="209">
        <f t="shared" si="7"/>
        <v>0.18194977078768423</v>
      </c>
      <c r="G15" s="209">
        <f t="shared" si="7"/>
        <v>0.22085733230522253</v>
      </c>
      <c r="H15" s="209">
        <f t="shared" si="7"/>
        <v>9.4781906052829532E-2</v>
      </c>
    </row>
    <row r="16" spans="1:244" ht="15.95" thickBot="1">
      <c r="A16" s="204" t="s">
        <v>273</v>
      </c>
      <c r="B16" s="205"/>
      <c r="C16" s="209">
        <f t="shared" ref="C16:H16" si="8">C47/C43</f>
        <v>0.91386989776125105</v>
      </c>
      <c r="D16" s="209">
        <f t="shared" si="8"/>
        <v>0.70485126931562381</v>
      </c>
      <c r="E16" s="209">
        <f t="shared" si="8"/>
        <v>0.76136421267991261</v>
      </c>
      <c r="F16" s="209">
        <f t="shared" si="8"/>
        <v>0.7886934253223068</v>
      </c>
      <c r="G16" s="209">
        <f t="shared" si="8"/>
        <v>0.68993115109818048</v>
      </c>
      <c r="H16" s="209">
        <f t="shared" si="8"/>
        <v>0.71962331750759123</v>
      </c>
    </row>
    <row r="17" spans="1:8" ht="15.95" thickBot="1">
      <c r="A17" s="204" t="s">
        <v>274</v>
      </c>
      <c r="B17" s="205"/>
      <c r="C17" s="212">
        <f t="shared" ref="C17:H17" si="9">C48/C30</f>
        <v>3.7911830240231099E-3</v>
      </c>
      <c r="D17" s="212">
        <f t="shared" si="9"/>
        <v>9.7610883831332953E-3</v>
      </c>
      <c r="E17" s="212">
        <f t="shared" si="9"/>
        <v>1.6868344374676332E-2</v>
      </c>
      <c r="F17" s="212">
        <f t="shared" si="9"/>
        <v>2.2524417179354741E-2</v>
      </c>
      <c r="G17" s="212">
        <f t="shared" si="9"/>
        <v>3.3879707439332385E-2</v>
      </c>
      <c r="H17" s="212">
        <f t="shared" si="9"/>
        <v>2.5371289803958308E-2</v>
      </c>
    </row>
    <row r="18" spans="1:8" ht="15.95" thickBot="1">
      <c r="A18" s="211" t="s">
        <v>275</v>
      </c>
      <c r="B18" s="213"/>
      <c r="C18" s="212">
        <f t="shared" ref="C18:H18" si="10">C46/C43</f>
        <v>0.72583970189591662</v>
      </c>
      <c r="D18" s="212">
        <f t="shared" si="10"/>
        <v>0.69047377778884245</v>
      </c>
      <c r="E18" s="212">
        <f t="shared" si="10"/>
        <v>0.73917344538707963</v>
      </c>
      <c r="F18" s="212">
        <f t="shared" si="10"/>
        <v>0.70969988567700759</v>
      </c>
      <c r="G18" s="212">
        <f t="shared" si="10"/>
        <v>0.66759027715370423</v>
      </c>
      <c r="H18" s="212">
        <f t="shared" si="10"/>
        <v>0.34015828355599936</v>
      </c>
    </row>
    <row r="19" spans="1:8" ht="15.95" thickBot="1">
      <c r="A19" s="283" t="s">
        <v>276</v>
      </c>
      <c r="B19" s="283"/>
      <c r="C19" s="283"/>
      <c r="D19" s="283"/>
      <c r="E19" s="283"/>
      <c r="F19" s="283"/>
      <c r="G19" s="283"/>
      <c r="H19" s="283"/>
    </row>
    <row r="20" spans="1:8" ht="15.95" thickBot="1">
      <c r="A20" s="204" t="s">
        <v>277</v>
      </c>
      <c r="B20" s="214" t="s">
        <v>278</v>
      </c>
      <c r="C20" s="208">
        <f t="shared" ref="C20:H20" si="11">C40/C41</f>
        <v>1.6100338658390443</v>
      </c>
      <c r="D20" s="208">
        <f t="shared" si="11"/>
        <v>1.8231655518563794</v>
      </c>
      <c r="E20" s="208">
        <f t="shared" si="11"/>
        <v>2.8116034068226874</v>
      </c>
      <c r="F20" s="208">
        <f t="shared" si="11"/>
        <v>2.4337010632514304</v>
      </c>
      <c r="G20" s="208">
        <f t="shared" si="11"/>
        <v>1.8877413011089239</v>
      </c>
      <c r="H20" s="208">
        <f t="shared" si="11"/>
        <v>0.48530882402420372</v>
      </c>
    </row>
    <row r="21" spans="1:8" ht="15.95" thickBot="1">
      <c r="A21" s="204" t="s">
        <v>279</v>
      </c>
      <c r="B21" s="205" t="s">
        <v>280</v>
      </c>
      <c r="C21" s="208">
        <f t="shared" ref="C21:H21" si="12">C42/C29</f>
        <v>0</v>
      </c>
      <c r="D21" s="208">
        <f t="shared" si="12"/>
        <v>0</v>
      </c>
      <c r="E21" s="208">
        <f t="shared" si="12"/>
        <v>0</v>
      </c>
      <c r="F21" s="208">
        <f t="shared" si="12"/>
        <v>0</v>
      </c>
      <c r="G21" s="208">
        <f t="shared" si="12"/>
        <v>0</v>
      </c>
      <c r="H21" s="208">
        <f t="shared" si="12"/>
        <v>9.6313501746984817E-2</v>
      </c>
    </row>
    <row r="22" spans="1:8" ht="15.95" thickBot="1">
      <c r="A22" s="204" t="s">
        <v>281</v>
      </c>
      <c r="B22" s="205"/>
      <c r="C22" s="208">
        <f t="shared" ref="C22:H22" si="13">C40/C29</f>
        <v>0.14699390606500493</v>
      </c>
      <c r="D22" s="208">
        <f t="shared" si="13"/>
        <v>0.1514020343385466</v>
      </c>
      <c r="E22" s="208">
        <f t="shared" si="13"/>
        <v>0.15884369634643433</v>
      </c>
      <c r="F22" s="208">
        <f t="shared" si="13"/>
        <v>0.14013085089236815</v>
      </c>
      <c r="G22" s="208">
        <f t="shared" si="13"/>
        <v>0.11447686187038371</v>
      </c>
      <c r="H22" s="208">
        <f t="shared" si="13"/>
        <v>8.991079592194974E-2</v>
      </c>
    </row>
    <row r="23" spans="1:8" ht="15.95" thickBot="1">
      <c r="A23" s="306" t="s">
        <v>282</v>
      </c>
      <c r="B23" s="306"/>
      <c r="C23" s="306"/>
      <c r="D23" s="306"/>
      <c r="E23" s="306"/>
      <c r="F23" s="306"/>
      <c r="G23" s="306"/>
      <c r="H23" s="306"/>
    </row>
    <row r="24" spans="1:8" ht="15.95" thickBot="1">
      <c r="A24" s="215" t="s">
        <v>283</v>
      </c>
      <c r="B24" s="213" t="s">
        <v>284</v>
      </c>
      <c r="C24" s="212">
        <f t="shared" ref="C24:H24" si="14">C32/C29</f>
        <v>0.55689683818471536</v>
      </c>
      <c r="D24" s="212">
        <f t="shared" si="14"/>
        <v>0.52756552208585084</v>
      </c>
      <c r="E24" s="212">
        <f t="shared" si="14"/>
        <v>0.56992336675176147</v>
      </c>
      <c r="F24" s="212">
        <f t="shared" si="14"/>
        <v>0.56614221554419608</v>
      </c>
      <c r="G24" s="212">
        <f t="shared" si="14"/>
        <v>0.58165192173006663</v>
      </c>
      <c r="H24" s="212">
        <f t="shared" si="14"/>
        <v>0.76593828136691322</v>
      </c>
    </row>
    <row r="25" spans="1:8" ht="15.95" thickBot="1">
      <c r="A25" s="215" t="s">
        <v>285</v>
      </c>
      <c r="B25" s="216" t="s">
        <v>286</v>
      </c>
      <c r="C25" s="212">
        <f t="shared" ref="C25:H25" si="15">C32/C31</f>
        <v>0.7480301583347696</v>
      </c>
      <c r="D25" s="212">
        <f t="shared" si="15"/>
        <v>0.72293367473630799</v>
      </c>
      <c r="E25" s="212">
        <f t="shared" si="15"/>
        <v>0.7381020875169485</v>
      </c>
      <c r="F25" s="212">
        <f t="shared" si="15"/>
        <v>0.74737464145586485</v>
      </c>
      <c r="G25" s="212">
        <f t="shared" si="15"/>
        <v>0.76397419838846847</v>
      </c>
      <c r="H25" s="212">
        <f t="shared" si="15"/>
        <v>1.0975103293715103</v>
      </c>
    </row>
    <row r="26" spans="1:8" ht="15.95" thickBot="1">
      <c r="A26" s="215" t="s">
        <v>287</v>
      </c>
      <c r="B26" s="216"/>
      <c r="C26" s="212">
        <f t="shared" ref="C26:H26" si="16">C39/C31</f>
        <v>0.20252188187343026</v>
      </c>
      <c r="D26" s="212">
        <f t="shared" si="16"/>
        <v>0.19891937271099799</v>
      </c>
      <c r="E26" s="212">
        <f t="shared" si="16"/>
        <v>0.18933826192993686</v>
      </c>
      <c r="F26" s="212">
        <f t="shared" si="16"/>
        <v>0.18889198607494748</v>
      </c>
      <c r="G26" s="212">
        <f t="shared" si="16"/>
        <v>0.18635655287011849</v>
      </c>
      <c r="H26" s="212">
        <f t="shared" si="16"/>
        <v>6.3036124757479176E-2</v>
      </c>
    </row>
    <row r="27" spans="1:8" ht="15.95" thickBot="1">
      <c r="A27" s="215" t="s">
        <v>288</v>
      </c>
      <c r="B27" s="217"/>
      <c r="C27" s="212">
        <f t="shared" ref="C27:H27" si="17">C45/C43</f>
        <v>0.18406516230700354</v>
      </c>
      <c r="D27" s="212">
        <f t="shared" si="17"/>
        <v>0</v>
      </c>
      <c r="E27" s="212">
        <f t="shared" si="17"/>
        <v>0</v>
      </c>
      <c r="F27" s="212">
        <f t="shared" si="17"/>
        <v>1.8601714865089975E-3</v>
      </c>
      <c r="G27" s="212">
        <f t="shared" si="17"/>
        <v>0</v>
      </c>
      <c r="H27" s="212">
        <f t="shared" si="17"/>
        <v>0.30223695740805928</v>
      </c>
    </row>
    <row r="28" spans="1:8" ht="15.95" thickBot="1">
      <c r="A28" s="283" t="s">
        <v>289</v>
      </c>
      <c r="B28" s="283"/>
      <c r="C28" s="283"/>
      <c r="D28" s="283"/>
      <c r="E28" s="283"/>
      <c r="F28" s="283"/>
      <c r="G28" s="283"/>
      <c r="H28" s="283"/>
    </row>
    <row r="29" spans="1:8" ht="15.95" thickBot="1">
      <c r="A29" s="218" t="s">
        <v>38</v>
      </c>
      <c r="B29" s="219"/>
      <c r="C29" s="220">
        <v>1041432343</v>
      </c>
      <c r="D29" s="220">
        <v>1088126951</v>
      </c>
      <c r="E29" s="220">
        <v>1052794079</v>
      </c>
      <c r="F29" s="220">
        <v>1077841664.26</v>
      </c>
      <c r="G29" s="220">
        <v>1091393186</v>
      </c>
      <c r="H29" s="221">
        <v>470709475259</v>
      </c>
    </row>
    <row r="30" spans="1:8" ht="15.95" thickBot="1">
      <c r="A30" s="218" t="s">
        <v>290</v>
      </c>
      <c r="B30" s="219"/>
      <c r="C30" s="220">
        <v>1041569867.5</v>
      </c>
      <c r="D30" s="220">
        <v>1054331590.5</v>
      </c>
      <c r="E30" s="220">
        <v>1023665177</v>
      </c>
      <c r="F30" s="220">
        <v>1059611078.5</v>
      </c>
      <c r="G30" s="220">
        <v>1046817819</v>
      </c>
      <c r="H30" s="221">
        <v>445555825332</v>
      </c>
    </row>
    <row r="31" spans="1:8" ht="15.95" thickBot="1">
      <c r="A31" s="218" t="s">
        <v>116</v>
      </c>
      <c r="B31" s="219"/>
      <c r="C31" s="221">
        <v>775330209</v>
      </c>
      <c r="D31" s="221">
        <v>794067676</v>
      </c>
      <c r="E31" s="221">
        <v>812911867</v>
      </c>
      <c r="F31" s="221">
        <v>816473605.01999998</v>
      </c>
      <c r="G31" s="221">
        <v>830932439</v>
      </c>
      <c r="H31" s="221">
        <v>328502062217</v>
      </c>
    </row>
    <row r="32" spans="1:8" ht="15.95" thickBot="1">
      <c r="A32" s="218" t="s">
        <v>291</v>
      </c>
      <c r="B32" s="219"/>
      <c r="C32" s="221">
        <v>579970379</v>
      </c>
      <c r="D32" s="221">
        <v>574058263</v>
      </c>
      <c r="E32" s="221">
        <v>600011946</v>
      </c>
      <c r="F32" s="221">
        <v>610211667.80999994</v>
      </c>
      <c r="G32" s="221">
        <v>634810944</v>
      </c>
      <c r="H32" s="221">
        <v>360534406503</v>
      </c>
    </row>
    <row r="33" spans="1:8" ht="15.95" thickBot="1">
      <c r="A33" s="218" t="s">
        <v>122</v>
      </c>
      <c r="B33" s="219"/>
      <c r="C33" s="220" t="e">
        <f>SFP!#REF!+SFP!#REF!+SFP!#REF!+(0.5*SFP!#REF!)+SFP!#REF!+SFP!#REF!</f>
        <v>#REF!</v>
      </c>
      <c r="D33" s="220">
        <f>Financials!D59</f>
        <v>13915096.42</v>
      </c>
      <c r="E33" s="220">
        <f>Financials!G59</f>
        <v>13346435.57</v>
      </c>
      <c r="F33" s="220">
        <v>220991783.40000001</v>
      </c>
      <c r="G33" s="220">
        <f>Financials!J59</f>
        <v>14304638.83</v>
      </c>
      <c r="H33" s="221">
        <v>68610901181</v>
      </c>
    </row>
    <row r="34" spans="1:8" ht="15.95" thickBot="1">
      <c r="A34" s="218" t="s">
        <v>292</v>
      </c>
      <c r="B34" s="219"/>
      <c r="C34" s="220" t="e">
        <f>C33-SFP!#REF!</f>
        <v>#REF!</v>
      </c>
      <c r="D34" s="220">
        <f>D33-SFP!C39</f>
        <v>3874431.5600000005</v>
      </c>
      <c r="E34" s="220">
        <f>E33-SFP!F39</f>
        <v>3307270.75</v>
      </c>
      <c r="F34" s="220">
        <v>103334766.76000001</v>
      </c>
      <c r="G34" s="220">
        <f>G33-SFP!D39</f>
        <v>4263888.42</v>
      </c>
      <c r="H34" s="221">
        <v>38073694210</v>
      </c>
    </row>
    <row r="35" spans="1:8" ht="15.95" thickBot="1">
      <c r="A35" s="218" t="s">
        <v>293</v>
      </c>
      <c r="B35" s="219"/>
      <c r="C35" s="221">
        <v>90000468</v>
      </c>
      <c r="D35" s="221">
        <f>Financials!D34</f>
        <v>0</v>
      </c>
      <c r="E35" s="221">
        <v>106446104.95</v>
      </c>
      <c r="F35" s="221">
        <v>152092052</v>
      </c>
      <c r="G35" s="221">
        <f>Financials!J34</f>
        <v>0</v>
      </c>
      <c r="H35" s="221">
        <v>26351067235</v>
      </c>
    </row>
    <row r="36" spans="1:8" ht="15.95" thickBot="1">
      <c r="A36" s="218" t="s">
        <v>146</v>
      </c>
      <c r="B36" s="219"/>
      <c r="C36" s="221">
        <v>204129574</v>
      </c>
      <c r="D36" s="221">
        <v>247067758</v>
      </c>
      <c r="E36" s="221">
        <v>190336258</v>
      </c>
      <c r="F36" s="221">
        <v>225461033.52000001</v>
      </c>
      <c r="G36" s="221">
        <v>238082118</v>
      </c>
      <c r="H36" s="221">
        <v>56625446555</v>
      </c>
    </row>
    <row r="37" spans="1:8" ht="15.95" thickBot="1">
      <c r="A37" s="218" t="s">
        <v>147</v>
      </c>
      <c r="B37" s="219"/>
      <c r="C37" s="220">
        <v>64759978</v>
      </c>
      <c r="D37" s="220">
        <v>64759978</v>
      </c>
      <c r="E37" s="220">
        <v>67783475</v>
      </c>
      <c r="F37" s="220">
        <v>75924160.11999999</v>
      </c>
      <c r="G37" s="220">
        <v>91766559</v>
      </c>
      <c r="H37" s="221">
        <v>17662274541</v>
      </c>
    </row>
    <row r="38" spans="1:8" ht="15.95" thickBot="1">
      <c r="A38" s="218" t="s">
        <v>294</v>
      </c>
      <c r="B38" s="219"/>
      <c r="C38" s="220">
        <v>142990915</v>
      </c>
      <c r="D38" s="220">
        <v>150180192</v>
      </c>
      <c r="E38" s="220">
        <v>150180192</v>
      </c>
      <c r="F38" s="220">
        <v>150180192.40000001</v>
      </c>
      <c r="G38" s="220">
        <v>150180192</v>
      </c>
      <c r="H38" s="221">
        <v>13504175449</v>
      </c>
    </row>
    <row r="39" spans="1:8" ht="15.95" thickBot="1">
      <c r="A39" s="218" t="s">
        <v>20</v>
      </c>
      <c r="B39" s="219"/>
      <c r="C39" s="220">
        <v>157021333</v>
      </c>
      <c r="D39" s="220">
        <v>157955444</v>
      </c>
      <c r="E39" s="220">
        <v>153915320</v>
      </c>
      <c r="F39" s="220">
        <v>154225320.83000001</v>
      </c>
      <c r="G39" s="220">
        <v>154849705</v>
      </c>
      <c r="H39" s="221">
        <v>20707496977</v>
      </c>
    </row>
    <row r="40" spans="1:8" ht="15.95" thickBot="1">
      <c r="A40" s="218" t="s">
        <v>160</v>
      </c>
      <c r="B40" s="219"/>
      <c r="C40" s="220">
        <v>153084208</v>
      </c>
      <c r="D40" s="220">
        <v>164744634</v>
      </c>
      <c r="E40" s="220">
        <v>167229703</v>
      </c>
      <c r="F40" s="220">
        <v>151038869.53999999</v>
      </c>
      <c r="G40" s="220">
        <v>124939267</v>
      </c>
      <c r="H40" s="221">
        <v>42321863568.540001</v>
      </c>
    </row>
    <row r="41" spans="1:8" ht="15.95" thickBot="1">
      <c r="A41" s="218" t="s">
        <v>295</v>
      </c>
      <c r="B41" s="219"/>
      <c r="C41" s="220">
        <v>95081359</v>
      </c>
      <c r="D41" s="220">
        <v>90361862</v>
      </c>
      <c r="E41" s="220">
        <v>59478411</v>
      </c>
      <c r="F41" s="220">
        <v>62061389.469999939</v>
      </c>
      <c r="G41" s="220">
        <v>66184528</v>
      </c>
      <c r="H41" s="221">
        <v>87206045869.113007</v>
      </c>
    </row>
    <row r="42" spans="1:8" ht="15.95" thickBot="1">
      <c r="A42" s="218" t="s">
        <v>296</v>
      </c>
      <c r="B42" s="219"/>
      <c r="C42" s="220">
        <v>0</v>
      </c>
      <c r="D42" s="220">
        <v>0</v>
      </c>
      <c r="E42" s="220">
        <v>0</v>
      </c>
      <c r="F42" s="220">
        <v>0</v>
      </c>
      <c r="G42" s="220">
        <v>0</v>
      </c>
      <c r="H42" s="221">
        <v>45335677867.68</v>
      </c>
    </row>
    <row r="43" spans="1:8" ht="15.95" thickBot="1">
      <c r="A43" s="218" t="s">
        <v>297</v>
      </c>
      <c r="B43" s="219"/>
      <c r="C43" s="220">
        <v>162985758</v>
      </c>
      <c r="D43" s="220">
        <v>45032969.68</v>
      </c>
      <c r="E43" s="220">
        <v>97502294.150000006</v>
      </c>
      <c r="F43" s="220">
        <v>112950209.98</v>
      </c>
      <c r="G43" s="220">
        <v>143406477.65000001</v>
      </c>
      <c r="H43" s="221">
        <v>55189309613.68</v>
      </c>
    </row>
    <row r="44" spans="1:8" ht="15.95" thickBot="1">
      <c r="A44" s="218" t="s">
        <v>298</v>
      </c>
      <c r="B44" s="219"/>
      <c r="C44" s="220">
        <v>132339514</v>
      </c>
      <c r="D44" s="220">
        <v>44385508.539999999</v>
      </c>
      <c r="E44" s="220">
        <v>95338643.430000007</v>
      </c>
      <c r="F44" s="220">
        <v>111027873.09</v>
      </c>
      <c r="G44" s="220">
        <v>140202651.61000001</v>
      </c>
      <c r="H44" s="221">
        <v>34172138245.98</v>
      </c>
    </row>
    <row r="45" spans="1:8" ht="15.95" thickBot="1">
      <c r="A45" s="218" t="s">
        <v>299</v>
      </c>
      <c r="B45" s="219"/>
      <c r="C45" s="220">
        <v>30000000</v>
      </c>
      <c r="D45" s="220">
        <v>0</v>
      </c>
      <c r="E45" s="220">
        <v>0</v>
      </c>
      <c r="F45" s="220">
        <v>210106.76</v>
      </c>
      <c r="G45" s="220">
        <v>0</v>
      </c>
      <c r="H45" s="221">
        <v>16680249019.09</v>
      </c>
    </row>
    <row r="46" spans="1:8" ht="15.95" thickBot="1">
      <c r="A46" s="218" t="s">
        <v>98</v>
      </c>
      <c r="B46" s="219"/>
      <c r="C46" s="220">
        <v>118301534</v>
      </c>
      <c r="D46" s="220">
        <v>31094084.699999999</v>
      </c>
      <c r="E46" s="220">
        <v>72071106.700000003</v>
      </c>
      <c r="F46" s="220">
        <v>80160751.109999999</v>
      </c>
      <c r="G46" s="220">
        <v>95736770.159999996</v>
      </c>
      <c r="H46" s="221">
        <v>18773100828.830002</v>
      </c>
    </row>
    <row r="47" spans="1:8" ht="15.95" thickBot="1">
      <c r="A47" s="218" t="s">
        <v>300</v>
      </c>
      <c r="B47" s="219"/>
      <c r="C47" s="220">
        <v>148947778</v>
      </c>
      <c r="D47" s="220">
        <v>31741545.84</v>
      </c>
      <c r="E47" s="220">
        <v>74234757.420000002</v>
      </c>
      <c r="F47" s="220">
        <v>89083088</v>
      </c>
      <c r="G47" s="220">
        <v>98940596.200000003</v>
      </c>
      <c r="H47" s="221">
        <v>39715514075.150002</v>
      </c>
    </row>
    <row r="48" spans="1:8" ht="15.95" thickBot="1">
      <c r="A48" s="218" t="s">
        <v>301</v>
      </c>
      <c r="B48" s="219"/>
      <c r="C48" s="220">
        <v>3948782</v>
      </c>
      <c r="D48" s="220">
        <v>10291423.84</v>
      </c>
      <c r="E48" s="220">
        <v>17267536.73</v>
      </c>
      <c r="F48" s="220">
        <v>23867121.980000004</v>
      </c>
      <c r="G48" s="220">
        <v>35465881.450000003</v>
      </c>
      <c r="H48" s="221">
        <v>11304325968.34</v>
      </c>
    </row>
    <row r="49" spans="1:8" ht="15.95" thickBot="1">
      <c r="A49" s="286" t="s">
        <v>302</v>
      </c>
      <c r="B49" s="286"/>
      <c r="C49" s="286"/>
      <c r="D49" s="286"/>
      <c r="E49" s="286"/>
      <c r="F49" s="286"/>
      <c r="G49" s="286"/>
      <c r="H49" s="286"/>
    </row>
    <row r="50" spans="1:8" ht="15.95" thickBot="1">
      <c r="A50" s="222" t="s">
        <v>303</v>
      </c>
      <c r="B50" s="223"/>
      <c r="C50" s="224"/>
      <c r="D50" s="224"/>
      <c r="E50" s="224"/>
      <c r="F50" s="224"/>
      <c r="G50" s="225"/>
      <c r="H50" s="224"/>
    </row>
    <row r="51" spans="1:8" ht="15.95" thickBot="1">
      <c r="A51" s="222" t="s">
        <v>304</v>
      </c>
      <c r="B51" s="223"/>
      <c r="C51" s="224"/>
      <c r="D51" s="224"/>
      <c r="E51" s="224"/>
      <c r="F51" s="224"/>
      <c r="G51" s="225"/>
      <c r="H51" s="224"/>
    </row>
    <row r="52" spans="1:8" ht="15.95" thickBot="1">
      <c r="A52" s="222" t="s">
        <v>305</v>
      </c>
      <c r="B52" s="223"/>
      <c r="C52" s="224"/>
      <c r="D52" s="224"/>
      <c r="E52" s="224"/>
      <c r="F52" s="224"/>
      <c r="G52" s="225"/>
      <c r="H52" s="224"/>
    </row>
    <row r="53" spans="1:8" ht="15.95" thickBot="1">
      <c r="A53" s="226" t="s">
        <v>306</v>
      </c>
      <c r="B53" s="224"/>
      <c r="C53" s="224"/>
      <c r="D53" s="224"/>
      <c r="E53" s="224"/>
      <c r="F53" s="224"/>
      <c r="G53" s="224"/>
      <c r="H53" s="224"/>
    </row>
    <row r="54" spans="1:8">
      <c r="A54" s="196" t="s">
        <v>307</v>
      </c>
      <c r="B54" s="197"/>
      <c r="C54" s="287"/>
      <c r="D54" s="288"/>
      <c r="E54" s="288"/>
      <c r="F54" s="288"/>
      <c r="G54" s="288"/>
      <c r="H54" s="289"/>
    </row>
    <row r="55" spans="1:8">
      <c r="A55" s="179"/>
      <c r="B55" s="176"/>
      <c r="C55" s="180"/>
      <c r="D55" s="180"/>
      <c r="E55" s="181"/>
      <c r="F55" s="181"/>
      <c r="G55" s="194"/>
      <c r="H55" s="177"/>
    </row>
    <row r="56" spans="1:8">
      <c r="A56" s="182" t="s">
        <v>308</v>
      </c>
      <c r="B56" s="183"/>
      <c r="C56" s="278"/>
      <c r="D56" s="279"/>
      <c r="E56" s="279"/>
      <c r="F56" s="279"/>
      <c r="G56" s="279"/>
      <c r="H56" s="177"/>
    </row>
    <row r="57" spans="1:8">
      <c r="A57" s="174"/>
      <c r="B57" s="176"/>
      <c r="C57" s="177"/>
      <c r="D57" s="177"/>
      <c r="E57" s="177"/>
      <c r="F57" s="178"/>
      <c r="G57" s="193"/>
      <c r="H57" s="177"/>
    </row>
    <row r="58" spans="1:8">
      <c r="A58" s="179" t="s">
        <v>309</v>
      </c>
      <c r="B58" s="176"/>
      <c r="C58" s="278"/>
      <c r="D58" s="279"/>
      <c r="E58" s="279"/>
      <c r="F58" s="279"/>
      <c r="G58" s="279"/>
      <c r="H58" s="280"/>
    </row>
    <row r="59" spans="1:8" ht="15" thickBot="1">
      <c r="A59" s="184"/>
      <c r="B59" s="185"/>
      <c r="C59" s="186"/>
      <c r="D59" s="186"/>
      <c r="E59" s="186"/>
      <c r="F59" s="187"/>
      <c r="G59" s="195"/>
      <c r="H59" s="177"/>
    </row>
    <row r="60" spans="1:8">
      <c r="A60" s="188" t="s">
        <v>310</v>
      </c>
    </row>
    <row r="61" spans="1:8">
      <c r="A61" s="175"/>
    </row>
    <row r="62" spans="1:8">
      <c r="A62" s="175"/>
    </row>
  </sheetData>
  <mergeCells count="15">
    <mergeCell ref="C58:H58"/>
    <mergeCell ref="A1:H1"/>
    <mergeCell ref="D3:G3"/>
    <mergeCell ref="A2:H2"/>
    <mergeCell ref="A5:H5"/>
    <mergeCell ref="A28:H28"/>
    <mergeCell ref="A23:H23"/>
    <mergeCell ref="A19:H19"/>
    <mergeCell ref="A14:H14"/>
    <mergeCell ref="A9:H9"/>
    <mergeCell ref="C56:G56"/>
    <mergeCell ref="H3:H4"/>
    <mergeCell ref="B3:B4"/>
    <mergeCell ref="A49:H49"/>
    <mergeCell ref="C54:H54"/>
  </mergeCells>
  <pageMargins left="0.7" right="0.7" top="0.75" bottom="0.75" header="0.3" footer="0.3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67"/>
  <sheetViews>
    <sheetView topLeftCell="A16" workbookViewId="0">
      <selection activeCell="D8" sqref="D8"/>
    </sheetView>
  </sheetViews>
  <sheetFormatPr defaultRowHeight="14.45"/>
  <cols>
    <col min="1" max="1" width="20.42578125" bestFit="1" customWidth="1"/>
    <col min="4" max="4" width="17.42578125" bestFit="1" customWidth="1"/>
  </cols>
  <sheetData>
    <row r="2" spans="1:4">
      <c r="A2" s="159" t="s">
        <v>311</v>
      </c>
      <c r="D2" s="95"/>
    </row>
    <row r="3" spans="1:4">
      <c r="A3" s="160" t="s">
        <v>312</v>
      </c>
      <c r="D3" s="168" t="s">
        <v>313</v>
      </c>
    </row>
    <row r="4" spans="1:4">
      <c r="A4" s="161">
        <f>SUM(A5:A6)</f>
        <v>151038869.53999999</v>
      </c>
      <c r="D4" s="124">
        <f>D5+D9</f>
        <v>112950209.98</v>
      </c>
    </row>
    <row r="5" spans="1:4">
      <c r="A5" s="192">
        <v>4845494.5599999996</v>
      </c>
      <c r="D5" s="124">
        <f>SUM(D6:D7)</f>
        <v>82211671.540000007</v>
      </c>
    </row>
    <row r="6" spans="1:4">
      <c r="A6" s="162">
        <v>146193374.97999999</v>
      </c>
      <c r="D6" s="122">
        <v>68900449.700000003</v>
      </c>
    </row>
    <row r="7" spans="1:4">
      <c r="A7" s="121"/>
      <c r="D7" s="122">
        <v>13311221.84</v>
      </c>
    </row>
    <row r="8" spans="1:4">
      <c r="A8" s="163">
        <v>87068294.040000007</v>
      </c>
      <c r="D8" s="123"/>
    </row>
    <row r="9" spans="1:4">
      <c r="A9" s="121"/>
      <c r="D9" s="124">
        <f>SUM(D10:D13)</f>
        <v>30738538.439999998</v>
      </c>
    </row>
    <row r="10" spans="1:4">
      <c r="A10" s="161">
        <f>SUM(A11:A14)</f>
        <v>154225320.83000001</v>
      </c>
      <c r="D10" s="123"/>
    </row>
    <row r="11" spans="1:4">
      <c r="A11" s="121"/>
      <c r="D11" s="122">
        <v>6596616.21</v>
      </c>
    </row>
    <row r="12" spans="1:4">
      <c r="A12" s="121"/>
      <c r="D12" s="122">
        <v>9977330.7999999989</v>
      </c>
    </row>
    <row r="13" spans="1:4">
      <c r="A13" s="102">
        <v>4045128.4299999997</v>
      </c>
      <c r="D13" s="122">
        <v>14164591.43</v>
      </c>
    </row>
    <row r="14" spans="1:4">
      <c r="A14" s="102">
        <v>150180192.40000001</v>
      </c>
      <c r="D14" s="123"/>
    </row>
    <row r="15" spans="1:4">
      <c r="A15" s="121"/>
      <c r="D15" s="124">
        <f>D16+D17+D18+D19+D21+D22</f>
        <v>1922336.8900000001</v>
      </c>
    </row>
    <row r="16" spans="1:4">
      <c r="A16" s="161">
        <f>A17-A18</f>
        <v>547116440.37000012</v>
      </c>
      <c r="D16" s="122">
        <v>210106.76</v>
      </c>
    </row>
    <row r="17" spans="1:4">
      <c r="A17" s="102">
        <v>606815588.06000006</v>
      </c>
      <c r="D17" s="123">
        <v>230221.13</v>
      </c>
    </row>
    <row r="18" spans="1:4">
      <c r="A18" s="102">
        <v>59699147.689999998</v>
      </c>
      <c r="D18" s="123"/>
    </row>
    <row r="19" spans="1:4">
      <c r="A19" s="121"/>
      <c r="D19" s="122">
        <v>1166669</v>
      </c>
    </row>
    <row r="20" spans="1:4">
      <c r="A20" s="161">
        <f>SUM(A21:A23)</f>
        <v>0</v>
      </c>
      <c r="D20" s="122">
        <v>852788.38</v>
      </c>
    </row>
    <row r="21" spans="1:4">
      <c r="A21" s="121"/>
      <c r="D21" s="122">
        <v>315340</v>
      </c>
    </row>
    <row r="22" spans="1:4">
      <c r="A22" s="121"/>
      <c r="D22" s="123"/>
    </row>
    <row r="23" spans="1:4">
      <c r="A23" s="121"/>
      <c r="D23" s="123"/>
    </row>
    <row r="24" spans="1:4">
      <c r="A24" s="121"/>
      <c r="D24" s="124">
        <f>D4-D15</f>
        <v>111027873.09</v>
      </c>
    </row>
    <row r="25" spans="1:4">
      <c r="A25" s="161">
        <f>SUM(A26:A30)</f>
        <v>138392739.47999999</v>
      </c>
      <c r="D25" s="123"/>
    </row>
    <row r="26" spans="1:4">
      <c r="A26" s="121"/>
      <c r="D26" s="124">
        <f>D27-D28</f>
        <v>7000000</v>
      </c>
    </row>
    <row r="27" spans="1:4">
      <c r="A27" s="102">
        <v>75924160.11999999</v>
      </c>
      <c r="D27" s="169">
        <v>7000000</v>
      </c>
    </row>
    <row r="28" spans="1:4">
      <c r="A28" s="102">
        <v>47992405.620000005</v>
      </c>
      <c r="D28" s="123"/>
    </row>
    <row r="29" spans="1:4">
      <c r="A29" s="102">
        <v>14476173.740000002</v>
      </c>
      <c r="D29" s="123"/>
    </row>
    <row r="30" spans="1:4">
      <c r="A30" s="121"/>
      <c r="D30" s="151">
        <f>SUM(D31:D35)</f>
        <v>80160751.109999999</v>
      </c>
    </row>
    <row r="31" spans="1:4">
      <c r="A31" s="121"/>
      <c r="D31" s="122">
        <v>31647160</v>
      </c>
    </row>
    <row r="32" spans="1:4">
      <c r="A32" s="161">
        <f>SUM(A4,A8,A10,A16,A20,A25)</f>
        <v>1077841664.26</v>
      </c>
      <c r="D32" s="122">
        <v>13968033.300000001</v>
      </c>
    </row>
    <row r="33" spans="1:4">
      <c r="A33" s="121"/>
      <c r="D33" s="122">
        <v>4684294.05</v>
      </c>
    </row>
    <row r="34" spans="1:4">
      <c r="A34" s="121"/>
      <c r="D34" s="122"/>
    </row>
    <row r="35" spans="1:4">
      <c r="A35" s="121"/>
      <c r="D35" s="122">
        <v>29861263.760000002</v>
      </c>
    </row>
    <row r="36" spans="1:4">
      <c r="A36" s="102">
        <v>62054614.069999941</v>
      </c>
      <c r="D36" s="123"/>
    </row>
    <row r="37" spans="1:4">
      <c r="A37" s="121"/>
      <c r="D37" s="124">
        <f>D24-D26-D30</f>
        <v>23867121.980000004</v>
      </c>
    </row>
    <row r="38" spans="1:4">
      <c r="A38" s="102">
        <v>754418990.95000005</v>
      </c>
      <c r="D38" s="123"/>
    </row>
    <row r="39" spans="1:4">
      <c r="A39" s="161">
        <f>SUM(A36:A38)</f>
        <v>816473605.01999998</v>
      </c>
      <c r="D39" s="124">
        <f>D40-D41</f>
        <v>0</v>
      </c>
    </row>
    <row r="40" spans="1:4">
      <c r="A40" s="121"/>
      <c r="D40" s="123"/>
    </row>
    <row r="41" spans="1:4">
      <c r="A41" s="164">
        <f>SUM(A42:A47)</f>
        <v>6775.4</v>
      </c>
      <c r="D41" s="123"/>
    </row>
    <row r="42" spans="1:4">
      <c r="A42" s="121"/>
      <c r="D42" s="123"/>
    </row>
    <row r="43" spans="1:4">
      <c r="A43" s="166">
        <v>6775.4</v>
      </c>
      <c r="D43" s="125">
        <f>D37+D39</f>
        <v>23867121.980000004</v>
      </c>
    </row>
    <row r="44" spans="1:4">
      <c r="A44" s="121"/>
      <c r="D44" s="123"/>
    </row>
    <row r="45" spans="1:4">
      <c r="A45" s="121"/>
      <c r="D45" s="122"/>
    </row>
    <row r="46" spans="1:4">
      <c r="A46" s="102"/>
      <c r="D46" s="123"/>
    </row>
    <row r="47" spans="1:4">
      <c r="A47" s="121"/>
      <c r="D47" s="147">
        <f>D43-D45</f>
        <v>23867121.980000004</v>
      </c>
    </row>
    <row r="48" spans="1:4">
      <c r="A48" s="161">
        <f>SUM(A39,A41)</f>
        <v>816480380.41999996</v>
      </c>
      <c r="D48" s="123"/>
    </row>
    <row r="49" spans="1:4">
      <c r="A49" s="121"/>
      <c r="D49" s="167"/>
    </row>
    <row r="50" spans="1:4">
      <c r="A50" s="121"/>
      <c r="D50" s="147">
        <f>D47-D48</f>
        <v>23867121.980000004</v>
      </c>
    </row>
    <row r="51" spans="1:4">
      <c r="A51" s="102">
        <v>117657016.64</v>
      </c>
    </row>
    <row r="52" spans="1:4">
      <c r="A52" s="121"/>
    </row>
    <row r="53" spans="1:4">
      <c r="A53" s="121"/>
    </row>
    <row r="54" spans="1:4">
      <c r="A54" s="164">
        <f>A56+A55</f>
        <v>49798257.650000006</v>
      </c>
    </row>
    <row r="55" spans="1:4">
      <c r="A55" s="102">
        <v>25931135.670000002</v>
      </c>
    </row>
    <row r="56" spans="1:4">
      <c r="A56" s="102">
        <v>23867121.980000004</v>
      </c>
    </row>
    <row r="57" spans="1:4">
      <c r="A57" s="121"/>
    </row>
    <row r="58" spans="1:4">
      <c r="A58" s="164">
        <f>SUM(A59:A63)</f>
        <v>81373361.579999998</v>
      </c>
    </row>
    <row r="59" spans="1:4">
      <c r="A59" s="102">
        <v>32938418.649999999</v>
      </c>
    </row>
    <row r="60" spans="1:4">
      <c r="A60" s="102">
        <v>32531651.449999999</v>
      </c>
    </row>
    <row r="61" spans="1:4">
      <c r="A61" s="102">
        <v>15903291.48</v>
      </c>
    </row>
    <row r="62" spans="1:4">
      <c r="A62" s="121"/>
    </row>
    <row r="63" spans="1:4">
      <c r="A63" s="121"/>
    </row>
    <row r="64" spans="1:4">
      <c r="A64" s="161">
        <f>SUM(A51,A52,A54,A58)</f>
        <v>248828635.87</v>
      </c>
    </row>
    <row r="65" spans="1:1">
      <c r="A65" s="121"/>
    </row>
    <row r="66" spans="1:1">
      <c r="A66" s="161">
        <f>SUM(A48,A64)</f>
        <v>1065309016.29</v>
      </c>
    </row>
    <row r="67" spans="1:1">
      <c r="A67" s="165">
        <f>A32-A66</f>
        <v>12532647.970000029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4342E9-6F8A-48E4-956F-FE10342ECB08}"/>
</file>

<file path=customXml/itemProps2.xml><?xml version="1.0" encoding="utf-8"?>
<ds:datastoreItem xmlns:ds="http://schemas.openxmlformats.org/officeDocument/2006/customXml" ds:itemID="{34DAE4CE-0D84-4E84-8BD4-CD8343913FE6}"/>
</file>

<file path=customXml/itemProps3.xml><?xml version="1.0" encoding="utf-8"?>
<ds:datastoreItem xmlns:ds="http://schemas.openxmlformats.org/officeDocument/2006/customXml" ds:itemID="{B13079AA-48F7-417C-AA2C-23324B6E07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Levy Ntabo</cp:lastModifiedBy>
  <cp:revision/>
  <dcterms:created xsi:type="dcterms:W3CDTF">2012-07-31T14:31:17Z</dcterms:created>
  <dcterms:modified xsi:type="dcterms:W3CDTF">2023-10-29T06:50:14Z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MSIP_Label_7a02b3b2-3762-4506-88a3-8b8c11cc60e6_Enabled">
    <vt:lpwstr>true</vt:lpwstr>
  </property>
  <property fmtid="{D5CDD505-2E9C-101B-9397-08002B2CF9AE}" pid="4" name="MSIP_Label_7a02b3b2-3762-4506-88a3-8b8c11cc60e6_SetDate">
    <vt:lpwstr>2023-05-19T06:08:04Z</vt:lpwstr>
  </property>
  <property fmtid="{D5CDD505-2E9C-101B-9397-08002B2CF9AE}" pid="5" name="MSIP_Label_7a02b3b2-3762-4506-88a3-8b8c11cc60e6_Method">
    <vt:lpwstr>Privileged</vt:lpwstr>
  </property>
  <property fmtid="{D5CDD505-2E9C-101B-9397-08002B2CF9AE}" pid="6" name="MSIP_Label_7a02b3b2-3762-4506-88a3-8b8c11cc60e6_Name">
    <vt:lpwstr>Internal Use</vt:lpwstr>
  </property>
  <property fmtid="{D5CDD505-2E9C-101B-9397-08002B2CF9AE}" pid="7" name="MSIP_Label_7a02b3b2-3762-4506-88a3-8b8c11cc60e6_SiteId">
    <vt:lpwstr>d6c8161d-ccd5-4325-b291-dd442c369fe4</vt:lpwstr>
  </property>
  <property fmtid="{D5CDD505-2E9C-101B-9397-08002B2CF9AE}" pid="8" name="MSIP_Label_7a02b3b2-3762-4506-88a3-8b8c11cc60e6_ActionId">
    <vt:lpwstr>de5252fe-76ff-45a4-9d86-73b44fc5557b</vt:lpwstr>
  </property>
  <property fmtid="{D5CDD505-2E9C-101B-9397-08002B2CF9AE}" pid="9" name="MSIP_Label_7a02b3b2-3762-4506-88a3-8b8c11cc60e6_ContentBits">
    <vt:lpwstr>0</vt:lpwstr>
  </property>
  <property fmtid="{D5CDD505-2E9C-101B-9397-08002B2CF9AE}" pid="10" name="ContentTypeId">
    <vt:lpwstr>0x010100F4FB27488935CD4FBFBB981DE553EA38</vt:lpwstr>
  </property>
  <property fmtid="{D5CDD505-2E9C-101B-9397-08002B2CF9AE}" pid="11" name="MediaServiceImageTags">
    <vt:lpwstr/>
  </property>
</Properties>
</file>
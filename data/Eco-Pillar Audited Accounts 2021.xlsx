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4/ECO-PILLAR- 2690/Account Approvals/"/>
    </mc:Choice>
  </mc:AlternateContent>
  <xr:revisionPtr revIDLastSave="164" documentId="8_{45654316-6554-44D4-87C1-D6F7B3A26ABA}" xr6:coauthVersionLast="47" xr6:coauthVersionMax="47" xr10:uidLastSave="{6303F9F5-88EF-4A8A-9601-8A9C24E98F1B}"/>
  <bookViews>
    <workbookView xWindow="-110" yWindow="-110" windowWidth="19420" windowHeight="10300" firstSheet="1" activeTab="1" xr2:uid="{00000000-000D-0000-FFFF-FFFF00000000}"/>
  </bookViews>
  <sheets>
    <sheet name="SFP" sheetId="1" r:id="rId1"/>
    <sheet name="SCI" sheetId="5" r:id="rId2"/>
    <sheet name="PRUDENTIALS" sheetId="3" r:id="rId3"/>
    <sheet name="FINANCIALS" sheetId="2" r:id="rId4"/>
    <sheet name="FORM 4" sheetId="6" r:id="rId5"/>
    <sheet name="FORM 3" sheetId="7" r:id="rId6"/>
    <sheet name="CAELS" sheetId="8" r:id="rId7"/>
    <sheet name="march 2018" sheetId="9" r:id="rId8"/>
    <sheet name="F4 2020" sheetId="10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_xlnm.Print_Area" localSheetId="6">CAELS!$A$1:$CS$25</definedName>
    <definedName name="_xlnm.Print_Area" localSheetId="3">FINANCIALS!$A$1:$CH$45</definedName>
    <definedName name="_xlnm.Print_Area" localSheetId="2">PRUDENTIALS!$A$1:$CK$42</definedName>
    <definedName name="_xlnm.Print_Area" localSheetId="1">SCI!$A$1:$CS$52</definedName>
    <definedName name="_xlnm.Print_Area" localSheetId="0">SFP!$A$1:$CS$65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40" i="5" l="1"/>
  <c r="CR42" i="5" s="1"/>
  <c r="CR44" i="5" s="1"/>
  <c r="CN37" i="5"/>
  <c r="CO37" i="5"/>
  <c r="CP37" i="5"/>
  <c r="CQ37" i="5"/>
  <c r="CN30" i="5"/>
  <c r="CO30" i="5"/>
  <c r="CP30" i="5"/>
  <c r="CQ30" i="5"/>
  <c r="CR30" i="5"/>
  <c r="CN27" i="5"/>
  <c r="CO27" i="5"/>
  <c r="CP27" i="5"/>
  <c r="CQ27" i="5"/>
  <c r="CR27" i="5"/>
  <c r="CN19" i="5"/>
  <c r="CO19" i="5"/>
  <c r="CP19" i="5"/>
  <c r="CQ19" i="5"/>
  <c r="CR19" i="5"/>
  <c r="CN14" i="5"/>
  <c r="CO14" i="5"/>
  <c r="CP14" i="5"/>
  <c r="CQ14" i="5"/>
  <c r="CR14" i="5"/>
  <c r="CN11" i="5"/>
  <c r="CN10" i="5" s="1"/>
  <c r="CN26" i="5" s="1"/>
  <c r="CN36" i="5" s="1"/>
  <c r="CN40" i="5" s="1"/>
  <c r="CN42" i="5" s="1"/>
  <c r="CN44" i="5" s="1"/>
  <c r="CO11" i="5"/>
  <c r="CP11" i="5"/>
  <c r="CP10" i="5" s="1"/>
  <c r="CP26" i="5" s="1"/>
  <c r="CP36" i="5" s="1"/>
  <c r="CP40" i="5" s="1"/>
  <c r="CP42" i="5" s="1"/>
  <c r="CP44" i="5" s="1"/>
  <c r="CQ11" i="5"/>
  <c r="CR11" i="5"/>
  <c r="CN50" i="1"/>
  <c r="CO50" i="1"/>
  <c r="CP50" i="1"/>
  <c r="CQ50" i="1"/>
  <c r="CR50" i="1"/>
  <c r="CN47" i="1"/>
  <c r="CN56" i="1" s="1"/>
  <c r="CO47" i="1"/>
  <c r="CO56" i="1" s="1"/>
  <c r="CP47" i="1"/>
  <c r="CP56" i="1" s="1"/>
  <c r="CQ47" i="1"/>
  <c r="CQ56" i="1" s="1"/>
  <c r="CR47" i="1"/>
  <c r="CR56" i="1" s="1"/>
  <c r="CN36" i="1"/>
  <c r="CO36" i="1"/>
  <c r="CP36" i="1"/>
  <c r="CQ36" i="1"/>
  <c r="CR36" i="1"/>
  <c r="CN37" i="1"/>
  <c r="CO37" i="1"/>
  <c r="CP37" i="1"/>
  <c r="CQ37" i="1"/>
  <c r="CR37" i="1"/>
  <c r="CN26" i="1"/>
  <c r="CO26" i="1"/>
  <c r="CP26" i="1"/>
  <c r="CQ26" i="1"/>
  <c r="CR26" i="1"/>
  <c r="CN22" i="1"/>
  <c r="CO22" i="1"/>
  <c r="CP22" i="1"/>
  <c r="CQ22" i="1"/>
  <c r="CR22" i="1"/>
  <c r="CN19" i="1"/>
  <c r="CO19" i="1"/>
  <c r="CP19" i="1"/>
  <c r="CQ19" i="1"/>
  <c r="CR19" i="1"/>
  <c r="CS19" i="1"/>
  <c r="CN14" i="1"/>
  <c r="CO14" i="1"/>
  <c r="CP14" i="1"/>
  <c r="CQ14" i="1"/>
  <c r="CR14" i="1"/>
  <c r="CS14" i="1"/>
  <c r="CN10" i="1"/>
  <c r="CN32" i="1" s="1"/>
  <c r="CO10" i="1"/>
  <c r="CO32" i="1" s="1"/>
  <c r="CP10" i="1"/>
  <c r="CP32" i="1" s="1"/>
  <c r="CQ10" i="1"/>
  <c r="CQ32" i="1" s="1"/>
  <c r="CR10" i="1"/>
  <c r="CR32" i="1" s="1"/>
  <c r="CS10" i="1"/>
  <c r="CK50" i="1"/>
  <c r="CS50" i="1"/>
  <c r="CS47" i="1"/>
  <c r="CS56" i="1" s="1"/>
  <c r="CS36" i="1"/>
  <c r="CS37" i="1"/>
  <c r="CS26" i="1"/>
  <c r="CS22" i="1"/>
  <c r="CM11" i="5"/>
  <c r="CM14" i="5"/>
  <c r="CM19" i="5"/>
  <c r="CM27" i="5"/>
  <c r="CM30" i="5"/>
  <c r="CM37" i="5"/>
  <c r="CM50" i="1"/>
  <c r="CM47" i="1"/>
  <c r="CM56" i="1" s="1"/>
  <c r="CM37" i="1"/>
  <c r="CM36" i="1"/>
  <c r="CM44" i="1" s="1"/>
  <c r="CM57" i="1" s="1"/>
  <c r="CM26" i="1"/>
  <c r="CM22" i="1"/>
  <c r="CM10" i="1"/>
  <c r="CM14" i="1"/>
  <c r="CM19" i="1"/>
  <c r="CF50" i="1"/>
  <c r="CG50" i="1"/>
  <c r="CH50" i="1"/>
  <c r="CI50" i="1"/>
  <c r="CJ50" i="1"/>
  <c r="CL50" i="1"/>
  <c r="CF47" i="1"/>
  <c r="CF56" i="1" s="1"/>
  <c r="CG47" i="1"/>
  <c r="CG56" i="1" s="1"/>
  <c r="CH47" i="1"/>
  <c r="CH56" i="1" s="1"/>
  <c r="CI47" i="1"/>
  <c r="CI56" i="1" s="1"/>
  <c r="CJ47" i="1"/>
  <c r="CJ56" i="1" s="1"/>
  <c r="CK47" i="1"/>
  <c r="CK56" i="1" s="1"/>
  <c r="CL47" i="1"/>
  <c r="CL56" i="1" s="1"/>
  <c r="CF37" i="1"/>
  <c r="CG37" i="1"/>
  <c r="CH37" i="1"/>
  <c r="CI37" i="1"/>
  <c r="CJ37" i="1"/>
  <c r="CK37" i="1"/>
  <c r="CL37" i="1"/>
  <c r="CF36" i="1"/>
  <c r="CF44" i="1" s="1"/>
  <c r="CF57" i="1" s="1"/>
  <c r="CG36" i="1"/>
  <c r="CG44" i="1" s="1"/>
  <c r="CG57" i="1" s="1"/>
  <c r="CH36" i="1"/>
  <c r="CH44" i="1" s="1"/>
  <c r="CH57" i="1" s="1"/>
  <c r="CI36" i="1"/>
  <c r="CI44" i="1" s="1"/>
  <c r="CJ36" i="1"/>
  <c r="CJ44" i="1" s="1"/>
  <c r="CJ57" i="1" s="1"/>
  <c r="CK36" i="1"/>
  <c r="CK44" i="1" s="1"/>
  <c r="CK57" i="1" s="1"/>
  <c r="CL36" i="1"/>
  <c r="CL44" i="1" s="1"/>
  <c r="CL57" i="1" s="1"/>
  <c r="CF26" i="1"/>
  <c r="CG26" i="1"/>
  <c r="CH26" i="1"/>
  <c r="CI26" i="1"/>
  <c r="CJ26" i="1"/>
  <c r="CK26" i="1"/>
  <c r="CL26" i="1"/>
  <c r="CF22" i="1"/>
  <c r="CG22" i="1"/>
  <c r="CH22" i="1"/>
  <c r="CI22" i="1"/>
  <c r="CJ22" i="1"/>
  <c r="CK22" i="1"/>
  <c r="CL22" i="1"/>
  <c r="CF19" i="1"/>
  <c r="CG19" i="1"/>
  <c r="CH19" i="1"/>
  <c r="CI19" i="1"/>
  <c r="CJ19" i="1"/>
  <c r="CK19" i="1"/>
  <c r="CL19" i="1"/>
  <c r="CF14" i="1"/>
  <c r="CG14" i="1"/>
  <c r="CH14" i="1"/>
  <c r="CI14" i="1"/>
  <c r="CJ14" i="1"/>
  <c r="CK14" i="1"/>
  <c r="CL14" i="1"/>
  <c r="CF10" i="1"/>
  <c r="CF32" i="1" s="1"/>
  <c r="CG10" i="1"/>
  <c r="CH10" i="1"/>
  <c r="CH32" i="1" s="1"/>
  <c r="CI10" i="1"/>
  <c r="CI32" i="1" s="1"/>
  <c r="CJ10" i="1"/>
  <c r="CJ32" i="1" s="1"/>
  <c r="CK10" i="1"/>
  <c r="CK32" i="1" s="1"/>
  <c r="CL10" i="1"/>
  <c r="CL32" i="1" s="1"/>
  <c r="CF37" i="5"/>
  <c r="CG37" i="5"/>
  <c r="CH37" i="5"/>
  <c r="CI37" i="5"/>
  <c r="CJ37" i="5"/>
  <c r="CK37" i="5"/>
  <c r="CL37" i="5"/>
  <c r="CF30" i="5"/>
  <c r="CG30" i="5"/>
  <c r="CH30" i="5"/>
  <c r="CI30" i="5"/>
  <c r="CJ30" i="5"/>
  <c r="CK30" i="5"/>
  <c r="CL30" i="5"/>
  <c r="CF27" i="5"/>
  <c r="CG27" i="5"/>
  <c r="CH27" i="5"/>
  <c r="CI27" i="5"/>
  <c r="CJ27" i="5"/>
  <c r="CK27" i="5"/>
  <c r="CL27" i="5"/>
  <c r="CF19" i="5"/>
  <c r="CG19" i="5"/>
  <c r="CH19" i="5"/>
  <c r="CI19" i="5"/>
  <c r="CJ19" i="5"/>
  <c r="CK19" i="5"/>
  <c r="CL19" i="5"/>
  <c r="CF14" i="5"/>
  <c r="CG14" i="5"/>
  <c r="CH14" i="5"/>
  <c r="CI14" i="5"/>
  <c r="CJ14" i="5"/>
  <c r="CK14" i="5"/>
  <c r="CL14" i="5"/>
  <c r="CF11" i="5"/>
  <c r="CG11" i="5"/>
  <c r="CH11" i="5"/>
  <c r="CI11" i="5"/>
  <c r="CJ11" i="5"/>
  <c r="CK11" i="5"/>
  <c r="CL11" i="5"/>
  <c r="CE18" i="1"/>
  <c r="CE17" i="1"/>
  <c r="CF27" i="2" s="1"/>
  <c r="CF6" i="2"/>
  <c r="CF7" i="2"/>
  <c r="CF9" i="2"/>
  <c r="CF16" i="2"/>
  <c r="CF19" i="2"/>
  <c r="CF20" i="2"/>
  <c r="CF26" i="2"/>
  <c r="CF31" i="2"/>
  <c r="CF34" i="2"/>
  <c r="CF37" i="2"/>
  <c r="CF39" i="2"/>
  <c r="CF42" i="2"/>
  <c r="CF44" i="2"/>
  <c r="CE35" i="5"/>
  <c r="CE34" i="5"/>
  <c r="CE11" i="5"/>
  <c r="CE14" i="5"/>
  <c r="CF38" i="2" s="1"/>
  <c r="CE19" i="5"/>
  <c r="CE27" i="5"/>
  <c r="CE37" i="5"/>
  <c r="CE34" i="1"/>
  <c r="CF8" i="2" s="1"/>
  <c r="CE12" i="1"/>
  <c r="CE11" i="1"/>
  <c r="CE19" i="1"/>
  <c r="CF30" i="2" s="1"/>
  <c r="CE22" i="1"/>
  <c r="CE26" i="1"/>
  <c r="CE37" i="1"/>
  <c r="CE47" i="1"/>
  <c r="CF18" i="2" s="1"/>
  <c r="CE50" i="1"/>
  <c r="CE56" i="1"/>
  <c r="CA26" i="2"/>
  <c r="CB26" i="2"/>
  <c r="CC26" i="2"/>
  <c r="CD26" i="2"/>
  <c r="CE26" i="2"/>
  <c r="CA20" i="2"/>
  <c r="CB20" i="2"/>
  <c r="CA19" i="2"/>
  <c r="CB19" i="2"/>
  <c r="CC19" i="2"/>
  <c r="CD19" i="2"/>
  <c r="CE19" i="2"/>
  <c r="CB16" i="2"/>
  <c r="CC16" i="2"/>
  <c r="CD16" i="2"/>
  <c r="CE16" i="2"/>
  <c r="CB9" i="2"/>
  <c r="CC9" i="2"/>
  <c r="CD9" i="2"/>
  <c r="CE9" i="2"/>
  <c r="CB8" i="2"/>
  <c r="CC8" i="2"/>
  <c r="CD8" i="2"/>
  <c r="CB7" i="2"/>
  <c r="CC7" i="2"/>
  <c r="CD7" i="2"/>
  <c r="CB6" i="2"/>
  <c r="CC6" i="2"/>
  <c r="CD6" i="2"/>
  <c r="CE6" i="2"/>
  <c r="CB5" i="2" l="1"/>
  <c r="CF33" i="2"/>
  <c r="CG32" i="1"/>
  <c r="CM32" i="1"/>
  <c r="CS44" i="1"/>
  <c r="CS57" i="1" s="1"/>
  <c r="CS32" i="1"/>
  <c r="CR44" i="1"/>
  <c r="CR57" i="1" s="1"/>
  <c r="CQ44" i="1"/>
  <c r="CQ57" i="1" s="1"/>
  <c r="CP44" i="1"/>
  <c r="CP57" i="1" s="1"/>
  <c r="CO44" i="1"/>
  <c r="CN44" i="1"/>
  <c r="CN57" i="1" s="1"/>
  <c r="CO57" i="1"/>
  <c r="CO10" i="5"/>
  <c r="CO26" i="5" s="1"/>
  <c r="CO36" i="5" s="1"/>
  <c r="CO40" i="5" s="1"/>
  <c r="CO42" i="5" s="1"/>
  <c r="CO44" i="5" s="1"/>
  <c r="CR10" i="5"/>
  <c r="CR26" i="5" s="1"/>
  <c r="CQ10" i="5"/>
  <c r="CQ26" i="5" s="1"/>
  <c r="CQ36" i="5" s="1"/>
  <c r="CQ40" i="5" s="1"/>
  <c r="CQ42" i="5" s="1"/>
  <c r="CQ44" i="5" s="1"/>
  <c r="CM10" i="5"/>
  <c r="CM26" i="5" s="1"/>
  <c r="CM36" i="5" s="1"/>
  <c r="CM40" i="5" s="1"/>
  <c r="CM42" i="5" s="1"/>
  <c r="CM44" i="5" s="1"/>
  <c r="CJ10" i="5"/>
  <c r="CJ26" i="5" s="1"/>
  <c r="CJ36" i="5" s="1"/>
  <c r="CJ40" i="5" s="1"/>
  <c r="CJ42" i="5" s="1"/>
  <c r="CJ44" i="5" s="1"/>
  <c r="CE30" i="5"/>
  <c r="CF45" i="2" s="1"/>
  <c r="CH10" i="5"/>
  <c r="CH26" i="5" s="1"/>
  <c r="CH36" i="5" s="1"/>
  <c r="CH40" i="5" s="1"/>
  <c r="CH42" i="5" s="1"/>
  <c r="CH44" i="5" s="1"/>
  <c r="CI57" i="1"/>
  <c r="CE14" i="1"/>
  <c r="CD5" i="2"/>
  <c r="CC5" i="2"/>
  <c r="CE36" i="1"/>
  <c r="CE44" i="1" s="1"/>
  <c r="CE57" i="1" s="1"/>
  <c r="CL10" i="5"/>
  <c r="CL26" i="5" s="1"/>
  <c r="CL36" i="5" s="1"/>
  <c r="CL40" i="5" s="1"/>
  <c r="CL42" i="5" s="1"/>
  <c r="CL44" i="5" s="1"/>
  <c r="CK10" i="5"/>
  <c r="CK26" i="5" s="1"/>
  <c r="CK36" i="5" s="1"/>
  <c r="CK40" i="5" s="1"/>
  <c r="CK42" i="5" s="1"/>
  <c r="CK44" i="5" s="1"/>
  <c r="CI10" i="5"/>
  <c r="CI26" i="5" s="1"/>
  <c r="CI36" i="5" s="1"/>
  <c r="CI40" i="5" s="1"/>
  <c r="CI42" i="5" s="1"/>
  <c r="CI44" i="5" s="1"/>
  <c r="CG10" i="5"/>
  <c r="CG26" i="5" s="1"/>
  <c r="CG36" i="5" s="1"/>
  <c r="CG40" i="5" s="1"/>
  <c r="CG42" i="5" s="1"/>
  <c r="CG44" i="5" s="1"/>
  <c r="CF10" i="5"/>
  <c r="CF26" i="5" s="1"/>
  <c r="CF36" i="5" s="1"/>
  <c r="CF40" i="5" s="1"/>
  <c r="CF42" i="5" s="1"/>
  <c r="CF44" i="5" s="1"/>
  <c r="CF41" i="2"/>
  <c r="CF36" i="2"/>
  <c r="CF29" i="2"/>
  <c r="CF25" i="2"/>
  <c r="CF15" i="2"/>
  <c r="CF12" i="2" s="1"/>
  <c r="CF5" i="2"/>
  <c r="CE10" i="5"/>
  <c r="CE26" i="5" s="1"/>
  <c r="CE36" i="5" s="1"/>
  <c r="CE40" i="5" s="1"/>
  <c r="CE42" i="5" s="1"/>
  <c r="CE44" i="5" s="1"/>
  <c r="CE10" i="1"/>
  <c r="CE32" i="1" s="1"/>
  <c r="CF4" i="2" s="1"/>
  <c r="CA44" i="2"/>
  <c r="CB44" i="2"/>
  <c r="CC44" i="2"/>
  <c r="CD44" i="2"/>
  <c r="CE44" i="2"/>
  <c r="CA42" i="2"/>
  <c r="CB42" i="2"/>
  <c r="CC42" i="2"/>
  <c r="CD42" i="2"/>
  <c r="CE42" i="2"/>
  <c r="CA39" i="2"/>
  <c r="CB39" i="2"/>
  <c r="CC39" i="2"/>
  <c r="CD39" i="2"/>
  <c r="CE39" i="2"/>
  <c r="CA37" i="2"/>
  <c r="CB37" i="2"/>
  <c r="CC37" i="2"/>
  <c r="CD37" i="2"/>
  <c r="CE37" i="2"/>
  <c r="CA34" i="2"/>
  <c r="CB34" i="2"/>
  <c r="CC34" i="2"/>
  <c r="CD34" i="2"/>
  <c r="CE34" i="2"/>
  <c r="CA31" i="2"/>
  <c r="CB31" i="2"/>
  <c r="CC31" i="2"/>
  <c r="CD31" i="2"/>
  <c r="CE31" i="2"/>
  <c r="BZ27" i="2"/>
  <c r="CA27" i="2"/>
  <c r="CB27" i="2"/>
  <c r="CB25" i="2" s="1"/>
  <c r="CC27" i="2"/>
  <c r="CC25" i="2" s="1"/>
  <c r="CD27" i="2"/>
  <c r="CD25" i="2" s="1"/>
  <c r="CE27" i="2"/>
  <c r="CE25" i="2" s="1"/>
  <c r="CA25" i="2"/>
  <c r="CC20" i="2"/>
  <c r="CE20" i="2"/>
  <c r="CA16" i="2"/>
  <c r="CA9" i="2"/>
  <c r="CA8" i="2"/>
  <c r="CA7" i="2"/>
  <c r="CA6" i="2"/>
  <c r="CF13" i="2" l="1"/>
  <c r="CA5" i="2"/>
  <c r="CD35" i="5"/>
  <c r="CD30" i="5" s="1"/>
  <c r="CE45" i="2" s="1"/>
  <c r="CE41" i="2" s="1"/>
  <c r="CD11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2" i="1"/>
  <c r="CD10" i="1" s="1"/>
  <c r="CD42" i="1"/>
  <c r="BQ12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BR22" i="1"/>
  <c r="BS22" i="1"/>
  <c r="BT22" i="1"/>
  <c r="BU22" i="1"/>
  <c r="BV22" i="1"/>
  <c r="BW22" i="1"/>
  <c r="BX22" i="1"/>
  <c r="BY22" i="1"/>
  <c r="BZ22" i="1"/>
  <c r="CA33" i="2" s="1"/>
  <c r="CA22" i="1"/>
  <c r="CB22" i="1"/>
  <c r="CC22" i="1"/>
  <c r="CD33" i="2" s="1"/>
  <c r="CD22" i="1"/>
  <c r="BR19" i="1"/>
  <c r="BS19" i="1"/>
  <c r="BT19" i="1"/>
  <c r="BU19" i="1"/>
  <c r="BV19" i="1"/>
  <c r="BW19" i="1"/>
  <c r="BX19" i="1"/>
  <c r="BY19" i="1"/>
  <c r="BZ19" i="1"/>
  <c r="CA30" i="2" s="1"/>
  <c r="CA29" i="2" s="1"/>
  <c r="CA19" i="1"/>
  <c r="CB30" i="2" s="1"/>
  <c r="CB29" i="2" s="1"/>
  <c r="CB19" i="1"/>
  <c r="CC30" i="2" s="1"/>
  <c r="CC29" i="2" s="1"/>
  <c r="CC19" i="1"/>
  <c r="CD30" i="2" s="1"/>
  <c r="CD29" i="2" s="1"/>
  <c r="CD19" i="1"/>
  <c r="CE30" i="2" s="1"/>
  <c r="CE29" i="2" s="1"/>
  <c r="BR14" i="1"/>
  <c r="BS14" i="1"/>
  <c r="BT14" i="1"/>
  <c r="BT32" i="1" s="1"/>
  <c r="BU14" i="1"/>
  <c r="BV14" i="1"/>
  <c r="BW14" i="1"/>
  <c r="BX14" i="1"/>
  <c r="BX32" i="1" s="1"/>
  <c r="BY14" i="1"/>
  <c r="BZ14" i="1"/>
  <c r="CA14" i="1"/>
  <c r="CB14" i="1"/>
  <c r="CB32" i="1" s="1"/>
  <c r="CC4" i="2" s="1"/>
  <c r="CC14" i="1"/>
  <c r="CD14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C47" i="1"/>
  <c r="CD47" i="1"/>
  <c r="CE18" i="2" s="1"/>
  <c r="CE15" i="2" s="1"/>
  <c r="CE12" i="2" s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BQ26" i="1"/>
  <c r="BQ22" i="1"/>
  <c r="BQ19" i="1"/>
  <c r="BQ14" i="1"/>
  <c r="BQ10" i="1"/>
  <c r="CD52" i="1"/>
  <c r="CD33" i="1"/>
  <c r="CD34" i="1"/>
  <c r="CE8" i="2" s="1"/>
  <c r="CF4" i="8"/>
  <c r="CG4" i="8"/>
  <c r="CH4" i="8"/>
  <c r="CI4" i="8"/>
  <c r="CJ4" i="8"/>
  <c r="CK4" i="8"/>
  <c r="BZ37" i="5"/>
  <c r="CA37" i="5"/>
  <c r="CB37" i="5"/>
  <c r="CC37" i="5"/>
  <c r="CD37" i="5"/>
  <c r="BZ30" i="5"/>
  <c r="CA30" i="5"/>
  <c r="CB45" i="2" s="1"/>
  <c r="CB41" i="2" s="1"/>
  <c r="CB30" i="5"/>
  <c r="CC45" i="2" s="1"/>
  <c r="CC41" i="2" s="1"/>
  <c r="CC30" i="5"/>
  <c r="CD45" i="2" s="1"/>
  <c r="CD41" i="2" s="1"/>
  <c r="BZ27" i="5"/>
  <c r="CA27" i="5"/>
  <c r="CB27" i="5"/>
  <c r="CC27" i="5"/>
  <c r="CD27" i="5"/>
  <c r="BZ19" i="5"/>
  <c r="CA19" i="5"/>
  <c r="CB19" i="5"/>
  <c r="CC19" i="5"/>
  <c r="CD19" i="5"/>
  <c r="BZ14" i="5"/>
  <c r="CA38" i="2" s="1"/>
  <c r="CA36" i="2" s="1"/>
  <c r="CA14" i="5"/>
  <c r="CB14" i="5"/>
  <c r="CC38" i="2" s="1"/>
  <c r="CC36" i="2" s="1"/>
  <c r="CC14" i="5"/>
  <c r="CD38" i="2" s="1"/>
  <c r="CD36" i="2" s="1"/>
  <c r="CD14" i="5"/>
  <c r="CE38" i="2" s="1"/>
  <c r="CE36" i="2" s="1"/>
  <c r="BZ11" i="5"/>
  <c r="CA11" i="5"/>
  <c r="CB11" i="5"/>
  <c r="CC11" i="5"/>
  <c r="CD11" i="5"/>
  <c r="BV47" i="1"/>
  <c r="BW47" i="1"/>
  <c r="BX47" i="1"/>
  <c r="BX56" i="1" s="1"/>
  <c r="BY47" i="1"/>
  <c r="BY56" i="1" s="1"/>
  <c r="BZ47" i="1"/>
  <c r="CA47" i="1"/>
  <c r="CB47" i="1"/>
  <c r="BV32" i="1" l="1"/>
  <c r="CC44" i="1"/>
  <c r="CC32" i="1"/>
  <c r="CD4" i="2" s="1"/>
  <c r="BU32" i="1"/>
  <c r="CA32" i="1"/>
  <c r="CB4" i="2" s="1"/>
  <c r="BS32" i="1"/>
  <c r="BW56" i="1"/>
  <c r="BQ32" i="1"/>
  <c r="BZ32" i="1"/>
  <c r="CA4" i="2" s="1"/>
  <c r="BR32" i="1"/>
  <c r="CC33" i="2"/>
  <c r="BV56" i="1"/>
  <c r="CB33" i="2"/>
  <c r="CB10" i="5"/>
  <c r="CB26" i="5" s="1"/>
  <c r="CB36" i="5" s="1"/>
  <c r="CB40" i="5" s="1"/>
  <c r="CB42" i="5" s="1"/>
  <c r="CB44" i="5" s="1"/>
  <c r="CC10" i="5"/>
  <c r="CC26" i="5" s="1"/>
  <c r="CC36" i="5"/>
  <c r="CC40" i="5" s="1"/>
  <c r="CC42" i="5" s="1"/>
  <c r="CC44" i="5" s="1"/>
  <c r="CC18" i="2"/>
  <c r="CC15" i="2" s="1"/>
  <c r="CC12" i="2" s="1"/>
  <c r="CB56" i="1"/>
  <c r="CB18" i="2"/>
  <c r="CB15" i="2" s="1"/>
  <c r="CA56" i="1"/>
  <c r="CA18" i="2"/>
  <c r="CA15" i="2" s="1"/>
  <c r="CA12" i="2" s="1"/>
  <c r="BZ56" i="1"/>
  <c r="CA10" i="5"/>
  <c r="CA26" i="5" s="1"/>
  <c r="CA36" i="5" s="1"/>
  <c r="CA40" i="5" s="1"/>
  <c r="CA42" i="5" s="1"/>
  <c r="CA44" i="5" s="1"/>
  <c r="CB38" i="2"/>
  <c r="CB36" i="2" s="1"/>
  <c r="CE7" i="2"/>
  <c r="CE5" i="2" s="1"/>
  <c r="CE6" i="8" s="1"/>
  <c r="CD36" i="1"/>
  <c r="CD20" i="2"/>
  <c r="CD50" i="1"/>
  <c r="CD56" i="1" s="1"/>
  <c r="CD44" i="1"/>
  <c r="CD57" i="1" s="1"/>
  <c r="CD18" i="2"/>
  <c r="CC56" i="1"/>
  <c r="CC57" i="1" s="1"/>
  <c r="CE33" i="2"/>
  <c r="BY32" i="1"/>
  <c r="BW32" i="1"/>
  <c r="CE4" i="8"/>
  <c r="CE13" i="2"/>
  <c r="CD10" i="5"/>
  <c r="CD26" i="5" s="1"/>
  <c r="CD36" i="5" s="1"/>
  <c r="CD40" i="5" s="1"/>
  <c r="CD42" i="5" s="1"/>
  <c r="CD44" i="5" s="1"/>
  <c r="CD32" i="1"/>
  <c r="BZ10" i="5"/>
  <c r="BZ26" i="5" s="1"/>
  <c r="BZ36" i="5" s="1"/>
  <c r="BZ40" i="5" s="1"/>
  <c r="BZ42" i="5" s="1"/>
  <c r="BZ44" i="5" s="1"/>
  <c r="CF6" i="8"/>
  <c r="CG6" i="8"/>
  <c r="CH6" i="8"/>
  <c r="CI6" i="8"/>
  <c r="CJ6" i="8"/>
  <c r="CK6" i="8"/>
  <c r="CL6" i="8"/>
  <c r="CF7" i="8"/>
  <c r="CG7" i="8"/>
  <c r="CH7" i="8"/>
  <c r="CI7" i="8"/>
  <c r="CJ7" i="8"/>
  <c r="CK7" i="8"/>
  <c r="CL7" i="8"/>
  <c r="CM7" i="8"/>
  <c r="CN7" i="8"/>
  <c r="CO7" i="8"/>
  <c r="CP7" i="8"/>
  <c r="CQ7" i="8"/>
  <c r="CM6" i="8"/>
  <c r="CN6" i="8"/>
  <c r="CO6" i="8"/>
  <c r="CP6" i="8"/>
  <c r="CQ6" i="8"/>
  <c r="CF5" i="8"/>
  <c r="CG5" i="8"/>
  <c r="CH5" i="8"/>
  <c r="CI5" i="8"/>
  <c r="CJ5" i="8"/>
  <c r="CK5" i="8"/>
  <c r="CL5" i="8"/>
  <c r="CM5" i="8"/>
  <c r="CN5" i="8"/>
  <c r="CO5" i="8"/>
  <c r="CP5" i="8"/>
  <c r="CQ5" i="8"/>
  <c r="CL4" i="8"/>
  <c r="CM4" i="8"/>
  <c r="CN4" i="8"/>
  <c r="CO4" i="8"/>
  <c r="CP4" i="8"/>
  <c r="CQ4" i="8"/>
  <c r="CB13" i="2" l="1"/>
  <c r="CB12" i="2"/>
  <c r="CB4" i="8" s="1"/>
  <c r="CD15" i="2"/>
  <c r="CD12" i="2" s="1"/>
  <c r="CD13" i="2"/>
  <c r="CC4" i="8"/>
  <c r="CC13" i="2"/>
  <c r="CE4" i="2"/>
  <c r="BW44" i="1"/>
  <c r="BW57" i="1" s="1"/>
  <c r="BX44" i="1"/>
  <c r="BX57" i="1" s="1"/>
  <c r="BY44" i="1"/>
  <c r="BY57" i="1" s="1"/>
  <c r="BZ44" i="1"/>
  <c r="BZ57" i="1" s="1"/>
  <c r="CA44" i="1"/>
  <c r="CA57" i="1" s="1"/>
  <c r="CE7" i="8" l="1"/>
  <c r="CE5" i="8"/>
  <c r="CB44" i="1"/>
  <c r="CB57" i="1" s="1"/>
  <c r="U15" i="10"/>
  <c r="I41" i="10"/>
  <c r="J14" i="10"/>
  <c r="CB59" i="1" l="1"/>
  <c r="CE23" i="3"/>
  <c r="CE18" i="3"/>
  <c r="CE17" i="3"/>
  <c r="CE14" i="3"/>
  <c r="CE13" i="3"/>
  <c r="CA45" i="2"/>
  <c r="CA41" i="2" s="1"/>
  <c r="BR44" i="2"/>
  <c r="BS44" i="2"/>
  <c r="BT44" i="2"/>
  <c r="BU44" i="2"/>
  <c r="BV44" i="2"/>
  <c r="BW44" i="2"/>
  <c r="BX44" i="2"/>
  <c r="BY44" i="2"/>
  <c r="BZ44" i="2"/>
  <c r="BR42" i="2"/>
  <c r="BS42" i="2"/>
  <c r="BT42" i="2"/>
  <c r="BU42" i="2"/>
  <c r="BV42" i="2"/>
  <c r="BW42" i="2"/>
  <c r="BX42" i="2"/>
  <c r="BY42" i="2"/>
  <c r="BZ42" i="2"/>
  <c r="BR39" i="2"/>
  <c r="BS39" i="2"/>
  <c r="BT39" i="2"/>
  <c r="BU39" i="2"/>
  <c r="BV39" i="2"/>
  <c r="BW39" i="2"/>
  <c r="BX39" i="2"/>
  <c r="BY39" i="2"/>
  <c r="BZ39" i="2"/>
  <c r="BR37" i="2"/>
  <c r="BS37" i="2"/>
  <c r="BT37" i="2"/>
  <c r="BU37" i="2"/>
  <c r="BV37" i="2"/>
  <c r="BW37" i="2"/>
  <c r="BX37" i="2"/>
  <c r="BY37" i="2"/>
  <c r="BZ37" i="2"/>
  <c r="BR34" i="2"/>
  <c r="BS34" i="2"/>
  <c r="BT34" i="2"/>
  <c r="BU34" i="2"/>
  <c r="BV34" i="2"/>
  <c r="BW34" i="2"/>
  <c r="BX34" i="2"/>
  <c r="BY34" i="2"/>
  <c r="BZ34" i="2"/>
  <c r="BR33" i="2"/>
  <c r="BS33" i="2"/>
  <c r="BT33" i="2"/>
  <c r="BU33" i="2"/>
  <c r="BV33" i="2"/>
  <c r="BW33" i="2"/>
  <c r="BX33" i="2"/>
  <c r="BY33" i="2"/>
  <c r="BZ33" i="2"/>
  <c r="BR31" i="2"/>
  <c r="BS31" i="2"/>
  <c r="BT31" i="2"/>
  <c r="BU31" i="2"/>
  <c r="BV31" i="2"/>
  <c r="BW31" i="2"/>
  <c r="BX31" i="2"/>
  <c r="BY31" i="2"/>
  <c r="BZ31" i="2"/>
  <c r="BR30" i="2"/>
  <c r="BS30" i="2"/>
  <c r="BT30" i="2"/>
  <c r="BU30" i="2"/>
  <c r="BV30" i="2"/>
  <c r="BW30" i="2"/>
  <c r="BX30" i="2"/>
  <c r="BY30" i="2"/>
  <c r="BZ30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T26" i="2"/>
  <c r="BU26" i="2"/>
  <c r="BU25" i="2" s="1"/>
  <c r="BV26" i="2"/>
  <c r="BW26" i="2"/>
  <c r="BX26" i="2"/>
  <c r="BY26" i="2"/>
  <c r="BZ26" i="2"/>
  <c r="BZ25" i="2" s="1"/>
  <c r="BV20" i="2"/>
  <c r="BW20" i="2"/>
  <c r="BX20" i="2"/>
  <c r="BY20" i="2"/>
  <c r="BZ20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BW18" i="2"/>
  <c r="BX18" i="2"/>
  <c r="BY18" i="2"/>
  <c r="BZ18" i="2"/>
  <c r="BU16" i="2"/>
  <c r="BV16" i="2"/>
  <c r="BW16" i="2"/>
  <c r="BX16" i="2"/>
  <c r="BY16" i="2"/>
  <c r="BZ16" i="2"/>
  <c r="CA13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BU9" i="2"/>
  <c r="BV9" i="2"/>
  <c r="BW9" i="2"/>
  <c r="BX9" i="2"/>
  <c r="BY9" i="2"/>
  <c r="BZ9" i="2"/>
  <c r="BU8" i="2"/>
  <c r="BV8" i="2"/>
  <c r="BW8" i="2"/>
  <c r="BX8" i="2"/>
  <c r="BY8" i="2"/>
  <c r="BZ8" i="2"/>
  <c r="BV44" i="1"/>
  <c r="BV57" i="1" s="1"/>
  <c r="BW4" i="2"/>
  <c r="BZ4" i="2"/>
  <c r="BU7" i="2"/>
  <c r="BV7" i="2"/>
  <c r="BW7" i="2"/>
  <c r="BX7" i="2"/>
  <c r="BY7" i="2"/>
  <c r="BZ7" i="2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R30" i="5"/>
  <c r="BS45" i="2" s="1"/>
  <c r="BS30" i="5"/>
  <c r="BT45" i="2" s="1"/>
  <c r="BT30" i="5"/>
  <c r="BU45" i="2" s="1"/>
  <c r="BU30" i="5"/>
  <c r="BV45" i="2" s="1"/>
  <c r="BV30" i="5"/>
  <c r="BW45" i="2" s="1"/>
  <c r="BW30" i="5"/>
  <c r="BX45" i="2" s="1"/>
  <c r="BX30" i="5"/>
  <c r="BY45" i="2" s="1"/>
  <c r="BY30" i="5"/>
  <c r="BZ45" i="2" s="1"/>
  <c r="BR27" i="5"/>
  <c r="BS27" i="5"/>
  <c r="BT27" i="5"/>
  <c r="BU27" i="5"/>
  <c r="BV27" i="5"/>
  <c r="BW27" i="5"/>
  <c r="BX27" i="5"/>
  <c r="BY27" i="5"/>
  <c r="BR19" i="5"/>
  <c r="BS19" i="5"/>
  <c r="BT19" i="5"/>
  <c r="BU19" i="5"/>
  <c r="BV19" i="5"/>
  <c r="BW19" i="5"/>
  <c r="BX19" i="5"/>
  <c r="BY19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38" i="2" s="1"/>
  <c r="BR14" i="5"/>
  <c r="BS38" i="2" s="1"/>
  <c r="BS14" i="5"/>
  <c r="BT38" i="2" s="1"/>
  <c r="BT14" i="5"/>
  <c r="BU38" i="2" s="1"/>
  <c r="BU14" i="5"/>
  <c r="BV38" i="2" s="1"/>
  <c r="BV14" i="5"/>
  <c r="BW38" i="2" s="1"/>
  <c r="BW14" i="5"/>
  <c r="BX38" i="2" s="1"/>
  <c r="BX14" i="5"/>
  <c r="BY14" i="5"/>
  <c r="BE11" i="5"/>
  <c r="BF11" i="5"/>
  <c r="BG11" i="5"/>
  <c r="BG10" i="5" s="1"/>
  <c r="BH11" i="5"/>
  <c r="BI11" i="5"/>
  <c r="BJ11" i="5"/>
  <c r="BK11" i="5"/>
  <c r="BL11" i="5"/>
  <c r="BM11" i="5"/>
  <c r="BN11" i="5"/>
  <c r="BO11" i="5"/>
  <c r="BO10" i="5" s="1"/>
  <c r="BP11" i="5"/>
  <c r="BQ11" i="5"/>
  <c r="BR11" i="5"/>
  <c r="BS11" i="5"/>
  <c r="BT11" i="5"/>
  <c r="BU11" i="5"/>
  <c r="BV11" i="5"/>
  <c r="BW11" i="5"/>
  <c r="BX11" i="5"/>
  <c r="BY11" i="5"/>
  <c r="BS4" i="2"/>
  <c r="BT4" i="2"/>
  <c r="BU4" i="2"/>
  <c r="BV4" i="2"/>
  <c r="BX4" i="2"/>
  <c r="BY4" i="2"/>
  <c r="BR47" i="1"/>
  <c r="BS47" i="1"/>
  <c r="BT47" i="1"/>
  <c r="BU47" i="1"/>
  <c r="BT44" i="1"/>
  <c r="BS44" i="1"/>
  <c r="BU44" i="1"/>
  <c r="BW25" i="2" l="1"/>
  <c r="BE10" i="5"/>
  <c r="BN10" i="5"/>
  <c r="BF10" i="5"/>
  <c r="BS10" i="5"/>
  <c r="BS26" i="5" s="1"/>
  <c r="BS36" i="5" s="1"/>
  <c r="BS40" i="5" s="1"/>
  <c r="BS42" i="5" s="1"/>
  <c r="BS44" i="5" s="1"/>
  <c r="BZ13" i="3"/>
  <c r="BV25" i="2"/>
  <c r="BU5" i="2"/>
  <c r="BP10" i="5"/>
  <c r="BQ10" i="5"/>
  <c r="BM10" i="5"/>
  <c r="BV10" i="5"/>
  <c r="BV26" i="5" s="1"/>
  <c r="BV36" i="5" s="1"/>
  <c r="BV40" i="5" s="1"/>
  <c r="BV42" i="5" s="1"/>
  <c r="BV44" i="5" s="1"/>
  <c r="BT36" i="2"/>
  <c r="BT41" i="2"/>
  <c r="BW10" i="5"/>
  <c r="BW26" i="5" s="1"/>
  <c r="BW36" i="5" s="1"/>
  <c r="BW40" i="5" s="1"/>
  <c r="BW42" i="5" s="1"/>
  <c r="BW44" i="5" s="1"/>
  <c r="BK10" i="5"/>
  <c r="BU10" i="5"/>
  <c r="BU26" i="5" s="1"/>
  <c r="BU36" i="5" s="1"/>
  <c r="BU40" i="5" s="1"/>
  <c r="BU42" i="5" s="1"/>
  <c r="BU44" i="5" s="1"/>
  <c r="BZ41" i="2"/>
  <c r="BY13" i="3"/>
  <c r="BV5" i="2"/>
  <c r="BV29" i="2"/>
  <c r="BU29" i="2"/>
  <c r="BT29" i="2"/>
  <c r="BU56" i="1"/>
  <c r="BU57" i="1" s="1"/>
  <c r="BV18" i="2"/>
  <c r="BV15" i="2" s="1"/>
  <c r="BT56" i="1"/>
  <c r="BT57" i="1" s="1"/>
  <c r="BU18" i="2"/>
  <c r="BS56" i="1"/>
  <c r="BS57" i="1" s="1"/>
  <c r="BT18" i="2"/>
  <c r="BR56" i="1"/>
  <c r="BS18" i="2"/>
  <c r="BY10" i="5"/>
  <c r="BY26" i="5" s="1"/>
  <c r="BY36" i="5" s="1"/>
  <c r="BY40" i="5" s="1"/>
  <c r="BY42" i="5" s="1"/>
  <c r="BY44" i="5" s="1"/>
  <c r="BZ38" i="2"/>
  <c r="BZ36" i="2" s="1"/>
  <c r="BX10" i="5"/>
  <c r="BX26" i="5" s="1"/>
  <c r="BX36" i="5" s="1"/>
  <c r="BX40" i="5" s="1"/>
  <c r="BX42" i="5" s="1"/>
  <c r="BX44" i="5" s="1"/>
  <c r="BY38" i="2"/>
  <c r="BY36" i="2" s="1"/>
  <c r="BI10" i="5"/>
  <c r="BW5" i="2"/>
  <c r="BW17" i="3" s="1"/>
  <c r="BY25" i="2"/>
  <c r="BX25" i="2"/>
  <c r="BR29" i="2"/>
  <c r="BS36" i="2"/>
  <c r="BR36" i="2"/>
  <c r="BV41" i="2"/>
  <c r="BU41" i="2"/>
  <c r="BS41" i="2"/>
  <c r="BW13" i="3"/>
  <c r="BV23" i="3"/>
  <c r="BT19" i="3"/>
  <c r="BT13" i="3"/>
  <c r="BU23" i="3"/>
  <c r="BS23" i="3"/>
  <c r="BS13" i="3"/>
  <c r="BV14" i="3"/>
  <c r="BV13" i="3"/>
  <c r="BU14" i="3"/>
  <c r="BT14" i="3"/>
  <c r="BU24" i="3"/>
  <c r="BX19" i="3"/>
  <c r="BX13" i="3"/>
  <c r="BV25" i="3"/>
  <c r="BS14" i="3"/>
  <c r="BT23" i="3"/>
  <c r="BU25" i="3"/>
  <c r="BS19" i="3"/>
  <c r="BU13" i="3"/>
  <c r="BY15" i="2"/>
  <c r="CC14" i="3"/>
  <c r="CC19" i="3"/>
  <c r="CB13" i="3"/>
  <c r="CB24" i="3"/>
  <c r="CE19" i="3"/>
  <c r="CD13" i="3"/>
  <c r="CC13" i="3"/>
  <c r="CD17" i="3"/>
  <c r="CC17" i="3"/>
  <c r="BU17" i="3"/>
  <c r="BS29" i="2"/>
  <c r="CB25" i="3"/>
  <c r="CD25" i="3"/>
  <c r="BX15" i="2"/>
  <c r="BX12" i="2" s="1"/>
  <c r="BV19" i="3"/>
  <c r="BV24" i="3"/>
  <c r="BV22" i="3" s="1"/>
  <c r="CD19" i="3"/>
  <c r="BT25" i="2"/>
  <c r="BU19" i="3"/>
  <c r="BW15" i="2"/>
  <c r="CD23" i="3"/>
  <c r="CD24" i="3"/>
  <c r="CD14" i="3"/>
  <c r="CC23" i="3"/>
  <c r="CC24" i="3"/>
  <c r="CC25" i="3"/>
  <c r="CE24" i="3"/>
  <c r="CE22" i="3" s="1"/>
  <c r="CB23" i="3"/>
  <c r="CE25" i="3"/>
  <c r="CB14" i="3"/>
  <c r="BZ29" i="2"/>
  <c r="BW25" i="3"/>
  <c r="BW24" i="3"/>
  <c r="BW14" i="3"/>
  <c r="BW19" i="3"/>
  <c r="BW23" i="3"/>
  <c r="BZ23" i="3"/>
  <c r="BY23" i="3"/>
  <c r="BX24" i="3"/>
  <c r="BX23" i="3"/>
  <c r="BZ25" i="3"/>
  <c r="BY25" i="3"/>
  <c r="BZ14" i="3"/>
  <c r="BX25" i="3"/>
  <c r="BY14" i="3"/>
  <c r="BZ19" i="3"/>
  <c r="BX14" i="3"/>
  <c r="BY19" i="3"/>
  <c r="BZ24" i="3"/>
  <c r="BY24" i="3"/>
  <c r="BY41" i="2"/>
  <c r="BX41" i="2"/>
  <c r="BW41" i="2"/>
  <c r="BX36" i="2"/>
  <c r="BW36" i="2"/>
  <c r="BV36" i="2"/>
  <c r="BU36" i="2"/>
  <c r="BY29" i="2"/>
  <c r="BX29" i="2"/>
  <c r="BW29" i="2"/>
  <c r="CE9" i="3"/>
  <c r="CB9" i="3"/>
  <c r="BZ15" i="2"/>
  <c r="CA4" i="8"/>
  <c r="BX5" i="2"/>
  <c r="BX17" i="3" s="1"/>
  <c r="CA17" i="3"/>
  <c r="BZ5" i="2"/>
  <c r="BZ17" i="3" s="1"/>
  <c r="BY5" i="2"/>
  <c r="CB17" i="3"/>
  <c r="CA13" i="3"/>
  <c r="BT10" i="5"/>
  <c r="BT26" i="5" s="1"/>
  <c r="BT36" i="5" s="1"/>
  <c r="BT40" i="5" s="1"/>
  <c r="BT42" i="5" s="1"/>
  <c r="BT44" i="5" s="1"/>
  <c r="BR10" i="5"/>
  <c r="BR26" i="5" s="1"/>
  <c r="BR36" i="5" s="1"/>
  <c r="BR40" i="5" s="1"/>
  <c r="BR42" i="5" s="1"/>
  <c r="BR44" i="5" s="1"/>
  <c r="BJ10" i="5"/>
  <c r="BL10" i="5"/>
  <c r="BH10" i="5"/>
  <c r="BR44" i="1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E19" i="5"/>
  <c r="BE26" i="5" s="1"/>
  <c r="BF19" i="5"/>
  <c r="BG19" i="5"/>
  <c r="BG26" i="5" s="1"/>
  <c r="BH19" i="5"/>
  <c r="BI19" i="5"/>
  <c r="BJ19" i="5"/>
  <c r="BK19" i="5"/>
  <c r="BL19" i="5"/>
  <c r="BM19" i="5"/>
  <c r="BN19" i="5"/>
  <c r="BN26" i="5" s="1"/>
  <c r="BO19" i="5"/>
  <c r="BO26" i="5" s="1"/>
  <c r="BP19" i="5"/>
  <c r="BQ19" i="5"/>
  <c r="BV17" i="3" l="1"/>
  <c r="BK26" i="5"/>
  <c r="BK36" i="5" s="1"/>
  <c r="BK40" i="5" s="1"/>
  <c r="BK42" i="5" s="1"/>
  <c r="BK44" i="5" s="1"/>
  <c r="BP26" i="5"/>
  <c r="BP36" i="5" s="1"/>
  <c r="BP40" i="5" s="1"/>
  <c r="BP42" i="5" s="1"/>
  <c r="BP44" i="5" s="1"/>
  <c r="BF26" i="5"/>
  <c r="BO36" i="5"/>
  <c r="BO40" i="5" s="1"/>
  <c r="BO42" i="5" s="1"/>
  <c r="BO44" i="5" s="1"/>
  <c r="BQ26" i="5"/>
  <c r="BN36" i="5"/>
  <c r="BN40" i="5" s="1"/>
  <c r="BN42" i="5" s="1"/>
  <c r="BN44" i="5" s="1"/>
  <c r="BE36" i="5"/>
  <c r="BE40" i="5" s="1"/>
  <c r="BE42" i="5" s="1"/>
  <c r="BE44" i="5" s="1"/>
  <c r="BR57" i="1"/>
  <c r="BM26" i="5"/>
  <c r="BM36" i="5" s="1"/>
  <c r="BM40" i="5" s="1"/>
  <c r="BM42" i="5" s="1"/>
  <c r="BM44" i="5" s="1"/>
  <c r="BF36" i="5"/>
  <c r="BF40" i="5" s="1"/>
  <c r="BF42" i="5" s="1"/>
  <c r="BF44" i="5" s="1"/>
  <c r="BI26" i="5"/>
  <c r="BI36" i="5" s="1"/>
  <c r="BI40" i="5" s="1"/>
  <c r="BI42" i="5" s="1"/>
  <c r="BI44" i="5" s="1"/>
  <c r="BG36" i="5"/>
  <c r="BG40" i="5" s="1"/>
  <c r="BG42" i="5" s="1"/>
  <c r="BG44" i="5" s="1"/>
  <c r="BH26" i="5"/>
  <c r="BH36" i="5" s="1"/>
  <c r="BH40" i="5" s="1"/>
  <c r="BH42" i="5" s="1"/>
  <c r="BH44" i="5" s="1"/>
  <c r="BV12" i="2"/>
  <c r="BV26" i="3" s="1"/>
  <c r="BV13" i="2"/>
  <c r="BV9" i="3" s="1"/>
  <c r="BY13" i="2"/>
  <c r="BY9" i="3" s="1"/>
  <c r="BY12" i="2"/>
  <c r="BY7" i="3" s="1"/>
  <c r="BW13" i="2"/>
  <c r="BW9" i="3" s="1"/>
  <c r="BW12" i="2"/>
  <c r="BZ13" i="2"/>
  <c r="BZ9" i="3" s="1"/>
  <c r="BZ12" i="2"/>
  <c r="BZ4" i="8" s="1"/>
  <c r="BY17" i="3"/>
  <c r="BL26" i="5"/>
  <c r="BL36" i="5" s="1"/>
  <c r="BL40" i="5" s="1"/>
  <c r="BL42" i="5" s="1"/>
  <c r="BL44" i="5" s="1"/>
  <c r="BJ26" i="5"/>
  <c r="BJ36" i="5" s="1"/>
  <c r="BJ40" i="5" s="1"/>
  <c r="BJ42" i="5" s="1"/>
  <c r="BJ44" i="5" s="1"/>
  <c r="BY4" i="8"/>
  <c r="BX18" i="3"/>
  <c r="BX4" i="8"/>
  <c r="BU22" i="3"/>
  <c r="BW22" i="3"/>
  <c r="CB22" i="3"/>
  <c r="BY8" i="3"/>
  <c r="BX7" i="8"/>
  <c r="BX6" i="8"/>
  <c r="BX5" i="8"/>
  <c r="BX13" i="2"/>
  <c r="BX9" i="3" s="1"/>
  <c r="BX26" i="3"/>
  <c r="BX6" i="3"/>
  <c r="CA6" i="8"/>
  <c r="CA5" i="8"/>
  <c r="CA7" i="8"/>
  <c r="BX7" i="3"/>
  <c r="BY5" i="8"/>
  <c r="BY6" i="8"/>
  <c r="CD22" i="3"/>
  <c r="CC22" i="3"/>
  <c r="CD4" i="8"/>
  <c r="BY22" i="3"/>
  <c r="BZ22" i="3"/>
  <c r="BX22" i="3"/>
  <c r="CA23" i="3"/>
  <c r="CA24" i="3"/>
  <c r="CA25" i="3"/>
  <c r="CA19" i="3"/>
  <c r="CB19" i="3"/>
  <c r="CA14" i="3"/>
  <c r="CA9" i="3"/>
  <c r="CA7" i="3"/>
  <c r="CA26" i="3"/>
  <c r="CA18" i="3"/>
  <c r="CA6" i="3"/>
  <c r="CB8" i="3"/>
  <c r="CD9" i="3"/>
  <c r="CC9" i="3"/>
  <c r="BB10" i="8"/>
  <c r="BC10" i="8"/>
  <c r="BD10" i="8"/>
  <c r="BE10" i="8"/>
  <c r="BF10" i="8"/>
  <c r="BG10" i="8"/>
  <c r="BH10" i="8"/>
  <c r="BI10" i="8"/>
  <c r="BJ10" i="8"/>
  <c r="BK10" i="8"/>
  <c r="BL10" i="8"/>
  <c r="BM10" i="8"/>
  <c r="BN10" i="8"/>
  <c r="BO10" i="8"/>
  <c r="BP10" i="8"/>
  <c r="BQ10" i="8"/>
  <c r="BR10" i="8"/>
  <c r="BS10" i="8"/>
  <c r="BT10" i="8"/>
  <c r="BU10" i="8"/>
  <c r="BV10" i="8"/>
  <c r="BW10" i="8"/>
  <c r="BX10" i="8"/>
  <c r="BY10" i="8"/>
  <c r="BZ10" i="8"/>
  <c r="CA10" i="8"/>
  <c r="CB10" i="8"/>
  <c r="AP6" i="2"/>
  <c r="AQ6" i="2"/>
  <c r="AR6" i="2"/>
  <c r="AS6" i="2"/>
  <c r="AT6" i="2"/>
  <c r="AU6" i="2"/>
  <c r="AV6" i="2"/>
  <c r="AW6" i="2"/>
  <c r="AX6" i="2"/>
  <c r="AY6" i="2"/>
  <c r="AZ6" i="2"/>
  <c r="BA6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S7" i="2"/>
  <c r="BT7" i="2"/>
  <c r="BS8" i="2"/>
  <c r="BT8" i="2"/>
  <c r="BS9" i="2"/>
  <c r="BS25" i="3" s="1"/>
  <c r="BT9" i="2"/>
  <c r="BT25" i="3" s="1"/>
  <c r="BS16" i="2"/>
  <c r="BT16" i="2"/>
  <c r="BS20" i="2"/>
  <c r="BT20" i="2"/>
  <c r="BS26" i="2"/>
  <c r="BS25" i="2" s="1"/>
  <c r="BT12" i="8"/>
  <c r="BU12" i="8"/>
  <c r="BV12" i="8"/>
  <c r="BW12" i="8"/>
  <c r="BX12" i="8"/>
  <c r="BY12" i="8"/>
  <c r="BZ12" i="8"/>
  <c r="CA12" i="8"/>
  <c r="CB12" i="8"/>
  <c r="CC12" i="8"/>
  <c r="CD12" i="8"/>
  <c r="CE12" i="8"/>
  <c r="CF12" i="8"/>
  <c r="CG12" i="8"/>
  <c r="BS13" i="8"/>
  <c r="BT13" i="8"/>
  <c r="BU13" i="8"/>
  <c r="BV13" i="8"/>
  <c r="BW13" i="8"/>
  <c r="BX13" i="8"/>
  <c r="BY13" i="8"/>
  <c r="BZ13" i="8"/>
  <c r="CA13" i="8"/>
  <c r="CB13" i="8"/>
  <c r="CC13" i="8"/>
  <c r="CD13" i="8"/>
  <c r="CE13" i="8"/>
  <c r="CF13" i="8"/>
  <c r="CG13" i="8"/>
  <c r="BT14" i="8"/>
  <c r="BU14" i="8"/>
  <c r="BV14" i="8"/>
  <c r="BW14" i="8"/>
  <c r="BX14" i="8"/>
  <c r="BY14" i="8"/>
  <c r="BZ14" i="8"/>
  <c r="CA14" i="8"/>
  <c r="CB14" i="8"/>
  <c r="CC14" i="8"/>
  <c r="CD14" i="8"/>
  <c r="CE14" i="8"/>
  <c r="CF14" i="8"/>
  <c r="CG14" i="8"/>
  <c r="BT16" i="8"/>
  <c r="BU16" i="8"/>
  <c r="BV16" i="8"/>
  <c r="BW16" i="8"/>
  <c r="BX16" i="8"/>
  <c r="BY16" i="8"/>
  <c r="BZ16" i="8"/>
  <c r="CA16" i="8"/>
  <c r="CB16" i="8"/>
  <c r="CC16" i="8"/>
  <c r="CD16" i="8"/>
  <c r="CE16" i="8"/>
  <c r="CF16" i="8"/>
  <c r="CG16" i="8"/>
  <c r="BT17" i="8"/>
  <c r="BU17" i="8"/>
  <c r="BV17" i="8"/>
  <c r="BW17" i="8"/>
  <c r="BX17" i="8"/>
  <c r="BY17" i="8"/>
  <c r="BZ17" i="8"/>
  <c r="CA17" i="8"/>
  <c r="CB17" i="8"/>
  <c r="CC17" i="8"/>
  <c r="CD17" i="8"/>
  <c r="CE17" i="8"/>
  <c r="CF17" i="8"/>
  <c r="CG17" i="8"/>
  <c r="BT18" i="8"/>
  <c r="BU18" i="8"/>
  <c r="BV18" i="8"/>
  <c r="BW18" i="8"/>
  <c r="BX18" i="8"/>
  <c r="BY18" i="8"/>
  <c r="BZ18" i="8"/>
  <c r="CA18" i="8"/>
  <c r="CB18" i="8"/>
  <c r="CC18" i="8"/>
  <c r="CD18" i="8"/>
  <c r="CE18" i="8"/>
  <c r="CF18" i="8"/>
  <c r="CG18" i="8"/>
  <c r="BT21" i="8"/>
  <c r="BU21" i="8"/>
  <c r="BV21" i="8"/>
  <c r="BW21" i="8"/>
  <c r="BX21" i="8"/>
  <c r="BY21" i="8"/>
  <c r="BZ21" i="8"/>
  <c r="CA21" i="8"/>
  <c r="CB21" i="8"/>
  <c r="CC21" i="8"/>
  <c r="CD21" i="8"/>
  <c r="CE21" i="8"/>
  <c r="CF21" i="8"/>
  <c r="CG21" i="8"/>
  <c r="BT22" i="8"/>
  <c r="BU22" i="8"/>
  <c r="BV22" i="8"/>
  <c r="BW22" i="8"/>
  <c r="BX22" i="8"/>
  <c r="BY22" i="8"/>
  <c r="BZ22" i="8"/>
  <c r="CA22" i="8"/>
  <c r="CB22" i="8"/>
  <c r="CC22" i="8"/>
  <c r="CD22" i="8"/>
  <c r="CE22" i="8"/>
  <c r="CF22" i="8"/>
  <c r="CG22" i="8"/>
  <c r="BT23" i="8"/>
  <c r="BU23" i="8"/>
  <c r="BV23" i="8"/>
  <c r="BW23" i="8"/>
  <c r="BX23" i="8"/>
  <c r="BY23" i="8"/>
  <c r="BZ23" i="8"/>
  <c r="CA23" i="8"/>
  <c r="CB23" i="8"/>
  <c r="CC23" i="8"/>
  <c r="CD23" i="8"/>
  <c r="CE23" i="8"/>
  <c r="CF23" i="8"/>
  <c r="CG23" i="8"/>
  <c r="BW24" i="8"/>
  <c r="BX24" i="8"/>
  <c r="CA24" i="8"/>
  <c r="CC24" i="8"/>
  <c r="CD24" i="8"/>
  <c r="CE24" i="8"/>
  <c r="CF24" i="8"/>
  <c r="CG24" i="8"/>
  <c r="BW25" i="8"/>
  <c r="BX25" i="8"/>
  <c r="BY25" i="8"/>
  <c r="BZ25" i="8"/>
  <c r="CA25" i="8"/>
  <c r="CB25" i="8"/>
  <c r="CC25" i="8"/>
  <c r="CD25" i="8"/>
  <c r="CE25" i="8"/>
  <c r="CF25" i="8"/>
  <c r="CG25" i="8"/>
  <c r="BV7" i="8" l="1"/>
  <c r="BV7" i="3"/>
  <c r="BV6" i="8"/>
  <c r="BW8" i="3"/>
  <c r="BV18" i="3"/>
  <c r="BV5" i="8"/>
  <c r="BV6" i="3"/>
  <c r="BV4" i="8"/>
  <c r="BY7" i="8"/>
  <c r="BY24" i="8"/>
  <c r="BY26" i="3"/>
  <c r="BY6" i="3"/>
  <c r="BY18" i="3"/>
  <c r="BZ8" i="3"/>
  <c r="BT15" i="2"/>
  <c r="BT12" i="2" s="1"/>
  <c r="BT6" i="3" s="1"/>
  <c r="BX8" i="3"/>
  <c r="BW4" i="8"/>
  <c r="BW6" i="3"/>
  <c r="CB24" i="8"/>
  <c r="CB6" i="8"/>
  <c r="CB5" i="8"/>
  <c r="CB7" i="8"/>
  <c r="BW18" i="3"/>
  <c r="BW7" i="8"/>
  <c r="BW6" i="8"/>
  <c r="BW5" i="8"/>
  <c r="BZ6" i="8"/>
  <c r="BZ5" i="8"/>
  <c r="BZ7" i="8"/>
  <c r="BZ24" i="8"/>
  <c r="CC7" i="8"/>
  <c r="CC5" i="8"/>
  <c r="CC6" i="8"/>
  <c r="CD6" i="8"/>
  <c r="CD5" i="8"/>
  <c r="CD7" i="8"/>
  <c r="BS24" i="3"/>
  <c r="BS22" i="3" s="1"/>
  <c r="BS5" i="2"/>
  <c r="BS17" i="3" s="1"/>
  <c r="BW7" i="3"/>
  <c r="BW26" i="3"/>
  <c r="BS15" i="2"/>
  <c r="BS12" i="2" s="1"/>
  <c r="BT24" i="3"/>
  <c r="BT22" i="3" s="1"/>
  <c r="BT5" i="2"/>
  <c r="BT17" i="3" s="1"/>
  <c r="CC6" i="3"/>
  <c r="CC18" i="3"/>
  <c r="CC26" i="3"/>
  <c r="CD18" i="3"/>
  <c r="CD26" i="3"/>
  <c r="CE6" i="3"/>
  <c r="BZ6" i="3"/>
  <c r="BZ18" i="3"/>
  <c r="BZ7" i="3"/>
  <c r="BZ26" i="3"/>
  <c r="CE26" i="3"/>
  <c r="CE7" i="3"/>
  <c r="CA22" i="3"/>
  <c r="CB7" i="3"/>
  <c r="CB6" i="3"/>
  <c r="CB26" i="3"/>
  <c r="CB18" i="3"/>
  <c r="CC8" i="3"/>
  <c r="CC7" i="3"/>
  <c r="CA8" i="3"/>
  <c r="CE8" i="3"/>
  <c r="CD6" i="3"/>
  <c r="CD8" i="3"/>
  <c r="CD7" i="3"/>
  <c r="BC25" i="2"/>
  <c r="AU25" i="2"/>
  <c r="BM25" i="2"/>
  <c r="BB25" i="2"/>
  <c r="AT25" i="2"/>
  <c r="BR25" i="2"/>
  <c r="BK25" i="2"/>
  <c r="BJ25" i="2"/>
  <c r="BN5" i="2"/>
  <c r="BF5" i="2"/>
  <c r="AX5" i="2"/>
  <c r="AP5" i="2"/>
  <c r="BO5" i="2"/>
  <c r="BG5" i="2"/>
  <c r="AY5" i="2"/>
  <c r="AQ5" i="2"/>
  <c r="AW25" i="2"/>
  <c r="BO25" i="2"/>
  <c r="BG25" i="2"/>
  <c r="AY25" i="2"/>
  <c r="AQ25" i="2"/>
  <c r="BQ5" i="2"/>
  <c r="BI5" i="2"/>
  <c r="BA5" i="2"/>
  <c r="AS5" i="2"/>
  <c r="BN25" i="2"/>
  <c r="BF25" i="2"/>
  <c r="AX25" i="2"/>
  <c r="AP25" i="2"/>
  <c r="BP5" i="2"/>
  <c r="BH5" i="2"/>
  <c r="AZ5" i="2"/>
  <c r="AR5" i="2"/>
  <c r="BL25" i="2"/>
  <c r="BD25" i="2"/>
  <c r="AV25" i="2"/>
  <c r="BM5" i="2"/>
  <c r="BE5" i="2"/>
  <c r="AW5" i="2"/>
  <c r="BT25" i="8"/>
  <c r="BL5" i="2"/>
  <c r="BD5" i="2"/>
  <c r="AV5" i="2"/>
  <c r="BQ25" i="2"/>
  <c r="BI25" i="2"/>
  <c r="BA25" i="2"/>
  <c r="AS25" i="2"/>
  <c r="BK5" i="2"/>
  <c r="BC5" i="2"/>
  <c r="AU5" i="2"/>
  <c r="BP25" i="2"/>
  <c r="BH25" i="2"/>
  <c r="AZ25" i="2"/>
  <c r="AR25" i="2"/>
  <c r="BJ5" i="2"/>
  <c r="BB5" i="2"/>
  <c r="AT5" i="2"/>
  <c r="BQ34" i="5"/>
  <c r="BQ30" i="5" s="1"/>
  <c r="BQ36" i="5" s="1"/>
  <c r="BQ40" i="5" s="1"/>
  <c r="BQ42" i="5" s="1"/>
  <c r="BQ44" i="5" s="1"/>
  <c r="BQ42" i="1"/>
  <c r="BQ37" i="1" s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D47" i="1"/>
  <c r="BE18" i="2" s="1"/>
  <c r="BE47" i="1"/>
  <c r="BF18" i="2" s="1"/>
  <c r="BF15" i="2" s="1"/>
  <c r="BF12" i="2" s="1"/>
  <c r="BF47" i="1"/>
  <c r="BG18" i="2" s="1"/>
  <c r="BG15" i="2" s="1"/>
  <c r="BG12" i="2" s="1"/>
  <c r="BG47" i="1"/>
  <c r="BH18" i="2" s="1"/>
  <c r="BH15" i="2" s="1"/>
  <c r="BH12" i="2" s="1"/>
  <c r="BH47" i="1"/>
  <c r="BI18" i="2" s="1"/>
  <c r="BI15" i="2" s="1"/>
  <c r="BI12" i="2" s="1"/>
  <c r="BI47" i="1"/>
  <c r="BJ18" i="2" s="1"/>
  <c r="BJ15" i="2" s="1"/>
  <c r="BJ12" i="2" s="1"/>
  <c r="BJ47" i="1"/>
  <c r="BK18" i="2" s="1"/>
  <c r="BK15" i="2" s="1"/>
  <c r="BK12" i="2" s="1"/>
  <c r="BK47" i="1"/>
  <c r="BL18" i="2" s="1"/>
  <c r="BL15" i="2" s="1"/>
  <c r="BL12" i="2" s="1"/>
  <c r="BL47" i="1"/>
  <c r="BM18" i="2" s="1"/>
  <c r="BM15" i="2" s="1"/>
  <c r="BM12" i="2" s="1"/>
  <c r="BM47" i="1"/>
  <c r="BN18" i="2" s="1"/>
  <c r="BN15" i="2" s="1"/>
  <c r="BN12" i="2" s="1"/>
  <c r="BN47" i="1"/>
  <c r="BO18" i="2" s="1"/>
  <c r="BO15" i="2" s="1"/>
  <c r="BO12" i="2" s="1"/>
  <c r="BO47" i="1"/>
  <c r="BP18" i="2" s="1"/>
  <c r="BP15" i="2" s="1"/>
  <c r="BP12" i="2" s="1"/>
  <c r="BP47" i="1"/>
  <c r="BQ18" i="2" s="1"/>
  <c r="BQ15" i="2" s="1"/>
  <c r="BQ12" i="2" s="1"/>
  <c r="BQ4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52" i="1"/>
  <c r="BQ33" i="1"/>
  <c r="BQ36" i="1" s="1"/>
  <c r="BD36" i="1"/>
  <c r="BD44" i="1" s="1"/>
  <c r="BE36" i="1"/>
  <c r="BF23" i="8" s="1"/>
  <c r="BF36" i="1"/>
  <c r="BG23" i="8" s="1"/>
  <c r="BG36" i="1"/>
  <c r="BH23" i="8" s="1"/>
  <c r="BH36" i="1"/>
  <c r="BI23" i="8" s="1"/>
  <c r="BI36" i="1"/>
  <c r="BJ23" i="8" s="1"/>
  <c r="BJ36" i="1"/>
  <c r="BK23" i="8" s="1"/>
  <c r="BK36" i="1"/>
  <c r="BL23" i="8" s="1"/>
  <c r="BL36" i="1"/>
  <c r="BM23" i="8" s="1"/>
  <c r="BM36" i="1"/>
  <c r="BN23" i="8" s="1"/>
  <c r="BN36" i="1"/>
  <c r="BO23" i="8" s="1"/>
  <c r="BO36" i="1"/>
  <c r="BP23" i="8" s="1"/>
  <c r="BP36" i="1"/>
  <c r="BQ23" i="8" s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D19" i="1"/>
  <c r="BE30" i="2" s="1"/>
  <c r="BE29" i="2" s="1"/>
  <c r="BE19" i="1"/>
  <c r="BF30" i="2" s="1"/>
  <c r="BF19" i="1"/>
  <c r="BG30" i="2" s="1"/>
  <c r="BG19" i="1"/>
  <c r="BH30" i="2" s="1"/>
  <c r="BH19" i="1"/>
  <c r="BI30" i="2" s="1"/>
  <c r="BI19" i="1"/>
  <c r="BJ30" i="2" s="1"/>
  <c r="BJ19" i="1"/>
  <c r="BK30" i="2" s="1"/>
  <c r="BK19" i="1"/>
  <c r="BL30" i="2" s="1"/>
  <c r="BL29" i="2" s="1"/>
  <c r="BL19" i="1"/>
  <c r="BM30" i="2" s="1"/>
  <c r="BM19" i="1"/>
  <c r="BN30" i="2" s="1"/>
  <c r="BN19" i="1"/>
  <c r="BO30" i="2" s="1"/>
  <c r="BO19" i="1"/>
  <c r="BP30" i="2" s="1"/>
  <c r="BP19" i="1"/>
  <c r="BQ30" i="2" s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T26" i="3" l="1"/>
  <c r="BT7" i="3"/>
  <c r="BM32" i="1"/>
  <c r="BN4" i="2" s="1"/>
  <c r="BN14" i="3" s="1"/>
  <c r="BE32" i="1"/>
  <c r="BT18" i="3"/>
  <c r="BN19" i="3"/>
  <c r="BR20" i="2"/>
  <c r="BQ50" i="1"/>
  <c r="BQ56" i="1" s="1"/>
  <c r="BR18" i="2"/>
  <c r="BQ4" i="8"/>
  <c r="BQ6" i="8"/>
  <c r="BP4" i="8"/>
  <c r="BP6" i="8"/>
  <c r="BP6" i="3"/>
  <c r="BP8" i="3"/>
  <c r="BS4" i="8"/>
  <c r="BS6" i="8"/>
  <c r="BS5" i="8"/>
  <c r="BS7" i="8"/>
  <c r="BT4" i="8"/>
  <c r="BT6" i="8"/>
  <c r="BT5" i="8"/>
  <c r="BT7" i="8"/>
  <c r="BS26" i="3"/>
  <c r="BS6" i="3"/>
  <c r="BS7" i="3"/>
  <c r="BT8" i="3"/>
  <c r="BQ6" i="3"/>
  <c r="BQ8" i="3"/>
  <c r="BQ17" i="3"/>
  <c r="BQ18" i="3"/>
  <c r="BP17" i="3"/>
  <c r="BU8" i="3"/>
  <c r="BN17" i="3"/>
  <c r="BO17" i="3"/>
  <c r="BS18" i="3"/>
  <c r="BE44" i="1"/>
  <c r="BK32" i="1"/>
  <c r="BL4" i="2" s="1"/>
  <c r="BL25" i="8" s="1"/>
  <c r="BE33" i="2"/>
  <c r="BL32" i="1"/>
  <c r="BN32" i="1"/>
  <c r="BF32" i="1"/>
  <c r="BG18" i="8" s="1"/>
  <c r="BM44" i="1"/>
  <c r="BO56" i="1"/>
  <c r="BL44" i="1"/>
  <c r="BG56" i="1"/>
  <c r="BI44" i="1"/>
  <c r="BN13" i="2"/>
  <c r="BN9" i="3" s="1"/>
  <c r="BT13" i="2"/>
  <c r="BT9" i="3" s="1"/>
  <c r="BK13" i="2"/>
  <c r="BK6" i="8"/>
  <c r="BJ13" i="2"/>
  <c r="BQ13" i="2"/>
  <c r="BI13" i="2"/>
  <c r="BH13" i="2"/>
  <c r="BH6" i="3"/>
  <c r="BG13" i="2"/>
  <c r="BG6" i="3"/>
  <c r="BF13" i="2"/>
  <c r="BP18" i="3"/>
  <c r="BP13" i="2"/>
  <c r="BO13" i="2"/>
  <c r="BR45" i="2"/>
  <c r="BR41" i="2" s="1"/>
  <c r="BM13" i="2"/>
  <c r="BN18" i="8"/>
  <c r="BN22" i="8"/>
  <c r="BN25" i="3"/>
  <c r="BF18" i="8"/>
  <c r="BF22" i="8"/>
  <c r="BF4" i="2"/>
  <c r="BF25" i="8" s="1"/>
  <c r="BL13" i="2"/>
  <c r="BL22" i="8"/>
  <c r="BN29" i="2"/>
  <c r="BL33" i="2"/>
  <c r="BP44" i="1"/>
  <c r="BM29" i="2"/>
  <c r="BK33" i="2"/>
  <c r="BR7" i="2"/>
  <c r="BO44" i="1"/>
  <c r="BG44" i="1"/>
  <c r="BI56" i="1"/>
  <c r="BI57" i="1" s="1"/>
  <c r="BQ17" i="8"/>
  <c r="BQ16" i="8"/>
  <c r="BL17" i="8"/>
  <c r="BL16" i="8"/>
  <c r="BK17" i="8"/>
  <c r="BK16" i="8"/>
  <c r="BJ17" i="8"/>
  <c r="BJ16" i="8"/>
  <c r="BJ33" i="2"/>
  <c r="BN44" i="1"/>
  <c r="BF44" i="1"/>
  <c r="BP56" i="1"/>
  <c r="BH56" i="1"/>
  <c r="BH16" i="8"/>
  <c r="BH17" i="8"/>
  <c r="BF56" i="1"/>
  <c r="BK29" i="2"/>
  <c r="BP33" i="2"/>
  <c r="BG16" i="8"/>
  <c r="BG17" i="8"/>
  <c r="BQ29" i="2"/>
  <c r="BI29" i="2"/>
  <c r="BO33" i="2"/>
  <c r="BO21" i="8"/>
  <c r="BG33" i="2"/>
  <c r="BI32" i="1"/>
  <c r="BK44" i="1"/>
  <c r="BM56" i="1"/>
  <c r="BM57" i="1" s="1"/>
  <c r="BE56" i="1"/>
  <c r="BE57" i="1" s="1"/>
  <c r="BI17" i="8"/>
  <c r="BI16" i="8"/>
  <c r="BP16" i="8"/>
  <c r="BP17" i="8"/>
  <c r="BH33" i="2"/>
  <c r="BN56" i="1"/>
  <c r="BO16" i="8"/>
  <c r="BO17" i="8"/>
  <c r="BN16" i="8"/>
  <c r="BN17" i="8"/>
  <c r="BF16" i="8"/>
  <c r="BF17" i="8"/>
  <c r="BP29" i="2"/>
  <c r="BH29" i="2"/>
  <c r="BN33" i="2"/>
  <c r="BN21" i="8"/>
  <c r="BF33" i="2"/>
  <c r="BF21" i="8"/>
  <c r="BP32" i="1"/>
  <c r="BQ4" i="2" s="1"/>
  <c r="BH32" i="1"/>
  <c r="BJ44" i="1"/>
  <c r="BL56" i="1"/>
  <c r="BI33" i="2"/>
  <c r="BJ29" i="2"/>
  <c r="BJ32" i="1"/>
  <c r="BM16" i="8"/>
  <c r="BM17" i="8"/>
  <c r="BO29" i="2"/>
  <c r="BG29" i="2"/>
  <c r="BM21" i="8"/>
  <c r="BM33" i="2"/>
  <c r="BO32" i="1"/>
  <c r="BP4" i="2" s="1"/>
  <c r="BG32" i="1"/>
  <c r="BH21" i="8" s="1"/>
  <c r="BK56" i="1"/>
  <c r="BQ33" i="2"/>
  <c r="BQ13" i="3" s="1"/>
  <c r="BF29" i="2"/>
  <c r="BH44" i="1"/>
  <c r="BJ56" i="1"/>
  <c r="BT24" i="8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H34" i="2"/>
  <c r="AI34" i="2"/>
  <c r="AJ34" i="2"/>
  <c r="AK34" i="2"/>
  <c r="AL34" i="2"/>
  <c r="AM34" i="2"/>
  <c r="AN34" i="2"/>
  <c r="AO34" i="2"/>
  <c r="BH17" i="3"/>
  <c r="BI17" i="3"/>
  <c r="AN37" i="2"/>
  <c r="AO37" i="2"/>
  <c r="BF17" i="3"/>
  <c r="BG17" i="3"/>
  <c r="BK17" i="3"/>
  <c r="BB37" i="1"/>
  <c r="BC37" i="1"/>
  <c r="BB36" i="1"/>
  <c r="BC36" i="1"/>
  <c r="BC26" i="1"/>
  <c r="BB22" i="1"/>
  <c r="BC22" i="1"/>
  <c r="BV25" i="8"/>
  <c r="BU20" i="2"/>
  <c r="BU15" i="2" s="1"/>
  <c r="BU12" i="2" s="1"/>
  <c r="BC37" i="5"/>
  <c r="BD37" i="5"/>
  <c r="BD30" i="5"/>
  <c r="BE45" i="2" s="1"/>
  <c r="BE41" i="2" s="1"/>
  <c r="BD27" i="5"/>
  <c r="BC19" i="5"/>
  <c r="BD19" i="5"/>
  <c r="BB14" i="5"/>
  <c r="BC38" i="2" s="1"/>
  <c r="BC36" i="2" s="1"/>
  <c r="BC14" i="5"/>
  <c r="BD38" i="2" s="1"/>
  <c r="BD36" i="2" s="1"/>
  <c r="BD14" i="5"/>
  <c r="BE38" i="2" s="1"/>
  <c r="BE36" i="2" s="1"/>
  <c r="BF38" i="2"/>
  <c r="BF36" i="2" s="1"/>
  <c r="BG38" i="2"/>
  <c r="BG36" i="2" s="1"/>
  <c r="BH38" i="2"/>
  <c r="BH36" i="2" s="1"/>
  <c r="BI38" i="2"/>
  <c r="BI36" i="2" s="1"/>
  <c r="BJ38" i="2"/>
  <c r="BJ36" i="2" s="1"/>
  <c r="BK38" i="2"/>
  <c r="BK36" i="2" s="1"/>
  <c r="BL38" i="2"/>
  <c r="BL36" i="2" s="1"/>
  <c r="BM38" i="2"/>
  <c r="BM36" i="2" s="1"/>
  <c r="BN38" i="2"/>
  <c r="BN36" i="2" s="1"/>
  <c r="BO38" i="2"/>
  <c r="BO36" i="2" s="1"/>
  <c r="BP38" i="2"/>
  <c r="BP36" i="2" s="1"/>
  <c r="BQ38" i="2"/>
  <c r="BQ36" i="2" s="1"/>
  <c r="BC11" i="5"/>
  <c r="BD11" i="5"/>
  <c r="BB11" i="5"/>
  <c r="BB19" i="5"/>
  <c r="BB27" i="5"/>
  <c r="BC27" i="5"/>
  <c r="BL21" i="8" l="1"/>
  <c r="BG57" i="1"/>
  <c r="BL18" i="8"/>
  <c r="BD10" i="5"/>
  <c r="BD26" i="5" s="1"/>
  <c r="BC10" i="5"/>
  <c r="BD36" i="5"/>
  <c r="BD40" i="5" s="1"/>
  <c r="BD42" i="5" s="1"/>
  <c r="BD44" i="5" s="1"/>
  <c r="BU4" i="8"/>
  <c r="BU6" i="8"/>
  <c r="BU5" i="8"/>
  <c r="BU7" i="8"/>
  <c r="BP14" i="3"/>
  <c r="BP19" i="3"/>
  <c r="BP7" i="3"/>
  <c r="BK21" i="8"/>
  <c r="BK4" i="2"/>
  <c r="BK13" i="3" s="1"/>
  <c r="BI21" i="8"/>
  <c r="BI4" i="2"/>
  <c r="BI25" i="8" s="1"/>
  <c r="BQ23" i="3"/>
  <c r="BQ14" i="3"/>
  <c r="BQ25" i="3"/>
  <c r="BQ24" i="3"/>
  <c r="BQ19" i="3"/>
  <c r="BQ26" i="3"/>
  <c r="BQ7" i="3"/>
  <c r="BK57" i="1"/>
  <c r="BJ21" i="8"/>
  <c r="BJ4" i="2"/>
  <c r="BJ25" i="3" s="1"/>
  <c r="BP13" i="3"/>
  <c r="BL4" i="8"/>
  <c r="BL6" i="8"/>
  <c r="BM4" i="8"/>
  <c r="BM6" i="8"/>
  <c r="BO4" i="8"/>
  <c r="BO6" i="8"/>
  <c r="BP9" i="3"/>
  <c r="BI6" i="3"/>
  <c r="BI6" i="8"/>
  <c r="BQ9" i="3"/>
  <c r="BJ6" i="3"/>
  <c r="BJ6" i="8"/>
  <c r="BN4" i="8"/>
  <c r="BN6" i="8"/>
  <c r="BO18" i="8"/>
  <c r="BO4" i="2"/>
  <c r="BO25" i="8" s="1"/>
  <c r="BM18" i="8"/>
  <c r="BM4" i="2"/>
  <c r="BM14" i="3" s="1"/>
  <c r="BR15" i="2"/>
  <c r="BR12" i="2" s="1"/>
  <c r="BL7" i="3"/>
  <c r="BL6" i="3"/>
  <c r="BK6" i="3"/>
  <c r="BF24" i="8"/>
  <c r="BF6" i="3"/>
  <c r="BO7" i="3"/>
  <c r="BO8" i="3"/>
  <c r="BO6" i="3"/>
  <c r="BU6" i="3"/>
  <c r="BU26" i="3"/>
  <c r="BU7" i="3"/>
  <c r="BU18" i="3"/>
  <c r="BV8" i="3"/>
  <c r="BN6" i="3"/>
  <c r="BN7" i="3"/>
  <c r="BM6" i="3"/>
  <c r="BM7" i="3"/>
  <c r="BO25" i="3"/>
  <c r="BG4" i="2"/>
  <c r="BG25" i="8" s="1"/>
  <c r="BO22" i="8"/>
  <c r="BG22" i="8"/>
  <c r="BG21" i="8"/>
  <c r="BO57" i="1"/>
  <c r="BM22" i="8"/>
  <c r="BP21" i="8"/>
  <c r="BC44" i="1"/>
  <c r="BQ21" i="8"/>
  <c r="BL57" i="1"/>
  <c r="BN25" i="8"/>
  <c r="BF6" i="8"/>
  <c r="BO26" i="3"/>
  <c r="BR5" i="2"/>
  <c r="BF5" i="8"/>
  <c r="BU25" i="8"/>
  <c r="BN12" i="8"/>
  <c r="BL12" i="8"/>
  <c r="BM12" i="8"/>
  <c r="BR13" i="8"/>
  <c r="BP12" i="8"/>
  <c r="BH12" i="8"/>
  <c r="BO12" i="8"/>
  <c r="BG12" i="8"/>
  <c r="BM13" i="8"/>
  <c r="BM45" i="2"/>
  <c r="BM41" i="2" s="1"/>
  <c r="BM14" i="8"/>
  <c r="BR23" i="8"/>
  <c r="BH13" i="8"/>
  <c r="BH45" i="2"/>
  <c r="BH41" i="2" s="1"/>
  <c r="BH14" i="8"/>
  <c r="BJ57" i="1"/>
  <c r="BO13" i="8"/>
  <c r="BO45" i="2"/>
  <c r="BO41" i="2" s="1"/>
  <c r="BO14" i="8"/>
  <c r="BG13" i="8"/>
  <c r="BG45" i="2"/>
  <c r="BG41" i="2" s="1"/>
  <c r="BG14" i="8"/>
  <c r="BF7" i="8"/>
  <c r="BI18" i="8"/>
  <c r="BI22" i="8"/>
  <c r="BQ44" i="1"/>
  <c r="BQ57" i="1" s="1"/>
  <c r="BP13" i="8"/>
  <c r="BP45" i="2"/>
  <c r="BP41" i="2" s="1"/>
  <c r="BP14" i="8"/>
  <c r="BN13" i="8"/>
  <c r="BN45" i="2"/>
  <c r="BN41" i="2" s="1"/>
  <c r="BN14" i="8"/>
  <c r="BF45" i="2"/>
  <c r="BF41" i="2" s="1"/>
  <c r="BF14" i="8"/>
  <c r="BF4" i="8"/>
  <c r="BQ18" i="8"/>
  <c r="BQ22" i="8"/>
  <c r="BQ25" i="8"/>
  <c r="BP57" i="1"/>
  <c r="BL45" i="2"/>
  <c r="BL41" i="2" s="1"/>
  <c r="BL14" i="8"/>
  <c r="BL13" i="8"/>
  <c r="BK14" i="8"/>
  <c r="BK45" i="2"/>
  <c r="BK41" i="2" s="1"/>
  <c r="BD33" i="2"/>
  <c r="BH57" i="1"/>
  <c r="BS13" i="2"/>
  <c r="BS9" i="3" s="1"/>
  <c r="BJ18" i="8"/>
  <c r="BJ22" i="8"/>
  <c r="BJ14" i="8"/>
  <c r="BJ45" i="2"/>
  <c r="BJ41" i="2" s="1"/>
  <c r="BH18" i="8"/>
  <c r="BH22" i="8"/>
  <c r="BH4" i="2"/>
  <c r="BH25" i="8" s="1"/>
  <c r="BF57" i="1"/>
  <c r="BR17" i="8"/>
  <c r="BR16" i="8"/>
  <c r="BR4" i="2"/>
  <c r="BQ14" i="8"/>
  <c r="BQ45" i="2"/>
  <c r="BQ41" i="2" s="1"/>
  <c r="BI14" i="8"/>
  <c r="BI45" i="2"/>
  <c r="BI41" i="2" s="1"/>
  <c r="BP18" i="8"/>
  <c r="BP22" i="8"/>
  <c r="BN57" i="1"/>
  <c r="BK18" i="8"/>
  <c r="BK22" i="8"/>
  <c r="BG25" i="3"/>
  <c r="BG14" i="3"/>
  <c r="BF24" i="3"/>
  <c r="BF25" i="3"/>
  <c r="BF23" i="3"/>
  <c r="BF14" i="3"/>
  <c r="BN13" i="3"/>
  <c r="BN23" i="3"/>
  <c r="BO23" i="3"/>
  <c r="BO24" i="3"/>
  <c r="BL17" i="3"/>
  <c r="BJ17" i="3"/>
  <c r="BL23" i="3"/>
  <c r="BL19" i="3"/>
  <c r="BL13" i="3"/>
  <c r="BL24" i="3"/>
  <c r="BL14" i="3"/>
  <c r="BL25" i="3"/>
  <c r="BM13" i="3"/>
  <c r="BM25" i="3"/>
  <c r="BN24" i="3"/>
  <c r="BM19" i="3"/>
  <c r="BM24" i="3"/>
  <c r="BD18" i="1"/>
  <c r="BG23" i="3" l="1"/>
  <c r="BG24" i="3"/>
  <c r="BJ23" i="3"/>
  <c r="BJ25" i="8"/>
  <c r="BK7" i="3"/>
  <c r="BJ24" i="3"/>
  <c r="BQ22" i="3"/>
  <c r="BJ14" i="3"/>
  <c r="BJ13" i="3"/>
  <c r="BO22" i="3"/>
  <c r="BR13" i="2"/>
  <c r="BO14" i="3"/>
  <c r="BO19" i="3"/>
  <c r="BO13" i="3"/>
  <c r="BO9" i="3"/>
  <c r="BR7" i="8"/>
  <c r="BR5" i="8"/>
  <c r="BR13" i="3"/>
  <c r="BR19" i="3"/>
  <c r="BR14" i="3"/>
  <c r="BR23" i="3"/>
  <c r="BR25" i="3"/>
  <c r="BR26" i="3"/>
  <c r="BR7" i="3"/>
  <c r="BR24" i="3"/>
  <c r="BR9" i="3"/>
  <c r="BN22" i="3"/>
  <c r="BS8" i="3"/>
  <c r="BR17" i="3"/>
  <c r="BM25" i="8"/>
  <c r="BM23" i="3"/>
  <c r="BM22" i="3" s="1"/>
  <c r="BJ19" i="3"/>
  <c r="BK23" i="3"/>
  <c r="BP25" i="8"/>
  <c r="BP26" i="3"/>
  <c r="BH25" i="3"/>
  <c r="BP23" i="3"/>
  <c r="BP24" i="3"/>
  <c r="BP25" i="3"/>
  <c r="BK25" i="3"/>
  <c r="BH19" i="3"/>
  <c r="BK24" i="3"/>
  <c r="BI13" i="3"/>
  <c r="BI19" i="3"/>
  <c r="BH24" i="3"/>
  <c r="BI23" i="3"/>
  <c r="BI24" i="3"/>
  <c r="BI14" i="3"/>
  <c r="BH14" i="3"/>
  <c r="BI25" i="3"/>
  <c r="BK19" i="3"/>
  <c r="BK13" i="8"/>
  <c r="BF12" i="8"/>
  <c r="BR45" i="5"/>
  <c r="BR12" i="8"/>
  <c r="BJ12" i="8"/>
  <c r="BQ12" i="8"/>
  <c r="BQ13" i="8"/>
  <c r="BK12" i="8"/>
  <c r="BI13" i="8"/>
  <c r="BF13" i="8"/>
  <c r="BR18" i="8"/>
  <c r="BR22" i="8"/>
  <c r="BR25" i="8"/>
  <c r="BR14" i="8"/>
  <c r="BR21" i="8"/>
  <c r="BD14" i="1"/>
  <c r="BE26" i="2"/>
  <c r="BE25" i="2" s="1"/>
  <c r="BE17" i="3" s="1"/>
  <c r="BS23" i="8"/>
  <c r="BF22" i="3"/>
  <c r="BH13" i="3"/>
  <c r="BJ13" i="8"/>
  <c r="BI12" i="8"/>
  <c r="BH23" i="3"/>
  <c r="BK25" i="8"/>
  <c r="BK14" i="3"/>
  <c r="BR24" i="8"/>
  <c r="BL5" i="8"/>
  <c r="BL7" i="8"/>
  <c r="BL24" i="8"/>
  <c r="BM5" i="8"/>
  <c r="BM7" i="8"/>
  <c r="BM24" i="8"/>
  <c r="BN26" i="3"/>
  <c r="BN5" i="8"/>
  <c r="BN7" i="8"/>
  <c r="BN24" i="8"/>
  <c r="BJ22" i="3"/>
  <c r="BL22" i="3"/>
  <c r="BG22" i="3"/>
  <c r="BM18" i="3"/>
  <c r="BK9" i="3"/>
  <c r="BN18" i="3"/>
  <c r="BH9" i="3"/>
  <c r="BM26" i="3"/>
  <c r="BU13" i="2"/>
  <c r="BU9" i="3" s="1"/>
  <c r="BL18" i="3"/>
  <c r="BI9" i="3"/>
  <c r="BL8" i="3"/>
  <c r="BL26" i="3"/>
  <c r="BJ9" i="3"/>
  <c r="BM17" i="3"/>
  <c r="BM8" i="3"/>
  <c r="BN8" i="3"/>
  <c r="BM9" i="3"/>
  <c r="BL9" i="3"/>
  <c r="BD52" i="1"/>
  <c r="BD12" i="1"/>
  <c r="BR4" i="8" l="1"/>
  <c r="BR6" i="8"/>
  <c r="BR6" i="3"/>
  <c r="BR18" i="3"/>
  <c r="BR22" i="3"/>
  <c r="BP22" i="3"/>
  <c r="BH22" i="3"/>
  <c r="BK22" i="3"/>
  <c r="BI22" i="3"/>
  <c r="BD10" i="1"/>
  <c r="BE20" i="2"/>
  <c r="BE15" i="2" s="1"/>
  <c r="BE12" i="2" s="1"/>
  <c r="BD50" i="1"/>
  <c r="BV24" i="8"/>
  <c r="BU24" i="8"/>
  <c r="BI24" i="8"/>
  <c r="BI5" i="8"/>
  <c r="BI7" i="8"/>
  <c r="BI4" i="8"/>
  <c r="BS24" i="8"/>
  <c r="BH5" i="8"/>
  <c r="BH7" i="8"/>
  <c r="BH24" i="8"/>
  <c r="BH4" i="8"/>
  <c r="BH6" i="8"/>
  <c r="BK7" i="8"/>
  <c r="BK5" i="8"/>
  <c r="BK24" i="8"/>
  <c r="BK4" i="8"/>
  <c r="BO5" i="8"/>
  <c r="BO24" i="8"/>
  <c r="BO7" i="8"/>
  <c r="BJ5" i="8"/>
  <c r="BJ7" i="8"/>
  <c r="BJ24" i="8"/>
  <c r="BJ4" i="8"/>
  <c r="BP5" i="8"/>
  <c r="BP7" i="8"/>
  <c r="BP24" i="8"/>
  <c r="BQ5" i="8"/>
  <c r="BQ7" i="8"/>
  <c r="BQ24" i="8"/>
  <c r="BJ26" i="3"/>
  <c r="BJ18" i="3"/>
  <c r="BJ8" i="3"/>
  <c r="BJ7" i="3"/>
  <c r="BH7" i="3"/>
  <c r="BH18" i="3"/>
  <c r="BH26" i="3"/>
  <c r="BH8" i="3"/>
  <c r="BK18" i="3"/>
  <c r="BK8" i="3"/>
  <c r="BK26" i="3"/>
  <c r="BI26" i="3"/>
  <c r="BI7" i="3"/>
  <c r="BI18" i="3"/>
  <c r="BI8" i="3"/>
  <c r="BO18" i="3"/>
  <c r="BD56" i="1" l="1"/>
  <c r="BE13" i="2"/>
  <c r="BE6" i="3"/>
  <c r="BD32" i="1"/>
  <c r="S109" i="6"/>
  <c r="S111" i="6" s="1"/>
  <c r="Q104" i="6"/>
  <c r="S103" i="6"/>
  <c r="S102" i="6"/>
  <c r="S101" i="6"/>
  <c r="S100" i="6"/>
  <c r="S99" i="6"/>
  <c r="BB37" i="5"/>
  <c r="BB30" i="5"/>
  <c r="BC45" i="2" s="1"/>
  <c r="BC41" i="2" s="1"/>
  <c r="BC30" i="5"/>
  <c r="BD45" i="2" s="1"/>
  <c r="BD41" i="2" s="1"/>
  <c r="AZ4" i="5"/>
  <c r="BS17" i="8" l="1"/>
  <c r="BS16" i="8"/>
  <c r="BE4" i="2"/>
  <c r="BD57" i="1"/>
  <c r="S104" i="6"/>
  <c r="BB10" i="5"/>
  <c r="BS12" i="8" l="1"/>
  <c r="BS14" i="8"/>
  <c r="BS22" i="8"/>
  <c r="BS18" i="8"/>
  <c r="BS21" i="8"/>
  <c r="BE24" i="3"/>
  <c r="BE23" i="3"/>
  <c r="BE22" i="3" s="1"/>
  <c r="BE14" i="3"/>
  <c r="BC26" i="5"/>
  <c r="BC36" i="5" s="1"/>
  <c r="BB26" i="5"/>
  <c r="BC13" i="8" s="1"/>
  <c r="BE13" i="8"/>
  <c r="BD13" i="8" l="1"/>
  <c r="BB36" i="5"/>
  <c r="BB40" i="5" s="1"/>
  <c r="BB42" i="5" s="1"/>
  <c r="BB44" i="5" s="1"/>
  <c r="BS25" i="8"/>
  <c r="BC40" i="5"/>
  <c r="BC42" i="5" s="1"/>
  <c r="BC44" i="5" s="1"/>
  <c r="BB50" i="1"/>
  <c r="BC50" i="1"/>
  <c r="BB47" i="1"/>
  <c r="BC18" i="2" s="1"/>
  <c r="BC15" i="2" s="1"/>
  <c r="BC12" i="2" s="1"/>
  <c r="BC47" i="1"/>
  <c r="BC23" i="8"/>
  <c r="BD23" i="8"/>
  <c r="BB44" i="1"/>
  <c r="BB26" i="1"/>
  <c r="BC33" i="2" s="1"/>
  <c r="BB19" i="1"/>
  <c r="BC30" i="2" s="1"/>
  <c r="BC29" i="2" s="1"/>
  <c r="BC19" i="1"/>
  <c r="BD30" i="2" s="1"/>
  <c r="BD29" i="2" s="1"/>
  <c r="BB14" i="1"/>
  <c r="BC14" i="1"/>
  <c r="BC10" i="1"/>
  <c r="BB10" i="1"/>
  <c r="BA10" i="1"/>
  <c r="BC13" i="2" l="1"/>
  <c r="BC6" i="3"/>
  <c r="BD18" i="2"/>
  <c r="BD15" i="2" s="1"/>
  <c r="BD12" i="2" s="1"/>
  <c r="BC56" i="1"/>
  <c r="BC57" i="1" s="1"/>
  <c r="BB32" i="1"/>
  <c r="BC4" i="2" s="1"/>
  <c r="BC32" i="1"/>
  <c r="BD12" i="8" s="1"/>
  <c r="BE16" i="8"/>
  <c r="BC16" i="8"/>
  <c r="BC17" i="8"/>
  <c r="BD17" i="8"/>
  <c r="BD16" i="8"/>
  <c r="BB56" i="1"/>
  <c r="BB57" i="1" s="1"/>
  <c r="BE23" i="8"/>
  <c r="BE17" i="8"/>
  <c r="BA10" i="8"/>
  <c r="Q94" i="6"/>
  <c r="P94" i="6"/>
  <c r="S93" i="6"/>
  <c r="S92" i="6"/>
  <c r="S91" i="6"/>
  <c r="S90" i="6"/>
  <c r="S89" i="6"/>
  <c r="Q87" i="6"/>
  <c r="P87" i="6"/>
  <c r="S86" i="6"/>
  <c r="S85" i="6"/>
  <c r="S84" i="6"/>
  <c r="S83" i="6"/>
  <c r="S82" i="6"/>
  <c r="Q75" i="6"/>
  <c r="P75" i="6"/>
  <c r="P76" i="6" s="1"/>
  <c r="S74" i="6"/>
  <c r="S73" i="6"/>
  <c r="S72" i="6"/>
  <c r="S71" i="6"/>
  <c r="S70" i="6"/>
  <c r="Q68" i="6"/>
  <c r="S67" i="6"/>
  <c r="S66" i="6"/>
  <c r="S65" i="6"/>
  <c r="S64" i="6"/>
  <c r="S63" i="6"/>
  <c r="Q49" i="6"/>
  <c r="P49" i="6"/>
  <c r="P50" i="6" s="1"/>
  <c r="S48" i="6"/>
  <c r="S47" i="6"/>
  <c r="S46" i="6"/>
  <c r="S45" i="6"/>
  <c r="S44" i="6"/>
  <c r="Q42" i="6"/>
  <c r="S41" i="6"/>
  <c r="S40" i="6"/>
  <c r="S39" i="6"/>
  <c r="S38" i="6"/>
  <c r="S37" i="6"/>
  <c r="Q25" i="6"/>
  <c r="Q22" i="6"/>
  <c r="P22" i="6"/>
  <c r="S21" i="6"/>
  <c r="S20" i="6"/>
  <c r="S19" i="6"/>
  <c r="S18" i="6"/>
  <c r="S17" i="6"/>
  <c r="Q15" i="6"/>
  <c r="P15" i="6"/>
  <c r="S14" i="6"/>
  <c r="S13" i="6"/>
  <c r="S12" i="6"/>
  <c r="S11" i="6"/>
  <c r="S10" i="6"/>
  <c r="BE19" i="3"/>
  <c r="BF19" i="3"/>
  <c r="BG19" i="3"/>
  <c r="BF13" i="3"/>
  <c r="BG13" i="3"/>
  <c r="BE25" i="3"/>
  <c r="AY37" i="5"/>
  <c r="AZ37" i="5"/>
  <c r="BA37" i="5"/>
  <c r="AY30" i="5"/>
  <c r="AZ45" i="2" s="1"/>
  <c r="AZ41" i="2" s="1"/>
  <c r="AZ30" i="5"/>
  <c r="BA45" i="2" s="1"/>
  <c r="BA41" i="2" s="1"/>
  <c r="BA30" i="5"/>
  <c r="BB45" i="2" s="1"/>
  <c r="BB41" i="2" s="1"/>
  <c r="AY27" i="5"/>
  <c r="AZ27" i="5"/>
  <c r="BA27" i="5"/>
  <c r="AZ19" i="5"/>
  <c r="BA19" i="5"/>
  <c r="AY14" i="5"/>
  <c r="AZ38" i="2" s="1"/>
  <c r="AZ36" i="2" s="1"/>
  <c r="AZ14" i="5"/>
  <c r="BA38" i="2" s="1"/>
  <c r="BA36" i="2" s="1"/>
  <c r="BA14" i="5"/>
  <c r="BB38" i="2" s="1"/>
  <c r="BB36" i="2" s="1"/>
  <c r="AY11" i="5"/>
  <c r="AZ11" i="5"/>
  <c r="BA11" i="5"/>
  <c r="AY50" i="1"/>
  <c r="AZ50" i="1"/>
  <c r="BA50" i="1"/>
  <c r="AZ47" i="1"/>
  <c r="BA18" i="2" s="1"/>
  <c r="BA15" i="2" s="1"/>
  <c r="BA12" i="2" s="1"/>
  <c r="BA47" i="1"/>
  <c r="BB18" i="2" s="1"/>
  <c r="BB15" i="2" s="1"/>
  <c r="BB12" i="2" s="1"/>
  <c r="AY37" i="1"/>
  <c r="AZ37" i="1"/>
  <c r="BA37" i="1"/>
  <c r="AY36" i="1"/>
  <c r="AZ36" i="1"/>
  <c r="BA23" i="8" s="1"/>
  <c r="BA36" i="1"/>
  <c r="BB23" i="8" s="1"/>
  <c r="AX26" i="1"/>
  <c r="AY26" i="1"/>
  <c r="AZ26" i="1"/>
  <c r="BA26" i="1"/>
  <c r="AY22" i="1"/>
  <c r="AZ22" i="1"/>
  <c r="BA22" i="1"/>
  <c r="AY19" i="1"/>
  <c r="AZ30" i="2" s="1"/>
  <c r="AZ29" i="2" s="1"/>
  <c r="AZ19" i="1"/>
  <c r="BA30" i="2" s="1"/>
  <c r="BA29" i="2" s="1"/>
  <c r="BA19" i="1"/>
  <c r="BB30" i="2" s="1"/>
  <c r="BB29" i="2" s="1"/>
  <c r="AY14" i="1"/>
  <c r="AZ14" i="1"/>
  <c r="BA14" i="1"/>
  <c r="AZ10" i="1"/>
  <c r="AZ33" i="2" l="1"/>
  <c r="BA33" i="2"/>
  <c r="BD18" i="8"/>
  <c r="BA32" i="1"/>
  <c r="BB4" i="2" s="1"/>
  <c r="AZ10" i="5"/>
  <c r="AZ26" i="5" s="1"/>
  <c r="BD14" i="8"/>
  <c r="BD4" i="2"/>
  <c r="BD19" i="3" s="1"/>
  <c r="BB6" i="3"/>
  <c r="BB13" i="2"/>
  <c r="BA6" i="3"/>
  <c r="BA13" i="2"/>
  <c r="BD13" i="2"/>
  <c r="BD6" i="3"/>
  <c r="BB33" i="2"/>
  <c r="BD21" i="8"/>
  <c r="AY44" i="1"/>
  <c r="BD22" i="8"/>
  <c r="AZ32" i="1"/>
  <c r="BA4" i="2" s="1"/>
  <c r="BA25" i="8" s="1"/>
  <c r="Q95" i="6"/>
  <c r="AZ56" i="1"/>
  <c r="BB17" i="8"/>
  <c r="AZ44" i="1"/>
  <c r="S49" i="6"/>
  <c r="S68" i="6"/>
  <c r="BA16" i="8"/>
  <c r="BA46" i="5"/>
  <c r="S94" i="6"/>
  <c r="BC18" i="8"/>
  <c r="BC22" i="8"/>
  <c r="BC12" i="8"/>
  <c r="BC14" i="8"/>
  <c r="BC23" i="3"/>
  <c r="BD13" i="3"/>
  <c r="S75" i="6"/>
  <c r="BC21" i="8"/>
  <c r="BE25" i="8"/>
  <c r="BE14" i="8"/>
  <c r="BE18" i="8"/>
  <c r="BE21" i="8"/>
  <c r="BE22" i="8"/>
  <c r="BE12" i="8"/>
  <c r="BB22" i="8"/>
  <c r="BB18" i="8"/>
  <c r="BB25" i="8"/>
  <c r="BB14" i="8"/>
  <c r="S87" i="6"/>
  <c r="S95" i="6" s="1"/>
  <c r="BA44" i="1"/>
  <c r="BA17" i="8"/>
  <c r="BA56" i="1"/>
  <c r="Q76" i="6"/>
  <c r="AZ46" i="5"/>
  <c r="P23" i="6"/>
  <c r="BB16" i="8"/>
  <c r="Q23" i="6"/>
  <c r="Q26" i="6" s="1"/>
  <c r="S22" i="6"/>
  <c r="S42" i="6"/>
  <c r="Q50" i="6"/>
  <c r="P95" i="6"/>
  <c r="S15" i="6"/>
  <c r="BA10" i="5"/>
  <c r="BA26" i="5" s="1"/>
  <c r="BA36" i="5" s="1"/>
  <c r="AY10" i="5"/>
  <c r="AQ10" i="8"/>
  <c r="AU10" i="8"/>
  <c r="AX10" i="8"/>
  <c r="BB21" i="8" l="1"/>
  <c r="AZ36" i="5"/>
  <c r="AZ40" i="5" s="1"/>
  <c r="AZ42" i="5" s="1"/>
  <c r="AZ44" i="5" s="1"/>
  <c r="BA18" i="8"/>
  <c r="BA14" i="8"/>
  <c r="BA21" i="8"/>
  <c r="BA22" i="8"/>
  <c r="S50" i="6"/>
  <c r="BG9" i="3"/>
  <c r="BE18" i="3"/>
  <c r="BE26" i="3"/>
  <c r="BF9" i="3"/>
  <c r="BD25" i="3"/>
  <c r="BD25" i="8"/>
  <c r="BD24" i="3"/>
  <c r="BD23" i="3"/>
  <c r="BD14" i="3"/>
  <c r="BD17" i="3"/>
  <c r="BD9" i="3"/>
  <c r="BE9" i="3"/>
  <c r="BD59" i="1"/>
  <c r="S76" i="6"/>
  <c r="AZ57" i="1"/>
  <c r="S23" i="6"/>
  <c r="BC9" i="3"/>
  <c r="BC13" i="3"/>
  <c r="BC25" i="8"/>
  <c r="BA57" i="1"/>
  <c r="BC17" i="3"/>
  <c r="BC25" i="3"/>
  <c r="BC14" i="3"/>
  <c r="BC24" i="3"/>
  <c r="BC22" i="3" s="1"/>
  <c r="BC19" i="3"/>
  <c r="BA13" i="8"/>
  <c r="BE13" i="3"/>
  <c r="BA40" i="5"/>
  <c r="BB13" i="8"/>
  <c r="AZ23" i="8"/>
  <c r="AV37" i="5"/>
  <c r="AW37" i="5"/>
  <c r="AX37" i="5"/>
  <c r="AV30" i="5"/>
  <c r="AW45" i="2" s="1"/>
  <c r="AW41" i="2" s="1"/>
  <c r="AW30" i="5"/>
  <c r="AX45" i="2" s="1"/>
  <c r="AX41" i="2" s="1"/>
  <c r="AX30" i="5"/>
  <c r="AY45" i="2" s="1"/>
  <c r="AY41" i="2" s="1"/>
  <c r="AU27" i="5"/>
  <c r="AV27" i="5"/>
  <c r="AW27" i="5"/>
  <c r="AX27" i="5"/>
  <c r="AV19" i="5"/>
  <c r="AW19" i="5"/>
  <c r="AX19" i="5"/>
  <c r="AV14" i="5"/>
  <c r="AW14" i="5"/>
  <c r="AX38" i="2" s="1"/>
  <c r="AX36" i="2" s="1"/>
  <c r="AX14" i="5"/>
  <c r="AY38" i="2" s="1"/>
  <c r="AY36" i="2" s="1"/>
  <c r="AV11" i="5"/>
  <c r="AW11" i="5"/>
  <c r="AX11" i="5"/>
  <c r="AV50" i="1"/>
  <c r="AW50" i="1"/>
  <c r="AX50" i="1"/>
  <c r="AV47" i="1"/>
  <c r="AW18" i="2" s="1"/>
  <c r="AW15" i="2" s="1"/>
  <c r="AW12" i="2" s="1"/>
  <c r="AW47" i="1"/>
  <c r="AX18" i="2" s="1"/>
  <c r="AX15" i="2" s="1"/>
  <c r="AX12" i="2" s="1"/>
  <c r="AX47" i="1"/>
  <c r="AY18" i="2" s="1"/>
  <c r="AY15" i="2" s="1"/>
  <c r="AY12" i="2" s="1"/>
  <c r="AY47" i="1"/>
  <c r="AZ18" i="2" s="1"/>
  <c r="AZ15" i="2" s="1"/>
  <c r="AZ12" i="2" s="1"/>
  <c r="AU37" i="1"/>
  <c r="AV37" i="1"/>
  <c r="AW37" i="1"/>
  <c r="AX37" i="1"/>
  <c r="AU36" i="1"/>
  <c r="AV36" i="1"/>
  <c r="AW36" i="1"/>
  <c r="AX36" i="1"/>
  <c r="AU26" i="1"/>
  <c r="AV26" i="1"/>
  <c r="AW26" i="1"/>
  <c r="AU22" i="1"/>
  <c r="AV22" i="1"/>
  <c r="AW22" i="1"/>
  <c r="AX22" i="1"/>
  <c r="AY33" i="2" s="1"/>
  <c r="AV19" i="1"/>
  <c r="AW30" i="2" s="1"/>
  <c r="AW29" i="2" s="1"/>
  <c r="AW19" i="1"/>
  <c r="AX30" i="2" s="1"/>
  <c r="AX29" i="2" s="1"/>
  <c r="AX19" i="1"/>
  <c r="AY30" i="2" s="1"/>
  <c r="AY29" i="2" s="1"/>
  <c r="AU19" i="1"/>
  <c r="AV30" i="2" s="1"/>
  <c r="AV29" i="2" s="1"/>
  <c r="AV14" i="1"/>
  <c r="AW14" i="1"/>
  <c r="AX14" i="1"/>
  <c r="AW10" i="1"/>
  <c r="AX10" i="1"/>
  <c r="AY10" i="1"/>
  <c r="BA12" i="8" l="1"/>
  <c r="AX33" i="2"/>
  <c r="AV33" i="2"/>
  <c r="AW33" i="2"/>
  <c r="AW13" i="2"/>
  <c r="AW6" i="3"/>
  <c r="AX13" i="2"/>
  <c r="AV10" i="5"/>
  <c r="AV26" i="5" s="1"/>
  <c r="AW38" i="2"/>
  <c r="AW36" i="2" s="1"/>
  <c r="AX10" i="5"/>
  <c r="AX26" i="5" s="1"/>
  <c r="AW56" i="1"/>
  <c r="AX44" i="1"/>
  <c r="AZ6" i="3"/>
  <c r="AZ13" i="2"/>
  <c r="AX17" i="8"/>
  <c r="AY13" i="2"/>
  <c r="BG4" i="8"/>
  <c r="BG6" i="8"/>
  <c r="BG5" i="8"/>
  <c r="BG24" i="8"/>
  <c r="BG7" i="8"/>
  <c r="BF26" i="3"/>
  <c r="BF7" i="3"/>
  <c r="BF18" i="3"/>
  <c r="BF8" i="3"/>
  <c r="BG18" i="3"/>
  <c r="BG26" i="3"/>
  <c r="BG7" i="3"/>
  <c r="BG8" i="3"/>
  <c r="AW44" i="1"/>
  <c r="AW57" i="1" s="1"/>
  <c r="BD22" i="3"/>
  <c r="AY56" i="1"/>
  <c r="AY57" i="1" s="1"/>
  <c r="AV44" i="1"/>
  <c r="AX23" i="8"/>
  <c r="AW24" i="8"/>
  <c r="AX46" i="5"/>
  <c r="AW23" i="8"/>
  <c r="BE7" i="3"/>
  <c r="BE8" i="3"/>
  <c r="BD8" i="3"/>
  <c r="BD7" i="3"/>
  <c r="BD26" i="3"/>
  <c r="BD18" i="3"/>
  <c r="AX32" i="1"/>
  <c r="AW46" i="5"/>
  <c r="AX16" i="8"/>
  <c r="BC6" i="8"/>
  <c r="BC7" i="8"/>
  <c r="BC4" i="8"/>
  <c r="BC5" i="8"/>
  <c r="BC24" i="8"/>
  <c r="BD6" i="8"/>
  <c r="BD7" i="8"/>
  <c r="BD4" i="8"/>
  <c r="BD5" i="8"/>
  <c r="BD24" i="8"/>
  <c r="BE5" i="8"/>
  <c r="BE24" i="8"/>
  <c r="BE7" i="8"/>
  <c r="BE4" i="8"/>
  <c r="BE6" i="8"/>
  <c r="BC26" i="3"/>
  <c r="BC7" i="3"/>
  <c r="BC18" i="3"/>
  <c r="BC8" i="3"/>
  <c r="AW10" i="5"/>
  <c r="AW26" i="5" s="1"/>
  <c r="AW36" i="5" s="1"/>
  <c r="AW40" i="5" s="1"/>
  <c r="BA6" i="8"/>
  <c r="BA24" i="8"/>
  <c r="BA7" i="8"/>
  <c r="BA5" i="8"/>
  <c r="BA42" i="5"/>
  <c r="BA44" i="5" s="1"/>
  <c r="BB12" i="8"/>
  <c r="AW32" i="1"/>
  <c r="AY16" i="8"/>
  <c r="AY23" i="8"/>
  <c r="AY17" i="8"/>
  <c r="AZ16" i="8"/>
  <c r="AZ17" i="8"/>
  <c r="AY32" i="1"/>
  <c r="AX56" i="1"/>
  <c r="AX57" i="1" s="1"/>
  <c r="BB7" i="8"/>
  <c r="BB6" i="8"/>
  <c r="BB4" i="8"/>
  <c r="BB24" i="8"/>
  <c r="BB5" i="8"/>
  <c r="BA4" i="8"/>
  <c r="J16" i="9"/>
  <c r="I16" i="9"/>
  <c r="L15" i="9"/>
  <c r="L14" i="9"/>
  <c r="L13" i="9"/>
  <c r="L12" i="9"/>
  <c r="L11" i="9"/>
  <c r="J9" i="9"/>
  <c r="I9" i="9"/>
  <c r="L8" i="9"/>
  <c r="L7" i="9"/>
  <c r="L6" i="9"/>
  <c r="L5" i="9"/>
  <c r="L4" i="9"/>
  <c r="AV23" i="8"/>
  <c r="AV46" i="5"/>
  <c r="AU37" i="5"/>
  <c r="AU30" i="5"/>
  <c r="AV45" i="2" s="1"/>
  <c r="AV41" i="2" s="1"/>
  <c r="AU14" i="5"/>
  <c r="AV38" i="2" s="1"/>
  <c r="AV36" i="2" s="1"/>
  <c r="AV56" i="1"/>
  <c r="AV10" i="1"/>
  <c r="AV57" i="1" l="1"/>
  <c r="AY4" i="8"/>
  <c r="AY6" i="3"/>
  <c r="AX6" i="8"/>
  <c r="AX6" i="3"/>
  <c r="AZ24" i="8"/>
  <c r="AX36" i="5"/>
  <c r="AX40" i="5" s="1"/>
  <c r="AX42" i="5" s="1"/>
  <c r="AX44" i="5" s="1"/>
  <c r="AY13" i="8"/>
  <c r="AV36" i="5"/>
  <c r="AV40" i="5" s="1"/>
  <c r="AV42" i="5" s="1"/>
  <c r="AV44" i="5" s="1"/>
  <c r="AW13" i="8"/>
  <c r="AZ22" i="8"/>
  <c r="AZ4" i="2"/>
  <c r="AZ7" i="8" s="1"/>
  <c r="AX14" i="8"/>
  <c r="AX4" i="2"/>
  <c r="AZ21" i="8"/>
  <c r="AY22" i="8"/>
  <c r="AY4" i="2"/>
  <c r="AY7" i="8" s="1"/>
  <c r="AY14" i="8"/>
  <c r="AY21" i="8"/>
  <c r="AY18" i="8"/>
  <c r="AW4" i="8"/>
  <c r="L16" i="9"/>
  <c r="AW6" i="8"/>
  <c r="J17" i="9"/>
  <c r="L9" i="9"/>
  <c r="AY6" i="8"/>
  <c r="AX4" i="8"/>
  <c r="AX24" i="8"/>
  <c r="AY24" i="8"/>
  <c r="AX21" i="8"/>
  <c r="I17" i="9"/>
  <c r="AX12" i="8"/>
  <c r="AW42" i="5"/>
  <c r="AW44" i="5" s="1"/>
  <c r="AZ6" i="8"/>
  <c r="AX22" i="8"/>
  <c r="AX18" i="8"/>
  <c r="AW16" i="8"/>
  <c r="AV32" i="1"/>
  <c r="AW17" i="8"/>
  <c r="AZ4" i="8"/>
  <c r="AZ18" i="8"/>
  <c r="AZ14" i="8"/>
  <c r="AX13" i="8"/>
  <c r="AT37" i="5"/>
  <c r="AT30" i="5"/>
  <c r="AU45" i="2" s="1"/>
  <c r="AU41" i="2" s="1"/>
  <c r="AT27" i="5"/>
  <c r="AT19" i="5"/>
  <c r="AU19" i="5"/>
  <c r="AU46" i="5" s="1"/>
  <c r="AT14" i="5"/>
  <c r="AU38" i="2" s="1"/>
  <c r="AU36" i="2" s="1"/>
  <c r="AT11" i="5"/>
  <c r="AU11" i="5"/>
  <c r="AU10" i="5" s="1"/>
  <c r="AY5" i="8" l="1"/>
  <c r="AW12" i="8"/>
  <c r="AW4" i="2"/>
  <c r="L17" i="9"/>
  <c r="AY12" i="8"/>
  <c r="AY25" i="8"/>
  <c r="AZ25" i="8"/>
  <c r="AT10" i="5"/>
  <c r="AT26" i="5" s="1"/>
  <c r="AT36" i="5" s="1"/>
  <c r="AT40" i="5" s="1"/>
  <c r="AT42" i="5" s="1"/>
  <c r="AT44" i="5" s="1"/>
  <c r="AZ5" i="8"/>
  <c r="AU26" i="5"/>
  <c r="AW18" i="8"/>
  <c r="AW22" i="8"/>
  <c r="AW21" i="8"/>
  <c r="AW14" i="8"/>
  <c r="AX25" i="8"/>
  <c r="AX5" i="8"/>
  <c r="AX7" i="8"/>
  <c r="AQ50" i="1"/>
  <c r="AR50" i="1"/>
  <c r="AS50" i="1"/>
  <c r="AT50" i="1"/>
  <c r="AU50" i="1"/>
  <c r="AQ47" i="1"/>
  <c r="AR18" i="2" s="1"/>
  <c r="AR15" i="2" s="1"/>
  <c r="AR12" i="2" s="1"/>
  <c r="AR47" i="1"/>
  <c r="AS18" i="2" s="1"/>
  <c r="AS15" i="2" s="1"/>
  <c r="AS12" i="2" s="1"/>
  <c r="AS47" i="1"/>
  <c r="AT18" i="2" s="1"/>
  <c r="AT15" i="2" s="1"/>
  <c r="AT12" i="2" s="1"/>
  <c r="AT47" i="1"/>
  <c r="AU18" i="2" s="1"/>
  <c r="AU15" i="2" s="1"/>
  <c r="AU12" i="2" s="1"/>
  <c r="AU47" i="1"/>
  <c r="AV18" i="2" s="1"/>
  <c r="AV15" i="2" s="1"/>
  <c r="AV12" i="2" s="1"/>
  <c r="AU44" i="1"/>
  <c r="AQ37" i="1"/>
  <c r="AR37" i="1"/>
  <c r="AS37" i="1"/>
  <c r="AT37" i="1"/>
  <c r="AR36" i="1"/>
  <c r="AS36" i="1"/>
  <c r="AT23" i="8" s="1"/>
  <c r="AT36" i="1"/>
  <c r="AU23" i="8" s="1"/>
  <c r="AQ26" i="1"/>
  <c r="AR26" i="1"/>
  <c r="AS26" i="1"/>
  <c r="AT26" i="1"/>
  <c r="AR22" i="1"/>
  <c r="AS33" i="2" s="1"/>
  <c r="AS22" i="1"/>
  <c r="AT22" i="1"/>
  <c r="AQ19" i="1"/>
  <c r="AR30" i="2" s="1"/>
  <c r="AR29" i="2" s="1"/>
  <c r="AR19" i="1"/>
  <c r="AS30" i="2" s="1"/>
  <c r="AS29" i="2" s="1"/>
  <c r="AS19" i="1"/>
  <c r="AT30" i="2" s="1"/>
  <c r="AT29" i="2" s="1"/>
  <c r="AT19" i="1"/>
  <c r="AU30" i="2" s="1"/>
  <c r="AU29" i="2" s="1"/>
  <c r="AR14" i="1"/>
  <c r="AS14" i="1"/>
  <c r="AT14" i="1"/>
  <c r="AU14" i="1"/>
  <c r="AR10" i="1"/>
  <c r="AS10" i="1"/>
  <c r="AT10" i="1"/>
  <c r="AU10" i="1"/>
  <c r="AP10" i="1"/>
  <c r="AQ10" i="1"/>
  <c r="AP14" i="1"/>
  <c r="AQ14" i="1"/>
  <c r="AP19" i="1"/>
  <c r="AQ30" i="2" s="1"/>
  <c r="AQ29" i="2" s="1"/>
  <c r="AO22" i="1"/>
  <c r="AP22" i="1"/>
  <c r="AQ22" i="1"/>
  <c r="AR33" i="2" s="1"/>
  <c r="AO26" i="1"/>
  <c r="AP26" i="1"/>
  <c r="AO36" i="1"/>
  <c r="AP36" i="1"/>
  <c r="AQ36" i="1"/>
  <c r="AO37" i="1"/>
  <c r="AP37" i="1"/>
  <c r="AO47" i="1"/>
  <c r="AP18" i="2" s="1"/>
  <c r="AP15" i="2" s="1"/>
  <c r="AP12" i="2" s="1"/>
  <c r="AP47" i="1"/>
  <c r="AQ18" i="2" s="1"/>
  <c r="AQ15" i="2" s="1"/>
  <c r="AQ12" i="2" s="1"/>
  <c r="AP50" i="1"/>
  <c r="AQ44" i="1" l="1"/>
  <c r="AS6" i="3"/>
  <c r="AS13" i="2"/>
  <c r="AR6" i="3"/>
  <c r="AR13" i="2"/>
  <c r="AQ33" i="2"/>
  <c r="AP13" i="2"/>
  <c r="AP33" i="2"/>
  <c r="AQ13" i="2"/>
  <c r="AV13" i="2"/>
  <c r="AV6" i="3"/>
  <c r="AU6" i="3"/>
  <c r="AU13" i="2"/>
  <c r="AU13" i="8"/>
  <c r="AU33" i="2"/>
  <c r="AT33" i="2"/>
  <c r="AT6" i="3"/>
  <c r="AT13" i="2"/>
  <c r="AP56" i="1"/>
  <c r="AP44" i="1"/>
  <c r="AR32" i="1"/>
  <c r="AR56" i="1"/>
  <c r="AQ56" i="1"/>
  <c r="AR44" i="1"/>
  <c r="AT56" i="1"/>
  <c r="AQ32" i="1"/>
  <c r="AS32" i="1"/>
  <c r="AS56" i="1"/>
  <c r="AS21" i="8"/>
  <c r="AU32" i="1"/>
  <c r="AV16" i="8"/>
  <c r="AV17" i="8"/>
  <c r="AW25" i="8"/>
  <c r="AW5" i="8"/>
  <c r="AW7" i="8"/>
  <c r="AS44" i="1"/>
  <c r="AU16" i="8"/>
  <c r="AU17" i="8"/>
  <c r="AU36" i="5"/>
  <c r="AU40" i="5" s="1"/>
  <c r="AV13" i="8"/>
  <c r="AT16" i="8"/>
  <c r="AT17" i="8"/>
  <c r="AT44" i="1"/>
  <c r="AP32" i="1"/>
  <c r="AT32" i="1"/>
  <c r="AU4" i="2" s="1"/>
  <c r="AU56" i="1"/>
  <c r="AU57" i="1" s="1"/>
  <c r="C18" i="9"/>
  <c r="C16" i="9"/>
  <c r="B16" i="9"/>
  <c r="E15" i="9"/>
  <c r="E14" i="9"/>
  <c r="E13" i="9"/>
  <c r="E12" i="9"/>
  <c r="E11" i="9"/>
  <c r="C9" i="9"/>
  <c r="B9" i="9"/>
  <c r="E8" i="9"/>
  <c r="E7" i="9"/>
  <c r="E6" i="9"/>
  <c r="E5" i="9"/>
  <c r="E4" i="9"/>
  <c r="AP23" i="8"/>
  <c r="AQ23" i="8"/>
  <c r="AR23" i="8"/>
  <c r="AS23" i="8"/>
  <c r="AQ17" i="8"/>
  <c r="AR17" i="8"/>
  <c r="AS17" i="8"/>
  <c r="AQ16" i="8"/>
  <c r="AR16" i="8"/>
  <c r="AS16" i="8"/>
  <c r="AP10" i="8"/>
  <c r="AR10" i="8"/>
  <c r="AT46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F30" i="5"/>
  <c r="G30" i="5"/>
  <c r="H30" i="5"/>
  <c r="I30" i="5"/>
  <c r="J30" i="5"/>
  <c r="K30" i="5"/>
  <c r="L30" i="5"/>
  <c r="M30" i="5"/>
  <c r="N30" i="5"/>
  <c r="O30" i="5"/>
  <c r="P30" i="5"/>
  <c r="Q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45" i="2" s="1"/>
  <c r="AP41" i="2" s="1"/>
  <c r="AP30" i="5"/>
  <c r="AQ45" i="2" s="1"/>
  <c r="AQ41" i="2" s="1"/>
  <c r="AQ30" i="5"/>
  <c r="AR45" i="2" s="1"/>
  <c r="AR41" i="2" s="1"/>
  <c r="AR30" i="5"/>
  <c r="AS30" i="5"/>
  <c r="AT45" i="2" s="1"/>
  <c r="AT41" i="2" s="1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Z46" i="5" s="1"/>
  <c r="AA19" i="5"/>
  <c r="AA46" i="5" s="1"/>
  <c r="AB19" i="5"/>
  <c r="AB46" i="5" s="1"/>
  <c r="AC19" i="5"/>
  <c r="AC46" i="5" s="1"/>
  <c r="AD19" i="5"/>
  <c r="AE19" i="5"/>
  <c r="AF19" i="5"/>
  <c r="AG19" i="5"/>
  <c r="AH19" i="5"/>
  <c r="AI19" i="5"/>
  <c r="AJ19" i="5"/>
  <c r="AK19" i="5"/>
  <c r="AL19" i="5"/>
  <c r="AL46" i="5" s="1"/>
  <c r="AM19" i="5"/>
  <c r="AM46" i="5" s="1"/>
  <c r="AN19" i="5"/>
  <c r="AN46" i="5" s="1"/>
  <c r="AO19" i="5"/>
  <c r="AO46" i="5" s="1"/>
  <c r="AP19" i="5"/>
  <c r="AP46" i="5" s="1"/>
  <c r="AQ19" i="5"/>
  <c r="AR19" i="5"/>
  <c r="AS19" i="5"/>
  <c r="AS46" i="5" s="1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38" i="2" s="1"/>
  <c r="AP36" i="2" s="1"/>
  <c r="AP14" i="5"/>
  <c r="AQ38" i="2" s="1"/>
  <c r="AQ36" i="2" s="1"/>
  <c r="AQ14" i="5"/>
  <c r="AR38" i="2" s="1"/>
  <c r="AR36" i="2" s="1"/>
  <c r="AR14" i="5"/>
  <c r="AS38" i="2" s="1"/>
  <c r="AS36" i="2" s="1"/>
  <c r="AS14" i="5"/>
  <c r="AT38" i="2" s="1"/>
  <c r="AT36" i="2" s="1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O10" i="5" s="1"/>
  <c r="AP11" i="5"/>
  <c r="AQ11" i="5"/>
  <c r="AR11" i="5"/>
  <c r="AS11" i="5"/>
  <c r="AG10" i="5" l="1"/>
  <c r="AG26" i="5" s="1"/>
  <c r="AG36" i="5" s="1"/>
  <c r="AG40" i="5" s="1"/>
  <c r="AG42" i="5" s="1"/>
  <c r="AG44" i="5" s="1"/>
  <c r="P46" i="5"/>
  <c r="AQ57" i="1"/>
  <c r="AP57" i="1"/>
  <c r="AG46" i="5"/>
  <c r="AD46" i="5"/>
  <c r="AK46" i="5"/>
  <c r="Y46" i="5"/>
  <c r="X46" i="5"/>
  <c r="AI46" i="5"/>
  <c r="AH46" i="5"/>
  <c r="V46" i="5"/>
  <c r="J46" i="5"/>
  <c r="AO26" i="5"/>
  <c r="AP13" i="8" s="1"/>
  <c r="L46" i="5"/>
  <c r="U46" i="5"/>
  <c r="AJ46" i="5"/>
  <c r="W46" i="5"/>
  <c r="Y10" i="5"/>
  <c r="Y26" i="5" s="1"/>
  <c r="Y36" i="5" s="1"/>
  <c r="Y40" i="5" s="1"/>
  <c r="Y42" i="5" s="1"/>
  <c r="Y44" i="5" s="1"/>
  <c r="AR46" i="5"/>
  <c r="AF46" i="5"/>
  <c r="T46" i="5"/>
  <c r="K46" i="5"/>
  <c r="AQ46" i="5"/>
  <c r="AE46" i="5"/>
  <c r="S46" i="5"/>
  <c r="AM10" i="5"/>
  <c r="AM26" i="5" s="1"/>
  <c r="AM36" i="5" s="1"/>
  <c r="AM40" i="5" s="1"/>
  <c r="AM42" i="5" s="1"/>
  <c r="AM44" i="5" s="1"/>
  <c r="AL10" i="5"/>
  <c r="AL26" i="5" s="1"/>
  <c r="AL36" i="5" s="1"/>
  <c r="AL40" i="5" s="1"/>
  <c r="AL42" i="5" s="1"/>
  <c r="AL44" i="5" s="1"/>
  <c r="AE10" i="5"/>
  <c r="AE26" i="5" s="1"/>
  <c r="AE36" i="5" s="1"/>
  <c r="AE40" i="5" s="1"/>
  <c r="AE42" i="5" s="1"/>
  <c r="AE44" i="5" s="1"/>
  <c r="AD10" i="5"/>
  <c r="AD26" i="5" s="1"/>
  <c r="AD36" i="5" s="1"/>
  <c r="AD40" i="5" s="1"/>
  <c r="AD42" i="5" s="1"/>
  <c r="AD44" i="5" s="1"/>
  <c r="W10" i="5"/>
  <c r="W26" i="5" s="1"/>
  <c r="W36" i="5" s="1"/>
  <c r="W40" i="5" s="1"/>
  <c r="W42" i="5" s="1"/>
  <c r="W44" i="5" s="1"/>
  <c r="V10" i="5"/>
  <c r="V26" i="5" s="1"/>
  <c r="V36" i="5" s="1"/>
  <c r="V40" i="5" s="1"/>
  <c r="V42" i="5" s="1"/>
  <c r="V44" i="5" s="1"/>
  <c r="AV22" i="8"/>
  <c r="AV4" i="2"/>
  <c r="AV7" i="8" s="1"/>
  <c r="O46" i="5"/>
  <c r="G46" i="5"/>
  <c r="AQ21" i="8"/>
  <c r="AQ4" i="2"/>
  <c r="AS22" i="8"/>
  <c r="AS4" i="2"/>
  <c r="AS25" i="8" s="1"/>
  <c r="AS14" i="8"/>
  <c r="AS45" i="2"/>
  <c r="AS41" i="2" s="1"/>
  <c r="AT21" i="8"/>
  <c r="AT4" i="2"/>
  <c r="AT25" i="8" s="1"/>
  <c r="AF10" i="5"/>
  <c r="AF26" i="5" s="1"/>
  <c r="AF36" i="5" s="1"/>
  <c r="AF40" i="5" s="1"/>
  <c r="AF42" i="5" s="1"/>
  <c r="AF44" i="5" s="1"/>
  <c r="AR21" i="8"/>
  <c r="AR4" i="2"/>
  <c r="AR25" i="8" s="1"/>
  <c r="AN10" i="5"/>
  <c r="AN26" i="5" s="1"/>
  <c r="AN36" i="5" s="1"/>
  <c r="AN40" i="5" s="1"/>
  <c r="AN42" i="5" s="1"/>
  <c r="AN44" i="5" s="1"/>
  <c r="X10" i="5"/>
  <c r="X26" i="5" s="1"/>
  <c r="X36" i="5" s="1"/>
  <c r="X40" i="5" s="1"/>
  <c r="X42" i="5" s="1"/>
  <c r="X44" i="5" s="1"/>
  <c r="AR57" i="1"/>
  <c r="AS18" i="8"/>
  <c r="AQ14" i="8"/>
  <c r="AQ25" i="8"/>
  <c r="AQ18" i="8"/>
  <c r="N46" i="5"/>
  <c r="F46" i="5"/>
  <c r="AR22" i="8"/>
  <c r="C19" i="9"/>
  <c r="AT18" i="8"/>
  <c r="AU24" i="8"/>
  <c r="AQ10" i="5"/>
  <c r="AQ26" i="5" s="1"/>
  <c r="AQ36" i="5" s="1"/>
  <c r="AQ40" i="5" s="1"/>
  <c r="AI10" i="5"/>
  <c r="AI26" i="5" s="1"/>
  <c r="AI36" i="5" s="1"/>
  <c r="AI40" i="5" s="1"/>
  <c r="AI42" i="5" s="1"/>
  <c r="AI44" i="5" s="1"/>
  <c r="AA10" i="5"/>
  <c r="AA26" i="5" s="1"/>
  <c r="AA36" i="5" s="1"/>
  <c r="AA40" i="5" s="1"/>
  <c r="AA42" i="5" s="1"/>
  <c r="AA44" i="5" s="1"/>
  <c r="S10" i="5"/>
  <c r="S26" i="5" s="1"/>
  <c r="S36" i="5" s="1"/>
  <c r="S40" i="5" s="1"/>
  <c r="S42" i="5" s="1"/>
  <c r="S44" i="5" s="1"/>
  <c r="AR14" i="8"/>
  <c r="AT22" i="8"/>
  <c r="AR18" i="8"/>
  <c r="H46" i="5"/>
  <c r="AT57" i="1"/>
  <c r="AP10" i="5"/>
  <c r="AP26" i="5" s="1"/>
  <c r="AP36" i="5" s="1"/>
  <c r="AP40" i="5" s="1"/>
  <c r="AH10" i="5"/>
  <c r="AH26" i="5" s="1"/>
  <c r="AH36" i="5" s="1"/>
  <c r="AH40" i="5" s="1"/>
  <c r="AH42" i="5" s="1"/>
  <c r="AH44" i="5" s="1"/>
  <c r="Z10" i="5"/>
  <c r="Z26" i="5" s="1"/>
  <c r="Z36" i="5" s="1"/>
  <c r="Z40" i="5" s="1"/>
  <c r="Z42" i="5" s="1"/>
  <c r="Z44" i="5" s="1"/>
  <c r="AK10" i="5"/>
  <c r="AK26" i="5" s="1"/>
  <c r="AK36" i="5" s="1"/>
  <c r="AK40" i="5" s="1"/>
  <c r="AK42" i="5" s="1"/>
  <c r="AK44" i="5" s="1"/>
  <c r="AC10" i="5"/>
  <c r="AC26" i="5" s="1"/>
  <c r="AC36" i="5" s="1"/>
  <c r="AC40" i="5" s="1"/>
  <c r="AC42" i="5" s="1"/>
  <c r="AC44" i="5" s="1"/>
  <c r="U10" i="5"/>
  <c r="U26" i="5" s="1"/>
  <c r="U36" i="5" s="1"/>
  <c r="U40" i="5" s="1"/>
  <c r="U42" i="5" s="1"/>
  <c r="U44" i="5" s="1"/>
  <c r="Q46" i="5"/>
  <c r="M46" i="5"/>
  <c r="I46" i="5"/>
  <c r="AR10" i="5"/>
  <c r="AR26" i="5" s="1"/>
  <c r="AR36" i="5" s="1"/>
  <c r="AR40" i="5" s="1"/>
  <c r="AS12" i="8" s="1"/>
  <c r="AJ10" i="5"/>
  <c r="AJ26" i="5" s="1"/>
  <c r="AJ36" i="5" s="1"/>
  <c r="AJ40" i="5" s="1"/>
  <c r="AJ42" i="5" s="1"/>
  <c r="AJ44" i="5" s="1"/>
  <c r="AB10" i="5"/>
  <c r="AB26" i="5" s="1"/>
  <c r="AB36" i="5" s="1"/>
  <c r="AB40" i="5" s="1"/>
  <c r="AB42" i="5" s="1"/>
  <c r="AB44" i="5" s="1"/>
  <c r="T10" i="5"/>
  <c r="T26" i="5" s="1"/>
  <c r="T36" i="5" s="1"/>
  <c r="T40" i="5" s="1"/>
  <c r="T42" i="5" s="1"/>
  <c r="T44" i="5" s="1"/>
  <c r="AS57" i="1"/>
  <c r="AS10" i="5"/>
  <c r="AS26" i="5" s="1"/>
  <c r="AS36" i="5" s="1"/>
  <c r="AS40" i="5" s="1"/>
  <c r="AO36" i="5"/>
  <c r="AO40" i="5" s="1"/>
  <c r="AT14" i="8"/>
  <c r="AV6" i="8"/>
  <c r="AV4" i="8"/>
  <c r="AV24" i="8"/>
  <c r="AV21" i="8"/>
  <c r="AQ22" i="8"/>
  <c r="AU42" i="5"/>
  <c r="AU44" i="5" s="1"/>
  <c r="AV12" i="8"/>
  <c r="AU22" i="8"/>
  <c r="AU25" i="8"/>
  <c r="AU18" i="8"/>
  <c r="AU12" i="8"/>
  <c r="AU14" i="8"/>
  <c r="AV18" i="8"/>
  <c r="AV14" i="8"/>
  <c r="B17" i="9"/>
  <c r="C17" i="9"/>
  <c r="E16" i="9"/>
  <c r="AU21" i="8"/>
  <c r="E9" i="9"/>
  <c r="J95" i="6"/>
  <c r="I95" i="6"/>
  <c r="L94" i="6"/>
  <c r="L93" i="6"/>
  <c r="L92" i="6"/>
  <c r="L91" i="6"/>
  <c r="L90" i="6"/>
  <c r="J88" i="6"/>
  <c r="I88" i="6"/>
  <c r="N87" i="6"/>
  <c r="L87" i="6"/>
  <c r="L86" i="6"/>
  <c r="L85" i="6"/>
  <c r="L84" i="6"/>
  <c r="L83" i="6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D27" i="2"/>
  <c r="AR42" i="5" l="1"/>
  <c r="AR44" i="5" s="1"/>
  <c r="AR13" i="8"/>
  <c r="AQ13" i="8"/>
  <c r="AS9" i="3"/>
  <c r="AS8" i="3"/>
  <c r="AS13" i="8"/>
  <c r="AT5" i="8"/>
  <c r="AT13" i="8"/>
  <c r="N88" i="6"/>
  <c r="I96" i="6"/>
  <c r="J96" i="6"/>
  <c r="AT9" i="3"/>
  <c r="E17" i="9"/>
  <c r="L88" i="6"/>
  <c r="L95" i="6"/>
  <c r="AU5" i="8"/>
  <c r="AU7" i="8"/>
  <c r="AU6" i="8"/>
  <c r="AU4" i="8"/>
  <c r="AO42" i="5"/>
  <c r="AO44" i="5" s="1"/>
  <c r="AR12" i="8"/>
  <c r="AQ42" i="5"/>
  <c r="AQ44" i="5" s="1"/>
  <c r="AV5" i="8"/>
  <c r="AT12" i="8"/>
  <c r="AS42" i="5"/>
  <c r="AS44" i="5" s="1"/>
  <c r="AV25" i="8"/>
  <c r="AQ12" i="8"/>
  <c r="AP42" i="5"/>
  <c r="AP44" i="5" s="1"/>
  <c r="AU7" i="3"/>
  <c r="AV7" i="3"/>
  <c r="AW7" i="3"/>
  <c r="AX7" i="3"/>
  <c r="AY7" i="3"/>
  <c r="AZ7" i="3"/>
  <c r="BA7" i="3"/>
  <c r="BB7" i="3"/>
  <c r="AU8" i="3"/>
  <c r="AV8" i="3"/>
  <c r="AW8" i="3"/>
  <c r="AX8" i="3"/>
  <c r="AY8" i="3"/>
  <c r="AZ8" i="3"/>
  <c r="BA8" i="3"/>
  <c r="BB8" i="3"/>
  <c r="AU9" i="3"/>
  <c r="AV9" i="3"/>
  <c r="AW9" i="3"/>
  <c r="AX9" i="3"/>
  <c r="AY9" i="3"/>
  <c r="AZ9" i="3"/>
  <c r="BA9" i="3"/>
  <c r="BB9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AS17" i="3"/>
  <c r="AT17" i="3"/>
  <c r="AU17" i="3"/>
  <c r="AV17" i="3"/>
  <c r="AW17" i="3"/>
  <c r="AX17" i="3"/>
  <c r="AY17" i="3"/>
  <c r="AZ17" i="3"/>
  <c r="BA17" i="3"/>
  <c r="BB17" i="3"/>
  <c r="AU18" i="3"/>
  <c r="AV18" i="3"/>
  <c r="AW18" i="3"/>
  <c r="AX18" i="3"/>
  <c r="AY18" i="3"/>
  <c r="AZ18" i="3"/>
  <c r="BA18" i="3"/>
  <c r="BB18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AT26" i="3"/>
  <c r="AU26" i="3"/>
  <c r="AV26" i="3"/>
  <c r="AW26" i="3"/>
  <c r="AX26" i="3"/>
  <c r="AY26" i="3"/>
  <c r="AZ26" i="3"/>
  <c r="BA26" i="3"/>
  <c r="BB26" i="3"/>
  <c r="E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D34" i="2"/>
  <c r="AT6" i="8" l="1"/>
  <c r="AT18" i="3"/>
  <c r="AT8" i="3"/>
  <c r="AT7" i="3"/>
  <c r="AT24" i="8"/>
  <c r="AS18" i="3"/>
  <c r="AS7" i="8"/>
  <c r="AS24" i="8"/>
  <c r="AT4" i="8"/>
  <c r="AS4" i="8"/>
  <c r="AS5" i="8"/>
  <c r="AS26" i="3"/>
  <c r="L96" i="6"/>
  <c r="AT7" i="8"/>
  <c r="AS6" i="8"/>
  <c r="AS7" i="3"/>
  <c r="BB22" i="3"/>
  <c r="BA22" i="3"/>
  <c r="AZ22" i="3"/>
  <c r="AX22" i="3"/>
  <c r="AY22" i="3"/>
  <c r="AT22" i="3"/>
  <c r="AR22" i="3"/>
  <c r="AS22" i="3"/>
  <c r="AV22" i="3"/>
  <c r="AW22" i="3"/>
  <c r="AU22" i="3"/>
  <c r="AQ22" i="3"/>
  <c r="AO50" i="1"/>
  <c r="AO56" i="1" s="1"/>
  <c r="AO44" i="1"/>
  <c r="AO19" i="1"/>
  <c r="AP30" i="2" s="1"/>
  <c r="AP29" i="2" s="1"/>
  <c r="AO14" i="1"/>
  <c r="AO10" i="1"/>
  <c r="AO32" i="1" l="1"/>
  <c r="AP4" i="2" s="1"/>
  <c r="AP16" i="8"/>
  <c r="AP17" i="8"/>
  <c r="AQ18" i="3"/>
  <c r="AQ9" i="3"/>
  <c r="AR9" i="3"/>
  <c r="AP17" i="3"/>
  <c r="AO57" i="1"/>
  <c r="AQ17" i="3"/>
  <c r="AR17" i="3"/>
  <c r="AL10" i="8"/>
  <c r="AM10" i="8"/>
  <c r="AN10" i="8"/>
  <c r="AO10" i="8"/>
  <c r="AL44" i="2"/>
  <c r="AM44" i="2"/>
  <c r="AN44" i="2"/>
  <c r="AO44" i="2"/>
  <c r="AL42" i="2"/>
  <c r="AM42" i="2"/>
  <c r="AN42" i="2"/>
  <c r="AO42" i="2"/>
  <c r="AL39" i="2"/>
  <c r="AM39" i="2"/>
  <c r="AN39" i="2"/>
  <c r="AO39" i="2"/>
  <c r="AL37" i="2"/>
  <c r="AM37" i="2"/>
  <c r="AL25" i="2"/>
  <c r="AM25" i="2"/>
  <c r="AN25" i="2"/>
  <c r="AO25" i="2"/>
  <c r="AL20" i="2"/>
  <c r="AM20" i="2"/>
  <c r="AN20" i="2"/>
  <c r="AO20" i="2"/>
  <c r="AL16" i="2"/>
  <c r="AM16" i="2"/>
  <c r="AN16" i="2"/>
  <c r="AO16" i="2"/>
  <c r="AL9" i="2"/>
  <c r="AM9" i="2"/>
  <c r="AN9" i="2"/>
  <c r="AO9" i="2"/>
  <c r="AL8" i="2"/>
  <c r="AM8" i="2"/>
  <c r="AN8" i="2"/>
  <c r="AO8" i="2"/>
  <c r="AL7" i="2"/>
  <c r="AM7" i="2"/>
  <c r="AN7" i="2"/>
  <c r="AO7" i="2"/>
  <c r="AL6" i="2"/>
  <c r="AM6" i="2"/>
  <c r="AN6" i="2"/>
  <c r="AO6" i="2"/>
  <c r="AO45" i="2"/>
  <c r="AL38" i="2"/>
  <c r="AM38" i="2"/>
  <c r="AN38" i="2"/>
  <c r="AO38" i="2"/>
  <c r="AJ50" i="1"/>
  <c r="AK50" i="1"/>
  <c r="AL50" i="1"/>
  <c r="AM50" i="1"/>
  <c r="AN50" i="1"/>
  <c r="AK47" i="1"/>
  <c r="AL18" i="2" s="1"/>
  <c r="AL47" i="1"/>
  <c r="AM18" i="2" s="1"/>
  <c r="AM47" i="1"/>
  <c r="AN18" i="2" s="1"/>
  <c r="AN47" i="1"/>
  <c r="AO18" i="2" s="1"/>
  <c r="AI37" i="1"/>
  <c r="AJ37" i="1"/>
  <c r="AK37" i="1"/>
  <c r="AL37" i="1"/>
  <c r="AM37" i="1"/>
  <c r="AN37" i="1"/>
  <c r="AJ36" i="1"/>
  <c r="AK23" i="8" s="1"/>
  <c r="AK36" i="1"/>
  <c r="AL36" i="1"/>
  <c r="AM23" i="8" s="1"/>
  <c r="AM36" i="1"/>
  <c r="AN23" i="8" s="1"/>
  <c r="AN36" i="1"/>
  <c r="AO23" i="8" s="1"/>
  <c r="AJ26" i="1"/>
  <c r="AK26" i="1"/>
  <c r="AL26" i="1"/>
  <c r="AM26" i="1"/>
  <c r="AN26" i="1"/>
  <c r="AJ22" i="1"/>
  <c r="AK22" i="1"/>
  <c r="AL22" i="1"/>
  <c r="AM22" i="1"/>
  <c r="AN22" i="1"/>
  <c r="AI19" i="1"/>
  <c r="AJ19" i="1"/>
  <c r="AK19" i="1"/>
  <c r="AL30" i="2" s="1"/>
  <c r="AL19" i="1"/>
  <c r="AM30" i="2" s="1"/>
  <c r="AM19" i="1"/>
  <c r="AN30" i="2" s="1"/>
  <c r="AN19" i="1"/>
  <c r="AO30" i="2" s="1"/>
  <c r="AI14" i="1"/>
  <c r="AJ14" i="1"/>
  <c r="AK14" i="1"/>
  <c r="AL14" i="1"/>
  <c r="AM14" i="1"/>
  <c r="AN14" i="1"/>
  <c r="AI10" i="1"/>
  <c r="AJ10" i="1"/>
  <c r="AK10" i="1"/>
  <c r="AL10" i="1"/>
  <c r="AM10" i="1"/>
  <c r="AN10" i="1"/>
  <c r="AM5" i="2" l="1"/>
  <c r="AM17" i="3" s="1"/>
  <c r="AL5" i="2"/>
  <c r="AL33" i="2"/>
  <c r="AO5" i="2"/>
  <c r="AO17" i="3" s="1"/>
  <c r="AN5" i="2"/>
  <c r="AN17" i="3" s="1"/>
  <c r="AM33" i="2"/>
  <c r="AK33" i="2"/>
  <c r="AM16" i="8"/>
  <c r="AP24" i="8"/>
  <c r="AO33" i="2"/>
  <c r="AN33" i="2"/>
  <c r="AP21" i="8"/>
  <c r="AP18" i="8"/>
  <c r="AP22" i="8"/>
  <c r="AP14" i="8"/>
  <c r="AP12" i="8"/>
  <c r="AR4" i="8"/>
  <c r="AR7" i="8"/>
  <c r="AR24" i="8"/>
  <c r="AR6" i="8"/>
  <c r="AR5" i="8"/>
  <c r="AQ4" i="8"/>
  <c r="AQ24" i="8"/>
  <c r="AQ7" i="8"/>
  <c r="AQ6" i="8"/>
  <c r="AQ5" i="8"/>
  <c r="AR8" i="3"/>
  <c r="AR26" i="3"/>
  <c r="AR7" i="3"/>
  <c r="AR18" i="3"/>
  <c r="AQ26" i="3"/>
  <c r="AQ7" i="3"/>
  <c r="AQ8" i="3"/>
  <c r="AQ6" i="3"/>
  <c r="AL36" i="2"/>
  <c r="AO41" i="2"/>
  <c r="AN36" i="2"/>
  <c r="AO36" i="2"/>
  <c r="AL16" i="8"/>
  <c r="AN17" i="8"/>
  <c r="AK16" i="8"/>
  <c r="AL56" i="1"/>
  <c r="AM56" i="1"/>
  <c r="AK17" i="8"/>
  <c r="AN15" i="2"/>
  <c r="AN12" i="2" s="1"/>
  <c r="AK44" i="1"/>
  <c r="AN44" i="1"/>
  <c r="AL15" i="2"/>
  <c r="AL12" i="2" s="1"/>
  <c r="AO16" i="8"/>
  <c r="AN56" i="1"/>
  <c r="AO15" i="2"/>
  <c r="AO12" i="2" s="1"/>
  <c r="AJ32" i="1"/>
  <c r="AK14" i="8" s="1"/>
  <c r="AM29" i="2"/>
  <c r="AM36" i="2"/>
  <c r="AL29" i="2"/>
  <c r="AO29" i="2"/>
  <c r="AN45" i="2"/>
  <c r="AN41" i="2" s="1"/>
  <c r="AL23" i="8"/>
  <c r="AM17" i="8"/>
  <c r="AM45" i="2"/>
  <c r="AM41" i="2" s="1"/>
  <c r="AL17" i="8"/>
  <c r="AN32" i="1"/>
  <c r="AO14" i="8" s="1"/>
  <c r="AK56" i="1"/>
  <c r="AM32" i="1"/>
  <c r="AM44" i="1"/>
  <c r="AM15" i="2"/>
  <c r="AM12" i="2" s="1"/>
  <c r="AN16" i="8"/>
  <c r="AL45" i="2"/>
  <c r="AL41" i="2" s="1"/>
  <c r="AL32" i="1"/>
  <c r="AL44" i="1"/>
  <c r="AO17" i="8"/>
  <c r="AN29" i="2"/>
  <c r="AK32" i="1"/>
  <c r="AL14" i="8" s="1"/>
  <c r="N40" i="6"/>
  <c r="M66" i="6"/>
  <c r="AJ16" i="8"/>
  <c r="AH10" i="8"/>
  <c r="AI10" i="8"/>
  <c r="AJ10" i="8"/>
  <c r="AK10" i="8"/>
  <c r="AN18" i="3" l="1"/>
  <c r="AO13" i="2"/>
  <c r="AP7" i="8"/>
  <c r="AP26" i="3"/>
  <c r="AP4" i="8"/>
  <c r="AP7" i="3"/>
  <c r="AP5" i="8"/>
  <c r="AP8" i="3"/>
  <c r="AP6" i="8"/>
  <c r="AP18" i="3"/>
  <c r="AP6" i="3"/>
  <c r="AP25" i="8"/>
  <c r="AP19" i="3"/>
  <c r="AP24" i="3"/>
  <c r="AP14" i="3"/>
  <c r="AP13" i="3"/>
  <c r="AP23" i="3"/>
  <c r="AP25" i="3"/>
  <c r="AP9" i="3"/>
  <c r="AL6" i="3"/>
  <c r="AL18" i="3"/>
  <c r="AK13" i="8"/>
  <c r="AM13" i="8"/>
  <c r="AN12" i="8"/>
  <c r="AN13" i="8"/>
  <c r="AL13" i="8"/>
  <c r="AL13" i="2"/>
  <c r="AL57" i="1"/>
  <c r="AN13" i="2"/>
  <c r="AN21" i="8"/>
  <c r="AK21" i="8"/>
  <c r="AO21" i="8"/>
  <c r="AK22" i="8"/>
  <c r="AK18" i="8"/>
  <c r="AM57" i="1"/>
  <c r="AL12" i="8"/>
  <c r="AN14" i="8"/>
  <c r="AK57" i="1"/>
  <c r="AN57" i="1"/>
  <c r="AM4" i="2"/>
  <c r="AM22" i="8"/>
  <c r="AM18" i="8"/>
  <c r="AO18" i="8"/>
  <c r="AO4" i="2"/>
  <c r="AO22" i="8"/>
  <c r="AL4" i="8"/>
  <c r="AL24" i="8"/>
  <c r="AK12" i="8"/>
  <c r="AM21" i="8"/>
  <c r="AM13" i="2"/>
  <c r="AL22" i="8"/>
  <c r="AL18" i="8"/>
  <c r="AL4" i="2"/>
  <c r="AL7" i="3" s="1"/>
  <c r="AM12" i="8"/>
  <c r="AO13" i="8"/>
  <c r="AN4" i="2"/>
  <c r="AN22" i="8"/>
  <c r="AN18" i="8"/>
  <c r="AM14" i="8"/>
  <c r="AL21" i="8"/>
  <c r="AJ44" i="1"/>
  <c r="AH22" i="1"/>
  <c r="AI22" i="1"/>
  <c r="AN8" i="3" l="1"/>
  <c r="AN6" i="8"/>
  <c r="AN4" i="8"/>
  <c r="AN6" i="3"/>
  <c r="AN24" i="8"/>
  <c r="AP22" i="3"/>
  <c r="AM9" i="3"/>
  <c r="AN25" i="8"/>
  <c r="AN13" i="3"/>
  <c r="AN14" i="3"/>
  <c r="AN19" i="3"/>
  <c r="AN23" i="3"/>
  <c r="AN24" i="3"/>
  <c r="AN25" i="3"/>
  <c r="AO25" i="8"/>
  <c r="AO13" i="3"/>
  <c r="AO14" i="3"/>
  <c r="AO23" i="3"/>
  <c r="AO24" i="3"/>
  <c r="AO25" i="3"/>
  <c r="AO19" i="3"/>
  <c r="AM25" i="8"/>
  <c r="AM13" i="3"/>
  <c r="AM14" i="3"/>
  <c r="AM19" i="3"/>
  <c r="AM23" i="3"/>
  <c r="AM24" i="3"/>
  <c r="AM25" i="3"/>
  <c r="AN9" i="3"/>
  <c r="AL9" i="3"/>
  <c r="AN26" i="3"/>
  <c r="AN7" i="3"/>
  <c r="AL26" i="3"/>
  <c r="AL25" i="8"/>
  <c r="AL14" i="3"/>
  <c r="AL13" i="3"/>
  <c r="AL23" i="3"/>
  <c r="AL24" i="3"/>
  <c r="AL25" i="3"/>
  <c r="AL19" i="3"/>
  <c r="AO9" i="3"/>
  <c r="AO4" i="8"/>
  <c r="AO8" i="3"/>
  <c r="AO7" i="3"/>
  <c r="AO26" i="3"/>
  <c r="AO6" i="3"/>
  <c r="AO18" i="3"/>
  <c r="AM6" i="3"/>
  <c r="AM7" i="3"/>
  <c r="AM8" i="3"/>
  <c r="AM26" i="3"/>
  <c r="AM18" i="3"/>
  <c r="AO6" i="8"/>
  <c r="AN7" i="8"/>
  <c r="AO24" i="8"/>
  <c r="AO5" i="8"/>
  <c r="AO12" i="8"/>
  <c r="AM4" i="8"/>
  <c r="AM7" i="8"/>
  <c r="AM5" i="8"/>
  <c r="AM6" i="8"/>
  <c r="AM24" i="8"/>
  <c r="AO7" i="8"/>
  <c r="AL5" i="8"/>
  <c r="AL7" i="8"/>
  <c r="AN5" i="8"/>
  <c r="AK62" i="1"/>
  <c r="AM19" i="8"/>
  <c r="AK19" i="8"/>
  <c r="AL19" i="8"/>
  <c r="AL22" i="3" l="1"/>
  <c r="AN22" i="3"/>
  <c r="AM22" i="3"/>
  <c r="AO22" i="3"/>
  <c r="AJ45" i="2"/>
  <c r="AK45" i="2"/>
  <c r="AI44" i="2"/>
  <c r="AJ44" i="2"/>
  <c r="AK44" i="2"/>
  <c r="AI42" i="2"/>
  <c r="AJ42" i="2"/>
  <c r="AK42" i="2"/>
  <c r="AJ39" i="2"/>
  <c r="AK39" i="2"/>
  <c r="AK38" i="2"/>
  <c r="AJ37" i="2"/>
  <c r="AK37" i="2"/>
  <c r="AJ30" i="2"/>
  <c r="AK30" i="2"/>
  <c r="AI25" i="2"/>
  <c r="AJ25" i="2"/>
  <c r="AK25" i="2"/>
  <c r="AI20" i="2"/>
  <c r="AJ20" i="2"/>
  <c r="AK20" i="2"/>
  <c r="AK16" i="2"/>
  <c r="AK9" i="2"/>
  <c r="AK8" i="2"/>
  <c r="AJ7" i="2"/>
  <c r="AK7" i="2"/>
  <c r="AJ6" i="2"/>
  <c r="AK6" i="2"/>
  <c r="AI50" i="1"/>
  <c r="AI47" i="1"/>
  <c r="AJ47" i="1"/>
  <c r="AJ56" i="1" s="1"/>
  <c r="AJ57" i="1" s="1"/>
  <c r="AI36" i="1"/>
  <c r="AI44" i="1" s="1"/>
  <c r="AI26" i="1"/>
  <c r="AK5" i="2" l="1"/>
  <c r="AK17" i="3" s="1"/>
  <c r="AI32" i="1"/>
  <c r="AJ22" i="8" s="1"/>
  <c r="AJ33" i="2"/>
  <c r="AL6" i="8"/>
  <c r="AL17" i="3"/>
  <c r="AL8" i="3"/>
  <c r="AK36" i="2"/>
  <c r="AJ41" i="2"/>
  <c r="AI56" i="1"/>
  <c r="AI57" i="1" s="1"/>
  <c r="AK18" i="2"/>
  <c r="AK15" i="2" s="1"/>
  <c r="AK12" i="2" s="1"/>
  <c r="AJ18" i="2"/>
  <c r="AJ17" i="8"/>
  <c r="AJ23" i="8"/>
  <c r="AK29" i="2"/>
  <c r="AI45" i="2"/>
  <c r="AI41" i="2" s="1"/>
  <c r="AJ29" i="2"/>
  <c r="AJ19" i="8"/>
  <c r="AK41" i="2"/>
  <c r="AA10" i="8"/>
  <c r="AB10" i="8"/>
  <c r="AC10" i="8"/>
  <c r="AD10" i="8"/>
  <c r="AE10" i="8"/>
  <c r="AF10" i="8"/>
  <c r="AG10" i="8"/>
  <c r="AH45" i="2"/>
  <c r="AH44" i="2"/>
  <c r="AH42" i="2"/>
  <c r="AI39" i="2"/>
  <c r="AI37" i="2"/>
  <c r="AJ16" i="2"/>
  <c r="AJ9" i="2"/>
  <c r="AJ8" i="2"/>
  <c r="AJ38" i="2"/>
  <c r="AJ36" i="2" s="1"/>
  <c r="AJ13" i="8"/>
  <c r="AH50" i="1"/>
  <c r="AH47" i="1"/>
  <c r="AH56" i="1" s="1"/>
  <c r="AH37" i="1"/>
  <c r="AH36" i="1"/>
  <c r="AI23" i="8" s="1"/>
  <c r="AH26" i="1"/>
  <c r="AI33" i="2" s="1"/>
  <c r="AH19" i="1"/>
  <c r="AI30" i="2" s="1"/>
  <c r="AJ14" i="8" l="1"/>
  <c r="AJ18" i="8"/>
  <c r="AK13" i="2"/>
  <c r="AJ21" i="8"/>
  <c r="AJ5" i="2"/>
  <c r="AJ17" i="3" s="1"/>
  <c r="AH41" i="2"/>
  <c r="AJ15" i="2"/>
  <c r="AJ12" i="2" s="1"/>
  <c r="AI29" i="2"/>
  <c r="AH44" i="1"/>
  <c r="AH57" i="1" s="1"/>
  <c r="J76" i="6"/>
  <c r="I76" i="6"/>
  <c r="I77" i="6" s="1"/>
  <c r="L75" i="6"/>
  <c r="L74" i="6"/>
  <c r="L73" i="6"/>
  <c r="L72" i="6"/>
  <c r="L71" i="6"/>
  <c r="J69" i="6"/>
  <c r="L68" i="6"/>
  <c r="L67" i="6"/>
  <c r="L66" i="6"/>
  <c r="L65" i="6"/>
  <c r="L64" i="6"/>
  <c r="D76" i="6"/>
  <c r="C76" i="6"/>
  <c r="C77" i="6" s="1"/>
  <c r="F75" i="6"/>
  <c r="F74" i="6"/>
  <c r="F73" i="6"/>
  <c r="F72" i="6"/>
  <c r="F71" i="6"/>
  <c r="D69" i="6"/>
  <c r="F68" i="6"/>
  <c r="F67" i="6"/>
  <c r="F66" i="6"/>
  <c r="F65" i="6"/>
  <c r="F64" i="6"/>
  <c r="J50" i="6"/>
  <c r="I50" i="6"/>
  <c r="I51" i="6" s="1"/>
  <c r="L49" i="6"/>
  <c r="L48" i="6"/>
  <c r="L47" i="6"/>
  <c r="L46" i="6"/>
  <c r="L45" i="6"/>
  <c r="J43" i="6"/>
  <c r="L42" i="6"/>
  <c r="L41" i="6"/>
  <c r="L40" i="6"/>
  <c r="L39" i="6"/>
  <c r="L38" i="6"/>
  <c r="AD44" i="2"/>
  <c r="AE44" i="2"/>
  <c r="AF44" i="2"/>
  <c r="AG44" i="2"/>
  <c r="AD42" i="2"/>
  <c r="AE42" i="2"/>
  <c r="AF42" i="2"/>
  <c r="AG42" i="2"/>
  <c r="AD39" i="2"/>
  <c r="AE39" i="2"/>
  <c r="AF39" i="2"/>
  <c r="AG39" i="2"/>
  <c r="AH39" i="2"/>
  <c r="AD37" i="2"/>
  <c r="AE37" i="2"/>
  <c r="AF37" i="2"/>
  <c r="AG37" i="2"/>
  <c r="AH37" i="2"/>
  <c r="AD25" i="2"/>
  <c r="AE25" i="2"/>
  <c r="AF25" i="2"/>
  <c r="AG25" i="2"/>
  <c r="AH25" i="2"/>
  <c r="AD20" i="2"/>
  <c r="AE20" i="2"/>
  <c r="AF20" i="2"/>
  <c r="AG20" i="2"/>
  <c r="AH20" i="2"/>
  <c r="AI18" i="2"/>
  <c r="AD16" i="2"/>
  <c r="AE16" i="2"/>
  <c r="AF16" i="2"/>
  <c r="AG16" i="2"/>
  <c r="AH16" i="2"/>
  <c r="AI16" i="2"/>
  <c r="AD9" i="2"/>
  <c r="AE9" i="2"/>
  <c r="AF9" i="2"/>
  <c r="AG9" i="2"/>
  <c r="AH9" i="2"/>
  <c r="AI9" i="2"/>
  <c r="AD8" i="2"/>
  <c r="AE8" i="2"/>
  <c r="AF8" i="2"/>
  <c r="AG8" i="2"/>
  <c r="AH8" i="2"/>
  <c r="AI8" i="2"/>
  <c r="AD7" i="2"/>
  <c r="AE7" i="2"/>
  <c r="AF7" i="2"/>
  <c r="AG7" i="2"/>
  <c r="AH7" i="2"/>
  <c r="AI7" i="2"/>
  <c r="AD6" i="2"/>
  <c r="AE6" i="2"/>
  <c r="AF6" i="2"/>
  <c r="AG6" i="2"/>
  <c r="AH6" i="2"/>
  <c r="AI6" i="2"/>
  <c r="AK4" i="2"/>
  <c r="X44" i="2"/>
  <c r="Y44" i="2"/>
  <c r="Z44" i="2"/>
  <c r="AA44" i="2"/>
  <c r="AB44" i="2"/>
  <c r="AC44" i="2"/>
  <c r="X42" i="2"/>
  <c r="Y42" i="2"/>
  <c r="Z42" i="2"/>
  <c r="AA42" i="2"/>
  <c r="AB42" i="2"/>
  <c r="AC42" i="2"/>
  <c r="X39" i="2"/>
  <c r="Y39" i="2"/>
  <c r="Z39" i="2"/>
  <c r="AA39" i="2"/>
  <c r="AB39" i="2"/>
  <c r="AC39" i="2"/>
  <c r="X37" i="2"/>
  <c r="Y37" i="2"/>
  <c r="Z37" i="2"/>
  <c r="AA37" i="2"/>
  <c r="AB37" i="2"/>
  <c r="AC37" i="2"/>
  <c r="Z25" i="2"/>
  <c r="AA25" i="2"/>
  <c r="AB25" i="2"/>
  <c r="AC25" i="2"/>
  <c r="AA20" i="2"/>
  <c r="AB20" i="2"/>
  <c r="AC20" i="2"/>
  <c r="AA16" i="2"/>
  <c r="AB16" i="2"/>
  <c r="AC16" i="2"/>
  <c r="AA9" i="2"/>
  <c r="AB9" i="2"/>
  <c r="AC9" i="2"/>
  <c r="Z8" i="2"/>
  <c r="AA8" i="2"/>
  <c r="AB8" i="2"/>
  <c r="AC8" i="2"/>
  <c r="AA7" i="2"/>
  <c r="AB7" i="2"/>
  <c r="AC7" i="2"/>
  <c r="AA6" i="2"/>
  <c r="AB6" i="2"/>
  <c r="AC6" i="2"/>
  <c r="AC45" i="2"/>
  <c r="AD45" i="2"/>
  <c r="AG45" i="2"/>
  <c r="AG38" i="2"/>
  <c r="AH38" i="2"/>
  <c r="Y38" i="2"/>
  <c r="Z38" i="2"/>
  <c r="AA38" i="2"/>
  <c r="AB38" i="2"/>
  <c r="AD38" i="2"/>
  <c r="AE38" i="2"/>
  <c r="AF38" i="2"/>
  <c r="AD50" i="1"/>
  <c r="AE50" i="1"/>
  <c r="AF50" i="1"/>
  <c r="AG50" i="1"/>
  <c r="AD47" i="1"/>
  <c r="AE18" i="2" s="1"/>
  <c r="AE47" i="1"/>
  <c r="AF18" i="2" s="1"/>
  <c r="AF47" i="1"/>
  <c r="AG18" i="2" s="1"/>
  <c r="AG47" i="1"/>
  <c r="AH18" i="2" s="1"/>
  <c r="AD37" i="1"/>
  <c r="AE37" i="1"/>
  <c r="AF37" i="1"/>
  <c r="AG37" i="1"/>
  <c r="AD36" i="1"/>
  <c r="AE23" i="8" s="1"/>
  <c r="AE36" i="1"/>
  <c r="AF23" i="8" s="1"/>
  <c r="AF36" i="1"/>
  <c r="AG23" i="8" s="1"/>
  <c r="AG36" i="1"/>
  <c r="AH23" i="8" s="1"/>
  <c r="AJ4" i="2"/>
  <c r="AD26" i="1"/>
  <c r="AE26" i="1"/>
  <c r="AF26" i="1"/>
  <c r="AG26" i="1"/>
  <c r="AD22" i="1"/>
  <c r="AE22" i="1"/>
  <c r="AF22" i="1"/>
  <c r="AG33" i="2" s="1"/>
  <c r="AG22" i="1"/>
  <c r="AD19" i="1"/>
  <c r="AE30" i="2" s="1"/>
  <c r="AE19" i="1"/>
  <c r="AF30" i="2" s="1"/>
  <c r="AF19" i="1"/>
  <c r="AG30" i="2" s="1"/>
  <c r="AG19" i="1"/>
  <c r="AH30" i="2" s="1"/>
  <c r="AD14" i="1"/>
  <c r="AE14" i="1"/>
  <c r="AF14" i="1"/>
  <c r="AG14" i="1"/>
  <c r="AH14" i="1"/>
  <c r="AD10" i="1"/>
  <c r="AE10" i="1"/>
  <c r="AF10" i="1"/>
  <c r="AG10" i="1"/>
  <c r="AH10" i="1"/>
  <c r="AC50" i="1"/>
  <c r="Z50" i="1"/>
  <c r="AA50" i="1"/>
  <c r="AB50" i="1"/>
  <c r="Z47" i="1"/>
  <c r="AA18" i="2" s="1"/>
  <c r="AA47" i="1"/>
  <c r="AB47" i="1"/>
  <c r="AC47" i="1"/>
  <c r="Z37" i="1"/>
  <c r="AA37" i="1"/>
  <c r="AB37" i="1"/>
  <c r="AC37" i="1"/>
  <c r="Z36" i="1"/>
  <c r="AA23" i="8" s="1"/>
  <c r="AA36" i="1"/>
  <c r="AB23" i="8" s="1"/>
  <c r="AB36" i="1"/>
  <c r="AC23" i="8" s="1"/>
  <c r="AC36" i="1"/>
  <c r="AD23" i="8" s="1"/>
  <c r="AA26" i="1"/>
  <c r="AB26" i="1"/>
  <c r="AC26" i="1"/>
  <c r="AA22" i="1"/>
  <c r="AB22" i="1"/>
  <c r="AC22" i="1"/>
  <c r="AA19" i="1"/>
  <c r="AB30" i="2" s="1"/>
  <c r="AB19" i="1"/>
  <c r="AC30" i="2" s="1"/>
  <c r="AC19" i="1"/>
  <c r="AD30" i="2" s="1"/>
  <c r="AA14" i="1"/>
  <c r="AB14" i="1"/>
  <c r="AC14" i="1"/>
  <c r="AA10" i="1"/>
  <c r="AB10" i="1"/>
  <c r="AC10" i="1"/>
  <c r="AG5" i="2" l="1"/>
  <c r="AG17" i="3" s="1"/>
  <c r="AH5" i="2"/>
  <c r="AF5" i="2"/>
  <c r="AE5" i="2"/>
  <c r="AC5" i="2"/>
  <c r="AD5" i="2"/>
  <c r="AD17" i="3" s="1"/>
  <c r="AB5" i="2"/>
  <c r="AB17" i="3" s="1"/>
  <c r="AA5" i="2"/>
  <c r="AA17" i="3" s="1"/>
  <c r="AH33" i="2"/>
  <c r="AI5" i="2"/>
  <c r="AI17" i="3" s="1"/>
  <c r="L50" i="6"/>
  <c r="AB33" i="2"/>
  <c r="AE33" i="2"/>
  <c r="L76" i="6"/>
  <c r="AD33" i="2"/>
  <c r="AF33" i="2"/>
  <c r="AC33" i="2"/>
  <c r="AK13" i="3"/>
  <c r="AK14" i="3"/>
  <c r="AK24" i="3"/>
  <c r="AK25" i="3"/>
  <c r="AK23" i="3"/>
  <c r="AK19" i="3"/>
  <c r="AJ13" i="3"/>
  <c r="AJ14" i="3"/>
  <c r="AJ23" i="3"/>
  <c r="AJ19" i="3"/>
  <c r="AJ24" i="3"/>
  <c r="AK9" i="3"/>
  <c r="AJ25" i="3"/>
  <c r="AJ24" i="8"/>
  <c r="AJ26" i="3"/>
  <c r="AJ8" i="3"/>
  <c r="AJ7" i="3"/>
  <c r="AJ6" i="3"/>
  <c r="AJ18" i="3"/>
  <c r="AK4" i="8"/>
  <c r="AK26" i="3"/>
  <c r="AK6" i="3"/>
  <c r="AK8" i="3"/>
  <c r="AK7" i="3"/>
  <c r="AK18" i="3"/>
  <c r="AG36" i="2"/>
  <c r="AB13" i="8"/>
  <c r="AE36" i="2"/>
  <c r="AB36" i="2"/>
  <c r="AA36" i="2"/>
  <c r="AG41" i="2"/>
  <c r="AH13" i="8"/>
  <c r="AK5" i="8"/>
  <c r="AK6" i="8"/>
  <c r="AK24" i="8"/>
  <c r="AJ13" i="2"/>
  <c r="AJ9" i="3" s="1"/>
  <c r="AE17" i="3"/>
  <c r="AE32" i="1"/>
  <c r="AF22" i="8" s="1"/>
  <c r="AJ6" i="8"/>
  <c r="AJ4" i="8"/>
  <c r="AB56" i="1"/>
  <c r="AG32" i="1"/>
  <c r="AH4" i="2" s="1"/>
  <c r="AH23" i="3" s="1"/>
  <c r="AA56" i="1"/>
  <c r="AF32" i="1"/>
  <c r="AG22" i="8" s="1"/>
  <c r="AC18" i="2"/>
  <c r="AC15" i="2" s="1"/>
  <c r="AC12" i="2" s="1"/>
  <c r="AF56" i="1"/>
  <c r="AC29" i="2"/>
  <c r="AH29" i="2"/>
  <c r="AF13" i="8"/>
  <c r="Z36" i="2"/>
  <c r="AG29" i="2"/>
  <c r="Y36" i="2"/>
  <c r="AC41" i="2"/>
  <c r="AF29" i="2"/>
  <c r="AE29" i="2"/>
  <c r="AJ12" i="8"/>
  <c r="AB29" i="2"/>
  <c r="AD29" i="2"/>
  <c r="AG44" i="1"/>
  <c r="AC56" i="1"/>
  <c r="AF44" i="1"/>
  <c r="AK7" i="8"/>
  <c r="AK25" i="8"/>
  <c r="J77" i="6"/>
  <c r="M67" i="6"/>
  <c r="AC32" i="1"/>
  <c r="AD16" i="8"/>
  <c r="AD17" i="8"/>
  <c r="AJ7" i="8"/>
  <c r="AJ25" i="8"/>
  <c r="AE44" i="1"/>
  <c r="AE15" i="2"/>
  <c r="AE12" i="2" s="1"/>
  <c r="AB32" i="1"/>
  <c r="AC21" i="8" s="1"/>
  <c r="AC17" i="8"/>
  <c r="AC16" i="8"/>
  <c r="AD44" i="1"/>
  <c r="AA32" i="1"/>
  <c r="AB14" i="8" s="1"/>
  <c r="AB16" i="8"/>
  <c r="AB17" i="8"/>
  <c r="D77" i="6"/>
  <c r="AH17" i="8"/>
  <c r="AH16" i="8"/>
  <c r="AE56" i="1"/>
  <c r="AB18" i="2"/>
  <c r="AB15" i="2" s="1"/>
  <c r="AB12" i="2" s="1"/>
  <c r="AB45" i="2"/>
  <c r="AH15" i="2"/>
  <c r="AH12" i="2" s="1"/>
  <c r="AI38" i="2"/>
  <c r="AI36" i="2" s="1"/>
  <c r="AI17" i="8"/>
  <c r="AI16" i="8"/>
  <c r="AH32" i="1"/>
  <c r="AI19" i="8" s="1"/>
  <c r="AG56" i="1"/>
  <c r="AG16" i="8"/>
  <c r="AG17" i="8"/>
  <c r="AD56" i="1"/>
  <c r="AC38" i="2"/>
  <c r="AC36" i="2" s="1"/>
  <c r="AA45" i="2"/>
  <c r="AG15" i="2"/>
  <c r="AG12" i="2" s="1"/>
  <c r="AF45" i="2"/>
  <c r="AF41" i="2" s="1"/>
  <c r="F76" i="6"/>
  <c r="AE16" i="8"/>
  <c r="AE17" i="8"/>
  <c r="AF16" i="8"/>
  <c r="AF17" i="8"/>
  <c r="AD32" i="1"/>
  <c r="Z45" i="2"/>
  <c r="AD18" i="2"/>
  <c r="AD15" i="2" s="1"/>
  <c r="AD12" i="2" s="1"/>
  <c r="AE45" i="2"/>
  <c r="AE41" i="2" s="1"/>
  <c r="J51" i="6"/>
  <c r="N41" i="6"/>
  <c r="F69" i="6"/>
  <c r="L69" i="6"/>
  <c r="AJ5" i="8"/>
  <c r="AI15" i="2"/>
  <c r="AI12" i="2" s="1"/>
  <c r="L43" i="6"/>
  <c r="L51" i="6" s="1"/>
  <c r="AD41" i="2"/>
  <c r="AH36" i="2"/>
  <c r="AF36" i="2"/>
  <c r="AD36" i="2"/>
  <c r="AF15" i="2"/>
  <c r="AF12" i="2" s="1"/>
  <c r="AH17" i="3"/>
  <c r="AF17" i="3"/>
  <c r="AA15" i="2"/>
  <c r="AA12" i="2" s="1"/>
  <c r="AC17" i="3"/>
  <c r="AB44" i="1"/>
  <c r="Z44" i="1"/>
  <c r="AC44" i="1"/>
  <c r="AA44" i="1"/>
  <c r="AH13" i="2" l="1"/>
  <c r="AH9" i="3" s="1"/>
  <c r="AA13" i="2"/>
  <c r="AE13" i="2"/>
  <c r="AF13" i="2"/>
  <c r="L77" i="6"/>
  <c r="AK22" i="3"/>
  <c r="AJ22" i="3"/>
  <c r="AH19" i="3"/>
  <c r="AH25" i="3"/>
  <c r="AH24" i="3"/>
  <c r="AH22" i="3" s="1"/>
  <c r="AH25" i="8"/>
  <c r="AH14" i="3"/>
  <c r="AH13" i="3"/>
  <c r="AG8" i="3"/>
  <c r="AG6" i="3"/>
  <c r="AI8" i="3"/>
  <c r="AI6" i="3"/>
  <c r="AI18" i="3"/>
  <c r="AG18" i="3"/>
  <c r="AD12" i="8"/>
  <c r="AE13" i="8"/>
  <c r="AD13" i="8"/>
  <c r="AH12" i="8"/>
  <c r="AE12" i="8"/>
  <c r="AG13" i="8"/>
  <c r="AH19" i="8"/>
  <c r="AH14" i="8"/>
  <c r="AH18" i="8"/>
  <c r="AD14" i="8"/>
  <c r="AH22" i="8"/>
  <c r="AC57" i="1"/>
  <c r="AF21" i="8"/>
  <c r="AH21" i="8"/>
  <c r="AF19" i="8"/>
  <c r="AG12" i="8"/>
  <c r="AG14" i="8"/>
  <c r="AF14" i="8"/>
  <c r="AB57" i="1"/>
  <c r="AG13" i="2"/>
  <c r="AG21" i="8"/>
  <c r="AF4" i="2"/>
  <c r="AG4" i="2"/>
  <c r="AF18" i="8"/>
  <c r="AF12" i="8"/>
  <c r="AG19" i="8"/>
  <c r="AD57" i="1"/>
  <c r="AG18" i="8"/>
  <c r="AA57" i="1"/>
  <c r="AF57" i="1"/>
  <c r="AB21" i="8"/>
  <c r="AC13" i="2"/>
  <c r="AD21" i="8"/>
  <c r="AD19" i="8"/>
  <c r="AE19" i="8"/>
  <c r="AG57" i="1"/>
  <c r="AC8" i="3"/>
  <c r="AC6" i="3"/>
  <c r="AC6" i="8"/>
  <c r="AC4" i="8"/>
  <c r="AC24" i="8"/>
  <c r="AC18" i="3"/>
  <c r="AG24" i="8"/>
  <c r="AG6" i="8"/>
  <c r="AG4" i="8"/>
  <c r="AE22" i="8"/>
  <c r="AE18" i="8"/>
  <c r="AE4" i="2"/>
  <c r="AE9" i="3" s="1"/>
  <c r="AC14" i="8"/>
  <c r="AD13" i="2"/>
  <c r="AC13" i="8"/>
  <c r="AI24" i="8"/>
  <c r="AI6" i="8"/>
  <c r="AI4" i="8"/>
  <c r="AE14" i="8"/>
  <c r="AC19" i="8"/>
  <c r="AE57" i="1"/>
  <c r="AB22" i="8"/>
  <c r="AB18" i="8"/>
  <c r="AB4" i="2"/>
  <c r="AE21" i="8"/>
  <c r="AD22" i="8"/>
  <c r="AD18" i="8"/>
  <c r="AD4" i="2"/>
  <c r="F77" i="6"/>
  <c r="AB13" i="2"/>
  <c r="AC12" i="8"/>
  <c r="AI22" i="8"/>
  <c r="AI18" i="8"/>
  <c r="AI14" i="8"/>
  <c r="AI21" i="8"/>
  <c r="AI4" i="2"/>
  <c r="AI13" i="8"/>
  <c r="AB19" i="8"/>
  <c r="AC18" i="8"/>
  <c r="AC22" i="8"/>
  <c r="AC4" i="2"/>
  <c r="AC5" i="8" s="1"/>
  <c r="AI13" i="2"/>
  <c r="D53" i="6"/>
  <c r="D50" i="6"/>
  <c r="C50" i="6"/>
  <c r="F49" i="6"/>
  <c r="F48" i="6"/>
  <c r="F47" i="6"/>
  <c r="F46" i="6"/>
  <c r="F45" i="6"/>
  <c r="D43" i="6"/>
  <c r="C43" i="6"/>
  <c r="F42" i="6"/>
  <c r="F41" i="6"/>
  <c r="F40" i="6"/>
  <c r="F39" i="6"/>
  <c r="F38" i="6"/>
  <c r="AB22" i="2"/>
  <c r="AB43" i="2"/>
  <c r="AB41" i="2" s="1"/>
  <c r="AF9" i="3" l="1"/>
  <c r="AI9" i="3"/>
  <c r="AI7" i="8"/>
  <c r="AI14" i="3"/>
  <c r="AI13" i="3"/>
  <c r="AI19" i="3"/>
  <c r="AI23" i="3"/>
  <c r="AI24" i="3"/>
  <c r="AI25" i="3"/>
  <c r="AG25" i="8"/>
  <c r="AG13" i="3"/>
  <c r="AG14" i="3"/>
  <c r="AG19" i="3"/>
  <c r="AG23" i="3"/>
  <c r="AG24" i="3"/>
  <c r="AG25" i="3"/>
  <c r="AI7" i="3"/>
  <c r="AI26" i="3"/>
  <c r="AF25" i="8"/>
  <c r="AF13" i="3"/>
  <c r="AF14" i="3"/>
  <c r="AF23" i="3"/>
  <c r="AF24" i="3"/>
  <c r="AF25" i="3"/>
  <c r="AF19" i="3"/>
  <c r="AG9" i="3"/>
  <c r="AG26" i="3"/>
  <c r="AG7" i="3"/>
  <c r="AF7" i="3"/>
  <c r="AF26" i="3"/>
  <c r="AF6" i="3"/>
  <c r="AF8" i="3"/>
  <c r="AF18" i="3"/>
  <c r="AH6" i="8"/>
  <c r="AH26" i="3"/>
  <c r="AH8" i="3"/>
  <c r="AH7" i="3"/>
  <c r="AH6" i="3"/>
  <c r="AH18" i="3"/>
  <c r="AG5" i="8"/>
  <c r="AH4" i="8"/>
  <c r="AH5" i="8"/>
  <c r="AG7" i="8"/>
  <c r="AD9" i="3"/>
  <c r="AC7" i="3"/>
  <c r="AB9" i="3"/>
  <c r="AD6" i="3"/>
  <c r="AD8" i="3"/>
  <c r="AD26" i="3"/>
  <c r="AD7" i="3"/>
  <c r="AD5" i="8"/>
  <c r="AD7" i="8"/>
  <c r="AD6" i="8"/>
  <c r="AD24" i="8"/>
  <c r="AD4" i="8"/>
  <c r="AD18" i="3"/>
  <c r="AI12" i="8"/>
  <c r="AB25" i="8"/>
  <c r="AB25" i="3"/>
  <c r="AB23" i="3"/>
  <c r="AB14" i="3"/>
  <c r="AB13" i="3"/>
  <c r="AB24" i="3"/>
  <c r="AB19" i="3"/>
  <c r="AB26" i="3"/>
  <c r="AB6" i="3"/>
  <c r="AB7" i="3"/>
  <c r="AB8" i="3"/>
  <c r="AB24" i="8"/>
  <c r="AB5" i="8"/>
  <c r="AB7" i="8"/>
  <c r="AB4" i="8"/>
  <c r="AB6" i="8"/>
  <c r="AB18" i="3"/>
  <c r="C51" i="6"/>
  <c r="AA6" i="3"/>
  <c r="AA8" i="3"/>
  <c r="AA24" i="8"/>
  <c r="AA4" i="8"/>
  <c r="AA6" i="8"/>
  <c r="AA18" i="3"/>
  <c r="AI25" i="8"/>
  <c r="AI5" i="8"/>
  <c r="AE25" i="8"/>
  <c r="AE23" i="3"/>
  <c r="AE24" i="3"/>
  <c r="AE13" i="3"/>
  <c r="AE19" i="3"/>
  <c r="AE25" i="3"/>
  <c r="AE14" i="3"/>
  <c r="D51" i="6"/>
  <c r="D54" i="6" s="1"/>
  <c r="AC19" i="3"/>
  <c r="AC25" i="8"/>
  <c r="AC13" i="3"/>
  <c r="AC25" i="3"/>
  <c r="AC24" i="3"/>
  <c r="AC23" i="3"/>
  <c r="AC14" i="3"/>
  <c r="AD14" i="3"/>
  <c r="AD19" i="3"/>
  <c r="AD23" i="3"/>
  <c r="AD25" i="3"/>
  <c r="AD24" i="3"/>
  <c r="AD25" i="8"/>
  <c r="AD13" i="3"/>
  <c r="AC9" i="3"/>
  <c r="AE7" i="3"/>
  <c r="AE26" i="3"/>
  <c r="AE8" i="3"/>
  <c r="AE6" i="3"/>
  <c r="AE4" i="8"/>
  <c r="AE24" i="8"/>
  <c r="AE5" i="8"/>
  <c r="AE6" i="8"/>
  <c r="AE7" i="8"/>
  <c r="AE18" i="3"/>
  <c r="AC26" i="3"/>
  <c r="AH24" i="8"/>
  <c r="AH7" i="8"/>
  <c r="AF7" i="8"/>
  <c r="AF4" i="8"/>
  <c r="AF5" i="8"/>
  <c r="AF6" i="8"/>
  <c r="AF24" i="8"/>
  <c r="AC7" i="8"/>
  <c r="F50" i="6"/>
  <c r="F43" i="6"/>
  <c r="J26" i="6"/>
  <c r="J23" i="6"/>
  <c r="I23" i="6"/>
  <c r="L22" i="6"/>
  <c r="L21" i="6"/>
  <c r="L20" i="6"/>
  <c r="L19" i="6"/>
  <c r="L18" i="6"/>
  <c r="J16" i="6"/>
  <c r="I16" i="6"/>
  <c r="L15" i="6"/>
  <c r="L14" i="6"/>
  <c r="L13" i="6"/>
  <c r="L12" i="6"/>
  <c r="L11" i="6"/>
  <c r="AG22" i="3" l="1"/>
  <c r="AC22" i="3"/>
  <c r="AF22" i="3"/>
  <c r="AI22" i="3"/>
  <c r="AD22" i="3"/>
  <c r="AE22" i="3"/>
  <c r="AB22" i="3"/>
  <c r="AB12" i="8"/>
  <c r="I24" i="6"/>
  <c r="J24" i="6"/>
  <c r="J27" i="6" s="1"/>
  <c r="L23" i="6"/>
  <c r="F51" i="6"/>
  <c r="L16" i="6"/>
  <c r="L24" i="6" s="1"/>
  <c r="AA13" i="8"/>
  <c r="AA22" i="2"/>
  <c r="AA43" i="2"/>
  <c r="AA41" i="2" s="1"/>
  <c r="Z6" i="2" l="1"/>
  <c r="Z7" i="2"/>
  <c r="Z9" i="2"/>
  <c r="Z16" i="2"/>
  <c r="Z19" i="2"/>
  <c r="Z20" i="2"/>
  <c r="Z22" i="2"/>
  <c r="Z43" i="2"/>
  <c r="Z41" i="2" s="1"/>
  <c r="Z5" i="2" l="1"/>
  <c r="Z17" i="3" s="1"/>
  <c r="Y22" i="1"/>
  <c r="Z22" i="1"/>
  <c r="Y50" i="1"/>
  <c r="Y47" i="1"/>
  <c r="Z18" i="2" s="1"/>
  <c r="Z15" i="2" s="1"/>
  <c r="Z12" i="2" s="1"/>
  <c r="Y37" i="1"/>
  <c r="Y36" i="1"/>
  <c r="Z23" i="8" s="1"/>
  <c r="Y26" i="1"/>
  <c r="Z26" i="1"/>
  <c r="Y19" i="1"/>
  <c r="Z30" i="2" s="1"/>
  <c r="Z19" i="1"/>
  <c r="AA30" i="2" s="1"/>
  <c r="Y14" i="1"/>
  <c r="Z14" i="1"/>
  <c r="Y10" i="1"/>
  <c r="Z10" i="1"/>
  <c r="AA33" i="2" l="1"/>
  <c r="Z33" i="2"/>
  <c r="AA29" i="2"/>
  <c r="Z32" i="1"/>
  <c r="AA19" i="8" s="1"/>
  <c r="AA16" i="8"/>
  <c r="AA17" i="8"/>
  <c r="Z17" i="8"/>
  <c r="Z16" i="8"/>
  <c r="Z29" i="2"/>
  <c r="Y32" i="1"/>
  <c r="Z19" i="8" s="1"/>
  <c r="Y44" i="1"/>
  <c r="Z13" i="2"/>
  <c r="Z56" i="1"/>
  <c r="Z57" i="1" s="1"/>
  <c r="Y56" i="1"/>
  <c r="Z21" i="8" l="1"/>
  <c r="Y13" i="8"/>
  <c r="Y45" i="2"/>
  <c r="AA22" i="8"/>
  <c r="AA18" i="8"/>
  <c r="AA4" i="2"/>
  <c r="AA14" i="8"/>
  <c r="Z4" i="2"/>
  <c r="Z5" i="8" s="1"/>
  <c r="Z22" i="8"/>
  <c r="Z18" i="8"/>
  <c r="Z14" i="8"/>
  <c r="AA21" i="8"/>
  <c r="Z18" i="3"/>
  <c r="Z8" i="3"/>
  <c r="Z6" i="3"/>
  <c r="Z4" i="8"/>
  <c r="Z24" i="8"/>
  <c r="Z6" i="8"/>
  <c r="Y57" i="1"/>
  <c r="Y58" i="1" s="1"/>
  <c r="Z58" i="1"/>
  <c r="AA12" i="8"/>
  <c r="W10" i="8"/>
  <c r="D26" i="6"/>
  <c r="D23" i="6"/>
  <c r="C23" i="6"/>
  <c r="F22" i="6"/>
  <c r="F21" i="6"/>
  <c r="F20" i="6"/>
  <c r="F19" i="6"/>
  <c r="F18" i="6"/>
  <c r="D16" i="6"/>
  <c r="C16" i="6"/>
  <c r="F15" i="6"/>
  <c r="F14" i="6"/>
  <c r="F13" i="6"/>
  <c r="F12" i="6"/>
  <c r="F11" i="6"/>
  <c r="Z24" i="3" l="1"/>
  <c r="Z19" i="3"/>
  <c r="Z14" i="3"/>
  <c r="Z7" i="8"/>
  <c r="Z26" i="3"/>
  <c r="Z23" i="3"/>
  <c r="Z25" i="3"/>
  <c r="AA24" i="3"/>
  <c r="AA14" i="3"/>
  <c r="AA25" i="3"/>
  <c r="AA23" i="3"/>
  <c r="AA13" i="3"/>
  <c r="AA9" i="3"/>
  <c r="AA7" i="8"/>
  <c r="AA26" i="3"/>
  <c r="AA7" i="3"/>
  <c r="AA5" i="8"/>
  <c r="AA19" i="3"/>
  <c r="AA25" i="8"/>
  <c r="Z13" i="3"/>
  <c r="Z25" i="8"/>
  <c r="Z9" i="3"/>
  <c r="Z13" i="8"/>
  <c r="Z7" i="3"/>
  <c r="F23" i="6"/>
  <c r="C24" i="6"/>
  <c r="D24" i="6"/>
  <c r="D27" i="6" s="1"/>
  <c r="F16" i="6"/>
  <c r="V50" i="1"/>
  <c r="W50" i="1"/>
  <c r="X50" i="1"/>
  <c r="V47" i="1"/>
  <c r="W47" i="1"/>
  <c r="X47" i="1"/>
  <c r="V37" i="1"/>
  <c r="W37" i="1"/>
  <c r="X37" i="1"/>
  <c r="V36" i="1"/>
  <c r="W23" i="8" s="1"/>
  <c r="W36" i="1"/>
  <c r="X36" i="1"/>
  <c r="Y23" i="8" s="1"/>
  <c r="V26" i="1"/>
  <c r="W26" i="1"/>
  <c r="X26" i="1"/>
  <c r="V22" i="1"/>
  <c r="W22" i="1"/>
  <c r="X33" i="2" s="1"/>
  <c r="X22" i="1"/>
  <c r="V19" i="1"/>
  <c r="W19" i="1"/>
  <c r="X19" i="1"/>
  <c r="V14" i="1"/>
  <c r="W14" i="1"/>
  <c r="X14" i="1"/>
  <c r="V10" i="1"/>
  <c r="W10" i="1"/>
  <c r="X10" i="1"/>
  <c r="W33" i="2" l="1"/>
  <c r="Z22" i="3"/>
  <c r="Y33" i="2"/>
  <c r="AA22" i="3"/>
  <c r="Y16" i="8"/>
  <c r="Y17" i="8"/>
  <c r="F24" i="6"/>
  <c r="Z12" i="8"/>
  <c r="X56" i="1"/>
  <c r="X44" i="1"/>
  <c r="V56" i="1"/>
  <c r="X32" i="1"/>
  <c r="W56" i="1"/>
  <c r="W17" i="8"/>
  <c r="W16" i="8"/>
  <c r="V32" i="1"/>
  <c r="W44" i="1"/>
  <c r="W32" i="1"/>
  <c r="X21" i="8" s="1"/>
  <c r="V44" i="1"/>
  <c r="T10" i="8"/>
  <c r="U10" i="8"/>
  <c r="V10" i="8"/>
  <c r="X10" i="8"/>
  <c r="Y10" i="8"/>
  <c r="Z10" i="8"/>
  <c r="X16" i="8"/>
  <c r="X17" i="8"/>
  <c r="X23" i="8"/>
  <c r="T6" i="2"/>
  <c r="U6" i="2"/>
  <c r="V6" i="2"/>
  <c r="W6" i="2"/>
  <c r="X6" i="2"/>
  <c r="Y6" i="2"/>
  <c r="T7" i="2"/>
  <c r="U7" i="2"/>
  <c r="V7" i="2"/>
  <c r="W7" i="2"/>
  <c r="X7" i="2"/>
  <c r="Y7" i="2"/>
  <c r="T8" i="2"/>
  <c r="U8" i="2"/>
  <c r="V8" i="2"/>
  <c r="W8" i="2"/>
  <c r="X8" i="2"/>
  <c r="Y8" i="2"/>
  <c r="T9" i="2"/>
  <c r="U9" i="2"/>
  <c r="V9" i="2"/>
  <c r="W9" i="2"/>
  <c r="X9" i="2"/>
  <c r="Y9" i="2"/>
  <c r="T16" i="2"/>
  <c r="U16" i="2"/>
  <c r="V16" i="2"/>
  <c r="W16" i="2"/>
  <c r="X16" i="2"/>
  <c r="Y16" i="2"/>
  <c r="W18" i="2"/>
  <c r="X18" i="2"/>
  <c r="Y18" i="2"/>
  <c r="T19" i="2"/>
  <c r="U19" i="2"/>
  <c r="V19" i="2"/>
  <c r="W19" i="2"/>
  <c r="X19" i="2"/>
  <c r="Y19" i="2"/>
  <c r="T20" i="2"/>
  <c r="U20" i="2"/>
  <c r="V20" i="2"/>
  <c r="W20" i="2"/>
  <c r="X20" i="2"/>
  <c r="Y20" i="2"/>
  <c r="T22" i="2"/>
  <c r="U22" i="2"/>
  <c r="V22" i="2"/>
  <c r="W22" i="2"/>
  <c r="X22" i="2"/>
  <c r="Y22" i="2"/>
  <c r="T25" i="2"/>
  <c r="U25" i="2"/>
  <c r="V25" i="2"/>
  <c r="W25" i="2"/>
  <c r="X25" i="2"/>
  <c r="Y25" i="2"/>
  <c r="W30" i="2"/>
  <c r="X30" i="2"/>
  <c r="Y30" i="2"/>
  <c r="T37" i="2"/>
  <c r="U37" i="2"/>
  <c r="V37" i="2"/>
  <c r="W37" i="2"/>
  <c r="T39" i="2"/>
  <c r="U39" i="2"/>
  <c r="V39" i="2"/>
  <c r="W39" i="2"/>
  <c r="T42" i="2"/>
  <c r="U42" i="2"/>
  <c r="V42" i="2"/>
  <c r="W42" i="2"/>
  <c r="T43" i="2"/>
  <c r="U43" i="2"/>
  <c r="V43" i="2"/>
  <c r="W43" i="2"/>
  <c r="X43" i="2"/>
  <c r="Y43" i="2"/>
  <c r="Y41" i="2" s="1"/>
  <c r="T44" i="2"/>
  <c r="U44" i="2"/>
  <c r="V44" i="2"/>
  <c r="W44" i="2"/>
  <c r="S50" i="1"/>
  <c r="T50" i="1"/>
  <c r="U50" i="1"/>
  <c r="S47" i="1"/>
  <c r="T47" i="1"/>
  <c r="U18" i="2" s="1"/>
  <c r="U47" i="1"/>
  <c r="S37" i="1"/>
  <c r="T37" i="1"/>
  <c r="U37" i="1"/>
  <c r="S36" i="1"/>
  <c r="T23" i="8" s="1"/>
  <c r="T36" i="1"/>
  <c r="U23" i="8" s="1"/>
  <c r="U36" i="1"/>
  <c r="V23" i="8" s="1"/>
  <c r="S26" i="1"/>
  <c r="T26" i="1"/>
  <c r="U26" i="1"/>
  <c r="S22" i="1"/>
  <c r="T22" i="1"/>
  <c r="U22" i="1"/>
  <c r="S19" i="1"/>
  <c r="T30" i="2" s="1"/>
  <c r="T19" i="1"/>
  <c r="U30" i="2" s="1"/>
  <c r="U19" i="1"/>
  <c r="V30" i="2" s="1"/>
  <c r="S14" i="1"/>
  <c r="T14" i="1"/>
  <c r="U14" i="1"/>
  <c r="S10" i="1"/>
  <c r="T10" i="1"/>
  <c r="U10" i="1"/>
  <c r="V45" i="2"/>
  <c r="U38" i="2"/>
  <c r="V38" i="2"/>
  <c r="X38" i="2"/>
  <c r="X36" i="2" s="1"/>
  <c r="V33" i="2" l="1"/>
  <c r="U33" i="2"/>
  <c r="T33" i="2"/>
  <c r="T16" i="8"/>
  <c r="V57" i="1"/>
  <c r="V58" i="1" s="1"/>
  <c r="Y18" i="8"/>
  <c r="Y22" i="8"/>
  <c r="Y14" i="8"/>
  <c r="Y12" i="8"/>
  <c r="Y19" i="8"/>
  <c r="Y21" i="8"/>
  <c r="X57" i="1"/>
  <c r="X58" i="1" s="1"/>
  <c r="U16" i="8"/>
  <c r="U56" i="1"/>
  <c r="Y4" i="2"/>
  <c r="Y13" i="3" s="1"/>
  <c r="S56" i="1"/>
  <c r="V16" i="8"/>
  <c r="T56" i="1"/>
  <c r="W57" i="1"/>
  <c r="W58" i="1" s="1"/>
  <c r="V18" i="2"/>
  <c r="V15" i="2" s="1"/>
  <c r="V12" i="2" s="1"/>
  <c r="W22" i="8"/>
  <c r="W18" i="8"/>
  <c r="W19" i="8"/>
  <c r="W21" i="8"/>
  <c r="W14" i="8"/>
  <c r="U32" i="1"/>
  <c r="V19" i="8" s="1"/>
  <c r="S32" i="1"/>
  <c r="T18" i="8" s="1"/>
  <c r="V17" i="8"/>
  <c r="T17" i="8"/>
  <c r="T18" i="2"/>
  <c r="T15" i="2" s="1"/>
  <c r="T12" i="2" s="1"/>
  <c r="W4" i="2"/>
  <c r="W14" i="3" s="1"/>
  <c r="X19" i="8"/>
  <c r="X22" i="8"/>
  <c r="X18" i="8"/>
  <c r="X4" i="2"/>
  <c r="X19" i="3" s="1"/>
  <c r="W38" i="2"/>
  <c r="W36" i="2" s="1"/>
  <c r="X12" i="8"/>
  <c r="W45" i="2"/>
  <c r="W41" i="2" s="1"/>
  <c r="U45" i="2"/>
  <c r="U41" i="2" s="1"/>
  <c r="T29" i="2"/>
  <c r="U17" i="8"/>
  <c r="T32" i="1"/>
  <c r="U29" i="2"/>
  <c r="S44" i="1"/>
  <c r="X45" i="2"/>
  <c r="X41" i="2" s="1"/>
  <c r="T45" i="2"/>
  <c r="T41" i="2" s="1"/>
  <c r="V41" i="2"/>
  <c r="T38" i="2"/>
  <c r="T36" i="2" s="1"/>
  <c r="V36" i="2"/>
  <c r="X29" i="2"/>
  <c r="V29" i="2"/>
  <c r="X15" i="2"/>
  <c r="X12" i="2" s="1"/>
  <c r="X5" i="2"/>
  <c r="X17" i="3" s="1"/>
  <c r="V5" i="2"/>
  <c r="V17" i="3" s="1"/>
  <c r="T5" i="2"/>
  <c r="T17" i="3" s="1"/>
  <c r="X14" i="8"/>
  <c r="T44" i="1"/>
  <c r="U44" i="1"/>
  <c r="U36" i="2"/>
  <c r="Y29" i="2"/>
  <c r="W29" i="2"/>
  <c r="Y15" i="2"/>
  <c r="Y12" i="2" s="1"/>
  <c r="W15" i="2"/>
  <c r="W12" i="2" s="1"/>
  <c r="U15" i="2"/>
  <c r="U12" i="2" s="1"/>
  <c r="Y5" i="2"/>
  <c r="Y17" i="3" s="1"/>
  <c r="W5" i="2"/>
  <c r="W17" i="3" s="1"/>
  <c r="U5" i="2"/>
  <c r="U17" i="3" s="1"/>
  <c r="S10" i="8"/>
  <c r="V13" i="2" l="1"/>
  <c r="V4" i="8"/>
  <c r="Y13" i="2"/>
  <c r="X13" i="2"/>
  <c r="X9" i="3" s="1"/>
  <c r="U12" i="8"/>
  <c r="U57" i="1"/>
  <c r="U58" i="1" s="1"/>
  <c r="Y25" i="3"/>
  <c r="Y19" i="3"/>
  <c r="Y9" i="3"/>
  <c r="U13" i="8"/>
  <c r="Y25" i="8"/>
  <c r="T57" i="1"/>
  <c r="T58" i="1" s="1"/>
  <c r="S57" i="1"/>
  <c r="S58" i="1" s="1"/>
  <c r="Y14" i="3"/>
  <c r="T19" i="8"/>
  <c r="Y23" i="3"/>
  <c r="Y24" i="3"/>
  <c r="W23" i="3"/>
  <c r="U13" i="2"/>
  <c r="T13" i="8"/>
  <c r="X13" i="3"/>
  <c r="W13" i="3"/>
  <c r="V4" i="2"/>
  <c r="V25" i="8" s="1"/>
  <c r="T14" i="8"/>
  <c r="T22" i="8"/>
  <c r="X23" i="3"/>
  <c r="T21" i="8"/>
  <c r="T4" i="2"/>
  <c r="T14" i="3" s="1"/>
  <c r="W19" i="3"/>
  <c r="W25" i="3"/>
  <c r="U14" i="8"/>
  <c r="X25" i="8"/>
  <c r="U19" i="8"/>
  <c r="V22" i="8"/>
  <c r="V18" i="8"/>
  <c r="X14" i="3"/>
  <c r="X25" i="3"/>
  <c r="W12" i="8"/>
  <c r="W13" i="8"/>
  <c r="T13" i="2"/>
  <c r="T4" i="8"/>
  <c r="W5" i="8"/>
  <c r="W7" i="8"/>
  <c r="W24" i="8"/>
  <c r="W4" i="8"/>
  <c r="W6" i="8"/>
  <c r="V21" i="8"/>
  <c r="V14" i="8"/>
  <c r="W25" i="8"/>
  <c r="W24" i="3"/>
  <c r="X13" i="8"/>
  <c r="X24" i="3"/>
  <c r="W13" i="2"/>
  <c r="W9" i="3" s="1"/>
  <c r="V12" i="8"/>
  <c r="U24" i="8"/>
  <c r="U4" i="8"/>
  <c r="U6" i="8"/>
  <c r="U22" i="8"/>
  <c r="U4" i="2"/>
  <c r="U7" i="3" s="1"/>
  <c r="U18" i="8"/>
  <c r="U21" i="8"/>
  <c r="V13" i="8"/>
  <c r="T12" i="8"/>
  <c r="U6" i="3"/>
  <c r="U8" i="3"/>
  <c r="W7" i="3"/>
  <c r="W6" i="3"/>
  <c r="W8" i="3"/>
  <c r="W26" i="3"/>
  <c r="U18" i="3"/>
  <c r="W18" i="3"/>
  <c r="T18" i="3" l="1"/>
  <c r="T8" i="3"/>
  <c r="Y18" i="3"/>
  <c r="Y7" i="3"/>
  <c r="Y6" i="3"/>
  <c r="Y8" i="3"/>
  <c r="Y24" i="8"/>
  <c r="X18" i="3"/>
  <c r="X8" i="3"/>
  <c r="X7" i="3"/>
  <c r="X6" i="3"/>
  <c r="V8" i="3"/>
  <c r="Y5" i="8"/>
  <c r="V6" i="8"/>
  <c r="W22" i="3"/>
  <c r="Y4" i="8"/>
  <c r="Y22" i="3"/>
  <c r="V19" i="3"/>
  <c r="T23" i="3"/>
  <c r="Y6" i="8"/>
  <c r="Y7" i="8"/>
  <c r="Y26" i="3"/>
  <c r="T7" i="8"/>
  <c r="X6" i="8"/>
  <c r="X4" i="8"/>
  <c r="V14" i="3"/>
  <c r="V13" i="3"/>
  <c r="V7" i="3"/>
  <c r="T7" i="3"/>
  <c r="V24" i="3"/>
  <c r="T19" i="3"/>
  <c r="T24" i="3"/>
  <c r="V5" i="8"/>
  <c r="V18" i="3"/>
  <c r="T6" i="8"/>
  <c r="V9" i="3"/>
  <c r="V25" i="3"/>
  <c r="V23" i="3"/>
  <c r="T25" i="8"/>
  <c r="T25" i="3"/>
  <c r="T9" i="3"/>
  <c r="T13" i="3"/>
  <c r="X22" i="3"/>
  <c r="X26" i="3"/>
  <c r="V26" i="3"/>
  <c r="V6" i="3"/>
  <c r="T26" i="3"/>
  <c r="T6" i="3"/>
  <c r="V7" i="8"/>
  <c r="V24" i="8"/>
  <c r="T24" i="8"/>
  <c r="T5" i="8"/>
  <c r="X24" i="8"/>
  <c r="X7" i="8"/>
  <c r="X5" i="8"/>
  <c r="U13" i="3"/>
  <c r="U24" i="3"/>
  <c r="U14" i="3"/>
  <c r="U23" i="3"/>
  <c r="U25" i="3"/>
  <c r="U25" i="8"/>
  <c r="U19" i="3"/>
  <c r="U5" i="8"/>
  <c r="U9" i="3"/>
  <c r="U26" i="3"/>
  <c r="U7" i="8"/>
  <c r="S25" i="2"/>
  <c r="Q50" i="1"/>
  <c r="T22" i="3" l="1"/>
  <c r="V22" i="3"/>
  <c r="U22" i="3"/>
  <c r="R50" i="1"/>
  <c r="R47" i="1"/>
  <c r="R36" i="1"/>
  <c r="R31" i="1"/>
  <c r="R10" i="1"/>
  <c r="R19" i="1"/>
  <c r="R22" i="1"/>
  <c r="R35" i="5"/>
  <c r="R30" i="5" s="1"/>
  <c r="R46" i="5" s="1"/>
  <c r="R56" i="1" l="1"/>
  <c r="R26" i="1"/>
  <c r="S33" i="2" s="1"/>
  <c r="Q10" i="8"/>
  <c r="R10" i="8"/>
  <c r="Q6" i="2"/>
  <c r="R6" i="2"/>
  <c r="S6" i="2"/>
  <c r="Q7" i="2"/>
  <c r="R7" i="2"/>
  <c r="S7" i="2"/>
  <c r="Q8" i="2"/>
  <c r="R8" i="2"/>
  <c r="S8" i="2"/>
  <c r="Q9" i="2"/>
  <c r="R9" i="2"/>
  <c r="S9" i="2"/>
  <c r="Q16" i="2"/>
  <c r="R16" i="2"/>
  <c r="S16" i="2"/>
  <c r="S18" i="2"/>
  <c r="Q19" i="2"/>
  <c r="R19" i="2"/>
  <c r="S19" i="2"/>
  <c r="Q20" i="2"/>
  <c r="R20" i="2"/>
  <c r="S20" i="2"/>
  <c r="Q22" i="2"/>
  <c r="R22" i="2"/>
  <c r="S22" i="2"/>
  <c r="Q25" i="2"/>
  <c r="R25" i="2"/>
  <c r="S30" i="2"/>
  <c r="Q37" i="2"/>
  <c r="R37" i="2"/>
  <c r="S37" i="2"/>
  <c r="Q39" i="2"/>
  <c r="R39" i="2"/>
  <c r="S39" i="2"/>
  <c r="Q42" i="2"/>
  <c r="R42" i="2"/>
  <c r="S42" i="2"/>
  <c r="Q43" i="2"/>
  <c r="R43" i="2"/>
  <c r="S43" i="2"/>
  <c r="Q44" i="2"/>
  <c r="R44" i="2"/>
  <c r="S44" i="2"/>
  <c r="Q5" i="2" l="1"/>
  <c r="Q17" i="3" s="1"/>
  <c r="S5" i="2"/>
  <c r="R5" i="2"/>
  <c r="R17" i="3" s="1"/>
  <c r="S15" i="2"/>
  <c r="S12" i="2" s="1"/>
  <c r="S29" i="2"/>
  <c r="P6" i="2"/>
  <c r="P7" i="2"/>
  <c r="P8" i="2"/>
  <c r="P9" i="2"/>
  <c r="P16" i="2"/>
  <c r="P19" i="2"/>
  <c r="P20" i="2"/>
  <c r="P22" i="2"/>
  <c r="P25" i="2"/>
  <c r="P37" i="2"/>
  <c r="P39" i="2"/>
  <c r="P42" i="2"/>
  <c r="P43" i="2"/>
  <c r="P44" i="2"/>
  <c r="P10" i="8"/>
  <c r="S13" i="2" l="1"/>
  <c r="P5" i="2"/>
  <c r="P17" i="3" s="1"/>
  <c r="O10" i="8"/>
  <c r="K10" i="8" l="1"/>
  <c r="L10" i="8"/>
  <c r="M10" i="8"/>
  <c r="N10" i="8"/>
  <c r="K6" i="2"/>
  <c r="L6" i="2"/>
  <c r="M6" i="2"/>
  <c r="N6" i="2"/>
  <c r="O6" i="2"/>
  <c r="K7" i="2"/>
  <c r="L7" i="2"/>
  <c r="M7" i="2"/>
  <c r="N7" i="2"/>
  <c r="O7" i="2"/>
  <c r="K8" i="2"/>
  <c r="L8" i="2"/>
  <c r="M8" i="2"/>
  <c r="N8" i="2"/>
  <c r="O8" i="2"/>
  <c r="K9" i="2"/>
  <c r="L9" i="2"/>
  <c r="M9" i="2"/>
  <c r="N9" i="2"/>
  <c r="O9" i="2"/>
  <c r="K16" i="2"/>
  <c r="L16" i="2"/>
  <c r="M16" i="2"/>
  <c r="N16" i="2"/>
  <c r="O16" i="2"/>
  <c r="K19" i="2"/>
  <c r="L19" i="2"/>
  <c r="M19" i="2"/>
  <c r="N19" i="2"/>
  <c r="O19" i="2"/>
  <c r="K20" i="2"/>
  <c r="L20" i="2"/>
  <c r="M20" i="2"/>
  <c r="N20" i="2"/>
  <c r="O20" i="2"/>
  <c r="K22" i="2"/>
  <c r="L22" i="2"/>
  <c r="M22" i="2"/>
  <c r="N22" i="2"/>
  <c r="O22" i="2"/>
  <c r="K25" i="2"/>
  <c r="L25" i="2"/>
  <c r="M25" i="2"/>
  <c r="N25" i="2"/>
  <c r="O25" i="2"/>
  <c r="K37" i="2"/>
  <c r="L37" i="2"/>
  <c r="M37" i="2"/>
  <c r="N37" i="2"/>
  <c r="O37" i="2"/>
  <c r="K39" i="2"/>
  <c r="L39" i="2"/>
  <c r="M39" i="2"/>
  <c r="N39" i="2"/>
  <c r="O39" i="2"/>
  <c r="K42" i="2"/>
  <c r="L42" i="2"/>
  <c r="M42" i="2"/>
  <c r="N42" i="2"/>
  <c r="O42" i="2"/>
  <c r="K43" i="2"/>
  <c r="L43" i="2"/>
  <c r="M43" i="2"/>
  <c r="N43" i="2"/>
  <c r="O43" i="2"/>
  <c r="K44" i="2"/>
  <c r="L44" i="2"/>
  <c r="M44" i="2"/>
  <c r="N44" i="2"/>
  <c r="O44" i="2"/>
  <c r="Q10" i="1"/>
  <c r="Q14" i="1"/>
  <c r="Q19" i="1"/>
  <c r="Q22" i="1"/>
  <c r="Q26" i="1"/>
  <c r="Q36" i="1"/>
  <c r="R23" i="8" s="1"/>
  <c r="Q37" i="1"/>
  <c r="Q47" i="1"/>
  <c r="N10" i="1"/>
  <c r="O10" i="1"/>
  <c r="P10" i="1"/>
  <c r="N14" i="1"/>
  <c r="O14" i="1"/>
  <c r="P14" i="1"/>
  <c r="N19" i="1"/>
  <c r="O30" i="2" s="1"/>
  <c r="O19" i="1"/>
  <c r="P30" i="2" s="1"/>
  <c r="P19" i="1"/>
  <c r="Q30" i="2" s="1"/>
  <c r="N22" i="1"/>
  <c r="O22" i="1"/>
  <c r="P22" i="1"/>
  <c r="N26" i="1"/>
  <c r="O26" i="1"/>
  <c r="P26" i="1"/>
  <c r="N36" i="1"/>
  <c r="O23" i="8" s="1"/>
  <c r="O36" i="1"/>
  <c r="P23" i="8" s="1"/>
  <c r="P36" i="1"/>
  <c r="N37" i="1"/>
  <c r="O37" i="1"/>
  <c r="P37" i="1"/>
  <c r="N47" i="1"/>
  <c r="O18" i="2" s="1"/>
  <c r="O47" i="1"/>
  <c r="P47" i="1"/>
  <c r="Q18" i="2" s="1"/>
  <c r="Q15" i="2" s="1"/>
  <c r="Q12" i="2" s="1"/>
  <c r="N50" i="1"/>
  <c r="O50" i="1"/>
  <c r="P50" i="1"/>
  <c r="R11" i="5"/>
  <c r="R10" i="5" s="1"/>
  <c r="R26" i="5" s="1"/>
  <c r="R36" i="5" s="1"/>
  <c r="R40" i="5" s="1"/>
  <c r="R42" i="5" s="1"/>
  <c r="R44" i="5" s="1"/>
  <c r="N11" i="5"/>
  <c r="N10" i="5" s="1"/>
  <c r="N26" i="5" s="1"/>
  <c r="N36" i="5" s="1"/>
  <c r="N40" i="5" s="1"/>
  <c r="N42" i="5" s="1"/>
  <c r="N44" i="5" s="1"/>
  <c r="O11" i="5"/>
  <c r="O10" i="5" s="1"/>
  <c r="O26" i="5" s="1"/>
  <c r="O36" i="5" s="1"/>
  <c r="O40" i="5" s="1"/>
  <c r="O42" i="5" s="1"/>
  <c r="O44" i="5" s="1"/>
  <c r="P11" i="5"/>
  <c r="P10" i="5" s="1"/>
  <c r="P26" i="5" s="1"/>
  <c r="P36" i="5" s="1"/>
  <c r="P40" i="5" s="1"/>
  <c r="P42" i="5" s="1"/>
  <c r="P44" i="5" s="1"/>
  <c r="Q11" i="5"/>
  <c r="Q10" i="5" s="1"/>
  <c r="Q26" i="5" s="1"/>
  <c r="Q36" i="5" s="1"/>
  <c r="Q40" i="5" s="1"/>
  <c r="Q42" i="5" s="1"/>
  <c r="Q44" i="5" s="1"/>
  <c r="O38" i="2"/>
  <c r="P38" i="2"/>
  <c r="P36" i="2" s="1"/>
  <c r="Q38" i="2"/>
  <c r="Q36" i="2" s="1"/>
  <c r="R38" i="2"/>
  <c r="R36" i="2" s="1"/>
  <c r="Q33" i="2" l="1"/>
  <c r="R33" i="2"/>
  <c r="P33" i="2"/>
  <c r="O33" i="2"/>
  <c r="O44" i="1"/>
  <c r="M5" i="2"/>
  <c r="M17" i="3" s="1"/>
  <c r="Q45" i="2"/>
  <c r="Q41" i="2" s="1"/>
  <c r="O29" i="2"/>
  <c r="Q16" i="8"/>
  <c r="Q17" i="8"/>
  <c r="R18" i="2"/>
  <c r="R15" i="2" s="1"/>
  <c r="R12" i="2" s="1"/>
  <c r="R45" i="2"/>
  <c r="R41" i="2" s="1"/>
  <c r="O56" i="1"/>
  <c r="P18" i="2"/>
  <c r="P15" i="2" s="1"/>
  <c r="P12" i="2" s="1"/>
  <c r="P29" i="2"/>
  <c r="Q56" i="1"/>
  <c r="P45" i="2"/>
  <c r="P41" i="2" s="1"/>
  <c r="S38" i="2"/>
  <c r="S36" i="2" s="1"/>
  <c r="N56" i="1"/>
  <c r="P44" i="1"/>
  <c r="Q23" i="8"/>
  <c r="P17" i="8"/>
  <c r="P16" i="8"/>
  <c r="R30" i="2"/>
  <c r="L5" i="2"/>
  <c r="L17" i="3" s="1"/>
  <c r="R17" i="8"/>
  <c r="R16" i="8"/>
  <c r="O45" i="2"/>
  <c r="O41" i="2" s="1"/>
  <c r="Q13" i="2"/>
  <c r="Q29" i="2"/>
  <c r="O17" i="8"/>
  <c r="O16" i="8"/>
  <c r="P32" i="1"/>
  <c r="Q21" i="8" s="1"/>
  <c r="P56" i="1"/>
  <c r="O32" i="1"/>
  <c r="O5" i="2"/>
  <c r="O17" i="3" s="1"/>
  <c r="Q32" i="1"/>
  <c r="R14" i="8" s="1"/>
  <c r="N5" i="2"/>
  <c r="N17" i="3" s="1"/>
  <c r="K5" i="2"/>
  <c r="K17" i="3" s="1"/>
  <c r="Q44" i="1"/>
  <c r="O36" i="2"/>
  <c r="O15" i="2"/>
  <c r="O12" i="2" s="1"/>
  <c r="N44" i="1"/>
  <c r="N57" i="1" s="1"/>
  <c r="N32" i="1"/>
  <c r="O14" i="8" s="1"/>
  <c r="O57" i="1" l="1"/>
  <c r="O58" i="1" s="1"/>
  <c r="P57" i="1"/>
  <c r="P58" i="1" s="1"/>
  <c r="Q13" i="8"/>
  <c r="N58" i="1"/>
  <c r="Q57" i="1"/>
  <c r="Q58" i="1" s="1"/>
  <c r="P4" i="2"/>
  <c r="P22" i="8"/>
  <c r="P18" i="8"/>
  <c r="Q4" i="8"/>
  <c r="Q6" i="8"/>
  <c r="Q6" i="3"/>
  <c r="Q8" i="3"/>
  <c r="Q24" i="8"/>
  <c r="Q18" i="3"/>
  <c r="R22" i="8"/>
  <c r="R4" i="2"/>
  <c r="R18" i="8"/>
  <c r="Q12" i="8"/>
  <c r="R19" i="8"/>
  <c r="P19" i="8"/>
  <c r="P14" i="8"/>
  <c r="R21" i="8"/>
  <c r="P12" i="8"/>
  <c r="Q18" i="8"/>
  <c r="Q4" i="2"/>
  <c r="Q5" i="8" s="1"/>
  <c r="Q22" i="8"/>
  <c r="R29" i="2"/>
  <c r="R13" i="8"/>
  <c r="P21" i="8"/>
  <c r="P13" i="2"/>
  <c r="O4" i="8"/>
  <c r="O24" i="8"/>
  <c r="O6" i="8"/>
  <c r="R12" i="8"/>
  <c r="O4" i="2"/>
  <c r="O25" i="8" s="1"/>
  <c r="O22" i="8"/>
  <c r="O18" i="8"/>
  <c r="O19" i="8"/>
  <c r="O21" i="8"/>
  <c r="P13" i="8"/>
  <c r="R13" i="2"/>
  <c r="Q19" i="8"/>
  <c r="Q14" i="8"/>
  <c r="O13" i="8"/>
  <c r="O13" i="2"/>
  <c r="O8" i="3"/>
  <c r="O6" i="3"/>
  <c r="O18" i="3"/>
  <c r="L11" i="5"/>
  <c r="L10" i="5" s="1"/>
  <c r="L26" i="5" s="1"/>
  <c r="L36" i="5" s="1"/>
  <c r="L40" i="5" s="1"/>
  <c r="L42" i="5" s="1"/>
  <c r="L44" i="5" s="1"/>
  <c r="M11" i="5"/>
  <c r="M10" i="5" s="1"/>
  <c r="M26" i="5" s="1"/>
  <c r="M36" i="5" s="1"/>
  <c r="M40" i="5" s="1"/>
  <c r="M42" i="5" s="1"/>
  <c r="M44" i="5" s="1"/>
  <c r="M38" i="2"/>
  <c r="M36" i="2" s="1"/>
  <c r="N38" i="2"/>
  <c r="N36" i="2" s="1"/>
  <c r="L10" i="1"/>
  <c r="M10" i="1"/>
  <c r="L14" i="1"/>
  <c r="M14" i="1"/>
  <c r="L19" i="1"/>
  <c r="M30" i="2" s="1"/>
  <c r="M19" i="1"/>
  <c r="N30" i="2" s="1"/>
  <c r="L22" i="1"/>
  <c r="M22" i="1"/>
  <c r="L26" i="1"/>
  <c r="M26" i="1"/>
  <c r="L36" i="1"/>
  <c r="M23" i="8" s="1"/>
  <c r="M36" i="1"/>
  <c r="N23" i="8" s="1"/>
  <c r="L37" i="1"/>
  <c r="M37" i="1"/>
  <c r="L47" i="1"/>
  <c r="M18" i="2" s="1"/>
  <c r="M15" i="2" s="1"/>
  <c r="M12" i="2" s="1"/>
  <c r="M47" i="1"/>
  <c r="L50" i="1"/>
  <c r="M50" i="1"/>
  <c r="N33" i="2" l="1"/>
  <c r="M33" i="2"/>
  <c r="O9" i="3"/>
  <c r="M44" i="1"/>
  <c r="R9" i="3"/>
  <c r="O14" i="3"/>
  <c r="P9" i="3"/>
  <c r="O7" i="8"/>
  <c r="O24" i="3"/>
  <c r="P6" i="3"/>
  <c r="P8" i="3"/>
  <c r="P26" i="3"/>
  <c r="P7" i="3"/>
  <c r="P18" i="3"/>
  <c r="P7" i="8"/>
  <c r="P6" i="8"/>
  <c r="P24" i="8"/>
  <c r="P4" i="8"/>
  <c r="P5" i="8"/>
  <c r="Q25" i="3"/>
  <c r="Q23" i="3"/>
  <c r="Q14" i="3"/>
  <c r="Q24" i="3"/>
  <c r="Q13" i="3"/>
  <c r="Q25" i="8"/>
  <c r="Q19" i="3"/>
  <c r="Q9" i="3"/>
  <c r="R13" i="3"/>
  <c r="R14" i="3"/>
  <c r="R24" i="3"/>
  <c r="R25" i="3"/>
  <c r="R23" i="3"/>
  <c r="O7" i="3"/>
  <c r="O23" i="3"/>
  <c r="O25" i="3"/>
  <c r="R24" i="8"/>
  <c r="R7" i="3"/>
  <c r="R6" i="3"/>
  <c r="R4" i="8"/>
  <c r="R6" i="8"/>
  <c r="R8" i="3"/>
  <c r="R26" i="3"/>
  <c r="R5" i="8"/>
  <c r="R7" i="8"/>
  <c r="R18" i="3"/>
  <c r="O5" i="8"/>
  <c r="R25" i="8"/>
  <c r="Q7" i="3"/>
  <c r="O26" i="3"/>
  <c r="O13" i="3"/>
  <c r="O19" i="3"/>
  <c r="R19" i="3"/>
  <c r="Q7" i="8"/>
  <c r="Q26" i="3"/>
  <c r="P25" i="8"/>
  <c r="P14" i="3"/>
  <c r="P13" i="3"/>
  <c r="P23" i="3"/>
  <c r="P25" i="3"/>
  <c r="P24" i="3"/>
  <c r="P19" i="3"/>
  <c r="O12" i="8"/>
  <c r="N29" i="2"/>
  <c r="N16" i="8"/>
  <c r="N17" i="8"/>
  <c r="N45" i="2"/>
  <c r="N41" i="2" s="1"/>
  <c r="M13" i="2"/>
  <c r="L44" i="1"/>
  <c r="M16" i="8"/>
  <c r="M17" i="8"/>
  <c r="M29" i="2"/>
  <c r="M45" i="2"/>
  <c r="M41" i="2" s="1"/>
  <c r="M56" i="1"/>
  <c r="N18" i="2"/>
  <c r="N15" i="2" s="1"/>
  <c r="N12" i="2" s="1"/>
  <c r="M32" i="1"/>
  <c r="L56" i="1"/>
  <c r="L32" i="1"/>
  <c r="M14" i="8" s="1"/>
  <c r="K11" i="5"/>
  <c r="K10" i="5" s="1"/>
  <c r="K26" i="5" s="1"/>
  <c r="K36" i="5" s="1"/>
  <c r="K40" i="5" s="1"/>
  <c r="K42" i="5" s="1"/>
  <c r="K44" i="5" s="1"/>
  <c r="L38" i="2"/>
  <c r="L36" i="2" s="1"/>
  <c r="K10" i="1"/>
  <c r="K14" i="1"/>
  <c r="K19" i="1"/>
  <c r="L30" i="2" s="1"/>
  <c r="K22" i="1"/>
  <c r="K26" i="1"/>
  <c r="K36" i="1"/>
  <c r="L23" i="8" s="1"/>
  <c r="K37" i="1"/>
  <c r="K47" i="1"/>
  <c r="L18" i="2" s="1"/>
  <c r="L15" i="2" s="1"/>
  <c r="L12" i="2" s="1"/>
  <c r="K50" i="1"/>
  <c r="M57" i="1" l="1"/>
  <c r="M58" i="1" s="1"/>
  <c r="L33" i="2"/>
  <c r="Q22" i="3"/>
  <c r="O22" i="3"/>
  <c r="P22" i="3"/>
  <c r="R22" i="3"/>
  <c r="M21" i="8"/>
  <c r="M19" i="8"/>
  <c r="N13" i="8"/>
  <c r="N13" i="2"/>
  <c r="L57" i="1"/>
  <c r="L58" i="1" s="1"/>
  <c r="L13" i="2"/>
  <c r="M12" i="8"/>
  <c r="N4" i="2"/>
  <c r="N18" i="8"/>
  <c r="N22" i="8"/>
  <c r="M4" i="8"/>
  <c r="M6" i="8"/>
  <c r="M24" i="8"/>
  <c r="M6" i="3"/>
  <c r="M8" i="3"/>
  <c r="M18" i="3"/>
  <c r="N19" i="8"/>
  <c r="L16" i="8"/>
  <c r="L17" i="8"/>
  <c r="L29" i="2"/>
  <c r="L45" i="2"/>
  <c r="L41" i="2" s="1"/>
  <c r="M18" i="8"/>
  <c r="M22" i="8"/>
  <c r="M4" i="2"/>
  <c r="N12" i="8"/>
  <c r="N21" i="8"/>
  <c r="M13" i="8"/>
  <c r="N14" i="8"/>
  <c r="K56" i="1"/>
  <c r="K44" i="1"/>
  <c r="K32" i="1"/>
  <c r="L18" i="8" l="1"/>
  <c r="L22" i="8"/>
  <c r="L4" i="2"/>
  <c r="L9" i="3" s="1"/>
  <c r="N14" i="3"/>
  <c r="N23" i="3"/>
  <c r="N13" i="3"/>
  <c r="N24" i="3"/>
  <c r="N25" i="3"/>
  <c r="N19" i="3"/>
  <c r="N25" i="8"/>
  <c r="M24" i="3"/>
  <c r="M23" i="3"/>
  <c r="M14" i="3"/>
  <c r="M13" i="3"/>
  <c r="M25" i="3"/>
  <c r="M25" i="8"/>
  <c r="M19" i="3"/>
  <c r="M7" i="8"/>
  <c r="M26" i="3"/>
  <c r="N26" i="3"/>
  <c r="N24" i="8"/>
  <c r="N6" i="3"/>
  <c r="N8" i="3"/>
  <c r="N7" i="3"/>
  <c r="N4" i="8"/>
  <c r="N5" i="8"/>
  <c r="N6" i="8"/>
  <c r="N7" i="8"/>
  <c r="N18" i="3"/>
  <c r="L14" i="8"/>
  <c r="M7" i="3"/>
  <c r="L4" i="8"/>
  <c r="L6" i="8"/>
  <c r="L24" i="8"/>
  <c r="L6" i="3"/>
  <c r="L8" i="3"/>
  <c r="L18" i="3"/>
  <c r="N9" i="3"/>
  <c r="L19" i="8"/>
  <c r="L21" i="8"/>
  <c r="L12" i="8"/>
  <c r="L13" i="8"/>
  <c r="M9" i="3"/>
  <c r="M5" i="8"/>
  <c r="K57" i="1"/>
  <c r="K58" i="1" s="1"/>
  <c r="L7" i="3" l="1"/>
  <c r="L5" i="8"/>
  <c r="L26" i="3"/>
  <c r="L7" i="8"/>
  <c r="M22" i="3"/>
  <c r="L14" i="3"/>
  <c r="L24" i="3"/>
  <c r="L25" i="3"/>
  <c r="L23" i="3"/>
  <c r="L13" i="3"/>
  <c r="L25" i="8"/>
  <c r="L19" i="3"/>
  <c r="N22" i="3"/>
  <c r="J11" i="5"/>
  <c r="J10" i="5" s="1"/>
  <c r="J26" i="5" s="1"/>
  <c r="J36" i="5" s="1"/>
  <c r="J40" i="5" s="1"/>
  <c r="J42" i="5" s="1"/>
  <c r="J44" i="5" s="1"/>
  <c r="K38" i="2"/>
  <c r="K36" i="2" s="1"/>
  <c r="L22" i="3" l="1"/>
  <c r="K45" i="2"/>
  <c r="K41" i="2" s="1"/>
  <c r="K13" i="8" l="1"/>
  <c r="J10" i="1"/>
  <c r="J14" i="1"/>
  <c r="J19" i="1"/>
  <c r="K30" i="2" s="1"/>
  <c r="J22" i="1"/>
  <c r="J26" i="1"/>
  <c r="J36" i="1"/>
  <c r="K23" i="8" s="1"/>
  <c r="J37" i="1"/>
  <c r="J47" i="1"/>
  <c r="K18" i="2" s="1"/>
  <c r="K15" i="2" s="1"/>
  <c r="K12" i="2" s="1"/>
  <c r="J50" i="1"/>
  <c r="K33" i="2" l="1"/>
  <c r="K13" i="2"/>
  <c r="K16" i="8"/>
  <c r="K17" i="8"/>
  <c r="K29" i="2"/>
  <c r="J56" i="1"/>
  <c r="J44" i="1"/>
  <c r="J32" i="1"/>
  <c r="K18" i="8" l="1"/>
  <c r="K22" i="8"/>
  <c r="K4" i="2"/>
  <c r="K9" i="3" s="1"/>
  <c r="K14" i="8"/>
  <c r="K12" i="8"/>
  <c r="K4" i="8"/>
  <c r="K5" i="8"/>
  <c r="K6" i="8"/>
  <c r="K24" i="8"/>
  <c r="K6" i="3"/>
  <c r="K8" i="3"/>
  <c r="K18" i="3"/>
  <c r="J57" i="1"/>
  <c r="J58" i="1" s="1"/>
  <c r="K19" i="8"/>
  <c r="K21" i="8"/>
  <c r="J10" i="8"/>
  <c r="J6" i="2"/>
  <c r="J7" i="2"/>
  <c r="J8" i="2"/>
  <c r="J9" i="2"/>
  <c r="J16" i="2"/>
  <c r="J19" i="2"/>
  <c r="J20" i="2"/>
  <c r="J22" i="2"/>
  <c r="J25" i="2"/>
  <c r="J37" i="2"/>
  <c r="J39" i="2"/>
  <c r="J42" i="2"/>
  <c r="J43" i="2"/>
  <c r="J44" i="2"/>
  <c r="J45" i="2"/>
  <c r="J38" i="2"/>
  <c r="I11" i="5"/>
  <c r="I10" i="5" s="1"/>
  <c r="I26" i="5" s="1"/>
  <c r="I36" i="5" s="1"/>
  <c r="I40" i="5" s="1"/>
  <c r="I42" i="5" s="1"/>
  <c r="I44" i="5" s="1"/>
  <c r="K7" i="3" l="1"/>
  <c r="K26" i="3"/>
  <c r="J5" i="2"/>
  <c r="J17" i="3" s="1"/>
  <c r="K14" i="3"/>
  <c r="K13" i="3"/>
  <c r="K25" i="3"/>
  <c r="K24" i="3"/>
  <c r="K23" i="3"/>
  <c r="K19" i="3"/>
  <c r="K25" i="8"/>
  <c r="K7" i="8"/>
  <c r="J36" i="2"/>
  <c r="J41" i="2"/>
  <c r="J13" i="8" l="1"/>
  <c r="K22" i="3"/>
  <c r="I50" i="1"/>
  <c r="I47" i="1"/>
  <c r="I37" i="1"/>
  <c r="I36" i="1"/>
  <c r="I26" i="1"/>
  <c r="I22" i="1"/>
  <c r="J33" i="2" s="1"/>
  <c r="I19" i="1"/>
  <c r="J30" i="2" s="1"/>
  <c r="I14" i="1"/>
  <c r="I10" i="1"/>
  <c r="I32" i="1" l="1"/>
  <c r="J21" i="8" s="1"/>
  <c r="I44" i="1"/>
  <c r="J23" i="8"/>
  <c r="J17" i="8"/>
  <c r="J16" i="8"/>
  <c r="J29" i="2"/>
  <c r="I56" i="1"/>
  <c r="J18" i="2"/>
  <c r="J15" i="2" s="1"/>
  <c r="J12" i="2" s="1"/>
  <c r="G25" i="2"/>
  <c r="F6" i="2"/>
  <c r="G6" i="2"/>
  <c r="H6" i="2"/>
  <c r="I6" i="2"/>
  <c r="F7" i="2"/>
  <c r="G7" i="2"/>
  <c r="H7" i="2"/>
  <c r="I7" i="2"/>
  <c r="F8" i="2"/>
  <c r="G8" i="2"/>
  <c r="H8" i="2"/>
  <c r="I8" i="2"/>
  <c r="F9" i="2"/>
  <c r="G9" i="2"/>
  <c r="H9" i="2"/>
  <c r="I9" i="2"/>
  <c r="G16" i="2"/>
  <c r="H16" i="2"/>
  <c r="I16" i="2"/>
  <c r="F19" i="2"/>
  <c r="G19" i="2"/>
  <c r="H19" i="2"/>
  <c r="I19" i="2"/>
  <c r="F20" i="2"/>
  <c r="G20" i="2"/>
  <c r="H20" i="2"/>
  <c r="I20" i="2"/>
  <c r="F22" i="2"/>
  <c r="G22" i="2"/>
  <c r="H22" i="2"/>
  <c r="I22" i="2"/>
  <c r="H25" i="2"/>
  <c r="I25" i="2"/>
  <c r="G37" i="2"/>
  <c r="H37" i="2"/>
  <c r="I37" i="2"/>
  <c r="F39" i="2"/>
  <c r="G39" i="2"/>
  <c r="H39" i="2"/>
  <c r="I39" i="2"/>
  <c r="F42" i="2"/>
  <c r="G42" i="2"/>
  <c r="H42" i="2"/>
  <c r="I42" i="2"/>
  <c r="F43" i="2"/>
  <c r="G43" i="2"/>
  <c r="H43" i="2"/>
  <c r="I43" i="2"/>
  <c r="F44" i="2"/>
  <c r="G44" i="2"/>
  <c r="H44" i="2"/>
  <c r="I44" i="2"/>
  <c r="J19" i="8" l="1"/>
  <c r="I57" i="1"/>
  <c r="I58" i="1" s="1"/>
  <c r="I5" i="2"/>
  <c r="I17" i="3" s="1"/>
  <c r="H5" i="2"/>
  <c r="H17" i="3" s="1"/>
  <c r="J13" i="2"/>
  <c r="G5" i="2"/>
  <c r="G17" i="3" s="1"/>
  <c r="I10" i="8"/>
  <c r="F5" i="2"/>
  <c r="J22" i="8"/>
  <c r="J18" i="8"/>
  <c r="J4" i="2"/>
  <c r="J14" i="8"/>
  <c r="J12" i="8"/>
  <c r="J4" i="8" l="1"/>
  <c r="J6" i="3"/>
  <c r="J26" i="3"/>
  <c r="J6" i="8"/>
  <c r="J7" i="3"/>
  <c r="J7" i="8"/>
  <c r="J24" i="8"/>
  <c r="J8" i="3"/>
  <c r="J5" i="8"/>
  <c r="J18" i="3"/>
  <c r="J25" i="3"/>
  <c r="J24" i="3"/>
  <c r="J23" i="3"/>
  <c r="J14" i="3"/>
  <c r="J13" i="3"/>
  <c r="J25" i="8"/>
  <c r="J19" i="3"/>
  <c r="J9" i="3"/>
  <c r="I38" i="2"/>
  <c r="I36" i="2" s="1"/>
  <c r="H11" i="5"/>
  <c r="H10" i="5" s="1"/>
  <c r="H26" i="5" s="1"/>
  <c r="H36" i="5" s="1"/>
  <c r="H40" i="5" s="1"/>
  <c r="H42" i="5" s="1"/>
  <c r="H44" i="5" s="1"/>
  <c r="I45" i="2" l="1"/>
  <c r="I41" i="2" s="1"/>
  <c r="J22" i="3"/>
  <c r="H50" i="1"/>
  <c r="H47" i="1"/>
  <c r="H37" i="1"/>
  <c r="H36" i="1"/>
  <c r="I23" i="8" s="1"/>
  <c r="H26" i="1"/>
  <c r="H22" i="1"/>
  <c r="H19" i="1"/>
  <c r="I30" i="2" s="1"/>
  <c r="I29" i="2" s="1"/>
  <c r="H14" i="1"/>
  <c r="H10" i="1"/>
  <c r="G50" i="1"/>
  <c r="G47" i="1"/>
  <c r="G37" i="1"/>
  <c r="G36" i="1"/>
  <c r="H23" i="8" s="1"/>
  <c r="G26" i="1"/>
  <c r="G22" i="1"/>
  <c r="G19" i="1"/>
  <c r="H30" i="2" s="1"/>
  <c r="H29" i="2" s="1"/>
  <c r="G14" i="1"/>
  <c r="G10" i="1"/>
  <c r="H38" i="2"/>
  <c r="H36" i="2" s="1"/>
  <c r="G11" i="5"/>
  <c r="G10" i="5" s="1"/>
  <c r="G26" i="5" s="1"/>
  <c r="G36" i="5" s="1"/>
  <c r="G40" i="5" s="1"/>
  <c r="G42" i="5" s="1"/>
  <c r="G44" i="5" s="1"/>
  <c r="I33" i="2" l="1"/>
  <c r="H33" i="2"/>
  <c r="I13" i="8"/>
  <c r="I16" i="8"/>
  <c r="I17" i="8"/>
  <c r="G56" i="1"/>
  <c r="H18" i="2"/>
  <c r="H15" i="2" s="1"/>
  <c r="H12" i="2" s="1"/>
  <c r="H45" i="2"/>
  <c r="H41" i="2" s="1"/>
  <c r="H16" i="8"/>
  <c r="H17" i="8"/>
  <c r="H56" i="1"/>
  <c r="I18" i="2"/>
  <c r="I15" i="2" s="1"/>
  <c r="I12" i="2" s="1"/>
  <c r="G32" i="1"/>
  <c r="G44" i="1"/>
  <c r="H32" i="1"/>
  <c r="H44" i="1"/>
  <c r="F11" i="5"/>
  <c r="F10" i="5" s="1"/>
  <c r="F26" i="5" s="1"/>
  <c r="F36" i="5" s="1"/>
  <c r="F40" i="5" s="1"/>
  <c r="F42" i="5" s="1"/>
  <c r="F44" i="5" s="1"/>
  <c r="H57" i="1" l="1"/>
  <c r="H58" i="1" s="1"/>
  <c r="H13" i="8"/>
  <c r="I13" i="2"/>
  <c r="G45" i="2"/>
  <c r="G41" i="2" s="1"/>
  <c r="G57" i="1"/>
  <c r="G58" i="1" s="1"/>
  <c r="G38" i="2"/>
  <c r="G36" i="2" s="1"/>
  <c r="H13" i="2"/>
  <c r="I18" i="8"/>
  <c r="I14" i="8"/>
  <c r="I19" i="8"/>
  <c r="I12" i="8"/>
  <c r="I22" i="8"/>
  <c r="I21" i="8"/>
  <c r="I4" i="2"/>
  <c r="H22" i="8"/>
  <c r="H21" i="8"/>
  <c r="H4" i="2"/>
  <c r="H14" i="8"/>
  <c r="H19" i="8"/>
  <c r="H18" i="8"/>
  <c r="F50" i="1"/>
  <c r="F47" i="1"/>
  <c r="F37" i="1"/>
  <c r="F36" i="1"/>
  <c r="G23" i="8" s="1"/>
  <c r="F26" i="1"/>
  <c r="F22" i="1"/>
  <c r="G33" i="2" s="1"/>
  <c r="F19" i="1"/>
  <c r="G30" i="2" s="1"/>
  <c r="G29" i="2" s="1"/>
  <c r="F14" i="1"/>
  <c r="F10" i="1"/>
  <c r="H12" i="8" l="1"/>
  <c r="G13" i="8"/>
  <c r="F32" i="1"/>
  <c r="G21" i="8" s="1"/>
  <c r="G17" i="8"/>
  <c r="G16" i="8"/>
  <c r="F56" i="1"/>
  <c r="G18" i="2"/>
  <c r="G15" i="2" s="1"/>
  <c r="G12" i="2" s="1"/>
  <c r="H8" i="3"/>
  <c r="H6" i="8"/>
  <c r="H6" i="3"/>
  <c r="H4" i="8"/>
  <c r="H24" i="8"/>
  <c r="H18" i="3"/>
  <c r="I18" i="3"/>
  <c r="I6" i="3"/>
  <c r="I6" i="8"/>
  <c r="I8" i="3"/>
  <c r="I24" i="8"/>
  <c r="I4" i="8"/>
  <c r="I25" i="8"/>
  <c r="I9" i="3"/>
  <c r="I13" i="3"/>
  <c r="I14" i="3"/>
  <c r="I19" i="3"/>
  <c r="I23" i="3"/>
  <c r="I24" i="3"/>
  <c r="I25" i="3"/>
  <c r="I7" i="8"/>
  <c r="I7" i="3"/>
  <c r="I5" i="8"/>
  <c r="I26" i="3"/>
  <c r="H25" i="8"/>
  <c r="H9" i="3"/>
  <c r="H13" i="3"/>
  <c r="H14" i="3"/>
  <c r="H19" i="3"/>
  <c r="H23" i="3"/>
  <c r="H24" i="3"/>
  <c r="H25" i="3"/>
  <c r="H7" i="3"/>
  <c r="H7" i="8"/>
  <c r="H26" i="3"/>
  <c r="H5" i="8"/>
  <c r="F44" i="1"/>
  <c r="E35" i="5"/>
  <c r="G19" i="8" l="1"/>
  <c r="G18" i="8"/>
  <c r="G4" i="2"/>
  <c r="G25" i="8" s="1"/>
  <c r="G12" i="8"/>
  <c r="G22" i="8"/>
  <c r="G14" i="8"/>
  <c r="H22" i="3"/>
  <c r="I22" i="3"/>
  <c r="F57" i="1"/>
  <c r="F58" i="1" s="1"/>
  <c r="G13" i="2"/>
  <c r="E39" i="1"/>
  <c r="E49" i="1"/>
  <c r="E20" i="1"/>
  <c r="F31" i="2" s="1"/>
  <c r="E13" i="1"/>
  <c r="G9" i="3" l="1"/>
  <c r="G25" i="3"/>
  <c r="G14" i="3"/>
  <c r="G23" i="3"/>
  <c r="G24" i="3"/>
  <c r="G19" i="3"/>
  <c r="G13" i="3"/>
  <c r="G7" i="3"/>
  <c r="G4" i="8"/>
  <c r="G18" i="3"/>
  <c r="G8" i="3"/>
  <c r="G24" i="8"/>
  <c r="G6" i="8"/>
  <c r="G6" i="3"/>
  <c r="G26" i="3"/>
  <c r="G7" i="8"/>
  <c r="G5" i="8"/>
  <c r="E37" i="5"/>
  <c r="E25" i="5"/>
  <c r="E19" i="5" s="1"/>
  <c r="E14" i="5"/>
  <c r="F38" i="2" s="1"/>
  <c r="E32" i="5"/>
  <c r="E27" i="5"/>
  <c r="E31" i="5"/>
  <c r="E12" i="5"/>
  <c r="E50" i="1"/>
  <c r="E47" i="1"/>
  <c r="F18" i="2" s="1"/>
  <c r="E45" i="1"/>
  <c r="F16" i="2" s="1"/>
  <c r="E38" i="1"/>
  <c r="E42" i="1"/>
  <c r="E36" i="1"/>
  <c r="E28" i="1"/>
  <c r="E22" i="1"/>
  <c r="E19" i="1"/>
  <c r="F30" i="2" s="1"/>
  <c r="E16" i="1"/>
  <c r="E18" i="1"/>
  <c r="E10" i="1"/>
  <c r="E26" i="1" l="1"/>
  <c r="F33" i="2" s="1"/>
  <c r="F34" i="2"/>
  <c r="F26" i="2"/>
  <c r="F25" i="2" s="1"/>
  <c r="F17" i="3" s="1"/>
  <c r="G22" i="3"/>
  <c r="F15" i="2"/>
  <c r="F12" i="2" s="1"/>
  <c r="E30" i="5"/>
  <c r="F45" i="2" s="1"/>
  <c r="F41" i="2" s="1"/>
  <c r="E11" i="5"/>
  <c r="E10" i="5" s="1"/>
  <c r="F37" i="2"/>
  <c r="F36" i="2" s="1"/>
  <c r="F29" i="2"/>
  <c r="F23" i="8"/>
  <c r="E14" i="1"/>
  <c r="E37" i="1"/>
  <c r="F16" i="8" s="1"/>
  <c r="E56" i="1"/>
  <c r="E26" i="7"/>
  <c r="D26" i="7"/>
  <c r="E32" i="1" l="1"/>
  <c r="F4" i="2" s="1"/>
  <c r="F23" i="3" s="1"/>
  <c r="F13" i="2"/>
  <c r="F9" i="3" s="1"/>
  <c r="F26" i="3"/>
  <c r="E46" i="5"/>
  <c r="E26" i="5"/>
  <c r="E36" i="5" s="1"/>
  <c r="E40" i="5" s="1"/>
  <c r="E42" i="5" s="1"/>
  <c r="E44" i="5" s="1"/>
  <c r="O3" i="5"/>
  <c r="F14" i="3"/>
  <c r="F13" i="3"/>
  <c r="F6" i="3"/>
  <c r="F19" i="3"/>
  <c r="F21" i="8"/>
  <c r="E44" i="1"/>
  <c r="F17" i="8"/>
  <c r="F19" i="8"/>
  <c r="F18" i="8"/>
  <c r="F22" i="8" l="1"/>
  <c r="F25" i="3"/>
  <c r="F24" i="3"/>
  <c r="F22" i="3" s="1"/>
  <c r="F14" i="8"/>
  <c r="F7" i="3"/>
  <c r="F8" i="3"/>
  <c r="F18" i="3"/>
  <c r="F13" i="8"/>
  <c r="F12" i="8"/>
  <c r="F25" i="8"/>
  <c r="E57" i="1"/>
  <c r="F5" i="8"/>
  <c r="F24" i="8" l="1"/>
  <c r="F6" i="8"/>
  <c r="F4" i="8"/>
  <c r="F7" i="8"/>
  <c r="E58" i="1"/>
  <c r="C47" i="1" l="1"/>
  <c r="D18" i="2" s="1"/>
  <c r="E16" i="2"/>
  <c r="E19" i="2"/>
  <c r="E20" i="2"/>
  <c r="D20" i="2"/>
  <c r="D19" i="2"/>
  <c r="D16" i="2"/>
  <c r="D9" i="2"/>
  <c r="E6" i="2"/>
  <c r="E7" i="2"/>
  <c r="E8" i="2"/>
  <c r="D8" i="2"/>
  <c r="D7" i="2"/>
  <c r="D6" i="2"/>
  <c r="E16" i="8"/>
  <c r="E17" i="8"/>
  <c r="D37" i="5"/>
  <c r="C37" i="5"/>
  <c r="D35" i="5"/>
  <c r="D30" i="5" s="1"/>
  <c r="C30" i="5"/>
  <c r="D27" i="5"/>
  <c r="C27" i="5"/>
  <c r="D21" i="5"/>
  <c r="D19" i="5" s="1"/>
  <c r="C21" i="5"/>
  <c r="C19" i="5" s="1"/>
  <c r="D14" i="5"/>
  <c r="C14" i="5"/>
  <c r="D11" i="5"/>
  <c r="C11" i="5"/>
  <c r="D50" i="1"/>
  <c r="D49" i="1"/>
  <c r="D47" i="1" s="1"/>
  <c r="E18" i="2" s="1"/>
  <c r="D43" i="1"/>
  <c r="E9" i="2" s="1"/>
  <c r="D40" i="1"/>
  <c r="D36" i="1"/>
  <c r="D26" i="1"/>
  <c r="E33" i="2" s="1"/>
  <c r="D19" i="1"/>
  <c r="D18" i="1"/>
  <c r="C56" i="1"/>
  <c r="C50" i="1"/>
  <c r="C37" i="1"/>
  <c r="C36" i="1"/>
  <c r="C26" i="1"/>
  <c r="D33" i="2" s="1"/>
  <c r="C19" i="1"/>
  <c r="C18" i="1"/>
  <c r="C14" i="1" s="1"/>
  <c r="D46" i="5" l="1"/>
  <c r="E26" i="2"/>
  <c r="D14" i="1"/>
  <c r="D32" i="1" s="1"/>
  <c r="C46" i="5"/>
  <c r="C10" i="5"/>
  <c r="C26" i="5" s="1"/>
  <c r="C36" i="5" s="1"/>
  <c r="C40" i="5" s="1"/>
  <c r="C42" i="5" s="1"/>
  <c r="C44" i="5" s="1"/>
  <c r="D10" i="5"/>
  <c r="D26" i="5" s="1"/>
  <c r="D36" i="5" s="1"/>
  <c r="D40" i="5" s="1"/>
  <c r="D42" i="5" s="1"/>
  <c r="D44" i="5" s="1"/>
  <c r="E23" i="8"/>
  <c r="C44" i="1"/>
  <c r="C57" i="1" s="1"/>
  <c r="D56" i="1"/>
  <c r="D15" i="2"/>
  <c r="D12" i="2" s="1"/>
  <c r="E15" i="2"/>
  <c r="E12" i="2" s="1"/>
  <c r="D26" i="2"/>
  <c r="E25" i="2"/>
  <c r="D5" i="2"/>
  <c r="E5" i="2"/>
  <c r="D37" i="1"/>
  <c r="D44" i="1" s="1"/>
  <c r="C32" i="1"/>
  <c r="E13" i="8" l="1"/>
  <c r="D13" i="8"/>
  <c r="C58" i="1"/>
  <c r="D22" i="8"/>
  <c r="D19" i="8"/>
  <c r="D14" i="8"/>
  <c r="D12" i="8"/>
  <c r="D18" i="8"/>
  <c r="D4" i="2"/>
  <c r="D57" i="1"/>
  <c r="D58" i="1" s="1"/>
  <c r="D21" i="8"/>
  <c r="E21" i="8"/>
  <c r="E22" i="8"/>
  <c r="E18" i="8"/>
  <c r="E19" i="8"/>
  <c r="E12" i="8"/>
  <c r="E14" i="8"/>
  <c r="E4" i="2"/>
  <c r="D43" i="2" l="1"/>
  <c r="E37" i="2" l="1"/>
  <c r="E22" i="2"/>
  <c r="E31" i="2"/>
  <c r="E39" i="2"/>
  <c r="E43" i="2"/>
  <c r="E44" i="2"/>
  <c r="E42" i="2" l="1"/>
  <c r="E38" i="2"/>
  <c r="E36" i="2" s="1"/>
  <c r="E30" i="2"/>
  <c r="E17" i="3" l="1"/>
  <c r="E29" i="2"/>
  <c r="E45" i="2"/>
  <c r="E41" i="2" s="1"/>
  <c r="E13" i="2" l="1"/>
  <c r="E18" i="3" l="1"/>
  <c r="E4" i="8"/>
  <c r="E6" i="8"/>
  <c r="E24" i="8"/>
  <c r="E6" i="3"/>
  <c r="E8" i="3"/>
  <c r="E25" i="8"/>
  <c r="E7" i="8" l="1"/>
  <c r="E5" i="8"/>
  <c r="E25" i="3"/>
  <c r="E24" i="3"/>
  <c r="E23" i="3"/>
  <c r="E19" i="3"/>
  <c r="E26" i="3"/>
  <c r="E7" i="3"/>
  <c r="E14" i="3"/>
  <c r="E13" i="3"/>
  <c r="E9" i="3"/>
  <c r="E22" i="3" l="1"/>
  <c r="D38" i="2" l="1"/>
  <c r="D44" i="2"/>
  <c r="D42" i="2"/>
  <c r="D39" i="2"/>
  <c r="D31" i="2"/>
  <c r="D30" i="2"/>
  <c r="D25" i="2"/>
  <c r="D22" i="2"/>
  <c r="D37" i="2" l="1"/>
  <c r="D36" i="2" s="1"/>
  <c r="D29" i="2"/>
  <c r="D45" i="2" l="1"/>
  <c r="D41" i="2" s="1"/>
  <c r="D17" i="3"/>
  <c r="D16" i="8"/>
  <c r="D17" i="8" l="1"/>
  <c r="D23" i="8"/>
  <c r="D6" i="8" l="1"/>
  <c r="D13" i="2"/>
  <c r="D13" i="3"/>
  <c r="D18" i="3" l="1"/>
  <c r="D24" i="8"/>
  <c r="D8" i="3"/>
  <c r="D4" i="8"/>
  <c r="D6" i="3"/>
  <c r="D25" i="8"/>
  <c r="D5" i="8"/>
  <c r="D7" i="8"/>
  <c r="D7" i="3"/>
  <c r="D23" i="3"/>
  <c r="D19" i="3"/>
  <c r="D25" i="3"/>
  <c r="D24" i="3"/>
  <c r="D14" i="3"/>
  <c r="D26" i="3"/>
  <c r="D9" i="3"/>
  <c r="D22" i="3" l="1"/>
  <c r="S45" i="2" l="1"/>
  <c r="S41" i="2" s="1"/>
  <c r="S13" i="8"/>
  <c r="S23" i="8"/>
  <c r="R14" i="1"/>
  <c r="S17" i="3" l="1"/>
  <c r="S18" i="3"/>
  <c r="S8" i="3"/>
  <c r="S6" i="3"/>
  <c r="R32" i="1"/>
  <c r="S18" i="8" s="1"/>
  <c r="S6" i="8"/>
  <c r="S4" i="8"/>
  <c r="S24" i="8"/>
  <c r="S12" i="8" l="1"/>
  <c r="S4" i="2"/>
  <c r="S21" i="8"/>
  <c r="S22" i="8"/>
  <c r="S14" i="8"/>
  <c r="S19" i="8"/>
  <c r="R37" i="1"/>
  <c r="I1" i="2" l="1"/>
  <c r="S14" i="3"/>
  <c r="S24" i="3"/>
  <c r="S25" i="3"/>
  <c r="S13" i="3"/>
  <c r="S23" i="3"/>
  <c r="S19" i="3"/>
  <c r="S9" i="3"/>
  <c r="S26" i="3"/>
  <c r="S7" i="3"/>
  <c r="S7" i="8"/>
  <c r="S25" i="8"/>
  <c r="S5" i="8"/>
  <c r="S16" i="8"/>
  <c r="S17" i="8"/>
  <c r="R44" i="1"/>
  <c r="R57" i="1" s="1"/>
  <c r="S22" i="3" l="1"/>
  <c r="R58" i="1"/>
  <c r="AY19" i="5" l="1"/>
  <c r="AY26" i="5" s="1"/>
  <c r="AY36" i="5" l="1"/>
  <c r="AY40" i="5" s="1"/>
  <c r="AZ13" i="8"/>
  <c r="AY46" i="5"/>
  <c r="AY42" i="5" l="1"/>
  <c r="AY44" i="5" s="1"/>
  <c r="AZ12" i="8"/>
</calcChain>
</file>

<file path=xl/sharedStrings.xml><?xml version="1.0" encoding="utf-8"?>
<sst xmlns="http://schemas.openxmlformats.org/spreadsheetml/2006/main" count="834" uniqueCount="309">
  <si>
    <t>FORM 6 SASRA2/006</t>
  </si>
  <si>
    <t xml:space="preserve"> STATEMENT OF FINANCIAL POSITION</t>
  </si>
  <si>
    <t>NAME OF SACCO SOCIETY:  ECO PILLAR (KAPENGURIA TEACHERS)</t>
  </si>
  <si>
    <t xml:space="preserve">FINANCIAL YEAR </t>
  </si>
  <si>
    <t>START DATE:</t>
  </si>
  <si>
    <t>END DATE:</t>
  </si>
  <si>
    <t>AUDITED 2012</t>
  </si>
  <si>
    <t>AUDITED 2013</t>
  </si>
  <si>
    <t>Audited 2014</t>
  </si>
  <si>
    <t>Audited 2015</t>
  </si>
  <si>
    <t>Audited 2017</t>
  </si>
  <si>
    <t>Aud-18</t>
  </si>
  <si>
    <t>Audited 2019</t>
  </si>
  <si>
    <t>Audited 2020</t>
  </si>
  <si>
    <t>Audited 2021</t>
  </si>
  <si>
    <t>Dec 2022 Audited</t>
  </si>
  <si>
    <t>Ref No</t>
  </si>
  <si>
    <t>ASSETS</t>
  </si>
  <si>
    <t>Cash &amp; Cash Equivalent</t>
  </si>
  <si>
    <t>Cash in hand(both local and foreign notes and coins)</t>
  </si>
  <si>
    <t>Cash at bank:(placement with financial institutions)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</si>
  <si>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</si>
  <si>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</si>
  <si>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</si>
  <si>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</si>
  <si>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3.3a</t>
  </si>
  <si>
    <t>Balances with other SACCO Societies</t>
  </si>
  <si>
    <t>3.3b</t>
  </si>
  <si>
    <t xml:space="preserve">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</si>
  <si>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</si>
  <si>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</si>
  <si>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</si>
  <si>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</si>
  <si>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</si>
  <si>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</si>
  <si>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</si>
  <si>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</si>
  <si>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</si>
  <si>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</si>
  <si>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</si>
  <si>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</si>
  <si>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</si>
  <si>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</si>
  <si>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</si>
  <si>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</si>
  <si>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</si>
  <si>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</si>
  <si>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</si>
  <si>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</si>
  <si>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</si>
  <si>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</si>
  <si>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</si>
  <si>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</si>
  <si>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</si>
  <si>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</si>
  <si>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</si>
  <si>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</si>
  <si>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</si>
  <si>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</si>
  <si>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</si>
  <si>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</si>
  <si>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</si>
  <si>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</si>
  <si>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</si>
  <si>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</si>
  <si>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</si>
  <si>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</si>
  <si>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</si>
  <si>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r>
      <t>Note:</t>
    </r>
    <r>
      <rPr>
        <sz val="9"/>
        <rFont val="Cambria"/>
        <family val="1"/>
        <scheme val="major"/>
      </rPr>
      <t xml:space="preserve"> This return should be received within 15 days after end of the month. </t>
    </r>
  </si>
  <si>
    <t>AUTHORIZATION:</t>
  </si>
  <si>
    <t xml:space="preserve"> We declare that this return, to the best of our knowledge and belief is correct.</t>
  </si>
  <si>
    <t>…………………………………………………..sign……………………………..date……………………..</t>
  </si>
  <si>
    <t>name of authorizing officer</t>
  </si>
  <si>
    <t>name of countersigning officer</t>
  </si>
  <si>
    <t>/</t>
  </si>
  <si>
    <t>//</t>
  </si>
  <si>
    <t>FORM  7 SASRA/007</t>
  </si>
  <si>
    <t>STATEMENT OF COMPREHENSIVE INCOME</t>
  </si>
  <si>
    <t>NAME OF SACCO SOCIETY:   ECO-PILLAR</t>
  </si>
  <si>
    <t>Ref No.</t>
  </si>
  <si>
    <t xml:space="preserve"> AUDITED 2013</t>
  </si>
  <si>
    <t>Audit 2015</t>
  </si>
  <si>
    <t>Audited -19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</si>
  <si>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</si>
  <si>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</si>
  <si>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</si>
  <si>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</si>
  <si>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</si>
  <si>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</si>
  <si>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</si>
  <si>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</si>
  <si>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</si>
  <si>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</si>
  <si>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</si>
  <si>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</si>
  <si>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</si>
  <si>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</si>
  <si>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</si>
  <si>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</si>
  <si>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</si>
  <si>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</si>
  <si>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</si>
  <si>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</si>
  <si>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</si>
  <si>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</si>
  <si>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</si>
  <si>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</si>
  <si>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</si>
  <si>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</si>
  <si>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</si>
  <si>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</si>
  <si>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</si>
  <si>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</si>
  <si>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0"/>
        <rFont val="Cambria"/>
        <family val="1"/>
        <scheme val="major"/>
      </rPr>
      <t>(Incomes taxes &amp; Other payable to KRA)</t>
    </r>
  </si>
  <si>
    <t>Net Income (After Taxes before Donations)</t>
  </si>
  <si>
    <t>Donations</t>
  </si>
  <si>
    <t>Net Income/(After Taxes and Donations)</t>
  </si>
  <si>
    <r>
      <t>Note:</t>
    </r>
    <r>
      <rPr>
        <sz val="10"/>
        <rFont val="Cambria"/>
        <family val="1"/>
        <scheme val="major"/>
      </rPr>
      <t xml:space="preserve"> This return should be received within 15 days after end of the month.</t>
    </r>
  </si>
  <si>
    <t>Name of Authorizing Officer</t>
  </si>
  <si>
    <t>Name of Countersigning Officer</t>
  </si>
  <si>
    <t>Eco-Pillar Sacco Ltd Financial Performance &amp; Projections</t>
  </si>
  <si>
    <t>FINANCIAL SOUNDNESS INDICATORS</t>
  </si>
  <si>
    <t>Prudential Std</t>
  </si>
  <si>
    <t>Audited 2012</t>
  </si>
  <si>
    <t>Audited 2013</t>
  </si>
  <si>
    <t>Audited 14</t>
  </si>
  <si>
    <t>Aud-20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</si>
  <si>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</si>
  <si>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</si>
  <si>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</si>
  <si>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</si>
  <si>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</si>
  <si>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</si>
  <si>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</si>
  <si>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Institutional/Total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</si>
  <si>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</si>
  <si>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</si>
  <si>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</si>
  <si>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</si>
  <si>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</si>
  <si>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</si>
  <si>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>Property and Equipment/TA</t>
  </si>
  <si>
    <t>≤ 5%</t>
  </si>
  <si>
    <t>Earning Assets</t>
  </si>
  <si>
    <t>2.2.1</t>
  </si>
  <si>
    <t>Non-Govt Securities/Deposits</t>
  </si>
  <si>
    <t>2.2.2</t>
  </si>
  <si>
    <t>Non-Govt Securities/Core Capital</t>
  </si>
  <si>
    <t>≤ 40%</t>
  </si>
  <si>
    <t>2.2.3</t>
  </si>
  <si>
    <t>Gross Loans &amp; advances /Total assets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</si>
  <si>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</si>
  <si>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</si>
  <si>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</si>
  <si>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</si>
  <si>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</si>
  <si>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</si>
  <si>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</si>
  <si>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</si>
  <si>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Core capital/total assets</t>
  </si>
  <si>
    <t>GROWTH RATIOS</t>
  </si>
  <si>
    <t>Total Deposits</t>
  </si>
  <si>
    <t>4.2.1</t>
  </si>
  <si>
    <t>BOSA Deposits</t>
  </si>
  <si>
    <t>4.2.2</t>
  </si>
  <si>
    <t>FOSA Deposits</t>
  </si>
  <si>
    <t>Total Loans &amp; advances</t>
  </si>
  <si>
    <t>Core capital</t>
  </si>
  <si>
    <t>Turnover</t>
  </si>
  <si>
    <t>Expenses</t>
  </si>
  <si>
    <t xml:space="preserve">Efficiency Ratios </t>
  </si>
  <si>
    <t>OpEx/Average Total Assets</t>
  </si>
  <si>
    <t>Opex/Turnover</t>
  </si>
  <si>
    <t xml:space="preserve">Avge yield on Net loans </t>
  </si>
  <si>
    <t xml:space="preserve">Avge yield on Gross loans </t>
  </si>
  <si>
    <t>Eco Pillar Sacco Ltd Financial Performance &amp; Projections</t>
  </si>
  <si>
    <t>Year</t>
  </si>
  <si>
    <t>2013 AUDITED</t>
  </si>
  <si>
    <t>Membership</t>
  </si>
  <si>
    <t>Deposits-Members(BOSA)</t>
  </si>
  <si>
    <t>Deposits-Customers(FOSA)</t>
  </si>
  <si>
    <t>Short term</t>
  </si>
  <si>
    <t>External Borrowing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</si>
  <si>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</si>
  <si>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</si>
  <si>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</si>
  <si>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</si>
  <si>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</si>
  <si>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</si>
  <si>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</si>
  <si>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</si>
  <si>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</si>
  <si>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5.3.5</t>
  </si>
  <si>
    <t>Statutory Reserves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</si>
  <si>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</si>
  <si>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</si>
  <si>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</si>
  <si>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</si>
  <si>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</si>
  <si>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</si>
  <si>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</si>
  <si>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</si>
  <si>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Quoted - Mumias, Safaricom, Co-op Bank</t>
  </si>
  <si>
    <t>Unquoted Shares - Co-op Bank, CIC, KNFC, CODIC</t>
  </si>
  <si>
    <t>Equity investments</t>
  </si>
  <si>
    <t>Net Loans &amp; Advances</t>
  </si>
  <si>
    <t>Gross Loans &amp; advances</t>
  </si>
  <si>
    <t>Allowance for loan losses</t>
  </si>
  <si>
    <t>Non-Earning Assets</t>
  </si>
  <si>
    <t>Property and Equipment</t>
  </si>
  <si>
    <t>Loan Interest</t>
  </si>
  <si>
    <t>Income from investments</t>
  </si>
  <si>
    <t>Fees &amp; Commissions</t>
  </si>
  <si>
    <t>Fianacial and Operating costs</t>
  </si>
  <si>
    <t>Interest expense on deposits</t>
  </si>
  <si>
    <t>Dividend expense on share capital</t>
  </si>
  <si>
    <t>Interest expense on borrowed funds</t>
  </si>
  <si>
    <t>Opperating expenses</t>
  </si>
  <si>
    <t>;/l</t>
  </si>
  <si>
    <t>:"/;//</t>
  </si>
  <si>
    <t>RISK CLASSIFICATION OF ASSETS AND PROVISIONING</t>
  </si>
  <si>
    <t>SACCO SOCIETY CS NUMBER</t>
  </si>
  <si>
    <t>2690</t>
  </si>
  <si>
    <t>30/6/2018</t>
  </si>
  <si>
    <t>31/3/2016</t>
  </si>
  <si>
    <t>30/6/2016</t>
  </si>
  <si>
    <t xml:space="preserve">                                                            PORTFOLIO AGEING REPORT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</si>
  <si>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</si>
  <si>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</si>
  <si>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</si>
  <si>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</si>
  <si>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</si>
  <si>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</si>
  <si>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</si>
  <si>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</si>
  <si>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</si>
  <si>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</si>
  <si>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</si>
  <si>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</si>
  <si>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</si>
  <si>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</si>
  <si>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</si>
  <si>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</si>
  <si>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</si>
  <si>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</si>
  <si>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NPL</t>
  </si>
  <si>
    <t>1/1/2016</t>
  </si>
  <si>
    <t>1/1/2017</t>
  </si>
  <si>
    <t>30/3/2018</t>
  </si>
  <si>
    <t>30/9/2016</t>
  </si>
  <si>
    <t>30/3/2017</t>
  </si>
  <si>
    <t>30/6/2017</t>
  </si>
  <si>
    <t>FORM 3 SASRA2/003</t>
  </si>
  <si>
    <t>STATEMENT OF DEPOSIT RETURN</t>
  </si>
  <si>
    <t>1/1/2014</t>
  </si>
  <si>
    <t>31/12/2014</t>
  </si>
  <si>
    <t>NO.</t>
  </si>
  <si>
    <t>RANGE</t>
  </si>
  <si>
    <t>TYPE OF DEPOSIT</t>
  </si>
  <si>
    <t>AMOUNT IN Kshs'000'</t>
  </si>
  <si>
    <t>less than 50,000</t>
  </si>
  <si>
    <t>non withdraw-able</t>
  </si>
  <si>
    <t>savings</t>
  </si>
  <si>
    <t>term</t>
  </si>
  <si>
    <t>50,000 to 100,000</t>
  </si>
  <si>
    <t>100,000 to 300,000</t>
  </si>
  <si>
    <t>300,000 to 1,000,000</t>
  </si>
  <si>
    <t>Over 1,000,000</t>
  </si>
  <si>
    <t>TOTAL</t>
  </si>
  <si>
    <t>ECO-PILLAR SACCO CAELS</t>
  </si>
  <si>
    <t>2012 Audited</t>
  </si>
  <si>
    <t>2013 Audited</t>
  </si>
  <si>
    <t>CAPITAL ADEQUACY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</si>
  <si>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</si>
  <si>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</si>
  <si>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</si>
  <si>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</si>
  <si>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</si>
  <si>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</si>
  <si>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</si>
  <si>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</si>
  <si>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</si>
  <si>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</si>
  <si>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</si>
  <si>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</si>
  <si>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</si>
  <si>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</si>
  <si>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</si>
  <si>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</si>
  <si>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Technical LIQ ratio</t>
  </si>
  <si>
    <t>External Borrowing ratio</t>
  </si>
  <si>
    <t>Max 25%</t>
  </si>
  <si>
    <t>Liquid Assets to TA ratio</t>
  </si>
  <si>
    <t>STRUCTURE</t>
  </si>
  <si>
    <t>Non-earning Asset ratio</t>
  </si>
  <si>
    <t>Max 10%</t>
  </si>
  <si>
    <t>Land and Building ratio</t>
  </si>
  <si>
    <t>Max 5%</t>
  </si>
  <si>
    <t>Non-Government Investment to Deposit ratio</t>
  </si>
  <si>
    <t>Non-Government Investment to Core Capital ratio</t>
  </si>
  <si>
    <t>Max 40%</t>
  </si>
  <si>
    <t>Gross loans/TA</t>
  </si>
  <si>
    <t>PAR</t>
  </si>
  <si>
    <t>FORM 4 SASRA2/004</t>
  </si>
  <si>
    <t>1/1/2020</t>
  </si>
  <si>
    <t>30/6/2020</t>
  </si>
  <si>
    <t>31/3/2020</t>
  </si>
  <si>
    <t xml:space="preserve">Note: This return should be received on or before the 15th day of the month following end of every  quarter </t>
  </si>
  <si>
    <t>30/9/2020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</si>
</sst>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.00_);_(* \(#,##0.00\);_(* \-??_);_(@_)"/>
    <numFmt numFmtId="167" formatCode="d/mmm/yy"/>
    <numFmt numFmtId="168" formatCode="\£#,##0;&quot;-£&quot;#,##0"/>
    <numFmt numFmtId="169" formatCode="_-* #,##0.00_-;\-* #,##0.00_-;_-* \-??_-;_-@_-"/>
    <numFmt numFmtId="170" formatCode="0.0"/>
    <numFmt numFmtId="171" formatCode="_(&quot;$&quot;\ * #,##0_);_(&quot;$&quot;\ * \(#,##0\);_(&quot;$&quot;\ * &quot;-&quot;_);_(@_)"/>
    <numFmt numFmtId="172" formatCode="0.00_)"/>
    <numFmt numFmtId="173" formatCode="0.000_)"/>
    <numFmt numFmtId="174" formatCode="_(* #,##0_);_(* \(#,##0\);_(* &quot;-&quot;??_);_(@_)"/>
    <numFmt numFmtId="175" formatCode="0.0%"/>
    <numFmt numFmtId="176" formatCode="_(* #,##0.0_);_(* \(#,##0.0\);_(* \-??_);_(@_)"/>
    <numFmt numFmtId="177" formatCode="_(* #,##0.0_);_(* \(#,##0.0\);_(* &quot;-&quot;??_);_(@_)"/>
    <numFmt numFmtId="178" formatCode="[$-10409]#,##0.00;\-\ #,##0.00"/>
    <numFmt numFmtId="179" formatCode="[$-10409]0.00;\-\ 0.00"/>
    <numFmt numFmtId="180" formatCode="_(* #,##0_);_(* \(#,##0\);_(* \-??_);_(@_)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0"/>
      <name val="Arial Narrow"/>
      <family val="2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name val="Times New Roman"/>
      <family val="1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Tms Rmn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0"/>
      <name val="Lohit Hindi"/>
      <family val="2"/>
    </font>
    <font>
      <sz val="12"/>
      <name val="Cambria"/>
      <family val="1"/>
    </font>
    <font>
      <b/>
      <sz val="12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sz val="10"/>
      <name val="Cambria"/>
      <family val="1"/>
    </font>
    <font>
      <b/>
      <sz val="10"/>
      <name val="Arial"/>
      <family val="2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i/>
      <sz val="9"/>
      <color theme="1"/>
      <name val="Cambria"/>
      <family val="1"/>
      <scheme val="major"/>
    </font>
    <font>
      <i/>
      <sz val="9"/>
      <name val="Cambria"/>
      <family val="1"/>
      <scheme val="major"/>
    </font>
    <font>
      <b/>
      <i/>
      <sz val="9"/>
      <color theme="1"/>
      <name val="Cambria"/>
      <family val="1"/>
      <scheme val="major"/>
    </font>
    <font>
      <sz val="10"/>
      <name val="Arial"/>
      <family val="2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i/>
      <sz val="10"/>
      <name val="Cambria"/>
      <family val="1"/>
      <scheme val="major"/>
    </font>
    <font>
      <sz val="10"/>
      <name val="Arial"/>
      <family val="2"/>
    </font>
    <font>
      <sz val="10"/>
      <color indexed="8"/>
      <name val="Cambria"/>
      <family val="1"/>
      <scheme val="major"/>
    </font>
    <font>
      <b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color rgb="FF000000"/>
      <name val="Cambria"/>
      <family val="1"/>
      <scheme val="major"/>
    </font>
    <font>
      <sz val="10"/>
      <name val="Arial"/>
      <family val="2"/>
    </font>
    <font>
      <b/>
      <sz val="11"/>
      <color theme="1"/>
      <name val="Cambria"/>
      <family val="1"/>
      <scheme val="major"/>
    </font>
    <font>
      <sz val="9"/>
      <color indexed="8"/>
      <name val="Cambria"/>
      <family val="1"/>
      <scheme val="major"/>
    </font>
    <font>
      <b/>
      <sz val="9"/>
      <color indexed="8"/>
      <name val="Cambria"/>
      <family val="1"/>
      <scheme val="major"/>
    </font>
  </fonts>
  <fills count="4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52"/>
        <bgColor indexed="51"/>
      </patternFill>
    </fill>
    <fill>
      <patternFill patternType="solid">
        <fgColor rgb="FFFF9900"/>
        <bgColor indexed="6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59"/>
      </left>
      <right style="double">
        <color indexed="59"/>
      </right>
      <top style="double">
        <color indexed="59"/>
      </top>
      <bottom style="double">
        <color indexed="5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medium">
        <color indexed="59"/>
      </left>
      <right/>
      <top/>
      <bottom/>
      <diagonal/>
    </border>
    <border>
      <left/>
      <right/>
      <top/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59"/>
      </left>
      <right style="thin">
        <color indexed="64"/>
      </right>
      <top style="thin">
        <color indexed="59"/>
      </top>
      <bottom/>
      <diagonal/>
    </border>
    <border>
      <left style="thin">
        <color indexed="59"/>
      </left>
      <right style="thin">
        <color indexed="64"/>
      </right>
      <top/>
      <bottom style="thin">
        <color indexed="59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138">
    <xf numFmtId="0" fontId="0" fillId="0" borderId="0"/>
    <xf numFmtId="0" fontId="2" fillId="0" borderId="0"/>
    <xf numFmtId="0" fontId="3" fillId="8" borderId="0" applyNumberFormat="0" applyBorder="0" applyAlignment="0" applyProtection="0"/>
    <xf numFmtId="0" fontId="11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12" fillId="5" borderId="0" applyNumberFormat="0" applyBorder="0" applyAlignment="0" applyProtection="0"/>
    <xf numFmtId="0" fontId="4" fillId="9" borderId="0" applyNumberFormat="0" applyBorder="0" applyAlignment="0" applyProtection="0"/>
    <xf numFmtId="0" fontId="12" fillId="5" borderId="0" applyNumberFormat="0" applyBorder="0" applyAlignment="0" applyProtection="0"/>
    <xf numFmtId="0" fontId="4" fillId="9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4" fillId="9" borderId="0" applyNumberFormat="0" applyBorder="0" applyAlignment="0" applyProtection="0"/>
    <xf numFmtId="0" fontId="12" fillId="5" borderId="0" applyNumberFormat="0" applyBorder="0" applyAlignment="0" applyProtection="0"/>
    <xf numFmtId="0" fontId="4" fillId="9" borderId="0" applyNumberFormat="0" applyBorder="0" applyAlignment="0" applyProtection="0"/>
    <xf numFmtId="0" fontId="12" fillId="5" borderId="0" applyNumberFormat="0" applyBorder="0" applyAlignment="0" applyProtection="0"/>
    <xf numFmtId="0" fontId="4" fillId="9" borderId="0" applyNumberFormat="0" applyBorder="0" applyAlignment="0" applyProtection="0"/>
    <xf numFmtId="0" fontId="12" fillId="5" borderId="0" applyNumberFormat="0" applyBorder="0" applyAlignment="0" applyProtection="0"/>
    <xf numFmtId="0" fontId="4" fillId="9" borderId="0" applyNumberFormat="0" applyBorder="0" applyAlignment="0" applyProtection="0"/>
    <xf numFmtId="0" fontId="12" fillId="5" borderId="0" applyNumberFormat="0" applyBorder="0" applyAlignment="0" applyProtection="0"/>
    <xf numFmtId="0" fontId="4" fillId="9" borderId="0" applyNumberFormat="0" applyBorder="0" applyAlignment="0" applyProtection="0"/>
    <xf numFmtId="0" fontId="12" fillId="5" borderId="0" applyNumberFormat="0" applyBorder="0" applyAlignment="0" applyProtection="0"/>
    <xf numFmtId="0" fontId="4" fillId="9" borderId="0" applyNumberFormat="0" applyBorder="0" applyAlignment="0" applyProtection="0"/>
    <xf numFmtId="0" fontId="12" fillId="5" borderId="0" applyNumberFormat="0" applyBorder="0" applyAlignment="0" applyProtection="0"/>
    <xf numFmtId="0" fontId="4" fillId="9" borderId="0" applyNumberFormat="0" applyBorder="0" applyAlignment="0" applyProtection="0"/>
    <xf numFmtId="0" fontId="12" fillId="5" borderId="0" applyNumberFormat="0" applyBorder="0" applyAlignment="0" applyProtection="0"/>
    <xf numFmtId="0" fontId="4" fillId="9" borderId="0" applyNumberFormat="0" applyBorder="0" applyAlignment="0" applyProtection="0"/>
    <xf numFmtId="0" fontId="12" fillId="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12" fillId="7" borderId="0" applyNumberFormat="0" applyBorder="0" applyAlignment="0" applyProtection="0"/>
    <xf numFmtId="0" fontId="4" fillId="10" borderId="0" applyNumberFormat="0" applyBorder="0" applyAlignment="0" applyProtection="0"/>
    <xf numFmtId="0" fontId="12" fillId="7" borderId="0" applyNumberFormat="0" applyBorder="0" applyAlignment="0" applyProtection="0"/>
    <xf numFmtId="0" fontId="4" fillId="10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4" fillId="10" borderId="0" applyNumberFormat="0" applyBorder="0" applyAlignment="0" applyProtection="0"/>
    <xf numFmtId="0" fontId="12" fillId="7" borderId="0" applyNumberFormat="0" applyBorder="0" applyAlignment="0" applyProtection="0"/>
    <xf numFmtId="0" fontId="4" fillId="10" borderId="0" applyNumberFormat="0" applyBorder="0" applyAlignment="0" applyProtection="0"/>
    <xf numFmtId="0" fontId="12" fillId="7" borderId="0" applyNumberFormat="0" applyBorder="0" applyAlignment="0" applyProtection="0"/>
    <xf numFmtId="0" fontId="4" fillId="10" borderId="0" applyNumberFormat="0" applyBorder="0" applyAlignment="0" applyProtection="0"/>
    <xf numFmtId="0" fontId="12" fillId="7" borderId="0" applyNumberFormat="0" applyBorder="0" applyAlignment="0" applyProtection="0"/>
    <xf numFmtId="0" fontId="4" fillId="10" borderId="0" applyNumberFormat="0" applyBorder="0" applyAlignment="0" applyProtection="0"/>
    <xf numFmtId="0" fontId="12" fillId="7" borderId="0" applyNumberFormat="0" applyBorder="0" applyAlignment="0" applyProtection="0"/>
    <xf numFmtId="0" fontId="4" fillId="10" borderId="0" applyNumberFormat="0" applyBorder="0" applyAlignment="0" applyProtection="0"/>
    <xf numFmtId="0" fontId="12" fillId="7" borderId="0" applyNumberFormat="0" applyBorder="0" applyAlignment="0" applyProtection="0"/>
    <xf numFmtId="0" fontId="4" fillId="10" borderId="0" applyNumberFormat="0" applyBorder="0" applyAlignment="0" applyProtection="0"/>
    <xf numFmtId="0" fontId="12" fillId="7" borderId="0" applyNumberFormat="0" applyBorder="0" applyAlignment="0" applyProtection="0"/>
    <xf numFmtId="0" fontId="4" fillId="10" borderId="0" applyNumberFormat="0" applyBorder="0" applyAlignment="0" applyProtection="0"/>
    <xf numFmtId="0" fontId="12" fillId="7" borderId="0" applyNumberFormat="0" applyBorder="0" applyAlignment="0" applyProtection="0"/>
    <xf numFmtId="0" fontId="4" fillId="10" borderId="0" applyNumberFormat="0" applyBorder="0" applyAlignment="0" applyProtection="0"/>
    <xf numFmtId="0" fontId="12" fillId="7" borderId="0" applyNumberFormat="0" applyBorder="0" applyAlignment="0" applyProtection="0"/>
    <xf numFmtId="0" fontId="5" fillId="11" borderId="7" applyNumberFormat="0" applyAlignment="0" applyProtection="0"/>
    <xf numFmtId="0" fontId="13" fillId="3" borderId="2" applyNumberFormat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8" fillId="0" borderId="0" applyFont="0" applyFill="0" applyBorder="0" applyAlignment="0" applyProtection="0"/>
    <xf numFmtId="169" fontId="2" fillId="0" borderId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164" fontId="10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" fillId="12" borderId="6" applyNumberFormat="0" applyAlignment="0" applyProtection="0"/>
    <xf numFmtId="0" fontId="14" fillId="2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15" fillId="0" borderId="0"/>
    <xf numFmtId="0" fontId="8" fillId="0" borderId="0"/>
    <xf numFmtId="0" fontId="15" fillId="0" borderId="0"/>
    <xf numFmtId="0" fontId="8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8" fillId="0" borderId="0"/>
    <xf numFmtId="0" fontId="15" fillId="0" borderId="0"/>
    <xf numFmtId="0" fontId="8" fillId="0" borderId="0"/>
    <xf numFmtId="0" fontId="15" fillId="0" borderId="0"/>
    <xf numFmtId="0" fontId="8" fillId="0" borderId="0"/>
    <xf numFmtId="0" fontId="15" fillId="0" borderId="0"/>
    <xf numFmtId="0" fontId="8" fillId="0" borderId="0"/>
    <xf numFmtId="0" fontId="15" fillId="0" borderId="0"/>
    <xf numFmtId="0" fontId="8" fillId="0" borderId="0"/>
    <xf numFmtId="0" fontId="15" fillId="0" borderId="0"/>
    <xf numFmtId="0" fontId="8" fillId="0" borderId="0"/>
    <xf numFmtId="0" fontId="15" fillId="0" borderId="0"/>
    <xf numFmtId="0" fontId="8" fillId="0" borderId="0"/>
    <xf numFmtId="0" fontId="15" fillId="0" borderId="0"/>
    <xf numFmtId="0" fontId="8" fillId="0" borderId="0"/>
    <xf numFmtId="0" fontId="15" fillId="0" borderId="0"/>
    <xf numFmtId="0" fontId="8" fillId="0" borderId="0"/>
    <xf numFmtId="0" fontId="15" fillId="0" borderId="0"/>
    <xf numFmtId="0" fontId="8" fillId="0" borderId="0"/>
    <xf numFmtId="0" fontId="15" fillId="0" borderId="0"/>
    <xf numFmtId="0" fontId="2" fillId="13" borderId="8" applyNumberFormat="0" applyAlignment="0" applyProtection="0"/>
    <xf numFmtId="0" fontId="2" fillId="4" borderId="3" applyNumberFormat="0" applyFont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10" applyNumberFormat="0" applyFill="0" applyAlignment="0" applyProtection="0"/>
    <xf numFmtId="0" fontId="9" fillId="0" borderId="10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7" fillId="16" borderId="0" applyNumberFormat="0" applyBorder="0" applyAlignment="0" applyProtection="0"/>
    <xf numFmtId="0" fontId="7" fillId="18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17" borderId="0" applyNumberFormat="0" applyBorder="0" applyAlignment="0" applyProtection="0"/>
    <xf numFmtId="0" fontId="2" fillId="0" borderId="0" applyProtection="0">
      <protection locked="0"/>
    </xf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3" fillId="23" borderId="6" applyNumberFormat="0" applyAlignment="0" applyProtection="0"/>
    <xf numFmtId="0" fontId="23" fillId="23" borderId="6" applyNumberFormat="0" applyAlignment="0" applyProtection="0"/>
    <xf numFmtId="0" fontId="25" fillId="37" borderId="7" applyNumberFormat="0" applyAlignment="0" applyProtection="0"/>
    <xf numFmtId="0" fontId="25" fillId="37" borderId="7" applyNumberFormat="0" applyAlignment="0" applyProtection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7" fontId="37" fillId="0" borderId="0" applyFill="0" applyBorder="0" applyAlignment="0" applyProtection="0"/>
    <xf numFmtId="167" fontId="2" fillId="0" borderId="0" applyFill="0" applyBorder="0" applyAlignment="0" applyProtection="0"/>
    <xf numFmtId="167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8" fontId="37" fillId="0" borderId="0" applyFill="0" applyBorder="0" applyAlignment="0" applyProtection="0"/>
    <xf numFmtId="168" fontId="2" fillId="0" borderId="0" applyFill="0" applyBorder="0" applyAlignment="0" applyProtection="0"/>
    <xf numFmtId="168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9" fontId="37" fillId="0" borderId="0" applyFill="0" applyBorder="0" applyAlignment="0" applyProtection="0"/>
    <xf numFmtId="169" fontId="2" fillId="0" borderId="0" applyFill="0" applyBorder="0" applyAlignment="0" applyProtection="0"/>
    <xf numFmtId="169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4" fontId="2" fillId="0" borderId="0" applyFont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43" fontId="2" fillId="0" borderId="0" applyFont="0" applyFill="0" applyBorder="0" applyAlignment="0" applyProtection="0"/>
    <xf numFmtId="166" fontId="37" fillId="0" borderId="0" applyFill="0" applyBorder="0" applyAlignment="0" applyProtection="0"/>
    <xf numFmtId="164" fontId="17" fillId="0" borderId="0" applyFont="0" applyFill="0" applyBorder="0" applyAlignment="0" applyProtection="0">
      <alignment vertical="top"/>
    </xf>
    <xf numFmtId="164" fontId="17" fillId="0" borderId="0" applyFont="0" applyFill="0" applyBorder="0" applyAlignment="0" applyProtection="0">
      <alignment vertical="top"/>
    </xf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4" fontId="17" fillId="0" borderId="0" applyFont="0" applyFill="0" applyBorder="0" applyAlignment="0" applyProtection="0">
      <alignment vertical="top"/>
    </xf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9" fontId="37" fillId="0" borderId="0" applyFill="0" applyBorder="0" applyAlignment="0" applyProtection="0"/>
    <xf numFmtId="169" fontId="2" fillId="0" borderId="0" applyFill="0" applyBorder="0" applyAlignment="0" applyProtection="0"/>
    <xf numFmtId="169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71" fontId="18" fillId="0" borderId="11" applyBorder="0"/>
    <xf numFmtId="0" fontId="2" fillId="0" borderId="0">
      <protection locked="0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22" fillId="17" borderId="6" applyNumberFormat="0" applyAlignment="0" applyProtection="0"/>
    <xf numFmtId="0" fontId="22" fillId="17" borderId="6" applyNumberFormat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172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7" fillId="0" borderId="0"/>
    <xf numFmtId="0" fontId="37" fillId="13" borderId="8" applyNumberFormat="0" applyAlignment="0" applyProtection="0"/>
    <xf numFmtId="0" fontId="2" fillId="13" borderId="8" applyNumberFormat="0" applyAlignment="0" applyProtection="0"/>
    <xf numFmtId="0" fontId="37" fillId="13" borderId="8" applyNumberFormat="0" applyAlignment="0" applyProtection="0"/>
    <xf numFmtId="0" fontId="2" fillId="19" borderId="8" applyNumberFormat="0" applyFont="0" applyAlignment="0" applyProtection="0"/>
    <xf numFmtId="0" fontId="35" fillId="23" borderId="16" applyNumberFormat="0" applyAlignment="0" applyProtection="0"/>
    <xf numFmtId="9" fontId="37" fillId="0" borderId="0" applyFill="0" applyBorder="0" applyAlignment="0" applyProtection="0"/>
    <xf numFmtId="9" fontId="2" fillId="0" borderId="0" applyFill="0" applyBorder="0" applyAlignment="0" applyProtection="0"/>
    <xf numFmtId="9" fontId="37" fillId="0" borderId="0" applyFill="0" applyBorder="0" applyAlignment="0" applyProtection="0"/>
    <xf numFmtId="9" fontId="37" fillId="0" borderId="0" applyFill="0" applyBorder="0" applyAlignment="0" applyProtection="0"/>
    <xf numFmtId="9" fontId="2" fillId="0" borderId="0" applyFill="0" applyBorder="0" applyAlignment="0" applyProtection="0"/>
    <xf numFmtId="9" fontId="37" fillId="0" borderId="0" applyFill="0" applyBorder="0" applyAlignment="0" applyProtection="0"/>
    <xf numFmtId="9" fontId="2" fillId="0" borderId="0" applyFill="0" applyBorder="0" applyAlignment="0" applyProtection="0"/>
    <xf numFmtId="9" fontId="17" fillId="0" borderId="0" applyFont="0" applyFill="0" applyBorder="0" applyAlignment="0" applyProtection="0">
      <alignment vertical="top"/>
    </xf>
    <xf numFmtId="0" fontId="36" fillId="0" borderId="0" applyNumberFormat="0" applyFill="0" applyBorder="0" applyAlignment="0" applyProtection="0"/>
    <xf numFmtId="0" fontId="2" fillId="0" borderId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4" fontId="17" fillId="0" borderId="0" applyFont="0" applyFill="0" applyBorder="0" applyAlignment="0" applyProtection="0">
      <alignment vertical="top"/>
    </xf>
    <xf numFmtId="164" fontId="17" fillId="0" borderId="0" applyFont="0" applyFill="0" applyBorder="0" applyAlignment="0" applyProtection="0">
      <alignment vertical="top"/>
    </xf>
    <xf numFmtId="164" fontId="17" fillId="0" borderId="0" applyFont="0" applyFill="0" applyBorder="0" applyAlignment="0" applyProtection="0">
      <alignment vertical="top"/>
    </xf>
    <xf numFmtId="164" fontId="17" fillId="0" borderId="0" applyFont="0" applyFill="0" applyBorder="0" applyAlignment="0" applyProtection="0">
      <alignment vertical="top"/>
    </xf>
    <xf numFmtId="164" fontId="17" fillId="0" borderId="0" applyFont="0" applyFill="0" applyBorder="0" applyAlignment="0" applyProtection="0">
      <alignment vertical="top"/>
    </xf>
    <xf numFmtId="164" fontId="17" fillId="0" borderId="0" applyFont="0" applyFill="0" applyBorder="0" applyAlignment="0" applyProtection="0">
      <alignment vertical="top"/>
    </xf>
    <xf numFmtId="164" fontId="17" fillId="0" borderId="0" applyFont="0" applyFill="0" applyBorder="0" applyAlignment="0" applyProtection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2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9" fontId="17" fillId="0" borderId="0" applyFont="0" applyFill="0" applyBorder="0" applyAlignment="0" applyProtection="0">
      <alignment vertical="top"/>
    </xf>
    <xf numFmtId="9" fontId="17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5" fillId="11" borderId="7" applyNumberFormat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7" fontId="2" fillId="0" borderId="0" applyFill="0" applyBorder="0" applyAlignment="0" applyProtection="0"/>
    <xf numFmtId="167" fontId="37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8" fontId="2" fillId="0" borderId="0" applyFill="0" applyBorder="0" applyAlignment="0" applyProtection="0"/>
    <xf numFmtId="168" fontId="37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9" fontId="2" fillId="0" borderId="0" applyFill="0" applyBorder="0" applyAlignment="0" applyProtection="0"/>
    <xf numFmtId="169" fontId="37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ill="0" applyBorder="0" applyAlignment="0" applyProtection="0"/>
    <xf numFmtId="164" fontId="17" fillId="0" borderId="0" applyFont="0" applyFill="0" applyBorder="0" applyAlignment="0" applyProtection="0">
      <alignment vertical="top"/>
    </xf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9" fontId="2" fillId="0" borderId="0" applyFill="0" applyBorder="0" applyAlignment="0" applyProtection="0"/>
    <xf numFmtId="169" fontId="37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4" fontId="2" fillId="0" borderId="0" applyFont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44" fontId="2" fillId="0" borderId="0" applyFont="0" applyFill="0" applyBorder="0" applyAlignment="0" applyProtection="0"/>
    <xf numFmtId="166" fontId="2" fillId="0" borderId="0" applyFill="0" applyBorder="0" applyAlignment="0" applyProtection="0"/>
    <xf numFmtId="44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4" fontId="2" fillId="0" borderId="0" applyFont="0" applyFill="0" applyBorder="0" applyAlignment="0" applyProtection="0"/>
    <xf numFmtId="0" fontId="6" fillId="12" borderId="6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17" fillId="0" borderId="0">
      <alignment vertical="top"/>
    </xf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13" borderId="8" applyNumberFormat="0" applyAlignment="0" applyProtection="0"/>
    <xf numFmtId="0" fontId="37" fillId="13" borderId="8" applyNumberFormat="0" applyAlignment="0" applyProtection="0"/>
    <xf numFmtId="0" fontId="2" fillId="13" borderId="8" applyNumberFormat="0" applyAlignment="0" applyProtection="0"/>
    <xf numFmtId="0" fontId="2" fillId="13" borderId="8" applyNumberFormat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37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37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0" fontId="9" fillId="0" borderId="10" applyNumberFormat="0" applyFill="0" applyAlignment="0" applyProtection="0"/>
    <xf numFmtId="0" fontId="9" fillId="0" borderId="10" applyNumberFormat="0" applyFill="0" applyAlignment="0" applyProtection="0"/>
    <xf numFmtId="0" fontId="2" fillId="0" borderId="0"/>
    <xf numFmtId="0" fontId="2" fillId="0" borderId="0"/>
    <xf numFmtId="0" fontId="2" fillId="0" borderId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37" fillId="0" borderId="0" applyFill="0" applyBorder="0" applyAlignment="0" applyProtection="0"/>
    <xf numFmtId="0" fontId="25" fillId="37" borderId="7" applyNumberFormat="0" applyAlignment="0" applyProtection="0"/>
    <xf numFmtId="0" fontId="23" fillId="23" borderId="6" applyNumberFormat="0" applyAlignment="0" applyProtection="0"/>
    <xf numFmtId="0" fontId="20" fillId="18" borderId="0" applyNumberFormat="0" applyBorder="0" applyAlignment="0" applyProtection="0"/>
    <xf numFmtId="0" fontId="29" fillId="36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5" borderId="0" applyNumberFormat="0" applyBorder="0" applyAlignment="0" applyProtection="0"/>
    <xf numFmtId="0" fontId="29" fillId="34" borderId="0" applyNumberFormat="0" applyBorder="0" applyAlignment="0" applyProtection="0"/>
    <xf numFmtId="0" fontId="29" fillId="33" borderId="0" applyNumberFormat="0" applyBorder="0" applyAlignment="0" applyProtection="0"/>
    <xf numFmtId="0" fontId="29" fillId="32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27" borderId="0" applyNumberFormat="0" applyBorder="0" applyAlignment="0" applyProtection="0"/>
    <xf numFmtId="0" fontId="29" fillId="25" borderId="0" applyNumberFormat="0" applyBorder="0" applyAlignment="0" applyProtection="0"/>
    <xf numFmtId="0" fontId="29" fillId="30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7" fillId="0" borderId="0" applyNumberFormat="0" applyFill="0" applyBorder="0" applyAlignment="0" applyProtection="0"/>
    <xf numFmtId="0" fontId="19" fillId="20" borderId="0" applyNumberFormat="0" applyBorder="0" applyAlignment="0" applyProtection="0"/>
    <xf numFmtId="0" fontId="22" fillId="17" borderId="6" applyNumberFormat="0" applyAlignment="0" applyProtection="0"/>
    <xf numFmtId="0" fontId="24" fillId="0" borderId="15" applyNumberFormat="0" applyFill="0" applyAlignment="0" applyProtection="0"/>
    <xf numFmtId="0" fontId="21" fillId="26" borderId="0" applyNumberFormat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8" fillId="0" borderId="10" applyNumberFormat="0" applyFill="0" applyAlignment="0" applyProtection="0"/>
    <xf numFmtId="164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" fillId="0" borderId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166" fontId="37" fillId="0" borderId="0" applyFill="0" applyBorder="0" applyAlignment="0" applyProtection="0"/>
    <xf numFmtId="9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7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6" fontId="37" fillId="0" borderId="0" applyFill="0" applyBorder="0" applyAlignment="0" applyProtection="0"/>
    <xf numFmtId="0" fontId="25" fillId="37" borderId="7" applyNumberFormat="0" applyAlignment="0" applyProtection="0"/>
    <xf numFmtId="0" fontId="25" fillId="37" borderId="7" applyNumberFormat="0" applyAlignment="0" applyProtection="0"/>
    <xf numFmtId="0" fontId="25" fillId="37" borderId="7" applyNumberFormat="0" applyAlignment="0" applyProtection="0"/>
    <xf numFmtId="0" fontId="13" fillId="3" borderId="17" applyNumberFormat="0" applyAlignment="0" applyProtection="0"/>
    <xf numFmtId="0" fontId="13" fillId="3" borderId="17" applyNumberFormat="0" applyAlignment="0" applyProtection="0"/>
    <xf numFmtId="0" fontId="13" fillId="3" borderId="17" applyNumberFormat="0" applyAlignment="0" applyProtection="0"/>
    <xf numFmtId="0" fontId="13" fillId="3" borderId="17" applyNumberFormat="0" applyAlignment="0" applyProtection="0"/>
    <xf numFmtId="0" fontId="23" fillId="23" borderId="6" applyNumberFormat="0" applyAlignment="0" applyProtection="0"/>
    <xf numFmtId="0" fontId="23" fillId="23" borderId="6" applyNumberFormat="0" applyAlignment="0" applyProtection="0"/>
    <xf numFmtId="0" fontId="23" fillId="23" borderId="6" applyNumberFormat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2" fillId="0" borderId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5" borderId="0" applyNumberFormat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4" borderId="0" applyNumberFormat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7" fillId="20" borderId="0" applyNumberFormat="0" applyBorder="0" applyAlignment="0" applyProtection="0"/>
    <xf numFmtId="0" fontId="2" fillId="0" borderId="0"/>
    <xf numFmtId="0" fontId="2" fillId="0" borderId="0"/>
    <xf numFmtId="0" fontId="7" fillId="20" borderId="0" applyNumberFormat="0" applyBorder="0" applyAlignment="0" applyProtection="0"/>
    <xf numFmtId="0" fontId="2" fillId="0" borderId="0"/>
    <xf numFmtId="0" fontId="2" fillId="0" borderId="0"/>
    <xf numFmtId="0" fontId="7" fillId="2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7" fillId="16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7" fillId="16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7" fillId="16" borderId="0" applyNumberFormat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4" fillId="2" borderId="1" applyNumberFormat="0" applyAlignment="0" applyProtection="0"/>
    <xf numFmtId="0" fontId="14" fillId="2" borderId="1" applyNumberFormat="0" applyAlignment="0" applyProtection="0"/>
    <xf numFmtId="0" fontId="14" fillId="2" borderId="1" applyNumberFormat="0" applyAlignment="0" applyProtection="0"/>
    <xf numFmtId="0" fontId="22" fillId="17" borderId="6" applyNumberFormat="0" applyAlignment="0" applyProtection="0"/>
    <xf numFmtId="0" fontId="22" fillId="17" borderId="6" applyNumberFormat="0" applyAlignment="0" applyProtection="0"/>
    <xf numFmtId="0" fontId="22" fillId="17" borderId="6" applyNumberFormat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4" fillId="0" borderId="15" applyNumberFormat="0" applyFill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6" fontId="2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166" fontId="2" fillId="0" borderId="0" applyFill="0" applyBorder="0" applyAlignment="0" applyProtection="0"/>
    <xf numFmtId="166" fontId="37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166" fontId="37" fillId="0" borderId="0" applyFill="0" applyBorder="0" applyAlignment="0" applyProtection="0"/>
    <xf numFmtId="166" fontId="2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166" fontId="2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4" borderId="3" applyNumberFormat="0" applyFont="0" applyAlignment="0" applyProtection="0"/>
    <xf numFmtId="0" fontId="2" fillId="4" borderId="3" applyNumberFormat="0" applyFont="0" applyAlignment="0" applyProtection="0"/>
    <xf numFmtId="0" fontId="2" fillId="4" borderId="3" applyNumberFormat="0" applyFont="0" applyAlignment="0" applyProtection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2" fillId="19" borderId="8" applyNumberFormat="0" applyFont="0" applyAlignment="0" applyProtection="0"/>
    <xf numFmtId="0" fontId="35" fillId="23" borderId="16" applyNumberFormat="0" applyAlignment="0" applyProtection="0"/>
    <xf numFmtId="0" fontId="35" fillId="23" borderId="16" applyNumberFormat="0" applyAlignment="0" applyProtection="0"/>
    <xf numFmtId="0" fontId="35" fillId="23" borderId="16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16" fillId="0" borderId="18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166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5" fillId="0" borderId="0"/>
  </cellStyleXfs>
  <cellXfs count="399">
    <xf numFmtId="0" fontId="0" fillId="0" borderId="0" xfId="0"/>
    <xf numFmtId="0" fontId="38" fillId="0" borderId="9" xfId="0" applyFont="1" applyBorder="1"/>
    <xf numFmtId="0" fontId="39" fillId="0" borderId="9" xfId="0" applyFont="1" applyBorder="1"/>
    <xf numFmtId="0" fontId="39" fillId="0" borderId="9" xfId="0" applyFont="1" applyBorder="1" applyAlignment="1">
      <alignment horizontal="center"/>
    </xf>
    <xf numFmtId="0" fontId="39" fillId="0" borderId="9" xfId="0" applyFont="1" applyBorder="1" applyAlignment="1">
      <alignment horizontal="right"/>
    </xf>
    <xf numFmtId="0" fontId="38" fillId="0" borderId="0" xfId="0" applyFont="1"/>
    <xf numFmtId="0" fontId="39" fillId="0" borderId="0" xfId="0" applyFont="1"/>
    <xf numFmtId="0" fontId="38" fillId="0" borderId="0" xfId="0" applyFont="1" applyProtection="1">
      <protection locked="0"/>
    </xf>
    <xf numFmtId="0" fontId="39" fillId="0" borderId="0" xfId="0" applyFont="1" applyProtection="1">
      <protection locked="0"/>
    </xf>
    <xf numFmtId="0" fontId="40" fillId="0" borderId="9" xfId="0" applyFont="1" applyBorder="1" applyAlignment="1">
      <alignment wrapText="1"/>
    </xf>
    <xf numFmtId="0" fontId="41" fillId="0" borderId="9" xfId="0" applyFont="1" applyBorder="1" applyAlignment="1">
      <alignment wrapText="1"/>
    </xf>
    <xf numFmtId="0" fontId="40" fillId="0" borderId="19" xfId="0" applyFont="1" applyBorder="1" applyAlignment="1">
      <alignment wrapText="1"/>
    </xf>
    <xf numFmtId="0" fontId="40" fillId="0" borderId="9" xfId="0" applyFont="1" applyBorder="1" applyAlignment="1" applyProtection="1">
      <alignment wrapText="1"/>
      <protection locked="0"/>
    </xf>
    <xf numFmtId="2" fontId="40" fillId="0" borderId="9" xfId="0" applyNumberFormat="1" applyFont="1" applyBorder="1" applyAlignment="1">
      <alignment horizontal="center" wrapText="1"/>
    </xf>
    <xf numFmtId="2" fontId="41" fillId="0" borderId="9" xfId="0" applyNumberFormat="1" applyFont="1" applyBorder="1" applyAlignment="1">
      <alignment wrapText="1"/>
    </xf>
    <xf numFmtId="174" fontId="38" fillId="0" borderId="0" xfId="4055" applyNumberFormat="1" applyFont="1" applyBorder="1" applyProtection="1">
      <protection locked="0"/>
    </xf>
    <xf numFmtId="174" fontId="38" fillId="0" borderId="0" xfId="4055" applyNumberFormat="1" applyFont="1" applyProtection="1">
      <protection locked="0"/>
    </xf>
    <xf numFmtId="174" fontId="0" fillId="0" borderId="0" xfId="4055" applyNumberFormat="1" applyFont="1"/>
    <xf numFmtId="0" fontId="47" fillId="0" borderId="0" xfId="0" applyFont="1"/>
    <xf numFmtId="0" fontId="47" fillId="0" borderId="0" xfId="0" applyFont="1" applyAlignment="1">
      <alignment wrapText="1"/>
    </xf>
    <xf numFmtId="43" fontId="47" fillId="0" borderId="0" xfId="57" applyFont="1" applyAlignment="1">
      <alignment wrapText="1"/>
    </xf>
    <xf numFmtId="0" fontId="47" fillId="0" borderId="5" xfId="0" applyFont="1" applyBorder="1"/>
    <xf numFmtId="0" fontId="47" fillId="41" borderId="5" xfId="0" applyFont="1" applyFill="1" applyBorder="1"/>
    <xf numFmtId="0" fontId="45" fillId="0" borderId="0" xfId="0" applyFont="1"/>
    <xf numFmtId="0" fontId="45" fillId="0" borderId="0" xfId="0" applyFont="1" applyAlignment="1">
      <alignment wrapText="1"/>
    </xf>
    <xf numFmtId="0" fontId="45" fillId="0" borderId="5" xfId="0" applyFont="1" applyBorder="1"/>
    <xf numFmtId="0" fontId="45" fillId="0" borderId="5" xfId="0" applyFont="1" applyBorder="1" applyAlignment="1">
      <alignment wrapText="1"/>
    </xf>
    <xf numFmtId="174" fontId="46" fillId="0" borderId="5" xfId="57" applyNumberFormat="1" applyFont="1" applyBorder="1" applyAlignment="1">
      <alignment horizontal="right"/>
    </xf>
    <xf numFmtId="174" fontId="46" fillId="0" borderId="5" xfId="57" applyNumberFormat="1" applyFont="1" applyBorder="1"/>
    <xf numFmtId="174" fontId="47" fillId="0" borderId="5" xfId="57" applyNumberFormat="1" applyFont="1" applyBorder="1"/>
    <xf numFmtId="0" fontId="48" fillId="0" borderId="5" xfId="0" applyFont="1" applyBorder="1" applyAlignment="1">
      <alignment wrapText="1"/>
    </xf>
    <xf numFmtId="174" fontId="45" fillId="0" borderId="5" xfId="57" applyNumberFormat="1" applyFont="1" applyBorder="1"/>
    <xf numFmtId="170" fontId="45" fillId="0" borderId="5" xfId="0" applyNumberFormat="1" applyFont="1" applyBorder="1"/>
    <xf numFmtId="0" fontId="47" fillId="0" borderId="5" xfId="0" applyFont="1" applyBorder="1" applyAlignment="1">
      <alignment wrapText="1"/>
    </xf>
    <xf numFmtId="174" fontId="47" fillId="38" borderId="5" xfId="57" applyNumberFormat="1" applyFont="1" applyFill="1" applyBorder="1"/>
    <xf numFmtId="174" fontId="46" fillId="39" borderId="5" xfId="57" applyNumberFormat="1" applyFont="1" applyFill="1" applyBorder="1"/>
    <xf numFmtId="170" fontId="45" fillId="0" borderId="0" xfId="0" applyNumberFormat="1" applyFont="1"/>
    <xf numFmtId="174" fontId="45" fillId="40" borderId="5" xfId="0" applyNumberFormat="1" applyFont="1" applyFill="1" applyBorder="1"/>
    <xf numFmtId="9" fontId="48" fillId="0" borderId="5" xfId="696" applyFont="1" applyBorder="1" applyAlignment="1">
      <alignment wrapText="1"/>
    </xf>
    <xf numFmtId="0" fontId="49" fillId="0" borderId="5" xfId="0" applyFont="1" applyBorder="1" applyAlignment="1">
      <alignment wrapText="1"/>
    </xf>
    <xf numFmtId="0" fontId="50" fillId="0" borderId="5" xfId="0" applyFont="1" applyBorder="1" applyAlignment="1">
      <alignment wrapText="1"/>
    </xf>
    <xf numFmtId="170" fontId="45" fillId="0" borderId="5" xfId="0" applyNumberFormat="1" applyFont="1" applyBorder="1" applyAlignment="1">
      <alignment horizontal="right"/>
    </xf>
    <xf numFmtId="174" fontId="45" fillId="0" borderId="5" xfId="0" applyNumberFormat="1" applyFont="1" applyBorder="1"/>
    <xf numFmtId="174" fontId="48" fillId="0" borderId="0" xfId="0" applyNumberFormat="1" applyFont="1" applyAlignment="1">
      <alignment wrapText="1"/>
    </xf>
    <xf numFmtId="174" fontId="50" fillId="0" borderId="5" xfId="57" applyNumberFormat="1" applyFont="1" applyBorder="1"/>
    <xf numFmtId="174" fontId="48" fillId="0" borderId="5" xfId="57" applyNumberFormat="1" applyFont="1" applyBorder="1"/>
    <xf numFmtId="174" fontId="46" fillId="0" borderId="5" xfId="57" applyNumberFormat="1" applyFont="1" applyFill="1" applyBorder="1"/>
    <xf numFmtId="0" fontId="44" fillId="0" borderId="5" xfId="0" applyFont="1" applyBorder="1" applyAlignment="1">
      <alignment wrapText="1"/>
    </xf>
    <xf numFmtId="174" fontId="45" fillId="0" borderId="5" xfId="57" applyNumberFormat="1" applyFont="1" applyFill="1" applyBorder="1"/>
    <xf numFmtId="17" fontId="47" fillId="0" borderId="0" xfId="0" applyNumberFormat="1" applyFont="1"/>
    <xf numFmtId="0" fontId="53" fillId="0" borderId="19" xfId="4056" applyFont="1" applyBorder="1" applyAlignment="1">
      <alignment vertical="center"/>
    </xf>
    <xf numFmtId="0" fontId="53" fillId="0" borderId="22" xfId="4056" applyFont="1" applyBorder="1" applyAlignment="1">
      <alignment vertical="center"/>
    </xf>
    <xf numFmtId="176" fontId="52" fillId="0" borderId="5" xfId="55" applyNumberFormat="1" applyFont="1" applyFill="1" applyBorder="1"/>
    <xf numFmtId="0" fontId="53" fillId="0" borderId="9" xfId="4056" applyFont="1" applyBorder="1"/>
    <xf numFmtId="0" fontId="53" fillId="0" borderId="0" xfId="4056" applyFont="1"/>
    <xf numFmtId="0" fontId="52" fillId="0" borderId="0" xfId="4056" applyFont="1"/>
    <xf numFmtId="43" fontId="40" fillId="0" borderId="9" xfId="4055" applyFont="1" applyBorder="1" applyAlignment="1" applyProtection="1">
      <alignment wrapText="1"/>
      <protection locked="0"/>
    </xf>
    <xf numFmtId="43" fontId="40" fillId="0" borderId="9" xfId="4055" applyFont="1" applyBorder="1" applyAlignment="1" applyProtection="1">
      <alignment wrapText="1"/>
    </xf>
    <xf numFmtId="43" fontId="42" fillId="0" borderId="0" xfId="4055" applyFont="1"/>
    <xf numFmtId="43" fontId="40" fillId="0" borderId="9" xfId="4055" applyFont="1" applyBorder="1" applyAlignment="1">
      <alignment wrapText="1"/>
    </xf>
    <xf numFmtId="43" fontId="41" fillId="0" borderId="9" xfId="4055" applyFont="1" applyBorder="1" applyAlignment="1">
      <alignment wrapText="1"/>
    </xf>
    <xf numFmtId="43" fontId="41" fillId="0" borderId="9" xfId="4055" applyFont="1" applyBorder="1" applyAlignment="1" applyProtection="1">
      <alignment horizontal="right" wrapText="1"/>
      <protection locked="0"/>
    </xf>
    <xf numFmtId="43" fontId="41" fillId="0" borderId="23" xfId="4055" applyFont="1" applyBorder="1" applyAlignment="1" applyProtection="1">
      <alignment horizontal="right" wrapText="1"/>
      <protection locked="0"/>
    </xf>
    <xf numFmtId="43" fontId="43" fillId="0" borderId="5" xfId="4055" applyFont="1" applyBorder="1" applyAlignment="1" applyProtection="1">
      <alignment horizontal="right"/>
      <protection locked="0"/>
    </xf>
    <xf numFmtId="0" fontId="40" fillId="0" borderId="0" xfId="0" applyFont="1"/>
    <xf numFmtId="17" fontId="41" fillId="0" borderId="0" xfId="0" applyNumberFormat="1" applyFont="1"/>
    <xf numFmtId="0" fontId="53" fillId="0" borderId="0" xfId="0" applyFont="1"/>
    <xf numFmtId="0" fontId="52" fillId="0" borderId="5" xfId="0" applyFont="1" applyBorder="1"/>
    <xf numFmtId="0" fontId="52" fillId="0" borderId="0" xfId="0" applyFont="1"/>
    <xf numFmtId="0" fontId="53" fillId="0" borderId="5" xfId="0" applyFont="1" applyBorder="1"/>
    <xf numFmtId="0" fontId="52" fillId="0" borderId="20" xfId="4056" applyFont="1" applyBorder="1" applyAlignment="1">
      <alignment horizontal="left"/>
    </xf>
    <xf numFmtId="0" fontId="52" fillId="0" borderId="0" xfId="4056" applyFont="1" applyAlignment="1">
      <alignment horizontal="left"/>
    </xf>
    <xf numFmtId="43" fontId="41" fillId="0" borderId="9" xfId="4055" applyFont="1" applyBorder="1" applyAlignment="1" applyProtection="1">
      <alignment wrapText="1"/>
    </xf>
    <xf numFmtId="0" fontId="38" fillId="0" borderId="9" xfId="0" applyFont="1" applyBorder="1" applyProtection="1">
      <protection locked="0"/>
    </xf>
    <xf numFmtId="0" fontId="39" fillId="0" borderId="9" xfId="0" applyFont="1" applyBorder="1" applyProtection="1">
      <protection locked="0"/>
    </xf>
    <xf numFmtId="43" fontId="38" fillId="0" borderId="9" xfId="4055" applyFont="1" applyBorder="1" applyProtection="1">
      <protection locked="0"/>
    </xf>
    <xf numFmtId="43" fontId="39" fillId="0" borderId="9" xfId="4055" applyFont="1" applyBorder="1" applyAlignment="1" applyProtection="1">
      <alignment horizontal="right"/>
      <protection locked="0"/>
    </xf>
    <xf numFmtId="43" fontId="39" fillId="0" borderId="9" xfId="4055" applyFont="1" applyBorder="1" applyAlignment="1" applyProtection="1">
      <alignment wrapText="1"/>
      <protection locked="0"/>
    </xf>
    <xf numFmtId="43" fontId="38" fillId="0" borderId="9" xfId="4055" applyFont="1" applyBorder="1" applyProtection="1"/>
    <xf numFmtId="43" fontId="39" fillId="0" borderId="9" xfId="4055" applyFont="1" applyBorder="1" applyProtection="1"/>
    <xf numFmtId="43" fontId="38" fillId="0" borderId="0" xfId="4055" applyFont="1" applyBorder="1" applyProtection="1">
      <protection locked="0"/>
    </xf>
    <xf numFmtId="43" fontId="38" fillId="0" borderId="0" xfId="4055" applyFont="1" applyProtection="1">
      <protection locked="0"/>
    </xf>
    <xf numFmtId="43" fontId="0" fillId="0" borderId="0" xfId="4055" applyFont="1"/>
    <xf numFmtId="0" fontId="52" fillId="0" borderId="19" xfId="4056" applyFont="1" applyBorder="1"/>
    <xf numFmtId="0" fontId="53" fillId="0" borderId="19" xfId="4056" applyFont="1" applyBorder="1"/>
    <xf numFmtId="0" fontId="53" fillId="0" borderId="19" xfId="4056" applyFont="1" applyBorder="1" applyAlignment="1">
      <alignment wrapText="1"/>
    </xf>
    <xf numFmtId="17" fontId="52" fillId="0" borderId="5" xfId="0" applyNumberFormat="1" applyFont="1" applyBorder="1"/>
    <xf numFmtId="0" fontId="42" fillId="0" borderId="0" xfId="0" applyFont="1"/>
    <xf numFmtId="0" fontId="40" fillId="0" borderId="22" xfId="0" applyFont="1" applyBorder="1" applyAlignment="1">
      <alignment wrapText="1"/>
    </xf>
    <xf numFmtId="43" fontId="40" fillId="0" borderId="22" xfId="4055" applyFont="1" applyBorder="1" applyAlignment="1">
      <alignment wrapText="1"/>
    </xf>
    <xf numFmtId="43" fontId="40" fillId="0" borderId="0" xfId="4055" applyFont="1"/>
    <xf numFmtId="9" fontId="40" fillId="0" borderId="0" xfId="4068" applyFont="1"/>
    <xf numFmtId="43" fontId="40" fillId="0" borderId="27" xfId="4055" applyFont="1" applyBorder="1" applyAlignment="1">
      <alignment wrapText="1"/>
    </xf>
    <xf numFmtId="174" fontId="46" fillId="41" borderId="5" xfId="57" applyNumberFormat="1" applyFont="1" applyFill="1" applyBorder="1"/>
    <xf numFmtId="9" fontId="47" fillId="0" borderId="0" xfId="4068" applyFont="1"/>
    <xf numFmtId="14" fontId="43" fillId="0" borderId="5" xfId="4055" applyNumberFormat="1" applyFont="1" applyBorder="1" applyAlignment="1" applyProtection="1">
      <alignment horizontal="right"/>
      <protection locked="0"/>
    </xf>
    <xf numFmtId="49" fontId="41" fillId="0" borderId="9" xfId="0" applyNumberFormat="1" applyFont="1" applyBorder="1" applyAlignment="1" applyProtection="1">
      <alignment horizontal="right" wrapText="1"/>
      <protection locked="0"/>
    </xf>
    <xf numFmtId="0" fontId="41" fillId="0" borderId="23" xfId="0" applyFont="1" applyBorder="1" applyAlignment="1" applyProtection="1">
      <alignment horizontal="right" wrapText="1"/>
      <protection locked="0"/>
    </xf>
    <xf numFmtId="49" fontId="43" fillId="0" borderId="5" xfId="0" applyNumberFormat="1" applyFont="1" applyBorder="1" applyAlignment="1" applyProtection="1">
      <alignment horizontal="right"/>
      <protection locked="0"/>
    </xf>
    <xf numFmtId="17" fontId="52" fillId="0" borderId="0" xfId="0" applyNumberFormat="1" applyFont="1"/>
    <xf numFmtId="17" fontId="42" fillId="41" borderId="0" xfId="0" applyNumberFormat="1" applyFont="1" applyFill="1"/>
    <xf numFmtId="43" fontId="53" fillId="0" borderId="0" xfId="4055" applyFont="1"/>
    <xf numFmtId="9" fontId="42" fillId="0" borderId="0" xfId="4068" applyFont="1"/>
    <xf numFmtId="174" fontId="53" fillId="0" borderId="5" xfId="183" applyNumberFormat="1" applyFont="1" applyFill="1" applyBorder="1"/>
    <xf numFmtId="0" fontId="52" fillId="0" borderId="0" xfId="478" applyFont="1"/>
    <xf numFmtId="0" fontId="53" fillId="0" borderId="0" xfId="478" applyFont="1"/>
    <xf numFmtId="43" fontId="53" fillId="0" borderId="0" xfId="0" applyNumberFormat="1" applyFont="1"/>
    <xf numFmtId="0" fontId="52" fillId="0" borderId="21" xfId="4056" applyFont="1" applyBorder="1"/>
    <xf numFmtId="0" fontId="52" fillId="0" borderId="22" xfId="4056" applyFont="1" applyBorder="1"/>
    <xf numFmtId="0" fontId="53" fillId="0" borderId="23" xfId="4056" applyFont="1" applyBorder="1" applyAlignment="1">
      <alignment vertical="center"/>
    </xf>
    <xf numFmtId="0" fontId="52" fillId="0" borderId="29" xfId="4056" applyFont="1" applyBorder="1" applyAlignment="1">
      <alignment vertical="top"/>
    </xf>
    <xf numFmtId="0" fontId="53" fillId="0" borderId="24" xfId="4056" applyFont="1" applyBorder="1" applyAlignment="1">
      <alignment vertical="center"/>
    </xf>
    <xf numFmtId="0" fontId="52" fillId="0" borderId="30" xfId="4056" applyFont="1" applyBorder="1" applyAlignment="1">
      <alignment vertical="top"/>
    </xf>
    <xf numFmtId="178" fontId="17" fillId="0" borderId="28" xfId="0" applyNumberFormat="1" applyFont="1" applyBorder="1" applyAlignment="1" applyProtection="1">
      <alignment vertical="top" wrapText="1" readingOrder="1"/>
      <protection locked="0"/>
    </xf>
    <xf numFmtId="41" fontId="45" fillId="0" borderId="5" xfId="0" applyNumberFormat="1" applyFont="1" applyBorder="1"/>
    <xf numFmtId="43" fontId="53" fillId="0" borderId="9" xfId="1950" applyFont="1" applyBorder="1" applyAlignment="1">
      <alignment wrapText="1"/>
    </xf>
    <xf numFmtId="43" fontId="53" fillId="0" borderId="9" xfId="1950" applyFont="1" applyFill="1" applyBorder="1" applyAlignment="1">
      <alignment wrapText="1"/>
    </xf>
    <xf numFmtId="43" fontId="53" fillId="0" borderId="9" xfId="1950" applyFont="1" applyBorder="1" applyAlignment="1" applyProtection="1">
      <alignment wrapText="1"/>
      <protection locked="0"/>
    </xf>
    <xf numFmtId="43" fontId="53" fillId="0" borderId="9" xfId="1950" applyFont="1" applyBorder="1" applyAlignment="1" applyProtection="1">
      <alignment horizontal="center" wrapText="1"/>
    </xf>
    <xf numFmtId="43" fontId="53" fillId="0" borderId="9" xfId="1950" applyFont="1" applyBorder="1" applyAlignment="1" applyProtection="1">
      <alignment wrapText="1"/>
    </xf>
    <xf numFmtId="43" fontId="42" fillId="0" borderId="0" xfId="0" applyNumberFormat="1" applyFont="1"/>
    <xf numFmtId="43" fontId="53" fillId="38" borderId="9" xfId="1950" applyFont="1" applyFill="1" applyBorder="1" applyAlignment="1" applyProtection="1">
      <alignment wrapText="1"/>
    </xf>
    <xf numFmtId="17" fontId="42" fillId="0" borderId="0" xfId="0" applyNumberFormat="1" applyFont="1"/>
    <xf numFmtId="0" fontId="0" fillId="0" borderId="5" xfId="0" applyBorder="1"/>
    <xf numFmtId="17" fontId="0" fillId="0" borderId="0" xfId="0" applyNumberFormat="1"/>
    <xf numFmtId="43" fontId="0" fillId="0" borderId="5" xfId="4055" applyFont="1" applyBorder="1"/>
    <xf numFmtId="43" fontId="0" fillId="0" borderId="0" xfId="0" applyNumberFormat="1"/>
    <xf numFmtId="9" fontId="0" fillId="0" borderId="0" xfId="4068" applyFont="1"/>
    <xf numFmtId="0" fontId="42" fillId="0" borderId="5" xfId="0" applyFont="1" applyBorder="1"/>
    <xf numFmtId="14" fontId="42" fillId="0" borderId="5" xfId="0" applyNumberFormat="1" applyFont="1" applyBorder="1"/>
    <xf numFmtId="43" fontId="42" fillId="0" borderId="5" xfId="4055" applyFont="1" applyBorder="1"/>
    <xf numFmtId="178" fontId="17" fillId="0" borderId="32" xfId="0" applyNumberFormat="1" applyFont="1" applyBorder="1" applyAlignment="1" applyProtection="1">
      <alignment vertical="top" wrapText="1" readingOrder="1"/>
      <protection locked="0"/>
    </xf>
    <xf numFmtId="0" fontId="42" fillId="0" borderId="33" xfId="0" applyFont="1" applyBorder="1"/>
    <xf numFmtId="43" fontId="42" fillId="0" borderId="33" xfId="4055" applyFont="1" applyBorder="1"/>
    <xf numFmtId="178" fontId="42" fillId="0" borderId="5" xfId="0" applyNumberFormat="1" applyFont="1" applyBorder="1"/>
    <xf numFmtId="0" fontId="52" fillId="0" borderId="0" xfId="0" applyFont="1" applyAlignment="1">
      <alignment horizontal="right"/>
    </xf>
    <xf numFmtId="17" fontId="47" fillId="0" borderId="0" xfId="0" applyNumberFormat="1" applyFont="1" applyAlignment="1">
      <alignment horizontal="right"/>
    </xf>
    <xf numFmtId="0" fontId="59" fillId="0" borderId="0" xfId="478" applyFont="1"/>
    <xf numFmtId="0" fontId="59" fillId="0" borderId="5" xfId="478" applyFont="1" applyBorder="1"/>
    <xf numFmtId="0" fontId="59" fillId="39" borderId="5" xfId="478" applyFont="1" applyFill="1" applyBorder="1" applyAlignment="1">
      <alignment horizontal="center"/>
    </xf>
    <xf numFmtId="170" fontId="59" fillId="0" borderId="5" xfId="478" applyNumberFormat="1" applyFont="1" applyBorder="1"/>
    <xf numFmtId="0" fontId="53" fillId="0" borderId="5" xfId="478" applyFont="1" applyBorder="1"/>
    <xf numFmtId="0" fontId="52" fillId="0" borderId="5" xfId="478" applyFont="1" applyBorder="1"/>
    <xf numFmtId="175" fontId="58" fillId="0" borderId="5" xfId="696" applyNumberFormat="1" applyFont="1" applyBorder="1"/>
    <xf numFmtId="170" fontId="53" fillId="0" borderId="5" xfId="478" applyNumberFormat="1" applyFont="1" applyBorder="1"/>
    <xf numFmtId="0" fontId="60" fillId="0" borderId="5" xfId="478" applyFont="1" applyBorder="1"/>
    <xf numFmtId="9" fontId="53" fillId="0" borderId="5" xfId="696" applyFont="1" applyBorder="1"/>
    <xf numFmtId="9" fontId="58" fillId="0" borderId="5" xfId="696" applyFont="1" applyBorder="1"/>
    <xf numFmtId="170" fontId="53" fillId="0" borderId="0" xfId="478" applyNumberFormat="1" applyFont="1"/>
    <xf numFmtId="178" fontId="0" fillId="0" borderId="0" xfId="0" applyNumberFormat="1"/>
    <xf numFmtId="4" fontId="0" fillId="0" borderId="0" xfId="0" applyNumberFormat="1"/>
    <xf numFmtId="17" fontId="59" fillId="0" borderId="0" xfId="478" applyNumberFormat="1" applyFont="1"/>
    <xf numFmtId="17" fontId="53" fillId="41" borderId="5" xfId="0" applyNumberFormat="1" applyFont="1" applyFill="1" applyBorder="1" applyAlignment="1">
      <alignment horizontal="right"/>
    </xf>
    <xf numFmtId="17" fontId="47" fillId="0" borderId="5" xfId="0" applyNumberFormat="1" applyFont="1" applyBorder="1"/>
    <xf numFmtId="0" fontId="61" fillId="0" borderId="0" xfId="0" applyFont="1"/>
    <xf numFmtId="0" fontId="62" fillId="0" borderId="0" xfId="0" applyFont="1"/>
    <xf numFmtId="0" fontId="61" fillId="0" borderId="5" xfId="0" applyFont="1" applyBorder="1"/>
    <xf numFmtId="17" fontId="61" fillId="0" borderId="5" xfId="0" applyNumberFormat="1" applyFont="1" applyBorder="1"/>
    <xf numFmtId="17" fontId="63" fillId="0" borderId="5" xfId="0" applyNumberFormat="1" applyFont="1" applyBorder="1"/>
    <xf numFmtId="17" fontId="61" fillId="0" borderId="5" xfId="0" applyNumberFormat="1" applyFont="1" applyBorder="1" applyAlignment="1">
      <alignment horizontal="right"/>
    </xf>
    <xf numFmtId="17" fontId="63" fillId="41" borderId="5" xfId="0" applyNumberFormat="1" applyFont="1" applyFill="1" applyBorder="1" applyAlignment="1">
      <alignment horizontal="right"/>
    </xf>
    <xf numFmtId="0" fontId="61" fillId="0" borderId="5" xfId="0" applyFont="1" applyBorder="1" applyAlignment="1">
      <alignment vertical="top" wrapText="1"/>
    </xf>
    <xf numFmtId="0" fontId="61" fillId="0" borderId="5" xfId="0" applyFont="1" applyBorder="1" applyAlignment="1">
      <alignment vertical="center"/>
    </xf>
    <xf numFmtId="174" fontId="61" fillId="0" borderId="5" xfId="4055" applyNumberFormat="1" applyFont="1" applyBorder="1" applyAlignment="1"/>
    <xf numFmtId="174" fontId="61" fillId="45" borderId="5" xfId="4055" applyNumberFormat="1" applyFont="1" applyFill="1" applyBorder="1" applyAlignment="1"/>
    <xf numFmtId="174" fontId="62" fillId="0" borderId="5" xfId="4055" applyNumberFormat="1" applyFont="1" applyBorder="1" applyAlignment="1"/>
    <xf numFmtId="0" fontId="61" fillId="0" borderId="5" xfId="0" applyFont="1" applyBorder="1" applyAlignment="1">
      <alignment vertical="top"/>
    </xf>
    <xf numFmtId="175" fontId="61" fillId="0" borderId="5" xfId="4068" applyNumberFormat="1" applyFont="1" applyBorder="1" applyAlignment="1"/>
    <xf numFmtId="175" fontId="61" fillId="41" borderId="5" xfId="4068" applyNumberFormat="1" applyFont="1" applyFill="1" applyBorder="1" applyAlignment="1"/>
    <xf numFmtId="175" fontId="62" fillId="41" borderId="5" xfId="4068" applyNumberFormat="1" applyFont="1" applyFill="1" applyBorder="1" applyAlignment="1"/>
    <xf numFmtId="9" fontId="61" fillId="0" borderId="5" xfId="4068" applyFont="1" applyBorder="1" applyAlignment="1"/>
    <xf numFmtId="9" fontId="62" fillId="0" borderId="5" xfId="4068" applyFont="1" applyBorder="1" applyAlignment="1"/>
    <xf numFmtId="0" fontId="61" fillId="0" borderId="5" xfId="0" applyFont="1" applyBorder="1" applyAlignment="1">
      <alignment vertical="center" wrapText="1"/>
    </xf>
    <xf numFmtId="0" fontId="62" fillId="0" borderId="5" xfId="0" applyFont="1" applyBorder="1"/>
    <xf numFmtId="9" fontId="61" fillId="0" borderId="5" xfId="0" applyNumberFormat="1" applyFont="1" applyBorder="1" applyAlignment="1">
      <alignment vertical="center" wrapText="1"/>
    </xf>
    <xf numFmtId="9" fontId="62" fillId="0" borderId="5" xfId="0" applyNumberFormat="1" applyFont="1" applyBorder="1" applyAlignment="1">
      <alignment vertical="center" wrapText="1"/>
    </xf>
    <xf numFmtId="9" fontId="61" fillId="0" borderId="5" xfId="4068" applyFont="1" applyBorder="1" applyAlignment="1">
      <alignment vertical="center" wrapText="1"/>
    </xf>
    <xf numFmtId="9" fontId="62" fillId="0" borderId="5" xfId="4068" applyFont="1" applyBorder="1" applyAlignment="1">
      <alignment vertical="center" wrapText="1"/>
    </xf>
    <xf numFmtId="9" fontId="61" fillId="41" borderId="5" xfId="4068" applyFont="1" applyFill="1" applyBorder="1" applyAlignment="1">
      <alignment vertical="center" wrapText="1"/>
    </xf>
    <xf numFmtId="9" fontId="62" fillId="41" borderId="5" xfId="4068" applyFont="1" applyFill="1" applyBorder="1" applyAlignment="1">
      <alignment vertical="center" wrapText="1"/>
    </xf>
    <xf numFmtId="9" fontId="61" fillId="0" borderId="5" xfId="4068" applyFont="1" applyBorder="1" applyAlignment="1">
      <alignment vertical="center"/>
    </xf>
    <xf numFmtId="9" fontId="62" fillId="0" borderId="5" xfId="4068" applyFont="1" applyBorder="1" applyAlignment="1">
      <alignment vertical="center"/>
    </xf>
    <xf numFmtId="9" fontId="61" fillId="41" borderId="5" xfId="4068" applyFont="1" applyFill="1" applyBorder="1" applyAlignment="1"/>
    <xf numFmtId="9" fontId="62" fillId="41" borderId="5" xfId="4068" applyFont="1" applyFill="1" applyBorder="1" applyAlignment="1"/>
    <xf numFmtId="43" fontId="61" fillId="0" borderId="5" xfId="0" applyNumberFormat="1" applyFont="1" applyBorder="1" applyAlignment="1">
      <alignment vertical="center" wrapText="1"/>
    </xf>
    <xf numFmtId="0" fontId="64" fillId="0" borderId="5" xfId="0" applyFont="1" applyBorder="1" applyAlignment="1">
      <alignment vertical="top"/>
    </xf>
    <xf numFmtId="0" fontId="64" fillId="0" borderId="5" xfId="0" applyFont="1" applyBorder="1" applyAlignment="1">
      <alignment vertical="center"/>
    </xf>
    <xf numFmtId="0" fontId="64" fillId="0" borderId="5" xfId="0" applyFont="1" applyBorder="1" applyAlignment="1">
      <alignment vertical="top" wrapText="1"/>
    </xf>
    <xf numFmtId="0" fontId="62" fillId="0" borderId="0" xfId="0" applyFont="1" applyAlignment="1">
      <alignment horizontal="right"/>
    </xf>
    <xf numFmtId="17" fontId="62" fillId="0" borderId="0" xfId="0" applyNumberFormat="1" applyFont="1"/>
    <xf numFmtId="43" fontId="52" fillId="0" borderId="0" xfId="4055" applyFont="1"/>
    <xf numFmtId="0" fontId="61" fillId="0" borderId="5" xfId="478" applyFont="1" applyBorder="1"/>
    <xf numFmtId="0" fontId="61" fillId="39" borderId="5" xfId="478" applyFont="1" applyFill="1" applyBorder="1"/>
    <xf numFmtId="0" fontId="61" fillId="39" borderId="5" xfId="478" applyFont="1" applyFill="1" applyBorder="1" applyAlignment="1">
      <alignment horizontal="center"/>
    </xf>
    <xf numFmtId="170" fontId="61" fillId="0" borderId="5" xfId="478" applyNumberFormat="1" applyFont="1" applyBorder="1"/>
    <xf numFmtId="0" fontId="63" fillId="0" borderId="5" xfId="478" applyFont="1" applyBorder="1"/>
    <xf numFmtId="0" fontId="61" fillId="0" borderId="5" xfId="478" applyFont="1" applyBorder="1" applyAlignment="1">
      <alignment horizontal="center"/>
    </xf>
    <xf numFmtId="177" fontId="61" fillId="0" borderId="5" xfId="478" applyNumberFormat="1" applyFont="1" applyBorder="1"/>
    <xf numFmtId="175" fontId="61" fillId="0" borderId="5" xfId="696" applyNumberFormat="1" applyFont="1" applyBorder="1"/>
    <xf numFmtId="9" fontId="61" fillId="0" borderId="5" xfId="696" applyFont="1" applyBorder="1" applyAlignment="1">
      <alignment horizontal="center"/>
    </xf>
    <xf numFmtId="9" fontId="61" fillId="0" borderId="5" xfId="696" applyFont="1" applyBorder="1"/>
    <xf numFmtId="170" fontId="63" fillId="0" borderId="5" xfId="478" applyNumberFormat="1" applyFont="1" applyBorder="1"/>
    <xf numFmtId="0" fontId="63" fillId="0" borderId="5" xfId="478" applyFont="1" applyBorder="1" applyAlignment="1">
      <alignment horizontal="right"/>
    </xf>
    <xf numFmtId="175" fontId="59" fillId="0" borderId="36" xfId="696" applyNumberFormat="1" applyFont="1" applyBorder="1"/>
    <xf numFmtId="175" fontId="58" fillId="0" borderId="36" xfId="696" applyNumberFormat="1" applyFont="1" applyBorder="1"/>
    <xf numFmtId="17" fontId="39" fillId="0" borderId="5" xfId="0" applyNumberFormat="1" applyFont="1" applyBorder="1"/>
    <xf numFmtId="17" fontId="61" fillId="0" borderId="5" xfId="478" applyNumberFormat="1" applyFont="1" applyBorder="1"/>
    <xf numFmtId="17" fontId="66" fillId="41" borderId="5" xfId="0" applyNumberFormat="1" applyFont="1" applyFill="1" applyBorder="1"/>
    <xf numFmtId="0" fontId="62" fillId="41" borderId="0" xfId="0" applyFont="1" applyFill="1"/>
    <xf numFmtId="0" fontId="45" fillId="0" borderId="0" xfId="478" applyFont="1" applyAlignment="1">
      <alignment horizontal="left"/>
    </xf>
    <xf numFmtId="0" fontId="44" fillId="0" borderId="0" xfId="478" applyFont="1" applyAlignment="1">
      <alignment horizontal="left"/>
    </xf>
    <xf numFmtId="174" fontId="45" fillId="0" borderId="0" xfId="4055" applyNumberFormat="1" applyFont="1"/>
    <xf numFmtId="43" fontId="45" fillId="0" borderId="0" xfId="4055" applyFont="1"/>
    <xf numFmtId="43" fontId="45" fillId="0" borderId="0" xfId="0" applyNumberFormat="1" applyFont="1"/>
    <xf numFmtId="0" fontId="44" fillId="0" borderId="0" xfId="478" applyFont="1" applyAlignment="1">
      <alignment horizontal="center"/>
    </xf>
    <xf numFmtId="0" fontId="44" fillId="0" borderId="0" xfId="478" applyFont="1"/>
    <xf numFmtId="0" fontId="44" fillId="0" borderId="5" xfId="0" applyFont="1" applyBorder="1"/>
    <xf numFmtId="174" fontId="44" fillId="0" borderId="5" xfId="4055" applyNumberFormat="1" applyFont="1" applyBorder="1" applyAlignment="1" applyProtection="1">
      <alignment horizontal="right"/>
      <protection locked="0"/>
    </xf>
    <xf numFmtId="17" fontId="44" fillId="0" borderId="0" xfId="0" applyNumberFormat="1" applyFont="1"/>
    <xf numFmtId="17" fontId="44" fillId="0" borderId="5" xfId="0" applyNumberFormat="1" applyFont="1" applyBorder="1"/>
    <xf numFmtId="0" fontId="44" fillId="0" borderId="0" xfId="0" applyFont="1"/>
    <xf numFmtId="17" fontId="45" fillId="41" borderId="0" xfId="0" applyNumberFormat="1" applyFont="1" applyFill="1"/>
    <xf numFmtId="17" fontId="45" fillId="41" borderId="0" xfId="0" applyNumberFormat="1" applyFont="1" applyFill="1" applyAlignment="1">
      <alignment horizontal="right"/>
    </xf>
    <xf numFmtId="43" fontId="45" fillId="41" borderId="0" xfId="4055" applyFont="1" applyFill="1"/>
    <xf numFmtId="17" fontId="45" fillId="0" borderId="0" xfId="0" applyNumberFormat="1" applyFont="1"/>
    <xf numFmtId="174" fontId="45" fillId="0" borderId="5" xfId="4055" applyNumberFormat="1" applyFont="1" applyBorder="1"/>
    <xf numFmtId="0" fontId="45" fillId="0" borderId="9" xfId="478" applyFont="1" applyBorder="1" applyAlignment="1">
      <alignment wrapText="1"/>
    </xf>
    <xf numFmtId="0" fontId="44" fillId="0" borderId="19" xfId="478" applyFont="1" applyBorder="1"/>
    <xf numFmtId="170" fontId="45" fillId="0" borderId="9" xfId="478" applyNumberFormat="1" applyFont="1" applyBorder="1"/>
    <xf numFmtId="0" fontId="45" fillId="0" borderId="19" xfId="478" applyFont="1" applyBorder="1"/>
    <xf numFmtId="41" fontId="45" fillId="43" borderId="5" xfId="183" applyNumberFormat="1" applyFont="1" applyFill="1" applyBorder="1"/>
    <xf numFmtId="43" fontId="45" fillId="43" borderId="5" xfId="57" applyFont="1" applyFill="1" applyBorder="1"/>
    <xf numFmtId="166" fontId="44" fillId="14" borderId="9" xfId="55" applyFont="1" applyFill="1" applyBorder="1" applyAlignment="1" applyProtection="1"/>
    <xf numFmtId="166" fontId="44" fillId="14" borderId="19" xfId="55" applyFont="1" applyFill="1" applyBorder="1" applyAlignment="1" applyProtection="1"/>
    <xf numFmtId="166" fontId="44" fillId="14" borderId="5" xfId="55" applyFont="1" applyFill="1" applyBorder="1" applyAlignment="1" applyProtection="1"/>
    <xf numFmtId="43" fontId="44" fillId="14" borderId="5" xfId="4055" applyFont="1" applyFill="1" applyBorder="1" applyAlignment="1" applyProtection="1"/>
    <xf numFmtId="43" fontId="44" fillId="14" borderId="26" xfId="4055" applyFont="1" applyFill="1" applyBorder="1" applyAlignment="1" applyProtection="1"/>
    <xf numFmtId="174" fontId="44" fillId="14" borderId="5" xfId="4055" applyNumberFormat="1" applyFont="1" applyFill="1" applyBorder="1" applyAlignment="1" applyProtection="1"/>
    <xf numFmtId="43" fontId="44" fillId="15" borderId="5" xfId="57" applyFont="1" applyFill="1" applyBorder="1"/>
    <xf numFmtId="43" fontId="44" fillId="15" borderId="25" xfId="57" applyFont="1" applyFill="1" applyBorder="1" applyAlignment="1">
      <alignment horizontal="right" vertical="center"/>
    </xf>
    <xf numFmtId="166" fontId="45" fillId="0" borderId="9" xfId="55" applyFont="1" applyFill="1" applyBorder="1" applyAlignment="1" applyProtection="1">
      <protection locked="0"/>
    </xf>
    <xf numFmtId="166" fontId="45" fillId="0" borderId="19" xfId="55" applyFont="1" applyFill="1" applyBorder="1" applyAlignment="1" applyProtection="1">
      <protection locked="0"/>
    </xf>
    <xf numFmtId="178" fontId="67" fillId="0" borderId="5" xfId="4083" applyNumberFormat="1" applyFont="1" applyBorder="1" applyAlignment="1" applyProtection="1">
      <alignment vertical="top" wrapText="1" readingOrder="1"/>
      <protection locked="0"/>
    </xf>
    <xf numFmtId="178" fontId="67" fillId="0" borderId="5" xfId="4092" applyNumberFormat="1" applyFont="1" applyBorder="1" applyAlignment="1" applyProtection="1">
      <alignment vertical="top" wrapText="1" readingOrder="1"/>
      <protection locked="0"/>
    </xf>
    <xf numFmtId="178" fontId="67" fillId="0" borderId="5" xfId="4112" applyNumberFormat="1" applyFont="1" applyBorder="1" applyAlignment="1" applyProtection="1">
      <alignment vertical="top" wrapText="1" readingOrder="1"/>
      <protection locked="0"/>
    </xf>
    <xf numFmtId="178" fontId="67" fillId="0" borderId="5" xfId="0" applyNumberFormat="1" applyFont="1" applyBorder="1" applyAlignment="1" applyProtection="1">
      <alignment vertical="top" wrapText="1" readingOrder="1"/>
      <protection locked="0"/>
    </xf>
    <xf numFmtId="178" fontId="67" fillId="0" borderId="5" xfId="4128" applyNumberFormat="1" applyFont="1" applyBorder="1" applyAlignment="1" applyProtection="1">
      <alignment vertical="top" wrapText="1" readingOrder="1"/>
      <protection locked="0"/>
    </xf>
    <xf numFmtId="166" fontId="45" fillId="0" borderId="26" xfId="55" applyFont="1" applyFill="1" applyBorder="1" applyAlignment="1" applyProtection="1">
      <protection locked="0"/>
    </xf>
    <xf numFmtId="178" fontId="67" fillId="0" borderId="26" xfId="0" applyNumberFormat="1" applyFont="1" applyBorder="1" applyAlignment="1" applyProtection="1">
      <alignment vertical="top" wrapText="1" readingOrder="1"/>
      <protection locked="0"/>
    </xf>
    <xf numFmtId="178" fontId="67" fillId="0" borderId="28" xfId="0" applyNumberFormat="1" applyFont="1" applyBorder="1" applyAlignment="1" applyProtection="1">
      <alignment vertical="top" wrapText="1" readingOrder="1"/>
      <protection locked="0"/>
    </xf>
    <xf numFmtId="43" fontId="45" fillId="0" borderId="5" xfId="4055" applyFont="1" applyBorder="1"/>
    <xf numFmtId="178" fontId="67" fillId="0" borderId="28" xfId="0" applyNumberFormat="1" applyFont="1" applyBorder="1" applyAlignment="1" applyProtection="1">
      <alignment vertical="top" readingOrder="1"/>
      <protection locked="0"/>
    </xf>
    <xf numFmtId="178" fontId="67" fillId="0" borderId="31" xfId="0" applyNumberFormat="1" applyFont="1" applyBorder="1" applyAlignment="1" applyProtection="1">
      <alignment vertical="top" readingOrder="1"/>
      <protection locked="0"/>
    </xf>
    <xf numFmtId="43" fontId="46" fillId="0" borderId="34" xfId="4055" applyFont="1" applyBorder="1" applyAlignment="1" applyProtection="1">
      <alignment vertical="top" wrapText="1"/>
      <protection locked="0"/>
    </xf>
    <xf numFmtId="174" fontId="45" fillId="0" borderId="0" xfId="0" applyNumberFormat="1" applyFont="1"/>
    <xf numFmtId="174" fontId="67" fillId="0" borderId="28" xfId="0" applyNumberFormat="1" applyFont="1" applyBorder="1" applyAlignment="1" applyProtection="1">
      <alignment vertical="top" wrapText="1" readingOrder="1"/>
      <protection locked="0"/>
    </xf>
    <xf numFmtId="41" fontId="45" fillId="0" borderId="5" xfId="183" applyNumberFormat="1" applyFont="1" applyFill="1" applyBorder="1"/>
    <xf numFmtId="43" fontId="45" fillId="0" borderId="5" xfId="57" applyFont="1" applyFill="1" applyBorder="1"/>
    <xf numFmtId="166" fontId="44" fillId="14" borderId="9" xfId="55" applyFont="1" applyFill="1" applyBorder="1" applyAlignment="1" applyProtection="1">
      <protection locked="0"/>
    </xf>
    <xf numFmtId="166" fontId="44" fillId="14" borderId="19" xfId="55" applyFont="1" applyFill="1" applyBorder="1" applyAlignment="1" applyProtection="1">
      <protection locked="0"/>
    </xf>
    <xf numFmtId="166" fontId="44" fillId="14" borderId="26" xfId="55" applyFont="1" applyFill="1" applyBorder="1" applyAlignment="1" applyProtection="1">
      <protection locked="0"/>
    </xf>
    <xf numFmtId="43" fontId="45" fillId="0" borderId="35" xfId="4055" applyFont="1" applyBorder="1"/>
    <xf numFmtId="174" fontId="45" fillId="0" borderId="5" xfId="183" applyNumberFormat="1" applyFont="1" applyFill="1" applyBorder="1"/>
    <xf numFmtId="178" fontId="67" fillId="0" borderId="5" xfId="4084" applyNumberFormat="1" applyFont="1" applyBorder="1" applyAlignment="1" applyProtection="1">
      <alignment vertical="top" wrapText="1" readingOrder="1"/>
      <protection locked="0"/>
    </xf>
    <xf numFmtId="178" fontId="67" fillId="0" borderId="5" xfId="4093" applyNumberFormat="1" applyFont="1" applyBorder="1" applyAlignment="1" applyProtection="1">
      <alignment vertical="top" wrapText="1" readingOrder="1"/>
      <protection locked="0"/>
    </xf>
    <xf numFmtId="178" fontId="67" fillId="0" borderId="5" xfId="4113" applyNumberFormat="1" applyFont="1" applyBorder="1" applyAlignment="1" applyProtection="1">
      <alignment vertical="top" wrapText="1" readingOrder="1"/>
      <protection locked="0"/>
    </xf>
    <xf numFmtId="178" fontId="67" fillId="0" borderId="5" xfId="4129" applyNumberFormat="1" applyFont="1" applyBorder="1" applyAlignment="1" applyProtection="1">
      <alignment vertical="top" wrapText="1" readingOrder="1"/>
      <protection locked="0"/>
    </xf>
    <xf numFmtId="0" fontId="45" fillId="0" borderId="26" xfId="0" applyFont="1" applyBorder="1"/>
    <xf numFmtId="43" fontId="45" fillId="0" borderId="5" xfId="57" applyFont="1" applyBorder="1"/>
    <xf numFmtId="43" fontId="47" fillId="0" borderId="34" xfId="4055" applyFont="1" applyBorder="1" applyAlignment="1" applyProtection="1">
      <alignment vertical="top" wrapText="1"/>
      <protection locked="0"/>
    </xf>
    <xf numFmtId="166" fontId="45" fillId="0" borderId="5" xfId="55" applyFont="1" applyFill="1" applyBorder="1" applyAlignment="1" applyProtection="1">
      <protection locked="0"/>
    </xf>
    <xf numFmtId="43" fontId="45" fillId="42" borderId="5" xfId="57" applyFont="1" applyFill="1" applyBorder="1"/>
    <xf numFmtId="0" fontId="45" fillId="0" borderId="9" xfId="478" applyFont="1" applyBorder="1"/>
    <xf numFmtId="178" fontId="67" fillId="0" borderId="5" xfId="4085" applyNumberFormat="1" applyFont="1" applyBorder="1" applyAlignment="1" applyProtection="1">
      <alignment vertical="top" wrapText="1" readingOrder="1"/>
      <protection locked="0"/>
    </xf>
    <xf numFmtId="178" fontId="67" fillId="0" borderId="5" xfId="4094" applyNumberFormat="1" applyFont="1" applyBorder="1" applyAlignment="1" applyProtection="1">
      <alignment vertical="top" wrapText="1" readingOrder="1"/>
      <protection locked="0"/>
    </xf>
    <xf numFmtId="178" fontId="67" fillId="0" borderId="5" xfId="4114" applyNumberFormat="1" applyFont="1" applyBorder="1" applyAlignment="1" applyProtection="1">
      <alignment vertical="top" wrapText="1" readingOrder="1"/>
      <protection locked="0"/>
    </xf>
    <xf numFmtId="178" fontId="67" fillId="0" borderId="5" xfId="4130" applyNumberFormat="1" applyFont="1" applyBorder="1" applyAlignment="1" applyProtection="1">
      <alignment vertical="top" wrapText="1" readingOrder="1"/>
      <protection locked="0"/>
    </xf>
    <xf numFmtId="43" fontId="45" fillId="42" borderId="5" xfId="183" applyFont="1" applyFill="1" applyBorder="1"/>
    <xf numFmtId="43" fontId="45" fillId="0" borderId="5" xfId="183" applyFont="1" applyFill="1" applyBorder="1"/>
    <xf numFmtId="178" fontId="67" fillId="0" borderId="5" xfId="4086" applyNumberFormat="1" applyFont="1" applyBorder="1" applyAlignment="1" applyProtection="1">
      <alignment vertical="top" wrapText="1" readingOrder="1"/>
      <protection locked="0"/>
    </xf>
    <xf numFmtId="178" fontId="67" fillId="0" borderId="5" xfId="4095" applyNumberFormat="1" applyFont="1" applyBorder="1" applyAlignment="1" applyProtection="1">
      <alignment vertical="top" wrapText="1" readingOrder="1"/>
      <protection locked="0"/>
    </xf>
    <xf numFmtId="178" fontId="67" fillId="0" borderId="5" xfId="4115" applyNumberFormat="1" applyFont="1" applyBorder="1" applyAlignment="1" applyProtection="1">
      <alignment vertical="top" wrapText="1" readingOrder="1"/>
      <protection locked="0"/>
    </xf>
    <xf numFmtId="178" fontId="67" fillId="0" borderId="5" xfId="4131" applyNumberFormat="1" applyFont="1" applyBorder="1" applyAlignment="1" applyProtection="1">
      <alignment vertical="top" wrapText="1" readingOrder="1"/>
      <protection locked="0"/>
    </xf>
    <xf numFmtId="43" fontId="67" fillId="0" borderId="28" xfId="0" applyNumberFormat="1" applyFont="1" applyBorder="1" applyAlignment="1" applyProtection="1">
      <alignment vertical="top" wrapText="1" readingOrder="1"/>
      <protection locked="0"/>
    </xf>
    <xf numFmtId="41" fontId="45" fillId="41" borderId="5" xfId="183" applyNumberFormat="1" applyFont="1" applyFill="1" applyBorder="1"/>
    <xf numFmtId="43" fontId="45" fillId="41" borderId="5" xfId="57" applyFont="1" applyFill="1" applyBorder="1"/>
    <xf numFmtId="174" fontId="46" fillId="0" borderId="0" xfId="4055" applyNumberFormat="1" applyFont="1" applyFill="1" applyAlignment="1"/>
    <xf numFmtId="178" fontId="67" fillId="0" borderId="5" xfId="4087" applyNumberFormat="1" applyFont="1" applyBorder="1" applyAlignment="1" applyProtection="1">
      <alignment vertical="top" wrapText="1" readingOrder="1"/>
      <protection locked="0"/>
    </xf>
    <xf numFmtId="178" fontId="67" fillId="0" borderId="5" xfId="4096" applyNumberFormat="1" applyFont="1" applyBorder="1" applyAlignment="1" applyProtection="1">
      <alignment vertical="top" wrapText="1" readingOrder="1"/>
      <protection locked="0"/>
    </xf>
    <xf numFmtId="178" fontId="67" fillId="0" borderId="5" xfId="4116" applyNumberFormat="1" applyFont="1" applyBorder="1" applyAlignment="1" applyProtection="1">
      <alignment vertical="top" wrapText="1" readingOrder="1"/>
      <protection locked="0"/>
    </xf>
    <xf numFmtId="178" fontId="67" fillId="0" borderId="5" xfId="4132" applyNumberFormat="1" applyFont="1" applyBorder="1" applyAlignment="1" applyProtection="1">
      <alignment vertical="top" wrapText="1" readingOrder="1"/>
      <protection locked="0"/>
    </xf>
    <xf numFmtId="166" fontId="44" fillId="15" borderId="9" xfId="55" applyFont="1" applyFill="1" applyBorder="1" applyAlignment="1" applyProtection="1"/>
    <xf numFmtId="166" fontId="44" fillId="15" borderId="19" xfId="55" applyFont="1" applyFill="1" applyBorder="1" applyAlignment="1" applyProtection="1"/>
    <xf numFmtId="166" fontId="44" fillId="15" borderId="5" xfId="55" applyFont="1" applyFill="1" applyBorder="1" applyAlignment="1" applyProtection="1"/>
    <xf numFmtId="43" fontId="44" fillId="15" borderId="5" xfId="4055" applyFont="1" applyFill="1" applyBorder="1" applyAlignment="1" applyProtection="1"/>
    <xf numFmtId="43" fontId="44" fillId="15" borderId="26" xfId="4055" applyFont="1" applyFill="1" applyBorder="1" applyAlignment="1" applyProtection="1"/>
    <xf numFmtId="174" fontId="44" fillId="15" borderId="5" xfId="4055" applyNumberFormat="1" applyFont="1" applyFill="1" applyBorder="1" applyAlignment="1" applyProtection="1"/>
    <xf numFmtId="178" fontId="67" fillId="0" borderId="5" xfId="4088" applyNumberFormat="1" applyFont="1" applyBorder="1" applyAlignment="1" applyProtection="1">
      <alignment vertical="top" wrapText="1" readingOrder="1"/>
      <protection locked="0"/>
    </xf>
    <xf numFmtId="178" fontId="67" fillId="0" borderId="5" xfId="4097" applyNumberFormat="1" applyFont="1" applyBorder="1" applyAlignment="1" applyProtection="1">
      <alignment vertical="top" wrapText="1" readingOrder="1"/>
      <protection locked="0"/>
    </xf>
    <xf numFmtId="178" fontId="67" fillId="0" borderId="5" xfId="4117" applyNumberFormat="1" applyFont="1" applyBorder="1" applyAlignment="1" applyProtection="1">
      <alignment vertical="top" wrapText="1" readingOrder="1"/>
      <protection locked="0"/>
    </xf>
    <xf numFmtId="178" fontId="67" fillId="0" borderId="5" xfId="4133" applyNumberFormat="1" applyFont="1" applyBorder="1" applyAlignment="1" applyProtection="1">
      <alignment vertical="top" wrapText="1" readingOrder="1"/>
      <protection locked="0"/>
    </xf>
    <xf numFmtId="43" fontId="67" fillId="0" borderId="28" xfId="4055" applyFont="1" applyBorder="1" applyAlignment="1" applyProtection="1">
      <alignment vertical="top" wrapText="1" readingOrder="1"/>
      <protection locked="0"/>
    </xf>
    <xf numFmtId="174" fontId="45" fillId="42" borderId="5" xfId="57" applyNumberFormat="1" applyFont="1" applyFill="1" applyBorder="1"/>
    <xf numFmtId="41" fontId="45" fillId="0" borderId="0" xfId="57" applyNumberFormat="1" applyFont="1" applyBorder="1"/>
    <xf numFmtId="43" fontId="45" fillId="0" borderId="0" xfId="57" applyFont="1" applyBorder="1"/>
    <xf numFmtId="178" fontId="67" fillId="0" borderId="5" xfId="4089" applyNumberFormat="1" applyFont="1" applyBorder="1" applyAlignment="1" applyProtection="1">
      <alignment vertical="top" wrapText="1" readingOrder="1"/>
      <protection locked="0"/>
    </xf>
    <xf numFmtId="178" fontId="68" fillId="41" borderId="5" xfId="4098" applyNumberFormat="1" applyFont="1" applyFill="1" applyBorder="1" applyAlignment="1" applyProtection="1">
      <alignment vertical="top" wrapText="1" readingOrder="1"/>
      <protection locked="0"/>
    </xf>
    <xf numFmtId="166" fontId="44" fillId="41" borderId="5" xfId="55" applyFont="1" applyFill="1" applyBorder="1" applyAlignment="1" applyProtection="1">
      <protection locked="0"/>
    </xf>
    <xf numFmtId="178" fontId="67" fillId="0" borderId="5" xfId="4118" applyNumberFormat="1" applyFont="1" applyBorder="1" applyAlignment="1" applyProtection="1">
      <alignment vertical="top" wrapText="1" readingOrder="1"/>
      <protection locked="0"/>
    </xf>
    <xf numFmtId="178" fontId="67" fillId="0" borderId="5" xfId="4134" applyNumberFormat="1" applyFont="1" applyBorder="1" applyAlignment="1" applyProtection="1">
      <alignment vertical="top" wrapText="1" readingOrder="1"/>
      <protection locked="0"/>
    </xf>
    <xf numFmtId="178" fontId="67" fillId="0" borderId="5" xfId="4098" applyNumberFormat="1" applyFont="1" applyBorder="1" applyAlignment="1" applyProtection="1">
      <alignment vertical="top" wrapText="1" readingOrder="1"/>
      <protection locked="0"/>
    </xf>
    <xf numFmtId="1" fontId="45" fillId="0" borderId="5" xfId="183" applyNumberFormat="1" applyFont="1" applyFill="1" applyBorder="1"/>
    <xf numFmtId="178" fontId="67" fillId="0" borderId="5" xfId="4090" applyNumberFormat="1" applyFont="1" applyBorder="1" applyAlignment="1" applyProtection="1">
      <alignment vertical="top" wrapText="1" readingOrder="1"/>
      <protection locked="0"/>
    </xf>
    <xf numFmtId="178" fontId="67" fillId="0" borderId="5" xfId="4099" applyNumberFormat="1" applyFont="1" applyBorder="1" applyAlignment="1" applyProtection="1">
      <alignment vertical="top" wrapText="1" readingOrder="1"/>
      <protection locked="0"/>
    </xf>
    <xf numFmtId="178" fontId="67" fillId="0" borderId="5" xfId="4119" applyNumberFormat="1" applyFont="1" applyBorder="1" applyAlignment="1" applyProtection="1">
      <alignment vertical="top" wrapText="1" readingOrder="1"/>
      <protection locked="0"/>
    </xf>
    <xf numFmtId="178" fontId="67" fillId="0" borderId="5" xfId="4135" applyNumberFormat="1" applyFont="1" applyBorder="1" applyAlignment="1" applyProtection="1">
      <alignment vertical="top" wrapText="1" readingOrder="1"/>
      <protection locked="0"/>
    </xf>
    <xf numFmtId="174" fontId="45" fillId="0" borderId="0" xfId="57" applyNumberFormat="1" applyFont="1" applyBorder="1"/>
    <xf numFmtId="178" fontId="67" fillId="0" borderId="5" xfId="4091" applyNumberFormat="1" applyFont="1" applyBorder="1" applyAlignment="1" applyProtection="1">
      <alignment vertical="top" wrapText="1" readingOrder="1"/>
      <protection locked="0"/>
    </xf>
    <xf numFmtId="178" fontId="67" fillId="0" borderId="5" xfId="4100" applyNumberFormat="1" applyFont="1" applyBorder="1" applyAlignment="1" applyProtection="1">
      <alignment vertical="top" wrapText="1" readingOrder="1"/>
      <protection locked="0"/>
    </xf>
    <xf numFmtId="178" fontId="67" fillId="0" borderId="5" xfId="4120" applyNumberFormat="1" applyFont="1" applyBorder="1" applyAlignment="1" applyProtection="1">
      <alignment vertical="top" wrapText="1" readingOrder="1"/>
      <protection locked="0"/>
    </xf>
    <xf numFmtId="178" fontId="67" fillId="0" borderId="5" xfId="4136" applyNumberFormat="1" applyFont="1" applyBorder="1" applyAlignment="1" applyProtection="1">
      <alignment vertical="top" wrapText="1" readingOrder="1"/>
      <protection locked="0"/>
    </xf>
    <xf numFmtId="166" fontId="45" fillId="41" borderId="9" xfId="55" applyFont="1" applyFill="1" applyBorder="1" applyAlignment="1" applyProtection="1">
      <protection locked="0"/>
    </xf>
    <xf numFmtId="43" fontId="67" fillId="0" borderId="5" xfId="4055" applyFont="1" applyBorder="1" applyAlignment="1" applyProtection="1">
      <alignment vertical="top" wrapText="1" readingOrder="1"/>
      <protection locked="0"/>
    </xf>
    <xf numFmtId="179" fontId="67" fillId="0" borderId="5" xfId="4091" applyNumberFormat="1" applyFont="1" applyBorder="1" applyAlignment="1" applyProtection="1">
      <alignment vertical="top" wrapText="1" readingOrder="1"/>
      <protection locked="0"/>
    </xf>
    <xf numFmtId="179" fontId="67" fillId="0" borderId="5" xfId="4100" applyNumberFormat="1" applyFont="1" applyBorder="1" applyAlignment="1" applyProtection="1">
      <alignment vertical="top" wrapText="1" readingOrder="1"/>
      <protection locked="0"/>
    </xf>
    <xf numFmtId="179" fontId="67" fillId="0" borderId="5" xfId="4120" applyNumberFormat="1" applyFont="1" applyBorder="1" applyAlignment="1" applyProtection="1">
      <alignment vertical="top" wrapText="1" readingOrder="1"/>
      <protection locked="0"/>
    </xf>
    <xf numFmtId="179" fontId="67" fillId="0" borderId="5" xfId="0" applyNumberFormat="1" applyFont="1" applyBorder="1" applyAlignment="1" applyProtection="1">
      <alignment vertical="top" wrapText="1" readingOrder="1"/>
      <protection locked="0"/>
    </xf>
    <xf numFmtId="179" fontId="67" fillId="0" borderId="5" xfId="4136" applyNumberFormat="1" applyFont="1" applyBorder="1" applyAlignment="1" applyProtection="1">
      <alignment vertical="top" wrapText="1" readingOrder="1"/>
      <protection locked="0"/>
    </xf>
    <xf numFmtId="179" fontId="67" fillId="0" borderId="28" xfId="0" applyNumberFormat="1" applyFont="1" applyBorder="1" applyAlignment="1" applyProtection="1">
      <alignment vertical="top" wrapText="1" readingOrder="1"/>
      <protection locked="0"/>
    </xf>
    <xf numFmtId="179" fontId="67" fillId="0" borderId="28" xfId="0" applyNumberFormat="1" applyFont="1" applyBorder="1" applyAlignment="1" applyProtection="1">
      <alignment vertical="top" readingOrder="1"/>
      <protection locked="0"/>
    </xf>
    <xf numFmtId="179" fontId="67" fillId="0" borderId="31" xfId="0" applyNumberFormat="1" applyFont="1" applyBorder="1" applyAlignment="1" applyProtection="1">
      <alignment vertical="top" readingOrder="1"/>
      <protection locked="0"/>
    </xf>
    <xf numFmtId="0" fontId="45" fillId="0" borderId="0" xfId="478" applyFont="1"/>
    <xf numFmtId="166" fontId="45" fillId="0" borderId="0" xfId="0" applyNumberFormat="1" applyFont="1"/>
    <xf numFmtId="180" fontId="52" fillId="15" borderId="5" xfId="55" applyNumberFormat="1" applyFont="1" applyFill="1" applyBorder="1" applyAlignment="1" applyProtection="1"/>
    <xf numFmtId="180" fontId="52" fillId="15" borderId="5" xfId="4055" applyNumberFormat="1" applyFont="1" applyFill="1" applyBorder="1" applyAlignment="1" applyProtection="1"/>
    <xf numFmtId="180" fontId="56" fillId="0" borderId="5" xfId="0" applyNumberFormat="1" applyFont="1" applyBorder="1" applyAlignment="1" applyProtection="1">
      <alignment horizontal="right" vertical="center"/>
      <protection locked="0"/>
    </xf>
    <xf numFmtId="180" fontId="53" fillId="0" borderId="0" xfId="4055" applyNumberFormat="1" applyFont="1"/>
    <xf numFmtId="180" fontId="53" fillId="0" borderId="0" xfId="0" applyNumberFormat="1" applyFont="1"/>
    <xf numFmtId="180" fontId="53" fillId="0" borderId="5" xfId="55" applyNumberFormat="1" applyFont="1" applyBorder="1" applyAlignment="1" applyProtection="1">
      <alignment horizontal="right" vertical="center"/>
      <protection locked="0"/>
    </xf>
    <xf numFmtId="180" fontId="53" fillId="0" borderId="5" xfId="0" applyNumberFormat="1" applyFont="1" applyBorder="1"/>
    <xf numFmtId="180" fontId="53" fillId="0" borderId="5" xfId="55" applyNumberFormat="1" applyFont="1" applyFill="1" applyBorder="1" applyAlignment="1" applyProtection="1">
      <protection locked="0"/>
    </xf>
    <xf numFmtId="180" fontId="52" fillId="15" borderId="0" xfId="4055" applyNumberFormat="1" applyFont="1" applyFill="1" applyBorder="1" applyAlignment="1" applyProtection="1"/>
    <xf numFmtId="180" fontId="57" fillId="15" borderId="5" xfId="0" applyNumberFormat="1" applyFont="1" applyFill="1" applyBorder="1" applyAlignment="1">
      <alignment horizontal="right" vertical="center"/>
    </xf>
    <xf numFmtId="180" fontId="57" fillId="15" borderId="5" xfId="4055" applyNumberFormat="1" applyFont="1" applyFill="1" applyBorder="1" applyAlignment="1" applyProtection="1">
      <alignment horizontal="right" vertical="center"/>
    </xf>
    <xf numFmtId="180" fontId="53" fillId="0" borderId="0" xfId="4055" applyNumberFormat="1" applyFont="1" applyAlignment="1">
      <alignment horizontal="right"/>
    </xf>
    <xf numFmtId="174" fontId="52" fillId="43" borderId="5" xfId="0" applyNumberFormat="1" applyFont="1" applyFill="1" applyBorder="1"/>
    <xf numFmtId="174" fontId="53" fillId="43" borderId="5" xfId="57" applyNumberFormat="1" applyFont="1" applyFill="1" applyBorder="1"/>
    <xf numFmtId="180" fontId="52" fillId="42" borderId="5" xfId="55" applyNumberFormat="1" applyFont="1" applyFill="1" applyBorder="1" applyAlignment="1" applyProtection="1"/>
    <xf numFmtId="180" fontId="52" fillId="42" borderId="26" xfId="55" applyNumberFormat="1" applyFont="1" applyFill="1" applyBorder="1" applyAlignment="1" applyProtection="1"/>
    <xf numFmtId="180" fontId="52" fillId="42" borderId="5" xfId="4055" applyNumberFormat="1" applyFont="1" applyFill="1" applyBorder="1" applyAlignment="1" applyProtection="1"/>
    <xf numFmtId="180" fontId="56" fillId="0" borderId="26" xfId="0" applyNumberFormat="1" applyFont="1" applyBorder="1" applyAlignment="1" applyProtection="1">
      <alignment horizontal="right" vertical="center"/>
      <protection locked="0"/>
    </xf>
    <xf numFmtId="180" fontId="56" fillId="0" borderId="5" xfId="4077" applyNumberFormat="1" applyFont="1" applyBorder="1" applyAlignment="1" applyProtection="1">
      <alignment vertical="top" wrapText="1" readingOrder="1"/>
      <protection locked="0"/>
    </xf>
    <xf numFmtId="180" fontId="56" fillId="0" borderId="5" xfId="4076" applyNumberFormat="1" applyFont="1" applyBorder="1" applyAlignment="1" applyProtection="1">
      <alignment vertical="top" wrapText="1" readingOrder="1"/>
      <protection locked="0"/>
    </xf>
    <xf numFmtId="180" fontId="56" fillId="0" borderId="5" xfId="4101" applyNumberFormat="1" applyFont="1" applyBorder="1" applyAlignment="1" applyProtection="1">
      <alignment vertical="top" wrapText="1" readingOrder="1"/>
      <protection locked="0"/>
    </xf>
    <xf numFmtId="180" fontId="56" fillId="0" borderId="5" xfId="4107" applyNumberFormat="1" applyFont="1" applyBorder="1" applyAlignment="1" applyProtection="1">
      <alignment vertical="top" wrapText="1" readingOrder="1"/>
      <protection locked="0"/>
    </xf>
    <xf numFmtId="180" fontId="56" fillId="0" borderId="5" xfId="4121" applyNumberFormat="1" applyFont="1" applyBorder="1" applyAlignment="1" applyProtection="1">
      <alignment vertical="top" wrapText="1" readingOrder="1"/>
      <protection locked="0"/>
    </xf>
    <xf numFmtId="180" fontId="56" fillId="0" borderId="5" xfId="0" applyNumberFormat="1" applyFont="1" applyBorder="1" applyAlignment="1" applyProtection="1">
      <alignment vertical="top" wrapText="1" readingOrder="1"/>
      <protection locked="0"/>
    </xf>
    <xf numFmtId="180" fontId="56" fillId="0" borderId="28" xfId="0" applyNumberFormat="1" applyFont="1" applyBorder="1" applyAlignment="1" applyProtection="1">
      <alignment vertical="top" wrapText="1" readingOrder="1"/>
      <protection locked="0"/>
    </xf>
    <xf numFmtId="180" fontId="53" fillId="0" borderId="26" xfId="55" applyNumberFormat="1" applyFont="1" applyBorder="1" applyAlignment="1" applyProtection="1">
      <alignment horizontal="right" vertical="center"/>
      <protection locked="0"/>
    </xf>
    <xf numFmtId="174" fontId="53" fillId="0" borderId="5" xfId="57" applyNumberFormat="1" applyFont="1" applyFill="1" applyBorder="1"/>
    <xf numFmtId="180" fontId="56" fillId="0" borderId="5" xfId="4078" applyNumberFormat="1" applyFont="1" applyBorder="1" applyAlignment="1" applyProtection="1">
      <alignment vertical="top" wrapText="1" readingOrder="1"/>
      <protection locked="0"/>
    </xf>
    <xf numFmtId="180" fontId="56" fillId="0" borderId="5" xfId="4108" applyNumberFormat="1" applyFont="1" applyBorder="1" applyAlignment="1" applyProtection="1">
      <alignment vertical="top" wrapText="1" readingOrder="1"/>
      <protection locked="0"/>
    </xf>
    <xf numFmtId="180" fontId="56" fillId="0" borderId="5" xfId="4122" applyNumberFormat="1" applyFont="1" applyBorder="1" applyAlignment="1" applyProtection="1">
      <alignment vertical="top" wrapText="1" readingOrder="1"/>
      <protection locked="0"/>
    </xf>
    <xf numFmtId="180" fontId="56" fillId="0" borderId="5" xfId="4102" applyNumberFormat="1" applyFont="1" applyBorder="1" applyAlignment="1" applyProtection="1">
      <alignment vertical="top" wrapText="1" readingOrder="1"/>
      <protection locked="0"/>
    </xf>
    <xf numFmtId="180" fontId="56" fillId="44" borderId="5" xfId="4079" applyNumberFormat="1" applyFont="1" applyFill="1" applyBorder="1" applyAlignment="1" applyProtection="1">
      <alignment vertical="top" wrapText="1" readingOrder="1"/>
      <protection locked="0"/>
    </xf>
    <xf numFmtId="180" fontId="56" fillId="44" borderId="5" xfId="4106" applyNumberFormat="1" applyFont="1" applyFill="1" applyBorder="1" applyAlignment="1" applyProtection="1">
      <alignment vertical="top" wrapText="1" readingOrder="1"/>
      <protection locked="0"/>
    </xf>
    <xf numFmtId="180" fontId="56" fillId="44" borderId="5" xfId="4108" applyNumberFormat="1" applyFont="1" applyFill="1" applyBorder="1" applyAlignment="1" applyProtection="1">
      <alignment vertical="top" wrapText="1" readingOrder="1"/>
      <protection locked="0"/>
    </xf>
    <xf numFmtId="180" fontId="56" fillId="44" borderId="5" xfId="4122" applyNumberFormat="1" applyFont="1" applyFill="1" applyBorder="1" applyAlignment="1" applyProtection="1">
      <alignment vertical="top" wrapText="1" readingOrder="1"/>
      <protection locked="0"/>
    </xf>
    <xf numFmtId="180" fontId="56" fillId="44" borderId="5" xfId="0" applyNumberFormat="1" applyFont="1" applyFill="1" applyBorder="1" applyAlignment="1" applyProtection="1">
      <alignment vertical="top" wrapText="1" readingOrder="1"/>
      <protection locked="0"/>
    </xf>
    <xf numFmtId="180" fontId="56" fillId="44" borderId="28" xfId="0" applyNumberFormat="1" applyFont="1" applyFill="1" applyBorder="1" applyAlignment="1" applyProtection="1">
      <alignment vertical="top" wrapText="1" readingOrder="1"/>
      <protection locked="0"/>
    </xf>
    <xf numFmtId="180" fontId="56" fillId="0" borderId="5" xfId="4080" applyNumberFormat="1" applyFont="1" applyBorder="1" applyAlignment="1" applyProtection="1">
      <alignment vertical="top" wrapText="1" readingOrder="1"/>
      <protection locked="0"/>
    </xf>
    <xf numFmtId="180" fontId="56" fillId="0" borderId="5" xfId="4103" applyNumberFormat="1" applyFont="1" applyBorder="1" applyAlignment="1" applyProtection="1">
      <alignment vertical="top" wrapText="1" readingOrder="1"/>
      <protection locked="0"/>
    </xf>
    <xf numFmtId="180" fontId="56" fillId="0" borderId="5" xfId="4109" applyNumberFormat="1" applyFont="1" applyBorder="1" applyAlignment="1" applyProtection="1">
      <alignment vertical="top" wrapText="1" readingOrder="1"/>
      <protection locked="0"/>
    </xf>
    <xf numFmtId="180" fontId="56" fillId="0" borderId="5" xfId="4124" applyNumberFormat="1" applyFont="1" applyBorder="1" applyAlignment="1" applyProtection="1">
      <alignment vertical="top" wrapText="1" readingOrder="1"/>
      <protection locked="0"/>
    </xf>
    <xf numFmtId="180" fontId="53" fillId="0" borderId="26" xfId="55" applyNumberFormat="1" applyFont="1" applyFill="1" applyBorder="1" applyAlignment="1" applyProtection="1">
      <protection locked="0"/>
    </xf>
    <xf numFmtId="180" fontId="56" fillId="0" borderId="5" xfId="4075" applyNumberFormat="1" applyFont="1" applyBorder="1" applyAlignment="1" applyProtection="1">
      <alignment vertical="top" wrapText="1" readingOrder="1"/>
      <protection locked="0"/>
    </xf>
    <xf numFmtId="174" fontId="52" fillId="0" borderId="5" xfId="57" applyNumberFormat="1" applyFont="1" applyFill="1" applyBorder="1"/>
    <xf numFmtId="180" fontId="56" fillId="0" borderId="5" xfId="4081" applyNumberFormat="1" applyFont="1" applyBorder="1" applyAlignment="1" applyProtection="1">
      <alignment vertical="top" wrapText="1" readingOrder="1"/>
      <protection locked="0"/>
    </xf>
    <xf numFmtId="180" fontId="56" fillId="0" borderId="5" xfId="4104" applyNumberFormat="1" applyFont="1" applyBorder="1" applyAlignment="1" applyProtection="1">
      <alignment vertical="top" wrapText="1" readingOrder="1"/>
      <protection locked="0"/>
    </xf>
    <xf numFmtId="180" fontId="56" fillId="0" borderId="5" xfId="4110" applyNumberFormat="1" applyFont="1" applyBorder="1" applyAlignment="1" applyProtection="1">
      <alignment vertical="top" wrapText="1" readingOrder="1"/>
      <protection locked="0"/>
    </xf>
    <xf numFmtId="180" fontId="56" fillId="0" borderId="5" xfId="4125" applyNumberFormat="1" applyFont="1" applyBorder="1" applyAlignment="1" applyProtection="1">
      <alignment vertical="top" wrapText="1" readingOrder="1"/>
      <protection locked="0"/>
    </xf>
    <xf numFmtId="180" fontId="56" fillId="0" borderId="5" xfId="4082" applyNumberFormat="1" applyFont="1" applyBorder="1" applyAlignment="1" applyProtection="1">
      <alignment vertical="top" wrapText="1" readingOrder="1"/>
      <protection locked="0"/>
    </xf>
    <xf numFmtId="180" fontId="56" fillId="0" borderId="5" xfId="4105" applyNumberFormat="1" applyFont="1" applyBorder="1" applyAlignment="1" applyProtection="1">
      <alignment vertical="top" wrapText="1" readingOrder="1"/>
      <protection locked="0"/>
    </xf>
    <xf numFmtId="180" fontId="56" fillId="0" borderId="5" xfId="4111" applyNumberFormat="1" applyFont="1" applyBorder="1" applyAlignment="1" applyProtection="1">
      <alignment vertical="top" wrapText="1" readingOrder="1"/>
      <protection locked="0"/>
    </xf>
    <xf numFmtId="180" fontId="56" fillId="0" borderId="5" xfId="4126" applyNumberFormat="1" applyFont="1" applyBorder="1" applyAlignment="1" applyProtection="1">
      <alignment vertical="top" wrapText="1" readingOrder="1"/>
      <protection locked="0"/>
    </xf>
    <xf numFmtId="180" fontId="56" fillId="0" borderId="28" xfId="4055" applyNumberFormat="1" applyFont="1" applyBorder="1" applyAlignment="1" applyProtection="1">
      <alignment vertical="top" wrapText="1" readingOrder="1"/>
      <protection locked="0"/>
    </xf>
    <xf numFmtId="180" fontId="56" fillId="0" borderId="5" xfId="4127" applyNumberFormat="1" applyFont="1" applyBorder="1" applyAlignment="1" applyProtection="1">
      <alignment vertical="top" wrapText="1" readingOrder="1"/>
      <protection locked="0"/>
    </xf>
    <xf numFmtId="174" fontId="53" fillId="0" borderId="0" xfId="57" applyNumberFormat="1" applyFont="1" applyFill="1" applyBorder="1"/>
    <xf numFmtId="43" fontId="53" fillId="0" borderId="0" xfId="4055" applyFont="1" applyFill="1" applyBorder="1"/>
    <xf numFmtId="180" fontId="56" fillId="0" borderId="28" xfId="4137" applyNumberFormat="1" applyFont="1" applyBorder="1" applyAlignment="1" applyProtection="1">
      <alignment vertical="top" wrapText="1" readingOrder="1"/>
      <protection locked="0"/>
    </xf>
    <xf numFmtId="180" fontId="56" fillId="44" borderId="28" xfId="4137" applyNumberFormat="1" applyFont="1" applyFill="1" applyBorder="1" applyAlignment="1" applyProtection="1">
      <alignment vertical="top" wrapText="1" readingOrder="1"/>
      <protection locked="0"/>
    </xf>
    <xf numFmtId="0" fontId="45" fillId="0" borderId="9" xfId="478" applyFont="1" applyBorder="1" applyAlignment="1">
      <alignment horizontal="center"/>
    </xf>
    <xf numFmtId="0" fontId="45" fillId="0" borderId="19" xfId="478" applyFont="1" applyBorder="1" applyAlignment="1">
      <alignment horizontal="center"/>
    </xf>
    <xf numFmtId="0" fontId="59" fillId="0" borderId="5" xfId="478" applyFont="1" applyBorder="1" applyAlignment="1">
      <alignment horizontal="center"/>
    </xf>
    <xf numFmtId="0" fontId="41" fillId="0" borderId="9" xfId="0" applyFont="1" applyBorder="1" applyAlignment="1">
      <alignment horizontal="center" wrapText="1"/>
    </xf>
    <xf numFmtId="0" fontId="40" fillId="0" borderId="9" xfId="0" applyFont="1" applyBorder="1" applyAlignment="1">
      <alignment horizontal="center" wrapText="1"/>
    </xf>
    <xf numFmtId="0" fontId="40" fillId="0" borderId="24" xfId="0" applyFont="1" applyBorder="1" applyAlignment="1">
      <alignment horizontal="center" wrapText="1"/>
    </xf>
    <xf numFmtId="0" fontId="61" fillId="0" borderId="5" xfId="0" applyFont="1" applyBorder="1" applyAlignment="1">
      <alignment vertical="top" wrapText="1"/>
    </xf>
    <xf numFmtId="0" fontId="61" fillId="0" borderId="0" xfId="0" applyFont="1" applyAlignment="1"/>
  </cellXfs>
  <cellStyles count="4138">
    <cellStyle name="20% - Accent1 2" xfId="706" xr:uid="{00000000-0005-0000-0000-000000000000}"/>
    <cellStyle name="20% - Accent1 3" xfId="3273" xr:uid="{00000000-0005-0000-0000-000001000000}"/>
    <cellStyle name="20% - Accent1 4" xfId="3269" xr:uid="{00000000-0005-0000-0000-000002000000}"/>
    <cellStyle name="20% - Accent1 5" xfId="3336" xr:uid="{00000000-0005-0000-0000-000003000000}"/>
    <cellStyle name="20% - Accent2 2" xfId="707" xr:uid="{00000000-0005-0000-0000-000004000000}"/>
    <cellStyle name="20% - Accent2 3" xfId="3264" xr:uid="{00000000-0005-0000-0000-000005000000}"/>
    <cellStyle name="20% - Accent2 4" xfId="3263" xr:uid="{00000000-0005-0000-0000-000006000000}"/>
    <cellStyle name="20% - Accent2 5" xfId="3262" xr:uid="{00000000-0005-0000-0000-000007000000}"/>
    <cellStyle name="20% - Accent3 2" xfId="708" xr:uid="{00000000-0005-0000-0000-000008000000}"/>
    <cellStyle name="20% - Accent3 3" xfId="3258" xr:uid="{00000000-0005-0000-0000-000009000000}"/>
    <cellStyle name="20% - Accent3 4" xfId="3255" xr:uid="{00000000-0005-0000-0000-00000A000000}"/>
    <cellStyle name="20% - Accent3 5" xfId="3252" xr:uid="{00000000-0005-0000-0000-00000B000000}"/>
    <cellStyle name="20% - Accent4 2" xfId="709" xr:uid="{00000000-0005-0000-0000-00000C000000}"/>
    <cellStyle name="20% - Accent4 3" xfId="3247" xr:uid="{00000000-0005-0000-0000-00000D000000}"/>
    <cellStyle name="20% - Accent4 4" xfId="3246" xr:uid="{00000000-0005-0000-0000-00000E000000}"/>
    <cellStyle name="20% - Accent4 5" xfId="3245" xr:uid="{00000000-0005-0000-0000-00000F000000}"/>
    <cellStyle name="20% - Accent5 2" xfId="710" xr:uid="{00000000-0005-0000-0000-000010000000}"/>
    <cellStyle name="20% - Accent5 3" xfId="3244" xr:uid="{00000000-0005-0000-0000-000011000000}"/>
    <cellStyle name="20% - Accent5 4" xfId="3243" xr:uid="{00000000-0005-0000-0000-000012000000}"/>
    <cellStyle name="20% - Accent5 5" xfId="3242" xr:uid="{00000000-0005-0000-0000-000013000000}"/>
    <cellStyle name="20% - Accent6 2" xfId="711" xr:uid="{00000000-0005-0000-0000-000014000000}"/>
    <cellStyle name="20% - Accent6 3" xfId="3241" xr:uid="{00000000-0005-0000-0000-000015000000}"/>
    <cellStyle name="20% - Accent6 4" xfId="3240" xr:uid="{00000000-0005-0000-0000-000016000000}"/>
    <cellStyle name="20% - Accent6 5" xfId="3239" xr:uid="{00000000-0005-0000-0000-000017000000}"/>
    <cellStyle name="2decimal" xfId="712" xr:uid="{00000000-0005-0000-0000-000018000000}"/>
    <cellStyle name="40% - Accent1 2" xfId="713" xr:uid="{00000000-0005-0000-0000-000019000000}"/>
    <cellStyle name="40% - Accent1 3" xfId="3238" xr:uid="{00000000-0005-0000-0000-00001A000000}"/>
    <cellStyle name="40% - Accent1 4" xfId="3237" xr:uid="{00000000-0005-0000-0000-00001B000000}"/>
    <cellStyle name="40% - Accent1 5" xfId="3233" xr:uid="{00000000-0005-0000-0000-00001C000000}"/>
    <cellStyle name="40% - Accent2 2" xfId="714" xr:uid="{00000000-0005-0000-0000-00001D000000}"/>
    <cellStyle name="40% - Accent2 3" xfId="3232" xr:uid="{00000000-0005-0000-0000-00001E000000}"/>
    <cellStyle name="40% - Accent2 4" xfId="3231" xr:uid="{00000000-0005-0000-0000-00001F000000}"/>
    <cellStyle name="40% - Accent2 5" xfId="3224" xr:uid="{00000000-0005-0000-0000-000020000000}"/>
    <cellStyle name="40% - Accent3 2" xfId="715" xr:uid="{00000000-0005-0000-0000-000021000000}"/>
    <cellStyle name="40% - Accent3 3" xfId="3223" xr:uid="{00000000-0005-0000-0000-000022000000}"/>
    <cellStyle name="40% - Accent3 4" xfId="3222" xr:uid="{00000000-0005-0000-0000-000023000000}"/>
    <cellStyle name="40% - Accent3 5" xfId="3221" xr:uid="{00000000-0005-0000-0000-000024000000}"/>
    <cellStyle name="40% - Accent4 2" xfId="716" xr:uid="{00000000-0005-0000-0000-000025000000}"/>
    <cellStyle name="40% - Accent4 3" xfId="3220" xr:uid="{00000000-0005-0000-0000-000026000000}"/>
    <cellStyle name="40% - Accent4 4" xfId="3219" xr:uid="{00000000-0005-0000-0000-000027000000}"/>
    <cellStyle name="40% - Accent4 5" xfId="3218" xr:uid="{00000000-0005-0000-0000-000028000000}"/>
    <cellStyle name="40% - Accent5 2" xfId="717" xr:uid="{00000000-0005-0000-0000-000029000000}"/>
    <cellStyle name="40% - Accent5 3" xfId="3217" xr:uid="{00000000-0005-0000-0000-00002A000000}"/>
    <cellStyle name="40% - Accent5 4" xfId="3216" xr:uid="{00000000-0005-0000-0000-00002B000000}"/>
    <cellStyle name="40% - Accent5 5" xfId="3215" xr:uid="{00000000-0005-0000-0000-00002C000000}"/>
    <cellStyle name="40% - Accent6 2" xfId="718" xr:uid="{00000000-0005-0000-0000-00002D000000}"/>
    <cellStyle name="40% - Accent6 3" xfId="3214" xr:uid="{00000000-0005-0000-0000-00002E000000}"/>
    <cellStyle name="40% - Accent6 4" xfId="3213" xr:uid="{00000000-0005-0000-0000-00002F000000}"/>
    <cellStyle name="40% - Accent6 5" xfId="3212" xr:uid="{00000000-0005-0000-0000-000030000000}"/>
    <cellStyle name="60% - Accent1 2" xfId="719" xr:uid="{00000000-0005-0000-0000-000031000000}"/>
    <cellStyle name="60% - Accent1 2 2" xfId="720" xr:uid="{00000000-0005-0000-0000-000032000000}"/>
    <cellStyle name="60% - Accent1 2 3" xfId="2739" xr:uid="{00000000-0005-0000-0000-000033000000}"/>
    <cellStyle name="60% - Accent1 3" xfId="3211" xr:uid="{00000000-0005-0000-0000-000034000000}"/>
    <cellStyle name="60% - Accent1 4" xfId="3210" xr:uid="{00000000-0005-0000-0000-000035000000}"/>
    <cellStyle name="60% - Accent1 5" xfId="3209" xr:uid="{00000000-0005-0000-0000-000036000000}"/>
    <cellStyle name="60% - Accent2 2" xfId="2" xr:uid="{00000000-0005-0000-0000-000037000000}"/>
    <cellStyle name="60% - Accent2 2 2" xfId="3" xr:uid="{00000000-0005-0000-0000-000038000000}"/>
    <cellStyle name="60% - Accent2 2 2 2" xfId="1744" xr:uid="{00000000-0005-0000-0000-000039000000}"/>
    <cellStyle name="60% - Accent2 2 3" xfId="3206" xr:uid="{00000000-0005-0000-0000-00003A000000}"/>
    <cellStyle name="60% - Accent2 2 4" xfId="3205" xr:uid="{00000000-0005-0000-0000-00003B000000}"/>
    <cellStyle name="60% - Accent2 2 5" xfId="3204" xr:uid="{00000000-0005-0000-0000-00003C000000}"/>
    <cellStyle name="60% - Accent2 3" xfId="721" xr:uid="{00000000-0005-0000-0000-00003D000000}"/>
    <cellStyle name="60% - Accent2 3 2" xfId="722" xr:uid="{00000000-0005-0000-0000-00003E000000}"/>
    <cellStyle name="60% - Accent2 3 3" xfId="2738" xr:uid="{00000000-0005-0000-0000-00003F000000}"/>
    <cellStyle name="60% - Accent2 4" xfId="3203" xr:uid="{00000000-0005-0000-0000-000040000000}"/>
    <cellStyle name="60% - Accent2 5" xfId="3202" xr:uid="{00000000-0005-0000-0000-000041000000}"/>
    <cellStyle name="60% - Accent2 6" xfId="3201" xr:uid="{00000000-0005-0000-0000-000042000000}"/>
    <cellStyle name="60% - Accent3 2" xfId="723" xr:uid="{00000000-0005-0000-0000-000043000000}"/>
    <cellStyle name="60% - Accent3 2 2" xfId="724" xr:uid="{00000000-0005-0000-0000-000044000000}"/>
    <cellStyle name="60% - Accent3 2 3" xfId="2737" xr:uid="{00000000-0005-0000-0000-000045000000}"/>
    <cellStyle name="60% - Accent3 3" xfId="3200" xr:uid="{00000000-0005-0000-0000-000046000000}"/>
    <cellStyle name="60% - Accent3 4" xfId="3199" xr:uid="{00000000-0005-0000-0000-000047000000}"/>
    <cellStyle name="60% - Accent3 5" xfId="3198" xr:uid="{00000000-0005-0000-0000-000048000000}"/>
    <cellStyle name="60% - Accent4 2" xfId="725" xr:uid="{00000000-0005-0000-0000-000049000000}"/>
    <cellStyle name="60% - Accent4 2 2" xfId="726" xr:uid="{00000000-0005-0000-0000-00004A000000}"/>
    <cellStyle name="60% - Accent4 2 3" xfId="2736" xr:uid="{00000000-0005-0000-0000-00004B000000}"/>
    <cellStyle name="60% - Accent4 3" xfId="3197" xr:uid="{00000000-0005-0000-0000-00004C000000}"/>
    <cellStyle name="60% - Accent4 4" xfId="3196" xr:uid="{00000000-0005-0000-0000-00004D000000}"/>
    <cellStyle name="60% - Accent4 5" xfId="3195" xr:uid="{00000000-0005-0000-0000-00004E000000}"/>
    <cellStyle name="60% - Accent5 2" xfId="727" xr:uid="{00000000-0005-0000-0000-00004F000000}"/>
    <cellStyle name="60% - Accent5 2 2" xfId="728" xr:uid="{00000000-0005-0000-0000-000050000000}"/>
    <cellStyle name="60% - Accent5 2 3" xfId="2735" xr:uid="{00000000-0005-0000-0000-000051000000}"/>
    <cellStyle name="60% - Accent5 3" xfId="3194" xr:uid="{00000000-0005-0000-0000-000052000000}"/>
    <cellStyle name="60% - Accent5 4" xfId="3193" xr:uid="{00000000-0005-0000-0000-000053000000}"/>
    <cellStyle name="60% - Accent5 5" xfId="3192" xr:uid="{00000000-0005-0000-0000-000054000000}"/>
    <cellStyle name="60% - Accent6 2" xfId="729" xr:uid="{00000000-0005-0000-0000-000055000000}"/>
    <cellStyle name="60% - Accent6 2 2" xfId="730" xr:uid="{00000000-0005-0000-0000-000056000000}"/>
    <cellStyle name="60% - Accent6 2 3" xfId="2734" xr:uid="{00000000-0005-0000-0000-000057000000}"/>
    <cellStyle name="60% - Accent6 3" xfId="3191" xr:uid="{00000000-0005-0000-0000-000058000000}"/>
    <cellStyle name="60% - Accent6 4" xfId="3190" xr:uid="{00000000-0005-0000-0000-000059000000}"/>
    <cellStyle name="60% - Accent6 5" xfId="3189" xr:uid="{00000000-0005-0000-0000-00005A000000}"/>
    <cellStyle name="Accent1 2" xfId="4" xr:uid="{00000000-0005-0000-0000-00005B000000}"/>
    <cellStyle name="Accent1 2 10" xfId="5" xr:uid="{00000000-0005-0000-0000-00005C000000}"/>
    <cellStyle name="Accent1 2 10 2" xfId="6" xr:uid="{00000000-0005-0000-0000-00005D000000}"/>
    <cellStyle name="Accent1 2 10 2 2" xfId="1745" xr:uid="{00000000-0005-0000-0000-00005E000000}"/>
    <cellStyle name="Accent1 2 10 2 3" xfId="3187" xr:uid="{00000000-0005-0000-0000-00005F000000}"/>
    <cellStyle name="Accent1 2 10 3" xfId="3186" xr:uid="{00000000-0005-0000-0000-000060000000}"/>
    <cellStyle name="Accent1 2 10 4" xfId="3185" xr:uid="{00000000-0005-0000-0000-000061000000}"/>
    <cellStyle name="Accent1 2 10 5" xfId="3184" xr:uid="{00000000-0005-0000-0000-000062000000}"/>
    <cellStyle name="Accent1 2 11" xfId="7" xr:uid="{00000000-0005-0000-0000-000063000000}"/>
    <cellStyle name="Accent1 2 11 2" xfId="8" xr:uid="{00000000-0005-0000-0000-000064000000}"/>
    <cellStyle name="Accent1 2 11 2 2" xfId="1746" xr:uid="{00000000-0005-0000-0000-000065000000}"/>
    <cellStyle name="Accent1 2 11 2 3" xfId="3183" xr:uid="{00000000-0005-0000-0000-000066000000}"/>
    <cellStyle name="Accent1 2 11 3" xfId="3182" xr:uid="{00000000-0005-0000-0000-000067000000}"/>
    <cellStyle name="Accent1 2 11 4" xfId="3181" xr:uid="{00000000-0005-0000-0000-000068000000}"/>
    <cellStyle name="Accent1 2 11 5" xfId="3180" xr:uid="{00000000-0005-0000-0000-000069000000}"/>
    <cellStyle name="Accent1 2 12" xfId="9" xr:uid="{00000000-0005-0000-0000-00006A000000}"/>
    <cellStyle name="Accent1 2 12 2" xfId="10" xr:uid="{00000000-0005-0000-0000-00006B000000}"/>
    <cellStyle name="Accent1 2 12 2 2" xfId="1747" xr:uid="{00000000-0005-0000-0000-00006C000000}"/>
    <cellStyle name="Accent1 2 12 2 3" xfId="3179" xr:uid="{00000000-0005-0000-0000-00006D000000}"/>
    <cellStyle name="Accent1 2 12 3" xfId="3178" xr:uid="{00000000-0005-0000-0000-00006E000000}"/>
    <cellStyle name="Accent1 2 12 4" xfId="3177" xr:uid="{00000000-0005-0000-0000-00006F000000}"/>
    <cellStyle name="Accent1 2 12 5" xfId="3176" xr:uid="{00000000-0005-0000-0000-000070000000}"/>
    <cellStyle name="Accent1 2 13" xfId="11" xr:uid="{00000000-0005-0000-0000-000071000000}"/>
    <cellStyle name="Accent1 2 13 2" xfId="1748" xr:uid="{00000000-0005-0000-0000-000072000000}"/>
    <cellStyle name="Accent1 2 13 3" xfId="3175" xr:uid="{00000000-0005-0000-0000-000073000000}"/>
    <cellStyle name="Accent1 2 14" xfId="3174" xr:uid="{00000000-0005-0000-0000-000074000000}"/>
    <cellStyle name="Accent1 2 15" xfId="3173" xr:uid="{00000000-0005-0000-0000-000075000000}"/>
    <cellStyle name="Accent1 2 16" xfId="3172" xr:uid="{00000000-0005-0000-0000-000076000000}"/>
    <cellStyle name="Accent1 2 2" xfId="12" xr:uid="{00000000-0005-0000-0000-000077000000}"/>
    <cellStyle name="Accent1 2 2 2" xfId="13" xr:uid="{00000000-0005-0000-0000-000078000000}"/>
    <cellStyle name="Accent1 2 2 2 2" xfId="1749" xr:uid="{00000000-0005-0000-0000-000079000000}"/>
    <cellStyle name="Accent1 2 2 2 3" xfId="3171" xr:uid="{00000000-0005-0000-0000-00007A000000}"/>
    <cellStyle name="Accent1 2 2 3" xfId="3170" xr:uid="{00000000-0005-0000-0000-00007B000000}"/>
    <cellStyle name="Accent1 2 2 4" xfId="3169" xr:uid="{00000000-0005-0000-0000-00007C000000}"/>
    <cellStyle name="Accent1 2 2 5" xfId="3168" xr:uid="{00000000-0005-0000-0000-00007D000000}"/>
    <cellStyle name="Accent1 2 3" xfId="14" xr:uid="{00000000-0005-0000-0000-00007E000000}"/>
    <cellStyle name="Accent1 2 3 2" xfId="15" xr:uid="{00000000-0005-0000-0000-00007F000000}"/>
    <cellStyle name="Accent1 2 3 2 2" xfId="1750" xr:uid="{00000000-0005-0000-0000-000080000000}"/>
    <cellStyle name="Accent1 2 3 2 3" xfId="3167" xr:uid="{00000000-0005-0000-0000-000081000000}"/>
    <cellStyle name="Accent1 2 3 3" xfId="3166" xr:uid="{00000000-0005-0000-0000-000082000000}"/>
    <cellStyle name="Accent1 2 3 4" xfId="3165" xr:uid="{00000000-0005-0000-0000-000083000000}"/>
    <cellStyle name="Accent1 2 3 5" xfId="3164" xr:uid="{00000000-0005-0000-0000-000084000000}"/>
    <cellStyle name="Accent1 2 4" xfId="16" xr:uid="{00000000-0005-0000-0000-000085000000}"/>
    <cellStyle name="Accent1 2 4 2" xfId="17" xr:uid="{00000000-0005-0000-0000-000086000000}"/>
    <cellStyle name="Accent1 2 4 2 2" xfId="1751" xr:uid="{00000000-0005-0000-0000-000087000000}"/>
    <cellStyle name="Accent1 2 4 2 3" xfId="3163" xr:uid="{00000000-0005-0000-0000-000088000000}"/>
    <cellStyle name="Accent1 2 4 3" xfId="3162" xr:uid="{00000000-0005-0000-0000-000089000000}"/>
    <cellStyle name="Accent1 2 4 4" xfId="3161" xr:uid="{00000000-0005-0000-0000-00008A000000}"/>
    <cellStyle name="Accent1 2 4 5" xfId="3160" xr:uid="{00000000-0005-0000-0000-00008B000000}"/>
    <cellStyle name="Accent1 2 5" xfId="18" xr:uid="{00000000-0005-0000-0000-00008C000000}"/>
    <cellStyle name="Accent1 2 5 2" xfId="19" xr:uid="{00000000-0005-0000-0000-00008D000000}"/>
    <cellStyle name="Accent1 2 5 2 2" xfId="1752" xr:uid="{00000000-0005-0000-0000-00008E000000}"/>
    <cellStyle name="Accent1 2 5 2 3" xfId="3159" xr:uid="{00000000-0005-0000-0000-00008F000000}"/>
    <cellStyle name="Accent1 2 5 3" xfId="3158" xr:uid="{00000000-0005-0000-0000-000090000000}"/>
    <cellStyle name="Accent1 2 5 4" xfId="3157" xr:uid="{00000000-0005-0000-0000-000091000000}"/>
    <cellStyle name="Accent1 2 5 5" xfId="3156" xr:uid="{00000000-0005-0000-0000-000092000000}"/>
    <cellStyle name="Accent1 2 6" xfId="20" xr:uid="{00000000-0005-0000-0000-000093000000}"/>
    <cellStyle name="Accent1 2 6 2" xfId="21" xr:uid="{00000000-0005-0000-0000-000094000000}"/>
    <cellStyle name="Accent1 2 6 2 2" xfId="1753" xr:uid="{00000000-0005-0000-0000-000095000000}"/>
    <cellStyle name="Accent1 2 6 2 3" xfId="3155" xr:uid="{00000000-0005-0000-0000-000096000000}"/>
    <cellStyle name="Accent1 2 6 3" xfId="3154" xr:uid="{00000000-0005-0000-0000-000097000000}"/>
    <cellStyle name="Accent1 2 6 4" xfId="3153" xr:uid="{00000000-0005-0000-0000-000098000000}"/>
    <cellStyle name="Accent1 2 6 5" xfId="3152" xr:uid="{00000000-0005-0000-0000-000099000000}"/>
    <cellStyle name="Accent1 2 7" xfId="22" xr:uid="{00000000-0005-0000-0000-00009A000000}"/>
    <cellStyle name="Accent1 2 7 2" xfId="23" xr:uid="{00000000-0005-0000-0000-00009B000000}"/>
    <cellStyle name="Accent1 2 7 2 2" xfId="1754" xr:uid="{00000000-0005-0000-0000-00009C000000}"/>
    <cellStyle name="Accent1 2 7 2 3" xfId="3151" xr:uid="{00000000-0005-0000-0000-00009D000000}"/>
    <cellStyle name="Accent1 2 7 3" xfId="3150" xr:uid="{00000000-0005-0000-0000-00009E000000}"/>
    <cellStyle name="Accent1 2 7 4" xfId="3149" xr:uid="{00000000-0005-0000-0000-00009F000000}"/>
    <cellStyle name="Accent1 2 7 5" xfId="3148" xr:uid="{00000000-0005-0000-0000-0000A0000000}"/>
    <cellStyle name="Accent1 2 8" xfId="24" xr:uid="{00000000-0005-0000-0000-0000A1000000}"/>
    <cellStyle name="Accent1 2 8 2" xfId="25" xr:uid="{00000000-0005-0000-0000-0000A2000000}"/>
    <cellStyle name="Accent1 2 8 2 2" xfId="1755" xr:uid="{00000000-0005-0000-0000-0000A3000000}"/>
    <cellStyle name="Accent1 2 8 2 3" xfId="3147" xr:uid="{00000000-0005-0000-0000-0000A4000000}"/>
    <cellStyle name="Accent1 2 8 3" xfId="3146" xr:uid="{00000000-0005-0000-0000-0000A5000000}"/>
    <cellStyle name="Accent1 2 8 4" xfId="3145" xr:uid="{00000000-0005-0000-0000-0000A6000000}"/>
    <cellStyle name="Accent1 2 8 5" xfId="3144" xr:uid="{00000000-0005-0000-0000-0000A7000000}"/>
    <cellStyle name="Accent1 2 9" xfId="26" xr:uid="{00000000-0005-0000-0000-0000A8000000}"/>
    <cellStyle name="Accent1 2 9 2" xfId="27" xr:uid="{00000000-0005-0000-0000-0000A9000000}"/>
    <cellStyle name="Accent1 2 9 2 2" xfId="1756" xr:uid="{00000000-0005-0000-0000-0000AA000000}"/>
    <cellStyle name="Accent1 2 9 2 3" xfId="3143" xr:uid="{00000000-0005-0000-0000-0000AB000000}"/>
    <cellStyle name="Accent1 2 9 3" xfId="3142" xr:uid="{00000000-0005-0000-0000-0000AC000000}"/>
    <cellStyle name="Accent1 2 9 4" xfId="3141" xr:uid="{00000000-0005-0000-0000-0000AD000000}"/>
    <cellStyle name="Accent1 2 9 5" xfId="3140" xr:uid="{00000000-0005-0000-0000-0000AE000000}"/>
    <cellStyle name="Accent1 3" xfId="731" xr:uid="{00000000-0005-0000-0000-0000AF000000}"/>
    <cellStyle name="Accent1 3 2" xfId="732" xr:uid="{00000000-0005-0000-0000-0000B0000000}"/>
    <cellStyle name="Accent1 3 3" xfId="2733" xr:uid="{00000000-0005-0000-0000-0000B1000000}"/>
    <cellStyle name="Accent1 4" xfId="3139" xr:uid="{00000000-0005-0000-0000-0000B2000000}"/>
    <cellStyle name="Accent1 5" xfId="3138" xr:uid="{00000000-0005-0000-0000-0000B3000000}"/>
    <cellStyle name="Accent1 6" xfId="3137" xr:uid="{00000000-0005-0000-0000-0000B4000000}"/>
    <cellStyle name="Accent2 2" xfId="733" xr:uid="{00000000-0005-0000-0000-0000B5000000}"/>
    <cellStyle name="Accent2 2 2" xfId="734" xr:uid="{00000000-0005-0000-0000-0000B6000000}"/>
    <cellStyle name="Accent2 2 3" xfId="2732" xr:uid="{00000000-0005-0000-0000-0000B7000000}"/>
    <cellStyle name="Accent2 3" xfId="3136" xr:uid="{00000000-0005-0000-0000-0000B8000000}"/>
    <cellStyle name="Accent2 4" xfId="3135" xr:uid="{00000000-0005-0000-0000-0000B9000000}"/>
    <cellStyle name="Accent2 5" xfId="3134" xr:uid="{00000000-0005-0000-0000-0000BA000000}"/>
    <cellStyle name="Accent3 2" xfId="735" xr:uid="{00000000-0005-0000-0000-0000BB000000}"/>
    <cellStyle name="Accent3 2 2" xfId="736" xr:uid="{00000000-0005-0000-0000-0000BC000000}"/>
    <cellStyle name="Accent3 2 3" xfId="2731" xr:uid="{00000000-0005-0000-0000-0000BD000000}"/>
    <cellStyle name="Accent3 3" xfId="3133" xr:uid="{00000000-0005-0000-0000-0000BE000000}"/>
    <cellStyle name="Accent3 4" xfId="3132" xr:uid="{00000000-0005-0000-0000-0000BF000000}"/>
    <cellStyle name="Accent3 5" xfId="3131" xr:uid="{00000000-0005-0000-0000-0000C0000000}"/>
    <cellStyle name="Accent4 2" xfId="737" xr:uid="{00000000-0005-0000-0000-0000C1000000}"/>
    <cellStyle name="Accent4 2 2" xfId="738" xr:uid="{00000000-0005-0000-0000-0000C2000000}"/>
    <cellStyle name="Accent4 2 3" xfId="2730" xr:uid="{00000000-0005-0000-0000-0000C3000000}"/>
    <cellStyle name="Accent4 3" xfId="3130" xr:uid="{00000000-0005-0000-0000-0000C4000000}"/>
    <cellStyle name="Accent4 4" xfId="3129" xr:uid="{00000000-0005-0000-0000-0000C5000000}"/>
    <cellStyle name="Accent4 5" xfId="3128" xr:uid="{00000000-0005-0000-0000-0000C6000000}"/>
    <cellStyle name="Accent5 2" xfId="28" xr:uid="{00000000-0005-0000-0000-0000C7000000}"/>
    <cellStyle name="Accent5 2 10" xfId="29" xr:uid="{00000000-0005-0000-0000-0000C8000000}"/>
    <cellStyle name="Accent5 2 10 2" xfId="30" xr:uid="{00000000-0005-0000-0000-0000C9000000}"/>
    <cellStyle name="Accent5 2 10 2 2" xfId="1757" xr:uid="{00000000-0005-0000-0000-0000CA000000}"/>
    <cellStyle name="Accent5 2 10 3" xfId="3127" xr:uid="{00000000-0005-0000-0000-0000CB000000}"/>
    <cellStyle name="Accent5 2 10 4" xfId="3126" xr:uid="{00000000-0005-0000-0000-0000CC000000}"/>
    <cellStyle name="Accent5 2 10 5" xfId="3125" xr:uid="{00000000-0005-0000-0000-0000CD000000}"/>
    <cellStyle name="Accent5 2 11" xfId="31" xr:uid="{00000000-0005-0000-0000-0000CE000000}"/>
    <cellStyle name="Accent5 2 11 2" xfId="32" xr:uid="{00000000-0005-0000-0000-0000CF000000}"/>
    <cellStyle name="Accent5 2 11 2 2" xfId="1758" xr:uid="{00000000-0005-0000-0000-0000D0000000}"/>
    <cellStyle name="Accent5 2 11 3" xfId="3124" xr:uid="{00000000-0005-0000-0000-0000D1000000}"/>
    <cellStyle name="Accent5 2 11 4" xfId="3123" xr:uid="{00000000-0005-0000-0000-0000D2000000}"/>
    <cellStyle name="Accent5 2 11 5" xfId="3122" xr:uid="{00000000-0005-0000-0000-0000D3000000}"/>
    <cellStyle name="Accent5 2 12" xfId="33" xr:uid="{00000000-0005-0000-0000-0000D4000000}"/>
    <cellStyle name="Accent5 2 12 2" xfId="34" xr:uid="{00000000-0005-0000-0000-0000D5000000}"/>
    <cellStyle name="Accent5 2 12 2 2" xfId="1759" xr:uid="{00000000-0005-0000-0000-0000D6000000}"/>
    <cellStyle name="Accent5 2 12 3" xfId="3121" xr:uid="{00000000-0005-0000-0000-0000D7000000}"/>
    <cellStyle name="Accent5 2 12 4" xfId="3120" xr:uid="{00000000-0005-0000-0000-0000D8000000}"/>
    <cellStyle name="Accent5 2 12 5" xfId="3119" xr:uid="{00000000-0005-0000-0000-0000D9000000}"/>
    <cellStyle name="Accent5 2 13" xfId="35" xr:uid="{00000000-0005-0000-0000-0000DA000000}"/>
    <cellStyle name="Accent5 2 13 2" xfId="1760" xr:uid="{00000000-0005-0000-0000-0000DB000000}"/>
    <cellStyle name="Accent5 2 14" xfId="3118" xr:uid="{00000000-0005-0000-0000-0000DC000000}"/>
    <cellStyle name="Accent5 2 15" xfId="3117" xr:uid="{00000000-0005-0000-0000-0000DD000000}"/>
    <cellStyle name="Accent5 2 16" xfId="2960" xr:uid="{00000000-0005-0000-0000-0000DE000000}"/>
    <cellStyle name="Accent5 2 2" xfId="36" xr:uid="{00000000-0005-0000-0000-0000DF000000}"/>
    <cellStyle name="Accent5 2 2 2" xfId="37" xr:uid="{00000000-0005-0000-0000-0000E0000000}"/>
    <cellStyle name="Accent5 2 2 2 2" xfId="1761" xr:uid="{00000000-0005-0000-0000-0000E1000000}"/>
    <cellStyle name="Accent5 2 2 3" xfId="3116" xr:uid="{00000000-0005-0000-0000-0000E2000000}"/>
    <cellStyle name="Accent5 2 2 4" xfId="3115" xr:uid="{00000000-0005-0000-0000-0000E3000000}"/>
    <cellStyle name="Accent5 2 2 5" xfId="3114" xr:uid="{00000000-0005-0000-0000-0000E4000000}"/>
    <cellStyle name="Accent5 2 3" xfId="38" xr:uid="{00000000-0005-0000-0000-0000E5000000}"/>
    <cellStyle name="Accent5 2 3 2" xfId="39" xr:uid="{00000000-0005-0000-0000-0000E6000000}"/>
    <cellStyle name="Accent5 2 3 2 2" xfId="1762" xr:uid="{00000000-0005-0000-0000-0000E7000000}"/>
    <cellStyle name="Accent5 2 3 3" xfId="3113" xr:uid="{00000000-0005-0000-0000-0000E8000000}"/>
    <cellStyle name="Accent5 2 3 4" xfId="3112" xr:uid="{00000000-0005-0000-0000-0000E9000000}"/>
    <cellStyle name="Accent5 2 3 5" xfId="3111" xr:uid="{00000000-0005-0000-0000-0000EA000000}"/>
    <cellStyle name="Accent5 2 4" xfId="40" xr:uid="{00000000-0005-0000-0000-0000EB000000}"/>
    <cellStyle name="Accent5 2 4 2" xfId="41" xr:uid="{00000000-0005-0000-0000-0000EC000000}"/>
    <cellStyle name="Accent5 2 4 2 2" xfId="1763" xr:uid="{00000000-0005-0000-0000-0000ED000000}"/>
    <cellStyle name="Accent5 2 4 3" xfId="3110" xr:uid="{00000000-0005-0000-0000-0000EE000000}"/>
    <cellStyle name="Accent5 2 4 4" xfId="3109" xr:uid="{00000000-0005-0000-0000-0000EF000000}"/>
    <cellStyle name="Accent5 2 4 5" xfId="3108" xr:uid="{00000000-0005-0000-0000-0000F0000000}"/>
    <cellStyle name="Accent5 2 5" xfId="42" xr:uid="{00000000-0005-0000-0000-0000F1000000}"/>
    <cellStyle name="Accent5 2 5 2" xfId="43" xr:uid="{00000000-0005-0000-0000-0000F2000000}"/>
    <cellStyle name="Accent5 2 5 2 2" xfId="1764" xr:uid="{00000000-0005-0000-0000-0000F3000000}"/>
    <cellStyle name="Accent5 2 5 3" xfId="3107" xr:uid="{00000000-0005-0000-0000-0000F4000000}"/>
    <cellStyle name="Accent5 2 5 4" xfId="3106" xr:uid="{00000000-0005-0000-0000-0000F5000000}"/>
    <cellStyle name="Accent5 2 5 5" xfId="3105" xr:uid="{00000000-0005-0000-0000-0000F6000000}"/>
    <cellStyle name="Accent5 2 6" xfId="44" xr:uid="{00000000-0005-0000-0000-0000F7000000}"/>
    <cellStyle name="Accent5 2 6 2" xfId="45" xr:uid="{00000000-0005-0000-0000-0000F8000000}"/>
    <cellStyle name="Accent5 2 6 2 2" xfId="1765" xr:uid="{00000000-0005-0000-0000-0000F9000000}"/>
    <cellStyle name="Accent5 2 6 3" xfId="3104" xr:uid="{00000000-0005-0000-0000-0000FA000000}"/>
    <cellStyle name="Accent5 2 6 4" xfId="3103" xr:uid="{00000000-0005-0000-0000-0000FB000000}"/>
    <cellStyle name="Accent5 2 6 5" xfId="3102" xr:uid="{00000000-0005-0000-0000-0000FC000000}"/>
    <cellStyle name="Accent5 2 7" xfId="46" xr:uid="{00000000-0005-0000-0000-0000FD000000}"/>
    <cellStyle name="Accent5 2 7 2" xfId="47" xr:uid="{00000000-0005-0000-0000-0000FE000000}"/>
    <cellStyle name="Accent5 2 7 2 2" xfId="1766" xr:uid="{00000000-0005-0000-0000-0000FF000000}"/>
    <cellStyle name="Accent5 2 7 3" xfId="3101" xr:uid="{00000000-0005-0000-0000-000000010000}"/>
    <cellStyle name="Accent5 2 7 4" xfId="3100" xr:uid="{00000000-0005-0000-0000-000001010000}"/>
    <cellStyle name="Accent5 2 7 5" xfId="3099" xr:uid="{00000000-0005-0000-0000-000002010000}"/>
    <cellStyle name="Accent5 2 8" xfId="48" xr:uid="{00000000-0005-0000-0000-000003010000}"/>
    <cellStyle name="Accent5 2 8 2" xfId="49" xr:uid="{00000000-0005-0000-0000-000004010000}"/>
    <cellStyle name="Accent5 2 8 2 2" xfId="1767" xr:uid="{00000000-0005-0000-0000-000005010000}"/>
    <cellStyle name="Accent5 2 8 3" xfId="3098" xr:uid="{00000000-0005-0000-0000-000006010000}"/>
    <cellStyle name="Accent5 2 8 4" xfId="3097" xr:uid="{00000000-0005-0000-0000-000007010000}"/>
    <cellStyle name="Accent5 2 8 5" xfId="3096" xr:uid="{00000000-0005-0000-0000-000008010000}"/>
    <cellStyle name="Accent5 2 9" xfId="50" xr:uid="{00000000-0005-0000-0000-000009010000}"/>
    <cellStyle name="Accent5 2 9 2" xfId="51" xr:uid="{00000000-0005-0000-0000-00000A010000}"/>
    <cellStyle name="Accent5 2 9 2 2" xfId="1768" xr:uid="{00000000-0005-0000-0000-00000B010000}"/>
    <cellStyle name="Accent5 2 9 3" xfId="3095" xr:uid="{00000000-0005-0000-0000-00000C010000}"/>
    <cellStyle name="Accent5 2 9 4" xfId="3094" xr:uid="{00000000-0005-0000-0000-00000D010000}"/>
    <cellStyle name="Accent5 2 9 5" xfId="3093" xr:uid="{00000000-0005-0000-0000-00000E010000}"/>
    <cellStyle name="Accent5 3" xfId="739" xr:uid="{00000000-0005-0000-0000-00000F010000}"/>
    <cellStyle name="Accent5 3 2" xfId="740" xr:uid="{00000000-0005-0000-0000-000010010000}"/>
    <cellStyle name="Accent5 3 3" xfId="2729" xr:uid="{00000000-0005-0000-0000-000011010000}"/>
    <cellStyle name="Accent5 4" xfId="3092" xr:uid="{00000000-0005-0000-0000-000012010000}"/>
    <cellStyle name="Accent5 5" xfId="3091" xr:uid="{00000000-0005-0000-0000-000013010000}"/>
    <cellStyle name="Accent5 6" xfId="3090" xr:uid="{00000000-0005-0000-0000-000014010000}"/>
    <cellStyle name="Accent6 2" xfId="741" xr:uid="{00000000-0005-0000-0000-000015010000}"/>
    <cellStyle name="Accent6 2 2" xfId="742" xr:uid="{00000000-0005-0000-0000-000016010000}"/>
    <cellStyle name="Accent6 2 3" xfId="2728" xr:uid="{00000000-0005-0000-0000-000017010000}"/>
    <cellStyle name="Accent6 3" xfId="3089" xr:uid="{00000000-0005-0000-0000-000018010000}"/>
    <cellStyle name="Accent6 4" xfId="3088" xr:uid="{00000000-0005-0000-0000-000019010000}"/>
    <cellStyle name="Accent6 5" xfId="3087" xr:uid="{00000000-0005-0000-0000-00001A010000}"/>
    <cellStyle name="Bad 2" xfId="743" xr:uid="{00000000-0005-0000-0000-00001B010000}"/>
    <cellStyle name="Bad 2 2" xfId="744" xr:uid="{00000000-0005-0000-0000-00001C010000}"/>
    <cellStyle name="Bad 2 3" xfId="2727" xr:uid="{00000000-0005-0000-0000-00001D010000}"/>
    <cellStyle name="Bad 3" xfId="3086" xr:uid="{00000000-0005-0000-0000-00001E010000}"/>
    <cellStyle name="Bad 4" xfId="3085" xr:uid="{00000000-0005-0000-0000-00001F010000}"/>
    <cellStyle name="Bad 5" xfId="3084" xr:uid="{00000000-0005-0000-0000-000020010000}"/>
    <cellStyle name="Calculation 2" xfId="745" xr:uid="{00000000-0005-0000-0000-000021010000}"/>
    <cellStyle name="Calculation 2 2" xfId="746" xr:uid="{00000000-0005-0000-0000-000022010000}"/>
    <cellStyle name="Calculation 2 3" xfId="2726" xr:uid="{00000000-0005-0000-0000-000023010000}"/>
    <cellStyle name="Calculation 3" xfId="3083" xr:uid="{00000000-0005-0000-0000-000024010000}"/>
    <cellStyle name="Calculation 4" xfId="3082" xr:uid="{00000000-0005-0000-0000-000025010000}"/>
    <cellStyle name="Calculation 5" xfId="3081" xr:uid="{00000000-0005-0000-0000-000026010000}"/>
    <cellStyle name="Check Cell 2" xfId="52" xr:uid="{00000000-0005-0000-0000-000027010000}"/>
    <cellStyle name="Check Cell 2 2" xfId="53" xr:uid="{00000000-0005-0000-0000-000028010000}"/>
    <cellStyle name="Check Cell 2 2 2" xfId="1769" xr:uid="{00000000-0005-0000-0000-000029010000}"/>
    <cellStyle name="Check Cell 2 2 3" xfId="3080" xr:uid="{00000000-0005-0000-0000-00002A010000}"/>
    <cellStyle name="Check Cell 2 3" xfId="3079" xr:uid="{00000000-0005-0000-0000-00002B010000}"/>
    <cellStyle name="Check Cell 2 4" xfId="3078" xr:uid="{00000000-0005-0000-0000-00002C010000}"/>
    <cellStyle name="Check Cell 2 5" xfId="3077" xr:uid="{00000000-0005-0000-0000-00002D010000}"/>
    <cellStyle name="Check Cell 3" xfId="747" xr:uid="{00000000-0005-0000-0000-00002E010000}"/>
    <cellStyle name="Check Cell 3 2" xfId="748" xr:uid="{00000000-0005-0000-0000-00002F010000}"/>
    <cellStyle name="Check Cell 3 3" xfId="2725" xr:uid="{00000000-0005-0000-0000-000030010000}"/>
    <cellStyle name="Check Cell 4" xfId="3076" xr:uid="{00000000-0005-0000-0000-000031010000}"/>
    <cellStyle name="Check Cell 5" xfId="3075" xr:uid="{00000000-0005-0000-0000-000032010000}"/>
    <cellStyle name="Check Cell 6" xfId="3074" xr:uid="{00000000-0005-0000-0000-000033010000}"/>
    <cellStyle name="Comma" xfId="4055" builtinId="3"/>
    <cellStyle name="Comma  - Style1" xfId="749" xr:uid="{00000000-0005-0000-0000-000035010000}"/>
    <cellStyle name="Comma  - Style2" xfId="750" xr:uid="{00000000-0005-0000-0000-000036010000}"/>
    <cellStyle name="Comma  - Style3" xfId="751" xr:uid="{00000000-0005-0000-0000-000037010000}"/>
    <cellStyle name="Comma  - Style4" xfId="752" xr:uid="{00000000-0005-0000-0000-000038010000}"/>
    <cellStyle name="Comma  - Style5" xfId="753" xr:uid="{00000000-0005-0000-0000-000039010000}"/>
    <cellStyle name="Comma  - Style6" xfId="754" xr:uid="{00000000-0005-0000-0000-00003A010000}"/>
    <cellStyle name="Comma  - Style7" xfId="755" xr:uid="{00000000-0005-0000-0000-00003B010000}"/>
    <cellStyle name="Comma  - Style8" xfId="756" xr:uid="{00000000-0005-0000-0000-00003C010000}"/>
    <cellStyle name="Comma 10" xfId="55" xr:uid="{00000000-0005-0000-0000-00003D010000}"/>
    <cellStyle name="Comma 10 10" xfId="56" xr:uid="{00000000-0005-0000-0000-00003E010000}"/>
    <cellStyle name="Comma 10 10 2" xfId="57" xr:uid="{00000000-0005-0000-0000-00003F010000}"/>
    <cellStyle name="Comma 10 10 2 2" xfId="757" xr:uid="{00000000-0005-0000-0000-000040010000}"/>
    <cellStyle name="Comma 10 10 2 3" xfId="1771" xr:uid="{00000000-0005-0000-0000-000041010000}"/>
    <cellStyle name="Comma 10 10 3" xfId="758" xr:uid="{00000000-0005-0000-0000-000042010000}"/>
    <cellStyle name="Comma 10 10 3 2" xfId="1773" xr:uid="{00000000-0005-0000-0000-000043010000}"/>
    <cellStyle name="Comma 10 10 3 3" xfId="1772" xr:uid="{00000000-0005-0000-0000-000044010000}"/>
    <cellStyle name="Comma 10 10 3 4" xfId="3071" xr:uid="{00000000-0005-0000-0000-000045010000}"/>
    <cellStyle name="Comma 10 10 4" xfId="759" xr:uid="{00000000-0005-0000-0000-000046010000}"/>
    <cellStyle name="Comma 10 10 4 2" xfId="3070" xr:uid="{00000000-0005-0000-0000-000047010000}"/>
    <cellStyle name="Comma 10 10 5" xfId="1774" xr:uid="{00000000-0005-0000-0000-000048010000}"/>
    <cellStyle name="Comma 10 10 5 2" xfId="3069" xr:uid="{00000000-0005-0000-0000-000049010000}"/>
    <cellStyle name="Comma 10 11" xfId="58" xr:uid="{00000000-0005-0000-0000-00004A010000}"/>
    <cellStyle name="Comma 10 11 2" xfId="59" xr:uid="{00000000-0005-0000-0000-00004B010000}"/>
    <cellStyle name="Comma 10 11 2 2" xfId="760" xr:uid="{00000000-0005-0000-0000-00004C010000}"/>
    <cellStyle name="Comma 10 11 2 3" xfId="1775" xr:uid="{00000000-0005-0000-0000-00004D010000}"/>
    <cellStyle name="Comma 10 11 3" xfId="761" xr:uid="{00000000-0005-0000-0000-00004E010000}"/>
    <cellStyle name="Comma 10 11 3 2" xfId="1777" xr:uid="{00000000-0005-0000-0000-00004F010000}"/>
    <cellStyle name="Comma 10 11 3 3" xfId="1776" xr:uid="{00000000-0005-0000-0000-000050010000}"/>
    <cellStyle name="Comma 10 11 3 4" xfId="3068" xr:uid="{00000000-0005-0000-0000-000051010000}"/>
    <cellStyle name="Comma 10 11 4" xfId="762" xr:uid="{00000000-0005-0000-0000-000052010000}"/>
    <cellStyle name="Comma 10 11 4 2" xfId="3067" xr:uid="{00000000-0005-0000-0000-000053010000}"/>
    <cellStyle name="Comma 10 11 5" xfId="1778" xr:uid="{00000000-0005-0000-0000-000054010000}"/>
    <cellStyle name="Comma 10 11 5 2" xfId="3066" xr:uid="{00000000-0005-0000-0000-000055010000}"/>
    <cellStyle name="Comma 10 12" xfId="60" xr:uid="{00000000-0005-0000-0000-000056010000}"/>
    <cellStyle name="Comma 10 12 2" xfId="61" xr:uid="{00000000-0005-0000-0000-000057010000}"/>
    <cellStyle name="Comma 10 12 2 2" xfId="763" xr:uid="{00000000-0005-0000-0000-000058010000}"/>
    <cellStyle name="Comma 10 12 2 3" xfId="1779" xr:uid="{00000000-0005-0000-0000-000059010000}"/>
    <cellStyle name="Comma 10 12 3" xfId="764" xr:uid="{00000000-0005-0000-0000-00005A010000}"/>
    <cellStyle name="Comma 10 12 3 2" xfId="1781" xr:uid="{00000000-0005-0000-0000-00005B010000}"/>
    <cellStyle name="Comma 10 12 3 3" xfId="1780" xr:uid="{00000000-0005-0000-0000-00005C010000}"/>
    <cellStyle name="Comma 10 12 3 4" xfId="3065" xr:uid="{00000000-0005-0000-0000-00005D010000}"/>
    <cellStyle name="Comma 10 12 4" xfId="765" xr:uid="{00000000-0005-0000-0000-00005E010000}"/>
    <cellStyle name="Comma 10 12 4 2" xfId="3064" xr:uid="{00000000-0005-0000-0000-00005F010000}"/>
    <cellStyle name="Comma 10 12 5" xfId="1782" xr:uid="{00000000-0005-0000-0000-000060010000}"/>
    <cellStyle name="Comma 10 12 5 2" xfId="3063" xr:uid="{00000000-0005-0000-0000-000061010000}"/>
    <cellStyle name="Comma 10 13" xfId="62" xr:uid="{00000000-0005-0000-0000-000062010000}"/>
    <cellStyle name="Comma 10 13 2" xfId="63" xr:uid="{00000000-0005-0000-0000-000063010000}"/>
    <cellStyle name="Comma 10 13 2 2" xfId="766" xr:uid="{00000000-0005-0000-0000-000064010000}"/>
    <cellStyle name="Comma 10 13 2 3" xfId="1783" xr:uid="{00000000-0005-0000-0000-000065010000}"/>
    <cellStyle name="Comma 10 13 3" xfId="767" xr:uid="{00000000-0005-0000-0000-000066010000}"/>
    <cellStyle name="Comma 10 13 3 2" xfId="1785" xr:uid="{00000000-0005-0000-0000-000067010000}"/>
    <cellStyle name="Comma 10 13 3 3" xfId="1784" xr:uid="{00000000-0005-0000-0000-000068010000}"/>
    <cellStyle name="Comma 10 13 3 4" xfId="3062" xr:uid="{00000000-0005-0000-0000-000069010000}"/>
    <cellStyle name="Comma 10 13 4" xfId="768" xr:uid="{00000000-0005-0000-0000-00006A010000}"/>
    <cellStyle name="Comma 10 13 4 2" xfId="3061" xr:uid="{00000000-0005-0000-0000-00006B010000}"/>
    <cellStyle name="Comma 10 13 5" xfId="1786" xr:uid="{00000000-0005-0000-0000-00006C010000}"/>
    <cellStyle name="Comma 10 13 5 2" xfId="3060" xr:uid="{00000000-0005-0000-0000-00006D010000}"/>
    <cellStyle name="Comma 10 14" xfId="64" xr:uid="{00000000-0005-0000-0000-00006E010000}"/>
    <cellStyle name="Comma 10 14 2" xfId="65" xr:uid="{00000000-0005-0000-0000-00006F010000}"/>
    <cellStyle name="Comma 10 14 2 2" xfId="769" xr:uid="{00000000-0005-0000-0000-000070010000}"/>
    <cellStyle name="Comma 10 14 2 3" xfId="1787" xr:uid="{00000000-0005-0000-0000-000071010000}"/>
    <cellStyle name="Comma 10 14 3" xfId="770" xr:uid="{00000000-0005-0000-0000-000072010000}"/>
    <cellStyle name="Comma 10 14 3 2" xfId="1789" xr:uid="{00000000-0005-0000-0000-000073010000}"/>
    <cellStyle name="Comma 10 14 3 3" xfId="1788" xr:uid="{00000000-0005-0000-0000-000074010000}"/>
    <cellStyle name="Comma 10 14 3 4" xfId="3059" xr:uid="{00000000-0005-0000-0000-000075010000}"/>
    <cellStyle name="Comma 10 14 4" xfId="771" xr:uid="{00000000-0005-0000-0000-000076010000}"/>
    <cellStyle name="Comma 10 14 4 2" xfId="3058" xr:uid="{00000000-0005-0000-0000-000077010000}"/>
    <cellStyle name="Comma 10 14 5" xfId="1790" xr:uid="{00000000-0005-0000-0000-000078010000}"/>
    <cellStyle name="Comma 10 14 5 2" xfId="3057" xr:uid="{00000000-0005-0000-0000-000079010000}"/>
    <cellStyle name="Comma 10 15" xfId="66" xr:uid="{00000000-0005-0000-0000-00007A010000}"/>
    <cellStyle name="Comma 10 15 2" xfId="67" xr:uid="{00000000-0005-0000-0000-00007B010000}"/>
    <cellStyle name="Comma 10 15 2 2" xfId="772" xr:uid="{00000000-0005-0000-0000-00007C010000}"/>
    <cellStyle name="Comma 10 15 2 3" xfId="1791" xr:uid="{00000000-0005-0000-0000-00007D010000}"/>
    <cellStyle name="Comma 10 15 3" xfId="773" xr:uid="{00000000-0005-0000-0000-00007E010000}"/>
    <cellStyle name="Comma 10 15 3 2" xfId="1793" xr:uid="{00000000-0005-0000-0000-00007F010000}"/>
    <cellStyle name="Comma 10 15 3 3" xfId="1792" xr:uid="{00000000-0005-0000-0000-000080010000}"/>
    <cellStyle name="Comma 10 15 3 4" xfId="3056" xr:uid="{00000000-0005-0000-0000-000081010000}"/>
    <cellStyle name="Comma 10 15 4" xfId="774" xr:uid="{00000000-0005-0000-0000-000082010000}"/>
    <cellStyle name="Comma 10 15 4 2" xfId="3055" xr:uid="{00000000-0005-0000-0000-000083010000}"/>
    <cellStyle name="Comma 10 15 5" xfId="1794" xr:uid="{00000000-0005-0000-0000-000084010000}"/>
    <cellStyle name="Comma 10 15 5 2" xfId="3054" xr:uid="{00000000-0005-0000-0000-000085010000}"/>
    <cellStyle name="Comma 10 16" xfId="68" xr:uid="{00000000-0005-0000-0000-000086010000}"/>
    <cellStyle name="Comma 10 16 2" xfId="69" xr:uid="{00000000-0005-0000-0000-000087010000}"/>
    <cellStyle name="Comma 10 16 2 2" xfId="775" xr:uid="{00000000-0005-0000-0000-000088010000}"/>
    <cellStyle name="Comma 10 16 2 3" xfId="1795" xr:uid="{00000000-0005-0000-0000-000089010000}"/>
    <cellStyle name="Comma 10 16 3" xfId="776" xr:uid="{00000000-0005-0000-0000-00008A010000}"/>
    <cellStyle name="Comma 10 16 3 2" xfId="1797" xr:uid="{00000000-0005-0000-0000-00008B010000}"/>
    <cellStyle name="Comma 10 16 3 3" xfId="1796" xr:uid="{00000000-0005-0000-0000-00008C010000}"/>
    <cellStyle name="Comma 10 16 3 4" xfId="3053" xr:uid="{00000000-0005-0000-0000-00008D010000}"/>
    <cellStyle name="Comma 10 16 4" xfId="777" xr:uid="{00000000-0005-0000-0000-00008E010000}"/>
    <cellStyle name="Comma 10 16 4 2" xfId="3052" xr:uid="{00000000-0005-0000-0000-00008F010000}"/>
    <cellStyle name="Comma 10 16 5" xfId="1798" xr:uid="{00000000-0005-0000-0000-000090010000}"/>
    <cellStyle name="Comma 10 16 5 2" xfId="3051" xr:uid="{00000000-0005-0000-0000-000091010000}"/>
    <cellStyle name="Comma 10 17" xfId="70" xr:uid="{00000000-0005-0000-0000-000092010000}"/>
    <cellStyle name="Comma 10 17 2" xfId="778" xr:uid="{00000000-0005-0000-0000-000093010000}"/>
    <cellStyle name="Comma 10 17 3" xfId="1799" xr:uid="{00000000-0005-0000-0000-000094010000}"/>
    <cellStyle name="Comma 10 18" xfId="779" xr:uid="{00000000-0005-0000-0000-000095010000}"/>
    <cellStyle name="Comma 10 18 2" xfId="1801" xr:uid="{00000000-0005-0000-0000-000096010000}"/>
    <cellStyle name="Comma 10 18 3" xfId="1800" xr:uid="{00000000-0005-0000-0000-000097010000}"/>
    <cellStyle name="Comma 10 18 4" xfId="3050" xr:uid="{00000000-0005-0000-0000-000098010000}"/>
    <cellStyle name="Comma 10 19" xfId="780" xr:uid="{00000000-0005-0000-0000-000099010000}"/>
    <cellStyle name="Comma 10 19 2" xfId="3049" xr:uid="{00000000-0005-0000-0000-00009A010000}"/>
    <cellStyle name="Comma 10 2" xfId="71" xr:uid="{00000000-0005-0000-0000-00009B010000}"/>
    <cellStyle name="Comma 10 2 2" xfId="72" xr:uid="{00000000-0005-0000-0000-00009C010000}"/>
    <cellStyle name="Comma 10 2 2 2" xfId="781" xr:uid="{00000000-0005-0000-0000-00009D010000}"/>
    <cellStyle name="Comma 10 2 2 3" xfId="1802" xr:uid="{00000000-0005-0000-0000-00009E010000}"/>
    <cellStyle name="Comma 10 2 3" xfId="782" xr:uid="{00000000-0005-0000-0000-00009F010000}"/>
    <cellStyle name="Comma 10 2 3 2" xfId="1804" xr:uid="{00000000-0005-0000-0000-0000A0010000}"/>
    <cellStyle name="Comma 10 2 3 3" xfId="1803" xr:uid="{00000000-0005-0000-0000-0000A1010000}"/>
    <cellStyle name="Comma 10 2 3 4" xfId="3048" xr:uid="{00000000-0005-0000-0000-0000A2010000}"/>
    <cellStyle name="Comma 10 2 4" xfId="783" xr:uid="{00000000-0005-0000-0000-0000A3010000}"/>
    <cellStyle name="Comma 10 2 4 2" xfId="3047" xr:uid="{00000000-0005-0000-0000-0000A4010000}"/>
    <cellStyle name="Comma 10 2 5" xfId="1805" xr:uid="{00000000-0005-0000-0000-0000A5010000}"/>
    <cellStyle name="Comma 10 2 5 2" xfId="3046" xr:uid="{00000000-0005-0000-0000-0000A6010000}"/>
    <cellStyle name="Comma 10 20" xfId="1806" xr:uid="{00000000-0005-0000-0000-0000A7010000}"/>
    <cellStyle name="Comma 10 20 2" xfId="3045" xr:uid="{00000000-0005-0000-0000-0000A8010000}"/>
    <cellStyle name="Comma 10 3" xfId="73" xr:uid="{00000000-0005-0000-0000-0000A9010000}"/>
    <cellStyle name="Comma 10 3 2" xfId="74" xr:uid="{00000000-0005-0000-0000-0000AA010000}"/>
    <cellStyle name="Comma 10 3 2 2" xfId="784" xr:uid="{00000000-0005-0000-0000-0000AB010000}"/>
    <cellStyle name="Comma 10 3 2 3" xfId="1807" xr:uid="{00000000-0005-0000-0000-0000AC010000}"/>
    <cellStyle name="Comma 10 3 3" xfId="785" xr:uid="{00000000-0005-0000-0000-0000AD010000}"/>
    <cellStyle name="Comma 10 3 3 2" xfId="1809" xr:uid="{00000000-0005-0000-0000-0000AE010000}"/>
    <cellStyle name="Comma 10 3 3 3" xfId="1808" xr:uid="{00000000-0005-0000-0000-0000AF010000}"/>
    <cellStyle name="Comma 10 3 3 4" xfId="3044" xr:uid="{00000000-0005-0000-0000-0000B0010000}"/>
    <cellStyle name="Comma 10 3 4" xfId="786" xr:uid="{00000000-0005-0000-0000-0000B1010000}"/>
    <cellStyle name="Comma 10 3 4 2" xfId="3043" xr:uid="{00000000-0005-0000-0000-0000B2010000}"/>
    <cellStyle name="Comma 10 3 5" xfId="1810" xr:uid="{00000000-0005-0000-0000-0000B3010000}"/>
    <cellStyle name="Comma 10 3 5 2" xfId="3042" xr:uid="{00000000-0005-0000-0000-0000B4010000}"/>
    <cellStyle name="Comma 10 4" xfId="75" xr:uid="{00000000-0005-0000-0000-0000B5010000}"/>
    <cellStyle name="Comma 10 4 2" xfId="76" xr:uid="{00000000-0005-0000-0000-0000B6010000}"/>
    <cellStyle name="Comma 10 4 2 2" xfId="787" xr:uid="{00000000-0005-0000-0000-0000B7010000}"/>
    <cellStyle name="Comma 10 4 2 3" xfId="1811" xr:uid="{00000000-0005-0000-0000-0000B8010000}"/>
    <cellStyle name="Comma 10 4 3" xfId="788" xr:uid="{00000000-0005-0000-0000-0000B9010000}"/>
    <cellStyle name="Comma 10 4 3 2" xfId="1813" xr:uid="{00000000-0005-0000-0000-0000BA010000}"/>
    <cellStyle name="Comma 10 4 3 3" xfId="1812" xr:uid="{00000000-0005-0000-0000-0000BB010000}"/>
    <cellStyle name="Comma 10 4 3 4" xfId="3041" xr:uid="{00000000-0005-0000-0000-0000BC010000}"/>
    <cellStyle name="Comma 10 4 4" xfId="789" xr:uid="{00000000-0005-0000-0000-0000BD010000}"/>
    <cellStyle name="Comma 10 4 4 2" xfId="3040" xr:uid="{00000000-0005-0000-0000-0000BE010000}"/>
    <cellStyle name="Comma 10 4 5" xfId="1814" xr:uid="{00000000-0005-0000-0000-0000BF010000}"/>
    <cellStyle name="Comma 10 4 5 2" xfId="3039" xr:uid="{00000000-0005-0000-0000-0000C0010000}"/>
    <cellStyle name="Comma 10 5" xfId="77" xr:uid="{00000000-0005-0000-0000-0000C1010000}"/>
    <cellStyle name="Comma 10 5 2" xfId="78" xr:uid="{00000000-0005-0000-0000-0000C2010000}"/>
    <cellStyle name="Comma 10 5 2 2" xfId="790" xr:uid="{00000000-0005-0000-0000-0000C3010000}"/>
    <cellStyle name="Comma 10 5 2 3" xfId="1815" xr:uid="{00000000-0005-0000-0000-0000C4010000}"/>
    <cellStyle name="Comma 10 5 3" xfId="791" xr:uid="{00000000-0005-0000-0000-0000C5010000}"/>
    <cellStyle name="Comma 10 5 3 2" xfId="1817" xr:uid="{00000000-0005-0000-0000-0000C6010000}"/>
    <cellStyle name="Comma 10 5 3 3" xfId="1816" xr:uid="{00000000-0005-0000-0000-0000C7010000}"/>
    <cellStyle name="Comma 10 5 3 4" xfId="3038" xr:uid="{00000000-0005-0000-0000-0000C8010000}"/>
    <cellStyle name="Comma 10 5 4" xfId="792" xr:uid="{00000000-0005-0000-0000-0000C9010000}"/>
    <cellStyle name="Comma 10 5 4 2" xfId="3037" xr:uid="{00000000-0005-0000-0000-0000CA010000}"/>
    <cellStyle name="Comma 10 5 5" xfId="1818" xr:uid="{00000000-0005-0000-0000-0000CB010000}"/>
    <cellStyle name="Comma 10 5 5 2" xfId="3036" xr:uid="{00000000-0005-0000-0000-0000CC010000}"/>
    <cellStyle name="Comma 10 6" xfId="79" xr:uid="{00000000-0005-0000-0000-0000CD010000}"/>
    <cellStyle name="Comma 10 6 2" xfId="80" xr:uid="{00000000-0005-0000-0000-0000CE010000}"/>
    <cellStyle name="Comma 10 6 2 2" xfId="793" xr:uid="{00000000-0005-0000-0000-0000CF010000}"/>
    <cellStyle name="Comma 10 6 2 3" xfId="1819" xr:uid="{00000000-0005-0000-0000-0000D0010000}"/>
    <cellStyle name="Comma 10 6 3" xfId="794" xr:uid="{00000000-0005-0000-0000-0000D1010000}"/>
    <cellStyle name="Comma 10 6 3 2" xfId="1821" xr:uid="{00000000-0005-0000-0000-0000D2010000}"/>
    <cellStyle name="Comma 10 6 3 3" xfId="1820" xr:uid="{00000000-0005-0000-0000-0000D3010000}"/>
    <cellStyle name="Comma 10 6 3 4" xfId="3035" xr:uid="{00000000-0005-0000-0000-0000D4010000}"/>
    <cellStyle name="Comma 10 6 4" xfId="795" xr:uid="{00000000-0005-0000-0000-0000D5010000}"/>
    <cellStyle name="Comma 10 6 4 2" xfId="3034" xr:uid="{00000000-0005-0000-0000-0000D6010000}"/>
    <cellStyle name="Comma 10 6 5" xfId="1822" xr:uid="{00000000-0005-0000-0000-0000D7010000}"/>
    <cellStyle name="Comma 10 6 5 2" xfId="3033" xr:uid="{00000000-0005-0000-0000-0000D8010000}"/>
    <cellStyle name="Comma 10 7" xfId="81" xr:uid="{00000000-0005-0000-0000-0000D9010000}"/>
    <cellStyle name="Comma 10 7 2" xfId="82" xr:uid="{00000000-0005-0000-0000-0000DA010000}"/>
    <cellStyle name="Comma 10 7 2 2" xfId="796" xr:uid="{00000000-0005-0000-0000-0000DB010000}"/>
    <cellStyle name="Comma 10 7 2 3" xfId="1823" xr:uid="{00000000-0005-0000-0000-0000DC010000}"/>
    <cellStyle name="Comma 10 7 3" xfId="797" xr:uid="{00000000-0005-0000-0000-0000DD010000}"/>
    <cellStyle name="Comma 10 7 3 2" xfId="1825" xr:uid="{00000000-0005-0000-0000-0000DE010000}"/>
    <cellStyle name="Comma 10 7 3 3" xfId="1824" xr:uid="{00000000-0005-0000-0000-0000DF010000}"/>
    <cellStyle name="Comma 10 7 3 4" xfId="3032" xr:uid="{00000000-0005-0000-0000-0000E0010000}"/>
    <cellStyle name="Comma 10 7 4" xfId="798" xr:uid="{00000000-0005-0000-0000-0000E1010000}"/>
    <cellStyle name="Comma 10 7 4 2" xfId="3031" xr:uid="{00000000-0005-0000-0000-0000E2010000}"/>
    <cellStyle name="Comma 10 7 5" xfId="1826" xr:uid="{00000000-0005-0000-0000-0000E3010000}"/>
    <cellStyle name="Comma 10 7 5 2" xfId="3030" xr:uid="{00000000-0005-0000-0000-0000E4010000}"/>
    <cellStyle name="Comma 10 8" xfId="83" xr:uid="{00000000-0005-0000-0000-0000E5010000}"/>
    <cellStyle name="Comma 10 8 2" xfId="84" xr:uid="{00000000-0005-0000-0000-0000E6010000}"/>
    <cellStyle name="Comma 10 8 2 2" xfId="799" xr:uid="{00000000-0005-0000-0000-0000E7010000}"/>
    <cellStyle name="Comma 10 8 2 3" xfId="1827" xr:uid="{00000000-0005-0000-0000-0000E8010000}"/>
    <cellStyle name="Comma 10 8 3" xfId="800" xr:uid="{00000000-0005-0000-0000-0000E9010000}"/>
    <cellStyle name="Comma 10 8 3 2" xfId="1829" xr:uid="{00000000-0005-0000-0000-0000EA010000}"/>
    <cellStyle name="Comma 10 8 3 3" xfId="1828" xr:uid="{00000000-0005-0000-0000-0000EB010000}"/>
    <cellStyle name="Comma 10 8 3 4" xfId="3029" xr:uid="{00000000-0005-0000-0000-0000EC010000}"/>
    <cellStyle name="Comma 10 8 4" xfId="801" xr:uid="{00000000-0005-0000-0000-0000ED010000}"/>
    <cellStyle name="Comma 10 8 4 2" xfId="3028" xr:uid="{00000000-0005-0000-0000-0000EE010000}"/>
    <cellStyle name="Comma 10 8 5" xfId="1830" xr:uid="{00000000-0005-0000-0000-0000EF010000}"/>
    <cellStyle name="Comma 10 8 5 2" xfId="3027" xr:uid="{00000000-0005-0000-0000-0000F0010000}"/>
    <cellStyle name="Comma 10 9" xfId="85" xr:uid="{00000000-0005-0000-0000-0000F1010000}"/>
    <cellStyle name="Comma 10 9 2" xfId="86" xr:uid="{00000000-0005-0000-0000-0000F2010000}"/>
    <cellStyle name="Comma 10 9 2 2" xfId="802" xr:uid="{00000000-0005-0000-0000-0000F3010000}"/>
    <cellStyle name="Comma 10 9 2 3" xfId="1831" xr:uid="{00000000-0005-0000-0000-0000F4010000}"/>
    <cellStyle name="Comma 10 9 3" xfId="803" xr:uid="{00000000-0005-0000-0000-0000F5010000}"/>
    <cellStyle name="Comma 10 9 3 2" xfId="1833" xr:uid="{00000000-0005-0000-0000-0000F6010000}"/>
    <cellStyle name="Comma 10 9 3 3" xfId="1832" xr:uid="{00000000-0005-0000-0000-0000F7010000}"/>
    <cellStyle name="Comma 10 9 3 4" xfId="3026" xr:uid="{00000000-0005-0000-0000-0000F8010000}"/>
    <cellStyle name="Comma 10 9 4" xfId="804" xr:uid="{00000000-0005-0000-0000-0000F9010000}"/>
    <cellStyle name="Comma 10 9 4 2" xfId="3025" xr:uid="{00000000-0005-0000-0000-0000FA010000}"/>
    <cellStyle name="Comma 10 9 5" xfId="1834" xr:uid="{00000000-0005-0000-0000-0000FB010000}"/>
    <cellStyle name="Comma 10 9 5 2" xfId="3024" xr:uid="{00000000-0005-0000-0000-0000FC010000}"/>
    <cellStyle name="Comma 100" xfId="2581" xr:uid="{00000000-0005-0000-0000-0000FD010000}"/>
    <cellStyle name="Comma 101" xfId="2674" xr:uid="{00000000-0005-0000-0000-0000FE010000}"/>
    <cellStyle name="Comma 102" xfId="2633" xr:uid="{00000000-0005-0000-0000-0000FF010000}"/>
    <cellStyle name="Comma 103" xfId="2675" xr:uid="{00000000-0005-0000-0000-000000020000}"/>
    <cellStyle name="Comma 104" xfId="2632" xr:uid="{00000000-0005-0000-0000-000001020000}"/>
    <cellStyle name="Comma 105" xfId="2676" xr:uid="{00000000-0005-0000-0000-000002020000}"/>
    <cellStyle name="Comma 106" xfId="2630" xr:uid="{00000000-0005-0000-0000-000003020000}"/>
    <cellStyle name="Comma 107" xfId="2677" xr:uid="{00000000-0005-0000-0000-000004020000}"/>
    <cellStyle name="Comma 108" xfId="2629" xr:uid="{00000000-0005-0000-0000-000005020000}"/>
    <cellStyle name="Comma 109" xfId="2678" xr:uid="{00000000-0005-0000-0000-000006020000}"/>
    <cellStyle name="Comma 11" xfId="87" xr:uid="{00000000-0005-0000-0000-000007020000}"/>
    <cellStyle name="Comma 11 10" xfId="88" xr:uid="{00000000-0005-0000-0000-000008020000}"/>
    <cellStyle name="Comma 11 10 2" xfId="89" xr:uid="{00000000-0005-0000-0000-000009020000}"/>
    <cellStyle name="Comma 11 10 2 2" xfId="805" xr:uid="{00000000-0005-0000-0000-00000A020000}"/>
    <cellStyle name="Comma 11 10 2 3" xfId="1835" xr:uid="{00000000-0005-0000-0000-00000B020000}"/>
    <cellStyle name="Comma 11 10 3" xfId="806" xr:uid="{00000000-0005-0000-0000-00000C020000}"/>
    <cellStyle name="Comma 11 10 3 2" xfId="1837" xr:uid="{00000000-0005-0000-0000-00000D020000}"/>
    <cellStyle name="Comma 11 10 3 3" xfId="1836" xr:uid="{00000000-0005-0000-0000-00000E020000}"/>
    <cellStyle name="Comma 11 10 3 4" xfId="3023" xr:uid="{00000000-0005-0000-0000-00000F020000}"/>
    <cellStyle name="Comma 11 10 4" xfId="807" xr:uid="{00000000-0005-0000-0000-000010020000}"/>
    <cellStyle name="Comma 11 10 4 2" xfId="3022" xr:uid="{00000000-0005-0000-0000-000011020000}"/>
    <cellStyle name="Comma 11 10 5" xfId="1838" xr:uid="{00000000-0005-0000-0000-000012020000}"/>
    <cellStyle name="Comma 11 10 5 2" xfId="3021" xr:uid="{00000000-0005-0000-0000-000013020000}"/>
    <cellStyle name="Comma 11 11" xfId="90" xr:uid="{00000000-0005-0000-0000-000014020000}"/>
    <cellStyle name="Comma 11 11 2" xfId="91" xr:uid="{00000000-0005-0000-0000-000015020000}"/>
    <cellStyle name="Comma 11 11 2 2" xfId="808" xr:uid="{00000000-0005-0000-0000-000016020000}"/>
    <cellStyle name="Comma 11 11 2 3" xfId="1839" xr:uid="{00000000-0005-0000-0000-000017020000}"/>
    <cellStyle name="Comma 11 11 3" xfId="809" xr:uid="{00000000-0005-0000-0000-000018020000}"/>
    <cellStyle name="Comma 11 11 3 2" xfId="1841" xr:uid="{00000000-0005-0000-0000-000019020000}"/>
    <cellStyle name="Comma 11 11 3 3" xfId="1840" xr:uid="{00000000-0005-0000-0000-00001A020000}"/>
    <cellStyle name="Comma 11 11 3 4" xfId="3020" xr:uid="{00000000-0005-0000-0000-00001B020000}"/>
    <cellStyle name="Comma 11 11 4" xfId="810" xr:uid="{00000000-0005-0000-0000-00001C020000}"/>
    <cellStyle name="Comma 11 11 4 2" xfId="3019" xr:uid="{00000000-0005-0000-0000-00001D020000}"/>
    <cellStyle name="Comma 11 11 5" xfId="1842" xr:uid="{00000000-0005-0000-0000-00001E020000}"/>
    <cellStyle name="Comma 11 11 5 2" xfId="3018" xr:uid="{00000000-0005-0000-0000-00001F020000}"/>
    <cellStyle name="Comma 11 12" xfId="92" xr:uid="{00000000-0005-0000-0000-000020020000}"/>
    <cellStyle name="Comma 11 12 2" xfId="93" xr:uid="{00000000-0005-0000-0000-000021020000}"/>
    <cellStyle name="Comma 11 12 2 2" xfId="811" xr:uid="{00000000-0005-0000-0000-000022020000}"/>
    <cellStyle name="Comma 11 12 2 3" xfId="1843" xr:uid="{00000000-0005-0000-0000-000023020000}"/>
    <cellStyle name="Comma 11 12 3" xfId="812" xr:uid="{00000000-0005-0000-0000-000024020000}"/>
    <cellStyle name="Comma 11 12 3 2" xfId="1845" xr:uid="{00000000-0005-0000-0000-000025020000}"/>
    <cellStyle name="Comma 11 12 3 3" xfId="1844" xr:uid="{00000000-0005-0000-0000-000026020000}"/>
    <cellStyle name="Comma 11 12 3 4" xfId="3017" xr:uid="{00000000-0005-0000-0000-000027020000}"/>
    <cellStyle name="Comma 11 12 4" xfId="813" xr:uid="{00000000-0005-0000-0000-000028020000}"/>
    <cellStyle name="Comma 11 12 4 2" xfId="3016" xr:uid="{00000000-0005-0000-0000-000029020000}"/>
    <cellStyle name="Comma 11 12 5" xfId="1846" xr:uid="{00000000-0005-0000-0000-00002A020000}"/>
    <cellStyle name="Comma 11 12 5 2" xfId="3015" xr:uid="{00000000-0005-0000-0000-00002B020000}"/>
    <cellStyle name="Comma 11 13" xfId="94" xr:uid="{00000000-0005-0000-0000-00002C020000}"/>
    <cellStyle name="Comma 11 13 2" xfId="95" xr:uid="{00000000-0005-0000-0000-00002D020000}"/>
    <cellStyle name="Comma 11 13 2 2" xfId="814" xr:uid="{00000000-0005-0000-0000-00002E020000}"/>
    <cellStyle name="Comma 11 13 2 3" xfId="1847" xr:uid="{00000000-0005-0000-0000-00002F020000}"/>
    <cellStyle name="Comma 11 13 3" xfId="815" xr:uid="{00000000-0005-0000-0000-000030020000}"/>
    <cellStyle name="Comma 11 13 3 2" xfId="1849" xr:uid="{00000000-0005-0000-0000-000031020000}"/>
    <cellStyle name="Comma 11 13 3 3" xfId="1848" xr:uid="{00000000-0005-0000-0000-000032020000}"/>
    <cellStyle name="Comma 11 13 3 4" xfId="3014" xr:uid="{00000000-0005-0000-0000-000033020000}"/>
    <cellStyle name="Comma 11 13 4" xfId="816" xr:uid="{00000000-0005-0000-0000-000034020000}"/>
    <cellStyle name="Comma 11 13 4 2" xfId="3013" xr:uid="{00000000-0005-0000-0000-000035020000}"/>
    <cellStyle name="Comma 11 13 5" xfId="1850" xr:uid="{00000000-0005-0000-0000-000036020000}"/>
    <cellStyle name="Comma 11 13 5 2" xfId="3012" xr:uid="{00000000-0005-0000-0000-000037020000}"/>
    <cellStyle name="Comma 11 14" xfId="96" xr:uid="{00000000-0005-0000-0000-000038020000}"/>
    <cellStyle name="Comma 11 14 2" xfId="97" xr:uid="{00000000-0005-0000-0000-000039020000}"/>
    <cellStyle name="Comma 11 14 2 2" xfId="817" xr:uid="{00000000-0005-0000-0000-00003A020000}"/>
    <cellStyle name="Comma 11 14 2 3" xfId="1851" xr:uid="{00000000-0005-0000-0000-00003B020000}"/>
    <cellStyle name="Comma 11 14 3" xfId="818" xr:uid="{00000000-0005-0000-0000-00003C020000}"/>
    <cellStyle name="Comma 11 14 3 2" xfId="1853" xr:uid="{00000000-0005-0000-0000-00003D020000}"/>
    <cellStyle name="Comma 11 14 3 3" xfId="1852" xr:uid="{00000000-0005-0000-0000-00003E020000}"/>
    <cellStyle name="Comma 11 14 3 4" xfId="3011" xr:uid="{00000000-0005-0000-0000-00003F020000}"/>
    <cellStyle name="Comma 11 14 4" xfId="819" xr:uid="{00000000-0005-0000-0000-000040020000}"/>
    <cellStyle name="Comma 11 14 4 2" xfId="3010" xr:uid="{00000000-0005-0000-0000-000041020000}"/>
    <cellStyle name="Comma 11 14 5" xfId="1854" xr:uid="{00000000-0005-0000-0000-000042020000}"/>
    <cellStyle name="Comma 11 14 5 2" xfId="3009" xr:uid="{00000000-0005-0000-0000-000043020000}"/>
    <cellStyle name="Comma 11 15" xfId="98" xr:uid="{00000000-0005-0000-0000-000044020000}"/>
    <cellStyle name="Comma 11 15 2" xfId="99" xr:uid="{00000000-0005-0000-0000-000045020000}"/>
    <cellStyle name="Comma 11 15 2 2" xfId="820" xr:uid="{00000000-0005-0000-0000-000046020000}"/>
    <cellStyle name="Comma 11 15 2 3" xfId="1855" xr:uid="{00000000-0005-0000-0000-000047020000}"/>
    <cellStyle name="Comma 11 15 3" xfId="821" xr:uid="{00000000-0005-0000-0000-000048020000}"/>
    <cellStyle name="Comma 11 15 3 2" xfId="1857" xr:uid="{00000000-0005-0000-0000-000049020000}"/>
    <cellStyle name="Comma 11 15 3 3" xfId="1856" xr:uid="{00000000-0005-0000-0000-00004A020000}"/>
    <cellStyle name="Comma 11 15 3 4" xfId="3008" xr:uid="{00000000-0005-0000-0000-00004B020000}"/>
    <cellStyle name="Comma 11 15 4" xfId="822" xr:uid="{00000000-0005-0000-0000-00004C020000}"/>
    <cellStyle name="Comma 11 15 4 2" xfId="3007" xr:uid="{00000000-0005-0000-0000-00004D020000}"/>
    <cellStyle name="Comma 11 15 5" xfId="1858" xr:uid="{00000000-0005-0000-0000-00004E020000}"/>
    <cellStyle name="Comma 11 15 5 2" xfId="3006" xr:uid="{00000000-0005-0000-0000-00004F020000}"/>
    <cellStyle name="Comma 11 16" xfId="100" xr:uid="{00000000-0005-0000-0000-000050020000}"/>
    <cellStyle name="Comma 11 16 2" xfId="101" xr:uid="{00000000-0005-0000-0000-000051020000}"/>
    <cellStyle name="Comma 11 16 2 2" xfId="823" xr:uid="{00000000-0005-0000-0000-000052020000}"/>
    <cellStyle name="Comma 11 16 2 3" xfId="1859" xr:uid="{00000000-0005-0000-0000-000053020000}"/>
    <cellStyle name="Comma 11 16 3" xfId="824" xr:uid="{00000000-0005-0000-0000-000054020000}"/>
    <cellStyle name="Comma 11 16 3 2" xfId="1861" xr:uid="{00000000-0005-0000-0000-000055020000}"/>
    <cellStyle name="Comma 11 16 3 3" xfId="1860" xr:uid="{00000000-0005-0000-0000-000056020000}"/>
    <cellStyle name="Comma 11 16 3 4" xfId="3005" xr:uid="{00000000-0005-0000-0000-000057020000}"/>
    <cellStyle name="Comma 11 16 4" xfId="825" xr:uid="{00000000-0005-0000-0000-000058020000}"/>
    <cellStyle name="Comma 11 16 4 2" xfId="3004" xr:uid="{00000000-0005-0000-0000-000059020000}"/>
    <cellStyle name="Comma 11 16 5" xfId="1862" xr:uid="{00000000-0005-0000-0000-00005A020000}"/>
    <cellStyle name="Comma 11 16 5 2" xfId="3003" xr:uid="{00000000-0005-0000-0000-00005B020000}"/>
    <cellStyle name="Comma 11 17" xfId="102" xr:uid="{00000000-0005-0000-0000-00005C020000}"/>
    <cellStyle name="Comma 11 17 2" xfId="103" xr:uid="{00000000-0005-0000-0000-00005D020000}"/>
    <cellStyle name="Comma 11 17 2 2" xfId="826" xr:uid="{00000000-0005-0000-0000-00005E020000}"/>
    <cellStyle name="Comma 11 17 2 3" xfId="1863" xr:uid="{00000000-0005-0000-0000-00005F020000}"/>
    <cellStyle name="Comma 11 17 3" xfId="827" xr:uid="{00000000-0005-0000-0000-000060020000}"/>
    <cellStyle name="Comma 11 17 3 2" xfId="1865" xr:uid="{00000000-0005-0000-0000-000061020000}"/>
    <cellStyle name="Comma 11 17 3 3" xfId="1864" xr:uid="{00000000-0005-0000-0000-000062020000}"/>
    <cellStyle name="Comma 11 17 3 4" xfId="3002" xr:uid="{00000000-0005-0000-0000-000063020000}"/>
    <cellStyle name="Comma 11 17 4" xfId="828" xr:uid="{00000000-0005-0000-0000-000064020000}"/>
    <cellStyle name="Comma 11 17 4 2" xfId="3001" xr:uid="{00000000-0005-0000-0000-000065020000}"/>
    <cellStyle name="Comma 11 17 5" xfId="1866" xr:uid="{00000000-0005-0000-0000-000066020000}"/>
    <cellStyle name="Comma 11 17 5 2" xfId="3000" xr:uid="{00000000-0005-0000-0000-000067020000}"/>
    <cellStyle name="Comma 11 18" xfId="104" xr:uid="{00000000-0005-0000-0000-000068020000}"/>
    <cellStyle name="Comma 11 18 2" xfId="829" xr:uid="{00000000-0005-0000-0000-000069020000}"/>
    <cellStyle name="Comma 11 18 3" xfId="1867" xr:uid="{00000000-0005-0000-0000-00006A020000}"/>
    <cellStyle name="Comma 11 19" xfId="830" xr:uid="{00000000-0005-0000-0000-00006B020000}"/>
    <cellStyle name="Comma 11 19 2" xfId="1869" xr:uid="{00000000-0005-0000-0000-00006C020000}"/>
    <cellStyle name="Comma 11 19 3" xfId="1868" xr:uid="{00000000-0005-0000-0000-00006D020000}"/>
    <cellStyle name="Comma 11 19 4" xfId="2999" xr:uid="{00000000-0005-0000-0000-00006E020000}"/>
    <cellStyle name="Comma 11 2" xfId="105" xr:uid="{00000000-0005-0000-0000-00006F020000}"/>
    <cellStyle name="Comma 11 2 2" xfId="106" xr:uid="{00000000-0005-0000-0000-000070020000}"/>
    <cellStyle name="Comma 11 2 2 2" xfId="107" xr:uid="{00000000-0005-0000-0000-000071020000}"/>
    <cellStyle name="Comma 11 2 2 2 2" xfId="831" xr:uid="{00000000-0005-0000-0000-000072020000}"/>
    <cellStyle name="Comma 11 2 2 2 3" xfId="1870" xr:uid="{00000000-0005-0000-0000-000073020000}"/>
    <cellStyle name="Comma 11 2 2 3" xfId="832" xr:uid="{00000000-0005-0000-0000-000074020000}"/>
    <cellStyle name="Comma 11 2 2 3 2" xfId="1872" xr:uid="{00000000-0005-0000-0000-000075020000}"/>
    <cellStyle name="Comma 11 2 2 3 3" xfId="1871" xr:uid="{00000000-0005-0000-0000-000076020000}"/>
    <cellStyle name="Comma 11 2 2 3 4" xfId="2997" xr:uid="{00000000-0005-0000-0000-000077020000}"/>
    <cellStyle name="Comma 11 2 2 4" xfId="833" xr:uid="{00000000-0005-0000-0000-000078020000}"/>
    <cellStyle name="Comma 11 2 2 4 2" xfId="2996" xr:uid="{00000000-0005-0000-0000-000079020000}"/>
    <cellStyle name="Comma 11 2 2 5" xfId="1873" xr:uid="{00000000-0005-0000-0000-00007A020000}"/>
    <cellStyle name="Comma 11 2 2 5 2" xfId="2995" xr:uid="{00000000-0005-0000-0000-00007B020000}"/>
    <cellStyle name="Comma 11 2 3" xfId="108" xr:uid="{00000000-0005-0000-0000-00007C020000}"/>
    <cellStyle name="Comma 11 2 3 2" xfId="834" xr:uid="{00000000-0005-0000-0000-00007D020000}"/>
    <cellStyle name="Comma 11 2 3 3" xfId="1874" xr:uid="{00000000-0005-0000-0000-00007E020000}"/>
    <cellStyle name="Comma 11 2 4" xfId="835" xr:uid="{00000000-0005-0000-0000-00007F020000}"/>
    <cellStyle name="Comma 11 2 4 2" xfId="1876" xr:uid="{00000000-0005-0000-0000-000080020000}"/>
    <cellStyle name="Comma 11 2 4 3" xfId="1875" xr:uid="{00000000-0005-0000-0000-000081020000}"/>
    <cellStyle name="Comma 11 2 4 4" xfId="2994" xr:uid="{00000000-0005-0000-0000-000082020000}"/>
    <cellStyle name="Comma 11 2 5" xfId="836" xr:uid="{00000000-0005-0000-0000-000083020000}"/>
    <cellStyle name="Comma 11 2 5 2" xfId="2993" xr:uid="{00000000-0005-0000-0000-000084020000}"/>
    <cellStyle name="Comma 11 2 6" xfId="1877" xr:uid="{00000000-0005-0000-0000-000085020000}"/>
    <cellStyle name="Comma 11 2 6 2" xfId="2992" xr:uid="{00000000-0005-0000-0000-000086020000}"/>
    <cellStyle name="Comma 11 20" xfId="837" xr:uid="{00000000-0005-0000-0000-000087020000}"/>
    <cellStyle name="Comma 11 20 2" xfId="2991" xr:uid="{00000000-0005-0000-0000-000088020000}"/>
    <cellStyle name="Comma 11 21" xfId="1878" xr:uid="{00000000-0005-0000-0000-000089020000}"/>
    <cellStyle name="Comma 11 21 2" xfId="2990" xr:uid="{00000000-0005-0000-0000-00008A020000}"/>
    <cellStyle name="Comma 11 3" xfId="109" xr:uid="{00000000-0005-0000-0000-00008B020000}"/>
    <cellStyle name="Comma 11 3 2" xfId="110" xr:uid="{00000000-0005-0000-0000-00008C020000}"/>
    <cellStyle name="Comma 11 3 2 2" xfId="838" xr:uid="{00000000-0005-0000-0000-00008D020000}"/>
    <cellStyle name="Comma 11 3 2 3" xfId="1879" xr:uid="{00000000-0005-0000-0000-00008E020000}"/>
    <cellStyle name="Comma 11 3 3" xfId="839" xr:uid="{00000000-0005-0000-0000-00008F020000}"/>
    <cellStyle name="Comma 11 3 3 2" xfId="1881" xr:uid="{00000000-0005-0000-0000-000090020000}"/>
    <cellStyle name="Comma 11 3 3 3" xfId="1880" xr:uid="{00000000-0005-0000-0000-000091020000}"/>
    <cellStyle name="Comma 11 3 3 4" xfId="2989" xr:uid="{00000000-0005-0000-0000-000092020000}"/>
    <cellStyle name="Comma 11 3 4" xfId="840" xr:uid="{00000000-0005-0000-0000-000093020000}"/>
    <cellStyle name="Comma 11 3 4 2" xfId="2988" xr:uid="{00000000-0005-0000-0000-000094020000}"/>
    <cellStyle name="Comma 11 3 5" xfId="1882" xr:uid="{00000000-0005-0000-0000-000095020000}"/>
    <cellStyle name="Comma 11 3 5 2" xfId="2987" xr:uid="{00000000-0005-0000-0000-000096020000}"/>
    <cellStyle name="Comma 11 4" xfId="111" xr:uid="{00000000-0005-0000-0000-000097020000}"/>
    <cellStyle name="Comma 11 4 2" xfId="112" xr:uid="{00000000-0005-0000-0000-000098020000}"/>
    <cellStyle name="Comma 11 4 2 2" xfId="841" xr:uid="{00000000-0005-0000-0000-000099020000}"/>
    <cellStyle name="Comma 11 4 2 3" xfId="1883" xr:uid="{00000000-0005-0000-0000-00009A020000}"/>
    <cellStyle name="Comma 11 4 3" xfId="842" xr:uid="{00000000-0005-0000-0000-00009B020000}"/>
    <cellStyle name="Comma 11 4 3 2" xfId="1885" xr:uid="{00000000-0005-0000-0000-00009C020000}"/>
    <cellStyle name="Comma 11 4 3 3" xfId="1884" xr:uid="{00000000-0005-0000-0000-00009D020000}"/>
    <cellStyle name="Comma 11 4 3 4" xfId="2986" xr:uid="{00000000-0005-0000-0000-00009E020000}"/>
    <cellStyle name="Comma 11 4 4" xfId="843" xr:uid="{00000000-0005-0000-0000-00009F020000}"/>
    <cellStyle name="Comma 11 4 4 2" xfId="2985" xr:uid="{00000000-0005-0000-0000-0000A0020000}"/>
    <cellStyle name="Comma 11 4 5" xfId="1886" xr:uid="{00000000-0005-0000-0000-0000A1020000}"/>
    <cellStyle name="Comma 11 4 5 2" xfId="2984" xr:uid="{00000000-0005-0000-0000-0000A2020000}"/>
    <cellStyle name="Comma 11 5" xfId="113" xr:uid="{00000000-0005-0000-0000-0000A3020000}"/>
    <cellStyle name="Comma 11 5 2" xfId="114" xr:uid="{00000000-0005-0000-0000-0000A4020000}"/>
    <cellStyle name="Comma 11 5 2 2" xfId="844" xr:uid="{00000000-0005-0000-0000-0000A5020000}"/>
    <cellStyle name="Comma 11 5 2 3" xfId="1887" xr:uid="{00000000-0005-0000-0000-0000A6020000}"/>
    <cellStyle name="Comma 11 5 3" xfId="845" xr:uid="{00000000-0005-0000-0000-0000A7020000}"/>
    <cellStyle name="Comma 11 5 3 2" xfId="1889" xr:uid="{00000000-0005-0000-0000-0000A8020000}"/>
    <cellStyle name="Comma 11 5 3 3" xfId="1888" xr:uid="{00000000-0005-0000-0000-0000A9020000}"/>
    <cellStyle name="Comma 11 5 3 4" xfId="2983" xr:uid="{00000000-0005-0000-0000-0000AA020000}"/>
    <cellStyle name="Comma 11 5 4" xfId="846" xr:uid="{00000000-0005-0000-0000-0000AB020000}"/>
    <cellStyle name="Comma 11 5 4 2" xfId="2982" xr:uid="{00000000-0005-0000-0000-0000AC020000}"/>
    <cellStyle name="Comma 11 5 5" xfId="1890" xr:uid="{00000000-0005-0000-0000-0000AD020000}"/>
    <cellStyle name="Comma 11 5 5 2" xfId="2972" xr:uid="{00000000-0005-0000-0000-0000AE020000}"/>
    <cellStyle name="Comma 11 6" xfId="115" xr:uid="{00000000-0005-0000-0000-0000AF020000}"/>
    <cellStyle name="Comma 11 6 2" xfId="116" xr:uid="{00000000-0005-0000-0000-0000B0020000}"/>
    <cellStyle name="Comma 11 6 2 2" xfId="847" xr:uid="{00000000-0005-0000-0000-0000B1020000}"/>
    <cellStyle name="Comma 11 6 2 3" xfId="1891" xr:uid="{00000000-0005-0000-0000-0000B2020000}"/>
    <cellStyle name="Comma 11 6 3" xfId="848" xr:uid="{00000000-0005-0000-0000-0000B3020000}"/>
    <cellStyle name="Comma 11 6 3 2" xfId="1893" xr:uid="{00000000-0005-0000-0000-0000B4020000}"/>
    <cellStyle name="Comma 11 6 3 3" xfId="1892" xr:uid="{00000000-0005-0000-0000-0000B5020000}"/>
    <cellStyle name="Comma 11 6 3 4" xfId="2971" xr:uid="{00000000-0005-0000-0000-0000B6020000}"/>
    <cellStyle name="Comma 11 6 4" xfId="849" xr:uid="{00000000-0005-0000-0000-0000B7020000}"/>
    <cellStyle name="Comma 11 6 4 2" xfId="2970" xr:uid="{00000000-0005-0000-0000-0000B8020000}"/>
    <cellStyle name="Comma 11 6 5" xfId="1894" xr:uid="{00000000-0005-0000-0000-0000B9020000}"/>
    <cellStyle name="Comma 11 6 5 2" xfId="2969" xr:uid="{00000000-0005-0000-0000-0000BA020000}"/>
    <cellStyle name="Comma 11 7" xfId="117" xr:uid="{00000000-0005-0000-0000-0000BB020000}"/>
    <cellStyle name="Comma 11 7 2" xfId="118" xr:uid="{00000000-0005-0000-0000-0000BC020000}"/>
    <cellStyle name="Comma 11 7 2 2" xfId="850" xr:uid="{00000000-0005-0000-0000-0000BD020000}"/>
    <cellStyle name="Comma 11 7 2 3" xfId="1895" xr:uid="{00000000-0005-0000-0000-0000BE020000}"/>
    <cellStyle name="Comma 11 7 3" xfId="851" xr:uid="{00000000-0005-0000-0000-0000BF020000}"/>
    <cellStyle name="Comma 11 7 3 2" xfId="1897" xr:uid="{00000000-0005-0000-0000-0000C0020000}"/>
    <cellStyle name="Comma 11 7 3 3" xfId="1896" xr:uid="{00000000-0005-0000-0000-0000C1020000}"/>
    <cellStyle name="Comma 11 7 3 4" xfId="2968" xr:uid="{00000000-0005-0000-0000-0000C2020000}"/>
    <cellStyle name="Comma 11 7 4" xfId="852" xr:uid="{00000000-0005-0000-0000-0000C3020000}"/>
    <cellStyle name="Comma 11 7 4 2" xfId="2967" xr:uid="{00000000-0005-0000-0000-0000C4020000}"/>
    <cellStyle name="Comma 11 7 5" xfId="1898" xr:uid="{00000000-0005-0000-0000-0000C5020000}"/>
    <cellStyle name="Comma 11 7 5 2" xfId="2966" xr:uid="{00000000-0005-0000-0000-0000C6020000}"/>
    <cellStyle name="Comma 11 8" xfId="119" xr:uid="{00000000-0005-0000-0000-0000C7020000}"/>
    <cellStyle name="Comma 11 8 2" xfId="120" xr:uid="{00000000-0005-0000-0000-0000C8020000}"/>
    <cellStyle name="Comma 11 8 2 2" xfId="853" xr:uid="{00000000-0005-0000-0000-0000C9020000}"/>
    <cellStyle name="Comma 11 8 2 3" xfId="1899" xr:uid="{00000000-0005-0000-0000-0000CA020000}"/>
    <cellStyle name="Comma 11 8 3" xfId="854" xr:uid="{00000000-0005-0000-0000-0000CB020000}"/>
    <cellStyle name="Comma 11 8 3 2" xfId="1901" xr:uid="{00000000-0005-0000-0000-0000CC020000}"/>
    <cellStyle name="Comma 11 8 3 3" xfId="1900" xr:uid="{00000000-0005-0000-0000-0000CD020000}"/>
    <cellStyle name="Comma 11 8 3 4" xfId="2965" xr:uid="{00000000-0005-0000-0000-0000CE020000}"/>
    <cellStyle name="Comma 11 8 4" xfId="855" xr:uid="{00000000-0005-0000-0000-0000CF020000}"/>
    <cellStyle name="Comma 11 8 4 2" xfId="2964" xr:uid="{00000000-0005-0000-0000-0000D0020000}"/>
    <cellStyle name="Comma 11 8 5" xfId="1902" xr:uid="{00000000-0005-0000-0000-0000D1020000}"/>
    <cellStyle name="Comma 11 8 5 2" xfId="2963" xr:uid="{00000000-0005-0000-0000-0000D2020000}"/>
    <cellStyle name="Comma 11 9" xfId="121" xr:uid="{00000000-0005-0000-0000-0000D3020000}"/>
    <cellStyle name="Comma 11 9 2" xfId="122" xr:uid="{00000000-0005-0000-0000-0000D4020000}"/>
    <cellStyle name="Comma 11 9 2 2" xfId="856" xr:uid="{00000000-0005-0000-0000-0000D5020000}"/>
    <cellStyle name="Comma 11 9 2 3" xfId="1903" xr:uid="{00000000-0005-0000-0000-0000D6020000}"/>
    <cellStyle name="Comma 11 9 3" xfId="857" xr:uid="{00000000-0005-0000-0000-0000D7020000}"/>
    <cellStyle name="Comma 11 9 3 2" xfId="1905" xr:uid="{00000000-0005-0000-0000-0000D8020000}"/>
    <cellStyle name="Comma 11 9 3 3" xfId="1904" xr:uid="{00000000-0005-0000-0000-0000D9020000}"/>
    <cellStyle name="Comma 11 9 3 4" xfId="2962" xr:uid="{00000000-0005-0000-0000-0000DA020000}"/>
    <cellStyle name="Comma 11 9 4" xfId="858" xr:uid="{00000000-0005-0000-0000-0000DB020000}"/>
    <cellStyle name="Comma 11 9 4 2" xfId="2961" xr:uid="{00000000-0005-0000-0000-0000DC020000}"/>
    <cellStyle name="Comma 11 9 5" xfId="1906" xr:uid="{00000000-0005-0000-0000-0000DD020000}"/>
    <cellStyle name="Comma 11 9 5 2" xfId="3266" xr:uid="{00000000-0005-0000-0000-0000DE020000}"/>
    <cellStyle name="Comma 110" xfId="2631" xr:uid="{00000000-0005-0000-0000-0000DF020000}"/>
    <cellStyle name="Comma 111" xfId="2659" xr:uid="{00000000-0005-0000-0000-0000E0020000}"/>
    <cellStyle name="Comma 112" xfId="2628" xr:uid="{00000000-0005-0000-0000-0000E1020000}"/>
    <cellStyle name="Comma 113" xfId="2660" xr:uid="{00000000-0005-0000-0000-0000E2020000}"/>
    <cellStyle name="Comma 114" xfId="2627" xr:uid="{00000000-0005-0000-0000-0000E3020000}"/>
    <cellStyle name="Comma 115" xfId="2661" xr:uid="{00000000-0005-0000-0000-0000E4020000}"/>
    <cellStyle name="Comma 116" xfId="2626" xr:uid="{00000000-0005-0000-0000-0000E5020000}"/>
    <cellStyle name="Comma 117" xfId="2662" xr:uid="{00000000-0005-0000-0000-0000E6020000}"/>
    <cellStyle name="Comma 118" xfId="2625" xr:uid="{00000000-0005-0000-0000-0000E7020000}"/>
    <cellStyle name="Comma 119" xfId="2663" xr:uid="{00000000-0005-0000-0000-0000E8020000}"/>
    <cellStyle name="Comma 12" xfId="123" xr:uid="{00000000-0005-0000-0000-0000E9020000}"/>
    <cellStyle name="Comma 12 2" xfId="124" xr:uid="{00000000-0005-0000-0000-0000EA020000}"/>
    <cellStyle name="Comma 12 2 2" xfId="859" xr:uid="{00000000-0005-0000-0000-0000EB020000}"/>
    <cellStyle name="Comma 12 2 3" xfId="1907" xr:uid="{00000000-0005-0000-0000-0000EC020000}"/>
    <cellStyle name="Comma 12 3" xfId="860" xr:uid="{00000000-0005-0000-0000-0000ED020000}"/>
    <cellStyle name="Comma 12 3 2" xfId="1909" xr:uid="{00000000-0005-0000-0000-0000EE020000}"/>
    <cellStyle name="Comma 12 3 3" xfId="1908" xr:uid="{00000000-0005-0000-0000-0000EF020000}"/>
    <cellStyle name="Comma 12 3 4" xfId="3267" xr:uid="{00000000-0005-0000-0000-0000F0020000}"/>
    <cellStyle name="Comma 12 4" xfId="861" xr:uid="{00000000-0005-0000-0000-0000F1020000}"/>
    <cellStyle name="Comma 12 4 2" xfId="3271" xr:uid="{00000000-0005-0000-0000-0000F2020000}"/>
    <cellStyle name="Comma 12 5" xfId="1910" xr:uid="{00000000-0005-0000-0000-0000F3020000}"/>
    <cellStyle name="Comma 12 5 2" xfId="3275" xr:uid="{00000000-0005-0000-0000-0000F4020000}"/>
    <cellStyle name="Comma 120" xfId="2624" xr:uid="{00000000-0005-0000-0000-0000F5020000}"/>
    <cellStyle name="Comma 121" xfId="2664" xr:uid="{00000000-0005-0000-0000-0000F6020000}"/>
    <cellStyle name="Comma 122" xfId="2623" xr:uid="{00000000-0005-0000-0000-0000F7020000}"/>
    <cellStyle name="Comma 123" xfId="2665" xr:uid="{00000000-0005-0000-0000-0000F8020000}"/>
    <cellStyle name="Comma 124" xfId="2667" xr:uid="{00000000-0005-0000-0000-0000F9020000}"/>
    <cellStyle name="Comma 125" xfId="2639" xr:uid="{00000000-0005-0000-0000-0000FA020000}"/>
    <cellStyle name="Comma 126" xfId="2668" xr:uid="{00000000-0005-0000-0000-0000FB020000}"/>
    <cellStyle name="Comma 127" xfId="2638" xr:uid="{00000000-0005-0000-0000-0000FC020000}"/>
    <cellStyle name="Comma 128" xfId="2669" xr:uid="{00000000-0005-0000-0000-0000FD020000}"/>
    <cellStyle name="Comma 129" xfId="2637" xr:uid="{00000000-0005-0000-0000-0000FE020000}"/>
    <cellStyle name="Comma 13" xfId="125" xr:uid="{00000000-0005-0000-0000-0000FF020000}"/>
    <cellStyle name="Comma 13 2" xfId="126" xr:uid="{00000000-0005-0000-0000-000000030000}"/>
    <cellStyle name="Comma 13 2 2" xfId="862" xr:uid="{00000000-0005-0000-0000-000001030000}"/>
    <cellStyle name="Comma 13 2 3" xfId="1911" xr:uid="{00000000-0005-0000-0000-000002030000}"/>
    <cellStyle name="Comma 13 3" xfId="863" xr:uid="{00000000-0005-0000-0000-000003030000}"/>
    <cellStyle name="Comma 13 3 2" xfId="1913" xr:uid="{00000000-0005-0000-0000-000004030000}"/>
    <cellStyle name="Comma 13 3 3" xfId="1912" xr:uid="{00000000-0005-0000-0000-000005030000}"/>
    <cellStyle name="Comma 13 3 4" xfId="3278" xr:uid="{00000000-0005-0000-0000-000006030000}"/>
    <cellStyle name="Comma 13 4" xfId="864" xr:uid="{00000000-0005-0000-0000-000007030000}"/>
    <cellStyle name="Comma 13 4 2" xfId="3279" xr:uid="{00000000-0005-0000-0000-000008030000}"/>
    <cellStyle name="Comma 13 5" xfId="1914" xr:uid="{00000000-0005-0000-0000-000009030000}"/>
    <cellStyle name="Comma 13 5 2" xfId="3280" xr:uid="{00000000-0005-0000-0000-00000A030000}"/>
    <cellStyle name="Comma 130" xfId="2670" xr:uid="{00000000-0005-0000-0000-00000B030000}"/>
    <cellStyle name="Comma 131" xfId="2636" xr:uid="{00000000-0005-0000-0000-00000C030000}"/>
    <cellStyle name="Comma 132" xfId="2671" xr:uid="{00000000-0005-0000-0000-00000D030000}"/>
    <cellStyle name="Comma 133" xfId="2635" xr:uid="{00000000-0005-0000-0000-00000E030000}"/>
    <cellStyle name="Comma 134" xfId="2672" xr:uid="{00000000-0005-0000-0000-00000F030000}"/>
    <cellStyle name="Comma 135" xfId="2634" xr:uid="{00000000-0005-0000-0000-000010030000}"/>
    <cellStyle name="Comma 136" xfId="2657" xr:uid="{00000000-0005-0000-0000-000011030000}"/>
    <cellStyle name="Comma 137" xfId="2622" xr:uid="{00000000-0005-0000-0000-000012030000}"/>
    <cellStyle name="Comma 138" xfId="2658" xr:uid="{00000000-0005-0000-0000-000013030000}"/>
    <cellStyle name="Comma 139" xfId="2621" xr:uid="{00000000-0005-0000-0000-000014030000}"/>
    <cellStyle name="Comma 14" xfId="127" xr:uid="{00000000-0005-0000-0000-000015030000}"/>
    <cellStyle name="Comma 14 2" xfId="128" xr:uid="{00000000-0005-0000-0000-000016030000}"/>
    <cellStyle name="Comma 14 2 2" xfId="865" xr:uid="{00000000-0005-0000-0000-000017030000}"/>
    <cellStyle name="Comma 14 2 3" xfId="1915" xr:uid="{00000000-0005-0000-0000-000018030000}"/>
    <cellStyle name="Comma 14 3" xfId="866" xr:uid="{00000000-0005-0000-0000-000019030000}"/>
    <cellStyle name="Comma 14 3 2" xfId="1917" xr:uid="{00000000-0005-0000-0000-00001A030000}"/>
    <cellStyle name="Comma 14 3 3" xfId="1916" xr:uid="{00000000-0005-0000-0000-00001B030000}"/>
    <cellStyle name="Comma 14 3 4" xfId="3281" xr:uid="{00000000-0005-0000-0000-00001C030000}"/>
    <cellStyle name="Comma 14 4" xfId="867" xr:uid="{00000000-0005-0000-0000-00001D030000}"/>
    <cellStyle name="Comma 14 4 2" xfId="3282" xr:uid="{00000000-0005-0000-0000-00001E030000}"/>
    <cellStyle name="Comma 14 5" xfId="1918" xr:uid="{00000000-0005-0000-0000-00001F030000}"/>
    <cellStyle name="Comma 14 5 2" xfId="3283" xr:uid="{00000000-0005-0000-0000-000020030000}"/>
    <cellStyle name="Comma 140" xfId="2640" xr:uid="{00000000-0005-0000-0000-000021030000}"/>
    <cellStyle name="Comma 141" xfId="2747" xr:uid="{00000000-0005-0000-0000-000022030000}"/>
    <cellStyle name="Comma 142" xfId="2745" xr:uid="{00000000-0005-0000-0000-000023030000}"/>
    <cellStyle name="Comma 143" xfId="2743" xr:uid="{00000000-0005-0000-0000-000024030000}"/>
    <cellStyle name="Comma 144" xfId="2741" xr:uid="{00000000-0005-0000-0000-000025030000}"/>
    <cellStyle name="Comma 145" xfId="2724" xr:uid="{00000000-0005-0000-0000-000026030000}"/>
    <cellStyle name="Comma 146" xfId="2757" xr:uid="{00000000-0005-0000-0000-000027030000}"/>
    <cellStyle name="Comma 147" xfId="2755" xr:uid="{00000000-0005-0000-0000-000028030000}"/>
    <cellStyle name="Comma 148" xfId="2754" xr:uid="{00000000-0005-0000-0000-000029030000}"/>
    <cellStyle name="Comma 149" xfId="2765" xr:uid="{00000000-0005-0000-0000-00002A030000}"/>
    <cellStyle name="Comma 15" xfId="129" xr:uid="{00000000-0005-0000-0000-00002B030000}"/>
    <cellStyle name="Comma 15 2" xfId="130" xr:uid="{00000000-0005-0000-0000-00002C030000}"/>
    <cellStyle name="Comma 15 2 2" xfId="868" xr:uid="{00000000-0005-0000-0000-00002D030000}"/>
    <cellStyle name="Comma 15 2 3" xfId="1919" xr:uid="{00000000-0005-0000-0000-00002E030000}"/>
    <cellStyle name="Comma 15 3" xfId="869" xr:uid="{00000000-0005-0000-0000-00002F030000}"/>
    <cellStyle name="Comma 15 3 2" xfId="1921" xr:uid="{00000000-0005-0000-0000-000030030000}"/>
    <cellStyle name="Comma 15 3 3" xfId="1920" xr:uid="{00000000-0005-0000-0000-000031030000}"/>
    <cellStyle name="Comma 15 3 4" xfId="3284" xr:uid="{00000000-0005-0000-0000-000032030000}"/>
    <cellStyle name="Comma 15 4" xfId="870" xr:uid="{00000000-0005-0000-0000-000033030000}"/>
    <cellStyle name="Comma 15 4 2" xfId="3285" xr:uid="{00000000-0005-0000-0000-000034030000}"/>
    <cellStyle name="Comma 15 5" xfId="1922" xr:uid="{00000000-0005-0000-0000-000035030000}"/>
    <cellStyle name="Comma 15 5 2" xfId="3286" xr:uid="{00000000-0005-0000-0000-000036030000}"/>
    <cellStyle name="Comma 150" xfId="2790" xr:uid="{00000000-0005-0000-0000-000037030000}"/>
    <cellStyle name="Comma 151" xfId="2764" xr:uid="{00000000-0005-0000-0000-000038030000}"/>
    <cellStyle name="Comma 152" xfId="2791" xr:uid="{00000000-0005-0000-0000-000039030000}"/>
    <cellStyle name="Comma 153" xfId="2763" xr:uid="{00000000-0005-0000-0000-00003A030000}"/>
    <cellStyle name="Comma 154" xfId="2792" xr:uid="{00000000-0005-0000-0000-00003B030000}"/>
    <cellStyle name="Comma 155" xfId="2762" xr:uid="{00000000-0005-0000-0000-00003C030000}"/>
    <cellStyle name="Comma 156" xfId="2793" xr:uid="{00000000-0005-0000-0000-00003D030000}"/>
    <cellStyle name="Comma 157" xfId="2761" xr:uid="{00000000-0005-0000-0000-00003E030000}"/>
    <cellStyle name="Comma 158" xfId="2794" xr:uid="{00000000-0005-0000-0000-00003F030000}"/>
    <cellStyle name="Comma 159" xfId="2760" xr:uid="{00000000-0005-0000-0000-000040030000}"/>
    <cellStyle name="Comma 16" xfId="131" xr:uid="{00000000-0005-0000-0000-000041030000}"/>
    <cellStyle name="Comma 16 10" xfId="132" xr:uid="{00000000-0005-0000-0000-000042030000}"/>
    <cellStyle name="Comma 16 10 2" xfId="133" xr:uid="{00000000-0005-0000-0000-000043030000}"/>
    <cellStyle name="Comma 16 10 2 2" xfId="871" xr:uid="{00000000-0005-0000-0000-000044030000}"/>
    <cellStyle name="Comma 16 10 3" xfId="872" xr:uid="{00000000-0005-0000-0000-000045030000}"/>
    <cellStyle name="Comma 16 10 3 2" xfId="3287" xr:uid="{00000000-0005-0000-0000-000046030000}"/>
    <cellStyle name="Comma 16 10 4" xfId="873" xr:uid="{00000000-0005-0000-0000-000047030000}"/>
    <cellStyle name="Comma 16 10 4 2" xfId="3288" xr:uid="{00000000-0005-0000-0000-000048030000}"/>
    <cellStyle name="Comma 16 10 5" xfId="1923" xr:uid="{00000000-0005-0000-0000-000049030000}"/>
    <cellStyle name="Comma 16 10 5 2" xfId="3289" xr:uid="{00000000-0005-0000-0000-00004A030000}"/>
    <cellStyle name="Comma 16 11" xfId="134" xr:uid="{00000000-0005-0000-0000-00004B030000}"/>
    <cellStyle name="Comma 16 11 2" xfId="135" xr:uid="{00000000-0005-0000-0000-00004C030000}"/>
    <cellStyle name="Comma 16 11 2 2" xfId="874" xr:uid="{00000000-0005-0000-0000-00004D030000}"/>
    <cellStyle name="Comma 16 11 3" xfId="875" xr:uid="{00000000-0005-0000-0000-00004E030000}"/>
    <cellStyle name="Comma 16 11 3 2" xfId="3290" xr:uid="{00000000-0005-0000-0000-00004F030000}"/>
    <cellStyle name="Comma 16 11 4" xfId="876" xr:uid="{00000000-0005-0000-0000-000050030000}"/>
    <cellStyle name="Comma 16 11 4 2" xfId="3291" xr:uid="{00000000-0005-0000-0000-000051030000}"/>
    <cellStyle name="Comma 16 11 5" xfId="1924" xr:uid="{00000000-0005-0000-0000-000052030000}"/>
    <cellStyle name="Comma 16 11 5 2" xfId="3292" xr:uid="{00000000-0005-0000-0000-000053030000}"/>
    <cellStyle name="Comma 16 12" xfId="136" xr:uid="{00000000-0005-0000-0000-000054030000}"/>
    <cellStyle name="Comma 16 12 2" xfId="137" xr:uid="{00000000-0005-0000-0000-000055030000}"/>
    <cellStyle name="Comma 16 12 2 2" xfId="877" xr:uid="{00000000-0005-0000-0000-000056030000}"/>
    <cellStyle name="Comma 16 12 3" xfId="878" xr:uid="{00000000-0005-0000-0000-000057030000}"/>
    <cellStyle name="Comma 16 12 3 2" xfId="3293" xr:uid="{00000000-0005-0000-0000-000058030000}"/>
    <cellStyle name="Comma 16 12 4" xfId="879" xr:uid="{00000000-0005-0000-0000-000059030000}"/>
    <cellStyle name="Comma 16 12 4 2" xfId="3294" xr:uid="{00000000-0005-0000-0000-00005A030000}"/>
    <cellStyle name="Comma 16 12 5" xfId="1925" xr:uid="{00000000-0005-0000-0000-00005B030000}"/>
    <cellStyle name="Comma 16 12 5 2" xfId="3295" xr:uid="{00000000-0005-0000-0000-00005C030000}"/>
    <cellStyle name="Comma 16 13" xfId="138" xr:uid="{00000000-0005-0000-0000-00005D030000}"/>
    <cellStyle name="Comma 16 13 2" xfId="139" xr:uid="{00000000-0005-0000-0000-00005E030000}"/>
    <cellStyle name="Comma 16 13 2 2" xfId="880" xr:uid="{00000000-0005-0000-0000-00005F030000}"/>
    <cellStyle name="Comma 16 13 3" xfId="881" xr:uid="{00000000-0005-0000-0000-000060030000}"/>
    <cellStyle name="Comma 16 13 3 2" xfId="3296" xr:uid="{00000000-0005-0000-0000-000061030000}"/>
    <cellStyle name="Comma 16 13 4" xfId="882" xr:uid="{00000000-0005-0000-0000-000062030000}"/>
    <cellStyle name="Comma 16 13 4 2" xfId="3297" xr:uid="{00000000-0005-0000-0000-000063030000}"/>
    <cellStyle name="Comma 16 13 5" xfId="1926" xr:uid="{00000000-0005-0000-0000-000064030000}"/>
    <cellStyle name="Comma 16 13 5 2" xfId="3298" xr:uid="{00000000-0005-0000-0000-000065030000}"/>
    <cellStyle name="Comma 16 14" xfId="140" xr:uid="{00000000-0005-0000-0000-000066030000}"/>
    <cellStyle name="Comma 16 14 2" xfId="141" xr:uid="{00000000-0005-0000-0000-000067030000}"/>
    <cellStyle name="Comma 16 14 2 2" xfId="883" xr:uid="{00000000-0005-0000-0000-000068030000}"/>
    <cellStyle name="Comma 16 14 3" xfId="884" xr:uid="{00000000-0005-0000-0000-000069030000}"/>
    <cellStyle name="Comma 16 14 3 2" xfId="3301" xr:uid="{00000000-0005-0000-0000-00006A030000}"/>
    <cellStyle name="Comma 16 14 4" xfId="885" xr:uid="{00000000-0005-0000-0000-00006B030000}"/>
    <cellStyle name="Comma 16 14 4 2" xfId="3302" xr:uid="{00000000-0005-0000-0000-00006C030000}"/>
    <cellStyle name="Comma 16 14 5" xfId="1927" xr:uid="{00000000-0005-0000-0000-00006D030000}"/>
    <cellStyle name="Comma 16 14 5 2" xfId="3303" xr:uid="{00000000-0005-0000-0000-00006E030000}"/>
    <cellStyle name="Comma 16 15" xfId="142" xr:uid="{00000000-0005-0000-0000-00006F030000}"/>
    <cellStyle name="Comma 16 15 2" xfId="143" xr:uid="{00000000-0005-0000-0000-000070030000}"/>
    <cellStyle name="Comma 16 15 2 2" xfId="886" xr:uid="{00000000-0005-0000-0000-000071030000}"/>
    <cellStyle name="Comma 16 15 3" xfId="887" xr:uid="{00000000-0005-0000-0000-000072030000}"/>
    <cellStyle name="Comma 16 15 3 2" xfId="3304" xr:uid="{00000000-0005-0000-0000-000073030000}"/>
    <cellStyle name="Comma 16 15 4" xfId="888" xr:uid="{00000000-0005-0000-0000-000074030000}"/>
    <cellStyle name="Comma 16 15 4 2" xfId="3305" xr:uid="{00000000-0005-0000-0000-000075030000}"/>
    <cellStyle name="Comma 16 15 5" xfId="1928" xr:uid="{00000000-0005-0000-0000-000076030000}"/>
    <cellStyle name="Comma 16 15 5 2" xfId="3306" xr:uid="{00000000-0005-0000-0000-000077030000}"/>
    <cellStyle name="Comma 16 16" xfId="144" xr:uid="{00000000-0005-0000-0000-000078030000}"/>
    <cellStyle name="Comma 16 16 2" xfId="145" xr:uid="{00000000-0005-0000-0000-000079030000}"/>
    <cellStyle name="Comma 16 16 2 2" xfId="889" xr:uid="{00000000-0005-0000-0000-00007A030000}"/>
    <cellStyle name="Comma 16 16 3" xfId="890" xr:uid="{00000000-0005-0000-0000-00007B030000}"/>
    <cellStyle name="Comma 16 16 3 2" xfId="3307" xr:uid="{00000000-0005-0000-0000-00007C030000}"/>
    <cellStyle name="Comma 16 16 4" xfId="891" xr:uid="{00000000-0005-0000-0000-00007D030000}"/>
    <cellStyle name="Comma 16 16 4 2" xfId="3308" xr:uid="{00000000-0005-0000-0000-00007E030000}"/>
    <cellStyle name="Comma 16 16 5" xfId="1929" xr:uid="{00000000-0005-0000-0000-00007F030000}"/>
    <cellStyle name="Comma 16 16 5 2" xfId="3309" xr:uid="{00000000-0005-0000-0000-000080030000}"/>
    <cellStyle name="Comma 16 17" xfId="146" xr:uid="{00000000-0005-0000-0000-000081030000}"/>
    <cellStyle name="Comma 16 17 2" xfId="892" xr:uid="{00000000-0005-0000-0000-000082030000}"/>
    <cellStyle name="Comma 16 18" xfId="893" xr:uid="{00000000-0005-0000-0000-000083030000}"/>
    <cellStyle name="Comma 16 18 2" xfId="3310" xr:uid="{00000000-0005-0000-0000-000084030000}"/>
    <cellStyle name="Comma 16 19" xfId="894" xr:uid="{00000000-0005-0000-0000-000085030000}"/>
    <cellStyle name="Comma 16 19 2" xfId="3311" xr:uid="{00000000-0005-0000-0000-000086030000}"/>
    <cellStyle name="Comma 16 2" xfId="147" xr:uid="{00000000-0005-0000-0000-000087030000}"/>
    <cellStyle name="Comma 16 2 2" xfId="148" xr:uid="{00000000-0005-0000-0000-000088030000}"/>
    <cellStyle name="Comma 16 2 2 2" xfId="895" xr:uid="{00000000-0005-0000-0000-000089030000}"/>
    <cellStyle name="Comma 16 2 3" xfId="896" xr:uid="{00000000-0005-0000-0000-00008A030000}"/>
    <cellStyle name="Comma 16 2 3 2" xfId="3312" xr:uid="{00000000-0005-0000-0000-00008B030000}"/>
    <cellStyle name="Comma 16 2 4" xfId="897" xr:uid="{00000000-0005-0000-0000-00008C030000}"/>
    <cellStyle name="Comma 16 2 4 2" xfId="3313" xr:uid="{00000000-0005-0000-0000-00008D030000}"/>
    <cellStyle name="Comma 16 2 5" xfId="1930" xr:uid="{00000000-0005-0000-0000-00008E030000}"/>
    <cellStyle name="Comma 16 2 5 2" xfId="3314" xr:uid="{00000000-0005-0000-0000-00008F030000}"/>
    <cellStyle name="Comma 16 20" xfId="1931" xr:uid="{00000000-0005-0000-0000-000090030000}"/>
    <cellStyle name="Comma 16 20 2" xfId="3315" xr:uid="{00000000-0005-0000-0000-000091030000}"/>
    <cellStyle name="Comma 16 3" xfId="149" xr:uid="{00000000-0005-0000-0000-000092030000}"/>
    <cellStyle name="Comma 16 3 2" xfId="150" xr:uid="{00000000-0005-0000-0000-000093030000}"/>
    <cellStyle name="Comma 16 3 2 2" xfId="898" xr:uid="{00000000-0005-0000-0000-000094030000}"/>
    <cellStyle name="Comma 16 3 3" xfId="899" xr:uid="{00000000-0005-0000-0000-000095030000}"/>
    <cellStyle name="Comma 16 3 3 2" xfId="3316" xr:uid="{00000000-0005-0000-0000-000096030000}"/>
    <cellStyle name="Comma 16 3 4" xfId="900" xr:uid="{00000000-0005-0000-0000-000097030000}"/>
    <cellStyle name="Comma 16 3 4 2" xfId="3317" xr:uid="{00000000-0005-0000-0000-000098030000}"/>
    <cellStyle name="Comma 16 3 5" xfId="1932" xr:uid="{00000000-0005-0000-0000-000099030000}"/>
    <cellStyle name="Comma 16 3 5 2" xfId="3318" xr:uid="{00000000-0005-0000-0000-00009A030000}"/>
    <cellStyle name="Comma 16 4" xfId="151" xr:uid="{00000000-0005-0000-0000-00009B030000}"/>
    <cellStyle name="Comma 16 4 2" xfId="152" xr:uid="{00000000-0005-0000-0000-00009C030000}"/>
    <cellStyle name="Comma 16 4 2 2" xfId="901" xr:uid="{00000000-0005-0000-0000-00009D030000}"/>
    <cellStyle name="Comma 16 4 3" xfId="902" xr:uid="{00000000-0005-0000-0000-00009E030000}"/>
    <cellStyle name="Comma 16 4 3 2" xfId="3319" xr:uid="{00000000-0005-0000-0000-00009F030000}"/>
    <cellStyle name="Comma 16 4 4" xfId="903" xr:uid="{00000000-0005-0000-0000-0000A0030000}"/>
    <cellStyle name="Comma 16 4 4 2" xfId="3320" xr:uid="{00000000-0005-0000-0000-0000A1030000}"/>
    <cellStyle name="Comma 16 4 5" xfId="1933" xr:uid="{00000000-0005-0000-0000-0000A2030000}"/>
    <cellStyle name="Comma 16 4 5 2" xfId="3321" xr:uid="{00000000-0005-0000-0000-0000A3030000}"/>
    <cellStyle name="Comma 16 5" xfId="153" xr:uid="{00000000-0005-0000-0000-0000A4030000}"/>
    <cellStyle name="Comma 16 5 2" xfId="154" xr:uid="{00000000-0005-0000-0000-0000A5030000}"/>
    <cellStyle name="Comma 16 5 2 2" xfId="904" xr:uid="{00000000-0005-0000-0000-0000A6030000}"/>
    <cellStyle name="Comma 16 5 3" xfId="905" xr:uid="{00000000-0005-0000-0000-0000A7030000}"/>
    <cellStyle name="Comma 16 5 3 2" xfId="3323" xr:uid="{00000000-0005-0000-0000-0000A8030000}"/>
    <cellStyle name="Comma 16 5 4" xfId="906" xr:uid="{00000000-0005-0000-0000-0000A9030000}"/>
    <cellStyle name="Comma 16 5 4 2" xfId="3324" xr:uid="{00000000-0005-0000-0000-0000AA030000}"/>
    <cellStyle name="Comma 16 5 5" xfId="1934" xr:uid="{00000000-0005-0000-0000-0000AB030000}"/>
    <cellStyle name="Comma 16 5 5 2" xfId="3325" xr:uid="{00000000-0005-0000-0000-0000AC030000}"/>
    <cellStyle name="Comma 16 6" xfId="155" xr:uid="{00000000-0005-0000-0000-0000AD030000}"/>
    <cellStyle name="Comma 16 6 2" xfId="156" xr:uid="{00000000-0005-0000-0000-0000AE030000}"/>
    <cellStyle name="Comma 16 6 2 2" xfId="907" xr:uid="{00000000-0005-0000-0000-0000AF030000}"/>
    <cellStyle name="Comma 16 6 3" xfId="908" xr:uid="{00000000-0005-0000-0000-0000B0030000}"/>
    <cellStyle name="Comma 16 6 3 2" xfId="3326" xr:uid="{00000000-0005-0000-0000-0000B1030000}"/>
    <cellStyle name="Comma 16 6 4" xfId="909" xr:uid="{00000000-0005-0000-0000-0000B2030000}"/>
    <cellStyle name="Comma 16 6 4 2" xfId="3327" xr:uid="{00000000-0005-0000-0000-0000B3030000}"/>
    <cellStyle name="Comma 16 6 5" xfId="1935" xr:uid="{00000000-0005-0000-0000-0000B4030000}"/>
    <cellStyle name="Comma 16 6 5 2" xfId="3328" xr:uid="{00000000-0005-0000-0000-0000B5030000}"/>
    <cellStyle name="Comma 16 7" xfId="157" xr:uid="{00000000-0005-0000-0000-0000B6030000}"/>
    <cellStyle name="Comma 16 7 2" xfId="158" xr:uid="{00000000-0005-0000-0000-0000B7030000}"/>
    <cellStyle name="Comma 16 7 2 2" xfId="910" xr:uid="{00000000-0005-0000-0000-0000B8030000}"/>
    <cellStyle name="Comma 16 7 3" xfId="911" xr:uid="{00000000-0005-0000-0000-0000B9030000}"/>
    <cellStyle name="Comma 16 7 3 2" xfId="3329" xr:uid="{00000000-0005-0000-0000-0000BA030000}"/>
    <cellStyle name="Comma 16 7 4" xfId="912" xr:uid="{00000000-0005-0000-0000-0000BB030000}"/>
    <cellStyle name="Comma 16 7 4 2" xfId="3330" xr:uid="{00000000-0005-0000-0000-0000BC030000}"/>
    <cellStyle name="Comma 16 7 5" xfId="1936" xr:uid="{00000000-0005-0000-0000-0000BD030000}"/>
    <cellStyle name="Comma 16 7 5 2" xfId="3331" xr:uid="{00000000-0005-0000-0000-0000BE030000}"/>
    <cellStyle name="Comma 16 8" xfId="159" xr:uid="{00000000-0005-0000-0000-0000BF030000}"/>
    <cellStyle name="Comma 16 8 2" xfId="160" xr:uid="{00000000-0005-0000-0000-0000C0030000}"/>
    <cellStyle name="Comma 16 8 2 2" xfId="913" xr:uid="{00000000-0005-0000-0000-0000C1030000}"/>
    <cellStyle name="Comma 16 8 3" xfId="914" xr:uid="{00000000-0005-0000-0000-0000C2030000}"/>
    <cellStyle name="Comma 16 8 3 2" xfId="3334" xr:uid="{00000000-0005-0000-0000-0000C3030000}"/>
    <cellStyle name="Comma 16 8 4" xfId="915" xr:uid="{00000000-0005-0000-0000-0000C4030000}"/>
    <cellStyle name="Comma 16 8 4 2" xfId="3338" xr:uid="{00000000-0005-0000-0000-0000C5030000}"/>
    <cellStyle name="Comma 16 8 5" xfId="1938" xr:uid="{00000000-0005-0000-0000-0000C6030000}"/>
    <cellStyle name="Comma 16 8 5 2" xfId="3339" xr:uid="{00000000-0005-0000-0000-0000C7030000}"/>
    <cellStyle name="Comma 16 9" xfId="161" xr:uid="{00000000-0005-0000-0000-0000C8030000}"/>
    <cellStyle name="Comma 16 9 2" xfId="162" xr:uid="{00000000-0005-0000-0000-0000C9030000}"/>
    <cellStyle name="Comma 16 9 2 2" xfId="916" xr:uid="{00000000-0005-0000-0000-0000CA030000}"/>
    <cellStyle name="Comma 16 9 3" xfId="917" xr:uid="{00000000-0005-0000-0000-0000CB030000}"/>
    <cellStyle name="Comma 16 9 3 2" xfId="3340" xr:uid="{00000000-0005-0000-0000-0000CC030000}"/>
    <cellStyle name="Comma 16 9 4" xfId="918" xr:uid="{00000000-0005-0000-0000-0000CD030000}"/>
    <cellStyle name="Comma 16 9 4 2" xfId="3341" xr:uid="{00000000-0005-0000-0000-0000CE030000}"/>
    <cellStyle name="Comma 16 9 5" xfId="1939" xr:uid="{00000000-0005-0000-0000-0000CF030000}"/>
    <cellStyle name="Comma 16 9 5 2" xfId="3342" xr:uid="{00000000-0005-0000-0000-0000D0030000}"/>
    <cellStyle name="Comma 160" xfId="2786" xr:uid="{00000000-0005-0000-0000-0000D1030000}"/>
    <cellStyle name="Comma 161" xfId="2814" xr:uid="{00000000-0005-0000-0000-0000D2030000}"/>
    <cellStyle name="Comma 162" xfId="2787" xr:uid="{00000000-0005-0000-0000-0000D3030000}"/>
    <cellStyle name="Comma 163" xfId="2815" xr:uid="{00000000-0005-0000-0000-0000D4030000}"/>
    <cellStyle name="Comma 164" xfId="2819" xr:uid="{00000000-0005-0000-0000-0000D5030000}"/>
    <cellStyle name="Comma 165" xfId="2788" xr:uid="{00000000-0005-0000-0000-0000D6030000}"/>
    <cellStyle name="Comma 166" xfId="2784" xr:uid="{00000000-0005-0000-0000-0000D7030000}"/>
    <cellStyle name="Comma 167" xfId="2782" xr:uid="{00000000-0005-0000-0000-0000D8030000}"/>
    <cellStyle name="Comma 168" xfId="2780" xr:uid="{00000000-0005-0000-0000-0000D9030000}"/>
    <cellStyle name="Comma 169" xfId="2778" xr:uid="{00000000-0005-0000-0000-0000DA030000}"/>
    <cellStyle name="Comma 17" xfId="163" xr:uid="{00000000-0005-0000-0000-0000DB030000}"/>
    <cellStyle name="Comma 17 10" xfId="164" xr:uid="{00000000-0005-0000-0000-0000DC030000}"/>
    <cellStyle name="Comma 17 10 2" xfId="165" xr:uid="{00000000-0005-0000-0000-0000DD030000}"/>
    <cellStyle name="Comma 17 10 2 2" xfId="919" xr:uid="{00000000-0005-0000-0000-0000DE030000}"/>
    <cellStyle name="Comma 17 10 3" xfId="920" xr:uid="{00000000-0005-0000-0000-0000DF030000}"/>
    <cellStyle name="Comma 17 10 3 2" xfId="3343" xr:uid="{00000000-0005-0000-0000-0000E0030000}"/>
    <cellStyle name="Comma 17 10 4" xfId="921" xr:uid="{00000000-0005-0000-0000-0000E1030000}"/>
    <cellStyle name="Comma 17 10 4 2" xfId="3344" xr:uid="{00000000-0005-0000-0000-0000E2030000}"/>
    <cellStyle name="Comma 17 10 5" xfId="1940" xr:uid="{00000000-0005-0000-0000-0000E3030000}"/>
    <cellStyle name="Comma 17 10 5 2" xfId="3345" xr:uid="{00000000-0005-0000-0000-0000E4030000}"/>
    <cellStyle name="Comma 17 11" xfId="166" xr:uid="{00000000-0005-0000-0000-0000E5030000}"/>
    <cellStyle name="Comma 17 11 2" xfId="922" xr:uid="{00000000-0005-0000-0000-0000E6030000}"/>
    <cellStyle name="Comma 17 12" xfId="923" xr:uid="{00000000-0005-0000-0000-0000E7030000}"/>
    <cellStyle name="Comma 17 12 2" xfId="3346" xr:uid="{00000000-0005-0000-0000-0000E8030000}"/>
    <cellStyle name="Comma 17 13" xfId="924" xr:uid="{00000000-0005-0000-0000-0000E9030000}"/>
    <cellStyle name="Comma 17 13 2" xfId="3347" xr:uid="{00000000-0005-0000-0000-0000EA030000}"/>
    <cellStyle name="Comma 17 14" xfId="1941" xr:uid="{00000000-0005-0000-0000-0000EB030000}"/>
    <cellStyle name="Comma 17 14 2" xfId="3348" xr:uid="{00000000-0005-0000-0000-0000EC030000}"/>
    <cellStyle name="Comma 17 2" xfId="167" xr:uid="{00000000-0005-0000-0000-0000ED030000}"/>
    <cellStyle name="Comma 17 2 2" xfId="168" xr:uid="{00000000-0005-0000-0000-0000EE030000}"/>
    <cellStyle name="Comma 17 2 2 2" xfId="925" xr:uid="{00000000-0005-0000-0000-0000EF030000}"/>
    <cellStyle name="Comma 17 2 3" xfId="926" xr:uid="{00000000-0005-0000-0000-0000F0030000}"/>
    <cellStyle name="Comma 17 2 3 2" xfId="3349" xr:uid="{00000000-0005-0000-0000-0000F1030000}"/>
    <cellStyle name="Comma 17 2 4" xfId="927" xr:uid="{00000000-0005-0000-0000-0000F2030000}"/>
    <cellStyle name="Comma 17 2 4 2" xfId="3350" xr:uid="{00000000-0005-0000-0000-0000F3030000}"/>
    <cellStyle name="Comma 17 2 5" xfId="1942" xr:uid="{00000000-0005-0000-0000-0000F4030000}"/>
    <cellStyle name="Comma 17 2 5 2" xfId="3351" xr:uid="{00000000-0005-0000-0000-0000F5030000}"/>
    <cellStyle name="Comma 17 3" xfId="169" xr:uid="{00000000-0005-0000-0000-0000F6030000}"/>
    <cellStyle name="Comma 17 3 2" xfId="170" xr:uid="{00000000-0005-0000-0000-0000F7030000}"/>
    <cellStyle name="Comma 17 3 2 2" xfId="928" xr:uid="{00000000-0005-0000-0000-0000F8030000}"/>
    <cellStyle name="Comma 17 3 3" xfId="929" xr:uid="{00000000-0005-0000-0000-0000F9030000}"/>
    <cellStyle name="Comma 17 3 3 2" xfId="3352" xr:uid="{00000000-0005-0000-0000-0000FA030000}"/>
    <cellStyle name="Comma 17 3 4" xfId="930" xr:uid="{00000000-0005-0000-0000-0000FB030000}"/>
    <cellStyle name="Comma 17 3 4 2" xfId="3353" xr:uid="{00000000-0005-0000-0000-0000FC030000}"/>
    <cellStyle name="Comma 17 3 5" xfId="1943" xr:uid="{00000000-0005-0000-0000-0000FD030000}"/>
    <cellStyle name="Comma 17 3 5 2" xfId="3354" xr:uid="{00000000-0005-0000-0000-0000FE030000}"/>
    <cellStyle name="Comma 17 4" xfId="171" xr:uid="{00000000-0005-0000-0000-0000FF030000}"/>
    <cellStyle name="Comma 17 4 2" xfId="172" xr:uid="{00000000-0005-0000-0000-000000040000}"/>
    <cellStyle name="Comma 17 4 2 2" xfId="931" xr:uid="{00000000-0005-0000-0000-000001040000}"/>
    <cellStyle name="Comma 17 4 3" xfId="932" xr:uid="{00000000-0005-0000-0000-000002040000}"/>
    <cellStyle name="Comma 17 4 3 2" xfId="3355" xr:uid="{00000000-0005-0000-0000-000003040000}"/>
    <cellStyle name="Comma 17 4 4" xfId="933" xr:uid="{00000000-0005-0000-0000-000004040000}"/>
    <cellStyle name="Comma 17 4 4 2" xfId="3356" xr:uid="{00000000-0005-0000-0000-000005040000}"/>
    <cellStyle name="Comma 17 4 5" xfId="1944" xr:uid="{00000000-0005-0000-0000-000006040000}"/>
    <cellStyle name="Comma 17 4 5 2" xfId="3357" xr:uid="{00000000-0005-0000-0000-000007040000}"/>
    <cellStyle name="Comma 17 5" xfId="173" xr:uid="{00000000-0005-0000-0000-000008040000}"/>
    <cellStyle name="Comma 17 5 2" xfId="174" xr:uid="{00000000-0005-0000-0000-000009040000}"/>
    <cellStyle name="Comma 17 5 2 2" xfId="934" xr:uid="{00000000-0005-0000-0000-00000A040000}"/>
    <cellStyle name="Comma 17 5 3" xfId="935" xr:uid="{00000000-0005-0000-0000-00000B040000}"/>
    <cellStyle name="Comma 17 5 3 2" xfId="3358" xr:uid="{00000000-0005-0000-0000-00000C040000}"/>
    <cellStyle name="Comma 17 5 4" xfId="936" xr:uid="{00000000-0005-0000-0000-00000D040000}"/>
    <cellStyle name="Comma 17 5 4 2" xfId="3359" xr:uid="{00000000-0005-0000-0000-00000E040000}"/>
    <cellStyle name="Comma 17 5 5" xfId="1945" xr:uid="{00000000-0005-0000-0000-00000F040000}"/>
    <cellStyle name="Comma 17 5 5 2" xfId="3360" xr:uid="{00000000-0005-0000-0000-000010040000}"/>
    <cellStyle name="Comma 17 6" xfId="175" xr:uid="{00000000-0005-0000-0000-000011040000}"/>
    <cellStyle name="Comma 17 6 2" xfId="176" xr:uid="{00000000-0005-0000-0000-000012040000}"/>
    <cellStyle name="Comma 17 6 2 2" xfId="937" xr:uid="{00000000-0005-0000-0000-000013040000}"/>
    <cellStyle name="Comma 17 6 3" xfId="938" xr:uid="{00000000-0005-0000-0000-000014040000}"/>
    <cellStyle name="Comma 17 6 3 2" xfId="3361" xr:uid="{00000000-0005-0000-0000-000015040000}"/>
    <cellStyle name="Comma 17 6 4" xfId="939" xr:uid="{00000000-0005-0000-0000-000016040000}"/>
    <cellStyle name="Comma 17 6 4 2" xfId="3362" xr:uid="{00000000-0005-0000-0000-000017040000}"/>
    <cellStyle name="Comma 17 6 5" xfId="1946" xr:uid="{00000000-0005-0000-0000-000018040000}"/>
    <cellStyle name="Comma 17 6 5 2" xfId="3363" xr:uid="{00000000-0005-0000-0000-000019040000}"/>
    <cellStyle name="Comma 17 7" xfId="177" xr:uid="{00000000-0005-0000-0000-00001A040000}"/>
    <cellStyle name="Comma 17 7 2" xfId="178" xr:uid="{00000000-0005-0000-0000-00001B040000}"/>
    <cellStyle name="Comma 17 7 2 2" xfId="940" xr:uid="{00000000-0005-0000-0000-00001C040000}"/>
    <cellStyle name="Comma 17 7 3" xfId="941" xr:uid="{00000000-0005-0000-0000-00001D040000}"/>
    <cellStyle name="Comma 17 7 3 2" xfId="3364" xr:uid="{00000000-0005-0000-0000-00001E040000}"/>
    <cellStyle name="Comma 17 7 4" xfId="942" xr:uid="{00000000-0005-0000-0000-00001F040000}"/>
    <cellStyle name="Comma 17 7 4 2" xfId="3365" xr:uid="{00000000-0005-0000-0000-000020040000}"/>
    <cellStyle name="Comma 17 7 5" xfId="1947" xr:uid="{00000000-0005-0000-0000-000021040000}"/>
    <cellStyle name="Comma 17 7 5 2" xfId="3366" xr:uid="{00000000-0005-0000-0000-000022040000}"/>
    <cellStyle name="Comma 17 8" xfId="179" xr:uid="{00000000-0005-0000-0000-000023040000}"/>
    <cellStyle name="Comma 17 8 2" xfId="180" xr:uid="{00000000-0005-0000-0000-000024040000}"/>
    <cellStyle name="Comma 17 8 2 2" xfId="943" xr:uid="{00000000-0005-0000-0000-000025040000}"/>
    <cellStyle name="Comma 17 8 3" xfId="944" xr:uid="{00000000-0005-0000-0000-000026040000}"/>
    <cellStyle name="Comma 17 8 3 2" xfId="3367" xr:uid="{00000000-0005-0000-0000-000027040000}"/>
    <cellStyle name="Comma 17 8 4" xfId="945" xr:uid="{00000000-0005-0000-0000-000028040000}"/>
    <cellStyle name="Comma 17 8 4 2" xfId="3368" xr:uid="{00000000-0005-0000-0000-000029040000}"/>
    <cellStyle name="Comma 17 8 5" xfId="1948" xr:uid="{00000000-0005-0000-0000-00002A040000}"/>
    <cellStyle name="Comma 17 8 5 2" xfId="3369" xr:uid="{00000000-0005-0000-0000-00002B040000}"/>
    <cellStyle name="Comma 17 9" xfId="181" xr:uid="{00000000-0005-0000-0000-00002C040000}"/>
    <cellStyle name="Comma 17 9 2" xfId="182" xr:uid="{00000000-0005-0000-0000-00002D040000}"/>
    <cellStyle name="Comma 17 9 2 2" xfId="946" xr:uid="{00000000-0005-0000-0000-00002E040000}"/>
    <cellStyle name="Comma 17 9 3" xfId="947" xr:uid="{00000000-0005-0000-0000-00002F040000}"/>
    <cellStyle name="Comma 17 9 3 2" xfId="3370" xr:uid="{00000000-0005-0000-0000-000030040000}"/>
    <cellStyle name="Comma 17 9 4" xfId="948" xr:uid="{00000000-0005-0000-0000-000031040000}"/>
    <cellStyle name="Comma 17 9 4 2" xfId="3371" xr:uid="{00000000-0005-0000-0000-000032040000}"/>
    <cellStyle name="Comma 17 9 5" xfId="1949" xr:uid="{00000000-0005-0000-0000-000033040000}"/>
    <cellStyle name="Comma 17 9 5 2" xfId="3372" xr:uid="{00000000-0005-0000-0000-000034040000}"/>
    <cellStyle name="Comma 170" xfId="2776" xr:uid="{00000000-0005-0000-0000-000035040000}"/>
    <cellStyle name="Comma 171" xfId="2774" xr:uid="{00000000-0005-0000-0000-000036040000}"/>
    <cellStyle name="Comma 172" xfId="2772" xr:uid="{00000000-0005-0000-0000-000037040000}"/>
    <cellStyle name="Comma 173" xfId="2770" xr:uid="{00000000-0005-0000-0000-000038040000}"/>
    <cellStyle name="Comma 174" xfId="2768" xr:uid="{00000000-0005-0000-0000-000039040000}"/>
    <cellStyle name="Comma 175" xfId="2766" xr:uid="{00000000-0005-0000-0000-00003A040000}"/>
    <cellStyle name="Comma 176" xfId="2807" xr:uid="{00000000-0005-0000-0000-00003B040000}"/>
    <cellStyle name="Comma 177" xfId="2809" xr:uid="{00000000-0005-0000-0000-00003C040000}"/>
    <cellStyle name="Comma 178" xfId="2811" xr:uid="{00000000-0005-0000-0000-00003D040000}"/>
    <cellStyle name="Comma 179" xfId="2813" xr:uid="{00000000-0005-0000-0000-00003E040000}"/>
    <cellStyle name="Comma 18" xfId="183" xr:uid="{00000000-0005-0000-0000-00003F040000}"/>
    <cellStyle name="Comma 18 2" xfId="950" xr:uid="{00000000-0005-0000-0000-000040040000}"/>
    <cellStyle name="Comma 18 2 2" xfId="1559" xr:uid="{00000000-0005-0000-0000-000041040000}"/>
    <cellStyle name="Comma 18 3" xfId="949" xr:uid="{00000000-0005-0000-0000-000042040000}"/>
    <cellStyle name="Comma 18 4" xfId="1950" xr:uid="{00000000-0005-0000-0000-000043040000}"/>
    <cellStyle name="Comma 180" xfId="2828" xr:uid="{00000000-0005-0000-0000-000044040000}"/>
    <cellStyle name="Comma 181" xfId="2831" xr:uid="{00000000-0005-0000-0000-000045040000}"/>
    <cellStyle name="Comma 182" xfId="2829" xr:uid="{00000000-0005-0000-0000-000046040000}"/>
    <cellStyle name="Comma 183" xfId="2833" xr:uid="{00000000-0005-0000-0000-000047040000}"/>
    <cellStyle name="Comma 184" xfId="2827" xr:uid="{00000000-0005-0000-0000-000048040000}"/>
    <cellStyle name="Comma 185" xfId="2834" xr:uid="{00000000-0005-0000-0000-000049040000}"/>
    <cellStyle name="Comma 186" xfId="2826" xr:uid="{00000000-0005-0000-0000-00004A040000}"/>
    <cellStyle name="Comma 187" xfId="2832" xr:uid="{00000000-0005-0000-0000-00004B040000}"/>
    <cellStyle name="Comma 188" xfId="2825" xr:uid="{00000000-0005-0000-0000-00004C040000}"/>
    <cellStyle name="Comma 189" xfId="2835" xr:uid="{00000000-0005-0000-0000-00004D040000}"/>
    <cellStyle name="Comma 19" xfId="184" xr:uid="{00000000-0005-0000-0000-00004E040000}"/>
    <cellStyle name="Comma 19 2" xfId="952" xr:uid="{00000000-0005-0000-0000-00004F040000}"/>
    <cellStyle name="Comma 19 3" xfId="951" xr:uid="{00000000-0005-0000-0000-000050040000}"/>
    <cellStyle name="Comma 190" xfId="2824" xr:uid="{00000000-0005-0000-0000-000051040000}"/>
    <cellStyle name="Comma 191" xfId="2830" xr:uid="{00000000-0005-0000-0000-000052040000}"/>
    <cellStyle name="Comma 192" xfId="2823" xr:uid="{00000000-0005-0000-0000-000053040000}"/>
    <cellStyle name="Comma 193" xfId="2851" xr:uid="{00000000-0005-0000-0000-000054040000}"/>
    <cellStyle name="Comma 194" xfId="2852" xr:uid="{00000000-0005-0000-0000-000055040000}"/>
    <cellStyle name="Comma 195" xfId="2850" xr:uid="{00000000-0005-0000-0000-000056040000}"/>
    <cellStyle name="Comma 196" xfId="2853" xr:uid="{00000000-0005-0000-0000-000057040000}"/>
    <cellStyle name="Comma 197" xfId="2849" xr:uid="{00000000-0005-0000-0000-000058040000}"/>
    <cellStyle name="Comma 198" xfId="2854" xr:uid="{00000000-0005-0000-0000-000059040000}"/>
    <cellStyle name="Comma 199" xfId="2848" xr:uid="{00000000-0005-0000-0000-00005A040000}"/>
    <cellStyle name="Comma 2" xfId="185" xr:uid="{00000000-0005-0000-0000-00005B040000}"/>
    <cellStyle name="Comma 2 10" xfId="186" xr:uid="{00000000-0005-0000-0000-00005C040000}"/>
    <cellStyle name="Comma 2 10 2" xfId="187" xr:uid="{00000000-0005-0000-0000-00005D040000}"/>
    <cellStyle name="Comma 2 10 2 2" xfId="953" xr:uid="{00000000-0005-0000-0000-00005E040000}"/>
    <cellStyle name="Comma 2 10 2 3" xfId="1951" xr:uid="{00000000-0005-0000-0000-00005F040000}"/>
    <cellStyle name="Comma 2 10 3" xfId="954" xr:uid="{00000000-0005-0000-0000-000060040000}"/>
    <cellStyle name="Comma 2 10 3 2" xfId="1953" xr:uid="{00000000-0005-0000-0000-000061040000}"/>
    <cellStyle name="Comma 2 10 3 3" xfId="1952" xr:uid="{00000000-0005-0000-0000-000062040000}"/>
    <cellStyle name="Comma 2 10 3 4" xfId="3374" xr:uid="{00000000-0005-0000-0000-000063040000}"/>
    <cellStyle name="Comma 2 10 4" xfId="955" xr:uid="{00000000-0005-0000-0000-000064040000}"/>
    <cellStyle name="Comma 2 10 4 2" xfId="3375" xr:uid="{00000000-0005-0000-0000-000065040000}"/>
    <cellStyle name="Comma 2 10 5" xfId="1954" xr:uid="{00000000-0005-0000-0000-000066040000}"/>
    <cellStyle name="Comma 2 10 5 2" xfId="3376" xr:uid="{00000000-0005-0000-0000-000067040000}"/>
    <cellStyle name="Comma 2 11" xfId="188" xr:uid="{00000000-0005-0000-0000-000068040000}"/>
    <cellStyle name="Comma 2 11 2" xfId="189" xr:uid="{00000000-0005-0000-0000-000069040000}"/>
    <cellStyle name="Comma 2 11 2 2" xfId="956" xr:uid="{00000000-0005-0000-0000-00006A040000}"/>
    <cellStyle name="Comma 2 11 2 3" xfId="1955" xr:uid="{00000000-0005-0000-0000-00006B040000}"/>
    <cellStyle name="Comma 2 11 3" xfId="957" xr:uid="{00000000-0005-0000-0000-00006C040000}"/>
    <cellStyle name="Comma 2 11 3 2" xfId="1957" xr:uid="{00000000-0005-0000-0000-00006D040000}"/>
    <cellStyle name="Comma 2 11 3 3" xfId="1956" xr:uid="{00000000-0005-0000-0000-00006E040000}"/>
    <cellStyle name="Comma 2 11 3 4" xfId="3377" xr:uid="{00000000-0005-0000-0000-00006F040000}"/>
    <cellStyle name="Comma 2 11 4" xfId="958" xr:uid="{00000000-0005-0000-0000-000070040000}"/>
    <cellStyle name="Comma 2 11 4 2" xfId="3378" xr:uid="{00000000-0005-0000-0000-000071040000}"/>
    <cellStyle name="Comma 2 11 5" xfId="1958" xr:uid="{00000000-0005-0000-0000-000072040000}"/>
    <cellStyle name="Comma 2 11 5 2" xfId="3379" xr:uid="{00000000-0005-0000-0000-000073040000}"/>
    <cellStyle name="Comma 2 12" xfId="190" xr:uid="{00000000-0005-0000-0000-000074040000}"/>
    <cellStyle name="Comma 2 12 2" xfId="191" xr:uid="{00000000-0005-0000-0000-000075040000}"/>
    <cellStyle name="Comma 2 12 2 2" xfId="959" xr:uid="{00000000-0005-0000-0000-000076040000}"/>
    <cellStyle name="Comma 2 12 2 3" xfId="1959" xr:uid="{00000000-0005-0000-0000-000077040000}"/>
    <cellStyle name="Comma 2 12 3" xfId="960" xr:uid="{00000000-0005-0000-0000-000078040000}"/>
    <cellStyle name="Comma 2 12 3 2" xfId="1961" xr:uid="{00000000-0005-0000-0000-000079040000}"/>
    <cellStyle name="Comma 2 12 3 3" xfId="1960" xr:uid="{00000000-0005-0000-0000-00007A040000}"/>
    <cellStyle name="Comma 2 12 3 4" xfId="3380" xr:uid="{00000000-0005-0000-0000-00007B040000}"/>
    <cellStyle name="Comma 2 12 4" xfId="961" xr:uid="{00000000-0005-0000-0000-00007C040000}"/>
    <cellStyle name="Comma 2 12 4 2" xfId="3381" xr:uid="{00000000-0005-0000-0000-00007D040000}"/>
    <cellStyle name="Comma 2 12 5" xfId="1962" xr:uid="{00000000-0005-0000-0000-00007E040000}"/>
    <cellStyle name="Comma 2 12 5 2" xfId="3382" xr:uid="{00000000-0005-0000-0000-00007F040000}"/>
    <cellStyle name="Comma 2 13" xfId="192" xr:uid="{00000000-0005-0000-0000-000080040000}"/>
    <cellStyle name="Comma 2 13 2" xfId="193" xr:uid="{00000000-0005-0000-0000-000081040000}"/>
    <cellStyle name="Comma 2 13 2 2" xfId="962" xr:uid="{00000000-0005-0000-0000-000082040000}"/>
    <cellStyle name="Comma 2 13 2 3" xfId="1963" xr:uid="{00000000-0005-0000-0000-000083040000}"/>
    <cellStyle name="Comma 2 13 3" xfId="963" xr:uid="{00000000-0005-0000-0000-000084040000}"/>
    <cellStyle name="Comma 2 13 3 2" xfId="1965" xr:uid="{00000000-0005-0000-0000-000085040000}"/>
    <cellStyle name="Comma 2 13 3 3" xfId="1964" xr:uid="{00000000-0005-0000-0000-000086040000}"/>
    <cellStyle name="Comma 2 13 3 4" xfId="3383" xr:uid="{00000000-0005-0000-0000-000087040000}"/>
    <cellStyle name="Comma 2 13 4" xfId="964" xr:uid="{00000000-0005-0000-0000-000088040000}"/>
    <cellStyle name="Comma 2 13 4 2" xfId="3384" xr:uid="{00000000-0005-0000-0000-000089040000}"/>
    <cellStyle name="Comma 2 13 5" xfId="1966" xr:uid="{00000000-0005-0000-0000-00008A040000}"/>
    <cellStyle name="Comma 2 13 5 2" xfId="3385" xr:uid="{00000000-0005-0000-0000-00008B040000}"/>
    <cellStyle name="Comma 2 14" xfId="194" xr:uid="{00000000-0005-0000-0000-00008C040000}"/>
    <cellStyle name="Comma 2 14 2" xfId="195" xr:uid="{00000000-0005-0000-0000-00008D040000}"/>
    <cellStyle name="Comma 2 14 2 2" xfId="965" xr:uid="{00000000-0005-0000-0000-00008E040000}"/>
    <cellStyle name="Comma 2 14 2 3" xfId="1967" xr:uid="{00000000-0005-0000-0000-00008F040000}"/>
    <cellStyle name="Comma 2 14 3" xfId="966" xr:uid="{00000000-0005-0000-0000-000090040000}"/>
    <cellStyle name="Comma 2 14 3 2" xfId="1969" xr:uid="{00000000-0005-0000-0000-000091040000}"/>
    <cellStyle name="Comma 2 14 3 3" xfId="1968" xr:uid="{00000000-0005-0000-0000-000092040000}"/>
    <cellStyle name="Comma 2 14 3 4" xfId="3386" xr:uid="{00000000-0005-0000-0000-000093040000}"/>
    <cellStyle name="Comma 2 14 4" xfId="967" xr:uid="{00000000-0005-0000-0000-000094040000}"/>
    <cellStyle name="Comma 2 14 4 2" xfId="3387" xr:uid="{00000000-0005-0000-0000-000095040000}"/>
    <cellStyle name="Comma 2 14 5" xfId="1970" xr:uid="{00000000-0005-0000-0000-000096040000}"/>
    <cellStyle name="Comma 2 14 5 2" xfId="3388" xr:uid="{00000000-0005-0000-0000-000097040000}"/>
    <cellStyle name="Comma 2 15" xfId="196" xr:uid="{00000000-0005-0000-0000-000098040000}"/>
    <cellStyle name="Comma 2 15 2" xfId="197" xr:uid="{00000000-0005-0000-0000-000099040000}"/>
    <cellStyle name="Comma 2 15 2 2" xfId="968" xr:uid="{00000000-0005-0000-0000-00009A040000}"/>
    <cellStyle name="Comma 2 15 2 3" xfId="1971" xr:uid="{00000000-0005-0000-0000-00009B040000}"/>
    <cellStyle name="Comma 2 15 3" xfId="969" xr:uid="{00000000-0005-0000-0000-00009C040000}"/>
    <cellStyle name="Comma 2 15 3 2" xfId="1973" xr:uid="{00000000-0005-0000-0000-00009D040000}"/>
    <cellStyle name="Comma 2 15 3 3" xfId="1972" xr:uid="{00000000-0005-0000-0000-00009E040000}"/>
    <cellStyle name="Comma 2 15 3 4" xfId="3389" xr:uid="{00000000-0005-0000-0000-00009F040000}"/>
    <cellStyle name="Comma 2 15 4" xfId="970" xr:uid="{00000000-0005-0000-0000-0000A0040000}"/>
    <cellStyle name="Comma 2 15 4 2" xfId="3390" xr:uid="{00000000-0005-0000-0000-0000A1040000}"/>
    <cellStyle name="Comma 2 15 5" xfId="1974" xr:uid="{00000000-0005-0000-0000-0000A2040000}"/>
    <cellStyle name="Comma 2 15 5 2" xfId="3391" xr:uid="{00000000-0005-0000-0000-0000A3040000}"/>
    <cellStyle name="Comma 2 16" xfId="198" xr:uid="{00000000-0005-0000-0000-0000A4040000}"/>
    <cellStyle name="Comma 2 16 2" xfId="199" xr:uid="{00000000-0005-0000-0000-0000A5040000}"/>
    <cellStyle name="Comma 2 16 2 2" xfId="971" xr:uid="{00000000-0005-0000-0000-0000A6040000}"/>
    <cellStyle name="Comma 2 16 2 3" xfId="1975" xr:uid="{00000000-0005-0000-0000-0000A7040000}"/>
    <cellStyle name="Comma 2 16 3" xfId="972" xr:uid="{00000000-0005-0000-0000-0000A8040000}"/>
    <cellStyle name="Comma 2 16 3 2" xfId="1977" xr:uid="{00000000-0005-0000-0000-0000A9040000}"/>
    <cellStyle name="Comma 2 16 3 3" xfId="1976" xr:uid="{00000000-0005-0000-0000-0000AA040000}"/>
    <cellStyle name="Comma 2 16 3 4" xfId="3392" xr:uid="{00000000-0005-0000-0000-0000AB040000}"/>
    <cellStyle name="Comma 2 16 4" xfId="973" xr:uid="{00000000-0005-0000-0000-0000AC040000}"/>
    <cellStyle name="Comma 2 16 4 2" xfId="3393" xr:uid="{00000000-0005-0000-0000-0000AD040000}"/>
    <cellStyle name="Comma 2 16 5" xfId="1978" xr:uid="{00000000-0005-0000-0000-0000AE040000}"/>
    <cellStyle name="Comma 2 16 5 2" xfId="3394" xr:uid="{00000000-0005-0000-0000-0000AF040000}"/>
    <cellStyle name="Comma 2 17" xfId="200" xr:uid="{00000000-0005-0000-0000-0000B0040000}"/>
    <cellStyle name="Comma 2 17 2" xfId="201" xr:uid="{00000000-0005-0000-0000-0000B1040000}"/>
    <cellStyle name="Comma 2 17 2 2" xfId="974" xr:uid="{00000000-0005-0000-0000-0000B2040000}"/>
    <cellStyle name="Comma 2 17 2 3" xfId="1979" xr:uid="{00000000-0005-0000-0000-0000B3040000}"/>
    <cellStyle name="Comma 2 17 3" xfId="975" xr:uid="{00000000-0005-0000-0000-0000B4040000}"/>
    <cellStyle name="Comma 2 17 3 2" xfId="1981" xr:uid="{00000000-0005-0000-0000-0000B5040000}"/>
    <cellStyle name="Comma 2 17 3 3" xfId="1980" xr:uid="{00000000-0005-0000-0000-0000B6040000}"/>
    <cellStyle name="Comma 2 17 3 4" xfId="3395" xr:uid="{00000000-0005-0000-0000-0000B7040000}"/>
    <cellStyle name="Comma 2 17 4" xfId="976" xr:uid="{00000000-0005-0000-0000-0000B8040000}"/>
    <cellStyle name="Comma 2 17 4 2" xfId="3396" xr:uid="{00000000-0005-0000-0000-0000B9040000}"/>
    <cellStyle name="Comma 2 17 5" xfId="1982" xr:uid="{00000000-0005-0000-0000-0000BA040000}"/>
    <cellStyle name="Comma 2 17 5 2" xfId="3397" xr:uid="{00000000-0005-0000-0000-0000BB040000}"/>
    <cellStyle name="Comma 2 18" xfId="202" xr:uid="{00000000-0005-0000-0000-0000BC040000}"/>
    <cellStyle name="Comma 2 18 2" xfId="203" xr:uid="{00000000-0005-0000-0000-0000BD040000}"/>
    <cellStyle name="Comma 2 18 2 2" xfId="977" xr:uid="{00000000-0005-0000-0000-0000BE040000}"/>
    <cellStyle name="Comma 2 18 2 3" xfId="1983" xr:uid="{00000000-0005-0000-0000-0000BF040000}"/>
    <cellStyle name="Comma 2 18 3" xfId="978" xr:uid="{00000000-0005-0000-0000-0000C0040000}"/>
    <cellStyle name="Comma 2 18 3 2" xfId="1985" xr:uid="{00000000-0005-0000-0000-0000C1040000}"/>
    <cellStyle name="Comma 2 18 3 3" xfId="1984" xr:uid="{00000000-0005-0000-0000-0000C2040000}"/>
    <cellStyle name="Comma 2 18 3 4" xfId="3398" xr:uid="{00000000-0005-0000-0000-0000C3040000}"/>
    <cellStyle name="Comma 2 18 4" xfId="979" xr:uid="{00000000-0005-0000-0000-0000C4040000}"/>
    <cellStyle name="Comma 2 18 4 2" xfId="3399" xr:uid="{00000000-0005-0000-0000-0000C5040000}"/>
    <cellStyle name="Comma 2 18 5" xfId="1986" xr:uid="{00000000-0005-0000-0000-0000C6040000}"/>
    <cellStyle name="Comma 2 18 5 2" xfId="3400" xr:uid="{00000000-0005-0000-0000-0000C7040000}"/>
    <cellStyle name="Comma 2 19" xfId="204" xr:uid="{00000000-0005-0000-0000-0000C8040000}"/>
    <cellStyle name="Comma 2 19 2" xfId="205" xr:uid="{00000000-0005-0000-0000-0000C9040000}"/>
    <cellStyle name="Comma 2 19 2 2" xfId="980" xr:uid="{00000000-0005-0000-0000-0000CA040000}"/>
    <cellStyle name="Comma 2 19 2 3" xfId="1987" xr:uid="{00000000-0005-0000-0000-0000CB040000}"/>
    <cellStyle name="Comma 2 19 3" xfId="981" xr:uid="{00000000-0005-0000-0000-0000CC040000}"/>
    <cellStyle name="Comma 2 19 3 2" xfId="1989" xr:uid="{00000000-0005-0000-0000-0000CD040000}"/>
    <cellStyle name="Comma 2 19 3 3" xfId="1988" xr:uid="{00000000-0005-0000-0000-0000CE040000}"/>
    <cellStyle name="Comma 2 19 3 4" xfId="3401" xr:uid="{00000000-0005-0000-0000-0000CF040000}"/>
    <cellStyle name="Comma 2 19 4" xfId="982" xr:uid="{00000000-0005-0000-0000-0000D0040000}"/>
    <cellStyle name="Comma 2 19 4 2" xfId="3402" xr:uid="{00000000-0005-0000-0000-0000D1040000}"/>
    <cellStyle name="Comma 2 19 5" xfId="1990" xr:uid="{00000000-0005-0000-0000-0000D2040000}"/>
    <cellStyle name="Comma 2 19 5 2" xfId="3403" xr:uid="{00000000-0005-0000-0000-0000D3040000}"/>
    <cellStyle name="Comma 2 2" xfId="206" xr:uid="{00000000-0005-0000-0000-0000D4040000}"/>
    <cellStyle name="Comma 2 2 2" xfId="207" xr:uid="{00000000-0005-0000-0000-0000D5040000}"/>
    <cellStyle name="Comma 2 2 2 2" xfId="983" xr:uid="{00000000-0005-0000-0000-0000D6040000}"/>
    <cellStyle name="Comma 2 2 2 3" xfId="1991" xr:uid="{00000000-0005-0000-0000-0000D7040000}"/>
    <cellStyle name="Comma 2 2 3" xfId="984" xr:uid="{00000000-0005-0000-0000-0000D8040000}"/>
    <cellStyle name="Comma 2 2 3 2" xfId="1993" xr:uid="{00000000-0005-0000-0000-0000D9040000}"/>
    <cellStyle name="Comma 2 2 3 3" xfId="1992" xr:uid="{00000000-0005-0000-0000-0000DA040000}"/>
    <cellStyle name="Comma 2 2 3 4" xfId="3404" xr:uid="{00000000-0005-0000-0000-0000DB040000}"/>
    <cellStyle name="Comma 2 2 4" xfId="985" xr:uid="{00000000-0005-0000-0000-0000DC040000}"/>
    <cellStyle name="Comma 2 2 4 2" xfId="3405" xr:uid="{00000000-0005-0000-0000-0000DD040000}"/>
    <cellStyle name="Comma 2 2 5" xfId="1994" xr:uid="{00000000-0005-0000-0000-0000DE040000}"/>
    <cellStyle name="Comma 2 2 5 2" xfId="3406" xr:uid="{00000000-0005-0000-0000-0000DF040000}"/>
    <cellStyle name="Comma 2 20" xfId="208" xr:uid="{00000000-0005-0000-0000-0000E0040000}"/>
    <cellStyle name="Comma 2 20 2" xfId="209" xr:uid="{00000000-0005-0000-0000-0000E1040000}"/>
    <cellStyle name="Comma 2 20 2 2" xfId="986" xr:uid="{00000000-0005-0000-0000-0000E2040000}"/>
    <cellStyle name="Comma 2 20 2 3" xfId="1995" xr:uid="{00000000-0005-0000-0000-0000E3040000}"/>
    <cellStyle name="Comma 2 20 3" xfId="987" xr:uid="{00000000-0005-0000-0000-0000E4040000}"/>
    <cellStyle name="Comma 2 20 3 2" xfId="1997" xr:uid="{00000000-0005-0000-0000-0000E5040000}"/>
    <cellStyle name="Comma 2 20 3 3" xfId="1996" xr:uid="{00000000-0005-0000-0000-0000E6040000}"/>
    <cellStyle name="Comma 2 20 3 4" xfId="3407" xr:uid="{00000000-0005-0000-0000-0000E7040000}"/>
    <cellStyle name="Comma 2 20 4" xfId="988" xr:uid="{00000000-0005-0000-0000-0000E8040000}"/>
    <cellStyle name="Comma 2 20 4 2" xfId="3408" xr:uid="{00000000-0005-0000-0000-0000E9040000}"/>
    <cellStyle name="Comma 2 20 5" xfId="1998" xr:uid="{00000000-0005-0000-0000-0000EA040000}"/>
    <cellStyle name="Comma 2 20 5 2" xfId="3409" xr:uid="{00000000-0005-0000-0000-0000EB040000}"/>
    <cellStyle name="Comma 2 21" xfId="210" xr:uid="{00000000-0005-0000-0000-0000EC040000}"/>
    <cellStyle name="Comma 2 21 2" xfId="211" xr:uid="{00000000-0005-0000-0000-0000ED040000}"/>
    <cellStyle name="Comma 2 21 2 2" xfId="989" xr:uid="{00000000-0005-0000-0000-0000EE040000}"/>
    <cellStyle name="Comma 2 21 2 3" xfId="1999" xr:uid="{00000000-0005-0000-0000-0000EF040000}"/>
    <cellStyle name="Comma 2 21 3" xfId="990" xr:uid="{00000000-0005-0000-0000-0000F0040000}"/>
    <cellStyle name="Comma 2 21 3 2" xfId="2001" xr:uid="{00000000-0005-0000-0000-0000F1040000}"/>
    <cellStyle name="Comma 2 21 3 3" xfId="2000" xr:uid="{00000000-0005-0000-0000-0000F2040000}"/>
    <cellStyle name="Comma 2 21 3 4" xfId="3410" xr:uid="{00000000-0005-0000-0000-0000F3040000}"/>
    <cellStyle name="Comma 2 21 4" xfId="991" xr:uid="{00000000-0005-0000-0000-0000F4040000}"/>
    <cellStyle name="Comma 2 21 4 2" xfId="3411" xr:uid="{00000000-0005-0000-0000-0000F5040000}"/>
    <cellStyle name="Comma 2 21 5" xfId="2002" xr:uid="{00000000-0005-0000-0000-0000F6040000}"/>
    <cellStyle name="Comma 2 21 5 2" xfId="3412" xr:uid="{00000000-0005-0000-0000-0000F7040000}"/>
    <cellStyle name="Comma 2 22" xfId="212" xr:uid="{00000000-0005-0000-0000-0000F8040000}"/>
    <cellStyle name="Comma 2 22 2" xfId="213" xr:uid="{00000000-0005-0000-0000-0000F9040000}"/>
    <cellStyle name="Comma 2 22 2 2" xfId="992" xr:uid="{00000000-0005-0000-0000-0000FA040000}"/>
    <cellStyle name="Comma 2 22 2 3" xfId="2003" xr:uid="{00000000-0005-0000-0000-0000FB040000}"/>
    <cellStyle name="Comma 2 22 3" xfId="993" xr:uid="{00000000-0005-0000-0000-0000FC040000}"/>
    <cellStyle name="Comma 2 22 3 2" xfId="2005" xr:uid="{00000000-0005-0000-0000-0000FD040000}"/>
    <cellStyle name="Comma 2 22 3 3" xfId="2004" xr:uid="{00000000-0005-0000-0000-0000FE040000}"/>
    <cellStyle name="Comma 2 22 3 4" xfId="3413" xr:uid="{00000000-0005-0000-0000-0000FF040000}"/>
    <cellStyle name="Comma 2 22 4" xfId="994" xr:uid="{00000000-0005-0000-0000-000000050000}"/>
    <cellStyle name="Comma 2 22 4 2" xfId="3414" xr:uid="{00000000-0005-0000-0000-000001050000}"/>
    <cellStyle name="Comma 2 22 5" xfId="2006" xr:uid="{00000000-0005-0000-0000-000002050000}"/>
    <cellStyle name="Comma 2 22 5 2" xfId="3415" xr:uid="{00000000-0005-0000-0000-000003050000}"/>
    <cellStyle name="Comma 2 23" xfId="214" xr:uid="{00000000-0005-0000-0000-000004050000}"/>
    <cellStyle name="Comma 2 23 2" xfId="215" xr:uid="{00000000-0005-0000-0000-000005050000}"/>
    <cellStyle name="Comma 2 23 2 2" xfId="995" xr:uid="{00000000-0005-0000-0000-000006050000}"/>
    <cellStyle name="Comma 2 23 2 3" xfId="2007" xr:uid="{00000000-0005-0000-0000-000007050000}"/>
    <cellStyle name="Comma 2 23 3" xfId="996" xr:uid="{00000000-0005-0000-0000-000008050000}"/>
    <cellStyle name="Comma 2 23 3 2" xfId="2009" xr:uid="{00000000-0005-0000-0000-000009050000}"/>
    <cellStyle name="Comma 2 23 3 3" xfId="2008" xr:uid="{00000000-0005-0000-0000-00000A050000}"/>
    <cellStyle name="Comma 2 23 3 4" xfId="3417" xr:uid="{00000000-0005-0000-0000-00000B050000}"/>
    <cellStyle name="Comma 2 23 4" xfId="997" xr:uid="{00000000-0005-0000-0000-00000C050000}"/>
    <cellStyle name="Comma 2 23 4 2" xfId="3418" xr:uid="{00000000-0005-0000-0000-00000D050000}"/>
    <cellStyle name="Comma 2 23 5" xfId="2010" xr:uid="{00000000-0005-0000-0000-00000E050000}"/>
    <cellStyle name="Comma 2 23 5 2" xfId="3419" xr:uid="{00000000-0005-0000-0000-00000F050000}"/>
    <cellStyle name="Comma 2 24" xfId="216" xr:uid="{00000000-0005-0000-0000-000010050000}"/>
    <cellStyle name="Comma 2 24 2" xfId="217" xr:uid="{00000000-0005-0000-0000-000011050000}"/>
    <cellStyle name="Comma 2 24 2 2" xfId="998" xr:uid="{00000000-0005-0000-0000-000012050000}"/>
    <cellStyle name="Comma 2 24 2 3" xfId="2011" xr:uid="{00000000-0005-0000-0000-000013050000}"/>
    <cellStyle name="Comma 2 24 3" xfId="999" xr:uid="{00000000-0005-0000-0000-000014050000}"/>
    <cellStyle name="Comma 2 24 3 2" xfId="2013" xr:uid="{00000000-0005-0000-0000-000015050000}"/>
    <cellStyle name="Comma 2 24 3 3" xfId="2012" xr:uid="{00000000-0005-0000-0000-000016050000}"/>
    <cellStyle name="Comma 2 24 3 4" xfId="3420" xr:uid="{00000000-0005-0000-0000-000017050000}"/>
    <cellStyle name="Comma 2 24 4" xfId="1000" xr:uid="{00000000-0005-0000-0000-000018050000}"/>
    <cellStyle name="Comma 2 24 4 2" xfId="3421" xr:uid="{00000000-0005-0000-0000-000019050000}"/>
    <cellStyle name="Comma 2 24 5" xfId="2014" xr:uid="{00000000-0005-0000-0000-00001A050000}"/>
    <cellStyle name="Comma 2 24 5 2" xfId="3422" xr:uid="{00000000-0005-0000-0000-00001B050000}"/>
    <cellStyle name="Comma 2 25" xfId="218" xr:uid="{00000000-0005-0000-0000-00001C050000}"/>
    <cellStyle name="Comma 2 25 2" xfId="219" xr:uid="{00000000-0005-0000-0000-00001D050000}"/>
    <cellStyle name="Comma 2 25 2 2" xfId="1001" xr:uid="{00000000-0005-0000-0000-00001E050000}"/>
    <cellStyle name="Comma 2 25 2 3" xfId="2015" xr:uid="{00000000-0005-0000-0000-00001F050000}"/>
    <cellStyle name="Comma 2 25 3" xfId="1002" xr:uid="{00000000-0005-0000-0000-000020050000}"/>
    <cellStyle name="Comma 2 25 3 2" xfId="2017" xr:uid="{00000000-0005-0000-0000-000021050000}"/>
    <cellStyle name="Comma 2 25 3 3" xfId="2016" xr:uid="{00000000-0005-0000-0000-000022050000}"/>
    <cellStyle name="Comma 2 25 3 4" xfId="3423" xr:uid="{00000000-0005-0000-0000-000023050000}"/>
    <cellStyle name="Comma 2 25 4" xfId="1003" xr:uid="{00000000-0005-0000-0000-000024050000}"/>
    <cellStyle name="Comma 2 25 4 2" xfId="3424" xr:uid="{00000000-0005-0000-0000-000025050000}"/>
    <cellStyle name="Comma 2 25 5" xfId="2018" xr:uid="{00000000-0005-0000-0000-000026050000}"/>
    <cellStyle name="Comma 2 25 5 2" xfId="3425" xr:uid="{00000000-0005-0000-0000-000027050000}"/>
    <cellStyle name="Comma 2 26" xfId="220" xr:uid="{00000000-0005-0000-0000-000028050000}"/>
    <cellStyle name="Comma 2 26 2" xfId="221" xr:uid="{00000000-0005-0000-0000-000029050000}"/>
    <cellStyle name="Comma 2 26 2 2" xfId="1004" xr:uid="{00000000-0005-0000-0000-00002A050000}"/>
    <cellStyle name="Comma 2 26 2 3" xfId="2019" xr:uid="{00000000-0005-0000-0000-00002B050000}"/>
    <cellStyle name="Comma 2 26 3" xfId="1005" xr:uid="{00000000-0005-0000-0000-00002C050000}"/>
    <cellStyle name="Comma 2 26 3 2" xfId="2021" xr:uid="{00000000-0005-0000-0000-00002D050000}"/>
    <cellStyle name="Comma 2 26 3 3" xfId="2020" xr:uid="{00000000-0005-0000-0000-00002E050000}"/>
    <cellStyle name="Comma 2 26 3 4" xfId="3426" xr:uid="{00000000-0005-0000-0000-00002F050000}"/>
    <cellStyle name="Comma 2 26 4" xfId="1006" xr:uid="{00000000-0005-0000-0000-000030050000}"/>
    <cellStyle name="Comma 2 26 4 2" xfId="3427" xr:uid="{00000000-0005-0000-0000-000031050000}"/>
    <cellStyle name="Comma 2 26 5" xfId="2022" xr:uid="{00000000-0005-0000-0000-000032050000}"/>
    <cellStyle name="Comma 2 26 5 2" xfId="3428" xr:uid="{00000000-0005-0000-0000-000033050000}"/>
    <cellStyle name="Comma 2 27" xfId="222" xr:uid="{00000000-0005-0000-0000-000034050000}"/>
    <cellStyle name="Comma 2 27 2" xfId="1008" xr:uid="{00000000-0005-0000-0000-000035050000}"/>
    <cellStyle name="Comma 2 27 3" xfId="1007" xr:uid="{00000000-0005-0000-0000-000036050000}"/>
    <cellStyle name="Comma 2 27 4" xfId="2023" xr:uid="{00000000-0005-0000-0000-000037050000}"/>
    <cellStyle name="Comma 2 28" xfId="1009" xr:uid="{00000000-0005-0000-0000-000038050000}"/>
    <cellStyle name="Comma 2 28 2" xfId="2025" xr:uid="{00000000-0005-0000-0000-000039050000}"/>
    <cellStyle name="Comma 2 28 3" xfId="2024" xr:uid="{00000000-0005-0000-0000-00003A050000}"/>
    <cellStyle name="Comma 2 28 4" xfId="3429" xr:uid="{00000000-0005-0000-0000-00003B050000}"/>
    <cellStyle name="Comma 2 29" xfId="1010" xr:uid="{00000000-0005-0000-0000-00003C050000}"/>
    <cellStyle name="Comma 2 29 2" xfId="3430" xr:uid="{00000000-0005-0000-0000-00003D050000}"/>
    <cellStyle name="Comma 2 3" xfId="223" xr:uid="{00000000-0005-0000-0000-00003E050000}"/>
    <cellStyle name="Comma 2 3 2" xfId="224" xr:uid="{00000000-0005-0000-0000-00003F050000}"/>
    <cellStyle name="Comma 2 3 2 2" xfId="1011" xr:uid="{00000000-0005-0000-0000-000040050000}"/>
    <cellStyle name="Comma 2 3 2 3" xfId="2026" xr:uid="{00000000-0005-0000-0000-000041050000}"/>
    <cellStyle name="Comma 2 3 3" xfId="1012" xr:uid="{00000000-0005-0000-0000-000042050000}"/>
    <cellStyle name="Comma 2 3 3 2" xfId="2028" xr:uid="{00000000-0005-0000-0000-000043050000}"/>
    <cellStyle name="Comma 2 3 3 3" xfId="2027" xr:uid="{00000000-0005-0000-0000-000044050000}"/>
    <cellStyle name="Comma 2 3 3 4" xfId="3431" xr:uid="{00000000-0005-0000-0000-000045050000}"/>
    <cellStyle name="Comma 2 3 4" xfId="1013" xr:uid="{00000000-0005-0000-0000-000046050000}"/>
    <cellStyle name="Comma 2 3 4 2" xfId="3432" xr:uid="{00000000-0005-0000-0000-000047050000}"/>
    <cellStyle name="Comma 2 3 5" xfId="2029" xr:uid="{00000000-0005-0000-0000-000048050000}"/>
    <cellStyle name="Comma 2 3 5 2" xfId="3433" xr:uid="{00000000-0005-0000-0000-000049050000}"/>
    <cellStyle name="Comma 2 30" xfId="2030" xr:uid="{00000000-0005-0000-0000-00004A050000}"/>
    <cellStyle name="Comma 2 30 2" xfId="3434" xr:uid="{00000000-0005-0000-0000-00004B050000}"/>
    <cellStyle name="Comma 2 4" xfId="225" xr:uid="{00000000-0005-0000-0000-00004C050000}"/>
    <cellStyle name="Comma 2 4 2" xfId="226" xr:uid="{00000000-0005-0000-0000-00004D050000}"/>
    <cellStyle name="Comma 2 4 2 2" xfId="1014" xr:uid="{00000000-0005-0000-0000-00004E050000}"/>
    <cellStyle name="Comma 2 4 2 3" xfId="2031" xr:uid="{00000000-0005-0000-0000-00004F050000}"/>
    <cellStyle name="Comma 2 4 3" xfId="1015" xr:uid="{00000000-0005-0000-0000-000050050000}"/>
    <cellStyle name="Comma 2 4 3 2" xfId="2033" xr:uid="{00000000-0005-0000-0000-000051050000}"/>
    <cellStyle name="Comma 2 4 3 3" xfId="2032" xr:uid="{00000000-0005-0000-0000-000052050000}"/>
    <cellStyle name="Comma 2 4 3 4" xfId="3435" xr:uid="{00000000-0005-0000-0000-000053050000}"/>
    <cellStyle name="Comma 2 4 4" xfId="1016" xr:uid="{00000000-0005-0000-0000-000054050000}"/>
    <cellStyle name="Comma 2 4 4 2" xfId="3436" xr:uid="{00000000-0005-0000-0000-000055050000}"/>
    <cellStyle name="Comma 2 4 5" xfId="2034" xr:uid="{00000000-0005-0000-0000-000056050000}"/>
    <cellStyle name="Comma 2 4 5 2" xfId="3437" xr:uid="{00000000-0005-0000-0000-000057050000}"/>
    <cellStyle name="Comma 2 5" xfId="227" xr:uid="{00000000-0005-0000-0000-000058050000}"/>
    <cellStyle name="Comma 2 5 2" xfId="228" xr:uid="{00000000-0005-0000-0000-000059050000}"/>
    <cellStyle name="Comma 2 5 2 2" xfId="1017" xr:uid="{00000000-0005-0000-0000-00005A050000}"/>
    <cellStyle name="Comma 2 5 2 3" xfId="2035" xr:uid="{00000000-0005-0000-0000-00005B050000}"/>
    <cellStyle name="Comma 2 5 3" xfId="1018" xr:uid="{00000000-0005-0000-0000-00005C050000}"/>
    <cellStyle name="Comma 2 5 3 2" xfId="2037" xr:uid="{00000000-0005-0000-0000-00005D050000}"/>
    <cellStyle name="Comma 2 5 3 3" xfId="2036" xr:uid="{00000000-0005-0000-0000-00005E050000}"/>
    <cellStyle name="Comma 2 5 3 4" xfId="3438" xr:uid="{00000000-0005-0000-0000-00005F050000}"/>
    <cellStyle name="Comma 2 5 4" xfId="1019" xr:uid="{00000000-0005-0000-0000-000060050000}"/>
    <cellStyle name="Comma 2 5 4 2" xfId="3439" xr:uid="{00000000-0005-0000-0000-000061050000}"/>
    <cellStyle name="Comma 2 5 5" xfId="2038" xr:uid="{00000000-0005-0000-0000-000062050000}"/>
    <cellStyle name="Comma 2 5 5 2" xfId="3440" xr:uid="{00000000-0005-0000-0000-000063050000}"/>
    <cellStyle name="Comma 2 6" xfId="229" xr:uid="{00000000-0005-0000-0000-000064050000}"/>
    <cellStyle name="Comma 2 6 2" xfId="230" xr:uid="{00000000-0005-0000-0000-000065050000}"/>
    <cellStyle name="Comma 2 6 2 2" xfId="1020" xr:uid="{00000000-0005-0000-0000-000066050000}"/>
    <cellStyle name="Comma 2 6 2 3" xfId="2039" xr:uid="{00000000-0005-0000-0000-000067050000}"/>
    <cellStyle name="Comma 2 6 3" xfId="1021" xr:uid="{00000000-0005-0000-0000-000068050000}"/>
    <cellStyle name="Comma 2 6 3 2" xfId="2041" xr:uid="{00000000-0005-0000-0000-000069050000}"/>
    <cellStyle name="Comma 2 6 3 3" xfId="2040" xr:uid="{00000000-0005-0000-0000-00006A050000}"/>
    <cellStyle name="Comma 2 6 3 4" xfId="3441" xr:uid="{00000000-0005-0000-0000-00006B050000}"/>
    <cellStyle name="Comma 2 6 4" xfId="1022" xr:uid="{00000000-0005-0000-0000-00006C050000}"/>
    <cellStyle name="Comma 2 6 4 2" xfId="3442" xr:uid="{00000000-0005-0000-0000-00006D050000}"/>
    <cellStyle name="Comma 2 6 5" xfId="2042" xr:uid="{00000000-0005-0000-0000-00006E050000}"/>
    <cellStyle name="Comma 2 6 5 2" xfId="3443" xr:uid="{00000000-0005-0000-0000-00006F050000}"/>
    <cellStyle name="Comma 2 7" xfId="231" xr:uid="{00000000-0005-0000-0000-000070050000}"/>
    <cellStyle name="Comma 2 7 2" xfId="232" xr:uid="{00000000-0005-0000-0000-000071050000}"/>
    <cellStyle name="Comma 2 7 2 2" xfId="1023" xr:uid="{00000000-0005-0000-0000-000072050000}"/>
    <cellStyle name="Comma 2 7 2 3" xfId="2043" xr:uid="{00000000-0005-0000-0000-000073050000}"/>
    <cellStyle name="Comma 2 7 3" xfId="1024" xr:uid="{00000000-0005-0000-0000-000074050000}"/>
    <cellStyle name="Comma 2 7 3 2" xfId="2045" xr:uid="{00000000-0005-0000-0000-000075050000}"/>
    <cellStyle name="Comma 2 7 3 3" xfId="2044" xr:uid="{00000000-0005-0000-0000-000076050000}"/>
    <cellStyle name="Comma 2 7 3 4" xfId="3444" xr:uid="{00000000-0005-0000-0000-000077050000}"/>
    <cellStyle name="Comma 2 7 4" xfId="1025" xr:uid="{00000000-0005-0000-0000-000078050000}"/>
    <cellStyle name="Comma 2 7 4 2" xfId="3445" xr:uid="{00000000-0005-0000-0000-000079050000}"/>
    <cellStyle name="Comma 2 7 5" xfId="2046" xr:uid="{00000000-0005-0000-0000-00007A050000}"/>
    <cellStyle name="Comma 2 7 5 2" xfId="3446" xr:uid="{00000000-0005-0000-0000-00007B050000}"/>
    <cellStyle name="Comma 2 8" xfId="233" xr:uid="{00000000-0005-0000-0000-00007C050000}"/>
    <cellStyle name="Comma 2 8 2" xfId="234" xr:uid="{00000000-0005-0000-0000-00007D050000}"/>
    <cellStyle name="Comma 2 8 2 2" xfId="1026" xr:uid="{00000000-0005-0000-0000-00007E050000}"/>
    <cellStyle name="Comma 2 8 2 3" xfId="2047" xr:uid="{00000000-0005-0000-0000-00007F050000}"/>
    <cellStyle name="Comma 2 8 3" xfId="1027" xr:uid="{00000000-0005-0000-0000-000080050000}"/>
    <cellStyle name="Comma 2 8 3 2" xfId="2049" xr:uid="{00000000-0005-0000-0000-000081050000}"/>
    <cellStyle name="Comma 2 8 3 3" xfId="2048" xr:uid="{00000000-0005-0000-0000-000082050000}"/>
    <cellStyle name="Comma 2 8 3 4" xfId="3447" xr:uid="{00000000-0005-0000-0000-000083050000}"/>
    <cellStyle name="Comma 2 8 4" xfId="1028" xr:uid="{00000000-0005-0000-0000-000084050000}"/>
    <cellStyle name="Comma 2 8 4 2" xfId="3448" xr:uid="{00000000-0005-0000-0000-000085050000}"/>
    <cellStyle name="Comma 2 8 5" xfId="2050" xr:uid="{00000000-0005-0000-0000-000086050000}"/>
    <cellStyle name="Comma 2 8 5 2" xfId="3449" xr:uid="{00000000-0005-0000-0000-000087050000}"/>
    <cellStyle name="Comma 2 9" xfId="235" xr:uid="{00000000-0005-0000-0000-000088050000}"/>
    <cellStyle name="Comma 2 9 2" xfId="236" xr:uid="{00000000-0005-0000-0000-000089050000}"/>
    <cellStyle name="Comma 2 9 2 2" xfId="1029" xr:uid="{00000000-0005-0000-0000-00008A050000}"/>
    <cellStyle name="Comma 2 9 2 3" xfId="2051" xr:uid="{00000000-0005-0000-0000-00008B050000}"/>
    <cellStyle name="Comma 2 9 3" xfId="1030" xr:uid="{00000000-0005-0000-0000-00008C050000}"/>
    <cellStyle name="Comma 2 9 3 2" xfId="2053" xr:uid="{00000000-0005-0000-0000-00008D050000}"/>
    <cellStyle name="Comma 2 9 3 3" xfId="2052" xr:uid="{00000000-0005-0000-0000-00008E050000}"/>
    <cellStyle name="Comma 2 9 3 4" xfId="3450" xr:uid="{00000000-0005-0000-0000-00008F050000}"/>
    <cellStyle name="Comma 2 9 4" xfId="1031" xr:uid="{00000000-0005-0000-0000-000090050000}"/>
    <cellStyle name="Comma 2 9 4 2" xfId="3451" xr:uid="{00000000-0005-0000-0000-000091050000}"/>
    <cellStyle name="Comma 2 9 5" xfId="2054" xr:uid="{00000000-0005-0000-0000-000092050000}"/>
    <cellStyle name="Comma 2 9 5 2" xfId="3452" xr:uid="{00000000-0005-0000-0000-000093050000}"/>
    <cellStyle name="Comma 20" xfId="54" xr:uid="{00000000-0005-0000-0000-000094050000}"/>
    <cellStyle name="Comma 20 2" xfId="1032" xr:uid="{00000000-0005-0000-0000-000095050000}"/>
    <cellStyle name="Comma 200" xfId="2855" xr:uid="{00000000-0005-0000-0000-000096050000}"/>
    <cellStyle name="Comma 201" xfId="2868" xr:uid="{00000000-0005-0000-0000-000097050000}"/>
    <cellStyle name="Comma 202" xfId="2879" xr:uid="{00000000-0005-0000-0000-000098050000}"/>
    <cellStyle name="Comma 203" xfId="2867" xr:uid="{00000000-0005-0000-0000-000099050000}"/>
    <cellStyle name="Comma 204" xfId="2880" xr:uid="{00000000-0005-0000-0000-00009A050000}"/>
    <cellStyle name="Comma 205" xfId="2866" xr:uid="{00000000-0005-0000-0000-00009B050000}"/>
    <cellStyle name="Comma 206" xfId="2881" xr:uid="{00000000-0005-0000-0000-00009C050000}"/>
    <cellStyle name="Comma 207" xfId="2865" xr:uid="{00000000-0005-0000-0000-00009D050000}"/>
    <cellStyle name="Comma 208" xfId="2882" xr:uid="{00000000-0005-0000-0000-00009E050000}"/>
    <cellStyle name="Comma 209" xfId="2877" xr:uid="{00000000-0005-0000-0000-00009F050000}"/>
    <cellStyle name="Comma 21" xfId="1033" xr:uid="{00000000-0005-0000-0000-0000A0050000}"/>
    <cellStyle name="Comma 21 2" xfId="3453" xr:uid="{00000000-0005-0000-0000-0000A1050000}"/>
    <cellStyle name="Comma 210" xfId="2894" xr:uid="{00000000-0005-0000-0000-0000A2050000}"/>
    <cellStyle name="Comma 211" xfId="2895" xr:uid="{00000000-0005-0000-0000-0000A3050000}"/>
    <cellStyle name="Comma 212" xfId="2900" xr:uid="{00000000-0005-0000-0000-0000A4050000}"/>
    <cellStyle name="Comma 213" xfId="2901" xr:uid="{00000000-0005-0000-0000-0000A5050000}"/>
    <cellStyle name="Comma 214" xfId="2899" xr:uid="{00000000-0005-0000-0000-0000A6050000}"/>
    <cellStyle name="Comma 215" xfId="2902" xr:uid="{00000000-0005-0000-0000-0000A7050000}"/>
    <cellStyle name="Comma 216" xfId="2898" xr:uid="{00000000-0005-0000-0000-0000A8050000}"/>
    <cellStyle name="Comma 217" xfId="2903" xr:uid="{00000000-0005-0000-0000-0000A9050000}"/>
    <cellStyle name="Comma 218" xfId="2912" xr:uid="{00000000-0005-0000-0000-0000AA050000}"/>
    <cellStyle name="Comma 219" xfId="2913" xr:uid="{00000000-0005-0000-0000-0000AB050000}"/>
    <cellStyle name="Comma 22" xfId="1034" xr:uid="{00000000-0005-0000-0000-0000AC050000}"/>
    <cellStyle name="Comma 22 2" xfId="2056" xr:uid="{00000000-0005-0000-0000-0000AD050000}"/>
    <cellStyle name="Comma 22 3" xfId="2055" xr:uid="{00000000-0005-0000-0000-0000AE050000}"/>
    <cellStyle name="Comma 220" xfId="2911" xr:uid="{00000000-0005-0000-0000-0000AF050000}"/>
    <cellStyle name="Comma 221" xfId="2914" xr:uid="{00000000-0005-0000-0000-0000B0050000}"/>
    <cellStyle name="Comma 222" xfId="2910" xr:uid="{00000000-0005-0000-0000-0000B1050000}"/>
    <cellStyle name="Comma 223" xfId="2929" xr:uid="{00000000-0005-0000-0000-0000B2050000}"/>
    <cellStyle name="Comma 224" xfId="2931" xr:uid="{00000000-0005-0000-0000-0000B3050000}"/>
    <cellStyle name="Comma 225" xfId="2928" xr:uid="{00000000-0005-0000-0000-0000B4050000}"/>
    <cellStyle name="Comma 226" xfId="2932" xr:uid="{00000000-0005-0000-0000-0000B5050000}"/>
    <cellStyle name="Comma 227" xfId="2927" xr:uid="{00000000-0005-0000-0000-0000B6050000}"/>
    <cellStyle name="Comma 228" xfId="2933" xr:uid="{00000000-0005-0000-0000-0000B7050000}"/>
    <cellStyle name="Comma 229" xfId="2926" xr:uid="{00000000-0005-0000-0000-0000B8050000}"/>
    <cellStyle name="Comma 23" xfId="1035" xr:uid="{00000000-0005-0000-0000-0000B9050000}"/>
    <cellStyle name="Comma 23 2" xfId="1444" xr:uid="{00000000-0005-0000-0000-0000BA050000}"/>
    <cellStyle name="Comma 23 3" xfId="1443" xr:uid="{00000000-0005-0000-0000-0000BB050000}"/>
    <cellStyle name="Comma 230" xfId="2934" xr:uid="{00000000-0005-0000-0000-0000BC050000}"/>
    <cellStyle name="Comma 231" xfId="2925" xr:uid="{00000000-0005-0000-0000-0000BD050000}"/>
    <cellStyle name="Comma 232" xfId="2930" xr:uid="{00000000-0005-0000-0000-0000BE050000}"/>
    <cellStyle name="Comma 233" xfId="2924" xr:uid="{00000000-0005-0000-0000-0000BF050000}"/>
    <cellStyle name="Comma 234" xfId="2935" xr:uid="{00000000-0005-0000-0000-0000C0050000}"/>
    <cellStyle name="Comma 235" xfId="2923" xr:uid="{00000000-0005-0000-0000-0000C1050000}"/>
    <cellStyle name="Comma 236" xfId="2936" xr:uid="{00000000-0005-0000-0000-0000C2050000}"/>
    <cellStyle name="Comma 237" xfId="2922" xr:uid="{00000000-0005-0000-0000-0000C3050000}"/>
    <cellStyle name="Comma 238" xfId="2937" xr:uid="{00000000-0005-0000-0000-0000C4050000}"/>
    <cellStyle name="Comma 239" xfId="2921" xr:uid="{00000000-0005-0000-0000-0000C5050000}"/>
    <cellStyle name="Comma 24" xfId="237" xr:uid="{00000000-0005-0000-0000-0000C6050000}"/>
    <cellStyle name="Comma 24 2" xfId="238" xr:uid="{00000000-0005-0000-0000-0000C7050000}"/>
    <cellStyle name="Comma 24 2 2" xfId="1036" xr:uid="{00000000-0005-0000-0000-0000C8050000}"/>
    <cellStyle name="Comma 24 2 3" xfId="2057" xr:uid="{00000000-0005-0000-0000-0000C9050000}"/>
    <cellStyle name="Comma 24 3" xfId="1037" xr:uid="{00000000-0005-0000-0000-0000CA050000}"/>
    <cellStyle name="Comma 24 3 2" xfId="2059" xr:uid="{00000000-0005-0000-0000-0000CB050000}"/>
    <cellStyle name="Comma 24 3 3" xfId="2058" xr:uid="{00000000-0005-0000-0000-0000CC050000}"/>
    <cellStyle name="Comma 24 3 4" xfId="3454" xr:uid="{00000000-0005-0000-0000-0000CD050000}"/>
    <cellStyle name="Comma 24 4" xfId="1038" xr:uid="{00000000-0005-0000-0000-0000CE050000}"/>
    <cellStyle name="Comma 24 4 2" xfId="3455" xr:uid="{00000000-0005-0000-0000-0000CF050000}"/>
    <cellStyle name="Comma 24 5" xfId="2060" xr:uid="{00000000-0005-0000-0000-0000D0050000}"/>
    <cellStyle name="Comma 24 5 2" xfId="3456" xr:uid="{00000000-0005-0000-0000-0000D1050000}"/>
    <cellStyle name="Comma 240" xfId="2938" xr:uid="{00000000-0005-0000-0000-0000D2050000}"/>
    <cellStyle name="Comma 241" xfId="2920" xr:uid="{00000000-0005-0000-0000-0000D3050000}"/>
    <cellStyle name="Comma 242" xfId="2939" xr:uid="{00000000-0005-0000-0000-0000D4050000}"/>
    <cellStyle name="Comma 243" xfId="2978" xr:uid="{00000000-0005-0000-0000-0000D5050000}"/>
    <cellStyle name="Comma 244" xfId="3225" xr:uid="{00000000-0005-0000-0000-0000D6050000}"/>
    <cellStyle name="Comma 245" xfId="2977" xr:uid="{00000000-0005-0000-0000-0000D7050000}"/>
    <cellStyle name="Comma 246" xfId="3226" xr:uid="{00000000-0005-0000-0000-0000D8050000}"/>
    <cellStyle name="Comma 247" xfId="2976" xr:uid="{00000000-0005-0000-0000-0000D9050000}"/>
    <cellStyle name="Comma 248" xfId="3227" xr:uid="{00000000-0005-0000-0000-0000DA050000}"/>
    <cellStyle name="Comma 249" xfId="2975" xr:uid="{00000000-0005-0000-0000-0000DB050000}"/>
    <cellStyle name="Comma 25" xfId="1039" xr:uid="{00000000-0005-0000-0000-0000DC050000}"/>
    <cellStyle name="Comma 25 2" xfId="1446" xr:uid="{00000000-0005-0000-0000-0000DD050000}"/>
    <cellStyle name="Comma 25 3" xfId="1445" xr:uid="{00000000-0005-0000-0000-0000DE050000}"/>
    <cellStyle name="Comma 250" xfId="3228" xr:uid="{00000000-0005-0000-0000-0000DF050000}"/>
    <cellStyle name="Comma 251" xfId="2974" xr:uid="{00000000-0005-0000-0000-0000E0050000}"/>
    <cellStyle name="Comma 252" xfId="3229" xr:uid="{00000000-0005-0000-0000-0000E1050000}"/>
    <cellStyle name="Comma 253" xfId="2973" xr:uid="{00000000-0005-0000-0000-0000E2050000}"/>
    <cellStyle name="Comma 254" xfId="3230" xr:uid="{00000000-0005-0000-0000-0000E3050000}"/>
    <cellStyle name="Comma 255" xfId="3207" xr:uid="{00000000-0005-0000-0000-0000E4050000}"/>
    <cellStyle name="Comma 256" xfId="3299" xr:uid="{00000000-0005-0000-0000-0000E5050000}"/>
    <cellStyle name="Comma 257" xfId="3208" xr:uid="{00000000-0005-0000-0000-0000E6050000}"/>
    <cellStyle name="Comma 258" xfId="3300" xr:uid="{00000000-0005-0000-0000-0000E7050000}"/>
    <cellStyle name="Comma 259" xfId="3234" xr:uid="{00000000-0005-0000-0000-0000E8050000}"/>
    <cellStyle name="Comma 26" xfId="1447" xr:uid="{00000000-0005-0000-0000-0000E9050000}"/>
    <cellStyle name="Comma 260" xfId="2981" xr:uid="{00000000-0005-0000-0000-0000EA050000}"/>
    <cellStyle name="Comma 261" xfId="3235" xr:uid="{00000000-0005-0000-0000-0000EB050000}"/>
    <cellStyle name="Comma 262" xfId="2980" xr:uid="{00000000-0005-0000-0000-0000EC050000}"/>
    <cellStyle name="Comma 263" xfId="3236" xr:uid="{00000000-0005-0000-0000-0000ED050000}"/>
    <cellStyle name="Comma 264" xfId="2979" xr:uid="{00000000-0005-0000-0000-0000EE050000}"/>
    <cellStyle name="Comma 265" xfId="3073" xr:uid="{00000000-0005-0000-0000-0000EF050000}"/>
    <cellStyle name="Comma 266" xfId="3886" xr:uid="{00000000-0005-0000-0000-0000F0050000}"/>
    <cellStyle name="Comma 267" xfId="3561" xr:uid="{00000000-0005-0000-0000-0000F1050000}"/>
    <cellStyle name="Comma 268" xfId="3890" xr:uid="{00000000-0005-0000-0000-0000F2050000}"/>
    <cellStyle name="Comma 269" xfId="3557" xr:uid="{00000000-0005-0000-0000-0000F3050000}"/>
    <cellStyle name="Comma 27" xfId="1448" xr:uid="{00000000-0005-0000-0000-0000F4050000}"/>
    <cellStyle name="Comma 27 2" xfId="2061" xr:uid="{00000000-0005-0000-0000-0000F5050000}"/>
    <cellStyle name="Comma 270" xfId="3891" xr:uid="{00000000-0005-0000-0000-0000F6050000}"/>
    <cellStyle name="Comma 271" xfId="3556" xr:uid="{00000000-0005-0000-0000-0000F7050000}"/>
    <cellStyle name="Comma 272" xfId="3895" xr:uid="{00000000-0005-0000-0000-0000F8050000}"/>
    <cellStyle name="Comma 273" xfId="3552" xr:uid="{00000000-0005-0000-0000-0000F9050000}"/>
    <cellStyle name="Comma 274" xfId="3896" xr:uid="{00000000-0005-0000-0000-0000FA050000}"/>
    <cellStyle name="Comma 275" xfId="3551" xr:uid="{00000000-0005-0000-0000-0000FB050000}"/>
    <cellStyle name="Comma 276" xfId="3900" xr:uid="{00000000-0005-0000-0000-0000FC050000}"/>
    <cellStyle name="Comma 277" xfId="3547" xr:uid="{00000000-0005-0000-0000-0000FD050000}"/>
    <cellStyle name="Comma 278" xfId="3901" xr:uid="{00000000-0005-0000-0000-0000FE050000}"/>
    <cellStyle name="Comma 279" xfId="3546" xr:uid="{00000000-0005-0000-0000-0000FF050000}"/>
    <cellStyle name="Comma 28" xfId="1449" xr:uid="{00000000-0005-0000-0000-000000060000}"/>
    <cellStyle name="Comma 28 2" xfId="2062" xr:uid="{00000000-0005-0000-0000-000001060000}"/>
    <cellStyle name="Comma 280" xfId="3905" xr:uid="{00000000-0005-0000-0000-000002060000}"/>
    <cellStyle name="Comma 281" xfId="3542" xr:uid="{00000000-0005-0000-0000-000003060000}"/>
    <cellStyle name="Comma 282" xfId="3906" xr:uid="{00000000-0005-0000-0000-000004060000}"/>
    <cellStyle name="Comma 283" xfId="3541" xr:uid="{00000000-0005-0000-0000-000005060000}"/>
    <cellStyle name="Comma 284" xfId="3910" xr:uid="{00000000-0005-0000-0000-000006060000}"/>
    <cellStyle name="Comma 285" xfId="3537" xr:uid="{00000000-0005-0000-0000-000007060000}"/>
    <cellStyle name="Comma 286" xfId="3968" xr:uid="{00000000-0005-0000-0000-000008060000}"/>
    <cellStyle name="Comma 287" xfId="3972" xr:uid="{00000000-0005-0000-0000-000009060000}"/>
    <cellStyle name="Comma 288" xfId="3967" xr:uid="{00000000-0005-0000-0000-00000A060000}"/>
    <cellStyle name="Comma 289" xfId="3970" xr:uid="{00000000-0005-0000-0000-00000B060000}"/>
    <cellStyle name="Comma 29" xfId="1460" xr:uid="{00000000-0005-0000-0000-00000C060000}"/>
    <cellStyle name="Comma 29 2" xfId="2063" xr:uid="{00000000-0005-0000-0000-00000D060000}"/>
    <cellStyle name="Comma 290" xfId="3966" xr:uid="{00000000-0005-0000-0000-00000E060000}"/>
    <cellStyle name="Comma 291" xfId="3969" xr:uid="{00000000-0005-0000-0000-00000F060000}"/>
    <cellStyle name="Comma 292" xfId="3976" xr:uid="{00000000-0005-0000-0000-000010060000}"/>
    <cellStyle name="Comma 293" xfId="3982" xr:uid="{00000000-0005-0000-0000-000011060000}"/>
    <cellStyle name="Comma 294" xfId="3983" xr:uid="{00000000-0005-0000-0000-000012060000}"/>
    <cellStyle name="Comma 295" xfId="3981" xr:uid="{00000000-0005-0000-0000-000013060000}"/>
    <cellStyle name="Comma 296" xfId="3984" xr:uid="{00000000-0005-0000-0000-000014060000}"/>
    <cellStyle name="Comma 297" xfId="3980" xr:uid="{00000000-0005-0000-0000-000015060000}"/>
    <cellStyle name="Comma 298" xfId="3985" xr:uid="{00000000-0005-0000-0000-000016060000}"/>
    <cellStyle name="Comma 299" xfId="4000" xr:uid="{00000000-0005-0000-0000-000017060000}"/>
    <cellStyle name="Comma 3" xfId="239" xr:uid="{00000000-0005-0000-0000-000018060000}"/>
    <cellStyle name="Comma 3 10" xfId="240" xr:uid="{00000000-0005-0000-0000-000019060000}"/>
    <cellStyle name="Comma 3 10 2" xfId="241" xr:uid="{00000000-0005-0000-0000-00001A060000}"/>
    <cellStyle name="Comma 3 10 2 2" xfId="1040" xr:uid="{00000000-0005-0000-0000-00001B060000}"/>
    <cellStyle name="Comma 3 10 2 3" xfId="2064" xr:uid="{00000000-0005-0000-0000-00001C060000}"/>
    <cellStyle name="Comma 3 10 3" xfId="1041" xr:uid="{00000000-0005-0000-0000-00001D060000}"/>
    <cellStyle name="Comma 3 10 3 2" xfId="2066" xr:uid="{00000000-0005-0000-0000-00001E060000}"/>
    <cellStyle name="Comma 3 10 3 3" xfId="2065" xr:uid="{00000000-0005-0000-0000-00001F060000}"/>
    <cellStyle name="Comma 3 10 3 4" xfId="3457" xr:uid="{00000000-0005-0000-0000-000020060000}"/>
    <cellStyle name="Comma 3 10 4" xfId="1042" xr:uid="{00000000-0005-0000-0000-000021060000}"/>
    <cellStyle name="Comma 3 10 4 2" xfId="3458" xr:uid="{00000000-0005-0000-0000-000022060000}"/>
    <cellStyle name="Comma 3 10 5" xfId="2067" xr:uid="{00000000-0005-0000-0000-000023060000}"/>
    <cellStyle name="Comma 3 10 5 2" xfId="3459" xr:uid="{00000000-0005-0000-0000-000024060000}"/>
    <cellStyle name="Comma 3 11" xfId="242" xr:uid="{00000000-0005-0000-0000-000025060000}"/>
    <cellStyle name="Comma 3 11 2" xfId="243" xr:uid="{00000000-0005-0000-0000-000026060000}"/>
    <cellStyle name="Comma 3 11 2 2" xfId="1043" xr:uid="{00000000-0005-0000-0000-000027060000}"/>
    <cellStyle name="Comma 3 11 2 3" xfId="2068" xr:uid="{00000000-0005-0000-0000-000028060000}"/>
    <cellStyle name="Comma 3 11 3" xfId="1044" xr:uid="{00000000-0005-0000-0000-000029060000}"/>
    <cellStyle name="Comma 3 11 3 2" xfId="2070" xr:uid="{00000000-0005-0000-0000-00002A060000}"/>
    <cellStyle name="Comma 3 11 3 3" xfId="2069" xr:uid="{00000000-0005-0000-0000-00002B060000}"/>
    <cellStyle name="Comma 3 11 3 4" xfId="3460" xr:uid="{00000000-0005-0000-0000-00002C060000}"/>
    <cellStyle name="Comma 3 11 4" xfId="1045" xr:uid="{00000000-0005-0000-0000-00002D060000}"/>
    <cellStyle name="Comma 3 11 4 2" xfId="3461" xr:uid="{00000000-0005-0000-0000-00002E060000}"/>
    <cellStyle name="Comma 3 11 5" xfId="2071" xr:uid="{00000000-0005-0000-0000-00002F060000}"/>
    <cellStyle name="Comma 3 11 5 2" xfId="3462" xr:uid="{00000000-0005-0000-0000-000030060000}"/>
    <cellStyle name="Comma 3 12" xfId="244" xr:uid="{00000000-0005-0000-0000-000031060000}"/>
    <cellStyle name="Comma 3 12 2" xfId="245" xr:uid="{00000000-0005-0000-0000-000032060000}"/>
    <cellStyle name="Comma 3 12 2 2" xfId="1046" xr:uid="{00000000-0005-0000-0000-000033060000}"/>
    <cellStyle name="Comma 3 12 2 3" xfId="2072" xr:uid="{00000000-0005-0000-0000-000034060000}"/>
    <cellStyle name="Comma 3 12 3" xfId="1047" xr:uid="{00000000-0005-0000-0000-000035060000}"/>
    <cellStyle name="Comma 3 12 3 2" xfId="2074" xr:uid="{00000000-0005-0000-0000-000036060000}"/>
    <cellStyle name="Comma 3 12 3 3" xfId="2073" xr:uid="{00000000-0005-0000-0000-000037060000}"/>
    <cellStyle name="Comma 3 12 3 4" xfId="3464" xr:uid="{00000000-0005-0000-0000-000038060000}"/>
    <cellStyle name="Comma 3 12 4" xfId="1048" xr:uid="{00000000-0005-0000-0000-000039060000}"/>
    <cellStyle name="Comma 3 12 4 2" xfId="3465" xr:uid="{00000000-0005-0000-0000-00003A060000}"/>
    <cellStyle name="Comma 3 12 5" xfId="2075" xr:uid="{00000000-0005-0000-0000-00003B060000}"/>
    <cellStyle name="Comma 3 12 5 2" xfId="3466" xr:uid="{00000000-0005-0000-0000-00003C060000}"/>
    <cellStyle name="Comma 3 13" xfId="246" xr:uid="{00000000-0005-0000-0000-00003D060000}"/>
    <cellStyle name="Comma 3 13 2" xfId="247" xr:uid="{00000000-0005-0000-0000-00003E060000}"/>
    <cellStyle name="Comma 3 13 2 2" xfId="1049" xr:uid="{00000000-0005-0000-0000-00003F060000}"/>
    <cellStyle name="Comma 3 13 2 3" xfId="2076" xr:uid="{00000000-0005-0000-0000-000040060000}"/>
    <cellStyle name="Comma 3 13 3" xfId="1050" xr:uid="{00000000-0005-0000-0000-000041060000}"/>
    <cellStyle name="Comma 3 13 3 2" xfId="2078" xr:uid="{00000000-0005-0000-0000-000042060000}"/>
    <cellStyle name="Comma 3 13 3 3" xfId="2077" xr:uid="{00000000-0005-0000-0000-000043060000}"/>
    <cellStyle name="Comma 3 13 3 4" xfId="3467" xr:uid="{00000000-0005-0000-0000-000044060000}"/>
    <cellStyle name="Comma 3 13 4" xfId="1051" xr:uid="{00000000-0005-0000-0000-000045060000}"/>
    <cellStyle name="Comma 3 13 4 2" xfId="3468" xr:uid="{00000000-0005-0000-0000-000046060000}"/>
    <cellStyle name="Comma 3 13 5" xfId="2079" xr:uid="{00000000-0005-0000-0000-000047060000}"/>
    <cellStyle name="Comma 3 13 5 2" xfId="3469" xr:uid="{00000000-0005-0000-0000-000048060000}"/>
    <cellStyle name="Comma 3 14" xfId="248" xr:uid="{00000000-0005-0000-0000-000049060000}"/>
    <cellStyle name="Comma 3 14 2" xfId="249" xr:uid="{00000000-0005-0000-0000-00004A060000}"/>
    <cellStyle name="Comma 3 14 2 2" xfId="1052" xr:uid="{00000000-0005-0000-0000-00004B060000}"/>
    <cellStyle name="Comma 3 14 2 3" xfId="2080" xr:uid="{00000000-0005-0000-0000-00004C060000}"/>
    <cellStyle name="Comma 3 14 3" xfId="1053" xr:uid="{00000000-0005-0000-0000-00004D060000}"/>
    <cellStyle name="Comma 3 14 3 2" xfId="2082" xr:uid="{00000000-0005-0000-0000-00004E060000}"/>
    <cellStyle name="Comma 3 14 3 3" xfId="2081" xr:uid="{00000000-0005-0000-0000-00004F060000}"/>
    <cellStyle name="Comma 3 14 3 4" xfId="3470" xr:uid="{00000000-0005-0000-0000-000050060000}"/>
    <cellStyle name="Comma 3 14 4" xfId="1054" xr:uid="{00000000-0005-0000-0000-000051060000}"/>
    <cellStyle name="Comma 3 14 4 2" xfId="3471" xr:uid="{00000000-0005-0000-0000-000052060000}"/>
    <cellStyle name="Comma 3 14 5" xfId="2083" xr:uid="{00000000-0005-0000-0000-000053060000}"/>
    <cellStyle name="Comma 3 14 5 2" xfId="3472" xr:uid="{00000000-0005-0000-0000-000054060000}"/>
    <cellStyle name="Comma 3 15" xfId="250" xr:uid="{00000000-0005-0000-0000-000055060000}"/>
    <cellStyle name="Comma 3 15 2" xfId="251" xr:uid="{00000000-0005-0000-0000-000056060000}"/>
    <cellStyle name="Comma 3 15 2 2" xfId="1055" xr:uid="{00000000-0005-0000-0000-000057060000}"/>
    <cellStyle name="Comma 3 15 2 3" xfId="2084" xr:uid="{00000000-0005-0000-0000-000058060000}"/>
    <cellStyle name="Comma 3 15 3" xfId="1056" xr:uid="{00000000-0005-0000-0000-000059060000}"/>
    <cellStyle name="Comma 3 15 3 2" xfId="2086" xr:uid="{00000000-0005-0000-0000-00005A060000}"/>
    <cellStyle name="Comma 3 15 3 3" xfId="2085" xr:uid="{00000000-0005-0000-0000-00005B060000}"/>
    <cellStyle name="Comma 3 15 3 4" xfId="3473" xr:uid="{00000000-0005-0000-0000-00005C060000}"/>
    <cellStyle name="Comma 3 15 4" xfId="1057" xr:uid="{00000000-0005-0000-0000-00005D060000}"/>
    <cellStyle name="Comma 3 15 4 2" xfId="3474" xr:uid="{00000000-0005-0000-0000-00005E060000}"/>
    <cellStyle name="Comma 3 15 5" xfId="2087" xr:uid="{00000000-0005-0000-0000-00005F060000}"/>
    <cellStyle name="Comma 3 15 5 2" xfId="3475" xr:uid="{00000000-0005-0000-0000-000060060000}"/>
    <cellStyle name="Comma 3 16" xfId="252" xr:uid="{00000000-0005-0000-0000-000061060000}"/>
    <cellStyle name="Comma 3 16 2" xfId="253" xr:uid="{00000000-0005-0000-0000-000062060000}"/>
    <cellStyle name="Comma 3 16 2 2" xfId="1058" xr:uid="{00000000-0005-0000-0000-000063060000}"/>
    <cellStyle name="Comma 3 16 2 3" xfId="2088" xr:uid="{00000000-0005-0000-0000-000064060000}"/>
    <cellStyle name="Comma 3 16 3" xfId="1059" xr:uid="{00000000-0005-0000-0000-000065060000}"/>
    <cellStyle name="Comma 3 16 3 2" xfId="2090" xr:uid="{00000000-0005-0000-0000-000066060000}"/>
    <cellStyle name="Comma 3 16 3 3" xfId="2089" xr:uid="{00000000-0005-0000-0000-000067060000}"/>
    <cellStyle name="Comma 3 16 3 4" xfId="3476" xr:uid="{00000000-0005-0000-0000-000068060000}"/>
    <cellStyle name="Comma 3 16 4" xfId="1060" xr:uid="{00000000-0005-0000-0000-000069060000}"/>
    <cellStyle name="Comma 3 16 4 2" xfId="3477" xr:uid="{00000000-0005-0000-0000-00006A060000}"/>
    <cellStyle name="Comma 3 16 5" xfId="2091" xr:uid="{00000000-0005-0000-0000-00006B060000}"/>
    <cellStyle name="Comma 3 16 5 2" xfId="3478" xr:uid="{00000000-0005-0000-0000-00006C060000}"/>
    <cellStyle name="Comma 3 17" xfId="254" xr:uid="{00000000-0005-0000-0000-00006D060000}"/>
    <cellStyle name="Comma 3 17 2" xfId="255" xr:uid="{00000000-0005-0000-0000-00006E060000}"/>
    <cellStyle name="Comma 3 17 2 2" xfId="1061" xr:uid="{00000000-0005-0000-0000-00006F060000}"/>
    <cellStyle name="Comma 3 17 2 3" xfId="2092" xr:uid="{00000000-0005-0000-0000-000070060000}"/>
    <cellStyle name="Comma 3 17 3" xfId="1062" xr:uid="{00000000-0005-0000-0000-000071060000}"/>
    <cellStyle name="Comma 3 17 3 2" xfId="2094" xr:uid="{00000000-0005-0000-0000-000072060000}"/>
    <cellStyle name="Comma 3 17 3 3" xfId="2093" xr:uid="{00000000-0005-0000-0000-000073060000}"/>
    <cellStyle name="Comma 3 17 3 4" xfId="3479" xr:uid="{00000000-0005-0000-0000-000074060000}"/>
    <cellStyle name="Comma 3 17 4" xfId="1063" xr:uid="{00000000-0005-0000-0000-000075060000}"/>
    <cellStyle name="Comma 3 17 4 2" xfId="3480" xr:uid="{00000000-0005-0000-0000-000076060000}"/>
    <cellStyle name="Comma 3 17 5" xfId="2095" xr:uid="{00000000-0005-0000-0000-000077060000}"/>
    <cellStyle name="Comma 3 17 5 2" xfId="3481" xr:uid="{00000000-0005-0000-0000-000078060000}"/>
    <cellStyle name="Comma 3 18" xfId="256" xr:uid="{00000000-0005-0000-0000-000079060000}"/>
    <cellStyle name="Comma 3 18 2" xfId="257" xr:uid="{00000000-0005-0000-0000-00007A060000}"/>
    <cellStyle name="Comma 3 18 2 2" xfId="1064" xr:uid="{00000000-0005-0000-0000-00007B060000}"/>
    <cellStyle name="Comma 3 18 2 3" xfId="2096" xr:uid="{00000000-0005-0000-0000-00007C060000}"/>
    <cellStyle name="Comma 3 18 3" xfId="1065" xr:uid="{00000000-0005-0000-0000-00007D060000}"/>
    <cellStyle name="Comma 3 18 3 2" xfId="2098" xr:uid="{00000000-0005-0000-0000-00007E060000}"/>
    <cellStyle name="Comma 3 18 3 3" xfId="2097" xr:uid="{00000000-0005-0000-0000-00007F060000}"/>
    <cellStyle name="Comma 3 18 3 4" xfId="3482" xr:uid="{00000000-0005-0000-0000-000080060000}"/>
    <cellStyle name="Comma 3 18 4" xfId="1066" xr:uid="{00000000-0005-0000-0000-000081060000}"/>
    <cellStyle name="Comma 3 18 4 2" xfId="3483" xr:uid="{00000000-0005-0000-0000-000082060000}"/>
    <cellStyle name="Comma 3 18 5" xfId="2099" xr:uid="{00000000-0005-0000-0000-000083060000}"/>
    <cellStyle name="Comma 3 18 5 2" xfId="3484" xr:uid="{00000000-0005-0000-0000-000084060000}"/>
    <cellStyle name="Comma 3 19" xfId="258" xr:uid="{00000000-0005-0000-0000-000085060000}"/>
    <cellStyle name="Comma 3 19 2" xfId="259" xr:uid="{00000000-0005-0000-0000-000086060000}"/>
    <cellStyle name="Comma 3 19 2 2" xfId="1067" xr:uid="{00000000-0005-0000-0000-000087060000}"/>
    <cellStyle name="Comma 3 19 2 3" xfId="2100" xr:uid="{00000000-0005-0000-0000-000088060000}"/>
    <cellStyle name="Comma 3 19 3" xfId="1068" xr:uid="{00000000-0005-0000-0000-000089060000}"/>
    <cellStyle name="Comma 3 19 3 2" xfId="2102" xr:uid="{00000000-0005-0000-0000-00008A060000}"/>
    <cellStyle name="Comma 3 19 3 3" xfId="2101" xr:uid="{00000000-0005-0000-0000-00008B060000}"/>
    <cellStyle name="Comma 3 19 3 4" xfId="3485" xr:uid="{00000000-0005-0000-0000-00008C060000}"/>
    <cellStyle name="Comma 3 19 4" xfId="1069" xr:uid="{00000000-0005-0000-0000-00008D060000}"/>
    <cellStyle name="Comma 3 19 4 2" xfId="3486" xr:uid="{00000000-0005-0000-0000-00008E060000}"/>
    <cellStyle name="Comma 3 19 5" xfId="2103" xr:uid="{00000000-0005-0000-0000-00008F060000}"/>
    <cellStyle name="Comma 3 19 5 2" xfId="3487" xr:uid="{00000000-0005-0000-0000-000090060000}"/>
    <cellStyle name="Comma 3 2" xfId="260" xr:uid="{00000000-0005-0000-0000-000091060000}"/>
    <cellStyle name="Comma 3 2 2" xfId="261" xr:uid="{00000000-0005-0000-0000-000092060000}"/>
    <cellStyle name="Comma 3 2 2 2" xfId="1070" xr:uid="{00000000-0005-0000-0000-000093060000}"/>
    <cellStyle name="Comma 3 2 2 3" xfId="2104" xr:uid="{00000000-0005-0000-0000-000094060000}"/>
    <cellStyle name="Comma 3 2 3" xfId="1071" xr:uid="{00000000-0005-0000-0000-000095060000}"/>
    <cellStyle name="Comma 3 2 3 2" xfId="2106" xr:uid="{00000000-0005-0000-0000-000096060000}"/>
    <cellStyle name="Comma 3 2 3 3" xfId="2105" xr:uid="{00000000-0005-0000-0000-000097060000}"/>
    <cellStyle name="Comma 3 2 3 4" xfId="3488" xr:uid="{00000000-0005-0000-0000-000098060000}"/>
    <cellStyle name="Comma 3 2 4" xfId="1072" xr:uid="{00000000-0005-0000-0000-000099060000}"/>
    <cellStyle name="Comma 3 2 4 2" xfId="3489" xr:uid="{00000000-0005-0000-0000-00009A060000}"/>
    <cellStyle name="Comma 3 2 5" xfId="2107" xr:uid="{00000000-0005-0000-0000-00009B060000}"/>
    <cellStyle name="Comma 3 2 5 2" xfId="3490" xr:uid="{00000000-0005-0000-0000-00009C060000}"/>
    <cellStyle name="Comma 3 20" xfId="262" xr:uid="{00000000-0005-0000-0000-00009D060000}"/>
    <cellStyle name="Comma 3 20 2" xfId="263" xr:uid="{00000000-0005-0000-0000-00009E060000}"/>
    <cellStyle name="Comma 3 20 2 2" xfId="1073" xr:uid="{00000000-0005-0000-0000-00009F060000}"/>
    <cellStyle name="Comma 3 20 2 3" xfId="2108" xr:uid="{00000000-0005-0000-0000-0000A0060000}"/>
    <cellStyle name="Comma 3 20 3" xfId="1074" xr:uid="{00000000-0005-0000-0000-0000A1060000}"/>
    <cellStyle name="Comma 3 20 3 2" xfId="2110" xr:uid="{00000000-0005-0000-0000-0000A2060000}"/>
    <cellStyle name="Comma 3 20 3 3" xfId="2109" xr:uid="{00000000-0005-0000-0000-0000A3060000}"/>
    <cellStyle name="Comma 3 20 3 4" xfId="3491" xr:uid="{00000000-0005-0000-0000-0000A4060000}"/>
    <cellStyle name="Comma 3 20 4" xfId="1075" xr:uid="{00000000-0005-0000-0000-0000A5060000}"/>
    <cellStyle name="Comma 3 20 4 2" xfId="3492" xr:uid="{00000000-0005-0000-0000-0000A6060000}"/>
    <cellStyle name="Comma 3 20 5" xfId="2111" xr:uid="{00000000-0005-0000-0000-0000A7060000}"/>
    <cellStyle name="Comma 3 20 5 2" xfId="3493" xr:uid="{00000000-0005-0000-0000-0000A8060000}"/>
    <cellStyle name="Comma 3 21" xfId="264" xr:uid="{00000000-0005-0000-0000-0000A9060000}"/>
    <cellStyle name="Comma 3 21 2" xfId="1076" xr:uid="{00000000-0005-0000-0000-0000AA060000}"/>
    <cellStyle name="Comma 3 21 3" xfId="2112" xr:uid="{00000000-0005-0000-0000-0000AB060000}"/>
    <cellStyle name="Comma 3 22" xfId="1077" xr:uid="{00000000-0005-0000-0000-0000AC060000}"/>
    <cellStyle name="Comma 3 22 2" xfId="2114" xr:uid="{00000000-0005-0000-0000-0000AD060000}"/>
    <cellStyle name="Comma 3 22 3" xfId="2113" xr:uid="{00000000-0005-0000-0000-0000AE060000}"/>
    <cellStyle name="Comma 3 22 4" xfId="3494" xr:uid="{00000000-0005-0000-0000-0000AF060000}"/>
    <cellStyle name="Comma 3 23" xfId="1078" xr:uid="{00000000-0005-0000-0000-0000B0060000}"/>
    <cellStyle name="Comma 3 23 2" xfId="3495" xr:uid="{00000000-0005-0000-0000-0000B1060000}"/>
    <cellStyle name="Comma 3 24" xfId="2115" xr:uid="{00000000-0005-0000-0000-0000B2060000}"/>
    <cellStyle name="Comma 3 24 2" xfId="3496" xr:uid="{00000000-0005-0000-0000-0000B3060000}"/>
    <cellStyle name="Comma 3 3" xfId="265" xr:uid="{00000000-0005-0000-0000-0000B4060000}"/>
    <cellStyle name="Comma 3 3 2" xfId="266" xr:uid="{00000000-0005-0000-0000-0000B5060000}"/>
    <cellStyle name="Comma 3 3 2 2" xfId="1079" xr:uid="{00000000-0005-0000-0000-0000B6060000}"/>
    <cellStyle name="Comma 3 3 2 3" xfId="2116" xr:uid="{00000000-0005-0000-0000-0000B7060000}"/>
    <cellStyle name="Comma 3 3 3" xfId="1080" xr:uid="{00000000-0005-0000-0000-0000B8060000}"/>
    <cellStyle name="Comma 3 3 3 2" xfId="2118" xr:uid="{00000000-0005-0000-0000-0000B9060000}"/>
    <cellStyle name="Comma 3 3 3 3" xfId="2117" xr:uid="{00000000-0005-0000-0000-0000BA060000}"/>
    <cellStyle name="Comma 3 3 3 4" xfId="3497" xr:uid="{00000000-0005-0000-0000-0000BB060000}"/>
    <cellStyle name="Comma 3 3 4" xfId="1081" xr:uid="{00000000-0005-0000-0000-0000BC060000}"/>
    <cellStyle name="Comma 3 3 4 2" xfId="3498" xr:uid="{00000000-0005-0000-0000-0000BD060000}"/>
    <cellStyle name="Comma 3 3 5" xfId="2119" xr:uid="{00000000-0005-0000-0000-0000BE060000}"/>
    <cellStyle name="Comma 3 3 5 2" xfId="3499" xr:uid="{00000000-0005-0000-0000-0000BF060000}"/>
    <cellStyle name="Comma 3 4" xfId="267" xr:uid="{00000000-0005-0000-0000-0000C0060000}"/>
    <cellStyle name="Comma 3 4 2" xfId="268" xr:uid="{00000000-0005-0000-0000-0000C1060000}"/>
    <cellStyle name="Comma 3 4 2 2" xfId="1082" xr:uid="{00000000-0005-0000-0000-0000C2060000}"/>
    <cellStyle name="Comma 3 4 2 3" xfId="2120" xr:uid="{00000000-0005-0000-0000-0000C3060000}"/>
    <cellStyle name="Comma 3 4 3" xfId="1083" xr:uid="{00000000-0005-0000-0000-0000C4060000}"/>
    <cellStyle name="Comma 3 4 3 2" xfId="2122" xr:uid="{00000000-0005-0000-0000-0000C5060000}"/>
    <cellStyle name="Comma 3 4 3 3" xfId="2121" xr:uid="{00000000-0005-0000-0000-0000C6060000}"/>
    <cellStyle name="Comma 3 4 3 4" xfId="3500" xr:uid="{00000000-0005-0000-0000-0000C7060000}"/>
    <cellStyle name="Comma 3 4 4" xfId="1084" xr:uid="{00000000-0005-0000-0000-0000C8060000}"/>
    <cellStyle name="Comma 3 4 4 2" xfId="3501" xr:uid="{00000000-0005-0000-0000-0000C9060000}"/>
    <cellStyle name="Comma 3 4 5" xfId="2123" xr:uid="{00000000-0005-0000-0000-0000CA060000}"/>
    <cellStyle name="Comma 3 4 5 2" xfId="3502" xr:uid="{00000000-0005-0000-0000-0000CB060000}"/>
    <cellStyle name="Comma 3 5" xfId="269" xr:uid="{00000000-0005-0000-0000-0000CC060000}"/>
    <cellStyle name="Comma 3 5 2" xfId="270" xr:uid="{00000000-0005-0000-0000-0000CD060000}"/>
    <cellStyle name="Comma 3 5 2 2" xfId="1085" xr:uid="{00000000-0005-0000-0000-0000CE060000}"/>
    <cellStyle name="Comma 3 5 2 3" xfId="2124" xr:uid="{00000000-0005-0000-0000-0000CF060000}"/>
    <cellStyle name="Comma 3 5 3" xfId="1086" xr:uid="{00000000-0005-0000-0000-0000D0060000}"/>
    <cellStyle name="Comma 3 5 3 2" xfId="2126" xr:uid="{00000000-0005-0000-0000-0000D1060000}"/>
    <cellStyle name="Comma 3 5 3 3" xfId="2125" xr:uid="{00000000-0005-0000-0000-0000D2060000}"/>
    <cellStyle name="Comma 3 5 3 4" xfId="3503" xr:uid="{00000000-0005-0000-0000-0000D3060000}"/>
    <cellStyle name="Comma 3 5 4" xfId="1087" xr:uid="{00000000-0005-0000-0000-0000D4060000}"/>
    <cellStyle name="Comma 3 5 4 2" xfId="3504" xr:uid="{00000000-0005-0000-0000-0000D5060000}"/>
    <cellStyle name="Comma 3 5 5" xfId="2127" xr:uid="{00000000-0005-0000-0000-0000D6060000}"/>
    <cellStyle name="Comma 3 5 5 2" xfId="3505" xr:uid="{00000000-0005-0000-0000-0000D7060000}"/>
    <cellStyle name="Comma 3 6" xfId="271" xr:uid="{00000000-0005-0000-0000-0000D8060000}"/>
    <cellStyle name="Comma 3 6 2" xfId="272" xr:uid="{00000000-0005-0000-0000-0000D9060000}"/>
    <cellStyle name="Comma 3 6 2 2" xfId="1088" xr:uid="{00000000-0005-0000-0000-0000DA060000}"/>
    <cellStyle name="Comma 3 6 2 3" xfId="2128" xr:uid="{00000000-0005-0000-0000-0000DB060000}"/>
    <cellStyle name="Comma 3 6 3" xfId="1089" xr:uid="{00000000-0005-0000-0000-0000DC060000}"/>
    <cellStyle name="Comma 3 6 3 2" xfId="2130" xr:uid="{00000000-0005-0000-0000-0000DD060000}"/>
    <cellStyle name="Comma 3 6 3 3" xfId="2129" xr:uid="{00000000-0005-0000-0000-0000DE060000}"/>
    <cellStyle name="Comma 3 6 3 4" xfId="3506" xr:uid="{00000000-0005-0000-0000-0000DF060000}"/>
    <cellStyle name="Comma 3 6 4" xfId="1090" xr:uid="{00000000-0005-0000-0000-0000E0060000}"/>
    <cellStyle name="Comma 3 6 4 2" xfId="3507" xr:uid="{00000000-0005-0000-0000-0000E1060000}"/>
    <cellStyle name="Comma 3 6 5" xfId="2131" xr:uid="{00000000-0005-0000-0000-0000E2060000}"/>
    <cellStyle name="Comma 3 6 5 2" xfId="3508" xr:uid="{00000000-0005-0000-0000-0000E3060000}"/>
    <cellStyle name="Comma 3 7" xfId="273" xr:uid="{00000000-0005-0000-0000-0000E4060000}"/>
    <cellStyle name="Comma 3 7 2" xfId="274" xr:uid="{00000000-0005-0000-0000-0000E5060000}"/>
    <cellStyle name="Comma 3 7 2 2" xfId="1091" xr:uid="{00000000-0005-0000-0000-0000E6060000}"/>
    <cellStyle name="Comma 3 7 2 3" xfId="2132" xr:uid="{00000000-0005-0000-0000-0000E7060000}"/>
    <cellStyle name="Comma 3 7 3" xfId="1092" xr:uid="{00000000-0005-0000-0000-0000E8060000}"/>
    <cellStyle name="Comma 3 7 3 2" xfId="2134" xr:uid="{00000000-0005-0000-0000-0000E9060000}"/>
    <cellStyle name="Comma 3 7 3 3" xfId="2133" xr:uid="{00000000-0005-0000-0000-0000EA060000}"/>
    <cellStyle name="Comma 3 7 3 4" xfId="3509" xr:uid="{00000000-0005-0000-0000-0000EB060000}"/>
    <cellStyle name="Comma 3 7 4" xfId="1093" xr:uid="{00000000-0005-0000-0000-0000EC060000}"/>
    <cellStyle name="Comma 3 7 4 2" xfId="3510" xr:uid="{00000000-0005-0000-0000-0000ED060000}"/>
    <cellStyle name="Comma 3 7 5" xfId="2135" xr:uid="{00000000-0005-0000-0000-0000EE060000}"/>
    <cellStyle name="Comma 3 7 5 2" xfId="3511" xr:uid="{00000000-0005-0000-0000-0000EF060000}"/>
    <cellStyle name="Comma 3 8" xfId="275" xr:uid="{00000000-0005-0000-0000-0000F0060000}"/>
    <cellStyle name="Comma 3 8 2" xfId="276" xr:uid="{00000000-0005-0000-0000-0000F1060000}"/>
    <cellStyle name="Comma 3 8 2 2" xfId="1094" xr:uid="{00000000-0005-0000-0000-0000F2060000}"/>
    <cellStyle name="Comma 3 8 2 3" xfId="2136" xr:uid="{00000000-0005-0000-0000-0000F3060000}"/>
    <cellStyle name="Comma 3 8 3" xfId="1095" xr:uid="{00000000-0005-0000-0000-0000F4060000}"/>
    <cellStyle name="Comma 3 8 3 2" xfId="2138" xr:uid="{00000000-0005-0000-0000-0000F5060000}"/>
    <cellStyle name="Comma 3 8 3 3" xfId="2137" xr:uid="{00000000-0005-0000-0000-0000F6060000}"/>
    <cellStyle name="Comma 3 8 3 4" xfId="3513" xr:uid="{00000000-0005-0000-0000-0000F7060000}"/>
    <cellStyle name="Comma 3 8 4" xfId="1096" xr:uid="{00000000-0005-0000-0000-0000F8060000}"/>
    <cellStyle name="Comma 3 8 4 2" xfId="3514" xr:uid="{00000000-0005-0000-0000-0000F9060000}"/>
    <cellStyle name="Comma 3 8 5" xfId="2139" xr:uid="{00000000-0005-0000-0000-0000FA060000}"/>
    <cellStyle name="Comma 3 8 5 2" xfId="3515" xr:uid="{00000000-0005-0000-0000-0000FB060000}"/>
    <cellStyle name="Comma 3 9" xfId="277" xr:uid="{00000000-0005-0000-0000-0000FC060000}"/>
    <cellStyle name="Comma 3 9 2" xfId="278" xr:uid="{00000000-0005-0000-0000-0000FD060000}"/>
    <cellStyle name="Comma 3 9 2 2" xfId="1097" xr:uid="{00000000-0005-0000-0000-0000FE060000}"/>
    <cellStyle name="Comma 3 9 2 3" xfId="2140" xr:uid="{00000000-0005-0000-0000-0000FF060000}"/>
    <cellStyle name="Comma 3 9 3" xfId="1098" xr:uid="{00000000-0005-0000-0000-000000070000}"/>
    <cellStyle name="Comma 3 9 3 2" xfId="2142" xr:uid="{00000000-0005-0000-0000-000001070000}"/>
    <cellStyle name="Comma 3 9 3 3" xfId="2141" xr:uid="{00000000-0005-0000-0000-000002070000}"/>
    <cellStyle name="Comma 3 9 3 4" xfId="3516" xr:uid="{00000000-0005-0000-0000-000003070000}"/>
    <cellStyle name="Comma 3 9 4" xfId="1099" xr:uid="{00000000-0005-0000-0000-000004070000}"/>
    <cellStyle name="Comma 3 9 4 2" xfId="3517" xr:uid="{00000000-0005-0000-0000-000005070000}"/>
    <cellStyle name="Comma 3 9 5" xfId="2143" xr:uid="{00000000-0005-0000-0000-000006070000}"/>
    <cellStyle name="Comma 3 9 5 2" xfId="3518" xr:uid="{00000000-0005-0000-0000-000007070000}"/>
    <cellStyle name="Comma 30" xfId="1465" xr:uid="{00000000-0005-0000-0000-000008070000}"/>
    <cellStyle name="Comma 30 2" xfId="2144" xr:uid="{00000000-0005-0000-0000-000009070000}"/>
    <cellStyle name="Comma 300" xfId="4004" xr:uid="{00000000-0005-0000-0000-00000A070000}"/>
    <cellStyle name="Comma 301" xfId="3999" xr:uid="{00000000-0005-0000-0000-00000B070000}"/>
    <cellStyle name="Comma 302" xfId="4005" xr:uid="{00000000-0005-0000-0000-00000C070000}"/>
    <cellStyle name="Comma 303" xfId="4001" xr:uid="{00000000-0005-0000-0000-00000D070000}"/>
    <cellStyle name="Comma 304" xfId="4008" xr:uid="{00000000-0005-0000-0000-00000E070000}"/>
    <cellStyle name="Comma 305" xfId="4002" xr:uid="{00000000-0005-0000-0000-00000F070000}"/>
    <cellStyle name="Comma 306" xfId="4007" xr:uid="{00000000-0005-0000-0000-000010070000}"/>
    <cellStyle name="Comma 307" xfId="3998" xr:uid="{00000000-0005-0000-0000-000011070000}"/>
    <cellStyle name="Comma 308" xfId="4009" xr:uid="{00000000-0005-0000-0000-000012070000}"/>
    <cellStyle name="Comma 309" xfId="3997" xr:uid="{00000000-0005-0000-0000-000013070000}"/>
    <cellStyle name="Comma 31" xfId="1466" xr:uid="{00000000-0005-0000-0000-000014070000}"/>
    <cellStyle name="Comma 31 2" xfId="2145" xr:uid="{00000000-0005-0000-0000-000015070000}"/>
    <cellStyle name="Comma 310" xfId="4010" xr:uid="{00000000-0005-0000-0000-000016070000}"/>
    <cellStyle name="Comma 311" xfId="3996" xr:uid="{00000000-0005-0000-0000-000017070000}"/>
    <cellStyle name="Comma 312" xfId="4003" xr:uid="{00000000-0005-0000-0000-000018070000}"/>
    <cellStyle name="Comma 313" xfId="3995" xr:uid="{00000000-0005-0000-0000-000019070000}"/>
    <cellStyle name="Comma 314" xfId="4006" xr:uid="{00000000-0005-0000-0000-00001A070000}"/>
    <cellStyle name="Comma 315" xfId="3994" xr:uid="{00000000-0005-0000-0000-00001B070000}"/>
    <cellStyle name="Comma 316" xfId="4011" xr:uid="{00000000-0005-0000-0000-00001C070000}"/>
    <cellStyle name="Comma 317" xfId="3993" xr:uid="{00000000-0005-0000-0000-00001D070000}"/>
    <cellStyle name="Comma 318" xfId="4012" xr:uid="{00000000-0005-0000-0000-00001E070000}"/>
    <cellStyle name="Comma 319" xfId="3992" xr:uid="{00000000-0005-0000-0000-00001F070000}"/>
    <cellStyle name="Comma 32" xfId="1464" xr:uid="{00000000-0005-0000-0000-000020070000}"/>
    <cellStyle name="Comma 32 2" xfId="2146" xr:uid="{00000000-0005-0000-0000-000021070000}"/>
    <cellStyle name="Comma 320" xfId="4035" xr:uid="{00000000-0005-0000-0000-000022070000}"/>
    <cellStyle name="Comma 321" xfId="4036" xr:uid="{00000000-0005-0000-0000-000023070000}"/>
    <cellStyle name="Comma 322" xfId="4034" xr:uid="{00000000-0005-0000-0000-000024070000}"/>
    <cellStyle name="Comma 323" xfId="4037" xr:uid="{00000000-0005-0000-0000-000025070000}"/>
    <cellStyle name="Comma 324" xfId="4045" xr:uid="{00000000-0005-0000-0000-000026070000}"/>
    <cellStyle name="Comma 325" xfId="4046" xr:uid="{00000000-0005-0000-0000-000027070000}"/>
    <cellStyle name="Comma 326" xfId="4044" xr:uid="{00000000-0005-0000-0000-000028070000}"/>
    <cellStyle name="Comma 327" xfId="4047" xr:uid="{00000000-0005-0000-0000-000029070000}"/>
    <cellStyle name="Comma 328" xfId="4043" xr:uid="{00000000-0005-0000-0000-00002A070000}"/>
    <cellStyle name="Comma 329" xfId="4048" xr:uid="{00000000-0005-0000-0000-00002B070000}"/>
    <cellStyle name="Comma 33" xfId="1467" xr:uid="{00000000-0005-0000-0000-00002C070000}"/>
    <cellStyle name="Comma 33 2" xfId="2147" xr:uid="{00000000-0005-0000-0000-00002D070000}"/>
    <cellStyle name="Comma 330" xfId="4042" xr:uid="{00000000-0005-0000-0000-00002E070000}"/>
    <cellStyle name="Comma 331" xfId="4057" xr:uid="{00000000-0005-0000-0000-00002F070000}"/>
    <cellStyle name="Comma 332" xfId="4063" xr:uid="{00000000-0005-0000-0000-000030070000}"/>
    <cellStyle name="Comma 333" xfId="4062" xr:uid="{00000000-0005-0000-0000-000031070000}"/>
    <cellStyle name="Comma 334" xfId="4064" xr:uid="{00000000-0005-0000-0000-000032070000}"/>
    <cellStyle name="Comma 335" xfId="4061" xr:uid="{00000000-0005-0000-0000-000033070000}"/>
    <cellStyle name="Comma 34" xfId="1463" xr:uid="{00000000-0005-0000-0000-000034070000}"/>
    <cellStyle name="Comma 34 2" xfId="2148" xr:uid="{00000000-0005-0000-0000-000035070000}"/>
    <cellStyle name="Comma 35" xfId="1468" xr:uid="{00000000-0005-0000-0000-000036070000}"/>
    <cellStyle name="Comma 35 2" xfId="2149" xr:uid="{00000000-0005-0000-0000-000037070000}"/>
    <cellStyle name="Comma 36" xfId="1462" xr:uid="{00000000-0005-0000-0000-000038070000}"/>
    <cellStyle name="Comma 36 2" xfId="2150" xr:uid="{00000000-0005-0000-0000-000039070000}"/>
    <cellStyle name="Comma 37" xfId="1469" xr:uid="{00000000-0005-0000-0000-00003A070000}"/>
    <cellStyle name="Comma 37 2" xfId="2151" xr:uid="{00000000-0005-0000-0000-00003B070000}"/>
    <cellStyle name="Comma 38" xfId="1492" xr:uid="{00000000-0005-0000-0000-00003C070000}"/>
    <cellStyle name="Comma 38 2" xfId="2152" xr:uid="{00000000-0005-0000-0000-00003D070000}"/>
    <cellStyle name="Comma 39" xfId="1493" xr:uid="{00000000-0005-0000-0000-00003E070000}"/>
    <cellStyle name="Comma 4" xfId="279" xr:uid="{00000000-0005-0000-0000-00003F070000}"/>
    <cellStyle name="Comma 4 2" xfId="280" xr:uid="{00000000-0005-0000-0000-000040070000}"/>
    <cellStyle name="Comma 4 2 2" xfId="1100" xr:uid="{00000000-0005-0000-0000-000041070000}"/>
    <cellStyle name="Comma 4 2 3" xfId="2153" xr:uid="{00000000-0005-0000-0000-000042070000}"/>
    <cellStyle name="Comma 4 3" xfId="1101" xr:uid="{00000000-0005-0000-0000-000043070000}"/>
    <cellStyle name="Comma 4 3 2" xfId="2155" xr:uid="{00000000-0005-0000-0000-000044070000}"/>
    <cellStyle name="Comma 4 3 3" xfId="2154" xr:uid="{00000000-0005-0000-0000-000045070000}"/>
    <cellStyle name="Comma 4 3 4" xfId="3519" xr:uid="{00000000-0005-0000-0000-000046070000}"/>
    <cellStyle name="Comma 4 4" xfId="1102" xr:uid="{00000000-0005-0000-0000-000047070000}"/>
    <cellStyle name="Comma 4 4 2" xfId="3520" xr:uid="{00000000-0005-0000-0000-000048070000}"/>
    <cellStyle name="Comma 4 5" xfId="2156" xr:uid="{00000000-0005-0000-0000-000049070000}"/>
    <cellStyle name="Comma 4 5 2" xfId="3521" xr:uid="{00000000-0005-0000-0000-00004A070000}"/>
    <cellStyle name="Comma 40" xfId="1489" xr:uid="{00000000-0005-0000-0000-00004B070000}"/>
    <cellStyle name="Comma 41" xfId="1494" xr:uid="{00000000-0005-0000-0000-00004C070000}"/>
    <cellStyle name="Comma 42" xfId="1488" xr:uid="{00000000-0005-0000-0000-00004D070000}"/>
    <cellStyle name="Comma 43" xfId="1495" xr:uid="{00000000-0005-0000-0000-00004E070000}"/>
    <cellStyle name="Comma 44" xfId="1487" xr:uid="{00000000-0005-0000-0000-00004F070000}"/>
    <cellStyle name="Comma 44 2" xfId="2157" xr:uid="{00000000-0005-0000-0000-000050070000}"/>
    <cellStyle name="Comma 45" xfId="1496" xr:uid="{00000000-0005-0000-0000-000051070000}"/>
    <cellStyle name="Comma 45 2" xfId="2158" xr:uid="{00000000-0005-0000-0000-000052070000}"/>
    <cellStyle name="Comma 46" xfId="1486" xr:uid="{00000000-0005-0000-0000-000053070000}"/>
    <cellStyle name="Comma 46 2" xfId="2159" xr:uid="{00000000-0005-0000-0000-000054070000}"/>
    <cellStyle name="Comma 47" xfId="1497" xr:uid="{00000000-0005-0000-0000-000055070000}"/>
    <cellStyle name="Comma 47 2" xfId="2160" xr:uid="{00000000-0005-0000-0000-000056070000}"/>
    <cellStyle name="Comma 48" xfId="1485" xr:uid="{00000000-0005-0000-0000-000057070000}"/>
    <cellStyle name="Comma 48 2" xfId="2161" xr:uid="{00000000-0005-0000-0000-000058070000}"/>
    <cellStyle name="Comma 49" xfId="1498" xr:uid="{00000000-0005-0000-0000-000059070000}"/>
    <cellStyle name="Comma 49 2" xfId="2162" xr:uid="{00000000-0005-0000-0000-00005A070000}"/>
    <cellStyle name="Comma 5" xfId="281" xr:uid="{00000000-0005-0000-0000-00005B070000}"/>
    <cellStyle name="Comma 5 10" xfId="282" xr:uid="{00000000-0005-0000-0000-00005C070000}"/>
    <cellStyle name="Comma 5 10 2" xfId="283" xr:uid="{00000000-0005-0000-0000-00005D070000}"/>
    <cellStyle name="Comma 5 10 2 2" xfId="1103" xr:uid="{00000000-0005-0000-0000-00005E070000}"/>
    <cellStyle name="Comma 5 10 2 3" xfId="2163" xr:uid="{00000000-0005-0000-0000-00005F070000}"/>
    <cellStyle name="Comma 5 10 3" xfId="1104" xr:uid="{00000000-0005-0000-0000-000060070000}"/>
    <cellStyle name="Comma 5 10 3 2" xfId="2165" xr:uid="{00000000-0005-0000-0000-000061070000}"/>
    <cellStyle name="Comma 5 10 3 3" xfId="2164" xr:uid="{00000000-0005-0000-0000-000062070000}"/>
    <cellStyle name="Comma 5 10 3 4" xfId="3522" xr:uid="{00000000-0005-0000-0000-000063070000}"/>
    <cellStyle name="Comma 5 10 4" xfId="1105" xr:uid="{00000000-0005-0000-0000-000064070000}"/>
    <cellStyle name="Comma 5 10 4 2" xfId="3523" xr:uid="{00000000-0005-0000-0000-000065070000}"/>
    <cellStyle name="Comma 5 10 5" xfId="2166" xr:uid="{00000000-0005-0000-0000-000066070000}"/>
    <cellStyle name="Comma 5 10 5 2" xfId="3524" xr:uid="{00000000-0005-0000-0000-000067070000}"/>
    <cellStyle name="Comma 5 11" xfId="284" xr:uid="{00000000-0005-0000-0000-000068070000}"/>
    <cellStyle name="Comma 5 11 2" xfId="285" xr:uid="{00000000-0005-0000-0000-000069070000}"/>
    <cellStyle name="Comma 5 11 2 2" xfId="1106" xr:uid="{00000000-0005-0000-0000-00006A070000}"/>
    <cellStyle name="Comma 5 11 2 3" xfId="2167" xr:uid="{00000000-0005-0000-0000-00006B070000}"/>
    <cellStyle name="Comma 5 11 3" xfId="1107" xr:uid="{00000000-0005-0000-0000-00006C070000}"/>
    <cellStyle name="Comma 5 11 3 2" xfId="2169" xr:uid="{00000000-0005-0000-0000-00006D070000}"/>
    <cellStyle name="Comma 5 11 3 3" xfId="2168" xr:uid="{00000000-0005-0000-0000-00006E070000}"/>
    <cellStyle name="Comma 5 11 3 4" xfId="3525" xr:uid="{00000000-0005-0000-0000-00006F070000}"/>
    <cellStyle name="Comma 5 11 4" xfId="1108" xr:uid="{00000000-0005-0000-0000-000070070000}"/>
    <cellStyle name="Comma 5 11 4 2" xfId="3526" xr:uid="{00000000-0005-0000-0000-000071070000}"/>
    <cellStyle name="Comma 5 11 5" xfId="2170" xr:uid="{00000000-0005-0000-0000-000072070000}"/>
    <cellStyle name="Comma 5 11 5 2" xfId="3527" xr:uid="{00000000-0005-0000-0000-000073070000}"/>
    <cellStyle name="Comma 5 12" xfId="286" xr:uid="{00000000-0005-0000-0000-000074070000}"/>
    <cellStyle name="Comma 5 12 2" xfId="287" xr:uid="{00000000-0005-0000-0000-000075070000}"/>
    <cellStyle name="Comma 5 12 2 2" xfId="1109" xr:uid="{00000000-0005-0000-0000-000076070000}"/>
    <cellStyle name="Comma 5 12 2 3" xfId="2171" xr:uid="{00000000-0005-0000-0000-000077070000}"/>
    <cellStyle name="Comma 5 12 3" xfId="1110" xr:uid="{00000000-0005-0000-0000-000078070000}"/>
    <cellStyle name="Comma 5 12 3 2" xfId="2173" xr:uid="{00000000-0005-0000-0000-000079070000}"/>
    <cellStyle name="Comma 5 12 3 3" xfId="2172" xr:uid="{00000000-0005-0000-0000-00007A070000}"/>
    <cellStyle name="Comma 5 12 3 4" xfId="3528" xr:uid="{00000000-0005-0000-0000-00007B070000}"/>
    <cellStyle name="Comma 5 12 4" xfId="1111" xr:uid="{00000000-0005-0000-0000-00007C070000}"/>
    <cellStyle name="Comma 5 12 4 2" xfId="3529" xr:uid="{00000000-0005-0000-0000-00007D070000}"/>
    <cellStyle name="Comma 5 12 5" xfId="2174" xr:uid="{00000000-0005-0000-0000-00007E070000}"/>
    <cellStyle name="Comma 5 12 5 2" xfId="3530" xr:uid="{00000000-0005-0000-0000-00007F070000}"/>
    <cellStyle name="Comma 5 13" xfId="288" xr:uid="{00000000-0005-0000-0000-000080070000}"/>
    <cellStyle name="Comma 5 13 2" xfId="289" xr:uid="{00000000-0005-0000-0000-000081070000}"/>
    <cellStyle name="Comma 5 13 2 2" xfId="1112" xr:uid="{00000000-0005-0000-0000-000082070000}"/>
    <cellStyle name="Comma 5 13 2 3" xfId="2175" xr:uid="{00000000-0005-0000-0000-000083070000}"/>
    <cellStyle name="Comma 5 13 3" xfId="1113" xr:uid="{00000000-0005-0000-0000-000084070000}"/>
    <cellStyle name="Comma 5 13 3 2" xfId="2177" xr:uid="{00000000-0005-0000-0000-000085070000}"/>
    <cellStyle name="Comma 5 13 3 3" xfId="2176" xr:uid="{00000000-0005-0000-0000-000086070000}"/>
    <cellStyle name="Comma 5 13 3 4" xfId="3531" xr:uid="{00000000-0005-0000-0000-000087070000}"/>
    <cellStyle name="Comma 5 13 4" xfId="1114" xr:uid="{00000000-0005-0000-0000-000088070000}"/>
    <cellStyle name="Comma 5 13 4 2" xfId="3532" xr:uid="{00000000-0005-0000-0000-000089070000}"/>
    <cellStyle name="Comma 5 13 5" xfId="2178" xr:uid="{00000000-0005-0000-0000-00008A070000}"/>
    <cellStyle name="Comma 5 13 5 2" xfId="3533" xr:uid="{00000000-0005-0000-0000-00008B070000}"/>
    <cellStyle name="Comma 5 14" xfId="290" xr:uid="{00000000-0005-0000-0000-00008C070000}"/>
    <cellStyle name="Comma 5 14 2" xfId="291" xr:uid="{00000000-0005-0000-0000-00008D070000}"/>
    <cellStyle name="Comma 5 14 2 2" xfId="1115" xr:uid="{00000000-0005-0000-0000-00008E070000}"/>
    <cellStyle name="Comma 5 14 2 3" xfId="2179" xr:uid="{00000000-0005-0000-0000-00008F070000}"/>
    <cellStyle name="Comma 5 14 3" xfId="1116" xr:uid="{00000000-0005-0000-0000-000090070000}"/>
    <cellStyle name="Comma 5 14 3 2" xfId="2181" xr:uid="{00000000-0005-0000-0000-000091070000}"/>
    <cellStyle name="Comma 5 14 3 3" xfId="2180" xr:uid="{00000000-0005-0000-0000-000092070000}"/>
    <cellStyle name="Comma 5 14 3 4" xfId="3534" xr:uid="{00000000-0005-0000-0000-000093070000}"/>
    <cellStyle name="Comma 5 14 4" xfId="1117" xr:uid="{00000000-0005-0000-0000-000094070000}"/>
    <cellStyle name="Comma 5 14 4 2" xfId="3535" xr:uid="{00000000-0005-0000-0000-000095070000}"/>
    <cellStyle name="Comma 5 14 5" xfId="2182" xr:uid="{00000000-0005-0000-0000-000096070000}"/>
    <cellStyle name="Comma 5 14 5 2" xfId="3536" xr:uid="{00000000-0005-0000-0000-000097070000}"/>
    <cellStyle name="Comma 5 15" xfId="292" xr:uid="{00000000-0005-0000-0000-000098070000}"/>
    <cellStyle name="Comma 5 15 2" xfId="293" xr:uid="{00000000-0005-0000-0000-000099070000}"/>
    <cellStyle name="Comma 5 15 2 2" xfId="1118" xr:uid="{00000000-0005-0000-0000-00009A070000}"/>
    <cellStyle name="Comma 5 15 2 3" xfId="2183" xr:uid="{00000000-0005-0000-0000-00009B070000}"/>
    <cellStyle name="Comma 5 15 3" xfId="1119" xr:uid="{00000000-0005-0000-0000-00009C070000}"/>
    <cellStyle name="Comma 5 15 3 2" xfId="2185" xr:uid="{00000000-0005-0000-0000-00009D070000}"/>
    <cellStyle name="Comma 5 15 3 3" xfId="2184" xr:uid="{00000000-0005-0000-0000-00009E070000}"/>
    <cellStyle name="Comma 5 15 3 4" xfId="3538" xr:uid="{00000000-0005-0000-0000-00009F070000}"/>
    <cellStyle name="Comma 5 15 4" xfId="1120" xr:uid="{00000000-0005-0000-0000-0000A0070000}"/>
    <cellStyle name="Comma 5 15 4 2" xfId="3539" xr:uid="{00000000-0005-0000-0000-0000A1070000}"/>
    <cellStyle name="Comma 5 15 5" xfId="2186" xr:uid="{00000000-0005-0000-0000-0000A2070000}"/>
    <cellStyle name="Comma 5 15 5 2" xfId="3540" xr:uid="{00000000-0005-0000-0000-0000A3070000}"/>
    <cellStyle name="Comma 5 16" xfId="294" xr:uid="{00000000-0005-0000-0000-0000A4070000}"/>
    <cellStyle name="Comma 5 16 2" xfId="295" xr:uid="{00000000-0005-0000-0000-0000A5070000}"/>
    <cellStyle name="Comma 5 16 2 2" xfId="1121" xr:uid="{00000000-0005-0000-0000-0000A6070000}"/>
    <cellStyle name="Comma 5 16 2 3" xfId="2187" xr:uid="{00000000-0005-0000-0000-0000A7070000}"/>
    <cellStyle name="Comma 5 16 3" xfId="1122" xr:uid="{00000000-0005-0000-0000-0000A8070000}"/>
    <cellStyle name="Comma 5 16 3 2" xfId="2189" xr:uid="{00000000-0005-0000-0000-0000A9070000}"/>
    <cellStyle name="Comma 5 16 3 3" xfId="2188" xr:uid="{00000000-0005-0000-0000-0000AA070000}"/>
    <cellStyle name="Comma 5 16 3 4" xfId="3543" xr:uid="{00000000-0005-0000-0000-0000AB070000}"/>
    <cellStyle name="Comma 5 16 4" xfId="1123" xr:uid="{00000000-0005-0000-0000-0000AC070000}"/>
    <cellStyle name="Comma 5 16 4 2" xfId="3544" xr:uid="{00000000-0005-0000-0000-0000AD070000}"/>
    <cellStyle name="Comma 5 16 5" xfId="2190" xr:uid="{00000000-0005-0000-0000-0000AE070000}"/>
    <cellStyle name="Comma 5 16 5 2" xfId="3545" xr:uid="{00000000-0005-0000-0000-0000AF070000}"/>
    <cellStyle name="Comma 5 17" xfId="296" xr:uid="{00000000-0005-0000-0000-0000B0070000}"/>
    <cellStyle name="Comma 5 17 2" xfId="297" xr:uid="{00000000-0005-0000-0000-0000B1070000}"/>
    <cellStyle name="Comma 5 17 2 2" xfId="1124" xr:uid="{00000000-0005-0000-0000-0000B2070000}"/>
    <cellStyle name="Comma 5 17 2 3" xfId="2191" xr:uid="{00000000-0005-0000-0000-0000B3070000}"/>
    <cellStyle name="Comma 5 17 3" xfId="1125" xr:uid="{00000000-0005-0000-0000-0000B4070000}"/>
    <cellStyle name="Comma 5 17 3 2" xfId="2193" xr:uid="{00000000-0005-0000-0000-0000B5070000}"/>
    <cellStyle name="Comma 5 17 3 3" xfId="2192" xr:uid="{00000000-0005-0000-0000-0000B6070000}"/>
    <cellStyle name="Comma 5 17 3 4" xfId="3548" xr:uid="{00000000-0005-0000-0000-0000B7070000}"/>
    <cellStyle name="Comma 5 17 4" xfId="1126" xr:uid="{00000000-0005-0000-0000-0000B8070000}"/>
    <cellStyle name="Comma 5 17 4 2" xfId="3549" xr:uid="{00000000-0005-0000-0000-0000B9070000}"/>
    <cellStyle name="Comma 5 17 5" xfId="2194" xr:uid="{00000000-0005-0000-0000-0000BA070000}"/>
    <cellStyle name="Comma 5 17 5 2" xfId="3550" xr:uid="{00000000-0005-0000-0000-0000BB070000}"/>
    <cellStyle name="Comma 5 18" xfId="298" xr:uid="{00000000-0005-0000-0000-0000BC070000}"/>
    <cellStyle name="Comma 5 18 2" xfId="299" xr:uid="{00000000-0005-0000-0000-0000BD070000}"/>
    <cellStyle name="Comma 5 18 2 2" xfId="1127" xr:uid="{00000000-0005-0000-0000-0000BE070000}"/>
    <cellStyle name="Comma 5 18 2 3" xfId="2195" xr:uid="{00000000-0005-0000-0000-0000BF070000}"/>
    <cellStyle name="Comma 5 18 3" xfId="1128" xr:uid="{00000000-0005-0000-0000-0000C0070000}"/>
    <cellStyle name="Comma 5 18 3 2" xfId="2197" xr:uid="{00000000-0005-0000-0000-0000C1070000}"/>
    <cellStyle name="Comma 5 18 3 3" xfId="2196" xr:uid="{00000000-0005-0000-0000-0000C2070000}"/>
    <cellStyle name="Comma 5 18 3 4" xfId="3553" xr:uid="{00000000-0005-0000-0000-0000C3070000}"/>
    <cellStyle name="Comma 5 18 4" xfId="1129" xr:uid="{00000000-0005-0000-0000-0000C4070000}"/>
    <cellStyle name="Comma 5 18 4 2" xfId="3554" xr:uid="{00000000-0005-0000-0000-0000C5070000}"/>
    <cellStyle name="Comma 5 18 5" xfId="2198" xr:uid="{00000000-0005-0000-0000-0000C6070000}"/>
    <cellStyle name="Comma 5 18 5 2" xfId="3555" xr:uid="{00000000-0005-0000-0000-0000C7070000}"/>
    <cellStyle name="Comma 5 19" xfId="300" xr:uid="{00000000-0005-0000-0000-0000C8070000}"/>
    <cellStyle name="Comma 5 19 2" xfId="301" xr:uid="{00000000-0005-0000-0000-0000C9070000}"/>
    <cellStyle name="Comma 5 19 2 2" xfId="1130" xr:uid="{00000000-0005-0000-0000-0000CA070000}"/>
    <cellStyle name="Comma 5 19 2 3" xfId="2199" xr:uid="{00000000-0005-0000-0000-0000CB070000}"/>
    <cellStyle name="Comma 5 19 3" xfId="1131" xr:uid="{00000000-0005-0000-0000-0000CC070000}"/>
    <cellStyle name="Comma 5 19 3 2" xfId="2201" xr:uid="{00000000-0005-0000-0000-0000CD070000}"/>
    <cellStyle name="Comma 5 19 3 3" xfId="2200" xr:uid="{00000000-0005-0000-0000-0000CE070000}"/>
    <cellStyle name="Comma 5 19 3 4" xfId="3558" xr:uid="{00000000-0005-0000-0000-0000CF070000}"/>
    <cellStyle name="Comma 5 19 4" xfId="1132" xr:uid="{00000000-0005-0000-0000-0000D0070000}"/>
    <cellStyle name="Comma 5 19 4 2" xfId="3559" xr:uid="{00000000-0005-0000-0000-0000D1070000}"/>
    <cellStyle name="Comma 5 19 5" xfId="2202" xr:uid="{00000000-0005-0000-0000-0000D2070000}"/>
    <cellStyle name="Comma 5 19 5 2" xfId="3560" xr:uid="{00000000-0005-0000-0000-0000D3070000}"/>
    <cellStyle name="Comma 5 2" xfId="302" xr:uid="{00000000-0005-0000-0000-0000D4070000}"/>
    <cellStyle name="Comma 5 2 2" xfId="303" xr:uid="{00000000-0005-0000-0000-0000D5070000}"/>
    <cellStyle name="Comma 5 2 2 2" xfId="1133" xr:uid="{00000000-0005-0000-0000-0000D6070000}"/>
    <cellStyle name="Comma 5 2 2 3" xfId="2203" xr:uid="{00000000-0005-0000-0000-0000D7070000}"/>
    <cellStyle name="Comma 5 2 3" xfId="1134" xr:uid="{00000000-0005-0000-0000-0000D8070000}"/>
    <cellStyle name="Comma 5 2 3 2" xfId="2205" xr:uid="{00000000-0005-0000-0000-0000D9070000}"/>
    <cellStyle name="Comma 5 2 3 3" xfId="2204" xr:uid="{00000000-0005-0000-0000-0000DA070000}"/>
    <cellStyle name="Comma 5 2 3 4" xfId="3562" xr:uid="{00000000-0005-0000-0000-0000DB070000}"/>
    <cellStyle name="Comma 5 2 4" xfId="1135" xr:uid="{00000000-0005-0000-0000-0000DC070000}"/>
    <cellStyle name="Comma 5 2 4 2" xfId="3563" xr:uid="{00000000-0005-0000-0000-0000DD070000}"/>
    <cellStyle name="Comma 5 2 5" xfId="2206" xr:uid="{00000000-0005-0000-0000-0000DE070000}"/>
    <cellStyle name="Comma 5 2 5 2" xfId="3564" xr:uid="{00000000-0005-0000-0000-0000DF070000}"/>
    <cellStyle name="Comma 5 20" xfId="304" xr:uid="{00000000-0005-0000-0000-0000E0070000}"/>
    <cellStyle name="Comma 5 20 2" xfId="305" xr:uid="{00000000-0005-0000-0000-0000E1070000}"/>
    <cellStyle name="Comma 5 20 2 2" xfId="1136" xr:uid="{00000000-0005-0000-0000-0000E2070000}"/>
    <cellStyle name="Comma 5 20 2 3" xfId="2207" xr:uid="{00000000-0005-0000-0000-0000E3070000}"/>
    <cellStyle name="Comma 5 20 3" xfId="1137" xr:uid="{00000000-0005-0000-0000-0000E4070000}"/>
    <cellStyle name="Comma 5 20 3 2" xfId="2209" xr:uid="{00000000-0005-0000-0000-0000E5070000}"/>
    <cellStyle name="Comma 5 20 3 3" xfId="2208" xr:uid="{00000000-0005-0000-0000-0000E6070000}"/>
    <cellStyle name="Comma 5 20 3 4" xfId="3565" xr:uid="{00000000-0005-0000-0000-0000E7070000}"/>
    <cellStyle name="Comma 5 20 4" xfId="1138" xr:uid="{00000000-0005-0000-0000-0000E8070000}"/>
    <cellStyle name="Comma 5 20 4 2" xfId="3566" xr:uid="{00000000-0005-0000-0000-0000E9070000}"/>
    <cellStyle name="Comma 5 20 5" xfId="2210" xr:uid="{00000000-0005-0000-0000-0000EA070000}"/>
    <cellStyle name="Comma 5 20 5 2" xfId="3567" xr:uid="{00000000-0005-0000-0000-0000EB070000}"/>
    <cellStyle name="Comma 5 21" xfId="306" xr:uid="{00000000-0005-0000-0000-0000EC070000}"/>
    <cellStyle name="Comma 5 21 2" xfId="1139" xr:uid="{00000000-0005-0000-0000-0000ED070000}"/>
    <cellStyle name="Comma 5 21 3" xfId="2211" xr:uid="{00000000-0005-0000-0000-0000EE070000}"/>
    <cellStyle name="Comma 5 22" xfId="1140" xr:uid="{00000000-0005-0000-0000-0000EF070000}"/>
    <cellStyle name="Comma 5 22 2" xfId="2213" xr:uid="{00000000-0005-0000-0000-0000F0070000}"/>
    <cellStyle name="Comma 5 22 3" xfId="2212" xr:uid="{00000000-0005-0000-0000-0000F1070000}"/>
    <cellStyle name="Comma 5 22 4" xfId="3568" xr:uid="{00000000-0005-0000-0000-0000F2070000}"/>
    <cellStyle name="Comma 5 23" xfId="1141" xr:uid="{00000000-0005-0000-0000-0000F3070000}"/>
    <cellStyle name="Comma 5 23 2" xfId="3569" xr:uid="{00000000-0005-0000-0000-0000F4070000}"/>
    <cellStyle name="Comma 5 24" xfId="2214" xr:uid="{00000000-0005-0000-0000-0000F5070000}"/>
    <cellStyle name="Comma 5 24 2" xfId="3570" xr:uid="{00000000-0005-0000-0000-0000F6070000}"/>
    <cellStyle name="Comma 5 3" xfId="307" xr:uid="{00000000-0005-0000-0000-0000F7070000}"/>
    <cellStyle name="Comma 5 3 2" xfId="308" xr:uid="{00000000-0005-0000-0000-0000F8070000}"/>
    <cellStyle name="Comma 5 3 2 2" xfId="1142" xr:uid="{00000000-0005-0000-0000-0000F9070000}"/>
    <cellStyle name="Comma 5 3 2 3" xfId="2215" xr:uid="{00000000-0005-0000-0000-0000FA070000}"/>
    <cellStyle name="Comma 5 3 3" xfId="1143" xr:uid="{00000000-0005-0000-0000-0000FB070000}"/>
    <cellStyle name="Comma 5 3 3 2" xfId="2217" xr:uid="{00000000-0005-0000-0000-0000FC070000}"/>
    <cellStyle name="Comma 5 3 3 3" xfId="2216" xr:uid="{00000000-0005-0000-0000-0000FD070000}"/>
    <cellStyle name="Comma 5 3 3 4" xfId="3571" xr:uid="{00000000-0005-0000-0000-0000FE070000}"/>
    <cellStyle name="Comma 5 3 4" xfId="1144" xr:uid="{00000000-0005-0000-0000-0000FF070000}"/>
    <cellStyle name="Comma 5 3 4 2" xfId="3572" xr:uid="{00000000-0005-0000-0000-000000080000}"/>
    <cellStyle name="Comma 5 3 5" xfId="2218" xr:uid="{00000000-0005-0000-0000-000001080000}"/>
    <cellStyle name="Comma 5 3 5 2" xfId="3573" xr:uid="{00000000-0005-0000-0000-000002080000}"/>
    <cellStyle name="Comma 5 4" xfId="309" xr:uid="{00000000-0005-0000-0000-000003080000}"/>
    <cellStyle name="Comma 5 4 2" xfId="310" xr:uid="{00000000-0005-0000-0000-000004080000}"/>
    <cellStyle name="Comma 5 4 2 2" xfId="1145" xr:uid="{00000000-0005-0000-0000-000005080000}"/>
    <cellStyle name="Comma 5 4 2 3" xfId="2219" xr:uid="{00000000-0005-0000-0000-000006080000}"/>
    <cellStyle name="Comma 5 4 3" xfId="1146" xr:uid="{00000000-0005-0000-0000-000007080000}"/>
    <cellStyle name="Comma 5 4 3 2" xfId="2221" xr:uid="{00000000-0005-0000-0000-000008080000}"/>
    <cellStyle name="Comma 5 4 3 3" xfId="2220" xr:uid="{00000000-0005-0000-0000-000009080000}"/>
    <cellStyle name="Comma 5 4 3 4" xfId="3574" xr:uid="{00000000-0005-0000-0000-00000A080000}"/>
    <cellStyle name="Comma 5 4 4" xfId="1147" xr:uid="{00000000-0005-0000-0000-00000B080000}"/>
    <cellStyle name="Comma 5 4 4 2" xfId="3575" xr:uid="{00000000-0005-0000-0000-00000C080000}"/>
    <cellStyle name="Comma 5 4 5" xfId="2222" xr:uid="{00000000-0005-0000-0000-00000D080000}"/>
    <cellStyle name="Comma 5 4 5 2" xfId="3576" xr:uid="{00000000-0005-0000-0000-00000E080000}"/>
    <cellStyle name="Comma 5 5" xfId="311" xr:uid="{00000000-0005-0000-0000-00000F080000}"/>
    <cellStyle name="Comma 5 5 2" xfId="312" xr:uid="{00000000-0005-0000-0000-000010080000}"/>
    <cellStyle name="Comma 5 5 2 2" xfId="1148" xr:uid="{00000000-0005-0000-0000-000011080000}"/>
    <cellStyle name="Comma 5 5 2 3" xfId="2223" xr:uid="{00000000-0005-0000-0000-000012080000}"/>
    <cellStyle name="Comma 5 5 3" xfId="1149" xr:uid="{00000000-0005-0000-0000-000013080000}"/>
    <cellStyle name="Comma 5 5 3 2" xfId="2225" xr:uid="{00000000-0005-0000-0000-000014080000}"/>
    <cellStyle name="Comma 5 5 3 3" xfId="2224" xr:uid="{00000000-0005-0000-0000-000015080000}"/>
    <cellStyle name="Comma 5 5 3 4" xfId="3577" xr:uid="{00000000-0005-0000-0000-000016080000}"/>
    <cellStyle name="Comma 5 5 4" xfId="1150" xr:uid="{00000000-0005-0000-0000-000017080000}"/>
    <cellStyle name="Comma 5 5 4 2" xfId="3578" xr:uid="{00000000-0005-0000-0000-000018080000}"/>
    <cellStyle name="Comma 5 5 5" xfId="2226" xr:uid="{00000000-0005-0000-0000-000019080000}"/>
    <cellStyle name="Comma 5 5 5 2" xfId="3579" xr:uid="{00000000-0005-0000-0000-00001A080000}"/>
    <cellStyle name="Comma 5 6" xfId="313" xr:uid="{00000000-0005-0000-0000-00001B080000}"/>
    <cellStyle name="Comma 5 6 2" xfId="314" xr:uid="{00000000-0005-0000-0000-00001C080000}"/>
    <cellStyle name="Comma 5 6 2 2" xfId="1151" xr:uid="{00000000-0005-0000-0000-00001D080000}"/>
    <cellStyle name="Comma 5 6 2 3" xfId="2227" xr:uid="{00000000-0005-0000-0000-00001E080000}"/>
    <cellStyle name="Comma 5 6 3" xfId="1152" xr:uid="{00000000-0005-0000-0000-00001F080000}"/>
    <cellStyle name="Comma 5 6 3 2" xfId="2229" xr:uid="{00000000-0005-0000-0000-000020080000}"/>
    <cellStyle name="Comma 5 6 3 3" xfId="2228" xr:uid="{00000000-0005-0000-0000-000021080000}"/>
    <cellStyle name="Comma 5 6 3 4" xfId="3580" xr:uid="{00000000-0005-0000-0000-000022080000}"/>
    <cellStyle name="Comma 5 6 4" xfId="1153" xr:uid="{00000000-0005-0000-0000-000023080000}"/>
    <cellStyle name="Comma 5 6 4 2" xfId="3581" xr:uid="{00000000-0005-0000-0000-000024080000}"/>
    <cellStyle name="Comma 5 6 5" xfId="2230" xr:uid="{00000000-0005-0000-0000-000025080000}"/>
    <cellStyle name="Comma 5 6 5 2" xfId="3582" xr:uid="{00000000-0005-0000-0000-000026080000}"/>
    <cellStyle name="Comma 5 7" xfId="315" xr:uid="{00000000-0005-0000-0000-000027080000}"/>
    <cellStyle name="Comma 5 7 2" xfId="316" xr:uid="{00000000-0005-0000-0000-000028080000}"/>
    <cellStyle name="Comma 5 7 2 2" xfId="1154" xr:uid="{00000000-0005-0000-0000-000029080000}"/>
    <cellStyle name="Comma 5 7 2 3" xfId="2231" xr:uid="{00000000-0005-0000-0000-00002A080000}"/>
    <cellStyle name="Comma 5 7 3" xfId="1155" xr:uid="{00000000-0005-0000-0000-00002B080000}"/>
    <cellStyle name="Comma 5 7 3 2" xfId="2233" xr:uid="{00000000-0005-0000-0000-00002C080000}"/>
    <cellStyle name="Comma 5 7 3 3" xfId="2232" xr:uid="{00000000-0005-0000-0000-00002D080000}"/>
    <cellStyle name="Comma 5 7 3 4" xfId="3583" xr:uid="{00000000-0005-0000-0000-00002E080000}"/>
    <cellStyle name="Comma 5 7 4" xfId="1156" xr:uid="{00000000-0005-0000-0000-00002F080000}"/>
    <cellStyle name="Comma 5 7 4 2" xfId="3584" xr:uid="{00000000-0005-0000-0000-000030080000}"/>
    <cellStyle name="Comma 5 7 5" xfId="2234" xr:uid="{00000000-0005-0000-0000-000031080000}"/>
    <cellStyle name="Comma 5 7 5 2" xfId="3585" xr:uid="{00000000-0005-0000-0000-000032080000}"/>
    <cellStyle name="Comma 5 8" xfId="317" xr:uid="{00000000-0005-0000-0000-000033080000}"/>
    <cellStyle name="Comma 5 8 2" xfId="318" xr:uid="{00000000-0005-0000-0000-000034080000}"/>
    <cellStyle name="Comma 5 8 2 2" xfId="1157" xr:uid="{00000000-0005-0000-0000-000035080000}"/>
    <cellStyle name="Comma 5 8 2 3" xfId="2235" xr:uid="{00000000-0005-0000-0000-000036080000}"/>
    <cellStyle name="Comma 5 8 3" xfId="1158" xr:uid="{00000000-0005-0000-0000-000037080000}"/>
    <cellStyle name="Comma 5 8 3 2" xfId="2237" xr:uid="{00000000-0005-0000-0000-000038080000}"/>
    <cellStyle name="Comma 5 8 3 3" xfId="2236" xr:uid="{00000000-0005-0000-0000-000039080000}"/>
    <cellStyle name="Comma 5 8 3 4" xfId="3586" xr:uid="{00000000-0005-0000-0000-00003A080000}"/>
    <cellStyle name="Comma 5 8 4" xfId="1159" xr:uid="{00000000-0005-0000-0000-00003B080000}"/>
    <cellStyle name="Comma 5 8 4 2" xfId="3587" xr:uid="{00000000-0005-0000-0000-00003C080000}"/>
    <cellStyle name="Comma 5 8 5" xfId="2238" xr:uid="{00000000-0005-0000-0000-00003D080000}"/>
    <cellStyle name="Comma 5 8 5 2" xfId="3588" xr:uid="{00000000-0005-0000-0000-00003E080000}"/>
    <cellStyle name="Comma 5 9" xfId="319" xr:uid="{00000000-0005-0000-0000-00003F080000}"/>
    <cellStyle name="Comma 5 9 2" xfId="320" xr:uid="{00000000-0005-0000-0000-000040080000}"/>
    <cellStyle name="Comma 5 9 2 2" xfId="1160" xr:uid="{00000000-0005-0000-0000-000041080000}"/>
    <cellStyle name="Comma 5 9 2 3" xfId="2239" xr:uid="{00000000-0005-0000-0000-000042080000}"/>
    <cellStyle name="Comma 5 9 3" xfId="1161" xr:uid="{00000000-0005-0000-0000-000043080000}"/>
    <cellStyle name="Comma 5 9 3 2" xfId="2241" xr:uid="{00000000-0005-0000-0000-000044080000}"/>
    <cellStyle name="Comma 5 9 3 3" xfId="2240" xr:uid="{00000000-0005-0000-0000-000045080000}"/>
    <cellStyle name="Comma 5 9 3 4" xfId="3589" xr:uid="{00000000-0005-0000-0000-000046080000}"/>
    <cellStyle name="Comma 5 9 4" xfId="1162" xr:uid="{00000000-0005-0000-0000-000047080000}"/>
    <cellStyle name="Comma 5 9 4 2" xfId="3590" xr:uid="{00000000-0005-0000-0000-000048080000}"/>
    <cellStyle name="Comma 5 9 5" xfId="2242" xr:uid="{00000000-0005-0000-0000-000049080000}"/>
    <cellStyle name="Comma 5 9 5 2" xfId="3591" xr:uid="{00000000-0005-0000-0000-00004A080000}"/>
    <cellStyle name="Comma 50" xfId="1484" xr:uid="{00000000-0005-0000-0000-00004B080000}"/>
    <cellStyle name="Comma 50 2" xfId="2243" xr:uid="{00000000-0005-0000-0000-00004C080000}"/>
    <cellStyle name="Comma 51" xfId="1499" xr:uid="{00000000-0005-0000-0000-00004D080000}"/>
    <cellStyle name="Comma 51 2" xfId="2244" xr:uid="{00000000-0005-0000-0000-00004E080000}"/>
    <cellStyle name="Comma 52" xfId="1490" xr:uid="{00000000-0005-0000-0000-00004F080000}"/>
    <cellStyle name="Comma 52 2" xfId="2245" xr:uid="{00000000-0005-0000-0000-000050080000}"/>
    <cellStyle name="Comma 53" xfId="1500" xr:uid="{00000000-0005-0000-0000-000051080000}"/>
    <cellStyle name="Comma 53 2" xfId="2246" xr:uid="{00000000-0005-0000-0000-000052080000}"/>
    <cellStyle name="Comma 54" xfId="1483" xr:uid="{00000000-0005-0000-0000-000053080000}"/>
    <cellStyle name="Comma 54 2" xfId="2247" xr:uid="{00000000-0005-0000-0000-000054080000}"/>
    <cellStyle name="Comma 55" xfId="1501" xr:uid="{00000000-0005-0000-0000-000055080000}"/>
    <cellStyle name="Comma 55 2" xfId="2248" xr:uid="{00000000-0005-0000-0000-000056080000}"/>
    <cellStyle name="Comma 56" xfId="1482" xr:uid="{00000000-0005-0000-0000-000057080000}"/>
    <cellStyle name="Comma 57" xfId="1502" xr:uid="{00000000-0005-0000-0000-000058080000}"/>
    <cellStyle name="Comma 57 2" xfId="2249" xr:uid="{00000000-0005-0000-0000-000059080000}"/>
    <cellStyle name="Comma 58" xfId="1491" xr:uid="{00000000-0005-0000-0000-00005A080000}"/>
    <cellStyle name="Comma 58 2" xfId="2250" xr:uid="{00000000-0005-0000-0000-00005B080000}"/>
    <cellStyle name="Comma 59" xfId="1503" xr:uid="{00000000-0005-0000-0000-00005C080000}"/>
    <cellStyle name="Comma 59 2" xfId="2251" xr:uid="{00000000-0005-0000-0000-00005D080000}"/>
    <cellStyle name="Comma 6" xfId="321" xr:uid="{00000000-0005-0000-0000-00005E080000}"/>
    <cellStyle name="Comma 6 10" xfId="322" xr:uid="{00000000-0005-0000-0000-00005F080000}"/>
    <cellStyle name="Comma 6 10 2" xfId="323" xr:uid="{00000000-0005-0000-0000-000060080000}"/>
    <cellStyle name="Comma 6 10 2 2" xfId="1163" xr:uid="{00000000-0005-0000-0000-000061080000}"/>
    <cellStyle name="Comma 6 10 2 3" xfId="2252" xr:uid="{00000000-0005-0000-0000-000062080000}"/>
    <cellStyle name="Comma 6 10 3" xfId="1164" xr:uid="{00000000-0005-0000-0000-000063080000}"/>
    <cellStyle name="Comma 6 10 3 2" xfId="2254" xr:uid="{00000000-0005-0000-0000-000064080000}"/>
    <cellStyle name="Comma 6 10 3 3" xfId="2253" xr:uid="{00000000-0005-0000-0000-000065080000}"/>
    <cellStyle name="Comma 6 10 3 4" xfId="3592" xr:uid="{00000000-0005-0000-0000-000066080000}"/>
    <cellStyle name="Comma 6 10 4" xfId="1165" xr:uid="{00000000-0005-0000-0000-000067080000}"/>
    <cellStyle name="Comma 6 10 4 2" xfId="3593" xr:uid="{00000000-0005-0000-0000-000068080000}"/>
    <cellStyle name="Comma 6 10 5" xfId="2255" xr:uid="{00000000-0005-0000-0000-000069080000}"/>
    <cellStyle name="Comma 6 10 5 2" xfId="3594" xr:uid="{00000000-0005-0000-0000-00006A080000}"/>
    <cellStyle name="Comma 6 11" xfId="324" xr:uid="{00000000-0005-0000-0000-00006B080000}"/>
    <cellStyle name="Comma 6 11 2" xfId="325" xr:uid="{00000000-0005-0000-0000-00006C080000}"/>
    <cellStyle name="Comma 6 11 2 2" xfId="1166" xr:uid="{00000000-0005-0000-0000-00006D080000}"/>
    <cellStyle name="Comma 6 11 2 3" xfId="2256" xr:uid="{00000000-0005-0000-0000-00006E080000}"/>
    <cellStyle name="Comma 6 11 3" xfId="1167" xr:uid="{00000000-0005-0000-0000-00006F080000}"/>
    <cellStyle name="Comma 6 11 3 2" xfId="2258" xr:uid="{00000000-0005-0000-0000-000070080000}"/>
    <cellStyle name="Comma 6 11 3 3" xfId="2257" xr:uid="{00000000-0005-0000-0000-000071080000}"/>
    <cellStyle name="Comma 6 11 3 4" xfId="3595" xr:uid="{00000000-0005-0000-0000-000072080000}"/>
    <cellStyle name="Comma 6 11 4" xfId="1168" xr:uid="{00000000-0005-0000-0000-000073080000}"/>
    <cellStyle name="Comma 6 11 4 2" xfId="3596" xr:uid="{00000000-0005-0000-0000-000074080000}"/>
    <cellStyle name="Comma 6 11 5" xfId="2259" xr:uid="{00000000-0005-0000-0000-000075080000}"/>
    <cellStyle name="Comma 6 11 5 2" xfId="3597" xr:uid="{00000000-0005-0000-0000-000076080000}"/>
    <cellStyle name="Comma 6 12" xfId="326" xr:uid="{00000000-0005-0000-0000-000077080000}"/>
    <cellStyle name="Comma 6 12 2" xfId="327" xr:uid="{00000000-0005-0000-0000-000078080000}"/>
    <cellStyle name="Comma 6 12 2 2" xfId="1169" xr:uid="{00000000-0005-0000-0000-000079080000}"/>
    <cellStyle name="Comma 6 12 2 3" xfId="2260" xr:uid="{00000000-0005-0000-0000-00007A080000}"/>
    <cellStyle name="Comma 6 12 3" xfId="1170" xr:uid="{00000000-0005-0000-0000-00007B080000}"/>
    <cellStyle name="Comma 6 12 3 2" xfId="2262" xr:uid="{00000000-0005-0000-0000-00007C080000}"/>
    <cellStyle name="Comma 6 12 3 3" xfId="2261" xr:uid="{00000000-0005-0000-0000-00007D080000}"/>
    <cellStyle name="Comma 6 12 3 4" xfId="3598" xr:uid="{00000000-0005-0000-0000-00007E080000}"/>
    <cellStyle name="Comma 6 12 4" xfId="1171" xr:uid="{00000000-0005-0000-0000-00007F080000}"/>
    <cellStyle name="Comma 6 12 4 2" xfId="3599" xr:uid="{00000000-0005-0000-0000-000080080000}"/>
    <cellStyle name="Comma 6 12 5" xfId="2263" xr:uid="{00000000-0005-0000-0000-000081080000}"/>
    <cellStyle name="Comma 6 12 5 2" xfId="3600" xr:uid="{00000000-0005-0000-0000-000082080000}"/>
    <cellStyle name="Comma 6 13" xfId="328" xr:uid="{00000000-0005-0000-0000-000083080000}"/>
    <cellStyle name="Comma 6 13 2" xfId="329" xr:uid="{00000000-0005-0000-0000-000084080000}"/>
    <cellStyle name="Comma 6 13 2 2" xfId="1172" xr:uid="{00000000-0005-0000-0000-000085080000}"/>
    <cellStyle name="Comma 6 13 2 3" xfId="2264" xr:uid="{00000000-0005-0000-0000-000086080000}"/>
    <cellStyle name="Comma 6 13 3" xfId="1173" xr:uid="{00000000-0005-0000-0000-000087080000}"/>
    <cellStyle name="Comma 6 13 3 2" xfId="2266" xr:uid="{00000000-0005-0000-0000-000088080000}"/>
    <cellStyle name="Comma 6 13 3 3" xfId="2265" xr:uid="{00000000-0005-0000-0000-000089080000}"/>
    <cellStyle name="Comma 6 13 3 4" xfId="3601" xr:uid="{00000000-0005-0000-0000-00008A080000}"/>
    <cellStyle name="Comma 6 13 4" xfId="1174" xr:uid="{00000000-0005-0000-0000-00008B080000}"/>
    <cellStyle name="Comma 6 13 4 2" xfId="3602" xr:uid="{00000000-0005-0000-0000-00008C080000}"/>
    <cellStyle name="Comma 6 13 5" xfId="2267" xr:uid="{00000000-0005-0000-0000-00008D080000}"/>
    <cellStyle name="Comma 6 13 5 2" xfId="3603" xr:uid="{00000000-0005-0000-0000-00008E080000}"/>
    <cellStyle name="Comma 6 14" xfId="330" xr:uid="{00000000-0005-0000-0000-00008F080000}"/>
    <cellStyle name="Comma 6 14 2" xfId="331" xr:uid="{00000000-0005-0000-0000-000090080000}"/>
    <cellStyle name="Comma 6 14 2 2" xfId="1175" xr:uid="{00000000-0005-0000-0000-000091080000}"/>
    <cellStyle name="Comma 6 14 2 3" xfId="2268" xr:uid="{00000000-0005-0000-0000-000092080000}"/>
    <cellStyle name="Comma 6 14 3" xfId="1176" xr:uid="{00000000-0005-0000-0000-000093080000}"/>
    <cellStyle name="Comma 6 14 3 2" xfId="2270" xr:uid="{00000000-0005-0000-0000-000094080000}"/>
    <cellStyle name="Comma 6 14 3 3" xfId="2269" xr:uid="{00000000-0005-0000-0000-000095080000}"/>
    <cellStyle name="Comma 6 14 3 4" xfId="3604" xr:uid="{00000000-0005-0000-0000-000096080000}"/>
    <cellStyle name="Comma 6 14 4" xfId="1177" xr:uid="{00000000-0005-0000-0000-000097080000}"/>
    <cellStyle name="Comma 6 14 4 2" xfId="3605" xr:uid="{00000000-0005-0000-0000-000098080000}"/>
    <cellStyle name="Comma 6 14 5" xfId="2271" xr:uid="{00000000-0005-0000-0000-000099080000}"/>
    <cellStyle name="Comma 6 14 5 2" xfId="3606" xr:uid="{00000000-0005-0000-0000-00009A080000}"/>
    <cellStyle name="Comma 6 15" xfId="332" xr:uid="{00000000-0005-0000-0000-00009B080000}"/>
    <cellStyle name="Comma 6 15 2" xfId="333" xr:uid="{00000000-0005-0000-0000-00009C080000}"/>
    <cellStyle name="Comma 6 15 2 2" xfId="1178" xr:uid="{00000000-0005-0000-0000-00009D080000}"/>
    <cellStyle name="Comma 6 15 2 3" xfId="2272" xr:uid="{00000000-0005-0000-0000-00009E080000}"/>
    <cellStyle name="Comma 6 15 3" xfId="1179" xr:uid="{00000000-0005-0000-0000-00009F080000}"/>
    <cellStyle name="Comma 6 15 3 2" xfId="2274" xr:uid="{00000000-0005-0000-0000-0000A0080000}"/>
    <cellStyle name="Comma 6 15 3 3" xfId="2273" xr:uid="{00000000-0005-0000-0000-0000A1080000}"/>
    <cellStyle name="Comma 6 15 3 4" xfId="3607" xr:uid="{00000000-0005-0000-0000-0000A2080000}"/>
    <cellStyle name="Comma 6 15 4" xfId="1180" xr:uid="{00000000-0005-0000-0000-0000A3080000}"/>
    <cellStyle name="Comma 6 15 4 2" xfId="3608" xr:uid="{00000000-0005-0000-0000-0000A4080000}"/>
    <cellStyle name="Comma 6 15 5" xfId="2275" xr:uid="{00000000-0005-0000-0000-0000A5080000}"/>
    <cellStyle name="Comma 6 15 5 2" xfId="3609" xr:uid="{00000000-0005-0000-0000-0000A6080000}"/>
    <cellStyle name="Comma 6 16" xfId="334" xr:uid="{00000000-0005-0000-0000-0000A7080000}"/>
    <cellStyle name="Comma 6 16 2" xfId="335" xr:uid="{00000000-0005-0000-0000-0000A8080000}"/>
    <cellStyle name="Comma 6 16 2 2" xfId="1181" xr:uid="{00000000-0005-0000-0000-0000A9080000}"/>
    <cellStyle name="Comma 6 16 2 3" xfId="2276" xr:uid="{00000000-0005-0000-0000-0000AA080000}"/>
    <cellStyle name="Comma 6 16 3" xfId="1182" xr:uid="{00000000-0005-0000-0000-0000AB080000}"/>
    <cellStyle name="Comma 6 16 3 2" xfId="2278" xr:uid="{00000000-0005-0000-0000-0000AC080000}"/>
    <cellStyle name="Comma 6 16 3 3" xfId="2277" xr:uid="{00000000-0005-0000-0000-0000AD080000}"/>
    <cellStyle name="Comma 6 16 3 4" xfId="3610" xr:uid="{00000000-0005-0000-0000-0000AE080000}"/>
    <cellStyle name="Comma 6 16 4" xfId="1183" xr:uid="{00000000-0005-0000-0000-0000AF080000}"/>
    <cellStyle name="Comma 6 16 4 2" xfId="3611" xr:uid="{00000000-0005-0000-0000-0000B0080000}"/>
    <cellStyle name="Comma 6 16 5" xfId="2279" xr:uid="{00000000-0005-0000-0000-0000B1080000}"/>
    <cellStyle name="Comma 6 16 5 2" xfId="3612" xr:uid="{00000000-0005-0000-0000-0000B2080000}"/>
    <cellStyle name="Comma 6 17" xfId="336" xr:uid="{00000000-0005-0000-0000-0000B3080000}"/>
    <cellStyle name="Comma 6 17 2" xfId="337" xr:uid="{00000000-0005-0000-0000-0000B4080000}"/>
    <cellStyle name="Comma 6 17 2 2" xfId="1184" xr:uid="{00000000-0005-0000-0000-0000B5080000}"/>
    <cellStyle name="Comma 6 17 2 3" xfId="2280" xr:uid="{00000000-0005-0000-0000-0000B6080000}"/>
    <cellStyle name="Comma 6 17 3" xfId="1185" xr:uid="{00000000-0005-0000-0000-0000B7080000}"/>
    <cellStyle name="Comma 6 17 3 2" xfId="2282" xr:uid="{00000000-0005-0000-0000-0000B8080000}"/>
    <cellStyle name="Comma 6 17 3 3" xfId="2281" xr:uid="{00000000-0005-0000-0000-0000B9080000}"/>
    <cellStyle name="Comma 6 17 3 4" xfId="3613" xr:uid="{00000000-0005-0000-0000-0000BA080000}"/>
    <cellStyle name="Comma 6 17 4" xfId="1186" xr:uid="{00000000-0005-0000-0000-0000BB080000}"/>
    <cellStyle name="Comma 6 17 4 2" xfId="3614" xr:uid="{00000000-0005-0000-0000-0000BC080000}"/>
    <cellStyle name="Comma 6 17 5" xfId="2283" xr:uid="{00000000-0005-0000-0000-0000BD080000}"/>
    <cellStyle name="Comma 6 17 5 2" xfId="3615" xr:uid="{00000000-0005-0000-0000-0000BE080000}"/>
    <cellStyle name="Comma 6 18" xfId="338" xr:uid="{00000000-0005-0000-0000-0000BF080000}"/>
    <cellStyle name="Comma 6 18 2" xfId="339" xr:uid="{00000000-0005-0000-0000-0000C0080000}"/>
    <cellStyle name="Comma 6 18 2 2" xfId="1187" xr:uid="{00000000-0005-0000-0000-0000C1080000}"/>
    <cellStyle name="Comma 6 18 2 3" xfId="2284" xr:uid="{00000000-0005-0000-0000-0000C2080000}"/>
    <cellStyle name="Comma 6 18 3" xfId="1188" xr:uid="{00000000-0005-0000-0000-0000C3080000}"/>
    <cellStyle name="Comma 6 18 3 2" xfId="2286" xr:uid="{00000000-0005-0000-0000-0000C4080000}"/>
    <cellStyle name="Comma 6 18 3 3" xfId="2285" xr:uid="{00000000-0005-0000-0000-0000C5080000}"/>
    <cellStyle name="Comma 6 18 3 4" xfId="3616" xr:uid="{00000000-0005-0000-0000-0000C6080000}"/>
    <cellStyle name="Comma 6 18 4" xfId="1189" xr:uid="{00000000-0005-0000-0000-0000C7080000}"/>
    <cellStyle name="Comma 6 18 4 2" xfId="3617" xr:uid="{00000000-0005-0000-0000-0000C8080000}"/>
    <cellStyle name="Comma 6 18 5" xfId="2287" xr:uid="{00000000-0005-0000-0000-0000C9080000}"/>
    <cellStyle name="Comma 6 18 5 2" xfId="3618" xr:uid="{00000000-0005-0000-0000-0000CA080000}"/>
    <cellStyle name="Comma 6 19" xfId="340" xr:uid="{00000000-0005-0000-0000-0000CB080000}"/>
    <cellStyle name="Comma 6 19 2" xfId="341" xr:uid="{00000000-0005-0000-0000-0000CC080000}"/>
    <cellStyle name="Comma 6 19 2 2" xfId="1190" xr:uid="{00000000-0005-0000-0000-0000CD080000}"/>
    <cellStyle name="Comma 6 19 2 3" xfId="2288" xr:uid="{00000000-0005-0000-0000-0000CE080000}"/>
    <cellStyle name="Comma 6 19 3" xfId="1191" xr:uid="{00000000-0005-0000-0000-0000CF080000}"/>
    <cellStyle name="Comma 6 19 3 2" xfId="2290" xr:uid="{00000000-0005-0000-0000-0000D0080000}"/>
    <cellStyle name="Comma 6 19 3 3" xfId="2289" xr:uid="{00000000-0005-0000-0000-0000D1080000}"/>
    <cellStyle name="Comma 6 19 3 4" xfId="3619" xr:uid="{00000000-0005-0000-0000-0000D2080000}"/>
    <cellStyle name="Comma 6 19 4" xfId="1192" xr:uid="{00000000-0005-0000-0000-0000D3080000}"/>
    <cellStyle name="Comma 6 19 4 2" xfId="3620" xr:uid="{00000000-0005-0000-0000-0000D4080000}"/>
    <cellStyle name="Comma 6 19 5" xfId="2291" xr:uid="{00000000-0005-0000-0000-0000D5080000}"/>
    <cellStyle name="Comma 6 19 5 2" xfId="3621" xr:uid="{00000000-0005-0000-0000-0000D6080000}"/>
    <cellStyle name="Comma 6 2" xfId="342" xr:uid="{00000000-0005-0000-0000-0000D7080000}"/>
    <cellStyle name="Comma 6 2 2" xfId="343" xr:uid="{00000000-0005-0000-0000-0000D8080000}"/>
    <cellStyle name="Comma 6 2 2 2" xfId="1193" xr:uid="{00000000-0005-0000-0000-0000D9080000}"/>
    <cellStyle name="Comma 6 2 2 3" xfId="2292" xr:uid="{00000000-0005-0000-0000-0000DA080000}"/>
    <cellStyle name="Comma 6 2 3" xfId="1194" xr:uid="{00000000-0005-0000-0000-0000DB080000}"/>
    <cellStyle name="Comma 6 2 3 2" xfId="2294" xr:uid="{00000000-0005-0000-0000-0000DC080000}"/>
    <cellStyle name="Comma 6 2 3 3" xfId="2293" xr:uid="{00000000-0005-0000-0000-0000DD080000}"/>
    <cellStyle name="Comma 6 2 3 4" xfId="3622" xr:uid="{00000000-0005-0000-0000-0000DE080000}"/>
    <cellStyle name="Comma 6 2 4" xfId="1195" xr:uid="{00000000-0005-0000-0000-0000DF080000}"/>
    <cellStyle name="Comma 6 2 4 2" xfId="3623" xr:uid="{00000000-0005-0000-0000-0000E0080000}"/>
    <cellStyle name="Comma 6 2 5" xfId="2295" xr:uid="{00000000-0005-0000-0000-0000E1080000}"/>
    <cellStyle name="Comma 6 2 5 2" xfId="3624" xr:uid="{00000000-0005-0000-0000-0000E2080000}"/>
    <cellStyle name="Comma 6 20" xfId="344" xr:uid="{00000000-0005-0000-0000-0000E3080000}"/>
    <cellStyle name="Comma 6 20 2" xfId="1196" xr:uid="{00000000-0005-0000-0000-0000E4080000}"/>
    <cellStyle name="Comma 6 20 3" xfId="2296" xr:uid="{00000000-0005-0000-0000-0000E5080000}"/>
    <cellStyle name="Comma 6 21" xfId="1197" xr:uid="{00000000-0005-0000-0000-0000E6080000}"/>
    <cellStyle name="Comma 6 21 2" xfId="2298" xr:uid="{00000000-0005-0000-0000-0000E7080000}"/>
    <cellStyle name="Comma 6 21 3" xfId="2297" xr:uid="{00000000-0005-0000-0000-0000E8080000}"/>
    <cellStyle name="Comma 6 21 4" xfId="3625" xr:uid="{00000000-0005-0000-0000-0000E9080000}"/>
    <cellStyle name="Comma 6 22" xfId="1198" xr:uid="{00000000-0005-0000-0000-0000EA080000}"/>
    <cellStyle name="Comma 6 22 2" xfId="3626" xr:uid="{00000000-0005-0000-0000-0000EB080000}"/>
    <cellStyle name="Comma 6 23" xfId="2299" xr:uid="{00000000-0005-0000-0000-0000EC080000}"/>
    <cellStyle name="Comma 6 23 2" xfId="3627" xr:uid="{00000000-0005-0000-0000-0000ED080000}"/>
    <cellStyle name="Comma 6 3" xfId="345" xr:uid="{00000000-0005-0000-0000-0000EE080000}"/>
    <cellStyle name="Comma 6 3 2" xfId="346" xr:uid="{00000000-0005-0000-0000-0000EF080000}"/>
    <cellStyle name="Comma 6 3 2 2" xfId="1199" xr:uid="{00000000-0005-0000-0000-0000F0080000}"/>
    <cellStyle name="Comma 6 3 2 3" xfId="2300" xr:uid="{00000000-0005-0000-0000-0000F1080000}"/>
    <cellStyle name="Comma 6 3 3" xfId="1200" xr:uid="{00000000-0005-0000-0000-0000F2080000}"/>
    <cellStyle name="Comma 6 3 3 2" xfId="2302" xr:uid="{00000000-0005-0000-0000-0000F3080000}"/>
    <cellStyle name="Comma 6 3 3 3" xfId="2301" xr:uid="{00000000-0005-0000-0000-0000F4080000}"/>
    <cellStyle name="Comma 6 3 3 4" xfId="3628" xr:uid="{00000000-0005-0000-0000-0000F5080000}"/>
    <cellStyle name="Comma 6 3 4" xfId="1201" xr:uid="{00000000-0005-0000-0000-0000F6080000}"/>
    <cellStyle name="Comma 6 3 4 2" xfId="3629" xr:uid="{00000000-0005-0000-0000-0000F7080000}"/>
    <cellStyle name="Comma 6 3 5" xfId="2303" xr:uid="{00000000-0005-0000-0000-0000F8080000}"/>
    <cellStyle name="Comma 6 3 5 2" xfId="3630" xr:uid="{00000000-0005-0000-0000-0000F9080000}"/>
    <cellStyle name="Comma 6 4" xfId="347" xr:uid="{00000000-0005-0000-0000-0000FA080000}"/>
    <cellStyle name="Comma 6 4 2" xfId="348" xr:uid="{00000000-0005-0000-0000-0000FB080000}"/>
    <cellStyle name="Comma 6 4 2 2" xfId="1202" xr:uid="{00000000-0005-0000-0000-0000FC080000}"/>
    <cellStyle name="Comma 6 4 2 3" xfId="2304" xr:uid="{00000000-0005-0000-0000-0000FD080000}"/>
    <cellStyle name="Comma 6 4 3" xfId="1203" xr:uid="{00000000-0005-0000-0000-0000FE080000}"/>
    <cellStyle name="Comma 6 4 3 2" xfId="2306" xr:uid="{00000000-0005-0000-0000-0000FF080000}"/>
    <cellStyle name="Comma 6 4 3 3" xfId="2305" xr:uid="{00000000-0005-0000-0000-000000090000}"/>
    <cellStyle name="Comma 6 4 3 4" xfId="3631" xr:uid="{00000000-0005-0000-0000-000001090000}"/>
    <cellStyle name="Comma 6 4 4" xfId="1204" xr:uid="{00000000-0005-0000-0000-000002090000}"/>
    <cellStyle name="Comma 6 4 4 2" xfId="3632" xr:uid="{00000000-0005-0000-0000-000003090000}"/>
    <cellStyle name="Comma 6 4 5" xfId="2307" xr:uid="{00000000-0005-0000-0000-000004090000}"/>
    <cellStyle name="Comma 6 4 5 2" xfId="3633" xr:uid="{00000000-0005-0000-0000-000005090000}"/>
    <cellStyle name="Comma 6 5" xfId="349" xr:uid="{00000000-0005-0000-0000-000006090000}"/>
    <cellStyle name="Comma 6 5 2" xfId="350" xr:uid="{00000000-0005-0000-0000-000007090000}"/>
    <cellStyle name="Comma 6 5 2 2" xfId="1205" xr:uid="{00000000-0005-0000-0000-000008090000}"/>
    <cellStyle name="Comma 6 5 2 3" xfId="2308" xr:uid="{00000000-0005-0000-0000-000009090000}"/>
    <cellStyle name="Comma 6 5 3" xfId="1206" xr:uid="{00000000-0005-0000-0000-00000A090000}"/>
    <cellStyle name="Comma 6 5 3 2" xfId="2310" xr:uid="{00000000-0005-0000-0000-00000B090000}"/>
    <cellStyle name="Comma 6 5 3 3" xfId="2309" xr:uid="{00000000-0005-0000-0000-00000C090000}"/>
    <cellStyle name="Comma 6 5 3 4" xfId="3634" xr:uid="{00000000-0005-0000-0000-00000D090000}"/>
    <cellStyle name="Comma 6 5 4" xfId="1207" xr:uid="{00000000-0005-0000-0000-00000E090000}"/>
    <cellStyle name="Comma 6 5 4 2" xfId="3635" xr:uid="{00000000-0005-0000-0000-00000F090000}"/>
    <cellStyle name="Comma 6 5 5" xfId="2311" xr:uid="{00000000-0005-0000-0000-000010090000}"/>
    <cellStyle name="Comma 6 5 5 2" xfId="3636" xr:uid="{00000000-0005-0000-0000-000011090000}"/>
    <cellStyle name="Comma 6 6" xfId="351" xr:uid="{00000000-0005-0000-0000-000012090000}"/>
    <cellStyle name="Comma 6 6 2" xfId="352" xr:uid="{00000000-0005-0000-0000-000013090000}"/>
    <cellStyle name="Comma 6 6 2 2" xfId="1208" xr:uid="{00000000-0005-0000-0000-000014090000}"/>
    <cellStyle name="Comma 6 6 2 3" xfId="2312" xr:uid="{00000000-0005-0000-0000-000015090000}"/>
    <cellStyle name="Comma 6 6 3" xfId="1209" xr:uid="{00000000-0005-0000-0000-000016090000}"/>
    <cellStyle name="Comma 6 6 3 2" xfId="2314" xr:uid="{00000000-0005-0000-0000-000017090000}"/>
    <cellStyle name="Comma 6 6 3 3" xfId="2313" xr:uid="{00000000-0005-0000-0000-000018090000}"/>
    <cellStyle name="Comma 6 6 3 4" xfId="3637" xr:uid="{00000000-0005-0000-0000-000019090000}"/>
    <cellStyle name="Comma 6 6 4" xfId="1210" xr:uid="{00000000-0005-0000-0000-00001A090000}"/>
    <cellStyle name="Comma 6 6 4 2" xfId="3638" xr:uid="{00000000-0005-0000-0000-00001B090000}"/>
    <cellStyle name="Comma 6 6 5" xfId="2315" xr:uid="{00000000-0005-0000-0000-00001C090000}"/>
    <cellStyle name="Comma 6 6 5 2" xfId="3639" xr:uid="{00000000-0005-0000-0000-00001D090000}"/>
    <cellStyle name="Comma 6 7" xfId="353" xr:uid="{00000000-0005-0000-0000-00001E090000}"/>
    <cellStyle name="Comma 6 7 2" xfId="354" xr:uid="{00000000-0005-0000-0000-00001F090000}"/>
    <cellStyle name="Comma 6 7 2 2" xfId="1211" xr:uid="{00000000-0005-0000-0000-000020090000}"/>
    <cellStyle name="Comma 6 7 2 3" xfId="2316" xr:uid="{00000000-0005-0000-0000-000021090000}"/>
    <cellStyle name="Comma 6 7 3" xfId="1212" xr:uid="{00000000-0005-0000-0000-000022090000}"/>
    <cellStyle name="Comma 6 7 3 2" xfId="2319" xr:uid="{00000000-0005-0000-0000-000023090000}"/>
    <cellStyle name="Comma 6 7 3 3" xfId="2318" xr:uid="{00000000-0005-0000-0000-000024090000}"/>
    <cellStyle name="Comma 6 7 3 4" xfId="3640" xr:uid="{00000000-0005-0000-0000-000025090000}"/>
    <cellStyle name="Comma 6 7 4" xfId="1213" xr:uid="{00000000-0005-0000-0000-000026090000}"/>
    <cellStyle name="Comma 6 7 4 2" xfId="3641" xr:uid="{00000000-0005-0000-0000-000027090000}"/>
    <cellStyle name="Comma 6 7 5" xfId="2320" xr:uid="{00000000-0005-0000-0000-000028090000}"/>
    <cellStyle name="Comma 6 7 5 2" xfId="3642" xr:uid="{00000000-0005-0000-0000-000029090000}"/>
    <cellStyle name="Comma 6 8" xfId="355" xr:uid="{00000000-0005-0000-0000-00002A090000}"/>
    <cellStyle name="Comma 6 8 2" xfId="356" xr:uid="{00000000-0005-0000-0000-00002B090000}"/>
    <cellStyle name="Comma 6 8 2 2" xfId="1214" xr:uid="{00000000-0005-0000-0000-00002C090000}"/>
    <cellStyle name="Comma 6 8 2 3" xfId="2321" xr:uid="{00000000-0005-0000-0000-00002D090000}"/>
    <cellStyle name="Comma 6 8 3" xfId="1215" xr:uid="{00000000-0005-0000-0000-00002E090000}"/>
    <cellStyle name="Comma 6 8 3 2" xfId="2323" xr:uid="{00000000-0005-0000-0000-00002F090000}"/>
    <cellStyle name="Comma 6 8 3 3" xfId="2322" xr:uid="{00000000-0005-0000-0000-000030090000}"/>
    <cellStyle name="Comma 6 8 3 4" xfId="3643" xr:uid="{00000000-0005-0000-0000-000031090000}"/>
    <cellStyle name="Comma 6 8 4" xfId="1216" xr:uid="{00000000-0005-0000-0000-000032090000}"/>
    <cellStyle name="Comma 6 8 4 2" xfId="3644" xr:uid="{00000000-0005-0000-0000-000033090000}"/>
    <cellStyle name="Comma 6 8 5" xfId="2324" xr:uid="{00000000-0005-0000-0000-000034090000}"/>
    <cellStyle name="Comma 6 8 5 2" xfId="3645" xr:uid="{00000000-0005-0000-0000-000035090000}"/>
    <cellStyle name="Comma 6 9" xfId="357" xr:uid="{00000000-0005-0000-0000-000036090000}"/>
    <cellStyle name="Comma 6 9 2" xfId="358" xr:uid="{00000000-0005-0000-0000-000037090000}"/>
    <cellStyle name="Comma 6 9 2 2" xfId="1217" xr:uid="{00000000-0005-0000-0000-000038090000}"/>
    <cellStyle name="Comma 6 9 2 3" xfId="2325" xr:uid="{00000000-0005-0000-0000-000039090000}"/>
    <cellStyle name="Comma 6 9 3" xfId="1218" xr:uid="{00000000-0005-0000-0000-00003A090000}"/>
    <cellStyle name="Comma 6 9 3 2" xfId="2327" xr:uid="{00000000-0005-0000-0000-00003B090000}"/>
    <cellStyle name="Comma 6 9 3 3" xfId="2326" xr:uid="{00000000-0005-0000-0000-00003C090000}"/>
    <cellStyle name="Comma 6 9 3 4" xfId="3646" xr:uid="{00000000-0005-0000-0000-00003D090000}"/>
    <cellStyle name="Comma 6 9 4" xfId="1219" xr:uid="{00000000-0005-0000-0000-00003E090000}"/>
    <cellStyle name="Comma 6 9 4 2" xfId="3647" xr:uid="{00000000-0005-0000-0000-00003F090000}"/>
    <cellStyle name="Comma 6 9 5" xfId="2328" xr:uid="{00000000-0005-0000-0000-000040090000}"/>
    <cellStyle name="Comma 6 9 5 2" xfId="3648" xr:uid="{00000000-0005-0000-0000-000041090000}"/>
    <cellStyle name="Comma 60" xfId="1481" xr:uid="{00000000-0005-0000-0000-000042090000}"/>
    <cellStyle name="Comma 60 2" xfId="2329" xr:uid="{00000000-0005-0000-0000-000043090000}"/>
    <cellStyle name="Comma 61" xfId="1504" xr:uid="{00000000-0005-0000-0000-000044090000}"/>
    <cellStyle name="Comma 61 2" xfId="2330" xr:uid="{00000000-0005-0000-0000-000045090000}"/>
    <cellStyle name="Comma 62" xfId="1480" xr:uid="{00000000-0005-0000-0000-000046090000}"/>
    <cellStyle name="Comma 62 2" xfId="2331" xr:uid="{00000000-0005-0000-0000-000047090000}"/>
    <cellStyle name="Comma 63" xfId="1505" xr:uid="{00000000-0005-0000-0000-000048090000}"/>
    <cellStyle name="Comma 63 2" xfId="2332" xr:uid="{00000000-0005-0000-0000-000049090000}"/>
    <cellStyle name="Comma 64" xfId="1479" xr:uid="{00000000-0005-0000-0000-00004A090000}"/>
    <cellStyle name="Comma 64 2" xfId="2333" xr:uid="{00000000-0005-0000-0000-00004B090000}"/>
    <cellStyle name="Comma 65" xfId="1506" xr:uid="{00000000-0005-0000-0000-00004C090000}"/>
    <cellStyle name="Comma 65 2" xfId="2334" xr:uid="{00000000-0005-0000-0000-00004D090000}"/>
    <cellStyle name="Comma 66" xfId="1478" xr:uid="{00000000-0005-0000-0000-00004E090000}"/>
    <cellStyle name="Comma 67" xfId="1542" xr:uid="{00000000-0005-0000-0000-00004F090000}"/>
    <cellStyle name="Comma 68" xfId="1560" xr:uid="{00000000-0005-0000-0000-000050090000}"/>
    <cellStyle name="Comma 69" xfId="1541" xr:uid="{00000000-0005-0000-0000-000051090000}"/>
    <cellStyle name="Comma 7" xfId="359" xr:uid="{00000000-0005-0000-0000-000052090000}"/>
    <cellStyle name="Comma 7 10" xfId="360" xr:uid="{00000000-0005-0000-0000-000053090000}"/>
    <cellStyle name="Comma 7 10 2" xfId="361" xr:uid="{00000000-0005-0000-0000-000054090000}"/>
    <cellStyle name="Comma 7 10 2 2" xfId="1220" xr:uid="{00000000-0005-0000-0000-000055090000}"/>
    <cellStyle name="Comma 7 10 2 3" xfId="2335" xr:uid="{00000000-0005-0000-0000-000056090000}"/>
    <cellStyle name="Comma 7 10 3" xfId="1221" xr:uid="{00000000-0005-0000-0000-000057090000}"/>
    <cellStyle name="Comma 7 10 3 2" xfId="2337" xr:uid="{00000000-0005-0000-0000-000058090000}"/>
    <cellStyle name="Comma 7 10 3 3" xfId="2336" xr:uid="{00000000-0005-0000-0000-000059090000}"/>
    <cellStyle name="Comma 7 10 3 4" xfId="3649" xr:uid="{00000000-0005-0000-0000-00005A090000}"/>
    <cellStyle name="Comma 7 10 4" xfId="1222" xr:uid="{00000000-0005-0000-0000-00005B090000}"/>
    <cellStyle name="Comma 7 10 4 2" xfId="3650" xr:uid="{00000000-0005-0000-0000-00005C090000}"/>
    <cellStyle name="Comma 7 10 5" xfId="2338" xr:uid="{00000000-0005-0000-0000-00005D090000}"/>
    <cellStyle name="Comma 7 10 5 2" xfId="3651" xr:uid="{00000000-0005-0000-0000-00005E090000}"/>
    <cellStyle name="Comma 7 11" xfId="362" xr:uid="{00000000-0005-0000-0000-00005F090000}"/>
    <cellStyle name="Comma 7 11 2" xfId="363" xr:uid="{00000000-0005-0000-0000-000060090000}"/>
    <cellStyle name="Comma 7 11 2 2" xfId="1223" xr:uid="{00000000-0005-0000-0000-000061090000}"/>
    <cellStyle name="Comma 7 11 2 3" xfId="2339" xr:uid="{00000000-0005-0000-0000-000062090000}"/>
    <cellStyle name="Comma 7 11 3" xfId="1224" xr:uid="{00000000-0005-0000-0000-000063090000}"/>
    <cellStyle name="Comma 7 11 3 2" xfId="2341" xr:uid="{00000000-0005-0000-0000-000064090000}"/>
    <cellStyle name="Comma 7 11 3 3" xfId="2340" xr:uid="{00000000-0005-0000-0000-000065090000}"/>
    <cellStyle name="Comma 7 11 3 4" xfId="3652" xr:uid="{00000000-0005-0000-0000-000066090000}"/>
    <cellStyle name="Comma 7 11 4" xfId="1225" xr:uid="{00000000-0005-0000-0000-000067090000}"/>
    <cellStyle name="Comma 7 11 4 2" xfId="3653" xr:uid="{00000000-0005-0000-0000-000068090000}"/>
    <cellStyle name="Comma 7 11 5" xfId="2342" xr:uid="{00000000-0005-0000-0000-000069090000}"/>
    <cellStyle name="Comma 7 11 5 2" xfId="3654" xr:uid="{00000000-0005-0000-0000-00006A090000}"/>
    <cellStyle name="Comma 7 12" xfId="364" xr:uid="{00000000-0005-0000-0000-00006B090000}"/>
    <cellStyle name="Comma 7 12 2" xfId="365" xr:uid="{00000000-0005-0000-0000-00006C090000}"/>
    <cellStyle name="Comma 7 12 2 2" xfId="1226" xr:uid="{00000000-0005-0000-0000-00006D090000}"/>
    <cellStyle name="Comma 7 12 2 3" xfId="2343" xr:uid="{00000000-0005-0000-0000-00006E090000}"/>
    <cellStyle name="Comma 7 12 3" xfId="1227" xr:uid="{00000000-0005-0000-0000-00006F090000}"/>
    <cellStyle name="Comma 7 12 3 2" xfId="2345" xr:uid="{00000000-0005-0000-0000-000070090000}"/>
    <cellStyle name="Comma 7 12 3 3" xfId="2344" xr:uid="{00000000-0005-0000-0000-000071090000}"/>
    <cellStyle name="Comma 7 12 3 4" xfId="3655" xr:uid="{00000000-0005-0000-0000-000072090000}"/>
    <cellStyle name="Comma 7 12 4" xfId="1228" xr:uid="{00000000-0005-0000-0000-000073090000}"/>
    <cellStyle name="Comma 7 12 4 2" xfId="3656" xr:uid="{00000000-0005-0000-0000-000074090000}"/>
    <cellStyle name="Comma 7 12 5" xfId="2346" xr:uid="{00000000-0005-0000-0000-000075090000}"/>
    <cellStyle name="Comma 7 12 5 2" xfId="3657" xr:uid="{00000000-0005-0000-0000-000076090000}"/>
    <cellStyle name="Comma 7 13" xfId="366" xr:uid="{00000000-0005-0000-0000-000077090000}"/>
    <cellStyle name="Comma 7 13 2" xfId="367" xr:uid="{00000000-0005-0000-0000-000078090000}"/>
    <cellStyle name="Comma 7 13 2 2" xfId="1229" xr:uid="{00000000-0005-0000-0000-000079090000}"/>
    <cellStyle name="Comma 7 13 2 3" xfId="2347" xr:uid="{00000000-0005-0000-0000-00007A090000}"/>
    <cellStyle name="Comma 7 13 3" xfId="1230" xr:uid="{00000000-0005-0000-0000-00007B090000}"/>
    <cellStyle name="Comma 7 13 3 2" xfId="2349" xr:uid="{00000000-0005-0000-0000-00007C090000}"/>
    <cellStyle name="Comma 7 13 3 3" xfId="2348" xr:uid="{00000000-0005-0000-0000-00007D090000}"/>
    <cellStyle name="Comma 7 13 3 4" xfId="3658" xr:uid="{00000000-0005-0000-0000-00007E090000}"/>
    <cellStyle name="Comma 7 13 4" xfId="1231" xr:uid="{00000000-0005-0000-0000-00007F090000}"/>
    <cellStyle name="Comma 7 13 4 2" xfId="3659" xr:uid="{00000000-0005-0000-0000-000080090000}"/>
    <cellStyle name="Comma 7 13 5" xfId="2350" xr:uid="{00000000-0005-0000-0000-000081090000}"/>
    <cellStyle name="Comma 7 13 5 2" xfId="3660" xr:uid="{00000000-0005-0000-0000-000082090000}"/>
    <cellStyle name="Comma 7 14" xfId="368" xr:uid="{00000000-0005-0000-0000-000083090000}"/>
    <cellStyle name="Comma 7 14 2" xfId="369" xr:uid="{00000000-0005-0000-0000-000084090000}"/>
    <cellStyle name="Comma 7 14 2 2" xfId="1232" xr:uid="{00000000-0005-0000-0000-000085090000}"/>
    <cellStyle name="Comma 7 14 2 3" xfId="2351" xr:uid="{00000000-0005-0000-0000-000086090000}"/>
    <cellStyle name="Comma 7 14 3" xfId="1233" xr:uid="{00000000-0005-0000-0000-000087090000}"/>
    <cellStyle name="Comma 7 14 3 2" xfId="2353" xr:uid="{00000000-0005-0000-0000-000088090000}"/>
    <cellStyle name="Comma 7 14 3 3" xfId="2352" xr:uid="{00000000-0005-0000-0000-000089090000}"/>
    <cellStyle name="Comma 7 14 3 4" xfId="3661" xr:uid="{00000000-0005-0000-0000-00008A090000}"/>
    <cellStyle name="Comma 7 14 4" xfId="1234" xr:uid="{00000000-0005-0000-0000-00008B090000}"/>
    <cellStyle name="Comma 7 14 4 2" xfId="3662" xr:uid="{00000000-0005-0000-0000-00008C090000}"/>
    <cellStyle name="Comma 7 14 5" xfId="2354" xr:uid="{00000000-0005-0000-0000-00008D090000}"/>
    <cellStyle name="Comma 7 14 5 2" xfId="3663" xr:uid="{00000000-0005-0000-0000-00008E090000}"/>
    <cellStyle name="Comma 7 15" xfId="370" xr:uid="{00000000-0005-0000-0000-00008F090000}"/>
    <cellStyle name="Comma 7 15 2" xfId="371" xr:uid="{00000000-0005-0000-0000-000090090000}"/>
    <cellStyle name="Comma 7 15 2 2" xfId="1235" xr:uid="{00000000-0005-0000-0000-000091090000}"/>
    <cellStyle name="Comma 7 15 2 3" xfId="2355" xr:uid="{00000000-0005-0000-0000-000092090000}"/>
    <cellStyle name="Comma 7 15 3" xfId="1236" xr:uid="{00000000-0005-0000-0000-000093090000}"/>
    <cellStyle name="Comma 7 15 3 2" xfId="2357" xr:uid="{00000000-0005-0000-0000-000094090000}"/>
    <cellStyle name="Comma 7 15 3 3" xfId="2356" xr:uid="{00000000-0005-0000-0000-000095090000}"/>
    <cellStyle name="Comma 7 15 3 4" xfId="3664" xr:uid="{00000000-0005-0000-0000-000096090000}"/>
    <cellStyle name="Comma 7 15 4" xfId="1237" xr:uid="{00000000-0005-0000-0000-000097090000}"/>
    <cellStyle name="Comma 7 15 4 2" xfId="3665" xr:uid="{00000000-0005-0000-0000-000098090000}"/>
    <cellStyle name="Comma 7 15 5" xfId="2358" xr:uid="{00000000-0005-0000-0000-000099090000}"/>
    <cellStyle name="Comma 7 15 5 2" xfId="3666" xr:uid="{00000000-0005-0000-0000-00009A090000}"/>
    <cellStyle name="Comma 7 16" xfId="372" xr:uid="{00000000-0005-0000-0000-00009B090000}"/>
    <cellStyle name="Comma 7 16 2" xfId="373" xr:uid="{00000000-0005-0000-0000-00009C090000}"/>
    <cellStyle name="Comma 7 16 2 2" xfId="1238" xr:uid="{00000000-0005-0000-0000-00009D090000}"/>
    <cellStyle name="Comma 7 16 2 3" xfId="2359" xr:uid="{00000000-0005-0000-0000-00009E090000}"/>
    <cellStyle name="Comma 7 16 3" xfId="1239" xr:uid="{00000000-0005-0000-0000-00009F090000}"/>
    <cellStyle name="Comma 7 16 3 2" xfId="2361" xr:uid="{00000000-0005-0000-0000-0000A0090000}"/>
    <cellStyle name="Comma 7 16 3 3" xfId="2360" xr:uid="{00000000-0005-0000-0000-0000A1090000}"/>
    <cellStyle name="Comma 7 16 3 4" xfId="3667" xr:uid="{00000000-0005-0000-0000-0000A2090000}"/>
    <cellStyle name="Comma 7 16 4" xfId="1240" xr:uid="{00000000-0005-0000-0000-0000A3090000}"/>
    <cellStyle name="Comma 7 16 4 2" xfId="3668" xr:uid="{00000000-0005-0000-0000-0000A4090000}"/>
    <cellStyle name="Comma 7 16 5" xfId="2362" xr:uid="{00000000-0005-0000-0000-0000A5090000}"/>
    <cellStyle name="Comma 7 16 5 2" xfId="3669" xr:uid="{00000000-0005-0000-0000-0000A6090000}"/>
    <cellStyle name="Comma 7 17" xfId="374" xr:uid="{00000000-0005-0000-0000-0000A7090000}"/>
    <cellStyle name="Comma 7 17 2" xfId="375" xr:uid="{00000000-0005-0000-0000-0000A8090000}"/>
    <cellStyle name="Comma 7 17 2 2" xfId="1241" xr:uid="{00000000-0005-0000-0000-0000A9090000}"/>
    <cellStyle name="Comma 7 17 2 3" xfId="2363" xr:uid="{00000000-0005-0000-0000-0000AA090000}"/>
    <cellStyle name="Comma 7 17 3" xfId="1242" xr:uid="{00000000-0005-0000-0000-0000AB090000}"/>
    <cellStyle name="Comma 7 17 3 2" xfId="2365" xr:uid="{00000000-0005-0000-0000-0000AC090000}"/>
    <cellStyle name="Comma 7 17 3 3" xfId="2364" xr:uid="{00000000-0005-0000-0000-0000AD090000}"/>
    <cellStyle name="Comma 7 17 3 4" xfId="3670" xr:uid="{00000000-0005-0000-0000-0000AE090000}"/>
    <cellStyle name="Comma 7 17 4" xfId="1243" xr:uid="{00000000-0005-0000-0000-0000AF090000}"/>
    <cellStyle name="Comma 7 17 4 2" xfId="3671" xr:uid="{00000000-0005-0000-0000-0000B0090000}"/>
    <cellStyle name="Comma 7 17 5" xfId="2366" xr:uid="{00000000-0005-0000-0000-0000B1090000}"/>
    <cellStyle name="Comma 7 17 5 2" xfId="3672" xr:uid="{00000000-0005-0000-0000-0000B2090000}"/>
    <cellStyle name="Comma 7 18" xfId="376" xr:uid="{00000000-0005-0000-0000-0000B3090000}"/>
    <cellStyle name="Comma 7 18 2" xfId="377" xr:uid="{00000000-0005-0000-0000-0000B4090000}"/>
    <cellStyle name="Comma 7 18 2 2" xfId="1244" xr:uid="{00000000-0005-0000-0000-0000B5090000}"/>
    <cellStyle name="Comma 7 18 2 3" xfId="2367" xr:uid="{00000000-0005-0000-0000-0000B6090000}"/>
    <cellStyle name="Comma 7 18 3" xfId="1245" xr:uid="{00000000-0005-0000-0000-0000B7090000}"/>
    <cellStyle name="Comma 7 18 3 2" xfId="2369" xr:uid="{00000000-0005-0000-0000-0000B8090000}"/>
    <cellStyle name="Comma 7 18 3 3" xfId="2368" xr:uid="{00000000-0005-0000-0000-0000B9090000}"/>
    <cellStyle name="Comma 7 18 3 4" xfId="3673" xr:uid="{00000000-0005-0000-0000-0000BA090000}"/>
    <cellStyle name="Comma 7 18 4" xfId="1246" xr:uid="{00000000-0005-0000-0000-0000BB090000}"/>
    <cellStyle name="Comma 7 18 4 2" xfId="3674" xr:uid="{00000000-0005-0000-0000-0000BC090000}"/>
    <cellStyle name="Comma 7 18 5" xfId="2370" xr:uid="{00000000-0005-0000-0000-0000BD090000}"/>
    <cellStyle name="Comma 7 18 5 2" xfId="3675" xr:uid="{00000000-0005-0000-0000-0000BE090000}"/>
    <cellStyle name="Comma 7 19" xfId="378" xr:uid="{00000000-0005-0000-0000-0000BF090000}"/>
    <cellStyle name="Comma 7 19 2" xfId="379" xr:uid="{00000000-0005-0000-0000-0000C0090000}"/>
    <cellStyle name="Comma 7 19 2 2" xfId="1247" xr:uid="{00000000-0005-0000-0000-0000C1090000}"/>
    <cellStyle name="Comma 7 19 2 3" xfId="2371" xr:uid="{00000000-0005-0000-0000-0000C2090000}"/>
    <cellStyle name="Comma 7 19 3" xfId="1248" xr:uid="{00000000-0005-0000-0000-0000C3090000}"/>
    <cellStyle name="Comma 7 19 3 2" xfId="2373" xr:uid="{00000000-0005-0000-0000-0000C4090000}"/>
    <cellStyle name="Comma 7 19 3 3" xfId="2372" xr:uid="{00000000-0005-0000-0000-0000C5090000}"/>
    <cellStyle name="Comma 7 19 3 4" xfId="3676" xr:uid="{00000000-0005-0000-0000-0000C6090000}"/>
    <cellStyle name="Comma 7 19 4" xfId="1249" xr:uid="{00000000-0005-0000-0000-0000C7090000}"/>
    <cellStyle name="Comma 7 19 4 2" xfId="3677" xr:uid="{00000000-0005-0000-0000-0000C8090000}"/>
    <cellStyle name="Comma 7 19 5" xfId="2374" xr:uid="{00000000-0005-0000-0000-0000C9090000}"/>
    <cellStyle name="Comma 7 19 5 2" xfId="3678" xr:uid="{00000000-0005-0000-0000-0000CA090000}"/>
    <cellStyle name="Comma 7 2" xfId="380" xr:uid="{00000000-0005-0000-0000-0000CB090000}"/>
    <cellStyle name="Comma 7 2 2" xfId="381" xr:uid="{00000000-0005-0000-0000-0000CC090000}"/>
    <cellStyle name="Comma 7 2 2 2" xfId="1250" xr:uid="{00000000-0005-0000-0000-0000CD090000}"/>
    <cellStyle name="Comma 7 2 2 3" xfId="2375" xr:uid="{00000000-0005-0000-0000-0000CE090000}"/>
    <cellStyle name="Comma 7 2 3" xfId="1251" xr:uid="{00000000-0005-0000-0000-0000CF090000}"/>
    <cellStyle name="Comma 7 2 3 2" xfId="2377" xr:uid="{00000000-0005-0000-0000-0000D0090000}"/>
    <cellStyle name="Comma 7 2 3 3" xfId="2376" xr:uid="{00000000-0005-0000-0000-0000D1090000}"/>
    <cellStyle name="Comma 7 2 3 4" xfId="3679" xr:uid="{00000000-0005-0000-0000-0000D2090000}"/>
    <cellStyle name="Comma 7 2 4" xfId="1252" xr:uid="{00000000-0005-0000-0000-0000D3090000}"/>
    <cellStyle name="Comma 7 2 4 2" xfId="3680" xr:uid="{00000000-0005-0000-0000-0000D4090000}"/>
    <cellStyle name="Comma 7 2 5" xfId="2378" xr:uid="{00000000-0005-0000-0000-0000D5090000}"/>
    <cellStyle name="Comma 7 2 5 2" xfId="3681" xr:uid="{00000000-0005-0000-0000-0000D6090000}"/>
    <cellStyle name="Comma 7 20" xfId="382" xr:uid="{00000000-0005-0000-0000-0000D7090000}"/>
    <cellStyle name="Comma 7 20 2" xfId="1253" xr:uid="{00000000-0005-0000-0000-0000D8090000}"/>
    <cellStyle name="Comma 7 20 3" xfId="2379" xr:uid="{00000000-0005-0000-0000-0000D9090000}"/>
    <cellStyle name="Comma 7 21" xfId="1254" xr:uid="{00000000-0005-0000-0000-0000DA090000}"/>
    <cellStyle name="Comma 7 21 2" xfId="2381" xr:uid="{00000000-0005-0000-0000-0000DB090000}"/>
    <cellStyle name="Comma 7 21 3" xfId="2380" xr:uid="{00000000-0005-0000-0000-0000DC090000}"/>
    <cellStyle name="Comma 7 21 4" xfId="3682" xr:uid="{00000000-0005-0000-0000-0000DD090000}"/>
    <cellStyle name="Comma 7 22" xfId="1255" xr:uid="{00000000-0005-0000-0000-0000DE090000}"/>
    <cellStyle name="Comma 7 22 2" xfId="3683" xr:uid="{00000000-0005-0000-0000-0000DF090000}"/>
    <cellStyle name="Comma 7 23" xfId="2382" xr:uid="{00000000-0005-0000-0000-0000E0090000}"/>
    <cellStyle name="Comma 7 23 2" xfId="3684" xr:uid="{00000000-0005-0000-0000-0000E1090000}"/>
    <cellStyle name="Comma 7 3" xfId="383" xr:uid="{00000000-0005-0000-0000-0000E2090000}"/>
    <cellStyle name="Comma 7 3 2" xfId="384" xr:uid="{00000000-0005-0000-0000-0000E3090000}"/>
    <cellStyle name="Comma 7 3 2 2" xfId="1256" xr:uid="{00000000-0005-0000-0000-0000E4090000}"/>
    <cellStyle name="Comma 7 3 2 3" xfId="2383" xr:uid="{00000000-0005-0000-0000-0000E5090000}"/>
    <cellStyle name="Comma 7 3 3" xfId="1257" xr:uid="{00000000-0005-0000-0000-0000E6090000}"/>
    <cellStyle name="Comma 7 3 3 2" xfId="2385" xr:uid="{00000000-0005-0000-0000-0000E7090000}"/>
    <cellStyle name="Comma 7 3 3 3" xfId="2384" xr:uid="{00000000-0005-0000-0000-0000E8090000}"/>
    <cellStyle name="Comma 7 3 3 4" xfId="3685" xr:uid="{00000000-0005-0000-0000-0000E9090000}"/>
    <cellStyle name="Comma 7 3 4" xfId="1258" xr:uid="{00000000-0005-0000-0000-0000EA090000}"/>
    <cellStyle name="Comma 7 3 4 2" xfId="3686" xr:uid="{00000000-0005-0000-0000-0000EB090000}"/>
    <cellStyle name="Comma 7 3 5" xfId="2386" xr:uid="{00000000-0005-0000-0000-0000EC090000}"/>
    <cellStyle name="Comma 7 3 5 2" xfId="3687" xr:uid="{00000000-0005-0000-0000-0000ED090000}"/>
    <cellStyle name="Comma 7 4" xfId="385" xr:uid="{00000000-0005-0000-0000-0000EE090000}"/>
    <cellStyle name="Comma 7 4 2" xfId="386" xr:uid="{00000000-0005-0000-0000-0000EF090000}"/>
    <cellStyle name="Comma 7 4 2 2" xfId="1259" xr:uid="{00000000-0005-0000-0000-0000F0090000}"/>
    <cellStyle name="Comma 7 4 2 3" xfId="2387" xr:uid="{00000000-0005-0000-0000-0000F1090000}"/>
    <cellStyle name="Comma 7 4 3" xfId="1260" xr:uid="{00000000-0005-0000-0000-0000F2090000}"/>
    <cellStyle name="Comma 7 4 3 2" xfId="2389" xr:uid="{00000000-0005-0000-0000-0000F3090000}"/>
    <cellStyle name="Comma 7 4 3 3" xfId="2388" xr:uid="{00000000-0005-0000-0000-0000F4090000}"/>
    <cellStyle name="Comma 7 4 3 4" xfId="3688" xr:uid="{00000000-0005-0000-0000-0000F5090000}"/>
    <cellStyle name="Comma 7 4 4" xfId="1261" xr:uid="{00000000-0005-0000-0000-0000F6090000}"/>
    <cellStyle name="Comma 7 4 4 2" xfId="3689" xr:uid="{00000000-0005-0000-0000-0000F7090000}"/>
    <cellStyle name="Comma 7 4 5" xfId="2390" xr:uid="{00000000-0005-0000-0000-0000F8090000}"/>
    <cellStyle name="Comma 7 4 5 2" xfId="3690" xr:uid="{00000000-0005-0000-0000-0000F9090000}"/>
    <cellStyle name="Comma 7 5" xfId="387" xr:uid="{00000000-0005-0000-0000-0000FA090000}"/>
    <cellStyle name="Comma 7 5 2" xfId="388" xr:uid="{00000000-0005-0000-0000-0000FB090000}"/>
    <cellStyle name="Comma 7 5 2 2" xfId="1262" xr:uid="{00000000-0005-0000-0000-0000FC090000}"/>
    <cellStyle name="Comma 7 5 2 3" xfId="2391" xr:uid="{00000000-0005-0000-0000-0000FD090000}"/>
    <cellStyle name="Comma 7 5 3" xfId="1263" xr:uid="{00000000-0005-0000-0000-0000FE090000}"/>
    <cellStyle name="Comma 7 5 3 2" xfId="2393" xr:uid="{00000000-0005-0000-0000-0000FF090000}"/>
    <cellStyle name="Comma 7 5 3 3" xfId="2392" xr:uid="{00000000-0005-0000-0000-0000000A0000}"/>
    <cellStyle name="Comma 7 5 3 4" xfId="3691" xr:uid="{00000000-0005-0000-0000-0000010A0000}"/>
    <cellStyle name="Comma 7 5 4" xfId="1264" xr:uid="{00000000-0005-0000-0000-0000020A0000}"/>
    <cellStyle name="Comma 7 5 4 2" xfId="3692" xr:uid="{00000000-0005-0000-0000-0000030A0000}"/>
    <cellStyle name="Comma 7 5 5" xfId="2394" xr:uid="{00000000-0005-0000-0000-0000040A0000}"/>
    <cellStyle name="Comma 7 5 5 2" xfId="3693" xr:uid="{00000000-0005-0000-0000-0000050A0000}"/>
    <cellStyle name="Comma 7 6" xfId="389" xr:uid="{00000000-0005-0000-0000-0000060A0000}"/>
    <cellStyle name="Comma 7 6 2" xfId="390" xr:uid="{00000000-0005-0000-0000-0000070A0000}"/>
    <cellStyle name="Comma 7 6 2 2" xfId="1265" xr:uid="{00000000-0005-0000-0000-0000080A0000}"/>
    <cellStyle name="Comma 7 6 2 3" xfId="2395" xr:uid="{00000000-0005-0000-0000-0000090A0000}"/>
    <cellStyle name="Comma 7 6 3" xfId="1266" xr:uid="{00000000-0005-0000-0000-00000A0A0000}"/>
    <cellStyle name="Comma 7 6 3 2" xfId="2397" xr:uid="{00000000-0005-0000-0000-00000B0A0000}"/>
    <cellStyle name="Comma 7 6 3 3" xfId="2396" xr:uid="{00000000-0005-0000-0000-00000C0A0000}"/>
    <cellStyle name="Comma 7 6 3 4" xfId="3694" xr:uid="{00000000-0005-0000-0000-00000D0A0000}"/>
    <cellStyle name="Comma 7 6 4" xfId="1267" xr:uid="{00000000-0005-0000-0000-00000E0A0000}"/>
    <cellStyle name="Comma 7 6 4 2" xfId="3695" xr:uid="{00000000-0005-0000-0000-00000F0A0000}"/>
    <cellStyle name="Comma 7 6 5" xfId="2398" xr:uid="{00000000-0005-0000-0000-0000100A0000}"/>
    <cellStyle name="Comma 7 6 5 2" xfId="3696" xr:uid="{00000000-0005-0000-0000-0000110A0000}"/>
    <cellStyle name="Comma 7 7" xfId="391" xr:uid="{00000000-0005-0000-0000-0000120A0000}"/>
    <cellStyle name="Comma 7 7 2" xfId="392" xr:uid="{00000000-0005-0000-0000-0000130A0000}"/>
    <cellStyle name="Comma 7 7 2 2" xfId="1268" xr:uid="{00000000-0005-0000-0000-0000140A0000}"/>
    <cellStyle name="Comma 7 7 2 3" xfId="2399" xr:uid="{00000000-0005-0000-0000-0000150A0000}"/>
    <cellStyle name="Comma 7 7 3" xfId="1269" xr:uid="{00000000-0005-0000-0000-0000160A0000}"/>
    <cellStyle name="Comma 7 7 3 2" xfId="2401" xr:uid="{00000000-0005-0000-0000-0000170A0000}"/>
    <cellStyle name="Comma 7 7 3 3" xfId="2400" xr:uid="{00000000-0005-0000-0000-0000180A0000}"/>
    <cellStyle name="Comma 7 7 3 4" xfId="3697" xr:uid="{00000000-0005-0000-0000-0000190A0000}"/>
    <cellStyle name="Comma 7 7 4" xfId="1270" xr:uid="{00000000-0005-0000-0000-00001A0A0000}"/>
    <cellStyle name="Comma 7 7 4 2" xfId="3698" xr:uid="{00000000-0005-0000-0000-00001B0A0000}"/>
    <cellStyle name="Comma 7 7 5" xfId="2402" xr:uid="{00000000-0005-0000-0000-00001C0A0000}"/>
    <cellStyle name="Comma 7 7 5 2" xfId="3699" xr:uid="{00000000-0005-0000-0000-00001D0A0000}"/>
    <cellStyle name="Comma 7 8" xfId="393" xr:uid="{00000000-0005-0000-0000-00001E0A0000}"/>
    <cellStyle name="Comma 7 8 2" xfId="394" xr:uid="{00000000-0005-0000-0000-00001F0A0000}"/>
    <cellStyle name="Comma 7 8 2 2" xfId="1271" xr:uid="{00000000-0005-0000-0000-0000200A0000}"/>
    <cellStyle name="Comma 7 8 2 3" xfId="2403" xr:uid="{00000000-0005-0000-0000-0000210A0000}"/>
    <cellStyle name="Comma 7 8 3" xfId="1272" xr:uid="{00000000-0005-0000-0000-0000220A0000}"/>
    <cellStyle name="Comma 7 8 3 2" xfId="2405" xr:uid="{00000000-0005-0000-0000-0000230A0000}"/>
    <cellStyle name="Comma 7 8 3 3" xfId="2404" xr:uid="{00000000-0005-0000-0000-0000240A0000}"/>
    <cellStyle name="Comma 7 8 3 4" xfId="3700" xr:uid="{00000000-0005-0000-0000-0000250A0000}"/>
    <cellStyle name="Comma 7 8 4" xfId="1273" xr:uid="{00000000-0005-0000-0000-0000260A0000}"/>
    <cellStyle name="Comma 7 8 4 2" xfId="3701" xr:uid="{00000000-0005-0000-0000-0000270A0000}"/>
    <cellStyle name="Comma 7 8 5" xfId="2406" xr:uid="{00000000-0005-0000-0000-0000280A0000}"/>
    <cellStyle name="Comma 7 8 5 2" xfId="3702" xr:uid="{00000000-0005-0000-0000-0000290A0000}"/>
    <cellStyle name="Comma 7 9" xfId="395" xr:uid="{00000000-0005-0000-0000-00002A0A0000}"/>
    <cellStyle name="Comma 7 9 2" xfId="396" xr:uid="{00000000-0005-0000-0000-00002B0A0000}"/>
    <cellStyle name="Comma 7 9 2 2" xfId="1274" xr:uid="{00000000-0005-0000-0000-00002C0A0000}"/>
    <cellStyle name="Comma 7 9 2 3" xfId="2407" xr:uid="{00000000-0005-0000-0000-00002D0A0000}"/>
    <cellStyle name="Comma 7 9 3" xfId="1275" xr:uid="{00000000-0005-0000-0000-00002E0A0000}"/>
    <cellStyle name="Comma 7 9 3 2" xfId="2409" xr:uid="{00000000-0005-0000-0000-00002F0A0000}"/>
    <cellStyle name="Comma 7 9 3 3" xfId="2408" xr:uid="{00000000-0005-0000-0000-0000300A0000}"/>
    <cellStyle name="Comma 7 9 3 4" xfId="3703" xr:uid="{00000000-0005-0000-0000-0000310A0000}"/>
    <cellStyle name="Comma 7 9 4" xfId="1276" xr:uid="{00000000-0005-0000-0000-0000320A0000}"/>
    <cellStyle name="Comma 7 9 4 2" xfId="3704" xr:uid="{00000000-0005-0000-0000-0000330A0000}"/>
    <cellStyle name="Comma 7 9 5" xfId="2410" xr:uid="{00000000-0005-0000-0000-0000340A0000}"/>
    <cellStyle name="Comma 7 9 5 2" xfId="3705" xr:uid="{00000000-0005-0000-0000-0000350A0000}"/>
    <cellStyle name="Comma 70" xfId="1561" xr:uid="{00000000-0005-0000-0000-0000360A0000}"/>
    <cellStyle name="Comma 71" xfId="1540" xr:uid="{00000000-0005-0000-0000-0000370A0000}"/>
    <cellStyle name="Comma 72" xfId="1563" xr:uid="{00000000-0005-0000-0000-0000380A0000}"/>
    <cellStyle name="Comma 73" xfId="1539" xr:uid="{00000000-0005-0000-0000-0000390A0000}"/>
    <cellStyle name="Comma 74" xfId="1564" xr:uid="{00000000-0005-0000-0000-00003A0A0000}"/>
    <cellStyle name="Comma 75" xfId="1538" xr:uid="{00000000-0005-0000-0000-00003B0A0000}"/>
    <cellStyle name="Comma 76" xfId="1562" xr:uid="{00000000-0005-0000-0000-00003C0A0000}"/>
    <cellStyle name="Comma 77" xfId="1705" xr:uid="{00000000-0005-0000-0000-00003D0A0000}"/>
    <cellStyle name="Comma 78" xfId="1716" xr:uid="{00000000-0005-0000-0000-00003E0A0000}"/>
    <cellStyle name="Comma 79" xfId="1708" xr:uid="{00000000-0005-0000-0000-00003F0A0000}"/>
    <cellStyle name="Comma 8" xfId="397" xr:uid="{00000000-0005-0000-0000-0000400A0000}"/>
    <cellStyle name="Comma 8 10" xfId="398" xr:uid="{00000000-0005-0000-0000-0000410A0000}"/>
    <cellStyle name="Comma 8 10 2" xfId="399" xr:uid="{00000000-0005-0000-0000-0000420A0000}"/>
    <cellStyle name="Comma 8 10 2 2" xfId="1277" xr:uid="{00000000-0005-0000-0000-0000430A0000}"/>
    <cellStyle name="Comma 8 10 2 3" xfId="2411" xr:uid="{00000000-0005-0000-0000-0000440A0000}"/>
    <cellStyle name="Comma 8 10 3" xfId="1278" xr:uid="{00000000-0005-0000-0000-0000450A0000}"/>
    <cellStyle name="Comma 8 10 3 2" xfId="2413" xr:uid="{00000000-0005-0000-0000-0000460A0000}"/>
    <cellStyle name="Comma 8 10 3 3" xfId="2412" xr:uid="{00000000-0005-0000-0000-0000470A0000}"/>
    <cellStyle name="Comma 8 10 3 4" xfId="3706" xr:uid="{00000000-0005-0000-0000-0000480A0000}"/>
    <cellStyle name="Comma 8 10 4" xfId="1279" xr:uid="{00000000-0005-0000-0000-0000490A0000}"/>
    <cellStyle name="Comma 8 10 4 2" xfId="3707" xr:uid="{00000000-0005-0000-0000-00004A0A0000}"/>
    <cellStyle name="Comma 8 10 5" xfId="2414" xr:uid="{00000000-0005-0000-0000-00004B0A0000}"/>
    <cellStyle name="Comma 8 10 5 2" xfId="3708" xr:uid="{00000000-0005-0000-0000-00004C0A0000}"/>
    <cellStyle name="Comma 8 11" xfId="400" xr:uid="{00000000-0005-0000-0000-00004D0A0000}"/>
    <cellStyle name="Comma 8 11 2" xfId="401" xr:uid="{00000000-0005-0000-0000-00004E0A0000}"/>
    <cellStyle name="Comma 8 11 2 2" xfId="1280" xr:uid="{00000000-0005-0000-0000-00004F0A0000}"/>
    <cellStyle name="Comma 8 11 2 3" xfId="2415" xr:uid="{00000000-0005-0000-0000-0000500A0000}"/>
    <cellStyle name="Comma 8 11 3" xfId="1281" xr:uid="{00000000-0005-0000-0000-0000510A0000}"/>
    <cellStyle name="Comma 8 11 3 2" xfId="2417" xr:uid="{00000000-0005-0000-0000-0000520A0000}"/>
    <cellStyle name="Comma 8 11 3 3" xfId="2416" xr:uid="{00000000-0005-0000-0000-0000530A0000}"/>
    <cellStyle name="Comma 8 11 3 4" xfId="3709" xr:uid="{00000000-0005-0000-0000-0000540A0000}"/>
    <cellStyle name="Comma 8 11 4" xfId="1282" xr:uid="{00000000-0005-0000-0000-0000550A0000}"/>
    <cellStyle name="Comma 8 11 4 2" xfId="3710" xr:uid="{00000000-0005-0000-0000-0000560A0000}"/>
    <cellStyle name="Comma 8 11 5" xfId="2418" xr:uid="{00000000-0005-0000-0000-0000570A0000}"/>
    <cellStyle name="Comma 8 11 5 2" xfId="3711" xr:uid="{00000000-0005-0000-0000-0000580A0000}"/>
    <cellStyle name="Comma 8 12" xfId="402" xr:uid="{00000000-0005-0000-0000-0000590A0000}"/>
    <cellStyle name="Comma 8 12 2" xfId="403" xr:uid="{00000000-0005-0000-0000-00005A0A0000}"/>
    <cellStyle name="Comma 8 12 2 2" xfId="1283" xr:uid="{00000000-0005-0000-0000-00005B0A0000}"/>
    <cellStyle name="Comma 8 12 2 3" xfId="2419" xr:uid="{00000000-0005-0000-0000-00005C0A0000}"/>
    <cellStyle name="Comma 8 12 3" xfId="1284" xr:uid="{00000000-0005-0000-0000-00005D0A0000}"/>
    <cellStyle name="Comma 8 12 3 2" xfId="2421" xr:uid="{00000000-0005-0000-0000-00005E0A0000}"/>
    <cellStyle name="Comma 8 12 3 3" xfId="2420" xr:uid="{00000000-0005-0000-0000-00005F0A0000}"/>
    <cellStyle name="Comma 8 12 3 4" xfId="3712" xr:uid="{00000000-0005-0000-0000-0000600A0000}"/>
    <cellStyle name="Comma 8 12 4" xfId="1285" xr:uid="{00000000-0005-0000-0000-0000610A0000}"/>
    <cellStyle name="Comma 8 12 4 2" xfId="3713" xr:uid="{00000000-0005-0000-0000-0000620A0000}"/>
    <cellStyle name="Comma 8 12 5" xfId="2422" xr:uid="{00000000-0005-0000-0000-0000630A0000}"/>
    <cellStyle name="Comma 8 12 5 2" xfId="3714" xr:uid="{00000000-0005-0000-0000-0000640A0000}"/>
    <cellStyle name="Comma 8 13" xfId="404" xr:uid="{00000000-0005-0000-0000-0000650A0000}"/>
    <cellStyle name="Comma 8 13 2" xfId="405" xr:uid="{00000000-0005-0000-0000-0000660A0000}"/>
    <cellStyle name="Comma 8 13 2 2" xfId="1286" xr:uid="{00000000-0005-0000-0000-0000670A0000}"/>
    <cellStyle name="Comma 8 13 2 3" xfId="2423" xr:uid="{00000000-0005-0000-0000-0000680A0000}"/>
    <cellStyle name="Comma 8 13 3" xfId="1287" xr:uid="{00000000-0005-0000-0000-0000690A0000}"/>
    <cellStyle name="Comma 8 13 3 2" xfId="2425" xr:uid="{00000000-0005-0000-0000-00006A0A0000}"/>
    <cellStyle name="Comma 8 13 3 3" xfId="2424" xr:uid="{00000000-0005-0000-0000-00006B0A0000}"/>
    <cellStyle name="Comma 8 13 3 4" xfId="3715" xr:uid="{00000000-0005-0000-0000-00006C0A0000}"/>
    <cellStyle name="Comma 8 13 4" xfId="1288" xr:uid="{00000000-0005-0000-0000-00006D0A0000}"/>
    <cellStyle name="Comma 8 13 4 2" xfId="3716" xr:uid="{00000000-0005-0000-0000-00006E0A0000}"/>
    <cellStyle name="Comma 8 13 5" xfId="2426" xr:uid="{00000000-0005-0000-0000-00006F0A0000}"/>
    <cellStyle name="Comma 8 13 5 2" xfId="3717" xr:uid="{00000000-0005-0000-0000-0000700A0000}"/>
    <cellStyle name="Comma 8 14" xfId="406" xr:uid="{00000000-0005-0000-0000-0000710A0000}"/>
    <cellStyle name="Comma 8 14 2" xfId="407" xr:uid="{00000000-0005-0000-0000-0000720A0000}"/>
    <cellStyle name="Comma 8 14 2 2" xfId="1289" xr:uid="{00000000-0005-0000-0000-0000730A0000}"/>
    <cellStyle name="Comma 8 14 2 3" xfId="2427" xr:uid="{00000000-0005-0000-0000-0000740A0000}"/>
    <cellStyle name="Comma 8 14 3" xfId="1290" xr:uid="{00000000-0005-0000-0000-0000750A0000}"/>
    <cellStyle name="Comma 8 14 3 2" xfId="2429" xr:uid="{00000000-0005-0000-0000-0000760A0000}"/>
    <cellStyle name="Comma 8 14 3 3" xfId="2428" xr:uid="{00000000-0005-0000-0000-0000770A0000}"/>
    <cellStyle name="Comma 8 14 3 4" xfId="3718" xr:uid="{00000000-0005-0000-0000-0000780A0000}"/>
    <cellStyle name="Comma 8 14 4" xfId="1291" xr:uid="{00000000-0005-0000-0000-0000790A0000}"/>
    <cellStyle name="Comma 8 14 4 2" xfId="3719" xr:uid="{00000000-0005-0000-0000-00007A0A0000}"/>
    <cellStyle name="Comma 8 14 5" xfId="2430" xr:uid="{00000000-0005-0000-0000-00007B0A0000}"/>
    <cellStyle name="Comma 8 14 5 2" xfId="3720" xr:uid="{00000000-0005-0000-0000-00007C0A0000}"/>
    <cellStyle name="Comma 8 15" xfId="408" xr:uid="{00000000-0005-0000-0000-00007D0A0000}"/>
    <cellStyle name="Comma 8 15 2" xfId="409" xr:uid="{00000000-0005-0000-0000-00007E0A0000}"/>
    <cellStyle name="Comma 8 15 2 2" xfId="1292" xr:uid="{00000000-0005-0000-0000-00007F0A0000}"/>
    <cellStyle name="Comma 8 15 2 3" xfId="2431" xr:uid="{00000000-0005-0000-0000-0000800A0000}"/>
    <cellStyle name="Comma 8 15 3" xfId="1293" xr:uid="{00000000-0005-0000-0000-0000810A0000}"/>
    <cellStyle name="Comma 8 15 3 2" xfId="2433" xr:uid="{00000000-0005-0000-0000-0000820A0000}"/>
    <cellStyle name="Comma 8 15 3 3" xfId="2432" xr:uid="{00000000-0005-0000-0000-0000830A0000}"/>
    <cellStyle name="Comma 8 15 3 4" xfId="3721" xr:uid="{00000000-0005-0000-0000-0000840A0000}"/>
    <cellStyle name="Comma 8 15 4" xfId="1294" xr:uid="{00000000-0005-0000-0000-0000850A0000}"/>
    <cellStyle name="Comma 8 15 4 2" xfId="3722" xr:uid="{00000000-0005-0000-0000-0000860A0000}"/>
    <cellStyle name="Comma 8 15 5" xfId="2434" xr:uid="{00000000-0005-0000-0000-0000870A0000}"/>
    <cellStyle name="Comma 8 15 5 2" xfId="3723" xr:uid="{00000000-0005-0000-0000-0000880A0000}"/>
    <cellStyle name="Comma 8 16" xfId="410" xr:uid="{00000000-0005-0000-0000-0000890A0000}"/>
    <cellStyle name="Comma 8 16 2" xfId="411" xr:uid="{00000000-0005-0000-0000-00008A0A0000}"/>
    <cellStyle name="Comma 8 16 2 2" xfId="1295" xr:uid="{00000000-0005-0000-0000-00008B0A0000}"/>
    <cellStyle name="Comma 8 16 2 3" xfId="2435" xr:uid="{00000000-0005-0000-0000-00008C0A0000}"/>
    <cellStyle name="Comma 8 16 3" xfId="1296" xr:uid="{00000000-0005-0000-0000-00008D0A0000}"/>
    <cellStyle name="Comma 8 16 3 2" xfId="2437" xr:uid="{00000000-0005-0000-0000-00008E0A0000}"/>
    <cellStyle name="Comma 8 16 3 3" xfId="2436" xr:uid="{00000000-0005-0000-0000-00008F0A0000}"/>
    <cellStyle name="Comma 8 16 3 4" xfId="3724" xr:uid="{00000000-0005-0000-0000-0000900A0000}"/>
    <cellStyle name="Comma 8 16 4" xfId="1297" xr:uid="{00000000-0005-0000-0000-0000910A0000}"/>
    <cellStyle name="Comma 8 16 4 2" xfId="3725" xr:uid="{00000000-0005-0000-0000-0000920A0000}"/>
    <cellStyle name="Comma 8 16 5" xfId="2438" xr:uid="{00000000-0005-0000-0000-0000930A0000}"/>
    <cellStyle name="Comma 8 16 5 2" xfId="3726" xr:uid="{00000000-0005-0000-0000-0000940A0000}"/>
    <cellStyle name="Comma 8 17" xfId="412" xr:uid="{00000000-0005-0000-0000-0000950A0000}"/>
    <cellStyle name="Comma 8 17 2" xfId="413" xr:uid="{00000000-0005-0000-0000-0000960A0000}"/>
    <cellStyle name="Comma 8 17 2 2" xfId="1298" xr:uid="{00000000-0005-0000-0000-0000970A0000}"/>
    <cellStyle name="Comma 8 17 2 3" xfId="2439" xr:uid="{00000000-0005-0000-0000-0000980A0000}"/>
    <cellStyle name="Comma 8 17 3" xfId="1299" xr:uid="{00000000-0005-0000-0000-0000990A0000}"/>
    <cellStyle name="Comma 8 17 3 2" xfId="2441" xr:uid="{00000000-0005-0000-0000-00009A0A0000}"/>
    <cellStyle name="Comma 8 17 3 3" xfId="2440" xr:uid="{00000000-0005-0000-0000-00009B0A0000}"/>
    <cellStyle name="Comma 8 17 3 4" xfId="3727" xr:uid="{00000000-0005-0000-0000-00009C0A0000}"/>
    <cellStyle name="Comma 8 17 4" xfId="1300" xr:uid="{00000000-0005-0000-0000-00009D0A0000}"/>
    <cellStyle name="Comma 8 17 4 2" xfId="3728" xr:uid="{00000000-0005-0000-0000-00009E0A0000}"/>
    <cellStyle name="Comma 8 17 5" xfId="2442" xr:uid="{00000000-0005-0000-0000-00009F0A0000}"/>
    <cellStyle name="Comma 8 17 5 2" xfId="3729" xr:uid="{00000000-0005-0000-0000-0000A00A0000}"/>
    <cellStyle name="Comma 8 18" xfId="414" xr:uid="{00000000-0005-0000-0000-0000A10A0000}"/>
    <cellStyle name="Comma 8 18 2" xfId="415" xr:uid="{00000000-0005-0000-0000-0000A20A0000}"/>
    <cellStyle name="Comma 8 18 2 2" xfId="1301" xr:uid="{00000000-0005-0000-0000-0000A30A0000}"/>
    <cellStyle name="Comma 8 18 2 3" xfId="2443" xr:uid="{00000000-0005-0000-0000-0000A40A0000}"/>
    <cellStyle name="Comma 8 18 3" xfId="1302" xr:uid="{00000000-0005-0000-0000-0000A50A0000}"/>
    <cellStyle name="Comma 8 18 3 2" xfId="2445" xr:uid="{00000000-0005-0000-0000-0000A60A0000}"/>
    <cellStyle name="Comma 8 18 3 3" xfId="2444" xr:uid="{00000000-0005-0000-0000-0000A70A0000}"/>
    <cellStyle name="Comma 8 18 3 4" xfId="3730" xr:uid="{00000000-0005-0000-0000-0000A80A0000}"/>
    <cellStyle name="Comma 8 18 4" xfId="1303" xr:uid="{00000000-0005-0000-0000-0000A90A0000}"/>
    <cellStyle name="Comma 8 18 4 2" xfId="3731" xr:uid="{00000000-0005-0000-0000-0000AA0A0000}"/>
    <cellStyle name="Comma 8 18 5" xfId="2446" xr:uid="{00000000-0005-0000-0000-0000AB0A0000}"/>
    <cellStyle name="Comma 8 18 5 2" xfId="3732" xr:uid="{00000000-0005-0000-0000-0000AC0A0000}"/>
    <cellStyle name="Comma 8 19" xfId="416" xr:uid="{00000000-0005-0000-0000-0000AD0A0000}"/>
    <cellStyle name="Comma 8 19 2" xfId="417" xr:uid="{00000000-0005-0000-0000-0000AE0A0000}"/>
    <cellStyle name="Comma 8 19 2 2" xfId="1304" xr:uid="{00000000-0005-0000-0000-0000AF0A0000}"/>
    <cellStyle name="Comma 8 19 2 3" xfId="2447" xr:uid="{00000000-0005-0000-0000-0000B00A0000}"/>
    <cellStyle name="Comma 8 19 3" xfId="1305" xr:uid="{00000000-0005-0000-0000-0000B10A0000}"/>
    <cellStyle name="Comma 8 19 3 2" xfId="2449" xr:uid="{00000000-0005-0000-0000-0000B20A0000}"/>
    <cellStyle name="Comma 8 19 3 3" xfId="2448" xr:uid="{00000000-0005-0000-0000-0000B30A0000}"/>
    <cellStyle name="Comma 8 19 3 4" xfId="3733" xr:uid="{00000000-0005-0000-0000-0000B40A0000}"/>
    <cellStyle name="Comma 8 19 4" xfId="1306" xr:uid="{00000000-0005-0000-0000-0000B50A0000}"/>
    <cellStyle name="Comma 8 19 4 2" xfId="3734" xr:uid="{00000000-0005-0000-0000-0000B60A0000}"/>
    <cellStyle name="Comma 8 19 5" xfId="2450" xr:uid="{00000000-0005-0000-0000-0000B70A0000}"/>
    <cellStyle name="Comma 8 19 5 2" xfId="3735" xr:uid="{00000000-0005-0000-0000-0000B80A0000}"/>
    <cellStyle name="Comma 8 2" xfId="418" xr:uid="{00000000-0005-0000-0000-0000B90A0000}"/>
    <cellStyle name="Comma 8 2 2" xfId="419" xr:uid="{00000000-0005-0000-0000-0000BA0A0000}"/>
    <cellStyle name="Comma 8 2 2 2" xfId="1307" xr:uid="{00000000-0005-0000-0000-0000BB0A0000}"/>
    <cellStyle name="Comma 8 2 2 3" xfId="2451" xr:uid="{00000000-0005-0000-0000-0000BC0A0000}"/>
    <cellStyle name="Comma 8 2 3" xfId="1308" xr:uid="{00000000-0005-0000-0000-0000BD0A0000}"/>
    <cellStyle name="Comma 8 2 3 2" xfId="2453" xr:uid="{00000000-0005-0000-0000-0000BE0A0000}"/>
    <cellStyle name="Comma 8 2 3 3" xfId="2452" xr:uid="{00000000-0005-0000-0000-0000BF0A0000}"/>
    <cellStyle name="Comma 8 2 3 4" xfId="3736" xr:uid="{00000000-0005-0000-0000-0000C00A0000}"/>
    <cellStyle name="Comma 8 2 4" xfId="1309" xr:uid="{00000000-0005-0000-0000-0000C10A0000}"/>
    <cellStyle name="Comma 8 2 4 2" xfId="3737" xr:uid="{00000000-0005-0000-0000-0000C20A0000}"/>
    <cellStyle name="Comma 8 2 5" xfId="2454" xr:uid="{00000000-0005-0000-0000-0000C30A0000}"/>
    <cellStyle name="Comma 8 2 5 2" xfId="3738" xr:uid="{00000000-0005-0000-0000-0000C40A0000}"/>
    <cellStyle name="Comma 8 20" xfId="420" xr:uid="{00000000-0005-0000-0000-0000C50A0000}"/>
    <cellStyle name="Comma 8 20 2" xfId="1310" xr:uid="{00000000-0005-0000-0000-0000C60A0000}"/>
    <cellStyle name="Comma 8 20 3" xfId="2455" xr:uid="{00000000-0005-0000-0000-0000C70A0000}"/>
    <cellStyle name="Comma 8 21" xfId="1311" xr:uid="{00000000-0005-0000-0000-0000C80A0000}"/>
    <cellStyle name="Comma 8 21 2" xfId="2457" xr:uid="{00000000-0005-0000-0000-0000C90A0000}"/>
    <cellStyle name="Comma 8 21 3" xfId="2456" xr:uid="{00000000-0005-0000-0000-0000CA0A0000}"/>
    <cellStyle name="Comma 8 21 4" xfId="3739" xr:uid="{00000000-0005-0000-0000-0000CB0A0000}"/>
    <cellStyle name="Comma 8 22" xfId="1312" xr:uid="{00000000-0005-0000-0000-0000CC0A0000}"/>
    <cellStyle name="Comma 8 22 2" xfId="3740" xr:uid="{00000000-0005-0000-0000-0000CD0A0000}"/>
    <cellStyle name="Comma 8 23" xfId="2458" xr:uid="{00000000-0005-0000-0000-0000CE0A0000}"/>
    <cellStyle name="Comma 8 23 2" xfId="3741" xr:uid="{00000000-0005-0000-0000-0000CF0A0000}"/>
    <cellStyle name="Comma 8 3" xfId="421" xr:uid="{00000000-0005-0000-0000-0000D00A0000}"/>
    <cellStyle name="Comma 8 3 2" xfId="422" xr:uid="{00000000-0005-0000-0000-0000D10A0000}"/>
    <cellStyle name="Comma 8 3 2 2" xfId="1313" xr:uid="{00000000-0005-0000-0000-0000D20A0000}"/>
    <cellStyle name="Comma 8 3 2 3" xfId="2459" xr:uid="{00000000-0005-0000-0000-0000D30A0000}"/>
    <cellStyle name="Comma 8 3 3" xfId="1314" xr:uid="{00000000-0005-0000-0000-0000D40A0000}"/>
    <cellStyle name="Comma 8 3 3 2" xfId="2461" xr:uid="{00000000-0005-0000-0000-0000D50A0000}"/>
    <cellStyle name="Comma 8 3 3 3" xfId="2460" xr:uid="{00000000-0005-0000-0000-0000D60A0000}"/>
    <cellStyle name="Comma 8 3 3 4" xfId="3742" xr:uid="{00000000-0005-0000-0000-0000D70A0000}"/>
    <cellStyle name="Comma 8 3 4" xfId="1315" xr:uid="{00000000-0005-0000-0000-0000D80A0000}"/>
    <cellStyle name="Comma 8 3 4 2" xfId="3743" xr:uid="{00000000-0005-0000-0000-0000D90A0000}"/>
    <cellStyle name="Comma 8 3 5" xfId="2462" xr:uid="{00000000-0005-0000-0000-0000DA0A0000}"/>
    <cellStyle name="Comma 8 3 5 2" xfId="3744" xr:uid="{00000000-0005-0000-0000-0000DB0A0000}"/>
    <cellStyle name="Comma 8 4" xfId="423" xr:uid="{00000000-0005-0000-0000-0000DC0A0000}"/>
    <cellStyle name="Comma 8 4 2" xfId="424" xr:uid="{00000000-0005-0000-0000-0000DD0A0000}"/>
    <cellStyle name="Comma 8 4 2 2" xfId="1316" xr:uid="{00000000-0005-0000-0000-0000DE0A0000}"/>
    <cellStyle name="Comma 8 4 2 3" xfId="2463" xr:uid="{00000000-0005-0000-0000-0000DF0A0000}"/>
    <cellStyle name="Comma 8 4 3" xfId="1317" xr:uid="{00000000-0005-0000-0000-0000E00A0000}"/>
    <cellStyle name="Comma 8 4 3 2" xfId="2465" xr:uid="{00000000-0005-0000-0000-0000E10A0000}"/>
    <cellStyle name="Comma 8 4 3 3" xfId="2464" xr:uid="{00000000-0005-0000-0000-0000E20A0000}"/>
    <cellStyle name="Comma 8 4 3 4" xfId="3745" xr:uid="{00000000-0005-0000-0000-0000E30A0000}"/>
    <cellStyle name="Comma 8 4 4" xfId="1318" xr:uid="{00000000-0005-0000-0000-0000E40A0000}"/>
    <cellStyle name="Comma 8 4 4 2" xfId="3746" xr:uid="{00000000-0005-0000-0000-0000E50A0000}"/>
    <cellStyle name="Comma 8 4 5" xfId="2466" xr:uid="{00000000-0005-0000-0000-0000E60A0000}"/>
    <cellStyle name="Comma 8 4 5 2" xfId="3747" xr:uid="{00000000-0005-0000-0000-0000E70A0000}"/>
    <cellStyle name="Comma 8 5" xfId="425" xr:uid="{00000000-0005-0000-0000-0000E80A0000}"/>
    <cellStyle name="Comma 8 5 2" xfId="426" xr:uid="{00000000-0005-0000-0000-0000E90A0000}"/>
    <cellStyle name="Comma 8 5 2 2" xfId="1319" xr:uid="{00000000-0005-0000-0000-0000EA0A0000}"/>
    <cellStyle name="Comma 8 5 2 3" xfId="2467" xr:uid="{00000000-0005-0000-0000-0000EB0A0000}"/>
    <cellStyle name="Comma 8 5 3" xfId="1320" xr:uid="{00000000-0005-0000-0000-0000EC0A0000}"/>
    <cellStyle name="Comma 8 5 3 2" xfId="2469" xr:uid="{00000000-0005-0000-0000-0000ED0A0000}"/>
    <cellStyle name="Comma 8 5 3 3" xfId="2468" xr:uid="{00000000-0005-0000-0000-0000EE0A0000}"/>
    <cellStyle name="Comma 8 5 3 4" xfId="3748" xr:uid="{00000000-0005-0000-0000-0000EF0A0000}"/>
    <cellStyle name="Comma 8 5 4" xfId="1321" xr:uid="{00000000-0005-0000-0000-0000F00A0000}"/>
    <cellStyle name="Comma 8 5 4 2" xfId="3749" xr:uid="{00000000-0005-0000-0000-0000F10A0000}"/>
    <cellStyle name="Comma 8 5 5" xfId="2470" xr:uid="{00000000-0005-0000-0000-0000F20A0000}"/>
    <cellStyle name="Comma 8 5 5 2" xfId="3750" xr:uid="{00000000-0005-0000-0000-0000F30A0000}"/>
    <cellStyle name="Comma 8 6" xfId="427" xr:uid="{00000000-0005-0000-0000-0000F40A0000}"/>
    <cellStyle name="Comma 8 6 2" xfId="428" xr:uid="{00000000-0005-0000-0000-0000F50A0000}"/>
    <cellStyle name="Comma 8 6 2 2" xfId="1322" xr:uid="{00000000-0005-0000-0000-0000F60A0000}"/>
    <cellStyle name="Comma 8 6 2 3" xfId="2471" xr:uid="{00000000-0005-0000-0000-0000F70A0000}"/>
    <cellStyle name="Comma 8 6 3" xfId="1323" xr:uid="{00000000-0005-0000-0000-0000F80A0000}"/>
    <cellStyle name="Comma 8 6 3 2" xfId="2473" xr:uid="{00000000-0005-0000-0000-0000F90A0000}"/>
    <cellStyle name="Comma 8 6 3 3" xfId="2472" xr:uid="{00000000-0005-0000-0000-0000FA0A0000}"/>
    <cellStyle name="Comma 8 6 3 4" xfId="3751" xr:uid="{00000000-0005-0000-0000-0000FB0A0000}"/>
    <cellStyle name="Comma 8 6 4" xfId="1324" xr:uid="{00000000-0005-0000-0000-0000FC0A0000}"/>
    <cellStyle name="Comma 8 6 4 2" xfId="3752" xr:uid="{00000000-0005-0000-0000-0000FD0A0000}"/>
    <cellStyle name="Comma 8 6 5" xfId="2474" xr:uid="{00000000-0005-0000-0000-0000FE0A0000}"/>
    <cellStyle name="Comma 8 6 5 2" xfId="3753" xr:uid="{00000000-0005-0000-0000-0000FF0A0000}"/>
    <cellStyle name="Comma 8 7" xfId="429" xr:uid="{00000000-0005-0000-0000-0000000B0000}"/>
    <cellStyle name="Comma 8 7 2" xfId="430" xr:uid="{00000000-0005-0000-0000-0000010B0000}"/>
    <cellStyle name="Comma 8 7 2 2" xfId="1325" xr:uid="{00000000-0005-0000-0000-0000020B0000}"/>
    <cellStyle name="Comma 8 7 2 3" xfId="2475" xr:uid="{00000000-0005-0000-0000-0000030B0000}"/>
    <cellStyle name="Comma 8 7 3" xfId="1326" xr:uid="{00000000-0005-0000-0000-0000040B0000}"/>
    <cellStyle name="Comma 8 7 3 2" xfId="2477" xr:uid="{00000000-0005-0000-0000-0000050B0000}"/>
    <cellStyle name="Comma 8 7 3 3" xfId="2476" xr:uid="{00000000-0005-0000-0000-0000060B0000}"/>
    <cellStyle name="Comma 8 7 3 4" xfId="3754" xr:uid="{00000000-0005-0000-0000-0000070B0000}"/>
    <cellStyle name="Comma 8 7 4" xfId="1327" xr:uid="{00000000-0005-0000-0000-0000080B0000}"/>
    <cellStyle name="Comma 8 7 4 2" xfId="3755" xr:uid="{00000000-0005-0000-0000-0000090B0000}"/>
    <cellStyle name="Comma 8 7 5" xfId="2478" xr:uid="{00000000-0005-0000-0000-00000A0B0000}"/>
    <cellStyle name="Comma 8 7 5 2" xfId="3756" xr:uid="{00000000-0005-0000-0000-00000B0B0000}"/>
    <cellStyle name="Comma 8 8" xfId="431" xr:uid="{00000000-0005-0000-0000-00000C0B0000}"/>
    <cellStyle name="Comma 8 8 2" xfId="432" xr:uid="{00000000-0005-0000-0000-00000D0B0000}"/>
    <cellStyle name="Comma 8 8 2 2" xfId="1328" xr:uid="{00000000-0005-0000-0000-00000E0B0000}"/>
    <cellStyle name="Comma 8 8 2 3" xfId="2479" xr:uid="{00000000-0005-0000-0000-00000F0B0000}"/>
    <cellStyle name="Comma 8 8 3" xfId="1329" xr:uid="{00000000-0005-0000-0000-0000100B0000}"/>
    <cellStyle name="Comma 8 8 3 2" xfId="2481" xr:uid="{00000000-0005-0000-0000-0000110B0000}"/>
    <cellStyle name="Comma 8 8 3 3" xfId="2480" xr:uid="{00000000-0005-0000-0000-0000120B0000}"/>
    <cellStyle name="Comma 8 8 3 4" xfId="3757" xr:uid="{00000000-0005-0000-0000-0000130B0000}"/>
    <cellStyle name="Comma 8 8 4" xfId="1330" xr:uid="{00000000-0005-0000-0000-0000140B0000}"/>
    <cellStyle name="Comma 8 8 4 2" xfId="3758" xr:uid="{00000000-0005-0000-0000-0000150B0000}"/>
    <cellStyle name="Comma 8 8 5" xfId="2482" xr:uid="{00000000-0005-0000-0000-0000160B0000}"/>
    <cellStyle name="Comma 8 8 5 2" xfId="3759" xr:uid="{00000000-0005-0000-0000-0000170B0000}"/>
    <cellStyle name="Comma 8 9" xfId="433" xr:uid="{00000000-0005-0000-0000-0000180B0000}"/>
    <cellStyle name="Comma 8 9 2" xfId="434" xr:uid="{00000000-0005-0000-0000-0000190B0000}"/>
    <cellStyle name="Comma 8 9 2 2" xfId="1331" xr:uid="{00000000-0005-0000-0000-00001A0B0000}"/>
    <cellStyle name="Comma 8 9 2 3" xfId="2483" xr:uid="{00000000-0005-0000-0000-00001B0B0000}"/>
    <cellStyle name="Comma 8 9 3" xfId="1332" xr:uid="{00000000-0005-0000-0000-00001C0B0000}"/>
    <cellStyle name="Comma 8 9 3 2" xfId="2485" xr:uid="{00000000-0005-0000-0000-00001D0B0000}"/>
    <cellStyle name="Comma 8 9 3 3" xfId="2484" xr:uid="{00000000-0005-0000-0000-00001E0B0000}"/>
    <cellStyle name="Comma 8 9 3 4" xfId="3760" xr:uid="{00000000-0005-0000-0000-00001F0B0000}"/>
    <cellStyle name="Comma 8 9 4" xfId="1333" xr:uid="{00000000-0005-0000-0000-0000200B0000}"/>
    <cellStyle name="Comma 8 9 4 2" xfId="3761" xr:uid="{00000000-0005-0000-0000-0000210B0000}"/>
    <cellStyle name="Comma 8 9 5" xfId="2486" xr:uid="{00000000-0005-0000-0000-0000220B0000}"/>
    <cellStyle name="Comma 8 9 5 2" xfId="3762" xr:uid="{00000000-0005-0000-0000-0000230B0000}"/>
    <cellStyle name="Comma 80" xfId="1717" xr:uid="{00000000-0005-0000-0000-0000240B0000}"/>
    <cellStyle name="Comma 81" xfId="1709" xr:uid="{00000000-0005-0000-0000-0000250B0000}"/>
    <cellStyle name="Comma 82" xfId="1718" xr:uid="{00000000-0005-0000-0000-0000260B0000}"/>
    <cellStyle name="Comma 83" xfId="1710" xr:uid="{00000000-0005-0000-0000-0000270B0000}"/>
    <cellStyle name="Comma 84" xfId="1730" xr:uid="{00000000-0005-0000-0000-0000280B0000}"/>
    <cellStyle name="Comma 85" xfId="1731" xr:uid="{00000000-0005-0000-0000-0000290B0000}"/>
    <cellStyle name="Comma 86" xfId="1729" xr:uid="{00000000-0005-0000-0000-00002A0B0000}"/>
    <cellStyle name="Comma 87" xfId="1732" xr:uid="{00000000-0005-0000-0000-00002B0B0000}"/>
    <cellStyle name="Comma 88" xfId="1728" xr:uid="{00000000-0005-0000-0000-00002C0B0000}"/>
    <cellStyle name="Comma 89" xfId="1733" xr:uid="{00000000-0005-0000-0000-00002D0B0000}"/>
    <cellStyle name="Comma 9" xfId="435" xr:uid="{00000000-0005-0000-0000-00002E0B0000}"/>
    <cellStyle name="Comma 9 10" xfId="436" xr:uid="{00000000-0005-0000-0000-00002F0B0000}"/>
    <cellStyle name="Comma 9 10 2" xfId="437" xr:uid="{00000000-0005-0000-0000-0000300B0000}"/>
    <cellStyle name="Comma 9 10 2 2" xfId="1334" xr:uid="{00000000-0005-0000-0000-0000310B0000}"/>
    <cellStyle name="Comma 9 10 2 3" xfId="2487" xr:uid="{00000000-0005-0000-0000-0000320B0000}"/>
    <cellStyle name="Comma 9 10 3" xfId="1335" xr:uid="{00000000-0005-0000-0000-0000330B0000}"/>
    <cellStyle name="Comma 9 10 3 2" xfId="2489" xr:uid="{00000000-0005-0000-0000-0000340B0000}"/>
    <cellStyle name="Comma 9 10 3 3" xfId="2488" xr:uid="{00000000-0005-0000-0000-0000350B0000}"/>
    <cellStyle name="Comma 9 10 3 4" xfId="3763" xr:uid="{00000000-0005-0000-0000-0000360B0000}"/>
    <cellStyle name="Comma 9 10 4" xfId="1336" xr:uid="{00000000-0005-0000-0000-0000370B0000}"/>
    <cellStyle name="Comma 9 10 4 2" xfId="3764" xr:uid="{00000000-0005-0000-0000-0000380B0000}"/>
    <cellStyle name="Comma 9 10 5" xfId="2490" xr:uid="{00000000-0005-0000-0000-0000390B0000}"/>
    <cellStyle name="Comma 9 10 5 2" xfId="3765" xr:uid="{00000000-0005-0000-0000-00003A0B0000}"/>
    <cellStyle name="Comma 9 11" xfId="438" xr:uid="{00000000-0005-0000-0000-00003B0B0000}"/>
    <cellStyle name="Comma 9 11 2" xfId="439" xr:uid="{00000000-0005-0000-0000-00003C0B0000}"/>
    <cellStyle name="Comma 9 11 2 2" xfId="1337" xr:uid="{00000000-0005-0000-0000-00003D0B0000}"/>
    <cellStyle name="Comma 9 11 2 3" xfId="2491" xr:uid="{00000000-0005-0000-0000-00003E0B0000}"/>
    <cellStyle name="Comma 9 11 3" xfId="1338" xr:uid="{00000000-0005-0000-0000-00003F0B0000}"/>
    <cellStyle name="Comma 9 11 3 2" xfId="2493" xr:uid="{00000000-0005-0000-0000-0000400B0000}"/>
    <cellStyle name="Comma 9 11 3 3" xfId="2492" xr:uid="{00000000-0005-0000-0000-0000410B0000}"/>
    <cellStyle name="Comma 9 11 3 4" xfId="3766" xr:uid="{00000000-0005-0000-0000-0000420B0000}"/>
    <cellStyle name="Comma 9 11 4" xfId="1339" xr:uid="{00000000-0005-0000-0000-0000430B0000}"/>
    <cellStyle name="Comma 9 11 4 2" xfId="3767" xr:uid="{00000000-0005-0000-0000-0000440B0000}"/>
    <cellStyle name="Comma 9 11 5" xfId="2494" xr:uid="{00000000-0005-0000-0000-0000450B0000}"/>
    <cellStyle name="Comma 9 11 5 2" xfId="3768" xr:uid="{00000000-0005-0000-0000-0000460B0000}"/>
    <cellStyle name="Comma 9 12" xfId="440" xr:uid="{00000000-0005-0000-0000-0000470B0000}"/>
    <cellStyle name="Comma 9 12 2" xfId="441" xr:uid="{00000000-0005-0000-0000-0000480B0000}"/>
    <cellStyle name="Comma 9 12 2 2" xfId="1340" xr:uid="{00000000-0005-0000-0000-0000490B0000}"/>
    <cellStyle name="Comma 9 12 2 3" xfId="2495" xr:uid="{00000000-0005-0000-0000-00004A0B0000}"/>
    <cellStyle name="Comma 9 12 3" xfId="1341" xr:uid="{00000000-0005-0000-0000-00004B0B0000}"/>
    <cellStyle name="Comma 9 12 3 2" xfId="2497" xr:uid="{00000000-0005-0000-0000-00004C0B0000}"/>
    <cellStyle name="Comma 9 12 3 3" xfId="2496" xr:uid="{00000000-0005-0000-0000-00004D0B0000}"/>
    <cellStyle name="Comma 9 12 3 4" xfId="3769" xr:uid="{00000000-0005-0000-0000-00004E0B0000}"/>
    <cellStyle name="Comma 9 12 4" xfId="1342" xr:uid="{00000000-0005-0000-0000-00004F0B0000}"/>
    <cellStyle name="Comma 9 12 4 2" xfId="3770" xr:uid="{00000000-0005-0000-0000-0000500B0000}"/>
    <cellStyle name="Comma 9 12 5" xfId="2498" xr:uid="{00000000-0005-0000-0000-0000510B0000}"/>
    <cellStyle name="Comma 9 12 5 2" xfId="3771" xr:uid="{00000000-0005-0000-0000-0000520B0000}"/>
    <cellStyle name="Comma 9 13" xfId="442" xr:uid="{00000000-0005-0000-0000-0000530B0000}"/>
    <cellStyle name="Comma 9 13 2" xfId="443" xr:uid="{00000000-0005-0000-0000-0000540B0000}"/>
    <cellStyle name="Comma 9 13 2 2" xfId="1343" xr:uid="{00000000-0005-0000-0000-0000550B0000}"/>
    <cellStyle name="Comma 9 13 2 3" xfId="2499" xr:uid="{00000000-0005-0000-0000-0000560B0000}"/>
    <cellStyle name="Comma 9 13 3" xfId="1344" xr:uid="{00000000-0005-0000-0000-0000570B0000}"/>
    <cellStyle name="Comma 9 13 3 2" xfId="2502" xr:uid="{00000000-0005-0000-0000-0000580B0000}"/>
    <cellStyle name="Comma 9 13 3 3" xfId="2501" xr:uid="{00000000-0005-0000-0000-0000590B0000}"/>
    <cellStyle name="Comma 9 13 3 4" xfId="3772" xr:uid="{00000000-0005-0000-0000-00005A0B0000}"/>
    <cellStyle name="Comma 9 13 4" xfId="1345" xr:uid="{00000000-0005-0000-0000-00005B0B0000}"/>
    <cellStyle name="Comma 9 13 4 2" xfId="3773" xr:uid="{00000000-0005-0000-0000-00005C0B0000}"/>
    <cellStyle name="Comma 9 13 5" xfId="2504" xr:uid="{00000000-0005-0000-0000-00005D0B0000}"/>
    <cellStyle name="Comma 9 13 5 2" xfId="3774" xr:uid="{00000000-0005-0000-0000-00005E0B0000}"/>
    <cellStyle name="Comma 9 14" xfId="444" xr:uid="{00000000-0005-0000-0000-00005F0B0000}"/>
    <cellStyle name="Comma 9 14 2" xfId="445" xr:uid="{00000000-0005-0000-0000-0000600B0000}"/>
    <cellStyle name="Comma 9 14 2 2" xfId="1346" xr:uid="{00000000-0005-0000-0000-0000610B0000}"/>
    <cellStyle name="Comma 9 14 2 3" xfId="2506" xr:uid="{00000000-0005-0000-0000-0000620B0000}"/>
    <cellStyle name="Comma 9 14 3" xfId="1347" xr:uid="{00000000-0005-0000-0000-0000630B0000}"/>
    <cellStyle name="Comma 9 14 3 2" xfId="2508" xr:uid="{00000000-0005-0000-0000-0000640B0000}"/>
    <cellStyle name="Comma 9 14 3 3" xfId="2507" xr:uid="{00000000-0005-0000-0000-0000650B0000}"/>
    <cellStyle name="Comma 9 14 3 4" xfId="3775" xr:uid="{00000000-0005-0000-0000-0000660B0000}"/>
    <cellStyle name="Comma 9 14 4" xfId="1348" xr:uid="{00000000-0005-0000-0000-0000670B0000}"/>
    <cellStyle name="Comma 9 14 4 2" xfId="3776" xr:uid="{00000000-0005-0000-0000-0000680B0000}"/>
    <cellStyle name="Comma 9 14 5" xfId="2509" xr:uid="{00000000-0005-0000-0000-0000690B0000}"/>
    <cellStyle name="Comma 9 14 5 2" xfId="3777" xr:uid="{00000000-0005-0000-0000-00006A0B0000}"/>
    <cellStyle name="Comma 9 15" xfId="446" xr:uid="{00000000-0005-0000-0000-00006B0B0000}"/>
    <cellStyle name="Comma 9 15 2" xfId="447" xr:uid="{00000000-0005-0000-0000-00006C0B0000}"/>
    <cellStyle name="Comma 9 15 2 2" xfId="1349" xr:uid="{00000000-0005-0000-0000-00006D0B0000}"/>
    <cellStyle name="Comma 9 15 2 3" xfId="2510" xr:uid="{00000000-0005-0000-0000-00006E0B0000}"/>
    <cellStyle name="Comma 9 15 3" xfId="1350" xr:uid="{00000000-0005-0000-0000-00006F0B0000}"/>
    <cellStyle name="Comma 9 15 3 2" xfId="2512" xr:uid="{00000000-0005-0000-0000-0000700B0000}"/>
    <cellStyle name="Comma 9 15 3 3" xfId="2511" xr:uid="{00000000-0005-0000-0000-0000710B0000}"/>
    <cellStyle name="Comma 9 15 3 4" xfId="3778" xr:uid="{00000000-0005-0000-0000-0000720B0000}"/>
    <cellStyle name="Comma 9 15 4" xfId="1351" xr:uid="{00000000-0005-0000-0000-0000730B0000}"/>
    <cellStyle name="Comma 9 15 4 2" xfId="3779" xr:uid="{00000000-0005-0000-0000-0000740B0000}"/>
    <cellStyle name="Comma 9 15 5" xfId="2513" xr:uid="{00000000-0005-0000-0000-0000750B0000}"/>
    <cellStyle name="Comma 9 15 5 2" xfId="3780" xr:uid="{00000000-0005-0000-0000-0000760B0000}"/>
    <cellStyle name="Comma 9 16" xfId="448" xr:uid="{00000000-0005-0000-0000-0000770B0000}"/>
    <cellStyle name="Comma 9 16 2" xfId="449" xr:uid="{00000000-0005-0000-0000-0000780B0000}"/>
    <cellStyle name="Comma 9 16 2 2" xfId="1352" xr:uid="{00000000-0005-0000-0000-0000790B0000}"/>
    <cellStyle name="Comma 9 16 2 3" xfId="2514" xr:uid="{00000000-0005-0000-0000-00007A0B0000}"/>
    <cellStyle name="Comma 9 16 3" xfId="1353" xr:uid="{00000000-0005-0000-0000-00007B0B0000}"/>
    <cellStyle name="Comma 9 16 3 2" xfId="2516" xr:uid="{00000000-0005-0000-0000-00007C0B0000}"/>
    <cellStyle name="Comma 9 16 3 3" xfId="2515" xr:uid="{00000000-0005-0000-0000-00007D0B0000}"/>
    <cellStyle name="Comma 9 16 3 4" xfId="3781" xr:uid="{00000000-0005-0000-0000-00007E0B0000}"/>
    <cellStyle name="Comma 9 16 4" xfId="1354" xr:uid="{00000000-0005-0000-0000-00007F0B0000}"/>
    <cellStyle name="Comma 9 16 4 2" xfId="3782" xr:uid="{00000000-0005-0000-0000-0000800B0000}"/>
    <cellStyle name="Comma 9 16 5" xfId="2517" xr:uid="{00000000-0005-0000-0000-0000810B0000}"/>
    <cellStyle name="Comma 9 16 5 2" xfId="3783" xr:uid="{00000000-0005-0000-0000-0000820B0000}"/>
    <cellStyle name="Comma 9 17" xfId="450" xr:uid="{00000000-0005-0000-0000-0000830B0000}"/>
    <cellStyle name="Comma 9 17 2" xfId="451" xr:uid="{00000000-0005-0000-0000-0000840B0000}"/>
    <cellStyle name="Comma 9 17 2 2" xfId="1355" xr:uid="{00000000-0005-0000-0000-0000850B0000}"/>
    <cellStyle name="Comma 9 17 2 3" xfId="2518" xr:uid="{00000000-0005-0000-0000-0000860B0000}"/>
    <cellStyle name="Comma 9 17 3" xfId="1356" xr:uid="{00000000-0005-0000-0000-0000870B0000}"/>
    <cellStyle name="Comma 9 17 3 2" xfId="2520" xr:uid="{00000000-0005-0000-0000-0000880B0000}"/>
    <cellStyle name="Comma 9 17 3 3" xfId="2519" xr:uid="{00000000-0005-0000-0000-0000890B0000}"/>
    <cellStyle name="Comma 9 17 3 4" xfId="3784" xr:uid="{00000000-0005-0000-0000-00008A0B0000}"/>
    <cellStyle name="Comma 9 17 4" xfId="1357" xr:uid="{00000000-0005-0000-0000-00008B0B0000}"/>
    <cellStyle name="Comma 9 17 4 2" xfId="3785" xr:uid="{00000000-0005-0000-0000-00008C0B0000}"/>
    <cellStyle name="Comma 9 17 5" xfId="2521" xr:uid="{00000000-0005-0000-0000-00008D0B0000}"/>
    <cellStyle name="Comma 9 17 5 2" xfId="3786" xr:uid="{00000000-0005-0000-0000-00008E0B0000}"/>
    <cellStyle name="Comma 9 18" xfId="452" xr:uid="{00000000-0005-0000-0000-00008F0B0000}"/>
    <cellStyle name="Comma 9 18 2" xfId="453" xr:uid="{00000000-0005-0000-0000-0000900B0000}"/>
    <cellStyle name="Comma 9 18 2 2" xfId="1358" xr:uid="{00000000-0005-0000-0000-0000910B0000}"/>
    <cellStyle name="Comma 9 18 2 3" xfId="2522" xr:uid="{00000000-0005-0000-0000-0000920B0000}"/>
    <cellStyle name="Comma 9 18 3" xfId="1359" xr:uid="{00000000-0005-0000-0000-0000930B0000}"/>
    <cellStyle name="Comma 9 18 3 2" xfId="2524" xr:uid="{00000000-0005-0000-0000-0000940B0000}"/>
    <cellStyle name="Comma 9 18 3 3" xfId="2523" xr:uid="{00000000-0005-0000-0000-0000950B0000}"/>
    <cellStyle name="Comma 9 18 3 4" xfId="3787" xr:uid="{00000000-0005-0000-0000-0000960B0000}"/>
    <cellStyle name="Comma 9 18 4" xfId="1360" xr:uid="{00000000-0005-0000-0000-0000970B0000}"/>
    <cellStyle name="Comma 9 18 4 2" xfId="3788" xr:uid="{00000000-0005-0000-0000-0000980B0000}"/>
    <cellStyle name="Comma 9 18 5" xfId="2525" xr:uid="{00000000-0005-0000-0000-0000990B0000}"/>
    <cellStyle name="Comma 9 18 5 2" xfId="3789" xr:uid="{00000000-0005-0000-0000-00009A0B0000}"/>
    <cellStyle name="Comma 9 19" xfId="454" xr:uid="{00000000-0005-0000-0000-00009B0B0000}"/>
    <cellStyle name="Comma 9 19 2" xfId="455" xr:uid="{00000000-0005-0000-0000-00009C0B0000}"/>
    <cellStyle name="Comma 9 19 2 2" xfId="1361" xr:uid="{00000000-0005-0000-0000-00009D0B0000}"/>
    <cellStyle name="Comma 9 19 2 3" xfId="2526" xr:uid="{00000000-0005-0000-0000-00009E0B0000}"/>
    <cellStyle name="Comma 9 19 3" xfId="1362" xr:uid="{00000000-0005-0000-0000-00009F0B0000}"/>
    <cellStyle name="Comma 9 19 3 2" xfId="2528" xr:uid="{00000000-0005-0000-0000-0000A00B0000}"/>
    <cellStyle name="Comma 9 19 3 3" xfId="2527" xr:uid="{00000000-0005-0000-0000-0000A10B0000}"/>
    <cellStyle name="Comma 9 19 3 4" xfId="3790" xr:uid="{00000000-0005-0000-0000-0000A20B0000}"/>
    <cellStyle name="Comma 9 19 4" xfId="1363" xr:uid="{00000000-0005-0000-0000-0000A30B0000}"/>
    <cellStyle name="Comma 9 19 4 2" xfId="3791" xr:uid="{00000000-0005-0000-0000-0000A40B0000}"/>
    <cellStyle name="Comma 9 19 5" xfId="2529" xr:uid="{00000000-0005-0000-0000-0000A50B0000}"/>
    <cellStyle name="Comma 9 19 5 2" xfId="3792" xr:uid="{00000000-0005-0000-0000-0000A60B0000}"/>
    <cellStyle name="Comma 9 2" xfId="456" xr:uid="{00000000-0005-0000-0000-0000A70B0000}"/>
    <cellStyle name="Comma 9 2 2" xfId="457" xr:uid="{00000000-0005-0000-0000-0000A80B0000}"/>
    <cellStyle name="Comma 9 2 2 2" xfId="1364" xr:uid="{00000000-0005-0000-0000-0000A90B0000}"/>
    <cellStyle name="Comma 9 2 2 3" xfId="2530" xr:uid="{00000000-0005-0000-0000-0000AA0B0000}"/>
    <cellStyle name="Comma 9 2 3" xfId="1365" xr:uid="{00000000-0005-0000-0000-0000AB0B0000}"/>
    <cellStyle name="Comma 9 2 3 2" xfId="2532" xr:uid="{00000000-0005-0000-0000-0000AC0B0000}"/>
    <cellStyle name="Comma 9 2 3 3" xfId="2531" xr:uid="{00000000-0005-0000-0000-0000AD0B0000}"/>
    <cellStyle name="Comma 9 2 3 4" xfId="3793" xr:uid="{00000000-0005-0000-0000-0000AE0B0000}"/>
    <cellStyle name="Comma 9 2 4" xfId="1366" xr:uid="{00000000-0005-0000-0000-0000AF0B0000}"/>
    <cellStyle name="Comma 9 2 4 2" xfId="3794" xr:uid="{00000000-0005-0000-0000-0000B00B0000}"/>
    <cellStyle name="Comma 9 2 5" xfId="2533" xr:uid="{00000000-0005-0000-0000-0000B10B0000}"/>
    <cellStyle name="Comma 9 2 5 2" xfId="3795" xr:uid="{00000000-0005-0000-0000-0000B20B0000}"/>
    <cellStyle name="Comma 9 20" xfId="458" xr:uid="{00000000-0005-0000-0000-0000B30B0000}"/>
    <cellStyle name="Comma 9 20 2" xfId="1367" xr:uid="{00000000-0005-0000-0000-0000B40B0000}"/>
    <cellStyle name="Comma 9 20 3" xfId="2534" xr:uid="{00000000-0005-0000-0000-0000B50B0000}"/>
    <cellStyle name="Comma 9 21" xfId="1368" xr:uid="{00000000-0005-0000-0000-0000B60B0000}"/>
    <cellStyle name="Comma 9 21 2" xfId="2536" xr:uid="{00000000-0005-0000-0000-0000B70B0000}"/>
    <cellStyle name="Comma 9 21 3" xfId="2535" xr:uid="{00000000-0005-0000-0000-0000B80B0000}"/>
    <cellStyle name="Comma 9 21 4" xfId="3796" xr:uid="{00000000-0005-0000-0000-0000B90B0000}"/>
    <cellStyle name="Comma 9 22" xfId="1369" xr:uid="{00000000-0005-0000-0000-0000BA0B0000}"/>
    <cellStyle name="Comma 9 22 2" xfId="3797" xr:uid="{00000000-0005-0000-0000-0000BB0B0000}"/>
    <cellStyle name="Comma 9 23" xfId="2537" xr:uid="{00000000-0005-0000-0000-0000BC0B0000}"/>
    <cellStyle name="Comma 9 23 2" xfId="3798" xr:uid="{00000000-0005-0000-0000-0000BD0B0000}"/>
    <cellStyle name="Comma 9 3" xfId="459" xr:uid="{00000000-0005-0000-0000-0000BE0B0000}"/>
    <cellStyle name="Comma 9 3 2" xfId="460" xr:uid="{00000000-0005-0000-0000-0000BF0B0000}"/>
    <cellStyle name="Comma 9 3 2 2" xfId="1370" xr:uid="{00000000-0005-0000-0000-0000C00B0000}"/>
    <cellStyle name="Comma 9 3 2 3" xfId="2538" xr:uid="{00000000-0005-0000-0000-0000C10B0000}"/>
    <cellStyle name="Comma 9 3 3" xfId="1371" xr:uid="{00000000-0005-0000-0000-0000C20B0000}"/>
    <cellStyle name="Comma 9 3 3 2" xfId="2540" xr:uid="{00000000-0005-0000-0000-0000C30B0000}"/>
    <cellStyle name="Comma 9 3 3 3" xfId="2539" xr:uid="{00000000-0005-0000-0000-0000C40B0000}"/>
    <cellStyle name="Comma 9 3 3 4" xfId="3799" xr:uid="{00000000-0005-0000-0000-0000C50B0000}"/>
    <cellStyle name="Comma 9 3 4" xfId="1372" xr:uid="{00000000-0005-0000-0000-0000C60B0000}"/>
    <cellStyle name="Comma 9 3 4 2" xfId="3800" xr:uid="{00000000-0005-0000-0000-0000C70B0000}"/>
    <cellStyle name="Comma 9 3 5" xfId="2541" xr:uid="{00000000-0005-0000-0000-0000C80B0000}"/>
    <cellStyle name="Comma 9 3 5 2" xfId="3801" xr:uid="{00000000-0005-0000-0000-0000C90B0000}"/>
    <cellStyle name="Comma 9 4" xfId="461" xr:uid="{00000000-0005-0000-0000-0000CA0B0000}"/>
    <cellStyle name="Comma 9 4 2" xfId="462" xr:uid="{00000000-0005-0000-0000-0000CB0B0000}"/>
    <cellStyle name="Comma 9 4 2 2" xfId="1373" xr:uid="{00000000-0005-0000-0000-0000CC0B0000}"/>
    <cellStyle name="Comma 9 4 2 3" xfId="2542" xr:uid="{00000000-0005-0000-0000-0000CD0B0000}"/>
    <cellStyle name="Comma 9 4 3" xfId="1374" xr:uid="{00000000-0005-0000-0000-0000CE0B0000}"/>
    <cellStyle name="Comma 9 4 3 2" xfId="2544" xr:uid="{00000000-0005-0000-0000-0000CF0B0000}"/>
    <cellStyle name="Comma 9 4 3 3" xfId="2543" xr:uid="{00000000-0005-0000-0000-0000D00B0000}"/>
    <cellStyle name="Comma 9 4 3 4" xfId="3802" xr:uid="{00000000-0005-0000-0000-0000D10B0000}"/>
    <cellStyle name="Comma 9 4 4" xfId="1375" xr:uid="{00000000-0005-0000-0000-0000D20B0000}"/>
    <cellStyle name="Comma 9 4 4 2" xfId="3803" xr:uid="{00000000-0005-0000-0000-0000D30B0000}"/>
    <cellStyle name="Comma 9 4 5" xfId="2545" xr:uid="{00000000-0005-0000-0000-0000D40B0000}"/>
    <cellStyle name="Comma 9 4 5 2" xfId="3804" xr:uid="{00000000-0005-0000-0000-0000D50B0000}"/>
    <cellStyle name="Comma 9 5" xfId="463" xr:uid="{00000000-0005-0000-0000-0000D60B0000}"/>
    <cellStyle name="Comma 9 5 2" xfId="464" xr:uid="{00000000-0005-0000-0000-0000D70B0000}"/>
    <cellStyle name="Comma 9 5 2 2" xfId="1376" xr:uid="{00000000-0005-0000-0000-0000D80B0000}"/>
    <cellStyle name="Comma 9 5 2 3" xfId="2546" xr:uid="{00000000-0005-0000-0000-0000D90B0000}"/>
    <cellStyle name="Comma 9 5 3" xfId="1377" xr:uid="{00000000-0005-0000-0000-0000DA0B0000}"/>
    <cellStyle name="Comma 9 5 3 2" xfId="2548" xr:uid="{00000000-0005-0000-0000-0000DB0B0000}"/>
    <cellStyle name="Comma 9 5 3 3" xfId="2547" xr:uid="{00000000-0005-0000-0000-0000DC0B0000}"/>
    <cellStyle name="Comma 9 5 3 4" xfId="3805" xr:uid="{00000000-0005-0000-0000-0000DD0B0000}"/>
    <cellStyle name="Comma 9 5 4" xfId="1378" xr:uid="{00000000-0005-0000-0000-0000DE0B0000}"/>
    <cellStyle name="Comma 9 5 4 2" xfId="3806" xr:uid="{00000000-0005-0000-0000-0000DF0B0000}"/>
    <cellStyle name="Comma 9 5 5" xfId="2549" xr:uid="{00000000-0005-0000-0000-0000E00B0000}"/>
    <cellStyle name="Comma 9 5 5 2" xfId="3807" xr:uid="{00000000-0005-0000-0000-0000E10B0000}"/>
    <cellStyle name="Comma 9 6" xfId="465" xr:uid="{00000000-0005-0000-0000-0000E20B0000}"/>
    <cellStyle name="Comma 9 6 2" xfId="466" xr:uid="{00000000-0005-0000-0000-0000E30B0000}"/>
    <cellStyle name="Comma 9 6 2 2" xfId="1379" xr:uid="{00000000-0005-0000-0000-0000E40B0000}"/>
    <cellStyle name="Comma 9 6 2 3" xfId="2550" xr:uid="{00000000-0005-0000-0000-0000E50B0000}"/>
    <cellStyle name="Comma 9 6 3" xfId="1380" xr:uid="{00000000-0005-0000-0000-0000E60B0000}"/>
    <cellStyle name="Comma 9 6 3 2" xfId="2552" xr:uid="{00000000-0005-0000-0000-0000E70B0000}"/>
    <cellStyle name="Comma 9 6 3 3" xfId="2551" xr:uid="{00000000-0005-0000-0000-0000E80B0000}"/>
    <cellStyle name="Comma 9 6 3 4" xfId="3808" xr:uid="{00000000-0005-0000-0000-0000E90B0000}"/>
    <cellStyle name="Comma 9 6 4" xfId="1381" xr:uid="{00000000-0005-0000-0000-0000EA0B0000}"/>
    <cellStyle name="Comma 9 6 4 2" xfId="3809" xr:uid="{00000000-0005-0000-0000-0000EB0B0000}"/>
    <cellStyle name="Comma 9 6 5" xfId="2553" xr:uid="{00000000-0005-0000-0000-0000EC0B0000}"/>
    <cellStyle name="Comma 9 6 5 2" xfId="3810" xr:uid="{00000000-0005-0000-0000-0000ED0B0000}"/>
    <cellStyle name="Comma 9 7" xfId="467" xr:uid="{00000000-0005-0000-0000-0000EE0B0000}"/>
    <cellStyle name="Comma 9 7 2" xfId="468" xr:uid="{00000000-0005-0000-0000-0000EF0B0000}"/>
    <cellStyle name="Comma 9 7 2 2" xfId="1382" xr:uid="{00000000-0005-0000-0000-0000F00B0000}"/>
    <cellStyle name="Comma 9 7 2 3" xfId="2554" xr:uid="{00000000-0005-0000-0000-0000F10B0000}"/>
    <cellStyle name="Comma 9 7 3" xfId="1383" xr:uid="{00000000-0005-0000-0000-0000F20B0000}"/>
    <cellStyle name="Comma 9 7 3 2" xfId="2556" xr:uid="{00000000-0005-0000-0000-0000F30B0000}"/>
    <cellStyle name="Comma 9 7 3 3" xfId="2555" xr:uid="{00000000-0005-0000-0000-0000F40B0000}"/>
    <cellStyle name="Comma 9 7 3 4" xfId="3811" xr:uid="{00000000-0005-0000-0000-0000F50B0000}"/>
    <cellStyle name="Comma 9 7 4" xfId="1384" xr:uid="{00000000-0005-0000-0000-0000F60B0000}"/>
    <cellStyle name="Comma 9 7 4 2" xfId="3812" xr:uid="{00000000-0005-0000-0000-0000F70B0000}"/>
    <cellStyle name="Comma 9 7 5" xfId="2557" xr:uid="{00000000-0005-0000-0000-0000F80B0000}"/>
    <cellStyle name="Comma 9 7 5 2" xfId="3813" xr:uid="{00000000-0005-0000-0000-0000F90B0000}"/>
    <cellStyle name="Comma 9 8" xfId="469" xr:uid="{00000000-0005-0000-0000-0000FA0B0000}"/>
    <cellStyle name="Comma 9 8 2" xfId="470" xr:uid="{00000000-0005-0000-0000-0000FB0B0000}"/>
    <cellStyle name="Comma 9 8 2 2" xfId="1385" xr:uid="{00000000-0005-0000-0000-0000FC0B0000}"/>
    <cellStyle name="Comma 9 8 2 3" xfId="2558" xr:uid="{00000000-0005-0000-0000-0000FD0B0000}"/>
    <cellStyle name="Comma 9 8 3" xfId="1386" xr:uid="{00000000-0005-0000-0000-0000FE0B0000}"/>
    <cellStyle name="Comma 9 8 3 2" xfId="2560" xr:uid="{00000000-0005-0000-0000-0000FF0B0000}"/>
    <cellStyle name="Comma 9 8 3 3" xfId="2559" xr:uid="{00000000-0005-0000-0000-0000000C0000}"/>
    <cellStyle name="Comma 9 8 3 4" xfId="3814" xr:uid="{00000000-0005-0000-0000-0000010C0000}"/>
    <cellStyle name="Comma 9 8 4" xfId="1387" xr:uid="{00000000-0005-0000-0000-0000020C0000}"/>
    <cellStyle name="Comma 9 8 4 2" xfId="3815" xr:uid="{00000000-0005-0000-0000-0000030C0000}"/>
    <cellStyle name="Comma 9 8 5" xfId="2561" xr:uid="{00000000-0005-0000-0000-0000040C0000}"/>
    <cellStyle name="Comma 9 8 5 2" xfId="3816" xr:uid="{00000000-0005-0000-0000-0000050C0000}"/>
    <cellStyle name="Comma 9 9" xfId="471" xr:uid="{00000000-0005-0000-0000-0000060C0000}"/>
    <cellStyle name="Comma 9 9 2" xfId="472" xr:uid="{00000000-0005-0000-0000-0000070C0000}"/>
    <cellStyle name="Comma 9 9 2 2" xfId="1388" xr:uid="{00000000-0005-0000-0000-0000080C0000}"/>
    <cellStyle name="Comma 9 9 2 3" xfId="2562" xr:uid="{00000000-0005-0000-0000-0000090C0000}"/>
    <cellStyle name="Comma 9 9 3" xfId="1389" xr:uid="{00000000-0005-0000-0000-00000A0C0000}"/>
    <cellStyle name="Comma 9 9 3 2" xfId="2564" xr:uid="{00000000-0005-0000-0000-00000B0C0000}"/>
    <cellStyle name="Comma 9 9 3 3" xfId="2563" xr:uid="{00000000-0005-0000-0000-00000C0C0000}"/>
    <cellStyle name="Comma 9 9 3 4" xfId="3817" xr:uid="{00000000-0005-0000-0000-00000D0C0000}"/>
    <cellStyle name="Comma 9 9 4" xfId="1390" xr:uid="{00000000-0005-0000-0000-00000E0C0000}"/>
    <cellStyle name="Comma 9 9 4 2" xfId="3818" xr:uid="{00000000-0005-0000-0000-00000F0C0000}"/>
    <cellStyle name="Comma 9 9 5" xfId="2565" xr:uid="{00000000-0005-0000-0000-0000100C0000}"/>
    <cellStyle name="Comma 9 9 5 2" xfId="3819" xr:uid="{00000000-0005-0000-0000-0000110C0000}"/>
    <cellStyle name="Comma 90" xfId="1727" xr:uid="{00000000-0005-0000-0000-0000120C0000}"/>
    <cellStyle name="Comma 91" xfId="1734" xr:uid="{00000000-0005-0000-0000-0000130C0000}"/>
    <cellStyle name="Comma 92" xfId="1726" xr:uid="{00000000-0005-0000-0000-0000140C0000}"/>
    <cellStyle name="Comma 93" xfId="1770" xr:uid="{00000000-0005-0000-0000-0000150C0000}"/>
    <cellStyle name="Comma 94" xfId="2578" xr:uid="{00000000-0005-0000-0000-0000160C0000}"/>
    <cellStyle name="Comma 95" xfId="2654" xr:uid="{00000000-0005-0000-0000-0000170C0000}"/>
    <cellStyle name="Comma 96" xfId="2579" xr:uid="{00000000-0005-0000-0000-0000180C0000}"/>
    <cellStyle name="Comma 97" xfId="2655" xr:uid="{00000000-0005-0000-0000-0000190C0000}"/>
    <cellStyle name="Comma 98" xfId="2580" xr:uid="{00000000-0005-0000-0000-00001A0C0000}"/>
    <cellStyle name="Comma 99" xfId="2656" xr:uid="{00000000-0005-0000-0000-00001B0C0000}"/>
    <cellStyle name="Currency [0]b" xfId="1391" xr:uid="{00000000-0005-0000-0000-00001C0C0000}"/>
    <cellStyle name="Currency 10" xfId="1557" xr:uid="{00000000-0005-0000-0000-00001D0C0000}"/>
    <cellStyle name="Currency 11" xfId="1546" xr:uid="{00000000-0005-0000-0000-00001E0C0000}"/>
    <cellStyle name="Currency 12" xfId="1558" xr:uid="{00000000-0005-0000-0000-00001F0C0000}"/>
    <cellStyle name="Currency 13" xfId="1537" xr:uid="{00000000-0005-0000-0000-0000200C0000}"/>
    <cellStyle name="Currency 14" xfId="1550" xr:uid="{00000000-0005-0000-0000-0000210C0000}"/>
    <cellStyle name="Currency 15" xfId="1545" xr:uid="{00000000-0005-0000-0000-0000220C0000}"/>
    <cellStyle name="Currency 16" xfId="1551" xr:uid="{00000000-0005-0000-0000-0000230C0000}"/>
    <cellStyle name="Currency 17" xfId="1544" xr:uid="{00000000-0005-0000-0000-0000240C0000}"/>
    <cellStyle name="Currency 18" xfId="1552" xr:uid="{00000000-0005-0000-0000-0000250C0000}"/>
    <cellStyle name="Currency 19" xfId="1543" xr:uid="{00000000-0005-0000-0000-0000260C0000}"/>
    <cellStyle name="Currency 2" xfId="473" xr:uid="{00000000-0005-0000-0000-0000270C0000}"/>
    <cellStyle name="Currency 20" xfId="1553" xr:uid="{00000000-0005-0000-0000-0000280C0000}"/>
    <cellStyle name="Currency 21" xfId="2566" xr:uid="{00000000-0005-0000-0000-0000290C0000}"/>
    <cellStyle name="Currency 22" xfId="2641" xr:uid="{00000000-0005-0000-0000-00002A0C0000}"/>
    <cellStyle name="Currency 23" xfId="2500" xr:uid="{00000000-0005-0000-0000-00002B0C0000}"/>
    <cellStyle name="Currency 24" xfId="2642" xr:uid="{00000000-0005-0000-0000-00002C0C0000}"/>
    <cellStyle name="Currency 25" xfId="2503" xr:uid="{00000000-0005-0000-0000-00002D0C0000}"/>
    <cellStyle name="Currency 26" xfId="2643" xr:uid="{00000000-0005-0000-0000-00002E0C0000}"/>
    <cellStyle name="Currency 27" xfId="2505" xr:uid="{00000000-0005-0000-0000-00002F0C0000}"/>
    <cellStyle name="Currency 28" xfId="2644" xr:uid="{00000000-0005-0000-0000-0000300C0000}"/>
    <cellStyle name="Currency 29" xfId="2649" xr:uid="{00000000-0005-0000-0000-0000310C0000}"/>
    <cellStyle name="Currency 3" xfId="474" xr:uid="{00000000-0005-0000-0000-0000320C0000}"/>
    <cellStyle name="Currency 30" xfId="2650" xr:uid="{00000000-0005-0000-0000-0000330C0000}"/>
    <cellStyle name="Currency 31" xfId="2648" xr:uid="{00000000-0005-0000-0000-0000340C0000}"/>
    <cellStyle name="Currency 32" xfId="2651" xr:uid="{00000000-0005-0000-0000-0000350C0000}"/>
    <cellStyle name="Currency 33" xfId="2647" xr:uid="{00000000-0005-0000-0000-0000360C0000}"/>
    <cellStyle name="Currency 34" xfId="2652" xr:uid="{00000000-0005-0000-0000-0000370C0000}"/>
    <cellStyle name="Currency 35" xfId="2646" xr:uid="{00000000-0005-0000-0000-0000380C0000}"/>
    <cellStyle name="Currency 36" xfId="2653" xr:uid="{00000000-0005-0000-0000-0000390C0000}"/>
    <cellStyle name="Currency 37" xfId="2645" xr:uid="{00000000-0005-0000-0000-00003A0C0000}"/>
    <cellStyle name="Currency 38" xfId="2873" xr:uid="{00000000-0005-0000-0000-00003B0C0000}"/>
    <cellStyle name="Currency 39" xfId="2872" xr:uid="{00000000-0005-0000-0000-00003C0C0000}"/>
    <cellStyle name="Currency 4" xfId="1554" xr:uid="{00000000-0005-0000-0000-00003D0C0000}"/>
    <cellStyle name="Currency 40" xfId="2874" xr:uid="{00000000-0005-0000-0000-00003E0C0000}"/>
    <cellStyle name="Currency 41" xfId="2871" xr:uid="{00000000-0005-0000-0000-00003F0C0000}"/>
    <cellStyle name="Currency 42" xfId="2875" xr:uid="{00000000-0005-0000-0000-0000400C0000}"/>
    <cellStyle name="Currency 43" xfId="2870" xr:uid="{00000000-0005-0000-0000-0000410C0000}"/>
    <cellStyle name="Currency 44" xfId="2876" xr:uid="{00000000-0005-0000-0000-0000420C0000}"/>
    <cellStyle name="Currency 45" xfId="2869" xr:uid="{00000000-0005-0000-0000-0000430C0000}"/>
    <cellStyle name="Currency 5" xfId="1549" xr:uid="{00000000-0005-0000-0000-0000440C0000}"/>
    <cellStyle name="Currency 6" xfId="1555" xr:uid="{00000000-0005-0000-0000-0000450C0000}"/>
    <cellStyle name="Currency 7" xfId="1548" xr:uid="{00000000-0005-0000-0000-0000460C0000}"/>
    <cellStyle name="Currency 8" xfId="1556" xr:uid="{00000000-0005-0000-0000-0000470C0000}"/>
    <cellStyle name="Currency 9" xfId="1547" xr:uid="{00000000-0005-0000-0000-0000480C0000}"/>
    <cellStyle name="currency(2)" xfId="1392" xr:uid="{00000000-0005-0000-0000-0000490C0000}"/>
    <cellStyle name="Explanatory Text 2" xfId="1393" xr:uid="{00000000-0005-0000-0000-00004A0C0000}"/>
    <cellStyle name="Explanatory Text 2 2" xfId="1394" xr:uid="{00000000-0005-0000-0000-00004B0C0000}"/>
    <cellStyle name="Explanatory Text 2 3" xfId="2749" xr:uid="{00000000-0005-0000-0000-00004C0C0000}"/>
    <cellStyle name="Explanatory Text 3" xfId="3820" xr:uid="{00000000-0005-0000-0000-00004D0C0000}"/>
    <cellStyle name="Explanatory Text 4" xfId="3821" xr:uid="{00000000-0005-0000-0000-00004E0C0000}"/>
    <cellStyle name="Explanatory Text 5" xfId="3822" xr:uid="{00000000-0005-0000-0000-00004F0C0000}"/>
    <cellStyle name="Good 2" xfId="1395" xr:uid="{00000000-0005-0000-0000-0000500C0000}"/>
    <cellStyle name="Good 2 2" xfId="1396" xr:uid="{00000000-0005-0000-0000-0000510C0000}"/>
    <cellStyle name="Good 2 3" xfId="2750" xr:uid="{00000000-0005-0000-0000-0000520C0000}"/>
    <cellStyle name="Good 3" xfId="3823" xr:uid="{00000000-0005-0000-0000-0000530C0000}"/>
    <cellStyle name="Good 4" xfId="3824" xr:uid="{00000000-0005-0000-0000-0000540C0000}"/>
    <cellStyle name="Good 5" xfId="3825" xr:uid="{00000000-0005-0000-0000-0000550C0000}"/>
    <cellStyle name="Heading 1 2" xfId="1397" xr:uid="{00000000-0005-0000-0000-0000560C0000}"/>
    <cellStyle name="Heading 1 3" xfId="3826" xr:uid="{00000000-0005-0000-0000-0000570C0000}"/>
    <cellStyle name="Heading 1 4" xfId="3827" xr:uid="{00000000-0005-0000-0000-0000580C0000}"/>
    <cellStyle name="Heading 1 5" xfId="3828" xr:uid="{00000000-0005-0000-0000-0000590C0000}"/>
    <cellStyle name="Heading 2 2" xfId="1398" xr:uid="{00000000-0005-0000-0000-00005A0C0000}"/>
    <cellStyle name="Heading 2 3" xfId="3829" xr:uid="{00000000-0005-0000-0000-00005B0C0000}"/>
    <cellStyle name="Heading 2 4" xfId="3830" xr:uid="{00000000-0005-0000-0000-00005C0C0000}"/>
    <cellStyle name="Heading 2 5" xfId="3831" xr:uid="{00000000-0005-0000-0000-00005D0C0000}"/>
    <cellStyle name="Heading 3 2" xfId="1399" xr:uid="{00000000-0005-0000-0000-00005E0C0000}"/>
    <cellStyle name="Heading 3 3" xfId="3832" xr:uid="{00000000-0005-0000-0000-00005F0C0000}"/>
    <cellStyle name="Heading 3 4" xfId="3833" xr:uid="{00000000-0005-0000-0000-0000600C0000}"/>
    <cellStyle name="Heading 3 5" xfId="3834" xr:uid="{00000000-0005-0000-0000-0000610C0000}"/>
    <cellStyle name="Heading 4 2" xfId="1400" xr:uid="{00000000-0005-0000-0000-0000620C0000}"/>
    <cellStyle name="Heading 4 3" xfId="3835" xr:uid="{00000000-0005-0000-0000-0000630C0000}"/>
    <cellStyle name="Heading 4 4" xfId="3836" xr:uid="{00000000-0005-0000-0000-0000640C0000}"/>
    <cellStyle name="Heading 4 5" xfId="3837" xr:uid="{00000000-0005-0000-0000-0000650C0000}"/>
    <cellStyle name="Input 2" xfId="475" xr:uid="{00000000-0005-0000-0000-0000660C0000}"/>
    <cellStyle name="Input 2 2" xfId="476" xr:uid="{00000000-0005-0000-0000-0000670C0000}"/>
    <cellStyle name="Input 2 2 2" xfId="2567" xr:uid="{00000000-0005-0000-0000-0000680C0000}"/>
    <cellStyle name="Input 2 3" xfId="3838" xr:uid="{00000000-0005-0000-0000-0000690C0000}"/>
    <cellStyle name="Input 2 4" xfId="3839" xr:uid="{00000000-0005-0000-0000-00006A0C0000}"/>
    <cellStyle name="Input 2 5" xfId="3840" xr:uid="{00000000-0005-0000-0000-00006B0C0000}"/>
    <cellStyle name="Input 3" xfId="1401" xr:uid="{00000000-0005-0000-0000-00006C0C0000}"/>
    <cellStyle name="Input 3 2" xfId="1402" xr:uid="{00000000-0005-0000-0000-00006D0C0000}"/>
    <cellStyle name="Input 3 3" xfId="2751" xr:uid="{00000000-0005-0000-0000-00006E0C0000}"/>
    <cellStyle name="Input 4" xfId="3841" xr:uid="{00000000-0005-0000-0000-00006F0C0000}"/>
    <cellStyle name="Input 5" xfId="3842" xr:uid="{00000000-0005-0000-0000-0000700C0000}"/>
    <cellStyle name="Input 6" xfId="3843" xr:uid="{00000000-0005-0000-0000-0000710C0000}"/>
    <cellStyle name="Jun" xfId="477" xr:uid="{00000000-0005-0000-0000-0000720C0000}"/>
    <cellStyle name="Jun 2" xfId="1536" xr:uid="{00000000-0005-0000-0000-0000730C0000}"/>
    <cellStyle name="Linked Cell 2" xfId="1403" xr:uid="{00000000-0005-0000-0000-0000740C0000}"/>
    <cellStyle name="Linked Cell 2 2" xfId="1404" xr:uid="{00000000-0005-0000-0000-0000750C0000}"/>
    <cellStyle name="Linked Cell 2 3" xfId="2752" xr:uid="{00000000-0005-0000-0000-0000760C0000}"/>
    <cellStyle name="Linked Cell 3" xfId="3844" xr:uid="{00000000-0005-0000-0000-0000770C0000}"/>
    <cellStyle name="Linked Cell 4" xfId="3845" xr:uid="{00000000-0005-0000-0000-0000780C0000}"/>
    <cellStyle name="Linked Cell 5" xfId="3846" xr:uid="{00000000-0005-0000-0000-0000790C0000}"/>
    <cellStyle name="Neutral 2" xfId="1405" xr:uid="{00000000-0005-0000-0000-00007A0C0000}"/>
    <cellStyle name="Neutral 2 2" xfId="1406" xr:uid="{00000000-0005-0000-0000-00007B0C0000}"/>
    <cellStyle name="Neutral 2 3" xfId="2753" xr:uid="{00000000-0005-0000-0000-00007C0C0000}"/>
    <cellStyle name="Neutral 3" xfId="3847" xr:uid="{00000000-0005-0000-0000-00007D0C0000}"/>
    <cellStyle name="Neutral 4" xfId="3848" xr:uid="{00000000-0005-0000-0000-00007E0C0000}"/>
    <cellStyle name="Neutral 5" xfId="3849" xr:uid="{00000000-0005-0000-0000-00007F0C0000}"/>
    <cellStyle name="Normal" xfId="0" builtinId="0"/>
    <cellStyle name="Normal - Style1" xfId="1407" xr:uid="{00000000-0005-0000-0000-0000810C0000}"/>
    <cellStyle name="Normal 10" xfId="478" xr:uid="{00000000-0005-0000-0000-0000820C0000}"/>
    <cellStyle name="Normal 10 2" xfId="479" xr:uid="{00000000-0005-0000-0000-0000830C0000}"/>
    <cellStyle name="Normal 10 2 2" xfId="1566" xr:uid="{00000000-0005-0000-0000-0000840C0000}"/>
    <cellStyle name="Normal 10 3" xfId="480" xr:uid="{00000000-0005-0000-0000-0000850C0000}"/>
    <cellStyle name="Normal 10 3 2" xfId="1569" xr:uid="{00000000-0005-0000-0000-0000860C0000}"/>
    <cellStyle name="Normal 10 4" xfId="481" xr:uid="{00000000-0005-0000-0000-0000870C0000}"/>
    <cellStyle name="Normal 10 4 2" xfId="1572" xr:uid="{00000000-0005-0000-0000-0000880C0000}"/>
    <cellStyle name="Normal 10 5" xfId="482" xr:uid="{00000000-0005-0000-0000-0000890C0000}"/>
    <cellStyle name="Normal 10 5 2" xfId="1576" xr:uid="{00000000-0005-0000-0000-00008A0C0000}"/>
    <cellStyle name="Normal 10 6" xfId="1577" xr:uid="{00000000-0005-0000-0000-00008B0C0000}"/>
    <cellStyle name="Normal 100" xfId="2618" xr:uid="{00000000-0005-0000-0000-00008C0C0000}"/>
    <cellStyle name="Normal 101" xfId="2679" xr:uid="{00000000-0005-0000-0000-00008D0C0000}"/>
    <cellStyle name="Normal 102" xfId="2680" xr:uid="{00000000-0005-0000-0000-00008E0C0000}"/>
    <cellStyle name="Normal 103" xfId="2682" xr:uid="{00000000-0005-0000-0000-00008F0C0000}"/>
    <cellStyle name="Normal 104" xfId="2683" xr:uid="{00000000-0005-0000-0000-0000900C0000}"/>
    <cellStyle name="Normal 105" xfId="2684" xr:uid="{00000000-0005-0000-0000-0000910C0000}"/>
    <cellStyle name="Normal 106" xfId="2685" xr:uid="{00000000-0005-0000-0000-0000920C0000}"/>
    <cellStyle name="Normal 107" xfId="2681" xr:uid="{00000000-0005-0000-0000-0000930C0000}"/>
    <cellStyle name="Normal 108" xfId="2620" xr:uid="{00000000-0005-0000-0000-0000940C0000}"/>
    <cellStyle name="Normal 109" xfId="2619" xr:uid="{00000000-0005-0000-0000-0000950C0000}"/>
    <cellStyle name="Normal 11" xfId="483" xr:uid="{00000000-0005-0000-0000-0000960C0000}"/>
    <cellStyle name="Normal 11 2" xfId="1579" xr:uid="{00000000-0005-0000-0000-0000970C0000}"/>
    <cellStyle name="Normal 110" xfId="1937" xr:uid="{00000000-0005-0000-0000-0000980C0000}"/>
    <cellStyle name="Normal 111" xfId="2317" xr:uid="{00000000-0005-0000-0000-0000990C0000}"/>
    <cellStyle name="Normal 112" xfId="2573" xr:uid="{00000000-0005-0000-0000-00009A0C0000}"/>
    <cellStyle name="Normal 113" xfId="2686" xr:uid="{00000000-0005-0000-0000-00009B0C0000}"/>
    <cellStyle name="Normal 114" xfId="2689" xr:uid="{00000000-0005-0000-0000-00009C0C0000}"/>
    <cellStyle name="Normal 115" xfId="2690" xr:uid="{00000000-0005-0000-0000-00009D0C0000}"/>
    <cellStyle name="Normal 116" xfId="2688" xr:uid="{00000000-0005-0000-0000-00009E0C0000}"/>
    <cellStyle name="Normal 117" xfId="2673" xr:uid="{00000000-0005-0000-0000-00009F0C0000}"/>
    <cellStyle name="Normal 118" xfId="2691" xr:uid="{00000000-0005-0000-0000-0000A00C0000}"/>
    <cellStyle name="Normal 119" xfId="2692" xr:uid="{00000000-0005-0000-0000-0000A10C0000}"/>
    <cellStyle name="Normal 12" xfId="484" xr:uid="{00000000-0005-0000-0000-0000A20C0000}"/>
    <cellStyle name="Normal 12 2" xfId="485" xr:uid="{00000000-0005-0000-0000-0000A30C0000}"/>
    <cellStyle name="Normal 12 2 2" xfId="1580" xr:uid="{00000000-0005-0000-0000-0000A40C0000}"/>
    <cellStyle name="Normal 12 3" xfId="486" xr:uid="{00000000-0005-0000-0000-0000A50C0000}"/>
    <cellStyle name="Normal 12 3 2" xfId="1581" xr:uid="{00000000-0005-0000-0000-0000A60C0000}"/>
    <cellStyle name="Normal 12 4" xfId="487" xr:uid="{00000000-0005-0000-0000-0000A70C0000}"/>
    <cellStyle name="Normal 12 4 2" xfId="1582" xr:uid="{00000000-0005-0000-0000-0000A80C0000}"/>
    <cellStyle name="Normal 12 5" xfId="488" xr:uid="{00000000-0005-0000-0000-0000A90C0000}"/>
    <cellStyle name="Normal 12 5 2" xfId="1583" xr:uid="{00000000-0005-0000-0000-0000AA0C0000}"/>
    <cellStyle name="Normal 12 6" xfId="1584" xr:uid="{00000000-0005-0000-0000-0000AB0C0000}"/>
    <cellStyle name="Normal 120" xfId="2693" xr:uid="{00000000-0005-0000-0000-0000AC0C0000}"/>
    <cellStyle name="Normal 121" xfId="2694" xr:uid="{00000000-0005-0000-0000-0000AD0C0000}"/>
    <cellStyle name="Normal 122" xfId="2695" xr:uid="{00000000-0005-0000-0000-0000AE0C0000}"/>
    <cellStyle name="Normal 123" xfId="2696" xr:uid="{00000000-0005-0000-0000-0000AF0C0000}"/>
    <cellStyle name="Normal 124" xfId="2697" xr:uid="{00000000-0005-0000-0000-0000B00C0000}"/>
    <cellStyle name="Normal 125" xfId="2698" xr:uid="{00000000-0005-0000-0000-0000B10C0000}"/>
    <cellStyle name="Normal 126" xfId="2699" xr:uid="{00000000-0005-0000-0000-0000B20C0000}"/>
    <cellStyle name="Normal 127" xfId="2700" xr:uid="{00000000-0005-0000-0000-0000B30C0000}"/>
    <cellStyle name="Normal 128" xfId="2701" xr:uid="{00000000-0005-0000-0000-0000B40C0000}"/>
    <cellStyle name="Normal 129" xfId="2702" xr:uid="{00000000-0005-0000-0000-0000B50C0000}"/>
    <cellStyle name="Normal 13" xfId="489" xr:uid="{00000000-0005-0000-0000-0000B60C0000}"/>
    <cellStyle name="Normal 13 2" xfId="490" xr:uid="{00000000-0005-0000-0000-0000B70C0000}"/>
    <cellStyle name="Normal 13 2 2" xfId="1585" xr:uid="{00000000-0005-0000-0000-0000B80C0000}"/>
    <cellStyle name="Normal 13 3" xfId="491" xr:uid="{00000000-0005-0000-0000-0000B90C0000}"/>
    <cellStyle name="Normal 13 3 2" xfId="1586" xr:uid="{00000000-0005-0000-0000-0000BA0C0000}"/>
    <cellStyle name="Normal 13 4" xfId="492" xr:uid="{00000000-0005-0000-0000-0000BB0C0000}"/>
    <cellStyle name="Normal 13 4 2" xfId="1587" xr:uid="{00000000-0005-0000-0000-0000BC0C0000}"/>
    <cellStyle name="Normal 13 5" xfId="493" xr:uid="{00000000-0005-0000-0000-0000BD0C0000}"/>
    <cellStyle name="Normal 13 5 2" xfId="1588" xr:uid="{00000000-0005-0000-0000-0000BE0C0000}"/>
    <cellStyle name="Normal 13 6" xfId="1589" xr:uid="{00000000-0005-0000-0000-0000BF0C0000}"/>
    <cellStyle name="Normal 130" xfId="2704" xr:uid="{00000000-0005-0000-0000-0000C00C0000}"/>
    <cellStyle name="Normal 131" xfId="2687" xr:uid="{00000000-0005-0000-0000-0000C10C0000}"/>
    <cellStyle name="Normal 132" xfId="2705" xr:uid="{00000000-0005-0000-0000-0000C20C0000}"/>
    <cellStyle name="Normal 133" xfId="2706" xr:uid="{00000000-0005-0000-0000-0000C30C0000}"/>
    <cellStyle name="Normal 134" xfId="2707" xr:uid="{00000000-0005-0000-0000-0000C40C0000}"/>
    <cellStyle name="Normal 135" xfId="2708" xr:uid="{00000000-0005-0000-0000-0000C50C0000}"/>
    <cellStyle name="Normal 136" xfId="2709" xr:uid="{00000000-0005-0000-0000-0000C60C0000}"/>
    <cellStyle name="Normal 137" xfId="2710" xr:uid="{00000000-0005-0000-0000-0000C70C0000}"/>
    <cellStyle name="Normal 138" xfId="2711" xr:uid="{00000000-0005-0000-0000-0000C80C0000}"/>
    <cellStyle name="Normal 139" xfId="2712" xr:uid="{00000000-0005-0000-0000-0000C90C0000}"/>
    <cellStyle name="Normal 14" xfId="494" xr:uid="{00000000-0005-0000-0000-0000CA0C0000}"/>
    <cellStyle name="Normal 14 10" xfId="495" xr:uid="{00000000-0005-0000-0000-0000CB0C0000}"/>
    <cellStyle name="Normal 14 10 2" xfId="1590" xr:uid="{00000000-0005-0000-0000-0000CC0C0000}"/>
    <cellStyle name="Normal 14 11" xfId="496" xr:uid="{00000000-0005-0000-0000-0000CD0C0000}"/>
    <cellStyle name="Normal 14 11 2" xfId="1591" xr:uid="{00000000-0005-0000-0000-0000CE0C0000}"/>
    <cellStyle name="Normal 14 12" xfId="497" xr:uid="{00000000-0005-0000-0000-0000CF0C0000}"/>
    <cellStyle name="Normal 14 12 2" xfId="1592" xr:uid="{00000000-0005-0000-0000-0000D00C0000}"/>
    <cellStyle name="Normal 14 13" xfId="1593" xr:uid="{00000000-0005-0000-0000-0000D10C0000}"/>
    <cellStyle name="Normal 14 2" xfId="498" xr:uid="{00000000-0005-0000-0000-0000D20C0000}"/>
    <cellStyle name="Normal 14 2 2" xfId="1594" xr:uid="{00000000-0005-0000-0000-0000D30C0000}"/>
    <cellStyle name="Normal 14 3" xfId="499" xr:uid="{00000000-0005-0000-0000-0000D40C0000}"/>
    <cellStyle name="Normal 14 3 2" xfId="1595" xr:uid="{00000000-0005-0000-0000-0000D50C0000}"/>
    <cellStyle name="Normal 14 4" xfId="500" xr:uid="{00000000-0005-0000-0000-0000D60C0000}"/>
    <cellStyle name="Normal 14 4 2" xfId="1596" xr:uid="{00000000-0005-0000-0000-0000D70C0000}"/>
    <cellStyle name="Normal 14 5" xfId="501" xr:uid="{00000000-0005-0000-0000-0000D80C0000}"/>
    <cellStyle name="Normal 14 5 2" xfId="1597" xr:uid="{00000000-0005-0000-0000-0000D90C0000}"/>
    <cellStyle name="Normal 14 6" xfId="502" xr:uid="{00000000-0005-0000-0000-0000DA0C0000}"/>
    <cellStyle name="Normal 14 6 2" xfId="1598" xr:uid="{00000000-0005-0000-0000-0000DB0C0000}"/>
    <cellStyle name="Normal 14 7" xfId="503" xr:uid="{00000000-0005-0000-0000-0000DC0C0000}"/>
    <cellStyle name="Normal 14 7 2" xfId="1599" xr:uid="{00000000-0005-0000-0000-0000DD0C0000}"/>
    <cellStyle name="Normal 14 8" xfId="504" xr:uid="{00000000-0005-0000-0000-0000DE0C0000}"/>
    <cellStyle name="Normal 14 8 2" xfId="1600" xr:uid="{00000000-0005-0000-0000-0000DF0C0000}"/>
    <cellStyle name="Normal 14 9" xfId="505" xr:uid="{00000000-0005-0000-0000-0000E00C0000}"/>
    <cellStyle name="Normal 14 9 2" xfId="1601" xr:uid="{00000000-0005-0000-0000-0000E10C0000}"/>
    <cellStyle name="Normal 140" xfId="2713" xr:uid="{00000000-0005-0000-0000-0000E20C0000}"/>
    <cellStyle name="Normal 141" xfId="2714" xr:uid="{00000000-0005-0000-0000-0000E30C0000}"/>
    <cellStyle name="Normal 142" xfId="2703" xr:uid="{00000000-0005-0000-0000-0000E40C0000}"/>
    <cellStyle name="Normal 143" xfId="2715" xr:uid="{00000000-0005-0000-0000-0000E50C0000}"/>
    <cellStyle name="Normal 144" xfId="2716" xr:uid="{00000000-0005-0000-0000-0000E60C0000}"/>
    <cellStyle name="Normal 145" xfId="2717" xr:uid="{00000000-0005-0000-0000-0000E70C0000}"/>
    <cellStyle name="Normal 146" xfId="2718" xr:uid="{00000000-0005-0000-0000-0000E80C0000}"/>
    <cellStyle name="Normal 147" xfId="2666" xr:uid="{00000000-0005-0000-0000-0000E90C0000}"/>
    <cellStyle name="Normal 148" xfId="2719" xr:uid="{00000000-0005-0000-0000-0000EA0C0000}"/>
    <cellStyle name="Normal 149" xfId="2720" xr:uid="{00000000-0005-0000-0000-0000EB0C0000}"/>
    <cellStyle name="Normal 15" xfId="506" xr:uid="{00000000-0005-0000-0000-0000EC0C0000}"/>
    <cellStyle name="Normal 150" xfId="2721" xr:uid="{00000000-0005-0000-0000-0000ED0C0000}"/>
    <cellStyle name="Normal 151" xfId="2722" xr:uid="{00000000-0005-0000-0000-0000EE0C0000}"/>
    <cellStyle name="Normal 152" xfId="2723" xr:uid="{00000000-0005-0000-0000-0000EF0C0000}"/>
    <cellStyle name="Normal 153" xfId="2748" xr:uid="{00000000-0005-0000-0000-0000F00C0000}"/>
    <cellStyle name="Normal 154" xfId="2746" xr:uid="{00000000-0005-0000-0000-0000F10C0000}"/>
    <cellStyle name="Normal 155" xfId="2744" xr:uid="{00000000-0005-0000-0000-0000F20C0000}"/>
    <cellStyle name="Normal 156" xfId="2742" xr:uid="{00000000-0005-0000-0000-0000F30C0000}"/>
    <cellStyle name="Normal 157" xfId="2740" xr:uid="{00000000-0005-0000-0000-0000F40C0000}"/>
    <cellStyle name="Normal 158" xfId="2759" xr:uid="{00000000-0005-0000-0000-0000F50C0000}"/>
    <cellStyle name="Normal 159" xfId="2796" xr:uid="{00000000-0005-0000-0000-0000F60C0000}"/>
    <cellStyle name="Normal 16" xfId="507" xr:uid="{00000000-0005-0000-0000-0000F70C0000}"/>
    <cellStyle name="Normal 16 2" xfId="1602" xr:uid="{00000000-0005-0000-0000-0000F80C0000}"/>
    <cellStyle name="Normal 160" xfId="2797" xr:uid="{00000000-0005-0000-0000-0000F90C0000}"/>
    <cellStyle name="Normal 161" xfId="2798" xr:uid="{00000000-0005-0000-0000-0000FA0C0000}"/>
    <cellStyle name="Normal 162" xfId="2799" xr:uid="{00000000-0005-0000-0000-0000FB0C0000}"/>
    <cellStyle name="Normal 163" xfId="2800" xr:uid="{00000000-0005-0000-0000-0000FC0C0000}"/>
    <cellStyle name="Normal 164" xfId="2801" xr:uid="{00000000-0005-0000-0000-0000FD0C0000}"/>
    <cellStyle name="Normal 165" xfId="2802" xr:uid="{00000000-0005-0000-0000-0000FE0C0000}"/>
    <cellStyle name="Normal 166" xfId="2803" xr:uid="{00000000-0005-0000-0000-0000FF0C0000}"/>
    <cellStyle name="Normal 167" xfId="2804" xr:uid="{00000000-0005-0000-0000-0000000D0000}"/>
    <cellStyle name="Normal 168" xfId="2805" xr:uid="{00000000-0005-0000-0000-0000010D0000}"/>
    <cellStyle name="Normal 169" xfId="2795" xr:uid="{00000000-0005-0000-0000-0000020D0000}"/>
    <cellStyle name="Normal 17" xfId="508" xr:uid="{00000000-0005-0000-0000-0000030D0000}"/>
    <cellStyle name="Normal 17 2" xfId="509" xr:uid="{00000000-0005-0000-0000-0000040D0000}"/>
    <cellStyle name="Normal 17 2 2" xfId="510" xr:uid="{00000000-0005-0000-0000-0000050D0000}"/>
    <cellStyle name="Normal 17 2 2 2" xfId="1408" xr:uid="{00000000-0005-0000-0000-0000060D0000}"/>
    <cellStyle name="Normal 17 2 3" xfId="2568" xr:uid="{00000000-0005-0000-0000-0000070D0000}"/>
    <cellStyle name="Normal 17 2 3 2" xfId="3850" xr:uid="{00000000-0005-0000-0000-0000080D0000}"/>
    <cellStyle name="Normal 17 2 4" xfId="3851" xr:uid="{00000000-0005-0000-0000-0000090D0000}"/>
    <cellStyle name="Normal 17 2 5" xfId="3852" xr:uid="{00000000-0005-0000-0000-00000A0D0000}"/>
    <cellStyle name="Normal 17 3" xfId="511" xr:uid="{00000000-0005-0000-0000-00000B0D0000}"/>
    <cellStyle name="Normal 17 3 2" xfId="512" xr:uid="{00000000-0005-0000-0000-00000C0D0000}"/>
    <cellStyle name="Normal 17 3 2 2" xfId="1409" xr:uid="{00000000-0005-0000-0000-00000D0D0000}"/>
    <cellStyle name="Normal 17 3 3" xfId="2569" xr:uid="{00000000-0005-0000-0000-00000E0D0000}"/>
    <cellStyle name="Normal 17 3 3 2" xfId="3853" xr:uid="{00000000-0005-0000-0000-00000F0D0000}"/>
    <cellStyle name="Normal 17 3 4" xfId="3854" xr:uid="{00000000-0005-0000-0000-0000100D0000}"/>
    <cellStyle name="Normal 17 3 5" xfId="3855" xr:uid="{00000000-0005-0000-0000-0000110D0000}"/>
    <cellStyle name="Normal 17 4" xfId="513" xr:uid="{00000000-0005-0000-0000-0000120D0000}"/>
    <cellStyle name="Normal 17 4 2" xfId="514" xr:uid="{00000000-0005-0000-0000-0000130D0000}"/>
    <cellStyle name="Normal 17 4 2 2" xfId="1410" xr:uid="{00000000-0005-0000-0000-0000140D0000}"/>
    <cellStyle name="Normal 17 4 3" xfId="2570" xr:uid="{00000000-0005-0000-0000-0000150D0000}"/>
    <cellStyle name="Normal 17 4 3 2" xfId="3856" xr:uid="{00000000-0005-0000-0000-0000160D0000}"/>
    <cellStyle name="Normal 17 4 4" xfId="3857" xr:uid="{00000000-0005-0000-0000-0000170D0000}"/>
    <cellStyle name="Normal 17 4 5" xfId="3858" xr:uid="{00000000-0005-0000-0000-0000180D0000}"/>
    <cellStyle name="Normal 17 5" xfId="515" xr:uid="{00000000-0005-0000-0000-0000190D0000}"/>
    <cellStyle name="Normal 17 5 2" xfId="516" xr:uid="{00000000-0005-0000-0000-00001A0D0000}"/>
    <cellStyle name="Normal 17 5 2 2" xfId="1411" xr:uid="{00000000-0005-0000-0000-00001B0D0000}"/>
    <cellStyle name="Normal 17 5 3" xfId="2571" xr:uid="{00000000-0005-0000-0000-00001C0D0000}"/>
    <cellStyle name="Normal 17 5 3 2" xfId="3859" xr:uid="{00000000-0005-0000-0000-00001D0D0000}"/>
    <cellStyle name="Normal 17 5 4" xfId="3860" xr:uid="{00000000-0005-0000-0000-00001E0D0000}"/>
    <cellStyle name="Normal 17 5 5" xfId="3861" xr:uid="{00000000-0005-0000-0000-00001F0D0000}"/>
    <cellStyle name="Normal 17 6" xfId="517" xr:uid="{00000000-0005-0000-0000-0000200D0000}"/>
    <cellStyle name="Normal 17 6 2" xfId="1412" xr:uid="{00000000-0005-0000-0000-0000210D0000}"/>
    <cellStyle name="Normal 17 7" xfId="2572" xr:uid="{00000000-0005-0000-0000-0000220D0000}"/>
    <cellStyle name="Normal 17 7 2" xfId="3862" xr:uid="{00000000-0005-0000-0000-0000230D0000}"/>
    <cellStyle name="Normal 17 8" xfId="3863" xr:uid="{00000000-0005-0000-0000-0000240D0000}"/>
    <cellStyle name="Normal 17 9" xfId="3864" xr:uid="{00000000-0005-0000-0000-0000250D0000}"/>
    <cellStyle name="Normal 170" xfId="2816" xr:uid="{00000000-0005-0000-0000-0000260D0000}"/>
    <cellStyle name="Normal 171" xfId="2817" xr:uid="{00000000-0005-0000-0000-0000270D0000}"/>
    <cellStyle name="Normal 172" xfId="2818" xr:uid="{00000000-0005-0000-0000-0000280D0000}"/>
    <cellStyle name="Normal 173" xfId="2820" xr:uid="{00000000-0005-0000-0000-0000290D0000}"/>
    <cellStyle name="Normal 174" xfId="2789" xr:uid="{00000000-0005-0000-0000-00002A0D0000}"/>
    <cellStyle name="Normal 175" xfId="2785" xr:uid="{00000000-0005-0000-0000-00002B0D0000}"/>
    <cellStyle name="Normal 176" xfId="2783" xr:uid="{00000000-0005-0000-0000-00002C0D0000}"/>
    <cellStyle name="Normal 177" xfId="2781" xr:uid="{00000000-0005-0000-0000-00002D0D0000}"/>
    <cellStyle name="Normal 178" xfId="2779" xr:uid="{00000000-0005-0000-0000-00002E0D0000}"/>
    <cellStyle name="Normal 179" xfId="2777" xr:uid="{00000000-0005-0000-0000-00002F0D0000}"/>
    <cellStyle name="Normal 18" xfId="518" xr:uid="{00000000-0005-0000-0000-0000300D0000}"/>
    <cellStyle name="Normal 18 2" xfId="1413" xr:uid="{00000000-0005-0000-0000-0000310D0000}"/>
    <cellStyle name="Normal 180" xfId="2775" xr:uid="{00000000-0005-0000-0000-0000320D0000}"/>
    <cellStyle name="Normal 181" xfId="2773" xr:uid="{00000000-0005-0000-0000-0000330D0000}"/>
    <cellStyle name="Normal 182" xfId="2771" xr:uid="{00000000-0005-0000-0000-0000340D0000}"/>
    <cellStyle name="Normal 183" xfId="2769" xr:uid="{00000000-0005-0000-0000-0000350D0000}"/>
    <cellStyle name="Normal 184" xfId="2767" xr:uid="{00000000-0005-0000-0000-0000360D0000}"/>
    <cellStyle name="Normal 185" xfId="2806" xr:uid="{00000000-0005-0000-0000-0000370D0000}"/>
    <cellStyle name="Normal 186" xfId="2808" xr:uid="{00000000-0005-0000-0000-0000380D0000}"/>
    <cellStyle name="Normal 187" xfId="2810" xr:uid="{00000000-0005-0000-0000-0000390D0000}"/>
    <cellStyle name="Normal 188" xfId="2812" xr:uid="{00000000-0005-0000-0000-00003A0D0000}"/>
    <cellStyle name="Normal 189" xfId="2821" xr:uid="{00000000-0005-0000-0000-00003B0D0000}"/>
    <cellStyle name="Normal 19" xfId="519" xr:uid="{00000000-0005-0000-0000-00003C0D0000}"/>
    <cellStyle name="Normal 19 2" xfId="1414" xr:uid="{00000000-0005-0000-0000-00003D0D0000}"/>
    <cellStyle name="Normal 190" xfId="2836" xr:uid="{00000000-0005-0000-0000-00003E0D0000}"/>
    <cellStyle name="Normal 191" xfId="2822" xr:uid="{00000000-0005-0000-0000-00003F0D0000}"/>
    <cellStyle name="Normal 192" xfId="2837" xr:uid="{00000000-0005-0000-0000-0000400D0000}"/>
    <cellStyle name="Normal 193" xfId="2838" xr:uid="{00000000-0005-0000-0000-0000410D0000}"/>
    <cellStyle name="Normal 194" xfId="2839" xr:uid="{00000000-0005-0000-0000-0000420D0000}"/>
    <cellStyle name="Normal 195" xfId="2840" xr:uid="{00000000-0005-0000-0000-0000430D0000}"/>
    <cellStyle name="Normal 196" xfId="2841" xr:uid="{00000000-0005-0000-0000-0000440D0000}"/>
    <cellStyle name="Normal 197" xfId="2842" xr:uid="{00000000-0005-0000-0000-0000450D0000}"/>
    <cellStyle name="Normal 198" xfId="2843" xr:uid="{00000000-0005-0000-0000-0000460D0000}"/>
    <cellStyle name="Normal 199" xfId="2844" xr:uid="{00000000-0005-0000-0000-0000470D0000}"/>
    <cellStyle name="Normal 2" xfId="520" xr:uid="{00000000-0005-0000-0000-0000480D0000}"/>
    <cellStyle name="Normal 2 10" xfId="521" xr:uid="{00000000-0005-0000-0000-0000490D0000}"/>
    <cellStyle name="Normal 2 10 2" xfId="1603" xr:uid="{00000000-0005-0000-0000-00004A0D0000}"/>
    <cellStyle name="Normal 2 11" xfId="522" xr:uid="{00000000-0005-0000-0000-00004B0D0000}"/>
    <cellStyle name="Normal 2 11 2" xfId="1604" xr:uid="{00000000-0005-0000-0000-00004C0D0000}"/>
    <cellStyle name="Normal 2 12" xfId="523" xr:uid="{00000000-0005-0000-0000-00004D0D0000}"/>
    <cellStyle name="Normal 2 12 2" xfId="1605" xr:uid="{00000000-0005-0000-0000-00004E0D0000}"/>
    <cellStyle name="Normal 2 13" xfId="524" xr:uid="{00000000-0005-0000-0000-00004F0D0000}"/>
    <cellStyle name="Normal 2 13 2" xfId="1606" xr:uid="{00000000-0005-0000-0000-0000500D0000}"/>
    <cellStyle name="Normal 2 14" xfId="525" xr:uid="{00000000-0005-0000-0000-0000510D0000}"/>
    <cellStyle name="Normal 2 14 2" xfId="1607" xr:uid="{00000000-0005-0000-0000-0000520D0000}"/>
    <cellStyle name="Normal 2 15" xfId="526" xr:uid="{00000000-0005-0000-0000-0000530D0000}"/>
    <cellStyle name="Normal 2 15 2" xfId="1608" xr:uid="{00000000-0005-0000-0000-0000540D0000}"/>
    <cellStyle name="Normal 2 16" xfId="527" xr:uid="{00000000-0005-0000-0000-0000550D0000}"/>
    <cellStyle name="Normal 2 16 2" xfId="1609" xr:uid="{00000000-0005-0000-0000-0000560D0000}"/>
    <cellStyle name="Normal 2 17" xfId="528" xr:uid="{00000000-0005-0000-0000-0000570D0000}"/>
    <cellStyle name="Normal 2 17 2" xfId="1610" xr:uid="{00000000-0005-0000-0000-0000580D0000}"/>
    <cellStyle name="Normal 2 18" xfId="529" xr:uid="{00000000-0005-0000-0000-0000590D0000}"/>
    <cellStyle name="Normal 2 18 2" xfId="1611" xr:uid="{00000000-0005-0000-0000-00005A0D0000}"/>
    <cellStyle name="Normal 2 19" xfId="530" xr:uid="{00000000-0005-0000-0000-00005B0D0000}"/>
    <cellStyle name="Normal 2 19 2" xfId="1612" xr:uid="{00000000-0005-0000-0000-00005C0D0000}"/>
    <cellStyle name="Normal 2 2" xfId="531" xr:uid="{00000000-0005-0000-0000-00005D0D0000}"/>
    <cellStyle name="Normal 2 2 2" xfId="1613" xr:uid="{00000000-0005-0000-0000-00005E0D0000}"/>
    <cellStyle name="Normal 2 20" xfId="532" xr:uid="{00000000-0005-0000-0000-00005F0D0000}"/>
    <cellStyle name="Normal 2 20 2" xfId="1614" xr:uid="{00000000-0005-0000-0000-0000600D0000}"/>
    <cellStyle name="Normal 2 21" xfId="1415" xr:uid="{00000000-0005-0000-0000-0000610D0000}"/>
    <cellStyle name="Normal 2 3" xfId="533" xr:uid="{00000000-0005-0000-0000-0000620D0000}"/>
    <cellStyle name="Normal 2 3 2" xfId="1615" xr:uid="{00000000-0005-0000-0000-0000630D0000}"/>
    <cellStyle name="Normal 2 4" xfId="534" xr:uid="{00000000-0005-0000-0000-0000640D0000}"/>
    <cellStyle name="Normal 2 4 2" xfId="1616" xr:uid="{00000000-0005-0000-0000-0000650D0000}"/>
    <cellStyle name="Normal 2 5" xfId="535" xr:uid="{00000000-0005-0000-0000-0000660D0000}"/>
    <cellStyle name="Normal 2 5 2" xfId="1617" xr:uid="{00000000-0005-0000-0000-0000670D0000}"/>
    <cellStyle name="Normal 2 6" xfId="536" xr:uid="{00000000-0005-0000-0000-0000680D0000}"/>
    <cellStyle name="Normal 2 6 2" xfId="1618" xr:uid="{00000000-0005-0000-0000-0000690D0000}"/>
    <cellStyle name="Normal 2 7" xfId="537" xr:uid="{00000000-0005-0000-0000-00006A0D0000}"/>
    <cellStyle name="Normal 2 7 2" xfId="1619" xr:uid="{00000000-0005-0000-0000-00006B0D0000}"/>
    <cellStyle name="Normal 2 8" xfId="538" xr:uid="{00000000-0005-0000-0000-00006C0D0000}"/>
    <cellStyle name="Normal 2 8 2" xfId="1620" xr:uid="{00000000-0005-0000-0000-00006D0D0000}"/>
    <cellStyle name="Normal 2 9" xfId="539" xr:uid="{00000000-0005-0000-0000-00006E0D0000}"/>
    <cellStyle name="Normal 2 9 2" xfId="1621" xr:uid="{00000000-0005-0000-0000-00006F0D0000}"/>
    <cellStyle name="Normal 2_deposits mobilized" xfId="540" xr:uid="{00000000-0005-0000-0000-0000700D0000}"/>
    <cellStyle name="Normal 20" xfId="1" xr:uid="{00000000-0005-0000-0000-0000710D0000}"/>
    <cellStyle name="Normal 20 2" xfId="1416" xr:uid="{00000000-0005-0000-0000-0000720D0000}"/>
    <cellStyle name="Normal 200" xfId="2845" xr:uid="{00000000-0005-0000-0000-0000730D0000}"/>
    <cellStyle name="Normal 201" xfId="2846" xr:uid="{00000000-0005-0000-0000-0000740D0000}"/>
    <cellStyle name="Normal 202" xfId="2847" xr:uid="{00000000-0005-0000-0000-0000750D0000}"/>
    <cellStyle name="Normal 203" xfId="2857" xr:uid="{00000000-0005-0000-0000-0000760D0000}"/>
    <cellStyle name="Normal 204" xfId="2858" xr:uid="{00000000-0005-0000-0000-0000770D0000}"/>
    <cellStyle name="Normal 205" xfId="2859" xr:uid="{00000000-0005-0000-0000-0000780D0000}"/>
    <cellStyle name="Normal 206" xfId="2860" xr:uid="{00000000-0005-0000-0000-0000790D0000}"/>
    <cellStyle name="Normal 207" xfId="2861" xr:uid="{00000000-0005-0000-0000-00007A0D0000}"/>
    <cellStyle name="Normal 208" xfId="2862" xr:uid="{00000000-0005-0000-0000-00007B0D0000}"/>
    <cellStyle name="Normal 209" xfId="2863" xr:uid="{00000000-0005-0000-0000-00007C0D0000}"/>
    <cellStyle name="Normal 21" xfId="541" xr:uid="{00000000-0005-0000-0000-00007D0D0000}"/>
    <cellStyle name="Normal 21 10" xfId="542" xr:uid="{00000000-0005-0000-0000-00007E0D0000}"/>
    <cellStyle name="Normal 21 10 2" xfId="543" xr:uid="{00000000-0005-0000-0000-00007F0D0000}"/>
    <cellStyle name="Normal 21 11" xfId="544" xr:uid="{00000000-0005-0000-0000-0000800D0000}"/>
    <cellStyle name="Normal 21 11 2" xfId="545" xr:uid="{00000000-0005-0000-0000-0000810D0000}"/>
    <cellStyle name="Normal 21 12" xfId="546" xr:uid="{00000000-0005-0000-0000-0000820D0000}"/>
    <cellStyle name="Normal 21 12 2" xfId="547" xr:uid="{00000000-0005-0000-0000-0000830D0000}"/>
    <cellStyle name="Normal 21 13" xfId="548" xr:uid="{00000000-0005-0000-0000-0000840D0000}"/>
    <cellStyle name="Normal 21 13 2" xfId="549" xr:uid="{00000000-0005-0000-0000-0000850D0000}"/>
    <cellStyle name="Normal 21 14" xfId="550" xr:uid="{00000000-0005-0000-0000-0000860D0000}"/>
    <cellStyle name="Normal 21 14 2" xfId="551" xr:uid="{00000000-0005-0000-0000-0000870D0000}"/>
    <cellStyle name="Normal 21 15" xfId="552" xr:uid="{00000000-0005-0000-0000-0000880D0000}"/>
    <cellStyle name="Normal 21 15 2" xfId="553" xr:uid="{00000000-0005-0000-0000-0000890D0000}"/>
    <cellStyle name="Normal 21 16" xfId="554" xr:uid="{00000000-0005-0000-0000-00008A0D0000}"/>
    <cellStyle name="Normal 21 16 2" xfId="555" xr:uid="{00000000-0005-0000-0000-00008B0D0000}"/>
    <cellStyle name="Normal 21 17" xfId="556" xr:uid="{00000000-0005-0000-0000-00008C0D0000}"/>
    <cellStyle name="Normal 21 2" xfId="557" xr:uid="{00000000-0005-0000-0000-00008D0D0000}"/>
    <cellStyle name="Normal 21 2 2" xfId="558" xr:uid="{00000000-0005-0000-0000-00008E0D0000}"/>
    <cellStyle name="Normal 21 3" xfId="559" xr:uid="{00000000-0005-0000-0000-00008F0D0000}"/>
    <cellStyle name="Normal 21 3 2" xfId="560" xr:uid="{00000000-0005-0000-0000-0000900D0000}"/>
    <cellStyle name="Normal 21 4" xfId="561" xr:uid="{00000000-0005-0000-0000-0000910D0000}"/>
    <cellStyle name="Normal 21 4 2" xfId="562" xr:uid="{00000000-0005-0000-0000-0000920D0000}"/>
    <cellStyle name="Normal 21 5" xfId="563" xr:uid="{00000000-0005-0000-0000-0000930D0000}"/>
    <cellStyle name="Normal 21 5 2" xfId="564" xr:uid="{00000000-0005-0000-0000-0000940D0000}"/>
    <cellStyle name="Normal 21 6" xfId="565" xr:uid="{00000000-0005-0000-0000-0000950D0000}"/>
    <cellStyle name="Normal 21 6 2" xfId="566" xr:uid="{00000000-0005-0000-0000-0000960D0000}"/>
    <cellStyle name="Normal 21 7" xfId="567" xr:uid="{00000000-0005-0000-0000-0000970D0000}"/>
    <cellStyle name="Normal 21 7 2" xfId="568" xr:uid="{00000000-0005-0000-0000-0000980D0000}"/>
    <cellStyle name="Normal 21 8" xfId="569" xr:uid="{00000000-0005-0000-0000-0000990D0000}"/>
    <cellStyle name="Normal 21 8 2" xfId="570" xr:uid="{00000000-0005-0000-0000-00009A0D0000}"/>
    <cellStyle name="Normal 21 9" xfId="571" xr:uid="{00000000-0005-0000-0000-00009B0D0000}"/>
    <cellStyle name="Normal 21 9 2" xfId="572" xr:uid="{00000000-0005-0000-0000-00009C0D0000}"/>
    <cellStyle name="Normal 210" xfId="2864" xr:uid="{00000000-0005-0000-0000-00009D0D0000}"/>
    <cellStyle name="Normal 211" xfId="2883" xr:uid="{00000000-0005-0000-0000-00009E0D0000}"/>
    <cellStyle name="Normal 212" xfId="2884" xr:uid="{00000000-0005-0000-0000-00009F0D0000}"/>
    <cellStyle name="Normal 213" xfId="2885" xr:uid="{00000000-0005-0000-0000-0000A00D0000}"/>
    <cellStyle name="Normal 214" xfId="2886" xr:uid="{00000000-0005-0000-0000-0000A10D0000}"/>
    <cellStyle name="Normal 215" xfId="2887" xr:uid="{00000000-0005-0000-0000-0000A20D0000}"/>
    <cellStyle name="Normal 216" xfId="2888" xr:uid="{00000000-0005-0000-0000-0000A30D0000}"/>
    <cellStyle name="Normal 217" xfId="2890" xr:uid="{00000000-0005-0000-0000-0000A40D0000}"/>
    <cellStyle name="Normal 218" xfId="2891" xr:uid="{00000000-0005-0000-0000-0000A50D0000}"/>
    <cellStyle name="Normal 219" xfId="2878" xr:uid="{00000000-0005-0000-0000-0000A60D0000}"/>
    <cellStyle name="Normal 22" xfId="573" xr:uid="{00000000-0005-0000-0000-0000A70D0000}"/>
    <cellStyle name="Normal 22 2" xfId="1622" xr:uid="{00000000-0005-0000-0000-0000A80D0000}"/>
    <cellStyle name="Normal 220" xfId="2889" xr:uid="{00000000-0005-0000-0000-0000A90D0000}"/>
    <cellStyle name="Normal 221" xfId="2892" xr:uid="{00000000-0005-0000-0000-0000AA0D0000}"/>
    <cellStyle name="Normal 222" xfId="2893" xr:uid="{00000000-0005-0000-0000-0000AB0D0000}"/>
    <cellStyle name="Normal 223" xfId="2896" xr:uid="{00000000-0005-0000-0000-0000AC0D0000}"/>
    <cellStyle name="Normal 224" xfId="2897" xr:uid="{00000000-0005-0000-0000-0000AD0D0000}"/>
    <cellStyle name="Normal 225" xfId="2904" xr:uid="{00000000-0005-0000-0000-0000AE0D0000}"/>
    <cellStyle name="Normal 226" xfId="2905" xr:uid="{00000000-0005-0000-0000-0000AF0D0000}"/>
    <cellStyle name="Normal 227" xfId="2906" xr:uid="{00000000-0005-0000-0000-0000B00D0000}"/>
    <cellStyle name="Normal 228" xfId="2907" xr:uid="{00000000-0005-0000-0000-0000B10D0000}"/>
    <cellStyle name="Normal 229" xfId="2908" xr:uid="{00000000-0005-0000-0000-0000B20D0000}"/>
    <cellStyle name="Normal 23" xfId="1417" xr:uid="{00000000-0005-0000-0000-0000B30D0000}"/>
    <cellStyle name="Normal 230" xfId="2909" xr:uid="{00000000-0005-0000-0000-0000B40D0000}"/>
    <cellStyle name="Normal 231" xfId="2915" xr:uid="{00000000-0005-0000-0000-0000B50D0000}"/>
    <cellStyle name="Normal 232" xfId="2916" xr:uid="{00000000-0005-0000-0000-0000B60D0000}"/>
    <cellStyle name="Normal 233" xfId="2917" xr:uid="{00000000-0005-0000-0000-0000B70D0000}"/>
    <cellStyle name="Normal 234" xfId="2918" xr:uid="{00000000-0005-0000-0000-0000B80D0000}"/>
    <cellStyle name="Normal 235" xfId="2919" xr:uid="{00000000-0005-0000-0000-0000B90D0000}"/>
    <cellStyle name="Normal 236" xfId="2940" xr:uid="{00000000-0005-0000-0000-0000BA0D0000}"/>
    <cellStyle name="Normal 237" xfId="2941" xr:uid="{00000000-0005-0000-0000-0000BB0D0000}"/>
    <cellStyle name="Normal 238" xfId="2942" xr:uid="{00000000-0005-0000-0000-0000BC0D0000}"/>
    <cellStyle name="Normal 239" xfId="2943" xr:uid="{00000000-0005-0000-0000-0000BD0D0000}"/>
    <cellStyle name="Normal 24" xfId="1418" xr:uid="{00000000-0005-0000-0000-0000BE0D0000}"/>
    <cellStyle name="Normal 240" xfId="2944" xr:uid="{00000000-0005-0000-0000-0000BF0D0000}"/>
    <cellStyle name="Normal 241" xfId="2945" xr:uid="{00000000-0005-0000-0000-0000C00D0000}"/>
    <cellStyle name="Normal 242" xfId="2946" xr:uid="{00000000-0005-0000-0000-0000C10D0000}"/>
    <cellStyle name="Normal 243" xfId="2947" xr:uid="{00000000-0005-0000-0000-0000C20D0000}"/>
    <cellStyle name="Normal 244" xfId="2948" xr:uid="{00000000-0005-0000-0000-0000C30D0000}"/>
    <cellStyle name="Normal 245" xfId="2949" xr:uid="{00000000-0005-0000-0000-0000C40D0000}"/>
    <cellStyle name="Normal 246" xfId="2950" xr:uid="{00000000-0005-0000-0000-0000C50D0000}"/>
    <cellStyle name="Normal 247" xfId="2951" xr:uid="{00000000-0005-0000-0000-0000C60D0000}"/>
    <cellStyle name="Normal 248" xfId="2952" xr:uid="{00000000-0005-0000-0000-0000C70D0000}"/>
    <cellStyle name="Normal 249" xfId="2953" xr:uid="{00000000-0005-0000-0000-0000C80D0000}"/>
    <cellStyle name="Normal 25" xfId="1419" xr:uid="{00000000-0005-0000-0000-0000C90D0000}"/>
    <cellStyle name="Normal 250" xfId="2954" xr:uid="{00000000-0005-0000-0000-0000CA0D0000}"/>
    <cellStyle name="Normal 251" xfId="2955" xr:uid="{00000000-0005-0000-0000-0000CB0D0000}"/>
    <cellStyle name="Normal 252" xfId="2956" xr:uid="{00000000-0005-0000-0000-0000CC0D0000}"/>
    <cellStyle name="Normal 253" xfId="2957" xr:uid="{00000000-0005-0000-0000-0000CD0D0000}"/>
    <cellStyle name="Normal 254" xfId="2958" xr:uid="{00000000-0005-0000-0000-0000CE0D0000}"/>
    <cellStyle name="Normal 255" xfId="2959" xr:uid="{00000000-0005-0000-0000-0000CF0D0000}"/>
    <cellStyle name="Normal 256" xfId="3248" xr:uid="{00000000-0005-0000-0000-0000D00D0000}"/>
    <cellStyle name="Normal 257" xfId="3249" xr:uid="{00000000-0005-0000-0000-0000D10D0000}"/>
    <cellStyle name="Normal 258" xfId="3250" xr:uid="{00000000-0005-0000-0000-0000D20D0000}"/>
    <cellStyle name="Normal 259" xfId="3251" xr:uid="{00000000-0005-0000-0000-0000D30D0000}"/>
    <cellStyle name="Normal 26" xfId="574" xr:uid="{00000000-0005-0000-0000-0000D40D0000}"/>
    <cellStyle name="Normal 26 2" xfId="1623" xr:uid="{00000000-0005-0000-0000-0000D50D0000}"/>
    <cellStyle name="Normal 260" xfId="3253" xr:uid="{00000000-0005-0000-0000-0000D60D0000}"/>
    <cellStyle name="Normal 261" xfId="3254" xr:uid="{00000000-0005-0000-0000-0000D70D0000}"/>
    <cellStyle name="Normal 262" xfId="3256" xr:uid="{00000000-0005-0000-0000-0000D80D0000}"/>
    <cellStyle name="Normal 263" xfId="3257" xr:uid="{00000000-0005-0000-0000-0000D90D0000}"/>
    <cellStyle name="Normal 264" xfId="3259" xr:uid="{00000000-0005-0000-0000-0000DA0D0000}"/>
    <cellStyle name="Normal 265" xfId="3260" xr:uid="{00000000-0005-0000-0000-0000DB0D0000}"/>
    <cellStyle name="Normal 266" xfId="3261" xr:uid="{00000000-0005-0000-0000-0000DC0D0000}"/>
    <cellStyle name="Normal 267" xfId="3265" xr:uid="{00000000-0005-0000-0000-0000DD0D0000}"/>
    <cellStyle name="Normal 268" xfId="3332" xr:uid="{00000000-0005-0000-0000-0000DE0D0000}"/>
    <cellStyle name="Normal 269" xfId="3333" xr:uid="{00000000-0005-0000-0000-0000DF0D0000}"/>
    <cellStyle name="Normal 27" xfId="575" xr:uid="{00000000-0005-0000-0000-0000E00D0000}"/>
    <cellStyle name="Normal 27 2" xfId="1624" xr:uid="{00000000-0005-0000-0000-0000E10D0000}"/>
    <cellStyle name="Normal 270" xfId="3335" xr:uid="{00000000-0005-0000-0000-0000E20D0000}"/>
    <cellStyle name="Normal 271" xfId="3337" xr:uid="{00000000-0005-0000-0000-0000E30D0000}"/>
    <cellStyle name="Normal 272" xfId="3268" xr:uid="{00000000-0005-0000-0000-0000E40D0000}"/>
    <cellStyle name="Normal 273" xfId="3270" xr:uid="{00000000-0005-0000-0000-0000E50D0000}"/>
    <cellStyle name="Normal 274" xfId="3272" xr:uid="{00000000-0005-0000-0000-0000E60D0000}"/>
    <cellStyle name="Normal 275" xfId="3274" xr:uid="{00000000-0005-0000-0000-0000E70D0000}"/>
    <cellStyle name="Normal 276" xfId="3276" xr:uid="{00000000-0005-0000-0000-0000E80D0000}"/>
    <cellStyle name="Normal 277" xfId="3277" xr:uid="{00000000-0005-0000-0000-0000E90D0000}"/>
    <cellStyle name="Normal 278" xfId="3950" xr:uid="{00000000-0005-0000-0000-0000EA0D0000}"/>
    <cellStyle name="Normal 279" xfId="3512" xr:uid="{00000000-0005-0000-0000-0000EB0D0000}"/>
    <cellStyle name="Normal 28" xfId="1420" xr:uid="{00000000-0005-0000-0000-0000EC0D0000}"/>
    <cellStyle name="Normal 280" xfId="3463" xr:uid="{00000000-0005-0000-0000-0000ED0D0000}"/>
    <cellStyle name="Normal 281" xfId="3416" xr:uid="{00000000-0005-0000-0000-0000EE0D0000}"/>
    <cellStyle name="Normal 282" xfId="3373" xr:uid="{00000000-0005-0000-0000-0000EF0D0000}"/>
    <cellStyle name="Normal 283" xfId="3322" xr:uid="{00000000-0005-0000-0000-0000F00D0000}"/>
    <cellStyle name="Normal 284" xfId="2998" xr:uid="{00000000-0005-0000-0000-0000F10D0000}"/>
    <cellStyle name="Normal 285" xfId="3072" xr:uid="{00000000-0005-0000-0000-0000F20D0000}"/>
    <cellStyle name="Normal 286" xfId="3188" xr:uid="{00000000-0005-0000-0000-0000F30D0000}"/>
    <cellStyle name="Normal 287" xfId="3954" xr:uid="{00000000-0005-0000-0000-0000F40D0000}"/>
    <cellStyle name="Normal 288" xfId="3955" xr:uid="{00000000-0005-0000-0000-0000F50D0000}"/>
    <cellStyle name="Normal 289" xfId="3956" xr:uid="{00000000-0005-0000-0000-0000F60D0000}"/>
    <cellStyle name="Normal 29" xfId="1421" xr:uid="{00000000-0005-0000-0000-0000F70D0000}"/>
    <cellStyle name="Normal 29 2" xfId="1451" xr:uid="{00000000-0005-0000-0000-0000F80D0000}"/>
    <cellStyle name="Normal 29 3" xfId="1450" xr:uid="{00000000-0005-0000-0000-0000F90D0000}"/>
    <cellStyle name="Normal 290" xfId="3957" xr:uid="{00000000-0005-0000-0000-0000FA0D0000}"/>
    <cellStyle name="Normal 291" xfId="3958" xr:uid="{00000000-0005-0000-0000-0000FB0D0000}"/>
    <cellStyle name="Normal 292" xfId="3959" xr:uid="{00000000-0005-0000-0000-0000FC0D0000}"/>
    <cellStyle name="Normal 293" xfId="3960" xr:uid="{00000000-0005-0000-0000-0000FD0D0000}"/>
    <cellStyle name="Normal 294" xfId="3961" xr:uid="{00000000-0005-0000-0000-0000FE0D0000}"/>
    <cellStyle name="Normal 295" xfId="3962" xr:uid="{00000000-0005-0000-0000-0000FF0D0000}"/>
    <cellStyle name="Normal 296" xfId="3963" xr:uid="{00000000-0005-0000-0000-0000000E0000}"/>
    <cellStyle name="Normal 297" xfId="3964" xr:uid="{00000000-0005-0000-0000-0000010E0000}"/>
    <cellStyle name="Normal 298" xfId="3965" xr:uid="{00000000-0005-0000-0000-0000020E0000}"/>
    <cellStyle name="Normal 299" xfId="3974" xr:uid="{00000000-0005-0000-0000-0000030E0000}"/>
    <cellStyle name="Normal 3" xfId="576" xr:uid="{00000000-0005-0000-0000-0000040E0000}"/>
    <cellStyle name="Normal 3 10" xfId="577" xr:uid="{00000000-0005-0000-0000-0000050E0000}"/>
    <cellStyle name="Normal 3 10 2" xfId="1625" xr:uid="{00000000-0005-0000-0000-0000060E0000}"/>
    <cellStyle name="Normal 3 11" xfId="578" xr:uid="{00000000-0005-0000-0000-0000070E0000}"/>
    <cellStyle name="Normal 3 11 2" xfId="1626" xr:uid="{00000000-0005-0000-0000-0000080E0000}"/>
    <cellStyle name="Normal 3 12" xfId="579" xr:uid="{00000000-0005-0000-0000-0000090E0000}"/>
    <cellStyle name="Normal 3 12 2" xfId="1627" xr:uid="{00000000-0005-0000-0000-00000A0E0000}"/>
    <cellStyle name="Normal 3 13" xfId="580" xr:uid="{00000000-0005-0000-0000-00000B0E0000}"/>
    <cellStyle name="Normal 3 13 2" xfId="1628" xr:uid="{00000000-0005-0000-0000-00000C0E0000}"/>
    <cellStyle name="Normal 3 14" xfId="581" xr:uid="{00000000-0005-0000-0000-00000D0E0000}"/>
    <cellStyle name="Normal 3 14 2" xfId="1629" xr:uid="{00000000-0005-0000-0000-00000E0E0000}"/>
    <cellStyle name="Normal 3 15" xfId="582" xr:uid="{00000000-0005-0000-0000-00000F0E0000}"/>
    <cellStyle name="Normal 3 15 2" xfId="1630" xr:uid="{00000000-0005-0000-0000-0000100E0000}"/>
    <cellStyle name="Normal 3 16" xfId="583" xr:uid="{00000000-0005-0000-0000-0000110E0000}"/>
    <cellStyle name="Normal 3 16 2" xfId="1631" xr:uid="{00000000-0005-0000-0000-0000120E0000}"/>
    <cellStyle name="Normal 3 17" xfId="584" xr:uid="{00000000-0005-0000-0000-0000130E0000}"/>
    <cellStyle name="Normal 3 17 2" xfId="1632" xr:uid="{00000000-0005-0000-0000-0000140E0000}"/>
    <cellStyle name="Normal 3 18" xfId="585" xr:uid="{00000000-0005-0000-0000-0000150E0000}"/>
    <cellStyle name="Normal 3 18 2" xfId="1633" xr:uid="{00000000-0005-0000-0000-0000160E0000}"/>
    <cellStyle name="Normal 3 19" xfId="586" xr:uid="{00000000-0005-0000-0000-0000170E0000}"/>
    <cellStyle name="Normal 3 19 2" xfId="1634" xr:uid="{00000000-0005-0000-0000-0000180E0000}"/>
    <cellStyle name="Normal 3 2" xfId="587" xr:uid="{00000000-0005-0000-0000-0000190E0000}"/>
    <cellStyle name="Normal 3 2 2" xfId="1635" xr:uid="{00000000-0005-0000-0000-00001A0E0000}"/>
    <cellStyle name="Normal 3 20" xfId="588" xr:uid="{00000000-0005-0000-0000-00001B0E0000}"/>
    <cellStyle name="Normal 3 20 2" xfId="1636" xr:uid="{00000000-0005-0000-0000-00001C0E0000}"/>
    <cellStyle name="Normal 3 21" xfId="589" xr:uid="{00000000-0005-0000-0000-00001D0E0000}"/>
    <cellStyle name="Normal 3 21 2" xfId="1637" xr:uid="{00000000-0005-0000-0000-00001E0E0000}"/>
    <cellStyle name="Normal 3 22" xfId="590" xr:uid="{00000000-0005-0000-0000-00001F0E0000}"/>
    <cellStyle name="Normal 3 22 2" xfId="1638" xr:uid="{00000000-0005-0000-0000-0000200E0000}"/>
    <cellStyle name="Normal 3 23" xfId="591" xr:uid="{00000000-0005-0000-0000-0000210E0000}"/>
    <cellStyle name="Normal 3 23 2" xfId="1639" xr:uid="{00000000-0005-0000-0000-0000220E0000}"/>
    <cellStyle name="Normal 3 24" xfId="592" xr:uid="{00000000-0005-0000-0000-0000230E0000}"/>
    <cellStyle name="Normal 3 24 2" xfId="1640" xr:uid="{00000000-0005-0000-0000-0000240E0000}"/>
    <cellStyle name="Normal 3 25" xfId="593" xr:uid="{00000000-0005-0000-0000-0000250E0000}"/>
    <cellStyle name="Normal 3 25 2" xfId="1641" xr:uid="{00000000-0005-0000-0000-0000260E0000}"/>
    <cellStyle name="Normal 3 26" xfId="594" xr:uid="{00000000-0005-0000-0000-0000270E0000}"/>
    <cellStyle name="Normal 3 26 2" xfId="1642" xr:uid="{00000000-0005-0000-0000-0000280E0000}"/>
    <cellStyle name="Normal 3 27" xfId="595" xr:uid="{00000000-0005-0000-0000-0000290E0000}"/>
    <cellStyle name="Normal 3 27 2" xfId="1643" xr:uid="{00000000-0005-0000-0000-00002A0E0000}"/>
    <cellStyle name="Normal 3 28" xfId="596" xr:uid="{00000000-0005-0000-0000-00002B0E0000}"/>
    <cellStyle name="Normal 3 28 2" xfId="1644" xr:uid="{00000000-0005-0000-0000-00002C0E0000}"/>
    <cellStyle name="Normal 3 29" xfId="597" xr:uid="{00000000-0005-0000-0000-00002D0E0000}"/>
    <cellStyle name="Normal 3 29 2" xfId="1645" xr:uid="{00000000-0005-0000-0000-00002E0E0000}"/>
    <cellStyle name="Normal 3 3" xfId="598" xr:uid="{00000000-0005-0000-0000-00002F0E0000}"/>
    <cellStyle name="Normal 3 3 2" xfId="1646" xr:uid="{00000000-0005-0000-0000-0000300E0000}"/>
    <cellStyle name="Normal 3 30" xfId="599" xr:uid="{00000000-0005-0000-0000-0000310E0000}"/>
    <cellStyle name="Normal 3 30 2" xfId="1647" xr:uid="{00000000-0005-0000-0000-0000320E0000}"/>
    <cellStyle name="Normal 3 31" xfId="1648" xr:uid="{00000000-0005-0000-0000-0000330E0000}"/>
    <cellStyle name="Normal 3 4" xfId="600" xr:uid="{00000000-0005-0000-0000-0000340E0000}"/>
    <cellStyle name="Normal 3 4 2" xfId="1649" xr:uid="{00000000-0005-0000-0000-0000350E0000}"/>
    <cellStyle name="Normal 3 5" xfId="601" xr:uid="{00000000-0005-0000-0000-0000360E0000}"/>
    <cellStyle name="Normal 3 5 2" xfId="1650" xr:uid="{00000000-0005-0000-0000-0000370E0000}"/>
    <cellStyle name="Normal 3 6" xfId="602" xr:uid="{00000000-0005-0000-0000-0000380E0000}"/>
    <cellStyle name="Normal 3 6 2" xfId="1651" xr:uid="{00000000-0005-0000-0000-0000390E0000}"/>
    <cellStyle name="Normal 3 7" xfId="603" xr:uid="{00000000-0005-0000-0000-00003A0E0000}"/>
    <cellStyle name="Normal 3 7 2" xfId="1652" xr:uid="{00000000-0005-0000-0000-00003B0E0000}"/>
    <cellStyle name="Normal 3 8" xfId="604" xr:uid="{00000000-0005-0000-0000-00003C0E0000}"/>
    <cellStyle name="Normal 3 8 2" xfId="1653" xr:uid="{00000000-0005-0000-0000-00003D0E0000}"/>
    <cellStyle name="Normal 3 9" xfId="605" xr:uid="{00000000-0005-0000-0000-00003E0E0000}"/>
    <cellStyle name="Normal 3 9 2" xfId="1654" xr:uid="{00000000-0005-0000-0000-00003F0E0000}"/>
    <cellStyle name="Normal 3_deposits mobilized" xfId="606" xr:uid="{00000000-0005-0000-0000-0000400E0000}"/>
    <cellStyle name="Normal 30" xfId="1422" xr:uid="{00000000-0005-0000-0000-0000410E0000}"/>
    <cellStyle name="Normal 30 2" xfId="1453" xr:uid="{00000000-0005-0000-0000-0000420E0000}"/>
    <cellStyle name="Normal 30 3" xfId="1452" xr:uid="{00000000-0005-0000-0000-0000430E0000}"/>
    <cellStyle name="Normal 300" xfId="3975" xr:uid="{00000000-0005-0000-0000-0000440E0000}"/>
    <cellStyle name="Normal 301" xfId="3973" xr:uid="{00000000-0005-0000-0000-0000450E0000}"/>
    <cellStyle name="Normal 302" xfId="3977" xr:uid="{00000000-0005-0000-0000-0000460E0000}"/>
    <cellStyle name="Normal 303" xfId="3971" xr:uid="{00000000-0005-0000-0000-0000470E0000}"/>
    <cellStyle name="Normal 304" xfId="3978" xr:uid="{00000000-0005-0000-0000-0000480E0000}"/>
    <cellStyle name="Normal 305" xfId="3979" xr:uid="{00000000-0005-0000-0000-0000490E0000}"/>
    <cellStyle name="Normal 306" xfId="3986" xr:uid="{00000000-0005-0000-0000-00004A0E0000}"/>
    <cellStyle name="Normal 307" xfId="3987" xr:uid="{00000000-0005-0000-0000-00004B0E0000}"/>
    <cellStyle name="Normal 308" xfId="3988" xr:uid="{00000000-0005-0000-0000-00004C0E0000}"/>
    <cellStyle name="Normal 309" xfId="3989" xr:uid="{00000000-0005-0000-0000-00004D0E0000}"/>
    <cellStyle name="Normal 31" xfId="1454" xr:uid="{00000000-0005-0000-0000-00004E0E0000}"/>
    <cellStyle name="Normal 31 2" xfId="2574" xr:uid="{00000000-0005-0000-0000-00004F0E0000}"/>
    <cellStyle name="Normal 310" xfId="3990" xr:uid="{00000000-0005-0000-0000-0000500E0000}"/>
    <cellStyle name="Normal 311" xfId="3991" xr:uid="{00000000-0005-0000-0000-0000510E0000}"/>
    <cellStyle name="Normal 312" xfId="4013" xr:uid="{00000000-0005-0000-0000-0000520E0000}"/>
    <cellStyle name="Normal 313" xfId="4015" xr:uid="{00000000-0005-0000-0000-0000530E0000}"/>
    <cellStyle name="Normal 314" xfId="4016" xr:uid="{00000000-0005-0000-0000-0000540E0000}"/>
    <cellStyle name="Normal 315" xfId="4014" xr:uid="{00000000-0005-0000-0000-0000550E0000}"/>
    <cellStyle name="Normal 316" xfId="4017" xr:uid="{00000000-0005-0000-0000-0000560E0000}"/>
    <cellStyle name="Normal 317" xfId="4018" xr:uid="{00000000-0005-0000-0000-0000570E0000}"/>
    <cellStyle name="Normal 318" xfId="4019" xr:uid="{00000000-0005-0000-0000-0000580E0000}"/>
    <cellStyle name="Normal 319" xfId="4020" xr:uid="{00000000-0005-0000-0000-0000590E0000}"/>
    <cellStyle name="Normal 32" xfId="1455" xr:uid="{00000000-0005-0000-0000-00005A0E0000}"/>
    <cellStyle name="Normal 32 2" xfId="2575" xr:uid="{00000000-0005-0000-0000-00005B0E0000}"/>
    <cellStyle name="Normal 320" xfId="4021" xr:uid="{00000000-0005-0000-0000-00005C0E0000}"/>
    <cellStyle name="Normal 321" xfId="4022" xr:uid="{00000000-0005-0000-0000-00005D0E0000}"/>
    <cellStyle name="Normal 322" xfId="4024" xr:uid="{00000000-0005-0000-0000-00005E0E0000}"/>
    <cellStyle name="Normal 323" xfId="4025" xr:uid="{00000000-0005-0000-0000-00005F0E0000}"/>
    <cellStyle name="Normal 324" xfId="4023" xr:uid="{00000000-0005-0000-0000-0000600E0000}"/>
    <cellStyle name="Normal 325" xfId="4026" xr:uid="{00000000-0005-0000-0000-0000610E0000}"/>
    <cellStyle name="Normal 326" xfId="4027" xr:uid="{00000000-0005-0000-0000-0000620E0000}"/>
    <cellStyle name="Normal 327" xfId="4028" xr:uid="{00000000-0005-0000-0000-0000630E0000}"/>
    <cellStyle name="Normal 328" xfId="4029" xr:uid="{00000000-0005-0000-0000-0000640E0000}"/>
    <cellStyle name="Normal 329" xfId="4030" xr:uid="{00000000-0005-0000-0000-0000650E0000}"/>
    <cellStyle name="Normal 33" xfId="1456" xr:uid="{00000000-0005-0000-0000-0000660E0000}"/>
    <cellStyle name="Normal 33 2" xfId="2576" xr:uid="{00000000-0005-0000-0000-0000670E0000}"/>
    <cellStyle name="Normal 330" xfId="4031" xr:uid="{00000000-0005-0000-0000-0000680E0000}"/>
    <cellStyle name="Normal 331" xfId="4032" xr:uid="{00000000-0005-0000-0000-0000690E0000}"/>
    <cellStyle name="Normal 332" xfId="4033" xr:uid="{00000000-0005-0000-0000-00006A0E0000}"/>
    <cellStyle name="Normal 333" xfId="4038" xr:uid="{00000000-0005-0000-0000-00006B0E0000}"/>
    <cellStyle name="Normal 334" xfId="4039" xr:uid="{00000000-0005-0000-0000-00006C0E0000}"/>
    <cellStyle name="Normal 335" xfId="4040" xr:uid="{00000000-0005-0000-0000-00006D0E0000}"/>
    <cellStyle name="Normal 336" xfId="4041" xr:uid="{00000000-0005-0000-0000-00006E0E0000}"/>
    <cellStyle name="Normal 337" xfId="4049" xr:uid="{00000000-0005-0000-0000-00006F0E0000}"/>
    <cellStyle name="Normal 338" xfId="4050" xr:uid="{00000000-0005-0000-0000-0000700E0000}"/>
    <cellStyle name="Normal 339" xfId="4051" xr:uid="{00000000-0005-0000-0000-0000710E0000}"/>
    <cellStyle name="Normal 34" xfId="1457" xr:uid="{00000000-0005-0000-0000-0000720E0000}"/>
    <cellStyle name="Normal 34 2" xfId="2577" xr:uid="{00000000-0005-0000-0000-0000730E0000}"/>
    <cellStyle name="Normal 340" xfId="4052" xr:uid="{00000000-0005-0000-0000-0000740E0000}"/>
    <cellStyle name="Normal 341" xfId="4053" xr:uid="{00000000-0005-0000-0000-0000750E0000}"/>
    <cellStyle name="Normal 342" xfId="4054" xr:uid="{00000000-0005-0000-0000-0000760E0000}"/>
    <cellStyle name="Normal 343" xfId="4056" xr:uid="{00000000-0005-0000-0000-0000770E0000}"/>
    <cellStyle name="Normal 344" xfId="4065" xr:uid="{00000000-0005-0000-0000-0000780E0000}"/>
    <cellStyle name="Normal 345" xfId="4060" xr:uid="{00000000-0005-0000-0000-0000790E0000}"/>
    <cellStyle name="Normal 346" xfId="4059" xr:uid="{00000000-0005-0000-0000-00007A0E0000}"/>
    <cellStyle name="Normal 347" xfId="4058" xr:uid="{00000000-0005-0000-0000-00007B0E0000}"/>
    <cellStyle name="Normal 348" xfId="4069" xr:uid="{00000000-0005-0000-0000-00007C0E0000}"/>
    <cellStyle name="Normal 349" xfId="4070" xr:uid="{00000000-0005-0000-0000-00007D0E0000}"/>
    <cellStyle name="Normal 35" xfId="1438" xr:uid="{00000000-0005-0000-0000-00007E0E0000}"/>
    <cellStyle name="Normal 350" xfId="4071" xr:uid="{00000000-0005-0000-0000-00007F0E0000}"/>
    <cellStyle name="Normal 351" xfId="4072" xr:uid="{00000000-0005-0000-0000-0000800E0000}"/>
    <cellStyle name="Normal 352" xfId="4073" xr:uid="{00000000-0005-0000-0000-0000810E0000}"/>
    <cellStyle name="Normal 353" xfId="4074" xr:uid="{00000000-0005-0000-0000-0000820E0000}"/>
    <cellStyle name="Normal 354" xfId="4075" xr:uid="{00000000-0005-0000-0000-0000830E0000}"/>
    <cellStyle name="Normal 355" xfId="4076" xr:uid="{00000000-0005-0000-0000-0000840E0000}"/>
    <cellStyle name="Normal 356" xfId="4077" xr:uid="{00000000-0005-0000-0000-0000850E0000}"/>
    <cellStyle name="Normal 357" xfId="4078" xr:uid="{00000000-0005-0000-0000-0000860E0000}"/>
    <cellStyle name="Normal 358" xfId="4079" xr:uid="{00000000-0005-0000-0000-0000870E0000}"/>
    <cellStyle name="Normal 359" xfId="4080" xr:uid="{00000000-0005-0000-0000-0000880E0000}"/>
    <cellStyle name="Normal 36" xfId="1461" xr:uid="{00000000-0005-0000-0000-0000890E0000}"/>
    <cellStyle name="Normal 360" xfId="4081" xr:uid="{00000000-0005-0000-0000-00008A0E0000}"/>
    <cellStyle name="Normal 361" xfId="4082" xr:uid="{00000000-0005-0000-0000-00008B0E0000}"/>
    <cellStyle name="Normal 362" xfId="4083" xr:uid="{00000000-0005-0000-0000-00008C0E0000}"/>
    <cellStyle name="Normal 363" xfId="4084" xr:uid="{00000000-0005-0000-0000-00008D0E0000}"/>
    <cellStyle name="Normal 364" xfId="4085" xr:uid="{00000000-0005-0000-0000-00008E0E0000}"/>
    <cellStyle name="Normal 365" xfId="4086" xr:uid="{00000000-0005-0000-0000-00008F0E0000}"/>
    <cellStyle name="Normal 366" xfId="4087" xr:uid="{00000000-0005-0000-0000-0000900E0000}"/>
    <cellStyle name="Normal 367" xfId="4088" xr:uid="{00000000-0005-0000-0000-0000910E0000}"/>
    <cellStyle name="Normal 368" xfId="4089" xr:uid="{00000000-0005-0000-0000-0000920E0000}"/>
    <cellStyle name="Normal 369" xfId="4090" xr:uid="{00000000-0005-0000-0000-0000930E0000}"/>
    <cellStyle name="Normal 37" xfId="1470" xr:uid="{00000000-0005-0000-0000-0000940E0000}"/>
    <cellStyle name="Normal 370" xfId="4091" xr:uid="{00000000-0005-0000-0000-0000950E0000}"/>
    <cellStyle name="Normal 371" xfId="4092" xr:uid="{00000000-0005-0000-0000-0000960E0000}"/>
    <cellStyle name="Normal 372" xfId="4093" xr:uid="{00000000-0005-0000-0000-0000970E0000}"/>
    <cellStyle name="Normal 373" xfId="4094" xr:uid="{00000000-0005-0000-0000-0000980E0000}"/>
    <cellStyle name="Normal 374" xfId="4095" xr:uid="{00000000-0005-0000-0000-0000990E0000}"/>
    <cellStyle name="Normal 375" xfId="4096" xr:uid="{00000000-0005-0000-0000-00009A0E0000}"/>
    <cellStyle name="Normal 376" xfId="4097" xr:uid="{00000000-0005-0000-0000-00009B0E0000}"/>
    <cellStyle name="Normal 377" xfId="4098" xr:uid="{00000000-0005-0000-0000-00009C0E0000}"/>
    <cellStyle name="Normal 378" xfId="4099" xr:uid="{00000000-0005-0000-0000-00009D0E0000}"/>
    <cellStyle name="Normal 379" xfId="4100" xr:uid="{00000000-0005-0000-0000-00009E0E0000}"/>
    <cellStyle name="Normal 38" xfId="1471" xr:uid="{00000000-0005-0000-0000-00009F0E0000}"/>
    <cellStyle name="Normal 380" xfId="4101" xr:uid="{00000000-0005-0000-0000-0000A00E0000}"/>
    <cellStyle name="Normal 381" xfId="4102" xr:uid="{00000000-0005-0000-0000-0000A10E0000}"/>
    <cellStyle name="Normal 382" xfId="4103" xr:uid="{00000000-0005-0000-0000-0000A20E0000}"/>
    <cellStyle name="Normal 383" xfId="4104" xr:uid="{00000000-0005-0000-0000-0000A30E0000}"/>
    <cellStyle name="Normal 384" xfId="4105" xr:uid="{00000000-0005-0000-0000-0000A40E0000}"/>
    <cellStyle name="Normal 385" xfId="4106" xr:uid="{00000000-0005-0000-0000-0000A50E0000}"/>
    <cellStyle name="Normal 386" xfId="4107" xr:uid="{00000000-0005-0000-0000-0000A60E0000}"/>
    <cellStyle name="Normal 387" xfId="4108" xr:uid="{00000000-0005-0000-0000-0000A70E0000}"/>
    <cellStyle name="Normal 388" xfId="4109" xr:uid="{00000000-0005-0000-0000-0000A80E0000}"/>
    <cellStyle name="Normal 389" xfId="4110" xr:uid="{00000000-0005-0000-0000-0000A90E0000}"/>
    <cellStyle name="Normal 39" xfId="1472" xr:uid="{00000000-0005-0000-0000-0000AA0E0000}"/>
    <cellStyle name="Normal 390" xfId="4111" xr:uid="{00000000-0005-0000-0000-0000AB0E0000}"/>
    <cellStyle name="Normal 391" xfId="4112" xr:uid="{00000000-0005-0000-0000-0000AC0E0000}"/>
    <cellStyle name="Normal 392" xfId="4113" xr:uid="{00000000-0005-0000-0000-0000AD0E0000}"/>
    <cellStyle name="Normal 393" xfId="4114" xr:uid="{00000000-0005-0000-0000-0000AE0E0000}"/>
    <cellStyle name="Normal 394" xfId="4115" xr:uid="{00000000-0005-0000-0000-0000AF0E0000}"/>
    <cellStyle name="Normal 395" xfId="4116" xr:uid="{00000000-0005-0000-0000-0000B00E0000}"/>
    <cellStyle name="Normal 396" xfId="4117" xr:uid="{00000000-0005-0000-0000-0000B10E0000}"/>
    <cellStyle name="Normal 397" xfId="4118" xr:uid="{00000000-0005-0000-0000-0000B20E0000}"/>
    <cellStyle name="Normal 398" xfId="4119" xr:uid="{00000000-0005-0000-0000-0000B30E0000}"/>
    <cellStyle name="Normal 399" xfId="4120" xr:uid="{00000000-0005-0000-0000-0000B40E0000}"/>
    <cellStyle name="Normal 4" xfId="607" xr:uid="{00000000-0005-0000-0000-0000B50E0000}"/>
    <cellStyle name="Normal 4 10" xfId="608" xr:uid="{00000000-0005-0000-0000-0000B60E0000}"/>
    <cellStyle name="Normal 4 10 2" xfId="1655" xr:uid="{00000000-0005-0000-0000-0000B70E0000}"/>
    <cellStyle name="Normal 4 11" xfId="609" xr:uid="{00000000-0005-0000-0000-0000B80E0000}"/>
    <cellStyle name="Normal 4 11 2" xfId="1656" xr:uid="{00000000-0005-0000-0000-0000B90E0000}"/>
    <cellStyle name="Normal 4 12" xfId="610" xr:uid="{00000000-0005-0000-0000-0000BA0E0000}"/>
    <cellStyle name="Normal 4 12 2" xfId="1657" xr:uid="{00000000-0005-0000-0000-0000BB0E0000}"/>
    <cellStyle name="Normal 4 13" xfId="611" xr:uid="{00000000-0005-0000-0000-0000BC0E0000}"/>
    <cellStyle name="Normal 4 13 2" xfId="1658" xr:uid="{00000000-0005-0000-0000-0000BD0E0000}"/>
    <cellStyle name="Normal 4 14" xfId="612" xr:uid="{00000000-0005-0000-0000-0000BE0E0000}"/>
    <cellStyle name="Normal 4 14 2" xfId="1659" xr:uid="{00000000-0005-0000-0000-0000BF0E0000}"/>
    <cellStyle name="Normal 4 15" xfId="613" xr:uid="{00000000-0005-0000-0000-0000C00E0000}"/>
    <cellStyle name="Normal 4 15 2" xfId="1660" xr:uid="{00000000-0005-0000-0000-0000C10E0000}"/>
    <cellStyle name="Normal 4 16" xfId="614" xr:uid="{00000000-0005-0000-0000-0000C20E0000}"/>
    <cellStyle name="Normal 4 16 2" xfId="1661" xr:uid="{00000000-0005-0000-0000-0000C30E0000}"/>
    <cellStyle name="Normal 4 17" xfId="615" xr:uid="{00000000-0005-0000-0000-0000C40E0000}"/>
    <cellStyle name="Normal 4 17 2" xfId="1662" xr:uid="{00000000-0005-0000-0000-0000C50E0000}"/>
    <cellStyle name="Normal 4 18" xfId="616" xr:uid="{00000000-0005-0000-0000-0000C60E0000}"/>
    <cellStyle name="Normal 4 18 2" xfId="1663" xr:uid="{00000000-0005-0000-0000-0000C70E0000}"/>
    <cellStyle name="Normal 4 19" xfId="617" xr:uid="{00000000-0005-0000-0000-0000C80E0000}"/>
    <cellStyle name="Normal 4 19 2" xfId="1664" xr:uid="{00000000-0005-0000-0000-0000C90E0000}"/>
    <cellStyle name="Normal 4 2" xfId="618" xr:uid="{00000000-0005-0000-0000-0000CA0E0000}"/>
    <cellStyle name="Normal 4 2 2" xfId="1665" xr:uid="{00000000-0005-0000-0000-0000CB0E0000}"/>
    <cellStyle name="Normal 4 20" xfId="619" xr:uid="{00000000-0005-0000-0000-0000CC0E0000}"/>
    <cellStyle name="Normal 4 20 2" xfId="1666" xr:uid="{00000000-0005-0000-0000-0000CD0E0000}"/>
    <cellStyle name="Normal 4 21" xfId="620" xr:uid="{00000000-0005-0000-0000-0000CE0E0000}"/>
    <cellStyle name="Normal 4 21 2" xfId="1667" xr:uid="{00000000-0005-0000-0000-0000CF0E0000}"/>
    <cellStyle name="Normal 4 22" xfId="621" xr:uid="{00000000-0005-0000-0000-0000D00E0000}"/>
    <cellStyle name="Normal 4 22 2" xfId="1668" xr:uid="{00000000-0005-0000-0000-0000D10E0000}"/>
    <cellStyle name="Normal 4 23" xfId="622" xr:uid="{00000000-0005-0000-0000-0000D20E0000}"/>
    <cellStyle name="Normal 4 23 2" xfId="1669" xr:uid="{00000000-0005-0000-0000-0000D30E0000}"/>
    <cellStyle name="Normal 4 24" xfId="623" xr:uid="{00000000-0005-0000-0000-0000D40E0000}"/>
    <cellStyle name="Normal 4 24 2" xfId="1670" xr:uid="{00000000-0005-0000-0000-0000D50E0000}"/>
    <cellStyle name="Normal 4 25" xfId="624" xr:uid="{00000000-0005-0000-0000-0000D60E0000}"/>
    <cellStyle name="Normal 4 25 2" xfId="1671" xr:uid="{00000000-0005-0000-0000-0000D70E0000}"/>
    <cellStyle name="Normal 4 26" xfId="625" xr:uid="{00000000-0005-0000-0000-0000D80E0000}"/>
    <cellStyle name="Normal 4 26 2" xfId="1672" xr:uid="{00000000-0005-0000-0000-0000D90E0000}"/>
    <cellStyle name="Normal 4 27" xfId="626" xr:uid="{00000000-0005-0000-0000-0000DA0E0000}"/>
    <cellStyle name="Normal 4 27 2" xfId="1673" xr:uid="{00000000-0005-0000-0000-0000DB0E0000}"/>
    <cellStyle name="Normal 4 28" xfId="627" xr:uid="{00000000-0005-0000-0000-0000DC0E0000}"/>
    <cellStyle name="Normal 4 28 2" xfId="1674" xr:uid="{00000000-0005-0000-0000-0000DD0E0000}"/>
    <cellStyle name="Normal 4 29" xfId="628" xr:uid="{00000000-0005-0000-0000-0000DE0E0000}"/>
    <cellStyle name="Normal 4 29 2" xfId="1675" xr:uid="{00000000-0005-0000-0000-0000DF0E0000}"/>
    <cellStyle name="Normal 4 3" xfId="629" xr:uid="{00000000-0005-0000-0000-0000E00E0000}"/>
    <cellStyle name="Normal 4 3 2" xfId="1676" xr:uid="{00000000-0005-0000-0000-0000E10E0000}"/>
    <cellStyle name="Normal 4 30" xfId="630" xr:uid="{00000000-0005-0000-0000-0000E20E0000}"/>
    <cellStyle name="Normal 4 30 2" xfId="1677" xr:uid="{00000000-0005-0000-0000-0000E30E0000}"/>
    <cellStyle name="Normal 4 31" xfId="1678" xr:uid="{00000000-0005-0000-0000-0000E40E0000}"/>
    <cellStyle name="Normal 4 4" xfId="631" xr:uid="{00000000-0005-0000-0000-0000E50E0000}"/>
    <cellStyle name="Normal 4 4 2" xfId="1679" xr:uid="{00000000-0005-0000-0000-0000E60E0000}"/>
    <cellStyle name="Normal 4 5" xfId="632" xr:uid="{00000000-0005-0000-0000-0000E70E0000}"/>
    <cellStyle name="Normal 4 5 2" xfId="1680" xr:uid="{00000000-0005-0000-0000-0000E80E0000}"/>
    <cellStyle name="Normal 4 6" xfId="633" xr:uid="{00000000-0005-0000-0000-0000E90E0000}"/>
    <cellStyle name="Normal 4 6 2" xfId="1681" xr:uid="{00000000-0005-0000-0000-0000EA0E0000}"/>
    <cellStyle name="Normal 4 7" xfId="634" xr:uid="{00000000-0005-0000-0000-0000EB0E0000}"/>
    <cellStyle name="Normal 4 7 2" xfId="1682" xr:uid="{00000000-0005-0000-0000-0000EC0E0000}"/>
    <cellStyle name="Normal 4 8" xfId="635" xr:uid="{00000000-0005-0000-0000-0000ED0E0000}"/>
    <cellStyle name="Normal 4 8 2" xfId="1683" xr:uid="{00000000-0005-0000-0000-0000EE0E0000}"/>
    <cellStyle name="Normal 4 9" xfId="636" xr:uid="{00000000-0005-0000-0000-0000EF0E0000}"/>
    <cellStyle name="Normal 4 9 2" xfId="1684" xr:uid="{00000000-0005-0000-0000-0000F00E0000}"/>
    <cellStyle name="Normal 40" xfId="1473" xr:uid="{00000000-0005-0000-0000-0000F10E0000}"/>
    <cellStyle name="Normal 400" xfId="4121" xr:uid="{00000000-0005-0000-0000-0000F20E0000}"/>
    <cellStyle name="Normal 401" xfId="4122" xr:uid="{00000000-0005-0000-0000-0000F30E0000}"/>
    <cellStyle name="Normal 402" xfId="4123" xr:uid="{00000000-0005-0000-0000-0000F40E0000}"/>
    <cellStyle name="Normal 403" xfId="4124" xr:uid="{00000000-0005-0000-0000-0000F50E0000}"/>
    <cellStyle name="Normal 404" xfId="4125" xr:uid="{00000000-0005-0000-0000-0000F60E0000}"/>
    <cellStyle name="Normal 405" xfId="4126" xr:uid="{00000000-0005-0000-0000-0000F70E0000}"/>
    <cellStyle name="Normal 406" xfId="4127" xr:uid="{00000000-0005-0000-0000-0000F80E0000}"/>
    <cellStyle name="Normal 407" xfId="4128" xr:uid="{00000000-0005-0000-0000-0000F90E0000}"/>
    <cellStyle name="Normal 408" xfId="4129" xr:uid="{00000000-0005-0000-0000-0000FA0E0000}"/>
    <cellStyle name="Normal 409" xfId="4130" xr:uid="{00000000-0005-0000-0000-0000FB0E0000}"/>
    <cellStyle name="Normal 41" xfId="1474" xr:uid="{00000000-0005-0000-0000-0000FC0E0000}"/>
    <cellStyle name="Normal 410" xfId="4131" xr:uid="{00000000-0005-0000-0000-0000FD0E0000}"/>
    <cellStyle name="Normal 411" xfId="4132" xr:uid="{00000000-0005-0000-0000-0000FE0E0000}"/>
    <cellStyle name="Normal 412" xfId="4133" xr:uid="{00000000-0005-0000-0000-0000FF0E0000}"/>
    <cellStyle name="Normal 413" xfId="4134" xr:uid="{00000000-0005-0000-0000-0000000F0000}"/>
    <cellStyle name="Normal 414" xfId="4135" xr:uid="{00000000-0005-0000-0000-0000010F0000}"/>
    <cellStyle name="Normal 415" xfId="4136" xr:uid="{00000000-0005-0000-0000-0000020F0000}"/>
    <cellStyle name="Normal 416" xfId="4137" xr:uid="{00000000-0005-0000-0000-0000030F0000}"/>
    <cellStyle name="Normal 42" xfId="1475" xr:uid="{00000000-0005-0000-0000-0000040F0000}"/>
    <cellStyle name="Normal 43" xfId="1476" xr:uid="{00000000-0005-0000-0000-0000050F0000}"/>
    <cellStyle name="Normal 44" xfId="1477" xr:uid="{00000000-0005-0000-0000-0000060F0000}"/>
    <cellStyle name="Normal 45" xfId="1507" xr:uid="{00000000-0005-0000-0000-0000070F0000}"/>
    <cellStyle name="Normal 46" xfId="1508" xr:uid="{00000000-0005-0000-0000-0000080F0000}"/>
    <cellStyle name="Normal 47" xfId="1509" xr:uid="{00000000-0005-0000-0000-0000090F0000}"/>
    <cellStyle name="Normal 48" xfId="1510" xr:uid="{00000000-0005-0000-0000-00000A0F0000}"/>
    <cellStyle name="Normal 49" xfId="1511" xr:uid="{00000000-0005-0000-0000-00000B0F0000}"/>
    <cellStyle name="Normal 5" xfId="637" xr:uid="{00000000-0005-0000-0000-00000C0F0000}"/>
    <cellStyle name="Normal 5 10" xfId="638" xr:uid="{00000000-0005-0000-0000-00000D0F0000}"/>
    <cellStyle name="Normal 5 10 2" xfId="1685" xr:uid="{00000000-0005-0000-0000-00000E0F0000}"/>
    <cellStyle name="Normal 5 11" xfId="639" xr:uid="{00000000-0005-0000-0000-00000F0F0000}"/>
    <cellStyle name="Normal 5 11 2" xfId="1686" xr:uid="{00000000-0005-0000-0000-0000100F0000}"/>
    <cellStyle name="Normal 5 12" xfId="640" xr:uid="{00000000-0005-0000-0000-0000110F0000}"/>
    <cellStyle name="Normal 5 12 2" xfId="1687" xr:uid="{00000000-0005-0000-0000-0000120F0000}"/>
    <cellStyle name="Normal 5 13" xfId="641" xr:uid="{00000000-0005-0000-0000-0000130F0000}"/>
    <cellStyle name="Normal 5 13 2" xfId="1688" xr:uid="{00000000-0005-0000-0000-0000140F0000}"/>
    <cellStyle name="Normal 5 14" xfId="642" xr:uid="{00000000-0005-0000-0000-0000150F0000}"/>
    <cellStyle name="Normal 5 14 2" xfId="1689" xr:uid="{00000000-0005-0000-0000-0000160F0000}"/>
    <cellStyle name="Normal 5 15" xfId="643" xr:uid="{00000000-0005-0000-0000-0000170F0000}"/>
    <cellStyle name="Normal 5 15 2" xfId="1690" xr:uid="{00000000-0005-0000-0000-0000180F0000}"/>
    <cellStyle name="Normal 5 16" xfId="1691" xr:uid="{00000000-0005-0000-0000-0000190F0000}"/>
    <cellStyle name="Normal 5 2" xfId="644" xr:uid="{00000000-0005-0000-0000-00001A0F0000}"/>
    <cellStyle name="Normal 5 2 2" xfId="1692" xr:uid="{00000000-0005-0000-0000-00001B0F0000}"/>
    <cellStyle name="Normal 5 3" xfId="645" xr:uid="{00000000-0005-0000-0000-00001C0F0000}"/>
    <cellStyle name="Normal 5 3 2" xfId="1693" xr:uid="{00000000-0005-0000-0000-00001D0F0000}"/>
    <cellStyle name="Normal 5 4" xfId="646" xr:uid="{00000000-0005-0000-0000-00001E0F0000}"/>
    <cellStyle name="Normal 5 4 2" xfId="1694" xr:uid="{00000000-0005-0000-0000-00001F0F0000}"/>
    <cellStyle name="Normal 5 5" xfId="647" xr:uid="{00000000-0005-0000-0000-0000200F0000}"/>
    <cellStyle name="Normal 5 5 2" xfId="1695" xr:uid="{00000000-0005-0000-0000-0000210F0000}"/>
    <cellStyle name="Normal 5 6" xfId="648" xr:uid="{00000000-0005-0000-0000-0000220F0000}"/>
    <cellStyle name="Normal 5 6 2" xfId="1696" xr:uid="{00000000-0005-0000-0000-0000230F0000}"/>
    <cellStyle name="Normal 5 7" xfId="649" xr:uid="{00000000-0005-0000-0000-0000240F0000}"/>
    <cellStyle name="Normal 5 7 2" xfId="1697" xr:uid="{00000000-0005-0000-0000-0000250F0000}"/>
    <cellStyle name="Normal 5 8" xfId="650" xr:uid="{00000000-0005-0000-0000-0000260F0000}"/>
    <cellStyle name="Normal 5 8 2" xfId="1698" xr:uid="{00000000-0005-0000-0000-0000270F0000}"/>
    <cellStyle name="Normal 5 9" xfId="651" xr:uid="{00000000-0005-0000-0000-0000280F0000}"/>
    <cellStyle name="Normal 5 9 2" xfId="1699" xr:uid="{00000000-0005-0000-0000-0000290F0000}"/>
    <cellStyle name="Normal 50" xfId="1512" xr:uid="{00000000-0005-0000-0000-00002A0F0000}"/>
    <cellStyle name="Normal 51" xfId="1513" xr:uid="{00000000-0005-0000-0000-00002B0F0000}"/>
    <cellStyle name="Normal 52" xfId="1514" xr:uid="{00000000-0005-0000-0000-00002C0F0000}"/>
    <cellStyle name="Normal 53" xfId="1515" xr:uid="{00000000-0005-0000-0000-00002D0F0000}"/>
    <cellStyle name="Normal 54" xfId="1516" xr:uid="{00000000-0005-0000-0000-00002E0F0000}"/>
    <cellStyle name="Normal 55" xfId="1517" xr:uid="{00000000-0005-0000-0000-00002F0F0000}"/>
    <cellStyle name="Normal 56" xfId="1518" xr:uid="{00000000-0005-0000-0000-0000300F0000}"/>
    <cellStyle name="Normal 57" xfId="1519" xr:uid="{00000000-0005-0000-0000-0000310F0000}"/>
    <cellStyle name="Normal 58" xfId="1520" xr:uid="{00000000-0005-0000-0000-0000320F0000}"/>
    <cellStyle name="Normal 59" xfId="1521" xr:uid="{00000000-0005-0000-0000-0000330F0000}"/>
    <cellStyle name="Normal 6" xfId="652" xr:uid="{00000000-0005-0000-0000-0000340F0000}"/>
    <cellStyle name="Normal 6 2" xfId="653" xr:uid="{00000000-0005-0000-0000-0000350F0000}"/>
    <cellStyle name="Normal 6 2 2" xfId="1700" xr:uid="{00000000-0005-0000-0000-0000360F0000}"/>
    <cellStyle name="Normal 6 3" xfId="654" xr:uid="{00000000-0005-0000-0000-0000370F0000}"/>
    <cellStyle name="Normal 6 3 2" xfId="1701" xr:uid="{00000000-0005-0000-0000-0000380F0000}"/>
    <cellStyle name="Normal 6 4" xfId="655" xr:uid="{00000000-0005-0000-0000-0000390F0000}"/>
    <cellStyle name="Normal 6 4 2" xfId="1702" xr:uid="{00000000-0005-0000-0000-00003A0F0000}"/>
    <cellStyle name="Normal 6 5" xfId="656" xr:uid="{00000000-0005-0000-0000-00003B0F0000}"/>
    <cellStyle name="Normal 6 5 2" xfId="1423" xr:uid="{00000000-0005-0000-0000-00003C0F0000}"/>
    <cellStyle name="Normal 6 6" xfId="2582" xr:uid="{00000000-0005-0000-0000-00003D0F0000}"/>
    <cellStyle name="Normal 6 6 2" xfId="3865" xr:uid="{00000000-0005-0000-0000-00003E0F0000}"/>
    <cellStyle name="Normal 6 7" xfId="3866" xr:uid="{00000000-0005-0000-0000-00003F0F0000}"/>
    <cellStyle name="Normal 6 8" xfId="3867" xr:uid="{00000000-0005-0000-0000-0000400F0000}"/>
    <cellStyle name="Normal 60" xfId="1522" xr:uid="{00000000-0005-0000-0000-0000410F0000}"/>
    <cellStyle name="Normal 61" xfId="1523" xr:uid="{00000000-0005-0000-0000-0000420F0000}"/>
    <cellStyle name="Normal 62" xfId="1524" xr:uid="{00000000-0005-0000-0000-0000430F0000}"/>
    <cellStyle name="Normal 63" xfId="1525" xr:uid="{00000000-0005-0000-0000-0000440F0000}"/>
    <cellStyle name="Normal 64" xfId="1526" xr:uid="{00000000-0005-0000-0000-0000450F0000}"/>
    <cellStyle name="Normal 65" xfId="1527" xr:uid="{00000000-0005-0000-0000-0000460F0000}"/>
    <cellStyle name="Normal 66" xfId="1528" xr:uid="{00000000-0005-0000-0000-0000470F0000}"/>
    <cellStyle name="Normal 67" xfId="1529" xr:uid="{00000000-0005-0000-0000-0000480F0000}"/>
    <cellStyle name="Normal 68" xfId="1530" xr:uid="{00000000-0005-0000-0000-0000490F0000}"/>
    <cellStyle name="Normal 69" xfId="1531" xr:uid="{00000000-0005-0000-0000-00004A0F0000}"/>
    <cellStyle name="Normal 7" xfId="657" xr:uid="{00000000-0005-0000-0000-00004B0F0000}"/>
    <cellStyle name="Normal 7 2" xfId="658" xr:uid="{00000000-0005-0000-0000-00004C0F0000}"/>
    <cellStyle name="Normal 7 2 2" xfId="1703" xr:uid="{00000000-0005-0000-0000-00004D0F0000}"/>
    <cellStyle name="Normal 7 3" xfId="659" xr:uid="{00000000-0005-0000-0000-00004E0F0000}"/>
    <cellStyle name="Normal 7 3 2" xfId="1704" xr:uid="{00000000-0005-0000-0000-00004F0F0000}"/>
    <cellStyle name="Normal 7 4" xfId="660" xr:uid="{00000000-0005-0000-0000-0000500F0000}"/>
    <cellStyle name="Normal 7 4 2" xfId="1706" xr:uid="{00000000-0005-0000-0000-0000510F0000}"/>
    <cellStyle name="Normal 70" xfId="1532" xr:uid="{00000000-0005-0000-0000-0000520F0000}"/>
    <cellStyle name="Normal 71" xfId="1533" xr:uid="{00000000-0005-0000-0000-0000530F0000}"/>
    <cellStyle name="Normal 72" xfId="1534" xr:uid="{00000000-0005-0000-0000-0000540F0000}"/>
    <cellStyle name="Normal 73" xfId="1535" xr:uid="{00000000-0005-0000-0000-0000550F0000}"/>
    <cellStyle name="Normal 73 2" xfId="2583" xr:uid="{00000000-0005-0000-0000-0000560F0000}"/>
    <cellStyle name="Normal 74" xfId="1565" xr:uid="{00000000-0005-0000-0000-0000570F0000}"/>
    <cellStyle name="Normal 74 2" xfId="2584" xr:uid="{00000000-0005-0000-0000-0000580F0000}"/>
    <cellStyle name="Normal 75" xfId="1567" xr:uid="{00000000-0005-0000-0000-0000590F0000}"/>
    <cellStyle name="Normal 75 2" xfId="2585" xr:uid="{00000000-0005-0000-0000-00005A0F0000}"/>
    <cellStyle name="Normal 76" xfId="1568" xr:uid="{00000000-0005-0000-0000-00005B0F0000}"/>
    <cellStyle name="Normal 76 2" xfId="2586" xr:uid="{00000000-0005-0000-0000-00005C0F0000}"/>
    <cellStyle name="Normal 77" xfId="1570" xr:uid="{00000000-0005-0000-0000-00005D0F0000}"/>
    <cellStyle name="Normal 77 2" xfId="2587" xr:uid="{00000000-0005-0000-0000-00005E0F0000}"/>
    <cellStyle name="Normal 78" xfId="1571" xr:uid="{00000000-0005-0000-0000-00005F0F0000}"/>
    <cellStyle name="Normal 78 2" xfId="2588" xr:uid="{00000000-0005-0000-0000-0000600F0000}"/>
    <cellStyle name="Normal 79" xfId="1573" xr:uid="{00000000-0005-0000-0000-0000610F0000}"/>
    <cellStyle name="Normal 8" xfId="661" xr:uid="{00000000-0005-0000-0000-0000620F0000}"/>
    <cellStyle name="Normal 8 2" xfId="1707" xr:uid="{00000000-0005-0000-0000-0000630F0000}"/>
    <cellStyle name="Normal 80" xfId="1575" xr:uid="{00000000-0005-0000-0000-0000640F0000}"/>
    <cellStyle name="Normal 81" xfId="1578" xr:uid="{00000000-0005-0000-0000-0000650F0000}"/>
    <cellStyle name="Normal 82" xfId="1574" xr:uid="{00000000-0005-0000-0000-0000660F0000}"/>
    <cellStyle name="Normal 83" xfId="1715" xr:uid="{00000000-0005-0000-0000-0000670F0000}"/>
    <cellStyle name="Normal 84" xfId="1719" xr:uid="{00000000-0005-0000-0000-0000680F0000}"/>
    <cellStyle name="Normal 85" xfId="1720" xr:uid="{00000000-0005-0000-0000-0000690F0000}"/>
    <cellStyle name="Normal 86" xfId="1721" xr:uid="{00000000-0005-0000-0000-00006A0F0000}"/>
    <cellStyle name="Normal 87" xfId="1722" xr:uid="{00000000-0005-0000-0000-00006B0F0000}"/>
    <cellStyle name="Normal 88" xfId="1723" xr:uid="{00000000-0005-0000-0000-00006C0F0000}"/>
    <cellStyle name="Normal 89" xfId="1724" xr:uid="{00000000-0005-0000-0000-00006D0F0000}"/>
    <cellStyle name="Normal 9" xfId="662" xr:uid="{00000000-0005-0000-0000-00006E0F0000}"/>
    <cellStyle name="Normal 9 10" xfId="663" xr:uid="{00000000-0005-0000-0000-00006F0F0000}"/>
    <cellStyle name="Normal 9 10 2" xfId="664" xr:uid="{00000000-0005-0000-0000-0000700F0000}"/>
    <cellStyle name="Normal 9 10 2 2" xfId="2589" xr:uid="{00000000-0005-0000-0000-0000710F0000}"/>
    <cellStyle name="Normal 9 10 3" xfId="3868" xr:uid="{00000000-0005-0000-0000-0000720F0000}"/>
    <cellStyle name="Normal 9 10 4" xfId="3869" xr:uid="{00000000-0005-0000-0000-0000730F0000}"/>
    <cellStyle name="Normal 9 10 5" xfId="3870" xr:uid="{00000000-0005-0000-0000-0000740F0000}"/>
    <cellStyle name="Normal 9 11" xfId="665" xr:uid="{00000000-0005-0000-0000-0000750F0000}"/>
    <cellStyle name="Normal 9 11 2" xfId="666" xr:uid="{00000000-0005-0000-0000-0000760F0000}"/>
    <cellStyle name="Normal 9 11 2 2" xfId="2590" xr:uid="{00000000-0005-0000-0000-0000770F0000}"/>
    <cellStyle name="Normal 9 11 3" xfId="3871" xr:uid="{00000000-0005-0000-0000-0000780F0000}"/>
    <cellStyle name="Normal 9 11 4" xfId="3872" xr:uid="{00000000-0005-0000-0000-0000790F0000}"/>
    <cellStyle name="Normal 9 11 5" xfId="3873" xr:uid="{00000000-0005-0000-0000-00007A0F0000}"/>
    <cellStyle name="Normal 9 12" xfId="667" xr:uid="{00000000-0005-0000-0000-00007B0F0000}"/>
    <cellStyle name="Normal 9 12 2" xfId="668" xr:uid="{00000000-0005-0000-0000-00007C0F0000}"/>
    <cellStyle name="Normal 9 12 2 2" xfId="2591" xr:uid="{00000000-0005-0000-0000-00007D0F0000}"/>
    <cellStyle name="Normal 9 12 3" xfId="3874" xr:uid="{00000000-0005-0000-0000-00007E0F0000}"/>
    <cellStyle name="Normal 9 12 4" xfId="3875" xr:uid="{00000000-0005-0000-0000-00007F0F0000}"/>
    <cellStyle name="Normal 9 12 5" xfId="3876" xr:uid="{00000000-0005-0000-0000-0000800F0000}"/>
    <cellStyle name="Normal 9 13" xfId="669" xr:uid="{00000000-0005-0000-0000-0000810F0000}"/>
    <cellStyle name="Normal 9 13 2" xfId="1711" xr:uid="{00000000-0005-0000-0000-0000820F0000}"/>
    <cellStyle name="Normal 9 14" xfId="670" xr:uid="{00000000-0005-0000-0000-0000830F0000}"/>
    <cellStyle name="Normal 9 14 2" xfId="1712" xr:uid="{00000000-0005-0000-0000-0000840F0000}"/>
    <cellStyle name="Normal 9 15" xfId="671" xr:uid="{00000000-0005-0000-0000-0000850F0000}"/>
    <cellStyle name="Normal 9 15 2" xfId="2592" xr:uid="{00000000-0005-0000-0000-0000860F0000}"/>
    <cellStyle name="Normal 9 16" xfId="3877" xr:uid="{00000000-0005-0000-0000-0000870F0000}"/>
    <cellStyle name="Normal 9 17" xfId="3878" xr:uid="{00000000-0005-0000-0000-0000880F0000}"/>
    <cellStyle name="Normal 9 18" xfId="3879" xr:uid="{00000000-0005-0000-0000-0000890F0000}"/>
    <cellStyle name="Normal 9 2" xfId="672" xr:uid="{00000000-0005-0000-0000-00008A0F0000}"/>
    <cellStyle name="Normal 9 2 2" xfId="673" xr:uid="{00000000-0005-0000-0000-00008B0F0000}"/>
    <cellStyle name="Normal 9 2 2 2" xfId="674" xr:uid="{00000000-0005-0000-0000-00008C0F0000}"/>
    <cellStyle name="Normal 9 2 2 2 2" xfId="2593" xr:uid="{00000000-0005-0000-0000-00008D0F0000}"/>
    <cellStyle name="Normal 9 2 2 3" xfId="3880" xr:uid="{00000000-0005-0000-0000-00008E0F0000}"/>
    <cellStyle name="Normal 9 2 2 4" xfId="3881" xr:uid="{00000000-0005-0000-0000-00008F0F0000}"/>
    <cellStyle name="Normal 9 2 2 5" xfId="3882" xr:uid="{00000000-0005-0000-0000-0000900F0000}"/>
    <cellStyle name="Normal 9 2 3" xfId="675" xr:uid="{00000000-0005-0000-0000-0000910F0000}"/>
    <cellStyle name="Normal 9 2 3 2" xfId="676" xr:uid="{00000000-0005-0000-0000-0000920F0000}"/>
    <cellStyle name="Normal 9 2 3 2 2" xfId="2594" xr:uid="{00000000-0005-0000-0000-0000930F0000}"/>
    <cellStyle name="Normal 9 2 3 3" xfId="3883" xr:uid="{00000000-0005-0000-0000-0000940F0000}"/>
    <cellStyle name="Normal 9 2 3 4" xfId="3884" xr:uid="{00000000-0005-0000-0000-0000950F0000}"/>
    <cellStyle name="Normal 9 2 3 5" xfId="3885" xr:uid="{00000000-0005-0000-0000-0000960F0000}"/>
    <cellStyle name="Normal 9 2 4" xfId="677" xr:uid="{00000000-0005-0000-0000-0000970F0000}"/>
    <cellStyle name="Normal 9 2 4 2" xfId="678" xr:uid="{00000000-0005-0000-0000-0000980F0000}"/>
    <cellStyle name="Normal 9 2 4 2 2" xfId="2595" xr:uid="{00000000-0005-0000-0000-0000990F0000}"/>
    <cellStyle name="Normal 9 2 4 3" xfId="3887" xr:uid="{00000000-0005-0000-0000-00009A0F0000}"/>
    <cellStyle name="Normal 9 2 4 4" xfId="3888" xr:uid="{00000000-0005-0000-0000-00009B0F0000}"/>
    <cellStyle name="Normal 9 2 4 5" xfId="3889" xr:uid="{00000000-0005-0000-0000-00009C0F0000}"/>
    <cellStyle name="Normal 9 2 5" xfId="1713" xr:uid="{00000000-0005-0000-0000-00009D0F0000}"/>
    <cellStyle name="Normal 9 3" xfId="679" xr:uid="{00000000-0005-0000-0000-00009E0F0000}"/>
    <cellStyle name="Normal 9 3 2" xfId="680" xr:uid="{00000000-0005-0000-0000-00009F0F0000}"/>
    <cellStyle name="Normal 9 3 2 2" xfId="2596" xr:uid="{00000000-0005-0000-0000-0000A00F0000}"/>
    <cellStyle name="Normal 9 3 3" xfId="3892" xr:uid="{00000000-0005-0000-0000-0000A10F0000}"/>
    <cellStyle name="Normal 9 3 4" xfId="3893" xr:uid="{00000000-0005-0000-0000-0000A20F0000}"/>
    <cellStyle name="Normal 9 3 5" xfId="3894" xr:uid="{00000000-0005-0000-0000-0000A30F0000}"/>
    <cellStyle name="Normal 9 4" xfId="681" xr:uid="{00000000-0005-0000-0000-0000A40F0000}"/>
    <cellStyle name="Normal 9 4 2" xfId="682" xr:uid="{00000000-0005-0000-0000-0000A50F0000}"/>
    <cellStyle name="Normal 9 4 2 2" xfId="2597" xr:uid="{00000000-0005-0000-0000-0000A60F0000}"/>
    <cellStyle name="Normal 9 4 3" xfId="3897" xr:uid="{00000000-0005-0000-0000-0000A70F0000}"/>
    <cellStyle name="Normal 9 4 4" xfId="3898" xr:uid="{00000000-0005-0000-0000-0000A80F0000}"/>
    <cellStyle name="Normal 9 4 5" xfId="3899" xr:uid="{00000000-0005-0000-0000-0000A90F0000}"/>
    <cellStyle name="Normal 9 5" xfId="683" xr:uid="{00000000-0005-0000-0000-0000AA0F0000}"/>
    <cellStyle name="Normal 9 5 2" xfId="684" xr:uid="{00000000-0005-0000-0000-0000AB0F0000}"/>
    <cellStyle name="Normal 9 5 2 2" xfId="2598" xr:uid="{00000000-0005-0000-0000-0000AC0F0000}"/>
    <cellStyle name="Normal 9 5 3" xfId="3902" xr:uid="{00000000-0005-0000-0000-0000AD0F0000}"/>
    <cellStyle name="Normal 9 5 4" xfId="3903" xr:uid="{00000000-0005-0000-0000-0000AE0F0000}"/>
    <cellStyle name="Normal 9 5 5" xfId="3904" xr:uid="{00000000-0005-0000-0000-0000AF0F0000}"/>
    <cellStyle name="Normal 9 6" xfId="685" xr:uid="{00000000-0005-0000-0000-0000B00F0000}"/>
    <cellStyle name="Normal 9 6 2" xfId="686" xr:uid="{00000000-0005-0000-0000-0000B10F0000}"/>
    <cellStyle name="Normal 9 6 2 2" xfId="2599" xr:uid="{00000000-0005-0000-0000-0000B20F0000}"/>
    <cellStyle name="Normal 9 6 3" xfId="3907" xr:uid="{00000000-0005-0000-0000-0000B30F0000}"/>
    <cellStyle name="Normal 9 6 4" xfId="3908" xr:uid="{00000000-0005-0000-0000-0000B40F0000}"/>
    <cellStyle name="Normal 9 6 5" xfId="3909" xr:uid="{00000000-0005-0000-0000-0000B50F0000}"/>
    <cellStyle name="Normal 9 7" xfId="687" xr:uid="{00000000-0005-0000-0000-0000B60F0000}"/>
    <cellStyle name="Normal 9 7 2" xfId="688" xr:uid="{00000000-0005-0000-0000-0000B70F0000}"/>
    <cellStyle name="Normal 9 7 2 2" xfId="2600" xr:uid="{00000000-0005-0000-0000-0000B80F0000}"/>
    <cellStyle name="Normal 9 7 3" xfId="3911" xr:uid="{00000000-0005-0000-0000-0000B90F0000}"/>
    <cellStyle name="Normal 9 7 4" xfId="3912" xr:uid="{00000000-0005-0000-0000-0000BA0F0000}"/>
    <cellStyle name="Normal 9 7 5" xfId="3913" xr:uid="{00000000-0005-0000-0000-0000BB0F0000}"/>
    <cellStyle name="Normal 9 8" xfId="689" xr:uid="{00000000-0005-0000-0000-0000BC0F0000}"/>
    <cellStyle name="Normal 9 8 2" xfId="690" xr:uid="{00000000-0005-0000-0000-0000BD0F0000}"/>
    <cellStyle name="Normal 9 8 2 2" xfId="2601" xr:uid="{00000000-0005-0000-0000-0000BE0F0000}"/>
    <cellStyle name="Normal 9 8 3" xfId="3914" xr:uid="{00000000-0005-0000-0000-0000BF0F0000}"/>
    <cellStyle name="Normal 9 8 4" xfId="3915" xr:uid="{00000000-0005-0000-0000-0000C00F0000}"/>
    <cellStyle name="Normal 9 8 5" xfId="3916" xr:uid="{00000000-0005-0000-0000-0000C10F0000}"/>
    <cellStyle name="Normal 9 9" xfId="691" xr:uid="{00000000-0005-0000-0000-0000C20F0000}"/>
    <cellStyle name="Normal 9 9 2" xfId="692" xr:uid="{00000000-0005-0000-0000-0000C30F0000}"/>
    <cellStyle name="Normal 9 9 2 2" xfId="2602" xr:uid="{00000000-0005-0000-0000-0000C40F0000}"/>
    <cellStyle name="Normal 9 9 3" xfId="3917" xr:uid="{00000000-0005-0000-0000-0000C50F0000}"/>
    <cellStyle name="Normal 9 9 4" xfId="3918" xr:uid="{00000000-0005-0000-0000-0000C60F0000}"/>
    <cellStyle name="Normal 9 9 5" xfId="3919" xr:uid="{00000000-0005-0000-0000-0000C70F0000}"/>
    <cellStyle name="Normal 90" xfId="1725" xr:uid="{00000000-0005-0000-0000-0000C80F0000}"/>
    <cellStyle name="Normal 91" xfId="1735" xr:uid="{00000000-0005-0000-0000-0000C90F0000}"/>
    <cellStyle name="Normal 92" xfId="1736" xr:uid="{00000000-0005-0000-0000-0000CA0F0000}"/>
    <cellStyle name="Normal 93" xfId="1737" xr:uid="{00000000-0005-0000-0000-0000CB0F0000}"/>
    <cellStyle name="Normal 94" xfId="1738" xr:uid="{00000000-0005-0000-0000-0000CC0F0000}"/>
    <cellStyle name="Normal 95" xfId="1739" xr:uid="{00000000-0005-0000-0000-0000CD0F0000}"/>
    <cellStyle name="Normal 96" xfId="1740" xr:uid="{00000000-0005-0000-0000-0000CE0F0000}"/>
    <cellStyle name="Normal 97" xfId="1741" xr:uid="{00000000-0005-0000-0000-0000CF0F0000}"/>
    <cellStyle name="Normal 98" xfId="1742" xr:uid="{00000000-0005-0000-0000-0000D00F0000}"/>
    <cellStyle name="Normal 99" xfId="1743" xr:uid="{00000000-0005-0000-0000-0000D10F0000}"/>
    <cellStyle name="Note 2" xfId="693" xr:uid="{00000000-0005-0000-0000-0000D20F0000}"/>
    <cellStyle name="Note 2 2" xfId="694" xr:uid="{00000000-0005-0000-0000-0000D30F0000}"/>
    <cellStyle name="Note 2 2 2" xfId="1424" xr:uid="{00000000-0005-0000-0000-0000D40F0000}"/>
    <cellStyle name="Note 2 2 3" xfId="2603" xr:uid="{00000000-0005-0000-0000-0000D50F0000}"/>
    <cellStyle name="Note 2 3" xfId="1425" xr:uid="{00000000-0005-0000-0000-0000D60F0000}"/>
    <cellStyle name="Note 2 3 2" xfId="2605" xr:uid="{00000000-0005-0000-0000-0000D70F0000}"/>
    <cellStyle name="Note 2 3 3" xfId="2604" xr:uid="{00000000-0005-0000-0000-0000D80F0000}"/>
    <cellStyle name="Note 2 3 4" xfId="3920" xr:uid="{00000000-0005-0000-0000-0000D90F0000}"/>
    <cellStyle name="Note 2 4" xfId="1426" xr:uid="{00000000-0005-0000-0000-0000DA0F0000}"/>
    <cellStyle name="Note 2 4 2" xfId="3921" xr:uid="{00000000-0005-0000-0000-0000DB0F0000}"/>
    <cellStyle name="Note 2 5" xfId="2606" xr:uid="{00000000-0005-0000-0000-0000DC0F0000}"/>
    <cellStyle name="Note 2 5 2" xfId="3922" xr:uid="{00000000-0005-0000-0000-0000DD0F0000}"/>
    <cellStyle name="Note 3" xfId="1427" xr:uid="{00000000-0005-0000-0000-0000DE0F0000}"/>
    <cellStyle name="Note 4" xfId="3923" xr:uid="{00000000-0005-0000-0000-0000DF0F0000}"/>
    <cellStyle name="Note 5" xfId="3924" xr:uid="{00000000-0005-0000-0000-0000E00F0000}"/>
    <cellStyle name="Note 6" xfId="3925" xr:uid="{00000000-0005-0000-0000-0000E10F0000}"/>
    <cellStyle name="Output 2" xfId="1428" xr:uid="{00000000-0005-0000-0000-0000E20F0000}"/>
    <cellStyle name="Output 3" xfId="3926" xr:uid="{00000000-0005-0000-0000-0000E30F0000}"/>
    <cellStyle name="Output 4" xfId="3927" xr:uid="{00000000-0005-0000-0000-0000E40F0000}"/>
    <cellStyle name="Output 5" xfId="3928" xr:uid="{00000000-0005-0000-0000-0000E50F0000}"/>
    <cellStyle name="Percent" xfId="4068" builtinId="5"/>
    <cellStyle name="Percent 2" xfId="695" xr:uid="{00000000-0005-0000-0000-0000E70F0000}"/>
    <cellStyle name="Percent 2 2" xfId="696" xr:uid="{00000000-0005-0000-0000-0000E80F0000}"/>
    <cellStyle name="Percent 2 2 2" xfId="1429" xr:uid="{00000000-0005-0000-0000-0000E90F0000}"/>
    <cellStyle name="Percent 2 2 3" xfId="2608" xr:uid="{00000000-0005-0000-0000-0000EA0F0000}"/>
    <cellStyle name="Percent 2 2 4" xfId="2607" xr:uid="{00000000-0005-0000-0000-0000EB0F0000}"/>
    <cellStyle name="Percent 2 3" xfId="1430" xr:uid="{00000000-0005-0000-0000-0000EC0F0000}"/>
    <cellStyle name="Percent 2 3 2" xfId="2610" xr:uid="{00000000-0005-0000-0000-0000ED0F0000}"/>
    <cellStyle name="Percent 2 3 3" xfId="2609" xr:uid="{00000000-0005-0000-0000-0000EE0F0000}"/>
    <cellStyle name="Percent 2 3 4" xfId="3929" xr:uid="{00000000-0005-0000-0000-0000EF0F0000}"/>
    <cellStyle name="Percent 2 4" xfId="1431" xr:uid="{00000000-0005-0000-0000-0000F00F0000}"/>
    <cellStyle name="Percent 2 4 2" xfId="3930" xr:uid="{00000000-0005-0000-0000-0000F10F0000}"/>
    <cellStyle name="Percent 2 5" xfId="2611" xr:uid="{00000000-0005-0000-0000-0000F20F0000}"/>
    <cellStyle name="Percent 2 5 2" xfId="3931" xr:uid="{00000000-0005-0000-0000-0000F30F0000}"/>
    <cellStyle name="Percent 3" xfId="697" xr:uid="{00000000-0005-0000-0000-0000F40F0000}"/>
    <cellStyle name="Percent 3 2" xfId="698" xr:uid="{00000000-0005-0000-0000-0000F50F0000}"/>
    <cellStyle name="Percent 3 2 2" xfId="1432" xr:uid="{00000000-0005-0000-0000-0000F60F0000}"/>
    <cellStyle name="Percent 3 2 3" xfId="2612" xr:uid="{00000000-0005-0000-0000-0000F70F0000}"/>
    <cellStyle name="Percent 3 3" xfId="1433" xr:uid="{00000000-0005-0000-0000-0000F80F0000}"/>
    <cellStyle name="Percent 3 3 2" xfId="2614" xr:uid="{00000000-0005-0000-0000-0000F90F0000}"/>
    <cellStyle name="Percent 3 3 3" xfId="2613" xr:uid="{00000000-0005-0000-0000-0000FA0F0000}"/>
    <cellStyle name="Percent 3 3 4" xfId="3932" xr:uid="{00000000-0005-0000-0000-0000FB0F0000}"/>
    <cellStyle name="Percent 3 4" xfId="1434" xr:uid="{00000000-0005-0000-0000-0000FC0F0000}"/>
    <cellStyle name="Percent 3 4 2" xfId="3933" xr:uid="{00000000-0005-0000-0000-0000FD0F0000}"/>
    <cellStyle name="Percent 3 5" xfId="2615" xr:uid="{00000000-0005-0000-0000-0000FE0F0000}"/>
    <cellStyle name="Percent 3 5 2" xfId="3934" xr:uid="{00000000-0005-0000-0000-0000FF0F0000}"/>
    <cellStyle name="Percent 4" xfId="699" xr:uid="{00000000-0005-0000-0000-000000100000}"/>
    <cellStyle name="Percent 4 2" xfId="1435" xr:uid="{00000000-0005-0000-0000-000001100000}"/>
    <cellStyle name="Percent 4 2 2" xfId="1714" xr:uid="{00000000-0005-0000-0000-000002100000}"/>
    <cellStyle name="Percent 5" xfId="700" xr:uid="{00000000-0005-0000-0000-000003100000}"/>
    <cellStyle name="Percent 5 2" xfId="1436" xr:uid="{00000000-0005-0000-0000-000004100000}"/>
    <cellStyle name="Percent 5 2 2" xfId="1459" xr:uid="{00000000-0005-0000-0000-000005100000}"/>
    <cellStyle name="Percent 5 2 3" xfId="4067" xr:uid="{00000000-0005-0000-0000-000006100000}"/>
    <cellStyle name="Percent 5 3" xfId="1458" xr:uid="{00000000-0005-0000-0000-000007100000}"/>
    <cellStyle name="Percent 5 4" xfId="4066" xr:uid="{00000000-0005-0000-0000-000008100000}"/>
    <cellStyle name="Percent 6" xfId="701" xr:uid="{00000000-0005-0000-0000-000009100000}"/>
    <cellStyle name="Percent 7" xfId="2856" xr:uid="{00000000-0005-0000-0000-00000A100000}"/>
    <cellStyle name="Percent 7 2" xfId="3935" xr:uid="{00000000-0005-0000-0000-00000B100000}"/>
    <cellStyle name="Title 2" xfId="1437" xr:uid="{00000000-0005-0000-0000-00000C100000}"/>
    <cellStyle name="Title 3" xfId="3936" xr:uid="{00000000-0005-0000-0000-00000D100000}"/>
    <cellStyle name="Title 4" xfId="3937" xr:uid="{00000000-0005-0000-0000-00000E100000}"/>
    <cellStyle name="Title 5" xfId="3938" xr:uid="{00000000-0005-0000-0000-00000F100000}"/>
    <cellStyle name="Total 2" xfId="702" xr:uid="{00000000-0005-0000-0000-000010100000}"/>
    <cellStyle name="Total 2 2" xfId="703" xr:uid="{00000000-0005-0000-0000-000011100000}"/>
    <cellStyle name="Total 2 2 2" xfId="704" xr:uid="{00000000-0005-0000-0000-000012100000}"/>
    <cellStyle name="Total 2 2 2 2" xfId="2616" xr:uid="{00000000-0005-0000-0000-000013100000}"/>
    <cellStyle name="Total 2 2 2 3" xfId="3939" xr:uid="{00000000-0005-0000-0000-000014100000}"/>
    <cellStyle name="Total 2 2 3" xfId="3940" xr:uid="{00000000-0005-0000-0000-000015100000}"/>
    <cellStyle name="Total 2 2 4" xfId="3941" xr:uid="{00000000-0005-0000-0000-000016100000}"/>
    <cellStyle name="Total 2 2 5" xfId="3942" xr:uid="{00000000-0005-0000-0000-000017100000}"/>
    <cellStyle name="Total 2 3" xfId="705" xr:uid="{00000000-0005-0000-0000-000018100000}"/>
    <cellStyle name="Total 2 3 2" xfId="2617" xr:uid="{00000000-0005-0000-0000-000019100000}"/>
    <cellStyle name="Total 2 3 3" xfId="3943" xr:uid="{00000000-0005-0000-0000-00001A100000}"/>
    <cellStyle name="Total 2 4" xfId="3944" xr:uid="{00000000-0005-0000-0000-00001B100000}"/>
    <cellStyle name="Total 2 5" xfId="3945" xr:uid="{00000000-0005-0000-0000-00001C100000}"/>
    <cellStyle name="Total 2 6" xfId="3946" xr:uid="{00000000-0005-0000-0000-00001D100000}"/>
    <cellStyle name="Total 3" xfId="1439" xr:uid="{00000000-0005-0000-0000-00001E100000}"/>
    <cellStyle name="Total 3 2" xfId="1440" xr:uid="{00000000-0005-0000-0000-00001F100000}"/>
    <cellStyle name="Total 3 3" xfId="2756" xr:uid="{00000000-0005-0000-0000-000020100000}"/>
    <cellStyle name="Total 4" xfId="3947" xr:uid="{00000000-0005-0000-0000-000021100000}"/>
    <cellStyle name="Total 5" xfId="3948" xr:uid="{00000000-0005-0000-0000-000022100000}"/>
    <cellStyle name="Total 6" xfId="3949" xr:uid="{00000000-0005-0000-0000-000023100000}"/>
    <cellStyle name="Warning Text 2" xfId="1441" xr:uid="{00000000-0005-0000-0000-000024100000}"/>
    <cellStyle name="Warning Text 2 2" xfId="1442" xr:uid="{00000000-0005-0000-0000-000025100000}"/>
    <cellStyle name="Warning Text 2 3" xfId="2758" xr:uid="{00000000-0005-0000-0000-000026100000}"/>
    <cellStyle name="Warning Text 3" xfId="3951" xr:uid="{00000000-0005-0000-0000-000027100000}"/>
    <cellStyle name="Warning Text 4" xfId="3952" xr:uid="{00000000-0005-0000-0000-000028100000}"/>
    <cellStyle name="Warning Text 5" xfId="3953" xr:uid="{00000000-0005-0000-0000-000029100000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6\var\mobile\Containers\Data\Application\7497BD17-7EA9-46B2-AF1F-9BF3BAF518FF\Documents\Inbox\ECO%20PILLAR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6\Supervision\EXCEL%20RETURNS\saccos\2690\2017\12\form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6\Supervision\EXCEL%20RETURNS\saccos\2690\2018\3\form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6\Supervision\EXCEL%20RETURNS\saccos\2690\2018\6\form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6\Supervision\EXCEL%20RETURNS\saccos\2690\2018\9\form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Sheet2"/>
      <sheetName val="Sheet3"/>
      <sheetName val="Int"/>
      <sheetName val="Sinking"/>
      <sheetName val="B charge"/>
      <sheetName val="House"/>
      <sheetName val="913 kcb"/>
      <sheetName val="KCB 913"/>
      <sheetName val="600"/>
      <sheetName val="Cash Book"/>
      <sheetName val="Notes"/>
    </sheetNames>
    <sheetDataSet>
      <sheetData sheetId="0" refreshError="1">
        <row r="7">
          <cell r="AG7">
            <v>5152749.45</v>
          </cell>
        </row>
        <row r="247">
          <cell r="AG247">
            <v>-246434455.78219998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 Analysis"/>
    </sheetNames>
    <sheetDataSet>
      <sheetData sheetId="0">
        <row r="12">
          <cell r="D12">
            <v>10737464.720000001</v>
          </cell>
        </row>
        <row r="13">
          <cell r="D13">
            <v>8396120.1999999993</v>
          </cell>
        </row>
        <row r="14">
          <cell r="D14">
            <v>3307684.32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 Analysis"/>
    </sheetNames>
    <sheetDataSet>
      <sheetData sheetId="0">
        <row r="12">
          <cell r="D12">
            <v>2635489.96</v>
          </cell>
        </row>
        <row r="13">
          <cell r="D13">
            <v>7050782.0099999998</v>
          </cell>
        </row>
        <row r="14">
          <cell r="D14">
            <v>4250500.26</v>
          </cell>
        </row>
        <row r="15">
          <cell r="D15">
            <v>335931491.60999995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 Analysis"/>
    </sheetNames>
    <sheetDataSet>
      <sheetData sheetId="0">
        <row r="12">
          <cell r="D12">
            <v>5338171.62</v>
          </cell>
        </row>
        <row r="13">
          <cell r="D13">
            <v>3141010.82</v>
          </cell>
        </row>
        <row r="14">
          <cell r="D14">
            <v>4049815.92</v>
          </cell>
        </row>
        <row r="15">
          <cell r="D15">
            <v>328164363.26999998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folio Analysis"/>
    </sheetNames>
    <sheetDataSet>
      <sheetData sheetId="0">
        <row r="12">
          <cell r="D12">
            <v>1476826.7</v>
          </cell>
        </row>
        <row r="13">
          <cell r="D13">
            <v>1713228.39</v>
          </cell>
        </row>
        <row r="14">
          <cell r="D14">
            <v>5203770.99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00"/>
  <sheetViews>
    <sheetView view="pageBreakPreview" topLeftCell="B1" zoomScaleNormal="100" zoomScaleSheetLayoutView="100" workbookViewId="0">
      <pane xSplit="1" topLeftCell="CM1" activePane="topRight" state="frozen"/>
      <selection pane="topRight" activeCell="CR11" sqref="CR11"/>
      <selection activeCell="B1" sqref="B1"/>
    </sheetView>
  </sheetViews>
  <sheetFormatPr defaultColWidth="9.140625" defaultRowHeight="11.45"/>
  <cols>
    <col min="1" max="1" width="6" style="23" bestFit="1" customWidth="1"/>
    <col min="2" max="2" width="62.7109375" style="23" bestFit="1" customWidth="1"/>
    <col min="3" max="3" width="15" style="211" bestFit="1" customWidth="1"/>
    <col min="4" max="4" width="14.5703125" style="23" bestFit="1" customWidth="1"/>
    <col min="5" max="27" width="15.7109375" style="23" bestFit="1" customWidth="1"/>
    <col min="28" max="31" width="15.7109375" style="25" bestFit="1" customWidth="1"/>
    <col min="32" max="35" width="15.7109375" style="23" bestFit="1" customWidth="1"/>
    <col min="36" max="36" width="15.7109375" style="212" bestFit="1" customWidth="1"/>
    <col min="37" max="37" width="15.7109375" style="23" bestFit="1" customWidth="1"/>
    <col min="38" max="40" width="15.7109375" style="212" bestFit="1" customWidth="1"/>
    <col min="41" max="52" width="15.7109375" style="23" bestFit="1" customWidth="1"/>
    <col min="53" max="53" width="17.140625" style="23" bestFit="1" customWidth="1"/>
    <col min="54" max="55" width="15.7109375" style="23" bestFit="1" customWidth="1"/>
    <col min="56" max="56" width="17.42578125" style="23" bestFit="1" customWidth="1"/>
    <col min="57" max="64" width="15.7109375" style="23" bestFit="1" customWidth="1"/>
    <col min="65" max="75" width="17.42578125" style="23" bestFit="1" customWidth="1"/>
    <col min="76" max="76" width="5.42578125" style="23" bestFit="1" customWidth="1"/>
    <col min="77" max="81" width="17.42578125" style="23" bestFit="1" customWidth="1"/>
    <col min="82" max="82" width="17.42578125" style="212" bestFit="1" customWidth="1"/>
    <col min="83" max="83" width="17.42578125" style="213" bestFit="1" customWidth="1"/>
    <col min="84" max="90" width="17.42578125" style="23" bestFit="1" customWidth="1"/>
    <col min="91" max="91" width="14.5703125" style="23" bestFit="1" customWidth="1"/>
    <col min="92" max="95" width="13.5703125" style="23" bestFit="1" customWidth="1"/>
    <col min="96" max="96" width="14.7109375" style="23" bestFit="1" customWidth="1"/>
    <col min="97" max="97" width="5.140625" style="23" bestFit="1" customWidth="1"/>
    <col min="98" max="16384" width="9.140625" style="23"/>
  </cols>
  <sheetData>
    <row r="1" spans="1:97">
      <c r="A1" s="209"/>
      <c r="B1" s="210" t="s">
        <v>0</v>
      </c>
    </row>
    <row r="2" spans="1:97">
      <c r="A2" s="209"/>
      <c r="B2" s="214" t="s">
        <v>1</v>
      </c>
    </row>
    <row r="3" spans="1:97">
      <c r="A3" s="209"/>
      <c r="B3" s="215" t="s">
        <v>2</v>
      </c>
    </row>
    <row r="4" spans="1:97">
      <c r="A4" s="209"/>
      <c r="B4" s="215" t="s">
        <v>3</v>
      </c>
    </row>
    <row r="5" spans="1:97">
      <c r="A5" s="209"/>
      <c r="B5" s="215" t="s">
        <v>4</v>
      </c>
      <c r="D5" s="216"/>
    </row>
    <row r="6" spans="1:97">
      <c r="A6" s="215"/>
      <c r="B6" s="215" t="s">
        <v>5</v>
      </c>
      <c r="C6" s="217" t="s">
        <v>6</v>
      </c>
      <c r="D6" s="216" t="s">
        <v>7</v>
      </c>
      <c r="E6" s="218" t="s">
        <v>8</v>
      </c>
      <c r="F6" s="218">
        <v>42005</v>
      </c>
      <c r="G6" s="218">
        <v>42036</v>
      </c>
      <c r="H6" s="218">
        <v>42064</v>
      </c>
      <c r="I6" s="218">
        <v>42095</v>
      </c>
      <c r="J6" s="218">
        <v>42125</v>
      </c>
      <c r="K6" s="218">
        <v>42156</v>
      </c>
      <c r="L6" s="218">
        <v>42186</v>
      </c>
      <c r="M6" s="218">
        <v>42217</v>
      </c>
      <c r="N6" s="218">
        <v>42248</v>
      </c>
      <c r="O6" s="218">
        <v>42278</v>
      </c>
      <c r="P6" s="218">
        <v>42309</v>
      </c>
      <c r="Q6" s="218">
        <v>42339</v>
      </c>
      <c r="R6" s="218" t="s">
        <v>9</v>
      </c>
      <c r="S6" s="218">
        <v>42385</v>
      </c>
      <c r="T6" s="218">
        <v>42416</v>
      </c>
      <c r="U6" s="218">
        <v>42445</v>
      </c>
      <c r="V6" s="218">
        <v>42476</v>
      </c>
      <c r="W6" s="218">
        <v>42506</v>
      </c>
      <c r="X6" s="218">
        <v>42537</v>
      </c>
      <c r="Y6" s="218">
        <v>42567</v>
      </c>
      <c r="Z6" s="218">
        <v>42598</v>
      </c>
      <c r="AA6" s="218">
        <v>42629</v>
      </c>
      <c r="AB6" s="219">
        <v>42659</v>
      </c>
      <c r="AC6" s="219">
        <v>42690</v>
      </c>
      <c r="AD6" s="219">
        <v>42720</v>
      </c>
      <c r="AE6" s="219">
        <v>42736</v>
      </c>
      <c r="AF6" s="219">
        <v>42767</v>
      </c>
      <c r="AG6" s="219">
        <v>42795</v>
      </c>
      <c r="AH6" s="219">
        <v>42826</v>
      </c>
      <c r="AI6" s="219">
        <v>42856</v>
      </c>
      <c r="AJ6" s="219">
        <v>42887</v>
      </c>
      <c r="AK6" s="219">
        <v>42917</v>
      </c>
      <c r="AL6" s="219">
        <v>42948</v>
      </c>
      <c r="AM6" s="219">
        <v>42979</v>
      </c>
      <c r="AN6" s="219">
        <v>43009</v>
      </c>
      <c r="AO6" s="219">
        <v>43040</v>
      </c>
      <c r="AP6" s="219">
        <v>43070</v>
      </c>
      <c r="AQ6" s="220" t="s">
        <v>10</v>
      </c>
      <c r="AR6" s="221">
        <v>43101</v>
      </c>
      <c r="AS6" s="221">
        <v>43132</v>
      </c>
      <c r="AT6" s="221">
        <v>43160</v>
      </c>
      <c r="AU6" s="221">
        <v>43191</v>
      </c>
      <c r="AV6" s="221">
        <v>43221</v>
      </c>
      <c r="AW6" s="221">
        <v>43252</v>
      </c>
      <c r="AX6" s="221">
        <v>43282</v>
      </c>
      <c r="AY6" s="221">
        <v>43313</v>
      </c>
      <c r="AZ6" s="221">
        <v>43344</v>
      </c>
      <c r="BA6" s="221">
        <v>43374</v>
      </c>
      <c r="BB6" s="221">
        <v>43405</v>
      </c>
      <c r="BC6" s="221">
        <v>43435</v>
      </c>
      <c r="BD6" s="222" t="s">
        <v>11</v>
      </c>
      <c r="BE6" s="222">
        <v>43466</v>
      </c>
      <c r="BF6" s="222">
        <v>43497</v>
      </c>
      <c r="BG6" s="222">
        <v>43525</v>
      </c>
      <c r="BH6" s="222">
        <v>43556</v>
      </c>
      <c r="BI6" s="222">
        <v>43586</v>
      </c>
      <c r="BJ6" s="222">
        <v>43617</v>
      </c>
      <c r="BK6" s="222">
        <v>43647</v>
      </c>
      <c r="BL6" s="222">
        <v>43678</v>
      </c>
      <c r="BM6" s="222">
        <v>43709</v>
      </c>
      <c r="BN6" s="222">
        <v>43739</v>
      </c>
      <c r="BO6" s="222">
        <v>43770</v>
      </c>
      <c r="BP6" s="222">
        <v>43800</v>
      </c>
      <c r="BQ6" s="222" t="s">
        <v>12</v>
      </c>
      <c r="BR6" s="221">
        <v>43831</v>
      </c>
      <c r="BS6" s="221">
        <v>43862</v>
      </c>
      <c r="BT6" s="221">
        <v>43891</v>
      </c>
      <c r="BU6" s="221">
        <v>43922</v>
      </c>
      <c r="BV6" s="221">
        <v>43952</v>
      </c>
      <c r="BW6" s="221">
        <v>43983</v>
      </c>
      <c r="BX6" s="221">
        <v>44013</v>
      </c>
      <c r="BY6" s="221">
        <v>44044</v>
      </c>
      <c r="BZ6" s="221">
        <v>44075</v>
      </c>
      <c r="CA6" s="221">
        <v>44105</v>
      </c>
      <c r="CB6" s="221">
        <v>44136</v>
      </c>
      <c r="CC6" s="221">
        <v>44166</v>
      </c>
      <c r="CD6" s="223" t="s">
        <v>13</v>
      </c>
      <c r="CE6" s="223" t="s">
        <v>14</v>
      </c>
      <c r="CF6" s="224">
        <v>44562</v>
      </c>
      <c r="CG6" s="224">
        <v>44593</v>
      </c>
      <c r="CH6" s="224">
        <v>44621</v>
      </c>
      <c r="CI6" s="224">
        <v>44652</v>
      </c>
      <c r="CJ6" s="224">
        <v>44682</v>
      </c>
      <c r="CK6" s="224">
        <v>44713</v>
      </c>
      <c r="CL6" s="224">
        <v>44743</v>
      </c>
      <c r="CM6" s="224">
        <v>44774</v>
      </c>
      <c r="CN6" s="224">
        <v>44805</v>
      </c>
      <c r="CO6" s="224">
        <v>44835</v>
      </c>
      <c r="CP6" s="224">
        <v>44866</v>
      </c>
      <c r="CQ6" s="224">
        <v>44896</v>
      </c>
      <c r="CR6" s="224" t="s">
        <v>15</v>
      </c>
    </row>
    <row r="7" spans="1:97" ht="13.15" hidden="1" customHeight="1">
      <c r="A7" s="391"/>
      <c r="B7" s="392"/>
      <c r="C7" s="225"/>
      <c r="D7" s="25"/>
      <c r="CE7" s="212"/>
    </row>
    <row r="8" spans="1:97" ht="13.15" hidden="1" customHeight="1">
      <c r="A8" s="391"/>
      <c r="B8" s="392"/>
      <c r="C8" s="225"/>
      <c r="D8" s="25"/>
      <c r="CE8" s="212"/>
    </row>
    <row r="9" spans="1:97">
      <c r="A9" s="226" t="s">
        <v>16</v>
      </c>
      <c r="B9" s="227" t="s">
        <v>17</v>
      </c>
      <c r="C9" s="225"/>
      <c r="D9" s="25"/>
      <c r="CE9" s="212"/>
    </row>
    <row r="10" spans="1:97">
      <c r="A10" s="228">
        <v>1</v>
      </c>
      <c r="B10" s="229" t="s">
        <v>18</v>
      </c>
      <c r="C10" s="230">
        <v>37828323.030000001</v>
      </c>
      <c r="D10" s="231">
        <v>34544012.539999999</v>
      </c>
      <c r="E10" s="232">
        <f t="shared" ref="E10:K10" si="0">SUM(E11:E12)</f>
        <v>50299714</v>
      </c>
      <c r="F10" s="232">
        <f t="shared" si="0"/>
        <v>30898512.02</v>
      </c>
      <c r="G10" s="232">
        <f t="shared" si="0"/>
        <v>22594247.969999999</v>
      </c>
      <c r="H10" s="232">
        <f t="shared" si="0"/>
        <v>35458880.32</v>
      </c>
      <c r="I10" s="232">
        <f t="shared" si="0"/>
        <v>20508257.969999999</v>
      </c>
      <c r="J10" s="232">
        <f t="shared" si="0"/>
        <v>20541708.969999999</v>
      </c>
      <c r="K10" s="232">
        <f t="shared" si="0"/>
        <v>43473322.009999998</v>
      </c>
      <c r="L10" s="232">
        <f t="shared" ref="L10:M10" si="1">SUM(L11:L12)</f>
        <v>42233128.659999996</v>
      </c>
      <c r="M10" s="232">
        <f t="shared" si="1"/>
        <v>34419341.510000005</v>
      </c>
      <c r="N10" s="232">
        <f t="shared" ref="N10:P10" si="2">SUM(N11:N12)</f>
        <v>59978770.5</v>
      </c>
      <c r="O10" s="232">
        <f t="shared" si="2"/>
        <v>56381031.850000001</v>
      </c>
      <c r="P10" s="232">
        <f t="shared" si="2"/>
        <v>33107324.400000002</v>
      </c>
      <c r="Q10" s="232">
        <f t="shared" ref="Q10:BB10" si="3">SUM(Q11:Q12)</f>
        <v>39993365.700000003</v>
      </c>
      <c r="R10" s="233">
        <f t="shared" si="3"/>
        <v>33691747.550000004</v>
      </c>
      <c r="S10" s="234">
        <f t="shared" si="3"/>
        <v>39400557.700000003</v>
      </c>
      <c r="T10" s="234">
        <f t="shared" si="3"/>
        <v>66695417.5</v>
      </c>
      <c r="U10" s="234">
        <f t="shared" si="3"/>
        <v>66496989.539999999</v>
      </c>
      <c r="V10" s="234">
        <f t="shared" si="3"/>
        <v>61658582.590000004</v>
      </c>
      <c r="W10" s="234">
        <f t="shared" si="3"/>
        <v>95994758.030000001</v>
      </c>
      <c r="X10" s="234">
        <f t="shared" si="3"/>
        <v>103578700.86</v>
      </c>
      <c r="Y10" s="234">
        <f t="shared" si="3"/>
        <v>106257990.25999999</v>
      </c>
      <c r="Z10" s="234">
        <f t="shared" si="3"/>
        <v>102431891.28</v>
      </c>
      <c r="AA10" s="234">
        <f t="shared" si="3"/>
        <v>97914836.229999989</v>
      </c>
      <c r="AB10" s="234">
        <f t="shared" si="3"/>
        <v>94641270.309999987</v>
      </c>
      <c r="AC10" s="234">
        <f t="shared" si="3"/>
        <v>89522190.709999993</v>
      </c>
      <c r="AD10" s="234">
        <f t="shared" si="3"/>
        <v>85775769.909999996</v>
      </c>
      <c r="AE10" s="234">
        <f t="shared" si="3"/>
        <v>72744655.909999996</v>
      </c>
      <c r="AF10" s="234">
        <f t="shared" si="3"/>
        <v>79743417.810000002</v>
      </c>
      <c r="AG10" s="234">
        <f t="shared" si="3"/>
        <v>63020999.560000002</v>
      </c>
      <c r="AH10" s="234">
        <f t="shared" si="3"/>
        <v>54922200.719999999</v>
      </c>
      <c r="AI10" s="234">
        <f t="shared" si="3"/>
        <v>53780917.969999999</v>
      </c>
      <c r="AJ10" s="234">
        <f t="shared" si="3"/>
        <v>63394788.060000002</v>
      </c>
      <c r="AK10" s="234">
        <f t="shared" si="3"/>
        <v>50769768.370000005</v>
      </c>
      <c r="AL10" s="235">
        <f t="shared" si="3"/>
        <v>52309560.030000001</v>
      </c>
      <c r="AM10" s="235">
        <f t="shared" si="3"/>
        <v>48764698.030000001</v>
      </c>
      <c r="AN10" s="235">
        <f t="shared" si="3"/>
        <v>67364419.620000005</v>
      </c>
      <c r="AO10" s="235">
        <f t="shared" si="3"/>
        <v>72541424.580000013</v>
      </c>
      <c r="AP10" s="235">
        <f t="shared" si="3"/>
        <v>85628931.659999996</v>
      </c>
      <c r="AQ10" s="235">
        <f t="shared" si="3"/>
        <v>85628932</v>
      </c>
      <c r="AR10" s="235">
        <f t="shared" si="3"/>
        <v>83734070.159999996</v>
      </c>
      <c r="AS10" s="236">
        <f t="shared" si="3"/>
        <v>81699308.909999996</v>
      </c>
      <c r="AT10" s="235">
        <f t="shared" si="3"/>
        <v>81107006.809999987</v>
      </c>
      <c r="AU10" s="235">
        <f t="shared" si="3"/>
        <v>83973572.459999993</v>
      </c>
      <c r="AV10" s="235">
        <f t="shared" si="3"/>
        <v>79170801.349999994</v>
      </c>
      <c r="AW10" s="235">
        <f t="shared" si="3"/>
        <v>89692500.469999999</v>
      </c>
      <c r="AX10" s="235">
        <f t="shared" si="3"/>
        <v>99143289.519999996</v>
      </c>
      <c r="AY10" s="235">
        <f t="shared" si="3"/>
        <v>95052655.549999997</v>
      </c>
      <c r="AZ10" s="235">
        <f t="shared" si="3"/>
        <v>93846165.979999989</v>
      </c>
      <c r="BA10" s="235">
        <f t="shared" si="3"/>
        <v>93846165.979999989</v>
      </c>
      <c r="BB10" s="235">
        <f t="shared" si="3"/>
        <v>95685264.150000006</v>
      </c>
      <c r="BC10" s="235">
        <f>SUM(BC11:BC12)</f>
        <v>113087358.19999999</v>
      </c>
      <c r="BD10" s="235">
        <f t="shared" ref="BD10:CD10" si="4">SUM(BD11:BD12)</f>
        <v>113087357.7</v>
      </c>
      <c r="BE10" s="235">
        <f t="shared" si="4"/>
        <v>93351115.219999999</v>
      </c>
      <c r="BF10" s="235">
        <f t="shared" si="4"/>
        <v>109194872.66</v>
      </c>
      <c r="BG10" s="235">
        <f t="shared" si="4"/>
        <v>106115452.16</v>
      </c>
      <c r="BH10" s="235">
        <f t="shared" si="4"/>
        <v>94923866.969999999</v>
      </c>
      <c r="BI10" s="235">
        <f t="shared" si="4"/>
        <v>99008817.269999996</v>
      </c>
      <c r="BJ10" s="235">
        <f t="shared" si="4"/>
        <v>99546241.339999989</v>
      </c>
      <c r="BK10" s="235">
        <f t="shared" si="4"/>
        <v>96296567.189999998</v>
      </c>
      <c r="BL10" s="235">
        <f t="shared" si="4"/>
        <v>98576314.709999993</v>
      </c>
      <c r="BM10" s="235">
        <f t="shared" si="4"/>
        <v>113161705.03</v>
      </c>
      <c r="BN10" s="235">
        <f t="shared" si="4"/>
        <v>40588718.520000003</v>
      </c>
      <c r="BO10" s="235">
        <f t="shared" si="4"/>
        <v>48809930.980000004</v>
      </c>
      <c r="BP10" s="235">
        <f t="shared" si="4"/>
        <v>79288658</v>
      </c>
      <c r="BQ10" s="235">
        <f t="shared" si="4"/>
        <v>79288657</v>
      </c>
      <c r="BR10" s="235">
        <f t="shared" si="4"/>
        <v>38822840</v>
      </c>
      <c r="BS10" s="235">
        <f t="shared" si="4"/>
        <v>33062225.359999999</v>
      </c>
      <c r="BT10" s="235">
        <f t="shared" si="4"/>
        <v>42312477.480000004</v>
      </c>
      <c r="BU10" s="235">
        <f t="shared" si="4"/>
        <v>46029401.740000002</v>
      </c>
      <c r="BV10" s="235">
        <f t="shared" si="4"/>
        <v>65361650.210000001</v>
      </c>
      <c r="BW10" s="235">
        <f t="shared" si="4"/>
        <v>82485752.519999996</v>
      </c>
      <c r="BX10" s="235">
        <f t="shared" si="4"/>
        <v>0</v>
      </c>
      <c r="BY10" s="235">
        <f t="shared" si="4"/>
        <v>59902552.200000003</v>
      </c>
      <c r="BZ10" s="235">
        <f t="shared" si="4"/>
        <v>74371601</v>
      </c>
      <c r="CA10" s="235">
        <f t="shared" si="4"/>
        <v>70201935.199999988</v>
      </c>
      <c r="CB10" s="235">
        <f t="shared" si="4"/>
        <v>72110950.799999997</v>
      </c>
      <c r="CC10" s="235">
        <f t="shared" si="4"/>
        <v>102995311.59999999</v>
      </c>
      <c r="CD10" s="235">
        <f t="shared" si="4"/>
        <v>102378017.5</v>
      </c>
      <c r="CE10" s="235">
        <f t="shared" ref="CE10:CS10" si="5">SUM(CE11:CE12)</f>
        <v>145762949</v>
      </c>
      <c r="CF10" s="237">
        <f t="shared" si="5"/>
        <v>106391295.97</v>
      </c>
      <c r="CG10" s="237">
        <f t="shared" si="5"/>
        <v>115686057.84999999</v>
      </c>
      <c r="CH10" s="237">
        <f t="shared" si="5"/>
        <v>98608821.530000001</v>
      </c>
      <c r="CI10" s="237">
        <f t="shared" si="5"/>
        <v>101928036.13</v>
      </c>
      <c r="CJ10" s="237">
        <f t="shared" si="5"/>
        <v>116774678</v>
      </c>
      <c r="CK10" s="237">
        <f t="shared" si="5"/>
        <v>102691539.89999999</v>
      </c>
      <c r="CL10" s="237">
        <f t="shared" si="5"/>
        <v>120179808.09999999</v>
      </c>
      <c r="CM10" s="237">
        <f t="shared" si="5"/>
        <v>120765113.19</v>
      </c>
      <c r="CN10" s="237">
        <f t="shared" si="5"/>
        <v>179542404.16999999</v>
      </c>
      <c r="CO10" s="237">
        <f t="shared" si="5"/>
        <v>193345081.30000001</v>
      </c>
      <c r="CP10" s="237">
        <f t="shared" si="5"/>
        <v>228086617.30000001</v>
      </c>
      <c r="CQ10" s="237">
        <f t="shared" si="5"/>
        <v>185011666.55000001</v>
      </c>
      <c r="CR10" s="235">
        <f t="shared" si="5"/>
        <v>0</v>
      </c>
      <c r="CS10" s="235">
        <f t="shared" si="5"/>
        <v>0</v>
      </c>
    </row>
    <row r="11" spans="1:97">
      <c r="A11" s="228">
        <v>1.1000000000000001</v>
      </c>
      <c r="B11" s="229" t="s">
        <v>19</v>
      </c>
      <c r="C11" s="238"/>
      <c r="D11" s="239"/>
      <c r="E11" s="240">
        <v>7625036</v>
      </c>
      <c r="F11" s="240">
        <v>3785161.75</v>
      </c>
      <c r="G11" s="240">
        <v>7230893.75</v>
      </c>
      <c r="H11" s="240">
        <v>4355078.75</v>
      </c>
      <c r="I11" s="240">
        <v>5144903.75</v>
      </c>
      <c r="J11" s="240">
        <v>5178354.75</v>
      </c>
      <c r="K11" s="240">
        <v>4160419.75</v>
      </c>
      <c r="L11" s="240">
        <v>6998399.75</v>
      </c>
      <c r="M11" s="240">
        <v>15994075.300000001</v>
      </c>
      <c r="N11" s="240">
        <v>3164275.6</v>
      </c>
      <c r="O11" s="240">
        <v>6423052.5999999996</v>
      </c>
      <c r="P11" s="240">
        <v>3251961.6</v>
      </c>
      <c r="Q11" s="240">
        <v>4783446.5999999996</v>
      </c>
      <c r="R11" s="241">
        <v>7608696.5999999996</v>
      </c>
      <c r="S11" s="242">
        <v>2185543.6</v>
      </c>
      <c r="T11" s="242">
        <v>566332.6</v>
      </c>
      <c r="U11" s="242">
        <v>1001426.6</v>
      </c>
      <c r="V11" s="243">
        <v>9687698.5999999996</v>
      </c>
      <c r="W11" s="225">
        <v>2781993.6</v>
      </c>
      <c r="X11" s="244">
        <v>1167787.6000000001</v>
      </c>
      <c r="Y11" s="245">
        <v>2836908.1</v>
      </c>
      <c r="Z11" s="246">
        <v>4903050.05</v>
      </c>
      <c r="AA11" s="247">
        <v>4482292.0999999996</v>
      </c>
      <c r="AB11" s="245">
        <v>3047252.1</v>
      </c>
      <c r="AC11" s="245">
        <v>2369022.1</v>
      </c>
      <c r="AD11" s="248">
        <v>1993390.6</v>
      </c>
      <c r="AE11" s="249">
        <v>528036.1</v>
      </c>
      <c r="AF11" s="249">
        <v>6863519</v>
      </c>
      <c r="AG11" s="249">
        <v>4677222.0999999996</v>
      </c>
      <c r="AH11" s="249">
        <v>3964643.1</v>
      </c>
      <c r="AI11" s="249">
        <v>4512542.0999999996</v>
      </c>
      <c r="AJ11" s="212">
        <v>4109589.1</v>
      </c>
      <c r="AK11" s="212">
        <v>584739.1</v>
      </c>
      <c r="AL11" s="212">
        <v>1698185.5</v>
      </c>
      <c r="AM11" s="212">
        <v>2070296.1</v>
      </c>
      <c r="AN11" s="212">
        <v>2504803.1</v>
      </c>
      <c r="AO11" s="212">
        <v>2799938.9</v>
      </c>
      <c r="AP11" s="212">
        <v>3402526.1</v>
      </c>
      <c r="AQ11" s="212">
        <v>4473703</v>
      </c>
      <c r="AR11" s="212">
        <v>6815420.0999999996</v>
      </c>
      <c r="AS11" s="212">
        <v>6943416.0999999996</v>
      </c>
      <c r="AT11" s="250">
        <v>13048606.1</v>
      </c>
      <c r="AU11" s="250">
        <v>7558427.0499999998</v>
      </c>
      <c r="AV11" s="250">
        <v>1764446.1</v>
      </c>
      <c r="AW11" s="25">
        <v>5022559.0999999996</v>
      </c>
      <c r="AX11" s="250">
        <v>3616157.1</v>
      </c>
      <c r="AY11" s="250">
        <v>3237226.1</v>
      </c>
      <c r="AZ11" s="250">
        <v>3494679.1</v>
      </c>
      <c r="BA11" s="240">
        <v>3494679.1</v>
      </c>
      <c r="BB11" s="251">
        <v>1532967.4</v>
      </c>
      <c r="BC11" s="252">
        <v>15339910.1</v>
      </c>
      <c r="BD11" s="252">
        <v>17628340</v>
      </c>
      <c r="BE11" s="249">
        <v>3274500.1</v>
      </c>
      <c r="BF11" s="249">
        <v>10562660.1</v>
      </c>
      <c r="BG11" s="249">
        <v>8593830.0999999996</v>
      </c>
      <c r="BH11" s="249">
        <v>6419700.0999999996</v>
      </c>
      <c r="BI11" s="249">
        <v>6841160.0999999996</v>
      </c>
      <c r="BJ11" s="249">
        <v>2002753.1</v>
      </c>
      <c r="BK11" s="249">
        <v>1336383.1000000001</v>
      </c>
      <c r="BL11" s="249">
        <v>8756273.0999999996</v>
      </c>
      <c r="BM11" s="249">
        <v>7694259.0999999996</v>
      </c>
      <c r="BN11" s="249">
        <v>3781798.1</v>
      </c>
      <c r="BO11" s="249">
        <v>1629208.1</v>
      </c>
      <c r="BP11" s="249">
        <v>6219857.0999999996</v>
      </c>
      <c r="BQ11" s="253">
        <v>10763824.15</v>
      </c>
      <c r="BR11" s="249">
        <v>4904382.0999999996</v>
      </c>
      <c r="BS11" s="249">
        <v>5181862.0999999996</v>
      </c>
      <c r="BT11" s="249">
        <v>663127.1</v>
      </c>
      <c r="BU11" s="249">
        <v>12508795.1</v>
      </c>
      <c r="BV11" s="249">
        <v>13260191.1</v>
      </c>
      <c r="BW11" s="249">
        <v>4899632.0999999996</v>
      </c>
      <c r="BY11" s="249">
        <v>2551507.1</v>
      </c>
      <c r="BZ11" s="249">
        <v>9690616.0999999996</v>
      </c>
      <c r="CA11" s="249">
        <v>2217402.1</v>
      </c>
      <c r="CB11" s="249">
        <v>2407666.1</v>
      </c>
      <c r="CC11" s="249">
        <v>617294.1</v>
      </c>
      <c r="CD11" s="213">
        <f>236504.1+380790+121895+6691847</f>
        <v>7431036.0999999996</v>
      </c>
      <c r="CE11" s="213">
        <f>1876540+817640+121895+6444611</f>
        <v>9260686</v>
      </c>
      <c r="CF11" s="254">
        <v>2475953.1</v>
      </c>
      <c r="CG11" s="254">
        <v>13692810.1</v>
      </c>
      <c r="CH11" s="254">
        <v>5126391.0999999996</v>
      </c>
      <c r="CI11" s="254">
        <v>763491.1</v>
      </c>
      <c r="CJ11" s="254">
        <v>4489306.0999999996</v>
      </c>
      <c r="CK11" s="254">
        <v>8469153.0999999996</v>
      </c>
      <c r="CL11" s="254">
        <v>5375585.0999999996</v>
      </c>
      <c r="CM11" s="254">
        <v>3250325</v>
      </c>
      <c r="CN11" s="255">
        <v>962457</v>
      </c>
      <c r="CO11" s="255">
        <v>4444441</v>
      </c>
      <c r="CP11" s="255">
        <v>9185977</v>
      </c>
      <c r="CQ11" s="255">
        <v>774907</v>
      </c>
    </row>
    <row r="12" spans="1:97">
      <c r="A12" s="228">
        <v>1.2</v>
      </c>
      <c r="B12" s="229" t="s">
        <v>20</v>
      </c>
      <c r="C12" s="238"/>
      <c r="D12" s="239"/>
      <c r="E12" s="240">
        <v>42674678</v>
      </c>
      <c r="F12" s="240">
        <v>27113350.27</v>
      </c>
      <c r="G12" s="240">
        <v>15363354.220000001</v>
      </c>
      <c r="H12" s="240">
        <v>31103801.57</v>
      </c>
      <c r="I12" s="240">
        <v>15363354.220000001</v>
      </c>
      <c r="J12" s="240">
        <v>15363354.220000001</v>
      </c>
      <c r="K12" s="240">
        <v>39312902.259999998</v>
      </c>
      <c r="L12" s="240">
        <v>35234728.909999996</v>
      </c>
      <c r="M12" s="240">
        <v>18425266.210000001</v>
      </c>
      <c r="N12" s="240">
        <v>56814494.899999999</v>
      </c>
      <c r="O12" s="240">
        <v>49957979.25</v>
      </c>
      <c r="P12" s="240">
        <v>29855362.800000001</v>
      </c>
      <c r="Q12" s="240">
        <v>35209919.100000001</v>
      </c>
      <c r="R12" s="241">
        <v>26083050.950000007</v>
      </c>
      <c r="S12" s="242">
        <v>37215014.100000001</v>
      </c>
      <c r="T12" s="242">
        <v>66129084.899999999</v>
      </c>
      <c r="U12" s="242">
        <v>65495562.939999998</v>
      </c>
      <c r="V12" s="243">
        <v>51970883.990000002</v>
      </c>
      <c r="W12" s="225">
        <v>93212764.430000007</v>
      </c>
      <c r="X12" s="244">
        <v>102410913.26000001</v>
      </c>
      <c r="Y12" s="245">
        <v>103421082.16</v>
      </c>
      <c r="Z12" s="246">
        <v>97528841.230000004</v>
      </c>
      <c r="AA12" s="247">
        <v>93432544.129999995</v>
      </c>
      <c r="AB12" s="245">
        <v>91594018.209999993</v>
      </c>
      <c r="AC12" s="245">
        <v>87153168.609999999</v>
      </c>
      <c r="AD12" s="248">
        <v>83782379.310000002</v>
      </c>
      <c r="AE12" s="249">
        <v>72216619.810000002</v>
      </c>
      <c r="AF12" s="249">
        <v>72879898.810000002</v>
      </c>
      <c r="AG12" s="249">
        <v>58343777.460000001</v>
      </c>
      <c r="AH12" s="249">
        <v>50957557.619999997</v>
      </c>
      <c r="AI12" s="249">
        <v>49268375.869999997</v>
      </c>
      <c r="AJ12" s="212">
        <v>59285198.960000001</v>
      </c>
      <c r="AK12" s="212">
        <v>50185029.270000003</v>
      </c>
      <c r="AL12" s="212">
        <v>50611374.530000001</v>
      </c>
      <c r="AM12" s="212">
        <v>46694401.93</v>
      </c>
      <c r="AN12" s="212">
        <v>64859616.520000003</v>
      </c>
      <c r="AO12" s="212">
        <v>69741485.680000007</v>
      </c>
      <c r="AP12" s="212">
        <v>82226405.560000002</v>
      </c>
      <c r="AQ12" s="212">
        <v>81155229</v>
      </c>
      <c r="AR12" s="212">
        <v>76918650.060000002</v>
      </c>
      <c r="AS12" s="212">
        <v>74755892.810000002</v>
      </c>
      <c r="AT12" s="250">
        <v>68058400.709999993</v>
      </c>
      <c r="AU12" s="250">
        <v>76415145.409999996</v>
      </c>
      <c r="AV12" s="250">
        <v>77406355.25</v>
      </c>
      <c r="AW12" s="25">
        <v>84669941.370000005</v>
      </c>
      <c r="AX12" s="250">
        <v>95527132.420000002</v>
      </c>
      <c r="AY12" s="250">
        <v>91815429.450000003</v>
      </c>
      <c r="AZ12" s="250">
        <v>90351486.879999995</v>
      </c>
      <c r="BA12" s="240">
        <v>90351486.879999995</v>
      </c>
      <c r="BB12" s="251">
        <v>94152296.75</v>
      </c>
      <c r="BC12" s="252">
        <v>97747448.099999994</v>
      </c>
      <c r="BD12" s="252">
        <f>51788836.75+41890172.55+7593.95+1976172.3-203757.85</f>
        <v>95459017.700000003</v>
      </c>
      <c r="BE12" s="249">
        <v>90076615.120000005</v>
      </c>
      <c r="BF12" s="249">
        <v>98632212.560000002</v>
      </c>
      <c r="BG12" s="249">
        <v>97521622.060000002</v>
      </c>
      <c r="BH12" s="249">
        <v>88504166.870000005</v>
      </c>
      <c r="BI12" s="249">
        <v>92167657.170000002</v>
      </c>
      <c r="BJ12" s="249">
        <v>97543488.239999995</v>
      </c>
      <c r="BK12" s="249">
        <v>94960184.090000004</v>
      </c>
      <c r="BL12" s="249">
        <v>89820041.609999999</v>
      </c>
      <c r="BM12" s="249">
        <v>105467445.93000001</v>
      </c>
      <c r="BN12" s="249">
        <v>36806920.420000002</v>
      </c>
      <c r="BO12" s="249">
        <v>47180722.880000003</v>
      </c>
      <c r="BP12" s="249">
        <v>73068800.900000006</v>
      </c>
      <c r="BQ12" s="253">
        <f>67009876.6+321520.75+53309.7+7593+1133092.1-559.3</f>
        <v>68524832.849999994</v>
      </c>
      <c r="BR12" s="249">
        <v>33918457.899999999</v>
      </c>
      <c r="BS12" s="249">
        <v>27880363.260000002</v>
      </c>
      <c r="BT12" s="249">
        <v>41649350.380000003</v>
      </c>
      <c r="BU12" s="249">
        <v>33520606.640000001</v>
      </c>
      <c r="BV12" s="249">
        <v>52101459.109999999</v>
      </c>
      <c r="BW12" s="249">
        <v>77586120.420000002</v>
      </c>
      <c r="BY12" s="249">
        <v>57351045.100000001</v>
      </c>
      <c r="BZ12" s="249">
        <v>64680984.899999999</v>
      </c>
      <c r="CA12" s="249">
        <v>67984533.099999994</v>
      </c>
      <c r="CB12" s="249">
        <v>69703284.700000003</v>
      </c>
      <c r="CC12" s="249">
        <v>102378017.5</v>
      </c>
      <c r="CD12" s="213">
        <f>61392673.3+429347.45+302307.25+7593.95+2454+46517+19632.6+32748871.25+-2415.4</f>
        <v>94946981.400000006</v>
      </c>
      <c r="CE12" s="213">
        <f>145762949-9260686</f>
        <v>136502263</v>
      </c>
      <c r="CF12" s="254">
        <v>103915342.87</v>
      </c>
      <c r="CG12" s="254">
        <v>101993247.75</v>
      </c>
      <c r="CH12" s="254">
        <v>93482430.430000007</v>
      </c>
      <c r="CI12" s="254">
        <v>101164545.03</v>
      </c>
      <c r="CJ12" s="254">
        <v>112285371.90000001</v>
      </c>
      <c r="CK12" s="254">
        <v>94222386.799999997</v>
      </c>
      <c r="CL12" s="254">
        <v>114804223</v>
      </c>
      <c r="CM12" s="254">
        <v>117514788.19</v>
      </c>
      <c r="CN12" s="255">
        <v>178579947.16999999</v>
      </c>
      <c r="CO12" s="255">
        <v>188900640.30000001</v>
      </c>
      <c r="CP12" s="255">
        <v>218900640.30000001</v>
      </c>
      <c r="CQ12" s="255">
        <v>184236759.55000001</v>
      </c>
    </row>
    <row r="13" spans="1:97" ht="12" thickBot="1">
      <c r="A13" s="228">
        <v>2</v>
      </c>
      <c r="B13" s="227" t="s">
        <v>21</v>
      </c>
      <c r="C13" s="256">
        <v>21679003.370000001</v>
      </c>
      <c r="D13" s="257">
        <v>10068961.369999999</v>
      </c>
      <c r="E13" s="258">
        <f>10139889+134820232+129744+113867562</f>
        <v>258957427</v>
      </c>
      <c r="F13" s="258">
        <v>13679939.65</v>
      </c>
      <c r="G13" s="258">
        <v>101733797</v>
      </c>
      <c r="H13" s="258">
        <v>109373283.06999999</v>
      </c>
      <c r="I13" s="258">
        <v>277060158.36000001</v>
      </c>
      <c r="J13" s="258">
        <v>13679939.65</v>
      </c>
      <c r="K13" s="258">
        <v>263444869.86000001</v>
      </c>
      <c r="L13" s="258">
        <v>263193532.18000001</v>
      </c>
      <c r="M13" s="258">
        <v>271131155.24000001</v>
      </c>
      <c r="N13" s="258"/>
      <c r="O13" s="258">
        <v>270604511.76999998</v>
      </c>
      <c r="P13" s="258">
        <v>295754052.87</v>
      </c>
      <c r="Q13" s="258">
        <v>282443852.25</v>
      </c>
      <c r="R13" s="259">
        <v>144052432.94999999</v>
      </c>
      <c r="S13" s="242">
        <v>260187916</v>
      </c>
      <c r="T13" s="242">
        <v>331019826.55000001</v>
      </c>
      <c r="U13" s="242">
        <v>323358901.73000002</v>
      </c>
      <c r="V13" s="243">
        <v>324862101.95999998</v>
      </c>
      <c r="W13" s="243">
        <v>284132933.62</v>
      </c>
      <c r="X13" s="244">
        <v>253279357.66</v>
      </c>
      <c r="Y13" s="245">
        <v>251630073.31999999</v>
      </c>
      <c r="Z13" s="246">
        <v>242596421.59999999</v>
      </c>
      <c r="AA13" s="260">
        <v>242785495.94</v>
      </c>
      <c r="AB13" s="245">
        <v>257567446.31999999</v>
      </c>
      <c r="AC13" s="245">
        <v>247563655.06</v>
      </c>
      <c r="AD13" s="248">
        <v>265525197.08000001</v>
      </c>
      <c r="AE13" s="249">
        <v>246760508.80000001</v>
      </c>
      <c r="AF13" s="249">
        <v>253453047.47</v>
      </c>
      <c r="AG13" s="249">
        <v>255618283.03</v>
      </c>
      <c r="AH13" s="249">
        <v>250750671.38999999</v>
      </c>
      <c r="AI13" s="249">
        <v>296544785.87</v>
      </c>
      <c r="AJ13" s="212">
        <v>291023215.94</v>
      </c>
      <c r="AK13" s="212">
        <v>292026516.93000001</v>
      </c>
      <c r="AL13" s="212">
        <v>272553581.74000001</v>
      </c>
      <c r="AM13" s="212">
        <v>269497534.92000002</v>
      </c>
      <c r="AN13" s="212">
        <v>272705491.12</v>
      </c>
      <c r="AO13" s="212">
        <v>234342628.65000001</v>
      </c>
      <c r="AP13" s="212">
        <v>253738104.18000001</v>
      </c>
      <c r="AQ13" s="212">
        <v>244383762</v>
      </c>
      <c r="AR13" s="212">
        <v>223089011.18000001</v>
      </c>
      <c r="AS13" s="212">
        <v>230376693.19999999</v>
      </c>
      <c r="AT13" s="250">
        <v>250841865.66999999</v>
      </c>
      <c r="AU13" s="250">
        <v>251257818.78999999</v>
      </c>
      <c r="AV13" s="250">
        <v>274925803.38999999</v>
      </c>
      <c r="AW13" s="25"/>
      <c r="AX13" s="250">
        <v>278569202.73000002</v>
      </c>
      <c r="AY13" s="250">
        <v>294608501.47000003</v>
      </c>
      <c r="AZ13" s="250">
        <v>293593130.13999999</v>
      </c>
      <c r="BA13" s="232">
        <v>293593130.13999999</v>
      </c>
      <c r="BB13" s="251">
        <v>286250081.93000001</v>
      </c>
      <c r="BC13" s="252">
        <v>225359880.44999999</v>
      </c>
      <c r="BD13" s="252">
        <v>242822552.19999999</v>
      </c>
      <c r="BE13" s="249">
        <v>142890182.97</v>
      </c>
      <c r="BF13" s="249">
        <v>134674522.00999999</v>
      </c>
      <c r="BG13" s="249">
        <v>135647821.46000001</v>
      </c>
      <c r="BH13" s="249">
        <v>142214759.91</v>
      </c>
      <c r="BI13" s="249">
        <v>138974911.91</v>
      </c>
      <c r="BJ13" s="249">
        <v>156537132.59999999</v>
      </c>
      <c r="BK13" s="249">
        <v>148201934.78999999</v>
      </c>
      <c r="BL13" s="249">
        <v>129138065.98999999</v>
      </c>
      <c r="BM13" s="249">
        <v>147562845.11000001</v>
      </c>
      <c r="BN13" s="249">
        <v>207061010.97999999</v>
      </c>
      <c r="BO13" s="249">
        <v>196504842.94999999</v>
      </c>
      <c r="BP13" s="249">
        <v>242385574.71000001</v>
      </c>
      <c r="BQ13" s="261">
        <v>273778334.35000002</v>
      </c>
      <c r="BR13" s="249">
        <v>231685116.00999999</v>
      </c>
      <c r="BS13" s="249">
        <v>251823542.53</v>
      </c>
      <c r="BT13" s="249">
        <v>240924005.52000001</v>
      </c>
      <c r="BU13" s="249">
        <v>268029219.5</v>
      </c>
      <c r="BV13" s="249">
        <v>282504841.08999997</v>
      </c>
      <c r="BW13" s="249">
        <v>258625920.11000001</v>
      </c>
      <c r="BY13" s="249">
        <v>272888543.68000001</v>
      </c>
      <c r="BZ13" s="249">
        <v>259049770.38999999</v>
      </c>
      <c r="CA13" s="249">
        <v>246668894.94</v>
      </c>
      <c r="CB13" s="249">
        <v>240506047.09</v>
      </c>
      <c r="CC13" s="249">
        <v>224020781.31</v>
      </c>
      <c r="CD13" s="212">
        <v>294756275.69999999</v>
      </c>
      <c r="CE13" s="212">
        <v>287019357</v>
      </c>
      <c r="CF13" s="254">
        <v>220277585.03999999</v>
      </c>
      <c r="CG13" s="254">
        <v>211846731.43000001</v>
      </c>
      <c r="CH13" s="254">
        <v>297830310.72000003</v>
      </c>
      <c r="CI13" s="254">
        <v>293245789.60000002</v>
      </c>
      <c r="CJ13" s="254">
        <v>264004538.75999999</v>
      </c>
      <c r="CK13" s="254">
        <v>280279574.72000003</v>
      </c>
      <c r="CL13" s="254">
        <v>265526733.15000001</v>
      </c>
      <c r="CM13" s="254">
        <v>261141290.40000001</v>
      </c>
      <c r="CN13" s="255">
        <v>206842918.78</v>
      </c>
      <c r="CO13" s="255">
        <v>196414802.94999999</v>
      </c>
      <c r="CP13" s="255">
        <v>185757272.90000001</v>
      </c>
      <c r="CQ13" s="255">
        <v>246775929.83000001</v>
      </c>
    </row>
    <row r="14" spans="1:97">
      <c r="A14" s="228">
        <v>3</v>
      </c>
      <c r="B14" s="227" t="s">
        <v>22</v>
      </c>
      <c r="C14" s="232">
        <f t="shared" ref="C14:K14" si="6">SUM(C15:C18)</f>
        <v>34475097.629999995</v>
      </c>
      <c r="D14" s="232">
        <f t="shared" si="6"/>
        <v>40570790.18</v>
      </c>
      <c r="E14" s="232">
        <f t="shared" si="6"/>
        <v>35208138</v>
      </c>
      <c r="F14" s="232">
        <f t="shared" si="6"/>
        <v>0</v>
      </c>
      <c r="G14" s="232">
        <f t="shared" si="6"/>
        <v>0</v>
      </c>
      <c r="H14" s="232">
        <f t="shared" si="6"/>
        <v>0</v>
      </c>
      <c r="I14" s="232">
        <f t="shared" si="6"/>
        <v>28462661.18</v>
      </c>
      <c r="J14" s="232">
        <f t="shared" si="6"/>
        <v>28462661.18</v>
      </c>
      <c r="K14" s="232">
        <f t="shared" si="6"/>
        <v>28462661.18</v>
      </c>
      <c r="L14" s="232">
        <f t="shared" ref="L14:M14" si="7">SUM(L15:L18)</f>
        <v>28462661.18</v>
      </c>
      <c r="M14" s="232">
        <f t="shared" si="7"/>
        <v>28462661.18</v>
      </c>
      <c r="N14" s="232">
        <f t="shared" ref="N14:P14" si="8">SUM(N15:N18)</f>
        <v>28462661.18</v>
      </c>
      <c r="O14" s="232">
        <f t="shared" si="8"/>
        <v>28462661.18</v>
      </c>
      <c r="P14" s="232">
        <f t="shared" si="8"/>
        <v>28462661.18</v>
      </c>
      <c r="Q14" s="232">
        <f t="shared" ref="Q14:CB14" si="9">SUM(Q15:Q18)</f>
        <v>28462661.18</v>
      </c>
      <c r="R14" s="233">
        <f t="shared" si="9"/>
        <v>33641898.25</v>
      </c>
      <c r="S14" s="234">
        <f t="shared" si="9"/>
        <v>28462661.18</v>
      </c>
      <c r="T14" s="234">
        <f t="shared" si="9"/>
        <v>28462661.18</v>
      </c>
      <c r="U14" s="234">
        <f t="shared" si="9"/>
        <v>28462661.18</v>
      </c>
      <c r="V14" s="234">
        <f t="shared" si="9"/>
        <v>28462661.18</v>
      </c>
      <c r="W14" s="234">
        <f t="shared" si="9"/>
        <v>22273508.899999999</v>
      </c>
      <c r="X14" s="234">
        <f t="shared" si="9"/>
        <v>22273508.899999999</v>
      </c>
      <c r="Y14" s="234">
        <f t="shared" si="9"/>
        <v>22273508.899999999</v>
      </c>
      <c r="Z14" s="234">
        <f t="shared" si="9"/>
        <v>22273508.899999999</v>
      </c>
      <c r="AA14" s="234">
        <f t="shared" si="9"/>
        <v>22273508.899999999</v>
      </c>
      <c r="AB14" s="234">
        <f t="shared" si="9"/>
        <v>22273508.899999999</v>
      </c>
      <c r="AC14" s="234">
        <f t="shared" si="9"/>
        <v>22273508.899999999</v>
      </c>
      <c r="AD14" s="234">
        <f t="shared" si="9"/>
        <v>22273508.899999999</v>
      </c>
      <c r="AE14" s="234">
        <f t="shared" si="9"/>
        <v>32448819.260000002</v>
      </c>
      <c r="AF14" s="234">
        <f t="shared" si="9"/>
        <v>32448819.260000002</v>
      </c>
      <c r="AG14" s="234">
        <f t="shared" si="9"/>
        <v>32448819.260000002</v>
      </c>
      <c r="AH14" s="234">
        <f t="shared" si="9"/>
        <v>32448819.260000002</v>
      </c>
      <c r="AI14" s="234">
        <f t="shared" si="9"/>
        <v>32448819.260000002</v>
      </c>
      <c r="AJ14" s="234">
        <f t="shared" si="9"/>
        <v>32448819.260000002</v>
      </c>
      <c r="AK14" s="234">
        <f t="shared" si="9"/>
        <v>34881096.060000002</v>
      </c>
      <c r="AL14" s="235">
        <f t="shared" si="9"/>
        <v>34881096.060000002</v>
      </c>
      <c r="AM14" s="235">
        <f t="shared" si="9"/>
        <v>34881096.060000002</v>
      </c>
      <c r="AN14" s="235">
        <f t="shared" si="9"/>
        <v>34881096.060000002</v>
      </c>
      <c r="AO14" s="235">
        <f t="shared" si="9"/>
        <v>34093974.170000002</v>
      </c>
      <c r="AP14" s="235">
        <f t="shared" si="9"/>
        <v>34093974.170000002</v>
      </c>
      <c r="AQ14" s="235">
        <f t="shared" si="9"/>
        <v>19385421</v>
      </c>
      <c r="AR14" s="235">
        <f t="shared" si="9"/>
        <v>34093974.32</v>
      </c>
      <c r="AS14" s="236">
        <f t="shared" si="9"/>
        <v>34093974.32</v>
      </c>
      <c r="AT14" s="235">
        <f t="shared" si="9"/>
        <v>34093974.32</v>
      </c>
      <c r="AU14" s="235">
        <f t="shared" si="9"/>
        <v>34093974.32</v>
      </c>
      <c r="AV14" s="235">
        <f t="shared" si="9"/>
        <v>34116047.270000003</v>
      </c>
      <c r="AW14" s="235">
        <f t="shared" si="9"/>
        <v>34116047.270000003</v>
      </c>
      <c r="AX14" s="235">
        <f t="shared" si="9"/>
        <v>34116047.270000003</v>
      </c>
      <c r="AY14" s="235">
        <f t="shared" si="9"/>
        <v>34116047.270000003</v>
      </c>
      <c r="AZ14" s="235">
        <f t="shared" si="9"/>
        <v>34116047.270000003</v>
      </c>
      <c r="BA14" s="235">
        <f t="shared" si="9"/>
        <v>34116047.270000003</v>
      </c>
      <c r="BB14" s="235">
        <f t="shared" si="9"/>
        <v>34116047.270000003</v>
      </c>
      <c r="BC14" s="235">
        <f t="shared" si="9"/>
        <v>34116047.270000003</v>
      </c>
      <c r="BD14" s="235">
        <f t="shared" si="9"/>
        <v>147302824.59999999</v>
      </c>
      <c r="BE14" s="235">
        <f t="shared" si="9"/>
        <v>34116047.270000003</v>
      </c>
      <c r="BF14" s="235">
        <f t="shared" si="9"/>
        <v>34116047.270000003</v>
      </c>
      <c r="BG14" s="235">
        <f t="shared" si="9"/>
        <v>34529145.539999999</v>
      </c>
      <c r="BH14" s="235">
        <f t="shared" si="9"/>
        <v>35575056.759999998</v>
      </c>
      <c r="BI14" s="235">
        <f t="shared" si="9"/>
        <v>35775056.759999998</v>
      </c>
      <c r="BJ14" s="235">
        <f t="shared" si="9"/>
        <v>38735056.759999998</v>
      </c>
      <c r="BK14" s="235">
        <f t="shared" si="9"/>
        <v>38763251.810000002</v>
      </c>
      <c r="BL14" s="235">
        <f t="shared" si="9"/>
        <v>36263251.810000002</v>
      </c>
      <c r="BM14" s="235">
        <f t="shared" si="9"/>
        <v>34863251.810000002</v>
      </c>
      <c r="BN14" s="235">
        <f t="shared" si="9"/>
        <v>34898176.340000004</v>
      </c>
      <c r="BO14" s="235">
        <f t="shared" si="9"/>
        <v>34898176.340000004</v>
      </c>
      <c r="BP14" s="235">
        <f t="shared" si="9"/>
        <v>34898176.340000004</v>
      </c>
      <c r="BQ14" s="235">
        <f t="shared" si="9"/>
        <v>148086488.09999999</v>
      </c>
      <c r="BR14" s="235">
        <f t="shared" si="9"/>
        <v>34899710.869999997</v>
      </c>
      <c r="BS14" s="235">
        <f t="shared" si="9"/>
        <v>35450236.18</v>
      </c>
      <c r="BT14" s="235">
        <f t="shared" si="9"/>
        <v>35450733.409999996</v>
      </c>
      <c r="BU14" s="235">
        <f t="shared" si="9"/>
        <v>35450733.409999996</v>
      </c>
      <c r="BV14" s="235">
        <f t="shared" si="9"/>
        <v>35450733.409999996</v>
      </c>
      <c r="BW14" s="235">
        <f t="shared" si="9"/>
        <v>35952323.950000003</v>
      </c>
      <c r="BX14" s="235">
        <f t="shared" si="9"/>
        <v>0</v>
      </c>
      <c r="BY14" s="235">
        <f t="shared" si="9"/>
        <v>39469708.979999997</v>
      </c>
      <c r="BZ14" s="235">
        <f t="shared" si="9"/>
        <v>39506671.119999997</v>
      </c>
      <c r="CA14" s="235">
        <f t="shared" si="9"/>
        <v>39506671.119999997</v>
      </c>
      <c r="CB14" s="235">
        <f t="shared" si="9"/>
        <v>30613452.190000001</v>
      </c>
      <c r="CC14" s="235">
        <f t="shared" ref="CC14:CD14" si="10">SUM(CC15:CC18)</f>
        <v>36618314.310000002</v>
      </c>
      <c r="CD14" s="235">
        <f t="shared" si="10"/>
        <v>149805094.54999998</v>
      </c>
      <c r="CE14" s="235">
        <f t="shared" ref="CE14:CS14" si="11">SUM(CE15:CE18)</f>
        <v>149815748</v>
      </c>
      <c r="CF14" s="237">
        <f>SUM(CF15:CF18)</f>
        <v>36628968.170000002</v>
      </c>
      <c r="CG14" s="237">
        <f t="shared" si="11"/>
        <v>36628968.170000002</v>
      </c>
      <c r="CH14" s="237">
        <f t="shared" si="11"/>
        <v>36648066.439999998</v>
      </c>
      <c r="CI14" s="237">
        <f t="shared" si="11"/>
        <v>36648066.439999998</v>
      </c>
      <c r="CJ14" s="237">
        <f t="shared" si="11"/>
        <v>37196807.82</v>
      </c>
      <c r="CK14" s="237">
        <f t="shared" si="11"/>
        <v>36398695.600000001</v>
      </c>
      <c r="CL14" s="237">
        <f t="shared" si="11"/>
        <v>36398695.600000001</v>
      </c>
      <c r="CM14" s="237">
        <f t="shared" si="11"/>
        <v>36399079.770000003</v>
      </c>
      <c r="CN14" s="237">
        <f t="shared" si="11"/>
        <v>36399268.799999997</v>
      </c>
      <c r="CO14" s="237">
        <f t="shared" si="11"/>
        <v>36399268.799999997</v>
      </c>
      <c r="CP14" s="237">
        <f t="shared" si="11"/>
        <v>36399658.939999998</v>
      </c>
      <c r="CQ14" s="237">
        <f t="shared" si="11"/>
        <v>23456744.34</v>
      </c>
      <c r="CR14" s="235">
        <f t="shared" si="11"/>
        <v>0</v>
      </c>
      <c r="CS14" s="235">
        <f t="shared" si="11"/>
        <v>0</v>
      </c>
    </row>
    <row r="15" spans="1:97">
      <c r="A15" s="228">
        <v>3.1</v>
      </c>
      <c r="B15" s="229" t="s">
        <v>23</v>
      </c>
      <c r="C15" s="262"/>
      <c r="D15" s="257"/>
      <c r="E15" s="240"/>
      <c r="F15" s="240"/>
      <c r="G15" s="240"/>
      <c r="H15" s="240"/>
      <c r="I15" s="240"/>
      <c r="J15" s="240"/>
      <c r="K15" s="240"/>
      <c r="L15" s="240"/>
      <c r="M15" s="240"/>
      <c r="N15" s="240">
        <v>0</v>
      </c>
      <c r="O15" s="240"/>
      <c r="P15" s="240"/>
      <c r="Q15" s="240"/>
      <c r="R15" s="241"/>
      <c r="S15" s="263">
        <v>0</v>
      </c>
      <c r="T15" s="263">
        <v>0</v>
      </c>
      <c r="U15" s="263">
        <v>0</v>
      </c>
      <c r="V15" s="264">
        <v>0</v>
      </c>
      <c r="W15" s="25"/>
      <c r="X15" s="265">
        <v>0</v>
      </c>
      <c r="Y15" s="245">
        <v>0</v>
      </c>
      <c r="Z15" s="266">
        <v>0</v>
      </c>
      <c r="AA15" s="267"/>
      <c r="AB15" s="245">
        <v>0</v>
      </c>
      <c r="AC15" s="245">
        <v>0</v>
      </c>
      <c r="AD15" s="248">
        <v>0</v>
      </c>
      <c r="AE15" s="249">
        <v>0</v>
      </c>
      <c r="AF15" s="249">
        <v>0</v>
      </c>
      <c r="AG15" s="249">
        <v>0</v>
      </c>
      <c r="AH15" s="249">
        <v>0</v>
      </c>
      <c r="AI15" s="249">
        <v>0</v>
      </c>
      <c r="AJ15" s="212">
        <v>0</v>
      </c>
      <c r="AK15" s="212">
        <v>0</v>
      </c>
      <c r="AL15" s="212">
        <v>0</v>
      </c>
      <c r="AM15" s="212">
        <v>0</v>
      </c>
      <c r="AN15" s="212">
        <v>0</v>
      </c>
      <c r="AO15" s="212">
        <v>0</v>
      </c>
      <c r="AP15" s="212">
        <v>0</v>
      </c>
      <c r="AQ15" s="212"/>
      <c r="AR15" s="212">
        <v>0</v>
      </c>
      <c r="AS15" s="212">
        <v>0</v>
      </c>
      <c r="AT15" s="250">
        <v>0</v>
      </c>
      <c r="AU15" s="250">
        <v>0</v>
      </c>
      <c r="AV15" s="250">
        <v>0</v>
      </c>
      <c r="AW15" s="25"/>
      <c r="AX15" s="250">
        <v>0</v>
      </c>
      <c r="AY15" s="250">
        <v>0</v>
      </c>
      <c r="AZ15" s="250">
        <v>0</v>
      </c>
      <c r="BA15" s="250">
        <v>0</v>
      </c>
      <c r="BB15" s="251">
        <v>0</v>
      </c>
      <c r="BC15" s="252">
        <v>0</v>
      </c>
      <c r="BD15" s="252">
        <v>0</v>
      </c>
      <c r="BE15" s="249">
        <v>0</v>
      </c>
      <c r="BF15" s="249">
        <v>0</v>
      </c>
      <c r="BG15" s="249">
        <v>0</v>
      </c>
      <c r="BH15" s="249">
        <v>0</v>
      </c>
      <c r="BI15" s="249">
        <v>0</v>
      </c>
      <c r="BJ15" s="249">
        <v>0</v>
      </c>
      <c r="BK15" s="249">
        <v>0</v>
      </c>
      <c r="BL15" s="249">
        <v>0</v>
      </c>
      <c r="BM15" s="249">
        <v>0</v>
      </c>
      <c r="BN15" s="249">
        <v>0</v>
      </c>
      <c r="BO15" s="249">
        <v>0</v>
      </c>
      <c r="BP15" s="249">
        <v>0</v>
      </c>
      <c r="BQ15" s="253"/>
      <c r="BR15" s="249">
        <v>0</v>
      </c>
      <c r="BS15" s="249">
        <v>0</v>
      </c>
      <c r="BT15" s="249">
        <v>0</v>
      </c>
      <c r="BU15" s="249">
        <v>0</v>
      </c>
      <c r="BV15" s="249">
        <v>0</v>
      </c>
      <c r="BW15" s="249">
        <v>0</v>
      </c>
      <c r="BX15" s="249"/>
      <c r="BY15" s="249">
        <v>0</v>
      </c>
      <c r="BZ15" s="249">
        <v>0</v>
      </c>
      <c r="CA15" s="249">
        <v>0</v>
      </c>
      <c r="CB15" s="249">
        <v>0</v>
      </c>
      <c r="CC15" s="249">
        <v>0</v>
      </c>
      <c r="CE15" s="212"/>
      <c r="CF15" s="254">
        <v>0</v>
      </c>
      <c r="CG15" s="254">
        <v>0</v>
      </c>
      <c r="CH15" s="254">
        <v>0</v>
      </c>
      <c r="CI15" s="254">
        <v>0</v>
      </c>
      <c r="CJ15" s="254">
        <v>0</v>
      </c>
      <c r="CK15" s="254">
        <v>0</v>
      </c>
      <c r="CL15" s="254">
        <v>0</v>
      </c>
      <c r="CM15" s="254">
        <v>0</v>
      </c>
      <c r="CN15" s="255">
        <v>0</v>
      </c>
      <c r="CO15" s="255">
        <v>0</v>
      </c>
      <c r="CP15" s="255">
        <v>0</v>
      </c>
      <c r="CQ15" s="255">
        <v>0</v>
      </c>
    </row>
    <row r="16" spans="1:97">
      <c r="A16" s="228">
        <v>3.2</v>
      </c>
      <c r="B16" s="229" t="s">
        <v>24</v>
      </c>
      <c r="C16" s="262"/>
      <c r="D16" s="257"/>
      <c r="E16" s="240">
        <f>11000+76528</f>
        <v>87528</v>
      </c>
      <c r="F16" s="240"/>
      <c r="G16" s="240"/>
      <c r="H16" s="240"/>
      <c r="I16" s="240"/>
      <c r="J16" s="240"/>
      <c r="K16" s="240"/>
      <c r="L16" s="240"/>
      <c r="M16" s="240"/>
      <c r="N16" s="240">
        <v>0</v>
      </c>
      <c r="O16" s="240"/>
      <c r="P16" s="240"/>
      <c r="Q16" s="240"/>
      <c r="R16" s="241"/>
      <c r="S16" s="263">
        <v>0</v>
      </c>
      <c r="T16" s="263">
        <v>0</v>
      </c>
      <c r="U16" s="263">
        <v>0</v>
      </c>
      <c r="V16" s="264">
        <v>0</v>
      </c>
      <c r="W16" s="25"/>
      <c r="X16" s="265">
        <v>0</v>
      </c>
      <c r="Y16" s="245">
        <v>0</v>
      </c>
      <c r="Z16" s="266">
        <v>0</v>
      </c>
      <c r="AA16" s="267"/>
      <c r="AB16" s="245">
        <v>0</v>
      </c>
      <c r="AC16" s="245">
        <v>0</v>
      </c>
      <c r="AD16" s="248">
        <v>0</v>
      </c>
      <c r="AE16" s="249">
        <v>0</v>
      </c>
      <c r="AF16" s="249">
        <v>0</v>
      </c>
      <c r="AG16" s="249">
        <v>0</v>
      </c>
      <c r="AH16" s="249">
        <v>0</v>
      </c>
      <c r="AI16" s="249">
        <v>0</v>
      </c>
      <c r="AJ16" s="212">
        <v>0</v>
      </c>
      <c r="AK16" s="212">
        <v>0</v>
      </c>
      <c r="AL16" s="212">
        <v>0</v>
      </c>
      <c r="AM16" s="212">
        <v>0</v>
      </c>
      <c r="AN16" s="212">
        <v>0</v>
      </c>
      <c r="AO16" s="212">
        <v>0</v>
      </c>
      <c r="AP16" s="212">
        <v>0</v>
      </c>
      <c r="AQ16" s="212"/>
      <c r="AR16" s="212">
        <v>0</v>
      </c>
      <c r="AS16" s="212">
        <v>0</v>
      </c>
      <c r="AT16" s="250">
        <v>0</v>
      </c>
      <c r="AU16" s="250">
        <v>0</v>
      </c>
      <c r="AV16" s="250">
        <v>0</v>
      </c>
      <c r="AW16" s="25"/>
      <c r="AX16" s="250">
        <v>0</v>
      </c>
      <c r="AY16" s="250">
        <v>0</v>
      </c>
      <c r="AZ16" s="250">
        <v>0</v>
      </c>
      <c r="BA16" s="250">
        <v>0</v>
      </c>
      <c r="BB16" s="251">
        <v>0</v>
      </c>
      <c r="BC16" s="252">
        <v>0</v>
      </c>
      <c r="BD16" s="252">
        <v>0</v>
      </c>
      <c r="BE16" s="249">
        <v>0</v>
      </c>
      <c r="BF16" s="249">
        <v>0</v>
      </c>
      <c r="BG16" s="249">
        <v>0</v>
      </c>
      <c r="BH16" s="249">
        <v>0</v>
      </c>
      <c r="BI16" s="249">
        <v>0</v>
      </c>
      <c r="BJ16" s="249">
        <v>0</v>
      </c>
      <c r="BK16" s="249">
        <v>0</v>
      </c>
      <c r="BL16" s="249">
        <v>0</v>
      </c>
      <c r="BM16" s="249">
        <v>0</v>
      </c>
      <c r="BN16" s="249">
        <v>0</v>
      </c>
      <c r="BO16" s="249">
        <v>0</v>
      </c>
      <c r="BP16" s="249">
        <v>0</v>
      </c>
      <c r="BQ16" s="253"/>
      <c r="BR16" s="249">
        <v>0</v>
      </c>
      <c r="BS16" s="249">
        <v>0</v>
      </c>
      <c r="BT16" s="249">
        <v>0</v>
      </c>
      <c r="BU16" s="249">
        <v>0</v>
      </c>
      <c r="BV16" s="249">
        <v>0</v>
      </c>
      <c r="BW16" s="249">
        <v>0</v>
      </c>
      <c r="BX16" s="249"/>
      <c r="BY16" s="249">
        <v>0</v>
      </c>
      <c r="BZ16" s="249">
        <v>0</v>
      </c>
      <c r="CA16" s="249">
        <v>0</v>
      </c>
      <c r="CB16" s="249">
        <v>0</v>
      </c>
      <c r="CC16" s="249">
        <v>0</v>
      </c>
      <c r="CE16" s="212"/>
      <c r="CF16" s="254">
        <v>0</v>
      </c>
      <c r="CG16" s="254">
        <v>0</v>
      </c>
      <c r="CH16" s="254">
        <v>0</v>
      </c>
      <c r="CI16" s="254">
        <v>0</v>
      </c>
      <c r="CJ16" s="254">
        <v>0</v>
      </c>
      <c r="CK16" s="254">
        <v>0</v>
      </c>
      <c r="CL16" s="254">
        <v>0</v>
      </c>
      <c r="CM16" s="254">
        <v>0</v>
      </c>
      <c r="CN16" s="255">
        <v>0</v>
      </c>
      <c r="CO16" s="255">
        <v>0</v>
      </c>
      <c r="CP16" s="255">
        <v>0</v>
      </c>
      <c r="CQ16" s="255">
        <v>0</v>
      </c>
    </row>
    <row r="17" spans="1:97">
      <c r="A17" s="228" t="s">
        <v>25</v>
      </c>
      <c r="B17" s="229" t="s">
        <v>26</v>
      </c>
      <c r="C17" s="114">
        <v>30347797.629999999</v>
      </c>
      <c r="D17" s="268">
        <v>32511490.18</v>
      </c>
      <c r="E17" s="240"/>
      <c r="F17" s="240"/>
      <c r="G17" s="240"/>
      <c r="H17" s="240"/>
      <c r="I17" s="240"/>
      <c r="J17" s="240"/>
      <c r="K17" s="240"/>
      <c r="L17" s="240"/>
      <c r="M17" s="240"/>
      <c r="N17" s="240">
        <v>0</v>
      </c>
      <c r="O17" s="240"/>
      <c r="P17" s="240"/>
      <c r="Q17" s="240"/>
      <c r="R17" s="241"/>
      <c r="S17" s="263">
        <v>0</v>
      </c>
      <c r="T17" s="263">
        <v>0</v>
      </c>
      <c r="U17" s="263">
        <v>0</v>
      </c>
      <c r="V17" s="264">
        <v>0</v>
      </c>
      <c r="W17" s="25"/>
      <c r="X17" s="265">
        <v>0</v>
      </c>
      <c r="Y17" s="245">
        <v>0</v>
      </c>
      <c r="Z17" s="266">
        <v>0</v>
      </c>
      <c r="AA17" s="267"/>
      <c r="AB17" s="245">
        <v>0</v>
      </c>
      <c r="AC17" s="245">
        <v>0</v>
      </c>
      <c r="AD17" s="248">
        <v>0</v>
      </c>
      <c r="AE17" s="249">
        <v>0</v>
      </c>
      <c r="AF17" s="249">
        <v>0</v>
      </c>
      <c r="AG17" s="249">
        <v>0</v>
      </c>
      <c r="AH17" s="249">
        <v>0</v>
      </c>
      <c r="AI17" s="249">
        <v>0</v>
      </c>
      <c r="AJ17" s="212">
        <v>0</v>
      </c>
      <c r="AK17" s="212">
        <v>0</v>
      </c>
      <c r="AL17" s="212">
        <v>0</v>
      </c>
      <c r="AM17" s="212">
        <v>0</v>
      </c>
      <c r="AN17" s="212">
        <v>0</v>
      </c>
      <c r="AO17" s="212">
        <v>0</v>
      </c>
      <c r="AP17" s="212">
        <v>0</v>
      </c>
      <c r="AQ17" s="212">
        <v>19297893</v>
      </c>
      <c r="AR17" s="212">
        <v>0</v>
      </c>
      <c r="AS17" s="212">
        <v>0</v>
      </c>
      <c r="AT17" s="250">
        <v>0</v>
      </c>
      <c r="AU17" s="250">
        <v>0</v>
      </c>
      <c r="AV17" s="250">
        <v>0</v>
      </c>
      <c r="AW17" s="25"/>
      <c r="AX17" s="250">
        <v>0</v>
      </c>
      <c r="AY17" s="250">
        <v>0</v>
      </c>
      <c r="AZ17" s="250">
        <v>0</v>
      </c>
      <c r="BA17" s="250">
        <v>0</v>
      </c>
      <c r="BB17" s="251">
        <v>0</v>
      </c>
      <c r="BC17" s="252">
        <v>0</v>
      </c>
      <c r="BD17" s="252">
        <v>14708554</v>
      </c>
      <c r="BE17" s="249">
        <v>0</v>
      </c>
      <c r="BF17" s="249">
        <v>0</v>
      </c>
      <c r="BG17" s="249">
        <v>0</v>
      </c>
      <c r="BH17" s="249">
        <v>0</v>
      </c>
      <c r="BI17" s="249">
        <v>0</v>
      </c>
      <c r="BJ17" s="249">
        <v>0</v>
      </c>
      <c r="BK17" s="249">
        <v>0</v>
      </c>
      <c r="BL17" s="249">
        <v>0</v>
      </c>
      <c r="BM17" s="249">
        <v>0</v>
      </c>
      <c r="BN17" s="249">
        <v>0</v>
      </c>
      <c r="BO17" s="249">
        <v>0</v>
      </c>
      <c r="BP17" s="249">
        <v>0</v>
      </c>
      <c r="BQ17" s="269">
        <v>14442914.6</v>
      </c>
      <c r="BR17" s="249">
        <v>0</v>
      </c>
      <c r="BS17" s="249">
        <v>0</v>
      </c>
      <c r="BT17" s="249">
        <v>0</v>
      </c>
      <c r="BU17" s="249">
        <v>0</v>
      </c>
      <c r="BV17" s="249">
        <v>0</v>
      </c>
      <c r="BW17" s="249">
        <v>0</v>
      </c>
      <c r="BX17" s="249"/>
      <c r="BY17" s="249">
        <v>0</v>
      </c>
      <c r="BZ17" s="249">
        <v>0</v>
      </c>
      <c r="CA17" s="249">
        <v>0</v>
      </c>
      <c r="CB17" s="249">
        <v>0</v>
      </c>
      <c r="CC17" s="249">
        <v>0</v>
      </c>
      <c r="CD17" s="212">
        <v>14442917.6</v>
      </c>
      <c r="CE17" s="212">
        <f>11000+76528</f>
        <v>87528</v>
      </c>
      <c r="CF17" s="254">
        <v>0</v>
      </c>
      <c r="CG17" s="254">
        <v>0</v>
      </c>
      <c r="CH17" s="254">
        <v>0</v>
      </c>
      <c r="CI17" s="254">
        <v>0</v>
      </c>
      <c r="CJ17" s="254">
        <v>0</v>
      </c>
      <c r="CK17" s="254">
        <v>0</v>
      </c>
      <c r="CL17" s="254">
        <v>0</v>
      </c>
      <c r="CM17" s="254">
        <v>0</v>
      </c>
      <c r="CN17" s="255">
        <v>0</v>
      </c>
      <c r="CO17" s="255">
        <v>0</v>
      </c>
      <c r="CP17" s="255">
        <v>0</v>
      </c>
      <c r="CQ17" s="255">
        <v>0</v>
      </c>
    </row>
    <row r="18" spans="1:97">
      <c r="A18" s="228" t="s">
        <v>27</v>
      </c>
      <c r="B18" s="229" t="s">
        <v>28</v>
      </c>
      <c r="C18" s="114">
        <f>3994772+11000+45000+76528</f>
        <v>4127300</v>
      </c>
      <c r="D18" s="268">
        <f>3942000+3984772+11000+45000+76528</f>
        <v>8059300</v>
      </c>
      <c r="E18" s="240">
        <f>6000000+9579348+3984772+15511490+45000</f>
        <v>35120610</v>
      </c>
      <c r="F18" s="240"/>
      <c r="G18" s="240"/>
      <c r="H18" s="240"/>
      <c r="I18" s="240">
        <v>28462661.18</v>
      </c>
      <c r="J18" s="240">
        <v>28462661.18</v>
      </c>
      <c r="K18" s="240">
        <v>28462661.18</v>
      </c>
      <c r="L18" s="240">
        <v>28462661.18</v>
      </c>
      <c r="M18" s="240">
        <v>28462661.18</v>
      </c>
      <c r="N18" s="240">
        <v>28462661.18</v>
      </c>
      <c r="O18" s="240">
        <v>28462661.18</v>
      </c>
      <c r="P18" s="240">
        <v>28462661.18</v>
      </c>
      <c r="Q18" s="240">
        <v>28462661.18</v>
      </c>
      <c r="R18" s="241">
        <v>33641898.25</v>
      </c>
      <c r="S18" s="263">
        <v>28462661.18</v>
      </c>
      <c r="T18" s="263">
        <v>28462661.18</v>
      </c>
      <c r="U18" s="263">
        <v>28462661.18</v>
      </c>
      <c r="V18" s="264">
        <v>28462661.18</v>
      </c>
      <c r="W18" s="270">
        <v>22273508.899999999</v>
      </c>
      <c r="X18" s="265">
        <v>22273508.899999999</v>
      </c>
      <c r="Y18" s="245">
        <v>22273508.899999999</v>
      </c>
      <c r="Z18" s="266">
        <v>22273508.899999999</v>
      </c>
      <c r="AA18" s="247">
        <v>22273508.899999999</v>
      </c>
      <c r="AB18" s="245">
        <v>22273508.899999999</v>
      </c>
      <c r="AC18" s="245">
        <v>22273508.899999999</v>
      </c>
      <c r="AD18" s="248">
        <v>22273508.899999999</v>
      </c>
      <c r="AE18" s="249">
        <v>32448819.260000002</v>
      </c>
      <c r="AF18" s="249">
        <v>32448819.260000002</v>
      </c>
      <c r="AG18" s="249">
        <v>32448819.260000002</v>
      </c>
      <c r="AH18" s="249">
        <v>32448819.260000002</v>
      </c>
      <c r="AI18" s="249">
        <v>32448819.260000002</v>
      </c>
      <c r="AJ18" s="212">
        <v>32448819.260000002</v>
      </c>
      <c r="AK18" s="212">
        <v>34881096.060000002</v>
      </c>
      <c r="AL18" s="212">
        <v>34881096.060000002</v>
      </c>
      <c r="AM18" s="212">
        <v>34881096.060000002</v>
      </c>
      <c r="AN18" s="212">
        <v>34881096.060000002</v>
      </c>
      <c r="AO18" s="212">
        <v>34093974.170000002</v>
      </c>
      <c r="AP18" s="212">
        <v>34093974.170000002</v>
      </c>
      <c r="AQ18" s="212">
        <v>87528</v>
      </c>
      <c r="AR18" s="212">
        <v>34093974.32</v>
      </c>
      <c r="AS18" s="212">
        <v>34093974.32</v>
      </c>
      <c r="AT18" s="250">
        <v>34093974.32</v>
      </c>
      <c r="AU18" s="250">
        <v>34093974.32</v>
      </c>
      <c r="AV18" s="250">
        <v>34116047.270000003</v>
      </c>
      <c r="AW18" s="270">
        <v>34116047.270000003</v>
      </c>
      <c r="AX18" s="250">
        <v>34116047.270000003</v>
      </c>
      <c r="AY18" s="250">
        <v>34116047.270000003</v>
      </c>
      <c r="AZ18" s="250">
        <v>34116047.270000003</v>
      </c>
      <c r="BA18" s="240">
        <v>34116047.270000003</v>
      </c>
      <c r="BB18" s="251">
        <v>34116047.270000003</v>
      </c>
      <c r="BC18" s="252">
        <v>34116047.270000003</v>
      </c>
      <c r="BD18" s="252">
        <f>12011625+45000+6781017.6+11000+76528+482323+113186777</f>
        <v>132594270.59999999</v>
      </c>
      <c r="BE18" s="249">
        <v>34116047.270000003</v>
      </c>
      <c r="BF18" s="249">
        <v>34116047.270000003</v>
      </c>
      <c r="BG18" s="249">
        <v>34529145.539999999</v>
      </c>
      <c r="BH18" s="249">
        <v>35575056.759999998</v>
      </c>
      <c r="BI18" s="249">
        <v>35775056.759999998</v>
      </c>
      <c r="BJ18" s="249">
        <v>38735056.759999998</v>
      </c>
      <c r="BK18" s="249">
        <v>38763251.810000002</v>
      </c>
      <c r="BL18" s="249">
        <v>36263251.810000002</v>
      </c>
      <c r="BM18" s="249">
        <v>34863251.810000002</v>
      </c>
      <c r="BN18" s="249">
        <v>34898176.340000004</v>
      </c>
      <c r="BO18" s="249">
        <v>34898176.340000004</v>
      </c>
      <c r="BP18" s="249">
        <v>34898176.340000004</v>
      </c>
      <c r="BQ18" s="253">
        <v>133643573.5</v>
      </c>
      <c r="BR18" s="249">
        <v>34899710.869999997</v>
      </c>
      <c r="BS18" s="249">
        <v>35450236.18</v>
      </c>
      <c r="BT18" s="249">
        <v>35450733.409999996</v>
      </c>
      <c r="BU18" s="249">
        <v>35450733.409999996</v>
      </c>
      <c r="BV18" s="249">
        <v>35450733.409999996</v>
      </c>
      <c r="BW18" s="249">
        <v>35952323.950000003</v>
      </c>
      <c r="BX18" s="249"/>
      <c r="BY18" s="249">
        <v>39469708.979999997</v>
      </c>
      <c r="BZ18" s="249">
        <v>39506671.119999997</v>
      </c>
      <c r="CA18" s="249">
        <v>39506671.119999997</v>
      </c>
      <c r="CB18" s="249">
        <v>30613452.190000001</v>
      </c>
      <c r="CC18" s="249">
        <v>36618314.310000002</v>
      </c>
      <c r="CD18" s="212">
        <v>135362176.94999999</v>
      </c>
      <c r="CE18" s="212">
        <f>135372831+14442917-87528</f>
        <v>149728220</v>
      </c>
      <c r="CF18" s="254">
        <v>36628968.170000002</v>
      </c>
      <c r="CG18" s="254">
        <v>36628968.170000002</v>
      </c>
      <c r="CH18" s="254">
        <v>36648066.439999998</v>
      </c>
      <c r="CI18" s="254">
        <v>36648066.439999998</v>
      </c>
      <c r="CJ18" s="254">
        <v>37196807.82</v>
      </c>
      <c r="CK18" s="254">
        <v>36398695.600000001</v>
      </c>
      <c r="CL18" s="254">
        <v>36398695.600000001</v>
      </c>
      <c r="CM18" s="254">
        <v>36399079.770000003</v>
      </c>
      <c r="CN18" s="255">
        <v>36399268.799999997</v>
      </c>
      <c r="CO18" s="255">
        <v>36399268.799999997</v>
      </c>
      <c r="CP18" s="255">
        <v>36399658.939999998</v>
      </c>
      <c r="CQ18" s="255">
        <v>23456744.34</v>
      </c>
    </row>
    <row r="19" spans="1:97">
      <c r="A19" s="228">
        <v>4</v>
      </c>
      <c r="B19" s="227" t="s">
        <v>29</v>
      </c>
      <c r="C19" s="271">
        <f>C20-C21</f>
        <v>302428962.77999997</v>
      </c>
      <c r="D19" s="271">
        <f t="shared" ref="D19" si="12">D20-D21</f>
        <v>191231135.67999998</v>
      </c>
      <c r="E19" s="232">
        <f t="shared" ref="E19:K19" si="13">E20-E21</f>
        <v>237111555</v>
      </c>
      <c r="F19" s="232">
        <f t="shared" si="13"/>
        <v>241110507.34999999</v>
      </c>
      <c r="G19" s="232">
        <f t="shared" si="13"/>
        <v>241553441.36000001</v>
      </c>
      <c r="H19" s="232">
        <f t="shared" si="13"/>
        <v>231226828.19999999</v>
      </c>
      <c r="I19" s="232">
        <f t="shared" si="13"/>
        <v>233416834.37</v>
      </c>
      <c r="J19" s="232">
        <f t="shared" si="13"/>
        <v>239409673.06999999</v>
      </c>
      <c r="K19" s="232">
        <f t="shared" si="13"/>
        <v>239306494.87</v>
      </c>
      <c r="L19" s="232">
        <f t="shared" ref="L19:M19" si="14">L20-L21</f>
        <v>247652563.03</v>
      </c>
      <c r="M19" s="232">
        <f t="shared" si="14"/>
        <v>248147867.94</v>
      </c>
      <c r="N19" s="232">
        <f t="shared" ref="N19:P19" si="15">N20-N21</f>
        <v>281258940.47000003</v>
      </c>
      <c r="O19" s="232">
        <f t="shared" si="15"/>
        <v>310709484.37</v>
      </c>
      <c r="P19" s="232">
        <f t="shared" si="15"/>
        <v>310506280.38999999</v>
      </c>
      <c r="Q19" s="232">
        <f t="shared" ref="Q19:AT19" si="16">Q20-Q21</f>
        <v>322565389.39999998</v>
      </c>
      <c r="R19" s="233">
        <f t="shared" si="16"/>
        <v>251297076</v>
      </c>
      <c r="S19" s="234">
        <f t="shared" si="16"/>
        <v>337314496.5</v>
      </c>
      <c r="T19" s="234">
        <f t="shared" si="16"/>
        <v>252099840.56</v>
      </c>
      <c r="U19" s="234">
        <f t="shared" si="16"/>
        <v>259374906.69999999</v>
      </c>
      <c r="V19" s="234">
        <f t="shared" si="16"/>
        <v>270402776.57999998</v>
      </c>
      <c r="W19" s="234">
        <f t="shared" si="16"/>
        <v>252010889.03999999</v>
      </c>
      <c r="X19" s="234">
        <f t="shared" si="16"/>
        <v>251640607.31</v>
      </c>
      <c r="Y19" s="234">
        <f t="shared" si="16"/>
        <v>250023876.90000001</v>
      </c>
      <c r="Z19" s="234">
        <f t="shared" si="16"/>
        <v>262419846.22</v>
      </c>
      <c r="AA19" s="234">
        <f t="shared" si="16"/>
        <v>263461071.78</v>
      </c>
      <c r="AB19" s="234">
        <f t="shared" si="16"/>
        <v>251468305.49000001</v>
      </c>
      <c r="AC19" s="234">
        <f t="shared" si="16"/>
        <v>254694601.60999998</v>
      </c>
      <c r="AD19" s="234">
        <f t="shared" si="16"/>
        <v>252287355.40000001</v>
      </c>
      <c r="AE19" s="234">
        <f t="shared" si="16"/>
        <v>256064816.85000002</v>
      </c>
      <c r="AF19" s="234">
        <f t="shared" si="16"/>
        <v>261915624.90999997</v>
      </c>
      <c r="AG19" s="234">
        <f t="shared" si="16"/>
        <v>280329618.07999998</v>
      </c>
      <c r="AH19" s="234">
        <f t="shared" si="16"/>
        <v>286826643.24000001</v>
      </c>
      <c r="AI19" s="234">
        <f t="shared" si="16"/>
        <v>283202808.91999996</v>
      </c>
      <c r="AJ19" s="234">
        <f t="shared" si="16"/>
        <v>285065956.56999999</v>
      </c>
      <c r="AK19" s="234">
        <f t="shared" si="16"/>
        <v>289291773.83999997</v>
      </c>
      <c r="AL19" s="235">
        <f t="shared" si="16"/>
        <v>310404752.12</v>
      </c>
      <c r="AM19" s="235">
        <f t="shared" si="16"/>
        <v>310081509.88</v>
      </c>
      <c r="AN19" s="235">
        <f t="shared" si="16"/>
        <v>306219373.81999999</v>
      </c>
      <c r="AO19" s="235">
        <f t="shared" si="16"/>
        <v>331504572.11000001</v>
      </c>
      <c r="AP19" s="235">
        <f t="shared" si="16"/>
        <v>320811825.19000006</v>
      </c>
      <c r="AQ19" s="235">
        <f t="shared" si="16"/>
        <v>320811825</v>
      </c>
      <c r="AR19" s="235">
        <f t="shared" si="16"/>
        <v>327812255.02000004</v>
      </c>
      <c r="AS19" s="236">
        <f t="shared" si="16"/>
        <v>336206155.62</v>
      </c>
      <c r="AT19" s="235">
        <f t="shared" si="16"/>
        <v>323174104.08999997</v>
      </c>
      <c r="AU19" s="235">
        <f>AU20-AU21</f>
        <v>325273966.25</v>
      </c>
      <c r="AV19" s="235">
        <f t="shared" ref="AV19:CD19" si="17">AV20-AV21</f>
        <v>317507132.91000003</v>
      </c>
      <c r="AW19" s="235">
        <f t="shared" si="17"/>
        <v>317662135.20999998</v>
      </c>
      <c r="AX19" s="235">
        <f t="shared" si="17"/>
        <v>321166199</v>
      </c>
      <c r="AY19" s="235">
        <f t="shared" si="17"/>
        <v>304746854.81999999</v>
      </c>
      <c r="AZ19" s="235">
        <f t="shared" si="17"/>
        <v>301879208.22000003</v>
      </c>
      <c r="BA19" s="235">
        <f t="shared" si="17"/>
        <v>301879208.222</v>
      </c>
      <c r="BB19" s="235">
        <f t="shared" si="17"/>
        <v>310894192.27999997</v>
      </c>
      <c r="BC19" s="235">
        <f t="shared" si="17"/>
        <v>306435197.44</v>
      </c>
      <c r="BD19" s="235">
        <f t="shared" si="17"/>
        <v>301683860</v>
      </c>
      <c r="BE19" s="235">
        <f t="shared" si="17"/>
        <v>338529288.02999997</v>
      </c>
      <c r="BF19" s="235">
        <f t="shared" si="17"/>
        <v>344320366.87</v>
      </c>
      <c r="BG19" s="235">
        <f t="shared" si="17"/>
        <v>337609689.21000004</v>
      </c>
      <c r="BH19" s="235">
        <f t="shared" si="17"/>
        <v>336065853.03999996</v>
      </c>
      <c r="BI19" s="235">
        <f t="shared" si="17"/>
        <v>346546100.87</v>
      </c>
      <c r="BJ19" s="235">
        <f t="shared" si="17"/>
        <v>338826132.65000004</v>
      </c>
      <c r="BK19" s="235">
        <f t="shared" si="17"/>
        <v>342647786.94999999</v>
      </c>
      <c r="BL19" s="235">
        <f t="shared" si="17"/>
        <v>371533885.44</v>
      </c>
      <c r="BM19" s="235">
        <f t="shared" si="17"/>
        <v>356274216.97999996</v>
      </c>
      <c r="BN19" s="235">
        <f t="shared" si="17"/>
        <v>372748346.81</v>
      </c>
      <c r="BO19" s="235">
        <f t="shared" si="17"/>
        <v>381968141.76000005</v>
      </c>
      <c r="BP19" s="235">
        <f t="shared" si="17"/>
        <v>383438488.13999999</v>
      </c>
      <c r="BQ19" s="235">
        <f t="shared" si="17"/>
        <v>383266443.29999995</v>
      </c>
      <c r="BR19" s="235">
        <f t="shared" si="17"/>
        <v>397715839.62</v>
      </c>
      <c r="BS19" s="235">
        <f t="shared" si="17"/>
        <v>390334781.50999999</v>
      </c>
      <c r="BT19" s="235">
        <f t="shared" si="17"/>
        <v>386390981.69999999</v>
      </c>
      <c r="BU19" s="235">
        <f t="shared" si="17"/>
        <v>375579590.94</v>
      </c>
      <c r="BV19" s="235">
        <f t="shared" si="17"/>
        <v>386700673.25999999</v>
      </c>
      <c r="BW19" s="235">
        <f t="shared" si="17"/>
        <v>393729111.33999997</v>
      </c>
      <c r="BX19" s="235">
        <f t="shared" si="17"/>
        <v>0</v>
      </c>
      <c r="BY19" s="235">
        <f t="shared" si="17"/>
        <v>418843204.59999996</v>
      </c>
      <c r="BZ19" s="235">
        <f t="shared" si="17"/>
        <v>429608168.69999999</v>
      </c>
      <c r="CA19" s="235">
        <f t="shared" si="17"/>
        <v>449490462.88</v>
      </c>
      <c r="CB19" s="235">
        <f t="shared" si="17"/>
        <v>447040791.67000002</v>
      </c>
      <c r="CC19" s="235">
        <f t="shared" si="17"/>
        <v>441338887.85000002</v>
      </c>
      <c r="CD19" s="235">
        <f t="shared" si="17"/>
        <v>441338887.85000002</v>
      </c>
      <c r="CE19" s="235">
        <f t="shared" ref="CE19:CS19" si="18">CE20-CE21</f>
        <v>493093543</v>
      </c>
      <c r="CF19" s="237">
        <f t="shared" si="18"/>
        <v>522402453.07999998</v>
      </c>
      <c r="CG19" s="237">
        <f t="shared" si="18"/>
        <v>524558956.75999999</v>
      </c>
      <c r="CH19" s="237">
        <f t="shared" si="18"/>
        <v>527343820.71000004</v>
      </c>
      <c r="CI19" s="237">
        <f t="shared" si="18"/>
        <v>530666313.27999997</v>
      </c>
      <c r="CJ19" s="237">
        <f t="shared" si="18"/>
        <v>527721280.31</v>
      </c>
      <c r="CK19" s="237">
        <f t="shared" si="18"/>
        <v>527209715.39999998</v>
      </c>
      <c r="CL19" s="237">
        <f t="shared" si="18"/>
        <v>528035667.24000001</v>
      </c>
      <c r="CM19" s="237">
        <f t="shared" si="18"/>
        <v>530751685.52999997</v>
      </c>
      <c r="CN19" s="237">
        <f t="shared" si="18"/>
        <v>531823583.32999992</v>
      </c>
      <c r="CO19" s="237">
        <f t="shared" si="18"/>
        <v>534829115.33999997</v>
      </c>
      <c r="CP19" s="237">
        <f t="shared" si="18"/>
        <v>536925581.31999993</v>
      </c>
      <c r="CQ19" s="237">
        <f t="shared" si="18"/>
        <v>610374864.29999995</v>
      </c>
      <c r="CR19" s="237">
        <f t="shared" si="18"/>
        <v>0</v>
      </c>
      <c r="CS19" s="237">
        <f t="shared" si="18"/>
        <v>0</v>
      </c>
    </row>
    <row r="20" spans="1:97">
      <c r="A20" s="272"/>
      <c r="B20" s="229" t="s">
        <v>30</v>
      </c>
      <c r="C20" s="256">
        <v>305479221</v>
      </c>
      <c r="D20" s="257">
        <v>195133811.91999999</v>
      </c>
      <c r="E20" s="240">
        <f>180386268+66741713</f>
        <v>247127981</v>
      </c>
      <c r="F20" s="240">
        <v>243114626.75</v>
      </c>
      <c r="G20" s="240">
        <v>243873528.36000001</v>
      </c>
      <c r="H20" s="240">
        <v>233230947.59999999</v>
      </c>
      <c r="I20" s="240">
        <v>241413792.47</v>
      </c>
      <c r="J20" s="240">
        <v>241413792.47</v>
      </c>
      <c r="K20" s="240">
        <v>241853744.47</v>
      </c>
      <c r="L20" s="240">
        <v>249813185.93000001</v>
      </c>
      <c r="M20" s="240">
        <v>250867993.30000001</v>
      </c>
      <c r="N20" s="240">
        <v>285151090.93000001</v>
      </c>
      <c r="O20" s="240">
        <v>315102984.67000002</v>
      </c>
      <c r="P20" s="240">
        <v>315777999.58999997</v>
      </c>
      <c r="Q20" s="240">
        <v>329687730.5</v>
      </c>
      <c r="R20" s="241">
        <v>258801812</v>
      </c>
      <c r="S20" s="273">
        <v>339324975.19999999</v>
      </c>
      <c r="T20" s="273">
        <v>253110137.78999999</v>
      </c>
      <c r="U20" s="273">
        <v>261440035</v>
      </c>
      <c r="V20" s="274">
        <v>272773006.68000001</v>
      </c>
      <c r="W20" s="270">
        <v>253223966.34</v>
      </c>
      <c r="X20" s="275">
        <v>252637306.81</v>
      </c>
      <c r="Y20" s="245">
        <v>251123467</v>
      </c>
      <c r="Z20" s="276">
        <v>264474421.91999999</v>
      </c>
      <c r="AA20" s="247">
        <v>264817788.28</v>
      </c>
      <c r="AB20" s="245">
        <v>263391013.31</v>
      </c>
      <c r="AC20" s="245">
        <v>265290816.38999999</v>
      </c>
      <c r="AD20" s="248">
        <v>270605197.94</v>
      </c>
      <c r="AE20" s="249">
        <v>267300606.21000001</v>
      </c>
      <c r="AF20" s="249">
        <v>274285410.20999998</v>
      </c>
      <c r="AG20" s="249">
        <v>292254371.13999999</v>
      </c>
      <c r="AH20" s="249">
        <v>299221211.13</v>
      </c>
      <c r="AI20" s="249">
        <v>294298691.57999998</v>
      </c>
      <c r="AJ20" s="212">
        <v>298807627.51999998</v>
      </c>
      <c r="AK20" s="212">
        <v>302632261.19999999</v>
      </c>
      <c r="AL20" s="212">
        <v>320779877.57999998</v>
      </c>
      <c r="AM20" s="212">
        <v>323727413.19999999</v>
      </c>
      <c r="AN20" s="212">
        <v>320598763.42000002</v>
      </c>
      <c r="AO20" s="212">
        <v>341329968.56</v>
      </c>
      <c r="AP20" s="212">
        <v>334600688.72000003</v>
      </c>
      <c r="AQ20" s="212">
        <v>334089794</v>
      </c>
      <c r="AR20" s="212">
        <v>341058152.42000002</v>
      </c>
      <c r="AS20" s="212">
        <v>347451520.94999999</v>
      </c>
      <c r="AT20" s="250">
        <v>335931492.31</v>
      </c>
      <c r="AU20" s="250">
        <v>338800953.64999998</v>
      </c>
      <c r="AV20" s="250">
        <v>331876918.11000001</v>
      </c>
      <c r="AW20" s="270">
        <v>328164363.26999998</v>
      </c>
      <c r="AX20" s="250">
        <v>333034765.08999997</v>
      </c>
      <c r="AY20" s="250">
        <v>314554265.38999999</v>
      </c>
      <c r="AZ20" s="250">
        <v>311489176.30000001</v>
      </c>
      <c r="BA20" s="240">
        <v>311489176.30000001</v>
      </c>
      <c r="BB20" s="251">
        <v>321403631.06999999</v>
      </c>
      <c r="BC20" s="252">
        <v>318448428.83999997</v>
      </c>
      <c r="BD20" s="252">
        <v>318461829</v>
      </c>
      <c r="BE20" s="249">
        <v>348154656.94999999</v>
      </c>
      <c r="BF20" s="249">
        <v>354545379.26999998</v>
      </c>
      <c r="BG20" s="249">
        <v>348476795.42000002</v>
      </c>
      <c r="BH20" s="249">
        <v>346801110.38999999</v>
      </c>
      <c r="BI20" s="249">
        <v>355844328.13999999</v>
      </c>
      <c r="BJ20" s="249">
        <v>348705845.54000002</v>
      </c>
      <c r="BK20" s="249">
        <v>352155672.62</v>
      </c>
      <c r="BL20" s="249">
        <v>381237418.99000001</v>
      </c>
      <c r="BM20" s="249">
        <v>366098734.44999999</v>
      </c>
      <c r="BN20" s="249">
        <v>382749410.86000001</v>
      </c>
      <c r="BO20" s="249">
        <v>392746986.91000003</v>
      </c>
      <c r="BP20" s="249">
        <v>406216457.13999999</v>
      </c>
      <c r="BQ20" s="253">
        <v>406044412.29999995</v>
      </c>
      <c r="BR20" s="249">
        <v>408239186.62</v>
      </c>
      <c r="BS20" s="249">
        <v>401646292.31</v>
      </c>
      <c r="BT20" s="249">
        <v>397113140.87</v>
      </c>
      <c r="BU20" s="249">
        <v>383840554.17000002</v>
      </c>
      <c r="BV20" s="249">
        <v>395846362.45999998</v>
      </c>
      <c r="BW20" s="249">
        <v>404428429.50999999</v>
      </c>
      <c r="BX20" s="249"/>
      <c r="BY20" s="249">
        <v>429100405.00999999</v>
      </c>
      <c r="BZ20" s="249">
        <v>439847738.39999998</v>
      </c>
      <c r="CA20" s="249">
        <v>459903532.94</v>
      </c>
      <c r="CB20" s="249">
        <v>458592921.99000001</v>
      </c>
      <c r="CC20" s="249">
        <v>471108856.86000001</v>
      </c>
      <c r="CD20" s="212">
        <v>471116856.85000002</v>
      </c>
      <c r="CE20" s="212">
        <v>529871512</v>
      </c>
      <c r="CF20" s="254">
        <v>529318149.30000001</v>
      </c>
      <c r="CG20" s="254">
        <v>531518000.13999999</v>
      </c>
      <c r="CH20" s="254">
        <v>533999099.98000002</v>
      </c>
      <c r="CI20" s="254">
        <v>537769459.5</v>
      </c>
      <c r="CJ20" s="254">
        <v>535037079.16000003</v>
      </c>
      <c r="CK20" s="254">
        <v>534387945.82999998</v>
      </c>
      <c r="CL20" s="254">
        <v>535630809.29000002</v>
      </c>
      <c r="CM20" s="254">
        <v>538246038.29999995</v>
      </c>
      <c r="CN20" s="255">
        <v>539554044.29999995</v>
      </c>
      <c r="CO20" s="255">
        <v>542554583.39999998</v>
      </c>
      <c r="CP20" s="255">
        <v>544750900.39999998</v>
      </c>
      <c r="CQ20" s="255">
        <v>617874864.29999995</v>
      </c>
    </row>
    <row r="21" spans="1:97">
      <c r="A21" s="272"/>
      <c r="B21" s="229" t="s">
        <v>31</v>
      </c>
      <c r="C21" s="256">
        <v>3050258.22</v>
      </c>
      <c r="D21" s="257">
        <v>3902676.24</v>
      </c>
      <c r="E21" s="240">
        <v>10016426</v>
      </c>
      <c r="F21" s="240">
        <v>2004119.4</v>
      </c>
      <c r="G21" s="240">
        <v>2320087</v>
      </c>
      <c r="H21" s="240">
        <v>2004119.4</v>
      </c>
      <c r="I21" s="240">
        <v>7996958.0999999996</v>
      </c>
      <c r="J21" s="240">
        <v>2004119.4</v>
      </c>
      <c r="K21" s="240">
        <v>2547249.6</v>
      </c>
      <c r="L21" s="240">
        <v>2160622.9</v>
      </c>
      <c r="M21" s="240">
        <v>2720125.36</v>
      </c>
      <c r="N21" s="240">
        <v>3892150.46</v>
      </c>
      <c r="O21" s="240">
        <v>4393500.3</v>
      </c>
      <c r="P21" s="240">
        <v>5271719.2</v>
      </c>
      <c r="Q21" s="240">
        <v>7122341.0999999996</v>
      </c>
      <c r="R21" s="241">
        <v>7504736</v>
      </c>
      <c r="S21" s="273">
        <v>2010478.7</v>
      </c>
      <c r="T21" s="273">
        <v>1010297.23</v>
      </c>
      <c r="U21" s="273">
        <v>2065128.3</v>
      </c>
      <c r="V21" s="274">
        <v>2370230.1</v>
      </c>
      <c r="W21" s="270">
        <v>1213077.3</v>
      </c>
      <c r="X21" s="275">
        <v>996699.5</v>
      </c>
      <c r="Y21" s="245">
        <v>1099590.1000000001</v>
      </c>
      <c r="Z21" s="276">
        <v>2054575.7</v>
      </c>
      <c r="AA21" s="247">
        <v>1356716.5</v>
      </c>
      <c r="AB21" s="245">
        <v>11922707.82</v>
      </c>
      <c r="AC21" s="245">
        <v>10596214.779999999</v>
      </c>
      <c r="AD21" s="248">
        <v>18317842.539999999</v>
      </c>
      <c r="AE21" s="249">
        <v>11235789.359999999</v>
      </c>
      <c r="AF21" s="249">
        <v>12369785.300000001</v>
      </c>
      <c r="AG21" s="249">
        <v>11924753.060000001</v>
      </c>
      <c r="AH21" s="249">
        <v>12394567.890000001</v>
      </c>
      <c r="AI21" s="249">
        <v>11095882.66</v>
      </c>
      <c r="AJ21" s="212">
        <v>13741670.949999999</v>
      </c>
      <c r="AK21" s="212">
        <v>13340487.359999999</v>
      </c>
      <c r="AL21" s="212">
        <v>10375125.460000001</v>
      </c>
      <c r="AM21" s="212">
        <v>13645903.32</v>
      </c>
      <c r="AN21" s="212">
        <v>14379389.6</v>
      </c>
      <c r="AO21" s="212">
        <v>9825396.4499999993</v>
      </c>
      <c r="AP21" s="212">
        <v>13788863.529999999</v>
      </c>
      <c r="AQ21" s="212">
        <v>13277969</v>
      </c>
      <c r="AR21" s="212">
        <v>13245897.4</v>
      </c>
      <c r="AS21" s="212">
        <v>11245365.33</v>
      </c>
      <c r="AT21" s="250">
        <v>12757388.220000001</v>
      </c>
      <c r="AU21" s="250">
        <v>13526987.4</v>
      </c>
      <c r="AV21" s="250">
        <v>14369785.199999999</v>
      </c>
      <c r="AW21" s="270">
        <v>10502228.060000001</v>
      </c>
      <c r="AX21" s="250">
        <v>11868566.09</v>
      </c>
      <c r="AY21" s="250">
        <v>9807410.5700000003</v>
      </c>
      <c r="AZ21" s="250">
        <v>9609968.0800000001</v>
      </c>
      <c r="BA21" s="240">
        <v>9609968.0779999997</v>
      </c>
      <c r="BB21" s="251">
        <v>10509438.789999999</v>
      </c>
      <c r="BC21" s="252">
        <v>12013231.4</v>
      </c>
      <c r="BD21" s="252">
        <v>16777969</v>
      </c>
      <c r="BE21" s="249">
        <v>9625368.9199999999</v>
      </c>
      <c r="BF21" s="249">
        <v>10225012.4</v>
      </c>
      <c r="BG21" s="249">
        <v>10867106.210000001</v>
      </c>
      <c r="BH21" s="249">
        <v>10735257.35</v>
      </c>
      <c r="BI21" s="249">
        <v>9298227.2699999996</v>
      </c>
      <c r="BJ21" s="249">
        <v>9879712.8900000006</v>
      </c>
      <c r="BK21" s="249">
        <v>9507885.6699999999</v>
      </c>
      <c r="BL21" s="249">
        <v>9703533.5500000007</v>
      </c>
      <c r="BM21" s="249">
        <v>9824517.4700000007</v>
      </c>
      <c r="BN21" s="249">
        <v>10001064.050000001</v>
      </c>
      <c r="BO21" s="249">
        <v>10778845.15</v>
      </c>
      <c r="BP21" s="249">
        <v>22777969</v>
      </c>
      <c r="BQ21" s="253">
        <v>22777969</v>
      </c>
      <c r="BR21" s="249">
        <v>10523347</v>
      </c>
      <c r="BS21" s="249">
        <v>11311510.800000001</v>
      </c>
      <c r="BT21" s="249">
        <v>10722159.17</v>
      </c>
      <c r="BU21" s="249">
        <v>8260963.2300000004</v>
      </c>
      <c r="BV21" s="249">
        <v>9145689.1999999993</v>
      </c>
      <c r="BW21" s="249">
        <v>10699318.17</v>
      </c>
      <c r="BX21" s="249"/>
      <c r="BY21" s="249">
        <v>10257200.41</v>
      </c>
      <c r="BZ21" s="249">
        <v>10239569.699999999</v>
      </c>
      <c r="CA21" s="249">
        <v>10413070.060000001</v>
      </c>
      <c r="CB21" s="249">
        <v>11552130.32</v>
      </c>
      <c r="CC21" s="249">
        <v>29769969.010000002</v>
      </c>
      <c r="CD21" s="212">
        <v>29777969</v>
      </c>
      <c r="CE21" s="212">
        <v>36777969</v>
      </c>
      <c r="CF21" s="254">
        <v>6915696.2199999997</v>
      </c>
      <c r="CG21" s="254">
        <v>6959043.3799999999</v>
      </c>
      <c r="CH21" s="254">
        <v>6655279.2699999996</v>
      </c>
      <c r="CI21" s="254">
        <v>7103146.2199999997</v>
      </c>
      <c r="CJ21" s="254">
        <v>7315798.8499999996</v>
      </c>
      <c r="CK21" s="254">
        <v>7178230.4299999997</v>
      </c>
      <c r="CL21" s="254">
        <v>7595142.0499999998</v>
      </c>
      <c r="CM21" s="254">
        <v>7494352.7699999996</v>
      </c>
      <c r="CN21" s="255">
        <v>7730460.9699999997</v>
      </c>
      <c r="CO21" s="255">
        <v>7725468.0599999996</v>
      </c>
      <c r="CP21" s="255">
        <v>7825319.0800000001</v>
      </c>
      <c r="CQ21" s="255">
        <v>7500000</v>
      </c>
    </row>
    <row r="22" spans="1:97">
      <c r="A22" s="228">
        <v>5</v>
      </c>
      <c r="B22" s="227" t="s">
        <v>32</v>
      </c>
      <c r="C22" s="277">
        <v>0</v>
      </c>
      <c r="D22" s="271"/>
      <c r="E22" s="232">
        <f t="shared" ref="E22:K22" si="19">SUM(E23:E25)</f>
        <v>0</v>
      </c>
      <c r="F22" s="232">
        <f t="shared" si="19"/>
        <v>0</v>
      </c>
      <c r="G22" s="232">
        <f t="shared" si="19"/>
        <v>0</v>
      </c>
      <c r="H22" s="232">
        <f t="shared" si="19"/>
        <v>0</v>
      </c>
      <c r="I22" s="232">
        <f t="shared" si="19"/>
        <v>0</v>
      </c>
      <c r="J22" s="232">
        <f t="shared" si="19"/>
        <v>0</v>
      </c>
      <c r="K22" s="232">
        <f t="shared" si="19"/>
        <v>0</v>
      </c>
      <c r="L22" s="232">
        <f t="shared" ref="L22:M22" si="20">SUM(L23:L25)</f>
        <v>0</v>
      </c>
      <c r="M22" s="232">
        <f t="shared" si="20"/>
        <v>0</v>
      </c>
      <c r="N22" s="232">
        <f t="shared" ref="N22:P22" si="21">SUM(N23:N25)</f>
        <v>0</v>
      </c>
      <c r="O22" s="232">
        <f t="shared" si="21"/>
        <v>0</v>
      </c>
      <c r="P22" s="232">
        <f t="shared" si="21"/>
        <v>0</v>
      </c>
      <c r="Q22" s="232">
        <f t="shared" ref="Q22:AX22" si="22">SUM(Q23:Q25)</f>
        <v>0</v>
      </c>
      <c r="R22" s="233">
        <f t="shared" si="22"/>
        <v>0</v>
      </c>
      <c r="S22" s="234">
        <f t="shared" si="22"/>
        <v>0</v>
      </c>
      <c r="T22" s="234">
        <f t="shared" si="22"/>
        <v>0</v>
      </c>
      <c r="U22" s="234">
        <f t="shared" si="22"/>
        <v>0</v>
      </c>
      <c r="V22" s="234">
        <f t="shared" si="22"/>
        <v>0</v>
      </c>
      <c r="W22" s="234">
        <f t="shared" si="22"/>
        <v>0</v>
      </c>
      <c r="X22" s="234">
        <f t="shared" si="22"/>
        <v>0</v>
      </c>
      <c r="Y22" s="234">
        <f t="shared" si="22"/>
        <v>0</v>
      </c>
      <c r="Z22" s="234">
        <f t="shared" si="22"/>
        <v>0</v>
      </c>
      <c r="AA22" s="234">
        <f t="shared" si="22"/>
        <v>0</v>
      </c>
      <c r="AB22" s="234">
        <f t="shared" si="22"/>
        <v>0</v>
      </c>
      <c r="AC22" s="234">
        <f t="shared" si="22"/>
        <v>0</v>
      </c>
      <c r="AD22" s="234">
        <f t="shared" si="22"/>
        <v>0</v>
      </c>
      <c r="AE22" s="234">
        <f t="shared" si="22"/>
        <v>0</v>
      </c>
      <c r="AF22" s="234">
        <f t="shared" si="22"/>
        <v>0</v>
      </c>
      <c r="AG22" s="234">
        <f t="shared" si="22"/>
        <v>0</v>
      </c>
      <c r="AH22" s="234">
        <f t="shared" si="22"/>
        <v>0</v>
      </c>
      <c r="AI22" s="234">
        <f t="shared" si="22"/>
        <v>0</v>
      </c>
      <c r="AJ22" s="234">
        <f t="shared" si="22"/>
        <v>0</v>
      </c>
      <c r="AK22" s="234">
        <f t="shared" si="22"/>
        <v>0</v>
      </c>
      <c r="AL22" s="235">
        <f t="shared" si="22"/>
        <v>0</v>
      </c>
      <c r="AM22" s="235">
        <f t="shared" si="22"/>
        <v>0</v>
      </c>
      <c r="AN22" s="235">
        <f t="shared" si="22"/>
        <v>0</v>
      </c>
      <c r="AO22" s="235">
        <f t="shared" si="22"/>
        <v>0</v>
      </c>
      <c r="AP22" s="235">
        <f t="shared" si="22"/>
        <v>0</v>
      </c>
      <c r="AQ22" s="235">
        <f t="shared" si="22"/>
        <v>0</v>
      </c>
      <c r="AR22" s="235">
        <f t="shared" si="22"/>
        <v>0</v>
      </c>
      <c r="AS22" s="236">
        <f t="shared" si="22"/>
        <v>0</v>
      </c>
      <c r="AT22" s="235">
        <f t="shared" si="22"/>
        <v>0</v>
      </c>
      <c r="AU22" s="235">
        <f t="shared" si="22"/>
        <v>0</v>
      </c>
      <c r="AV22" s="235">
        <f t="shared" si="22"/>
        <v>0</v>
      </c>
      <c r="AW22" s="235">
        <f t="shared" si="22"/>
        <v>0</v>
      </c>
      <c r="AX22" s="235">
        <f t="shared" si="22"/>
        <v>0</v>
      </c>
      <c r="AY22" s="235">
        <f t="shared" ref="AY22:CD22" si="23">SUM(AY23:AY25)</f>
        <v>0</v>
      </c>
      <c r="AZ22" s="235">
        <f t="shared" si="23"/>
        <v>0</v>
      </c>
      <c r="BA22" s="235">
        <f t="shared" si="23"/>
        <v>0</v>
      </c>
      <c r="BB22" s="235">
        <f t="shared" si="23"/>
        <v>0</v>
      </c>
      <c r="BC22" s="235">
        <f t="shared" si="23"/>
        <v>0</v>
      </c>
      <c r="BD22" s="235">
        <f t="shared" si="23"/>
        <v>0</v>
      </c>
      <c r="BE22" s="235">
        <f t="shared" si="23"/>
        <v>0</v>
      </c>
      <c r="BF22" s="235">
        <f t="shared" si="23"/>
        <v>0</v>
      </c>
      <c r="BG22" s="235">
        <f t="shared" si="23"/>
        <v>0</v>
      </c>
      <c r="BH22" s="235">
        <f t="shared" si="23"/>
        <v>0</v>
      </c>
      <c r="BI22" s="235">
        <f t="shared" si="23"/>
        <v>0</v>
      </c>
      <c r="BJ22" s="235">
        <f t="shared" si="23"/>
        <v>0</v>
      </c>
      <c r="BK22" s="235">
        <f t="shared" si="23"/>
        <v>0</v>
      </c>
      <c r="BL22" s="235">
        <f t="shared" si="23"/>
        <v>0</v>
      </c>
      <c r="BM22" s="235">
        <f t="shared" si="23"/>
        <v>0</v>
      </c>
      <c r="BN22" s="235">
        <f t="shared" si="23"/>
        <v>0</v>
      </c>
      <c r="BO22" s="235">
        <f t="shared" si="23"/>
        <v>0</v>
      </c>
      <c r="BP22" s="235">
        <f t="shared" si="23"/>
        <v>0</v>
      </c>
      <c r="BQ22" s="235">
        <f t="shared" si="23"/>
        <v>0</v>
      </c>
      <c r="BR22" s="235">
        <f t="shared" si="23"/>
        <v>0</v>
      </c>
      <c r="BS22" s="235">
        <f t="shared" si="23"/>
        <v>0</v>
      </c>
      <c r="BT22" s="235">
        <f t="shared" si="23"/>
        <v>0</v>
      </c>
      <c r="BU22" s="235">
        <f t="shared" si="23"/>
        <v>0</v>
      </c>
      <c r="BV22" s="235">
        <f t="shared" si="23"/>
        <v>0</v>
      </c>
      <c r="BW22" s="235">
        <f t="shared" si="23"/>
        <v>0</v>
      </c>
      <c r="BX22" s="235">
        <f t="shared" si="23"/>
        <v>0</v>
      </c>
      <c r="BY22" s="235">
        <f t="shared" si="23"/>
        <v>0</v>
      </c>
      <c r="BZ22" s="235">
        <f t="shared" si="23"/>
        <v>0</v>
      </c>
      <c r="CA22" s="235">
        <f t="shared" si="23"/>
        <v>0</v>
      </c>
      <c r="CB22" s="235">
        <f t="shared" si="23"/>
        <v>0</v>
      </c>
      <c r="CC22" s="235">
        <f t="shared" si="23"/>
        <v>0</v>
      </c>
      <c r="CD22" s="235">
        <f t="shared" si="23"/>
        <v>0</v>
      </c>
      <c r="CE22" s="235">
        <f t="shared" ref="CE22:CS22" si="24">SUM(CE23:CE25)</f>
        <v>0</v>
      </c>
      <c r="CF22" s="237">
        <f t="shared" si="24"/>
        <v>0</v>
      </c>
      <c r="CG22" s="237">
        <f t="shared" si="24"/>
        <v>0</v>
      </c>
      <c r="CH22" s="237">
        <f t="shared" si="24"/>
        <v>0</v>
      </c>
      <c r="CI22" s="237">
        <f t="shared" si="24"/>
        <v>0</v>
      </c>
      <c r="CJ22" s="237">
        <f t="shared" si="24"/>
        <v>0</v>
      </c>
      <c r="CK22" s="237">
        <f t="shared" si="24"/>
        <v>0</v>
      </c>
      <c r="CL22" s="237">
        <f t="shared" si="24"/>
        <v>0</v>
      </c>
      <c r="CM22" s="237">
        <f t="shared" si="24"/>
        <v>0</v>
      </c>
      <c r="CN22" s="237">
        <f t="shared" si="24"/>
        <v>0</v>
      </c>
      <c r="CO22" s="237">
        <f t="shared" si="24"/>
        <v>0</v>
      </c>
      <c r="CP22" s="237">
        <f t="shared" si="24"/>
        <v>0</v>
      </c>
      <c r="CQ22" s="237">
        <f t="shared" si="24"/>
        <v>0</v>
      </c>
      <c r="CR22" s="237">
        <f t="shared" si="24"/>
        <v>0</v>
      </c>
      <c r="CS22" s="235">
        <f t="shared" si="24"/>
        <v>0</v>
      </c>
    </row>
    <row r="23" spans="1:97">
      <c r="A23" s="272">
        <v>5.0999999999999996</v>
      </c>
      <c r="B23" s="229" t="s">
        <v>33</v>
      </c>
      <c r="C23" s="262"/>
      <c r="D23" s="257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1"/>
      <c r="S23" s="245">
        <v>0</v>
      </c>
      <c r="T23" s="245">
        <v>0</v>
      </c>
      <c r="U23" s="245">
        <v>0</v>
      </c>
      <c r="V23" s="245">
        <v>0</v>
      </c>
      <c r="W23" s="245">
        <v>0</v>
      </c>
      <c r="X23" s="245">
        <v>0</v>
      </c>
      <c r="Y23" s="245">
        <v>0</v>
      </c>
      <c r="Z23" s="245">
        <v>0</v>
      </c>
      <c r="AA23" s="267"/>
      <c r="AB23" s="245">
        <v>0</v>
      </c>
      <c r="AC23" s="245">
        <v>0</v>
      </c>
      <c r="AD23" s="248">
        <v>0</v>
      </c>
      <c r="AE23" s="249">
        <v>0</v>
      </c>
      <c r="AF23" s="249">
        <v>0</v>
      </c>
      <c r="AG23" s="249">
        <v>0</v>
      </c>
      <c r="AH23" s="249">
        <v>0</v>
      </c>
      <c r="AI23" s="249">
        <v>0</v>
      </c>
      <c r="AJ23" s="212">
        <v>0</v>
      </c>
      <c r="AK23" s="212">
        <v>0</v>
      </c>
      <c r="AL23" s="212">
        <v>0</v>
      </c>
      <c r="AM23" s="212">
        <v>0</v>
      </c>
      <c r="AN23" s="212">
        <v>0</v>
      </c>
      <c r="AO23" s="212">
        <v>0</v>
      </c>
      <c r="AP23" s="212">
        <v>0</v>
      </c>
      <c r="AQ23" s="212"/>
      <c r="AR23" s="212">
        <v>0</v>
      </c>
      <c r="AS23" s="212">
        <v>0</v>
      </c>
      <c r="AT23" s="250">
        <v>0</v>
      </c>
      <c r="AU23" s="250">
        <v>0</v>
      </c>
      <c r="AV23" s="250">
        <v>0</v>
      </c>
      <c r="AW23" s="250">
        <v>0</v>
      </c>
      <c r="AX23" s="250">
        <v>0</v>
      </c>
      <c r="AY23" s="250">
        <v>0</v>
      </c>
      <c r="AZ23" s="250">
        <v>0</v>
      </c>
      <c r="BA23" s="250">
        <v>0</v>
      </c>
      <c r="BB23" s="251">
        <v>0</v>
      </c>
      <c r="BC23" s="252">
        <v>0</v>
      </c>
      <c r="BD23" s="252">
        <v>0</v>
      </c>
      <c r="BE23" s="249">
        <v>0</v>
      </c>
      <c r="BF23" s="249">
        <v>0</v>
      </c>
      <c r="BG23" s="249">
        <v>0</v>
      </c>
      <c r="BH23" s="249">
        <v>0</v>
      </c>
      <c r="BI23" s="249">
        <v>0</v>
      </c>
      <c r="BJ23" s="249">
        <v>0</v>
      </c>
      <c r="BK23" s="249">
        <v>0</v>
      </c>
      <c r="BL23" s="249">
        <v>0</v>
      </c>
      <c r="BM23" s="249">
        <v>0</v>
      </c>
      <c r="BN23" s="249">
        <v>0</v>
      </c>
      <c r="BO23" s="249">
        <v>0</v>
      </c>
      <c r="BP23" s="249">
        <v>0</v>
      </c>
      <c r="BQ23" s="253"/>
      <c r="BR23" s="249">
        <v>0</v>
      </c>
      <c r="BS23" s="249">
        <v>0</v>
      </c>
      <c r="BT23" s="249">
        <v>0</v>
      </c>
      <c r="BU23" s="249">
        <v>0</v>
      </c>
      <c r="BV23" s="249">
        <v>0</v>
      </c>
      <c r="BW23" s="249">
        <v>0</v>
      </c>
      <c r="BX23" s="249"/>
      <c r="BY23" s="249">
        <v>0</v>
      </c>
      <c r="BZ23" s="249">
        <v>0</v>
      </c>
      <c r="CA23" s="249">
        <v>0</v>
      </c>
      <c r="CB23" s="249">
        <v>0</v>
      </c>
      <c r="CC23" s="249">
        <v>0</v>
      </c>
      <c r="CE23" s="212"/>
      <c r="CF23" s="254">
        <v>0</v>
      </c>
      <c r="CG23" s="254">
        <v>0</v>
      </c>
      <c r="CH23" s="254">
        <v>0</v>
      </c>
      <c r="CI23" s="254">
        <v>0</v>
      </c>
      <c r="CJ23" s="254">
        <v>0</v>
      </c>
      <c r="CK23" s="254">
        <v>0</v>
      </c>
      <c r="CL23" s="254">
        <v>0</v>
      </c>
      <c r="CM23" s="254">
        <v>0</v>
      </c>
      <c r="CN23" s="255">
        <v>0</v>
      </c>
      <c r="CO23" s="255">
        <v>0</v>
      </c>
      <c r="CP23" s="255">
        <v>0</v>
      </c>
      <c r="CQ23" s="255">
        <v>0</v>
      </c>
    </row>
    <row r="24" spans="1:97">
      <c r="A24" s="272">
        <v>5.2</v>
      </c>
      <c r="B24" s="229" t="s">
        <v>34</v>
      </c>
      <c r="C24" s="262"/>
      <c r="D24" s="257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1"/>
      <c r="S24" s="245">
        <v>0</v>
      </c>
      <c r="T24" s="245">
        <v>0</v>
      </c>
      <c r="U24" s="245">
        <v>0</v>
      </c>
      <c r="V24" s="245">
        <v>0</v>
      </c>
      <c r="W24" s="245">
        <v>0</v>
      </c>
      <c r="X24" s="245">
        <v>0</v>
      </c>
      <c r="Y24" s="245">
        <v>0</v>
      </c>
      <c r="Z24" s="245">
        <v>0</v>
      </c>
      <c r="AA24" s="267"/>
      <c r="AB24" s="245">
        <v>0</v>
      </c>
      <c r="AC24" s="245">
        <v>0</v>
      </c>
      <c r="AD24" s="248">
        <v>0</v>
      </c>
      <c r="AE24" s="249">
        <v>0</v>
      </c>
      <c r="AF24" s="249">
        <v>0</v>
      </c>
      <c r="AG24" s="249">
        <v>0</v>
      </c>
      <c r="AH24" s="249">
        <v>0</v>
      </c>
      <c r="AI24" s="249">
        <v>0</v>
      </c>
      <c r="AJ24" s="212">
        <v>0</v>
      </c>
      <c r="AK24" s="212">
        <v>0</v>
      </c>
      <c r="AL24" s="212">
        <v>0</v>
      </c>
      <c r="AM24" s="212">
        <v>0</v>
      </c>
      <c r="AN24" s="212">
        <v>0</v>
      </c>
      <c r="AO24" s="212">
        <v>0</v>
      </c>
      <c r="AP24" s="212">
        <v>0</v>
      </c>
      <c r="AQ24" s="212"/>
      <c r="AR24" s="212">
        <v>0</v>
      </c>
      <c r="AS24" s="212">
        <v>0</v>
      </c>
      <c r="AT24" s="250">
        <v>0</v>
      </c>
      <c r="AU24" s="250">
        <v>0</v>
      </c>
      <c r="AV24" s="250">
        <v>0</v>
      </c>
      <c r="AW24" s="250">
        <v>0</v>
      </c>
      <c r="AX24" s="250">
        <v>0</v>
      </c>
      <c r="AY24" s="250">
        <v>0</v>
      </c>
      <c r="AZ24" s="250">
        <v>0</v>
      </c>
      <c r="BA24" s="250">
        <v>0</v>
      </c>
      <c r="BB24" s="251">
        <v>0</v>
      </c>
      <c r="BC24" s="252">
        <v>0</v>
      </c>
      <c r="BD24" s="252">
        <v>0</v>
      </c>
      <c r="BE24" s="249">
        <v>0</v>
      </c>
      <c r="BF24" s="249">
        <v>0</v>
      </c>
      <c r="BG24" s="249">
        <v>0</v>
      </c>
      <c r="BH24" s="249">
        <v>0</v>
      </c>
      <c r="BI24" s="249">
        <v>0</v>
      </c>
      <c r="BJ24" s="249">
        <v>0</v>
      </c>
      <c r="BK24" s="249">
        <v>0</v>
      </c>
      <c r="BL24" s="249">
        <v>0</v>
      </c>
      <c r="BM24" s="249">
        <v>0</v>
      </c>
      <c r="BN24" s="249">
        <v>0</v>
      </c>
      <c r="BO24" s="249">
        <v>0</v>
      </c>
      <c r="BP24" s="249">
        <v>0</v>
      </c>
      <c r="BQ24" s="253"/>
      <c r="BR24" s="249">
        <v>0</v>
      </c>
      <c r="BS24" s="249">
        <v>0</v>
      </c>
      <c r="BT24" s="249">
        <v>0</v>
      </c>
      <c r="BU24" s="249">
        <v>0</v>
      </c>
      <c r="BV24" s="249">
        <v>0</v>
      </c>
      <c r="BW24" s="249">
        <v>0</v>
      </c>
      <c r="BX24" s="249"/>
      <c r="BY24" s="249">
        <v>0</v>
      </c>
      <c r="BZ24" s="249">
        <v>0</v>
      </c>
      <c r="CA24" s="249">
        <v>0</v>
      </c>
      <c r="CB24" s="249">
        <v>0</v>
      </c>
      <c r="CC24" s="249">
        <v>0</v>
      </c>
      <c r="CE24" s="212"/>
      <c r="CF24" s="254">
        <v>0</v>
      </c>
      <c r="CG24" s="254">
        <v>0</v>
      </c>
      <c r="CH24" s="254">
        <v>0</v>
      </c>
      <c r="CI24" s="254">
        <v>0</v>
      </c>
      <c r="CJ24" s="254">
        <v>0</v>
      </c>
      <c r="CK24" s="254">
        <v>0</v>
      </c>
      <c r="CL24" s="254">
        <v>0</v>
      </c>
      <c r="CM24" s="254">
        <v>0</v>
      </c>
      <c r="CN24" s="255">
        <v>0</v>
      </c>
      <c r="CO24" s="255">
        <v>0</v>
      </c>
      <c r="CP24" s="255">
        <v>0</v>
      </c>
      <c r="CQ24" s="255">
        <v>0</v>
      </c>
    </row>
    <row r="25" spans="1:97">
      <c r="A25" s="272">
        <v>5.3</v>
      </c>
      <c r="B25" s="229" t="s">
        <v>35</v>
      </c>
      <c r="C25" s="262"/>
      <c r="D25" s="257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1"/>
      <c r="S25" s="245">
        <v>0</v>
      </c>
      <c r="T25" s="245">
        <v>0</v>
      </c>
      <c r="U25" s="245">
        <v>0</v>
      </c>
      <c r="V25" s="245">
        <v>0</v>
      </c>
      <c r="W25" s="245">
        <v>0</v>
      </c>
      <c r="X25" s="245">
        <v>0</v>
      </c>
      <c r="Y25" s="245">
        <v>0</v>
      </c>
      <c r="Z25" s="245">
        <v>0</v>
      </c>
      <c r="AA25" s="267"/>
      <c r="AB25" s="245">
        <v>0</v>
      </c>
      <c r="AC25" s="245">
        <v>0</v>
      </c>
      <c r="AD25" s="248">
        <v>0</v>
      </c>
      <c r="AE25" s="249">
        <v>0</v>
      </c>
      <c r="AF25" s="249">
        <v>0</v>
      </c>
      <c r="AG25" s="249">
        <v>0</v>
      </c>
      <c r="AH25" s="249">
        <v>0</v>
      </c>
      <c r="AI25" s="249">
        <v>0</v>
      </c>
      <c r="AJ25" s="212">
        <v>0</v>
      </c>
      <c r="AK25" s="212">
        <v>0</v>
      </c>
      <c r="AL25" s="212">
        <v>0</v>
      </c>
      <c r="AM25" s="212">
        <v>0</v>
      </c>
      <c r="AN25" s="212">
        <v>0</v>
      </c>
      <c r="AO25" s="212">
        <v>0</v>
      </c>
      <c r="AP25" s="212">
        <v>0</v>
      </c>
      <c r="AQ25" s="212"/>
      <c r="AR25" s="212">
        <v>0</v>
      </c>
      <c r="AS25" s="212">
        <v>0</v>
      </c>
      <c r="AT25" s="250">
        <v>0</v>
      </c>
      <c r="AU25" s="250">
        <v>0</v>
      </c>
      <c r="AV25" s="250">
        <v>0</v>
      </c>
      <c r="AW25" s="250">
        <v>0</v>
      </c>
      <c r="AX25" s="250">
        <v>0</v>
      </c>
      <c r="AY25" s="250">
        <v>0</v>
      </c>
      <c r="AZ25" s="250">
        <v>0</v>
      </c>
      <c r="BA25" s="250">
        <v>0</v>
      </c>
      <c r="BB25" s="251">
        <v>0</v>
      </c>
      <c r="BC25" s="252">
        <v>0</v>
      </c>
      <c r="BD25" s="252">
        <v>0</v>
      </c>
      <c r="BE25" s="249">
        <v>0</v>
      </c>
      <c r="BF25" s="249">
        <v>0</v>
      </c>
      <c r="BG25" s="249">
        <v>0</v>
      </c>
      <c r="BH25" s="249">
        <v>0</v>
      </c>
      <c r="BI25" s="249">
        <v>0</v>
      </c>
      <c r="BJ25" s="249">
        <v>0</v>
      </c>
      <c r="BK25" s="249">
        <v>0</v>
      </c>
      <c r="BL25" s="249">
        <v>0</v>
      </c>
      <c r="BM25" s="249">
        <v>0</v>
      </c>
      <c r="BN25" s="249">
        <v>0</v>
      </c>
      <c r="BO25" s="249">
        <v>0</v>
      </c>
      <c r="BP25" s="249">
        <v>0</v>
      </c>
      <c r="BQ25" s="253"/>
      <c r="BR25" s="249">
        <v>0</v>
      </c>
      <c r="BS25" s="249">
        <v>0</v>
      </c>
      <c r="BT25" s="249">
        <v>0</v>
      </c>
      <c r="BU25" s="249">
        <v>0</v>
      </c>
      <c r="BV25" s="249">
        <v>0</v>
      </c>
      <c r="BW25" s="249">
        <v>0</v>
      </c>
      <c r="BX25" s="249"/>
      <c r="BY25" s="249">
        <v>0</v>
      </c>
      <c r="BZ25" s="249">
        <v>0</v>
      </c>
      <c r="CA25" s="249">
        <v>0</v>
      </c>
      <c r="CB25" s="249">
        <v>0</v>
      </c>
      <c r="CC25" s="249">
        <v>0</v>
      </c>
      <c r="CE25" s="212"/>
      <c r="CF25" s="254">
        <v>0</v>
      </c>
      <c r="CG25" s="254">
        <v>0</v>
      </c>
      <c r="CH25" s="254">
        <v>0</v>
      </c>
      <c r="CI25" s="254">
        <v>0</v>
      </c>
      <c r="CJ25" s="254">
        <v>0</v>
      </c>
      <c r="CK25" s="254">
        <v>0</v>
      </c>
      <c r="CL25" s="254">
        <v>0</v>
      </c>
      <c r="CM25" s="254">
        <v>0</v>
      </c>
      <c r="CN25" s="255">
        <v>0</v>
      </c>
      <c r="CO25" s="255">
        <v>0</v>
      </c>
      <c r="CP25" s="255">
        <v>0</v>
      </c>
      <c r="CQ25" s="255">
        <v>0</v>
      </c>
    </row>
    <row r="26" spans="1:97">
      <c r="A26" s="228">
        <v>6</v>
      </c>
      <c r="B26" s="227" t="s">
        <v>36</v>
      </c>
      <c r="C26" s="271">
        <f>SUM(C27:C31)</f>
        <v>116800190.95999999</v>
      </c>
      <c r="D26" s="271">
        <f t="shared" ref="D26" si="25">SUM(D27:D31)</f>
        <v>265808117.47</v>
      </c>
      <c r="E26" s="232">
        <f t="shared" ref="E26:K26" si="26">SUM(E27:E31)</f>
        <v>19672436</v>
      </c>
      <c r="F26" s="232">
        <f t="shared" si="26"/>
        <v>178447561.88</v>
      </c>
      <c r="G26" s="232">
        <f t="shared" si="26"/>
        <v>172063458.18000001</v>
      </c>
      <c r="H26" s="232">
        <f t="shared" si="26"/>
        <v>165317981.18000001</v>
      </c>
      <c r="I26" s="232">
        <f t="shared" si="26"/>
        <v>19672436</v>
      </c>
      <c r="J26" s="232">
        <f t="shared" si="26"/>
        <v>19672436</v>
      </c>
      <c r="K26" s="232">
        <f t="shared" si="26"/>
        <v>19672436</v>
      </c>
      <c r="L26" s="232">
        <f t="shared" ref="L26:M26" si="27">SUM(L27:L31)</f>
        <v>19672436</v>
      </c>
      <c r="M26" s="232">
        <f t="shared" si="27"/>
        <v>19672436</v>
      </c>
      <c r="N26" s="232">
        <f t="shared" ref="N26:P26" si="28">SUM(N27:N31)</f>
        <v>39853018.630000003</v>
      </c>
      <c r="O26" s="232">
        <f t="shared" si="28"/>
        <v>39853018.630000003</v>
      </c>
      <c r="P26" s="232">
        <f t="shared" si="28"/>
        <v>39853018.630000003</v>
      </c>
      <c r="Q26" s="232">
        <f t="shared" ref="Q26:CB26" si="29">SUM(Q27:Q31)</f>
        <v>39853018.630000003</v>
      </c>
      <c r="R26" s="233">
        <f t="shared" si="29"/>
        <v>272431841.1387068</v>
      </c>
      <c r="S26" s="234">
        <f t="shared" si="29"/>
        <v>39853018.630000003</v>
      </c>
      <c r="T26" s="234">
        <f t="shared" si="29"/>
        <v>39853018.630000003</v>
      </c>
      <c r="U26" s="234">
        <f t="shared" si="29"/>
        <v>39853018.630000003</v>
      </c>
      <c r="V26" s="234">
        <f t="shared" si="29"/>
        <v>39853018.629999995</v>
      </c>
      <c r="W26" s="234">
        <f t="shared" si="29"/>
        <v>173852290.21000001</v>
      </c>
      <c r="X26" s="234">
        <f t="shared" si="29"/>
        <v>173864040.21000001</v>
      </c>
      <c r="Y26" s="234">
        <f t="shared" si="29"/>
        <v>173864040.21000001</v>
      </c>
      <c r="Z26" s="234">
        <f t="shared" si="29"/>
        <v>173864040.21000001</v>
      </c>
      <c r="AA26" s="234">
        <f t="shared" si="29"/>
        <v>173864040.21000001</v>
      </c>
      <c r="AB26" s="234">
        <f t="shared" si="29"/>
        <v>173864040.21000001</v>
      </c>
      <c r="AC26" s="234">
        <f t="shared" si="29"/>
        <v>181228007.25999999</v>
      </c>
      <c r="AD26" s="234">
        <f t="shared" si="29"/>
        <v>181228007.25999999</v>
      </c>
      <c r="AE26" s="234">
        <f t="shared" si="29"/>
        <v>181293007.25999999</v>
      </c>
      <c r="AF26" s="234">
        <f t="shared" si="29"/>
        <v>181293007.25999999</v>
      </c>
      <c r="AG26" s="234">
        <f t="shared" si="29"/>
        <v>181293007.25999999</v>
      </c>
      <c r="AH26" s="234">
        <f t="shared" si="29"/>
        <v>181293007.25999999</v>
      </c>
      <c r="AI26" s="234">
        <f t="shared" si="29"/>
        <v>181293007.25999999</v>
      </c>
      <c r="AJ26" s="234">
        <f t="shared" si="29"/>
        <v>181293007.25999999</v>
      </c>
      <c r="AK26" s="234">
        <f t="shared" si="29"/>
        <v>181293007.25999999</v>
      </c>
      <c r="AL26" s="235">
        <f t="shared" si="29"/>
        <v>181336507.25999999</v>
      </c>
      <c r="AM26" s="235">
        <f t="shared" si="29"/>
        <v>181336507.25999999</v>
      </c>
      <c r="AN26" s="235">
        <f t="shared" si="29"/>
        <v>181336507.25999999</v>
      </c>
      <c r="AO26" s="235">
        <f t="shared" si="29"/>
        <v>181336507.25999999</v>
      </c>
      <c r="AP26" s="235">
        <f t="shared" si="29"/>
        <v>181336507.25999999</v>
      </c>
      <c r="AQ26" s="235">
        <f t="shared" si="29"/>
        <v>236592374</v>
      </c>
      <c r="AR26" s="235">
        <f t="shared" si="29"/>
        <v>198427142.25999999</v>
      </c>
      <c r="AS26" s="236">
        <f t="shared" si="29"/>
        <v>188627142.25999999</v>
      </c>
      <c r="AT26" s="235">
        <f t="shared" si="29"/>
        <v>188627142.25999999</v>
      </c>
      <c r="AU26" s="235">
        <f t="shared" si="29"/>
        <v>188627142.25999999</v>
      </c>
      <c r="AV26" s="235">
        <f t="shared" si="29"/>
        <v>188627142.25999999</v>
      </c>
      <c r="AW26" s="235">
        <f t="shared" si="29"/>
        <v>188627142.25999999</v>
      </c>
      <c r="AX26" s="235">
        <f t="shared" si="29"/>
        <v>189459942.25999999</v>
      </c>
      <c r="AY26" s="235">
        <f t="shared" si="29"/>
        <v>189459942.25999999</v>
      </c>
      <c r="AZ26" s="235">
        <f t="shared" si="29"/>
        <v>189459942.25999999</v>
      </c>
      <c r="BA26" s="235">
        <f t="shared" si="29"/>
        <v>189459942.25999999</v>
      </c>
      <c r="BB26" s="235">
        <f t="shared" si="29"/>
        <v>195919942.25999999</v>
      </c>
      <c r="BC26" s="235">
        <f t="shared" si="29"/>
        <v>319258560.45999998</v>
      </c>
      <c r="BD26" s="235">
        <f t="shared" si="29"/>
        <v>219418869</v>
      </c>
      <c r="BE26" s="235">
        <f t="shared" si="29"/>
        <v>375722967.25999999</v>
      </c>
      <c r="BF26" s="235">
        <f t="shared" si="29"/>
        <v>367799452.49000001</v>
      </c>
      <c r="BG26" s="235">
        <f t="shared" si="29"/>
        <v>357851755.41999996</v>
      </c>
      <c r="BH26" s="235">
        <f t="shared" si="29"/>
        <v>358184198.26999998</v>
      </c>
      <c r="BI26" s="235">
        <f t="shared" si="29"/>
        <v>358914494.53999996</v>
      </c>
      <c r="BJ26" s="235">
        <f t="shared" si="29"/>
        <v>351011375.38</v>
      </c>
      <c r="BK26" s="235">
        <f t="shared" si="29"/>
        <v>356813189.77999997</v>
      </c>
      <c r="BL26" s="235">
        <f t="shared" si="29"/>
        <v>351872417.64999998</v>
      </c>
      <c r="BM26" s="235">
        <f t="shared" si="29"/>
        <v>352933005.48000002</v>
      </c>
      <c r="BN26" s="235">
        <f t="shared" si="29"/>
        <v>353372908.40999997</v>
      </c>
      <c r="BO26" s="235">
        <f t="shared" si="29"/>
        <v>348763989.61000001</v>
      </c>
      <c r="BP26" s="235">
        <f t="shared" si="29"/>
        <v>346312617.25999999</v>
      </c>
      <c r="BQ26" s="235">
        <f t="shared" si="29"/>
        <v>200430088.84999999</v>
      </c>
      <c r="BR26" s="235">
        <f t="shared" si="29"/>
        <v>343862817.25999999</v>
      </c>
      <c r="BS26" s="235">
        <f t="shared" si="29"/>
        <v>345573146.67999995</v>
      </c>
      <c r="BT26" s="235">
        <f t="shared" si="29"/>
        <v>345445974.34000003</v>
      </c>
      <c r="BU26" s="235">
        <f t="shared" si="29"/>
        <v>347208338.88</v>
      </c>
      <c r="BV26" s="235">
        <f t="shared" si="29"/>
        <v>346436051.63</v>
      </c>
      <c r="BW26" s="235">
        <f t="shared" si="29"/>
        <v>344361588.92999995</v>
      </c>
      <c r="BX26" s="235">
        <f t="shared" si="29"/>
        <v>0</v>
      </c>
      <c r="BY26" s="235">
        <f t="shared" si="29"/>
        <v>338765515.88</v>
      </c>
      <c r="BZ26" s="235">
        <f t="shared" si="29"/>
        <v>338952864.88</v>
      </c>
      <c r="CA26" s="235">
        <f t="shared" si="29"/>
        <v>335025515.88</v>
      </c>
      <c r="CB26" s="235">
        <f t="shared" si="29"/>
        <v>335025515.88</v>
      </c>
      <c r="CC26" s="235">
        <f t="shared" ref="CC26:CD26" si="30">SUM(CC27:CC31)</f>
        <v>330638817.25999999</v>
      </c>
      <c r="CD26" s="235">
        <f t="shared" si="30"/>
        <v>186978178.84999999</v>
      </c>
      <c r="CE26" s="235">
        <f t="shared" ref="CE26:CS26" si="31">SUM(CE27:CE31)</f>
        <v>179332645</v>
      </c>
      <c r="CF26" s="237">
        <f t="shared" si="31"/>
        <v>325602373.25999999</v>
      </c>
      <c r="CG26" s="237">
        <f t="shared" si="31"/>
        <v>325033205.51999998</v>
      </c>
      <c r="CH26" s="237">
        <f t="shared" si="31"/>
        <v>325912874.25999999</v>
      </c>
      <c r="CI26" s="237">
        <f t="shared" si="31"/>
        <v>333998874.25999999</v>
      </c>
      <c r="CJ26" s="237">
        <f t="shared" si="31"/>
        <v>334050378.25999999</v>
      </c>
      <c r="CK26" s="237">
        <f t="shared" si="31"/>
        <v>334468848.25999999</v>
      </c>
      <c r="CL26" s="237">
        <f t="shared" si="31"/>
        <v>334508838.25999999</v>
      </c>
      <c r="CM26" s="237">
        <f t="shared" si="31"/>
        <v>334468848.25999999</v>
      </c>
      <c r="CN26" s="237">
        <f t="shared" si="31"/>
        <v>334468848.25999999</v>
      </c>
      <c r="CO26" s="237">
        <f t="shared" si="31"/>
        <v>334468848.25999999</v>
      </c>
      <c r="CP26" s="237">
        <f t="shared" si="31"/>
        <v>334468848.25999999</v>
      </c>
      <c r="CQ26" s="237">
        <f t="shared" si="31"/>
        <v>284798802.50999999</v>
      </c>
      <c r="CR26" s="237">
        <f t="shared" si="31"/>
        <v>0</v>
      </c>
      <c r="CS26" s="235">
        <f t="shared" si="31"/>
        <v>0</v>
      </c>
    </row>
    <row r="27" spans="1:97">
      <c r="A27" s="272">
        <v>6.1</v>
      </c>
      <c r="B27" s="229" t="s">
        <v>37</v>
      </c>
      <c r="C27" s="278"/>
      <c r="D27" s="271"/>
      <c r="E27" s="240"/>
      <c r="F27" s="240">
        <v>23570790.18</v>
      </c>
      <c r="G27" s="240">
        <v>23570790.18</v>
      </c>
      <c r="H27" s="240">
        <v>16825313.18</v>
      </c>
      <c r="I27" s="240"/>
      <c r="J27" s="240"/>
      <c r="K27" s="240"/>
      <c r="L27" s="240"/>
      <c r="M27" s="240"/>
      <c r="N27" s="240"/>
      <c r="O27" s="240"/>
      <c r="P27" s="240"/>
      <c r="Q27" s="240">
        <v>0</v>
      </c>
      <c r="R27" s="241"/>
      <c r="S27" s="279">
        <v>0</v>
      </c>
      <c r="T27" s="279">
        <v>0</v>
      </c>
      <c r="U27" s="279">
        <v>0</v>
      </c>
      <c r="V27" s="280">
        <v>0</v>
      </c>
      <c r="W27" s="270">
        <v>107186777.26000001</v>
      </c>
      <c r="X27" s="281">
        <v>107186777.26000001</v>
      </c>
      <c r="Y27" s="245">
        <v>107186777.26000001</v>
      </c>
      <c r="Z27" s="282">
        <v>107186777.26000001</v>
      </c>
      <c r="AA27" s="247">
        <v>107186777.26000001</v>
      </c>
      <c r="AB27" s="245">
        <v>107186777.26000001</v>
      </c>
      <c r="AC27" s="245">
        <v>107186777.26000001</v>
      </c>
      <c r="AD27" s="248">
        <v>107186777.26000001</v>
      </c>
      <c r="AE27" s="249">
        <v>107186777.26000001</v>
      </c>
      <c r="AF27" s="249">
        <v>107186777.26000001</v>
      </c>
      <c r="AG27" s="249">
        <v>107186777.26000001</v>
      </c>
      <c r="AH27" s="249">
        <v>107186777.26000001</v>
      </c>
      <c r="AI27" s="249">
        <v>107186777.26000001</v>
      </c>
      <c r="AJ27" s="212">
        <v>107186777.26000001</v>
      </c>
      <c r="AK27" s="212">
        <v>107186777.26000001</v>
      </c>
      <c r="AL27" s="212">
        <v>107186777.26000001</v>
      </c>
      <c r="AM27" s="212">
        <v>107186777.26000001</v>
      </c>
      <c r="AN27" s="212">
        <v>107186777.26000001</v>
      </c>
      <c r="AO27" s="212">
        <v>107186777.26000001</v>
      </c>
      <c r="AP27" s="212">
        <v>107186777.26000001</v>
      </c>
      <c r="AQ27" s="212">
        <v>41547728</v>
      </c>
      <c r="AR27" s="212">
        <v>113186777.26000001</v>
      </c>
      <c r="AS27" s="212">
        <v>113186777.26000001</v>
      </c>
      <c r="AT27" s="250">
        <v>113186777.26000001</v>
      </c>
      <c r="AU27" s="250">
        <v>113186777.26000001</v>
      </c>
      <c r="AV27" s="250">
        <v>113186777.26000001</v>
      </c>
      <c r="AW27" s="25">
        <v>113186777.26000001</v>
      </c>
      <c r="AX27" s="250">
        <v>113186777.26000001</v>
      </c>
      <c r="AY27" s="250">
        <v>113186777.26000001</v>
      </c>
      <c r="AZ27" s="250">
        <v>113186777.26000001</v>
      </c>
      <c r="BA27" s="240">
        <v>113186777.26000001</v>
      </c>
      <c r="BB27" s="251">
        <v>113186777.26000001</v>
      </c>
      <c r="BC27" s="252">
        <v>113186777.26000001</v>
      </c>
      <c r="BD27" s="252"/>
      <c r="BE27" s="249">
        <v>113186777.26000001</v>
      </c>
      <c r="BF27" s="249">
        <v>113186777.26000001</v>
      </c>
      <c r="BG27" s="249">
        <v>113186777.26000001</v>
      </c>
      <c r="BH27" s="249">
        <v>113186777.26000001</v>
      </c>
      <c r="BI27" s="249">
        <v>113186777.26000001</v>
      </c>
      <c r="BJ27" s="249">
        <v>113186777.26000001</v>
      </c>
      <c r="BK27" s="249">
        <v>113186777.26000001</v>
      </c>
      <c r="BL27" s="249">
        <v>113186777.26000001</v>
      </c>
      <c r="BM27" s="249">
        <v>113186777.26000001</v>
      </c>
      <c r="BN27" s="249">
        <v>113186777.26000001</v>
      </c>
      <c r="BO27" s="249">
        <v>113186777.26000001</v>
      </c>
      <c r="BP27" s="249">
        <v>113186777.26000001</v>
      </c>
      <c r="BQ27" s="253"/>
      <c r="BR27" s="249">
        <v>113186777.26000001</v>
      </c>
      <c r="BS27" s="249">
        <v>113186777.26000001</v>
      </c>
      <c r="BT27" s="249">
        <v>113186777.26000001</v>
      </c>
      <c r="BU27" s="249">
        <v>113186777.26000001</v>
      </c>
      <c r="BV27" s="249">
        <v>113186777.26000001</v>
      </c>
      <c r="BW27" s="249">
        <v>113186777.26000001</v>
      </c>
      <c r="BX27" s="249"/>
      <c r="BY27" s="249">
        <v>113186777.26000001</v>
      </c>
      <c r="BZ27" s="249">
        <v>113186777.26000001</v>
      </c>
      <c r="CA27" s="249">
        <v>113186777.26000001</v>
      </c>
      <c r="CB27" s="249">
        <v>113186777.26000001</v>
      </c>
      <c r="CC27" s="249">
        <v>113186777.26000001</v>
      </c>
      <c r="CE27" s="212"/>
      <c r="CF27" s="254">
        <v>113186777.26000001</v>
      </c>
      <c r="CG27" s="254">
        <v>113186777.26000001</v>
      </c>
      <c r="CH27" s="254">
        <v>113186777.26000001</v>
      </c>
      <c r="CI27" s="254">
        <v>113186777.26000001</v>
      </c>
      <c r="CJ27" s="254">
        <v>113186777.26000001</v>
      </c>
      <c r="CK27" s="254">
        <v>113186777.26000001</v>
      </c>
      <c r="CL27" s="254">
        <v>113186777.26000001</v>
      </c>
      <c r="CM27" s="254">
        <v>113186777.26000001</v>
      </c>
      <c r="CN27" s="255">
        <v>113186777.26000001</v>
      </c>
      <c r="CO27" s="255">
        <v>113186777.26000001</v>
      </c>
      <c r="CP27" s="255">
        <v>113186777.26000001</v>
      </c>
      <c r="CQ27" s="255">
        <v>113186777.26000001</v>
      </c>
    </row>
    <row r="28" spans="1:97">
      <c r="A28" s="272">
        <v>6.2</v>
      </c>
      <c r="B28" s="229" t="s">
        <v>38</v>
      </c>
      <c r="C28" s="256">
        <v>115864676.95999999</v>
      </c>
      <c r="D28" s="271">
        <v>6580531.96</v>
      </c>
      <c r="E28" s="240">
        <f>7375517+1934506+752103+114750+4949165+4546395</f>
        <v>19672436</v>
      </c>
      <c r="F28" s="240">
        <v>21344949.579999998</v>
      </c>
      <c r="G28" s="240">
        <v>19672436</v>
      </c>
      <c r="H28" s="240">
        <v>19672436</v>
      </c>
      <c r="I28" s="240">
        <v>19672436</v>
      </c>
      <c r="J28" s="240">
        <v>19672436</v>
      </c>
      <c r="K28" s="240">
        <v>19672436</v>
      </c>
      <c r="L28" s="240">
        <v>19672436</v>
      </c>
      <c r="M28" s="240">
        <v>19672436</v>
      </c>
      <c r="N28" s="240">
        <v>39853018.630000003</v>
      </c>
      <c r="O28" s="240">
        <v>39853018.630000003</v>
      </c>
      <c r="P28" s="240">
        <v>39853018.630000003</v>
      </c>
      <c r="Q28" s="240">
        <v>39853018.630000003</v>
      </c>
      <c r="R28" s="241">
        <v>19460785.356506836</v>
      </c>
      <c r="S28" s="279">
        <v>39853018.630000003</v>
      </c>
      <c r="T28" s="279">
        <v>39853018.630000003</v>
      </c>
      <c r="U28" s="279">
        <v>39853018.630000003</v>
      </c>
      <c r="V28" s="280">
        <v>30053018.629999999</v>
      </c>
      <c r="W28" s="270">
        <v>56865512.950000003</v>
      </c>
      <c r="X28" s="281">
        <v>56877262.950000003</v>
      </c>
      <c r="Y28" s="245">
        <v>56877262.950000003</v>
      </c>
      <c r="Z28" s="282">
        <v>56877262.950000003</v>
      </c>
      <c r="AA28" s="247">
        <v>56877262.950000003</v>
      </c>
      <c r="AB28" s="245">
        <v>56877262.950000003</v>
      </c>
      <c r="AC28" s="245">
        <v>64241230</v>
      </c>
      <c r="AD28" s="248">
        <v>64241230</v>
      </c>
      <c r="AE28" s="249">
        <v>64306230</v>
      </c>
      <c r="AF28" s="249">
        <v>64306230</v>
      </c>
      <c r="AG28" s="249">
        <v>64306230</v>
      </c>
      <c r="AH28" s="249">
        <v>64306230</v>
      </c>
      <c r="AI28" s="249">
        <v>64306230</v>
      </c>
      <c r="AJ28" s="212">
        <v>64306230</v>
      </c>
      <c r="AK28" s="212">
        <v>64306230</v>
      </c>
      <c r="AL28" s="212">
        <v>64349730</v>
      </c>
      <c r="AM28" s="212">
        <v>64349730</v>
      </c>
      <c r="AN28" s="212">
        <v>64349730</v>
      </c>
      <c r="AO28" s="212">
        <v>64349730</v>
      </c>
      <c r="AP28" s="212">
        <v>64349730</v>
      </c>
      <c r="AQ28" s="212">
        <v>10334868</v>
      </c>
      <c r="AR28" s="212">
        <v>75440365</v>
      </c>
      <c r="AS28" s="212">
        <v>65640365</v>
      </c>
      <c r="AT28" s="250">
        <v>65640365</v>
      </c>
      <c r="AU28" s="250">
        <v>65640365</v>
      </c>
      <c r="AV28" s="250">
        <v>65640365</v>
      </c>
      <c r="AW28" s="25">
        <v>65640365</v>
      </c>
      <c r="AX28" s="250">
        <v>66473165</v>
      </c>
      <c r="AY28" s="250">
        <v>66473165</v>
      </c>
      <c r="AZ28" s="250">
        <v>66473165</v>
      </c>
      <c r="BA28" s="240">
        <v>66473165</v>
      </c>
      <c r="BB28" s="251">
        <v>66433165</v>
      </c>
      <c r="BC28" s="252">
        <v>66433165</v>
      </c>
      <c r="BD28" s="252">
        <v>50224362</v>
      </c>
      <c r="BE28" s="249">
        <v>66433165</v>
      </c>
      <c r="BF28" s="249">
        <v>66433165</v>
      </c>
      <c r="BG28" s="249">
        <v>66433165</v>
      </c>
      <c r="BH28" s="249">
        <v>66433165</v>
      </c>
      <c r="BI28" s="249">
        <v>66563665</v>
      </c>
      <c r="BJ28" s="249">
        <v>66563665</v>
      </c>
      <c r="BK28" s="249">
        <v>66563665</v>
      </c>
      <c r="BL28" s="249">
        <v>66563665</v>
      </c>
      <c r="BM28" s="249">
        <v>66747665</v>
      </c>
      <c r="BN28" s="249">
        <v>66747665</v>
      </c>
      <c r="BO28" s="249">
        <v>66747665</v>
      </c>
      <c r="BP28" s="249">
        <v>66747665</v>
      </c>
      <c r="BQ28" s="253">
        <v>48670716.799999997</v>
      </c>
      <c r="BR28" s="249">
        <v>66797865</v>
      </c>
      <c r="BS28" s="249">
        <v>66797865</v>
      </c>
      <c r="BT28" s="249">
        <v>66797865</v>
      </c>
      <c r="BU28" s="249">
        <v>66797865</v>
      </c>
      <c r="BV28" s="249">
        <v>66860865</v>
      </c>
      <c r="BW28" s="249">
        <v>66785865</v>
      </c>
      <c r="BX28" s="249"/>
      <c r="BY28" s="249">
        <v>66745865</v>
      </c>
      <c r="BZ28" s="249">
        <v>66745865</v>
      </c>
      <c r="CA28" s="249">
        <v>63005865</v>
      </c>
      <c r="CB28" s="249">
        <v>63005865</v>
      </c>
      <c r="CC28" s="249">
        <v>63005865</v>
      </c>
      <c r="CD28" s="212">
        <v>46450358.799999997</v>
      </c>
      <c r="CE28" s="212">
        <v>51204736</v>
      </c>
      <c r="CF28" s="254">
        <v>69203921</v>
      </c>
      <c r="CG28" s="254">
        <v>69203921</v>
      </c>
      <c r="CH28" s="254">
        <v>69649922</v>
      </c>
      <c r="CI28" s="254">
        <v>69649922</v>
      </c>
      <c r="CJ28" s="254">
        <v>69701426</v>
      </c>
      <c r="CK28" s="254">
        <v>70119896</v>
      </c>
      <c r="CL28" s="254">
        <v>70119896</v>
      </c>
      <c r="CM28" s="254">
        <v>70119896</v>
      </c>
      <c r="CN28" s="255">
        <v>70119896</v>
      </c>
      <c r="CO28" s="255">
        <v>70119896</v>
      </c>
      <c r="CP28" s="255">
        <v>70119896</v>
      </c>
      <c r="CQ28" s="255">
        <v>49997049.700000003</v>
      </c>
    </row>
    <row r="29" spans="1:97">
      <c r="A29" s="272">
        <v>6.3</v>
      </c>
      <c r="B29" s="229" t="s">
        <v>39</v>
      </c>
      <c r="C29" s="256"/>
      <c r="D29" s="257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>
        <v>0</v>
      </c>
      <c r="R29" s="241"/>
      <c r="S29" s="279">
        <v>0</v>
      </c>
      <c r="T29" s="279">
        <v>0</v>
      </c>
      <c r="U29" s="279">
        <v>0</v>
      </c>
      <c r="V29" s="280">
        <v>0</v>
      </c>
      <c r="W29" s="270">
        <v>0</v>
      </c>
      <c r="X29" s="281">
        <v>0</v>
      </c>
      <c r="Y29" s="245">
        <v>0</v>
      </c>
      <c r="Z29" s="282">
        <v>0</v>
      </c>
      <c r="AA29" s="247">
        <v>0</v>
      </c>
      <c r="AB29" s="245">
        <v>0</v>
      </c>
      <c r="AC29" s="245">
        <v>0</v>
      </c>
      <c r="AD29" s="248">
        <v>0</v>
      </c>
      <c r="AE29" s="249">
        <v>0</v>
      </c>
      <c r="AF29" s="249">
        <v>0</v>
      </c>
      <c r="AG29" s="249">
        <v>0</v>
      </c>
      <c r="AH29" s="249">
        <v>0</v>
      </c>
      <c r="AI29" s="249">
        <v>0</v>
      </c>
      <c r="AJ29" s="212">
        <v>0</v>
      </c>
      <c r="AK29" s="212">
        <v>0</v>
      </c>
      <c r="AL29" s="212">
        <v>0</v>
      </c>
      <c r="AM29" s="212">
        <v>0</v>
      </c>
      <c r="AN29" s="212">
        <v>0</v>
      </c>
      <c r="AO29" s="212">
        <v>0</v>
      </c>
      <c r="AP29" s="212">
        <v>0</v>
      </c>
      <c r="AQ29" s="212"/>
      <c r="AR29" s="212">
        <v>0</v>
      </c>
      <c r="AS29" s="212">
        <v>0</v>
      </c>
      <c r="AT29" s="250">
        <v>0</v>
      </c>
      <c r="AU29" s="250">
        <v>0</v>
      </c>
      <c r="AV29" s="250">
        <v>0</v>
      </c>
      <c r="AW29" s="25">
        <v>0</v>
      </c>
      <c r="AX29" s="250">
        <v>0</v>
      </c>
      <c r="AY29" s="250">
        <v>0</v>
      </c>
      <c r="AZ29" s="250">
        <v>0</v>
      </c>
      <c r="BA29" s="240">
        <v>0</v>
      </c>
      <c r="BB29" s="251">
        <v>0</v>
      </c>
      <c r="BC29" s="252">
        <v>0</v>
      </c>
      <c r="BD29" s="252"/>
      <c r="BE29" s="249">
        <v>0</v>
      </c>
      <c r="BF29" s="249">
        <v>0</v>
      </c>
      <c r="BG29" s="249">
        <v>0</v>
      </c>
      <c r="BH29" s="249">
        <v>0</v>
      </c>
      <c r="BI29" s="249">
        <v>0</v>
      </c>
      <c r="BJ29" s="249">
        <v>0</v>
      </c>
      <c r="BK29" s="249">
        <v>0</v>
      </c>
      <c r="BL29" s="249">
        <v>0</v>
      </c>
      <c r="BM29" s="249">
        <v>0</v>
      </c>
      <c r="BN29" s="249">
        <v>0</v>
      </c>
      <c r="BO29" s="249">
        <v>0</v>
      </c>
      <c r="BP29" s="249">
        <v>0</v>
      </c>
      <c r="BQ29" s="253"/>
      <c r="BR29" s="249">
        <v>0</v>
      </c>
      <c r="BS29" s="249">
        <v>0</v>
      </c>
      <c r="BT29" s="249">
        <v>0</v>
      </c>
      <c r="BU29" s="249">
        <v>0</v>
      </c>
      <c r="BV29" s="249">
        <v>0</v>
      </c>
      <c r="BW29" s="249">
        <v>0</v>
      </c>
      <c r="BX29" s="249"/>
      <c r="BY29" s="249">
        <v>0</v>
      </c>
      <c r="BZ29" s="249">
        <v>0</v>
      </c>
      <c r="CA29" s="249">
        <v>0</v>
      </c>
      <c r="CB29" s="249">
        <v>0</v>
      </c>
      <c r="CC29" s="249">
        <v>0</v>
      </c>
      <c r="CD29" s="249">
        <v>0</v>
      </c>
      <c r="CE29" s="283"/>
      <c r="CF29" s="254">
        <v>0</v>
      </c>
      <c r="CG29" s="254">
        <v>0</v>
      </c>
      <c r="CH29" s="254">
        <v>0</v>
      </c>
      <c r="CI29" s="254">
        <v>0</v>
      </c>
      <c r="CJ29" s="254">
        <v>0</v>
      </c>
      <c r="CK29" s="254">
        <v>0</v>
      </c>
      <c r="CL29" s="254">
        <v>0</v>
      </c>
      <c r="CM29" s="254">
        <v>0</v>
      </c>
      <c r="CN29" s="255">
        <v>0</v>
      </c>
      <c r="CO29" s="255">
        <v>0</v>
      </c>
      <c r="CP29" s="255">
        <v>0</v>
      </c>
      <c r="CQ29" s="255">
        <v>0</v>
      </c>
    </row>
    <row r="30" spans="1:97">
      <c r="A30" s="272">
        <v>6.4</v>
      </c>
      <c r="B30" s="229" t="s">
        <v>40</v>
      </c>
      <c r="C30" s="256"/>
      <c r="D30" s="257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>
        <v>0</v>
      </c>
      <c r="R30" s="241">
        <v>6536600</v>
      </c>
      <c r="S30" s="279">
        <v>0</v>
      </c>
      <c r="T30" s="279">
        <v>0</v>
      </c>
      <c r="U30" s="279">
        <v>0</v>
      </c>
      <c r="V30" s="280">
        <v>9800000</v>
      </c>
      <c r="W30" s="270">
        <v>9800000</v>
      </c>
      <c r="X30" s="281">
        <v>9800000</v>
      </c>
      <c r="Y30" s="245">
        <v>9800000</v>
      </c>
      <c r="Z30" s="282">
        <v>9800000</v>
      </c>
      <c r="AA30" s="247">
        <v>9800000</v>
      </c>
      <c r="AB30" s="245">
        <v>9800000</v>
      </c>
      <c r="AC30" s="245">
        <v>9800000</v>
      </c>
      <c r="AD30" s="248">
        <v>9800000</v>
      </c>
      <c r="AE30" s="249">
        <v>9800000</v>
      </c>
      <c r="AF30" s="249">
        <v>9800000</v>
      </c>
      <c r="AG30" s="249">
        <v>9800000</v>
      </c>
      <c r="AH30" s="249">
        <v>9800000</v>
      </c>
      <c r="AI30" s="249">
        <v>9800000</v>
      </c>
      <c r="AJ30" s="212">
        <v>9800000</v>
      </c>
      <c r="AK30" s="212">
        <v>9800000</v>
      </c>
      <c r="AL30" s="212">
        <v>9800000</v>
      </c>
      <c r="AM30" s="212">
        <v>9800000</v>
      </c>
      <c r="AN30" s="212">
        <v>9800000</v>
      </c>
      <c r="AO30" s="212">
        <v>9800000</v>
      </c>
      <c r="AP30" s="212">
        <v>9800000</v>
      </c>
      <c r="AQ30" s="212">
        <v>2906753</v>
      </c>
      <c r="AR30" s="212">
        <v>9800000</v>
      </c>
      <c r="AS30" s="212">
        <v>9800000</v>
      </c>
      <c r="AT30" s="250">
        <v>9800000</v>
      </c>
      <c r="AU30" s="250">
        <v>9800000</v>
      </c>
      <c r="AV30" s="250">
        <v>9800000</v>
      </c>
      <c r="AW30" s="25">
        <v>9800000</v>
      </c>
      <c r="AX30" s="250">
        <v>9800000</v>
      </c>
      <c r="AY30" s="250">
        <v>9800000</v>
      </c>
      <c r="AZ30" s="250">
        <v>9800000</v>
      </c>
      <c r="BA30" s="240">
        <v>9800000</v>
      </c>
      <c r="BB30" s="251">
        <v>16300000</v>
      </c>
      <c r="BC30" s="252">
        <v>16300000</v>
      </c>
      <c r="BD30" s="252">
        <v>6271482</v>
      </c>
      <c r="BE30" s="249">
        <v>16300000</v>
      </c>
      <c r="BF30" s="249">
        <v>16300000</v>
      </c>
      <c r="BG30" s="249">
        <v>16300000</v>
      </c>
      <c r="BH30" s="249">
        <v>16300000</v>
      </c>
      <c r="BI30" s="249">
        <v>16300000</v>
      </c>
      <c r="BJ30" s="249">
        <v>16300000</v>
      </c>
      <c r="BK30" s="249">
        <v>16300000</v>
      </c>
      <c r="BL30" s="249">
        <v>16300000</v>
      </c>
      <c r="BM30" s="249">
        <v>16300000</v>
      </c>
      <c r="BN30" s="249">
        <v>16300000</v>
      </c>
      <c r="BO30" s="249">
        <v>16300000</v>
      </c>
      <c r="BP30" s="249">
        <v>16300000</v>
      </c>
      <c r="BQ30" s="253">
        <v>4181197.0500000007</v>
      </c>
      <c r="BR30" s="249">
        <v>16300000</v>
      </c>
      <c r="BS30" s="249">
        <v>17518000</v>
      </c>
      <c r="BT30" s="249">
        <v>17518000</v>
      </c>
      <c r="BU30" s="249">
        <v>17518000</v>
      </c>
      <c r="BV30" s="249">
        <v>17518000</v>
      </c>
      <c r="BW30" s="249">
        <v>17518000</v>
      </c>
      <c r="BX30" s="249"/>
      <c r="BY30" s="249">
        <v>17518000</v>
      </c>
      <c r="BZ30" s="249">
        <v>17518000</v>
      </c>
      <c r="CA30" s="249">
        <v>17518000</v>
      </c>
      <c r="CB30" s="249">
        <v>17518000</v>
      </c>
      <c r="CC30" s="249">
        <v>17518000</v>
      </c>
      <c r="CD30" s="212">
        <v>3599645.05</v>
      </c>
      <c r="CE30" s="212">
        <v>2699734</v>
      </c>
      <c r="CF30" s="254">
        <v>17648000</v>
      </c>
      <c r="CG30" s="254">
        <v>17648000</v>
      </c>
      <c r="CH30" s="254">
        <v>17648000</v>
      </c>
      <c r="CI30" s="254">
        <v>25734000</v>
      </c>
      <c r="CJ30" s="254">
        <v>25734000</v>
      </c>
      <c r="CK30" s="254">
        <v>25734000</v>
      </c>
      <c r="CL30" s="254">
        <v>25734000</v>
      </c>
      <c r="CM30" s="254">
        <v>25734000</v>
      </c>
      <c r="CN30" s="255">
        <v>25734000</v>
      </c>
      <c r="CO30" s="255">
        <v>25734000</v>
      </c>
      <c r="CP30" s="255">
        <v>25734000</v>
      </c>
      <c r="CQ30" s="255">
        <v>8186800.5499999998</v>
      </c>
    </row>
    <row r="31" spans="1:97">
      <c r="A31" s="272">
        <v>6.5</v>
      </c>
      <c r="B31" s="229" t="s">
        <v>41</v>
      </c>
      <c r="C31" s="284">
        <v>935514</v>
      </c>
      <c r="D31" s="285">
        <v>259227585.50999999</v>
      </c>
      <c r="E31" s="240"/>
      <c r="F31" s="240">
        <v>133531822.12</v>
      </c>
      <c r="G31" s="240">
        <v>128820232</v>
      </c>
      <c r="H31" s="240">
        <v>128820232</v>
      </c>
      <c r="I31" s="240"/>
      <c r="J31" s="240"/>
      <c r="K31" s="240"/>
      <c r="L31" s="240"/>
      <c r="M31" s="240"/>
      <c r="N31" s="240"/>
      <c r="O31" s="240"/>
      <c r="P31" s="240"/>
      <c r="Q31" s="240">
        <v>0</v>
      </c>
      <c r="R31" s="286">
        <f>-[1]tb!$AG$247</f>
        <v>246434455.78219998</v>
      </c>
      <c r="S31" s="279">
        <v>0</v>
      </c>
      <c r="T31" s="279">
        <v>0</v>
      </c>
      <c r="U31" s="279">
        <v>0</v>
      </c>
      <c r="V31" s="280">
        <v>0</v>
      </c>
      <c r="W31" s="25"/>
      <c r="X31" s="281">
        <v>0</v>
      </c>
      <c r="Y31" s="245">
        <v>0</v>
      </c>
      <c r="Z31" s="282">
        <v>0</v>
      </c>
      <c r="AA31" s="247">
        <v>0</v>
      </c>
      <c r="AB31" s="245">
        <v>0</v>
      </c>
      <c r="AC31" s="245">
        <v>0</v>
      </c>
      <c r="AD31" s="248">
        <v>0</v>
      </c>
      <c r="AE31" s="249">
        <v>0</v>
      </c>
      <c r="AF31" s="249">
        <v>0</v>
      </c>
      <c r="AG31" s="249">
        <v>0</v>
      </c>
      <c r="AH31" s="249">
        <v>0</v>
      </c>
      <c r="AI31" s="249">
        <v>0</v>
      </c>
      <c r="AJ31" s="212">
        <v>0</v>
      </c>
      <c r="AK31" s="212">
        <v>0</v>
      </c>
      <c r="AL31" s="212">
        <v>0</v>
      </c>
      <c r="AM31" s="212">
        <v>0</v>
      </c>
      <c r="AN31" s="212">
        <v>0</v>
      </c>
      <c r="AO31" s="212">
        <v>0</v>
      </c>
      <c r="AP31" s="212">
        <v>0</v>
      </c>
      <c r="AQ31" s="212">
        <v>181803025</v>
      </c>
      <c r="AR31" s="212">
        <v>0</v>
      </c>
      <c r="AS31" s="212">
        <v>0</v>
      </c>
      <c r="AT31" s="250">
        <v>0</v>
      </c>
      <c r="AU31" s="250">
        <v>0</v>
      </c>
      <c r="AV31" s="250">
        <v>0</v>
      </c>
      <c r="AW31" s="25">
        <v>0</v>
      </c>
      <c r="AX31" s="250">
        <v>0</v>
      </c>
      <c r="AY31" s="250">
        <v>0</v>
      </c>
      <c r="AZ31" s="250">
        <v>0</v>
      </c>
      <c r="BA31" s="240">
        <v>0</v>
      </c>
      <c r="BB31" s="251">
        <v>0</v>
      </c>
      <c r="BC31" s="252">
        <v>123338618.2</v>
      </c>
      <c r="BD31" s="252">
        <v>162923025</v>
      </c>
      <c r="BE31" s="249">
        <v>179803025</v>
      </c>
      <c r="BF31" s="249">
        <v>171879510.22999999</v>
      </c>
      <c r="BG31" s="249">
        <v>161931813.16</v>
      </c>
      <c r="BH31" s="249">
        <v>162264256.00999999</v>
      </c>
      <c r="BI31" s="249">
        <v>162864052.28</v>
      </c>
      <c r="BJ31" s="249">
        <v>154960933.12</v>
      </c>
      <c r="BK31" s="249">
        <v>160762747.52000001</v>
      </c>
      <c r="BL31" s="249">
        <v>155821975.38999999</v>
      </c>
      <c r="BM31" s="249">
        <v>156698563.22</v>
      </c>
      <c r="BN31" s="249">
        <v>157138466.15000001</v>
      </c>
      <c r="BO31" s="249">
        <v>152529547.34999999</v>
      </c>
      <c r="BP31" s="249">
        <v>150078175</v>
      </c>
      <c r="BQ31" s="253">
        <v>147578175</v>
      </c>
      <c r="BR31" s="249">
        <v>147578175</v>
      </c>
      <c r="BS31" s="249">
        <v>148070504.41999999</v>
      </c>
      <c r="BT31" s="249">
        <v>147943332.08000001</v>
      </c>
      <c r="BU31" s="249">
        <v>149705696.62</v>
      </c>
      <c r="BV31" s="249">
        <v>148870409.37</v>
      </c>
      <c r="BW31" s="249">
        <v>146870946.66999999</v>
      </c>
      <c r="BX31" s="249"/>
      <c r="BY31" s="249">
        <v>141314873.62</v>
      </c>
      <c r="BZ31" s="249">
        <v>141502222.62</v>
      </c>
      <c r="CA31" s="249">
        <v>141314873.62</v>
      </c>
      <c r="CB31" s="249">
        <v>141314873.62</v>
      </c>
      <c r="CC31" s="249">
        <v>136928175</v>
      </c>
      <c r="CD31" s="212">
        <v>136928175</v>
      </c>
      <c r="CE31" s="212">
        <v>125428175</v>
      </c>
      <c r="CF31" s="254">
        <v>125563675</v>
      </c>
      <c r="CG31" s="254">
        <v>124994507.26000001</v>
      </c>
      <c r="CH31" s="254">
        <v>125428175</v>
      </c>
      <c r="CI31" s="254">
        <v>125428175</v>
      </c>
      <c r="CJ31" s="254">
        <v>125428175</v>
      </c>
      <c r="CK31" s="254">
        <v>125428175</v>
      </c>
      <c r="CL31" s="254">
        <v>125468165</v>
      </c>
      <c r="CM31" s="254">
        <v>125428175</v>
      </c>
      <c r="CN31" s="255">
        <v>125428175</v>
      </c>
      <c r="CO31" s="255">
        <v>125428175</v>
      </c>
      <c r="CP31" s="255">
        <v>125428175</v>
      </c>
      <c r="CQ31" s="255">
        <v>113428175</v>
      </c>
    </row>
    <row r="32" spans="1:97">
      <c r="A32" s="272"/>
      <c r="B32" s="227" t="s">
        <v>42</v>
      </c>
      <c r="C32" s="271">
        <f>C26+C22+C19+C14+C13+C12-C53</f>
        <v>475383254.73999995</v>
      </c>
      <c r="D32" s="271">
        <f>D26+D22+D19+D14+D13+D12</f>
        <v>507679004.69999999</v>
      </c>
      <c r="E32" s="232">
        <f t="shared" ref="E32:BR32" si="32">E10+E13+E14+E19+E22+E26</f>
        <v>601249270</v>
      </c>
      <c r="F32" s="232">
        <f t="shared" si="32"/>
        <v>464136520.89999998</v>
      </c>
      <c r="G32" s="232">
        <f t="shared" si="32"/>
        <v>537944944.50999999</v>
      </c>
      <c r="H32" s="232">
        <f t="shared" si="32"/>
        <v>541376972.76999998</v>
      </c>
      <c r="I32" s="232">
        <f t="shared" si="32"/>
        <v>579120347.88000011</v>
      </c>
      <c r="J32" s="232">
        <f t="shared" si="32"/>
        <v>321766418.87</v>
      </c>
      <c r="K32" s="232">
        <f t="shared" si="32"/>
        <v>594359783.92000008</v>
      </c>
      <c r="L32" s="232">
        <f t="shared" si="32"/>
        <v>601214321.05000007</v>
      </c>
      <c r="M32" s="232">
        <f t="shared" si="32"/>
        <v>601833461.87</v>
      </c>
      <c r="N32" s="232">
        <f t="shared" si="32"/>
        <v>409553390.78000003</v>
      </c>
      <c r="O32" s="232">
        <f t="shared" si="32"/>
        <v>706010707.80000007</v>
      </c>
      <c r="P32" s="232">
        <f t="shared" si="32"/>
        <v>707683337.46999991</v>
      </c>
      <c r="Q32" s="232">
        <f t="shared" si="32"/>
        <v>713318287.15999997</v>
      </c>
      <c r="R32" s="233">
        <f t="shared" si="32"/>
        <v>735114995.8887068</v>
      </c>
      <c r="S32" s="234">
        <f t="shared" si="32"/>
        <v>705218650.00999999</v>
      </c>
      <c r="T32" s="234">
        <f t="shared" si="32"/>
        <v>718130764.41999996</v>
      </c>
      <c r="U32" s="234">
        <f t="shared" si="32"/>
        <v>717546477.78000009</v>
      </c>
      <c r="V32" s="234">
        <f t="shared" si="32"/>
        <v>725239140.93999994</v>
      </c>
      <c r="W32" s="234">
        <f t="shared" si="32"/>
        <v>828264379.79999995</v>
      </c>
      <c r="X32" s="234">
        <f t="shared" si="32"/>
        <v>804636214.94000006</v>
      </c>
      <c r="Y32" s="234">
        <f t="shared" si="32"/>
        <v>804049489.59000003</v>
      </c>
      <c r="Z32" s="234">
        <f t="shared" si="32"/>
        <v>803585708.21000004</v>
      </c>
      <c r="AA32" s="234">
        <f t="shared" si="32"/>
        <v>800298953.05999994</v>
      </c>
      <c r="AB32" s="234">
        <f t="shared" si="32"/>
        <v>799814571.23000002</v>
      </c>
      <c r="AC32" s="234">
        <f t="shared" si="32"/>
        <v>795281963.53999996</v>
      </c>
      <c r="AD32" s="234">
        <f t="shared" si="32"/>
        <v>807089838.54999995</v>
      </c>
      <c r="AE32" s="234">
        <f t="shared" si="32"/>
        <v>789311808.08000004</v>
      </c>
      <c r="AF32" s="234">
        <f t="shared" si="32"/>
        <v>808853916.70999992</v>
      </c>
      <c r="AG32" s="234">
        <f t="shared" si="32"/>
        <v>812710727.19000006</v>
      </c>
      <c r="AH32" s="234">
        <f t="shared" si="32"/>
        <v>806241341.87</v>
      </c>
      <c r="AI32" s="234">
        <f t="shared" si="32"/>
        <v>847270339.27999997</v>
      </c>
      <c r="AJ32" s="234">
        <f t="shared" si="32"/>
        <v>853225787.08999991</v>
      </c>
      <c r="AK32" s="234">
        <f t="shared" si="32"/>
        <v>848262162.46000004</v>
      </c>
      <c r="AL32" s="235">
        <f t="shared" si="32"/>
        <v>851485497.21000004</v>
      </c>
      <c r="AM32" s="235">
        <f t="shared" si="32"/>
        <v>844561346.1500001</v>
      </c>
      <c r="AN32" s="235">
        <f t="shared" si="32"/>
        <v>862506887.88</v>
      </c>
      <c r="AO32" s="235">
        <f t="shared" si="32"/>
        <v>853819106.76999998</v>
      </c>
      <c r="AP32" s="235">
        <f t="shared" si="32"/>
        <v>875609342.46000004</v>
      </c>
      <c r="AQ32" s="235">
        <f t="shared" si="32"/>
        <v>906802314</v>
      </c>
      <c r="AR32" s="235">
        <f t="shared" si="32"/>
        <v>867156452.94000006</v>
      </c>
      <c r="AS32" s="236">
        <f t="shared" si="32"/>
        <v>871003274.30999994</v>
      </c>
      <c r="AT32" s="235">
        <f t="shared" si="32"/>
        <v>877844093.14999986</v>
      </c>
      <c r="AU32" s="235">
        <f t="shared" si="32"/>
        <v>883226474.07999992</v>
      </c>
      <c r="AV32" s="235">
        <f t="shared" si="32"/>
        <v>894346927.18000007</v>
      </c>
      <c r="AW32" s="235">
        <f t="shared" si="32"/>
        <v>630097825.21000004</v>
      </c>
      <c r="AX32" s="235">
        <f t="shared" si="32"/>
        <v>922454680.77999997</v>
      </c>
      <c r="AY32" s="235">
        <f t="shared" si="32"/>
        <v>917984001.37</v>
      </c>
      <c r="AZ32" s="235">
        <f t="shared" si="32"/>
        <v>912894493.87</v>
      </c>
      <c r="BA32" s="235">
        <f t="shared" si="32"/>
        <v>912894493.87199998</v>
      </c>
      <c r="BB32" s="235">
        <f t="shared" si="32"/>
        <v>922865527.88999999</v>
      </c>
      <c r="BC32" s="235">
        <f t="shared" si="32"/>
        <v>998257043.81999993</v>
      </c>
      <c r="BD32" s="235">
        <f t="shared" si="32"/>
        <v>1024315463.5</v>
      </c>
      <c r="BE32" s="235">
        <f t="shared" si="32"/>
        <v>984609600.75</v>
      </c>
      <c r="BF32" s="235">
        <f t="shared" si="32"/>
        <v>990105261.29999995</v>
      </c>
      <c r="BG32" s="235">
        <f t="shared" si="32"/>
        <v>971753863.79000008</v>
      </c>
      <c r="BH32" s="235">
        <f t="shared" si="32"/>
        <v>966963734.94999993</v>
      </c>
      <c r="BI32" s="235">
        <f t="shared" si="32"/>
        <v>979219381.3499999</v>
      </c>
      <c r="BJ32" s="235">
        <f t="shared" si="32"/>
        <v>984655938.73000002</v>
      </c>
      <c r="BK32" s="235">
        <f t="shared" si="32"/>
        <v>982722730.51999998</v>
      </c>
      <c r="BL32" s="235">
        <f t="shared" si="32"/>
        <v>987383935.60000002</v>
      </c>
      <c r="BM32" s="235">
        <f t="shared" si="32"/>
        <v>1004795024.4100001</v>
      </c>
      <c r="BN32" s="235">
        <f t="shared" si="32"/>
        <v>1008669161.0600001</v>
      </c>
      <c r="BO32" s="235">
        <f t="shared" si="32"/>
        <v>1010945081.64</v>
      </c>
      <c r="BP32" s="235">
        <f t="shared" si="32"/>
        <v>1086323514.45</v>
      </c>
      <c r="BQ32" s="235">
        <f t="shared" si="32"/>
        <v>1084850011.5999999</v>
      </c>
      <c r="BR32" s="235">
        <f t="shared" si="32"/>
        <v>1046986323.76</v>
      </c>
      <c r="BS32" s="235">
        <f t="shared" ref="BS32:CD32" si="33">BS10+BS13+BS14+BS19+BS22+BS26</f>
        <v>1056243932.2599999</v>
      </c>
      <c r="BT32" s="235">
        <f t="shared" si="33"/>
        <v>1050524172.4499999</v>
      </c>
      <c r="BU32" s="235">
        <f t="shared" si="33"/>
        <v>1072297284.4699999</v>
      </c>
      <c r="BV32" s="235">
        <f t="shared" si="33"/>
        <v>1116453949.5999999</v>
      </c>
      <c r="BW32" s="235">
        <f t="shared" si="33"/>
        <v>1115154696.8499999</v>
      </c>
      <c r="BX32" s="235">
        <f t="shared" si="33"/>
        <v>0</v>
      </c>
      <c r="BY32" s="235">
        <f t="shared" si="33"/>
        <v>1129869525.3400002</v>
      </c>
      <c r="BZ32" s="235">
        <f t="shared" si="33"/>
        <v>1141489076.0900002</v>
      </c>
      <c r="CA32" s="235">
        <f t="shared" si="33"/>
        <v>1140893480.02</v>
      </c>
      <c r="CB32" s="235">
        <f t="shared" si="33"/>
        <v>1125296757.6300001</v>
      </c>
      <c r="CC32" s="235">
        <f t="shared" si="33"/>
        <v>1135612112.3299999</v>
      </c>
      <c r="CD32" s="235">
        <f t="shared" si="33"/>
        <v>1175256454.45</v>
      </c>
      <c r="CE32" s="235">
        <f t="shared" ref="CE32:CS32" si="34">CE10+CE13+CE14+CE19+CE22+CE26</f>
        <v>1255024242</v>
      </c>
      <c r="CF32" s="237">
        <f t="shared" si="34"/>
        <v>1211302675.52</v>
      </c>
      <c r="CG32" s="237">
        <f t="shared" si="34"/>
        <v>1213753919.73</v>
      </c>
      <c r="CH32" s="237">
        <f t="shared" si="34"/>
        <v>1286343893.6600001</v>
      </c>
      <c r="CI32" s="237">
        <f t="shared" si="34"/>
        <v>1296487079.71</v>
      </c>
      <c r="CJ32" s="237">
        <f t="shared" si="34"/>
        <v>1279747683.1500001</v>
      </c>
      <c r="CK32" s="237">
        <f t="shared" si="34"/>
        <v>1281048373.8800001</v>
      </c>
      <c r="CL32" s="237">
        <f t="shared" si="34"/>
        <v>1284649742.3499999</v>
      </c>
      <c r="CM32" s="237">
        <f t="shared" si="34"/>
        <v>1283526017.1500001</v>
      </c>
      <c r="CN32" s="237">
        <f t="shared" si="34"/>
        <v>1289077023.3399999</v>
      </c>
      <c r="CO32" s="237">
        <f t="shared" si="34"/>
        <v>1295457116.6500001</v>
      </c>
      <c r="CP32" s="237">
        <f t="shared" si="34"/>
        <v>1321637978.72</v>
      </c>
      <c r="CQ32" s="237">
        <f t="shared" si="34"/>
        <v>1350418007.53</v>
      </c>
      <c r="CR32" s="237">
        <f t="shared" si="34"/>
        <v>0</v>
      </c>
      <c r="CS32" s="237">
        <f t="shared" si="34"/>
        <v>0</v>
      </c>
    </row>
    <row r="33" spans="1:97">
      <c r="A33" s="272">
        <v>7</v>
      </c>
      <c r="B33" s="229" t="s">
        <v>43</v>
      </c>
      <c r="C33" s="256">
        <v>16847165.07</v>
      </c>
      <c r="D33" s="257">
        <v>15401822.74</v>
      </c>
      <c r="E33" s="240">
        <v>18011508</v>
      </c>
      <c r="F33" s="240">
        <v>20656216.370000001</v>
      </c>
      <c r="G33" s="240">
        <v>17777236.600000001</v>
      </c>
      <c r="H33" s="240">
        <v>19926587.050000001</v>
      </c>
      <c r="I33" s="240">
        <v>27383127.149999999</v>
      </c>
      <c r="J33" s="240">
        <v>27383127.149999999</v>
      </c>
      <c r="K33" s="240">
        <v>25101091.420000002</v>
      </c>
      <c r="L33" s="240">
        <v>28751608.25</v>
      </c>
      <c r="M33" s="240">
        <v>26984488.73</v>
      </c>
      <c r="N33" s="240">
        <v>27507276.210000001</v>
      </c>
      <c r="O33" s="240">
        <v>34473158.039999999</v>
      </c>
      <c r="P33" s="240">
        <v>31556815.690000001</v>
      </c>
      <c r="Q33" s="240">
        <v>45111728.210000001</v>
      </c>
      <c r="R33" s="241">
        <v>48905596.869999997</v>
      </c>
      <c r="S33" s="287">
        <v>36126277.149999999</v>
      </c>
      <c r="T33" s="287">
        <v>34203885.969999999</v>
      </c>
      <c r="U33" s="287">
        <v>33569331.729999997</v>
      </c>
      <c r="V33" s="288">
        <v>43819424.659999996</v>
      </c>
      <c r="W33" s="270">
        <v>35174164.630000003</v>
      </c>
      <c r="X33" s="289">
        <v>37948670.060000002</v>
      </c>
      <c r="Y33" s="245">
        <v>36342997.909999996</v>
      </c>
      <c r="Z33" s="290">
        <v>36221017.689999998</v>
      </c>
      <c r="AA33" s="247">
        <v>40466132.439999998</v>
      </c>
      <c r="AB33" s="245">
        <v>42890343.689999998</v>
      </c>
      <c r="AC33" s="245">
        <v>40596096.140000001</v>
      </c>
      <c r="AD33" s="248">
        <v>51474886.420000002</v>
      </c>
      <c r="AE33" s="249">
        <v>33977752.68</v>
      </c>
      <c r="AF33" s="249">
        <v>41618644.810000002</v>
      </c>
      <c r="AG33" s="249">
        <v>41520259.57</v>
      </c>
      <c r="AH33" s="249">
        <v>39202512.229999997</v>
      </c>
      <c r="AI33" s="249">
        <v>38912549.030000001</v>
      </c>
      <c r="AJ33" s="212">
        <v>38611537.590000004</v>
      </c>
      <c r="AK33" s="212">
        <v>37183079.25</v>
      </c>
      <c r="AL33" s="212">
        <v>43740054.270000003</v>
      </c>
      <c r="AM33" s="212">
        <v>37163676.060000002</v>
      </c>
      <c r="AN33" s="212">
        <v>43030844.030000001</v>
      </c>
      <c r="AO33" s="212">
        <v>43089756.890000001</v>
      </c>
      <c r="AP33" s="212">
        <v>48364100.390000001</v>
      </c>
      <c r="AQ33" s="212">
        <v>48614100</v>
      </c>
      <c r="AR33" s="212">
        <v>41484422.649999999</v>
      </c>
      <c r="AS33" s="212">
        <v>41152387.119999997</v>
      </c>
      <c r="AT33" s="250">
        <v>42420542.810000002</v>
      </c>
      <c r="AU33" s="250">
        <v>42833832.939999998</v>
      </c>
      <c r="AV33" s="250">
        <v>43567265.030000001</v>
      </c>
      <c r="AW33" s="25">
        <v>38606432.299999997</v>
      </c>
      <c r="AX33" s="250">
        <v>43364745.200000003</v>
      </c>
      <c r="AY33" s="250">
        <v>41551977.219999999</v>
      </c>
      <c r="AZ33" s="250">
        <v>46057618.740000002</v>
      </c>
      <c r="BA33" s="240">
        <v>46057618.740000002</v>
      </c>
      <c r="BB33" s="251">
        <v>49219510.539999999</v>
      </c>
      <c r="BC33" s="252">
        <v>59511516.359999999</v>
      </c>
      <c r="BD33" s="252">
        <v>59788679.700000003</v>
      </c>
      <c r="BE33" s="249">
        <v>41972122.609999999</v>
      </c>
      <c r="BF33" s="249">
        <v>38940663.990000002</v>
      </c>
      <c r="BG33" s="249">
        <v>39653549.719999999</v>
      </c>
      <c r="BH33" s="249">
        <v>35059335.810000002</v>
      </c>
      <c r="BI33" s="249">
        <v>39505387.170000002</v>
      </c>
      <c r="BJ33" s="249">
        <v>38208788.509999998</v>
      </c>
      <c r="BK33" s="249">
        <v>33842063.020000003</v>
      </c>
      <c r="BL33" s="249">
        <v>42319799.57</v>
      </c>
      <c r="BM33" s="249">
        <v>41359494.869999997</v>
      </c>
      <c r="BN33" s="249">
        <v>48922567.960000001</v>
      </c>
      <c r="BO33" s="249">
        <v>43202579.390000001</v>
      </c>
      <c r="BP33" s="249">
        <v>47860434.560000002</v>
      </c>
      <c r="BQ33" s="253">
        <f>47070016.5+777427.4+225612</f>
        <v>48073055.899999999</v>
      </c>
      <c r="BR33" s="249">
        <v>44748933.159999996</v>
      </c>
      <c r="BS33" s="249">
        <v>46574289.189999998</v>
      </c>
      <c r="BT33" s="249">
        <v>40815255.880000003</v>
      </c>
      <c r="BU33" s="249">
        <v>56929135.340000004</v>
      </c>
      <c r="BV33" s="249">
        <v>56499683.899999999</v>
      </c>
      <c r="BW33" s="249">
        <v>50546954.640000001</v>
      </c>
      <c r="BX33" s="249"/>
      <c r="BY33" s="249">
        <v>57786254.210000001</v>
      </c>
      <c r="BZ33" s="249">
        <v>58787359.960000001</v>
      </c>
      <c r="CA33" s="249">
        <v>60620768.82</v>
      </c>
      <c r="CB33" s="249">
        <v>53783141.140000001</v>
      </c>
      <c r="CC33" s="249">
        <v>59663422.030000001</v>
      </c>
      <c r="CD33" s="212">
        <f>57986049.75+1286436.15+379636.15</f>
        <v>59652122.049999997</v>
      </c>
      <c r="CE33" s="212">
        <v>61809136</v>
      </c>
      <c r="CF33" s="254">
        <v>66839944.530000001</v>
      </c>
      <c r="CG33" s="254">
        <v>68651395.459999993</v>
      </c>
      <c r="CH33" s="254">
        <v>60208654.960000001</v>
      </c>
      <c r="CI33" s="254">
        <v>69111451</v>
      </c>
      <c r="CJ33" s="254">
        <v>54546341.009999998</v>
      </c>
      <c r="CK33" s="254">
        <v>54139960.630000003</v>
      </c>
      <c r="CL33" s="254">
        <v>50894442.049999997</v>
      </c>
      <c r="CM33" s="254">
        <v>50219989.850000001</v>
      </c>
      <c r="CN33" s="255">
        <v>52158522.939999998</v>
      </c>
      <c r="CO33" s="255">
        <v>45871119.719999999</v>
      </c>
      <c r="CP33" s="255">
        <v>58609991.609999999</v>
      </c>
      <c r="CQ33" s="255">
        <v>49429331.75</v>
      </c>
    </row>
    <row r="34" spans="1:97" ht="12" thickBot="1">
      <c r="A34" s="272">
        <v>8</v>
      </c>
      <c r="B34" s="229" t="s">
        <v>44</v>
      </c>
      <c r="C34" s="278"/>
      <c r="D34" s="257"/>
      <c r="E34" s="240"/>
      <c r="F34" s="240">
        <v>1460576.75</v>
      </c>
      <c r="G34" s="240">
        <v>1341781.21</v>
      </c>
      <c r="H34" s="240">
        <v>1362011.28</v>
      </c>
      <c r="I34" s="240">
        <v>2171729.77</v>
      </c>
      <c r="J34" s="240">
        <v>2171729.77</v>
      </c>
      <c r="K34" s="240">
        <v>2218536.91</v>
      </c>
      <c r="L34" s="240">
        <v>2289867.98</v>
      </c>
      <c r="M34" s="240">
        <v>2520988.15</v>
      </c>
      <c r="N34" s="240">
        <v>-15000</v>
      </c>
      <c r="O34" s="240">
        <v>-15000</v>
      </c>
      <c r="P34" s="240"/>
      <c r="Q34" s="240"/>
      <c r="R34" s="241"/>
      <c r="S34" s="287">
        <v>0</v>
      </c>
      <c r="T34" s="287">
        <v>0</v>
      </c>
      <c r="U34" s="287">
        <v>0</v>
      </c>
      <c r="V34" s="288">
        <v>0</v>
      </c>
      <c r="W34" s="270">
        <v>-15000</v>
      </c>
      <c r="X34" s="289">
        <v>0</v>
      </c>
      <c r="Y34" s="245">
        <v>0</v>
      </c>
      <c r="Z34" s="290">
        <v>0</v>
      </c>
      <c r="AA34" s="247"/>
      <c r="AB34" s="245">
        <v>0</v>
      </c>
      <c r="AC34" s="245">
        <v>0</v>
      </c>
      <c r="AD34" s="248">
        <v>0</v>
      </c>
      <c r="AE34" s="249">
        <v>0</v>
      </c>
      <c r="AF34" s="249">
        <v>0</v>
      </c>
      <c r="AG34" s="249">
        <v>0</v>
      </c>
      <c r="AH34" s="249">
        <v>0</v>
      </c>
      <c r="AI34" s="249">
        <v>0</v>
      </c>
      <c r="AJ34" s="212">
        <v>0</v>
      </c>
      <c r="AK34" s="212">
        <v>0</v>
      </c>
      <c r="AL34" s="212">
        <v>0</v>
      </c>
      <c r="AM34" s="212">
        <v>0</v>
      </c>
      <c r="AN34" s="212">
        <v>0</v>
      </c>
      <c r="AO34" s="212">
        <v>250000</v>
      </c>
      <c r="AP34" s="212">
        <v>250000</v>
      </c>
      <c r="AQ34" s="212"/>
      <c r="AR34" s="212">
        <v>151000</v>
      </c>
      <c r="AS34" s="212">
        <v>0</v>
      </c>
      <c r="AT34" s="250">
        <v>151000</v>
      </c>
      <c r="AU34" s="250">
        <v>151000</v>
      </c>
      <c r="AV34" s="250">
        <v>151000</v>
      </c>
      <c r="AW34" s="25">
        <v>331000</v>
      </c>
      <c r="AX34" s="250">
        <v>331000</v>
      </c>
      <c r="AY34" s="250">
        <v>181000</v>
      </c>
      <c r="AZ34" s="250">
        <v>181000</v>
      </c>
      <c r="BA34" s="240">
        <v>181000</v>
      </c>
      <c r="BB34" s="251">
        <v>181000</v>
      </c>
      <c r="BC34" s="252">
        <v>181000</v>
      </c>
      <c r="BD34" s="252"/>
      <c r="BE34" s="249">
        <v>481000</v>
      </c>
      <c r="BF34" s="249">
        <v>382000</v>
      </c>
      <c r="BG34" s="249">
        <v>542000</v>
      </c>
      <c r="BH34" s="249">
        <v>492000</v>
      </c>
      <c r="BI34" s="249">
        <v>462000</v>
      </c>
      <c r="BJ34" s="249">
        <v>456000</v>
      </c>
      <c r="BK34" s="249">
        <v>683200</v>
      </c>
      <c r="BL34" s="249">
        <v>871200</v>
      </c>
      <c r="BM34" s="249">
        <v>832200</v>
      </c>
      <c r="BN34" s="249">
        <v>1006200</v>
      </c>
      <c r="BO34" s="249">
        <v>4005678.2</v>
      </c>
      <c r="BP34" s="249">
        <v>4005678.2</v>
      </c>
      <c r="BQ34" s="261">
        <v>4035678.2</v>
      </c>
      <c r="BR34" s="249">
        <v>4005678.2</v>
      </c>
      <c r="BS34" s="249">
        <v>4005678.2</v>
      </c>
      <c r="BT34" s="249">
        <v>1201200</v>
      </c>
      <c r="BU34" s="249">
        <v>1001300</v>
      </c>
      <c r="BV34" s="249">
        <v>1001300</v>
      </c>
      <c r="BW34" s="249">
        <v>1600272</v>
      </c>
      <c r="BX34" s="249"/>
      <c r="BY34" s="249">
        <v>2880450</v>
      </c>
      <c r="BZ34" s="249">
        <v>2870450</v>
      </c>
      <c r="CA34" s="249">
        <v>2322748.17</v>
      </c>
      <c r="CB34" s="249">
        <v>2322748.17</v>
      </c>
      <c r="CC34" s="249">
        <v>2102648.17</v>
      </c>
      <c r="CD34" s="212">
        <f>2102648.15+11300</f>
        <v>2113948.15</v>
      </c>
      <c r="CE34" s="212">
        <f>1422951+11300+3185793+2141712</f>
        <v>6761756</v>
      </c>
      <c r="CF34" s="254">
        <v>1672951.4</v>
      </c>
      <c r="CG34" s="254">
        <v>2874292.87</v>
      </c>
      <c r="CH34" s="254">
        <v>3900000</v>
      </c>
      <c r="CI34" s="254">
        <v>5140200.59</v>
      </c>
      <c r="CJ34" s="254">
        <v>5170200.59</v>
      </c>
      <c r="CK34" s="254">
        <v>5976795.1900000004</v>
      </c>
      <c r="CL34" s="254">
        <v>12498352.189999999</v>
      </c>
      <c r="CM34" s="254">
        <v>11649727.390000001</v>
      </c>
      <c r="CN34" s="255">
        <v>7931570.3899999997</v>
      </c>
      <c r="CO34" s="255">
        <v>7973170.3899999997</v>
      </c>
      <c r="CP34" s="255">
        <v>7764995.5999999996</v>
      </c>
      <c r="CQ34" s="255">
        <v>7469495.5999999996</v>
      </c>
    </row>
    <row r="35" spans="1:97" ht="12" thickTop="1">
      <c r="A35" s="272">
        <v>9</v>
      </c>
      <c r="B35" s="229" t="s">
        <v>45</v>
      </c>
      <c r="C35" s="256">
        <v>373229667.70999998</v>
      </c>
      <c r="D35" s="257">
        <v>389297938.51999998</v>
      </c>
      <c r="E35" s="240">
        <v>415784125</v>
      </c>
      <c r="F35" s="240">
        <v>423522971.06999999</v>
      </c>
      <c r="G35" s="240">
        <v>422684562.99000001</v>
      </c>
      <c r="H35" s="240">
        <v>426426512.99000001</v>
      </c>
      <c r="I35" s="240">
        <v>428925504.99000001</v>
      </c>
      <c r="J35" s="240">
        <v>428925504.99000001</v>
      </c>
      <c r="K35" s="240">
        <v>434859870.48000002</v>
      </c>
      <c r="L35" s="240">
        <v>438208506.48000002</v>
      </c>
      <c r="M35" s="240">
        <v>440161683.38</v>
      </c>
      <c r="N35" s="240">
        <v>446282221.79000002</v>
      </c>
      <c r="O35" s="240">
        <v>445647247.79000002</v>
      </c>
      <c r="P35" s="240">
        <v>451971715.69</v>
      </c>
      <c r="Q35" s="240">
        <v>454481686.88999999</v>
      </c>
      <c r="R35" s="241">
        <v>444645623.54000002</v>
      </c>
      <c r="S35" s="287">
        <v>460566283.04000002</v>
      </c>
      <c r="T35" s="287">
        <v>467357611.04000002</v>
      </c>
      <c r="U35" s="287">
        <v>470732491.04000002</v>
      </c>
      <c r="V35" s="288">
        <v>475861365.04000002</v>
      </c>
      <c r="W35" s="270">
        <v>484749546.04000002</v>
      </c>
      <c r="X35" s="289">
        <v>489311698.08999997</v>
      </c>
      <c r="Y35" s="245">
        <v>490812236.97000003</v>
      </c>
      <c r="Z35" s="290">
        <v>491645070.80000001</v>
      </c>
      <c r="AA35" s="247">
        <v>487180852.60000002</v>
      </c>
      <c r="AB35" s="245">
        <v>491716244.16000003</v>
      </c>
      <c r="AC35" s="245">
        <v>495769861.16000003</v>
      </c>
      <c r="AD35" s="248">
        <v>496342751.24000001</v>
      </c>
      <c r="AE35" s="249">
        <v>502793697.31999999</v>
      </c>
      <c r="AF35" s="249">
        <v>507624246.31999999</v>
      </c>
      <c r="AG35" s="249">
        <v>510872128.33999997</v>
      </c>
      <c r="AH35" s="249">
        <v>515900254.99000001</v>
      </c>
      <c r="AI35" s="249">
        <v>521438164.94999999</v>
      </c>
      <c r="AJ35" s="212">
        <v>527259317.93000001</v>
      </c>
      <c r="AK35" s="212">
        <v>526797311.33999997</v>
      </c>
      <c r="AL35" s="212">
        <v>522130409.00999999</v>
      </c>
      <c r="AM35" s="212">
        <v>525658682.98000002</v>
      </c>
      <c r="AN35" s="212">
        <v>536255533.68000001</v>
      </c>
      <c r="AO35" s="212">
        <v>540705999.95000005</v>
      </c>
      <c r="AP35" s="212">
        <v>548800441.95000005</v>
      </c>
      <c r="AQ35" s="212">
        <v>548800441</v>
      </c>
      <c r="AR35" s="212">
        <v>549822322.57000005</v>
      </c>
      <c r="AS35" s="212">
        <v>557579357.26999998</v>
      </c>
      <c r="AT35" s="250">
        <v>562922421.72000003</v>
      </c>
      <c r="AU35" s="250">
        <v>567615386.32000005</v>
      </c>
      <c r="AV35" s="250">
        <v>574545590.99000001</v>
      </c>
      <c r="AW35" s="25">
        <v>585089158.26999998</v>
      </c>
      <c r="AX35" s="250">
        <v>586445927.13</v>
      </c>
      <c r="AY35" s="250">
        <v>592419891.73000002</v>
      </c>
      <c r="AZ35" s="250">
        <v>579735004.91999996</v>
      </c>
      <c r="BA35" s="240">
        <v>579735004.91999996</v>
      </c>
      <c r="BB35" s="251">
        <v>590004509.27999997</v>
      </c>
      <c r="BC35" s="252">
        <v>596739472.5</v>
      </c>
      <c r="BD35" s="252">
        <v>592342053</v>
      </c>
      <c r="BE35" s="249">
        <v>599591492.59000003</v>
      </c>
      <c r="BF35" s="249">
        <v>599579344.02999997</v>
      </c>
      <c r="BG35" s="249">
        <v>604771579.48000002</v>
      </c>
      <c r="BH35" s="249">
        <v>610720663.65999997</v>
      </c>
      <c r="BI35" s="249">
        <v>617761602.91999996</v>
      </c>
      <c r="BJ35" s="249">
        <v>623587250.57000005</v>
      </c>
      <c r="BK35" s="249">
        <v>629492530.88999999</v>
      </c>
      <c r="BL35" s="249">
        <v>628997330.20000005</v>
      </c>
      <c r="BM35" s="249">
        <v>636795663.00999999</v>
      </c>
      <c r="BN35" s="249">
        <v>642606253.85000002</v>
      </c>
      <c r="BO35" s="249">
        <v>649491111.89999998</v>
      </c>
      <c r="BP35" s="249">
        <v>656562017.73000002</v>
      </c>
      <c r="BQ35" s="253">
        <v>656562017.75</v>
      </c>
      <c r="BR35" s="249">
        <v>657880178.75999999</v>
      </c>
      <c r="BS35" s="249">
        <v>662948398.16999996</v>
      </c>
      <c r="BT35" s="249">
        <v>669474515.23000002</v>
      </c>
      <c r="BU35" s="249">
        <v>679417923.54999995</v>
      </c>
      <c r="BV35" s="249">
        <v>686445959.55999994</v>
      </c>
      <c r="BW35" s="249">
        <v>691159627.46000004</v>
      </c>
      <c r="BX35" s="249"/>
      <c r="BY35" s="249">
        <v>694693586.20000005</v>
      </c>
      <c r="BZ35" s="249">
        <v>697061758.15999997</v>
      </c>
      <c r="CA35" s="249">
        <v>699776051.12</v>
      </c>
      <c r="CB35" s="249">
        <v>706575584.21000004</v>
      </c>
      <c r="CC35" s="249">
        <v>713499876.64999998</v>
      </c>
      <c r="CD35" s="212">
        <v>713499876.64999998</v>
      </c>
      <c r="CE35" s="212">
        <v>756058831</v>
      </c>
      <c r="CF35" s="254">
        <v>760699619.36000001</v>
      </c>
      <c r="CG35" s="254">
        <v>760371854.02999997</v>
      </c>
      <c r="CH35" s="254">
        <v>769341952.04999995</v>
      </c>
      <c r="CI35" s="254">
        <v>779042684.53999996</v>
      </c>
      <c r="CJ35" s="254">
        <v>781227346.19000006</v>
      </c>
      <c r="CK35" s="254">
        <v>783248551.37</v>
      </c>
      <c r="CL35" s="254">
        <v>784306854.75</v>
      </c>
      <c r="CM35" s="254">
        <v>783016618.03999996</v>
      </c>
      <c r="CN35" s="255">
        <v>791705439.41999996</v>
      </c>
      <c r="CO35" s="255">
        <v>791906485.79999995</v>
      </c>
      <c r="CP35" s="255">
        <v>795733980.12</v>
      </c>
      <c r="CQ35" s="255">
        <v>802024146.54999995</v>
      </c>
    </row>
    <row r="36" spans="1:97">
      <c r="A36" s="272"/>
      <c r="B36" s="227" t="s">
        <v>46</v>
      </c>
      <c r="C36" s="271">
        <f>SUM(C33:C35)</f>
        <v>390076832.77999997</v>
      </c>
      <c r="D36" s="271">
        <f t="shared" ref="D36" si="35">SUM(D33:D35)</f>
        <v>404699761.25999999</v>
      </c>
      <c r="E36" s="232">
        <f t="shared" ref="E36:K36" si="36">SUM(E33:E35)</f>
        <v>433795633</v>
      </c>
      <c r="F36" s="232">
        <f t="shared" si="36"/>
        <v>445639764.19</v>
      </c>
      <c r="G36" s="232">
        <f t="shared" si="36"/>
        <v>441803580.80000001</v>
      </c>
      <c r="H36" s="232">
        <f t="shared" si="36"/>
        <v>447715111.31999999</v>
      </c>
      <c r="I36" s="232">
        <f t="shared" si="36"/>
        <v>458480361.91000003</v>
      </c>
      <c r="J36" s="232">
        <f t="shared" si="36"/>
        <v>458480361.91000003</v>
      </c>
      <c r="K36" s="232">
        <f t="shared" si="36"/>
        <v>462179498.81</v>
      </c>
      <c r="L36" s="232">
        <f t="shared" ref="L36:M36" si="37">SUM(L33:L35)</f>
        <v>469249982.71000004</v>
      </c>
      <c r="M36" s="232">
        <f t="shared" si="37"/>
        <v>469667160.25999999</v>
      </c>
      <c r="N36" s="232">
        <f t="shared" ref="N36:P36" si="38">SUM(N33:N35)</f>
        <v>473774498</v>
      </c>
      <c r="O36" s="232">
        <f t="shared" si="38"/>
        <v>480105405.83000004</v>
      </c>
      <c r="P36" s="232">
        <f t="shared" si="38"/>
        <v>483528531.38</v>
      </c>
      <c r="Q36" s="232">
        <f t="shared" ref="Q36:CB36" si="39">SUM(Q33:Q35)</f>
        <v>499593415.09999996</v>
      </c>
      <c r="R36" s="233">
        <f t="shared" si="39"/>
        <v>493551220.41000003</v>
      </c>
      <c r="S36" s="234">
        <f t="shared" si="39"/>
        <v>496692560.19</v>
      </c>
      <c r="T36" s="234">
        <f t="shared" si="39"/>
        <v>501561497.00999999</v>
      </c>
      <c r="U36" s="234">
        <f t="shared" si="39"/>
        <v>504301822.77000004</v>
      </c>
      <c r="V36" s="234">
        <f t="shared" si="39"/>
        <v>519680789.70000005</v>
      </c>
      <c r="W36" s="234">
        <f t="shared" si="39"/>
        <v>519908710.67000002</v>
      </c>
      <c r="X36" s="234">
        <f t="shared" si="39"/>
        <v>527260368.14999998</v>
      </c>
      <c r="Y36" s="234">
        <f t="shared" si="39"/>
        <v>527155234.88</v>
      </c>
      <c r="Z36" s="234">
        <f t="shared" si="39"/>
        <v>527866088.49000001</v>
      </c>
      <c r="AA36" s="234">
        <f t="shared" si="39"/>
        <v>527646985.04000002</v>
      </c>
      <c r="AB36" s="234">
        <f t="shared" si="39"/>
        <v>534606587.85000002</v>
      </c>
      <c r="AC36" s="234">
        <f t="shared" si="39"/>
        <v>536365957.30000001</v>
      </c>
      <c r="AD36" s="234">
        <f t="shared" si="39"/>
        <v>547817637.65999997</v>
      </c>
      <c r="AE36" s="234">
        <f t="shared" si="39"/>
        <v>536771450</v>
      </c>
      <c r="AF36" s="234">
        <f t="shared" si="39"/>
        <v>549242891.13</v>
      </c>
      <c r="AG36" s="234">
        <f t="shared" si="39"/>
        <v>552392387.90999997</v>
      </c>
      <c r="AH36" s="234">
        <f t="shared" si="39"/>
        <v>555102767.22000003</v>
      </c>
      <c r="AI36" s="234">
        <f t="shared" si="39"/>
        <v>560350713.98000002</v>
      </c>
      <c r="AJ36" s="234">
        <f t="shared" si="39"/>
        <v>565870855.51999998</v>
      </c>
      <c r="AK36" s="234">
        <f t="shared" si="39"/>
        <v>563980390.58999991</v>
      </c>
      <c r="AL36" s="235">
        <f t="shared" si="39"/>
        <v>565870463.27999997</v>
      </c>
      <c r="AM36" s="235">
        <f t="shared" si="39"/>
        <v>562822359.03999996</v>
      </c>
      <c r="AN36" s="235">
        <f t="shared" si="39"/>
        <v>579286377.71000004</v>
      </c>
      <c r="AO36" s="235">
        <f t="shared" si="39"/>
        <v>584045756.84000003</v>
      </c>
      <c r="AP36" s="235">
        <f t="shared" si="39"/>
        <v>597414542.34000003</v>
      </c>
      <c r="AQ36" s="235">
        <f t="shared" si="39"/>
        <v>597414541</v>
      </c>
      <c r="AR36" s="235">
        <f t="shared" si="39"/>
        <v>591457745.22000003</v>
      </c>
      <c r="AS36" s="236">
        <f t="shared" si="39"/>
        <v>598731744.38999999</v>
      </c>
      <c r="AT36" s="235">
        <f t="shared" si="39"/>
        <v>605493964.52999997</v>
      </c>
      <c r="AU36" s="235">
        <f t="shared" si="39"/>
        <v>610600219.25999999</v>
      </c>
      <c r="AV36" s="235">
        <f t="shared" si="39"/>
        <v>618263856.01999998</v>
      </c>
      <c r="AW36" s="235">
        <f t="shared" si="39"/>
        <v>624026590.56999993</v>
      </c>
      <c r="AX36" s="235">
        <f t="shared" si="39"/>
        <v>630141672.33000004</v>
      </c>
      <c r="AY36" s="235">
        <f t="shared" si="39"/>
        <v>634152868.95000005</v>
      </c>
      <c r="AZ36" s="235">
        <f t="shared" si="39"/>
        <v>625973623.65999997</v>
      </c>
      <c r="BA36" s="235">
        <f t="shared" si="39"/>
        <v>625973623.65999997</v>
      </c>
      <c r="BB36" s="235">
        <f t="shared" si="39"/>
        <v>639405019.81999993</v>
      </c>
      <c r="BC36" s="235">
        <f t="shared" si="39"/>
        <v>656431988.86000001</v>
      </c>
      <c r="BD36" s="235">
        <f t="shared" si="39"/>
        <v>652130732.70000005</v>
      </c>
      <c r="BE36" s="235">
        <f t="shared" si="39"/>
        <v>642044615.20000005</v>
      </c>
      <c r="BF36" s="235">
        <f t="shared" si="39"/>
        <v>638902008.01999998</v>
      </c>
      <c r="BG36" s="235">
        <f t="shared" si="39"/>
        <v>644967129.20000005</v>
      </c>
      <c r="BH36" s="235">
        <f t="shared" si="39"/>
        <v>646271999.47000003</v>
      </c>
      <c r="BI36" s="235">
        <f t="shared" si="39"/>
        <v>657728990.08999991</v>
      </c>
      <c r="BJ36" s="235">
        <f t="shared" si="39"/>
        <v>662252039.08000004</v>
      </c>
      <c r="BK36" s="235">
        <f t="shared" si="39"/>
        <v>664017793.90999997</v>
      </c>
      <c r="BL36" s="235">
        <f t="shared" si="39"/>
        <v>672188329.7700001</v>
      </c>
      <c r="BM36" s="235">
        <f t="shared" si="39"/>
        <v>678987357.88</v>
      </c>
      <c r="BN36" s="235">
        <f t="shared" si="39"/>
        <v>692535021.81000006</v>
      </c>
      <c r="BO36" s="235">
        <f t="shared" si="39"/>
        <v>696699369.49000001</v>
      </c>
      <c r="BP36" s="235">
        <f t="shared" si="39"/>
        <v>708428130.49000001</v>
      </c>
      <c r="BQ36" s="235">
        <f t="shared" si="39"/>
        <v>708670751.85000002</v>
      </c>
      <c r="BR36" s="235">
        <f t="shared" si="39"/>
        <v>706634790.12</v>
      </c>
      <c r="BS36" s="235">
        <f t="shared" si="39"/>
        <v>713528365.55999994</v>
      </c>
      <c r="BT36" s="235">
        <f t="shared" si="39"/>
        <v>711490971.11000001</v>
      </c>
      <c r="BU36" s="235">
        <f t="shared" si="39"/>
        <v>737348358.88999999</v>
      </c>
      <c r="BV36" s="235">
        <f t="shared" si="39"/>
        <v>743946943.45999992</v>
      </c>
      <c r="BW36" s="235">
        <f t="shared" si="39"/>
        <v>743306854.10000002</v>
      </c>
      <c r="BX36" s="235">
        <f t="shared" si="39"/>
        <v>0</v>
      </c>
      <c r="BY36" s="235">
        <f t="shared" si="39"/>
        <v>755360290.41000009</v>
      </c>
      <c r="BZ36" s="235">
        <f t="shared" si="39"/>
        <v>758719568.12</v>
      </c>
      <c r="CA36" s="235">
        <f t="shared" si="39"/>
        <v>762719568.11000001</v>
      </c>
      <c r="CB36" s="235">
        <f t="shared" si="39"/>
        <v>762681473.51999998</v>
      </c>
      <c r="CC36" s="235">
        <f t="shared" ref="CC36:CD36" si="40">SUM(CC33:CC35)</f>
        <v>775265946.85000002</v>
      </c>
      <c r="CD36" s="235">
        <f t="shared" si="40"/>
        <v>775265946.85000002</v>
      </c>
      <c r="CE36" s="235">
        <f t="shared" ref="CE36:CM36" si="41">SUM(CE33:CE35)</f>
        <v>824629723</v>
      </c>
      <c r="CF36" s="237">
        <f t="shared" si="41"/>
        <v>829212515.28999996</v>
      </c>
      <c r="CG36" s="237">
        <f t="shared" si="41"/>
        <v>831897542.36000001</v>
      </c>
      <c r="CH36" s="237">
        <f t="shared" si="41"/>
        <v>833450607.00999999</v>
      </c>
      <c r="CI36" s="237">
        <f t="shared" si="41"/>
        <v>853294336.13</v>
      </c>
      <c r="CJ36" s="237">
        <f t="shared" si="41"/>
        <v>840943887.79000008</v>
      </c>
      <c r="CK36" s="237">
        <f t="shared" si="41"/>
        <v>843365307.19000006</v>
      </c>
      <c r="CL36" s="237">
        <f t="shared" si="41"/>
        <v>847699648.99000001</v>
      </c>
      <c r="CM36" s="237">
        <f t="shared" si="41"/>
        <v>844886335.27999997</v>
      </c>
      <c r="CN36" s="237">
        <f t="shared" ref="CN36:CR36" si="42">SUM(CN33:CN35)</f>
        <v>851795532.75</v>
      </c>
      <c r="CO36" s="237">
        <f t="shared" si="42"/>
        <v>845750775.90999997</v>
      </c>
      <c r="CP36" s="237">
        <f t="shared" si="42"/>
        <v>862108967.33000004</v>
      </c>
      <c r="CQ36" s="237">
        <f t="shared" si="42"/>
        <v>858922973.89999998</v>
      </c>
      <c r="CR36" s="237">
        <f t="shared" si="42"/>
        <v>0</v>
      </c>
      <c r="CS36" s="235">
        <f t="shared" ref="CN36:CS36" si="43">SUM(CS33:CS35)</f>
        <v>0</v>
      </c>
    </row>
    <row r="37" spans="1:97">
      <c r="A37" s="272">
        <v>10</v>
      </c>
      <c r="B37" s="227" t="s">
        <v>47</v>
      </c>
      <c r="C37" s="268">
        <f>C38+C39+C40+C41+C42+C43</f>
        <v>5851152.4900000002</v>
      </c>
      <c r="D37" s="268">
        <f>D38+D39+D40+D41+D42+D43</f>
        <v>57286691.039999999</v>
      </c>
      <c r="E37" s="291">
        <f t="shared" ref="E37:K37" si="44">SUM(E38:E43)</f>
        <v>82474599</v>
      </c>
      <c r="F37" s="291">
        <f t="shared" si="44"/>
        <v>40426054.479999997</v>
      </c>
      <c r="G37" s="291">
        <f t="shared" si="44"/>
        <v>40426054.479999997</v>
      </c>
      <c r="H37" s="291">
        <f t="shared" si="44"/>
        <v>38300198.109999999</v>
      </c>
      <c r="I37" s="291">
        <f t="shared" si="44"/>
        <v>38300198.109999999</v>
      </c>
      <c r="J37" s="291">
        <f t="shared" si="44"/>
        <v>38300198.109999999</v>
      </c>
      <c r="K37" s="291">
        <f t="shared" si="44"/>
        <v>38300198.109999999</v>
      </c>
      <c r="L37" s="291">
        <f t="shared" ref="L37:M37" si="45">SUM(L38:L43)</f>
        <v>36965198.109999999</v>
      </c>
      <c r="M37" s="291">
        <f t="shared" si="45"/>
        <v>36965198.109999999</v>
      </c>
      <c r="N37" s="291">
        <f t="shared" ref="N37:P37" si="46">SUM(N38:N43)</f>
        <v>126889533.34</v>
      </c>
      <c r="O37" s="291">
        <f t="shared" si="46"/>
        <v>125554533.3</v>
      </c>
      <c r="P37" s="291">
        <f t="shared" si="46"/>
        <v>119195066.68000001</v>
      </c>
      <c r="Q37" s="291">
        <f t="shared" ref="Q37:CB37" si="47">SUM(Q38:Q43)</f>
        <v>108472833.34999999</v>
      </c>
      <c r="R37" s="292">
        <f t="shared" si="47"/>
        <v>146069113.75389999</v>
      </c>
      <c r="S37" s="293">
        <f t="shared" si="47"/>
        <v>108472833.34999999</v>
      </c>
      <c r="T37" s="293">
        <f t="shared" si="47"/>
        <v>104289425.3</v>
      </c>
      <c r="U37" s="293">
        <f t="shared" si="47"/>
        <v>100660015.2</v>
      </c>
      <c r="V37" s="293">
        <f t="shared" si="47"/>
        <v>100583900.03</v>
      </c>
      <c r="W37" s="293">
        <f t="shared" si="47"/>
        <v>146625334.50999999</v>
      </c>
      <c r="X37" s="293">
        <f t="shared" si="47"/>
        <v>118162011.77</v>
      </c>
      <c r="Y37" s="293">
        <f t="shared" si="47"/>
        <v>113594083.69</v>
      </c>
      <c r="Z37" s="293">
        <f t="shared" si="47"/>
        <v>107904836.40000001</v>
      </c>
      <c r="AA37" s="293">
        <f t="shared" si="47"/>
        <v>101839421.3</v>
      </c>
      <c r="AB37" s="293">
        <f t="shared" si="47"/>
        <v>96246358.359999999</v>
      </c>
      <c r="AC37" s="293">
        <f t="shared" si="47"/>
        <v>91158395.260000005</v>
      </c>
      <c r="AD37" s="293">
        <f t="shared" si="47"/>
        <v>92300662.670000002</v>
      </c>
      <c r="AE37" s="293">
        <f t="shared" si="47"/>
        <v>87539876.359999999</v>
      </c>
      <c r="AF37" s="293">
        <f t="shared" si="47"/>
        <v>92833800.060000002</v>
      </c>
      <c r="AG37" s="293">
        <f t="shared" si="47"/>
        <v>92833800.060000002</v>
      </c>
      <c r="AH37" s="293">
        <f t="shared" si="47"/>
        <v>87394860.010000005</v>
      </c>
      <c r="AI37" s="293">
        <f t="shared" si="47"/>
        <v>122306932.76000001</v>
      </c>
      <c r="AJ37" s="293">
        <f t="shared" si="47"/>
        <v>120115367.23</v>
      </c>
      <c r="AK37" s="293">
        <f t="shared" si="47"/>
        <v>118094367.36</v>
      </c>
      <c r="AL37" s="294">
        <f t="shared" si="47"/>
        <v>117183967.12</v>
      </c>
      <c r="AM37" s="294">
        <f t="shared" si="47"/>
        <v>113289367.3</v>
      </c>
      <c r="AN37" s="294">
        <f t="shared" si="47"/>
        <v>111516294.26000001</v>
      </c>
      <c r="AO37" s="294">
        <f t="shared" si="47"/>
        <v>120083333.31</v>
      </c>
      <c r="AP37" s="294">
        <f t="shared" si="47"/>
        <v>123249999</v>
      </c>
      <c r="AQ37" s="294">
        <f t="shared" si="47"/>
        <v>155928937</v>
      </c>
      <c r="AR37" s="294">
        <f t="shared" si="47"/>
        <v>123249999</v>
      </c>
      <c r="AS37" s="295">
        <f t="shared" si="47"/>
        <v>120378236.3</v>
      </c>
      <c r="AT37" s="294">
        <f t="shared" si="47"/>
        <v>115999999</v>
      </c>
      <c r="AU37" s="294">
        <f t="shared" si="47"/>
        <v>112369129.2</v>
      </c>
      <c r="AV37" s="294">
        <f t="shared" si="47"/>
        <v>109325593.25</v>
      </c>
      <c r="AW37" s="294">
        <f t="shared" si="47"/>
        <v>109639140</v>
      </c>
      <c r="AX37" s="294">
        <f t="shared" si="47"/>
        <v>131833333.29000001</v>
      </c>
      <c r="AY37" s="294">
        <f t="shared" si="47"/>
        <v>123749999.95999999</v>
      </c>
      <c r="AZ37" s="294">
        <f t="shared" si="47"/>
        <v>118499999.95</v>
      </c>
      <c r="BA37" s="294">
        <f t="shared" si="47"/>
        <v>118499999.95</v>
      </c>
      <c r="BB37" s="294">
        <f t="shared" si="47"/>
        <v>108010997.02</v>
      </c>
      <c r="BC37" s="294">
        <f t="shared" si="47"/>
        <v>172760997</v>
      </c>
      <c r="BD37" s="294">
        <f t="shared" si="47"/>
        <v>195253617.94999999</v>
      </c>
      <c r="BE37" s="294">
        <f t="shared" si="47"/>
        <v>166753350</v>
      </c>
      <c r="BF37" s="294">
        <f t="shared" si="47"/>
        <v>160349254.22999999</v>
      </c>
      <c r="BG37" s="294">
        <f t="shared" si="47"/>
        <v>148221858.34</v>
      </c>
      <c r="BH37" s="294">
        <f t="shared" si="47"/>
        <v>143333333.22999999</v>
      </c>
      <c r="BI37" s="294">
        <f t="shared" si="47"/>
        <v>143333333.22999999</v>
      </c>
      <c r="BJ37" s="294">
        <f t="shared" si="47"/>
        <v>143333333.22999999</v>
      </c>
      <c r="BK37" s="294">
        <f t="shared" si="47"/>
        <v>142750000</v>
      </c>
      <c r="BL37" s="294">
        <f t="shared" si="47"/>
        <v>135583333.31999999</v>
      </c>
      <c r="BM37" s="294">
        <f t="shared" si="47"/>
        <v>135583333.31999999</v>
      </c>
      <c r="BN37" s="294">
        <f t="shared" si="47"/>
        <v>128416666.64</v>
      </c>
      <c r="BO37" s="294">
        <f t="shared" si="47"/>
        <v>124833333.19</v>
      </c>
      <c r="BP37" s="294">
        <f t="shared" si="47"/>
        <v>188749999.84999999</v>
      </c>
      <c r="BQ37" s="294">
        <f t="shared" si="47"/>
        <v>193212247.05000001</v>
      </c>
      <c r="BR37" s="294">
        <f t="shared" si="47"/>
        <v>152083333.19</v>
      </c>
      <c r="BS37" s="294">
        <f t="shared" si="47"/>
        <v>152083333.19</v>
      </c>
      <c r="BT37" s="294">
        <f t="shared" si="47"/>
        <v>147916666.53</v>
      </c>
      <c r="BU37" s="294">
        <f t="shared" si="47"/>
        <v>140249999.87</v>
      </c>
      <c r="BV37" s="294">
        <f t="shared" si="47"/>
        <v>181155317.59</v>
      </c>
      <c r="BW37" s="294">
        <f t="shared" si="47"/>
        <v>179266666.65000001</v>
      </c>
      <c r="BX37" s="294">
        <f t="shared" si="47"/>
        <v>0</v>
      </c>
      <c r="BY37" s="294">
        <f t="shared" si="47"/>
        <v>175216666.25999999</v>
      </c>
      <c r="BZ37" s="294">
        <f t="shared" si="47"/>
        <v>171901298.56999999</v>
      </c>
      <c r="CA37" s="294">
        <f t="shared" si="47"/>
        <v>169583333.25</v>
      </c>
      <c r="CB37" s="294">
        <f t="shared" si="47"/>
        <v>165316215.30000001</v>
      </c>
      <c r="CC37" s="294">
        <f t="shared" ref="CC37:CD37" si="48">SUM(CC38:CC43)</f>
        <v>164006198.64000002</v>
      </c>
      <c r="CD37" s="294">
        <f t="shared" si="48"/>
        <v>205834906</v>
      </c>
      <c r="CE37" s="294">
        <f t="shared" ref="CE37:CM37" si="49">SUM(CE38:CE43)</f>
        <v>211484074</v>
      </c>
      <c r="CF37" s="296">
        <f t="shared" si="49"/>
        <v>159921947.94999999</v>
      </c>
      <c r="CG37" s="296">
        <f t="shared" si="49"/>
        <v>152911281.49000001</v>
      </c>
      <c r="CH37" s="296">
        <f t="shared" si="49"/>
        <v>223376688</v>
      </c>
      <c r="CI37" s="296">
        <f t="shared" si="49"/>
        <v>215429999.02000001</v>
      </c>
      <c r="CJ37" s="296">
        <f t="shared" si="49"/>
        <v>209712525.40000001</v>
      </c>
      <c r="CK37" s="296">
        <f t="shared" si="49"/>
        <v>205426325.40000001</v>
      </c>
      <c r="CL37" s="296">
        <f t="shared" si="49"/>
        <v>201450299.30000001</v>
      </c>
      <c r="CM37" s="296">
        <f t="shared" si="49"/>
        <v>197470147.09999999</v>
      </c>
      <c r="CN37" s="296">
        <f t="shared" ref="CN37:CR37" si="50">SUM(CN38:CN43)</f>
        <v>195660328.15000001</v>
      </c>
      <c r="CO37" s="296">
        <f t="shared" si="50"/>
        <v>195400286.19999999</v>
      </c>
      <c r="CP37" s="296">
        <f t="shared" si="50"/>
        <v>193228792.58000001</v>
      </c>
      <c r="CQ37" s="296">
        <f t="shared" si="50"/>
        <v>246255647.63</v>
      </c>
      <c r="CR37" s="296">
        <f t="shared" si="50"/>
        <v>0</v>
      </c>
      <c r="CS37" s="294">
        <f t="shared" ref="CN37:CS37" si="51">SUM(CS38:CS43)</f>
        <v>0</v>
      </c>
    </row>
    <row r="38" spans="1:97">
      <c r="A38" s="272">
        <v>10.1</v>
      </c>
      <c r="B38" s="229" t="s">
        <v>48</v>
      </c>
      <c r="C38" s="278"/>
      <c r="D38" s="257"/>
      <c r="E38" s="240">
        <f>154735+199232</f>
        <v>353967</v>
      </c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1">
        <v>413375.8</v>
      </c>
      <c r="S38" s="297">
        <v>0</v>
      </c>
      <c r="T38" s="297">
        <v>0</v>
      </c>
      <c r="U38" s="297">
        <v>0</v>
      </c>
      <c r="V38" s="298">
        <v>0</v>
      </c>
      <c r="W38" s="25"/>
      <c r="X38" s="299">
        <v>0</v>
      </c>
      <c r="Y38" s="245">
        <v>0</v>
      </c>
      <c r="Z38" s="300">
        <v>0</v>
      </c>
      <c r="AA38" s="247">
        <v>0</v>
      </c>
      <c r="AB38" s="245">
        <v>0</v>
      </c>
      <c r="AC38" s="245">
        <v>0</v>
      </c>
      <c r="AD38" s="248">
        <v>0</v>
      </c>
      <c r="AE38" s="249">
        <v>0</v>
      </c>
      <c r="AF38" s="249">
        <v>0</v>
      </c>
      <c r="AG38" s="249">
        <v>0</v>
      </c>
      <c r="AH38" s="249">
        <v>0</v>
      </c>
      <c r="AI38" s="249">
        <v>0</v>
      </c>
      <c r="AJ38" s="212">
        <v>0</v>
      </c>
      <c r="AK38" s="212">
        <v>0</v>
      </c>
      <c r="AL38" s="212">
        <v>0</v>
      </c>
      <c r="AM38" s="212">
        <v>0</v>
      </c>
      <c r="AN38" s="212">
        <v>0</v>
      </c>
      <c r="AO38" s="212">
        <v>0</v>
      </c>
      <c r="AP38" s="212">
        <v>0</v>
      </c>
      <c r="AQ38" s="212">
        <v>729864</v>
      </c>
      <c r="AR38" s="212">
        <v>0</v>
      </c>
      <c r="AS38" s="212">
        <v>0</v>
      </c>
      <c r="AT38" s="250">
        <v>0</v>
      </c>
      <c r="AU38" s="250">
        <v>0</v>
      </c>
      <c r="AV38" s="250">
        <v>0</v>
      </c>
      <c r="AW38" s="250">
        <v>0</v>
      </c>
      <c r="AX38" s="250">
        <v>0</v>
      </c>
      <c r="AY38" s="250">
        <v>0</v>
      </c>
      <c r="AZ38" s="250">
        <v>0</v>
      </c>
      <c r="BA38" s="250">
        <v>0</v>
      </c>
      <c r="BB38" s="251">
        <v>10997</v>
      </c>
      <c r="BC38" s="252">
        <v>10997</v>
      </c>
      <c r="BD38" s="252">
        <v>962618</v>
      </c>
      <c r="BE38" s="249">
        <v>0</v>
      </c>
      <c r="BF38" s="249">
        <v>0</v>
      </c>
      <c r="BG38" s="249">
        <v>0</v>
      </c>
      <c r="BH38" s="249">
        <v>0</v>
      </c>
      <c r="BI38" s="249">
        <v>0</v>
      </c>
      <c r="BJ38" s="249">
        <v>0</v>
      </c>
      <c r="BK38" s="249">
        <v>0</v>
      </c>
      <c r="BL38" s="249">
        <v>0</v>
      </c>
      <c r="BM38" s="249">
        <v>0</v>
      </c>
      <c r="BN38" s="249">
        <v>0</v>
      </c>
      <c r="BO38" s="249">
        <v>0</v>
      </c>
      <c r="BP38" s="249">
        <v>32500000</v>
      </c>
      <c r="BQ38" s="253">
        <v>1459727</v>
      </c>
      <c r="BR38" s="249">
        <v>0</v>
      </c>
      <c r="BS38" s="249">
        <v>0</v>
      </c>
      <c r="BT38" s="249">
        <v>0</v>
      </c>
      <c r="BU38" s="249">
        <v>0</v>
      </c>
      <c r="BV38" s="249">
        <v>0</v>
      </c>
      <c r="BW38" s="249">
        <v>0</v>
      </c>
      <c r="BX38" s="249"/>
      <c r="BY38" s="249">
        <v>0</v>
      </c>
      <c r="BZ38" s="249">
        <v>984632</v>
      </c>
      <c r="CA38" s="249">
        <v>0</v>
      </c>
      <c r="CB38" s="249">
        <v>0</v>
      </c>
      <c r="CC38" s="249">
        <v>0</v>
      </c>
      <c r="CD38" s="301">
        <v>1910136</v>
      </c>
      <c r="CE38" s="301">
        <v>2671948</v>
      </c>
      <c r="CF38" s="254">
        <v>2671948</v>
      </c>
      <c r="CG38" s="254">
        <v>2671948</v>
      </c>
      <c r="CH38" s="254">
        <v>2497948</v>
      </c>
      <c r="CI38" s="254">
        <v>0</v>
      </c>
      <c r="CJ38" s="254">
        <v>0</v>
      </c>
      <c r="CK38" s="254">
        <v>0</v>
      </c>
      <c r="CL38" s="254">
        <v>0</v>
      </c>
      <c r="CM38" s="254">
        <v>0</v>
      </c>
      <c r="CN38" s="255">
        <v>547392</v>
      </c>
      <c r="CO38" s="255">
        <v>0</v>
      </c>
      <c r="CP38" s="255">
        <v>0</v>
      </c>
      <c r="CQ38" s="255">
        <v>1703939.4</v>
      </c>
    </row>
    <row r="39" spans="1:97">
      <c r="A39" s="272">
        <v>10.199999999999999</v>
      </c>
      <c r="B39" s="229" t="s">
        <v>49</v>
      </c>
      <c r="C39" s="278">
        <v>5851152.4900000002</v>
      </c>
      <c r="D39" s="257">
        <v>20234988.059999999</v>
      </c>
      <c r="E39" s="240">
        <f>26342838+2078921</f>
        <v>28421759</v>
      </c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1"/>
      <c r="S39" s="297">
        <v>0</v>
      </c>
      <c r="T39" s="297">
        <v>0</v>
      </c>
      <c r="U39" s="297">
        <v>0</v>
      </c>
      <c r="V39" s="298">
        <v>0</v>
      </c>
      <c r="W39" s="25"/>
      <c r="X39" s="299">
        <v>0</v>
      </c>
      <c r="Y39" s="245">
        <v>0</v>
      </c>
      <c r="Z39" s="300">
        <v>0</v>
      </c>
      <c r="AA39" s="247">
        <v>0</v>
      </c>
      <c r="AB39" s="245">
        <v>0</v>
      </c>
      <c r="AC39" s="245">
        <v>0</v>
      </c>
      <c r="AD39" s="248">
        <v>0</v>
      </c>
      <c r="AE39" s="249">
        <v>0</v>
      </c>
      <c r="AF39" s="249">
        <v>0</v>
      </c>
      <c r="AG39" s="249">
        <v>0</v>
      </c>
      <c r="AH39" s="249">
        <v>0</v>
      </c>
      <c r="AI39" s="249">
        <v>0</v>
      </c>
      <c r="AJ39" s="212">
        <v>0</v>
      </c>
      <c r="AK39" s="212">
        <v>0</v>
      </c>
      <c r="AL39" s="212">
        <v>0</v>
      </c>
      <c r="AM39" s="212">
        <v>0</v>
      </c>
      <c r="AN39" s="212">
        <v>0</v>
      </c>
      <c r="AO39" s="212">
        <v>0</v>
      </c>
      <c r="AP39" s="212">
        <v>0</v>
      </c>
      <c r="AQ39" s="212">
        <v>31000000</v>
      </c>
      <c r="AR39" s="212">
        <v>0</v>
      </c>
      <c r="AS39" s="212">
        <v>0</v>
      </c>
      <c r="AT39" s="250">
        <v>0</v>
      </c>
      <c r="AU39" s="250">
        <v>0</v>
      </c>
      <c r="AV39" s="250">
        <v>0</v>
      </c>
      <c r="AW39" s="250">
        <v>0</v>
      </c>
      <c r="AX39" s="250">
        <v>0</v>
      </c>
      <c r="AY39" s="250">
        <v>0</v>
      </c>
      <c r="AZ39" s="250">
        <v>0</v>
      </c>
      <c r="BA39" s="250">
        <v>0</v>
      </c>
      <c r="BB39" s="251">
        <v>0</v>
      </c>
      <c r="BC39" s="252">
        <v>0</v>
      </c>
      <c r="BD39" s="252">
        <v>20740000</v>
      </c>
      <c r="BE39" s="249">
        <v>0</v>
      </c>
      <c r="BF39" s="249">
        <v>0</v>
      </c>
      <c r="BG39" s="249">
        <v>0</v>
      </c>
      <c r="BH39" s="249">
        <v>0</v>
      </c>
      <c r="BI39" s="249">
        <v>0</v>
      </c>
      <c r="BJ39" s="249">
        <v>0</v>
      </c>
      <c r="BK39" s="249">
        <v>0</v>
      </c>
      <c r="BL39" s="249">
        <v>0</v>
      </c>
      <c r="BM39" s="249">
        <v>0</v>
      </c>
      <c r="BN39" s="249">
        <v>0</v>
      </c>
      <c r="BO39" s="249">
        <v>0</v>
      </c>
      <c r="BP39" s="249">
        <v>0</v>
      </c>
      <c r="BQ39" s="253">
        <v>32500000</v>
      </c>
      <c r="BR39" s="249">
        <v>0</v>
      </c>
      <c r="BS39" s="249">
        <v>0</v>
      </c>
      <c r="BT39" s="249">
        <v>0</v>
      </c>
      <c r="BU39" s="249">
        <v>0</v>
      </c>
      <c r="BV39" s="249">
        <v>0</v>
      </c>
      <c r="BW39" s="249">
        <v>0</v>
      </c>
      <c r="BX39" s="249"/>
      <c r="BY39" s="249">
        <v>0</v>
      </c>
      <c r="BZ39" s="249">
        <v>0</v>
      </c>
      <c r="CA39" s="249">
        <v>0</v>
      </c>
      <c r="CB39" s="249">
        <v>0</v>
      </c>
      <c r="CC39" s="249">
        <v>0</v>
      </c>
      <c r="CD39" s="301">
        <v>40000000</v>
      </c>
      <c r="CE39" s="301">
        <v>48700000</v>
      </c>
      <c r="CF39" s="254">
        <v>0</v>
      </c>
      <c r="CG39" s="254">
        <v>0</v>
      </c>
      <c r="CH39" s="254">
        <v>0</v>
      </c>
      <c r="CI39" s="254">
        <v>0</v>
      </c>
      <c r="CJ39" s="254">
        <v>0</v>
      </c>
      <c r="CK39" s="254">
        <v>0</v>
      </c>
      <c r="CL39" s="254">
        <v>0</v>
      </c>
      <c r="CM39" s="254">
        <v>0</v>
      </c>
      <c r="CN39" s="255">
        <v>0</v>
      </c>
      <c r="CO39" s="255">
        <v>0</v>
      </c>
      <c r="CP39" s="255">
        <v>0</v>
      </c>
      <c r="CQ39" s="255">
        <v>0</v>
      </c>
    </row>
    <row r="40" spans="1:97">
      <c r="A40" s="272">
        <v>10.3</v>
      </c>
      <c r="B40" s="229" t="s">
        <v>50</v>
      </c>
      <c r="C40" s="256"/>
      <c r="D40" s="257">
        <f>50000+5000+106681.95</f>
        <v>161681.95000000001</v>
      </c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1"/>
      <c r="S40" s="297">
        <v>0</v>
      </c>
      <c r="T40" s="297">
        <v>0</v>
      </c>
      <c r="U40" s="297">
        <v>0</v>
      </c>
      <c r="V40" s="298">
        <v>0</v>
      </c>
      <c r="W40" s="25"/>
      <c r="X40" s="299">
        <v>0</v>
      </c>
      <c r="Y40" s="245">
        <v>0</v>
      </c>
      <c r="Z40" s="300">
        <v>0</v>
      </c>
      <c r="AA40" s="247">
        <v>0</v>
      </c>
      <c r="AB40" s="245">
        <v>0</v>
      </c>
      <c r="AC40" s="245">
        <v>0</v>
      </c>
      <c r="AD40" s="248">
        <v>0</v>
      </c>
      <c r="AE40" s="249">
        <v>0</v>
      </c>
      <c r="AF40" s="249">
        <v>0</v>
      </c>
      <c r="AG40" s="249">
        <v>0</v>
      </c>
      <c r="AH40" s="249">
        <v>0</v>
      </c>
      <c r="AI40" s="249">
        <v>0</v>
      </c>
      <c r="AJ40" s="212">
        <v>0</v>
      </c>
      <c r="AK40" s="212">
        <v>0</v>
      </c>
      <c r="AL40" s="212">
        <v>0</v>
      </c>
      <c r="AM40" s="212">
        <v>0</v>
      </c>
      <c r="AN40" s="212">
        <v>0</v>
      </c>
      <c r="AO40" s="212">
        <v>0</v>
      </c>
      <c r="AP40" s="212">
        <v>0</v>
      </c>
      <c r="AQ40" s="212"/>
      <c r="AR40" s="212">
        <v>0</v>
      </c>
      <c r="AS40" s="212">
        <v>0</v>
      </c>
      <c r="AT40" s="250">
        <v>0</v>
      </c>
      <c r="AU40" s="250">
        <v>0</v>
      </c>
      <c r="AV40" s="250">
        <v>0</v>
      </c>
      <c r="AW40" s="250">
        <v>0</v>
      </c>
      <c r="AX40" s="250">
        <v>0</v>
      </c>
      <c r="AY40" s="250">
        <v>0</v>
      </c>
      <c r="AZ40" s="250">
        <v>0</v>
      </c>
      <c r="BA40" s="250">
        <v>0</v>
      </c>
      <c r="BB40" s="251">
        <v>0</v>
      </c>
      <c r="BC40" s="252">
        <v>0</v>
      </c>
      <c r="BD40" s="252"/>
      <c r="BE40" s="249">
        <v>0</v>
      </c>
      <c r="BF40" s="249">
        <v>0</v>
      </c>
      <c r="BG40" s="249">
        <v>0</v>
      </c>
      <c r="BH40" s="249">
        <v>0</v>
      </c>
      <c r="BI40" s="249">
        <v>0</v>
      </c>
      <c r="BJ40" s="249">
        <v>0</v>
      </c>
      <c r="BK40" s="249">
        <v>0</v>
      </c>
      <c r="BL40" s="249">
        <v>0</v>
      </c>
      <c r="BM40" s="249">
        <v>0</v>
      </c>
      <c r="BN40" s="249">
        <v>0</v>
      </c>
      <c r="BO40" s="249">
        <v>0</v>
      </c>
      <c r="BP40" s="249">
        <v>0</v>
      </c>
      <c r="BQ40" s="253"/>
      <c r="BR40" s="249">
        <v>0</v>
      </c>
      <c r="BS40" s="249">
        <v>0</v>
      </c>
      <c r="BT40" s="249">
        <v>0</v>
      </c>
      <c r="BU40" s="249">
        <v>0</v>
      </c>
      <c r="BV40" s="249">
        <v>0</v>
      </c>
      <c r="BW40" s="249">
        <v>0</v>
      </c>
      <c r="BX40" s="249"/>
      <c r="BY40" s="249">
        <v>0</v>
      </c>
      <c r="BZ40" s="249">
        <v>0</v>
      </c>
      <c r="CA40" s="249">
        <v>0</v>
      </c>
      <c r="CB40" s="249">
        <v>0</v>
      </c>
      <c r="CC40" s="249">
        <v>0</v>
      </c>
      <c r="CD40" s="301">
        <v>0</v>
      </c>
      <c r="CE40" s="301"/>
      <c r="CF40" s="254">
        <v>0</v>
      </c>
      <c r="CG40" s="254">
        <v>0</v>
      </c>
      <c r="CH40" s="254">
        <v>0</v>
      </c>
      <c r="CI40" s="254">
        <v>0</v>
      </c>
      <c r="CJ40" s="254">
        <v>0</v>
      </c>
      <c r="CK40" s="254">
        <v>0</v>
      </c>
      <c r="CL40" s="254">
        <v>0</v>
      </c>
      <c r="CM40" s="254">
        <v>0</v>
      </c>
      <c r="CN40" s="255">
        <v>0</v>
      </c>
      <c r="CO40" s="255">
        <v>0</v>
      </c>
      <c r="CP40" s="255">
        <v>0</v>
      </c>
      <c r="CQ40" s="255">
        <v>0</v>
      </c>
    </row>
    <row r="41" spans="1:97">
      <c r="A41" s="272">
        <v>10.4</v>
      </c>
      <c r="B41" s="229" t="s">
        <v>51</v>
      </c>
      <c r="C41" s="256"/>
      <c r="D41" s="257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1"/>
      <c r="S41" s="297">
        <v>0</v>
      </c>
      <c r="T41" s="297">
        <v>0</v>
      </c>
      <c r="U41" s="297">
        <v>0</v>
      </c>
      <c r="V41" s="298">
        <v>0</v>
      </c>
      <c r="W41" s="25"/>
      <c r="X41" s="299">
        <v>0</v>
      </c>
      <c r="Y41" s="245">
        <v>0</v>
      </c>
      <c r="Z41" s="300">
        <v>0</v>
      </c>
      <c r="AA41" s="247">
        <v>0</v>
      </c>
      <c r="AB41" s="245">
        <v>0</v>
      </c>
      <c r="AC41" s="245">
        <v>0</v>
      </c>
      <c r="AD41" s="248">
        <v>0</v>
      </c>
      <c r="AE41" s="249">
        <v>0</v>
      </c>
      <c r="AF41" s="249">
        <v>0</v>
      </c>
      <c r="AG41" s="249">
        <v>0</v>
      </c>
      <c r="AH41" s="249">
        <v>0</v>
      </c>
      <c r="AI41" s="249">
        <v>0</v>
      </c>
      <c r="AJ41" s="212">
        <v>0</v>
      </c>
      <c r="AK41" s="212">
        <v>0</v>
      </c>
      <c r="AL41" s="212">
        <v>0</v>
      </c>
      <c r="AM41" s="212">
        <v>0</v>
      </c>
      <c r="AN41" s="212">
        <v>0</v>
      </c>
      <c r="AO41" s="212">
        <v>0</v>
      </c>
      <c r="AP41" s="212">
        <v>0</v>
      </c>
      <c r="AQ41" s="212"/>
      <c r="AR41" s="212">
        <v>0</v>
      </c>
      <c r="AS41" s="212">
        <v>0</v>
      </c>
      <c r="AT41" s="250">
        <v>0</v>
      </c>
      <c r="AU41" s="250">
        <v>0</v>
      </c>
      <c r="AV41" s="250">
        <v>0</v>
      </c>
      <c r="AW41" s="250">
        <v>0</v>
      </c>
      <c r="AX41" s="250">
        <v>0</v>
      </c>
      <c r="AY41" s="250">
        <v>0</v>
      </c>
      <c r="AZ41" s="250">
        <v>0</v>
      </c>
      <c r="BA41" s="250">
        <v>0</v>
      </c>
      <c r="BB41" s="251">
        <v>0</v>
      </c>
      <c r="BC41" s="252">
        <v>0</v>
      </c>
      <c r="BD41" s="252"/>
      <c r="BE41" s="249">
        <v>0</v>
      </c>
      <c r="BF41" s="249">
        <v>0</v>
      </c>
      <c r="BG41" s="249">
        <v>0</v>
      </c>
      <c r="BH41" s="249">
        <v>0</v>
      </c>
      <c r="BI41" s="249">
        <v>0</v>
      </c>
      <c r="BJ41" s="249">
        <v>0</v>
      </c>
      <c r="BK41" s="249">
        <v>0</v>
      </c>
      <c r="BL41" s="249">
        <v>0</v>
      </c>
      <c r="BM41" s="249">
        <v>0</v>
      </c>
      <c r="BN41" s="249">
        <v>0</v>
      </c>
      <c r="BO41" s="249">
        <v>0</v>
      </c>
      <c r="BP41" s="249">
        <v>0</v>
      </c>
      <c r="BQ41" s="253"/>
      <c r="BR41" s="249">
        <v>0</v>
      </c>
      <c r="BS41" s="249">
        <v>0</v>
      </c>
      <c r="BT41" s="249">
        <v>0</v>
      </c>
      <c r="BU41" s="249">
        <v>0</v>
      </c>
      <c r="BV41" s="249">
        <v>0</v>
      </c>
      <c r="BW41" s="249">
        <v>0</v>
      </c>
      <c r="BX41" s="249"/>
      <c r="BY41" s="249">
        <v>0</v>
      </c>
      <c r="BZ41" s="249">
        <v>0</v>
      </c>
      <c r="CA41" s="249">
        <v>0</v>
      </c>
      <c r="CB41" s="249">
        <v>0</v>
      </c>
      <c r="CC41" s="249">
        <v>0</v>
      </c>
      <c r="CD41" s="301">
        <v>0</v>
      </c>
      <c r="CE41" s="301"/>
      <c r="CF41" s="254">
        <v>0</v>
      </c>
      <c r="CG41" s="254">
        <v>0</v>
      </c>
      <c r="CH41" s="254">
        <v>0</v>
      </c>
      <c r="CI41" s="254">
        <v>0</v>
      </c>
      <c r="CJ41" s="254">
        <v>0</v>
      </c>
      <c r="CK41" s="254">
        <v>0</v>
      </c>
      <c r="CL41" s="254">
        <v>0</v>
      </c>
      <c r="CM41" s="254">
        <v>0</v>
      </c>
      <c r="CN41" s="255">
        <v>0</v>
      </c>
      <c r="CO41" s="255">
        <v>0</v>
      </c>
      <c r="CP41" s="255">
        <v>0</v>
      </c>
      <c r="CQ41" s="255">
        <v>0</v>
      </c>
    </row>
    <row r="42" spans="1:97">
      <c r="A42" s="272">
        <v>10.5</v>
      </c>
      <c r="B42" s="229" t="s">
        <v>52</v>
      </c>
      <c r="C42" s="256"/>
      <c r="D42" s="257">
        <v>9893489.9299999997</v>
      </c>
      <c r="E42" s="240">
        <f>-44908+120928+17920+36519+400+190220+550017+663040+11738702</f>
        <v>13272838</v>
      </c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1">
        <v>30277533.733900003</v>
      </c>
      <c r="S42" s="297">
        <v>0</v>
      </c>
      <c r="T42" s="297">
        <v>0</v>
      </c>
      <c r="U42" s="297">
        <v>0</v>
      </c>
      <c r="V42" s="298">
        <v>0</v>
      </c>
      <c r="W42" s="270">
        <v>24682063.510000002</v>
      </c>
      <c r="X42" s="299">
        <v>0</v>
      </c>
      <c r="Y42" s="245">
        <v>0</v>
      </c>
      <c r="Z42" s="300">
        <v>0</v>
      </c>
      <c r="AA42" s="247"/>
      <c r="AB42" s="245">
        <v>0</v>
      </c>
      <c r="AC42" s="245">
        <v>0</v>
      </c>
      <c r="AD42" s="248">
        <v>0</v>
      </c>
      <c r="AE42" s="249">
        <v>0</v>
      </c>
      <c r="AF42" s="249">
        <v>0</v>
      </c>
      <c r="AG42" s="249">
        <v>0</v>
      </c>
      <c r="AH42" s="249">
        <v>0</v>
      </c>
      <c r="AI42" s="249">
        <v>0</v>
      </c>
      <c r="AJ42" s="212">
        <v>0</v>
      </c>
      <c r="AK42" s="212">
        <v>0</v>
      </c>
      <c r="AL42" s="212">
        <v>0</v>
      </c>
      <c r="AM42" s="212">
        <v>0</v>
      </c>
      <c r="AN42" s="212">
        <v>0</v>
      </c>
      <c r="AO42" s="212">
        <v>0</v>
      </c>
      <c r="AP42" s="212">
        <v>0</v>
      </c>
      <c r="AQ42" s="212">
        <v>949074</v>
      </c>
      <c r="AR42" s="212">
        <v>0</v>
      </c>
      <c r="AS42" s="212">
        <v>0</v>
      </c>
      <c r="AT42" s="250">
        <v>0</v>
      </c>
      <c r="AU42" s="250">
        <v>0</v>
      </c>
      <c r="AV42" s="250">
        <v>0</v>
      </c>
      <c r="AW42" s="250">
        <v>0</v>
      </c>
      <c r="AX42" s="250">
        <v>0</v>
      </c>
      <c r="AY42" s="250">
        <v>0</v>
      </c>
      <c r="AZ42" s="250">
        <v>0</v>
      </c>
      <c r="BA42" s="250">
        <v>0</v>
      </c>
      <c r="BB42" s="251">
        <v>0</v>
      </c>
      <c r="BC42" s="252">
        <v>0</v>
      </c>
      <c r="BD42" s="252">
        <v>801000</v>
      </c>
      <c r="BE42" s="252">
        <v>0</v>
      </c>
      <c r="BF42" s="252">
        <v>0</v>
      </c>
      <c r="BG42" s="252">
        <v>0</v>
      </c>
      <c r="BH42" s="252">
        <v>0</v>
      </c>
      <c r="BI42" s="252">
        <v>0</v>
      </c>
      <c r="BJ42" s="252">
        <v>0</v>
      </c>
      <c r="BK42" s="252">
        <v>0</v>
      </c>
      <c r="BL42" s="252">
        <v>0</v>
      </c>
      <c r="BM42" s="252">
        <v>0</v>
      </c>
      <c r="BN42" s="252">
        <v>0</v>
      </c>
      <c r="BO42" s="252">
        <v>0</v>
      </c>
      <c r="BP42" s="252">
        <v>0</v>
      </c>
      <c r="BQ42" s="253">
        <f>2002520.2+1000000</f>
        <v>3002520.2</v>
      </c>
      <c r="BR42" s="249">
        <v>0</v>
      </c>
      <c r="BS42" s="249">
        <v>0</v>
      </c>
      <c r="BT42" s="249">
        <v>0</v>
      </c>
      <c r="BU42" s="249">
        <v>0</v>
      </c>
      <c r="BV42" s="249">
        <v>0</v>
      </c>
      <c r="BW42" s="249">
        <v>0</v>
      </c>
      <c r="BX42" s="249"/>
      <c r="BY42" s="249">
        <v>0</v>
      </c>
      <c r="BZ42" s="249">
        <v>0</v>
      </c>
      <c r="CB42" s="249">
        <v>0</v>
      </c>
      <c r="CC42" s="249">
        <v>4756198.71</v>
      </c>
      <c r="CD42" s="212">
        <f>3374770.05+1300000</f>
        <v>4674770.05</v>
      </c>
      <c r="CE42" s="212">
        <v>2862127</v>
      </c>
      <c r="CF42" s="254">
        <v>0</v>
      </c>
      <c r="CG42" s="254">
        <v>0</v>
      </c>
      <c r="CH42" s="254">
        <v>2678740</v>
      </c>
      <c r="CI42" s="254">
        <v>0</v>
      </c>
      <c r="CJ42" s="254">
        <v>0</v>
      </c>
      <c r="CK42" s="254">
        <v>0</v>
      </c>
      <c r="CL42" s="254">
        <v>0</v>
      </c>
      <c r="CM42" s="254">
        <v>0</v>
      </c>
      <c r="CN42" s="255">
        <v>752536</v>
      </c>
      <c r="CO42" s="255">
        <v>3199986</v>
      </c>
      <c r="CP42" s="255">
        <v>3950793</v>
      </c>
      <c r="CQ42" s="255">
        <v>58773708.649999999</v>
      </c>
    </row>
    <row r="43" spans="1:97">
      <c r="A43" s="272">
        <v>10.6</v>
      </c>
      <c r="B43" s="229" t="s">
        <v>53</v>
      </c>
      <c r="C43" s="256"/>
      <c r="D43" s="257">
        <f>12020122.1+14976409</f>
        <v>26996531.100000001</v>
      </c>
      <c r="E43" s="240">
        <v>40426035</v>
      </c>
      <c r="F43" s="240">
        <v>40426054.479999997</v>
      </c>
      <c r="G43" s="240">
        <v>40426054.479999997</v>
      </c>
      <c r="H43" s="240">
        <v>38300198.109999999</v>
      </c>
      <c r="I43" s="240">
        <v>38300198.109999999</v>
      </c>
      <c r="J43" s="240">
        <v>38300198.109999999</v>
      </c>
      <c r="K43" s="240">
        <v>38300198.109999999</v>
      </c>
      <c r="L43" s="240">
        <v>36965198.109999999</v>
      </c>
      <c r="M43" s="240">
        <v>36965198.109999999</v>
      </c>
      <c r="N43" s="240">
        <v>126889533.34</v>
      </c>
      <c r="O43" s="240">
        <v>125554533.3</v>
      </c>
      <c r="P43" s="240">
        <v>119195066.68000001</v>
      </c>
      <c r="Q43" s="240">
        <v>108472833.34999999</v>
      </c>
      <c r="R43" s="241">
        <v>115378204.22</v>
      </c>
      <c r="S43" s="297">
        <v>108472833.34999999</v>
      </c>
      <c r="T43" s="297">
        <v>104289425.3</v>
      </c>
      <c r="U43" s="297">
        <v>100660015.2</v>
      </c>
      <c r="V43" s="298">
        <v>100583900.03</v>
      </c>
      <c r="W43" s="270">
        <v>121943271</v>
      </c>
      <c r="X43" s="299">
        <v>118162011.77</v>
      </c>
      <c r="Y43" s="245">
        <v>113594083.69</v>
      </c>
      <c r="Z43" s="300">
        <v>107904836.40000001</v>
      </c>
      <c r="AA43" s="247">
        <v>101839421.3</v>
      </c>
      <c r="AB43" s="245">
        <v>96246358.359999999</v>
      </c>
      <c r="AC43" s="245">
        <v>91158395.260000005</v>
      </c>
      <c r="AD43" s="248">
        <v>92300662.670000002</v>
      </c>
      <c r="AE43" s="249">
        <v>87539876.359999999</v>
      </c>
      <c r="AF43" s="249">
        <v>92833800.060000002</v>
      </c>
      <c r="AG43" s="249">
        <v>92833800.060000002</v>
      </c>
      <c r="AH43" s="249">
        <v>87394860.010000005</v>
      </c>
      <c r="AI43" s="249">
        <v>122306932.76000001</v>
      </c>
      <c r="AJ43" s="212">
        <v>120115367.23</v>
      </c>
      <c r="AK43" s="212">
        <v>118094367.36</v>
      </c>
      <c r="AL43" s="212">
        <v>117183967.12</v>
      </c>
      <c r="AM43" s="212">
        <v>113289367.3</v>
      </c>
      <c r="AN43" s="212">
        <v>111516294.26000001</v>
      </c>
      <c r="AO43" s="212">
        <v>120083333.31</v>
      </c>
      <c r="AP43" s="212">
        <v>123249999</v>
      </c>
      <c r="AQ43" s="212">
        <v>123249999</v>
      </c>
      <c r="AR43" s="212">
        <v>123249999</v>
      </c>
      <c r="AS43" s="212">
        <v>120378236.3</v>
      </c>
      <c r="AT43" s="250">
        <v>115999999</v>
      </c>
      <c r="AU43" s="250">
        <v>112369129.2</v>
      </c>
      <c r="AV43" s="250">
        <v>109325593.25</v>
      </c>
      <c r="AW43" s="270">
        <v>109639140</v>
      </c>
      <c r="AX43" s="250">
        <v>131833333.29000001</v>
      </c>
      <c r="AY43" s="250">
        <v>123749999.95999999</v>
      </c>
      <c r="AZ43" s="250">
        <v>118499999.95</v>
      </c>
      <c r="BA43" s="240">
        <v>118499999.95</v>
      </c>
      <c r="BB43" s="251">
        <v>108000000.02</v>
      </c>
      <c r="BC43" s="252">
        <v>172750000</v>
      </c>
      <c r="BD43" s="252">
        <v>172749999.94999999</v>
      </c>
      <c r="BE43" s="249">
        <v>166753350</v>
      </c>
      <c r="BF43" s="249">
        <v>160349254.22999999</v>
      </c>
      <c r="BG43" s="249">
        <v>148221858.34</v>
      </c>
      <c r="BH43" s="249">
        <v>143333333.22999999</v>
      </c>
      <c r="BI43" s="249">
        <v>143333333.22999999</v>
      </c>
      <c r="BJ43" s="249">
        <v>143333333.22999999</v>
      </c>
      <c r="BK43" s="249">
        <v>142750000</v>
      </c>
      <c r="BL43" s="249">
        <v>135583333.31999999</v>
      </c>
      <c r="BM43" s="249">
        <v>135583333.31999999</v>
      </c>
      <c r="BN43" s="249">
        <v>128416666.64</v>
      </c>
      <c r="BO43" s="249">
        <v>124833333.19</v>
      </c>
      <c r="BP43" s="249">
        <v>156249999.84999999</v>
      </c>
      <c r="BQ43" s="253">
        <v>156249999.84999999</v>
      </c>
      <c r="BR43" s="249">
        <v>152083333.19</v>
      </c>
      <c r="BS43" s="249">
        <v>152083333.19</v>
      </c>
      <c r="BT43" s="249">
        <v>147916666.53</v>
      </c>
      <c r="BU43" s="249">
        <v>140249999.87</v>
      </c>
      <c r="BV43" s="249">
        <v>181155317.59</v>
      </c>
      <c r="BW43" s="249">
        <v>179266666.65000001</v>
      </c>
      <c r="BX43" s="249"/>
      <c r="BY43" s="249">
        <v>175216666.25999999</v>
      </c>
      <c r="BZ43" s="249">
        <v>170916666.56999999</v>
      </c>
      <c r="CA43" s="249">
        <v>169583333.25</v>
      </c>
      <c r="CB43" s="249">
        <v>165316215.30000001</v>
      </c>
      <c r="CC43" s="249">
        <v>159249999.93000001</v>
      </c>
      <c r="CD43" s="212">
        <v>159249999.94999999</v>
      </c>
      <c r="CE43" s="212">
        <v>157249999</v>
      </c>
      <c r="CF43" s="254">
        <v>157249999.94999999</v>
      </c>
      <c r="CG43" s="254">
        <v>150239333.49000001</v>
      </c>
      <c r="CH43" s="254">
        <v>218200000</v>
      </c>
      <c r="CI43" s="254">
        <v>215429999.02000001</v>
      </c>
      <c r="CJ43" s="254">
        <v>209712525.40000001</v>
      </c>
      <c r="CK43" s="254">
        <v>205426325.40000001</v>
      </c>
      <c r="CL43" s="254">
        <v>201450299.30000001</v>
      </c>
      <c r="CM43" s="254">
        <v>197470147.09999999</v>
      </c>
      <c r="CN43" s="255">
        <v>194360400.15000001</v>
      </c>
      <c r="CO43" s="255">
        <v>192200300.19999999</v>
      </c>
      <c r="CP43" s="255">
        <v>189277999.58000001</v>
      </c>
      <c r="CQ43" s="255">
        <v>185777999.58000001</v>
      </c>
    </row>
    <row r="44" spans="1:97">
      <c r="A44" s="272"/>
      <c r="B44" s="227" t="s">
        <v>54</v>
      </c>
      <c r="C44" s="302">
        <f>C37+C36</f>
        <v>395927985.26999998</v>
      </c>
      <c r="D44" s="271">
        <f t="shared" ref="D44:BO44" si="52">D36+D37</f>
        <v>461986452.30000001</v>
      </c>
      <c r="E44" s="232">
        <f t="shared" si="52"/>
        <v>516270232</v>
      </c>
      <c r="F44" s="232">
        <f t="shared" si="52"/>
        <v>486065818.67000002</v>
      </c>
      <c r="G44" s="232">
        <f t="shared" si="52"/>
        <v>482229635.28000003</v>
      </c>
      <c r="H44" s="232">
        <f t="shared" si="52"/>
        <v>486015309.43000001</v>
      </c>
      <c r="I44" s="232">
        <f t="shared" si="52"/>
        <v>496780560.02000004</v>
      </c>
      <c r="J44" s="232">
        <f t="shared" si="52"/>
        <v>496780560.02000004</v>
      </c>
      <c r="K44" s="232">
        <f t="shared" si="52"/>
        <v>500479696.92000002</v>
      </c>
      <c r="L44" s="232">
        <f t="shared" si="52"/>
        <v>506215180.82000005</v>
      </c>
      <c r="M44" s="232">
        <f t="shared" si="52"/>
        <v>506632358.37</v>
      </c>
      <c r="N44" s="232">
        <f t="shared" si="52"/>
        <v>600664031.34000003</v>
      </c>
      <c r="O44" s="232">
        <f t="shared" si="52"/>
        <v>605659939.13</v>
      </c>
      <c r="P44" s="232">
        <f t="shared" si="52"/>
        <v>602723598.05999994</v>
      </c>
      <c r="Q44" s="232">
        <f t="shared" si="52"/>
        <v>608066248.44999993</v>
      </c>
      <c r="R44" s="233">
        <f t="shared" si="52"/>
        <v>639620334.16390002</v>
      </c>
      <c r="S44" s="234">
        <f t="shared" si="52"/>
        <v>605165393.53999996</v>
      </c>
      <c r="T44" s="234">
        <f t="shared" si="52"/>
        <v>605850922.30999994</v>
      </c>
      <c r="U44" s="234">
        <f t="shared" si="52"/>
        <v>604961837.97000003</v>
      </c>
      <c r="V44" s="234">
        <f t="shared" si="52"/>
        <v>620264689.73000002</v>
      </c>
      <c r="W44" s="234">
        <f t="shared" si="52"/>
        <v>666534045.18000007</v>
      </c>
      <c r="X44" s="234">
        <f t="shared" si="52"/>
        <v>645422379.91999996</v>
      </c>
      <c r="Y44" s="234">
        <f t="shared" si="52"/>
        <v>640749318.56999993</v>
      </c>
      <c r="Z44" s="234">
        <f t="shared" si="52"/>
        <v>635770924.88999999</v>
      </c>
      <c r="AA44" s="234">
        <f t="shared" si="52"/>
        <v>629486406.34000003</v>
      </c>
      <c r="AB44" s="234">
        <f t="shared" si="52"/>
        <v>630852946.21000004</v>
      </c>
      <c r="AC44" s="234">
        <f t="shared" si="52"/>
        <v>627524352.56000006</v>
      </c>
      <c r="AD44" s="234">
        <f t="shared" si="52"/>
        <v>640118300.32999992</v>
      </c>
      <c r="AE44" s="234">
        <f t="shared" si="52"/>
        <v>624311326.36000001</v>
      </c>
      <c r="AF44" s="234">
        <f t="shared" si="52"/>
        <v>642076691.19000006</v>
      </c>
      <c r="AG44" s="234">
        <f t="shared" si="52"/>
        <v>645226187.97000003</v>
      </c>
      <c r="AH44" s="234">
        <f t="shared" si="52"/>
        <v>642497627.23000002</v>
      </c>
      <c r="AI44" s="234">
        <f t="shared" si="52"/>
        <v>682657646.74000001</v>
      </c>
      <c r="AJ44" s="234">
        <f t="shared" si="52"/>
        <v>685986222.75</v>
      </c>
      <c r="AK44" s="234">
        <f t="shared" si="52"/>
        <v>682074757.94999993</v>
      </c>
      <c r="AL44" s="235">
        <f t="shared" si="52"/>
        <v>683054430.39999998</v>
      </c>
      <c r="AM44" s="235">
        <f t="shared" si="52"/>
        <v>676111726.33999991</v>
      </c>
      <c r="AN44" s="235">
        <f t="shared" si="52"/>
        <v>690802671.97000003</v>
      </c>
      <c r="AO44" s="235">
        <f t="shared" si="52"/>
        <v>704129090.1500001</v>
      </c>
      <c r="AP44" s="235">
        <f t="shared" si="52"/>
        <v>720664541.34000003</v>
      </c>
      <c r="AQ44" s="235">
        <f t="shared" si="52"/>
        <v>753343478</v>
      </c>
      <c r="AR44" s="235">
        <f t="shared" si="52"/>
        <v>714707744.22000003</v>
      </c>
      <c r="AS44" s="236">
        <f t="shared" si="52"/>
        <v>719109980.68999994</v>
      </c>
      <c r="AT44" s="235">
        <f t="shared" si="52"/>
        <v>721493963.52999997</v>
      </c>
      <c r="AU44" s="235">
        <f t="shared" si="52"/>
        <v>722969348.46000004</v>
      </c>
      <c r="AV44" s="235">
        <f t="shared" si="52"/>
        <v>727589449.26999998</v>
      </c>
      <c r="AW44" s="235">
        <f t="shared" si="52"/>
        <v>733665730.56999993</v>
      </c>
      <c r="AX44" s="235">
        <f t="shared" si="52"/>
        <v>761975005.62</v>
      </c>
      <c r="AY44" s="235">
        <f t="shared" si="52"/>
        <v>757902868.91000009</v>
      </c>
      <c r="AZ44" s="235">
        <f t="shared" si="52"/>
        <v>744473623.61000001</v>
      </c>
      <c r="BA44" s="235">
        <f t="shared" si="52"/>
        <v>744473623.61000001</v>
      </c>
      <c r="BB44" s="235">
        <f t="shared" si="52"/>
        <v>747416016.83999991</v>
      </c>
      <c r="BC44" s="235">
        <f t="shared" si="52"/>
        <v>829192985.86000001</v>
      </c>
      <c r="BD44" s="235">
        <f t="shared" si="52"/>
        <v>847384350.6500001</v>
      </c>
      <c r="BE44" s="235">
        <f t="shared" si="52"/>
        <v>808797965.20000005</v>
      </c>
      <c r="BF44" s="235">
        <f t="shared" si="52"/>
        <v>799251262.25</v>
      </c>
      <c r="BG44" s="235">
        <f t="shared" si="52"/>
        <v>793188987.54000008</v>
      </c>
      <c r="BH44" s="235">
        <f t="shared" si="52"/>
        <v>789605332.70000005</v>
      </c>
      <c r="BI44" s="235">
        <f t="shared" si="52"/>
        <v>801062323.31999993</v>
      </c>
      <c r="BJ44" s="235">
        <f t="shared" si="52"/>
        <v>805585372.31000006</v>
      </c>
      <c r="BK44" s="235">
        <f t="shared" si="52"/>
        <v>806767793.90999997</v>
      </c>
      <c r="BL44" s="235">
        <f t="shared" si="52"/>
        <v>807771663.09000015</v>
      </c>
      <c r="BM44" s="235">
        <f t="shared" si="52"/>
        <v>814570691.20000005</v>
      </c>
      <c r="BN44" s="235">
        <f t="shared" si="52"/>
        <v>820951688.45000005</v>
      </c>
      <c r="BO44" s="235">
        <f t="shared" si="52"/>
        <v>821532702.68000007</v>
      </c>
      <c r="BP44" s="235">
        <f t="shared" ref="BP44:BQ44" si="53">BP36+BP37</f>
        <v>897178130.34000003</v>
      </c>
      <c r="BQ44" s="235">
        <f t="shared" si="53"/>
        <v>901882998.9000001</v>
      </c>
      <c r="BR44" s="235">
        <f>BR36+BR37</f>
        <v>858718123.30999994</v>
      </c>
      <c r="BS44" s="235">
        <f>BS36+BS37</f>
        <v>865611698.75</v>
      </c>
      <c r="BT44" s="235">
        <f>BT36+BT37</f>
        <v>859407637.63999999</v>
      </c>
      <c r="BU44" s="235">
        <f>BU36+BU37</f>
        <v>877598358.75999999</v>
      </c>
      <c r="BV44" s="235">
        <f t="shared" ref="BV44:CD44" si="54">BV36+BV37</f>
        <v>925102261.04999995</v>
      </c>
      <c r="BW44" s="235">
        <f t="shared" si="54"/>
        <v>922573520.75</v>
      </c>
      <c r="BX44" s="235">
        <f t="shared" si="54"/>
        <v>0</v>
      </c>
      <c r="BY44" s="235">
        <f t="shared" si="54"/>
        <v>930576956.67000008</v>
      </c>
      <c r="BZ44" s="235">
        <f t="shared" si="54"/>
        <v>930620866.69000006</v>
      </c>
      <c r="CA44" s="235">
        <f t="shared" si="54"/>
        <v>932302901.36000001</v>
      </c>
      <c r="CB44" s="235">
        <f t="shared" si="54"/>
        <v>927997688.81999993</v>
      </c>
      <c r="CC44" s="235">
        <f t="shared" si="54"/>
        <v>939272145.49000001</v>
      </c>
      <c r="CD44" s="235">
        <f t="shared" si="54"/>
        <v>981100852.85000002</v>
      </c>
      <c r="CE44" s="235">
        <f t="shared" ref="CE44:CS44" si="55">CE36+CE37</f>
        <v>1036113797</v>
      </c>
      <c r="CF44" s="237">
        <f t="shared" si="55"/>
        <v>989134463.24000001</v>
      </c>
      <c r="CG44" s="237">
        <f t="shared" si="55"/>
        <v>984808823.85000002</v>
      </c>
      <c r="CH44" s="237">
        <f t="shared" si="55"/>
        <v>1056827295.01</v>
      </c>
      <c r="CI44" s="237">
        <f t="shared" si="55"/>
        <v>1068724335.15</v>
      </c>
      <c r="CJ44" s="237">
        <f t="shared" si="55"/>
        <v>1050656413.1900001</v>
      </c>
      <c r="CK44" s="237">
        <f t="shared" si="55"/>
        <v>1048791632.59</v>
      </c>
      <c r="CL44" s="237">
        <f t="shared" si="55"/>
        <v>1049149948.29</v>
      </c>
      <c r="CM44" s="237">
        <f t="shared" si="55"/>
        <v>1042356482.38</v>
      </c>
      <c r="CN44" s="237">
        <f t="shared" si="55"/>
        <v>1047455860.9</v>
      </c>
      <c r="CO44" s="237">
        <f t="shared" si="55"/>
        <v>1041151062.1099999</v>
      </c>
      <c r="CP44" s="237">
        <f t="shared" si="55"/>
        <v>1055337759.9100001</v>
      </c>
      <c r="CQ44" s="237">
        <f t="shared" si="55"/>
        <v>1105178621.53</v>
      </c>
      <c r="CR44" s="237">
        <f t="shared" si="55"/>
        <v>0</v>
      </c>
      <c r="CS44" s="237">
        <f t="shared" si="55"/>
        <v>0</v>
      </c>
    </row>
    <row r="45" spans="1:97">
      <c r="A45" s="272">
        <v>11</v>
      </c>
      <c r="B45" s="229" t="s">
        <v>55</v>
      </c>
      <c r="C45" s="303">
        <v>5118000</v>
      </c>
      <c r="D45" s="304">
        <v>30772489.690000001</v>
      </c>
      <c r="E45" s="240">
        <f>31910489+31730</f>
        <v>31942219</v>
      </c>
      <c r="F45" s="240">
        <v>34811389</v>
      </c>
      <c r="G45" s="240">
        <v>34811389</v>
      </c>
      <c r="H45" s="240">
        <v>34811389</v>
      </c>
      <c r="I45" s="240">
        <v>34811389</v>
      </c>
      <c r="J45" s="240">
        <v>34811389</v>
      </c>
      <c r="K45" s="240">
        <v>35528602.689999998</v>
      </c>
      <c r="L45" s="240">
        <v>35528602.689999998</v>
      </c>
      <c r="M45" s="240">
        <v>35528602.689999998</v>
      </c>
      <c r="N45" s="240">
        <v>32874922.690000001</v>
      </c>
      <c r="O45" s="240">
        <v>32969010.690000001</v>
      </c>
      <c r="P45" s="240">
        <v>33085809.690000001</v>
      </c>
      <c r="Q45" s="240">
        <v>33215876.690000001</v>
      </c>
      <c r="R45" s="241">
        <v>33215877</v>
      </c>
      <c r="S45" s="305">
        <v>33459942.690000001</v>
      </c>
      <c r="T45" s="305">
        <v>33675109.689999998</v>
      </c>
      <c r="U45" s="305">
        <v>33832809.689999998</v>
      </c>
      <c r="V45" s="306">
        <v>33820809.689999998</v>
      </c>
      <c r="W45" s="307">
        <v>79399826</v>
      </c>
      <c r="X45" s="308">
        <v>79401866</v>
      </c>
      <c r="Y45" s="245">
        <v>80886445.5</v>
      </c>
      <c r="Z45" s="309">
        <v>80897435.5</v>
      </c>
      <c r="AA45" s="247">
        <v>80977975.799999997</v>
      </c>
      <c r="AB45" s="245">
        <v>81048702.200000003</v>
      </c>
      <c r="AC45" s="245">
        <v>81132584.700000003</v>
      </c>
      <c r="AD45" s="248">
        <v>81133736.099999994</v>
      </c>
      <c r="AE45" s="249">
        <v>81277075.700000003</v>
      </c>
      <c r="AF45" s="249">
        <v>81344607.799999997</v>
      </c>
      <c r="AG45" s="249">
        <v>81422554.799999997</v>
      </c>
      <c r="AH45" s="249">
        <v>81568627.719999999</v>
      </c>
      <c r="AI45" s="249">
        <v>81600063.920000002</v>
      </c>
      <c r="AJ45" s="212">
        <v>81616223.920000002</v>
      </c>
      <c r="AK45" s="212">
        <v>81648223.920000002</v>
      </c>
      <c r="AL45" s="212">
        <v>81677769.219999999</v>
      </c>
      <c r="AM45" s="212">
        <v>81643483.219999999</v>
      </c>
      <c r="AN45" s="212">
        <v>81665903.219999999</v>
      </c>
      <c r="AO45" s="212">
        <v>81689195.819999993</v>
      </c>
      <c r="AP45" s="212">
        <v>81732676.819999993</v>
      </c>
      <c r="AQ45" s="212">
        <v>81732676</v>
      </c>
      <c r="AR45" s="212">
        <v>81727591.819999993</v>
      </c>
      <c r="AS45" s="212">
        <v>81701571.819999993</v>
      </c>
      <c r="AT45" s="250">
        <v>81697125.920000002</v>
      </c>
      <c r="AU45" s="250">
        <v>81731165.920000002</v>
      </c>
      <c r="AV45" s="250">
        <v>81630845.920000002</v>
      </c>
      <c r="AW45" s="270">
        <v>81712415.920000002</v>
      </c>
      <c r="AX45" s="250">
        <v>81734975.920000002</v>
      </c>
      <c r="AY45" s="250">
        <v>81756065.920000002</v>
      </c>
      <c r="AZ45" s="250">
        <v>88703998.019999996</v>
      </c>
      <c r="BA45" s="240">
        <v>88703998.019999996</v>
      </c>
      <c r="BB45" s="251">
        <v>91068114.209999993</v>
      </c>
      <c r="BC45" s="252">
        <v>91363015.209999993</v>
      </c>
      <c r="BD45" s="252">
        <v>91363015</v>
      </c>
      <c r="BE45" s="249">
        <v>91780622.810000002</v>
      </c>
      <c r="BF45" s="249">
        <v>92019926.810000002</v>
      </c>
      <c r="BG45" s="249">
        <v>92254245.909999996</v>
      </c>
      <c r="BH45" s="249">
        <v>92486024.409999996</v>
      </c>
      <c r="BI45" s="249">
        <v>92711663.409999996</v>
      </c>
      <c r="BJ45" s="249">
        <v>92844320.409999996</v>
      </c>
      <c r="BK45" s="249">
        <v>92287164.310000002</v>
      </c>
      <c r="BL45" s="249">
        <v>92465690.310000002</v>
      </c>
      <c r="BM45" s="249">
        <v>92604773.810000002</v>
      </c>
      <c r="BN45" s="249">
        <v>92724109.609999999</v>
      </c>
      <c r="BO45" s="249">
        <v>92886413.709999993</v>
      </c>
      <c r="BP45" s="249">
        <v>93050794.709999993</v>
      </c>
      <c r="BQ45" s="253">
        <v>93070824.700000003</v>
      </c>
      <c r="BR45" s="249">
        <v>93070824.700000003</v>
      </c>
      <c r="BS45" s="249">
        <v>95804513.709999993</v>
      </c>
      <c r="BT45" s="249">
        <v>93751468.709999993</v>
      </c>
      <c r="BU45" s="249">
        <v>93240388.709999993</v>
      </c>
      <c r="BV45" s="249">
        <v>93225116.599999994</v>
      </c>
      <c r="BW45" s="249">
        <v>93226616.599999994</v>
      </c>
      <c r="BX45" s="249"/>
      <c r="BY45" s="249">
        <v>93187146.599999994</v>
      </c>
      <c r="BZ45" s="249">
        <v>93180876.599999994</v>
      </c>
      <c r="CA45" s="249">
        <v>93181731.599999994</v>
      </c>
      <c r="CB45" s="249">
        <v>93132731.599999994</v>
      </c>
      <c r="CC45" s="249">
        <v>93132731.599999994</v>
      </c>
      <c r="CD45" s="212">
        <v>93132731.599999994</v>
      </c>
      <c r="CE45" s="212">
        <v>96195922</v>
      </c>
      <c r="CF45" s="254">
        <v>96473287.060000002</v>
      </c>
      <c r="CG45" s="254">
        <v>96600690.060000002</v>
      </c>
      <c r="CH45" s="254">
        <v>96861669.060000002</v>
      </c>
      <c r="CI45" s="254">
        <v>97145701.060000002</v>
      </c>
      <c r="CJ45" s="254">
        <v>97415665.060000002</v>
      </c>
      <c r="CK45" s="254">
        <v>97833741.060000002</v>
      </c>
      <c r="CL45" s="254">
        <v>97862717.060000002</v>
      </c>
      <c r="CM45" s="254">
        <v>98067817.069999993</v>
      </c>
      <c r="CN45" s="255">
        <v>98308802.739999995</v>
      </c>
      <c r="CO45" s="255">
        <v>98526063.739999995</v>
      </c>
      <c r="CP45" s="255">
        <v>98648138.739999995</v>
      </c>
      <c r="CQ45" s="255">
        <v>98863321.730000004</v>
      </c>
    </row>
    <row r="46" spans="1:97">
      <c r="A46" s="272">
        <v>12</v>
      </c>
      <c r="B46" s="229" t="s">
        <v>56</v>
      </c>
      <c r="C46" s="262"/>
      <c r="D46" s="257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>
        <v>0</v>
      </c>
      <c r="R46" s="241"/>
      <c r="S46" s="305">
        <v>0</v>
      </c>
      <c r="T46" s="305">
        <v>0</v>
      </c>
      <c r="U46" s="305">
        <v>0</v>
      </c>
      <c r="V46" s="310">
        <v>0</v>
      </c>
      <c r="W46" s="25"/>
      <c r="X46" s="308">
        <v>0</v>
      </c>
      <c r="Y46" s="245">
        <v>0</v>
      </c>
      <c r="Z46" s="309">
        <v>0</v>
      </c>
      <c r="AA46" s="247">
        <v>0</v>
      </c>
      <c r="AB46" s="245">
        <v>0</v>
      </c>
      <c r="AC46" s="245">
        <v>0</v>
      </c>
      <c r="AD46" s="248">
        <v>0</v>
      </c>
      <c r="AE46" s="249">
        <v>0</v>
      </c>
      <c r="AF46" s="249">
        <v>0</v>
      </c>
      <c r="AG46" s="249">
        <v>0</v>
      </c>
      <c r="AH46" s="249">
        <v>0</v>
      </c>
      <c r="AI46" s="249">
        <v>0</v>
      </c>
      <c r="AJ46" s="212">
        <v>0</v>
      </c>
      <c r="AK46" s="212">
        <v>0</v>
      </c>
      <c r="AL46" s="212">
        <v>0</v>
      </c>
      <c r="AM46" s="212">
        <v>0</v>
      </c>
      <c r="AN46" s="212">
        <v>0</v>
      </c>
      <c r="AO46" s="212">
        <v>0</v>
      </c>
      <c r="AP46" s="212">
        <v>0</v>
      </c>
      <c r="AQ46" s="212"/>
      <c r="AR46" s="212">
        <v>0</v>
      </c>
      <c r="AS46" s="212">
        <v>0</v>
      </c>
      <c r="AT46" s="250">
        <v>0</v>
      </c>
      <c r="AU46" s="250">
        <v>0</v>
      </c>
      <c r="AV46" s="250"/>
      <c r="AW46" s="25"/>
      <c r="AX46" s="250">
        <v>0</v>
      </c>
      <c r="AY46" s="250">
        <v>0</v>
      </c>
      <c r="AZ46" s="250">
        <v>0</v>
      </c>
      <c r="BA46" s="250">
        <v>0</v>
      </c>
      <c r="BB46" s="251">
        <v>0</v>
      </c>
      <c r="BC46" s="252">
        <v>0</v>
      </c>
      <c r="BD46" s="252">
        <v>0</v>
      </c>
      <c r="BE46" s="252">
        <v>0</v>
      </c>
      <c r="BF46" s="252">
        <v>0</v>
      </c>
      <c r="BG46" s="252">
        <v>0</v>
      </c>
      <c r="BH46" s="252">
        <v>0</v>
      </c>
      <c r="BI46" s="252">
        <v>0</v>
      </c>
      <c r="BJ46" s="252">
        <v>0</v>
      </c>
      <c r="BK46" s="252">
        <v>0</v>
      </c>
      <c r="BL46" s="252">
        <v>0</v>
      </c>
      <c r="BM46" s="252">
        <v>0</v>
      </c>
      <c r="BN46" s="252">
        <v>0</v>
      </c>
      <c r="BO46" s="252">
        <v>0</v>
      </c>
      <c r="BP46" s="252">
        <v>0</v>
      </c>
      <c r="BQ46" s="253"/>
      <c r="BR46" s="249">
        <v>0</v>
      </c>
      <c r="BS46" s="249">
        <v>0</v>
      </c>
      <c r="BT46" s="249">
        <v>0</v>
      </c>
      <c r="BU46" s="249">
        <v>0</v>
      </c>
      <c r="BV46" s="249">
        <v>0</v>
      </c>
      <c r="BW46" s="249">
        <v>0</v>
      </c>
      <c r="BX46" s="249"/>
      <c r="BY46" s="249">
        <v>0</v>
      </c>
      <c r="BZ46" s="249">
        <v>0</v>
      </c>
      <c r="CA46" s="249">
        <v>0</v>
      </c>
      <c r="CB46" s="249">
        <v>0</v>
      </c>
      <c r="CC46" s="249">
        <v>0</v>
      </c>
      <c r="CE46" s="212"/>
      <c r="CF46" s="254">
        <v>0</v>
      </c>
      <c r="CG46" s="254">
        <v>0</v>
      </c>
      <c r="CH46" s="254">
        <v>0</v>
      </c>
      <c r="CI46" s="254">
        <v>0</v>
      </c>
      <c r="CJ46" s="254">
        <v>0</v>
      </c>
      <c r="CK46" s="254">
        <v>0</v>
      </c>
      <c r="CL46" s="254">
        <v>0</v>
      </c>
      <c r="CM46" s="254">
        <v>0</v>
      </c>
      <c r="CN46" s="255">
        <v>0</v>
      </c>
      <c r="CO46" s="255">
        <v>0</v>
      </c>
      <c r="CP46" s="255">
        <v>0</v>
      </c>
      <c r="CQ46" s="255">
        <v>0</v>
      </c>
    </row>
    <row r="47" spans="1:97">
      <c r="A47" s="272">
        <v>13</v>
      </c>
      <c r="B47" s="227" t="s">
        <v>57</v>
      </c>
      <c r="C47" s="311">
        <f>C48+C49</f>
        <v>0</v>
      </c>
      <c r="D47" s="311">
        <f t="shared" ref="D47" si="56">D48+D49</f>
        <v>28882818.399999999</v>
      </c>
      <c r="E47" s="291">
        <f t="shared" ref="E47:K47" si="57">E49+E48</f>
        <v>37860904</v>
      </c>
      <c r="F47" s="291">
        <f t="shared" si="57"/>
        <v>83273.8</v>
      </c>
      <c r="G47" s="291">
        <f t="shared" si="57"/>
        <v>-390773.93</v>
      </c>
      <c r="H47" s="291">
        <f t="shared" si="57"/>
        <v>-1112049.8400000001</v>
      </c>
      <c r="I47" s="291">
        <f t="shared" si="57"/>
        <v>22673144.600000001</v>
      </c>
      <c r="J47" s="291">
        <f t="shared" si="57"/>
        <v>0</v>
      </c>
      <c r="K47" s="291">
        <f t="shared" si="57"/>
        <v>32556188.5</v>
      </c>
      <c r="L47" s="291">
        <f t="shared" ref="L47:M47" si="58">L49+L48</f>
        <v>33228737.100000001</v>
      </c>
      <c r="M47" s="291">
        <f t="shared" si="58"/>
        <v>32904078.899999999</v>
      </c>
      <c r="N47" s="291">
        <f t="shared" ref="N47:P47" si="59">N49+N48</f>
        <v>36485189.5</v>
      </c>
      <c r="O47" s="291">
        <f t="shared" si="59"/>
        <v>36065149.759999998</v>
      </c>
      <c r="P47" s="291">
        <f t="shared" si="59"/>
        <v>39968970.5</v>
      </c>
      <c r="Q47" s="291">
        <f t="shared" ref="Q47:CC47" si="60">Q49+Q48</f>
        <v>39866702.799999997</v>
      </c>
      <c r="R47" s="292">
        <f t="shared" si="60"/>
        <v>43591339.25984548</v>
      </c>
      <c r="S47" s="293">
        <f t="shared" si="60"/>
        <v>33817732.559999995</v>
      </c>
      <c r="T47" s="293">
        <f t="shared" si="60"/>
        <v>43826154.299999997</v>
      </c>
      <c r="U47" s="293">
        <f t="shared" si="60"/>
        <v>45326725</v>
      </c>
      <c r="V47" s="293">
        <f t="shared" si="60"/>
        <v>39913839.899999999</v>
      </c>
      <c r="W47" s="293">
        <f t="shared" si="60"/>
        <v>45306800</v>
      </c>
      <c r="X47" s="293">
        <f t="shared" si="60"/>
        <v>42403339.399999999</v>
      </c>
      <c r="Y47" s="293">
        <f t="shared" si="60"/>
        <v>44630485.899999999</v>
      </c>
      <c r="Z47" s="293">
        <f t="shared" si="60"/>
        <v>48838521.200000003</v>
      </c>
      <c r="AA47" s="293">
        <f t="shared" si="60"/>
        <v>51482684.299999997</v>
      </c>
      <c r="AB47" s="293">
        <f t="shared" si="60"/>
        <v>49135096.200000003</v>
      </c>
      <c r="AC47" s="293">
        <f t="shared" si="60"/>
        <v>47567769.659999996</v>
      </c>
      <c r="AD47" s="293">
        <f t="shared" si="60"/>
        <v>50549921.5</v>
      </c>
      <c r="AE47" s="293">
        <f t="shared" si="60"/>
        <v>44005110.399999999</v>
      </c>
      <c r="AF47" s="293">
        <f t="shared" si="60"/>
        <v>45377892.100000001</v>
      </c>
      <c r="AG47" s="293">
        <f t="shared" si="60"/>
        <v>45555616.799999997</v>
      </c>
      <c r="AH47" s="293">
        <f t="shared" si="60"/>
        <v>45123598.299999997</v>
      </c>
      <c r="AI47" s="293">
        <f t="shared" si="60"/>
        <v>45407279</v>
      </c>
      <c r="AJ47" s="293">
        <f t="shared" si="60"/>
        <v>47678429.799999997</v>
      </c>
      <c r="AK47" s="293">
        <f t="shared" si="60"/>
        <v>46642196.5</v>
      </c>
      <c r="AL47" s="294">
        <f t="shared" si="60"/>
        <v>48853913.5</v>
      </c>
      <c r="AM47" s="294">
        <f t="shared" si="60"/>
        <v>48384284.5</v>
      </c>
      <c r="AN47" s="294">
        <f t="shared" si="60"/>
        <v>50628050.399999999</v>
      </c>
      <c r="AO47" s="294">
        <f t="shared" si="60"/>
        <v>52543201.799999997</v>
      </c>
      <c r="AP47" s="294">
        <f t="shared" si="60"/>
        <v>56641730.299999997</v>
      </c>
      <c r="AQ47" s="294">
        <f t="shared" si="60"/>
        <v>44478898</v>
      </c>
      <c r="AR47" s="294">
        <f t="shared" si="60"/>
        <v>51678787.899999999</v>
      </c>
      <c r="AS47" s="295">
        <f t="shared" si="60"/>
        <v>50593136.799999997</v>
      </c>
      <c r="AT47" s="294">
        <f t="shared" si="60"/>
        <v>53575913.100000001</v>
      </c>
      <c r="AU47" s="294">
        <f t="shared" si="60"/>
        <v>56990987.100000001</v>
      </c>
      <c r="AV47" s="294">
        <f t="shared" si="60"/>
        <v>57354722</v>
      </c>
      <c r="AW47" s="294">
        <f t="shared" si="60"/>
        <v>56525187.799999997</v>
      </c>
      <c r="AX47" s="294">
        <f t="shared" si="60"/>
        <v>58777390.899999999</v>
      </c>
      <c r="AY47" s="294">
        <f t="shared" si="60"/>
        <v>58009238.200000003</v>
      </c>
      <c r="AZ47" s="294">
        <f t="shared" si="60"/>
        <v>58802023.899999999</v>
      </c>
      <c r="BA47" s="294">
        <f t="shared" si="60"/>
        <v>58802023.899999999</v>
      </c>
      <c r="BB47" s="294">
        <f t="shared" si="60"/>
        <v>62361602.5</v>
      </c>
      <c r="BC47" s="294">
        <f t="shared" si="60"/>
        <v>55062869.409999996</v>
      </c>
      <c r="BD47" s="294">
        <f t="shared" si="60"/>
        <v>57208618.799999997</v>
      </c>
      <c r="BE47" s="294">
        <f t="shared" si="60"/>
        <v>58488619.200000003</v>
      </c>
      <c r="BF47" s="294">
        <f t="shared" si="60"/>
        <v>68891791.700000003</v>
      </c>
      <c r="BG47" s="294">
        <f t="shared" si="60"/>
        <v>65349628.300000004</v>
      </c>
      <c r="BH47" s="294">
        <f t="shared" si="60"/>
        <v>63911375.800000004</v>
      </c>
      <c r="BI47" s="294">
        <f t="shared" si="60"/>
        <v>64437624.719999999</v>
      </c>
      <c r="BJ47" s="294">
        <f t="shared" si="60"/>
        <v>69967085.109999999</v>
      </c>
      <c r="BK47" s="294">
        <f t="shared" si="60"/>
        <v>66848461.400000006</v>
      </c>
      <c r="BL47" s="294">
        <f t="shared" si="60"/>
        <v>69810051.299999997</v>
      </c>
      <c r="BM47" s="294">
        <f t="shared" si="60"/>
        <v>75981962.5</v>
      </c>
      <c r="BN47" s="294">
        <f t="shared" si="60"/>
        <v>76519892.099999994</v>
      </c>
      <c r="BO47" s="294">
        <f t="shared" si="60"/>
        <v>77596341.599999994</v>
      </c>
      <c r="BP47" s="294">
        <f t="shared" si="60"/>
        <v>70974779.400000006</v>
      </c>
      <c r="BQ47" s="294">
        <f t="shared" si="60"/>
        <v>64912350.649999991</v>
      </c>
      <c r="BR47" s="294">
        <f t="shared" si="60"/>
        <v>70213537.450000003</v>
      </c>
      <c r="BS47" s="294">
        <f t="shared" si="60"/>
        <v>72797256.950000003</v>
      </c>
      <c r="BT47" s="294">
        <f t="shared" si="60"/>
        <v>75142525.049999997</v>
      </c>
      <c r="BU47" s="294">
        <f t="shared" si="60"/>
        <v>74831469.950000003</v>
      </c>
      <c r="BV47" s="294">
        <f t="shared" si="60"/>
        <v>75485321.25</v>
      </c>
      <c r="BW47" s="294">
        <f t="shared" si="60"/>
        <v>76144772.150000006</v>
      </c>
      <c r="BX47" s="294">
        <f t="shared" si="60"/>
        <v>0</v>
      </c>
      <c r="BY47" s="294">
        <f t="shared" si="60"/>
        <v>82083370.719999999</v>
      </c>
      <c r="BZ47" s="294">
        <f t="shared" si="60"/>
        <v>89365354.549999997</v>
      </c>
      <c r="CA47" s="294">
        <f t="shared" si="60"/>
        <v>93771639.75</v>
      </c>
      <c r="CB47" s="294">
        <f t="shared" si="60"/>
        <v>96454876.229999989</v>
      </c>
      <c r="CC47" s="294">
        <f t="shared" si="60"/>
        <v>75741865.450000003</v>
      </c>
      <c r="CD47" s="294">
        <f t="shared" ref="CD47:CS47" si="61">CD49+CD48</f>
        <v>73559797.200000003</v>
      </c>
      <c r="CE47" s="294">
        <f t="shared" si="61"/>
        <v>87861275</v>
      </c>
      <c r="CF47" s="296">
        <f t="shared" si="61"/>
        <v>94262724.700000003</v>
      </c>
      <c r="CG47" s="296">
        <f t="shared" si="61"/>
        <v>100898805.3</v>
      </c>
      <c r="CH47" s="296">
        <f t="shared" si="61"/>
        <v>100084227.09999999</v>
      </c>
      <c r="CI47" s="296">
        <f t="shared" si="61"/>
        <v>97517372.010000005</v>
      </c>
      <c r="CJ47" s="296">
        <f t="shared" si="61"/>
        <v>97937442</v>
      </c>
      <c r="CK47" s="296">
        <f t="shared" si="61"/>
        <v>99901868.329999998</v>
      </c>
      <c r="CL47" s="296">
        <f t="shared" si="61"/>
        <v>102657176.09999999</v>
      </c>
      <c r="CM47" s="296">
        <f t="shared" si="61"/>
        <v>103850640.8</v>
      </c>
      <c r="CN47" s="296">
        <f t="shared" si="61"/>
        <v>103902156.8</v>
      </c>
      <c r="CO47" s="296">
        <f t="shared" si="61"/>
        <v>115727557.90000001</v>
      </c>
      <c r="CP47" s="296">
        <f t="shared" si="61"/>
        <v>127388612.2</v>
      </c>
      <c r="CQ47" s="296">
        <f t="shared" si="61"/>
        <v>101593508.2</v>
      </c>
      <c r="CR47" s="296">
        <f t="shared" si="61"/>
        <v>0</v>
      </c>
      <c r="CS47" s="294">
        <f t="shared" si="61"/>
        <v>0</v>
      </c>
    </row>
    <row r="48" spans="1:97">
      <c r="A48" s="272">
        <v>13.1</v>
      </c>
      <c r="B48" s="229" t="s">
        <v>58</v>
      </c>
      <c r="C48" s="256"/>
      <c r="D48" s="257">
        <v>15899403.140000001</v>
      </c>
      <c r="E48" s="240">
        <v>36232623</v>
      </c>
      <c r="F48" s="240"/>
      <c r="G48" s="240"/>
      <c r="H48" s="240"/>
      <c r="I48" s="240">
        <v>37860903</v>
      </c>
      <c r="J48" s="240"/>
      <c r="K48" s="240">
        <v>37860903</v>
      </c>
      <c r="L48" s="240">
        <v>37860903</v>
      </c>
      <c r="M48" s="240">
        <v>37860903</v>
      </c>
      <c r="N48" s="240">
        <v>37860903</v>
      </c>
      <c r="O48" s="240">
        <v>37860903</v>
      </c>
      <c r="P48" s="240">
        <v>37860903</v>
      </c>
      <c r="Q48" s="240">
        <v>37860903</v>
      </c>
      <c r="R48" s="241">
        <v>41222483.316934414</v>
      </c>
      <c r="S48" s="312">
        <v>35665804.659999996</v>
      </c>
      <c r="T48" s="312">
        <v>43591339</v>
      </c>
      <c r="U48" s="312">
        <v>43591339</v>
      </c>
      <c r="V48" s="313">
        <v>37860903</v>
      </c>
      <c r="W48" s="270">
        <v>43591339</v>
      </c>
      <c r="X48" s="314">
        <v>43591339</v>
      </c>
      <c r="Y48" s="245">
        <v>43591339</v>
      </c>
      <c r="Z48" s="315">
        <v>43591339</v>
      </c>
      <c r="AA48" s="247">
        <v>43591339</v>
      </c>
      <c r="AB48" s="245">
        <v>43591339</v>
      </c>
      <c r="AC48" s="245">
        <v>43591339</v>
      </c>
      <c r="AD48" s="248">
        <v>43591339</v>
      </c>
      <c r="AE48" s="249">
        <v>43591339</v>
      </c>
      <c r="AF48" s="249">
        <v>43591339</v>
      </c>
      <c r="AG48" s="249">
        <v>43984320</v>
      </c>
      <c r="AH48" s="249">
        <v>43984320</v>
      </c>
      <c r="AI48" s="249">
        <v>43984320</v>
      </c>
      <c r="AJ48" s="212">
        <v>43984320</v>
      </c>
      <c r="AK48" s="301">
        <v>43984320</v>
      </c>
      <c r="AL48" s="212">
        <v>43984320</v>
      </c>
      <c r="AM48" s="212">
        <v>43984320</v>
      </c>
      <c r="AN48" s="212">
        <v>43984320</v>
      </c>
      <c r="AO48" s="212">
        <v>43984320</v>
      </c>
      <c r="AP48" s="212">
        <v>43984320</v>
      </c>
      <c r="AQ48" s="212">
        <v>43984320</v>
      </c>
      <c r="AR48" s="212">
        <v>49184320</v>
      </c>
      <c r="AS48" s="212">
        <v>43984320</v>
      </c>
      <c r="AT48" s="250">
        <v>49558898.399999999</v>
      </c>
      <c r="AU48" s="250">
        <v>49558898.399999999</v>
      </c>
      <c r="AV48" s="250">
        <v>49558898.399999999</v>
      </c>
      <c r="AW48" s="270">
        <v>49558898.399999999</v>
      </c>
      <c r="AX48" s="250">
        <v>49558898.399999999</v>
      </c>
      <c r="AY48" s="250">
        <v>49558898.399999999</v>
      </c>
      <c r="AZ48" s="250">
        <v>49558898.399999999</v>
      </c>
      <c r="BA48" s="240">
        <v>49558898.399999999</v>
      </c>
      <c r="BB48" s="251">
        <v>49558898.399999999</v>
      </c>
      <c r="BC48" s="252">
        <v>49558898.399999999</v>
      </c>
      <c r="BD48" s="252">
        <v>49558898</v>
      </c>
      <c r="BE48" s="249">
        <v>58488619.200000003</v>
      </c>
      <c r="BF48" s="249">
        <v>58488619.200000003</v>
      </c>
      <c r="BG48" s="249">
        <v>57208619.200000003</v>
      </c>
      <c r="BH48" s="249">
        <v>57208619.200000003</v>
      </c>
      <c r="BI48" s="249">
        <v>57208619.200000003</v>
      </c>
      <c r="BJ48" s="249">
        <v>57208619.200000003</v>
      </c>
      <c r="BK48" s="249">
        <v>57208619.200000003</v>
      </c>
      <c r="BL48" s="249">
        <v>57208619.200000003</v>
      </c>
      <c r="BM48" s="249">
        <v>57208619.200000003</v>
      </c>
      <c r="BN48" s="249">
        <v>57208619.200000003</v>
      </c>
      <c r="BO48" s="249">
        <v>57208619.200000003</v>
      </c>
      <c r="BP48" s="249">
        <v>57208619.200000003</v>
      </c>
      <c r="BQ48" s="253">
        <v>57208619.199999996</v>
      </c>
      <c r="BR48" s="249">
        <v>64912350.649999999</v>
      </c>
      <c r="BS48" s="249">
        <v>64912350.649999999</v>
      </c>
      <c r="BT48" s="249">
        <v>64912350.649999999</v>
      </c>
      <c r="BU48" s="249">
        <v>64912350.649999999</v>
      </c>
      <c r="BV48" s="249">
        <v>64912350.649999999</v>
      </c>
      <c r="BW48" s="249">
        <v>64912350.649999999</v>
      </c>
      <c r="BX48" s="249"/>
      <c r="BY48" s="249">
        <v>64912350.649999999</v>
      </c>
      <c r="BZ48" s="249">
        <v>64912350.649999999</v>
      </c>
      <c r="CA48" s="249">
        <v>64912350.649999999</v>
      </c>
      <c r="CB48" s="249">
        <v>64912350.649999999</v>
      </c>
      <c r="CC48" s="249">
        <v>64912350.649999999</v>
      </c>
      <c r="CD48" s="212">
        <v>64912350.649999999</v>
      </c>
      <c r="CE48" s="212">
        <v>75303797</v>
      </c>
      <c r="CF48" s="254">
        <v>87861275.5</v>
      </c>
      <c r="CG48" s="254">
        <v>87861275.5</v>
      </c>
      <c r="CH48" s="254">
        <v>87861275.5</v>
      </c>
      <c r="CI48" s="254">
        <v>87861275.5</v>
      </c>
      <c r="CJ48" s="254">
        <v>87861275.5</v>
      </c>
      <c r="CK48" s="254">
        <v>87861275.5</v>
      </c>
      <c r="CL48" s="254">
        <v>87861275.5</v>
      </c>
      <c r="CM48" s="254">
        <v>87861275.5</v>
      </c>
      <c r="CN48" s="255">
        <v>87861275.5</v>
      </c>
      <c r="CO48" s="255">
        <v>87861275.5</v>
      </c>
      <c r="CP48" s="255">
        <v>87861275.5</v>
      </c>
      <c r="CQ48" s="255">
        <v>87861275.5</v>
      </c>
    </row>
    <row r="49" spans="1:97">
      <c r="A49" s="272">
        <v>13.2</v>
      </c>
      <c r="B49" s="229" t="s">
        <v>59</v>
      </c>
      <c r="C49" s="316"/>
      <c r="D49" s="304">
        <f>16229269.08-3245853.82</f>
        <v>12983415.26</v>
      </c>
      <c r="E49" s="240">
        <f>4634002-926800-2078921</f>
        <v>1628281</v>
      </c>
      <c r="F49" s="240">
        <v>83273.8</v>
      </c>
      <c r="G49" s="240">
        <v>-390773.93</v>
      </c>
      <c r="H49" s="240">
        <v>-1112049.8400000001</v>
      </c>
      <c r="I49" s="240">
        <v>-15187758.4</v>
      </c>
      <c r="J49" s="240"/>
      <c r="K49" s="240">
        <v>-5304714.5</v>
      </c>
      <c r="L49" s="240">
        <v>-4632165.9000000004</v>
      </c>
      <c r="M49" s="240">
        <v>-4956824.0999999996</v>
      </c>
      <c r="N49" s="240">
        <v>-1375713.5</v>
      </c>
      <c r="O49" s="240">
        <v>-1795753.24</v>
      </c>
      <c r="P49" s="240">
        <v>2108067.5</v>
      </c>
      <c r="Q49" s="240">
        <v>2005799.8</v>
      </c>
      <c r="R49" s="241">
        <v>2368855.9429110698</v>
      </c>
      <c r="S49" s="312">
        <v>-1848072.1</v>
      </c>
      <c r="T49" s="312">
        <v>234815.3</v>
      </c>
      <c r="U49" s="312">
        <v>1735386</v>
      </c>
      <c r="V49" s="313">
        <v>2052936.9</v>
      </c>
      <c r="W49" s="270">
        <v>1715461</v>
      </c>
      <c r="X49" s="314">
        <v>-1187999.6000000001</v>
      </c>
      <c r="Y49" s="245">
        <v>1039146.9</v>
      </c>
      <c r="Z49" s="315">
        <v>5247182.2</v>
      </c>
      <c r="AA49" s="247">
        <v>7891345.2999999998</v>
      </c>
      <c r="AB49" s="245">
        <v>5543757.2000000002</v>
      </c>
      <c r="AC49" s="245">
        <v>3976430.66</v>
      </c>
      <c r="AD49" s="248">
        <v>6958582.5</v>
      </c>
      <c r="AE49" s="249">
        <v>413771.4</v>
      </c>
      <c r="AF49" s="249">
        <v>1786553.1</v>
      </c>
      <c r="AG49" s="249">
        <v>1571296.8</v>
      </c>
      <c r="AH49" s="249">
        <v>1139278.3</v>
      </c>
      <c r="AI49" s="249">
        <v>1422959</v>
      </c>
      <c r="AJ49" s="212">
        <v>3694109.8</v>
      </c>
      <c r="AK49" s="301">
        <v>2657876.5</v>
      </c>
      <c r="AL49" s="212">
        <v>4869593.5</v>
      </c>
      <c r="AM49" s="212">
        <v>4399964.5</v>
      </c>
      <c r="AN49" s="212">
        <v>6643730.4000000004</v>
      </c>
      <c r="AO49" s="212">
        <v>8558881.8000000007</v>
      </c>
      <c r="AP49" s="212">
        <v>12657410.300000001</v>
      </c>
      <c r="AQ49" s="212">
        <v>494578</v>
      </c>
      <c r="AR49" s="212">
        <v>2494467.9</v>
      </c>
      <c r="AS49" s="212">
        <v>6608816.7999999998</v>
      </c>
      <c r="AT49" s="250">
        <v>4017014.7</v>
      </c>
      <c r="AU49" s="250">
        <v>7432088.7000000002</v>
      </c>
      <c r="AV49" s="250">
        <v>7795823.5999999996</v>
      </c>
      <c r="AW49" s="270">
        <v>6966289.4000000004</v>
      </c>
      <c r="AX49" s="250">
        <v>9218492.5</v>
      </c>
      <c r="AY49" s="250">
        <v>8450339.8000000007</v>
      </c>
      <c r="AZ49" s="250">
        <v>9243125.5</v>
      </c>
      <c r="BA49" s="240">
        <v>9243125.5</v>
      </c>
      <c r="BB49" s="251">
        <v>12802704.1</v>
      </c>
      <c r="BC49" s="252">
        <v>5503971.0099999998</v>
      </c>
      <c r="BD49" s="252">
        <v>7649720.7999999998</v>
      </c>
      <c r="BE49" s="249">
        <v>0</v>
      </c>
      <c r="BF49" s="249">
        <v>10403172.5</v>
      </c>
      <c r="BG49" s="249">
        <v>8141009.0999999996</v>
      </c>
      <c r="BH49" s="249">
        <v>6702756.5999999996</v>
      </c>
      <c r="BI49" s="249">
        <v>7229005.5199999996</v>
      </c>
      <c r="BJ49" s="249">
        <v>12758465.91</v>
      </c>
      <c r="BK49" s="249">
        <v>9639842.1999999993</v>
      </c>
      <c r="BL49" s="249">
        <v>12601432.1</v>
      </c>
      <c r="BM49" s="249">
        <v>18773343.300000001</v>
      </c>
      <c r="BN49" s="249">
        <v>19311272.899999999</v>
      </c>
      <c r="BO49" s="249">
        <v>20387722.399999999</v>
      </c>
      <c r="BP49" s="249">
        <v>13766160.199999999</v>
      </c>
      <c r="BQ49" s="253">
        <v>7703731.4499999974</v>
      </c>
      <c r="BR49" s="249">
        <v>5301186.8</v>
      </c>
      <c r="BS49" s="249">
        <v>7884906.2999999998</v>
      </c>
      <c r="BT49" s="249">
        <v>10230174.4</v>
      </c>
      <c r="BU49" s="249">
        <v>9919119.3000000007</v>
      </c>
      <c r="BV49" s="249">
        <v>10572970.6</v>
      </c>
      <c r="BW49" s="249">
        <v>11232421.5</v>
      </c>
      <c r="BX49" s="249"/>
      <c r="BY49" s="249">
        <v>17171020.07</v>
      </c>
      <c r="BZ49" s="249">
        <v>24453003.899999999</v>
      </c>
      <c r="CA49" s="249">
        <v>28859289.100000001</v>
      </c>
      <c r="CB49" s="249">
        <v>31542525.579999998</v>
      </c>
      <c r="CC49" s="249">
        <v>10829514.800000001</v>
      </c>
      <c r="CD49" s="212">
        <v>8647446.5500000007</v>
      </c>
      <c r="CE49" s="212">
        <v>12557478</v>
      </c>
      <c r="CF49" s="254">
        <v>6401449.2000000002</v>
      </c>
      <c r="CG49" s="254">
        <v>13037529.800000001</v>
      </c>
      <c r="CH49" s="254">
        <v>12222951.6</v>
      </c>
      <c r="CI49" s="254">
        <v>9656096.5099999998</v>
      </c>
      <c r="CJ49" s="254">
        <v>10076166.5</v>
      </c>
      <c r="CK49" s="254">
        <v>12040592.83</v>
      </c>
      <c r="CL49" s="254">
        <v>14795900.6</v>
      </c>
      <c r="CM49" s="254">
        <v>15989365.300000001</v>
      </c>
      <c r="CN49" s="255">
        <v>16040881.300000001</v>
      </c>
      <c r="CO49" s="255">
        <v>27866282.399999999</v>
      </c>
      <c r="CP49" s="255">
        <v>39527336.700000003</v>
      </c>
      <c r="CQ49" s="255">
        <v>13732232.699999999</v>
      </c>
    </row>
    <row r="50" spans="1:97">
      <c r="A50" s="272">
        <v>14</v>
      </c>
      <c r="B50" s="227" t="s">
        <v>60</v>
      </c>
      <c r="C50" s="262">
        <f>C51+C52+C53+C54+C55</f>
        <v>7313333.29</v>
      </c>
      <c r="D50" s="257">
        <f>D51+D52+D53+D54+D55</f>
        <v>10559187.1</v>
      </c>
      <c r="E50" s="291">
        <f t="shared" ref="E50:K50" si="62">SUM(E51:E55)</f>
        <v>15175915</v>
      </c>
      <c r="F50" s="291">
        <f t="shared" si="62"/>
        <v>20969294.18</v>
      </c>
      <c r="G50" s="291">
        <f t="shared" si="62"/>
        <v>21294694.18</v>
      </c>
      <c r="H50" s="291">
        <f t="shared" si="62"/>
        <v>21662324.18</v>
      </c>
      <c r="I50" s="291">
        <f t="shared" si="62"/>
        <v>24855254.259999998</v>
      </c>
      <c r="J50" s="291">
        <f t="shared" si="62"/>
        <v>24855254.259999998</v>
      </c>
      <c r="K50" s="291">
        <f t="shared" si="62"/>
        <v>25795295.810000002</v>
      </c>
      <c r="L50" s="291">
        <f t="shared" ref="L50:M50" si="63">SUM(L51:L55)</f>
        <v>26241800.460000001</v>
      </c>
      <c r="M50" s="291">
        <f t="shared" si="63"/>
        <v>26768421.91</v>
      </c>
      <c r="N50" s="291">
        <f t="shared" ref="N50:P50" si="64">SUM(N51:N55)</f>
        <v>31300094.219999999</v>
      </c>
      <c r="O50" s="291">
        <f t="shared" si="64"/>
        <v>31316608.219999999</v>
      </c>
      <c r="P50" s="291">
        <f t="shared" si="64"/>
        <v>31904959.219999999</v>
      </c>
      <c r="Q50" s="291">
        <f>SUM(Q51:Q55)</f>
        <v>32169459.219999999</v>
      </c>
      <c r="R50" s="292">
        <f t="shared" ref="R50:CC50" si="65">SUM(R51:R55)</f>
        <v>18687445.314961366</v>
      </c>
      <c r="S50" s="293">
        <f t="shared" si="65"/>
        <v>32775581.219999999</v>
      </c>
      <c r="T50" s="293">
        <f t="shared" si="65"/>
        <v>34778578.120000005</v>
      </c>
      <c r="U50" s="293">
        <f t="shared" si="65"/>
        <v>33425105.120000001</v>
      </c>
      <c r="V50" s="293">
        <f t="shared" si="65"/>
        <v>31239801.620000001</v>
      </c>
      <c r="W50" s="293">
        <f t="shared" si="65"/>
        <v>37023708.620000005</v>
      </c>
      <c r="X50" s="293">
        <f t="shared" si="65"/>
        <v>37408629.620000005</v>
      </c>
      <c r="Y50" s="293">
        <f t="shared" si="65"/>
        <v>37783239.620000005</v>
      </c>
      <c r="Z50" s="293">
        <f t="shared" si="65"/>
        <v>38078826.620000005</v>
      </c>
      <c r="AA50" s="293">
        <f t="shared" si="65"/>
        <v>38351886.620000005</v>
      </c>
      <c r="AB50" s="293">
        <f t="shared" si="65"/>
        <v>38777826.620000005</v>
      </c>
      <c r="AC50" s="293">
        <f t="shared" si="65"/>
        <v>39057256.620000005</v>
      </c>
      <c r="AD50" s="293">
        <f t="shared" si="65"/>
        <v>35287880.620000005</v>
      </c>
      <c r="AE50" s="293">
        <f t="shared" si="65"/>
        <v>39718295.620000005</v>
      </c>
      <c r="AF50" s="293">
        <f t="shared" si="65"/>
        <v>40054725.620000005</v>
      </c>
      <c r="AG50" s="293">
        <f t="shared" si="65"/>
        <v>40506367.620000005</v>
      </c>
      <c r="AH50" s="293">
        <f t="shared" si="65"/>
        <v>37051488.620000005</v>
      </c>
      <c r="AI50" s="293">
        <f t="shared" si="65"/>
        <v>37605349.620000005</v>
      </c>
      <c r="AJ50" s="293">
        <f t="shared" si="65"/>
        <v>37944910.620000005</v>
      </c>
      <c r="AK50" s="293">
        <f t="shared" si="65"/>
        <v>37896984.090000004</v>
      </c>
      <c r="AL50" s="294">
        <f t="shared" si="65"/>
        <v>37899384.090000004</v>
      </c>
      <c r="AM50" s="294">
        <f t="shared" si="65"/>
        <v>38421852.090000004</v>
      </c>
      <c r="AN50" s="294">
        <f t="shared" si="65"/>
        <v>39410262.289999999</v>
      </c>
      <c r="AO50" s="294">
        <f t="shared" si="65"/>
        <v>15457619</v>
      </c>
      <c r="AP50" s="294">
        <f t="shared" si="65"/>
        <v>16570394</v>
      </c>
      <c r="AQ50" s="294">
        <f t="shared" si="65"/>
        <v>27247260</v>
      </c>
      <c r="AR50" s="294">
        <f t="shared" si="65"/>
        <v>19042329</v>
      </c>
      <c r="AS50" s="295">
        <f t="shared" si="65"/>
        <v>19598585</v>
      </c>
      <c r="AT50" s="294">
        <f t="shared" si="65"/>
        <v>21077090.600000001</v>
      </c>
      <c r="AU50" s="294">
        <f t="shared" si="65"/>
        <v>21534972.600000001</v>
      </c>
      <c r="AV50" s="294">
        <f t="shared" si="65"/>
        <v>27771909.990000002</v>
      </c>
      <c r="AW50" s="294">
        <f t="shared" si="65"/>
        <v>18759448.34</v>
      </c>
      <c r="AX50" s="294">
        <f t="shared" si="65"/>
        <v>19967308.34</v>
      </c>
      <c r="AY50" s="294">
        <f t="shared" si="65"/>
        <v>20315828.34</v>
      </c>
      <c r="AZ50" s="294">
        <f t="shared" si="65"/>
        <v>20914848.34</v>
      </c>
      <c r="BA50" s="294">
        <f t="shared" si="65"/>
        <v>20914848.34</v>
      </c>
      <c r="BB50" s="294">
        <f t="shared" si="65"/>
        <v>22019794.34</v>
      </c>
      <c r="BC50" s="294">
        <f t="shared" si="65"/>
        <v>22638173.34</v>
      </c>
      <c r="BD50" s="294">
        <f t="shared" si="65"/>
        <v>28359479.5</v>
      </c>
      <c r="BE50" s="294">
        <f t="shared" si="65"/>
        <v>25542393.539999999</v>
      </c>
      <c r="BF50" s="294">
        <f t="shared" si="65"/>
        <v>29942280.539999999</v>
      </c>
      <c r="BG50" s="294">
        <f t="shared" si="65"/>
        <v>20961002.039999999</v>
      </c>
      <c r="BH50" s="294">
        <f t="shared" si="65"/>
        <v>20961002.039999999</v>
      </c>
      <c r="BI50" s="294">
        <f t="shared" si="65"/>
        <v>21007769.899999999</v>
      </c>
      <c r="BJ50" s="294">
        <f t="shared" si="65"/>
        <v>16259160.9</v>
      </c>
      <c r="BK50" s="294">
        <f t="shared" si="65"/>
        <v>16819310.900000002</v>
      </c>
      <c r="BL50" s="294">
        <f t="shared" si="65"/>
        <v>17336530.900000002</v>
      </c>
      <c r="BM50" s="294">
        <f t="shared" si="65"/>
        <v>21637596.899999999</v>
      </c>
      <c r="BN50" s="294">
        <f t="shared" si="65"/>
        <v>18473470.900000002</v>
      </c>
      <c r="BO50" s="294">
        <f t="shared" si="65"/>
        <v>18929623.650000002</v>
      </c>
      <c r="BP50" s="294">
        <f t="shared" si="65"/>
        <v>25119810</v>
      </c>
      <c r="BQ50" s="294">
        <f t="shared" si="65"/>
        <v>24983838.299999997</v>
      </c>
      <c r="BR50" s="294">
        <f t="shared" si="65"/>
        <v>24983838.299999997</v>
      </c>
      <c r="BS50" s="294">
        <f t="shared" si="65"/>
        <v>22030462.849999998</v>
      </c>
      <c r="BT50" s="294">
        <f t="shared" si="65"/>
        <v>22222541.050000001</v>
      </c>
      <c r="BU50" s="294">
        <f t="shared" si="65"/>
        <v>26627067.049999997</v>
      </c>
      <c r="BV50" s="294">
        <f t="shared" si="65"/>
        <v>22641250.699999999</v>
      </c>
      <c r="BW50" s="294">
        <f t="shared" si="65"/>
        <v>23209787.350000001</v>
      </c>
      <c r="BX50" s="294">
        <f t="shared" si="65"/>
        <v>0</v>
      </c>
      <c r="BY50" s="294">
        <f t="shared" si="65"/>
        <v>24022051.350000001</v>
      </c>
      <c r="BZ50" s="294">
        <f t="shared" si="65"/>
        <v>28321978.25</v>
      </c>
      <c r="CA50" s="294">
        <f t="shared" si="65"/>
        <v>21637207.309999999</v>
      </c>
      <c r="CB50" s="294">
        <f t="shared" si="65"/>
        <v>22318297.309999999</v>
      </c>
      <c r="CC50" s="294">
        <f t="shared" si="65"/>
        <v>27465369.789999999</v>
      </c>
      <c r="CD50" s="294">
        <f t="shared" ref="CD50:CS50" si="66">SUM(CD51:CD55)</f>
        <v>27463072.800000001</v>
      </c>
      <c r="CE50" s="294">
        <f t="shared" si="66"/>
        <v>34853244</v>
      </c>
      <c r="CF50" s="296">
        <f t="shared" si="66"/>
        <v>31432200.52</v>
      </c>
      <c r="CG50" s="296">
        <f t="shared" si="66"/>
        <v>31445600.52</v>
      </c>
      <c r="CH50" s="296">
        <f t="shared" si="66"/>
        <v>32570702.489999998</v>
      </c>
      <c r="CI50" s="296">
        <f t="shared" si="66"/>
        <v>33099671.489999998</v>
      </c>
      <c r="CJ50" s="296">
        <f t="shared" si="66"/>
        <v>33738162.899999999</v>
      </c>
      <c r="CK50" s="296">
        <f>SUM(CK51:CK55)</f>
        <v>34521131.899999999</v>
      </c>
      <c r="CL50" s="296">
        <f t="shared" si="66"/>
        <v>34979900.899999999</v>
      </c>
      <c r="CM50" s="296">
        <f t="shared" si="66"/>
        <v>39251076.899999999</v>
      </c>
      <c r="CN50" s="296">
        <f t="shared" si="66"/>
        <v>39410202.899999999</v>
      </c>
      <c r="CO50" s="296">
        <f t="shared" si="66"/>
        <v>40052432.899999999</v>
      </c>
      <c r="CP50" s="296">
        <f t="shared" si="66"/>
        <v>40263467.869999997</v>
      </c>
      <c r="CQ50" s="296">
        <f t="shared" si="66"/>
        <v>44782556.069999993</v>
      </c>
      <c r="CR50" s="296">
        <f t="shared" si="66"/>
        <v>0</v>
      </c>
      <c r="CS50" s="294">
        <f t="shared" si="66"/>
        <v>0</v>
      </c>
    </row>
    <row r="51" spans="1:97">
      <c r="A51" s="272"/>
      <c r="B51" s="229" t="s">
        <v>61</v>
      </c>
      <c r="C51" s="256">
        <v>3504457.29</v>
      </c>
      <c r="D51" s="257">
        <v>6750311.0999999996</v>
      </c>
      <c r="E51" s="240">
        <v>11367039</v>
      </c>
      <c r="F51" s="240">
        <v>8587761.9199999999</v>
      </c>
      <c r="G51" s="240">
        <v>8587761.9199999999</v>
      </c>
      <c r="H51" s="240">
        <v>8587761.9199999999</v>
      </c>
      <c r="I51" s="240">
        <v>11367039</v>
      </c>
      <c r="J51" s="240">
        <v>11367039</v>
      </c>
      <c r="K51" s="240">
        <v>11367039</v>
      </c>
      <c r="L51" s="240">
        <v>11367039</v>
      </c>
      <c r="M51" s="240">
        <v>11367039</v>
      </c>
      <c r="N51" s="240">
        <v>11367039</v>
      </c>
      <c r="O51" s="240">
        <v>11367039</v>
      </c>
      <c r="P51" s="240">
        <v>11367039</v>
      </c>
      <c r="Q51" s="240">
        <v>11367039</v>
      </c>
      <c r="R51" s="241">
        <v>12799648.314961368</v>
      </c>
      <c r="S51" s="317">
        <v>11367039</v>
      </c>
      <c r="T51" s="317">
        <v>12799648</v>
      </c>
      <c r="U51" s="317">
        <v>11367039</v>
      </c>
      <c r="V51" s="318">
        <v>11367039</v>
      </c>
      <c r="W51" s="270">
        <v>12799648</v>
      </c>
      <c r="X51" s="319">
        <v>12799648</v>
      </c>
      <c r="Y51" s="245">
        <v>12799648</v>
      </c>
      <c r="Z51" s="320">
        <v>12799648</v>
      </c>
      <c r="AA51" s="247">
        <v>12799648</v>
      </c>
      <c r="AB51" s="245">
        <v>12799648</v>
      </c>
      <c r="AC51" s="245">
        <v>12799648</v>
      </c>
      <c r="AD51" s="248">
        <v>12799648</v>
      </c>
      <c r="AE51" s="249">
        <v>12799648</v>
      </c>
      <c r="AF51" s="249">
        <v>12799648</v>
      </c>
      <c r="AG51" s="249">
        <v>12897894</v>
      </c>
      <c r="AH51" s="249">
        <v>12897894</v>
      </c>
      <c r="AI51" s="249">
        <v>12897894</v>
      </c>
      <c r="AJ51" s="212">
        <v>12897894</v>
      </c>
      <c r="AK51" s="212">
        <v>12897894</v>
      </c>
      <c r="AL51" s="301">
        <v>12897894</v>
      </c>
      <c r="AM51" s="212">
        <v>12897894</v>
      </c>
      <c r="AN51" s="212">
        <v>12897894</v>
      </c>
      <c r="AO51" s="212">
        <v>12897894</v>
      </c>
      <c r="AP51" s="212">
        <v>12897894</v>
      </c>
      <c r="AQ51" s="212">
        <v>14171538</v>
      </c>
      <c r="AR51" s="212">
        <v>12897894</v>
      </c>
      <c r="AS51" s="212">
        <v>12897894</v>
      </c>
      <c r="AT51" s="250">
        <v>14291538.6</v>
      </c>
      <c r="AU51" s="250">
        <v>14291538.6</v>
      </c>
      <c r="AV51" s="250">
        <v>14291538.6</v>
      </c>
      <c r="AW51" s="25">
        <v>14291538.6</v>
      </c>
      <c r="AX51" s="250">
        <v>14291538.6</v>
      </c>
      <c r="AY51" s="250">
        <v>14291538.6</v>
      </c>
      <c r="AZ51" s="250">
        <v>14291538.6</v>
      </c>
      <c r="BA51" s="240">
        <v>14291538.6</v>
      </c>
      <c r="BB51" s="251">
        <v>14291538.6</v>
      </c>
      <c r="BC51" s="252">
        <v>14291538.6</v>
      </c>
      <c r="BD51" s="252">
        <v>16203968.800000001</v>
      </c>
      <c r="BE51" s="249">
        <v>16523968.800000001</v>
      </c>
      <c r="BF51" s="249">
        <v>16523968.800000001</v>
      </c>
      <c r="BG51" s="249">
        <v>16203968.800000001</v>
      </c>
      <c r="BH51" s="249">
        <v>16203968.800000001</v>
      </c>
      <c r="BI51" s="249">
        <v>16203968.800000001</v>
      </c>
      <c r="BJ51" s="249">
        <v>16203968.800000001</v>
      </c>
      <c r="BK51" s="249">
        <v>16203968.800000001</v>
      </c>
      <c r="BL51" s="249">
        <v>16203968.800000001</v>
      </c>
      <c r="BM51" s="249">
        <v>16203968.800000001</v>
      </c>
      <c r="BN51" s="249">
        <v>16203968.800000001</v>
      </c>
      <c r="BO51" s="249">
        <v>16203968.800000001</v>
      </c>
      <c r="BP51" s="249">
        <v>18515873.399999999</v>
      </c>
      <c r="BQ51" s="253">
        <v>18379901.699999999</v>
      </c>
      <c r="BR51" s="249">
        <v>18379901.699999999</v>
      </c>
      <c r="BS51" s="249">
        <v>18379901.699999999</v>
      </c>
      <c r="BT51" s="249">
        <v>18379901.699999999</v>
      </c>
      <c r="BU51" s="249">
        <v>18379901.699999999</v>
      </c>
      <c r="BV51" s="249">
        <v>18379901.699999999</v>
      </c>
      <c r="BW51" s="249">
        <v>18379901.699999999</v>
      </c>
      <c r="BX51" s="249"/>
      <c r="BY51" s="249">
        <v>18379901.699999999</v>
      </c>
      <c r="BZ51" s="249">
        <v>18379901.699999999</v>
      </c>
      <c r="CA51" s="249">
        <v>18379901.699999999</v>
      </c>
      <c r="CB51" s="249">
        <v>18379901.699999999</v>
      </c>
      <c r="CC51" s="249">
        <v>20868763.34</v>
      </c>
      <c r="CD51" s="212">
        <v>20866763.350000001</v>
      </c>
      <c r="CE51" s="212">
        <v>24867132</v>
      </c>
      <c r="CF51" s="254">
        <v>24867132.899999999</v>
      </c>
      <c r="CG51" s="254">
        <v>24867132.899999999</v>
      </c>
      <c r="CH51" s="254">
        <v>24867132.899999999</v>
      </c>
      <c r="CI51" s="254">
        <v>24867132.899999999</v>
      </c>
      <c r="CJ51" s="254">
        <v>24867132.899999999</v>
      </c>
      <c r="CK51" s="254">
        <v>24867132.899999999</v>
      </c>
      <c r="CL51" s="254">
        <v>24867132.899999999</v>
      </c>
      <c r="CM51" s="254">
        <v>24867132.899999999</v>
      </c>
      <c r="CN51" s="255">
        <v>24867132.899999999</v>
      </c>
      <c r="CO51" s="255">
        <v>24867132.899999999</v>
      </c>
      <c r="CP51" s="255">
        <v>24867132.899999999</v>
      </c>
      <c r="CQ51" s="255">
        <v>24867132.899999999</v>
      </c>
    </row>
    <row r="52" spans="1:97">
      <c r="A52" s="272"/>
      <c r="B52" s="229" t="s">
        <v>62</v>
      </c>
      <c r="C52" s="262">
        <v>3808876</v>
      </c>
      <c r="D52" s="257">
        <v>3808876</v>
      </c>
      <c r="E52" s="240">
        <v>3808876</v>
      </c>
      <c r="F52" s="240">
        <v>12381532.26</v>
      </c>
      <c r="G52" s="240">
        <v>12706932.26</v>
      </c>
      <c r="H52" s="240">
        <v>13074562.26</v>
      </c>
      <c r="I52" s="321">
        <v>13488215.26</v>
      </c>
      <c r="J52" s="240">
        <v>13488215.26</v>
      </c>
      <c r="K52" s="240">
        <v>14428256.810000001</v>
      </c>
      <c r="L52" s="240">
        <v>14874761.460000001</v>
      </c>
      <c r="M52" s="240">
        <v>15401382.91</v>
      </c>
      <c r="N52" s="240">
        <v>19933055.219999999</v>
      </c>
      <c r="O52" s="240">
        <v>19949569.219999999</v>
      </c>
      <c r="P52" s="240">
        <v>20537920.219999999</v>
      </c>
      <c r="Q52" s="240">
        <v>20802420.219999999</v>
      </c>
      <c r="R52" s="241">
        <v>3808876</v>
      </c>
      <c r="S52" s="317">
        <v>21408542.219999999</v>
      </c>
      <c r="T52" s="317">
        <v>21978930.120000001</v>
      </c>
      <c r="U52" s="317">
        <v>22058066.120000001</v>
      </c>
      <c r="V52" s="318">
        <v>19872762.620000001</v>
      </c>
      <c r="W52" s="270">
        <v>24224060.620000001</v>
      </c>
      <c r="X52" s="319">
        <v>24608981.620000001</v>
      </c>
      <c r="Y52" s="245">
        <v>24983591.620000001</v>
      </c>
      <c r="Z52" s="320">
        <v>25279178.620000001</v>
      </c>
      <c r="AA52" s="247">
        <v>25552238.620000001</v>
      </c>
      <c r="AB52" s="245">
        <v>25978178.620000001</v>
      </c>
      <c r="AC52" s="245">
        <v>26257608.620000001</v>
      </c>
      <c r="AD52" s="245">
        <v>22488232.620000001</v>
      </c>
      <c r="AE52" s="249">
        <v>26918647.620000001</v>
      </c>
      <c r="AF52" s="249">
        <v>27255077.620000001</v>
      </c>
      <c r="AG52" s="249">
        <v>27608473.620000001</v>
      </c>
      <c r="AH52" s="249">
        <v>24153594.620000001</v>
      </c>
      <c r="AI52" s="249">
        <v>24707455.620000001</v>
      </c>
      <c r="AJ52" s="212">
        <v>25047016.620000001</v>
      </c>
      <c r="AK52" s="212">
        <v>24999090.09</v>
      </c>
      <c r="AL52" s="301">
        <v>25001490.09</v>
      </c>
      <c r="AM52" s="212">
        <v>25523958.09</v>
      </c>
      <c r="AN52" s="212">
        <v>26512368.289999999</v>
      </c>
      <c r="AO52" s="212">
        <v>2559725</v>
      </c>
      <c r="AP52" s="212">
        <v>3672500</v>
      </c>
      <c r="AQ52" s="212">
        <v>9775722</v>
      </c>
      <c r="AR52" s="212">
        <v>6144435</v>
      </c>
      <c r="AS52" s="212">
        <v>6700691</v>
      </c>
      <c r="AT52" s="250">
        <v>6785552</v>
      </c>
      <c r="AU52" s="250">
        <v>7243434</v>
      </c>
      <c r="AV52" s="250">
        <v>13480371.390000001</v>
      </c>
      <c r="AW52" s="25">
        <v>4467909.74</v>
      </c>
      <c r="AX52" s="250">
        <v>5675769.7400000002</v>
      </c>
      <c r="AY52" s="250">
        <v>6024289.7400000002</v>
      </c>
      <c r="AZ52" s="250">
        <v>6623309.7400000002</v>
      </c>
      <c r="BA52" s="240">
        <v>6623309.7400000002</v>
      </c>
      <c r="BB52" s="251">
        <v>7728255.7400000002</v>
      </c>
      <c r="BC52" s="252">
        <v>8346634.7400000002</v>
      </c>
      <c r="BD52" s="252">
        <f>3808876+8346634.7</f>
        <v>12155510.699999999</v>
      </c>
      <c r="BE52" s="249">
        <v>9018424.7400000002</v>
      </c>
      <c r="BF52" s="249">
        <v>13418311.74</v>
      </c>
      <c r="BG52" s="249">
        <v>4757033.24</v>
      </c>
      <c r="BH52" s="249">
        <v>4757033.24</v>
      </c>
      <c r="BI52" s="249">
        <v>4803801.0999999996</v>
      </c>
      <c r="BJ52" s="249">
        <v>55192.1</v>
      </c>
      <c r="BK52" s="249">
        <v>615342.1</v>
      </c>
      <c r="BL52" s="249">
        <v>1132562.1000000001</v>
      </c>
      <c r="BM52" s="249">
        <v>5433628.0999999996</v>
      </c>
      <c r="BN52" s="249">
        <v>2269502.1</v>
      </c>
      <c r="BO52" s="249">
        <v>2725654.85</v>
      </c>
      <c r="BP52" s="249">
        <v>6603936.5999999996</v>
      </c>
      <c r="BQ52" s="253">
        <f>3808876+2795060.6</f>
        <v>6603936.5999999996</v>
      </c>
      <c r="BR52" s="249">
        <v>6603936.5999999996</v>
      </c>
      <c r="BS52" s="249">
        <v>3650561.15</v>
      </c>
      <c r="BT52" s="249">
        <v>3842639.35</v>
      </c>
      <c r="BU52" s="249">
        <v>8247165.3499999996</v>
      </c>
      <c r="BV52" s="249">
        <v>4261349</v>
      </c>
      <c r="BW52" s="249">
        <v>4829885.6500000004</v>
      </c>
      <c r="BX52" s="249"/>
      <c r="BY52" s="249">
        <v>5642149.6500000004</v>
      </c>
      <c r="BZ52" s="249">
        <v>9942076.5500000007</v>
      </c>
      <c r="CA52" s="249">
        <v>3257305.61</v>
      </c>
      <c r="CB52" s="249">
        <v>3938395.61</v>
      </c>
      <c r="CC52" s="249">
        <v>6596606.4500000002</v>
      </c>
      <c r="CD52" s="212">
        <f>2787430.45+3808879</f>
        <v>6596309.4500000002</v>
      </c>
      <c r="CE52" s="212">
        <v>3808876</v>
      </c>
      <c r="CF52" s="254">
        <v>6565067.6200000001</v>
      </c>
      <c r="CG52" s="254">
        <v>6578467.6200000001</v>
      </c>
      <c r="CH52" s="254">
        <v>7703569.5899999999</v>
      </c>
      <c r="CI52" s="254">
        <v>8232538.5899999999</v>
      </c>
      <c r="CJ52" s="254">
        <v>8871030</v>
      </c>
      <c r="CK52" s="254">
        <v>9653999</v>
      </c>
      <c r="CL52" s="254">
        <v>10112768</v>
      </c>
      <c r="CM52" s="254">
        <v>14383944</v>
      </c>
      <c r="CN52" s="255">
        <v>14543070</v>
      </c>
      <c r="CO52" s="255">
        <v>15185300</v>
      </c>
      <c r="CP52" s="255">
        <v>15396334.970000001</v>
      </c>
      <c r="CQ52" s="255">
        <v>16032364.949999999</v>
      </c>
    </row>
    <row r="53" spans="1:97">
      <c r="A53" s="272"/>
      <c r="B53" s="229" t="s">
        <v>63</v>
      </c>
      <c r="C53" s="262"/>
      <c r="D53" s="257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1"/>
      <c r="S53" s="317">
        <v>0</v>
      </c>
      <c r="T53" s="317">
        <v>0</v>
      </c>
      <c r="U53" s="317">
        <v>0</v>
      </c>
      <c r="V53" s="318">
        <v>0</v>
      </c>
      <c r="W53" s="25"/>
      <c r="X53" s="319">
        <v>0</v>
      </c>
      <c r="Y53" s="245">
        <v>0</v>
      </c>
      <c r="Z53" s="320">
        <v>0</v>
      </c>
      <c r="AA53" s="247">
        <v>0</v>
      </c>
      <c r="AB53" s="245">
        <v>0</v>
      </c>
      <c r="AC53" s="245">
        <v>0</v>
      </c>
      <c r="AD53" s="245">
        <v>0</v>
      </c>
      <c r="AE53" s="249">
        <v>0</v>
      </c>
      <c r="AF53" s="249">
        <v>0</v>
      </c>
      <c r="AG53" s="249">
        <v>0</v>
      </c>
      <c r="AH53" s="249">
        <v>0</v>
      </c>
      <c r="AI53" s="249">
        <v>0</v>
      </c>
      <c r="AJ53" s="212">
        <v>0</v>
      </c>
      <c r="AK53" s="212">
        <v>0</v>
      </c>
      <c r="AL53" s="212">
        <v>0</v>
      </c>
      <c r="AM53" s="212">
        <v>0</v>
      </c>
      <c r="AN53" s="212">
        <v>0</v>
      </c>
      <c r="AO53" s="212">
        <v>0</v>
      </c>
      <c r="AP53" s="212">
        <v>0</v>
      </c>
      <c r="AQ53" s="212"/>
      <c r="AR53" s="212">
        <v>0</v>
      </c>
      <c r="AS53" s="212">
        <v>0</v>
      </c>
      <c r="AT53" s="250">
        <v>0</v>
      </c>
      <c r="AU53" s="250">
        <v>0</v>
      </c>
      <c r="AV53" s="322">
        <v>0</v>
      </c>
      <c r="AW53" s="25">
        <v>0</v>
      </c>
      <c r="AX53" s="250">
        <v>0</v>
      </c>
      <c r="AY53" s="250">
        <v>0</v>
      </c>
      <c r="AZ53" s="250">
        <v>0</v>
      </c>
      <c r="BA53" s="250">
        <v>0</v>
      </c>
      <c r="BB53" s="251">
        <v>0</v>
      </c>
      <c r="BC53" s="252">
        <v>0</v>
      </c>
      <c r="BD53" s="252"/>
      <c r="BE53" s="249">
        <v>0</v>
      </c>
      <c r="BF53" s="249">
        <v>0</v>
      </c>
      <c r="BG53" s="249">
        <v>0</v>
      </c>
      <c r="BH53" s="249">
        <v>0</v>
      </c>
      <c r="BI53" s="249">
        <v>0</v>
      </c>
      <c r="BJ53" s="249">
        <v>0</v>
      </c>
      <c r="BK53" s="249">
        <v>0</v>
      </c>
      <c r="BL53" s="249">
        <v>0</v>
      </c>
      <c r="BM53" s="249">
        <v>0</v>
      </c>
      <c r="BN53" s="249">
        <v>0</v>
      </c>
      <c r="BO53" s="249">
        <v>0</v>
      </c>
      <c r="BP53" s="249">
        <v>0</v>
      </c>
      <c r="BQ53" s="253"/>
      <c r="BR53" s="249">
        <v>0</v>
      </c>
      <c r="BS53" s="249">
        <v>0</v>
      </c>
      <c r="BT53" s="249">
        <v>0</v>
      </c>
      <c r="BU53" s="249">
        <v>0</v>
      </c>
      <c r="BV53" s="249">
        <v>0</v>
      </c>
      <c r="BW53" s="249">
        <v>0</v>
      </c>
      <c r="BX53" s="249"/>
      <c r="BY53" s="249">
        <v>0</v>
      </c>
      <c r="BZ53" s="249">
        <v>0</v>
      </c>
      <c r="CA53" s="249">
        <v>0</v>
      </c>
      <c r="CB53" s="249">
        <v>0</v>
      </c>
      <c r="CC53" s="249">
        <v>0</v>
      </c>
      <c r="CD53" s="249">
        <v>0</v>
      </c>
      <c r="CE53" s="283">
        <v>6177236</v>
      </c>
      <c r="CF53" s="254">
        <v>0</v>
      </c>
      <c r="CG53" s="254">
        <v>0</v>
      </c>
      <c r="CH53" s="254">
        <v>0</v>
      </c>
      <c r="CI53" s="254">
        <v>0</v>
      </c>
      <c r="CJ53" s="254">
        <v>0</v>
      </c>
      <c r="CK53" s="254">
        <v>0</v>
      </c>
      <c r="CL53" s="254">
        <v>0</v>
      </c>
      <c r="CM53" s="254">
        <v>0</v>
      </c>
      <c r="CN53" s="255">
        <v>0</v>
      </c>
      <c r="CO53" s="255">
        <v>0</v>
      </c>
      <c r="CP53" s="255">
        <v>0</v>
      </c>
      <c r="CQ53" s="255">
        <v>0</v>
      </c>
    </row>
    <row r="54" spans="1:97">
      <c r="A54" s="272"/>
      <c r="B54" s="229" t="s">
        <v>64</v>
      </c>
      <c r="C54" s="262"/>
      <c r="D54" s="257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1">
        <v>2078921</v>
      </c>
      <c r="S54" s="323">
        <v>0</v>
      </c>
      <c r="T54" s="323">
        <v>0</v>
      </c>
      <c r="U54" s="323">
        <v>0</v>
      </c>
      <c r="V54" s="324">
        <v>0</v>
      </c>
      <c r="W54" s="25"/>
      <c r="X54" s="325">
        <v>0</v>
      </c>
      <c r="Y54" s="326">
        <v>0</v>
      </c>
      <c r="Z54" s="327">
        <v>0</v>
      </c>
      <c r="AA54" s="247">
        <v>0</v>
      </c>
      <c r="AB54" s="326">
        <v>0</v>
      </c>
      <c r="AC54" s="326">
        <v>0</v>
      </c>
      <c r="AD54" s="326">
        <v>0</v>
      </c>
      <c r="AE54" s="328">
        <v>0</v>
      </c>
      <c r="AF54" s="328">
        <v>0</v>
      </c>
      <c r="AG54" s="328">
        <v>0</v>
      </c>
      <c r="AH54" s="328">
        <v>0</v>
      </c>
      <c r="AI54" s="328">
        <v>0</v>
      </c>
      <c r="AJ54" s="212">
        <v>0</v>
      </c>
      <c r="AK54" s="212">
        <v>0</v>
      </c>
      <c r="AL54" s="212">
        <v>0</v>
      </c>
      <c r="AM54" s="212">
        <v>0</v>
      </c>
      <c r="AN54" s="212">
        <v>0</v>
      </c>
      <c r="AO54" s="212">
        <v>0</v>
      </c>
      <c r="AP54" s="212">
        <v>0</v>
      </c>
      <c r="AQ54" s="212">
        <v>3300000</v>
      </c>
      <c r="AR54" s="212">
        <v>0</v>
      </c>
      <c r="AS54" s="212">
        <v>0</v>
      </c>
      <c r="AT54" s="250">
        <v>0</v>
      </c>
      <c r="AU54" s="250">
        <v>0</v>
      </c>
      <c r="AV54" s="322">
        <v>0</v>
      </c>
      <c r="AW54" s="25">
        <v>0</v>
      </c>
      <c r="AX54" s="250">
        <v>0</v>
      </c>
      <c r="AY54" s="250">
        <v>0</v>
      </c>
      <c r="AZ54" s="250">
        <v>0</v>
      </c>
      <c r="BA54" s="250">
        <v>0</v>
      </c>
      <c r="BB54" s="329">
        <v>0</v>
      </c>
      <c r="BC54" s="330">
        <v>0</v>
      </c>
      <c r="BD54" s="330"/>
      <c r="BE54" s="328">
        <v>0</v>
      </c>
      <c r="BF54" s="328">
        <v>0</v>
      </c>
      <c r="BG54" s="328">
        <v>0</v>
      </c>
      <c r="BH54" s="328">
        <v>0</v>
      </c>
      <c r="BI54" s="328">
        <v>0</v>
      </c>
      <c r="BJ54" s="328">
        <v>0</v>
      </c>
      <c r="BK54" s="328">
        <v>0</v>
      </c>
      <c r="BL54" s="328">
        <v>0</v>
      </c>
      <c r="BM54" s="328">
        <v>0</v>
      </c>
      <c r="BN54" s="328">
        <v>0</v>
      </c>
      <c r="BO54" s="328">
        <v>0</v>
      </c>
      <c r="BP54" s="328">
        <v>0</v>
      </c>
      <c r="BQ54" s="253"/>
      <c r="BR54" s="328">
        <v>0</v>
      </c>
      <c r="BS54" s="328">
        <v>0</v>
      </c>
      <c r="BT54" s="328">
        <v>0</v>
      </c>
      <c r="BU54" s="328">
        <v>0</v>
      </c>
      <c r="BV54" s="328">
        <v>0</v>
      </c>
      <c r="BW54" s="328">
        <v>0</v>
      </c>
      <c r="BX54" s="328"/>
      <c r="BY54" s="328">
        <v>0</v>
      </c>
      <c r="BZ54" s="328">
        <v>0</v>
      </c>
      <c r="CA54" s="328">
        <v>0</v>
      </c>
      <c r="CB54" s="328">
        <v>0</v>
      </c>
      <c r="CC54" s="328">
        <v>0</v>
      </c>
      <c r="CD54" s="328">
        <v>0</v>
      </c>
      <c r="CE54" s="283"/>
      <c r="CF54" s="254">
        <v>0</v>
      </c>
      <c r="CG54" s="254">
        <v>0</v>
      </c>
      <c r="CH54" s="254">
        <v>0</v>
      </c>
      <c r="CI54" s="254">
        <v>0</v>
      </c>
      <c r="CJ54" s="254">
        <v>0</v>
      </c>
      <c r="CK54" s="254">
        <v>0</v>
      </c>
      <c r="CL54" s="254">
        <v>0</v>
      </c>
      <c r="CM54" s="254">
        <v>0</v>
      </c>
      <c r="CN54" s="255">
        <v>0</v>
      </c>
      <c r="CO54" s="255">
        <v>0</v>
      </c>
      <c r="CP54" s="255">
        <v>0</v>
      </c>
      <c r="CQ54" s="255">
        <v>0</v>
      </c>
    </row>
    <row r="55" spans="1:97">
      <c r="A55" s="272"/>
      <c r="B55" s="229" t="s">
        <v>65</v>
      </c>
      <c r="C55" s="262"/>
      <c r="D55" s="257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1"/>
      <c r="S55" s="323">
        <v>0</v>
      </c>
      <c r="T55" s="323">
        <v>0</v>
      </c>
      <c r="U55" s="323">
        <v>0</v>
      </c>
      <c r="V55" s="324">
        <v>0</v>
      </c>
      <c r="W55" s="25"/>
      <c r="X55" s="325">
        <v>0</v>
      </c>
      <c r="Y55" s="326">
        <v>0</v>
      </c>
      <c r="Z55" s="327">
        <v>0</v>
      </c>
      <c r="AA55" s="247">
        <v>0</v>
      </c>
      <c r="AB55" s="326">
        <v>0</v>
      </c>
      <c r="AC55" s="326">
        <v>0</v>
      </c>
      <c r="AD55" s="326">
        <v>0</v>
      </c>
      <c r="AE55" s="328">
        <v>0</v>
      </c>
      <c r="AF55" s="328">
        <v>0</v>
      </c>
      <c r="AG55" s="328">
        <v>0</v>
      </c>
      <c r="AH55" s="328">
        <v>0</v>
      </c>
      <c r="AI55" s="328">
        <v>0</v>
      </c>
      <c r="AJ55" s="212">
        <v>0</v>
      </c>
      <c r="AK55" s="212">
        <v>0</v>
      </c>
      <c r="AL55" s="212">
        <v>0</v>
      </c>
      <c r="AM55" s="212">
        <v>0</v>
      </c>
      <c r="AN55" s="212">
        <v>0</v>
      </c>
      <c r="AO55" s="212">
        <v>0</v>
      </c>
      <c r="AP55" s="212">
        <v>0</v>
      </c>
      <c r="AQ55" s="212"/>
      <c r="AR55" s="212">
        <v>0</v>
      </c>
      <c r="AS55" s="212">
        <v>0</v>
      </c>
      <c r="AT55" s="250">
        <v>0</v>
      </c>
      <c r="AU55" s="250">
        <v>0</v>
      </c>
      <c r="AV55" s="322">
        <v>0</v>
      </c>
      <c r="AW55" s="25">
        <v>0</v>
      </c>
      <c r="AX55" s="250">
        <v>0</v>
      </c>
      <c r="AY55" s="250">
        <v>0</v>
      </c>
      <c r="AZ55" s="250">
        <v>0</v>
      </c>
      <c r="BA55" s="250">
        <v>0</v>
      </c>
      <c r="BB55" s="329">
        <v>0</v>
      </c>
      <c r="BC55" s="330">
        <v>0</v>
      </c>
      <c r="BD55" s="330">
        <v>0</v>
      </c>
      <c r="BE55" s="328">
        <v>0</v>
      </c>
      <c r="BF55" s="328">
        <v>0</v>
      </c>
      <c r="BG55" s="328">
        <v>0</v>
      </c>
      <c r="BH55" s="328">
        <v>0</v>
      </c>
      <c r="BI55" s="328">
        <v>0</v>
      </c>
      <c r="BJ55" s="328">
        <v>0</v>
      </c>
      <c r="BK55" s="328">
        <v>0</v>
      </c>
      <c r="BL55" s="328">
        <v>0</v>
      </c>
      <c r="BM55" s="328">
        <v>0</v>
      </c>
      <c r="BN55" s="328">
        <v>0</v>
      </c>
      <c r="BO55" s="328">
        <v>0</v>
      </c>
      <c r="BP55" s="328">
        <v>0</v>
      </c>
      <c r="BQ55" s="212"/>
      <c r="BR55" s="328">
        <v>0</v>
      </c>
      <c r="BS55" s="328">
        <v>0</v>
      </c>
      <c r="BT55" s="328">
        <v>0</v>
      </c>
      <c r="BU55" s="328">
        <v>0</v>
      </c>
      <c r="BV55" s="328">
        <v>0</v>
      </c>
      <c r="BW55" s="328">
        <v>0</v>
      </c>
      <c r="BX55" s="328"/>
      <c r="BY55" s="328">
        <v>0</v>
      </c>
      <c r="BZ55" s="328">
        <v>0</v>
      </c>
      <c r="CA55" s="328">
        <v>0</v>
      </c>
      <c r="CB55" s="328">
        <v>0</v>
      </c>
      <c r="CC55" s="328">
        <v>0</v>
      </c>
      <c r="CD55" s="328">
        <v>0</v>
      </c>
      <c r="CE55" s="283"/>
      <c r="CF55" s="254">
        <v>0</v>
      </c>
      <c r="CG55" s="254">
        <v>0</v>
      </c>
      <c r="CH55" s="254">
        <v>0</v>
      </c>
      <c r="CI55" s="254">
        <v>0</v>
      </c>
      <c r="CJ55" s="254">
        <v>0</v>
      </c>
      <c r="CK55" s="254">
        <v>0</v>
      </c>
      <c r="CL55" s="254">
        <v>0</v>
      </c>
      <c r="CM55" s="254">
        <v>0</v>
      </c>
      <c r="CN55" s="255">
        <v>0</v>
      </c>
      <c r="CO55" s="255">
        <v>0</v>
      </c>
      <c r="CP55" s="255">
        <v>0</v>
      </c>
      <c r="CQ55" s="255">
        <v>3883058.22</v>
      </c>
    </row>
    <row r="56" spans="1:97">
      <c r="A56" s="272"/>
      <c r="B56" s="227" t="s">
        <v>66</v>
      </c>
      <c r="C56" s="268">
        <f>C45+C46+C48+C49+C51+C52+C53+C54+C55</f>
        <v>12431333.289999999</v>
      </c>
      <c r="D56" s="268">
        <f t="shared" ref="D56:AN56" si="67">D45+D46+D47+D50</f>
        <v>70214495.189999998</v>
      </c>
      <c r="E56" s="232">
        <f t="shared" si="67"/>
        <v>84979038</v>
      </c>
      <c r="F56" s="232">
        <f t="shared" si="67"/>
        <v>55863956.979999997</v>
      </c>
      <c r="G56" s="232">
        <f t="shared" si="67"/>
        <v>55715309.25</v>
      </c>
      <c r="H56" s="232">
        <f t="shared" si="67"/>
        <v>55361663.339999996</v>
      </c>
      <c r="I56" s="232">
        <f t="shared" si="67"/>
        <v>82339787.859999999</v>
      </c>
      <c r="J56" s="232">
        <f t="shared" si="67"/>
        <v>59666643.259999998</v>
      </c>
      <c r="K56" s="232">
        <f t="shared" si="67"/>
        <v>93880087</v>
      </c>
      <c r="L56" s="232">
        <f t="shared" si="67"/>
        <v>94999140.25</v>
      </c>
      <c r="M56" s="232">
        <f t="shared" si="67"/>
        <v>95201103.5</v>
      </c>
      <c r="N56" s="232">
        <f t="shared" si="67"/>
        <v>100660206.41</v>
      </c>
      <c r="O56" s="232">
        <f t="shared" si="67"/>
        <v>100350768.67</v>
      </c>
      <c r="P56" s="232">
        <f t="shared" si="67"/>
        <v>104959739.41</v>
      </c>
      <c r="Q56" s="232">
        <f t="shared" si="67"/>
        <v>105252038.70999999</v>
      </c>
      <c r="R56" s="233">
        <f t="shared" si="67"/>
        <v>95494661.574806839</v>
      </c>
      <c r="S56" s="234">
        <f t="shared" si="67"/>
        <v>100053256.47</v>
      </c>
      <c r="T56" s="234">
        <f t="shared" si="67"/>
        <v>112279842.11</v>
      </c>
      <c r="U56" s="234">
        <f t="shared" si="67"/>
        <v>112584639.81</v>
      </c>
      <c r="V56" s="234">
        <f t="shared" si="67"/>
        <v>104974451.21000001</v>
      </c>
      <c r="W56" s="234">
        <f t="shared" si="67"/>
        <v>161730334.62</v>
      </c>
      <c r="X56" s="234">
        <f t="shared" si="67"/>
        <v>159213835.02000001</v>
      </c>
      <c r="Y56" s="234">
        <f t="shared" si="67"/>
        <v>163300171.02000001</v>
      </c>
      <c r="Z56" s="234">
        <f t="shared" si="67"/>
        <v>167814783.31999999</v>
      </c>
      <c r="AA56" s="234">
        <f t="shared" si="67"/>
        <v>170812546.72</v>
      </c>
      <c r="AB56" s="234">
        <f t="shared" si="67"/>
        <v>168961625.02000001</v>
      </c>
      <c r="AC56" s="234">
        <f t="shared" si="67"/>
        <v>167757610.98000002</v>
      </c>
      <c r="AD56" s="234">
        <f t="shared" si="67"/>
        <v>166971538.22</v>
      </c>
      <c r="AE56" s="234">
        <f t="shared" si="67"/>
        <v>165000481.72</v>
      </c>
      <c r="AF56" s="234">
        <f t="shared" si="67"/>
        <v>166777225.52000001</v>
      </c>
      <c r="AG56" s="234">
        <f t="shared" si="67"/>
        <v>167484539.22</v>
      </c>
      <c r="AH56" s="234">
        <f t="shared" si="67"/>
        <v>163743714.63999999</v>
      </c>
      <c r="AI56" s="234">
        <f t="shared" si="67"/>
        <v>164612692.54000002</v>
      </c>
      <c r="AJ56" s="234">
        <f t="shared" si="67"/>
        <v>167239564.34</v>
      </c>
      <c r="AK56" s="234">
        <f t="shared" si="67"/>
        <v>166187404.50999999</v>
      </c>
      <c r="AL56" s="235">
        <f t="shared" si="67"/>
        <v>168431066.81</v>
      </c>
      <c r="AM56" s="235">
        <f t="shared" si="67"/>
        <v>168449619.81</v>
      </c>
      <c r="AN56" s="235">
        <f t="shared" si="67"/>
        <v>171704215.91</v>
      </c>
      <c r="AO56" s="235">
        <f t="shared" ref="AO56:BA56" si="68">AO45+AO46+AO47+AO50</f>
        <v>149690016.62</v>
      </c>
      <c r="AP56" s="235">
        <f t="shared" si="68"/>
        <v>154944801.12</v>
      </c>
      <c r="AQ56" s="235">
        <f t="shared" si="68"/>
        <v>153458834</v>
      </c>
      <c r="AR56" s="235">
        <f t="shared" si="68"/>
        <v>152448708.72</v>
      </c>
      <c r="AS56" s="236">
        <f t="shared" si="68"/>
        <v>151893293.62</v>
      </c>
      <c r="AT56" s="235">
        <f t="shared" si="68"/>
        <v>156350129.62</v>
      </c>
      <c r="AU56" s="235">
        <f t="shared" si="68"/>
        <v>160257125.62</v>
      </c>
      <c r="AV56" s="235">
        <f t="shared" si="68"/>
        <v>166757477.91000003</v>
      </c>
      <c r="AW56" s="235">
        <f t="shared" si="68"/>
        <v>156997052.06</v>
      </c>
      <c r="AX56" s="235">
        <f t="shared" si="68"/>
        <v>160479675.16</v>
      </c>
      <c r="AY56" s="235">
        <f t="shared" si="68"/>
        <v>160081132.46000001</v>
      </c>
      <c r="AZ56" s="235">
        <f t="shared" si="68"/>
        <v>168420870.25999999</v>
      </c>
      <c r="BA56" s="235">
        <f t="shared" si="68"/>
        <v>168420870.25999999</v>
      </c>
      <c r="BB56" s="235">
        <f>BB45+BB46+BB47+BB50</f>
        <v>175449511.04999998</v>
      </c>
      <c r="BC56" s="235">
        <f t="shared" ref="BC56:CD56" si="69">BC45+BC46+BC47+BC50</f>
        <v>169064057.96000001</v>
      </c>
      <c r="BD56" s="235">
        <f t="shared" si="69"/>
        <v>176931113.30000001</v>
      </c>
      <c r="BE56" s="235">
        <f t="shared" si="69"/>
        <v>175811635.54999998</v>
      </c>
      <c r="BF56" s="235">
        <f t="shared" si="69"/>
        <v>190853999.04999998</v>
      </c>
      <c r="BG56" s="235">
        <f t="shared" si="69"/>
        <v>178564876.25</v>
      </c>
      <c r="BH56" s="235">
        <f t="shared" si="69"/>
        <v>177358402.25</v>
      </c>
      <c r="BI56" s="235">
        <f t="shared" si="69"/>
        <v>178157058.03</v>
      </c>
      <c r="BJ56" s="235">
        <f t="shared" si="69"/>
        <v>179070566.41999999</v>
      </c>
      <c r="BK56" s="235">
        <f t="shared" si="69"/>
        <v>175954936.61000001</v>
      </c>
      <c r="BL56" s="235">
        <f t="shared" si="69"/>
        <v>179612272.51000002</v>
      </c>
      <c r="BM56" s="235">
        <f t="shared" si="69"/>
        <v>190224333.21000001</v>
      </c>
      <c r="BN56" s="235">
        <f t="shared" si="69"/>
        <v>187717472.60999998</v>
      </c>
      <c r="BO56" s="235">
        <f t="shared" si="69"/>
        <v>189412378.96000001</v>
      </c>
      <c r="BP56" s="235">
        <f t="shared" si="69"/>
        <v>189145384.11000001</v>
      </c>
      <c r="BQ56" s="235">
        <f t="shared" si="69"/>
        <v>182967013.64999998</v>
      </c>
      <c r="BR56" s="235">
        <f t="shared" si="69"/>
        <v>188268200.44999999</v>
      </c>
      <c r="BS56" s="235">
        <f t="shared" si="69"/>
        <v>190632233.50999999</v>
      </c>
      <c r="BT56" s="235">
        <f t="shared" si="69"/>
        <v>191116534.81</v>
      </c>
      <c r="BU56" s="235">
        <f t="shared" si="69"/>
        <v>194698925.70999998</v>
      </c>
      <c r="BV56" s="235">
        <f t="shared" si="69"/>
        <v>191351688.54999998</v>
      </c>
      <c r="BW56" s="235">
        <f t="shared" si="69"/>
        <v>192581176.09999999</v>
      </c>
      <c r="BX56" s="235">
        <f t="shared" si="69"/>
        <v>0</v>
      </c>
      <c r="BY56" s="235">
        <f t="shared" si="69"/>
        <v>199292568.66999999</v>
      </c>
      <c r="BZ56" s="235">
        <f t="shared" si="69"/>
        <v>210868209.39999998</v>
      </c>
      <c r="CA56" s="235">
        <f t="shared" si="69"/>
        <v>208590578.66</v>
      </c>
      <c r="CB56" s="235">
        <f t="shared" si="69"/>
        <v>211905905.13999999</v>
      </c>
      <c r="CC56" s="235">
        <f t="shared" si="69"/>
        <v>196339966.84</v>
      </c>
      <c r="CD56" s="235">
        <f t="shared" si="69"/>
        <v>194155601.60000002</v>
      </c>
      <c r="CE56" s="235">
        <f t="shared" ref="CE56:CM56" si="70">CE45+CE46+CE47+CE50</f>
        <v>218910441</v>
      </c>
      <c r="CF56" s="237">
        <f t="shared" si="70"/>
        <v>222168212.28</v>
      </c>
      <c r="CG56" s="237">
        <f t="shared" si="70"/>
        <v>228945095.88000003</v>
      </c>
      <c r="CH56" s="237">
        <f t="shared" si="70"/>
        <v>229516598.65000001</v>
      </c>
      <c r="CI56" s="237">
        <f t="shared" si="70"/>
        <v>227762744.56</v>
      </c>
      <c r="CJ56" s="237">
        <f t="shared" si="70"/>
        <v>229091269.96000001</v>
      </c>
      <c r="CK56" s="237">
        <f t="shared" si="70"/>
        <v>232256741.28999999</v>
      </c>
      <c r="CL56" s="237">
        <f t="shared" si="70"/>
        <v>235499794.06</v>
      </c>
      <c r="CM56" s="237">
        <f t="shared" si="70"/>
        <v>241169534.77000001</v>
      </c>
      <c r="CN56" s="237">
        <f t="shared" ref="CN56:CR56" si="71">CN45+CN46+CN47+CN50</f>
        <v>241621162.44</v>
      </c>
      <c r="CO56" s="237">
        <f t="shared" si="71"/>
        <v>254306054.53999999</v>
      </c>
      <c r="CP56" s="237">
        <f t="shared" si="71"/>
        <v>266300218.81</v>
      </c>
      <c r="CQ56" s="237">
        <f t="shared" si="71"/>
        <v>245239386</v>
      </c>
      <c r="CR56" s="237">
        <f t="shared" si="71"/>
        <v>0</v>
      </c>
      <c r="CS56" s="235">
        <f t="shared" ref="CN56:CS56" si="72">CS45+CS46+CS47+CS50</f>
        <v>0</v>
      </c>
    </row>
    <row r="57" spans="1:97">
      <c r="A57" s="272"/>
      <c r="B57" s="227" t="s">
        <v>67</v>
      </c>
      <c r="C57" s="271">
        <f t="shared" ref="C57:BA57" si="73">C44+C56</f>
        <v>408359318.56</v>
      </c>
      <c r="D57" s="271">
        <f t="shared" si="73"/>
        <v>532200947.49000001</v>
      </c>
      <c r="E57" s="232">
        <f t="shared" si="73"/>
        <v>601249270</v>
      </c>
      <c r="F57" s="232">
        <f t="shared" si="73"/>
        <v>541929775.64999998</v>
      </c>
      <c r="G57" s="232">
        <f t="shared" si="73"/>
        <v>537944944.52999997</v>
      </c>
      <c r="H57" s="232">
        <f t="shared" si="73"/>
        <v>541376972.76999998</v>
      </c>
      <c r="I57" s="232">
        <f t="shared" si="73"/>
        <v>579120347.88</v>
      </c>
      <c r="J57" s="232">
        <f t="shared" si="73"/>
        <v>556447203.28000009</v>
      </c>
      <c r="K57" s="232">
        <f t="shared" si="73"/>
        <v>594359783.92000008</v>
      </c>
      <c r="L57" s="232">
        <f t="shared" si="73"/>
        <v>601214321.07000005</v>
      </c>
      <c r="M57" s="232">
        <f t="shared" si="73"/>
        <v>601833461.87</v>
      </c>
      <c r="N57" s="232">
        <f t="shared" si="73"/>
        <v>701324237.75</v>
      </c>
      <c r="O57" s="232">
        <f t="shared" si="73"/>
        <v>706010707.79999995</v>
      </c>
      <c r="P57" s="232">
        <f t="shared" si="73"/>
        <v>707683337.46999991</v>
      </c>
      <c r="Q57" s="232">
        <f t="shared" si="73"/>
        <v>713318287.15999997</v>
      </c>
      <c r="R57" s="233">
        <f t="shared" si="73"/>
        <v>735114995.73870683</v>
      </c>
      <c r="S57" s="234">
        <f t="shared" si="73"/>
        <v>705218650.00999999</v>
      </c>
      <c r="T57" s="234">
        <f t="shared" si="73"/>
        <v>718130764.41999996</v>
      </c>
      <c r="U57" s="234">
        <f t="shared" si="73"/>
        <v>717546477.77999997</v>
      </c>
      <c r="V57" s="234">
        <f t="shared" si="73"/>
        <v>725239140.94000006</v>
      </c>
      <c r="W57" s="234">
        <f t="shared" si="73"/>
        <v>828264379.80000007</v>
      </c>
      <c r="X57" s="234">
        <f t="shared" si="73"/>
        <v>804636214.93999994</v>
      </c>
      <c r="Y57" s="234">
        <f t="shared" si="73"/>
        <v>804049489.58999991</v>
      </c>
      <c r="Z57" s="234">
        <f t="shared" si="73"/>
        <v>803585708.21000004</v>
      </c>
      <c r="AA57" s="234">
        <f t="shared" si="73"/>
        <v>800298953.06000006</v>
      </c>
      <c r="AB57" s="234">
        <f t="shared" si="73"/>
        <v>799814571.23000002</v>
      </c>
      <c r="AC57" s="234">
        <f t="shared" si="73"/>
        <v>795281963.54000008</v>
      </c>
      <c r="AD57" s="234">
        <f t="shared" si="73"/>
        <v>807089838.54999995</v>
      </c>
      <c r="AE57" s="234">
        <f t="shared" si="73"/>
        <v>789311808.08000004</v>
      </c>
      <c r="AF57" s="234">
        <f t="shared" si="73"/>
        <v>808853916.71000004</v>
      </c>
      <c r="AG57" s="234">
        <f t="shared" si="73"/>
        <v>812710727.19000006</v>
      </c>
      <c r="AH57" s="234">
        <f t="shared" si="73"/>
        <v>806241341.87</v>
      </c>
      <c r="AI57" s="234">
        <f t="shared" si="73"/>
        <v>847270339.27999997</v>
      </c>
      <c r="AJ57" s="234">
        <f t="shared" si="73"/>
        <v>853225787.09000003</v>
      </c>
      <c r="AK57" s="234">
        <f t="shared" si="73"/>
        <v>848262162.45999992</v>
      </c>
      <c r="AL57" s="235">
        <f t="shared" si="73"/>
        <v>851485497.21000004</v>
      </c>
      <c r="AM57" s="235">
        <f t="shared" si="73"/>
        <v>844561346.14999986</v>
      </c>
      <c r="AN57" s="235">
        <f t="shared" si="73"/>
        <v>862506887.88</v>
      </c>
      <c r="AO57" s="235">
        <f t="shared" si="73"/>
        <v>853819106.7700001</v>
      </c>
      <c r="AP57" s="235">
        <f t="shared" si="73"/>
        <v>875609342.46000004</v>
      </c>
      <c r="AQ57" s="235">
        <f t="shared" si="73"/>
        <v>906802312</v>
      </c>
      <c r="AR57" s="235">
        <f t="shared" si="73"/>
        <v>867156452.94000006</v>
      </c>
      <c r="AS57" s="236">
        <f t="shared" si="73"/>
        <v>871003274.30999994</v>
      </c>
      <c r="AT57" s="235">
        <f t="shared" si="73"/>
        <v>877844093.14999998</v>
      </c>
      <c r="AU57" s="235">
        <f t="shared" si="73"/>
        <v>883226474.08000004</v>
      </c>
      <c r="AV57" s="235">
        <f t="shared" si="73"/>
        <v>894346927.18000007</v>
      </c>
      <c r="AW57" s="235">
        <f t="shared" si="73"/>
        <v>890662782.62999988</v>
      </c>
      <c r="AX57" s="235">
        <f t="shared" si="73"/>
        <v>922454680.77999997</v>
      </c>
      <c r="AY57" s="235">
        <f t="shared" si="73"/>
        <v>917984001.37000012</v>
      </c>
      <c r="AZ57" s="235">
        <f t="shared" si="73"/>
        <v>912894493.87</v>
      </c>
      <c r="BA57" s="235">
        <f t="shared" si="73"/>
        <v>912894493.87</v>
      </c>
      <c r="BB57" s="235">
        <f t="shared" ref="BB57:CD57" si="74">BB44+BB56</f>
        <v>922865527.88999987</v>
      </c>
      <c r="BC57" s="235">
        <f t="shared" si="74"/>
        <v>998257043.82000005</v>
      </c>
      <c r="BD57" s="235">
        <f t="shared" si="74"/>
        <v>1024315463.95</v>
      </c>
      <c r="BE57" s="235">
        <f t="shared" si="74"/>
        <v>984609600.75</v>
      </c>
      <c r="BF57" s="235">
        <f t="shared" si="74"/>
        <v>990105261.29999995</v>
      </c>
      <c r="BG57" s="235">
        <f t="shared" si="74"/>
        <v>971753863.79000008</v>
      </c>
      <c r="BH57" s="235">
        <f t="shared" si="74"/>
        <v>966963734.95000005</v>
      </c>
      <c r="BI57" s="235">
        <f t="shared" si="74"/>
        <v>979219381.3499999</v>
      </c>
      <c r="BJ57" s="235">
        <f t="shared" si="74"/>
        <v>984655938.73000002</v>
      </c>
      <c r="BK57" s="235">
        <f t="shared" si="74"/>
        <v>982722730.51999998</v>
      </c>
      <c r="BL57" s="235">
        <f t="shared" si="74"/>
        <v>987383935.60000014</v>
      </c>
      <c r="BM57" s="235">
        <f t="shared" si="74"/>
        <v>1004795024.4100001</v>
      </c>
      <c r="BN57" s="235">
        <f t="shared" si="74"/>
        <v>1008669161.0600001</v>
      </c>
      <c r="BO57" s="235">
        <f t="shared" si="74"/>
        <v>1010945081.6400001</v>
      </c>
      <c r="BP57" s="235">
        <f t="shared" si="74"/>
        <v>1086323514.45</v>
      </c>
      <c r="BQ57" s="235">
        <f t="shared" si="74"/>
        <v>1084850012.5500002</v>
      </c>
      <c r="BR57" s="235">
        <f t="shared" si="74"/>
        <v>1046986323.76</v>
      </c>
      <c r="BS57" s="235">
        <f t="shared" si="74"/>
        <v>1056243932.26</v>
      </c>
      <c r="BT57" s="235">
        <f t="shared" si="74"/>
        <v>1050524172.45</v>
      </c>
      <c r="BU57" s="235">
        <f t="shared" si="74"/>
        <v>1072297284.47</v>
      </c>
      <c r="BV57" s="235">
        <f t="shared" si="74"/>
        <v>1116453949.5999999</v>
      </c>
      <c r="BW57" s="235">
        <f t="shared" si="74"/>
        <v>1115154696.8499999</v>
      </c>
      <c r="BX57" s="235">
        <f t="shared" si="74"/>
        <v>0</v>
      </c>
      <c r="BY57" s="235">
        <f t="shared" si="74"/>
        <v>1129869525.3400002</v>
      </c>
      <c r="BZ57" s="235">
        <f t="shared" si="74"/>
        <v>1141489076.0900002</v>
      </c>
      <c r="CA57" s="235">
        <f t="shared" si="74"/>
        <v>1140893480.02</v>
      </c>
      <c r="CB57" s="235">
        <f t="shared" si="74"/>
        <v>1139903593.96</v>
      </c>
      <c r="CC57" s="235">
        <f t="shared" si="74"/>
        <v>1135612112.3299999</v>
      </c>
      <c r="CD57" s="235">
        <f t="shared" si="74"/>
        <v>1175256454.45</v>
      </c>
      <c r="CE57" s="235">
        <f t="shared" ref="CE57:CM57" si="75">CE44+CE56</f>
        <v>1255024238</v>
      </c>
      <c r="CF57" s="237">
        <f t="shared" si="75"/>
        <v>1211302675.52</v>
      </c>
      <c r="CG57" s="237">
        <f t="shared" si="75"/>
        <v>1213753919.73</v>
      </c>
      <c r="CH57" s="237">
        <f t="shared" si="75"/>
        <v>1286343893.6600001</v>
      </c>
      <c r="CI57" s="237">
        <f t="shared" si="75"/>
        <v>1296487079.71</v>
      </c>
      <c r="CJ57" s="237">
        <f t="shared" si="75"/>
        <v>1279747683.1500001</v>
      </c>
      <c r="CK57" s="237">
        <f t="shared" si="75"/>
        <v>1281048373.8800001</v>
      </c>
      <c r="CL57" s="237">
        <f t="shared" si="75"/>
        <v>1284649742.3499999</v>
      </c>
      <c r="CM57" s="237">
        <f t="shared" si="75"/>
        <v>1283526017.1500001</v>
      </c>
      <c r="CN57" s="237">
        <f t="shared" ref="CN57:CR57" si="76">CN44+CN56</f>
        <v>1289077023.3399999</v>
      </c>
      <c r="CO57" s="237">
        <f t="shared" si="76"/>
        <v>1295457116.6499999</v>
      </c>
      <c r="CP57" s="237">
        <f t="shared" si="76"/>
        <v>1321637978.72</v>
      </c>
      <c r="CQ57" s="237">
        <f t="shared" si="76"/>
        <v>1350418007.53</v>
      </c>
      <c r="CR57" s="237">
        <f t="shared" si="76"/>
        <v>0</v>
      </c>
      <c r="CS57" s="235">
        <f t="shared" ref="CN57:CS57" si="77">CS44+CS56</f>
        <v>0</v>
      </c>
    </row>
    <row r="58" spans="1:97">
      <c r="A58" s="331"/>
      <c r="B58" s="215" t="s">
        <v>68</v>
      </c>
      <c r="C58" s="211">
        <f t="shared" ref="C58:Z58" si="78">C57-C32</f>
        <v>-67023936.179999948</v>
      </c>
      <c r="D58" s="211">
        <f t="shared" si="78"/>
        <v>24521942.790000021</v>
      </c>
      <c r="E58" s="211">
        <f t="shared" si="78"/>
        <v>0</v>
      </c>
      <c r="F58" s="211">
        <f t="shared" si="78"/>
        <v>77793254.75</v>
      </c>
      <c r="G58" s="211">
        <f t="shared" si="78"/>
        <v>1.9999980926513672E-2</v>
      </c>
      <c r="H58" s="211">
        <f t="shared" si="78"/>
        <v>0</v>
      </c>
      <c r="I58" s="211">
        <f t="shared" si="78"/>
        <v>0</v>
      </c>
      <c r="J58" s="211">
        <f t="shared" si="78"/>
        <v>234680784.41000009</v>
      </c>
      <c r="K58" s="211">
        <f t="shared" si="78"/>
        <v>0</v>
      </c>
      <c r="L58" s="211">
        <f t="shared" si="78"/>
        <v>1.9999980926513672E-2</v>
      </c>
      <c r="M58" s="211">
        <f t="shared" si="78"/>
        <v>0</v>
      </c>
      <c r="N58" s="211">
        <f t="shared" si="78"/>
        <v>291770846.96999997</v>
      </c>
      <c r="O58" s="211">
        <f t="shared" si="78"/>
        <v>0</v>
      </c>
      <c r="P58" s="211">
        <f t="shared" si="78"/>
        <v>0</v>
      </c>
      <c r="Q58" s="211">
        <f t="shared" si="78"/>
        <v>0</v>
      </c>
      <c r="R58" s="211">
        <f t="shared" si="78"/>
        <v>-0.14999997615814209</v>
      </c>
      <c r="S58" s="225">
        <f t="shared" si="78"/>
        <v>0</v>
      </c>
      <c r="T58" s="225">
        <f t="shared" si="78"/>
        <v>0</v>
      </c>
      <c r="U58" s="225">
        <f t="shared" si="78"/>
        <v>0</v>
      </c>
      <c r="V58" s="225">
        <f t="shared" si="78"/>
        <v>0</v>
      </c>
      <c r="W58" s="225">
        <f t="shared" si="78"/>
        <v>0</v>
      </c>
      <c r="X58" s="225">
        <f t="shared" si="78"/>
        <v>0</v>
      </c>
      <c r="Y58" s="225">
        <f t="shared" si="78"/>
        <v>0</v>
      </c>
      <c r="Z58" s="225">
        <f t="shared" si="78"/>
        <v>0</v>
      </c>
      <c r="AA58" s="267"/>
      <c r="BQ58" s="212"/>
    </row>
    <row r="59" spans="1:97">
      <c r="A59" s="331"/>
      <c r="B59" s="331"/>
      <c r="R59" s="332"/>
      <c r="S59" s="332"/>
      <c r="T59" s="332"/>
      <c r="U59" s="332"/>
      <c r="V59" s="332"/>
      <c r="BD59" s="213">
        <f>BD57-BD32</f>
        <v>0.45000004768371582</v>
      </c>
      <c r="CB59" s="213">
        <f>CB57-CB32</f>
        <v>14606836.329999924</v>
      </c>
    </row>
    <row r="60" spans="1:97">
      <c r="A60" s="331"/>
      <c r="B60" s="215" t="s">
        <v>69</v>
      </c>
    </row>
    <row r="61" spans="1:97">
      <c r="A61" s="331"/>
      <c r="B61" s="331" t="s">
        <v>70</v>
      </c>
    </row>
    <row r="62" spans="1:97">
      <c r="A62" s="331"/>
      <c r="B62" s="331" t="s">
        <v>71</v>
      </c>
      <c r="AK62" s="213">
        <f>AL57-AL32</f>
        <v>0</v>
      </c>
    </row>
    <row r="63" spans="1:97">
      <c r="A63" s="331"/>
      <c r="B63" s="331" t="s">
        <v>72</v>
      </c>
    </row>
    <row r="64" spans="1:97">
      <c r="A64" s="331"/>
      <c r="B64" s="331" t="s">
        <v>71</v>
      </c>
    </row>
    <row r="65" spans="1:2">
      <c r="A65" s="331"/>
      <c r="B65" s="331" t="s">
        <v>73</v>
      </c>
    </row>
    <row r="100" spans="76:77">
      <c r="BX100" s="23" t="s">
        <v>74</v>
      </c>
      <c r="BY100" s="23" t="s">
        <v>75</v>
      </c>
    </row>
  </sheetData>
  <mergeCells count="2">
    <mergeCell ref="A7:A8"/>
    <mergeCell ref="B7:B8"/>
  </mergeCells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52"/>
  <sheetViews>
    <sheetView tabSelected="1" view="pageBreakPreview" zoomScaleNormal="100" zoomScaleSheetLayoutView="100" workbookViewId="0">
      <pane xSplit="2" topLeftCell="CL1" activePane="topRight" state="frozen"/>
      <selection pane="topRight" activeCell="CL10" sqref="CL10"/>
    </sheetView>
  </sheetViews>
  <sheetFormatPr defaultColWidth="9.140625" defaultRowHeight="12.6"/>
  <cols>
    <col min="1" max="1" width="5.42578125" style="66" customWidth="1"/>
    <col min="2" max="2" width="49.140625" style="66" customWidth="1"/>
    <col min="3" max="3" width="15.85546875" style="66" bestFit="1" customWidth="1"/>
    <col min="4" max="4" width="14.5703125" style="66" bestFit="1" customWidth="1"/>
    <col min="5" max="5" width="15.85546875" style="66" customWidth="1"/>
    <col min="6" max="6" width="0.28515625" style="66" hidden="1" customWidth="1"/>
    <col min="7" max="8" width="16" style="66" hidden="1" customWidth="1"/>
    <col min="9" max="17" width="16.85546875" style="66" hidden="1" customWidth="1"/>
    <col min="18" max="18" width="16" style="66" bestFit="1" customWidth="1"/>
    <col min="19" max="19" width="15.5703125" style="66" hidden="1" customWidth="1"/>
    <col min="20" max="24" width="16" style="66" hidden="1" customWidth="1"/>
    <col min="25" max="25" width="16.42578125" style="66" hidden="1" customWidth="1"/>
    <col min="26" max="30" width="16" style="66" hidden="1" customWidth="1"/>
    <col min="31" max="31" width="14.7109375" style="66" hidden="1" customWidth="1"/>
    <col min="32" max="35" width="16" style="66" hidden="1" customWidth="1"/>
    <col min="36" max="39" width="17.28515625" style="101" hidden="1" customWidth="1"/>
    <col min="40" max="40" width="17.42578125" style="101" hidden="1" customWidth="1"/>
    <col min="41" max="42" width="15.42578125" style="66" hidden="1" customWidth="1"/>
    <col min="43" max="43" width="15.5703125" style="66" bestFit="1" customWidth="1"/>
    <col min="44" max="44" width="14.85546875" style="66" bestFit="1" customWidth="1"/>
    <col min="45" max="48" width="15.42578125" style="66" bestFit="1" customWidth="1"/>
    <col min="49" max="49" width="16.7109375" style="66" customWidth="1"/>
    <col min="50" max="52" width="14.85546875" style="66" bestFit="1" customWidth="1"/>
    <col min="53" max="53" width="0.28515625" style="66" customWidth="1"/>
    <col min="54" max="55" width="16.42578125" style="66" hidden="1" customWidth="1"/>
    <col min="56" max="56" width="16.28515625" style="66" customWidth="1"/>
    <col min="57" max="57" width="0.42578125" style="66" hidden="1" customWidth="1"/>
    <col min="58" max="65" width="15.140625" style="66" hidden="1" customWidth="1"/>
    <col min="66" max="68" width="16.28515625" style="66" hidden="1" customWidth="1"/>
    <col min="69" max="69" width="16.28515625" style="66" bestFit="1" customWidth="1"/>
    <col min="70" max="75" width="15.140625" style="66" bestFit="1" customWidth="1"/>
    <col min="76" max="76" width="9.140625" style="66"/>
    <col min="77" max="77" width="15.140625" style="66" bestFit="1" customWidth="1"/>
    <col min="78" max="81" width="16.28515625" style="66" bestFit="1" customWidth="1"/>
    <col min="82" max="82" width="16.42578125" style="101" bestFit="1" customWidth="1"/>
    <col min="83" max="83" width="16.42578125" style="66" bestFit="1" customWidth="1"/>
    <col min="84" max="90" width="15.28515625" style="66" bestFit="1" customWidth="1"/>
    <col min="91" max="91" width="11.85546875" style="66" bestFit="1" customWidth="1"/>
    <col min="92" max="95" width="13.140625" style="66" bestFit="1" customWidth="1"/>
    <col min="96" max="96" width="15.28515625" style="66" customWidth="1"/>
    <col min="97" max="16384" width="9.140625" style="66"/>
  </cols>
  <sheetData>
    <row r="1" spans="1:96">
      <c r="A1" s="55" t="s">
        <v>76</v>
      </c>
      <c r="B1" s="55"/>
    </row>
    <row r="2" spans="1:96">
      <c r="A2" s="107" t="s">
        <v>77</v>
      </c>
      <c r="B2" s="107"/>
    </row>
    <row r="3" spans="1:96">
      <c r="A3" s="50" t="s">
        <v>78</v>
      </c>
      <c r="B3" s="51"/>
      <c r="O3" s="66">
        <f>(R10-E10)/E10</f>
        <v>0.22539948464344778</v>
      </c>
    </row>
    <row r="4" spans="1:96">
      <c r="A4" s="50" t="s">
        <v>3</v>
      </c>
      <c r="B4" s="51"/>
      <c r="AZ4" s="66">
        <f>31928/3</f>
        <v>10642.666666666666</v>
      </c>
    </row>
    <row r="5" spans="1:96">
      <c r="A5" s="50" t="s">
        <v>4</v>
      </c>
      <c r="B5" s="51"/>
    </row>
    <row r="6" spans="1:96">
      <c r="A6" s="50" t="s">
        <v>5</v>
      </c>
      <c r="B6" s="51"/>
    </row>
    <row r="7" spans="1:96">
      <c r="A7" s="108"/>
      <c r="B7" s="108"/>
    </row>
    <row r="8" spans="1:96" s="68" customFormat="1">
      <c r="A8" s="109" t="s">
        <v>79</v>
      </c>
      <c r="B8" s="110"/>
      <c r="C8" s="52" t="s">
        <v>6</v>
      </c>
      <c r="D8" s="67" t="s">
        <v>80</v>
      </c>
      <c r="E8" s="86" t="s">
        <v>8</v>
      </c>
      <c r="F8" s="99">
        <v>42005</v>
      </c>
      <c r="G8" s="99">
        <v>42036</v>
      </c>
      <c r="H8" s="99">
        <v>42064</v>
      </c>
      <c r="I8" s="99">
        <v>42095</v>
      </c>
      <c r="J8" s="99">
        <v>42125</v>
      </c>
      <c r="K8" s="99">
        <v>42156</v>
      </c>
      <c r="L8" s="99">
        <v>42186</v>
      </c>
      <c r="M8" s="99">
        <v>42217</v>
      </c>
      <c r="N8" s="99">
        <v>42248</v>
      </c>
      <c r="O8" s="99">
        <v>42278</v>
      </c>
      <c r="P8" s="99">
        <v>42309</v>
      </c>
      <c r="Q8" s="86">
        <v>42339</v>
      </c>
      <c r="R8" s="86" t="s">
        <v>81</v>
      </c>
      <c r="S8" s="86">
        <v>42385</v>
      </c>
      <c r="T8" s="86">
        <v>42416</v>
      </c>
      <c r="U8" s="86">
        <v>42445</v>
      </c>
      <c r="V8" s="86">
        <v>42476</v>
      </c>
      <c r="W8" s="86">
        <v>42506</v>
      </c>
      <c r="X8" s="86">
        <v>42537</v>
      </c>
      <c r="Y8" s="86">
        <v>42567</v>
      </c>
      <c r="Z8" s="86">
        <v>42598</v>
      </c>
      <c r="AA8" s="86">
        <v>42629</v>
      </c>
      <c r="AB8" s="86">
        <v>42659</v>
      </c>
      <c r="AC8" s="86">
        <v>42690</v>
      </c>
      <c r="AD8" s="86">
        <v>42720</v>
      </c>
      <c r="AE8" s="99">
        <v>42736</v>
      </c>
      <c r="AF8" s="99">
        <v>42767</v>
      </c>
      <c r="AG8" s="99">
        <v>42795</v>
      </c>
      <c r="AH8" s="99">
        <v>42826</v>
      </c>
      <c r="AI8" s="99">
        <v>42856</v>
      </c>
      <c r="AJ8" s="99">
        <v>42887</v>
      </c>
      <c r="AK8" s="99">
        <v>42917</v>
      </c>
      <c r="AL8" s="99">
        <v>42948</v>
      </c>
      <c r="AM8" s="99">
        <v>42979</v>
      </c>
      <c r="AN8" s="99">
        <v>43009</v>
      </c>
      <c r="AO8" s="99">
        <v>43040</v>
      </c>
      <c r="AP8" s="99">
        <v>43070</v>
      </c>
      <c r="AQ8" s="68" t="s">
        <v>10</v>
      </c>
      <c r="AR8" s="99">
        <v>43101</v>
      </c>
      <c r="AS8" s="99">
        <v>43132</v>
      </c>
      <c r="AT8" s="99">
        <v>43160</v>
      </c>
      <c r="AU8" s="99">
        <v>43191</v>
      </c>
      <c r="AV8" s="99">
        <v>43221</v>
      </c>
      <c r="AW8" s="99">
        <v>43252</v>
      </c>
      <c r="AX8" s="99">
        <v>43282</v>
      </c>
      <c r="AY8" s="99">
        <v>43313</v>
      </c>
      <c r="AZ8" s="99">
        <v>43344</v>
      </c>
      <c r="BA8" s="99">
        <v>43374</v>
      </c>
      <c r="BB8" s="99">
        <v>43405</v>
      </c>
      <c r="BC8" s="99">
        <v>43435</v>
      </c>
      <c r="BD8" s="135" t="s">
        <v>11</v>
      </c>
      <c r="BE8" s="99">
        <v>43466</v>
      </c>
      <c r="BF8" s="99">
        <v>43497</v>
      </c>
      <c r="BG8" s="99">
        <v>43525</v>
      </c>
      <c r="BH8" s="99">
        <v>43556</v>
      </c>
      <c r="BI8" s="99">
        <v>43586</v>
      </c>
      <c r="BJ8" s="99">
        <v>43617</v>
      </c>
      <c r="BK8" s="99">
        <v>43647</v>
      </c>
      <c r="BL8" s="99">
        <v>43678</v>
      </c>
      <c r="BM8" s="99">
        <v>43709</v>
      </c>
      <c r="BN8" s="99">
        <v>43739</v>
      </c>
      <c r="BO8" s="99">
        <v>43770</v>
      </c>
      <c r="BP8" s="99">
        <v>43800</v>
      </c>
      <c r="BQ8" s="68" t="s">
        <v>82</v>
      </c>
      <c r="BR8" s="99">
        <v>43831</v>
      </c>
      <c r="BS8" s="99">
        <v>43862</v>
      </c>
      <c r="BT8" s="99">
        <v>43891</v>
      </c>
      <c r="BU8" s="99">
        <v>43922</v>
      </c>
      <c r="BV8" s="99">
        <v>43952</v>
      </c>
      <c r="BW8" s="99">
        <v>43983</v>
      </c>
      <c r="BX8" s="99">
        <v>44013</v>
      </c>
      <c r="BY8" s="99">
        <v>44044</v>
      </c>
      <c r="BZ8" s="99">
        <v>44075</v>
      </c>
      <c r="CA8" s="99">
        <v>44105</v>
      </c>
      <c r="CB8" s="99">
        <v>44136</v>
      </c>
      <c r="CC8" s="99">
        <v>44166</v>
      </c>
      <c r="CD8" s="190" t="s">
        <v>13</v>
      </c>
      <c r="CE8" s="190" t="s">
        <v>14</v>
      </c>
      <c r="CF8" s="99">
        <v>44562</v>
      </c>
      <c r="CG8" s="99">
        <v>44593</v>
      </c>
      <c r="CH8" s="99">
        <v>44621</v>
      </c>
      <c r="CI8" s="99">
        <v>44652</v>
      </c>
      <c r="CJ8" s="99">
        <v>44682</v>
      </c>
      <c r="CK8" s="99">
        <v>44713</v>
      </c>
      <c r="CL8" s="99">
        <v>44743</v>
      </c>
      <c r="CM8" s="99">
        <v>44774</v>
      </c>
      <c r="CN8" s="99">
        <v>44805</v>
      </c>
      <c r="CO8" s="99">
        <v>44835</v>
      </c>
      <c r="CP8" s="99">
        <v>44866</v>
      </c>
      <c r="CQ8" s="99">
        <v>44896</v>
      </c>
      <c r="CR8" s="99" t="s">
        <v>15</v>
      </c>
    </row>
    <row r="9" spans="1:96">
      <c r="A9" s="111"/>
      <c r="B9" s="112"/>
      <c r="C9" s="69"/>
      <c r="D9" s="69"/>
      <c r="E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CE9" s="101"/>
    </row>
    <row r="10" spans="1:96">
      <c r="A10" s="53">
        <v>1</v>
      </c>
      <c r="B10" s="83" t="s">
        <v>83</v>
      </c>
      <c r="C10" s="345">
        <f t="shared" ref="C10:E10" si="0">C11+C14</f>
        <v>45324711.310000002</v>
      </c>
      <c r="D10" s="345">
        <f t="shared" si="0"/>
        <v>45274898.519999996</v>
      </c>
      <c r="E10" s="333">
        <f t="shared" si="0"/>
        <v>67694492</v>
      </c>
      <c r="F10" s="333">
        <f t="shared" ref="F10" si="1">F11+F14</f>
        <v>6107686.7800000003</v>
      </c>
      <c r="G10" s="333">
        <f t="shared" ref="G10" si="2">G11+G14</f>
        <v>10515264.210000001</v>
      </c>
      <c r="H10" s="333">
        <f t="shared" ref="H10" si="3">H11+H14</f>
        <v>14520009.91</v>
      </c>
      <c r="I10" s="333">
        <f t="shared" ref="I10" si="4">I11+I14</f>
        <v>19445842.829999998</v>
      </c>
      <c r="J10" s="333">
        <f t="shared" ref="J10" si="5">J11+J14</f>
        <v>28051244.920000002</v>
      </c>
      <c r="K10" s="333">
        <f t="shared" ref="K10" si="6">K11+K14</f>
        <v>33770912.700000003</v>
      </c>
      <c r="L10" s="333">
        <f t="shared" ref="L10" si="7">L11+L14</f>
        <v>38728730.969999999</v>
      </c>
      <c r="M10" s="333">
        <f t="shared" ref="M10" si="8">M11+M14</f>
        <v>42479349.420000002</v>
      </c>
      <c r="N10" s="333">
        <f t="shared" ref="N10" si="9">N11+N14</f>
        <v>53899682.620000005</v>
      </c>
      <c r="O10" s="333">
        <f t="shared" ref="O10" si="10">O11+O14</f>
        <v>58821648.030000001</v>
      </c>
      <c r="P10" s="333">
        <f t="shared" ref="P10" si="11">P11+P14</f>
        <v>67737193.950000003</v>
      </c>
      <c r="Q10" s="333">
        <f t="shared" ref="Q10" si="12">Q11+Q14</f>
        <v>79548980.609999999</v>
      </c>
      <c r="R10" s="333">
        <f t="shared" ref="R10" si="13">R11+R14</f>
        <v>82952795.609999999</v>
      </c>
      <c r="S10" s="333">
        <f t="shared" ref="S10" si="14">S11+S14</f>
        <v>7320326.5</v>
      </c>
      <c r="T10" s="333">
        <f t="shared" ref="T10" si="15">T11+T14</f>
        <v>10942314.57</v>
      </c>
      <c r="U10" s="333">
        <f t="shared" ref="U10" si="16">U11+U14</f>
        <v>22186955.099999998</v>
      </c>
      <c r="V10" s="333">
        <f t="shared" ref="V10" si="17">V11+V14</f>
        <v>31065601.710000001</v>
      </c>
      <c r="W10" s="333">
        <f t="shared" ref="W10" si="18">W11+W14</f>
        <v>38667927.93</v>
      </c>
      <c r="X10" s="333">
        <f t="shared" ref="X10" si="19">X11+X14</f>
        <v>42565799.260000005</v>
      </c>
      <c r="Y10" s="333">
        <f t="shared" ref="Y10" si="20">Y11+Y14</f>
        <v>51020124.939999998</v>
      </c>
      <c r="Z10" s="333">
        <f t="shared" ref="Z10" si="21">Z11+Z14</f>
        <v>53454536.260000005</v>
      </c>
      <c r="AA10" s="333">
        <f t="shared" ref="AA10" si="22">AA11+AA14</f>
        <v>61054406.689999998</v>
      </c>
      <c r="AB10" s="333">
        <f t="shared" ref="AB10" si="23">AB11+AB14</f>
        <v>66906799.110000007</v>
      </c>
      <c r="AC10" s="333">
        <f t="shared" ref="AC10" si="24">AC11+AC14</f>
        <v>71024298.199999988</v>
      </c>
      <c r="AD10" s="333">
        <f t="shared" ref="AD10" si="25">AD11+AD14</f>
        <v>80891038.640000001</v>
      </c>
      <c r="AE10" s="333">
        <f t="shared" ref="AE10" si="26">AE11+AE14</f>
        <v>9796255.7199999988</v>
      </c>
      <c r="AF10" s="333">
        <f t="shared" ref="AF10" si="27">AF11+AF14</f>
        <v>12957873.299999999</v>
      </c>
      <c r="AG10" s="333">
        <f t="shared" ref="AG10" si="28">AG11+AG14</f>
        <v>19966172.75</v>
      </c>
      <c r="AH10" s="333">
        <f t="shared" ref="AH10" si="29">AH11+AH14</f>
        <v>27890349.400000002</v>
      </c>
      <c r="AI10" s="333">
        <f t="shared" ref="AI10" si="30">AI11+AI14</f>
        <v>35579072.640000001</v>
      </c>
      <c r="AJ10" s="333">
        <f t="shared" ref="AJ10" si="31">AJ11+AJ14</f>
        <v>49020252.130000003</v>
      </c>
      <c r="AK10" s="333">
        <f t="shared" ref="AK10" si="32">AK11+AK14</f>
        <v>53843386.93</v>
      </c>
      <c r="AL10" s="333">
        <f t="shared" ref="AL10" si="33">AL11+AL14</f>
        <v>62084911.270000003</v>
      </c>
      <c r="AM10" s="333">
        <f t="shared" ref="AM10" si="34">AM11+AM14</f>
        <v>71252803.319999993</v>
      </c>
      <c r="AN10" s="333">
        <f t="shared" ref="AN10" si="35">AN11+AN14</f>
        <v>81437577.829999983</v>
      </c>
      <c r="AO10" s="333">
        <f t="shared" ref="AO10" si="36">AO11+AO14</f>
        <v>88622056.849999994</v>
      </c>
      <c r="AP10" s="333">
        <f t="shared" ref="AP10" si="37">AP11+AP14</f>
        <v>98840399.789999992</v>
      </c>
      <c r="AQ10" s="334">
        <f t="shared" ref="AQ10" si="38">AQ11+AQ14</f>
        <v>98899265</v>
      </c>
      <c r="AR10" s="334">
        <f t="shared" ref="AR10" si="39">AR11+AR14</f>
        <v>9492170.6600000001</v>
      </c>
      <c r="AS10" s="334">
        <f t="shared" ref="AS10:BA10" si="40">AS11+AS14</f>
        <v>19549503.220000003</v>
      </c>
      <c r="AT10" s="334">
        <f t="shared" si="40"/>
        <v>26390627.890000001</v>
      </c>
      <c r="AU10" s="334">
        <f t="shared" si="40"/>
        <v>36305908.780000001</v>
      </c>
      <c r="AV10" s="334">
        <f t="shared" si="40"/>
        <v>46154210.329999998</v>
      </c>
      <c r="AW10" s="334">
        <f t="shared" si="40"/>
        <v>56325418.990000002</v>
      </c>
      <c r="AX10" s="334">
        <f t="shared" si="40"/>
        <v>64400146.5</v>
      </c>
      <c r="AY10" s="334">
        <f t="shared" si="40"/>
        <v>72829556.269999996</v>
      </c>
      <c r="AZ10" s="334">
        <f t="shared" si="40"/>
        <v>81118431.00999999</v>
      </c>
      <c r="BA10" s="334">
        <f t="shared" si="40"/>
        <v>81118431.030000001</v>
      </c>
      <c r="BB10" s="334">
        <f t="shared" ref="BB10:CD10" si="41">BB11+BB14</f>
        <v>101306384.56999999</v>
      </c>
      <c r="BC10" s="334">
        <f t="shared" si="41"/>
        <v>112068579.97</v>
      </c>
      <c r="BD10" s="334">
        <f t="shared" si="41"/>
        <v>116539340</v>
      </c>
      <c r="BE10" s="334">
        <f t="shared" si="41"/>
        <v>13222201.77</v>
      </c>
      <c r="BF10" s="334">
        <f t="shared" si="41"/>
        <v>24129652.209999997</v>
      </c>
      <c r="BG10" s="334">
        <f t="shared" si="41"/>
        <v>32380907.27</v>
      </c>
      <c r="BH10" s="334">
        <f t="shared" si="41"/>
        <v>40886819.090000004</v>
      </c>
      <c r="BI10" s="334">
        <f t="shared" si="41"/>
        <v>47230715.25</v>
      </c>
      <c r="BJ10" s="334">
        <f t="shared" si="41"/>
        <v>60995592.630000003</v>
      </c>
      <c r="BK10" s="334">
        <f t="shared" si="41"/>
        <v>68057098.829999998</v>
      </c>
      <c r="BL10" s="334">
        <f t="shared" si="41"/>
        <v>81057190.900000006</v>
      </c>
      <c r="BM10" s="334">
        <f t="shared" si="41"/>
        <v>93801008.040000007</v>
      </c>
      <c r="BN10" s="334">
        <f t="shared" si="41"/>
        <v>100544505.02000001</v>
      </c>
      <c r="BO10" s="334">
        <f t="shared" si="41"/>
        <v>109380364.98999999</v>
      </c>
      <c r="BP10" s="334">
        <f t="shared" si="41"/>
        <v>128885187.56</v>
      </c>
      <c r="BQ10" s="334">
        <f t="shared" si="41"/>
        <v>130417989.5</v>
      </c>
      <c r="BR10" s="334">
        <f t="shared" si="41"/>
        <v>15767882.869999999</v>
      </c>
      <c r="BS10" s="334">
        <f t="shared" si="41"/>
        <v>25589629.41</v>
      </c>
      <c r="BT10" s="334">
        <f t="shared" si="41"/>
        <v>36438987.620000005</v>
      </c>
      <c r="BU10" s="334">
        <f t="shared" si="41"/>
        <v>43423568.549999997</v>
      </c>
      <c r="BV10" s="334">
        <f t="shared" si="41"/>
        <v>54563915.109999999</v>
      </c>
      <c r="BW10" s="334">
        <f t="shared" si="41"/>
        <v>64548888.519999996</v>
      </c>
      <c r="BX10" s="334">
        <f t="shared" si="41"/>
        <v>0</v>
      </c>
      <c r="BY10" s="334">
        <f t="shared" si="41"/>
        <v>88828983.610000014</v>
      </c>
      <c r="BZ10" s="334">
        <f t="shared" si="41"/>
        <v>100966620.27000001</v>
      </c>
      <c r="CA10" s="334">
        <f t="shared" si="41"/>
        <v>114859464.59</v>
      </c>
      <c r="CB10" s="334">
        <f t="shared" si="41"/>
        <v>125968990.81999999</v>
      </c>
      <c r="CC10" s="334">
        <f t="shared" si="41"/>
        <v>139354553.91999999</v>
      </c>
      <c r="CD10" s="334">
        <f t="shared" si="41"/>
        <v>139354553.95000002</v>
      </c>
      <c r="CE10" s="334">
        <f t="shared" ref="CE10:CM10" si="42">CE11+CE14</f>
        <v>159470389</v>
      </c>
      <c r="CF10" s="334">
        <f t="shared" si="42"/>
        <v>17737244.5</v>
      </c>
      <c r="CG10" s="334">
        <f t="shared" si="42"/>
        <v>31736765.539999999</v>
      </c>
      <c r="CH10" s="334">
        <f t="shared" si="42"/>
        <v>39624588.719999999</v>
      </c>
      <c r="CI10" s="334">
        <f t="shared" si="42"/>
        <v>50462760.019999996</v>
      </c>
      <c r="CJ10" s="334">
        <f t="shared" si="42"/>
        <v>61862202.850000001</v>
      </c>
      <c r="CK10" s="334">
        <f t="shared" si="42"/>
        <v>72206832.210000008</v>
      </c>
      <c r="CL10" s="334">
        <f t="shared" si="42"/>
        <v>83967928.570000008</v>
      </c>
      <c r="CM10" s="334">
        <f t="shared" si="42"/>
        <v>96110758.5</v>
      </c>
      <c r="CN10" s="334">
        <f t="shared" ref="CN10:CR10" si="43">CN11+CN14</f>
        <v>107584677.70000002</v>
      </c>
      <c r="CO10" s="334">
        <f t="shared" si="43"/>
        <v>134424166.19999999</v>
      </c>
      <c r="CP10" s="334">
        <f t="shared" si="43"/>
        <v>158500586.72</v>
      </c>
      <c r="CQ10" s="334">
        <f t="shared" si="43"/>
        <v>169799579.13999999</v>
      </c>
      <c r="CR10" s="334">
        <f t="shared" si="43"/>
        <v>0</v>
      </c>
    </row>
    <row r="11" spans="1:96">
      <c r="A11" s="53">
        <v>2</v>
      </c>
      <c r="B11" s="84" t="s">
        <v>84</v>
      </c>
      <c r="C11" s="346">
        <f t="shared" ref="C11" si="44">C12+C13</f>
        <v>44986975.260000005</v>
      </c>
      <c r="D11" s="346">
        <f>D12+D13</f>
        <v>44247378.469999999</v>
      </c>
      <c r="E11" s="333">
        <f t="shared" ref="E11:K11" si="45">SUM(E12:E13)</f>
        <v>66366282</v>
      </c>
      <c r="F11" s="347">
        <f t="shared" si="45"/>
        <v>5788629.2800000003</v>
      </c>
      <c r="G11" s="347">
        <f t="shared" si="45"/>
        <v>9889522.2100000009</v>
      </c>
      <c r="H11" s="347">
        <f t="shared" si="45"/>
        <v>13574743.91</v>
      </c>
      <c r="I11" s="347">
        <f t="shared" si="45"/>
        <v>18194117.829999998</v>
      </c>
      <c r="J11" s="347">
        <f t="shared" si="45"/>
        <v>25996301.280000001</v>
      </c>
      <c r="K11" s="347">
        <f t="shared" si="45"/>
        <v>31493424.060000002</v>
      </c>
      <c r="L11" s="347">
        <f t="shared" ref="L11:M11" si="46">SUM(L12:L13)</f>
        <v>36232691.329999998</v>
      </c>
      <c r="M11" s="347">
        <f t="shared" si="46"/>
        <v>39605780.780000001</v>
      </c>
      <c r="N11" s="347">
        <f t="shared" ref="N11:BA11" si="47">SUM(N12:N13)</f>
        <v>48309290.760000005</v>
      </c>
      <c r="O11" s="347">
        <f t="shared" si="47"/>
        <v>52699075.170000002</v>
      </c>
      <c r="P11" s="348">
        <f t="shared" si="47"/>
        <v>61417518.050000004</v>
      </c>
      <c r="Q11" s="347">
        <f t="shared" si="47"/>
        <v>72425433.689999998</v>
      </c>
      <c r="R11" s="347">
        <f t="shared" si="47"/>
        <v>82556733.609999999</v>
      </c>
      <c r="S11" s="347">
        <f t="shared" si="47"/>
        <v>6631642.5</v>
      </c>
      <c r="T11" s="347">
        <f t="shared" si="47"/>
        <v>9766631.4700000007</v>
      </c>
      <c r="U11" s="347">
        <f t="shared" si="47"/>
        <v>20620875.959999997</v>
      </c>
      <c r="V11" s="347">
        <f t="shared" si="47"/>
        <v>30312339.710000001</v>
      </c>
      <c r="W11" s="347">
        <f t="shared" si="47"/>
        <v>37752650.93</v>
      </c>
      <c r="X11" s="347">
        <f t="shared" si="47"/>
        <v>41486084.260000005</v>
      </c>
      <c r="Y11" s="347">
        <f t="shared" si="47"/>
        <v>48908565.589999996</v>
      </c>
      <c r="Z11" s="347">
        <f t="shared" si="47"/>
        <v>51110026.910000004</v>
      </c>
      <c r="AA11" s="347">
        <f t="shared" si="47"/>
        <v>58633747.339999996</v>
      </c>
      <c r="AB11" s="347">
        <f t="shared" si="47"/>
        <v>64298279.760000005</v>
      </c>
      <c r="AC11" s="347">
        <f t="shared" si="47"/>
        <v>68265928.849999994</v>
      </c>
      <c r="AD11" s="347">
        <f t="shared" si="47"/>
        <v>77372729.290000007</v>
      </c>
      <c r="AE11" s="347">
        <f t="shared" si="47"/>
        <v>8969272.3599999994</v>
      </c>
      <c r="AF11" s="347">
        <f t="shared" si="47"/>
        <v>12070547.85</v>
      </c>
      <c r="AG11" s="347">
        <f t="shared" si="47"/>
        <v>19153677.75</v>
      </c>
      <c r="AH11" s="347">
        <f t="shared" si="47"/>
        <v>26664243.800000001</v>
      </c>
      <c r="AI11" s="347">
        <f t="shared" si="47"/>
        <v>34139273.039999999</v>
      </c>
      <c r="AJ11" s="347">
        <f t="shared" si="47"/>
        <v>45557417.530000001</v>
      </c>
      <c r="AK11" s="347">
        <f t="shared" si="47"/>
        <v>49923700.329999998</v>
      </c>
      <c r="AL11" s="347">
        <f t="shared" si="47"/>
        <v>57492614.670000002</v>
      </c>
      <c r="AM11" s="347">
        <f t="shared" si="47"/>
        <v>67208856.719999999</v>
      </c>
      <c r="AN11" s="347">
        <f t="shared" si="47"/>
        <v>77383231.229999989</v>
      </c>
      <c r="AO11" s="347">
        <f t="shared" si="47"/>
        <v>84462073.799999997</v>
      </c>
      <c r="AP11" s="347">
        <f t="shared" si="47"/>
        <v>93974636.739999995</v>
      </c>
      <c r="AQ11" s="349">
        <f t="shared" si="47"/>
        <v>94033502</v>
      </c>
      <c r="AR11" s="349">
        <f t="shared" si="47"/>
        <v>9350960.6600000001</v>
      </c>
      <c r="AS11" s="349">
        <f t="shared" si="47"/>
        <v>18849223.220000003</v>
      </c>
      <c r="AT11" s="349">
        <f t="shared" si="47"/>
        <v>25916083.890000001</v>
      </c>
      <c r="AU11" s="349">
        <f t="shared" si="47"/>
        <v>35653989.780000001</v>
      </c>
      <c r="AV11" s="349">
        <f t="shared" si="47"/>
        <v>44947986.329999998</v>
      </c>
      <c r="AW11" s="349">
        <f t="shared" si="47"/>
        <v>54600236.370000005</v>
      </c>
      <c r="AX11" s="349">
        <f t="shared" si="47"/>
        <v>61745335.380000003</v>
      </c>
      <c r="AY11" s="349">
        <f t="shared" si="47"/>
        <v>69788071.799999997</v>
      </c>
      <c r="AZ11" s="349">
        <f t="shared" si="47"/>
        <v>77956232.539999992</v>
      </c>
      <c r="BA11" s="349">
        <f t="shared" si="47"/>
        <v>77956232.560000002</v>
      </c>
      <c r="BB11" s="349">
        <f t="shared" ref="BB11:CD11" si="48">SUM(BB12:BB13)</f>
        <v>97549836.449999988</v>
      </c>
      <c r="BC11" s="349">
        <f t="shared" si="48"/>
        <v>107903792.84999999</v>
      </c>
      <c r="BD11" s="349">
        <f t="shared" si="48"/>
        <v>98521727</v>
      </c>
      <c r="BE11" s="349">
        <f t="shared" si="48"/>
        <v>12852070.77</v>
      </c>
      <c r="BF11" s="349">
        <f t="shared" si="48"/>
        <v>23456172.809999999</v>
      </c>
      <c r="BG11" s="349">
        <f t="shared" si="48"/>
        <v>31477282.870000001</v>
      </c>
      <c r="BH11" s="349">
        <f t="shared" si="48"/>
        <v>39411738.440000005</v>
      </c>
      <c r="BI11" s="349">
        <f t="shared" si="48"/>
        <v>45231409.159999996</v>
      </c>
      <c r="BJ11" s="349">
        <f t="shared" si="48"/>
        <v>58375815.32</v>
      </c>
      <c r="BK11" s="349">
        <f t="shared" si="48"/>
        <v>65258554.709999993</v>
      </c>
      <c r="BL11" s="349">
        <f t="shared" si="48"/>
        <v>77997559.040000007</v>
      </c>
      <c r="BM11" s="349">
        <f t="shared" si="48"/>
        <v>90393730.700000003</v>
      </c>
      <c r="BN11" s="349">
        <f t="shared" si="48"/>
        <v>96944686.120000005</v>
      </c>
      <c r="BO11" s="349">
        <f t="shared" si="48"/>
        <v>105475339.36999999</v>
      </c>
      <c r="BP11" s="349">
        <f t="shared" si="48"/>
        <v>124694433</v>
      </c>
      <c r="BQ11" s="349">
        <f t="shared" si="48"/>
        <v>112634989.90000001</v>
      </c>
      <c r="BR11" s="349">
        <f t="shared" si="48"/>
        <v>15385224.1</v>
      </c>
      <c r="BS11" s="349">
        <f t="shared" si="48"/>
        <v>24926037.640000001</v>
      </c>
      <c r="BT11" s="349">
        <f t="shared" si="48"/>
        <v>35707105.850000001</v>
      </c>
      <c r="BU11" s="349">
        <f t="shared" si="48"/>
        <v>41050237.68</v>
      </c>
      <c r="BV11" s="349">
        <f t="shared" si="48"/>
        <v>51729029.240000002</v>
      </c>
      <c r="BW11" s="349">
        <f t="shared" si="48"/>
        <v>60621366.649999999</v>
      </c>
      <c r="BX11" s="349">
        <f t="shared" si="48"/>
        <v>0</v>
      </c>
      <c r="BY11" s="349">
        <f t="shared" si="48"/>
        <v>84417958.050000012</v>
      </c>
      <c r="BZ11" s="349">
        <f t="shared" si="48"/>
        <v>95509134.710000008</v>
      </c>
      <c r="CA11" s="349">
        <f t="shared" si="48"/>
        <v>108893578.53</v>
      </c>
      <c r="CB11" s="349">
        <f t="shared" si="48"/>
        <v>119961190.22</v>
      </c>
      <c r="CC11" s="349">
        <f t="shared" si="48"/>
        <v>132866999.41</v>
      </c>
      <c r="CD11" s="349">
        <f t="shared" si="48"/>
        <v>115757297.90000001</v>
      </c>
      <c r="CE11" s="349">
        <f t="shared" ref="CE11:CM11" si="49">SUM(CE12:CE13)</f>
        <v>123851259</v>
      </c>
      <c r="CF11" s="349">
        <f t="shared" si="49"/>
        <v>17056510.5</v>
      </c>
      <c r="CG11" s="349">
        <f t="shared" si="49"/>
        <v>31356031.539999999</v>
      </c>
      <c r="CH11" s="349">
        <f t="shared" si="49"/>
        <v>39242021.920000002</v>
      </c>
      <c r="CI11" s="349">
        <f t="shared" si="49"/>
        <v>50080193.219999999</v>
      </c>
      <c r="CJ11" s="349">
        <f t="shared" si="49"/>
        <v>61479636.050000004</v>
      </c>
      <c r="CK11" s="349">
        <f t="shared" si="49"/>
        <v>70639725.810000002</v>
      </c>
      <c r="CL11" s="349">
        <f t="shared" si="49"/>
        <v>82400822.170000002</v>
      </c>
      <c r="CM11" s="349">
        <f t="shared" si="49"/>
        <v>91342482.099999994</v>
      </c>
      <c r="CN11" s="349">
        <f t="shared" ref="CN11:CR11" si="50">SUM(CN12:CN13)</f>
        <v>102446451.30000001</v>
      </c>
      <c r="CO11" s="349">
        <f t="shared" si="50"/>
        <v>124580229</v>
      </c>
      <c r="CP11" s="349">
        <f t="shared" si="50"/>
        <v>152225659.52000001</v>
      </c>
      <c r="CQ11" s="349">
        <f t="shared" si="50"/>
        <v>162043458.69</v>
      </c>
      <c r="CR11" s="349">
        <f t="shared" si="50"/>
        <v>0</v>
      </c>
    </row>
    <row r="12" spans="1:96">
      <c r="A12" s="53">
        <v>2.1</v>
      </c>
      <c r="B12" s="84" t="s">
        <v>85</v>
      </c>
      <c r="C12" s="103">
        <v>44346813.200000003</v>
      </c>
      <c r="D12" s="103">
        <v>43848892.969999999</v>
      </c>
      <c r="E12" s="335">
        <f>32739537+32356032</f>
        <v>65095569</v>
      </c>
      <c r="F12" s="335">
        <v>5293412.2300000004</v>
      </c>
      <c r="G12" s="335">
        <v>8814618.7100000009</v>
      </c>
      <c r="H12" s="335">
        <v>11941257.960000001</v>
      </c>
      <c r="I12" s="335">
        <v>15976793.93</v>
      </c>
      <c r="J12" s="335">
        <v>22773179.190000001</v>
      </c>
      <c r="K12" s="335">
        <v>27786422.670000002</v>
      </c>
      <c r="L12" s="335">
        <v>31965435.260000002</v>
      </c>
      <c r="M12" s="335">
        <v>34301412.689999998</v>
      </c>
      <c r="N12" s="335">
        <v>45441102.810000002</v>
      </c>
      <c r="O12" s="335">
        <v>49657571.520000003</v>
      </c>
      <c r="P12" s="350">
        <v>58085051.520000003</v>
      </c>
      <c r="Q12" s="335">
        <v>68498849.620000005</v>
      </c>
      <c r="R12" s="335">
        <v>80105334.890000001</v>
      </c>
      <c r="S12" s="351">
        <v>6240484.5</v>
      </c>
      <c r="T12" s="352">
        <v>9191283.4700000007</v>
      </c>
      <c r="U12" s="352">
        <v>19865408.059999999</v>
      </c>
      <c r="V12" s="353">
        <v>26331597.41</v>
      </c>
      <c r="W12" s="335">
        <v>32790873.82</v>
      </c>
      <c r="X12" s="354">
        <v>36012060.560000002</v>
      </c>
      <c r="Y12" s="355">
        <v>42911257.289999999</v>
      </c>
      <c r="Z12" s="356">
        <v>44403801.710000001</v>
      </c>
      <c r="AA12" s="335">
        <v>51348501.649999999</v>
      </c>
      <c r="AB12" s="357">
        <v>56432182.560000002</v>
      </c>
      <c r="AC12" s="357">
        <v>59911893.649999999</v>
      </c>
      <c r="AD12" s="357">
        <v>68603616.090000004</v>
      </c>
      <c r="AE12" s="357">
        <v>8340896.3600000003</v>
      </c>
      <c r="AF12" s="357">
        <v>11346978.35</v>
      </c>
      <c r="AG12" s="357">
        <v>16772740.85</v>
      </c>
      <c r="AH12" s="357">
        <v>22533643.600000001</v>
      </c>
      <c r="AI12" s="357">
        <v>29220521.140000001</v>
      </c>
      <c r="AJ12" s="336">
        <v>39968899.130000003</v>
      </c>
      <c r="AK12" s="336">
        <v>44231305.530000001</v>
      </c>
      <c r="AL12" s="336">
        <v>50819365.07</v>
      </c>
      <c r="AM12" s="336">
        <v>59581625.119999997</v>
      </c>
      <c r="AN12" s="336">
        <v>69449227.129999995</v>
      </c>
      <c r="AO12" s="336">
        <v>75848223.799999997</v>
      </c>
      <c r="AP12" s="336">
        <v>82516332.439999998</v>
      </c>
      <c r="AQ12" s="336">
        <v>82516332</v>
      </c>
      <c r="AR12" s="336">
        <v>8805333.1600000001</v>
      </c>
      <c r="AS12" s="336">
        <v>17804491.920000002</v>
      </c>
      <c r="AT12" s="336">
        <v>23367416.390000001</v>
      </c>
      <c r="AU12" s="336">
        <v>31714267.579999998</v>
      </c>
      <c r="AV12" s="336">
        <v>40040278.93</v>
      </c>
      <c r="AW12" s="335">
        <v>49076825.520000003</v>
      </c>
      <c r="AX12" s="336">
        <v>55700743.18</v>
      </c>
      <c r="AY12" s="336">
        <v>62869798</v>
      </c>
      <c r="AZ12" s="336">
        <v>69961555.939999998</v>
      </c>
      <c r="BA12" s="335">
        <v>69961555.939999998</v>
      </c>
      <c r="BB12" s="357">
        <v>87604924.849999994</v>
      </c>
      <c r="BC12" s="357">
        <v>98040908.049999997</v>
      </c>
      <c r="BD12" s="335">
        <v>98521727</v>
      </c>
      <c r="BE12" s="357">
        <v>9463907.9700000007</v>
      </c>
      <c r="BF12" s="357">
        <v>20608412.41</v>
      </c>
      <c r="BG12" s="357">
        <v>27884516.07</v>
      </c>
      <c r="BH12" s="357">
        <v>34642879.340000004</v>
      </c>
      <c r="BI12" s="357">
        <v>39516341.259999998</v>
      </c>
      <c r="BJ12" s="357">
        <v>52060032.719999999</v>
      </c>
      <c r="BK12" s="357">
        <v>58249943.409999996</v>
      </c>
      <c r="BL12" s="357">
        <v>69491514.040000007</v>
      </c>
      <c r="BM12" s="357">
        <v>81181260.400000006</v>
      </c>
      <c r="BN12" s="357">
        <v>86756321.620000005</v>
      </c>
      <c r="BO12" s="357">
        <v>94053167.569999993</v>
      </c>
      <c r="BP12" s="357">
        <v>112634989.90000001</v>
      </c>
      <c r="BQ12" s="336">
        <v>112634989.90000001</v>
      </c>
      <c r="BR12" s="357">
        <v>14539247.9</v>
      </c>
      <c r="BS12" s="357">
        <v>23327465.940000001</v>
      </c>
      <c r="BT12" s="357">
        <v>33316996.75</v>
      </c>
      <c r="BU12" s="357">
        <v>35778819.380000003</v>
      </c>
      <c r="BV12" s="357">
        <v>45263111.039999999</v>
      </c>
      <c r="BW12" s="357">
        <v>53090883.25</v>
      </c>
      <c r="BX12" s="337"/>
      <c r="BY12" s="357">
        <v>71863729.650000006</v>
      </c>
      <c r="BZ12" s="357">
        <v>81505966.010000005</v>
      </c>
      <c r="CA12" s="389">
        <v>93911600.530000001</v>
      </c>
      <c r="CB12" s="357">
        <v>103967584.12</v>
      </c>
      <c r="CC12" s="357">
        <v>115757297.91</v>
      </c>
      <c r="CD12" s="336">
        <v>115757297.90000001</v>
      </c>
      <c r="CE12" s="336">
        <v>123851259</v>
      </c>
      <c r="CF12" s="337">
        <v>15038864.6</v>
      </c>
      <c r="CG12" s="337">
        <v>28143854.039999999</v>
      </c>
      <c r="CH12" s="337">
        <v>33929527.920000002</v>
      </c>
      <c r="CI12" s="337">
        <v>40082943.32</v>
      </c>
      <c r="CJ12" s="337">
        <v>48970279.450000003</v>
      </c>
      <c r="CK12" s="337">
        <v>55839193.710000001</v>
      </c>
      <c r="CL12" s="337">
        <v>65226229.770000003</v>
      </c>
      <c r="CM12" s="337">
        <v>72870868.5</v>
      </c>
      <c r="CN12" s="357">
        <v>81562087.400000006</v>
      </c>
      <c r="CO12" s="357">
        <v>98526541.400000006</v>
      </c>
      <c r="CP12" s="357">
        <v>127734528.62</v>
      </c>
      <c r="CQ12" s="357">
        <v>136423882.09</v>
      </c>
      <c r="CR12" s="337"/>
    </row>
    <row r="13" spans="1:96">
      <c r="A13" s="53">
        <v>2.2000000000000002</v>
      </c>
      <c r="B13" s="84" t="s">
        <v>86</v>
      </c>
      <c r="C13" s="103">
        <v>640162.06000000006</v>
      </c>
      <c r="D13" s="103">
        <v>398485.5</v>
      </c>
      <c r="E13" s="338">
        <v>1270713</v>
      </c>
      <c r="F13" s="338">
        <v>495217.05</v>
      </c>
      <c r="G13" s="338">
        <v>1074903.5</v>
      </c>
      <c r="H13" s="338">
        <v>1633485.95</v>
      </c>
      <c r="I13" s="338">
        <v>2217323.9</v>
      </c>
      <c r="J13" s="338">
        <v>3223122.09</v>
      </c>
      <c r="K13" s="338">
        <v>3707001.39</v>
      </c>
      <c r="L13" s="338">
        <v>4267256.07</v>
      </c>
      <c r="M13" s="338">
        <v>5304368.09</v>
      </c>
      <c r="N13" s="338">
        <v>2868187.95</v>
      </c>
      <c r="O13" s="338">
        <v>3041503.65</v>
      </c>
      <c r="P13" s="358">
        <v>3332466.53</v>
      </c>
      <c r="Q13" s="338">
        <v>3926584.07</v>
      </c>
      <c r="R13" s="338">
        <v>2451398.7199999997</v>
      </c>
      <c r="S13" s="351">
        <v>391158</v>
      </c>
      <c r="T13" s="352">
        <v>575348</v>
      </c>
      <c r="U13" s="352">
        <v>755467.9</v>
      </c>
      <c r="V13" s="353">
        <v>3980742.3</v>
      </c>
      <c r="W13" s="338">
        <v>4961777.1100000003</v>
      </c>
      <c r="X13" s="354">
        <v>5474023.7000000002</v>
      </c>
      <c r="Y13" s="355">
        <v>5997308.2999999998</v>
      </c>
      <c r="Z13" s="356">
        <v>6706225.2000000002</v>
      </c>
      <c r="AA13" s="338">
        <v>7285245.6900000004</v>
      </c>
      <c r="AB13" s="357">
        <v>7866097.2000000002</v>
      </c>
      <c r="AC13" s="357">
        <v>8354035.2000000002</v>
      </c>
      <c r="AD13" s="357">
        <v>8769113.1999999993</v>
      </c>
      <c r="AE13" s="357">
        <v>628376</v>
      </c>
      <c r="AF13" s="357">
        <v>723569.5</v>
      </c>
      <c r="AG13" s="357">
        <v>2380936.9</v>
      </c>
      <c r="AH13" s="357">
        <v>4130600.2</v>
      </c>
      <c r="AI13" s="357">
        <v>4918751.9000000004</v>
      </c>
      <c r="AJ13" s="336">
        <v>5588518.4000000004</v>
      </c>
      <c r="AK13" s="336">
        <v>5692394.7999999998</v>
      </c>
      <c r="AL13" s="336">
        <v>6673249.5999999996</v>
      </c>
      <c r="AM13" s="336">
        <v>7627231.5999999996</v>
      </c>
      <c r="AN13" s="336">
        <v>7934004.0999999996</v>
      </c>
      <c r="AO13" s="336">
        <v>8613850</v>
      </c>
      <c r="AP13" s="336">
        <v>11458304.300000001</v>
      </c>
      <c r="AQ13" s="336">
        <v>11517170</v>
      </c>
      <c r="AR13" s="336">
        <v>545627.5</v>
      </c>
      <c r="AS13" s="336">
        <v>1044731.3</v>
      </c>
      <c r="AT13" s="336">
        <v>2548667.5</v>
      </c>
      <c r="AU13" s="336">
        <v>3939722.2</v>
      </c>
      <c r="AV13" s="336">
        <v>4907707.4000000004</v>
      </c>
      <c r="AW13" s="338">
        <v>5523410.8499999996</v>
      </c>
      <c r="AX13" s="336">
        <v>6044592.2000000002</v>
      </c>
      <c r="AY13" s="336">
        <v>6918273.7999999998</v>
      </c>
      <c r="AZ13" s="336">
        <v>7994676.5999999996</v>
      </c>
      <c r="BA13" s="338">
        <v>7994676.6200000001</v>
      </c>
      <c r="BB13" s="357">
        <v>9944911.5999999996</v>
      </c>
      <c r="BC13" s="357">
        <v>9862884.8000000007</v>
      </c>
      <c r="BD13" s="338"/>
      <c r="BE13" s="357">
        <v>3388162.8</v>
      </c>
      <c r="BF13" s="357">
        <v>2847760.4</v>
      </c>
      <c r="BG13" s="357">
        <v>3592766.8</v>
      </c>
      <c r="BH13" s="357">
        <v>4768859.0999999996</v>
      </c>
      <c r="BI13" s="357">
        <v>5715067.9000000004</v>
      </c>
      <c r="BJ13" s="357">
        <v>6315782.5999999996</v>
      </c>
      <c r="BK13" s="357">
        <v>7008611.2999999998</v>
      </c>
      <c r="BL13" s="357">
        <v>8506045</v>
      </c>
      <c r="BM13" s="357">
        <v>9212470.3000000007</v>
      </c>
      <c r="BN13" s="357">
        <v>10188364.5</v>
      </c>
      <c r="BO13" s="357">
        <v>11422171.800000001</v>
      </c>
      <c r="BP13" s="357">
        <v>12059443.1</v>
      </c>
      <c r="BQ13" s="336"/>
      <c r="BR13" s="357">
        <v>845976.2</v>
      </c>
      <c r="BS13" s="357">
        <v>1598571.7</v>
      </c>
      <c r="BT13" s="357">
        <v>2390109.1</v>
      </c>
      <c r="BU13" s="357">
        <v>5271418.3</v>
      </c>
      <c r="BV13" s="357">
        <v>6465918.2000000002</v>
      </c>
      <c r="BW13" s="357">
        <v>7530483.4000000004</v>
      </c>
      <c r="BX13" s="337"/>
      <c r="BY13" s="357">
        <v>12554228.4</v>
      </c>
      <c r="BZ13" s="357">
        <v>14003168.699999999</v>
      </c>
      <c r="CA13" s="389">
        <v>14981978</v>
      </c>
      <c r="CB13" s="357">
        <v>15993606.1</v>
      </c>
      <c r="CC13" s="357">
        <v>17109701.5</v>
      </c>
      <c r="CD13" s="336"/>
      <c r="CE13" s="336"/>
      <c r="CF13" s="337">
        <v>2017645.9</v>
      </c>
      <c r="CG13" s="337">
        <v>3212177.5</v>
      </c>
      <c r="CH13" s="337">
        <v>5312494</v>
      </c>
      <c r="CI13" s="337">
        <v>9997249.9000000004</v>
      </c>
      <c r="CJ13" s="337">
        <v>12509356.6</v>
      </c>
      <c r="CK13" s="337">
        <v>14800532.1</v>
      </c>
      <c r="CL13" s="337">
        <v>17174592.399999999</v>
      </c>
      <c r="CM13" s="337">
        <v>18471613.600000001</v>
      </c>
      <c r="CN13" s="357">
        <v>20884363.899999999</v>
      </c>
      <c r="CO13" s="357">
        <v>26053687.600000001</v>
      </c>
      <c r="CP13" s="357">
        <v>24491130.899999999</v>
      </c>
      <c r="CQ13" s="357">
        <v>25619576.600000001</v>
      </c>
      <c r="CR13" s="337"/>
    </row>
    <row r="14" spans="1:96">
      <c r="A14" s="53">
        <v>3</v>
      </c>
      <c r="B14" s="83" t="s">
        <v>87</v>
      </c>
      <c r="C14" s="345">
        <f t="shared" ref="C14" si="51">SUM(C16:C18)</f>
        <v>337736.05</v>
      </c>
      <c r="D14" s="345">
        <f>SUM(D16:D18)</f>
        <v>1027520.05</v>
      </c>
      <c r="E14" s="333">
        <f t="shared" ref="E14:BQ14" si="52">SUM(E15:E18)</f>
        <v>1328210</v>
      </c>
      <c r="F14" s="333">
        <f t="shared" si="52"/>
        <v>319057.5</v>
      </c>
      <c r="G14" s="333">
        <f t="shared" si="52"/>
        <v>625742</v>
      </c>
      <c r="H14" s="333">
        <f t="shared" si="52"/>
        <v>945266</v>
      </c>
      <c r="I14" s="333">
        <f t="shared" si="52"/>
        <v>1251725</v>
      </c>
      <c r="J14" s="333">
        <f t="shared" si="52"/>
        <v>2054943.64</v>
      </c>
      <c r="K14" s="333">
        <f t="shared" si="52"/>
        <v>2277488.6400000001</v>
      </c>
      <c r="L14" s="333">
        <f t="shared" si="52"/>
        <v>2496039.64</v>
      </c>
      <c r="M14" s="333">
        <f t="shared" si="52"/>
        <v>2873568.64</v>
      </c>
      <c r="N14" s="333">
        <f t="shared" si="52"/>
        <v>5590391.8600000003</v>
      </c>
      <c r="O14" s="333">
        <f t="shared" si="52"/>
        <v>6122572.8600000003</v>
      </c>
      <c r="P14" s="333">
        <f t="shared" si="52"/>
        <v>6319675.9000000004</v>
      </c>
      <c r="Q14" s="333">
        <f t="shared" si="52"/>
        <v>7123546.9199999999</v>
      </c>
      <c r="R14" s="333">
        <f t="shared" si="52"/>
        <v>396062</v>
      </c>
      <c r="S14" s="333">
        <f t="shared" si="52"/>
        <v>688684</v>
      </c>
      <c r="T14" s="333">
        <f t="shared" si="52"/>
        <v>1175683.1000000001</v>
      </c>
      <c r="U14" s="333">
        <f t="shared" si="52"/>
        <v>1566079.14</v>
      </c>
      <c r="V14" s="333">
        <f t="shared" si="52"/>
        <v>753262</v>
      </c>
      <c r="W14" s="333">
        <f t="shared" si="52"/>
        <v>915277</v>
      </c>
      <c r="X14" s="333">
        <f t="shared" si="52"/>
        <v>1079715</v>
      </c>
      <c r="Y14" s="333">
        <f t="shared" si="52"/>
        <v>2111559.35</v>
      </c>
      <c r="Z14" s="333">
        <f t="shared" si="52"/>
        <v>2344509.35</v>
      </c>
      <c r="AA14" s="333">
        <f t="shared" si="52"/>
        <v>2420659.35</v>
      </c>
      <c r="AB14" s="333">
        <f t="shared" si="52"/>
        <v>2608519.35</v>
      </c>
      <c r="AC14" s="333">
        <f t="shared" si="52"/>
        <v>2758369.35</v>
      </c>
      <c r="AD14" s="333">
        <f t="shared" si="52"/>
        <v>3518309.35</v>
      </c>
      <c r="AE14" s="333">
        <f t="shared" si="52"/>
        <v>826983.36</v>
      </c>
      <c r="AF14" s="333">
        <f t="shared" si="52"/>
        <v>887325.45</v>
      </c>
      <c r="AG14" s="333">
        <f t="shared" si="52"/>
        <v>812495</v>
      </c>
      <c r="AH14" s="333">
        <f t="shared" si="52"/>
        <v>1226105.6000000001</v>
      </c>
      <c r="AI14" s="333">
        <f t="shared" si="52"/>
        <v>1439799.6</v>
      </c>
      <c r="AJ14" s="333">
        <f t="shared" si="52"/>
        <v>3462834.6</v>
      </c>
      <c r="AK14" s="333">
        <f t="shared" si="52"/>
        <v>3919686.6</v>
      </c>
      <c r="AL14" s="333">
        <f t="shared" si="52"/>
        <v>4592296.5999999996</v>
      </c>
      <c r="AM14" s="333">
        <f t="shared" si="52"/>
        <v>4043946.6</v>
      </c>
      <c r="AN14" s="333">
        <f t="shared" si="52"/>
        <v>4054346.6</v>
      </c>
      <c r="AO14" s="333">
        <f t="shared" si="52"/>
        <v>4159983.05</v>
      </c>
      <c r="AP14" s="333">
        <f t="shared" si="52"/>
        <v>4865763.05</v>
      </c>
      <c r="AQ14" s="334">
        <f t="shared" si="52"/>
        <v>4865763</v>
      </c>
      <c r="AR14" s="334">
        <f t="shared" si="52"/>
        <v>141210</v>
      </c>
      <c r="AS14" s="334">
        <f t="shared" si="52"/>
        <v>700280</v>
      </c>
      <c r="AT14" s="334">
        <f t="shared" si="52"/>
        <v>474544</v>
      </c>
      <c r="AU14" s="334">
        <f t="shared" si="52"/>
        <v>651919</v>
      </c>
      <c r="AV14" s="334">
        <f t="shared" si="52"/>
        <v>1206224</v>
      </c>
      <c r="AW14" s="334">
        <f t="shared" si="52"/>
        <v>1725182.62</v>
      </c>
      <c r="AX14" s="334">
        <f t="shared" si="52"/>
        <v>2654811.12</v>
      </c>
      <c r="AY14" s="334">
        <f t="shared" si="52"/>
        <v>3041484.4699999997</v>
      </c>
      <c r="AZ14" s="334">
        <f t="shared" si="52"/>
        <v>3162198.4699999997</v>
      </c>
      <c r="BA14" s="334">
        <f t="shared" si="52"/>
        <v>3162198.4699999997</v>
      </c>
      <c r="BB14" s="334">
        <f t="shared" si="52"/>
        <v>3756548.12</v>
      </c>
      <c r="BC14" s="334">
        <f t="shared" si="52"/>
        <v>4164787.12</v>
      </c>
      <c r="BD14" s="334">
        <f t="shared" si="52"/>
        <v>18017613</v>
      </c>
      <c r="BE14" s="334">
        <f t="shared" si="52"/>
        <v>370131</v>
      </c>
      <c r="BF14" s="334">
        <f t="shared" si="52"/>
        <v>673479.4</v>
      </c>
      <c r="BG14" s="334">
        <f t="shared" si="52"/>
        <v>903624.4</v>
      </c>
      <c r="BH14" s="334">
        <f t="shared" si="52"/>
        <v>1475080.65</v>
      </c>
      <c r="BI14" s="334">
        <f t="shared" si="52"/>
        <v>1999306.09</v>
      </c>
      <c r="BJ14" s="334">
        <f t="shared" si="52"/>
        <v>2619777.31</v>
      </c>
      <c r="BK14" s="334">
        <f t="shared" si="52"/>
        <v>2798544.12</v>
      </c>
      <c r="BL14" s="334">
        <f t="shared" si="52"/>
        <v>3059631.8600000003</v>
      </c>
      <c r="BM14" s="334">
        <f t="shared" si="52"/>
        <v>3407277.3400000003</v>
      </c>
      <c r="BN14" s="334">
        <f t="shared" si="52"/>
        <v>3599818.9000000004</v>
      </c>
      <c r="BO14" s="334">
        <f t="shared" si="52"/>
        <v>3905025.62</v>
      </c>
      <c r="BP14" s="334">
        <f t="shared" si="52"/>
        <v>4190754.56</v>
      </c>
      <c r="BQ14" s="334">
        <f t="shared" si="52"/>
        <v>17782999.600000001</v>
      </c>
      <c r="BR14" s="334">
        <f t="shared" ref="BR14:CD14" si="53">SUM(BR15:BR18)</f>
        <v>382658.77</v>
      </c>
      <c r="BS14" s="334">
        <f t="shared" si="53"/>
        <v>663591.77</v>
      </c>
      <c r="BT14" s="334">
        <f t="shared" si="53"/>
        <v>731881.77</v>
      </c>
      <c r="BU14" s="334">
        <f t="shared" si="53"/>
        <v>2373330.87</v>
      </c>
      <c r="BV14" s="334">
        <f t="shared" si="53"/>
        <v>2834885.87</v>
      </c>
      <c r="BW14" s="334">
        <f t="shared" si="53"/>
        <v>3927521.87</v>
      </c>
      <c r="BX14" s="334">
        <f t="shared" si="53"/>
        <v>0</v>
      </c>
      <c r="BY14" s="334">
        <f t="shared" si="53"/>
        <v>4411025.5600000005</v>
      </c>
      <c r="BZ14" s="334">
        <f t="shared" si="53"/>
        <v>5457485.5600000005</v>
      </c>
      <c r="CA14" s="334">
        <f t="shared" si="53"/>
        <v>5965886.0600000005</v>
      </c>
      <c r="CB14" s="334">
        <f t="shared" si="53"/>
        <v>6007800.5999999996</v>
      </c>
      <c r="CC14" s="334">
        <f t="shared" si="53"/>
        <v>6487554.5099999998</v>
      </c>
      <c r="CD14" s="334">
        <f t="shared" si="53"/>
        <v>23597256.050000001</v>
      </c>
      <c r="CE14" s="334">
        <f t="shared" ref="CE14:CR14" si="54">SUM(CE15:CE18)</f>
        <v>35619130</v>
      </c>
      <c r="CF14" s="334">
        <f t="shared" si="54"/>
        <v>680734</v>
      </c>
      <c r="CG14" s="334">
        <f t="shared" si="54"/>
        <v>380734</v>
      </c>
      <c r="CH14" s="334">
        <f t="shared" si="54"/>
        <v>382566.8</v>
      </c>
      <c r="CI14" s="334">
        <f t="shared" si="54"/>
        <v>382566.8</v>
      </c>
      <c r="CJ14" s="334">
        <f t="shared" si="54"/>
        <v>382566.8</v>
      </c>
      <c r="CK14" s="334">
        <f t="shared" si="54"/>
        <v>1567106.4</v>
      </c>
      <c r="CL14" s="334">
        <f t="shared" si="54"/>
        <v>1567106.4</v>
      </c>
      <c r="CM14" s="334">
        <f t="shared" si="54"/>
        <v>4768276.4000000004</v>
      </c>
      <c r="CN14" s="334">
        <f t="shared" si="54"/>
        <v>5138226.4000000004</v>
      </c>
      <c r="CO14" s="334">
        <f t="shared" si="54"/>
        <v>9843937.1999999993</v>
      </c>
      <c r="CP14" s="334">
        <f t="shared" si="54"/>
        <v>6274927.2000000002</v>
      </c>
      <c r="CQ14" s="334">
        <f t="shared" si="54"/>
        <v>7756120.4500000002</v>
      </c>
      <c r="CR14" s="334">
        <f t="shared" si="54"/>
        <v>0</v>
      </c>
    </row>
    <row r="15" spans="1:96">
      <c r="A15" s="53">
        <v>3.1</v>
      </c>
      <c r="B15" s="84" t="s">
        <v>88</v>
      </c>
      <c r="C15" s="359"/>
      <c r="D15" s="359"/>
      <c r="E15" s="335"/>
      <c r="F15" s="335"/>
      <c r="G15" s="335"/>
      <c r="H15" s="335"/>
      <c r="I15" s="335"/>
      <c r="J15" s="335"/>
      <c r="K15" s="335"/>
      <c r="L15" s="335"/>
      <c r="M15" s="335"/>
      <c r="N15" s="335">
        <v>0</v>
      </c>
      <c r="O15" s="335">
        <v>0</v>
      </c>
      <c r="P15" s="350">
        <v>0</v>
      </c>
      <c r="Q15" s="335">
        <v>0</v>
      </c>
      <c r="R15" s="335"/>
      <c r="S15" s="360">
        <v>0</v>
      </c>
      <c r="T15" s="360">
        <v>0</v>
      </c>
      <c r="U15" s="360">
        <v>0</v>
      </c>
      <c r="V15" s="339"/>
      <c r="W15" s="335">
        <v>0</v>
      </c>
      <c r="X15" s="361">
        <v>0</v>
      </c>
      <c r="Y15" s="362">
        <v>0</v>
      </c>
      <c r="Z15" s="356">
        <v>0</v>
      </c>
      <c r="AA15" s="335">
        <v>0</v>
      </c>
      <c r="AB15" s="357">
        <v>0</v>
      </c>
      <c r="AC15" s="357">
        <v>0</v>
      </c>
      <c r="AD15" s="357">
        <v>0</v>
      </c>
      <c r="AE15" s="357">
        <v>0</v>
      </c>
      <c r="AF15" s="357">
        <v>0</v>
      </c>
      <c r="AG15" s="357">
        <v>0</v>
      </c>
      <c r="AH15" s="357">
        <v>0</v>
      </c>
      <c r="AI15" s="357">
        <v>0</v>
      </c>
      <c r="AJ15" s="336">
        <v>0</v>
      </c>
      <c r="AK15" s="336">
        <v>0</v>
      </c>
      <c r="AL15" s="336">
        <v>0</v>
      </c>
      <c r="AM15" s="336">
        <v>0</v>
      </c>
      <c r="AN15" s="336">
        <v>0</v>
      </c>
      <c r="AO15" s="336">
        <v>0</v>
      </c>
      <c r="AP15" s="336">
        <v>0</v>
      </c>
      <c r="AQ15" s="336"/>
      <c r="AR15" s="336">
        <v>0</v>
      </c>
      <c r="AS15" s="336">
        <v>0</v>
      </c>
      <c r="AT15" s="336">
        <v>0</v>
      </c>
      <c r="AU15" s="336">
        <v>0</v>
      </c>
      <c r="AV15" s="336">
        <v>0</v>
      </c>
      <c r="AW15" s="336">
        <v>0</v>
      </c>
      <c r="AX15" s="336">
        <v>0</v>
      </c>
      <c r="AY15" s="336">
        <v>0</v>
      </c>
      <c r="AZ15" s="336">
        <v>0</v>
      </c>
      <c r="BA15" s="337"/>
      <c r="BB15" s="357">
        <v>0</v>
      </c>
      <c r="BC15" s="357">
        <v>0</v>
      </c>
      <c r="BD15" s="337"/>
      <c r="BE15" s="357">
        <v>0</v>
      </c>
      <c r="BF15" s="357">
        <v>0</v>
      </c>
      <c r="BG15" s="357">
        <v>0</v>
      </c>
      <c r="BH15" s="357">
        <v>0</v>
      </c>
      <c r="BI15" s="357">
        <v>0</v>
      </c>
      <c r="BJ15" s="357">
        <v>0</v>
      </c>
      <c r="BK15" s="357">
        <v>0</v>
      </c>
      <c r="BL15" s="357">
        <v>0</v>
      </c>
      <c r="BM15" s="357">
        <v>0</v>
      </c>
      <c r="BN15" s="357">
        <v>0</v>
      </c>
      <c r="BO15" s="357">
        <v>0</v>
      </c>
      <c r="BP15" s="357">
        <v>0</v>
      </c>
      <c r="BQ15" s="336"/>
      <c r="BR15" s="357">
        <v>0</v>
      </c>
      <c r="BS15" s="357">
        <v>0</v>
      </c>
      <c r="BT15" s="357">
        <v>0</v>
      </c>
      <c r="BU15" s="357">
        <v>0</v>
      </c>
      <c r="BV15" s="357">
        <v>0</v>
      </c>
      <c r="BW15" s="357">
        <v>0</v>
      </c>
      <c r="BX15" s="337"/>
      <c r="BY15" s="357">
        <v>0</v>
      </c>
      <c r="BZ15" s="357">
        <v>0</v>
      </c>
      <c r="CA15" s="389">
        <v>0</v>
      </c>
      <c r="CB15" s="357">
        <v>0</v>
      </c>
      <c r="CC15" s="357">
        <v>0</v>
      </c>
      <c r="CD15" s="336"/>
      <c r="CE15" s="336"/>
      <c r="CF15" s="337">
        <v>0</v>
      </c>
      <c r="CG15" s="337">
        <v>0</v>
      </c>
      <c r="CH15" s="337">
        <v>0</v>
      </c>
      <c r="CI15" s="337">
        <v>0</v>
      </c>
      <c r="CJ15" s="337">
        <v>0</v>
      </c>
      <c r="CK15" s="337">
        <v>0</v>
      </c>
      <c r="CL15" s="337">
        <v>0</v>
      </c>
      <c r="CM15" s="337">
        <v>0</v>
      </c>
      <c r="CN15" s="357">
        <v>0</v>
      </c>
      <c r="CO15" s="357">
        <v>0</v>
      </c>
      <c r="CP15" s="357">
        <v>0</v>
      </c>
      <c r="CQ15" s="357">
        <v>0</v>
      </c>
      <c r="CR15" s="337"/>
    </row>
    <row r="16" spans="1:96">
      <c r="A16" s="53">
        <v>3.2</v>
      </c>
      <c r="B16" s="84" t="s">
        <v>89</v>
      </c>
      <c r="C16" s="359"/>
      <c r="D16" s="359"/>
      <c r="E16" s="335"/>
      <c r="F16" s="335"/>
      <c r="G16" s="335"/>
      <c r="H16" s="335"/>
      <c r="I16" s="335"/>
      <c r="J16" s="335"/>
      <c r="K16" s="335"/>
      <c r="L16" s="335"/>
      <c r="M16" s="335"/>
      <c r="N16" s="335">
        <v>0</v>
      </c>
      <c r="O16" s="335">
        <v>0</v>
      </c>
      <c r="P16" s="350">
        <v>0</v>
      </c>
      <c r="Q16" s="335">
        <v>0</v>
      </c>
      <c r="R16" s="335"/>
      <c r="S16" s="360">
        <v>0</v>
      </c>
      <c r="T16" s="360">
        <v>0</v>
      </c>
      <c r="U16" s="360">
        <v>0</v>
      </c>
      <c r="V16" s="339"/>
      <c r="W16" s="335">
        <v>0</v>
      </c>
      <c r="X16" s="361">
        <v>0</v>
      </c>
      <c r="Y16" s="362">
        <v>0</v>
      </c>
      <c r="Z16" s="356">
        <v>0</v>
      </c>
      <c r="AA16" s="335">
        <v>0</v>
      </c>
      <c r="AB16" s="357">
        <v>0</v>
      </c>
      <c r="AC16" s="357">
        <v>0</v>
      </c>
      <c r="AD16" s="357">
        <v>0</v>
      </c>
      <c r="AE16" s="357">
        <v>0</v>
      </c>
      <c r="AF16" s="357">
        <v>0</v>
      </c>
      <c r="AG16" s="357">
        <v>0</v>
      </c>
      <c r="AH16" s="357">
        <v>0</v>
      </c>
      <c r="AI16" s="357">
        <v>0</v>
      </c>
      <c r="AJ16" s="336">
        <v>0</v>
      </c>
      <c r="AK16" s="336">
        <v>0</v>
      </c>
      <c r="AL16" s="336">
        <v>0</v>
      </c>
      <c r="AM16" s="336">
        <v>0</v>
      </c>
      <c r="AN16" s="336">
        <v>0</v>
      </c>
      <c r="AO16" s="336">
        <v>0</v>
      </c>
      <c r="AP16" s="336">
        <v>0</v>
      </c>
      <c r="AQ16" s="336">
        <v>1467012</v>
      </c>
      <c r="AR16" s="336">
        <v>0</v>
      </c>
      <c r="AS16" s="336">
        <v>0</v>
      </c>
      <c r="AT16" s="336">
        <v>0</v>
      </c>
      <c r="AU16" s="336">
        <v>0</v>
      </c>
      <c r="AV16" s="336">
        <v>0</v>
      </c>
      <c r="AW16" s="336">
        <v>0</v>
      </c>
      <c r="AX16" s="336">
        <v>0</v>
      </c>
      <c r="AY16" s="336">
        <v>0</v>
      </c>
      <c r="AZ16" s="336">
        <v>0</v>
      </c>
      <c r="BA16" s="337"/>
      <c r="BB16" s="357">
        <v>0</v>
      </c>
      <c r="BC16" s="357">
        <v>0</v>
      </c>
      <c r="BD16" s="337"/>
      <c r="BE16" s="357">
        <v>0</v>
      </c>
      <c r="BF16" s="357">
        <v>0</v>
      </c>
      <c r="BG16" s="357">
        <v>0</v>
      </c>
      <c r="BH16" s="357">
        <v>0</v>
      </c>
      <c r="BI16" s="357">
        <v>0</v>
      </c>
      <c r="BJ16" s="357">
        <v>0</v>
      </c>
      <c r="BK16" s="357">
        <v>0</v>
      </c>
      <c r="BL16" s="357">
        <v>0</v>
      </c>
      <c r="BM16" s="357">
        <v>0</v>
      </c>
      <c r="BN16" s="357">
        <v>0</v>
      </c>
      <c r="BO16" s="357">
        <v>0</v>
      </c>
      <c r="BP16" s="357">
        <v>0</v>
      </c>
      <c r="BQ16" s="336"/>
      <c r="BR16" s="357">
        <v>0</v>
      </c>
      <c r="BS16" s="357">
        <v>0</v>
      </c>
      <c r="BT16" s="357">
        <v>0</v>
      </c>
      <c r="BU16" s="357">
        <v>0</v>
      </c>
      <c r="BV16" s="357">
        <v>0</v>
      </c>
      <c r="BW16" s="357">
        <v>0</v>
      </c>
      <c r="BX16" s="337"/>
      <c r="BY16" s="357">
        <v>0</v>
      </c>
      <c r="BZ16" s="357">
        <v>0</v>
      </c>
      <c r="CA16" s="389">
        <v>0</v>
      </c>
      <c r="CB16" s="357">
        <v>0</v>
      </c>
      <c r="CC16" s="357">
        <v>0</v>
      </c>
      <c r="CD16" s="336"/>
      <c r="CE16" s="336"/>
      <c r="CF16" s="337">
        <v>0</v>
      </c>
      <c r="CG16" s="337">
        <v>0</v>
      </c>
      <c r="CH16" s="337">
        <v>0</v>
      </c>
      <c r="CI16" s="337">
        <v>0</v>
      </c>
      <c r="CJ16" s="337">
        <v>0</v>
      </c>
      <c r="CK16" s="337">
        <v>0</v>
      </c>
      <c r="CL16" s="337">
        <v>0</v>
      </c>
      <c r="CM16" s="337">
        <v>0</v>
      </c>
      <c r="CN16" s="357">
        <v>0</v>
      </c>
      <c r="CO16" s="357">
        <v>0</v>
      </c>
      <c r="CP16" s="357">
        <v>0</v>
      </c>
      <c r="CQ16" s="357">
        <v>0</v>
      </c>
      <c r="CR16" s="337"/>
    </row>
    <row r="17" spans="1:96" ht="24.95">
      <c r="A17" s="53">
        <v>3.3</v>
      </c>
      <c r="B17" s="85" t="s">
        <v>90</v>
      </c>
      <c r="C17" s="103">
        <v>337736.05</v>
      </c>
      <c r="D17" s="103">
        <v>1027520.05</v>
      </c>
      <c r="E17" s="335"/>
      <c r="F17" s="335"/>
      <c r="G17" s="335"/>
      <c r="H17" s="335"/>
      <c r="I17" s="335"/>
      <c r="J17" s="335"/>
      <c r="K17" s="335"/>
      <c r="L17" s="335"/>
      <c r="M17" s="335"/>
      <c r="N17" s="335">
        <v>0</v>
      </c>
      <c r="O17" s="335">
        <v>0</v>
      </c>
      <c r="P17" s="350">
        <v>0</v>
      </c>
      <c r="Q17" s="335">
        <v>0</v>
      </c>
      <c r="R17" s="335"/>
      <c r="S17" s="360">
        <v>0</v>
      </c>
      <c r="T17" s="360">
        <v>0</v>
      </c>
      <c r="U17" s="360">
        <v>0</v>
      </c>
      <c r="V17" s="363">
        <v>424462</v>
      </c>
      <c r="W17" s="335">
        <v>424462</v>
      </c>
      <c r="X17" s="361">
        <v>440244</v>
      </c>
      <c r="Y17" s="362">
        <v>895808.35</v>
      </c>
      <c r="Z17" s="356">
        <v>895808.35</v>
      </c>
      <c r="AA17" s="335">
        <v>895808.35</v>
      </c>
      <c r="AB17" s="357">
        <v>895808.35</v>
      </c>
      <c r="AC17" s="357">
        <v>895808.35</v>
      </c>
      <c r="AD17" s="357">
        <v>895808.35</v>
      </c>
      <c r="AE17" s="357">
        <v>0</v>
      </c>
      <c r="AF17" s="357">
        <v>0</v>
      </c>
      <c r="AG17" s="357">
        <v>0</v>
      </c>
      <c r="AH17" s="357">
        <v>0</v>
      </c>
      <c r="AI17" s="357">
        <v>0</v>
      </c>
      <c r="AJ17" s="336">
        <v>1026160</v>
      </c>
      <c r="AK17" s="336">
        <v>1467012</v>
      </c>
      <c r="AL17" s="336">
        <v>1867012</v>
      </c>
      <c r="AM17" s="336">
        <v>1467012</v>
      </c>
      <c r="AN17" s="336">
        <v>1467012</v>
      </c>
      <c r="AO17" s="336">
        <v>1467012</v>
      </c>
      <c r="AP17" s="336">
        <v>1467012</v>
      </c>
      <c r="AQ17" s="336"/>
      <c r="AR17" s="336">
        <v>0</v>
      </c>
      <c r="AS17" s="336">
        <v>0</v>
      </c>
      <c r="AT17" s="336">
        <v>0</v>
      </c>
      <c r="AU17" s="336">
        <v>0</v>
      </c>
      <c r="AV17" s="336">
        <v>0</v>
      </c>
      <c r="AW17" s="335">
        <v>896</v>
      </c>
      <c r="AX17" s="336">
        <v>569886.5</v>
      </c>
      <c r="AY17" s="336">
        <v>587922.19999999995</v>
      </c>
      <c r="AZ17" s="336">
        <v>587922.19999999995</v>
      </c>
      <c r="BA17" s="335">
        <v>587922.19999999995</v>
      </c>
      <c r="BB17" s="357">
        <v>587922.19999999995</v>
      </c>
      <c r="BC17" s="357">
        <v>587922.19999999995</v>
      </c>
      <c r="BD17" s="335"/>
      <c r="BE17" s="357">
        <v>0</v>
      </c>
      <c r="BF17" s="357">
        <v>2443.75</v>
      </c>
      <c r="BG17" s="357">
        <v>2443.75</v>
      </c>
      <c r="BH17" s="357">
        <v>0</v>
      </c>
      <c r="BI17" s="357">
        <v>0</v>
      </c>
      <c r="BJ17" s="357">
        <v>0</v>
      </c>
      <c r="BK17" s="357">
        <v>523123.20000000001</v>
      </c>
      <c r="BL17" s="357">
        <v>523123.20000000001</v>
      </c>
      <c r="BM17" s="357">
        <v>523123.20000000001</v>
      </c>
      <c r="BN17" s="357">
        <v>523123.20000000001</v>
      </c>
      <c r="BO17" s="357">
        <v>523123.20000000001</v>
      </c>
      <c r="BP17" s="357">
        <v>523123.20000000001</v>
      </c>
      <c r="BQ17" s="336"/>
      <c r="BR17" s="357">
        <v>0</v>
      </c>
      <c r="BS17" s="357">
        <v>0</v>
      </c>
      <c r="BT17" s="357">
        <v>0</v>
      </c>
      <c r="BU17" s="357">
        <v>1080094.1000000001</v>
      </c>
      <c r="BV17" s="357">
        <v>1080094.1000000001</v>
      </c>
      <c r="BW17" s="357">
        <v>1584430.1</v>
      </c>
      <c r="BX17" s="337"/>
      <c r="BY17" s="357">
        <v>1584430.1</v>
      </c>
      <c r="BZ17" s="357">
        <v>1584430.1</v>
      </c>
      <c r="CA17" s="389">
        <v>1584430.1</v>
      </c>
      <c r="CB17" s="357">
        <v>1584430.1</v>
      </c>
      <c r="CC17" s="357">
        <v>1584430.1</v>
      </c>
      <c r="CD17" s="336"/>
      <c r="CE17" s="336"/>
      <c r="CF17" s="337">
        <v>680734</v>
      </c>
      <c r="CG17" s="337">
        <v>380734</v>
      </c>
      <c r="CH17" s="337">
        <v>382566.8</v>
      </c>
      <c r="CI17" s="337">
        <v>382566.8</v>
      </c>
      <c r="CJ17" s="337">
        <v>382566.8</v>
      </c>
      <c r="CK17" s="337">
        <v>1567106.4</v>
      </c>
      <c r="CL17" s="337">
        <v>1567106.4</v>
      </c>
      <c r="CM17" s="337">
        <v>1567106.4</v>
      </c>
      <c r="CN17" s="357">
        <v>1567106.4</v>
      </c>
      <c r="CO17" s="357">
        <v>3385932.2</v>
      </c>
      <c r="CP17" s="357">
        <v>3385932.2</v>
      </c>
      <c r="CQ17" s="357">
        <v>3592164.2</v>
      </c>
      <c r="CR17" s="337"/>
    </row>
    <row r="18" spans="1:96">
      <c r="A18" s="53">
        <v>3.4</v>
      </c>
      <c r="B18" s="84" t="s">
        <v>91</v>
      </c>
      <c r="C18" s="103"/>
      <c r="D18" s="103"/>
      <c r="E18" s="335">
        <v>1328210</v>
      </c>
      <c r="F18" s="335">
        <v>319057.5</v>
      </c>
      <c r="G18" s="335">
        <v>625742</v>
      </c>
      <c r="H18" s="335">
        <v>945266</v>
      </c>
      <c r="I18" s="335">
        <v>1251725</v>
      </c>
      <c r="J18" s="335">
        <v>2054943.64</v>
      </c>
      <c r="K18" s="335">
        <v>2277488.6400000001</v>
      </c>
      <c r="L18" s="335">
        <v>2496039.64</v>
      </c>
      <c r="M18" s="335">
        <v>2873568.64</v>
      </c>
      <c r="N18" s="335">
        <v>5590391.8600000003</v>
      </c>
      <c r="O18" s="335">
        <v>6122572.8600000003</v>
      </c>
      <c r="P18" s="350">
        <v>6319675.9000000004</v>
      </c>
      <c r="Q18" s="335">
        <v>7123546.9199999999</v>
      </c>
      <c r="R18" s="335">
        <v>396062</v>
      </c>
      <c r="S18" s="364">
        <v>688684</v>
      </c>
      <c r="T18" s="364">
        <v>1175683.1000000001</v>
      </c>
      <c r="U18" s="364">
        <v>1566079.14</v>
      </c>
      <c r="V18" s="365">
        <v>328800</v>
      </c>
      <c r="W18" s="335">
        <v>490815</v>
      </c>
      <c r="X18" s="366">
        <v>639471</v>
      </c>
      <c r="Y18" s="367">
        <v>1215751</v>
      </c>
      <c r="Z18" s="368">
        <v>1448701</v>
      </c>
      <c r="AA18" s="335">
        <v>1524851</v>
      </c>
      <c r="AB18" s="369">
        <v>1712711</v>
      </c>
      <c r="AC18" s="369">
        <v>1862561</v>
      </c>
      <c r="AD18" s="369">
        <v>2622501</v>
      </c>
      <c r="AE18" s="369">
        <v>826983.36</v>
      </c>
      <c r="AF18" s="369">
        <v>887325.45</v>
      </c>
      <c r="AG18" s="369">
        <v>812495</v>
      </c>
      <c r="AH18" s="369">
        <v>1226105.6000000001</v>
      </c>
      <c r="AI18" s="369">
        <v>1439799.6</v>
      </c>
      <c r="AJ18" s="336">
        <v>2436674.6</v>
      </c>
      <c r="AK18" s="336">
        <v>2452674.6</v>
      </c>
      <c r="AL18" s="336">
        <v>2725284.6</v>
      </c>
      <c r="AM18" s="336">
        <v>2576934.6</v>
      </c>
      <c r="AN18" s="336">
        <v>2587334.6</v>
      </c>
      <c r="AO18" s="336">
        <v>2692971.05</v>
      </c>
      <c r="AP18" s="336">
        <v>3398751.05</v>
      </c>
      <c r="AQ18" s="336">
        <v>3398751</v>
      </c>
      <c r="AR18" s="336">
        <v>141210</v>
      </c>
      <c r="AS18" s="336">
        <v>700280</v>
      </c>
      <c r="AT18" s="336">
        <v>474544</v>
      </c>
      <c r="AU18" s="336">
        <v>651919</v>
      </c>
      <c r="AV18" s="336">
        <v>1206224</v>
      </c>
      <c r="AW18" s="335">
        <v>1724286.62</v>
      </c>
      <c r="AX18" s="336">
        <v>2084924.62</v>
      </c>
      <c r="AY18" s="336">
        <v>2453562.27</v>
      </c>
      <c r="AZ18" s="336">
        <v>2574276.27</v>
      </c>
      <c r="BA18" s="335">
        <v>2574276.27</v>
      </c>
      <c r="BB18" s="369">
        <v>3168625.92</v>
      </c>
      <c r="BC18" s="369">
        <v>3576864.92</v>
      </c>
      <c r="BD18" s="335">
        <v>18017613</v>
      </c>
      <c r="BE18" s="369">
        <v>370131</v>
      </c>
      <c r="BF18" s="369">
        <v>671035.65</v>
      </c>
      <c r="BG18" s="369">
        <v>901180.65</v>
      </c>
      <c r="BH18" s="369">
        <v>1475080.65</v>
      </c>
      <c r="BI18" s="369">
        <v>1999306.09</v>
      </c>
      <c r="BJ18" s="369">
        <v>2619777.31</v>
      </c>
      <c r="BK18" s="369">
        <v>2275420.92</v>
      </c>
      <c r="BL18" s="369">
        <v>2536508.66</v>
      </c>
      <c r="BM18" s="369">
        <v>2884154.14</v>
      </c>
      <c r="BN18" s="369">
        <v>3076695.7</v>
      </c>
      <c r="BO18" s="369">
        <v>3381902.42</v>
      </c>
      <c r="BP18" s="369">
        <v>3667631.36</v>
      </c>
      <c r="BQ18" s="336">
        <v>17782999.600000001</v>
      </c>
      <c r="BR18" s="369">
        <v>382658.77</v>
      </c>
      <c r="BS18" s="369">
        <v>663591.77</v>
      </c>
      <c r="BT18" s="369">
        <v>731881.77</v>
      </c>
      <c r="BU18" s="369">
        <v>1293236.77</v>
      </c>
      <c r="BV18" s="369">
        <v>1754791.77</v>
      </c>
      <c r="BW18" s="369">
        <v>2343091.77</v>
      </c>
      <c r="BX18" s="337"/>
      <c r="BY18" s="369">
        <v>2826595.46</v>
      </c>
      <c r="BZ18" s="369">
        <v>3873055.46</v>
      </c>
      <c r="CA18" s="390">
        <v>4381455.96</v>
      </c>
      <c r="CB18" s="369">
        <v>4423370.5</v>
      </c>
      <c r="CC18" s="369">
        <v>4903124.41</v>
      </c>
      <c r="CD18" s="336">
        <v>23597256.050000001</v>
      </c>
      <c r="CE18" s="336">
        <v>35619130</v>
      </c>
      <c r="CF18" s="337">
        <v>0</v>
      </c>
      <c r="CG18" s="337">
        <v>0</v>
      </c>
      <c r="CH18" s="337">
        <v>0</v>
      </c>
      <c r="CI18" s="337">
        <v>0</v>
      </c>
      <c r="CJ18" s="337">
        <v>0</v>
      </c>
      <c r="CK18" s="337">
        <v>0</v>
      </c>
      <c r="CL18" s="337">
        <v>0</v>
      </c>
      <c r="CM18" s="337">
        <v>3201170</v>
      </c>
      <c r="CN18" s="369">
        <v>3571120</v>
      </c>
      <c r="CO18" s="369">
        <v>6458005</v>
      </c>
      <c r="CP18" s="369">
        <v>2888995</v>
      </c>
      <c r="CQ18" s="369">
        <v>4163956.25</v>
      </c>
      <c r="CR18" s="337"/>
    </row>
    <row r="19" spans="1:96">
      <c r="A19" s="53">
        <v>4</v>
      </c>
      <c r="B19" s="83" t="s">
        <v>92</v>
      </c>
      <c r="C19" s="345">
        <f>SUM(C20:C25)</f>
        <v>13012500.790000001</v>
      </c>
      <c r="D19" s="345">
        <f>SUM(D20:D25)</f>
        <v>9863205.4199999999</v>
      </c>
      <c r="E19" s="333">
        <f t="shared" ref="E19" si="55">E20+E21+E22+E23+E24+E25</f>
        <v>27897903</v>
      </c>
      <c r="F19" s="333">
        <f t="shared" ref="F19" si="56">F20+F21+F22+F23+F24+F25</f>
        <v>1335000</v>
      </c>
      <c r="G19" s="333">
        <f t="shared" ref="G19" si="57">G20+G21+G22+G23+G24+G25</f>
        <v>1335000</v>
      </c>
      <c r="H19" s="333">
        <f t="shared" ref="H19" si="58">H20+H21+H22+H23+H24+H25</f>
        <v>1335000</v>
      </c>
      <c r="I19" s="333">
        <f t="shared" ref="I19" si="59">I20+I21+I22+I23+I24+I25</f>
        <v>9913510.0999999996</v>
      </c>
      <c r="J19" s="333">
        <f t="shared" ref="J19" si="60">J20+J21+J22+J23+J24+J25</f>
        <v>12106280</v>
      </c>
      <c r="K19" s="333">
        <f t="shared" ref="K19" si="61">K20+K21+K22+K23+K24+K25</f>
        <v>14380796.109999999</v>
      </c>
      <c r="L19" s="333">
        <f t="shared" ref="L19" si="62">L20+L21+L22+L23+L24+L25</f>
        <v>16672297.73</v>
      </c>
      <c r="M19" s="333">
        <f t="shared" ref="M19" si="63">M20+M21+M22+M23+M24+M25</f>
        <v>17941467.329999998</v>
      </c>
      <c r="N19" s="333">
        <f t="shared" ref="N19" si="64">N20+N21+N22+N23+N24+N25</f>
        <v>21417700</v>
      </c>
      <c r="O19" s="333">
        <f t="shared" ref="O19" si="65">O20+O21+O22+O23+O24+O25</f>
        <v>23615899.640000001</v>
      </c>
      <c r="P19" s="333">
        <f t="shared" ref="P19" si="66">P20+P21+P22+P23+P24+P25</f>
        <v>24858444.359999999</v>
      </c>
      <c r="Q19" s="333">
        <f t="shared" ref="Q19" si="67">Q20+Q21+Q22+Q23+Q24+Q25</f>
        <v>28603901.210000001</v>
      </c>
      <c r="R19" s="333">
        <f t="shared" ref="R19" si="68">R20+R21+R22+R23+R24+R25</f>
        <v>28811739.543900006</v>
      </c>
      <c r="S19" s="333">
        <f t="shared" ref="S19" si="69">S20+S21+S22+S23+S24+S25</f>
        <v>2990641.87</v>
      </c>
      <c r="T19" s="333">
        <f t="shared" ref="T19" si="70">T20+T21+T22+T23+T24+T25</f>
        <v>1363126</v>
      </c>
      <c r="U19" s="333">
        <f t="shared" ref="U19" si="71">U20+U21+U22+U23+U24+U25</f>
        <v>6845161.2999999998</v>
      </c>
      <c r="V19" s="333">
        <f t="shared" ref="V19" si="72">V20+V21+V22+V23+V24+V25</f>
        <v>9895460.7899999991</v>
      </c>
      <c r="W19" s="333">
        <f t="shared" ref="W19" si="73">W20+W21+W22+W23+W24+W25</f>
        <v>13526063.07</v>
      </c>
      <c r="X19" s="333">
        <f t="shared" ref="X19" si="74">X20+X21+X22+X23+X24+X25</f>
        <v>16311113.310000001</v>
      </c>
      <c r="Y19" s="333">
        <f t="shared" ref="Y19" si="75">Y20+Y21+Y22+Y23+Y24+Y25</f>
        <v>19000328.439999998</v>
      </c>
      <c r="Z19" s="333">
        <f t="shared" ref="Z19" si="76">Z20+Z21+Z22+Z23+Z24+Z25</f>
        <v>12806718.32</v>
      </c>
      <c r="AA19" s="333">
        <f t="shared" ref="AA19" si="77">AA20+AA21+AA22+AA23+AA24+AA25</f>
        <v>14123498.4</v>
      </c>
      <c r="AB19" s="333">
        <f t="shared" ref="AB19" si="78">AB20+AB21+AB22+AB23+AB24+AB25</f>
        <v>15676726.779999999</v>
      </c>
      <c r="AC19" s="333">
        <f t="shared" ref="AC19" si="79">AC20+AC21+AC22+AC23+AC24+AC25</f>
        <v>19513228.239999998</v>
      </c>
      <c r="AD19" s="333">
        <f t="shared" ref="AD19" si="80">AD20+AD21+AD22+AD23+AD24+AD25</f>
        <v>18706996.289999999</v>
      </c>
      <c r="AE19" s="333">
        <f t="shared" ref="AE19" si="81">AE20+AE21+AE22+AE23+AE24+AE25</f>
        <v>4115236.33</v>
      </c>
      <c r="AF19" s="333">
        <f t="shared" ref="AF19" si="82">AF20+AF21+AF22+AF23+AF24+AF25</f>
        <v>1335000</v>
      </c>
      <c r="AG19" s="333">
        <f t="shared" ref="AG19" si="83">AG20+AG21+AG22+AG23+AG24+AG25</f>
        <v>4202280</v>
      </c>
      <c r="AH19" s="333">
        <f t="shared" ref="AH19" si="84">AH20+AH21+AH22+AH23+AH24+AH25</f>
        <v>10596850.32</v>
      </c>
      <c r="AI19" s="333">
        <f t="shared" ref="AI19" si="85">AI20+AI21+AI22+AI23+AI24+AI25</f>
        <v>15046830.149999999</v>
      </c>
      <c r="AJ19" s="333">
        <f t="shared" ref="AJ19" si="86">AJ20+AJ21+AJ22+AJ23+AJ24+AJ25</f>
        <v>17781221.5</v>
      </c>
      <c r="AK19" s="333">
        <f t="shared" ref="AK19" si="87">AK20+AK21+AK22+AK23+AK24+AK25</f>
        <v>21156965.289999999</v>
      </c>
      <c r="AL19" s="333">
        <f t="shared" ref="AL19" si="88">AL20+AL21+AL22+AL23+AL24+AL25</f>
        <v>23332148.75</v>
      </c>
      <c r="AM19" s="333">
        <f t="shared" ref="AM19" si="89">AM20+AM21+AM22+AM23+AM24+AM25</f>
        <v>25954882.16</v>
      </c>
      <c r="AN19" s="333">
        <f t="shared" ref="AN19" si="90">AN20+AN21+AN22+AN23+AN24+AN25</f>
        <v>31499690.98</v>
      </c>
      <c r="AO19" s="333">
        <f t="shared" ref="AO19" si="91">AO20+AO21+AO22+AO23+AO24+AO25</f>
        <v>33272231.740000002</v>
      </c>
      <c r="AP19" s="333">
        <f t="shared" ref="AP19" si="92">AP20+AP21+AP22+AP23+AP24+AP25</f>
        <v>35557822.579999998</v>
      </c>
      <c r="AQ19" s="334">
        <f t="shared" ref="AQ19" si="93">AQ20+AQ21+AQ22+AQ23+AQ24+AQ25</f>
        <v>39292536</v>
      </c>
      <c r="AR19" s="334">
        <f t="shared" ref="AR19" si="94">AR20+AR21+AR22+AR23+AR24+AR25</f>
        <v>2474200.4500000002</v>
      </c>
      <c r="AS19" s="334">
        <f t="shared" ref="AS19:CD19" si="95">AS20+AS21+AS22+AS23+AS24+AS25</f>
        <v>6264593.2199999997</v>
      </c>
      <c r="AT19" s="334">
        <f t="shared" si="95"/>
        <v>8949452.6900000013</v>
      </c>
      <c r="AU19" s="334">
        <f t="shared" si="95"/>
        <v>11567076.949999999</v>
      </c>
      <c r="AV19" s="334">
        <f t="shared" si="95"/>
        <v>15949360.760000002</v>
      </c>
      <c r="AW19" s="334">
        <f t="shared" si="95"/>
        <v>20658886.23</v>
      </c>
      <c r="AX19" s="334">
        <f t="shared" si="95"/>
        <v>23334525.66</v>
      </c>
      <c r="AY19" s="334">
        <f t="shared" si="95"/>
        <v>27288595.060000002</v>
      </c>
      <c r="AZ19" s="334">
        <f t="shared" si="95"/>
        <v>30310445.219999999</v>
      </c>
      <c r="BA19" s="334">
        <f t="shared" si="95"/>
        <v>30310445.219999999</v>
      </c>
      <c r="BB19" s="334">
        <f t="shared" si="95"/>
        <v>36713612.770000003</v>
      </c>
      <c r="BC19" s="334">
        <f t="shared" si="95"/>
        <v>44506236.859999999</v>
      </c>
      <c r="BD19" s="334">
        <f t="shared" si="95"/>
        <v>28252889</v>
      </c>
      <c r="BE19" s="334">
        <f t="shared" si="95"/>
        <v>1944464.25</v>
      </c>
      <c r="BF19" s="334">
        <f t="shared" si="95"/>
        <v>5490512.5599999996</v>
      </c>
      <c r="BG19" s="334">
        <f t="shared" si="95"/>
        <v>7615833.0099999998</v>
      </c>
      <c r="BH19" s="334">
        <f t="shared" si="95"/>
        <v>10075150.889999999</v>
      </c>
      <c r="BI19" s="334">
        <f t="shared" si="95"/>
        <v>12407756.280000001</v>
      </c>
      <c r="BJ19" s="334">
        <f t="shared" si="95"/>
        <v>16214575.98</v>
      </c>
      <c r="BK19" s="334">
        <f t="shared" si="95"/>
        <v>19508759.719999999</v>
      </c>
      <c r="BL19" s="334">
        <f t="shared" si="95"/>
        <v>23460583.419999998</v>
      </c>
      <c r="BM19" s="334">
        <f t="shared" si="95"/>
        <v>26450346.329999998</v>
      </c>
      <c r="BN19" s="334">
        <f t="shared" si="95"/>
        <v>29595339.059999995</v>
      </c>
      <c r="BO19" s="334">
        <f t="shared" si="95"/>
        <v>33705705.600000001</v>
      </c>
      <c r="BP19" s="334">
        <f t="shared" si="95"/>
        <v>43110115.700000003</v>
      </c>
      <c r="BQ19" s="334">
        <f t="shared" si="95"/>
        <v>43110115.700000003</v>
      </c>
      <c r="BR19" s="334">
        <f t="shared" si="95"/>
        <v>4309991.43</v>
      </c>
      <c r="BS19" s="334">
        <f t="shared" si="95"/>
        <v>7262128.6000000006</v>
      </c>
      <c r="BT19" s="334">
        <f t="shared" si="95"/>
        <v>11104483.68</v>
      </c>
      <c r="BU19" s="334">
        <f t="shared" si="95"/>
        <v>14525045.359999999</v>
      </c>
      <c r="BV19" s="334">
        <f t="shared" si="95"/>
        <v>20760127.960000001</v>
      </c>
      <c r="BW19" s="334">
        <f t="shared" si="95"/>
        <v>24762596.66</v>
      </c>
      <c r="BX19" s="334">
        <f t="shared" si="95"/>
        <v>0</v>
      </c>
      <c r="BY19" s="334">
        <f t="shared" si="95"/>
        <v>32988147</v>
      </c>
      <c r="BZ19" s="334">
        <f t="shared" si="95"/>
        <v>37544484.560000002</v>
      </c>
      <c r="CA19" s="334">
        <f t="shared" si="95"/>
        <v>43364938.719999999</v>
      </c>
      <c r="CB19" s="334">
        <f t="shared" si="95"/>
        <v>47932671.57</v>
      </c>
      <c r="CC19" s="334">
        <f t="shared" si="95"/>
        <v>54505723.359999999</v>
      </c>
      <c r="CD19" s="334">
        <f t="shared" si="95"/>
        <v>55493803.200000003</v>
      </c>
      <c r="CE19" s="334">
        <f t="shared" ref="CE19:CR19" si="96">CE20+CE21+CE22+CE23+CE24+CE25</f>
        <v>57402628</v>
      </c>
      <c r="CF19" s="334">
        <f>CF20+CF21+CF22+CF23+CF24+CF25</f>
        <v>1935080.99</v>
      </c>
      <c r="CG19" s="334">
        <f t="shared" si="96"/>
        <v>2256193.6</v>
      </c>
      <c r="CH19" s="334">
        <f t="shared" si="96"/>
        <v>2524017.79</v>
      </c>
      <c r="CI19" s="334">
        <f t="shared" si="96"/>
        <v>4152737.7800000003</v>
      </c>
      <c r="CJ19" s="334">
        <f t="shared" si="96"/>
        <v>5088760.79</v>
      </c>
      <c r="CK19" s="334">
        <f t="shared" si="96"/>
        <v>7285792.0999999996</v>
      </c>
      <c r="CL19" s="334">
        <f t="shared" si="96"/>
        <v>8580753.4900000002</v>
      </c>
      <c r="CM19" s="334">
        <f t="shared" si="96"/>
        <v>39388853.399999999</v>
      </c>
      <c r="CN19" s="334">
        <f t="shared" si="96"/>
        <v>44728305.430000007</v>
      </c>
      <c r="CO19" s="334">
        <f t="shared" si="96"/>
        <v>54796884.950000003</v>
      </c>
      <c r="CP19" s="334">
        <f t="shared" si="96"/>
        <v>62476848.060000002</v>
      </c>
      <c r="CQ19" s="334">
        <f t="shared" si="96"/>
        <v>64901681.850000001</v>
      </c>
      <c r="CR19" s="334">
        <f t="shared" si="96"/>
        <v>0</v>
      </c>
    </row>
    <row r="20" spans="1:96">
      <c r="A20" s="53">
        <v>4.2</v>
      </c>
      <c r="B20" s="84" t="s">
        <v>93</v>
      </c>
      <c r="C20" s="103">
        <v>5851152.4900000002</v>
      </c>
      <c r="D20" s="103">
        <v>6070496.4199999999</v>
      </c>
      <c r="E20" s="335">
        <v>24947048</v>
      </c>
      <c r="F20" s="335"/>
      <c r="G20" s="335"/>
      <c r="H20" s="335"/>
      <c r="I20" s="335">
        <v>8578510.0999999996</v>
      </c>
      <c r="J20" s="335">
        <v>10771280</v>
      </c>
      <c r="K20" s="335">
        <v>13045796.109999999</v>
      </c>
      <c r="L20" s="335">
        <v>15337297.73</v>
      </c>
      <c r="M20" s="335">
        <v>16606467.33</v>
      </c>
      <c r="N20" s="335">
        <v>20082700</v>
      </c>
      <c r="O20" s="335">
        <v>22280899.640000001</v>
      </c>
      <c r="P20" s="350">
        <v>24858444.359999999</v>
      </c>
      <c r="Q20" s="335">
        <v>27268901.210000001</v>
      </c>
      <c r="R20" s="335">
        <v>15562596.823900003</v>
      </c>
      <c r="S20" s="370">
        <v>1655641.87</v>
      </c>
      <c r="T20" s="370">
        <v>1363126</v>
      </c>
      <c r="U20" s="370">
        <v>4118909.3</v>
      </c>
      <c r="V20" s="371">
        <v>5551715.9299999997</v>
      </c>
      <c r="W20" s="335">
        <v>7069264.21</v>
      </c>
      <c r="X20" s="372">
        <v>8562954.7100000009</v>
      </c>
      <c r="Y20" s="373">
        <v>10020749.84</v>
      </c>
      <c r="Z20" s="356">
        <v>11471718.32</v>
      </c>
      <c r="AA20" s="335">
        <v>12788497.4</v>
      </c>
      <c r="AB20" s="357">
        <v>14341726.779999999</v>
      </c>
      <c r="AC20" s="357">
        <v>18178228.239999998</v>
      </c>
      <c r="AD20" s="357">
        <v>17371996.289999999</v>
      </c>
      <c r="AE20" s="357">
        <v>2780236.33</v>
      </c>
      <c r="AF20" s="357">
        <v>0</v>
      </c>
      <c r="AG20" s="357">
        <v>0</v>
      </c>
      <c r="AH20" s="357">
        <v>5394570.3200000003</v>
      </c>
      <c r="AI20" s="357">
        <v>9342433.7899999991</v>
      </c>
      <c r="AJ20" s="336">
        <v>11278941.5</v>
      </c>
      <c r="AK20" s="336">
        <v>13828429.289999999</v>
      </c>
      <c r="AL20" s="336">
        <v>14967738.390000001</v>
      </c>
      <c r="AM20" s="336">
        <v>16952492.530000001</v>
      </c>
      <c r="AN20" s="336">
        <v>21137405.620000001</v>
      </c>
      <c r="AO20" s="336">
        <v>21312828.16</v>
      </c>
      <c r="AP20" s="336">
        <v>23598419</v>
      </c>
      <c r="AQ20" s="336">
        <v>29700000</v>
      </c>
      <c r="AR20" s="336">
        <v>2474200.4500000002</v>
      </c>
      <c r="AS20" s="336">
        <v>5018214.22</v>
      </c>
      <c r="AT20" s="336">
        <v>7599452.6900000004</v>
      </c>
      <c r="AU20" s="336">
        <v>10217076.949999999</v>
      </c>
      <c r="AV20" s="336">
        <v>12687881.800000001</v>
      </c>
      <c r="AW20" s="335">
        <v>15797407.27</v>
      </c>
      <c r="AX20" s="336">
        <v>18473046.699999999</v>
      </c>
      <c r="AY20" s="336">
        <v>21327116.100000001</v>
      </c>
      <c r="AZ20" s="336">
        <v>23479267.699999999</v>
      </c>
      <c r="BA20" s="335">
        <v>23479267.699999999</v>
      </c>
      <c r="BB20" s="357">
        <v>29205223.210000001</v>
      </c>
      <c r="BC20" s="357">
        <v>36997847.299999997</v>
      </c>
      <c r="BD20" s="335">
        <v>20740000</v>
      </c>
      <c r="BE20" s="357">
        <v>0</v>
      </c>
      <c r="BF20" s="357">
        <v>3497546.17</v>
      </c>
      <c r="BG20" s="357">
        <v>5291751.32</v>
      </c>
      <c r="BH20" s="357">
        <v>7125074.21</v>
      </c>
      <c r="BI20" s="357">
        <v>9006856.7300000004</v>
      </c>
      <c r="BJ20" s="357">
        <v>10912776.880000001</v>
      </c>
      <c r="BK20" s="357">
        <v>12852139.17</v>
      </c>
      <c r="BL20" s="357">
        <v>14676604.369999999</v>
      </c>
      <c r="BM20" s="357">
        <v>16715886.15</v>
      </c>
      <c r="BN20" s="357">
        <v>18742682.399999999</v>
      </c>
      <c r="BO20" s="357">
        <v>22732188.91</v>
      </c>
      <c r="BP20" s="357">
        <v>32500000</v>
      </c>
      <c r="BQ20" s="336">
        <v>32500000</v>
      </c>
      <c r="BR20" s="357">
        <v>2739854.4</v>
      </c>
      <c r="BS20" s="357">
        <v>5524569.9800000004</v>
      </c>
      <c r="BT20" s="357">
        <v>8368431.4400000004</v>
      </c>
      <c r="BU20" s="357">
        <v>11323632.060000001</v>
      </c>
      <c r="BV20" s="357">
        <v>14300957.49</v>
      </c>
      <c r="BW20" s="357">
        <v>17278990.68</v>
      </c>
      <c r="BX20" s="337"/>
      <c r="BY20" s="357">
        <v>23156452.870000001</v>
      </c>
      <c r="BZ20" s="357">
        <v>26139815.93</v>
      </c>
      <c r="CA20" s="389">
        <v>31259297.300000001</v>
      </c>
      <c r="CB20" s="357">
        <v>35623185.700000003</v>
      </c>
      <c r="CC20" s="357">
        <v>40000000</v>
      </c>
      <c r="CD20" s="336">
        <v>40000000</v>
      </c>
      <c r="CE20" s="336">
        <v>47000000</v>
      </c>
      <c r="CF20" s="337">
        <v>680734</v>
      </c>
      <c r="CG20" s="337">
        <v>380734</v>
      </c>
      <c r="CH20" s="337">
        <v>382566.8</v>
      </c>
      <c r="CI20" s="337">
        <v>382566.8</v>
      </c>
      <c r="CJ20" s="337">
        <v>382566.8</v>
      </c>
      <c r="CK20" s="337">
        <v>1567106.4</v>
      </c>
      <c r="CL20" s="337">
        <v>1567106.4</v>
      </c>
      <c r="CM20" s="337">
        <v>31500900.449999999</v>
      </c>
      <c r="CN20" s="357">
        <v>35626744.770000003</v>
      </c>
      <c r="CO20" s="357">
        <v>44495324.289999999</v>
      </c>
      <c r="CP20" s="357">
        <v>51059597.060000002</v>
      </c>
      <c r="CQ20" s="357">
        <v>50400000</v>
      </c>
      <c r="CR20" s="337"/>
    </row>
    <row r="21" spans="1:96">
      <c r="A21" s="53">
        <v>4.3</v>
      </c>
      <c r="B21" s="84" t="s">
        <v>94</v>
      </c>
      <c r="C21" s="103">
        <f>2187682+4876654.2</f>
        <v>7064336.2000000002</v>
      </c>
      <c r="D21" s="103">
        <f>3371543+378751</f>
        <v>3750294</v>
      </c>
      <c r="E21" s="335">
        <v>1335000</v>
      </c>
      <c r="F21" s="335">
        <v>1335000</v>
      </c>
      <c r="G21" s="335">
        <v>1335000</v>
      </c>
      <c r="H21" s="335">
        <v>1335000</v>
      </c>
      <c r="I21" s="335">
        <v>1335000</v>
      </c>
      <c r="J21" s="335">
        <v>1335000</v>
      </c>
      <c r="K21" s="335">
        <v>1335000</v>
      </c>
      <c r="L21" s="335">
        <v>1335000</v>
      </c>
      <c r="M21" s="335">
        <v>1335000</v>
      </c>
      <c r="N21" s="335">
        <v>1335000</v>
      </c>
      <c r="O21" s="335">
        <v>1335000</v>
      </c>
      <c r="P21" s="350">
        <v>0</v>
      </c>
      <c r="Q21" s="335">
        <v>1335000</v>
      </c>
      <c r="R21" s="335">
        <v>13249142.720000001</v>
      </c>
      <c r="S21" s="370">
        <v>1335000</v>
      </c>
      <c r="T21" s="370">
        <v>0</v>
      </c>
      <c r="U21" s="370">
        <v>2726252</v>
      </c>
      <c r="V21" s="371">
        <v>4343744.8600000003</v>
      </c>
      <c r="W21" s="335">
        <v>6456798.8600000003</v>
      </c>
      <c r="X21" s="372">
        <v>7748158.5999999996</v>
      </c>
      <c r="Y21" s="373">
        <v>8979578.5999999996</v>
      </c>
      <c r="Z21" s="356">
        <v>1335000</v>
      </c>
      <c r="AA21" s="335">
        <v>1335000</v>
      </c>
      <c r="AB21" s="357">
        <v>1335000</v>
      </c>
      <c r="AC21" s="357">
        <v>1335000</v>
      </c>
      <c r="AD21" s="357">
        <v>1335000</v>
      </c>
      <c r="AE21" s="357">
        <v>1335000</v>
      </c>
      <c r="AF21" s="357">
        <v>1335000</v>
      </c>
      <c r="AG21" s="357">
        <v>2770280</v>
      </c>
      <c r="AH21" s="357">
        <v>3770280</v>
      </c>
      <c r="AI21" s="357">
        <v>4272396.3600000003</v>
      </c>
      <c r="AJ21" s="336">
        <v>5070280</v>
      </c>
      <c r="AK21" s="336">
        <v>5896536</v>
      </c>
      <c r="AL21" s="336">
        <v>6932410.3600000003</v>
      </c>
      <c r="AM21" s="336">
        <v>7570389.6299999999</v>
      </c>
      <c r="AN21" s="336">
        <v>8930285.3599999994</v>
      </c>
      <c r="AO21" s="336">
        <v>9589535.7300000004</v>
      </c>
      <c r="AP21" s="336">
        <v>9589535.7300000004</v>
      </c>
      <c r="AQ21" s="336">
        <v>9592536</v>
      </c>
      <c r="AR21" s="336">
        <v>0</v>
      </c>
      <c r="AS21" s="336">
        <v>1246379</v>
      </c>
      <c r="AT21" s="336">
        <v>1350000</v>
      </c>
      <c r="AU21" s="336">
        <v>1350000</v>
      </c>
      <c r="AV21" s="336">
        <v>3261478.96</v>
      </c>
      <c r="AW21" s="335">
        <v>4861478.96</v>
      </c>
      <c r="AX21" s="336">
        <v>4861478.96</v>
      </c>
      <c r="AY21" s="336">
        <v>5961478.96</v>
      </c>
      <c r="AZ21" s="336">
        <v>6451478.96</v>
      </c>
      <c r="BA21" s="335">
        <v>6451478.96</v>
      </c>
      <c r="BB21" s="357">
        <v>7508389.5599999996</v>
      </c>
      <c r="BC21" s="357">
        <v>7508389.5599999996</v>
      </c>
      <c r="BD21" s="335">
        <v>7512889</v>
      </c>
      <c r="BE21" s="357">
        <v>1925360.25</v>
      </c>
      <c r="BF21" s="357">
        <v>1925360.39</v>
      </c>
      <c r="BG21" s="357">
        <v>2240125.69</v>
      </c>
      <c r="BH21" s="357">
        <v>2865321.23</v>
      </c>
      <c r="BI21" s="357">
        <v>3400899.55</v>
      </c>
      <c r="BJ21" s="357">
        <v>5301799.0999999996</v>
      </c>
      <c r="BK21" s="357">
        <v>5301799.0999999996</v>
      </c>
      <c r="BL21" s="357">
        <v>7363625.5999999996</v>
      </c>
      <c r="BM21" s="357">
        <v>7363625.5999999996</v>
      </c>
      <c r="BN21" s="357">
        <v>9276280.0800000001</v>
      </c>
      <c r="BO21" s="357">
        <v>9276280.0800000001</v>
      </c>
      <c r="BP21" s="357">
        <v>10610115.699999999</v>
      </c>
      <c r="BQ21" s="336">
        <v>10610115.699999999</v>
      </c>
      <c r="BR21" s="357">
        <v>1570137.03</v>
      </c>
      <c r="BS21" s="357">
        <v>1570137.03</v>
      </c>
      <c r="BT21" s="357">
        <v>2201413.2999999998</v>
      </c>
      <c r="BU21" s="357">
        <v>3201413.3</v>
      </c>
      <c r="BV21" s="357">
        <v>5664580.96</v>
      </c>
      <c r="BW21" s="357">
        <v>6689016.4699999997</v>
      </c>
      <c r="BX21" s="337"/>
      <c r="BY21" s="357">
        <v>8711019.9199999999</v>
      </c>
      <c r="BZ21" s="357">
        <v>9700575.8800000008</v>
      </c>
      <c r="CA21" s="389">
        <v>10147493.689999999</v>
      </c>
      <c r="CB21" s="357">
        <v>10147493.689999999</v>
      </c>
      <c r="CC21" s="357">
        <v>11784115.199999999</v>
      </c>
      <c r="CD21" s="336">
        <v>11784115.199999999</v>
      </c>
      <c r="CE21" s="336">
        <v>10402628</v>
      </c>
      <c r="CF21" s="337">
        <v>1254346.99</v>
      </c>
      <c r="CG21" s="337">
        <v>1875459.6</v>
      </c>
      <c r="CH21" s="337">
        <v>2141450.9900000002</v>
      </c>
      <c r="CI21" s="337">
        <v>3141450.99</v>
      </c>
      <c r="CJ21" s="337">
        <v>3846930.45</v>
      </c>
      <c r="CK21" s="337">
        <v>5298862.53</v>
      </c>
      <c r="CL21" s="337">
        <v>6529555.2800000003</v>
      </c>
      <c r="CM21" s="337">
        <v>7329455.3499999996</v>
      </c>
      <c r="CN21" s="357">
        <v>8539260.4600000009</v>
      </c>
      <c r="CO21" s="357">
        <v>9739260.4600000009</v>
      </c>
      <c r="CP21" s="357">
        <v>10846900.199999999</v>
      </c>
      <c r="CQ21" s="357">
        <v>14501681.85</v>
      </c>
      <c r="CR21" s="337"/>
    </row>
    <row r="22" spans="1:96" ht="13.5" customHeight="1">
      <c r="A22" s="53">
        <v>4.4000000000000004</v>
      </c>
      <c r="B22" s="84" t="s">
        <v>95</v>
      </c>
      <c r="C22" s="103"/>
      <c r="D22" s="103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P22" s="374"/>
      <c r="Q22" s="340">
        <v>0</v>
      </c>
      <c r="R22" s="340"/>
      <c r="S22" s="370">
        <v>0</v>
      </c>
      <c r="T22" s="370">
        <v>0</v>
      </c>
      <c r="U22" s="370">
        <v>0</v>
      </c>
      <c r="V22" s="371">
        <v>0</v>
      </c>
      <c r="W22" s="339"/>
      <c r="X22" s="372">
        <v>0</v>
      </c>
      <c r="Y22" s="373">
        <v>0</v>
      </c>
      <c r="Z22" s="356">
        <v>0</v>
      </c>
      <c r="AA22" s="340">
        <v>0</v>
      </c>
      <c r="AB22" s="357">
        <v>0</v>
      </c>
      <c r="AC22" s="357">
        <v>0</v>
      </c>
      <c r="AD22" s="357">
        <v>0</v>
      </c>
      <c r="AE22" s="357">
        <v>0</v>
      </c>
      <c r="AF22" s="357">
        <v>0</v>
      </c>
      <c r="AG22" s="357">
        <v>0</v>
      </c>
      <c r="AH22" s="357">
        <v>0</v>
      </c>
      <c r="AI22" s="357">
        <v>0</v>
      </c>
      <c r="AJ22" s="336">
        <v>0</v>
      </c>
      <c r="AK22" s="336">
        <v>0</v>
      </c>
      <c r="AL22" s="336">
        <v>0</v>
      </c>
      <c r="AM22" s="336">
        <v>0</v>
      </c>
      <c r="AN22" s="336">
        <v>0</v>
      </c>
      <c r="AO22" s="336">
        <v>0</v>
      </c>
      <c r="AP22" s="336">
        <v>0</v>
      </c>
      <c r="AQ22" s="336"/>
      <c r="AR22" s="336">
        <v>0</v>
      </c>
      <c r="AS22" s="336">
        <v>0</v>
      </c>
      <c r="AT22" s="336">
        <v>0</v>
      </c>
      <c r="AU22" s="336">
        <v>0</v>
      </c>
      <c r="AV22" s="336">
        <v>0</v>
      </c>
      <c r="AW22" s="337"/>
      <c r="AX22" s="336">
        <v>0</v>
      </c>
      <c r="AY22" s="336">
        <v>0</v>
      </c>
      <c r="AZ22" s="336">
        <v>0</v>
      </c>
      <c r="BA22" s="340">
        <v>0</v>
      </c>
      <c r="BB22" s="357">
        <v>0</v>
      </c>
      <c r="BC22" s="357">
        <v>0</v>
      </c>
      <c r="BD22" s="340"/>
      <c r="BE22" s="357">
        <v>0</v>
      </c>
      <c r="BF22" s="357">
        <v>0</v>
      </c>
      <c r="BG22" s="357">
        <v>0</v>
      </c>
      <c r="BH22" s="357">
        <v>0</v>
      </c>
      <c r="BI22" s="357">
        <v>0</v>
      </c>
      <c r="BJ22" s="357">
        <v>0</v>
      </c>
      <c r="BK22" s="357">
        <v>0</v>
      </c>
      <c r="BL22" s="357">
        <v>0</v>
      </c>
      <c r="BM22" s="357">
        <v>0</v>
      </c>
      <c r="BN22" s="357">
        <v>0</v>
      </c>
      <c r="BO22" s="357">
        <v>0</v>
      </c>
      <c r="BP22" s="357">
        <v>0</v>
      </c>
      <c r="BQ22" s="336"/>
      <c r="BR22" s="357">
        <v>0</v>
      </c>
      <c r="BS22" s="357">
        <v>0</v>
      </c>
      <c r="BT22" s="357">
        <v>0</v>
      </c>
      <c r="BU22" s="357">
        <v>0</v>
      </c>
      <c r="BV22" s="357">
        <v>0</v>
      </c>
      <c r="BW22" s="357">
        <v>0</v>
      </c>
      <c r="BX22" s="337"/>
      <c r="BY22" s="357">
        <v>0</v>
      </c>
      <c r="BZ22" s="357">
        <v>0</v>
      </c>
      <c r="CA22" s="389">
        <v>0</v>
      </c>
      <c r="CB22" s="357">
        <v>0</v>
      </c>
      <c r="CC22" s="357">
        <v>0</v>
      </c>
      <c r="CD22" s="336"/>
      <c r="CE22" s="336"/>
      <c r="CF22" s="337">
        <v>0</v>
      </c>
      <c r="CG22" s="337">
        <v>0</v>
      </c>
      <c r="CH22" s="337">
        <v>0</v>
      </c>
      <c r="CI22" s="337">
        <v>0</v>
      </c>
      <c r="CJ22" s="337">
        <v>0</v>
      </c>
      <c r="CK22" s="337">
        <v>0</v>
      </c>
      <c r="CL22" s="337">
        <v>0</v>
      </c>
      <c r="CM22" s="337">
        <v>0</v>
      </c>
      <c r="CN22" s="357">
        <v>0</v>
      </c>
      <c r="CO22" s="357">
        <v>0</v>
      </c>
      <c r="CP22" s="357">
        <v>0</v>
      </c>
      <c r="CQ22" s="357">
        <v>0</v>
      </c>
      <c r="CR22" s="337"/>
    </row>
    <row r="23" spans="1:96">
      <c r="A23" s="53">
        <v>4.5</v>
      </c>
      <c r="B23" s="84" t="s">
        <v>96</v>
      </c>
      <c r="C23" s="103"/>
      <c r="D23" s="103"/>
      <c r="E23" s="335">
        <v>568105</v>
      </c>
      <c r="F23" s="335"/>
      <c r="G23" s="335"/>
      <c r="H23" s="335"/>
      <c r="I23" s="335"/>
      <c r="J23" s="335"/>
      <c r="K23" s="335"/>
      <c r="L23" s="335"/>
      <c r="M23" s="335"/>
      <c r="N23" s="335"/>
      <c r="O23" s="335"/>
      <c r="P23" s="350"/>
      <c r="Q23" s="335"/>
      <c r="R23" s="335"/>
      <c r="S23" s="370">
        <v>0</v>
      </c>
      <c r="T23" s="370">
        <v>0</v>
      </c>
      <c r="U23" s="370">
        <v>0</v>
      </c>
      <c r="V23" s="371">
        <v>0</v>
      </c>
      <c r="W23" s="339"/>
      <c r="X23" s="372">
        <v>0</v>
      </c>
      <c r="Y23" s="373">
        <v>0</v>
      </c>
      <c r="Z23" s="356">
        <v>0</v>
      </c>
      <c r="AA23" s="335">
        <v>0</v>
      </c>
      <c r="AB23" s="357">
        <v>0</v>
      </c>
      <c r="AC23" s="357">
        <v>0</v>
      </c>
      <c r="AD23" s="357">
        <v>0</v>
      </c>
      <c r="AE23" s="357">
        <v>0</v>
      </c>
      <c r="AF23" s="357">
        <v>0</v>
      </c>
      <c r="AG23" s="357">
        <v>1432000</v>
      </c>
      <c r="AH23" s="357">
        <v>1432000</v>
      </c>
      <c r="AI23" s="357">
        <v>1432000</v>
      </c>
      <c r="AJ23" s="336">
        <v>1432000</v>
      </c>
      <c r="AK23" s="336">
        <v>1432000</v>
      </c>
      <c r="AL23" s="336">
        <v>1432000</v>
      </c>
      <c r="AM23" s="336">
        <v>1432000</v>
      </c>
      <c r="AN23" s="336">
        <v>1432000</v>
      </c>
      <c r="AO23" s="336">
        <v>2369867.85</v>
      </c>
      <c r="AP23" s="336">
        <v>2369867.85</v>
      </c>
      <c r="AQ23" s="336"/>
      <c r="AR23" s="336">
        <v>0</v>
      </c>
      <c r="AS23" s="336">
        <v>0</v>
      </c>
      <c r="AT23" s="336">
        <v>0</v>
      </c>
      <c r="AU23" s="336">
        <v>0</v>
      </c>
      <c r="AV23" s="336">
        <v>0</v>
      </c>
      <c r="AW23" s="337"/>
      <c r="AX23" s="336">
        <v>0</v>
      </c>
      <c r="AY23" s="336">
        <v>0</v>
      </c>
      <c r="AZ23" s="336">
        <v>379698.56</v>
      </c>
      <c r="BA23" s="335">
        <v>379698.56</v>
      </c>
      <c r="BB23" s="357">
        <v>0</v>
      </c>
      <c r="BC23" s="357">
        <v>0</v>
      </c>
      <c r="BD23" s="335"/>
      <c r="BE23" s="357">
        <v>19104</v>
      </c>
      <c r="BF23" s="357">
        <v>67606</v>
      </c>
      <c r="BG23" s="357">
        <v>83956</v>
      </c>
      <c r="BH23" s="357">
        <v>84755.45</v>
      </c>
      <c r="BI23" s="357">
        <v>0</v>
      </c>
      <c r="BJ23" s="357">
        <v>0</v>
      </c>
      <c r="BK23" s="357">
        <v>1354821.45</v>
      </c>
      <c r="BL23" s="357">
        <v>1420353.45</v>
      </c>
      <c r="BM23" s="357">
        <v>2370834.58</v>
      </c>
      <c r="BN23" s="357">
        <v>1576376.58</v>
      </c>
      <c r="BO23" s="357">
        <v>1697236.61</v>
      </c>
      <c r="BP23" s="357">
        <v>0</v>
      </c>
      <c r="BQ23" s="336"/>
      <c r="BR23" s="357">
        <v>0</v>
      </c>
      <c r="BS23" s="357">
        <v>167421.59</v>
      </c>
      <c r="BT23" s="357">
        <v>534638.93999999994</v>
      </c>
      <c r="BU23" s="357">
        <v>0</v>
      </c>
      <c r="BV23" s="357">
        <v>794589.51</v>
      </c>
      <c r="BW23" s="357">
        <v>794589.51</v>
      </c>
      <c r="BX23" s="337"/>
      <c r="BY23" s="357">
        <v>1120674.21</v>
      </c>
      <c r="BZ23" s="357">
        <v>1704092.75</v>
      </c>
      <c r="CA23" s="389">
        <v>1958147.73</v>
      </c>
      <c r="CB23" s="357">
        <v>2161992.1800000002</v>
      </c>
      <c r="CC23" s="357">
        <v>2721608.16</v>
      </c>
      <c r="CD23" s="336">
        <v>1799552</v>
      </c>
      <c r="CE23" s="336"/>
      <c r="CF23" s="337">
        <v>0</v>
      </c>
      <c r="CG23" s="337">
        <v>0</v>
      </c>
      <c r="CH23" s="337">
        <v>0</v>
      </c>
      <c r="CI23" s="337">
        <v>628719.99</v>
      </c>
      <c r="CJ23" s="337">
        <v>859263.54</v>
      </c>
      <c r="CK23" s="337">
        <v>419823.17</v>
      </c>
      <c r="CL23" s="337">
        <v>484091.81</v>
      </c>
      <c r="CM23" s="337">
        <v>558497.6</v>
      </c>
      <c r="CN23" s="357">
        <v>562300.19999999995</v>
      </c>
      <c r="CO23" s="357">
        <v>562300.19999999995</v>
      </c>
      <c r="CP23" s="357">
        <v>570350.80000000005</v>
      </c>
      <c r="CQ23" s="357">
        <v>0</v>
      </c>
      <c r="CR23" s="337"/>
    </row>
    <row r="24" spans="1:96">
      <c r="A24" s="53">
        <v>4.5999999999999996</v>
      </c>
      <c r="B24" s="84" t="s">
        <v>97</v>
      </c>
      <c r="C24" s="103">
        <v>97012.1</v>
      </c>
      <c r="D24" s="103">
        <v>42415</v>
      </c>
      <c r="E24" s="338"/>
      <c r="F24" s="338"/>
      <c r="G24" s="338"/>
      <c r="H24" s="338"/>
      <c r="I24" s="338"/>
      <c r="J24" s="338"/>
      <c r="K24" s="338"/>
      <c r="L24" s="338"/>
      <c r="M24" s="338"/>
      <c r="N24" s="338"/>
      <c r="O24" s="338"/>
      <c r="P24" s="358"/>
      <c r="Q24" s="338"/>
      <c r="R24" s="338"/>
      <c r="S24" s="370">
        <v>0</v>
      </c>
      <c r="T24" s="370">
        <v>0</v>
      </c>
      <c r="U24" s="370">
        <v>0</v>
      </c>
      <c r="V24" s="371">
        <v>0</v>
      </c>
      <c r="W24" s="339"/>
      <c r="X24" s="372">
        <v>0</v>
      </c>
      <c r="Y24" s="373">
        <v>0</v>
      </c>
      <c r="Z24" s="356">
        <v>0</v>
      </c>
      <c r="AA24" s="356">
        <v>1</v>
      </c>
      <c r="AB24" s="357">
        <v>0</v>
      </c>
      <c r="AC24" s="357">
        <v>0</v>
      </c>
      <c r="AD24" s="357">
        <v>0</v>
      </c>
      <c r="AE24" s="357">
        <v>0</v>
      </c>
      <c r="AF24" s="357">
        <v>0</v>
      </c>
      <c r="AG24" s="357">
        <v>0</v>
      </c>
      <c r="AH24" s="357">
        <v>0</v>
      </c>
      <c r="AI24" s="357">
        <v>0</v>
      </c>
      <c r="AJ24" s="336">
        <v>0</v>
      </c>
      <c r="AK24" s="336">
        <v>0</v>
      </c>
      <c r="AL24" s="336">
        <v>0</v>
      </c>
      <c r="AM24" s="336">
        <v>0</v>
      </c>
      <c r="AN24" s="336">
        <v>0</v>
      </c>
      <c r="AO24" s="336">
        <v>0</v>
      </c>
      <c r="AP24" s="336">
        <v>0</v>
      </c>
      <c r="AQ24" s="336"/>
      <c r="AR24" s="336">
        <v>0</v>
      </c>
      <c r="AS24" s="336">
        <v>0</v>
      </c>
      <c r="AT24" s="336">
        <v>0</v>
      </c>
      <c r="AU24" s="336">
        <v>0</v>
      </c>
      <c r="AV24" s="336">
        <v>0</v>
      </c>
      <c r="AW24" s="337"/>
      <c r="AX24" s="336">
        <v>0</v>
      </c>
      <c r="AY24" s="336">
        <v>0</v>
      </c>
      <c r="AZ24" s="336">
        <v>0</v>
      </c>
      <c r="BA24" s="336">
        <v>0</v>
      </c>
      <c r="BB24" s="357">
        <v>0</v>
      </c>
      <c r="BC24" s="357">
        <v>0</v>
      </c>
      <c r="BD24" s="336">
        <v>0</v>
      </c>
      <c r="BE24" s="357">
        <v>0</v>
      </c>
      <c r="BF24" s="357">
        <v>0</v>
      </c>
      <c r="BG24" s="357">
        <v>0</v>
      </c>
      <c r="BH24" s="357">
        <v>0</v>
      </c>
      <c r="BI24" s="357">
        <v>0</v>
      </c>
      <c r="BJ24" s="357">
        <v>0</v>
      </c>
      <c r="BK24" s="357">
        <v>0</v>
      </c>
      <c r="BL24" s="357">
        <v>0</v>
      </c>
      <c r="BM24" s="357">
        <v>0</v>
      </c>
      <c r="BN24" s="357">
        <v>0</v>
      </c>
      <c r="BO24" s="357">
        <v>0</v>
      </c>
      <c r="BP24" s="357">
        <v>0</v>
      </c>
      <c r="BQ24" s="336"/>
      <c r="BR24" s="357">
        <v>0</v>
      </c>
      <c r="BS24" s="357">
        <v>0</v>
      </c>
      <c r="BT24" s="357">
        <v>0</v>
      </c>
      <c r="BU24" s="357">
        <v>0</v>
      </c>
      <c r="BV24" s="357">
        <v>0</v>
      </c>
      <c r="BW24" s="357">
        <v>0</v>
      </c>
      <c r="BX24" s="337"/>
      <c r="BY24" s="357">
        <v>0</v>
      </c>
      <c r="BZ24" s="357">
        <v>0</v>
      </c>
      <c r="CA24" s="389">
        <v>0</v>
      </c>
      <c r="CB24" s="357">
        <v>0</v>
      </c>
      <c r="CC24" s="357">
        <v>0</v>
      </c>
      <c r="CD24" s="336"/>
      <c r="CE24" s="336"/>
      <c r="CF24" s="337">
        <v>0</v>
      </c>
      <c r="CG24" s="337">
        <v>0</v>
      </c>
      <c r="CH24" s="337">
        <v>0</v>
      </c>
      <c r="CI24" s="337">
        <v>0</v>
      </c>
      <c r="CJ24" s="337">
        <v>0</v>
      </c>
      <c r="CK24" s="337">
        <v>0</v>
      </c>
      <c r="CL24" s="337">
        <v>0</v>
      </c>
      <c r="CM24" s="337">
        <v>0</v>
      </c>
      <c r="CN24" s="357">
        <v>0</v>
      </c>
      <c r="CO24" s="357">
        <v>0</v>
      </c>
      <c r="CP24" s="357">
        <v>0</v>
      </c>
      <c r="CQ24" s="357">
        <v>0</v>
      </c>
      <c r="CR24" s="337"/>
    </row>
    <row r="25" spans="1:96" ht="18" customHeight="1">
      <c r="A25" s="53">
        <v>4.7</v>
      </c>
      <c r="B25" s="84" t="s">
        <v>98</v>
      </c>
      <c r="C25" s="103"/>
      <c r="D25" s="103"/>
      <c r="E25" s="340">
        <f>912500+135250</f>
        <v>1047750</v>
      </c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P25" s="374"/>
      <c r="Q25" s="340"/>
      <c r="R25" s="340"/>
      <c r="S25" s="375"/>
      <c r="T25" s="339"/>
      <c r="U25" s="339"/>
      <c r="V25" s="339"/>
      <c r="W25" s="339"/>
      <c r="X25" s="339"/>
      <c r="Y25" s="339"/>
      <c r="Z25" s="339"/>
      <c r="AA25" s="339"/>
      <c r="AB25" s="337"/>
      <c r="AC25" s="337"/>
      <c r="AD25" s="337"/>
      <c r="AE25" s="337"/>
      <c r="AF25" s="337"/>
      <c r="AG25" s="337"/>
      <c r="AH25" s="337"/>
      <c r="AI25" s="337"/>
      <c r="AJ25" s="336"/>
      <c r="AK25" s="336">
        <v>0</v>
      </c>
      <c r="AL25" s="336">
        <v>0</v>
      </c>
      <c r="AM25" s="336"/>
      <c r="AN25" s="336"/>
      <c r="AO25" s="336">
        <v>0</v>
      </c>
      <c r="AP25" s="336">
        <v>0</v>
      </c>
      <c r="AQ25" s="336"/>
      <c r="AR25" s="336">
        <v>0</v>
      </c>
      <c r="AS25" s="336">
        <v>0</v>
      </c>
      <c r="AT25" s="336">
        <v>0</v>
      </c>
      <c r="AU25" s="336">
        <v>0</v>
      </c>
      <c r="AV25" s="336">
        <v>0</v>
      </c>
      <c r="AW25" s="337"/>
      <c r="AX25" s="336">
        <v>0</v>
      </c>
      <c r="AY25" s="336">
        <v>0</v>
      </c>
      <c r="AZ25" s="336">
        <v>0</v>
      </c>
      <c r="BA25" s="336">
        <v>0</v>
      </c>
      <c r="BB25" s="357">
        <v>0</v>
      </c>
      <c r="BC25" s="357">
        <v>0</v>
      </c>
      <c r="BD25" s="336">
        <v>0</v>
      </c>
      <c r="BE25" s="357">
        <v>0</v>
      </c>
      <c r="BF25" s="357">
        <v>0</v>
      </c>
      <c r="BG25" s="357">
        <v>0</v>
      </c>
      <c r="BH25" s="357">
        <v>0</v>
      </c>
      <c r="BI25" s="357">
        <v>0</v>
      </c>
      <c r="BJ25" s="357">
        <v>0</v>
      </c>
      <c r="BK25" s="357">
        <v>0</v>
      </c>
      <c r="BL25" s="357">
        <v>0</v>
      </c>
      <c r="BM25" s="357">
        <v>0</v>
      </c>
      <c r="BN25" s="357">
        <v>0</v>
      </c>
      <c r="BO25" s="357">
        <v>0</v>
      </c>
      <c r="BP25" s="357">
        <v>0</v>
      </c>
      <c r="BQ25" s="336"/>
      <c r="BR25" s="357">
        <v>0</v>
      </c>
      <c r="BS25" s="357">
        <v>0</v>
      </c>
      <c r="BT25" s="357">
        <v>0</v>
      </c>
      <c r="BU25" s="357">
        <v>0</v>
      </c>
      <c r="BV25" s="357">
        <v>0</v>
      </c>
      <c r="BW25" s="357">
        <v>0</v>
      </c>
      <c r="BX25" s="337"/>
      <c r="BY25" s="357">
        <v>0</v>
      </c>
      <c r="BZ25" s="357">
        <v>0</v>
      </c>
      <c r="CA25" s="389">
        <v>0</v>
      </c>
      <c r="CB25" s="357">
        <v>0</v>
      </c>
      <c r="CC25" s="357">
        <v>0</v>
      </c>
      <c r="CD25" s="336">
        <v>1910136</v>
      </c>
      <c r="CE25" s="336"/>
      <c r="CF25" s="337">
        <v>0</v>
      </c>
      <c r="CG25" s="337">
        <v>0</v>
      </c>
      <c r="CH25" s="337">
        <v>0</v>
      </c>
      <c r="CI25" s="337">
        <v>0</v>
      </c>
      <c r="CJ25" s="337">
        <v>0</v>
      </c>
      <c r="CK25" s="337">
        <v>0</v>
      </c>
      <c r="CL25" s="337">
        <v>0</v>
      </c>
      <c r="CM25" s="337">
        <v>0</v>
      </c>
      <c r="CN25" s="357">
        <v>0</v>
      </c>
      <c r="CO25" s="357">
        <v>0</v>
      </c>
      <c r="CP25" s="357">
        <v>0</v>
      </c>
      <c r="CQ25" s="357">
        <v>0</v>
      </c>
      <c r="CR25" s="337"/>
    </row>
    <row r="26" spans="1:96">
      <c r="A26" s="53">
        <v>5</v>
      </c>
      <c r="B26" s="83" t="s">
        <v>99</v>
      </c>
      <c r="C26" s="376">
        <f t="shared" ref="C26:BA26" si="97">C10-C19</f>
        <v>32312210.520000003</v>
      </c>
      <c r="D26" s="376">
        <f t="shared" si="97"/>
        <v>35411693.099999994</v>
      </c>
      <c r="E26" s="333">
        <f t="shared" si="97"/>
        <v>39796589</v>
      </c>
      <c r="F26" s="333">
        <f t="shared" si="97"/>
        <v>4772686.78</v>
      </c>
      <c r="G26" s="333">
        <f t="shared" si="97"/>
        <v>9180264.2100000009</v>
      </c>
      <c r="H26" s="333">
        <f t="shared" si="97"/>
        <v>13185009.91</v>
      </c>
      <c r="I26" s="333">
        <f t="shared" si="97"/>
        <v>9532332.7299999986</v>
      </c>
      <c r="J26" s="333">
        <f t="shared" si="97"/>
        <v>15944964.920000002</v>
      </c>
      <c r="K26" s="333">
        <f t="shared" si="97"/>
        <v>19390116.590000004</v>
      </c>
      <c r="L26" s="333">
        <f t="shared" si="97"/>
        <v>22056433.239999998</v>
      </c>
      <c r="M26" s="333">
        <f t="shared" si="97"/>
        <v>24537882.090000004</v>
      </c>
      <c r="N26" s="333">
        <f t="shared" si="97"/>
        <v>32481982.620000005</v>
      </c>
      <c r="O26" s="333">
        <f t="shared" si="97"/>
        <v>35205748.390000001</v>
      </c>
      <c r="P26" s="333">
        <f t="shared" si="97"/>
        <v>42878749.590000004</v>
      </c>
      <c r="Q26" s="333">
        <f t="shared" si="97"/>
        <v>50945079.399999999</v>
      </c>
      <c r="R26" s="333">
        <f t="shared" si="97"/>
        <v>54141056.066099994</v>
      </c>
      <c r="S26" s="333">
        <f t="shared" si="97"/>
        <v>4329684.63</v>
      </c>
      <c r="T26" s="333">
        <f t="shared" si="97"/>
        <v>9579188.5700000003</v>
      </c>
      <c r="U26" s="333">
        <f t="shared" si="97"/>
        <v>15341793.799999997</v>
      </c>
      <c r="V26" s="333">
        <f t="shared" si="97"/>
        <v>21170140.920000002</v>
      </c>
      <c r="W26" s="333">
        <f t="shared" si="97"/>
        <v>25141864.859999999</v>
      </c>
      <c r="X26" s="333">
        <f t="shared" si="97"/>
        <v>26254685.950000003</v>
      </c>
      <c r="Y26" s="333">
        <f t="shared" si="97"/>
        <v>32019796.5</v>
      </c>
      <c r="Z26" s="333">
        <f t="shared" si="97"/>
        <v>40647817.940000005</v>
      </c>
      <c r="AA26" s="333">
        <f t="shared" si="97"/>
        <v>46930908.289999999</v>
      </c>
      <c r="AB26" s="333">
        <f t="shared" si="97"/>
        <v>51230072.330000006</v>
      </c>
      <c r="AC26" s="333">
        <f t="shared" si="97"/>
        <v>51511069.959999993</v>
      </c>
      <c r="AD26" s="333">
        <f t="shared" si="97"/>
        <v>62184042.350000001</v>
      </c>
      <c r="AE26" s="333">
        <f t="shared" si="97"/>
        <v>5681019.3899999987</v>
      </c>
      <c r="AF26" s="333">
        <f t="shared" si="97"/>
        <v>11622873.299999999</v>
      </c>
      <c r="AG26" s="333">
        <f t="shared" si="97"/>
        <v>15763892.75</v>
      </c>
      <c r="AH26" s="333">
        <f t="shared" si="97"/>
        <v>17293499.080000002</v>
      </c>
      <c r="AI26" s="333">
        <f t="shared" si="97"/>
        <v>20532242.490000002</v>
      </c>
      <c r="AJ26" s="333">
        <f t="shared" si="97"/>
        <v>31239030.630000003</v>
      </c>
      <c r="AK26" s="333">
        <f t="shared" si="97"/>
        <v>32686421.640000001</v>
      </c>
      <c r="AL26" s="333">
        <f t="shared" si="97"/>
        <v>38752762.520000003</v>
      </c>
      <c r="AM26" s="333">
        <f t="shared" si="97"/>
        <v>45297921.159999996</v>
      </c>
      <c r="AN26" s="333">
        <f t="shared" si="97"/>
        <v>49937886.849999979</v>
      </c>
      <c r="AO26" s="333">
        <f t="shared" si="97"/>
        <v>55349825.109999992</v>
      </c>
      <c r="AP26" s="333">
        <f t="shared" si="97"/>
        <v>63282577.209999993</v>
      </c>
      <c r="AQ26" s="334">
        <f t="shared" si="97"/>
        <v>59606729</v>
      </c>
      <c r="AR26" s="334">
        <f t="shared" si="97"/>
        <v>7017970.21</v>
      </c>
      <c r="AS26" s="334">
        <f t="shared" si="97"/>
        <v>13284910.000000004</v>
      </c>
      <c r="AT26" s="334">
        <f t="shared" si="97"/>
        <v>17441175.199999999</v>
      </c>
      <c r="AU26" s="334">
        <f t="shared" si="97"/>
        <v>24738831.830000002</v>
      </c>
      <c r="AV26" s="334">
        <f t="shared" si="97"/>
        <v>30204849.569999997</v>
      </c>
      <c r="AW26" s="334">
        <f t="shared" si="97"/>
        <v>35666532.760000005</v>
      </c>
      <c r="AX26" s="334">
        <f t="shared" si="97"/>
        <v>41065620.840000004</v>
      </c>
      <c r="AY26" s="334">
        <f t="shared" si="97"/>
        <v>45540961.209999993</v>
      </c>
      <c r="AZ26" s="334">
        <f t="shared" si="97"/>
        <v>50807985.789999992</v>
      </c>
      <c r="BA26" s="334">
        <f t="shared" si="97"/>
        <v>50807985.810000002</v>
      </c>
      <c r="BB26" s="334">
        <f t="shared" ref="BB26:CD26" si="98">BB10-BB19</f>
        <v>64592771.79999999</v>
      </c>
      <c r="BC26" s="334">
        <f t="shared" si="98"/>
        <v>67562343.109999999</v>
      </c>
      <c r="BD26" s="334">
        <f t="shared" si="98"/>
        <v>88286451</v>
      </c>
      <c r="BE26" s="334">
        <f t="shared" si="98"/>
        <v>11277737.52</v>
      </c>
      <c r="BF26" s="334">
        <f t="shared" si="98"/>
        <v>18639139.649999999</v>
      </c>
      <c r="BG26" s="334">
        <f t="shared" si="98"/>
        <v>24765074.259999998</v>
      </c>
      <c r="BH26" s="334">
        <f t="shared" si="98"/>
        <v>30811668.200000003</v>
      </c>
      <c r="BI26" s="334">
        <f t="shared" si="98"/>
        <v>34822958.969999999</v>
      </c>
      <c r="BJ26" s="334">
        <f t="shared" si="98"/>
        <v>44781016.650000006</v>
      </c>
      <c r="BK26" s="334">
        <f t="shared" si="98"/>
        <v>48548339.109999999</v>
      </c>
      <c r="BL26" s="334">
        <f t="shared" si="98"/>
        <v>57596607.480000004</v>
      </c>
      <c r="BM26" s="334">
        <f t="shared" si="98"/>
        <v>67350661.710000008</v>
      </c>
      <c r="BN26" s="334">
        <f t="shared" si="98"/>
        <v>70949165.960000008</v>
      </c>
      <c r="BO26" s="334">
        <f t="shared" si="98"/>
        <v>75674659.389999986</v>
      </c>
      <c r="BP26" s="334">
        <f t="shared" si="98"/>
        <v>85775071.859999999</v>
      </c>
      <c r="BQ26" s="334">
        <f t="shared" si="98"/>
        <v>87307873.799999997</v>
      </c>
      <c r="BR26" s="334">
        <f t="shared" si="98"/>
        <v>11457891.439999999</v>
      </c>
      <c r="BS26" s="334">
        <f t="shared" si="98"/>
        <v>18327500.809999999</v>
      </c>
      <c r="BT26" s="334">
        <f t="shared" si="98"/>
        <v>25334503.940000005</v>
      </c>
      <c r="BU26" s="334">
        <f t="shared" si="98"/>
        <v>28898523.189999998</v>
      </c>
      <c r="BV26" s="334">
        <f t="shared" si="98"/>
        <v>33803787.149999999</v>
      </c>
      <c r="BW26" s="334">
        <f t="shared" si="98"/>
        <v>39786291.859999999</v>
      </c>
      <c r="BX26" s="334">
        <f t="shared" si="98"/>
        <v>0</v>
      </c>
      <c r="BY26" s="334">
        <f t="shared" si="98"/>
        <v>55840836.610000014</v>
      </c>
      <c r="BZ26" s="334">
        <f t="shared" si="98"/>
        <v>63422135.710000008</v>
      </c>
      <c r="CA26" s="334">
        <f t="shared" si="98"/>
        <v>71494525.870000005</v>
      </c>
      <c r="CB26" s="334">
        <f t="shared" si="98"/>
        <v>78036319.25</v>
      </c>
      <c r="CC26" s="334">
        <f t="shared" si="98"/>
        <v>84848830.559999987</v>
      </c>
      <c r="CD26" s="334">
        <f t="shared" si="98"/>
        <v>83860750.750000015</v>
      </c>
      <c r="CE26" s="334">
        <f t="shared" ref="CE26:CM26" si="99">CE10-CE19</f>
        <v>102067761</v>
      </c>
      <c r="CF26" s="334">
        <f t="shared" si="99"/>
        <v>15802163.51</v>
      </c>
      <c r="CG26" s="334">
        <f t="shared" si="99"/>
        <v>29480571.939999998</v>
      </c>
      <c r="CH26" s="334">
        <f t="shared" si="99"/>
        <v>37100570.93</v>
      </c>
      <c r="CI26" s="334">
        <f t="shared" si="99"/>
        <v>46310022.239999995</v>
      </c>
      <c r="CJ26" s="334">
        <f t="shared" si="99"/>
        <v>56773442.060000002</v>
      </c>
      <c r="CK26" s="334">
        <f t="shared" si="99"/>
        <v>64921040.110000007</v>
      </c>
      <c r="CL26" s="334">
        <f t="shared" si="99"/>
        <v>75387175.080000013</v>
      </c>
      <c r="CM26" s="334">
        <f t="shared" si="99"/>
        <v>56721905.100000001</v>
      </c>
      <c r="CN26" s="334">
        <f t="shared" ref="CN26:CR26" si="100">CN10-CN19</f>
        <v>62856372.270000011</v>
      </c>
      <c r="CO26" s="334">
        <f t="shared" si="100"/>
        <v>79627281.249999985</v>
      </c>
      <c r="CP26" s="334">
        <f t="shared" si="100"/>
        <v>96023738.659999996</v>
      </c>
      <c r="CQ26" s="334">
        <f t="shared" si="100"/>
        <v>104897897.28999999</v>
      </c>
      <c r="CR26" s="334">
        <f t="shared" si="100"/>
        <v>0</v>
      </c>
    </row>
    <row r="27" spans="1:96">
      <c r="A27" s="53">
        <v>6</v>
      </c>
      <c r="B27" s="83" t="s">
        <v>31</v>
      </c>
      <c r="C27" s="359">
        <f t="shared" ref="C27:D27" si="101">C28-C29</f>
        <v>0</v>
      </c>
      <c r="D27" s="359">
        <f t="shared" si="101"/>
        <v>852418.02</v>
      </c>
      <c r="E27" s="333">
        <f t="shared" ref="E27:BA27" si="102">E28-E29</f>
        <v>6113750</v>
      </c>
      <c r="F27" s="333">
        <f t="shared" si="102"/>
        <v>2004119.4400000013</v>
      </c>
      <c r="G27" s="333">
        <f t="shared" si="102"/>
        <v>2320087.0399999991</v>
      </c>
      <c r="H27" s="333">
        <f t="shared" si="102"/>
        <v>3800122.950000003</v>
      </c>
      <c r="I27" s="333">
        <f t="shared" si="102"/>
        <v>7996958.0700000003</v>
      </c>
      <c r="J27" s="333">
        <f t="shared" si="102"/>
        <v>7808518.7100000009</v>
      </c>
      <c r="K27" s="333">
        <f t="shared" si="102"/>
        <v>2547249.5799999982</v>
      </c>
      <c r="L27" s="333">
        <f t="shared" si="102"/>
        <v>2160622.8500000015</v>
      </c>
      <c r="M27" s="333">
        <f t="shared" si="102"/>
        <v>2160622.8500000015</v>
      </c>
      <c r="N27" s="333">
        <f t="shared" si="102"/>
        <v>3892150.4499999993</v>
      </c>
      <c r="O27" s="333">
        <f t="shared" si="102"/>
        <v>4393500.3299999982</v>
      </c>
      <c r="P27" s="333">
        <f t="shared" si="102"/>
        <v>5271719.18</v>
      </c>
      <c r="Q27" s="333">
        <f t="shared" si="102"/>
        <v>7122341.1000000015</v>
      </c>
      <c r="R27" s="333">
        <f t="shared" si="102"/>
        <v>1690285</v>
      </c>
      <c r="S27" s="333">
        <f t="shared" si="102"/>
        <v>2010478.6999999993</v>
      </c>
      <c r="T27" s="333">
        <f t="shared" si="102"/>
        <v>1010297.1999999993</v>
      </c>
      <c r="U27" s="333">
        <f t="shared" si="102"/>
        <v>2065128.2999999998</v>
      </c>
      <c r="V27" s="333">
        <f t="shared" si="102"/>
        <v>2370230.1000000006</v>
      </c>
      <c r="W27" s="333">
        <f t="shared" si="102"/>
        <v>1213077.3400000008</v>
      </c>
      <c r="X27" s="333">
        <f t="shared" si="102"/>
        <v>996699.5</v>
      </c>
      <c r="Y27" s="333">
        <f t="shared" si="102"/>
        <v>1099590.1000000015</v>
      </c>
      <c r="Z27" s="333">
        <f t="shared" si="102"/>
        <v>2054575.7000000011</v>
      </c>
      <c r="AA27" s="333">
        <f t="shared" si="102"/>
        <v>1356716.459999999</v>
      </c>
      <c r="AB27" s="333">
        <f t="shared" si="102"/>
        <v>5572842.6000000006</v>
      </c>
      <c r="AC27" s="333">
        <f t="shared" si="102"/>
        <v>4206507.2000000011</v>
      </c>
      <c r="AD27" s="333">
        <f t="shared" si="102"/>
        <v>5997975.1999999993</v>
      </c>
      <c r="AE27" s="333">
        <f t="shared" si="102"/>
        <v>1316419.8000000007</v>
      </c>
      <c r="AF27" s="333">
        <f t="shared" si="102"/>
        <v>1843405.9000000004</v>
      </c>
      <c r="AG27" s="333">
        <f t="shared" si="102"/>
        <v>2061483.6999999993</v>
      </c>
      <c r="AH27" s="333">
        <f t="shared" si="102"/>
        <v>915480</v>
      </c>
      <c r="AI27" s="333">
        <f t="shared" si="102"/>
        <v>859895.29999999888</v>
      </c>
      <c r="AJ27" s="333">
        <f t="shared" si="102"/>
        <v>1351707.0999999996</v>
      </c>
      <c r="AK27" s="333">
        <f t="shared" si="102"/>
        <v>1015117.8000000007</v>
      </c>
      <c r="AL27" s="333">
        <f t="shared" si="102"/>
        <v>1348158.4000000004</v>
      </c>
      <c r="AM27" s="333">
        <f t="shared" si="102"/>
        <v>1520533.5</v>
      </c>
      <c r="AN27" s="333">
        <f t="shared" si="102"/>
        <v>1829152.7999999989</v>
      </c>
      <c r="AO27" s="333">
        <f t="shared" si="102"/>
        <v>1585906.7000000002</v>
      </c>
      <c r="AP27" s="333">
        <f t="shared" si="102"/>
        <v>1439651.0999999996</v>
      </c>
      <c r="AQ27" s="334">
        <f t="shared" si="102"/>
        <v>3973233</v>
      </c>
      <c r="AR27" s="334">
        <f t="shared" si="102"/>
        <v>883468.40000000037</v>
      </c>
      <c r="AS27" s="334">
        <f t="shared" si="102"/>
        <v>1082086.4000000004</v>
      </c>
      <c r="AT27" s="334">
        <f t="shared" si="102"/>
        <v>1328690.8999999985</v>
      </c>
      <c r="AU27" s="334">
        <f t="shared" si="102"/>
        <v>1279094.0999999996</v>
      </c>
      <c r="AV27" s="334">
        <f t="shared" si="102"/>
        <v>1123196.0999999996</v>
      </c>
      <c r="AW27" s="334">
        <f t="shared" si="102"/>
        <v>1269102.1900000013</v>
      </c>
      <c r="AX27" s="334">
        <f t="shared" si="102"/>
        <v>1068297.2999999989</v>
      </c>
      <c r="AY27" s="334">
        <f t="shared" si="102"/>
        <v>1669910.5999999996</v>
      </c>
      <c r="AZ27" s="334">
        <f t="shared" si="102"/>
        <v>1363569.6999999993</v>
      </c>
      <c r="BA27" s="334">
        <f t="shared" si="102"/>
        <v>1363569.7179999994</v>
      </c>
      <c r="BB27" s="334">
        <f t="shared" ref="BB27:CD27" si="103">BB28-BB29</f>
        <v>1156749.4000000004</v>
      </c>
      <c r="BC27" s="334">
        <f t="shared" si="103"/>
        <v>1860874.5</v>
      </c>
      <c r="BD27" s="334">
        <f t="shared" si="103"/>
        <v>3500000</v>
      </c>
      <c r="BE27" s="334">
        <f t="shared" si="103"/>
        <v>1380219.7000000002</v>
      </c>
      <c r="BF27" s="334">
        <f t="shared" si="103"/>
        <v>1130761</v>
      </c>
      <c r="BG27" s="334">
        <f t="shared" si="103"/>
        <v>1652584</v>
      </c>
      <c r="BH27" s="334">
        <f t="shared" si="103"/>
        <v>2481131</v>
      </c>
      <c r="BI27" s="334">
        <f t="shared" si="103"/>
        <v>1147990.9000000004</v>
      </c>
      <c r="BJ27" s="334">
        <f t="shared" si="103"/>
        <v>1634350.8000000007</v>
      </c>
      <c r="BK27" s="334">
        <f t="shared" si="103"/>
        <v>1294429.4999999991</v>
      </c>
      <c r="BL27" s="334">
        <f t="shared" si="103"/>
        <v>1463964.2999999998</v>
      </c>
      <c r="BM27" s="334">
        <f t="shared" si="103"/>
        <v>1575352.2000000002</v>
      </c>
      <c r="BN27" s="334">
        <f t="shared" si="103"/>
        <v>1285718.5</v>
      </c>
      <c r="BO27" s="334">
        <f t="shared" si="103"/>
        <v>1522709.5</v>
      </c>
      <c r="BP27" s="334">
        <f t="shared" si="103"/>
        <v>7584850.6999999993</v>
      </c>
      <c r="BQ27" s="334">
        <f t="shared" si="103"/>
        <v>6000000</v>
      </c>
      <c r="BR27" s="334">
        <f t="shared" si="103"/>
        <v>2279550.7000000002</v>
      </c>
      <c r="BS27" s="334">
        <f t="shared" si="103"/>
        <v>1098054.6000000015</v>
      </c>
      <c r="BT27" s="334">
        <f t="shared" si="103"/>
        <v>1434798.2999999989</v>
      </c>
      <c r="BU27" s="334">
        <f t="shared" si="103"/>
        <v>920269.20000000019</v>
      </c>
      <c r="BV27" s="334">
        <f t="shared" si="103"/>
        <v>1114680.4000000004</v>
      </c>
      <c r="BW27" s="334">
        <f t="shared" si="103"/>
        <v>1343028</v>
      </c>
      <c r="BX27" s="334">
        <f t="shared" si="103"/>
        <v>0</v>
      </c>
      <c r="BY27" s="334">
        <f t="shared" si="103"/>
        <v>2331567.3000000007</v>
      </c>
      <c r="BZ27" s="334">
        <f t="shared" si="103"/>
        <v>1000454.9000000004</v>
      </c>
      <c r="CA27" s="334">
        <f t="shared" si="103"/>
        <v>1278213.7999999989</v>
      </c>
      <c r="CB27" s="334">
        <f t="shared" si="103"/>
        <v>1416500.4000000004</v>
      </c>
      <c r="CC27" s="334">
        <f t="shared" si="103"/>
        <v>8329276.5</v>
      </c>
      <c r="CD27" s="334">
        <f t="shared" si="103"/>
        <v>7000000</v>
      </c>
      <c r="CE27" s="334">
        <f t="shared" ref="CE27:CM27" si="104">CE28-CE29</f>
        <v>7000000</v>
      </c>
      <c r="CF27" s="334">
        <f t="shared" si="104"/>
        <v>1712550</v>
      </c>
      <c r="CG27" s="334">
        <f t="shared" si="104"/>
        <v>1834054.2000000002</v>
      </c>
      <c r="CH27" s="334">
        <f t="shared" si="104"/>
        <v>1542800</v>
      </c>
      <c r="CI27" s="334">
        <f t="shared" si="104"/>
        <v>1756162.9000000004</v>
      </c>
      <c r="CJ27" s="334">
        <f t="shared" si="104"/>
        <v>1161561.9000000004</v>
      </c>
      <c r="CK27" s="334">
        <f t="shared" si="104"/>
        <v>1254074</v>
      </c>
      <c r="CL27" s="334">
        <f t="shared" si="104"/>
        <v>1471554.7000000002</v>
      </c>
      <c r="CM27" s="334">
        <f t="shared" si="104"/>
        <v>1261802.5999999996</v>
      </c>
      <c r="CN27" s="334">
        <f t="shared" ref="CN27:CR27" si="105">CN28-CN29</f>
        <v>1410010.7999999998</v>
      </c>
      <c r="CO27" s="334">
        <f t="shared" si="105"/>
        <v>1220017.8999999994</v>
      </c>
      <c r="CP27" s="334">
        <f t="shared" si="105"/>
        <v>1424863.8999999994</v>
      </c>
      <c r="CQ27" s="334">
        <f t="shared" si="105"/>
        <v>7500000</v>
      </c>
      <c r="CR27" s="334">
        <f t="shared" si="105"/>
        <v>0</v>
      </c>
    </row>
    <row r="28" spans="1:96">
      <c r="A28" s="53">
        <v>6.1</v>
      </c>
      <c r="B28" s="84" t="s">
        <v>100</v>
      </c>
      <c r="C28" s="103"/>
      <c r="D28" s="103">
        <v>852418.02</v>
      </c>
      <c r="E28" s="340">
        <v>6113750</v>
      </c>
      <c r="F28" s="340">
        <v>31788444.440000001</v>
      </c>
      <c r="G28" s="340">
        <v>35574258.710000001</v>
      </c>
      <c r="H28" s="340">
        <v>37229272.950000003</v>
      </c>
      <c r="I28" s="340">
        <v>35191294.32</v>
      </c>
      <c r="J28" s="340">
        <v>36008201.210000001</v>
      </c>
      <c r="K28" s="340">
        <v>25650895.079999998</v>
      </c>
      <c r="L28" s="340">
        <v>25565318.350000001</v>
      </c>
      <c r="M28" s="340">
        <v>25565318.350000001</v>
      </c>
      <c r="N28" s="340">
        <v>26684222.890000001</v>
      </c>
      <c r="O28" s="340">
        <v>35042554.549999997</v>
      </c>
      <c r="P28" s="374">
        <v>35144794.759999998</v>
      </c>
      <c r="Q28" s="340">
        <v>27229956.800000001</v>
      </c>
      <c r="R28" s="340">
        <v>1690285</v>
      </c>
      <c r="S28" s="377">
        <v>31295425.199999999</v>
      </c>
      <c r="T28" s="377">
        <v>7826079.5999999996</v>
      </c>
      <c r="U28" s="377">
        <v>6634379.5</v>
      </c>
      <c r="V28" s="378">
        <v>5990682.4000000004</v>
      </c>
      <c r="W28" s="340">
        <v>7195090.7300000004</v>
      </c>
      <c r="X28" s="379">
        <v>8136285.7999999998</v>
      </c>
      <c r="Y28" s="380">
        <v>9901946.3000000007</v>
      </c>
      <c r="Z28" s="356">
        <v>12479944.800000001</v>
      </c>
      <c r="AA28" s="340">
        <v>11512086.02</v>
      </c>
      <c r="AB28" s="357">
        <v>11922707.800000001</v>
      </c>
      <c r="AC28" s="357">
        <v>10596214.800000001</v>
      </c>
      <c r="AD28" s="357">
        <v>18317842.5</v>
      </c>
      <c r="AE28" s="357">
        <v>11236789.4</v>
      </c>
      <c r="AF28" s="357">
        <v>12369785.300000001</v>
      </c>
      <c r="AG28" s="357">
        <v>11924753.1</v>
      </c>
      <c r="AH28" s="357">
        <v>12394567.199999999</v>
      </c>
      <c r="AI28" s="357">
        <v>11095882.699999999</v>
      </c>
      <c r="AJ28" s="336">
        <v>13741671</v>
      </c>
      <c r="AK28" s="336">
        <v>13340487.4</v>
      </c>
      <c r="AL28" s="336">
        <v>10375125.5</v>
      </c>
      <c r="AM28" s="336">
        <v>13645903.300000001</v>
      </c>
      <c r="AN28" s="336">
        <v>14379389.6</v>
      </c>
      <c r="AO28" s="336">
        <v>9825396.4000000004</v>
      </c>
      <c r="AP28" s="336">
        <v>13788863.5</v>
      </c>
      <c r="AQ28" s="336">
        <v>3973233</v>
      </c>
      <c r="AR28" s="336">
        <v>13245897.4</v>
      </c>
      <c r="AS28" s="336">
        <v>11245365.300000001</v>
      </c>
      <c r="AT28" s="336">
        <v>12757388.199999999</v>
      </c>
      <c r="AU28" s="336">
        <v>13526987.4</v>
      </c>
      <c r="AV28" s="336">
        <v>14369785.199999999</v>
      </c>
      <c r="AW28" s="340">
        <v>10502228.060000001</v>
      </c>
      <c r="AX28" s="336">
        <v>11868566.1</v>
      </c>
      <c r="AY28" s="336">
        <v>9807410.5999999996</v>
      </c>
      <c r="AZ28" s="336">
        <v>9609968.0999999996</v>
      </c>
      <c r="BA28" s="340">
        <v>9609968.0779999997</v>
      </c>
      <c r="BB28" s="357">
        <v>10509438.800000001</v>
      </c>
      <c r="BC28" s="357">
        <v>12013231.4</v>
      </c>
      <c r="BD28" s="340">
        <v>3500000</v>
      </c>
      <c r="BE28" s="357">
        <v>9625368.9000000004</v>
      </c>
      <c r="BF28" s="357">
        <v>10225012.4</v>
      </c>
      <c r="BG28" s="357">
        <v>10867106.199999999</v>
      </c>
      <c r="BH28" s="357">
        <v>10735257.4</v>
      </c>
      <c r="BI28" s="357">
        <v>9298227.3000000007</v>
      </c>
      <c r="BJ28" s="357">
        <v>9879712.9000000004</v>
      </c>
      <c r="BK28" s="357">
        <v>9507885.6999999993</v>
      </c>
      <c r="BL28" s="357">
        <v>9703533.5999999996</v>
      </c>
      <c r="BM28" s="357">
        <v>9824517.5</v>
      </c>
      <c r="BN28" s="357">
        <v>10001064.1</v>
      </c>
      <c r="BO28" s="357">
        <v>10778845.199999999</v>
      </c>
      <c r="BP28" s="357">
        <v>11034850.699999999</v>
      </c>
      <c r="BQ28" s="336">
        <v>6000000</v>
      </c>
      <c r="BR28" s="357">
        <v>10526347</v>
      </c>
      <c r="BS28" s="357">
        <v>11311510.800000001</v>
      </c>
      <c r="BT28" s="357">
        <v>10722159.199999999</v>
      </c>
      <c r="BU28" s="357">
        <v>8260963.2000000002</v>
      </c>
      <c r="BV28" s="357">
        <v>10260369.6</v>
      </c>
      <c r="BW28" s="357">
        <v>10699318.199999999</v>
      </c>
      <c r="BX28" s="337"/>
      <c r="BY28" s="357">
        <v>10257200.4</v>
      </c>
      <c r="BZ28" s="357">
        <v>10146691.9</v>
      </c>
      <c r="CA28" s="389">
        <v>10413070.1</v>
      </c>
      <c r="CB28" s="357">
        <v>11552130.300000001</v>
      </c>
      <c r="CC28" s="357">
        <v>8329276.5</v>
      </c>
      <c r="CD28" s="336">
        <v>7000000</v>
      </c>
      <c r="CE28" s="336">
        <v>7000000</v>
      </c>
      <c r="CF28" s="337">
        <v>6915696.2000000002</v>
      </c>
      <c r="CG28" s="337">
        <v>6959043.4000000004</v>
      </c>
      <c r="CH28" s="337">
        <v>6655279.2999999998</v>
      </c>
      <c r="CI28" s="337">
        <v>7103146.2000000002</v>
      </c>
      <c r="CJ28" s="337">
        <v>7315798.9000000004</v>
      </c>
      <c r="CK28" s="337">
        <v>7178230.4000000004</v>
      </c>
      <c r="CL28" s="337">
        <v>7595142</v>
      </c>
      <c r="CM28" s="337">
        <v>7494352.7999999998</v>
      </c>
      <c r="CN28" s="357">
        <v>7730461</v>
      </c>
      <c r="CO28" s="357">
        <v>7725468.0999999996</v>
      </c>
      <c r="CP28" s="357">
        <v>7825319.0999999996</v>
      </c>
      <c r="CQ28" s="357">
        <v>7500000</v>
      </c>
      <c r="CR28" s="337"/>
    </row>
    <row r="29" spans="1:96">
      <c r="A29" s="53">
        <v>6.2</v>
      </c>
      <c r="B29" s="84" t="s">
        <v>101</v>
      </c>
      <c r="C29" s="103"/>
      <c r="D29" s="103"/>
      <c r="E29" s="340"/>
      <c r="F29" s="340">
        <v>29784325</v>
      </c>
      <c r="G29" s="340">
        <v>33254171.670000002</v>
      </c>
      <c r="H29" s="340">
        <v>33429150</v>
      </c>
      <c r="I29" s="340">
        <v>27194336.25</v>
      </c>
      <c r="J29" s="340">
        <v>28199682.5</v>
      </c>
      <c r="K29" s="340">
        <v>23103645.5</v>
      </c>
      <c r="L29" s="340">
        <v>23404695.5</v>
      </c>
      <c r="M29" s="340">
        <v>23404695.5</v>
      </c>
      <c r="N29" s="340">
        <v>22792072.440000001</v>
      </c>
      <c r="O29" s="340">
        <v>30649054.219999999</v>
      </c>
      <c r="P29" s="374">
        <v>29873075.579999998</v>
      </c>
      <c r="Q29" s="340">
        <v>20107615.699999999</v>
      </c>
      <c r="R29" s="340"/>
      <c r="S29" s="377">
        <v>29284946.5</v>
      </c>
      <c r="T29" s="377">
        <v>6815782.4000000004</v>
      </c>
      <c r="U29" s="377">
        <v>4569251.2</v>
      </c>
      <c r="V29" s="378">
        <v>3620452.3</v>
      </c>
      <c r="W29" s="340">
        <v>5982013.3899999997</v>
      </c>
      <c r="X29" s="379">
        <v>7139586.2999999998</v>
      </c>
      <c r="Y29" s="380">
        <v>8802356.1999999993</v>
      </c>
      <c r="Z29" s="356">
        <v>10425369.1</v>
      </c>
      <c r="AA29" s="340">
        <v>10155369.560000001</v>
      </c>
      <c r="AB29" s="357">
        <v>6349865.2000000002</v>
      </c>
      <c r="AC29" s="357">
        <v>6389707.5999999996</v>
      </c>
      <c r="AD29" s="357">
        <v>12319867.300000001</v>
      </c>
      <c r="AE29" s="357">
        <v>9920369.5999999996</v>
      </c>
      <c r="AF29" s="357">
        <v>10526379.4</v>
      </c>
      <c r="AG29" s="357">
        <v>9863269.4000000004</v>
      </c>
      <c r="AH29" s="357">
        <v>11479087.199999999</v>
      </c>
      <c r="AI29" s="357">
        <v>10235987.4</v>
      </c>
      <c r="AJ29" s="336">
        <v>12389963.9</v>
      </c>
      <c r="AK29" s="336">
        <v>12325369.6</v>
      </c>
      <c r="AL29" s="336">
        <v>9026967.0999999996</v>
      </c>
      <c r="AM29" s="336">
        <v>12125369.800000001</v>
      </c>
      <c r="AN29" s="336">
        <v>12550236.800000001</v>
      </c>
      <c r="AO29" s="336">
        <v>8239489.7000000002</v>
      </c>
      <c r="AP29" s="336">
        <v>12349212.4</v>
      </c>
      <c r="AQ29" s="336">
        <v>0</v>
      </c>
      <c r="AR29" s="336">
        <v>12362429</v>
      </c>
      <c r="AS29" s="336">
        <v>10163278.9</v>
      </c>
      <c r="AT29" s="336">
        <v>11428697.300000001</v>
      </c>
      <c r="AU29" s="336">
        <v>12247893.300000001</v>
      </c>
      <c r="AV29" s="336">
        <v>13246589.1</v>
      </c>
      <c r="AW29" s="340">
        <v>9233125.8699999992</v>
      </c>
      <c r="AX29" s="336">
        <v>10800268.800000001</v>
      </c>
      <c r="AY29" s="336">
        <v>8137500</v>
      </c>
      <c r="AZ29" s="336">
        <v>8246398.4000000004</v>
      </c>
      <c r="BA29" s="340">
        <v>8246398.3600000003</v>
      </c>
      <c r="BB29" s="357">
        <v>9352689.4000000004</v>
      </c>
      <c r="BC29" s="357">
        <v>10152356.9</v>
      </c>
      <c r="BD29" s="340"/>
      <c r="BE29" s="357">
        <v>8245149.2000000002</v>
      </c>
      <c r="BF29" s="357">
        <v>9094251.4000000004</v>
      </c>
      <c r="BG29" s="357">
        <v>9214522.1999999993</v>
      </c>
      <c r="BH29" s="357">
        <v>8254126.4000000004</v>
      </c>
      <c r="BI29" s="357">
        <v>8150236.4000000004</v>
      </c>
      <c r="BJ29" s="357">
        <v>8245362.0999999996</v>
      </c>
      <c r="BK29" s="357">
        <v>8213456.2000000002</v>
      </c>
      <c r="BL29" s="357">
        <v>8239569.2999999998</v>
      </c>
      <c r="BM29" s="357">
        <v>8249165.2999999998</v>
      </c>
      <c r="BN29" s="357">
        <v>8715345.5999999996</v>
      </c>
      <c r="BO29" s="357">
        <v>9256135.6999999993</v>
      </c>
      <c r="BP29" s="357">
        <v>3450000</v>
      </c>
      <c r="BQ29" s="336"/>
      <c r="BR29" s="357">
        <v>8246796.2999999998</v>
      </c>
      <c r="BS29" s="357">
        <v>10213456.199999999</v>
      </c>
      <c r="BT29" s="357">
        <v>9287360.9000000004</v>
      </c>
      <c r="BU29" s="357">
        <v>7340694</v>
      </c>
      <c r="BV29" s="357">
        <v>9145689.1999999993</v>
      </c>
      <c r="BW29" s="357">
        <v>9356290.1999999993</v>
      </c>
      <c r="BX29" s="337"/>
      <c r="BY29" s="357">
        <v>7925633.0999999996</v>
      </c>
      <c r="BZ29" s="357">
        <v>9146237</v>
      </c>
      <c r="CA29" s="389">
        <v>9134856.3000000007</v>
      </c>
      <c r="CB29" s="357">
        <v>10135629.9</v>
      </c>
      <c r="CC29" s="357">
        <v>0</v>
      </c>
      <c r="CD29" s="336"/>
      <c r="CE29" s="336"/>
      <c r="CF29" s="337">
        <v>5203146.2</v>
      </c>
      <c r="CG29" s="337">
        <v>5124989.2</v>
      </c>
      <c r="CH29" s="337">
        <v>5112479.3</v>
      </c>
      <c r="CI29" s="337">
        <v>5346983.3</v>
      </c>
      <c r="CJ29" s="337">
        <v>6154237</v>
      </c>
      <c r="CK29" s="337">
        <v>5924156.4000000004</v>
      </c>
      <c r="CL29" s="337">
        <v>6123587.2999999998</v>
      </c>
      <c r="CM29" s="337">
        <v>6232550.2000000002</v>
      </c>
      <c r="CN29" s="357">
        <v>6320450.2000000002</v>
      </c>
      <c r="CO29" s="357">
        <v>6505450.2000000002</v>
      </c>
      <c r="CP29" s="357">
        <v>6400455.2000000002</v>
      </c>
      <c r="CQ29" s="357">
        <v>0</v>
      </c>
      <c r="CR29" s="337"/>
    </row>
    <row r="30" spans="1:96">
      <c r="A30" s="53">
        <v>7</v>
      </c>
      <c r="B30" s="83" t="s">
        <v>102</v>
      </c>
      <c r="C30" s="376">
        <f t="shared" ref="C30:D30" si="106">C31+C32+C33+C34+C35</f>
        <v>14729924.09</v>
      </c>
      <c r="D30" s="376">
        <f t="shared" si="106"/>
        <v>23782929.23</v>
      </c>
      <c r="E30" s="333">
        <f t="shared" ref="E30:BQ30" si="107">SUM(E31:E35)</f>
        <v>28899075</v>
      </c>
      <c r="F30" s="333">
        <f t="shared" si="107"/>
        <v>2685293.5</v>
      </c>
      <c r="G30" s="333">
        <f t="shared" si="107"/>
        <v>7250951.0999999996</v>
      </c>
      <c r="H30" s="333">
        <f t="shared" si="107"/>
        <v>10496936.800000001</v>
      </c>
      <c r="I30" s="333">
        <f t="shared" si="107"/>
        <v>16723133.030000001</v>
      </c>
      <c r="J30" s="333">
        <f t="shared" si="107"/>
        <v>17981725.949999999</v>
      </c>
      <c r="K30" s="333">
        <f t="shared" si="107"/>
        <v>22147581.510000002</v>
      </c>
      <c r="L30" s="333">
        <f t="shared" si="107"/>
        <v>24527976.280000001</v>
      </c>
      <c r="M30" s="333">
        <f t="shared" si="107"/>
        <v>27334083.32</v>
      </c>
      <c r="N30" s="333">
        <f t="shared" si="107"/>
        <v>29965545.690000001</v>
      </c>
      <c r="O30" s="333">
        <f t="shared" si="107"/>
        <v>32608001.300000001</v>
      </c>
      <c r="P30" s="333">
        <f t="shared" si="107"/>
        <v>35498962.909999996</v>
      </c>
      <c r="Q30" s="333">
        <f t="shared" si="107"/>
        <v>41816938.519999996</v>
      </c>
      <c r="R30" s="333">
        <f t="shared" si="107"/>
        <v>49430291.607461154</v>
      </c>
      <c r="S30" s="333">
        <f t="shared" si="107"/>
        <v>4167278</v>
      </c>
      <c r="T30" s="333">
        <f t="shared" si="107"/>
        <v>8334076</v>
      </c>
      <c r="U30" s="333">
        <f t="shared" si="107"/>
        <v>11541279.5</v>
      </c>
      <c r="V30" s="333">
        <f t="shared" si="107"/>
        <v>16746974</v>
      </c>
      <c r="W30" s="333">
        <f t="shared" si="107"/>
        <v>22213326.5</v>
      </c>
      <c r="X30" s="333">
        <f t="shared" si="107"/>
        <v>26445986</v>
      </c>
      <c r="Y30" s="333">
        <f t="shared" si="107"/>
        <v>29881059.5</v>
      </c>
      <c r="Z30" s="333">
        <f t="shared" si="107"/>
        <v>33346060</v>
      </c>
      <c r="AA30" s="333">
        <f t="shared" si="107"/>
        <v>37682847.5</v>
      </c>
      <c r="AB30" s="333">
        <f t="shared" si="107"/>
        <v>40113472.560000002</v>
      </c>
      <c r="AC30" s="333">
        <f t="shared" si="107"/>
        <v>43328132.099999994</v>
      </c>
      <c r="AD30" s="333">
        <f t="shared" si="107"/>
        <v>49227484.580000006</v>
      </c>
      <c r="AE30" s="333">
        <f t="shared" si="107"/>
        <v>3950828.1500000004</v>
      </c>
      <c r="AF30" s="333">
        <f t="shared" si="107"/>
        <v>7992914.1899999995</v>
      </c>
      <c r="AG30" s="333">
        <f t="shared" si="107"/>
        <v>12131112.359999999</v>
      </c>
      <c r="AH30" s="333">
        <f t="shared" si="107"/>
        <v>15238740.810000001</v>
      </c>
      <c r="AI30" s="333">
        <f t="shared" si="107"/>
        <v>18249388.170000002</v>
      </c>
      <c r="AJ30" s="333">
        <f t="shared" si="107"/>
        <v>26193213.800000001</v>
      </c>
      <c r="AK30" s="333">
        <f t="shared" si="107"/>
        <v>29013427.43</v>
      </c>
      <c r="AL30" s="333">
        <f t="shared" si="107"/>
        <v>32535010.66</v>
      </c>
      <c r="AM30" s="333">
        <f t="shared" si="107"/>
        <v>39377423.090000004</v>
      </c>
      <c r="AN30" s="333">
        <f t="shared" si="107"/>
        <v>41465003.659999996</v>
      </c>
      <c r="AO30" s="333">
        <f t="shared" si="107"/>
        <v>45205036.43</v>
      </c>
      <c r="AP30" s="333">
        <f t="shared" si="107"/>
        <v>49185515.690000005</v>
      </c>
      <c r="AQ30" s="334">
        <f t="shared" si="107"/>
        <v>48535409</v>
      </c>
      <c r="AR30" s="334">
        <f t="shared" si="107"/>
        <v>3640033.85</v>
      </c>
      <c r="AS30" s="334">
        <f t="shared" si="107"/>
        <v>5594006.7000000002</v>
      </c>
      <c r="AT30" s="334">
        <f t="shared" si="107"/>
        <v>12095469.550000001</v>
      </c>
      <c r="AU30" s="334">
        <f t="shared" si="107"/>
        <v>16027649</v>
      </c>
      <c r="AV30" s="334">
        <f t="shared" si="107"/>
        <v>21285829.850000001</v>
      </c>
      <c r="AW30" s="334">
        <f t="shared" si="107"/>
        <v>27431141.130000003</v>
      </c>
      <c r="AX30" s="334">
        <f t="shared" si="107"/>
        <v>30778830.949999999</v>
      </c>
      <c r="AY30" s="334">
        <f t="shared" si="107"/>
        <v>35420710.799999997</v>
      </c>
      <c r="AZ30" s="334">
        <f t="shared" si="107"/>
        <v>40201290.649999999</v>
      </c>
      <c r="BA30" s="334">
        <f t="shared" si="107"/>
        <v>40201290.629999995</v>
      </c>
      <c r="BB30" s="334">
        <f t="shared" si="107"/>
        <v>50633318.310000002</v>
      </c>
      <c r="BC30" s="334">
        <f t="shared" si="107"/>
        <v>60197497.629999995</v>
      </c>
      <c r="BD30" s="334">
        <f t="shared" si="107"/>
        <v>71126409.599999994</v>
      </c>
      <c r="BE30" s="334">
        <f t="shared" si="107"/>
        <v>5174388.0999999996</v>
      </c>
      <c r="BF30" s="334">
        <f t="shared" si="107"/>
        <v>7105206.0999999996</v>
      </c>
      <c r="BG30" s="334">
        <f t="shared" si="107"/>
        <v>14971481.15</v>
      </c>
      <c r="BH30" s="334">
        <f t="shared" si="107"/>
        <v>21627780.629999999</v>
      </c>
      <c r="BI30" s="334">
        <f t="shared" si="107"/>
        <v>26445962.609999999</v>
      </c>
      <c r="BJ30" s="334">
        <f t="shared" si="107"/>
        <v>30388199.990000002</v>
      </c>
      <c r="BK30" s="334">
        <f t="shared" si="107"/>
        <v>37614427.520000003</v>
      </c>
      <c r="BL30" s="334">
        <f t="shared" si="107"/>
        <v>43531211.100000001</v>
      </c>
      <c r="BM30" s="334">
        <f t="shared" si="107"/>
        <v>47001966.350000001</v>
      </c>
      <c r="BN30" s="334">
        <f t="shared" si="107"/>
        <v>50352174.68</v>
      </c>
      <c r="BO30" s="334">
        <f t="shared" si="107"/>
        <v>53764227.530000001</v>
      </c>
      <c r="BP30" s="334">
        <f t="shared" si="107"/>
        <v>63424173.950000003</v>
      </c>
      <c r="BQ30" s="334">
        <f t="shared" si="107"/>
        <v>70424422.449999988</v>
      </c>
      <c r="BR30" s="334">
        <f t="shared" ref="BR30:CD30" si="108">SUM(BR31:BR35)</f>
        <v>3877154</v>
      </c>
      <c r="BS30" s="334">
        <f t="shared" si="108"/>
        <v>9344539.9000000004</v>
      </c>
      <c r="BT30" s="334">
        <f t="shared" si="108"/>
        <v>13669531.26</v>
      </c>
      <c r="BU30" s="334">
        <f t="shared" si="108"/>
        <v>18059134.600000001</v>
      </c>
      <c r="BV30" s="334">
        <f t="shared" si="108"/>
        <v>22116236.18</v>
      </c>
      <c r="BW30" s="334">
        <f t="shared" si="108"/>
        <v>27210842.359999999</v>
      </c>
      <c r="BX30" s="334">
        <f t="shared" si="108"/>
        <v>0</v>
      </c>
      <c r="BY30" s="334">
        <f t="shared" si="108"/>
        <v>36338249.229999997</v>
      </c>
      <c r="BZ30" s="334">
        <f t="shared" si="108"/>
        <v>37968676.890000001</v>
      </c>
      <c r="CA30" s="334">
        <f t="shared" si="108"/>
        <v>41357023.060000002</v>
      </c>
      <c r="CB30" s="334">
        <f t="shared" si="108"/>
        <v>45077293.229999997</v>
      </c>
      <c r="CC30" s="334">
        <f t="shared" si="108"/>
        <v>65690039.229999997</v>
      </c>
      <c r="CD30" s="334">
        <f t="shared" si="108"/>
        <v>67698343.549999997</v>
      </c>
      <c r="CE30" s="334">
        <f t="shared" ref="CE30:CR30" si="109">SUM(CE31:CE35)</f>
        <v>74573965</v>
      </c>
      <c r="CF30" s="334">
        <f t="shared" si="109"/>
        <v>4993515.2300000004</v>
      </c>
      <c r="CG30" s="334">
        <f t="shared" si="109"/>
        <v>7795605.46</v>
      </c>
      <c r="CH30" s="334">
        <f t="shared" si="109"/>
        <v>14221421.85</v>
      </c>
      <c r="CI30" s="334">
        <f t="shared" si="109"/>
        <v>20772382.93</v>
      </c>
      <c r="CJ30" s="334">
        <f t="shared" si="109"/>
        <v>27784684.009999998</v>
      </c>
      <c r="CK30" s="334">
        <f t="shared" si="109"/>
        <v>32148278.09</v>
      </c>
      <c r="CL30" s="334">
        <f t="shared" si="109"/>
        <v>36047211.170000002</v>
      </c>
      <c r="CM30" s="334">
        <f t="shared" si="109"/>
        <v>39470737.25</v>
      </c>
      <c r="CN30" s="334">
        <f t="shared" si="109"/>
        <v>45405480.18</v>
      </c>
      <c r="CO30" s="334">
        <f t="shared" si="109"/>
        <v>50540971.030000001</v>
      </c>
      <c r="CP30" s="334">
        <f t="shared" si="109"/>
        <v>55071538.130000003</v>
      </c>
      <c r="CQ30" s="334">
        <f t="shared" si="109"/>
        <v>75478667</v>
      </c>
      <c r="CR30" s="334">
        <f t="shared" si="109"/>
        <v>0</v>
      </c>
    </row>
    <row r="31" spans="1:96">
      <c r="A31" s="53">
        <v>7.1</v>
      </c>
      <c r="B31" s="84" t="s">
        <v>103</v>
      </c>
      <c r="C31" s="103">
        <v>5434455</v>
      </c>
      <c r="D31" s="103">
        <v>7065720.4000000004</v>
      </c>
      <c r="E31" s="340">
        <f>3537698+1282293+960960+53200+2313830+1812660</f>
        <v>9960641</v>
      </c>
      <c r="F31" s="340">
        <v>250647.58</v>
      </c>
      <c r="G31" s="340">
        <v>1647087.68</v>
      </c>
      <c r="H31" s="340">
        <v>1920033.62</v>
      </c>
      <c r="I31" s="340">
        <v>2265954.56</v>
      </c>
      <c r="J31" s="340">
        <v>2265954.56</v>
      </c>
      <c r="K31" s="340">
        <v>4021991.5</v>
      </c>
      <c r="L31" s="340">
        <v>4609287.5</v>
      </c>
      <c r="M31" s="340">
        <v>5177287.5</v>
      </c>
      <c r="N31" s="340">
        <v>9466252.9299999997</v>
      </c>
      <c r="O31" s="340">
        <v>10459187.18</v>
      </c>
      <c r="P31" s="374">
        <v>11428658.43</v>
      </c>
      <c r="Q31" s="340">
        <v>12759713.68</v>
      </c>
      <c r="R31" s="340">
        <v>18827351.419999998</v>
      </c>
      <c r="S31" s="381">
        <v>1117127</v>
      </c>
      <c r="T31" s="381">
        <v>2254970</v>
      </c>
      <c r="U31" s="381">
        <v>3376527</v>
      </c>
      <c r="V31" s="382">
        <v>4441940</v>
      </c>
      <c r="W31" s="340">
        <v>6340550</v>
      </c>
      <c r="X31" s="383">
        <v>8786218</v>
      </c>
      <c r="Y31" s="384">
        <v>10432809</v>
      </c>
      <c r="Z31" s="356">
        <v>11855632</v>
      </c>
      <c r="AA31" s="340">
        <v>13295668</v>
      </c>
      <c r="AB31" s="357">
        <v>14878301.199999999</v>
      </c>
      <c r="AC31" s="357">
        <v>16757699.199999999</v>
      </c>
      <c r="AD31" s="357">
        <v>18957066.199999999</v>
      </c>
      <c r="AE31" s="357">
        <v>1236782.1000000001</v>
      </c>
      <c r="AF31" s="357">
        <v>2052326.6</v>
      </c>
      <c r="AG31" s="357">
        <v>4291914</v>
      </c>
      <c r="AH31" s="357">
        <v>5304952</v>
      </c>
      <c r="AI31" s="357">
        <v>6757568</v>
      </c>
      <c r="AJ31" s="385">
        <v>8946309</v>
      </c>
      <c r="AK31" s="336">
        <v>10762763</v>
      </c>
      <c r="AL31" s="336">
        <v>12119376.6</v>
      </c>
      <c r="AM31" s="336">
        <v>15835392.4</v>
      </c>
      <c r="AN31" s="336">
        <v>16329416.300000001</v>
      </c>
      <c r="AO31" s="336">
        <v>17758581.300000001</v>
      </c>
      <c r="AP31" s="336">
        <v>20196229.300000001</v>
      </c>
      <c r="AQ31" s="336">
        <v>20296229</v>
      </c>
      <c r="AR31" s="336">
        <v>2111580</v>
      </c>
      <c r="AS31" s="336">
        <v>2448580</v>
      </c>
      <c r="AT31" s="336">
        <v>5297015</v>
      </c>
      <c r="AU31" s="336">
        <v>6772103.5999999996</v>
      </c>
      <c r="AV31" s="336">
        <v>9615117.5999999996</v>
      </c>
      <c r="AW31" s="340">
        <v>13762690.029999999</v>
      </c>
      <c r="AX31" s="336">
        <v>15054121</v>
      </c>
      <c r="AY31" s="336">
        <v>17353694</v>
      </c>
      <c r="AZ31" s="336">
        <v>19535377</v>
      </c>
      <c r="BA31" s="340">
        <v>19535376.98</v>
      </c>
      <c r="BB31" s="357">
        <v>24258158.600000001</v>
      </c>
      <c r="BC31" s="357">
        <v>27489033.300000001</v>
      </c>
      <c r="BD31" s="340">
        <v>21067433</v>
      </c>
      <c r="BE31" s="357">
        <v>2668499.1</v>
      </c>
      <c r="BF31" s="357">
        <v>3892858.1</v>
      </c>
      <c r="BG31" s="357">
        <v>5672374.4000000004</v>
      </c>
      <c r="BH31" s="357">
        <v>9213306.5</v>
      </c>
      <c r="BI31" s="357">
        <v>11196575.1</v>
      </c>
      <c r="BJ31" s="357">
        <v>13057625.1</v>
      </c>
      <c r="BK31" s="357">
        <v>14888992.1</v>
      </c>
      <c r="BL31" s="357">
        <v>17590287.300000001</v>
      </c>
      <c r="BM31" s="357">
        <v>19607518.600000001</v>
      </c>
      <c r="BN31" s="357">
        <v>21522691.600000001</v>
      </c>
      <c r="BO31" s="357">
        <v>23275039.600000001</v>
      </c>
      <c r="BP31" s="357">
        <v>23672844.600000001</v>
      </c>
      <c r="BQ31" s="336">
        <v>24413004.550000001</v>
      </c>
      <c r="BR31" s="357">
        <v>1967820</v>
      </c>
      <c r="BS31" s="357">
        <v>3960896.9</v>
      </c>
      <c r="BT31" s="357">
        <v>5827391.9000000004</v>
      </c>
      <c r="BU31" s="357">
        <v>7723011.9000000004</v>
      </c>
      <c r="BV31" s="357">
        <v>8988999.3000000007</v>
      </c>
      <c r="BW31" s="357">
        <v>10979019.300000001</v>
      </c>
      <c r="BX31" s="337"/>
      <c r="BY31" s="357">
        <v>15878252.9</v>
      </c>
      <c r="BZ31" s="357">
        <v>18074347.399999999</v>
      </c>
      <c r="CA31" s="389">
        <v>20981323.399999999</v>
      </c>
      <c r="CB31" s="357">
        <v>22867705.399999999</v>
      </c>
      <c r="CC31" s="357">
        <v>26053125.399999999</v>
      </c>
      <c r="CD31" s="336">
        <v>26053125.399999999</v>
      </c>
      <c r="CE31" s="336">
        <v>27260039</v>
      </c>
      <c r="CF31" s="337">
        <v>1797524</v>
      </c>
      <c r="CG31" s="337">
        <v>3358948</v>
      </c>
      <c r="CH31" s="337">
        <v>5213208.5999999996</v>
      </c>
      <c r="CI31" s="337">
        <v>8060223.5999999996</v>
      </c>
      <c r="CJ31" s="337">
        <v>10319547.6</v>
      </c>
      <c r="CK31" s="337">
        <v>12770810.6</v>
      </c>
      <c r="CL31" s="337">
        <v>15133253.6</v>
      </c>
      <c r="CM31" s="337">
        <v>17672337.600000001</v>
      </c>
      <c r="CN31" s="357">
        <v>21740896.399999999</v>
      </c>
      <c r="CO31" s="357">
        <v>23951116.399999999</v>
      </c>
      <c r="CP31" s="357">
        <v>27272528.100000001</v>
      </c>
      <c r="CQ31" s="357">
        <v>29117254.100000001</v>
      </c>
      <c r="CR31" s="337"/>
    </row>
    <row r="32" spans="1:96">
      <c r="A32" s="53">
        <v>7.2</v>
      </c>
      <c r="B32" s="84" t="s">
        <v>104</v>
      </c>
      <c r="C32" s="103">
        <v>4867500</v>
      </c>
      <c r="D32" s="103">
        <v>7971760</v>
      </c>
      <c r="E32" s="335">
        <f>1609680+1861820+635050+2039900+2230510</f>
        <v>8376960</v>
      </c>
      <c r="F32" s="335">
        <v>897750</v>
      </c>
      <c r="G32" s="335">
        <v>3402850</v>
      </c>
      <c r="H32" s="335">
        <v>4482360</v>
      </c>
      <c r="I32" s="335">
        <v>8226380</v>
      </c>
      <c r="J32" s="335">
        <v>8429690</v>
      </c>
      <c r="K32" s="335">
        <v>9284870</v>
      </c>
      <c r="L32" s="335">
        <v>10080970</v>
      </c>
      <c r="M32" s="335">
        <v>10729070</v>
      </c>
      <c r="N32" s="335">
        <v>11316070</v>
      </c>
      <c r="O32" s="335">
        <v>11677970</v>
      </c>
      <c r="P32" s="350">
        <v>12177720</v>
      </c>
      <c r="Q32" s="335">
        <v>14646538</v>
      </c>
      <c r="R32" s="335">
        <v>10676538</v>
      </c>
      <c r="S32" s="381">
        <v>1458130</v>
      </c>
      <c r="T32" s="381">
        <v>3028530</v>
      </c>
      <c r="U32" s="381">
        <v>3985330</v>
      </c>
      <c r="V32" s="382">
        <v>6606938</v>
      </c>
      <c r="W32" s="335">
        <v>8010658</v>
      </c>
      <c r="X32" s="383">
        <v>8727868</v>
      </c>
      <c r="Y32" s="384">
        <v>9416488</v>
      </c>
      <c r="Z32" s="356">
        <v>10179508</v>
      </c>
      <c r="AA32" s="335">
        <v>11880378</v>
      </c>
      <c r="AB32" s="357">
        <v>11503238</v>
      </c>
      <c r="AC32" s="357">
        <v>12457678</v>
      </c>
      <c r="AD32" s="357">
        <v>14281378</v>
      </c>
      <c r="AE32" s="357">
        <v>780300</v>
      </c>
      <c r="AF32" s="357">
        <v>921600</v>
      </c>
      <c r="AG32" s="357">
        <v>2844090</v>
      </c>
      <c r="AH32" s="357">
        <v>4478500</v>
      </c>
      <c r="AI32" s="357">
        <v>4983920</v>
      </c>
      <c r="AJ32" s="385">
        <v>7330350</v>
      </c>
      <c r="AK32" s="336">
        <v>7834400</v>
      </c>
      <c r="AL32" s="336">
        <v>8435200</v>
      </c>
      <c r="AM32" s="336">
        <v>10048120</v>
      </c>
      <c r="AN32" s="336">
        <v>10619320</v>
      </c>
      <c r="AO32" s="336">
        <v>11413750</v>
      </c>
      <c r="AP32" s="336">
        <v>9157115.4700000007</v>
      </c>
      <c r="AQ32" s="336">
        <v>9157115</v>
      </c>
      <c r="AR32" s="336">
        <v>507200</v>
      </c>
      <c r="AS32" s="336">
        <v>891100</v>
      </c>
      <c r="AT32" s="336">
        <v>3123290</v>
      </c>
      <c r="AU32" s="336">
        <v>3832990</v>
      </c>
      <c r="AV32" s="336">
        <v>4461040</v>
      </c>
      <c r="AW32" s="335">
        <v>4871190</v>
      </c>
      <c r="AX32" s="336">
        <v>5455890</v>
      </c>
      <c r="AY32" s="336">
        <v>6240090</v>
      </c>
      <c r="AZ32" s="336">
        <v>6915640</v>
      </c>
      <c r="BA32" s="335">
        <v>6915640</v>
      </c>
      <c r="BB32" s="357">
        <v>8356320</v>
      </c>
      <c r="BC32" s="357">
        <v>9865770</v>
      </c>
      <c r="BD32" s="335">
        <v>10214070</v>
      </c>
      <c r="BE32" s="357">
        <v>771650</v>
      </c>
      <c r="BF32" s="357">
        <v>935350</v>
      </c>
      <c r="BG32" s="357">
        <v>3445750</v>
      </c>
      <c r="BH32" s="357">
        <v>4147532</v>
      </c>
      <c r="BI32" s="357">
        <v>5816910</v>
      </c>
      <c r="BJ32" s="357">
        <v>6016710</v>
      </c>
      <c r="BK32" s="357">
        <v>9129665</v>
      </c>
      <c r="BL32" s="357">
        <v>9944665</v>
      </c>
      <c r="BM32" s="357">
        <v>10320965</v>
      </c>
      <c r="BN32" s="357">
        <v>10397155</v>
      </c>
      <c r="BO32" s="357">
        <v>10843665</v>
      </c>
      <c r="BP32" s="357">
        <v>11391654.15</v>
      </c>
      <c r="BQ32" s="336">
        <v>10986055</v>
      </c>
      <c r="BR32" s="357">
        <v>355500</v>
      </c>
      <c r="BS32" s="357">
        <v>1552100</v>
      </c>
      <c r="BT32" s="357">
        <v>1665870</v>
      </c>
      <c r="BU32" s="357">
        <v>2464670</v>
      </c>
      <c r="BV32" s="357">
        <v>3826870</v>
      </c>
      <c r="BW32" s="357">
        <v>4926270</v>
      </c>
      <c r="BX32" s="337"/>
      <c r="BY32" s="357">
        <v>5311070</v>
      </c>
      <c r="BZ32" s="357">
        <v>5697570</v>
      </c>
      <c r="CA32" s="389">
        <v>6403490</v>
      </c>
      <c r="CB32" s="357">
        <v>6738590</v>
      </c>
      <c r="CC32" s="357">
        <v>6725205</v>
      </c>
      <c r="CD32" s="336">
        <v>6725205</v>
      </c>
      <c r="CE32" s="336">
        <v>8828680</v>
      </c>
      <c r="CF32" s="337">
        <v>280080</v>
      </c>
      <c r="CG32" s="337">
        <v>674900</v>
      </c>
      <c r="CH32" s="337">
        <v>3491570</v>
      </c>
      <c r="CI32" s="337">
        <v>5026710</v>
      </c>
      <c r="CJ32" s="337">
        <v>5639010</v>
      </c>
      <c r="CK32" s="337">
        <v>5965110</v>
      </c>
      <c r="CL32" s="337">
        <v>6525410</v>
      </c>
      <c r="CM32" s="337">
        <v>6797110</v>
      </c>
      <c r="CN32" s="357">
        <v>6953700</v>
      </c>
      <c r="CO32" s="357">
        <v>7641552</v>
      </c>
      <c r="CP32" s="357">
        <v>7792490</v>
      </c>
      <c r="CQ32" s="357">
        <v>7301702</v>
      </c>
      <c r="CR32" s="337"/>
    </row>
    <row r="33" spans="1:96">
      <c r="A33" s="53">
        <v>7.3</v>
      </c>
      <c r="B33" s="84" t="s">
        <v>105</v>
      </c>
      <c r="C33" s="103">
        <v>117250</v>
      </c>
      <c r="D33" s="103">
        <v>28900</v>
      </c>
      <c r="E33" s="335">
        <v>499960</v>
      </c>
      <c r="F33" s="335">
        <v>12500</v>
      </c>
      <c r="G33" s="335">
        <v>28000</v>
      </c>
      <c r="H33" s="335">
        <v>81000</v>
      </c>
      <c r="I33" s="335">
        <v>175040</v>
      </c>
      <c r="J33" s="335">
        <v>181790</v>
      </c>
      <c r="K33" s="335">
        <v>188290</v>
      </c>
      <c r="L33" s="335">
        <v>197290</v>
      </c>
      <c r="M33" s="335">
        <v>218890</v>
      </c>
      <c r="N33" s="335">
        <v>326390</v>
      </c>
      <c r="O33" s="335">
        <v>459390</v>
      </c>
      <c r="P33" s="350">
        <v>666790</v>
      </c>
      <c r="Q33" s="335">
        <v>840290</v>
      </c>
      <c r="R33" s="335">
        <v>319490</v>
      </c>
      <c r="S33" s="381">
        <v>101800</v>
      </c>
      <c r="T33" s="381">
        <v>190800</v>
      </c>
      <c r="U33" s="381">
        <v>246800</v>
      </c>
      <c r="V33" s="382">
        <v>280800</v>
      </c>
      <c r="W33" s="335">
        <v>336800</v>
      </c>
      <c r="X33" s="383">
        <v>457400</v>
      </c>
      <c r="Y33" s="384">
        <v>511600</v>
      </c>
      <c r="Z33" s="356">
        <v>569600</v>
      </c>
      <c r="AA33" s="335">
        <v>761300</v>
      </c>
      <c r="AB33" s="357">
        <v>817400</v>
      </c>
      <c r="AC33" s="357">
        <v>823400</v>
      </c>
      <c r="AD33" s="357">
        <v>826400</v>
      </c>
      <c r="AE33" s="357">
        <v>234850</v>
      </c>
      <c r="AF33" s="357">
        <v>567800</v>
      </c>
      <c r="AG33" s="357">
        <v>140300</v>
      </c>
      <c r="AH33" s="357">
        <v>154300</v>
      </c>
      <c r="AI33" s="357">
        <v>478800</v>
      </c>
      <c r="AJ33" s="385">
        <v>524400</v>
      </c>
      <c r="AK33" s="336">
        <v>585800</v>
      </c>
      <c r="AL33" s="336">
        <v>690800</v>
      </c>
      <c r="AM33" s="336">
        <v>867600</v>
      </c>
      <c r="AN33" s="336">
        <v>1113350</v>
      </c>
      <c r="AO33" s="336">
        <v>1291450</v>
      </c>
      <c r="AP33" s="336">
        <v>1380100</v>
      </c>
      <c r="AQ33" s="336">
        <v>1380100</v>
      </c>
      <c r="AR33" s="336">
        <v>55500</v>
      </c>
      <c r="AS33" s="336">
        <v>143400</v>
      </c>
      <c r="AT33" s="336">
        <v>452410</v>
      </c>
      <c r="AU33" s="336">
        <v>784470</v>
      </c>
      <c r="AV33" s="336">
        <v>1187450</v>
      </c>
      <c r="AW33" s="335">
        <v>1559012</v>
      </c>
      <c r="AX33" s="336">
        <v>1822862</v>
      </c>
      <c r="AY33" s="336">
        <v>1961812</v>
      </c>
      <c r="AZ33" s="336">
        <v>2030712</v>
      </c>
      <c r="BA33" s="335">
        <v>2030712</v>
      </c>
      <c r="BB33" s="357">
        <v>2852932</v>
      </c>
      <c r="BC33" s="357">
        <v>2906232</v>
      </c>
      <c r="BD33" s="335"/>
      <c r="BE33" s="357">
        <v>249500</v>
      </c>
      <c r="BF33" s="357">
        <v>547100</v>
      </c>
      <c r="BG33" s="357">
        <v>697940</v>
      </c>
      <c r="BH33" s="357">
        <v>942820</v>
      </c>
      <c r="BI33" s="357">
        <v>995120</v>
      </c>
      <c r="BJ33" s="357">
        <v>1031920</v>
      </c>
      <c r="BK33" s="357">
        <v>1013370</v>
      </c>
      <c r="BL33" s="357">
        <v>1228738</v>
      </c>
      <c r="BM33" s="357">
        <v>1273938</v>
      </c>
      <c r="BN33" s="357">
        <v>1363590</v>
      </c>
      <c r="BO33" s="357">
        <v>1417490</v>
      </c>
      <c r="BP33" s="357">
        <v>1455940</v>
      </c>
      <c r="BQ33" s="336">
        <v>1455940</v>
      </c>
      <c r="BR33" s="357">
        <v>34600</v>
      </c>
      <c r="BS33" s="357">
        <v>188300</v>
      </c>
      <c r="BT33" s="357">
        <v>213500</v>
      </c>
      <c r="BU33" s="357">
        <v>215500</v>
      </c>
      <c r="BV33" s="357">
        <v>314050</v>
      </c>
      <c r="BW33" s="357">
        <v>399700</v>
      </c>
      <c r="BX33" s="337"/>
      <c r="BY33" s="357">
        <v>427550</v>
      </c>
      <c r="BZ33" s="357">
        <v>429550</v>
      </c>
      <c r="CA33" s="389">
        <v>632050</v>
      </c>
      <c r="CB33" s="357">
        <v>640550</v>
      </c>
      <c r="CC33" s="357">
        <v>645550</v>
      </c>
      <c r="CD33" s="336">
        <v>645550</v>
      </c>
      <c r="CE33" s="336">
        <v>1844935</v>
      </c>
      <c r="CF33" s="337">
        <v>604900</v>
      </c>
      <c r="CG33" s="337">
        <v>376350</v>
      </c>
      <c r="CH33" s="337">
        <v>390750</v>
      </c>
      <c r="CI33" s="337">
        <v>584050</v>
      </c>
      <c r="CJ33" s="337">
        <v>611050</v>
      </c>
      <c r="CK33" s="337">
        <v>890150</v>
      </c>
      <c r="CL33" s="337">
        <v>927750</v>
      </c>
      <c r="CM33" s="337">
        <v>1013250</v>
      </c>
      <c r="CN33" s="357">
        <v>1056250</v>
      </c>
      <c r="CO33" s="357">
        <v>1066250</v>
      </c>
      <c r="CP33" s="357">
        <v>1080250</v>
      </c>
      <c r="CQ33" s="357">
        <v>845050</v>
      </c>
      <c r="CR33" s="337"/>
    </row>
    <row r="34" spans="1:96">
      <c r="A34" s="53">
        <v>7.4</v>
      </c>
      <c r="B34" s="84" t="s">
        <v>106</v>
      </c>
      <c r="C34" s="103">
        <v>816443.3</v>
      </c>
      <c r="D34" s="103">
        <v>1227389.53</v>
      </c>
      <c r="E34" s="335">
        <v>3121778</v>
      </c>
      <c r="F34" s="335">
        <v>98608.47</v>
      </c>
      <c r="G34" s="335">
        <v>98608.47</v>
      </c>
      <c r="H34" s="335">
        <v>147912.68</v>
      </c>
      <c r="I34" s="335">
        <v>98608.47</v>
      </c>
      <c r="J34" s="335">
        <v>123260.59</v>
      </c>
      <c r="K34" s="335">
        <v>147912.71</v>
      </c>
      <c r="L34" s="335">
        <v>172564.83</v>
      </c>
      <c r="M34" s="335">
        <v>197216.94</v>
      </c>
      <c r="N34" s="335">
        <v>2168886.23</v>
      </c>
      <c r="O34" s="335">
        <v>2409873.59</v>
      </c>
      <c r="P34" s="350">
        <v>2650860.9500000002</v>
      </c>
      <c r="Q34" s="335">
        <v>2891848.31</v>
      </c>
      <c r="R34" s="335">
        <v>6546278.1874611601</v>
      </c>
      <c r="S34" s="381">
        <v>375000</v>
      </c>
      <c r="T34" s="381">
        <v>545523</v>
      </c>
      <c r="U34" s="381">
        <v>818284.5</v>
      </c>
      <c r="V34" s="382">
        <v>1091046</v>
      </c>
      <c r="W34" s="335">
        <v>1363807.5</v>
      </c>
      <c r="X34" s="383">
        <v>1636569</v>
      </c>
      <c r="Y34" s="384">
        <v>1909330.5</v>
      </c>
      <c r="Z34" s="356">
        <v>2182092</v>
      </c>
      <c r="AA34" s="335">
        <v>2454853.5</v>
      </c>
      <c r="AB34" s="357">
        <v>2727615.36</v>
      </c>
      <c r="AC34" s="357">
        <v>3000376.9</v>
      </c>
      <c r="AD34" s="357">
        <v>3878022.38</v>
      </c>
      <c r="AE34" s="357">
        <v>575369.68999999994</v>
      </c>
      <c r="AF34" s="357">
        <v>725489.23</v>
      </c>
      <c r="AG34" s="357">
        <v>856936.36</v>
      </c>
      <c r="AH34" s="357">
        <v>1142581.81</v>
      </c>
      <c r="AI34" s="357">
        <v>1371098.17</v>
      </c>
      <c r="AJ34" s="385">
        <v>1645317.8</v>
      </c>
      <c r="AK34" s="336">
        <v>1919537.43</v>
      </c>
      <c r="AL34" s="336">
        <v>2193757.06</v>
      </c>
      <c r="AM34" s="336">
        <v>2467976.69</v>
      </c>
      <c r="AN34" s="336">
        <v>2714774.36</v>
      </c>
      <c r="AO34" s="336">
        <v>2961572.03</v>
      </c>
      <c r="AP34" s="336">
        <v>3230805.85</v>
      </c>
      <c r="AQ34" s="336">
        <v>5037036</v>
      </c>
      <c r="AR34" s="336">
        <v>268356.84999999998</v>
      </c>
      <c r="AS34" s="336">
        <v>436713.7</v>
      </c>
      <c r="AT34" s="336">
        <v>655070.55000000005</v>
      </c>
      <c r="AU34" s="336">
        <v>873427.4</v>
      </c>
      <c r="AV34" s="336">
        <v>1091784.25</v>
      </c>
      <c r="AW34" s="335">
        <v>1310141.1000000001</v>
      </c>
      <c r="AX34" s="336">
        <v>1528497.95</v>
      </c>
      <c r="AY34" s="336">
        <v>1746854.8</v>
      </c>
      <c r="AZ34" s="336">
        <v>1965211.65</v>
      </c>
      <c r="BA34" s="335">
        <v>1965211.65</v>
      </c>
      <c r="BB34" s="357">
        <v>2823810.71</v>
      </c>
      <c r="BC34" s="357">
        <v>3080520.77</v>
      </c>
      <c r="BD34" s="335">
        <v>2451033.6</v>
      </c>
      <c r="BE34" s="357">
        <v>342520</v>
      </c>
      <c r="BF34" s="357">
        <v>0</v>
      </c>
      <c r="BG34" s="357">
        <v>1396576.15</v>
      </c>
      <c r="BH34" s="357">
        <v>1862101.53</v>
      </c>
      <c r="BI34" s="357">
        <v>2327626.91</v>
      </c>
      <c r="BJ34" s="357">
        <v>2793152.29</v>
      </c>
      <c r="BK34" s="357">
        <v>3258677.67</v>
      </c>
      <c r="BL34" s="357">
        <v>3724203.05</v>
      </c>
      <c r="BM34" s="357">
        <v>4189728</v>
      </c>
      <c r="BN34" s="357">
        <v>4655253.33</v>
      </c>
      <c r="BO34" s="357">
        <v>5078458.18</v>
      </c>
      <c r="BP34" s="357">
        <v>4252572</v>
      </c>
      <c r="BQ34" s="336">
        <f>1868145.6+2090284.95</f>
        <v>3958430.55</v>
      </c>
      <c r="BR34" s="357">
        <v>354381</v>
      </c>
      <c r="BS34" s="357">
        <v>769500</v>
      </c>
      <c r="BT34" s="357">
        <v>852333.36</v>
      </c>
      <c r="BU34" s="357">
        <v>1065416.7</v>
      </c>
      <c r="BV34" s="357">
        <v>1331770.8799999999</v>
      </c>
      <c r="BW34" s="357">
        <v>1598125.06</v>
      </c>
      <c r="BX34" s="337"/>
      <c r="BY34" s="357">
        <v>2130833.33</v>
      </c>
      <c r="BZ34" s="357">
        <v>2397187.4900000002</v>
      </c>
      <c r="CA34" s="389">
        <v>2663541.66</v>
      </c>
      <c r="CB34" s="357">
        <v>2929895.83</v>
      </c>
      <c r="CC34" s="357">
        <v>3271901</v>
      </c>
      <c r="CD34" s="336">
        <v>1472349</v>
      </c>
      <c r="CE34" s="336">
        <f>1443678+899911</f>
        <v>2343589</v>
      </c>
      <c r="CF34" s="337">
        <v>398241.23</v>
      </c>
      <c r="CG34" s="337">
        <v>796482.46</v>
      </c>
      <c r="CH34" s="337">
        <v>889236.25</v>
      </c>
      <c r="CI34" s="337">
        <v>1185648.33</v>
      </c>
      <c r="CJ34" s="337">
        <v>1482060.41</v>
      </c>
      <c r="CK34" s="337">
        <v>1778472.49</v>
      </c>
      <c r="CL34" s="337">
        <v>2074884.57</v>
      </c>
      <c r="CM34" s="337">
        <v>2371296.65</v>
      </c>
      <c r="CN34" s="357">
        <v>3624446.65</v>
      </c>
      <c r="CO34" s="357">
        <v>4027162.95</v>
      </c>
      <c r="CP34" s="357">
        <v>4429879.3499999996</v>
      </c>
      <c r="CQ34" s="357">
        <v>0</v>
      </c>
      <c r="CR34" s="337"/>
    </row>
    <row r="35" spans="1:96">
      <c r="A35" s="53">
        <v>7.5</v>
      </c>
      <c r="B35" s="84" t="s">
        <v>107</v>
      </c>
      <c r="C35" s="103">
        <v>3494275.79</v>
      </c>
      <c r="D35" s="103">
        <f>7469159.3+20000</f>
        <v>7489159.2999999998</v>
      </c>
      <c r="E35" s="335">
        <f>391080+1501639+145180+495510+653942+73000+125633+735370+1083362+302880+14148+85470+85470+333700+913352</f>
        <v>6939736</v>
      </c>
      <c r="F35" s="335">
        <v>1425787.45</v>
      </c>
      <c r="G35" s="335">
        <v>2074404.95</v>
      </c>
      <c r="H35" s="335">
        <v>3865630.5</v>
      </c>
      <c r="I35" s="335">
        <v>5957150</v>
      </c>
      <c r="J35" s="335">
        <v>6981030.7999999998</v>
      </c>
      <c r="K35" s="335">
        <v>8504517.3000000007</v>
      </c>
      <c r="L35" s="335">
        <v>9467863.9499999993</v>
      </c>
      <c r="M35" s="335">
        <v>11011618.880000001</v>
      </c>
      <c r="N35" s="335">
        <v>6687946.5300000003</v>
      </c>
      <c r="O35" s="335">
        <v>7601580.5300000003</v>
      </c>
      <c r="P35" s="350">
        <v>8574933.5299999993</v>
      </c>
      <c r="Q35" s="335">
        <v>10678548.529999999</v>
      </c>
      <c r="R35" s="335">
        <f>12204200+1175924-319490</f>
        <v>13060634</v>
      </c>
      <c r="S35" s="381">
        <v>1115221</v>
      </c>
      <c r="T35" s="381">
        <v>2314253</v>
      </c>
      <c r="U35" s="381">
        <v>3114338</v>
      </c>
      <c r="V35" s="382">
        <v>4326250</v>
      </c>
      <c r="W35" s="335">
        <v>6161511</v>
      </c>
      <c r="X35" s="383">
        <v>6837931</v>
      </c>
      <c r="Y35" s="384">
        <v>7610832</v>
      </c>
      <c r="Z35" s="356">
        <v>8559228</v>
      </c>
      <c r="AA35" s="335">
        <v>9290648</v>
      </c>
      <c r="AB35" s="357">
        <v>10186918</v>
      </c>
      <c r="AC35" s="357">
        <v>10288978</v>
      </c>
      <c r="AD35" s="357">
        <v>11284618</v>
      </c>
      <c r="AE35" s="357">
        <v>1123526.3600000001</v>
      </c>
      <c r="AF35" s="357">
        <v>3725698.36</v>
      </c>
      <c r="AG35" s="357">
        <v>3997872</v>
      </c>
      <c r="AH35" s="357">
        <v>4158407</v>
      </c>
      <c r="AI35" s="357">
        <v>4658002</v>
      </c>
      <c r="AJ35" s="385">
        <v>7746837</v>
      </c>
      <c r="AK35" s="336">
        <v>7910927</v>
      </c>
      <c r="AL35" s="336">
        <v>9095877</v>
      </c>
      <c r="AM35" s="336">
        <v>10158334</v>
      </c>
      <c r="AN35" s="336">
        <v>10688143</v>
      </c>
      <c r="AO35" s="336">
        <v>11779683.1</v>
      </c>
      <c r="AP35" s="336">
        <v>15221265.07</v>
      </c>
      <c r="AQ35" s="336">
        <v>12664929</v>
      </c>
      <c r="AR35" s="336">
        <v>697397</v>
      </c>
      <c r="AS35" s="336">
        <v>1674213</v>
      </c>
      <c r="AT35" s="336">
        <v>2567684</v>
      </c>
      <c r="AU35" s="336">
        <v>3764658</v>
      </c>
      <c r="AV35" s="336">
        <v>4930438</v>
      </c>
      <c r="AW35" s="335">
        <v>5928108</v>
      </c>
      <c r="AX35" s="336">
        <v>6917460</v>
      </c>
      <c r="AY35" s="336">
        <v>8118260</v>
      </c>
      <c r="AZ35" s="336">
        <v>9754350</v>
      </c>
      <c r="BA35" s="335">
        <v>9754350</v>
      </c>
      <c r="BB35" s="357">
        <v>12342097</v>
      </c>
      <c r="BC35" s="357">
        <v>16855941.559999999</v>
      </c>
      <c r="BD35" s="335">
        <v>37393873</v>
      </c>
      <c r="BE35" s="357">
        <v>1142219</v>
      </c>
      <c r="BF35" s="357">
        <v>1729898</v>
      </c>
      <c r="BG35" s="357">
        <v>3758840.6</v>
      </c>
      <c r="BH35" s="357">
        <v>5462020.5999999996</v>
      </c>
      <c r="BI35" s="357">
        <v>6109730.5999999996</v>
      </c>
      <c r="BJ35" s="357">
        <v>7488792.5999999996</v>
      </c>
      <c r="BK35" s="357">
        <v>9323722.75</v>
      </c>
      <c r="BL35" s="357">
        <v>11043317.75</v>
      </c>
      <c r="BM35" s="357">
        <v>11609816.75</v>
      </c>
      <c r="BN35" s="357">
        <v>12413484.75</v>
      </c>
      <c r="BO35" s="357">
        <v>13149574.75</v>
      </c>
      <c r="BP35" s="357">
        <v>22651163.199999999</v>
      </c>
      <c r="BQ35" s="336">
        <v>29610992.349999998</v>
      </c>
      <c r="BR35" s="357">
        <v>1164853</v>
      </c>
      <c r="BS35" s="357">
        <v>2873743</v>
      </c>
      <c r="BT35" s="357">
        <v>5110436</v>
      </c>
      <c r="BU35" s="357">
        <v>6590536</v>
      </c>
      <c r="BV35" s="357">
        <v>7654546</v>
      </c>
      <c r="BW35" s="357">
        <v>9307728</v>
      </c>
      <c r="BX35" s="337"/>
      <c r="BY35" s="357">
        <v>12590543</v>
      </c>
      <c r="BZ35" s="357">
        <v>11370022</v>
      </c>
      <c r="CA35" s="389">
        <v>10676618</v>
      </c>
      <c r="CB35" s="357">
        <v>11900552</v>
      </c>
      <c r="CC35" s="357">
        <v>28994257.829999998</v>
      </c>
      <c r="CD35" s="336">
        <f>33447664.15-CD33</f>
        <v>32802114.149999999</v>
      </c>
      <c r="CE35" s="336">
        <f>36141657-1844935</f>
        <v>34296722</v>
      </c>
      <c r="CF35" s="337">
        <v>1912770</v>
      </c>
      <c r="CG35" s="337">
        <v>2588925</v>
      </c>
      <c r="CH35" s="337">
        <v>4236657</v>
      </c>
      <c r="CI35" s="337">
        <v>5915751</v>
      </c>
      <c r="CJ35" s="337">
        <v>9733016</v>
      </c>
      <c r="CK35" s="337">
        <v>10743735</v>
      </c>
      <c r="CL35" s="337">
        <v>11385913</v>
      </c>
      <c r="CM35" s="337">
        <v>11616743</v>
      </c>
      <c r="CN35" s="357">
        <v>12030187.130000001</v>
      </c>
      <c r="CO35" s="357">
        <v>13854889.68</v>
      </c>
      <c r="CP35" s="357">
        <v>14496390.68</v>
      </c>
      <c r="CQ35" s="357">
        <v>38214660.899999999</v>
      </c>
      <c r="CR35" s="337"/>
    </row>
    <row r="36" spans="1:96">
      <c r="A36" s="53">
        <v>8</v>
      </c>
      <c r="B36" s="83" t="s">
        <v>108</v>
      </c>
      <c r="C36" s="376">
        <f t="shared" ref="C36:BN36" si="110">C26-C27-C30</f>
        <v>17582286.430000003</v>
      </c>
      <c r="D36" s="376">
        <f t="shared" si="110"/>
        <v>10776345.84999999</v>
      </c>
      <c r="E36" s="333">
        <f t="shared" si="110"/>
        <v>4783764</v>
      </c>
      <c r="F36" s="333">
        <f t="shared" si="110"/>
        <v>83273.83999999892</v>
      </c>
      <c r="G36" s="333">
        <f t="shared" si="110"/>
        <v>-390773.92999999784</v>
      </c>
      <c r="H36" s="333">
        <f t="shared" si="110"/>
        <v>-1112049.8400000036</v>
      </c>
      <c r="I36" s="333">
        <f t="shared" si="110"/>
        <v>-15187758.370000003</v>
      </c>
      <c r="J36" s="333">
        <f t="shared" si="110"/>
        <v>-9845279.7399999984</v>
      </c>
      <c r="K36" s="333">
        <f t="shared" si="110"/>
        <v>-5304714.4999999963</v>
      </c>
      <c r="L36" s="333">
        <f t="shared" si="110"/>
        <v>-4632165.8900000043</v>
      </c>
      <c r="M36" s="333">
        <f t="shared" si="110"/>
        <v>-4956824.0799999982</v>
      </c>
      <c r="N36" s="333">
        <f t="shared" si="110"/>
        <v>-1375713.5199999958</v>
      </c>
      <c r="O36" s="333">
        <f t="shared" si="110"/>
        <v>-1795753.2399999984</v>
      </c>
      <c r="P36" s="333">
        <f t="shared" si="110"/>
        <v>2108067.5000000075</v>
      </c>
      <c r="Q36" s="333">
        <f t="shared" si="110"/>
        <v>2005799.7800000012</v>
      </c>
      <c r="R36" s="333">
        <f t="shared" si="110"/>
        <v>3020479.4586388394</v>
      </c>
      <c r="S36" s="333">
        <f t="shared" si="110"/>
        <v>-1848072.0699999994</v>
      </c>
      <c r="T36" s="333">
        <f t="shared" si="110"/>
        <v>234815.37000000104</v>
      </c>
      <c r="U36" s="333">
        <f t="shared" si="110"/>
        <v>1735385.9999999963</v>
      </c>
      <c r="V36" s="333">
        <f t="shared" si="110"/>
        <v>2052936.8200000003</v>
      </c>
      <c r="W36" s="333">
        <f t="shared" si="110"/>
        <v>1715461.0199999996</v>
      </c>
      <c r="X36" s="333">
        <f t="shared" si="110"/>
        <v>-1187999.549999997</v>
      </c>
      <c r="Y36" s="333">
        <f t="shared" si="110"/>
        <v>1039146.8999999985</v>
      </c>
      <c r="Z36" s="333">
        <f t="shared" si="110"/>
        <v>5247182.2400000021</v>
      </c>
      <c r="AA36" s="333">
        <f t="shared" si="110"/>
        <v>7891344.3299999982</v>
      </c>
      <c r="AB36" s="333">
        <f t="shared" si="110"/>
        <v>5543757.1700000018</v>
      </c>
      <c r="AC36" s="333">
        <f t="shared" si="110"/>
        <v>3976430.6599999964</v>
      </c>
      <c r="AD36" s="333">
        <f t="shared" si="110"/>
        <v>6958582.5700000003</v>
      </c>
      <c r="AE36" s="333">
        <f t="shared" si="110"/>
        <v>413771.43999999762</v>
      </c>
      <c r="AF36" s="333">
        <f t="shared" si="110"/>
        <v>1786553.209999999</v>
      </c>
      <c r="AG36" s="333">
        <f t="shared" si="110"/>
        <v>1571296.6900000013</v>
      </c>
      <c r="AH36" s="333">
        <f t="shared" si="110"/>
        <v>1139278.2700000014</v>
      </c>
      <c r="AI36" s="333">
        <f t="shared" si="110"/>
        <v>1422959.0200000033</v>
      </c>
      <c r="AJ36" s="333">
        <f t="shared" si="110"/>
        <v>3694109.7300000004</v>
      </c>
      <c r="AK36" s="333">
        <f t="shared" si="110"/>
        <v>2657876.41</v>
      </c>
      <c r="AL36" s="333">
        <f t="shared" si="110"/>
        <v>4869593.4600000046</v>
      </c>
      <c r="AM36" s="333">
        <f t="shared" si="110"/>
        <v>4399964.5699999928</v>
      </c>
      <c r="AN36" s="333">
        <f t="shared" si="110"/>
        <v>6643730.3899999857</v>
      </c>
      <c r="AO36" s="333">
        <f t="shared" si="110"/>
        <v>8558881.9799999893</v>
      </c>
      <c r="AP36" s="333">
        <f t="shared" si="110"/>
        <v>12657410.419999987</v>
      </c>
      <c r="AQ36" s="334">
        <f t="shared" si="110"/>
        <v>7098087</v>
      </c>
      <c r="AR36" s="334">
        <f t="shared" si="110"/>
        <v>2494467.9599999995</v>
      </c>
      <c r="AS36" s="334">
        <f t="shared" si="110"/>
        <v>6608816.9000000032</v>
      </c>
      <c r="AT36" s="334">
        <f t="shared" si="110"/>
        <v>4017014.75</v>
      </c>
      <c r="AU36" s="334">
        <f t="shared" si="110"/>
        <v>7432088.7300000042</v>
      </c>
      <c r="AV36" s="334">
        <f t="shared" si="110"/>
        <v>7795823.6199999973</v>
      </c>
      <c r="AW36" s="334">
        <f t="shared" si="110"/>
        <v>6966289.4400000051</v>
      </c>
      <c r="AX36" s="334">
        <f t="shared" si="110"/>
        <v>9218492.5900000073</v>
      </c>
      <c r="AY36" s="334">
        <f t="shared" si="110"/>
        <v>8450339.8099999949</v>
      </c>
      <c r="AZ36" s="334">
        <f t="shared" si="110"/>
        <v>9243125.4399999902</v>
      </c>
      <c r="BA36" s="334">
        <f t="shared" si="110"/>
        <v>9243125.4620000049</v>
      </c>
      <c r="BB36" s="334">
        <f t="shared" si="110"/>
        <v>12802704.089999989</v>
      </c>
      <c r="BC36" s="334">
        <f t="shared" si="110"/>
        <v>5503970.9800000042</v>
      </c>
      <c r="BD36" s="334">
        <f t="shared" si="110"/>
        <v>13660041.400000006</v>
      </c>
      <c r="BE36" s="334">
        <f t="shared" si="110"/>
        <v>4723129.7200000007</v>
      </c>
      <c r="BF36" s="334">
        <f t="shared" si="110"/>
        <v>10403172.549999999</v>
      </c>
      <c r="BG36" s="334">
        <f t="shared" si="110"/>
        <v>8141009.1099999975</v>
      </c>
      <c r="BH36" s="334">
        <f t="shared" si="110"/>
        <v>6702756.570000004</v>
      </c>
      <c r="BI36" s="334">
        <f t="shared" si="110"/>
        <v>7229005.4600000009</v>
      </c>
      <c r="BJ36" s="334">
        <f t="shared" si="110"/>
        <v>12758465.860000007</v>
      </c>
      <c r="BK36" s="334">
        <f t="shared" si="110"/>
        <v>9639482.0899999961</v>
      </c>
      <c r="BL36" s="334">
        <f t="shared" si="110"/>
        <v>12601432.080000006</v>
      </c>
      <c r="BM36" s="334">
        <f t="shared" si="110"/>
        <v>18773343.160000004</v>
      </c>
      <c r="BN36" s="334">
        <f t="shared" si="110"/>
        <v>19311272.780000009</v>
      </c>
      <c r="BO36" s="334">
        <f t="shared" ref="BO36:CD36" si="111">BO26-BO27-BO30</f>
        <v>20387722.359999985</v>
      </c>
      <c r="BP36" s="334">
        <f t="shared" si="111"/>
        <v>14766047.209999993</v>
      </c>
      <c r="BQ36" s="334">
        <f t="shared" si="111"/>
        <v>10883451.350000009</v>
      </c>
      <c r="BR36" s="334">
        <f t="shared" si="111"/>
        <v>5301186.7399999984</v>
      </c>
      <c r="BS36" s="334">
        <f t="shared" si="111"/>
        <v>7884906.3099999968</v>
      </c>
      <c r="BT36" s="334">
        <f t="shared" si="111"/>
        <v>10230174.380000008</v>
      </c>
      <c r="BU36" s="334">
        <f t="shared" si="111"/>
        <v>9919119.3899999969</v>
      </c>
      <c r="BV36" s="334">
        <f t="shared" si="111"/>
        <v>10572870.57</v>
      </c>
      <c r="BW36" s="334">
        <f t="shared" si="111"/>
        <v>11232421.5</v>
      </c>
      <c r="BX36" s="334">
        <f t="shared" si="111"/>
        <v>0</v>
      </c>
      <c r="BY36" s="334">
        <f t="shared" si="111"/>
        <v>17171020.080000021</v>
      </c>
      <c r="BZ36" s="334">
        <f t="shared" si="111"/>
        <v>24453003.920000009</v>
      </c>
      <c r="CA36" s="334">
        <f t="shared" si="111"/>
        <v>28859289.010000005</v>
      </c>
      <c r="CB36" s="334">
        <f t="shared" si="111"/>
        <v>31542525.619999997</v>
      </c>
      <c r="CC36" s="334">
        <f t="shared" si="111"/>
        <v>10829514.829999991</v>
      </c>
      <c r="CD36" s="334">
        <f t="shared" si="111"/>
        <v>9162407.2000000179</v>
      </c>
      <c r="CE36" s="334">
        <f t="shared" ref="CE36:CM36" si="112">CE26-CE27-CE30</f>
        <v>20493796</v>
      </c>
      <c r="CF36" s="334">
        <f>CF26-CF27-CF30</f>
        <v>9096098.2799999993</v>
      </c>
      <c r="CG36" s="334">
        <f t="shared" si="112"/>
        <v>19850912.279999997</v>
      </c>
      <c r="CH36" s="334">
        <f t="shared" si="112"/>
        <v>21336349.079999998</v>
      </c>
      <c r="CI36" s="334">
        <f t="shared" si="112"/>
        <v>23781476.409999996</v>
      </c>
      <c r="CJ36" s="334">
        <f t="shared" si="112"/>
        <v>27827196.150000006</v>
      </c>
      <c r="CK36" s="334">
        <f t="shared" si="112"/>
        <v>31518688.020000007</v>
      </c>
      <c r="CL36" s="334">
        <f t="shared" si="112"/>
        <v>37868409.210000008</v>
      </c>
      <c r="CM36" s="334">
        <f t="shared" si="112"/>
        <v>15989365.25</v>
      </c>
      <c r="CN36" s="334">
        <f t="shared" ref="CN36:CQ36" si="113">CN26-CN27-CN30</f>
        <v>16040881.290000014</v>
      </c>
      <c r="CO36" s="334">
        <f t="shared" si="113"/>
        <v>27866292.319999978</v>
      </c>
      <c r="CP36" s="334">
        <f t="shared" si="113"/>
        <v>39527336.629999988</v>
      </c>
      <c r="CQ36" s="334">
        <f t="shared" si="113"/>
        <v>21919230.289999992</v>
      </c>
      <c r="CR36" s="341"/>
    </row>
    <row r="37" spans="1:96">
      <c r="A37" s="53">
        <v>9</v>
      </c>
      <c r="B37" s="83" t="s">
        <v>109</v>
      </c>
      <c r="C37" s="376">
        <f t="shared" ref="C37" si="114">C38-C39</f>
        <v>0</v>
      </c>
      <c r="D37" s="376">
        <f t="shared" ref="D37" si="115">D38-D39</f>
        <v>0</v>
      </c>
      <c r="E37" s="333">
        <f t="shared" ref="E37:AX37" si="116">E38-E39</f>
        <v>0</v>
      </c>
      <c r="F37" s="333">
        <f t="shared" si="116"/>
        <v>0</v>
      </c>
      <c r="G37" s="333">
        <f t="shared" si="116"/>
        <v>0</v>
      </c>
      <c r="H37" s="333">
        <f t="shared" si="116"/>
        <v>0</v>
      </c>
      <c r="I37" s="333">
        <f t="shared" si="116"/>
        <v>0</v>
      </c>
      <c r="J37" s="333">
        <f t="shared" si="116"/>
        <v>0</v>
      </c>
      <c r="K37" s="333">
        <f t="shared" si="116"/>
        <v>0</v>
      </c>
      <c r="L37" s="333">
        <f t="shared" si="116"/>
        <v>0</v>
      </c>
      <c r="M37" s="333">
        <f t="shared" si="116"/>
        <v>0</v>
      </c>
      <c r="N37" s="333">
        <f t="shared" si="116"/>
        <v>0</v>
      </c>
      <c r="O37" s="333">
        <f t="shared" si="116"/>
        <v>0</v>
      </c>
      <c r="P37" s="333">
        <f t="shared" si="116"/>
        <v>0</v>
      </c>
      <c r="Q37" s="333">
        <f t="shared" si="116"/>
        <v>0</v>
      </c>
      <c r="R37" s="333">
        <f t="shared" si="116"/>
        <v>0</v>
      </c>
      <c r="S37" s="333">
        <f t="shared" si="116"/>
        <v>0</v>
      </c>
      <c r="T37" s="333">
        <f t="shared" si="116"/>
        <v>0</v>
      </c>
      <c r="U37" s="333">
        <f t="shared" si="116"/>
        <v>0</v>
      </c>
      <c r="V37" s="333">
        <f t="shared" si="116"/>
        <v>0</v>
      </c>
      <c r="W37" s="333">
        <f t="shared" si="116"/>
        <v>0</v>
      </c>
      <c r="X37" s="333">
        <f t="shared" si="116"/>
        <v>0</v>
      </c>
      <c r="Y37" s="333">
        <f t="shared" si="116"/>
        <v>0</v>
      </c>
      <c r="Z37" s="333">
        <f t="shared" si="116"/>
        <v>0</v>
      </c>
      <c r="AA37" s="333">
        <f t="shared" si="116"/>
        <v>0</v>
      </c>
      <c r="AB37" s="333">
        <f t="shared" si="116"/>
        <v>0</v>
      </c>
      <c r="AC37" s="333">
        <f t="shared" si="116"/>
        <v>0</v>
      </c>
      <c r="AD37" s="333">
        <f t="shared" si="116"/>
        <v>0</v>
      </c>
      <c r="AE37" s="333">
        <f t="shared" si="116"/>
        <v>0</v>
      </c>
      <c r="AF37" s="333">
        <f t="shared" si="116"/>
        <v>0</v>
      </c>
      <c r="AG37" s="333">
        <f t="shared" si="116"/>
        <v>0</v>
      </c>
      <c r="AH37" s="333">
        <f t="shared" si="116"/>
        <v>0</v>
      </c>
      <c r="AI37" s="333">
        <f t="shared" si="116"/>
        <v>0</v>
      </c>
      <c r="AJ37" s="333">
        <f t="shared" si="116"/>
        <v>0</v>
      </c>
      <c r="AK37" s="333">
        <f t="shared" si="116"/>
        <v>0</v>
      </c>
      <c r="AL37" s="333">
        <f t="shared" si="116"/>
        <v>0</v>
      </c>
      <c r="AM37" s="333">
        <f t="shared" si="116"/>
        <v>0</v>
      </c>
      <c r="AN37" s="333">
        <f t="shared" si="116"/>
        <v>0</v>
      </c>
      <c r="AO37" s="333">
        <f t="shared" si="116"/>
        <v>0</v>
      </c>
      <c r="AP37" s="333">
        <f t="shared" si="116"/>
        <v>0</v>
      </c>
      <c r="AQ37" s="334">
        <f t="shared" si="116"/>
        <v>0</v>
      </c>
      <c r="AR37" s="334">
        <f t="shared" si="116"/>
        <v>0</v>
      </c>
      <c r="AS37" s="334">
        <f t="shared" si="116"/>
        <v>0</v>
      </c>
      <c r="AT37" s="334">
        <f t="shared" si="116"/>
        <v>0</v>
      </c>
      <c r="AU37" s="334">
        <f t="shared" si="116"/>
        <v>0</v>
      </c>
      <c r="AV37" s="334">
        <f t="shared" si="116"/>
        <v>0</v>
      </c>
      <c r="AW37" s="334">
        <f t="shared" si="116"/>
        <v>0</v>
      </c>
      <c r="AX37" s="334">
        <f t="shared" si="116"/>
        <v>0</v>
      </c>
      <c r="AY37" s="334">
        <f t="shared" ref="AY37:BA37" si="117">AY38-AY39</f>
        <v>0</v>
      </c>
      <c r="AZ37" s="334">
        <f t="shared" si="117"/>
        <v>0</v>
      </c>
      <c r="BA37" s="334">
        <f t="shared" si="117"/>
        <v>0</v>
      </c>
      <c r="BB37" s="334">
        <f t="shared" ref="BB37:CD37" si="118">BB38-BB39</f>
        <v>0</v>
      </c>
      <c r="BC37" s="334">
        <f t="shared" si="118"/>
        <v>0</v>
      </c>
      <c r="BD37" s="334">
        <f t="shared" si="118"/>
        <v>0</v>
      </c>
      <c r="BE37" s="334">
        <f t="shared" si="118"/>
        <v>0</v>
      </c>
      <c r="BF37" s="334">
        <f t="shared" si="118"/>
        <v>0</v>
      </c>
      <c r="BG37" s="334">
        <f t="shared" si="118"/>
        <v>0</v>
      </c>
      <c r="BH37" s="334">
        <f t="shared" si="118"/>
        <v>0</v>
      </c>
      <c r="BI37" s="334">
        <f t="shared" si="118"/>
        <v>0</v>
      </c>
      <c r="BJ37" s="334">
        <f t="shared" si="118"/>
        <v>0</v>
      </c>
      <c r="BK37" s="334">
        <f t="shared" si="118"/>
        <v>0</v>
      </c>
      <c r="BL37" s="334">
        <f t="shared" si="118"/>
        <v>0</v>
      </c>
      <c r="BM37" s="334">
        <f t="shared" si="118"/>
        <v>0</v>
      </c>
      <c r="BN37" s="334">
        <f t="shared" si="118"/>
        <v>0</v>
      </c>
      <c r="BO37" s="334">
        <f t="shared" si="118"/>
        <v>0</v>
      </c>
      <c r="BP37" s="334">
        <f t="shared" si="118"/>
        <v>0</v>
      </c>
      <c r="BQ37" s="334">
        <f t="shared" si="118"/>
        <v>0</v>
      </c>
      <c r="BR37" s="334">
        <f t="shared" si="118"/>
        <v>0</v>
      </c>
      <c r="BS37" s="334">
        <f t="shared" si="118"/>
        <v>0</v>
      </c>
      <c r="BT37" s="334">
        <f t="shared" si="118"/>
        <v>0</v>
      </c>
      <c r="BU37" s="334">
        <f t="shared" si="118"/>
        <v>0</v>
      </c>
      <c r="BV37" s="334">
        <f t="shared" si="118"/>
        <v>0</v>
      </c>
      <c r="BW37" s="334">
        <f t="shared" si="118"/>
        <v>0</v>
      </c>
      <c r="BX37" s="334">
        <f t="shared" si="118"/>
        <v>0</v>
      </c>
      <c r="BY37" s="334">
        <f t="shared" si="118"/>
        <v>0</v>
      </c>
      <c r="BZ37" s="334">
        <f t="shared" si="118"/>
        <v>0</v>
      </c>
      <c r="CA37" s="334">
        <f t="shared" si="118"/>
        <v>0</v>
      </c>
      <c r="CB37" s="334">
        <f t="shared" si="118"/>
        <v>0</v>
      </c>
      <c r="CC37" s="334">
        <f t="shared" si="118"/>
        <v>0</v>
      </c>
      <c r="CD37" s="334">
        <f t="shared" si="118"/>
        <v>0</v>
      </c>
      <c r="CE37" s="334">
        <f t="shared" ref="CE37:CM37" si="119">CE38-CE39</f>
        <v>0</v>
      </c>
      <c r="CF37" s="334">
        <f t="shared" si="119"/>
        <v>0</v>
      </c>
      <c r="CG37" s="334">
        <f t="shared" si="119"/>
        <v>0</v>
      </c>
      <c r="CH37" s="334">
        <f t="shared" si="119"/>
        <v>0</v>
      </c>
      <c r="CI37" s="334">
        <f t="shared" si="119"/>
        <v>0</v>
      </c>
      <c r="CJ37" s="334">
        <f t="shared" si="119"/>
        <v>0</v>
      </c>
      <c r="CK37" s="334">
        <f t="shared" si="119"/>
        <v>0</v>
      </c>
      <c r="CL37" s="334">
        <f t="shared" si="119"/>
        <v>0</v>
      </c>
      <c r="CM37" s="334">
        <f t="shared" si="119"/>
        <v>0</v>
      </c>
      <c r="CN37" s="334">
        <f t="shared" ref="CN37:CQ37" si="120">CN38-CN39</f>
        <v>0</v>
      </c>
      <c r="CO37" s="334">
        <f t="shared" si="120"/>
        <v>0</v>
      </c>
      <c r="CP37" s="334">
        <f t="shared" si="120"/>
        <v>0</v>
      </c>
      <c r="CQ37" s="334">
        <f t="shared" si="120"/>
        <v>-5683058.2000000002</v>
      </c>
      <c r="CR37" s="341"/>
    </row>
    <row r="38" spans="1:96">
      <c r="A38" s="53">
        <v>9.1</v>
      </c>
      <c r="B38" s="84" t="s">
        <v>110</v>
      </c>
      <c r="C38" s="359"/>
      <c r="D38" s="359"/>
      <c r="E38" s="335"/>
      <c r="F38" s="335"/>
      <c r="G38" s="335"/>
      <c r="H38" s="335"/>
      <c r="I38" s="335"/>
      <c r="J38" s="335"/>
      <c r="K38" s="335"/>
      <c r="L38" s="335"/>
      <c r="M38" s="335"/>
      <c r="N38" s="335"/>
      <c r="O38" s="335"/>
      <c r="P38" s="350"/>
      <c r="Q38" s="335"/>
      <c r="R38" s="335"/>
      <c r="S38" s="386">
        <v>0</v>
      </c>
      <c r="T38" s="386">
        <v>0</v>
      </c>
      <c r="U38" s="386">
        <v>0</v>
      </c>
      <c r="V38" s="386">
        <v>0</v>
      </c>
      <c r="W38" s="386">
        <v>0</v>
      </c>
      <c r="X38" s="386">
        <v>0</v>
      </c>
      <c r="Y38" s="386">
        <v>0</v>
      </c>
      <c r="Z38" s="386">
        <v>0</v>
      </c>
      <c r="AA38" s="386">
        <v>1</v>
      </c>
      <c r="AB38" s="357">
        <v>0</v>
      </c>
      <c r="AC38" s="357">
        <v>0</v>
      </c>
      <c r="AD38" s="357">
        <v>0</v>
      </c>
      <c r="AE38" s="357">
        <v>0</v>
      </c>
      <c r="AF38" s="357">
        <v>0</v>
      </c>
      <c r="AG38" s="357">
        <v>0</v>
      </c>
      <c r="AH38" s="357">
        <v>0</v>
      </c>
      <c r="AI38" s="357">
        <v>0</v>
      </c>
      <c r="AJ38" s="357">
        <v>0</v>
      </c>
      <c r="AK38" s="336">
        <v>0</v>
      </c>
      <c r="AL38" s="336">
        <v>0</v>
      </c>
      <c r="AM38" s="336">
        <v>0</v>
      </c>
      <c r="AN38" s="336">
        <v>0</v>
      </c>
      <c r="AO38" s="336">
        <v>0</v>
      </c>
      <c r="AP38" s="336">
        <v>0</v>
      </c>
      <c r="AQ38" s="336"/>
      <c r="AR38" s="336">
        <v>0</v>
      </c>
      <c r="AS38" s="336">
        <v>0</v>
      </c>
      <c r="AT38" s="336">
        <v>0</v>
      </c>
      <c r="AU38" s="336">
        <v>0</v>
      </c>
      <c r="AV38" s="336">
        <v>0</v>
      </c>
      <c r="AW38" s="336">
        <v>0</v>
      </c>
      <c r="AX38" s="336">
        <v>0</v>
      </c>
      <c r="AY38" s="336">
        <v>0</v>
      </c>
      <c r="AZ38" s="336">
        <v>0</v>
      </c>
      <c r="BA38" s="336">
        <v>0</v>
      </c>
      <c r="BB38" s="357">
        <v>0</v>
      </c>
      <c r="BC38" s="357">
        <v>0</v>
      </c>
      <c r="BD38" s="336">
        <v>0</v>
      </c>
      <c r="BE38" s="357">
        <v>0</v>
      </c>
      <c r="BF38" s="357">
        <v>0</v>
      </c>
      <c r="BG38" s="357">
        <v>0</v>
      </c>
      <c r="BH38" s="357">
        <v>0</v>
      </c>
      <c r="BI38" s="357">
        <v>0</v>
      </c>
      <c r="BJ38" s="357">
        <v>0</v>
      </c>
      <c r="BK38" s="357">
        <v>0</v>
      </c>
      <c r="BL38" s="357">
        <v>0</v>
      </c>
      <c r="BM38" s="357">
        <v>0</v>
      </c>
      <c r="BN38" s="357">
        <v>0</v>
      </c>
      <c r="BO38" s="357">
        <v>0</v>
      </c>
      <c r="BP38" s="357">
        <v>0</v>
      </c>
      <c r="BQ38" s="336"/>
      <c r="BR38" s="357">
        <v>0</v>
      </c>
      <c r="BS38" s="357">
        <v>0</v>
      </c>
      <c r="BT38" s="357">
        <v>0</v>
      </c>
      <c r="BU38" s="357">
        <v>0</v>
      </c>
      <c r="BV38" s="357">
        <v>0</v>
      </c>
      <c r="BW38" s="357">
        <v>0</v>
      </c>
      <c r="BX38" s="337"/>
      <c r="BY38" s="357">
        <v>0</v>
      </c>
      <c r="BZ38" s="357">
        <v>0</v>
      </c>
      <c r="CA38" s="389">
        <v>0</v>
      </c>
      <c r="CB38" s="357">
        <v>0</v>
      </c>
      <c r="CC38" s="357">
        <v>0</v>
      </c>
      <c r="CD38" s="336"/>
      <c r="CE38" s="336"/>
      <c r="CF38" s="337">
        <v>0</v>
      </c>
      <c r="CG38" s="337">
        <v>0</v>
      </c>
      <c r="CH38" s="337">
        <v>0</v>
      </c>
      <c r="CI38" s="337">
        <v>0</v>
      </c>
      <c r="CJ38" s="337">
        <v>0</v>
      </c>
      <c r="CK38" s="337">
        <v>0</v>
      </c>
      <c r="CL38" s="337">
        <v>0</v>
      </c>
      <c r="CM38" s="337">
        <v>0</v>
      </c>
      <c r="CN38" s="357">
        <v>0</v>
      </c>
      <c r="CO38" s="357">
        <v>0</v>
      </c>
      <c r="CP38" s="357">
        <v>0</v>
      </c>
      <c r="CQ38" s="357">
        <v>0</v>
      </c>
      <c r="CR38" s="337"/>
    </row>
    <row r="39" spans="1:96">
      <c r="A39" s="53">
        <v>9.1999999999999993</v>
      </c>
      <c r="B39" s="84" t="s">
        <v>111</v>
      </c>
      <c r="C39" s="359"/>
      <c r="D39" s="359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50"/>
      <c r="Q39" s="335"/>
      <c r="R39" s="335"/>
      <c r="S39" s="386">
        <v>0</v>
      </c>
      <c r="T39" s="386">
        <v>0</v>
      </c>
      <c r="U39" s="386">
        <v>0</v>
      </c>
      <c r="V39" s="386">
        <v>0</v>
      </c>
      <c r="W39" s="386">
        <v>0</v>
      </c>
      <c r="X39" s="386">
        <v>0</v>
      </c>
      <c r="Y39" s="386">
        <v>0</v>
      </c>
      <c r="Z39" s="386">
        <v>0</v>
      </c>
      <c r="AA39" s="386">
        <v>1</v>
      </c>
      <c r="AB39" s="357">
        <v>0</v>
      </c>
      <c r="AC39" s="357">
        <v>0</v>
      </c>
      <c r="AD39" s="357">
        <v>0</v>
      </c>
      <c r="AE39" s="357">
        <v>0</v>
      </c>
      <c r="AF39" s="357">
        <v>0</v>
      </c>
      <c r="AG39" s="357">
        <v>0</v>
      </c>
      <c r="AH39" s="357">
        <v>0</v>
      </c>
      <c r="AI39" s="357">
        <v>0</v>
      </c>
      <c r="AJ39" s="357">
        <v>0</v>
      </c>
      <c r="AK39" s="336">
        <v>0</v>
      </c>
      <c r="AL39" s="336">
        <v>0</v>
      </c>
      <c r="AM39" s="336">
        <v>0</v>
      </c>
      <c r="AN39" s="336">
        <v>0</v>
      </c>
      <c r="AO39" s="336">
        <v>0</v>
      </c>
      <c r="AP39" s="336">
        <v>0</v>
      </c>
      <c r="AQ39" s="336"/>
      <c r="AR39" s="336">
        <v>0</v>
      </c>
      <c r="AS39" s="336">
        <v>0</v>
      </c>
      <c r="AT39" s="336">
        <v>0</v>
      </c>
      <c r="AU39" s="336">
        <v>0</v>
      </c>
      <c r="AV39" s="336">
        <v>0</v>
      </c>
      <c r="AW39" s="336">
        <v>0</v>
      </c>
      <c r="AX39" s="336">
        <v>0</v>
      </c>
      <c r="AY39" s="336">
        <v>0</v>
      </c>
      <c r="AZ39" s="336">
        <v>0</v>
      </c>
      <c r="BA39" s="336">
        <v>0</v>
      </c>
      <c r="BB39" s="357">
        <v>0</v>
      </c>
      <c r="BC39" s="357">
        <v>0</v>
      </c>
      <c r="BD39" s="336">
        <v>0</v>
      </c>
      <c r="BE39" s="357">
        <v>0</v>
      </c>
      <c r="BF39" s="357">
        <v>0</v>
      </c>
      <c r="BG39" s="357">
        <v>0</v>
      </c>
      <c r="BH39" s="357">
        <v>0</v>
      </c>
      <c r="BI39" s="357">
        <v>0</v>
      </c>
      <c r="BJ39" s="357">
        <v>0</v>
      </c>
      <c r="BK39" s="357">
        <v>0</v>
      </c>
      <c r="BL39" s="357">
        <v>0</v>
      </c>
      <c r="BM39" s="357">
        <v>0</v>
      </c>
      <c r="BN39" s="357">
        <v>0</v>
      </c>
      <c r="BO39" s="357">
        <v>0</v>
      </c>
      <c r="BP39" s="357">
        <v>0</v>
      </c>
      <c r="BQ39" s="336"/>
      <c r="BR39" s="357">
        <v>0</v>
      </c>
      <c r="BS39" s="357">
        <v>0</v>
      </c>
      <c r="BT39" s="357">
        <v>0</v>
      </c>
      <c r="BU39" s="357">
        <v>0</v>
      </c>
      <c r="BV39" s="357">
        <v>0</v>
      </c>
      <c r="BW39" s="357">
        <v>0</v>
      </c>
      <c r="BX39" s="337"/>
      <c r="BY39" s="357">
        <v>0</v>
      </c>
      <c r="BZ39" s="357">
        <v>0</v>
      </c>
      <c r="CA39" s="389">
        <v>0</v>
      </c>
      <c r="CB39" s="357">
        <v>0</v>
      </c>
      <c r="CC39" s="357">
        <v>0</v>
      </c>
      <c r="CD39" s="336"/>
      <c r="CE39" s="336"/>
      <c r="CF39" s="337">
        <v>0</v>
      </c>
      <c r="CG39" s="337">
        <v>0</v>
      </c>
      <c r="CH39" s="337">
        <v>0</v>
      </c>
      <c r="CI39" s="337">
        <v>0</v>
      </c>
      <c r="CJ39" s="337">
        <v>0</v>
      </c>
      <c r="CK39" s="337">
        <v>0</v>
      </c>
      <c r="CL39" s="337">
        <v>0</v>
      </c>
      <c r="CM39" s="337">
        <v>0</v>
      </c>
      <c r="CN39" s="357">
        <v>0</v>
      </c>
      <c r="CO39" s="357">
        <v>0</v>
      </c>
      <c r="CP39" s="357">
        <v>0</v>
      </c>
      <c r="CQ39" s="357">
        <v>5683058.2000000002</v>
      </c>
      <c r="CR39" s="337"/>
    </row>
    <row r="40" spans="1:96">
      <c r="A40" s="53">
        <v>10</v>
      </c>
      <c r="B40" s="84" t="s">
        <v>112</v>
      </c>
      <c r="C40" s="359">
        <f t="shared" ref="C40:BN40" si="121">C36+C37</f>
        <v>17582286.430000003</v>
      </c>
      <c r="D40" s="359">
        <f t="shared" si="121"/>
        <v>10776345.84999999</v>
      </c>
      <c r="E40" s="342">
        <f t="shared" si="121"/>
        <v>4783764</v>
      </c>
      <c r="F40" s="342">
        <f t="shared" si="121"/>
        <v>83273.83999999892</v>
      </c>
      <c r="G40" s="342">
        <f t="shared" si="121"/>
        <v>-390773.92999999784</v>
      </c>
      <c r="H40" s="342">
        <f t="shared" si="121"/>
        <v>-1112049.8400000036</v>
      </c>
      <c r="I40" s="342">
        <f t="shared" si="121"/>
        <v>-15187758.370000003</v>
      </c>
      <c r="J40" s="342">
        <f t="shared" si="121"/>
        <v>-9845279.7399999984</v>
      </c>
      <c r="K40" s="342">
        <f t="shared" si="121"/>
        <v>-5304714.4999999963</v>
      </c>
      <c r="L40" s="342">
        <f t="shared" si="121"/>
        <v>-4632165.8900000043</v>
      </c>
      <c r="M40" s="342">
        <f t="shared" si="121"/>
        <v>-4956824.0799999982</v>
      </c>
      <c r="N40" s="342">
        <f t="shared" si="121"/>
        <v>-1375713.5199999958</v>
      </c>
      <c r="O40" s="342">
        <f t="shared" si="121"/>
        <v>-1795753.2399999984</v>
      </c>
      <c r="P40" s="342">
        <f t="shared" si="121"/>
        <v>2108067.5000000075</v>
      </c>
      <c r="Q40" s="342">
        <f t="shared" si="121"/>
        <v>2005799.7800000012</v>
      </c>
      <c r="R40" s="342">
        <f t="shared" si="121"/>
        <v>3020479.4586388394</v>
      </c>
      <c r="S40" s="342">
        <f t="shared" si="121"/>
        <v>-1848072.0699999994</v>
      </c>
      <c r="T40" s="342">
        <f t="shared" si="121"/>
        <v>234815.37000000104</v>
      </c>
      <c r="U40" s="342">
        <f t="shared" si="121"/>
        <v>1735385.9999999963</v>
      </c>
      <c r="V40" s="342">
        <f t="shared" si="121"/>
        <v>2052936.8200000003</v>
      </c>
      <c r="W40" s="342">
        <f t="shared" si="121"/>
        <v>1715461.0199999996</v>
      </c>
      <c r="X40" s="342">
        <f t="shared" si="121"/>
        <v>-1187999.549999997</v>
      </c>
      <c r="Y40" s="342">
        <f t="shared" si="121"/>
        <v>1039146.8999999985</v>
      </c>
      <c r="Z40" s="342">
        <f t="shared" si="121"/>
        <v>5247182.2400000021</v>
      </c>
      <c r="AA40" s="342">
        <f t="shared" si="121"/>
        <v>7891344.3299999982</v>
      </c>
      <c r="AB40" s="342">
        <f t="shared" si="121"/>
        <v>5543757.1700000018</v>
      </c>
      <c r="AC40" s="342">
        <f t="shared" si="121"/>
        <v>3976430.6599999964</v>
      </c>
      <c r="AD40" s="342">
        <f t="shared" si="121"/>
        <v>6958582.5700000003</v>
      </c>
      <c r="AE40" s="342">
        <f t="shared" si="121"/>
        <v>413771.43999999762</v>
      </c>
      <c r="AF40" s="342">
        <f t="shared" si="121"/>
        <v>1786553.209999999</v>
      </c>
      <c r="AG40" s="342">
        <f t="shared" si="121"/>
        <v>1571296.6900000013</v>
      </c>
      <c r="AH40" s="342">
        <f t="shared" si="121"/>
        <v>1139278.2700000014</v>
      </c>
      <c r="AI40" s="342">
        <f t="shared" si="121"/>
        <v>1422959.0200000033</v>
      </c>
      <c r="AJ40" s="342">
        <f t="shared" si="121"/>
        <v>3694109.7300000004</v>
      </c>
      <c r="AK40" s="342">
        <f t="shared" si="121"/>
        <v>2657876.41</v>
      </c>
      <c r="AL40" s="342">
        <f t="shared" si="121"/>
        <v>4869593.4600000046</v>
      </c>
      <c r="AM40" s="342">
        <f t="shared" si="121"/>
        <v>4399964.5699999928</v>
      </c>
      <c r="AN40" s="342">
        <f t="shared" si="121"/>
        <v>6643730.3899999857</v>
      </c>
      <c r="AO40" s="342">
        <f t="shared" si="121"/>
        <v>8558881.9799999893</v>
      </c>
      <c r="AP40" s="342">
        <f t="shared" si="121"/>
        <v>12657410.419999987</v>
      </c>
      <c r="AQ40" s="343">
        <f t="shared" si="121"/>
        <v>7098087</v>
      </c>
      <c r="AR40" s="343">
        <f t="shared" si="121"/>
        <v>2494467.9599999995</v>
      </c>
      <c r="AS40" s="343">
        <f t="shared" si="121"/>
        <v>6608816.9000000032</v>
      </c>
      <c r="AT40" s="343">
        <f t="shared" si="121"/>
        <v>4017014.75</v>
      </c>
      <c r="AU40" s="343">
        <f t="shared" si="121"/>
        <v>7432088.7300000042</v>
      </c>
      <c r="AV40" s="343">
        <f t="shared" si="121"/>
        <v>7795823.6199999973</v>
      </c>
      <c r="AW40" s="343">
        <f t="shared" si="121"/>
        <v>6966289.4400000051</v>
      </c>
      <c r="AX40" s="343">
        <f t="shared" si="121"/>
        <v>9218492.5900000073</v>
      </c>
      <c r="AY40" s="343">
        <f t="shared" si="121"/>
        <v>8450339.8099999949</v>
      </c>
      <c r="AZ40" s="343">
        <f t="shared" si="121"/>
        <v>9243125.4399999902</v>
      </c>
      <c r="BA40" s="343">
        <f t="shared" si="121"/>
        <v>9243125.4620000049</v>
      </c>
      <c r="BB40" s="343">
        <f t="shared" si="121"/>
        <v>12802704.089999989</v>
      </c>
      <c r="BC40" s="343">
        <f t="shared" si="121"/>
        <v>5503970.9800000042</v>
      </c>
      <c r="BD40" s="343">
        <f t="shared" si="121"/>
        <v>13660041.400000006</v>
      </c>
      <c r="BE40" s="343">
        <f t="shared" si="121"/>
        <v>4723129.7200000007</v>
      </c>
      <c r="BF40" s="343">
        <f t="shared" si="121"/>
        <v>10403172.549999999</v>
      </c>
      <c r="BG40" s="343">
        <f t="shared" si="121"/>
        <v>8141009.1099999975</v>
      </c>
      <c r="BH40" s="343">
        <f t="shared" si="121"/>
        <v>6702756.570000004</v>
      </c>
      <c r="BI40" s="343">
        <f t="shared" si="121"/>
        <v>7229005.4600000009</v>
      </c>
      <c r="BJ40" s="343">
        <f t="shared" si="121"/>
        <v>12758465.860000007</v>
      </c>
      <c r="BK40" s="343">
        <f t="shared" si="121"/>
        <v>9639482.0899999961</v>
      </c>
      <c r="BL40" s="343">
        <f t="shared" si="121"/>
        <v>12601432.080000006</v>
      </c>
      <c r="BM40" s="343">
        <f t="shared" si="121"/>
        <v>18773343.160000004</v>
      </c>
      <c r="BN40" s="343">
        <f t="shared" si="121"/>
        <v>19311272.780000009</v>
      </c>
      <c r="BO40" s="343">
        <f t="shared" ref="BO40:CD40" si="122">BO36+BO37</f>
        <v>20387722.359999985</v>
      </c>
      <c r="BP40" s="343">
        <f t="shared" si="122"/>
        <v>14766047.209999993</v>
      </c>
      <c r="BQ40" s="343">
        <f t="shared" si="122"/>
        <v>10883451.350000009</v>
      </c>
      <c r="BR40" s="343">
        <f t="shared" si="122"/>
        <v>5301186.7399999984</v>
      </c>
      <c r="BS40" s="343">
        <f t="shared" si="122"/>
        <v>7884906.3099999968</v>
      </c>
      <c r="BT40" s="343">
        <f t="shared" si="122"/>
        <v>10230174.380000008</v>
      </c>
      <c r="BU40" s="343">
        <f t="shared" si="122"/>
        <v>9919119.3899999969</v>
      </c>
      <c r="BV40" s="343">
        <f t="shared" si="122"/>
        <v>10572870.57</v>
      </c>
      <c r="BW40" s="343">
        <f t="shared" si="122"/>
        <v>11232421.5</v>
      </c>
      <c r="BX40" s="343">
        <f t="shared" si="122"/>
        <v>0</v>
      </c>
      <c r="BY40" s="343">
        <f t="shared" si="122"/>
        <v>17171020.080000021</v>
      </c>
      <c r="BZ40" s="343">
        <f t="shared" si="122"/>
        <v>24453003.920000009</v>
      </c>
      <c r="CA40" s="343">
        <f t="shared" si="122"/>
        <v>28859289.010000005</v>
      </c>
      <c r="CB40" s="343">
        <f t="shared" si="122"/>
        <v>31542525.619999997</v>
      </c>
      <c r="CC40" s="343">
        <f t="shared" si="122"/>
        <v>10829514.829999991</v>
      </c>
      <c r="CD40" s="343">
        <f t="shared" si="122"/>
        <v>9162407.2000000179</v>
      </c>
      <c r="CE40" s="343">
        <f t="shared" ref="CE40:CR40" si="123">CE36+CE37</f>
        <v>20493796</v>
      </c>
      <c r="CF40" s="343">
        <f t="shared" si="123"/>
        <v>9096098.2799999993</v>
      </c>
      <c r="CG40" s="343">
        <f t="shared" si="123"/>
        <v>19850912.279999997</v>
      </c>
      <c r="CH40" s="343">
        <f t="shared" si="123"/>
        <v>21336349.079999998</v>
      </c>
      <c r="CI40" s="343">
        <f t="shared" si="123"/>
        <v>23781476.409999996</v>
      </c>
      <c r="CJ40" s="343">
        <f t="shared" si="123"/>
        <v>27827196.150000006</v>
      </c>
      <c r="CK40" s="343">
        <f t="shared" si="123"/>
        <v>31518688.020000007</v>
      </c>
      <c r="CL40" s="343">
        <f t="shared" si="123"/>
        <v>37868409.210000008</v>
      </c>
      <c r="CM40" s="343">
        <f t="shared" si="123"/>
        <v>15989365.25</v>
      </c>
      <c r="CN40" s="343">
        <f t="shared" si="123"/>
        <v>16040881.290000014</v>
      </c>
      <c r="CO40" s="343">
        <f t="shared" si="123"/>
        <v>27866292.319999978</v>
      </c>
      <c r="CP40" s="343">
        <f t="shared" si="123"/>
        <v>39527336.629999988</v>
      </c>
      <c r="CQ40" s="343">
        <f t="shared" si="123"/>
        <v>16236172.089999992</v>
      </c>
      <c r="CR40" s="343">
        <f t="shared" si="123"/>
        <v>0</v>
      </c>
    </row>
    <row r="41" spans="1:96">
      <c r="A41" s="53">
        <v>11</v>
      </c>
      <c r="B41" s="84" t="s">
        <v>113</v>
      </c>
      <c r="C41" s="359">
        <v>35</v>
      </c>
      <c r="D41" s="359"/>
      <c r="E41" s="340">
        <v>199232</v>
      </c>
      <c r="F41" s="340"/>
      <c r="G41" s="340"/>
      <c r="H41" s="340"/>
      <c r="I41" s="340"/>
      <c r="J41" s="340"/>
      <c r="K41" s="340"/>
      <c r="L41" s="340"/>
      <c r="M41" s="340"/>
      <c r="N41" s="340"/>
      <c r="O41" s="340"/>
      <c r="P41" s="374"/>
      <c r="Q41" s="340"/>
      <c r="R41" s="340">
        <v>59409.3</v>
      </c>
      <c r="S41" s="339"/>
      <c r="T41" s="339"/>
      <c r="U41" s="339"/>
      <c r="V41" s="339"/>
      <c r="W41" s="339"/>
      <c r="X41" s="339"/>
      <c r="Y41" s="339"/>
      <c r="Z41" s="339"/>
      <c r="AA41" s="339"/>
      <c r="AB41" s="337"/>
      <c r="AC41" s="337"/>
      <c r="AD41" s="337"/>
      <c r="AE41" s="337">
        <v>0</v>
      </c>
      <c r="AF41" s="337">
        <v>0</v>
      </c>
      <c r="AG41" s="337">
        <v>0</v>
      </c>
      <c r="AH41" s="337">
        <v>0</v>
      </c>
      <c r="AI41" s="337">
        <v>0</v>
      </c>
      <c r="AJ41" s="336">
        <v>0</v>
      </c>
      <c r="AK41" s="336">
        <v>0</v>
      </c>
      <c r="AL41" s="336">
        <v>0</v>
      </c>
      <c r="AM41" s="336">
        <v>0</v>
      </c>
      <c r="AN41" s="336">
        <v>0</v>
      </c>
      <c r="AO41" s="336">
        <v>0</v>
      </c>
      <c r="AP41" s="336">
        <v>0</v>
      </c>
      <c r="AQ41" s="336">
        <v>729864</v>
      </c>
      <c r="AR41" s="336">
        <v>0</v>
      </c>
      <c r="AS41" s="336">
        <v>0</v>
      </c>
      <c r="AT41" s="336">
        <v>0</v>
      </c>
      <c r="AU41" s="336">
        <v>0</v>
      </c>
      <c r="AV41" s="336">
        <v>0</v>
      </c>
      <c r="AW41" s="336">
        <v>0</v>
      </c>
      <c r="AX41" s="336">
        <v>0</v>
      </c>
      <c r="AY41" s="336">
        <v>0</v>
      </c>
      <c r="AZ41" s="336">
        <v>0</v>
      </c>
      <c r="BA41" s="336">
        <v>0</v>
      </c>
      <c r="BB41" s="357">
        <v>0</v>
      </c>
      <c r="BC41" s="357">
        <v>0</v>
      </c>
      <c r="BD41" s="336">
        <v>962618</v>
      </c>
      <c r="BE41" s="357">
        <v>0</v>
      </c>
      <c r="BF41" s="357">
        <v>0</v>
      </c>
      <c r="BG41" s="357">
        <v>0</v>
      </c>
      <c r="BH41" s="357">
        <v>0</v>
      </c>
      <c r="BI41" s="357">
        <v>0</v>
      </c>
      <c r="BJ41" s="357">
        <v>0</v>
      </c>
      <c r="BK41" s="357">
        <v>0</v>
      </c>
      <c r="BL41" s="357">
        <v>0</v>
      </c>
      <c r="BM41" s="357">
        <v>0</v>
      </c>
      <c r="BN41" s="357">
        <v>0</v>
      </c>
      <c r="BO41" s="357">
        <v>0</v>
      </c>
      <c r="BP41" s="357">
        <v>999887</v>
      </c>
      <c r="BQ41" s="336">
        <v>1459727</v>
      </c>
      <c r="BR41" s="337"/>
      <c r="BS41" s="357">
        <v>0</v>
      </c>
      <c r="BT41" s="357">
        <v>0</v>
      </c>
      <c r="BU41" s="357">
        <v>0</v>
      </c>
      <c r="BV41" s="357">
        <v>0</v>
      </c>
      <c r="BW41" s="357">
        <v>0</v>
      </c>
      <c r="BX41" s="337"/>
      <c r="BY41" s="357">
        <v>0</v>
      </c>
      <c r="BZ41" s="357">
        <v>0</v>
      </c>
      <c r="CA41" s="389">
        <v>0</v>
      </c>
      <c r="CB41" s="357">
        <v>0</v>
      </c>
      <c r="CC41" s="357">
        <v>0</v>
      </c>
      <c r="CD41" s="336"/>
      <c r="CE41" s="336">
        <v>2671948</v>
      </c>
      <c r="CF41" s="337">
        <v>0</v>
      </c>
      <c r="CG41" s="337">
        <v>0</v>
      </c>
      <c r="CH41" s="337">
        <v>0</v>
      </c>
      <c r="CI41" s="337">
        <v>0</v>
      </c>
      <c r="CJ41" s="337">
        <v>0</v>
      </c>
      <c r="CK41" s="337">
        <v>0</v>
      </c>
      <c r="CL41" s="337">
        <v>0</v>
      </c>
      <c r="CM41" s="337">
        <v>0</v>
      </c>
      <c r="CN41" s="357">
        <v>0</v>
      </c>
      <c r="CO41" s="357">
        <v>0</v>
      </c>
      <c r="CP41" s="357">
        <v>0</v>
      </c>
      <c r="CQ41" s="357">
        <v>2503939.4</v>
      </c>
      <c r="CR41" s="337"/>
    </row>
    <row r="42" spans="1:96">
      <c r="A42" s="53">
        <v>12</v>
      </c>
      <c r="B42" s="83" t="s">
        <v>114</v>
      </c>
      <c r="C42" s="359">
        <f t="shared" ref="C42:E42" si="124">C40-C41</f>
        <v>17582251.430000003</v>
      </c>
      <c r="D42" s="359">
        <f t="shared" si="124"/>
        <v>10776345.84999999</v>
      </c>
      <c r="E42" s="333">
        <f t="shared" si="124"/>
        <v>4584532</v>
      </c>
      <c r="F42" s="333">
        <f t="shared" ref="F42" si="125">F40-F41</f>
        <v>83273.83999999892</v>
      </c>
      <c r="G42" s="333">
        <f t="shared" ref="G42" si="126">G40-G41</f>
        <v>-390773.92999999784</v>
      </c>
      <c r="H42" s="333">
        <f t="shared" ref="H42" si="127">H40-H41</f>
        <v>-1112049.8400000036</v>
      </c>
      <c r="I42" s="333">
        <f t="shared" ref="I42" si="128">I40-I41</f>
        <v>-15187758.370000003</v>
      </c>
      <c r="J42" s="333">
        <f t="shared" ref="J42" si="129">J40-J41</f>
        <v>-9845279.7399999984</v>
      </c>
      <c r="K42" s="333">
        <f t="shared" ref="K42" si="130">K40-K41</f>
        <v>-5304714.4999999963</v>
      </c>
      <c r="L42" s="333">
        <f t="shared" ref="L42" si="131">L40-L41</f>
        <v>-4632165.8900000043</v>
      </c>
      <c r="M42" s="333">
        <f t="shared" ref="M42" si="132">M40-M41</f>
        <v>-4956824.0799999982</v>
      </c>
      <c r="N42" s="333">
        <f t="shared" ref="N42" si="133">N40-N41</f>
        <v>-1375713.5199999958</v>
      </c>
      <c r="O42" s="333">
        <f t="shared" ref="O42" si="134">O40-O41</f>
        <v>-1795753.2399999984</v>
      </c>
      <c r="P42" s="333">
        <f t="shared" ref="P42" si="135">P40-P41</f>
        <v>2108067.5000000075</v>
      </c>
      <c r="Q42" s="333">
        <f t="shared" ref="Q42" si="136">Q40-Q41</f>
        <v>2005799.7800000012</v>
      </c>
      <c r="R42" s="333">
        <f t="shared" ref="R42" si="137">R40-R41</f>
        <v>2961070.1586388396</v>
      </c>
      <c r="S42" s="333">
        <f t="shared" ref="S42" si="138">S40-S41</f>
        <v>-1848072.0699999994</v>
      </c>
      <c r="T42" s="333">
        <f t="shared" ref="T42" si="139">T40-T41</f>
        <v>234815.37000000104</v>
      </c>
      <c r="U42" s="333">
        <f t="shared" ref="U42" si="140">U40-U41</f>
        <v>1735385.9999999963</v>
      </c>
      <c r="V42" s="333">
        <f t="shared" ref="V42" si="141">V40-V41</f>
        <v>2052936.8200000003</v>
      </c>
      <c r="W42" s="333">
        <f t="shared" ref="W42" si="142">W40-W41</f>
        <v>1715461.0199999996</v>
      </c>
      <c r="X42" s="333">
        <f t="shared" ref="X42" si="143">X40-X41</f>
        <v>-1187999.549999997</v>
      </c>
      <c r="Y42" s="333">
        <f t="shared" ref="Y42" si="144">Y40-Y41</f>
        <v>1039146.8999999985</v>
      </c>
      <c r="Z42" s="333">
        <f t="shared" ref="Z42" si="145">Z40-Z41</f>
        <v>5247182.2400000021</v>
      </c>
      <c r="AA42" s="333">
        <f t="shared" ref="AA42" si="146">AA40-AA41</f>
        <v>7891344.3299999982</v>
      </c>
      <c r="AB42" s="333">
        <f t="shared" ref="AB42" si="147">AB40-AB41</f>
        <v>5543757.1700000018</v>
      </c>
      <c r="AC42" s="333">
        <f t="shared" ref="AC42" si="148">AC40-AC41</f>
        <v>3976430.6599999964</v>
      </c>
      <c r="AD42" s="333">
        <f t="shared" ref="AD42" si="149">AD40-AD41</f>
        <v>6958582.5700000003</v>
      </c>
      <c r="AE42" s="333">
        <f t="shared" ref="AE42" si="150">AE40-AE41</f>
        <v>413771.43999999762</v>
      </c>
      <c r="AF42" s="333">
        <f t="shared" ref="AF42" si="151">AF40-AF41</f>
        <v>1786553.209999999</v>
      </c>
      <c r="AG42" s="333">
        <f t="shared" ref="AG42" si="152">AG40-AG41</f>
        <v>1571296.6900000013</v>
      </c>
      <c r="AH42" s="333">
        <f t="shared" ref="AH42" si="153">AH40-AH41</f>
        <v>1139278.2700000014</v>
      </c>
      <c r="AI42" s="333">
        <f t="shared" ref="AI42" si="154">AI40-AI41</f>
        <v>1422959.0200000033</v>
      </c>
      <c r="AJ42" s="333">
        <f t="shared" ref="AJ42" si="155">AJ40-AJ41</f>
        <v>3694109.7300000004</v>
      </c>
      <c r="AK42" s="333">
        <f t="shared" ref="AK42" si="156">AK40-AK41</f>
        <v>2657876.41</v>
      </c>
      <c r="AL42" s="333">
        <f t="shared" ref="AL42" si="157">AL40-AL41</f>
        <v>4869593.4600000046</v>
      </c>
      <c r="AM42" s="333">
        <f t="shared" ref="AM42" si="158">AM40-AM41</f>
        <v>4399964.5699999928</v>
      </c>
      <c r="AN42" s="333">
        <f t="shared" ref="AN42" si="159">AN40-AN41</f>
        <v>6643730.3899999857</v>
      </c>
      <c r="AO42" s="333">
        <f t="shared" ref="AO42" si="160">AO40-AO41</f>
        <v>8558881.9799999893</v>
      </c>
      <c r="AP42" s="333">
        <f t="shared" ref="AP42" si="161">AP40-AP41</f>
        <v>12657410.419999987</v>
      </c>
      <c r="AQ42" s="334">
        <f t="shared" ref="AQ42" si="162">AQ40-AQ41</f>
        <v>6368223</v>
      </c>
      <c r="AR42" s="334">
        <f t="shared" ref="AR42" si="163">AR40-AR41</f>
        <v>2494467.9599999995</v>
      </c>
      <c r="AS42" s="334">
        <f t="shared" ref="AS42:CD42" si="164">AS40-AS41</f>
        <v>6608816.9000000032</v>
      </c>
      <c r="AT42" s="334">
        <f t="shared" si="164"/>
        <v>4017014.75</v>
      </c>
      <c r="AU42" s="334">
        <f t="shared" si="164"/>
        <v>7432088.7300000042</v>
      </c>
      <c r="AV42" s="334">
        <f t="shared" si="164"/>
        <v>7795823.6199999973</v>
      </c>
      <c r="AW42" s="334">
        <f t="shared" si="164"/>
        <v>6966289.4400000051</v>
      </c>
      <c r="AX42" s="334">
        <f t="shared" si="164"/>
        <v>9218492.5900000073</v>
      </c>
      <c r="AY42" s="334">
        <f t="shared" si="164"/>
        <v>8450339.8099999949</v>
      </c>
      <c r="AZ42" s="334">
        <f t="shared" si="164"/>
        <v>9243125.4399999902</v>
      </c>
      <c r="BA42" s="334">
        <f t="shared" si="164"/>
        <v>9243125.4620000049</v>
      </c>
      <c r="BB42" s="334">
        <f t="shared" si="164"/>
        <v>12802704.089999989</v>
      </c>
      <c r="BC42" s="334">
        <f t="shared" si="164"/>
        <v>5503970.9800000042</v>
      </c>
      <c r="BD42" s="334">
        <f t="shared" si="164"/>
        <v>12697423.400000006</v>
      </c>
      <c r="BE42" s="334">
        <f t="shared" si="164"/>
        <v>4723129.7200000007</v>
      </c>
      <c r="BF42" s="334">
        <f t="shared" si="164"/>
        <v>10403172.549999999</v>
      </c>
      <c r="BG42" s="334">
        <f t="shared" si="164"/>
        <v>8141009.1099999975</v>
      </c>
      <c r="BH42" s="334">
        <f t="shared" si="164"/>
        <v>6702756.570000004</v>
      </c>
      <c r="BI42" s="334">
        <f t="shared" si="164"/>
        <v>7229005.4600000009</v>
      </c>
      <c r="BJ42" s="334">
        <f t="shared" si="164"/>
        <v>12758465.860000007</v>
      </c>
      <c r="BK42" s="334">
        <f t="shared" si="164"/>
        <v>9639482.0899999961</v>
      </c>
      <c r="BL42" s="334">
        <f t="shared" si="164"/>
        <v>12601432.080000006</v>
      </c>
      <c r="BM42" s="334">
        <f t="shared" si="164"/>
        <v>18773343.160000004</v>
      </c>
      <c r="BN42" s="334">
        <f t="shared" si="164"/>
        <v>19311272.780000009</v>
      </c>
      <c r="BO42" s="334">
        <f t="shared" si="164"/>
        <v>20387722.359999985</v>
      </c>
      <c r="BP42" s="334">
        <f t="shared" si="164"/>
        <v>13766160.209999993</v>
      </c>
      <c r="BQ42" s="334">
        <f t="shared" si="164"/>
        <v>9423724.3500000089</v>
      </c>
      <c r="BR42" s="334">
        <f t="shared" si="164"/>
        <v>5301186.7399999984</v>
      </c>
      <c r="BS42" s="334">
        <f t="shared" si="164"/>
        <v>7884906.3099999968</v>
      </c>
      <c r="BT42" s="334">
        <f t="shared" si="164"/>
        <v>10230174.380000008</v>
      </c>
      <c r="BU42" s="334">
        <f t="shared" si="164"/>
        <v>9919119.3899999969</v>
      </c>
      <c r="BV42" s="334">
        <f t="shared" si="164"/>
        <v>10572870.57</v>
      </c>
      <c r="BW42" s="334">
        <f t="shared" si="164"/>
        <v>11232421.5</v>
      </c>
      <c r="BX42" s="334">
        <f t="shared" si="164"/>
        <v>0</v>
      </c>
      <c r="BY42" s="334">
        <f t="shared" si="164"/>
        <v>17171020.080000021</v>
      </c>
      <c r="BZ42" s="334">
        <f t="shared" si="164"/>
        <v>24453003.920000009</v>
      </c>
      <c r="CA42" s="334">
        <f t="shared" si="164"/>
        <v>28859289.010000005</v>
      </c>
      <c r="CB42" s="334">
        <f t="shared" si="164"/>
        <v>31542525.619999997</v>
      </c>
      <c r="CC42" s="334">
        <f t="shared" si="164"/>
        <v>10829514.829999991</v>
      </c>
      <c r="CD42" s="334">
        <f t="shared" si="164"/>
        <v>9162407.2000000179</v>
      </c>
      <c r="CE42" s="334">
        <f t="shared" ref="CE42:CR42" si="165">CE40-CE41</f>
        <v>17821848</v>
      </c>
      <c r="CF42" s="334">
        <f t="shared" si="165"/>
        <v>9096098.2799999993</v>
      </c>
      <c r="CG42" s="334">
        <f t="shared" si="165"/>
        <v>19850912.279999997</v>
      </c>
      <c r="CH42" s="334">
        <f t="shared" si="165"/>
        <v>21336349.079999998</v>
      </c>
      <c r="CI42" s="334">
        <f t="shared" si="165"/>
        <v>23781476.409999996</v>
      </c>
      <c r="CJ42" s="334">
        <f t="shared" si="165"/>
        <v>27827196.150000006</v>
      </c>
      <c r="CK42" s="334">
        <f t="shared" si="165"/>
        <v>31518688.020000007</v>
      </c>
      <c r="CL42" s="334">
        <f t="shared" si="165"/>
        <v>37868409.210000008</v>
      </c>
      <c r="CM42" s="334">
        <f t="shared" si="165"/>
        <v>15989365.25</v>
      </c>
      <c r="CN42" s="334">
        <f t="shared" si="165"/>
        <v>16040881.290000014</v>
      </c>
      <c r="CO42" s="334">
        <f t="shared" si="165"/>
        <v>27866292.319999978</v>
      </c>
      <c r="CP42" s="334">
        <f t="shared" si="165"/>
        <v>39527336.629999988</v>
      </c>
      <c r="CQ42" s="334">
        <f t="shared" si="165"/>
        <v>13732232.689999992</v>
      </c>
      <c r="CR42" s="334">
        <f t="shared" si="165"/>
        <v>0</v>
      </c>
    </row>
    <row r="43" spans="1:96">
      <c r="A43" s="53">
        <v>13</v>
      </c>
      <c r="B43" s="84" t="s">
        <v>115</v>
      </c>
      <c r="C43" s="359">
        <v>0</v>
      </c>
      <c r="D43" s="359"/>
      <c r="E43" s="340">
        <v>36000</v>
      </c>
      <c r="F43" s="340"/>
      <c r="G43" s="340"/>
      <c r="H43" s="340"/>
      <c r="I43" s="340"/>
      <c r="J43" s="340"/>
      <c r="K43" s="340"/>
      <c r="L43" s="340"/>
      <c r="M43" s="340"/>
      <c r="N43" s="340"/>
      <c r="O43" s="340"/>
      <c r="P43" s="374"/>
      <c r="Q43" s="340"/>
      <c r="R43" s="340"/>
      <c r="S43" s="339"/>
      <c r="T43" s="339"/>
      <c r="U43" s="339"/>
      <c r="V43" s="339"/>
      <c r="W43" s="339"/>
      <c r="X43" s="339"/>
      <c r="Y43" s="339"/>
      <c r="Z43" s="339"/>
      <c r="AA43" s="339"/>
      <c r="AB43" s="337"/>
      <c r="AC43" s="337"/>
      <c r="AD43" s="337"/>
      <c r="AE43" s="337">
        <v>0</v>
      </c>
      <c r="AF43" s="337">
        <v>0</v>
      </c>
      <c r="AG43" s="337">
        <v>0</v>
      </c>
      <c r="AH43" s="337">
        <v>0</v>
      </c>
      <c r="AI43" s="337">
        <v>0</v>
      </c>
      <c r="AJ43" s="336">
        <v>0</v>
      </c>
      <c r="AK43" s="336">
        <v>0</v>
      </c>
      <c r="AL43" s="336">
        <v>0</v>
      </c>
      <c r="AM43" s="336">
        <v>0</v>
      </c>
      <c r="AN43" s="336">
        <v>0</v>
      </c>
      <c r="AO43" s="336">
        <v>0</v>
      </c>
      <c r="AP43" s="336">
        <v>0</v>
      </c>
      <c r="AQ43" s="336"/>
      <c r="AR43" s="336">
        <v>0</v>
      </c>
      <c r="AS43" s="336">
        <v>0</v>
      </c>
      <c r="AT43" s="336">
        <v>0</v>
      </c>
      <c r="AU43" s="336">
        <v>0</v>
      </c>
      <c r="AV43" s="336">
        <v>0</v>
      </c>
      <c r="AW43" s="336">
        <v>0</v>
      </c>
      <c r="AX43" s="336">
        <v>0</v>
      </c>
      <c r="AY43" s="336">
        <v>0</v>
      </c>
      <c r="AZ43" s="336">
        <v>0</v>
      </c>
      <c r="BA43" s="336">
        <v>0</v>
      </c>
      <c r="BB43" s="357">
        <v>0</v>
      </c>
      <c r="BC43" s="357">
        <v>0</v>
      </c>
      <c r="BD43" s="344"/>
      <c r="BE43" s="357">
        <v>0</v>
      </c>
      <c r="BF43" s="357">
        <v>0</v>
      </c>
      <c r="BG43" s="357">
        <v>0</v>
      </c>
      <c r="BH43" s="357">
        <v>0</v>
      </c>
      <c r="BI43" s="357">
        <v>0</v>
      </c>
      <c r="BJ43" s="357">
        <v>0</v>
      </c>
      <c r="BK43" s="357">
        <v>0</v>
      </c>
      <c r="BL43" s="357">
        <v>0</v>
      </c>
      <c r="BM43" s="357">
        <v>0</v>
      </c>
      <c r="BN43" s="357">
        <v>0</v>
      </c>
      <c r="BO43" s="357">
        <v>0</v>
      </c>
      <c r="BP43" s="357">
        <v>0</v>
      </c>
      <c r="BQ43" s="336"/>
      <c r="BR43" s="337"/>
      <c r="BS43" s="357">
        <v>0</v>
      </c>
      <c r="BT43" s="357">
        <v>0</v>
      </c>
      <c r="BU43" s="357">
        <v>0</v>
      </c>
      <c r="BV43" s="357">
        <v>0</v>
      </c>
      <c r="BW43" s="357">
        <v>0</v>
      </c>
      <c r="BX43" s="337"/>
      <c r="BY43" s="357">
        <v>0</v>
      </c>
      <c r="BZ43" s="357">
        <v>0</v>
      </c>
      <c r="CA43" s="389">
        <v>0</v>
      </c>
      <c r="CB43" s="357">
        <v>0</v>
      </c>
      <c r="CC43" s="357">
        <v>0</v>
      </c>
      <c r="CD43" s="336"/>
      <c r="CE43" s="336"/>
      <c r="CF43" s="337">
        <v>0</v>
      </c>
      <c r="CG43" s="337">
        <v>0</v>
      </c>
      <c r="CH43" s="337">
        <v>0</v>
      </c>
      <c r="CI43" s="337">
        <v>0</v>
      </c>
      <c r="CJ43" s="337">
        <v>0</v>
      </c>
      <c r="CK43" s="337">
        <v>0</v>
      </c>
      <c r="CL43" s="337">
        <v>0</v>
      </c>
      <c r="CM43" s="337">
        <v>0</v>
      </c>
      <c r="CN43" s="357">
        <v>0</v>
      </c>
      <c r="CO43" s="357">
        <v>0</v>
      </c>
      <c r="CP43" s="357">
        <v>0</v>
      </c>
      <c r="CQ43" s="357">
        <v>0</v>
      </c>
      <c r="CR43" s="337"/>
    </row>
    <row r="44" spans="1:96">
      <c r="A44" s="53">
        <v>14</v>
      </c>
      <c r="B44" s="83" t="s">
        <v>116</v>
      </c>
      <c r="C44" s="359">
        <f t="shared" ref="C44" si="166">C42-C43</f>
        <v>17582251.430000003</v>
      </c>
      <c r="D44" s="359">
        <f>D42-D43</f>
        <v>10776345.84999999</v>
      </c>
      <c r="E44" s="333">
        <f t="shared" ref="E44:BP44" si="167">E42+E43</f>
        <v>4620532</v>
      </c>
      <c r="F44" s="333">
        <f t="shared" si="167"/>
        <v>83273.83999999892</v>
      </c>
      <c r="G44" s="333">
        <f t="shared" si="167"/>
        <v>-390773.92999999784</v>
      </c>
      <c r="H44" s="333">
        <f t="shared" si="167"/>
        <v>-1112049.8400000036</v>
      </c>
      <c r="I44" s="333">
        <f t="shared" si="167"/>
        <v>-15187758.370000003</v>
      </c>
      <c r="J44" s="333">
        <f t="shared" si="167"/>
        <v>-9845279.7399999984</v>
      </c>
      <c r="K44" s="333">
        <f t="shared" si="167"/>
        <v>-5304714.4999999963</v>
      </c>
      <c r="L44" s="333">
        <f t="shared" si="167"/>
        <v>-4632165.8900000043</v>
      </c>
      <c r="M44" s="333">
        <f t="shared" si="167"/>
        <v>-4956824.0799999982</v>
      </c>
      <c r="N44" s="333">
        <f t="shared" si="167"/>
        <v>-1375713.5199999958</v>
      </c>
      <c r="O44" s="333">
        <f t="shared" si="167"/>
        <v>-1795753.2399999984</v>
      </c>
      <c r="P44" s="333">
        <f t="shared" si="167"/>
        <v>2108067.5000000075</v>
      </c>
      <c r="Q44" s="333">
        <f t="shared" si="167"/>
        <v>2005799.7800000012</v>
      </c>
      <c r="R44" s="333">
        <f t="shared" si="167"/>
        <v>2961070.1586388396</v>
      </c>
      <c r="S44" s="333">
        <f t="shared" si="167"/>
        <v>-1848072.0699999994</v>
      </c>
      <c r="T44" s="333">
        <f t="shared" si="167"/>
        <v>234815.37000000104</v>
      </c>
      <c r="U44" s="333">
        <f t="shared" si="167"/>
        <v>1735385.9999999963</v>
      </c>
      <c r="V44" s="333">
        <f t="shared" si="167"/>
        <v>2052936.8200000003</v>
      </c>
      <c r="W44" s="333">
        <f t="shared" si="167"/>
        <v>1715461.0199999996</v>
      </c>
      <c r="X44" s="333">
        <f t="shared" si="167"/>
        <v>-1187999.549999997</v>
      </c>
      <c r="Y44" s="333">
        <f t="shared" si="167"/>
        <v>1039146.8999999985</v>
      </c>
      <c r="Z44" s="333">
        <f t="shared" si="167"/>
        <v>5247182.2400000021</v>
      </c>
      <c r="AA44" s="333">
        <f t="shared" si="167"/>
        <v>7891344.3299999982</v>
      </c>
      <c r="AB44" s="333">
        <f t="shared" si="167"/>
        <v>5543757.1700000018</v>
      </c>
      <c r="AC44" s="333">
        <f t="shared" si="167"/>
        <v>3976430.6599999964</v>
      </c>
      <c r="AD44" s="333">
        <f t="shared" si="167"/>
        <v>6958582.5700000003</v>
      </c>
      <c r="AE44" s="333">
        <f t="shared" si="167"/>
        <v>413771.43999999762</v>
      </c>
      <c r="AF44" s="333">
        <f t="shared" si="167"/>
        <v>1786553.209999999</v>
      </c>
      <c r="AG44" s="333">
        <f t="shared" si="167"/>
        <v>1571296.6900000013</v>
      </c>
      <c r="AH44" s="333">
        <f t="shared" si="167"/>
        <v>1139278.2700000014</v>
      </c>
      <c r="AI44" s="333">
        <f t="shared" si="167"/>
        <v>1422959.0200000033</v>
      </c>
      <c r="AJ44" s="333">
        <f t="shared" si="167"/>
        <v>3694109.7300000004</v>
      </c>
      <c r="AK44" s="333">
        <f t="shared" si="167"/>
        <v>2657876.41</v>
      </c>
      <c r="AL44" s="333">
        <f t="shared" si="167"/>
        <v>4869593.4600000046</v>
      </c>
      <c r="AM44" s="333">
        <f t="shared" si="167"/>
        <v>4399964.5699999928</v>
      </c>
      <c r="AN44" s="333">
        <f t="shared" si="167"/>
        <v>6643730.3899999857</v>
      </c>
      <c r="AO44" s="333">
        <f t="shared" si="167"/>
        <v>8558881.9799999893</v>
      </c>
      <c r="AP44" s="333">
        <f t="shared" si="167"/>
        <v>12657410.419999987</v>
      </c>
      <c r="AQ44" s="334">
        <f t="shared" si="167"/>
        <v>6368223</v>
      </c>
      <c r="AR44" s="334">
        <f t="shared" si="167"/>
        <v>2494467.9599999995</v>
      </c>
      <c r="AS44" s="334">
        <f t="shared" si="167"/>
        <v>6608816.9000000032</v>
      </c>
      <c r="AT44" s="334">
        <f t="shared" si="167"/>
        <v>4017014.75</v>
      </c>
      <c r="AU44" s="334">
        <f t="shared" si="167"/>
        <v>7432088.7300000042</v>
      </c>
      <c r="AV44" s="334">
        <f t="shared" si="167"/>
        <v>7795823.6199999973</v>
      </c>
      <c r="AW44" s="334">
        <f t="shared" si="167"/>
        <v>6966289.4400000051</v>
      </c>
      <c r="AX44" s="334">
        <f t="shared" si="167"/>
        <v>9218492.5900000073</v>
      </c>
      <c r="AY44" s="334">
        <f t="shared" si="167"/>
        <v>8450339.8099999949</v>
      </c>
      <c r="AZ44" s="334">
        <f t="shared" si="167"/>
        <v>9243125.4399999902</v>
      </c>
      <c r="BA44" s="334">
        <f t="shared" si="167"/>
        <v>9243125.4620000049</v>
      </c>
      <c r="BB44" s="334">
        <f t="shared" si="167"/>
        <v>12802704.089999989</v>
      </c>
      <c r="BC44" s="334">
        <f t="shared" si="167"/>
        <v>5503970.9800000042</v>
      </c>
      <c r="BD44" s="334">
        <f t="shared" si="167"/>
        <v>12697423.400000006</v>
      </c>
      <c r="BE44" s="334">
        <f t="shared" si="167"/>
        <v>4723129.7200000007</v>
      </c>
      <c r="BF44" s="334">
        <f t="shared" si="167"/>
        <v>10403172.549999999</v>
      </c>
      <c r="BG44" s="334">
        <f t="shared" si="167"/>
        <v>8141009.1099999975</v>
      </c>
      <c r="BH44" s="334">
        <f t="shared" si="167"/>
        <v>6702756.570000004</v>
      </c>
      <c r="BI44" s="334">
        <f t="shared" si="167"/>
        <v>7229005.4600000009</v>
      </c>
      <c r="BJ44" s="334">
        <f t="shared" si="167"/>
        <v>12758465.860000007</v>
      </c>
      <c r="BK44" s="334">
        <f t="shared" si="167"/>
        <v>9639482.0899999961</v>
      </c>
      <c r="BL44" s="334">
        <f t="shared" si="167"/>
        <v>12601432.080000006</v>
      </c>
      <c r="BM44" s="334">
        <f t="shared" si="167"/>
        <v>18773343.160000004</v>
      </c>
      <c r="BN44" s="334">
        <f t="shared" si="167"/>
        <v>19311272.780000009</v>
      </c>
      <c r="BO44" s="334">
        <f t="shared" si="167"/>
        <v>20387722.359999985</v>
      </c>
      <c r="BP44" s="334">
        <f t="shared" si="167"/>
        <v>13766160.209999993</v>
      </c>
      <c r="BQ44" s="334">
        <f t="shared" ref="BQ44:CD44" si="168">BQ42+BQ43</f>
        <v>9423724.3500000089</v>
      </c>
      <c r="BR44" s="334">
        <f t="shared" si="168"/>
        <v>5301186.7399999984</v>
      </c>
      <c r="BS44" s="334">
        <f t="shared" si="168"/>
        <v>7884906.3099999968</v>
      </c>
      <c r="BT44" s="334">
        <f t="shared" si="168"/>
        <v>10230174.380000008</v>
      </c>
      <c r="BU44" s="334">
        <f t="shared" si="168"/>
        <v>9919119.3899999969</v>
      </c>
      <c r="BV44" s="334">
        <f t="shared" si="168"/>
        <v>10572870.57</v>
      </c>
      <c r="BW44" s="334">
        <f t="shared" si="168"/>
        <v>11232421.5</v>
      </c>
      <c r="BX44" s="334">
        <f t="shared" si="168"/>
        <v>0</v>
      </c>
      <c r="BY44" s="334">
        <f t="shared" si="168"/>
        <v>17171020.080000021</v>
      </c>
      <c r="BZ44" s="334">
        <f t="shared" si="168"/>
        <v>24453003.920000009</v>
      </c>
      <c r="CA44" s="334">
        <f t="shared" si="168"/>
        <v>28859289.010000005</v>
      </c>
      <c r="CB44" s="334">
        <f t="shared" si="168"/>
        <v>31542525.619999997</v>
      </c>
      <c r="CC44" s="334">
        <f t="shared" si="168"/>
        <v>10829514.829999991</v>
      </c>
      <c r="CD44" s="334">
        <f t="shared" si="168"/>
        <v>9162407.2000000179</v>
      </c>
      <c r="CE44" s="334">
        <f t="shared" ref="CE44:CR44" si="169">CE42+CE43</f>
        <v>17821848</v>
      </c>
      <c r="CF44" s="334">
        <f t="shared" si="169"/>
        <v>9096098.2799999993</v>
      </c>
      <c r="CG44" s="334">
        <f t="shared" si="169"/>
        <v>19850912.279999997</v>
      </c>
      <c r="CH44" s="334">
        <f t="shared" si="169"/>
        <v>21336349.079999998</v>
      </c>
      <c r="CI44" s="334">
        <f t="shared" si="169"/>
        <v>23781476.409999996</v>
      </c>
      <c r="CJ44" s="334">
        <f t="shared" si="169"/>
        <v>27827196.150000006</v>
      </c>
      <c r="CK44" s="334">
        <f t="shared" si="169"/>
        <v>31518688.020000007</v>
      </c>
      <c r="CL44" s="334">
        <f t="shared" si="169"/>
        <v>37868409.210000008</v>
      </c>
      <c r="CM44" s="334">
        <f t="shared" si="169"/>
        <v>15989365.25</v>
      </c>
      <c r="CN44" s="334">
        <f t="shared" si="169"/>
        <v>16040881.290000014</v>
      </c>
      <c r="CO44" s="334">
        <f t="shared" si="169"/>
        <v>27866292.319999978</v>
      </c>
      <c r="CP44" s="334">
        <f t="shared" si="169"/>
        <v>39527336.629999988</v>
      </c>
      <c r="CQ44" s="334">
        <f t="shared" si="169"/>
        <v>13732232.689999992</v>
      </c>
      <c r="CR44" s="334">
        <f t="shared" si="169"/>
        <v>0</v>
      </c>
    </row>
    <row r="45" spans="1:96">
      <c r="A45" s="54"/>
      <c r="B45" s="55" t="s">
        <v>117</v>
      </c>
      <c r="D45" s="387"/>
      <c r="AQ45" s="101"/>
      <c r="AR45" s="101"/>
      <c r="AS45" s="101"/>
      <c r="AT45" s="101"/>
      <c r="AU45" s="101"/>
      <c r="AV45" s="101"/>
      <c r="BR45" s="106">
        <f>BQ44-BR44</f>
        <v>4122537.6100000106</v>
      </c>
    </row>
    <row r="46" spans="1:96">
      <c r="A46" s="54"/>
      <c r="B46" s="55"/>
      <c r="C46" s="387">
        <f t="shared" ref="C46:BA46" si="170">C19+C30</f>
        <v>27742424.880000003</v>
      </c>
      <c r="D46" s="387">
        <f t="shared" si="170"/>
        <v>33646134.649999999</v>
      </c>
      <c r="E46" s="387">
        <f t="shared" si="170"/>
        <v>56796978</v>
      </c>
      <c r="F46" s="387">
        <f t="shared" si="170"/>
        <v>4020293.5</v>
      </c>
      <c r="G46" s="387">
        <f t="shared" si="170"/>
        <v>8585951.0999999996</v>
      </c>
      <c r="H46" s="387">
        <f t="shared" si="170"/>
        <v>11831936.800000001</v>
      </c>
      <c r="I46" s="387">
        <f t="shared" si="170"/>
        <v>26636643.130000003</v>
      </c>
      <c r="J46" s="387">
        <f t="shared" si="170"/>
        <v>30088005.949999999</v>
      </c>
      <c r="K46" s="387">
        <f t="shared" si="170"/>
        <v>36528377.620000005</v>
      </c>
      <c r="L46" s="387">
        <f t="shared" si="170"/>
        <v>41200274.010000005</v>
      </c>
      <c r="M46" s="387">
        <f t="shared" si="170"/>
        <v>45275550.649999999</v>
      </c>
      <c r="N46" s="387">
        <f t="shared" si="170"/>
        <v>51383245.689999998</v>
      </c>
      <c r="O46" s="387">
        <f t="shared" si="170"/>
        <v>56223900.939999998</v>
      </c>
      <c r="P46" s="387">
        <f t="shared" si="170"/>
        <v>60357407.269999996</v>
      </c>
      <c r="Q46" s="387">
        <f t="shared" si="170"/>
        <v>70420839.729999989</v>
      </c>
      <c r="R46" s="387">
        <f t="shared" si="170"/>
        <v>78242031.151361167</v>
      </c>
      <c r="S46" s="387">
        <f t="shared" si="170"/>
        <v>7157919.8700000001</v>
      </c>
      <c r="T46" s="387">
        <f t="shared" si="170"/>
        <v>9697202</v>
      </c>
      <c r="U46" s="387">
        <f t="shared" si="170"/>
        <v>18386440.800000001</v>
      </c>
      <c r="V46" s="387">
        <f t="shared" si="170"/>
        <v>26642434.789999999</v>
      </c>
      <c r="W46" s="387">
        <f t="shared" si="170"/>
        <v>35739389.57</v>
      </c>
      <c r="X46" s="387">
        <f t="shared" si="170"/>
        <v>42757099.310000002</v>
      </c>
      <c r="Y46" s="387">
        <f t="shared" si="170"/>
        <v>48881387.939999998</v>
      </c>
      <c r="Z46" s="387">
        <f t="shared" si="170"/>
        <v>46152778.32</v>
      </c>
      <c r="AA46" s="387">
        <f t="shared" si="170"/>
        <v>51806345.899999999</v>
      </c>
      <c r="AB46" s="387">
        <f t="shared" si="170"/>
        <v>55790199.340000004</v>
      </c>
      <c r="AC46" s="387">
        <f t="shared" si="170"/>
        <v>62841360.339999989</v>
      </c>
      <c r="AD46" s="387">
        <f t="shared" si="170"/>
        <v>67934480.870000005</v>
      </c>
      <c r="AE46" s="387">
        <f t="shared" si="170"/>
        <v>8066064.4800000004</v>
      </c>
      <c r="AF46" s="387">
        <f t="shared" si="170"/>
        <v>9327914.1899999995</v>
      </c>
      <c r="AG46" s="387">
        <f t="shared" si="170"/>
        <v>16333392.359999999</v>
      </c>
      <c r="AH46" s="387">
        <f t="shared" si="170"/>
        <v>25835591.130000003</v>
      </c>
      <c r="AI46" s="387">
        <f t="shared" si="170"/>
        <v>33296218.32</v>
      </c>
      <c r="AJ46" s="387">
        <f t="shared" si="170"/>
        <v>43974435.299999997</v>
      </c>
      <c r="AK46" s="387">
        <f t="shared" si="170"/>
        <v>50170392.719999999</v>
      </c>
      <c r="AL46" s="387">
        <f t="shared" si="170"/>
        <v>55867159.409999996</v>
      </c>
      <c r="AM46" s="387">
        <f t="shared" si="170"/>
        <v>65332305.25</v>
      </c>
      <c r="AN46" s="387">
        <f t="shared" si="170"/>
        <v>72964694.640000001</v>
      </c>
      <c r="AO46" s="387">
        <f t="shared" si="170"/>
        <v>78477268.170000002</v>
      </c>
      <c r="AP46" s="387">
        <f t="shared" si="170"/>
        <v>84743338.270000011</v>
      </c>
      <c r="AQ46" s="388">
        <f t="shared" si="170"/>
        <v>87827945</v>
      </c>
      <c r="AR46" s="388">
        <f t="shared" si="170"/>
        <v>6114234.3000000007</v>
      </c>
      <c r="AS46" s="388">
        <f t="shared" si="170"/>
        <v>11858599.92</v>
      </c>
      <c r="AT46" s="388">
        <f t="shared" si="170"/>
        <v>21044922.240000002</v>
      </c>
      <c r="AU46" s="388">
        <f t="shared" si="170"/>
        <v>27594725.949999999</v>
      </c>
      <c r="AV46" s="388">
        <f t="shared" si="170"/>
        <v>37235190.609999999</v>
      </c>
      <c r="AW46" s="388">
        <f t="shared" si="170"/>
        <v>48090027.359999999</v>
      </c>
      <c r="AX46" s="388">
        <f t="shared" si="170"/>
        <v>54113356.609999999</v>
      </c>
      <c r="AY46" s="388">
        <f t="shared" si="170"/>
        <v>62709305.859999999</v>
      </c>
      <c r="AZ46" s="388">
        <f t="shared" si="170"/>
        <v>70511735.870000005</v>
      </c>
      <c r="BA46" s="388">
        <f t="shared" si="170"/>
        <v>70511735.849999994</v>
      </c>
    </row>
    <row r="47" spans="1:96">
      <c r="A47" s="70"/>
      <c r="B47" s="55" t="s">
        <v>69</v>
      </c>
    </row>
    <row r="48" spans="1:96">
      <c r="A48" s="71"/>
      <c r="B48" s="54" t="s">
        <v>70</v>
      </c>
    </row>
    <row r="49" spans="1:2">
      <c r="A49" s="54"/>
      <c r="B49" s="54" t="s">
        <v>71</v>
      </c>
    </row>
    <row r="50" spans="1:2">
      <c r="A50" s="54"/>
      <c r="B50" s="54" t="s">
        <v>118</v>
      </c>
    </row>
    <row r="51" spans="1:2">
      <c r="A51" s="54"/>
      <c r="B51" s="54" t="s">
        <v>71</v>
      </c>
    </row>
    <row r="52" spans="1:2">
      <c r="A52" s="54"/>
      <c r="B52" s="54" t="s">
        <v>119</v>
      </c>
    </row>
  </sheetData>
  <pageMargins left="0.7" right="0.7" top="0.75" bottom="0.75" header="0.3" footer="0.3"/>
  <pageSetup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44"/>
  <sheetViews>
    <sheetView view="pageBreakPreview" zoomScale="98" zoomScaleNormal="100" zoomScaleSheetLayoutView="98" workbookViewId="0">
      <pane xSplit="3" topLeftCell="BR1" activePane="topRight" state="frozen"/>
      <selection pane="topRight" activeCell="A2" sqref="A2:CE26"/>
    </sheetView>
  </sheetViews>
  <sheetFormatPr defaultRowHeight="12.6"/>
  <cols>
    <col min="1" max="1" width="6.28515625" style="105" bestFit="1" customWidth="1"/>
    <col min="2" max="2" width="31.7109375" style="105" customWidth="1"/>
    <col min="3" max="4" width="13.85546875" style="105" customWidth="1"/>
    <col min="5" max="5" width="14.42578125" style="105" hidden="1" customWidth="1"/>
    <col min="6" max="6" width="9.7109375" style="105" hidden="1" customWidth="1"/>
    <col min="7" max="18" width="9.140625" style="105" hidden="1" customWidth="1"/>
    <col min="19" max="20" width="14.85546875" style="105" hidden="1" customWidth="1"/>
    <col min="21" max="21" width="4.5703125" style="105" hidden="1" customWidth="1"/>
    <col min="22" max="22" width="6.85546875" style="105" hidden="1" customWidth="1"/>
    <col min="23" max="24" width="14.85546875" style="105" hidden="1" customWidth="1"/>
    <col min="25" max="27" width="8.5703125" style="105" hidden="1" customWidth="1"/>
    <col min="28" max="28" width="9.140625" style="105" hidden="1" customWidth="1"/>
    <col min="29" max="29" width="7.7109375" style="105" hidden="1" customWidth="1"/>
    <col min="30" max="30" width="18.42578125" style="105" hidden="1" customWidth="1"/>
    <col min="31" max="41" width="9.140625" style="105" hidden="1" customWidth="1"/>
    <col min="42" max="42" width="7.42578125" style="105" hidden="1" customWidth="1"/>
    <col min="43" max="43" width="12.7109375" style="105" hidden="1" customWidth="1"/>
    <col min="44" max="44" width="11.7109375" style="105" hidden="1" customWidth="1"/>
    <col min="45" max="55" width="0" style="105" hidden="1" customWidth="1"/>
    <col min="56" max="56" width="0.28515625" style="105" customWidth="1"/>
    <col min="57" max="57" width="9.28515625" style="105" bestFit="1" customWidth="1"/>
    <col min="58" max="69" width="0" style="105" hidden="1" customWidth="1"/>
    <col min="70" max="70" width="12.7109375" style="105" bestFit="1" customWidth="1"/>
    <col min="71" max="76" width="9.28515625" style="105" bestFit="1" customWidth="1"/>
    <col min="77" max="78" width="9.5703125" style="105" bestFit="1" customWidth="1"/>
    <col min="79" max="80" width="9.28515625" style="105" bestFit="1" customWidth="1"/>
    <col min="81" max="82" width="8.85546875" style="105" bestFit="1" customWidth="1"/>
    <col min="83" max="83" width="9.140625" style="105" customWidth="1"/>
    <col min="84" max="213" width="9.140625" style="105"/>
    <col min="214" max="214" width="19.42578125" style="105" customWidth="1"/>
    <col min="215" max="215" width="5.5703125" style="105" bestFit="1" customWidth="1"/>
    <col min="216" max="216" width="39.140625" style="105" bestFit="1" customWidth="1"/>
    <col min="217" max="217" width="15.28515625" style="105" customWidth="1"/>
    <col min="218" max="218" width="13" style="105" customWidth="1"/>
    <col min="219" max="219" width="12.5703125" style="105" customWidth="1"/>
    <col min="220" max="220" width="11.28515625" style="105" bestFit="1" customWidth="1"/>
    <col min="221" max="221" width="10.42578125" style="105" customWidth="1"/>
    <col min="222" max="222" width="11.28515625" style="105" bestFit="1" customWidth="1"/>
    <col min="223" max="223" width="10.85546875" style="105" bestFit="1" customWidth="1"/>
    <col min="224" max="224" width="11.7109375" style="105" bestFit="1" customWidth="1"/>
    <col min="225" max="225" width="10" style="105" bestFit="1" customWidth="1"/>
    <col min="226" max="469" width="9.140625" style="105"/>
    <col min="470" max="470" width="19.42578125" style="105" customWidth="1"/>
    <col min="471" max="471" width="5.5703125" style="105" bestFit="1" customWidth="1"/>
    <col min="472" max="472" width="39.140625" style="105" bestFit="1" customWidth="1"/>
    <col min="473" max="473" width="15.28515625" style="105" customWidth="1"/>
    <col min="474" max="474" width="13" style="105" customWidth="1"/>
    <col min="475" max="475" width="12.5703125" style="105" customWidth="1"/>
    <col min="476" max="476" width="11.28515625" style="105" bestFit="1" customWidth="1"/>
    <col min="477" max="477" width="10.42578125" style="105" customWidth="1"/>
    <col min="478" max="478" width="11.28515625" style="105" bestFit="1" customWidth="1"/>
    <col min="479" max="479" width="10.85546875" style="105" bestFit="1" customWidth="1"/>
    <col min="480" max="480" width="11.7109375" style="105" bestFit="1" customWidth="1"/>
    <col min="481" max="481" width="10" style="105" bestFit="1" customWidth="1"/>
    <col min="482" max="725" width="9.140625" style="105"/>
    <col min="726" max="726" width="19.42578125" style="105" customWidth="1"/>
    <col min="727" max="727" width="5.5703125" style="105" bestFit="1" customWidth="1"/>
    <col min="728" max="728" width="39.140625" style="105" bestFit="1" customWidth="1"/>
    <col min="729" max="729" width="15.28515625" style="105" customWidth="1"/>
    <col min="730" max="730" width="13" style="105" customWidth="1"/>
    <col min="731" max="731" width="12.5703125" style="105" customWidth="1"/>
    <col min="732" max="732" width="11.28515625" style="105" bestFit="1" customWidth="1"/>
    <col min="733" max="733" width="10.42578125" style="105" customWidth="1"/>
    <col min="734" max="734" width="11.28515625" style="105" bestFit="1" customWidth="1"/>
    <col min="735" max="735" width="10.85546875" style="105" bestFit="1" customWidth="1"/>
    <col min="736" max="736" width="11.7109375" style="105" bestFit="1" customWidth="1"/>
    <col min="737" max="737" width="10" style="105" bestFit="1" customWidth="1"/>
    <col min="738" max="981" width="9.140625" style="105"/>
    <col min="982" max="982" width="19.42578125" style="105" customWidth="1"/>
    <col min="983" max="983" width="5.5703125" style="105" bestFit="1" customWidth="1"/>
    <col min="984" max="984" width="39.140625" style="105" bestFit="1" customWidth="1"/>
    <col min="985" max="985" width="15.28515625" style="105" customWidth="1"/>
    <col min="986" max="986" width="13" style="105" customWidth="1"/>
    <col min="987" max="987" width="12.5703125" style="105" customWidth="1"/>
    <col min="988" max="988" width="11.28515625" style="105" bestFit="1" customWidth="1"/>
    <col min="989" max="989" width="10.42578125" style="105" customWidth="1"/>
    <col min="990" max="990" width="11.28515625" style="105" bestFit="1" customWidth="1"/>
    <col min="991" max="991" width="10.85546875" style="105" bestFit="1" customWidth="1"/>
    <col min="992" max="992" width="11.7109375" style="105" bestFit="1" customWidth="1"/>
    <col min="993" max="993" width="10" style="105" bestFit="1" customWidth="1"/>
    <col min="994" max="1237" width="9.140625" style="105"/>
    <col min="1238" max="1238" width="19.42578125" style="105" customWidth="1"/>
    <col min="1239" max="1239" width="5.5703125" style="105" bestFit="1" customWidth="1"/>
    <col min="1240" max="1240" width="39.140625" style="105" bestFit="1" customWidth="1"/>
    <col min="1241" max="1241" width="15.28515625" style="105" customWidth="1"/>
    <col min="1242" max="1242" width="13" style="105" customWidth="1"/>
    <col min="1243" max="1243" width="12.5703125" style="105" customWidth="1"/>
    <col min="1244" max="1244" width="11.28515625" style="105" bestFit="1" customWidth="1"/>
    <col min="1245" max="1245" width="10.42578125" style="105" customWidth="1"/>
    <col min="1246" max="1246" width="11.28515625" style="105" bestFit="1" customWidth="1"/>
    <col min="1247" max="1247" width="10.85546875" style="105" bestFit="1" customWidth="1"/>
    <col min="1248" max="1248" width="11.7109375" style="105" bestFit="1" customWidth="1"/>
    <col min="1249" max="1249" width="10" style="105" bestFit="1" customWidth="1"/>
    <col min="1250" max="1493" width="9.140625" style="105"/>
    <col min="1494" max="1494" width="19.42578125" style="105" customWidth="1"/>
    <col min="1495" max="1495" width="5.5703125" style="105" bestFit="1" customWidth="1"/>
    <col min="1496" max="1496" width="39.140625" style="105" bestFit="1" customWidth="1"/>
    <col min="1497" max="1497" width="15.28515625" style="105" customWidth="1"/>
    <col min="1498" max="1498" width="13" style="105" customWidth="1"/>
    <col min="1499" max="1499" width="12.5703125" style="105" customWidth="1"/>
    <col min="1500" max="1500" width="11.28515625" style="105" bestFit="1" customWidth="1"/>
    <col min="1501" max="1501" width="10.42578125" style="105" customWidth="1"/>
    <col min="1502" max="1502" width="11.28515625" style="105" bestFit="1" customWidth="1"/>
    <col min="1503" max="1503" width="10.85546875" style="105" bestFit="1" customWidth="1"/>
    <col min="1504" max="1504" width="11.7109375" style="105" bestFit="1" customWidth="1"/>
    <col min="1505" max="1505" width="10" style="105" bestFit="1" customWidth="1"/>
    <col min="1506" max="1749" width="9.140625" style="105"/>
    <col min="1750" max="1750" width="19.42578125" style="105" customWidth="1"/>
    <col min="1751" max="1751" width="5.5703125" style="105" bestFit="1" customWidth="1"/>
    <col min="1752" max="1752" width="39.140625" style="105" bestFit="1" customWidth="1"/>
    <col min="1753" max="1753" width="15.28515625" style="105" customWidth="1"/>
    <col min="1754" max="1754" width="13" style="105" customWidth="1"/>
    <col min="1755" max="1755" width="12.5703125" style="105" customWidth="1"/>
    <col min="1756" max="1756" width="11.28515625" style="105" bestFit="1" customWidth="1"/>
    <col min="1757" max="1757" width="10.42578125" style="105" customWidth="1"/>
    <col min="1758" max="1758" width="11.28515625" style="105" bestFit="1" customWidth="1"/>
    <col min="1759" max="1759" width="10.85546875" style="105" bestFit="1" customWidth="1"/>
    <col min="1760" max="1760" width="11.7109375" style="105" bestFit="1" customWidth="1"/>
    <col min="1761" max="1761" width="10" style="105" bestFit="1" customWidth="1"/>
    <col min="1762" max="2005" width="9.140625" style="105"/>
    <col min="2006" max="2006" width="19.42578125" style="105" customWidth="1"/>
    <col min="2007" max="2007" width="5.5703125" style="105" bestFit="1" customWidth="1"/>
    <col min="2008" max="2008" width="39.140625" style="105" bestFit="1" customWidth="1"/>
    <col min="2009" max="2009" width="15.28515625" style="105" customWidth="1"/>
    <col min="2010" max="2010" width="13" style="105" customWidth="1"/>
    <col min="2011" max="2011" width="12.5703125" style="105" customWidth="1"/>
    <col min="2012" max="2012" width="11.28515625" style="105" bestFit="1" customWidth="1"/>
    <col min="2013" max="2013" width="10.42578125" style="105" customWidth="1"/>
    <col min="2014" max="2014" width="11.28515625" style="105" bestFit="1" customWidth="1"/>
    <col min="2015" max="2015" width="10.85546875" style="105" bestFit="1" customWidth="1"/>
    <col min="2016" max="2016" width="11.7109375" style="105" bestFit="1" customWidth="1"/>
    <col min="2017" max="2017" width="10" style="105" bestFit="1" customWidth="1"/>
    <col min="2018" max="2261" width="9.140625" style="105"/>
    <col min="2262" max="2262" width="19.42578125" style="105" customWidth="1"/>
    <col min="2263" max="2263" width="5.5703125" style="105" bestFit="1" customWidth="1"/>
    <col min="2264" max="2264" width="39.140625" style="105" bestFit="1" customWidth="1"/>
    <col min="2265" max="2265" width="15.28515625" style="105" customWidth="1"/>
    <col min="2266" max="2266" width="13" style="105" customWidth="1"/>
    <col min="2267" max="2267" width="12.5703125" style="105" customWidth="1"/>
    <col min="2268" max="2268" width="11.28515625" style="105" bestFit="1" customWidth="1"/>
    <col min="2269" max="2269" width="10.42578125" style="105" customWidth="1"/>
    <col min="2270" max="2270" width="11.28515625" style="105" bestFit="1" customWidth="1"/>
    <col min="2271" max="2271" width="10.85546875" style="105" bestFit="1" customWidth="1"/>
    <col min="2272" max="2272" width="11.7109375" style="105" bestFit="1" customWidth="1"/>
    <col min="2273" max="2273" width="10" style="105" bestFit="1" customWidth="1"/>
    <col min="2274" max="2517" width="9.140625" style="105"/>
    <col min="2518" max="2518" width="19.42578125" style="105" customWidth="1"/>
    <col min="2519" max="2519" width="5.5703125" style="105" bestFit="1" customWidth="1"/>
    <col min="2520" max="2520" width="39.140625" style="105" bestFit="1" customWidth="1"/>
    <col min="2521" max="2521" width="15.28515625" style="105" customWidth="1"/>
    <col min="2522" max="2522" width="13" style="105" customWidth="1"/>
    <col min="2523" max="2523" width="12.5703125" style="105" customWidth="1"/>
    <col min="2524" max="2524" width="11.28515625" style="105" bestFit="1" customWidth="1"/>
    <col min="2525" max="2525" width="10.42578125" style="105" customWidth="1"/>
    <col min="2526" max="2526" width="11.28515625" style="105" bestFit="1" customWidth="1"/>
    <col min="2527" max="2527" width="10.85546875" style="105" bestFit="1" customWidth="1"/>
    <col min="2528" max="2528" width="11.7109375" style="105" bestFit="1" customWidth="1"/>
    <col min="2529" max="2529" width="10" style="105" bestFit="1" customWidth="1"/>
    <col min="2530" max="2773" width="9.140625" style="105"/>
    <col min="2774" max="2774" width="19.42578125" style="105" customWidth="1"/>
    <col min="2775" max="2775" width="5.5703125" style="105" bestFit="1" customWidth="1"/>
    <col min="2776" max="2776" width="39.140625" style="105" bestFit="1" customWidth="1"/>
    <col min="2777" max="2777" width="15.28515625" style="105" customWidth="1"/>
    <col min="2778" max="2778" width="13" style="105" customWidth="1"/>
    <col min="2779" max="2779" width="12.5703125" style="105" customWidth="1"/>
    <col min="2780" max="2780" width="11.28515625" style="105" bestFit="1" customWidth="1"/>
    <col min="2781" max="2781" width="10.42578125" style="105" customWidth="1"/>
    <col min="2782" max="2782" width="11.28515625" style="105" bestFit="1" customWidth="1"/>
    <col min="2783" max="2783" width="10.85546875" style="105" bestFit="1" customWidth="1"/>
    <col min="2784" max="2784" width="11.7109375" style="105" bestFit="1" customWidth="1"/>
    <col min="2785" max="2785" width="10" style="105" bestFit="1" customWidth="1"/>
    <col min="2786" max="3029" width="9.140625" style="105"/>
    <col min="3030" max="3030" width="19.42578125" style="105" customWidth="1"/>
    <col min="3031" max="3031" width="5.5703125" style="105" bestFit="1" customWidth="1"/>
    <col min="3032" max="3032" width="39.140625" style="105" bestFit="1" customWidth="1"/>
    <col min="3033" max="3033" width="15.28515625" style="105" customWidth="1"/>
    <col min="3034" max="3034" width="13" style="105" customWidth="1"/>
    <col min="3035" max="3035" width="12.5703125" style="105" customWidth="1"/>
    <col min="3036" max="3036" width="11.28515625" style="105" bestFit="1" customWidth="1"/>
    <col min="3037" max="3037" width="10.42578125" style="105" customWidth="1"/>
    <col min="3038" max="3038" width="11.28515625" style="105" bestFit="1" customWidth="1"/>
    <col min="3039" max="3039" width="10.85546875" style="105" bestFit="1" customWidth="1"/>
    <col min="3040" max="3040" width="11.7109375" style="105" bestFit="1" customWidth="1"/>
    <col min="3041" max="3041" width="10" style="105" bestFit="1" customWidth="1"/>
    <col min="3042" max="3285" width="9.140625" style="105"/>
    <col min="3286" max="3286" width="19.42578125" style="105" customWidth="1"/>
    <col min="3287" max="3287" width="5.5703125" style="105" bestFit="1" customWidth="1"/>
    <col min="3288" max="3288" width="39.140625" style="105" bestFit="1" customWidth="1"/>
    <col min="3289" max="3289" width="15.28515625" style="105" customWidth="1"/>
    <col min="3290" max="3290" width="13" style="105" customWidth="1"/>
    <col min="3291" max="3291" width="12.5703125" style="105" customWidth="1"/>
    <col min="3292" max="3292" width="11.28515625" style="105" bestFit="1" customWidth="1"/>
    <col min="3293" max="3293" width="10.42578125" style="105" customWidth="1"/>
    <col min="3294" max="3294" width="11.28515625" style="105" bestFit="1" customWidth="1"/>
    <col min="3295" max="3295" width="10.85546875" style="105" bestFit="1" customWidth="1"/>
    <col min="3296" max="3296" width="11.7109375" style="105" bestFit="1" customWidth="1"/>
    <col min="3297" max="3297" width="10" style="105" bestFit="1" customWidth="1"/>
    <col min="3298" max="3541" width="9.140625" style="105"/>
    <col min="3542" max="3542" width="19.42578125" style="105" customWidth="1"/>
    <col min="3543" max="3543" width="5.5703125" style="105" bestFit="1" customWidth="1"/>
    <col min="3544" max="3544" width="39.140625" style="105" bestFit="1" customWidth="1"/>
    <col min="3545" max="3545" width="15.28515625" style="105" customWidth="1"/>
    <col min="3546" max="3546" width="13" style="105" customWidth="1"/>
    <col min="3547" max="3547" width="12.5703125" style="105" customWidth="1"/>
    <col min="3548" max="3548" width="11.28515625" style="105" bestFit="1" customWidth="1"/>
    <col min="3549" max="3549" width="10.42578125" style="105" customWidth="1"/>
    <col min="3550" max="3550" width="11.28515625" style="105" bestFit="1" customWidth="1"/>
    <col min="3551" max="3551" width="10.85546875" style="105" bestFit="1" customWidth="1"/>
    <col min="3552" max="3552" width="11.7109375" style="105" bestFit="1" customWidth="1"/>
    <col min="3553" max="3553" width="10" style="105" bestFit="1" customWidth="1"/>
    <col min="3554" max="3797" width="9.140625" style="105"/>
    <col min="3798" max="3798" width="19.42578125" style="105" customWidth="1"/>
    <col min="3799" max="3799" width="5.5703125" style="105" bestFit="1" customWidth="1"/>
    <col min="3800" max="3800" width="39.140625" style="105" bestFit="1" customWidth="1"/>
    <col min="3801" max="3801" width="15.28515625" style="105" customWidth="1"/>
    <col min="3802" max="3802" width="13" style="105" customWidth="1"/>
    <col min="3803" max="3803" width="12.5703125" style="105" customWidth="1"/>
    <col min="3804" max="3804" width="11.28515625" style="105" bestFit="1" customWidth="1"/>
    <col min="3805" max="3805" width="10.42578125" style="105" customWidth="1"/>
    <col min="3806" max="3806" width="11.28515625" style="105" bestFit="1" customWidth="1"/>
    <col min="3807" max="3807" width="10.85546875" style="105" bestFit="1" customWidth="1"/>
    <col min="3808" max="3808" width="11.7109375" style="105" bestFit="1" customWidth="1"/>
    <col min="3809" max="3809" width="10" style="105" bestFit="1" customWidth="1"/>
    <col min="3810" max="4053" width="9.140625" style="105"/>
    <col min="4054" max="4054" width="19.42578125" style="105" customWidth="1"/>
    <col min="4055" max="4055" width="5.5703125" style="105" bestFit="1" customWidth="1"/>
    <col min="4056" max="4056" width="39.140625" style="105" bestFit="1" customWidth="1"/>
    <col min="4057" max="4057" width="15.28515625" style="105" customWidth="1"/>
    <col min="4058" max="4058" width="13" style="105" customWidth="1"/>
    <col min="4059" max="4059" width="12.5703125" style="105" customWidth="1"/>
    <col min="4060" max="4060" width="11.28515625" style="105" bestFit="1" customWidth="1"/>
    <col min="4061" max="4061" width="10.42578125" style="105" customWidth="1"/>
    <col min="4062" max="4062" width="11.28515625" style="105" bestFit="1" customWidth="1"/>
    <col min="4063" max="4063" width="10.85546875" style="105" bestFit="1" customWidth="1"/>
    <col min="4064" max="4064" width="11.7109375" style="105" bestFit="1" customWidth="1"/>
    <col min="4065" max="4065" width="10" style="105" bestFit="1" customWidth="1"/>
    <col min="4066" max="4309" width="9.140625" style="105"/>
    <col min="4310" max="4310" width="19.42578125" style="105" customWidth="1"/>
    <col min="4311" max="4311" width="5.5703125" style="105" bestFit="1" customWidth="1"/>
    <col min="4312" max="4312" width="39.140625" style="105" bestFit="1" customWidth="1"/>
    <col min="4313" max="4313" width="15.28515625" style="105" customWidth="1"/>
    <col min="4314" max="4314" width="13" style="105" customWidth="1"/>
    <col min="4315" max="4315" width="12.5703125" style="105" customWidth="1"/>
    <col min="4316" max="4316" width="11.28515625" style="105" bestFit="1" customWidth="1"/>
    <col min="4317" max="4317" width="10.42578125" style="105" customWidth="1"/>
    <col min="4318" max="4318" width="11.28515625" style="105" bestFit="1" customWidth="1"/>
    <col min="4319" max="4319" width="10.85546875" style="105" bestFit="1" customWidth="1"/>
    <col min="4320" max="4320" width="11.7109375" style="105" bestFit="1" customWidth="1"/>
    <col min="4321" max="4321" width="10" style="105" bestFit="1" customWidth="1"/>
    <col min="4322" max="4565" width="9.140625" style="105"/>
    <col min="4566" max="4566" width="19.42578125" style="105" customWidth="1"/>
    <col min="4567" max="4567" width="5.5703125" style="105" bestFit="1" customWidth="1"/>
    <col min="4568" max="4568" width="39.140625" style="105" bestFit="1" customWidth="1"/>
    <col min="4569" max="4569" width="15.28515625" style="105" customWidth="1"/>
    <col min="4570" max="4570" width="13" style="105" customWidth="1"/>
    <col min="4571" max="4571" width="12.5703125" style="105" customWidth="1"/>
    <col min="4572" max="4572" width="11.28515625" style="105" bestFit="1" customWidth="1"/>
    <col min="4573" max="4573" width="10.42578125" style="105" customWidth="1"/>
    <col min="4574" max="4574" width="11.28515625" style="105" bestFit="1" customWidth="1"/>
    <col min="4575" max="4575" width="10.85546875" style="105" bestFit="1" customWidth="1"/>
    <col min="4576" max="4576" width="11.7109375" style="105" bestFit="1" customWidth="1"/>
    <col min="4577" max="4577" width="10" style="105" bestFit="1" customWidth="1"/>
    <col min="4578" max="4821" width="9.140625" style="105"/>
    <col min="4822" max="4822" width="19.42578125" style="105" customWidth="1"/>
    <col min="4823" max="4823" width="5.5703125" style="105" bestFit="1" customWidth="1"/>
    <col min="4824" max="4824" width="39.140625" style="105" bestFit="1" customWidth="1"/>
    <col min="4825" max="4825" width="15.28515625" style="105" customWidth="1"/>
    <col min="4826" max="4826" width="13" style="105" customWidth="1"/>
    <col min="4827" max="4827" width="12.5703125" style="105" customWidth="1"/>
    <col min="4828" max="4828" width="11.28515625" style="105" bestFit="1" customWidth="1"/>
    <col min="4829" max="4829" width="10.42578125" style="105" customWidth="1"/>
    <col min="4830" max="4830" width="11.28515625" style="105" bestFit="1" customWidth="1"/>
    <col min="4831" max="4831" width="10.85546875" style="105" bestFit="1" customWidth="1"/>
    <col min="4832" max="4832" width="11.7109375" style="105" bestFit="1" customWidth="1"/>
    <col min="4833" max="4833" width="10" style="105" bestFit="1" customWidth="1"/>
    <col min="4834" max="5077" width="9.140625" style="105"/>
    <col min="5078" max="5078" width="19.42578125" style="105" customWidth="1"/>
    <col min="5079" max="5079" width="5.5703125" style="105" bestFit="1" customWidth="1"/>
    <col min="5080" max="5080" width="39.140625" style="105" bestFit="1" customWidth="1"/>
    <col min="5081" max="5081" width="15.28515625" style="105" customWidth="1"/>
    <col min="5082" max="5082" width="13" style="105" customWidth="1"/>
    <col min="5083" max="5083" width="12.5703125" style="105" customWidth="1"/>
    <col min="5084" max="5084" width="11.28515625" style="105" bestFit="1" customWidth="1"/>
    <col min="5085" max="5085" width="10.42578125" style="105" customWidth="1"/>
    <col min="5086" max="5086" width="11.28515625" style="105" bestFit="1" customWidth="1"/>
    <col min="5087" max="5087" width="10.85546875" style="105" bestFit="1" customWidth="1"/>
    <col min="5088" max="5088" width="11.7109375" style="105" bestFit="1" customWidth="1"/>
    <col min="5089" max="5089" width="10" style="105" bestFit="1" customWidth="1"/>
    <col min="5090" max="5333" width="9.140625" style="105"/>
    <col min="5334" max="5334" width="19.42578125" style="105" customWidth="1"/>
    <col min="5335" max="5335" width="5.5703125" style="105" bestFit="1" customWidth="1"/>
    <col min="5336" max="5336" width="39.140625" style="105" bestFit="1" customWidth="1"/>
    <col min="5337" max="5337" width="15.28515625" style="105" customWidth="1"/>
    <col min="5338" max="5338" width="13" style="105" customWidth="1"/>
    <col min="5339" max="5339" width="12.5703125" style="105" customWidth="1"/>
    <col min="5340" max="5340" width="11.28515625" style="105" bestFit="1" customWidth="1"/>
    <col min="5341" max="5341" width="10.42578125" style="105" customWidth="1"/>
    <col min="5342" max="5342" width="11.28515625" style="105" bestFit="1" customWidth="1"/>
    <col min="5343" max="5343" width="10.85546875" style="105" bestFit="1" customWidth="1"/>
    <col min="5344" max="5344" width="11.7109375" style="105" bestFit="1" customWidth="1"/>
    <col min="5345" max="5345" width="10" style="105" bestFit="1" customWidth="1"/>
    <col min="5346" max="5589" width="9.140625" style="105"/>
    <col min="5590" max="5590" width="19.42578125" style="105" customWidth="1"/>
    <col min="5591" max="5591" width="5.5703125" style="105" bestFit="1" customWidth="1"/>
    <col min="5592" max="5592" width="39.140625" style="105" bestFit="1" customWidth="1"/>
    <col min="5593" max="5593" width="15.28515625" style="105" customWidth="1"/>
    <col min="5594" max="5594" width="13" style="105" customWidth="1"/>
    <col min="5595" max="5595" width="12.5703125" style="105" customWidth="1"/>
    <col min="5596" max="5596" width="11.28515625" style="105" bestFit="1" customWidth="1"/>
    <col min="5597" max="5597" width="10.42578125" style="105" customWidth="1"/>
    <col min="5598" max="5598" width="11.28515625" style="105" bestFit="1" customWidth="1"/>
    <col min="5599" max="5599" width="10.85546875" style="105" bestFit="1" customWidth="1"/>
    <col min="5600" max="5600" width="11.7109375" style="105" bestFit="1" customWidth="1"/>
    <col min="5601" max="5601" width="10" style="105" bestFit="1" customWidth="1"/>
    <col min="5602" max="5845" width="9.140625" style="105"/>
    <col min="5846" max="5846" width="19.42578125" style="105" customWidth="1"/>
    <col min="5847" max="5847" width="5.5703125" style="105" bestFit="1" customWidth="1"/>
    <col min="5848" max="5848" width="39.140625" style="105" bestFit="1" customWidth="1"/>
    <col min="5849" max="5849" width="15.28515625" style="105" customWidth="1"/>
    <col min="5850" max="5850" width="13" style="105" customWidth="1"/>
    <col min="5851" max="5851" width="12.5703125" style="105" customWidth="1"/>
    <col min="5852" max="5852" width="11.28515625" style="105" bestFit="1" customWidth="1"/>
    <col min="5853" max="5853" width="10.42578125" style="105" customWidth="1"/>
    <col min="5854" max="5854" width="11.28515625" style="105" bestFit="1" customWidth="1"/>
    <col min="5855" max="5855" width="10.85546875" style="105" bestFit="1" customWidth="1"/>
    <col min="5856" max="5856" width="11.7109375" style="105" bestFit="1" customWidth="1"/>
    <col min="5857" max="5857" width="10" style="105" bestFit="1" customWidth="1"/>
    <col min="5858" max="6101" width="9.140625" style="105"/>
    <col min="6102" max="6102" width="19.42578125" style="105" customWidth="1"/>
    <col min="6103" max="6103" width="5.5703125" style="105" bestFit="1" customWidth="1"/>
    <col min="6104" max="6104" width="39.140625" style="105" bestFit="1" customWidth="1"/>
    <col min="6105" max="6105" width="15.28515625" style="105" customWidth="1"/>
    <col min="6106" max="6106" width="13" style="105" customWidth="1"/>
    <col min="6107" max="6107" width="12.5703125" style="105" customWidth="1"/>
    <col min="6108" max="6108" width="11.28515625" style="105" bestFit="1" customWidth="1"/>
    <col min="6109" max="6109" width="10.42578125" style="105" customWidth="1"/>
    <col min="6110" max="6110" width="11.28515625" style="105" bestFit="1" customWidth="1"/>
    <col min="6111" max="6111" width="10.85546875" style="105" bestFit="1" customWidth="1"/>
    <col min="6112" max="6112" width="11.7109375" style="105" bestFit="1" customWidth="1"/>
    <col min="6113" max="6113" width="10" style="105" bestFit="1" customWidth="1"/>
    <col min="6114" max="6357" width="9.140625" style="105"/>
    <col min="6358" max="6358" width="19.42578125" style="105" customWidth="1"/>
    <col min="6359" max="6359" width="5.5703125" style="105" bestFit="1" customWidth="1"/>
    <col min="6360" max="6360" width="39.140625" style="105" bestFit="1" customWidth="1"/>
    <col min="6361" max="6361" width="15.28515625" style="105" customWidth="1"/>
    <col min="6362" max="6362" width="13" style="105" customWidth="1"/>
    <col min="6363" max="6363" width="12.5703125" style="105" customWidth="1"/>
    <col min="6364" max="6364" width="11.28515625" style="105" bestFit="1" customWidth="1"/>
    <col min="6365" max="6365" width="10.42578125" style="105" customWidth="1"/>
    <col min="6366" max="6366" width="11.28515625" style="105" bestFit="1" customWidth="1"/>
    <col min="6367" max="6367" width="10.85546875" style="105" bestFit="1" customWidth="1"/>
    <col min="6368" max="6368" width="11.7109375" style="105" bestFit="1" customWidth="1"/>
    <col min="6369" max="6369" width="10" style="105" bestFit="1" customWidth="1"/>
    <col min="6370" max="6613" width="9.140625" style="105"/>
    <col min="6614" max="6614" width="19.42578125" style="105" customWidth="1"/>
    <col min="6615" max="6615" width="5.5703125" style="105" bestFit="1" customWidth="1"/>
    <col min="6616" max="6616" width="39.140625" style="105" bestFit="1" customWidth="1"/>
    <col min="6617" max="6617" width="15.28515625" style="105" customWidth="1"/>
    <col min="6618" max="6618" width="13" style="105" customWidth="1"/>
    <col min="6619" max="6619" width="12.5703125" style="105" customWidth="1"/>
    <col min="6620" max="6620" width="11.28515625" style="105" bestFit="1" customWidth="1"/>
    <col min="6621" max="6621" width="10.42578125" style="105" customWidth="1"/>
    <col min="6622" max="6622" width="11.28515625" style="105" bestFit="1" customWidth="1"/>
    <col min="6623" max="6623" width="10.85546875" style="105" bestFit="1" customWidth="1"/>
    <col min="6624" max="6624" width="11.7109375" style="105" bestFit="1" customWidth="1"/>
    <col min="6625" max="6625" width="10" style="105" bestFit="1" customWidth="1"/>
    <col min="6626" max="6869" width="9.140625" style="105"/>
    <col min="6870" max="6870" width="19.42578125" style="105" customWidth="1"/>
    <col min="6871" max="6871" width="5.5703125" style="105" bestFit="1" customWidth="1"/>
    <col min="6872" max="6872" width="39.140625" style="105" bestFit="1" customWidth="1"/>
    <col min="6873" max="6873" width="15.28515625" style="105" customWidth="1"/>
    <col min="6874" max="6874" width="13" style="105" customWidth="1"/>
    <col min="6875" max="6875" width="12.5703125" style="105" customWidth="1"/>
    <col min="6876" max="6876" width="11.28515625" style="105" bestFit="1" customWidth="1"/>
    <col min="6877" max="6877" width="10.42578125" style="105" customWidth="1"/>
    <col min="6878" max="6878" width="11.28515625" style="105" bestFit="1" customWidth="1"/>
    <col min="6879" max="6879" width="10.85546875" style="105" bestFit="1" customWidth="1"/>
    <col min="6880" max="6880" width="11.7109375" style="105" bestFit="1" customWidth="1"/>
    <col min="6881" max="6881" width="10" style="105" bestFit="1" customWidth="1"/>
    <col min="6882" max="7125" width="9.140625" style="105"/>
    <col min="7126" max="7126" width="19.42578125" style="105" customWidth="1"/>
    <col min="7127" max="7127" width="5.5703125" style="105" bestFit="1" customWidth="1"/>
    <col min="7128" max="7128" width="39.140625" style="105" bestFit="1" customWidth="1"/>
    <col min="7129" max="7129" width="15.28515625" style="105" customWidth="1"/>
    <col min="7130" max="7130" width="13" style="105" customWidth="1"/>
    <col min="7131" max="7131" width="12.5703125" style="105" customWidth="1"/>
    <col min="7132" max="7132" width="11.28515625" style="105" bestFit="1" customWidth="1"/>
    <col min="7133" max="7133" width="10.42578125" style="105" customWidth="1"/>
    <col min="7134" max="7134" width="11.28515625" style="105" bestFit="1" customWidth="1"/>
    <col min="7135" max="7135" width="10.85546875" style="105" bestFit="1" customWidth="1"/>
    <col min="7136" max="7136" width="11.7109375" style="105" bestFit="1" customWidth="1"/>
    <col min="7137" max="7137" width="10" style="105" bestFit="1" customWidth="1"/>
    <col min="7138" max="7381" width="9.140625" style="105"/>
    <col min="7382" max="7382" width="19.42578125" style="105" customWidth="1"/>
    <col min="7383" max="7383" width="5.5703125" style="105" bestFit="1" customWidth="1"/>
    <col min="7384" max="7384" width="39.140625" style="105" bestFit="1" customWidth="1"/>
    <col min="7385" max="7385" width="15.28515625" style="105" customWidth="1"/>
    <col min="7386" max="7386" width="13" style="105" customWidth="1"/>
    <col min="7387" max="7387" width="12.5703125" style="105" customWidth="1"/>
    <col min="7388" max="7388" width="11.28515625" style="105" bestFit="1" customWidth="1"/>
    <col min="7389" max="7389" width="10.42578125" style="105" customWidth="1"/>
    <col min="7390" max="7390" width="11.28515625" style="105" bestFit="1" customWidth="1"/>
    <col min="7391" max="7391" width="10.85546875" style="105" bestFit="1" customWidth="1"/>
    <col min="7392" max="7392" width="11.7109375" style="105" bestFit="1" customWidth="1"/>
    <col min="7393" max="7393" width="10" style="105" bestFit="1" customWidth="1"/>
    <col min="7394" max="7637" width="9.140625" style="105"/>
    <col min="7638" max="7638" width="19.42578125" style="105" customWidth="1"/>
    <col min="7639" max="7639" width="5.5703125" style="105" bestFit="1" customWidth="1"/>
    <col min="7640" max="7640" width="39.140625" style="105" bestFit="1" customWidth="1"/>
    <col min="7641" max="7641" width="15.28515625" style="105" customWidth="1"/>
    <col min="7642" max="7642" width="13" style="105" customWidth="1"/>
    <col min="7643" max="7643" width="12.5703125" style="105" customWidth="1"/>
    <col min="7644" max="7644" width="11.28515625" style="105" bestFit="1" customWidth="1"/>
    <col min="7645" max="7645" width="10.42578125" style="105" customWidth="1"/>
    <col min="7646" max="7646" width="11.28515625" style="105" bestFit="1" customWidth="1"/>
    <col min="7647" max="7647" width="10.85546875" style="105" bestFit="1" customWidth="1"/>
    <col min="7648" max="7648" width="11.7109375" style="105" bestFit="1" customWidth="1"/>
    <col min="7649" max="7649" width="10" style="105" bestFit="1" customWidth="1"/>
    <col min="7650" max="7893" width="9.140625" style="105"/>
    <col min="7894" max="7894" width="19.42578125" style="105" customWidth="1"/>
    <col min="7895" max="7895" width="5.5703125" style="105" bestFit="1" customWidth="1"/>
    <col min="7896" max="7896" width="39.140625" style="105" bestFit="1" customWidth="1"/>
    <col min="7897" max="7897" width="15.28515625" style="105" customWidth="1"/>
    <col min="7898" max="7898" width="13" style="105" customWidth="1"/>
    <col min="7899" max="7899" width="12.5703125" style="105" customWidth="1"/>
    <col min="7900" max="7900" width="11.28515625" style="105" bestFit="1" customWidth="1"/>
    <col min="7901" max="7901" width="10.42578125" style="105" customWidth="1"/>
    <col min="7902" max="7902" width="11.28515625" style="105" bestFit="1" customWidth="1"/>
    <col min="7903" max="7903" width="10.85546875" style="105" bestFit="1" customWidth="1"/>
    <col min="7904" max="7904" width="11.7109375" style="105" bestFit="1" customWidth="1"/>
    <col min="7905" max="7905" width="10" style="105" bestFit="1" customWidth="1"/>
    <col min="7906" max="8149" width="9.140625" style="105"/>
    <col min="8150" max="8150" width="19.42578125" style="105" customWidth="1"/>
    <col min="8151" max="8151" width="5.5703125" style="105" bestFit="1" customWidth="1"/>
    <col min="8152" max="8152" width="39.140625" style="105" bestFit="1" customWidth="1"/>
    <col min="8153" max="8153" width="15.28515625" style="105" customWidth="1"/>
    <col min="8154" max="8154" width="13" style="105" customWidth="1"/>
    <col min="8155" max="8155" width="12.5703125" style="105" customWidth="1"/>
    <col min="8156" max="8156" width="11.28515625" style="105" bestFit="1" customWidth="1"/>
    <col min="8157" max="8157" width="10.42578125" style="105" customWidth="1"/>
    <col min="8158" max="8158" width="11.28515625" style="105" bestFit="1" customWidth="1"/>
    <col min="8159" max="8159" width="10.85546875" style="105" bestFit="1" customWidth="1"/>
    <col min="8160" max="8160" width="11.7109375" style="105" bestFit="1" customWidth="1"/>
    <col min="8161" max="8161" width="10" style="105" bestFit="1" customWidth="1"/>
    <col min="8162" max="8405" width="9.140625" style="105"/>
    <col min="8406" max="8406" width="19.42578125" style="105" customWidth="1"/>
    <col min="8407" max="8407" width="5.5703125" style="105" bestFit="1" customWidth="1"/>
    <col min="8408" max="8408" width="39.140625" style="105" bestFit="1" customWidth="1"/>
    <col min="8409" max="8409" width="15.28515625" style="105" customWidth="1"/>
    <col min="8410" max="8410" width="13" style="105" customWidth="1"/>
    <col min="8411" max="8411" width="12.5703125" style="105" customWidth="1"/>
    <col min="8412" max="8412" width="11.28515625" style="105" bestFit="1" customWidth="1"/>
    <col min="8413" max="8413" width="10.42578125" style="105" customWidth="1"/>
    <col min="8414" max="8414" width="11.28515625" style="105" bestFit="1" customWidth="1"/>
    <col min="8415" max="8415" width="10.85546875" style="105" bestFit="1" customWidth="1"/>
    <col min="8416" max="8416" width="11.7109375" style="105" bestFit="1" customWidth="1"/>
    <col min="8417" max="8417" width="10" style="105" bestFit="1" customWidth="1"/>
    <col min="8418" max="8661" width="9.140625" style="105"/>
    <col min="8662" max="8662" width="19.42578125" style="105" customWidth="1"/>
    <col min="8663" max="8663" width="5.5703125" style="105" bestFit="1" customWidth="1"/>
    <col min="8664" max="8664" width="39.140625" style="105" bestFit="1" customWidth="1"/>
    <col min="8665" max="8665" width="15.28515625" style="105" customWidth="1"/>
    <col min="8666" max="8666" width="13" style="105" customWidth="1"/>
    <col min="8667" max="8667" width="12.5703125" style="105" customWidth="1"/>
    <col min="8668" max="8668" width="11.28515625" style="105" bestFit="1" customWidth="1"/>
    <col min="8669" max="8669" width="10.42578125" style="105" customWidth="1"/>
    <col min="8670" max="8670" width="11.28515625" style="105" bestFit="1" customWidth="1"/>
    <col min="8671" max="8671" width="10.85546875" style="105" bestFit="1" customWidth="1"/>
    <col min="8672" max="8672" width="11.7109375" style="105" bestFit="1" customWidth="1"/>
    <col min="8673" max="8673" width="10" style="105" bestFit="1" customWidth="1"/>
    <col min="8674" max="8917" width="9.140625" style="105"/>
    <col min="8918" max="8918" width="19.42578125" style="105" customWidth="1"/>
    <col min="8919" max="8919" width="5.5703125" style="105" bestFit="1" customWidth="1"/>
    <col min="8920" max="8920" width="39.140625" style="105" bestFit="1" customWidth="1"/>
    <col min="8921" max="8921" width="15.28515625" style="105" customWidth="1"/>
    <col min="8922" max="8922" width="13" style="105" customWidth="1"/>
    <col min="8923" max="8923" width="12.5703125" style="105" customWidth="1"/>
    <col min="8924" max="8924" width="11.28515625" style="105" bestFit="1" customWidth="1"/>
    <col min="8925" max="8925" width="10.42578125" style="105" customWidth="1"/>
    <col min="8926" max="8926" width="11.28515625" style="105" bestFit="1" customWidth="1"/>
    <col min="8927" max="8927" width="10.85546875" style="105" bestFit="1" customWidth="1"/>
    <col min="8928" max="8928" width="11.7109375" style="105" bestFit="1" customWidth="1"/>
    <col min="8929" max="8929" width="10" style="105" bestFit="1" customWidth="1"/>
    <col min="8930" max="9173" width="9.140625" style="105"/>
    <col min="9174" max="9174" width="19.42578125" style="105" customWidth="1"/>
    <col min="9175" max="9175" width="5.5703125" style="105" bestFit="1" customWidth="1"/>
    <col min="9176" max="9176" width="39.140625" style="105" bestFit="1" customWidth="1"/>
    <col min="9177" max="9177" width="15.28515625" style="105" customWidth="1"/>
    <col min="9178" max="9178" width="13" style="105" customWidth="1"/>
    <col min="9179" max="9179" width="12.5703125" style="105" customWidth="1"/>
    <col min="9180" max="9180" width="11.28515625" style="105" bestFit="1" customWidth="1"/>
    <col min="9181" max="9181" width="10.42578125" style="105" customWidth="1"/>
    <col min="9182" max="9182" width="11.28515625" style="105" bestFit="1" customWidth="1"/>
    <col min="9183" max="9183" width="10.85546875" style="105" bestFit="1" customWidth="1"/>
    <col min="9184" max="9184" width="11.7109375" style="105" bestFit="1" customWidth="1"/>
    <col min="9185" max="9185" width="10" style="105" bestFit="1" customWidth="1"/>
    <col min="9186" max="9429" width="9.140625" style="105"/>
    <col min="9430" max="9430" width="19.42578125" style="105" customWidth="1"/>
    <col min="9431" max="9431" width="5.5703125" style="105" bestFit="1" customWidth="1"/>
    <col min="9432" max="9432" width="39.140625" style="105" bestFit="1" customWidth="1"/>
    <col min="9433" max="9433" width="15.28515625" style="105" customWidth="1"/>
    <col min="9434" max="9434" width="13" style="105" customWidth="1"/>
    <col min="9435" max="9435" width="12.5703125" style="105" customWidth="1"/>
    <col min="9436" max="9436" width="11.28515625" style="105" bestFit="1" customWidth="1"/>
    <col min="9437" max="9437" width="10.42578125" style="105" customWidth="1"/>
    <col min="9438" max="9438" width="11.28515625" style="105" bestFit="1" customWidth="1"/>
    <col min="9439" max="9439" width="10.85546875" style="105" bestFit="1" customWidth="1"/>
    <col min="9440" max="9440" width="11.7109375" style="105" bestFit="1" customWidth="1"/>
    <col min="9441" max="9441" width="10" style="105" bestFit="1" customWidth="1"/>
    <col min="9442" max="9685" width="9.140625" style="105"/>
    <col min="9686" max="9686" width="19.42578125" style="105" customWidth="1"/>
    <col min="9687" max="9687" width="5.5703125" style="105" bestFit="1" customWidth="1"/>
    <col min="9688" max="9688" width="39.140625" style="105" bestFit="1" customWidth="1"/>
    <col min="9689" max="9689" width="15.28515625" style="105" customWidth="1"/>
    <col min="9690" max="9690" width="13" style="105" customWidth="1"/>
    <col min="9691" max="9691" width="12.5703125" style="105" customWidth="1"/>
    <col min="9692" max="9692" width="11.28515625" style="105" bestFit="1" customWidth="1"/>
    <col min="9693" max="9693" width="10.42578125" style="105" customWidth="1"/>
    <col min="9694" max="9694" width="11.28515625" style="105" bestFit="1" customWidth="1"/>
    <col min="9695" max="9695" width="10.85546875" style="105" bestFit="1" customWidth="1"/>
    <col min="9696" max="9696" width="11.7109375" style="105" bestFit="1" customWidth="1"/>
    <col min="9697" max="9697" width="10" style="105" bestFit="1" customWidth="1"/>
    <col min="9698" max="9941" width="9.140625" style="105"/>
    <col min="9942" max="9942" width="19.42578125" style="105" customWidth="1"/>
    <col min="9943" max="9943" width="5.5703125" style="105" bestFit="1" customWidth="1"/>
    <col min="9944" max="9944" width="39.140625" style="105" bestFit="1" customWidth="1"/>
    <col min="9945" max="9945" width="15.28515625" style="105" customWidth="1"/>
    <col min="9946" max="9946" width="13" style="105" customWidth="1"/>
    <col min="9947" max="9947" width="12.5703125" style="105" customWidth="1"/>
    <col min="9948" max="9948" width="11.28515625" style="105" bestFit="1" customWidth="1"/>
    <col min="9949" max="9949" width="10.42578125" style="105" customWidth="1"/>
    <col min="9950" max="9950" width="11.28515625" style="105" bestFit="1" customWidth="1"/>
    <col min="9951" max="9951" width="10.85546875" style="105" bestFit="1" customWidth="1"/>
    <col min="9952" max="9952" width="11.7109375" style="105" bestFit="1" customWidth="1"/>
    <col min="9953" max="9953" width="10" style="105" bestFit="1" customWidth="1"/>
    <col min="9954" max="10197" width="9.140625" style="105"/>
    <col min="10198" max="10198" width="19.42578125" style="105" customWidth="1"/>
    <col min="10199" max="10199" width="5.5703125" style="105" bestFit="1" customWidth="1"/>
    <col min="10200" max="10200" width="39.140625" style="105" bestFit="1" customWidth="1"/>
    <col min="10201" max="10201" width="15.28515625" style="105" customWidth="1"/>
    <col min="10202" max="10202" width="13" style="105" customWidth="1"/>
    <col min="10203" max="10203" width="12.5703125" style="105" customWidth="1"/>
    <col min="10204" max="10204" width="11.28515625" style="105" bestFit="1" customWidth="1"/>
    <col min="10205" max="10205" width="10.42578125" style="105" customWidth="1"/>
    <col min="10206" max="10206" width="11.28515625" style="105" bestFit="1" customWidth="1"/>
    <col min="10207" max="10207" width="10.85546875" style="105" bestFit="1" customWidth="1"/>
    <col min="10208" max="10208" width="11.7109375" style="105" bestFit="1" customWidth="1"/>
    <col min="10209" max="10209" width="10" style="105" bestFit="1" customWidth="1"/>
    <col min="10210" max="10453" width="9.140625" style="105"/>
    <col min="10454" max="10454" width="19.42578125" style="105" customWidth="1"/>
    <col min="10455" max="10455" width="5.5703125" style="105" bestFit="1" customWidth="1"/>
    <col min="10456" max="10456" width="39.140625" style="105" bestFit="1" customWidth="1"/>
    <col min="10457" max="10457" width="15.28515625" style="105" customWidth="1"/>
    <col min="10458" max="10458" width="13" style="105" customWidth="1"/>
    <col min="10459" max="10459" width="12.5703125" style="105" customWidth="1"/>
    <col min="10460" max="10460" width="11.28515625" style="105" bestFit="1" customWidth="1"/>
    <col min="10461" max="10461" width="10.42578125" style="105" customWidth="1"/>
    <col min="10462" max="10462" width="11.28515625" style="105" bestFit="1" customWidth="1"/>
    <col min="10463" max="10463" width="10.85546875" style="105" bestFit="1" customWidth="1"/>
    <col min="10464" max="10464" width="11.7109375" style="105" bestFit="1" customWidth="1"/>
    <col min="10465" max="10465" width="10" style="105" bestFit="1" customWidth="1"/>
    <col min="10466" max="10709" width="9.140625" style="105"/>
    <col min="10710" max="10710" width="19.42578125" style="105" customWidth="1"/>
    <col min="10711" max="10711" width="5.5703125" style="105" bestFit="1" customWidth="1"/>
    <col min="10712" max="10712" width="39.140625" style="105" bestFit="1" customWidth="1"/>
    <col min="10713" max="10713" width="15.28515625" style="105" customWidth="1"/>
    <col min="10714" max="10714" width="13" style="105" customWidth="1"/>
    <col min="10715" max="10715" width="12.5703125" style="105" customWidth="1"/>
    <col min="10716" max="10716" width="11.28515625" style="105" bestFit="1" customWidth="1"/>
    <col min="10717" max="10717" width="10.42578125" style="105" customWidth="1"/>
    <col min="10718" max="10718" width="11.28515625" style="105" bestFit="1" customWidth="1"/>
    <col min="10719" max="10719" width="10.85546875" style="105" bestFit="1" customWidth="1"/>
    <col min="10720" max="10720" width="11.7109375" style="105" bestFit="1" customWidth="1"/>
    <col min="10721" max="10721" width="10" style="105" bestFit="1" customWidth="1"/>
    <col min="10722" max="10965" width="9.140625" style="105"/>
    <col min="10966" max="10966" width="19.42578125" style="105" customWidth="1"/>
    <col min="10967" max="10967" width="5.5703125" style="105" bestFit="1" customWidth="1"/>
    <col min="10968" max="10968" width="39.140625" style="105" bestFit="1" customWidth="1"/>
    <col min="10969" max="10969" width="15.28515625" style="105" customWidth="1"/>
    <col min="10970" max="10970" width="13" style="105" customWidth="1"/>
    <col min="10971" max="10971" width="12.5703125" style="105" customWidth="1"/>
    <col min="10972" max="10972" width="11.28515625" style="105" bestFit="1" customWidth="1"/>
    <col min="10973" max="10973" width="10.42578125" style="105" customWidth="1"/>
    <col min="10974" max="10974" width="11.28515625" style="105" bestFit="1" customWidth="1"/>
    <col min="10975" max="10975" width="10.85546875" style="105" bestFit="1" customWidth="1"/>
    <col min="10976" max="10976" width="11.7109375" style="105" bestFit="1" customWidth="1"/>
    <col min="10977" max="10977" width="10" style="105" bestFit="1" customWidth="1"/>
    <col min="10978" max="11221" width="9.140625" style="105"/>
    <col min="11222" max="11222" width="19.42578125" style="105" customWidth="1"/>
    <col min="11223" max="11223" width="5.5703125" style="105" bestFit="1" customWidth="1"/>
    <col min="11224" max="11224" width="39.140625" style="105" bestFit="1" customWidth="1"/>
    <col min="11225" max="11225" width="15.28515625" style="105" customWidth="1"/>
    <col min="11226" max="11226" width="13" style="105" customWidth="1"/>
    <col min="11227" max="11227" width="12.5703125" style="105" customWidth="1"/>
    <col min="11228" max="11228" width="11.28515625" style="105" bestFit="1" customWidth="1"/>
    <col min="11229" max="11229" width="10.42578125" style="105" customWidth="1"/>
    <col min="11230" max="11230" width="11.28515625" style="105" bestFit="1" customWidth="1"/>
    <col min="11231" max="11231" width="10.85546875" style="105" bestFit="1" customWidth="1"/>
    <col min="11232" max="11232" width="11.7109375" style="105" bestFit="1" customWidth="1"/>
    <col min="11233" max="11233" width="10" style="105" bestFit="1" customWidth="1"/>
    <col min="11234" max="11477" width="9.140625" style="105"/>
    <col min="11478" max="11478" width="19.42578125" style="105" customWidth="1"/>
    <col min="11479" max="11479" width="5.5703125" style="105" bestFit="1" customWidth="1"/>
    <col min="11480" max="11480" width="39.140625" style="105" bestFit="1" customWidth="1"/>
    <col min="11481" max="11481" width="15.28515625" style="105" customWidth="1"/>
    <col min="11482" max="11482" width="13" style="105" customWidth="1"/>
    <col min="11483" max="11483" width="12.5703125" style="105" customWidth="1"/>
    <col min="11484" max="11484" width="11.28515625" style="105" bestFit="1" customWidth="1"/>
    <col min="11485" max="11485" width="10.42578125" style="105" customWidth="1"/>
    <col min="11486" max="11486" width="11.28515625" style="105" bestFit="1" customWidth="1"/>
    <col min="11487" max="11487" width="10.85546875" style="105" bestFit="1" customWidth="1"/>
    <col min="11488" max="11488" width="11.7109375" style="105" bestFit="1" customWidth="1"/>
    <col min="11489" max="11489" width="10" style="105" bestFit="1" customWidth="1"/>
    <col min="11490" max="11733" width="9.140625" style="105"/>
    <col min="11734" max="11734" width="19.42578125" style="105" customWidth="1"/>
    <col min="11735" max="11735" width="5.5703125" style="105" bestFit="1" customWidth="1"/>
    <col min="11736" max="11736" width="39.140625" style="105" bestFit="1" customWidth="1"/>
    <col min="11737" max="11737" width="15.28515625" style="105" customWidth="1"/>
    <col min="11738" max="11738" width="13" style="105" customWidth="1"/>
    <col min="11739" max="11739" width="12.5703125" style="105" customWidth="1"/>
    <col min="11740" max="11740" width="11.28515625" style="105" bestFit="1" customWidth="1"/>
    <col min="11741" max="11741" width="10.42578125" style="105" customWidth="1"/>
    <col min="11742" max="11742" width="11.28515625" style="105" bestFit="1" customWidth="1"/>
    <col min="11743" max="11743" width="10.85546875" style="105" bestFit="1" customWidth="1"/>
    <col min="11744" max="11744" width="11.7109375" style="105" bestFit="1" customWidth="1"/>
    <col min="11745" max="11745" width="10" style="105" bestFit="1" customWidth="1"/>
    <col min="11746" max="11989" width="9.140625" style="105"/>
    <col min="11990" max="11990" width="19.42578125" style="105" customWidth="1"/>
    <col min="11991" max="11991" width="5.5703125" style="105" bestFit="1" customWidth="1"/>
    <col min="11992" max="11992" width="39.140625" style="105" bestFit="1" customWidth="1"/>
    <col min="11993" max="11993" width="15.28515625" style="105" customWidth="1"/>
    <col min="11994" max="11994" width="13" style="105" customWidth="1"/>
    <col min="11995" max="11995" width="12.5703125" style="105" customWidth="1"/>
    <col min="11996" max="11996" width="11.28515625" style="105" bestFit="1" customWidth="1"/>
    <col min="11997" max="11997" width="10.42578125" style="105" customWidth="1"/>
    <col min="11998" max="11998" width="11.28515625" style="105" bestFit="1" customWidth="1"/>
    <col min="11999" max="11999" width="10.85546875" style="105" bestFit="1" customWidth="1"/>
    <col min="12000" max="12000" width="11.7109375" style="105" bestFit="1" customWidth="1"/>
    <col min="12001" max="12001" width="10" style="105" bestFit="1" customWidth="1"/>
    <col min="12002" max="12245" width="9.140625" style="105"/>
    <col min="12246" max="12246" width="19.42578125" style="105" customWidth="1"/>
    <col min="12247" max="12247" width="5.5703125" style="105" bestFit="1" customWidth="1"/>
    <col min="12248" max="12248" width="39.140625" style="105" bestFit="1" customWidth="1"/>
    <col min="12249" max="12249" width="15.28515625" style="105" customWidth="1"/>
    <col min="12250" max="12250" width="13" style="105" customWidth="1"/>
    <col min="12251" max="12251" width="12.5703125" style="105" customWidth="1"/>
    <col min="12252" max="12252" width="11.28515625" style="105" bestFit="1" customWidth="1"/>
    <col min="12253" max="12253" width="10.42578125" style="105" customWidth="1"/>
    <col min="12254" max="12254" width="11.28515625" style="105" bestFit="1" customWidth="1"/>
    <col min="12255" max="12255" width="10.85546875" style="105" bestFit="1" customWidth="1"/>
    <col min="12256" max="12256" width="11.7109375" style="105" bestFit="1" customWidth="1"/>
    <col min="12257" max="12257" width="10" style="105" bestFit="1" customWidth="1"/>
    <col min="12258" max="12501" width="9.140625" style="105"/>
    <col min="12502" max="12502" width="19.42578125" style="105" customWidth="1"/>
    <col min="12503" max="12503" width="5.5703125" style="105" bestFit="1" customWidth="1"/>
    <col min="12504" max="12504" width="39.140625" style="105" bestFit="1" customWidth="1"/>
    <col min="12505" max="12505" width="15.28515625" style="105" customWidth="1"/>
    <col min="12506" max="12506" width="13" style="105" customWidth="1"/>
    <col min="12507" max="12507" width="12.5703125" style="105" customWidth="1"/>
    <col min="12508" max="12508" width="11.28515625" style="105" bestFit="1" customWidth="1"/>
    <col min="12509" max="12509" width="10.42578125" style="105" customWidth="1"/>
    <col min="12510" max="12510" width="11.28515625" style="105" bestFit="1" customWidth="1"/>
    <col min="12511" max="12511" width="10.85546875" style="105" bestFit="1" customWidth="1"/>
    <col min="12512" max="12512" width="11.7109375" style="105" bestFit="1" customWidth="1"/>
    <col min="12513" max="12513" width="10" style="105" bestFit="1" customWidth="1"/>
    <col min="12514" max="12757" width="9.140625" style="105"/>
    <col min="12758" max="12758" width="19.42578125" style="105" customWidth="1"/>
    <col min="12759" max="12759" width="5.5703125" style="105" bestFit="1" customWidth="1"/>
    <col min="12760" max="12760" width="39.140625" style="105" bestFit="1" customWidth="1"/>
    <col min="12761" max="12761" width="15.28515625" style="105" customWidth="1"/>
    <col min="12762" max="12762" width="13" style="105" customWidth="1"/>
    <col min="12763" max="12763" width="12.5703125" style="105" customWidth="1"/>
    <col min="12764" max="12764" width="11.28515625" style="105" bestFit="1" customWidth="1"/>
    <col min="12765" max="12765" width="10.42578125" style="105" customWidth="1"/>
    <col min="12766" max="12766" width="11.28515625" style="105" bestFit="1" customWidth="1"/>
    <col min="12767" max="12767" width="10.85546875" style="105" bestFit="1" customWidth="1"/>
    <col min="12768" max="12768" width="11.7109375" style="105" bestFit="1" customWidth="1"/>
    <col min="12769" max="12769" width="10" style="105" bestFit="1" customWidth="1"/>
    <col min="12770" max="13013" width="9.140625" style="105"/>
    <col min="13014" max="13014" width="19.42578125" style="105" customWidth="1"/>
    <col min="13015" max="13015" width="5.5703125" style="105" bestFit="1" customWidth="1"/>
    <col min="13016" max="13016" width="39.140625" style="105" bestFit="1" customWidth="1"/>
    <col min="13017" max="13017" width="15.28515625" style="105" customWidth="1"/>
    <col min="13018" max="13018" width="13" style="105" customWidth="1"/>
    <col min="13019" max="13019" width="12.5703125" style="105" customWidth="1"/>
    <col min="13020" max="13020" width="11.28515625" style="105" bestFit="1" customWidth="1"/>
    <col min="13021" max="13021" width="10.42578125" style="105" customWidth="1"/>
    <col min="13022" max="13022" width="11.28515625" style="105" bestFit="1" customWidth="1"/>
    <col min="13023" max="13023" width="10.85546875" style="105" bestFit="1" customWidth="1"/>
    <col min="13024" max="13024" width="11.7109375" style="105" bestFit="1" customWidth="1"/>
    <col min="13025" max="13025" width="10" style="105" bestFit="1" customWidth="1"/>
    <col min="13026" max="13269" width="9.140625" style="105"/>
    <col min="13270" max="13270" width="19.42578125" style="105" customWidth="1"/>
    <col min="13271" max="13271" width="5.5703125" style="105" bestFit="1" customWidth="1"/>
    <col min="13272" max="13272" width="39.140625" style="105" bestFit="1" customWidth="1"/>
    <col min="13273" max="13273" width="15.28515625" style="105" customWidth="1"/>
    <col min="13274" max="13274" width="13" style="105" customWidth="1"/>
    <col min="13275" max="13275" width="12.5703125" style="105" customWidth="1"/>
    <col min="13276" max="13276" width="11.28515625" style="105" bestFit="1" customWidth="1"/>
    <col min="13277" max="13277" width="10.42578125" style="105" customWidth="1"/>
    <col min="13278" max="13278" width="11.28515625" style="105" bestFit="1" customWidth="1"/>
    <col min="13279" max="13279" width="10.85546875" style="105" bestFit="1" customWidth="1"/>
    <col min="13280" max="13280" width="11.7109375" style="105" bestFit="1" customWidth="1"/>
    <col min="13281" max="13281" width="10" style="105" bestFit="1" customWidth="1"/>
    <col min="13282" max="13525" width="9.140625" style="105"/>
    <col min="13526" max="13526" width="19.42578125" style="105" customWidth="1"/>
    <col min="13527" max="13527" width="5.5703125" style="105" bestFit="1" customWidth="1"/>
    <col min="13528" max="13528" width="39.140625" style="105" bestFit="1" customWidth="1"/>
    <col min="13529" max="13529" width="15.28515625" style="105" customWidth="1"/>
    <col min="13530" max="13530" width="13" style="105" customWidth="1"/>
    <col min="13531" max="13531" width="12.5703125" style="105" customWidth="1"/>
    <col min="13532" max="13532" width="11.28515625" style="105" bestFit="1" customWidth="1"/>
    <col min="13533" max="13533" width="10.42578125" style="105" customWidth="1"/>
    <col min="13534" max="13534" width="11.28515625" style="105" bestFit="1" customWidth="1"/>
    <col min="13535" max="13535" width="10.85546875" style="105" bestFit="1" customWidth="1"/>
    <col min="13536" max="13536" width="11.7109375" style="105" bestFit="1" customWidth="1"/>
    <col min="13537" max="13537" width="10" style="105" bestFit="1" customWidth="1"/>
    <col min="13538" max="13781" width="9.140625" style="105"/>
    <col min="13782" max="13782" width="19.42578125" style="105" customWidth="1"/>
    <col min="13783" max="13783" width="5.5703125" style="105" bestFit="1" customWidth="1"/>
    <col min="13784" max="13784" width="39.140625" style="105" bestFit="1" customWidth="1"/>
    <col min="13785" max="13785" width="15.28515625" style="105" customWidth="1"/>
    <col min="13786" max="13786" width="13" style="105" customWidth="1"/>
    <col min="13787" max="13787" width="12.5703125" style="105" customWidth="1"/>
    <col min="13788" max="13788" width="11.28515625" style="105" bestFit="1" customWidth="1"/>
    <col min="13789" max="13789" width="10.42578125" style="105" customWidth="1"/>
    <col min="13790" max="13790" width="11.28515625" style="105" bestFit="1" customWidth="1"/>
    <col min="13791" max="13791" width="10.85546875" style="105" bestFit="1" customWidth="1"/>
    <col min="13792" max="13792" width="11.7109375" style="105" bestFit="1" customWidth="1"/>
    <col min="13793" max="13793" width="10" style="105" bestFit="1" customWidth="1"/>
    <col min="13794" max="14037" width="9.140625" style="105"/>
    <col min="14038" max="14038" width="19.42578125" style="105" customWidth="1"/>
    <col min="14039" max="14039" width="5.5703125" style="105" bestFit="1" customWidth="1"/>
    <col min="14040" max="14040" width="39.140625" style="105" bestFit="1" customWidth="1"/>
    <col min="14041" max="14041" width="15.28515625" style="105" customWidth="1"/>
    <col min="14042" max="14042" width="13" style="105" customWidth="1"/>
    <col min="14043" max="14043" width="12.5703125" style="105" customWidth="1"/>
    <col min="14044" max="14044" width="11.28515625" style="105" bestFit="1" customWidth="1"/>
    <col min="14045" max="14045" width="10.42578125" style="105" customWidth="1"/>
    <col min="14046" max="14046" width="11.28515625" style="105" bestFit="1" customWidth="1"/>
    <col min="14047" max="14047" width="10.85546875" style="105" bestFit="1" customWidth="1"/>
    <col min="14048" max="14048" width="11.7109375" style="105" bestFit="1" customWidth="1"/>
    <col min="14049" max="14049" width="10" style="105" bestFit="1" customWidth="1"/>
    <col min="14050" max="14293" width="9.140625" style="105"/>
    <col min="14294" max="14294" width="19.42578125" style="105" customWidth="1"/>
    <col min="14295" max="14295" width="5.5703125" style="105" bestFit="1" customWidth="1"/>
    <col min="14296" max="14296" width="39.140625" style="105" bestFit="1" customWidth="1"/>
    <col min="14297" max="14297" width="15.28515625" style="105" customWidth="1"/>
    <col min="14298" max="14298" width="13" style="105" customWidth="1"/>
    <col min="14299" max="14299" width="12.5703125" style="105" customWidth="1"/>
    <col min="14300" max="14300" width="11.28515625" style="105" bestFit="1" customWidth="1"/>
    <col min="14301" max="14301" width="10.42578125" style="105" customWidth="1"/>
    <col min="14302" max="14302" width="11.28515625" style="105" bestFit="1" customWidth="1"/>
    <col min="14303" max="14303" width="10.85546875" style="105" bestFit="1" customWidth="1"/>
    <col min="14304" max="14304" width="11.7109375" style="105" bestFit="1" customWidth="1"/>
    <col min="14305" max="14305" width="10" style="105" bestFit="1" customWidth="1"/>
    <col min="14306" max="14549" width="9.140625" style="105"/>
    <col min="14550" max="14550" width="19.42578125" style="105" customWidth="1"/>
    <col min="14551" max="14551" width="5.5703125" style="105" bestFit="1" customWidth="1"/>
    <col min="14552" max="14552" width="39.140625" style="105" bestFit="1" customWidth="1"/>
    <col min="14553" max="14553" width="15.28515625" style="105" customWidth="1"/>
    <col min="14554" max="14554" width="13" style="105" customWidth="1"/>
    <col min="14555" max="14555" width="12.5703125" style="105" customWidth="1"/>
    <col min="14556" max="14556" width="11.28515625" style="105" bestFit="1" customWidth="1"/>
    <col min="14557" max="14557" width="10.42578125" style="105" customWidth="1"/>
    <col min="14558" max="14558" width="11.28515625" style="105" bestFit="1" customWidth="1"/>
    <col min="14559" max="14559" width="10.85546875" style="105" bestFit="1" customWidth="1"/>
    <col min="14560" max="14560" width="11.7109375" style="105" bestFit="1" customWidth="1"/>
    <col min="14561" max="14561" width="10" style="105" bestFit="1" customWidth="1"/>
    <col min="14562" max="14805" width="9.140625" style="105"/>
    <col min="14806" max="14806" width="19.42578125" style="105" customWidth="1"/>
    <col min="14807" max="14807" width="5.5703125" style="105" bestFit="1" customWidth="1"/>
    <col min="14808" max="14808" width="39.140625" style="105" bestFit="1" customWidth="1"/>
    <col min="14809" max="14809" width="15.28515625" style="105" customWidth="1"/>
    <col min="14810" max="14810" width="13" style="105" customWidth="1"/>
    <col min="14811" max="14811" width="12.5703125" style="105" customWidth="1"/>
    <col min="14812" max="14812" width="11.28515625" style="105" bestFit="1" customWidth="1"/>
    <col min="14813" max="14813" width="10.42578125" style="105" customWidth="1"/>
    <col min="14814" max="14814" width="11.28515625" style="105" bestFit="1" customWidth="1"/>
    <col min="14815" max="14815" width="10.85546875" style="105" bestFit="1" customWidth="1"/>
    <col min="14816" max="14816" width="11.7109375" style="105" bestFit="1" customWidth="1"/>
    <col min="14817" max="14817" width="10" style="105" bestFit="1" customWidth="1"/>
    <col min="14818" max="15061" width="9.140625" style="105"/>
    <col min="15062" max="15062" width="19.42578125" style="105" customWidth="1"/>
    <col min="15063" max="15063" width="5.5703125" style="105" bestFit="1" customWidth="1"/>
    <col min="15064" max="15064" width="39.140625" style="105" bestFit="1" customWidth="1"/>
    <col min="15065" max="15065" width="15.28515625" style="105" customWidth="1"/>
    <col min="15066" max="15066" width="13" style="105" customWidth="1"/>
    <col min="15067" max="15067" width="12.5703125" style="105" customWidth="1"/>
    <col min="15068" max="15068" width="11.28515625" style="105" bestFit="1" customWidth="1"/>
    <col min="15069" max="15069" width="10.42578125" style="105" customWidth="1"/>
    <col min="15070" max="15070" width="11.28515625" style="105" bestFit="1" customWidth="1"/>
    <col min="15071" max="15071" width="10.85546875" style="105" bestFit="1" customWidth="1"/>
    <col min="15072" max="15072" width="11.7109375" style="105" bestFit="1" customWidth="1"/>
    <col min="15073" max="15073" width="10" style="105" bestFit="1" customWidth="1"/>
    <col min="15074" max="15317" width="9.140625" style="105"/>
    <col min="15318" max="15318" width="19.42578125" style="105" customWidth="1"/>
    <col min="15319" max="15319" width="5.5703125" style="105" bestFit="1" customWidth="1"/>
    <col min="15320" max="15320" width="39.140625" style="105" bestFit="1" customWidth="1"/>
    <col min="15321" max="15321" width="15.28515625" style="105" customWidth="1"/>
    <col min="15322" max="15322" width="13" style="105" customWidth="1"/>
    <col min="15323" max="15323" width="12.5703125" style="105" customWidth="1"/>
    <col min="15324" max="15324" width="11.28515625" style="105" bestFit="1" customWidth="1"/>
    <col min="15325" max="15325" width="10.42578125" style="105" customWidth="1"/>
    <col min="15326" max="15326" width="11.28515625" style="105" bestFit="1" customWidth="1"/>
    <col min="15327" max="15327" width="10.85546875" style="105" bestFit="1" customWidth="1"/>
    <col min="15328" max="15328" width="11.7109375" style="105" bestFit="1" customWidth="1"/>
    <col min="15329" max="15329" width="10" style="105" bestFit="1" customWidth="1"/>
    <col min="15330" max="15573" width="9.140625" style="105"/>
    <col min="15574" max="15574" width="19.42578125" style="105" customWidth="1"/>
    <col min="15575" max="15575" width="5.5703125" style="105" bestFit="1" customWidth="1"/>
    <col min="15576" max="15576" width="39.140625" style="105" bestFit="1" customWidth="1"/>
    <col min="15577" max="15577" width="15.28515625" style="105" customWidth="1"/>
    <col min="15578" max="15578" width="13" style="105" customWidth="1"/>
    <col min="15579" max="15579" width="12.5703125" style="105" customWidth="1"/>
    <col min="15580" max="15580" width="11.28515625" style="105" bestFit="1" customWidth="1"/>
    <col min="15581" max="15581" width="10.42578125" style="105" customWidth="1"/>
    <col min="15582" max="15582" width="11.28515625" style="105" bestFit="1" customWidth="1"/>
    <col min="15583" max="15583" width="10.85546875" style="105" bestFit="1" customWidth="1"/>
    <col min="15584" max="15584" width="11.7109375" style="105" bestFit="1" customWidth="1"/>
    <col min="15585" max="15585" width="10" style="105" bestFit="1" customWidth="1"/>
    <col min="15586" max="15829" width="9.140625" style="105"/>
    <col min="15830" max="15830" width="19.42578125" style="105" customWidth="1"/>
    <col min="15831" max="15831" width="5.5703125" style="105" bestFit="1" customWidth="1"/>
    <col min="15832" max="15832" width="39.140625" style="105" bestFit="1" customWidth="1"/>
    <col min="15833" max="15833" width="15.28515625" style="105" customWidth="1"/>
    <col min="15834" max="15834" width="13" style="105" customWidth="1"/>
    <col min="15835" max="15835" width="12.5703125" style="105" customWidth="1"/>
    <col min="15836" max="15836" width="11.28515625" style="105" bestFit="1" customWidth="1"/>
    <col min="15837" max="15837" width="10.42578125" style="105" customWidth="1"/>
    <col min="15838" max="15838" width="11.28515625" style="105" bestFit="1" customWidth="1"/>
    <col min="15839" max="15839" width="10.85546875" style="105" bestFit="1" customWidth="1"/>
    <col min="15840" max="15840" width="11.7109375" style="105" bestFit="1" customWidth="1"/>
    <col min="15841" max="15841" width="10" style="105" bestFit="1" customWidth="1"/>
    <col min="15842" max="16085" width="9.140625" style="105"/>
    <col min="16086" max="16086" width="19.42578125" style="105" customWidth="1"/>
    <col min="16087" max="16087" width="5.5703125" style="105" bestFit="1" customWidth="1"/>
    <col min="16088" max="16088" width="39.140625" style="105" bestFit="1" customWidth="1"/>
    <col min="16089" max="16089" width="15.28515625" style="105" customWidth="1"/>
    <col min="16090" max="16090" width="13" style="105" customWidth="1"/>
    <col min="16091" max="16091" width="12.5703125" style="105" customWidth="1"/>
    <col min="16092" max="16092" width="11.28515625" style="105" bestFit="1" customWidth="1"/>
    <col min="16093" max="16093" width="10.42578125" style="105" customWidth="1"/>
    <col min="16094" max="16094" width="11.28515625" style="105" bestFit="1" customWidth="1"/>
    <col min="16095" max="16095" width="10.85546875" style="105" bestFit="1" customWidth="1"/>
    <col min="16096" max="16096" width="11.7109375" style="105" bestFit="1" customWidth="1"/>
    <col min="16097" max="16097" width="10" style="105" bestFit="1" customWidth="1"/>
    <col min="16098" max="16384" width="9.140625" style="105"/>
  </cols>
  <sheetData>
    <row r="1" spans="1:84"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</row>
    <row r="2" spans="1:84" ht="15">
      <c r="A2" s="195"/>
      <c r="B2" s="393" t="s">
        <v>120</v>
      </c>
      <c r="C2" s="393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</row>
    <row r="3" spans="1:84" s="137" customFormat="1" ht="15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  <c r="AO3" s="191"/>
      <c r="AP3" s="191"/>
      <c r="AQ3" s="191"/>
      <c r="AR3" s="191"/>
      <c r="AS3" s="191"/>
      <c r="AT3" s="191"/>
      <c r="AU3" s="191"/>
      <c r="AV3" s="191"/>
      <c r="AW3" s="191"/>
      <c r="AX3" s="191"/>
      <c r="AY3" s="191"/>
      <c r="AZ3" s="191"/>
      <c r="BA3" s="191"/>
      <c r="BB3" s="191"/>
      <c r="BC3" s="191"/>
      <c r="BD3" s="191"/>
      <c r="BE3" s="191"/>
      <c r="BF3" s="191"/>
      <c r="BG3" s="191"/>
      <c r="BH3" s="191"/>
      <c r="BI3" s="191"/>
      <c r="BJ3" s="191"/>
      <c r="BK3" s="191"/>
      <c r="BL3" s="191"/>
      <c r="BM3" s="191"/>
      <c r="BN3" s="191"/>
      <c r="BO3" s="191"/>
      <c r="BP3" s="191"/>
      <c r="BQ3" s="191"/>
      <c r="BR3" s="191"/>
      <c r="BS3" s="191"/>
      <c r="BT3" s="191"/>
      <c r="BU3" s="191"/>
      <c r="BV3" s="191"/>
      <c r="BW3" s="191"/>
      <c r="BX3" s="191"/>
      <c r="BY3" s="191"/>
      <c r="BZ3" s="191"/>
      <c r="CA3" s="191"/>
      <c r="CB3" s="191"/>
      <c r="CC3" s="191"/>
      <c r="CD3" s="191"/>
      <c r="CE3" s="191"/>
    </row>
    <row r="4" spans="1:84" s="137" customFormat="1" ht="15">
      <c r="A4" s="191"/>
      <c r="B4" s="192" t="s">
        <v>121</v>
      </c>
      <c r="C4" s="192" t="s">
        <v>122</v>
      </c>
      <c r="D4" s="193" t="s">
        <v>123</v>
      </c>
      <c r="E4" s="193" t="s">
        <v>124</v>
      </c>
      <c r="F4" s="157" t="s">
        <v>125</v>
      </c>
      <c r="G4" s="205">
        <v>42005</v>
      </c>
      <c r="H4" s="205">
        <v>42036</v>
      </c>
      <c r="I4" s="205">
        <v>42064</v>
      </c>
      <c r="J4" s="205">
        <v>42095</v>
      </c>
      <c r="K4" s="205">
        <v>42125</v>
      </c>
      <c r="L4" s="205">
        <v>42156</v>
      </c>
      <c r="M4" s="205">
        <v>42186</v>
      </c>
      <c r="N4" s="205">
        <v>42217</v>
      </c>
      <c r="O4" s="205">
        <v>42248</v>
      </c>
      <c r="P4" s="205">
        <v>42278</v>
      </c>
      <c r="Q4" s="205">
        <v>42309</v>
      </c>
      <c r="R4" s="205">
        <v>42339</v>
      </c>
      <c r="S4" s="205" t="s">
        <v>9</v>
      </c>
      <c r="T4" s="205">
        <v>42385</v>
      </c>
      <c r="U4" s="205">
        <v>42416</v>
      </c>
      <c r="V4" s="205">
        <v>42445</v>
      </c>
      <c r="W4" s="205">
        <v>42476</v>
      </c>
      <c r="X4" s="205">
        <v>42506</v>
      </c>
      <c r="Y4" s="205">
        <v>42537</v>
      </c>
      <c r="Z4" s="205">
        <v>42567</v>
      </c>
      <c r="AA4" s="205">
        <v>42598</v>
      </c>
      <c r="AB4" s="205">
        <v>42629</v>
      </c>
      <c r="AC4" s="205">
        <v>42659</v>
      </c>
      <c r="AD4" s="205">
        <v>42690</v>
      </c>
      <c r="AE4" s="205">
        <v>42720</v>
      </c>
      <c r="AF4" s="205">
        <v>42751</v>
      </c>
      <c r="AG4" s="205">
        <v>42782</v>
      </c>
      <c r="AH4" s="205">
        <v>42810</v>
      </c>
      <c r="AI4" s="205">
        <v>42841</v>
      </c>
      <c r="AJ4" s="205">
        <v>42871</v>
      </c>
      <c r="AK4" s="205">
        <v>42902</v>
      </c>
      <c r="AL4" s="205">
        <v>42932</v>
      </c>
      <c r="AM4" s="205">
        <v>42963</v>
      </c>
      <c r="AN4" s="205">
        <v>42994</v>
      </c>
      <c r="AO4" s="205">
        <v>43024</v>
      </c>
      <c r="AP4" s="205">
        <v>43055</v>
      </c>
      <c r="AQ4" s="157" t="s">
        <v>10</v>
      </c>
      <c r="AR4" s="157" t="s">
        <v>10</v>
      </c>
      <c r="AS4" s="157">
        <v>43101</v>
      </c>
      <c r="AT4" s="157">
        <v>43132</v>
      </c>
      <c r="AU4" s="157">
        <v>43160</v>
      </c>
      <c r="AV4" s="157">
        <v>43191</v>
      </c>
      <c r="AW4" s="157">
        <v>43221</v>
      </c>
      <c r="AX4" s="157">
        <v>43252</v>
      </c>
      <c r="AY4" s="157">
        <v>43282</v>
      </c>
      <c r="AZ4" s="157">
        <v>43313</v>
      </c>
      <c r="BA4" s="157">
        <v>43344</v>
      </c>
      <c r="BB4" s="157">
        <v>43374</v>
      </c>
      <c r="BC4" s="157">
        <v>43405</v>
      </c>
      <c r="BD4" s="157">
        <v>43435</v>
      </c>
      <c r="BE4" s="159" t="s">
        <v>11</v>
      </c>
      <c r="BF4" s="206">
        <v>43466</v>
      </c>
      <c r="BG4" s="206">
        <v>43497</v>
      </c>
      <c r="BH4" s="206">
        <v>43525</v>
      </c>
      <c r="BI4" s="206">
        <v>43556</v>
      </c>
      <c r="BJ4" s="206">
        <v>43586</v>
      </c>
      <c r="BK4" s="206">
        <v>43617</v>
      </c>
      <c r="BL4" s="206">
        <v>43647</v>
      </c>
      <c r="BM4" s="206">
        <v>43678</v>
      </c>
      <c r="BN4" s="206">
        <v>43709</v>
      </c>
      <c r="BO4" s="206">
        <v>43739</v>
      </c>
      <c r="BP4" s="206">
        <v>43770</v>
      </c>
      <c r="BQ4" s="206">
        <v>43800</v>
      </c>
      <c r="BR4" s="206" t="s">
        <v>12</v>
      </c>
      <c r="BS4" s="206">
        <v>43831</v>
      </c>
      <c r="BT4" s="206">
        <v>43862</v>
      </c>
      <c r="BU4" s="206">
        <v>43891</v>
      </c>
      <c r="BV4" s="206">
        <v>43922</v>
      </c>
      <c r="BW4" s="206">
        <v>43952</v>
      </c>
      <c r="BX4" s="206">
        <v>43983</v>
      </c>
      <c r="BY4" s="206">
        <v>44013</v>
      </c>
      <c r="BZ4" s="206">
        <v>44044</v>
      </c>
      <c r="CA4" s="206">
        <v>44075</v>
      </c>
      <c r="CB4" s="206">
        <v>44105</v>
      </c>
      <c r="CC4" s="206">
        <v>44136</v>
      </c>
      <c r="CD4" s="206">
        <v>44166</v>
      </c>
      <c r="CE4" s="159" t="s">
        <v>126</v>
      </c>
      <c r="CF4" s="151"/>
    </row>
    <row r="5" spans="1:84" s="137" customFormat="1" ht="15">
      <c r="A5" s="194">
        <v>1</v>
      </c>
      <c r="B5" s="191" t="s">
        <v>127</v>
      </c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91"/>
      <c r="BN5" s="191"/>
      <c r="BO5" s="191"/>
      <c r="BP5" s="191"/>
      <c r="BQ5" s="191"/>
      <c r="BR5" s="191"/>
      <c r="BS5" s="191"/>
      <c r="BT5" s="191"/>
      <c r="BU5" s="191"/>
      <c r="BV5" s="191"/>
      <c r="BW5" s="191"/>
      <c r="BX5" s="191"/>
      <c r="BY5" s="191"/>
      <c r="BZ5" s="191"/>
      <c r="CA5" s="191"/>
      <c r="CB5" s="191"/>
      <c r="CC5" s="191"/>
      <c r="CD5" s="191"/>
      <c r="CE5" s="191"/>
    </row>
    <row r="6" spans="1:84" s="137" customFormat="1" ht="15">
      <c r="A6" s="195">
        <v>1.1000000000000001</v>
      </c>
      <c r="B6" s="195" t="s">
        <v>128</v>
      </c>
      <c r="C6" s="196" t="s">
        <v>129</v>
      </c>
      <c r="D6" s="197">
        <f>FINANCIALS!D12/1000000</f>
        <v>-17.916464340000001</v>
      </c>
      <c r="E6" s="197">
        <f>FINANCIALS!E12/1000000</f>
        <v>37.703005009999998</v>
      </c>
      <c r="F6" s="197">
        <f>FINANCIALS!F12/1000000</f>
        <v>84.979038000000003</v>
      </c>
      <c r="G6" s="197">
        <f>FINANCIALS!G12/1000000</f>
        <v>55.863956979999998</v>
      </c>
      <c r="H6" s="197">
        <f>FINANCIALS!H12/1000000</f>
        <v>55.715309249999997</v>
      </c>
      <c r="I6" s="197">
        <f>FINANCIALS!I12/1000000</f>
        <v>55.361663339999993</v>
      </c>
      <c r="J6" s="197">
        <f>FINANCIALS!J12/1000000</f>
        <v>82.339787860000001</v>
      </c>
      <c r="K6" s="197">
        <f>FINANCIALS!K12/1000000</f>
        <v>59.666643260000001</v>
      </c>
      <c r="L6" s="197">
        <f>FINANCIALS!L12/1000000</f>
        <v>93.880087000000003</v>
      </c>
      <c r="M6" s="197">
        <f>FINANCIALS!M12/1000000</f>
        <v>94.999140249999996</v>
      </c>
      <c r="N6" s="197">
        <f>FINANCIALS!N12/1000000</f>
        <v>95.201103500000002</v>
      </c>
      <c r="O6" s="197">
        <f>FINANCIALS!O12/1000000</f>
        <v>100.66020641</v>
      </c>
      <c r="P6" s="197">
        <f>FINANCIALS!P12/1000000</f>
        <v>100.35076867000001</v>
      </c>
      <c r="Q6" s="197">
        <f>FINANCIALS!Q12/1000000</f>
        <v>104.95973941</v>
      </c>
      <c r="R6" s="197">
        <f>FINANCIALS!R12/1000000</f>
        <v>105.25203870999999</v>
      </c>
      <c r="S6" s="197">
        <f>FINANCIALS!S12/1000000</f>
        <v>93.415740574806861</v>
      </c>
      <c r="T6" s="197">
        <f>FINANCIALS!T12/1000000</f>
        <v>100.05325646999999</v>
      </c>
      <c r="U6" s="197">
        <f>FINANCIALS!U12/1000000</f>
        <v>112.27984211</v>
      </c>
      <c r="V6" s="197">
        <f>FINANCIALS!V12/1000000</f>
        <v>112.58463981</v>
      </c>
      <c r="W6" s="197">
        <f>FINANCIALS!W12/1000000</f>
        <v>104.97445121000001</v>
      </c>
      <c r="X6" s="197">
        <f>FINANCIALS!X12/1000000</f>
        <v>161.73033462000001</v>
      </c>
      <c r="Y6" s="197">
        <f>FINANCIALS!Y12/1000000</f>
        <v>159.21383502</v>
      </c>
      <c r="Z6" s="197">
        <f>FINANCIALS!Z12/1000000</f>
        <v>163.30017102000002</v>
      </c>
      <c r="AA6" s="197">
        <f>FINANCIALS!AA12/1000000</f>
        <v>167.81478332</v>
      </c>
      <c r="AB6" s="197">
        <f>FINANCIALS!AB12/1000000</f>
        <v>170.81254672</v>
      </c>
      <c r="AC6" s="197">
        <f>FINANCIALS!AC12/1000000</f>
        <v>168.96162502000001</v>
      </c>
      <c r="AD6" s="197">
        <f>FINANCIALS!AD12/1000000</f>
        <v>167.75761098000001</v>
      </c>
      <c r="AE6" s="197">
        <f>FINANCIALS!AE12/1000000</f>
        <v>166.97153821999999</v>
      </c>
      <c r="AF6" s="197">
        <f>FINANCIALS!AF12/1000000</f>
        <v>165.00048172000001</v>
      </c>
      <c r="AG6" s="197">
        <f>FINANCIALS!AG12/1000000</f>
        <v>166.77722552</v>
      </c>
      <c r="AH6" s="197">
        <f>FINANCIALS!AH12/1000000</f>
        <v>167.48453921999999</v>
      </c>
      <c r="AI6" s="197">
        <f>FINANCIALS!AI12/1000000</f>
        <v>163.74371463999998</v>
      </c>
      <c r="AJ6" s="197">
        <f>FINANCIALS!AJ12/1000000</f>
        <v>164.61269254000001</v>
      </c>
      <c r="AK6" s="197">
        <f>FINANCIALS!AK12/1000000</f>
        <v>167.23956434000002</v>
      </c>
      <c r="AL6" s="197">
        <f>FINANCIALS!AL12/1000000</f>
        <v>166.18740451000002</v>
      </c>
      <c r="AM6" s="197">
        <f>FINANCIALS!AM12/1000000</f>
        <v>168.43106681</v>
      </c>
      <c r="AN6" s="197">
        <f>FINANCIALS!AN12/1000000</f>
        <v>168.44961981</v>
      </c>
      <c r="AO6" s="197">
        <f>FINANCIALS!AO12/1000000</f>
        <v>171.70421590999999</v>
      </c>
      <c r="AP6" s="197">
        <f>FINANCIALS!AP12/1000000</f>
        <v>149.69001661999999</v>
      </c>
      <c r="AQ6" s="197">
        <f>FINANCIALS!AQ12/1000000</f>
        <v>154.94480111999999</v>
      </c>
      <c r="AR6" s="197">
        <f>FINANCIALS!AR12/1000000</f>
        <v>130.860941</v>
      </c>
      <c r="AS6" s="197">
        <f>FINANCIALS!AS12/1000000</f>
        <v>152.44870871999998</v>
      </c>
      <c r="AT6" s="197">
        <f>FINANCIALS!AT12/1000000</f>
        <v>151.89329362000001</v>
      </c>
      <c r="AU6" s="197">
        <f>FINANCIALS!AU12/1000000</f>
        <v>156.35012962000002</v>
      </c>
      <c r="AV6" s="197">
        <f>FINANCIALS!AV12/1000000</f>
        <v>160.25712562000001</v>
      </c>
      <c r="AW6" s="197">
        <f>FINANCIALS!AW12/1000000</f>
        <v>166.75747791000003</v>
      </c>
      <c r="AX6" s="197">
        <f>FINANCIALS!AX12/1000000</f>
        <v>156.99705206000002</v>
      </c>
      <c r="AY6" s="197">
        <f>FINANCIALS!AY12/1000000</f>
        <v>160.47967516</v>
      </c>
      <c r="AZ6" s="197">
        <f>FINANCIALS!AZ12/1000000</f>
        <v>160.08113246000002</v>
      </c>
      <c r="BA6" s="197">
        <f>FINANCIALS!BA12/1000000</f>
        <v>168.42087025999999</v>
      </c>
      <c r="BB6" s="197">
        <f>FINANCIALS!BB12/1000000</f>
        <v>168.42087025999999</v>
      </c>
      <c r="BC6" s="197">
        <f>FINANCIALS!BC12/1000000</f>
        <v>175.44951104999998</v>
      </c>
      <c r="BD6" s="197">
        <f>FINANCIALS!BD12/1000000</f>
        <v>169.06405796000001</v>
      </c>
      <c r="BE6" s="197">
        <f>FINANCIALS!BE12/1000000</f>
        <v>162.2225593</v>
      </c>
      <c r="BF6" s="197">
        <f>FINANCIALS!BF12/1000000</f>
        <v>175.81163555000001</v>
      </c>
      <c r="BG6" s="197">
        <f>FINANCIALS!BG12/1000000</f>
        <v>190.85399905</v>
      </c>
      <c r="BH6" s="197">
        <f>FINANCIALS!BH12/1000000</f>
        <v>178.56487625000003</v>
      </c>
      <c r="BI6" s="197">
        <f>FINANCIALS!BI12/1000000</f>
        <v>177.35840225000004</v>
      </c>
      <c r="BJ6" s="197">
        <f>FINANCIALS!BJ12/1000000</f>
        <v>178.15705803</v>
      </c>
      <c r="BK6" s="197">
        <f>FINANCIALS!BK12/1000000</f>
        <v>179.07056641999998</v>
      </c>
      <c r="BL6" s="197">
        <f>FINANCIALS!BL12/1000000</f>
        <v>175.95493661</v>
      </c>
      <c r="BM6" s="197">
        <f>FINANCIALS!BM12/1000000</f>
        <v>179.61227251000003</v>
      </c>
      <c r="BN6" s="197">
        <f>FINANCIALS!BN12/1000000</f>
        <v>190.22433321</v>
      </c>
      <c r="BO6" s="197">
        <f>FINANCIALS!BO12/1000000</f>
        <v>187.71747260999999</v>
      </c>
      <c r="BP6" s="197">
        <f>FINANCIALS!BP12/1000000</f>
        <v>189.41237896000001</v>
      </c>
      <c r="BQ6" s="197">
        <f>FINANCIALS!BQ12/1000000</f>
        <v>189.14538411000001</v>
      </c>
      <c r="BR6" s="197">
        <f>FINANCIALS!BR12/1000000</f>
        <v>168.52409904999999</v>
      </c>
      <c r="BS6" s="197">
        <f>FINANCIALS!BS12/1000000</f>
        <v>185.31482500000001</v>
      </c>
      <c r="BT6" s="197">
        <f>FINANCIALS!BT12/1000000</f>
        <v>190.82431170999999</v>
      </c>
      <c r="BU6" s="197">
        <f>FINANCIALS!BU12/1000000</f>
        <v>195.52106080999997</v>
      </c>
      <c r="BV6" s="197">
        <f>FINANCIALS!BV12/1000000</f>
        <v>190.71310935999998</v>
      </c>
      <c r="BW6" s="197">
        <f>FINANCIALS!BW12/1000000</f>
        <v>191.92022519999998</v>
      </c>
      <c r="BX6" s="197">
        <f>FINANCIALS!BX12/1000000</f>
        <v>187.75129045</v>
      </c>
      <c r="BY6" s="197">
        <f>FINANCIALS!BY12/1000000</f>
        <v>5.6421496500000003</v>
      </c>
      <c r="BZ6" s="197">
        <f>FINANCIALS!BZ12/1000000</f>
        <v>203.59249556999998</v>
      </c>
      <c r="CA6" s="197">
        <f>FINANCIALS!CA12/1000000</f>
        <v>204.18343845999999</v>
      </c>
      <c r="CB6" s="197">
        <f>FINANCIALS!CB12/1000000</f>
        <v>209.27166865999999</v>
      </c>
      <c r="CC6" s="197">
        <f>FINANCIALS!CC12/1000000</f>
        <v>214.56411597999997</v>
      </c>
      <c r="CD6" s="197">
        <f>FINANCIALS!CC12/1000000</f>
        <v>214.56411597999997</v>
      </c>
      <c r="CE6" s="197">
        <f>FINANCIALS!CD12/1000000</f>
        <v>196.33966984</v>
      </c>
    </row>
    <row r="7" spans="1:84" s="137" customFormat="1" ht="15">
      <c r="A7" s="195">
        <v>1.2</v>
      </c>
      <c r="B7" s="195" t="s">
        <v>130</v>
      </c>
      <c r="C7" s="196" t="s">
        <v>131</v>
      </c>
      <c r="D7" s="198">
        <f>FINANCIALS!D12/FINANCIALS!D4</f>
        <v>-3.7688463279589017E-2</v>
      </c>
      <c r="E7" s="198">
        <f>FINANCIALS!E12/FINANCIALS!E4</f>
        <v>7.42654406838818E-2</v>
      </c>
      <c r="F7" s="198">
        <f>FINANCIALS!F12/FINANCIALS!F4</f>
        <v>0.14133744894193384</v>
      </c>
      <c r="G7" s="198">
        <f>FINANCIALS!G12/FINANCIALS!G4</f>
        <v>0.12036104565026484</v>
      </c>
      <c r="H7" s="198">
        <f>FINANCIALS!H12/FINANCIALS!H4</f>
        <v>0.10357065312835986</v>
      </c>
      <c r="I7" s="198">
        <f>FINANCIALS!I12/FINANCIALS!I4</f>
        <v>0.10226083879544687</v>
      </c>
      <c r="J7" s="198">
        <f>FINANCIALS!J12/FINANCIALS!J4</f>
        <v>0.14218078877978171</v>
      </c>
      <c r="K7" s="198">
        <f>FINANCIALS!K12/FINANCIALS!K4</f>
        <v>0.18543464998473475</v>
      </c>
      <c r="L7" s="198">
        <f>FINANCIALS!L12/FINANCIALS!L4</f>
        <v>0.15795161371926894</v>
      </c>
      <c r="M7" s="198">
        <f>FINANCIALS!M12/FINANCIALS!M4</f>
        <v>0.15801210470849611</v>
      </c>
      <c r="N7" s="198">
        <f>FINANCIALS!N12/FINANCIALS!N4</f>
        <v>0.15818512849749797</v>
      </c>
      <c r="O7" s="198">
        <f>FINANCIALS!O12/FINANCIALS!O4</f>
        <v>0.24578042491185645</v>
      </c>
      <c r="P7" s="198">
        <f>FINANCIALS!P12/FINANCIALS!P4</f>
        <v>0.14213774318339029</v>
      </c>
      <c r="Q7" s="198">
        <f>FINANCIALS!Q12/FINANCIALS!Q4</f>
        <v>0.148314555186838</v>
      </c>
      <c r="R7" s="198">
        <f>FINANCIALS!R12/FINANCIALS!R4</f>
        <v>0.14755269927124631</v>
      </c>
      <c r="S7" s="198">
        <f>FINANCIALS!S12/FINANCIALS!S4</f>
        <v>0.12707636369446282</v>
      </c>
      <c r="T7" s="198">
        <f>FINANCIALS!T12/FINANCIALS!T4</f>
        <v>0.14187551118873734</v>
      </c>
      <c r="U7" s="198">
        <f>FINANCIALS!U12/FINANCIALS!U4</f>
        <v>0.15635013520230273</v>
      </c>
      <c r="V7" s="198">
        <f>FINANCIALS!V12/FINANCIALS!V4</f>
        <v>0.15690222626180667</v>
      </c>
      <c r="W7" s="198">
        <f>FINANCIALS!W12/FINANCIALS!W4</f>
        <v>0.14474460255129101</v>
      </c>
      <c r="X7" s="198">
        <f>FINANCIALS!X12/FINANCIALS!X4</f>
        <v>0.19526414338746867</v>
      </c>
      <c r="Y7" s="198">
        <f>FINANCIALS!Y12/FINANCIALS!Y4</f>
        <v>0.19787058059755891</v>
      </c>
      <c r="Z7" s="198">
        <f>FINANCIALS!Z12/FINANCIALS!Z4</f>
        <v>0.20309716396097688</v>
      </c>
      <c r="AA7" s="198">
        <f>FINANCIALS!AA12/FINANCIALS!AA4</f>
        <v>0.20883246380004702</v>
      </c>
      <c r="AB7" s="198">
        <f>FINANCIALS!AB12/FINANCIALS!AB4</f>
        <v>0.21343592424666569</v>
      </c>
      <c r="AC7" s="198">
        <f>FINANCIALS!AC12/FINANCIALS!AC4</f>
        <v>0.21125099629050428</v>
      </c>
      <c r="AD7" s="198">
        <f>FINANCIALS!AD12/FINANCIALS!AD4</f>
        <v>0.21094104817022219</v>
      </c>
      <c r="AE7" s="198">
        <f>FINANCIALS!AE12/FINANCIALS!AE4</f>
        <v>0.20688098182474635</v>
      </c>
      <c r="AF7" s="198">
        <f>FINANCIALS!AF12/FINANCIALS!AF4</f>
        <v>0.20904347310014715</v>
      </c>
      <c r="AG7" s="198">
        <f>FINANCIALS!AG12/FINANCIALS!AG4</f>
        <v>0.20618955051656751</v>
      </c>
      <c r="AH7" s="198">
        <f>FINANCIALS!AH12/FINANCIALS!AH4</f>
        <v>0.20608136895041196</v>
      </c>
      <c r="AI7" s="198">
        <f>FINANCIALS!AI12/FINANCIALS!AI4</f>
        <v>0.20309516038983072</v>
      </c>
      <c r="AJ7" s="198">
        <f>FINANCIALS!AJ12/FINANCIALS!AJ4</f>
        <v>0.19428591431618614</v>
      </c>
      <c r="AK7" s="198">
        <f>FINANCIALS!AK12/FINANCIALS!AK4</f>
        <v>0.19600856756848026</v>
      </c>
      <c r="AL7" s="198">
        <f>FINANCIALS!AL12/FINANCIALS!AL4</f>
        <v>0.19591514494534185</v>
      </c>
      <c r="AM7" s="198">
        <f>FINANCIALS!AM12/FINANCIALS!AM4</f>
        <v>0.19780849745754414</v>
      </c>
      <c r="AN7" s="198">
        <f>FINANCIALS!AN12/FINANCIALS!AN4</f>
        <v>0.19945220152199833</v>
      </c>
      <c r="AO7" s="198">
        <f>FINANCIALS!AO12/FINANCIALS!AO4</f>
        <v>0.19907576197106161</v>
      </c>
      <c r="AP7" s="198">
        <f>FINANCIALS!AP12/FINANCIALS!AP4</f>
        <v>0.17531818558883946</v>
      </c>
      <c r="AQ7" s="198">
        <f>FINANCIALS!AQ12/FINANCIALS!AQ4</f>
        <v>0.17695654169779287</v>
      </c>
      <c r="AR7" s="198">
        <f>FINANCIALS!AR12/FINANCIALS!AR4</f>
        <v>0.14431032980359157</v>
      </c>
      <c r="AS7" s="198">
        <f>FINANCIALS!AS12/FINANCIALS!AS4</f>
        <v>0.17580300325637796</v>
      </c>
      <c r="AT7" s="198">
        <f>FINANCIALS!AT12/FINANCIALS!AT4</f>
        <v>0.17438888934180913</v>
      </c>
      <c r="AU7" s="198">
        <f>FINANCIALS!AU12/FINANCIALS!AU4</f>
        <v>0.17810694500314189</v>
      </c>
      <c r="AV7" s="198">
        <f>FINANCIALS!AV12/FINANCIALS!AV4</f>
        <v>0.18144511099141308</v>
      </c>
      <c r="AW7" s="198">
        <f>FINANCIALS!AW12/FINANCIALS!AW4</f>
        <v>0.18645726042332306</v>
      </c>
      <c r="AX7" s="198">
        <f>FINANCIALS!AX12/FINANCIALS!AX4</f>
        <v>0.24916298037955578</v>
      </c>
      <c r="AY7" s="198">
        <f>FINANCIALS!AY12/FINANCIALS!AY4</f>
        <v>0.17397025404467914</v>
      </c>
      <c r="AZ7" s="198">
        <f>FINANCIALS!AZ12/FINANCIALS!AZ4</f>
        <v>0.17438335768498667</v>
      </c>
      <c r="BA7" s="198">
        <f>FINANCIALS!BA12/FINANCIALS!BA4</f>
        <v>0.18449105717137104</v>
      </c>
      <c r="BB7" s="198">
        <f>FINANCIALS!BB12/FINANCIALS!BB4</f>
        <v>0.18449105717096684</v>
      </c>
      <c r="BC7" s="198">
        <f>FINANCIALS!BC12/FINANCIALS!BC4</f>
        <v>0.19011384188457031</v>
      </c>
      <c r="BD7" s="198">
        <f>FINANCIALS!BD12/FINANCIALS!BD4</f>
        <v>0.16935924370044783</v>
      </c>
      <c r="BE7" s="198">
        <f>FINANCIALS!BE12/FINANCIALS!BE4</f>
        <v>0.1583716785312399</v>
      </c>
      <c r="BF7" s="198">
        <f>FINANCIALS!BF12/FINANCIALS!BF4</f>
        <v>0.17855974125793636</v>
      </c>
      <c r="BG7" s="198">
        <f>FINANCIALS!BG12/FINANCIALS!BG4</f>
        <v>0.19276132196228338</v>
      </c>
      <c r="BH7" s="198">
        <f>FINANCIALS!BH12/FINANCIALS!BH4</f>
        <v>0.183755252130995</v>
      </c>
      <c r="BI7" s="198">
        <f>FINANCIALS!BI12/FINANCIALS!BI4</f>
        <v>0.1834178427168946</v>
      </c>
      <c r="BJ7" s="198">
        <f>FINANCIALS!BJ12/FINANCIALS!BJ4</f>
        <v>0.18193783887772313</v>
      </c>
      <c r="BK7" s="198">
        <f>FINANCIALS!BK12/FINANCIALS!BK4</f>
        <v>0.18186105356858306</v>
      </c>
      <c r="BL7" s="198">
        <f>FINANCIALS!BL12/FINANCIALS!BL4</f>
        <v>0.1790484041382607</v>
      </c>
      <c r="BM7" s="198">
        <f>FINANCIALS!BM12/FINANCIALS!BM4</f>
        <v>0.18190722578533311</v>
      </c>
      <c r="BN7" s="198">
        <f>FINANCIALS!BN12/FINANCIALS!BN4</f>
        <v>0.18931655570418132</v>
      </c>
      <c r="BO7" s="198">
        <f>FINANCIALS!BO12/FINANCIALS!BO4</f>
        <v>0.18610410613994546</v>
      </c>
      <c r="BP7" s="198">
        <f>FINANCIALS!BP12/FINANCIALS!BP4</f>
        <v>0.1873616899671017</v>
      </c>
      <c r="BQ7" s="198">
        <f>FINANCIALS!BQ12/FINANCIALS!BQ4</f>
        <v>0.17411515224887988</v>
      </c>
      <c r="BR7" s="198">
        <f>FINANCIALS!BR12/FINANCIALS!BR4</f>
        <v>0.15534322463752462</v>
      </c>
      <c r="BS7" s="198">
        <f>FINANCIALS!BS12/FINANCIALS!BS4</f>
        <v>0.17699832442365274</v>
      </c>
      <c r="BT7" s="198">
        <f>FINANCIALS!BT12/FINANCIALS!BT4</f>
        <v>0.18066310809634795</v>
      </c>
      <c r="BU7" s="198">
        <f>FINANCIALS!BU12/FINANCIALS!BU4</f>
        <v>0.18611762198104573</v>
      </c>
      <c r="BV7" s="198">
        <f>FINANCIALS!BV12/FINANCIALS!BV4</f>
        <v>0.1778546976869973</v>
      </c>
      <c r="BW7" s="198">
        <f>FINANCIALS!BW12/FINANCIALS!BW4</f>
        <v>0.17190160442243108</v>
      </c>
      <c r="BX7" s="198">
        <f>FINANCIALS!BX12/FINANCIALS!BX4</f>
        <v>0.16836344856937327</v>
      </c>
      <c r="BY7" s="198" t="e">
        <f>FINANCIALS!BY12/FINANCIALS!BY4</f>
        <v>#DIV/0!</v>
      </c>
      <c r="BZ7" s="198">
        <f>FINANCIALS!BZ12/FINANCIALS!BZ4</f>
        <v>0.18019115570776631</v>
      </c>
      <c r="CA7" s="198">
        <f>FINANCIALS!CA12/FINANCIALS!CA4</f>
        <v>0.178874632037128</v>
      </c>
      <c r="CB7" s="198">
        <f>FINANCIALS!CB12/FINANCIALS!CB4</f>
        <v>0.1834278767692944</v>
      </c>
      <c r="CC7" s="198">
        <f>FINANCIALS!CB12/FINANCIALS!CB4</f>
        <v>0.1834278767692944</v>
      </c>
      <c r="CD7" s="198">
        <f>FINANCIALS!CC12/FINANCIALS!CC4</f>
        <v>0.19067336196000048</v>
      </c>
      <c r="CE7" s="198">
        <f>FINANCIALS!CD12/FINANCIALS!CD4</f>
        <v>0.1728932508804954</v>
      </c>
    </row>
    <row r="8" spans="1:84" s="137" customFormat="1" ht="15">
      <c r="A8" s="195">
        <v>1.3</v>
      </c>
      <c r="B8" s="195" t="s">
        <v>132</v>
      </c>
      <c r="C8" s="196" t="s">
        <v>133</v>
      </c>
      <c r="D8" s="198">
        <f>FINANCIALS!D12/FINANCIALS!D5</f>
        <v>-4.5930603497554373E-2</v>
      </c>
      <c r="E8" s="198">
        <f>FINANCIALS!E12/FINANCIALS!E5</f>
        <v>9.3162904007194722E-2</v>
      </c>
      <c r="F8" s="198">
        <f>FINANCIALS!F12/FINANCIALS!F5</f>
        <v>0.19589648105102064</v>
      </c>
      <c r="G8" s="198">
        <f>FINANCIALS!G12/FINANCIALS!G5</f>
        <v>0.12535676003136517</v>
      </c>
      <c r="H8" s="198">
        <f>FINANCIALS!H12/FINANCIALS!H5</f>
        <v>0.12610877700247014</v>
      </c>
      <c r="I8" s="198">
        <f>FINANCIALS!I12/FINANCIALS!I5</f>
        <v>0.12365377433157665</v>
      </c>
      <c r="J8" s="198">
        <f>FINANCIALS!J12/FINANCIALS!J5</f>
        <v>0.17959283472246815</v>
      </c>
      <c r="K8" s="198">
        <f>FINANCIALS!K12/FINANCIALS!K5</f>
        <v>0.13014001954507401</v>
      </c>
      <c r="L8" s="198">
        <f>FINANCIALS!L12/FINANCIALS!L5</f>
        <v>0.20312473236419706</v>
      </c>
      <c r="M8" s="198">
        <f>FINANCIALS!M12/FINANCIALS!M5</f>
        <v>0.20244889451324749</v>
      </c>
      <c r="N8" s="198">
        <f>FINANCIALS!N12/FINANCIALS!N5</f>
        <v>0.20269908470351267</v>
      </c>
      <c r="O8" s="198">
        <f>FINANCIALS!O12/FINANCIALS!O5</f>
        <v>0.21246438302384102</v>
      </c>
      <c r="P8" s="198">
        <f>FINANCIALS!P12/FINANCIALS!P5</f>
        <v>0.20901820194362294</v>
      </c>
      <c r="Q8" s="198">
        <f>FINANCIALS!Q12/FINANCIALS!Q5</f>
        <v>0.21707041590791515</v>
      </c>
      <c r="R8" s="198">
        <f>FINANCIALS!R12/FINANCIALS!R5</f>
        <v>0.21067539228661061</v>
      </c>
      <c r="S8" s="198">
        <f>FINANCIALS!S12/FINANCIALS!S5</f>
        <v>0.18927263617584628</v>
      </c>
      <c r="T8" s="198">
        <f>FINANCIALS!T12/FINANCIALS!T5</f>
        <v>0.20143900772688561</v>
      </c>
      <c r="U8" s="198">
        <f>FINANCIALS!U12/FINANCIALS!U5</f>
        <v>0.2238605690016939</v>
      </c>
      <c r="V8" s="198">
        <f>FINANCIALS!V12/FINANCIALS!V5</f>
        <v>0.22324852841419762</v>
      </c>
      <c r="W8" s="198">
        <f>FINANCIALS!W12/FINANCIALS!W5</f>
        <v>0.20199794429692</v>
      </c>
      <c r="X8" s="198">
        <f>FINANCIALS!X12/FINANCIALS!X5</f>
        <v>0.31107448538721366</v>
      </c>
      <c r="Y8" s="198">
        <f>FINANCIALS!Y12/FINANCIALS!Y5</f>
        <v>0.30196435127228333</v>
      </c>
      <c r="Z8" s="198">
        <f>FINANCIALS!Z12/FINANCIALS!Z5</f>
        <v>0.30977624846535606</v>
      </c>
      <c r="AA8" s="198">
        <f>FINANCIALS!AA12/FINANCIALS!AA5</f>
        <v>0.31791165786013381</v>
      </c>
      <c r="AB8" s="198">
        <f>FINANCIALS!AB12/FINANCIALS!AB5</f>
        <v>0.32372505020008974</v>
      </c>
      <c r="AC8" s="198">
        <f>FINANCIALS!AC12/FINANCIALS!AC5</f>
        <v>0.31604852775852305</v>
      </c>
      <c r="AD8" s="198">
        <f>FINANCIALS!AD12/FINANCIALS!AD5</f>
        <v>0.31276707385470753</v>
      </c>
      <c r="AE8" s="198">
        <f>FINANCIALS!AE12/FINANCIALS!AE5</f>
        <v>0.3047940167337766</v>
      </c>
      <c r="AF8" s="198">
        <f>FINANCIALS!AF12/FINANCIALS!AF5</f>
        <v>0.30739429550509811</v>
      </c>
      <c r="AG8" s="198">
        <f>FINANCIALS!AG12/FINANCIALS!AG5</f>
        <v>0.30364931110328308</v>
      </c>
      <c r="AH8" s="198">
        <f>FINANCIALS!AH12/FINANCIALS!AH5</f>
        <v>0.30319849238633584</v>
      </c>
      <c r="AI8" s="198">
        <f>FINANCIALS!AI12/FINANCIALS!AI5</f>
        <v>0.294979099924221</v>
      </c>
      <c r="AJ8" s="198">
        <f>FINANCIALS!AJ12/FINANCIALS!AJ5</f>
        <v>0.29376725759980982</v>
      </c>
      <c r="AK8" s="198">
        <f>FINANCIALS!AK12/FINANCIALS!AK5</f>
        <v>0.29554369642578127</v>
      </c>
      <c r="AL8" s="198">
        <f>FINANCIALS!AL12/FINANCIALS!AL5</f>
        <v>0.2946687638131274</v>
      </c>
      <c r="AM8" s="198">
        <f>FINANCIALS!AM12/FINANCIALS!AM5</f>
        <v>0.29764951122154287</v>
      </c>
      <c r="AN8" s="198">
        <f>FINANCIALS!AN12/FINANCIALS!AN5</f>
        <v>0.29929447027890416</v>
      </c>
      <c r="AO8" s="198">
        <f>FINANCIALS!AO12/FINANCIALS!AO5</f>
        <v>0.29640644509675984</v>
      </c>
      <c r="AP8" s="198">
        <f>FINANCIALS!AP12/FINANCIALS!AP5</f>
        <v>0.2562984404336795</v>
      </c>
      <c r="AQ8" s="198">
        <f>FINANCIALS!AQ12/FINANCIALS!AQ5</f>
        <v>0.2593589377873195</v>
      </c>
      <c r="AR8" s="198">
        <f>FINANCIALS!AR12/FINANCIALS!AR5</f>
        <v>0.21904545674592144</v>
      </c>
      <c r="AS8" s="198">
        <f>FINANCIALS!AS12/FINANCIALS!AS5</f>
        <v>0.25775080291373109</v>
      </c>
      <c r="AT8" s="198">
        <f>FINANCIALS!AT12/FINANCIALS!AT5</f>
        <v>0.25369173263854911</v>
      </c>
      <c r="AU8" s="198">
        <f>FINANCIALS!AU12/FINANCIALS!AU5</f>
        <v>0.25821913805757424</v>
      </c>
      <c r="AV8" s="198">
        <f>FINANCIALS!AV12/FINANCIALS!AV5</f>
        <v>0.26245834928493667</v>
      </c>
      <c r="AW8" s="198">
        <f>FINANCIALS!AW12/FINANCIALS!AW5</f>
        <v>0.26971894974336919</v>
      </c>
      <c r="AX8" s="198">
        <f>FINANCIALS!AX12/FINANCIALS!AX5</f>
        <v>0.25158711893445979</v>
      </c>
      <c r="AY8" s="198">
        <f>FINANCIALS!AY12/FINANCIALS!AY5</f>
        <v>0.25467237322460101</v>
      </c>
      <c r="AZ8" s="198">
        <f>FINANCIALS!AZ12/FINANCIALS!AZ5</f>
        <v>0.25243303357604402</v>
      </c>
      <c r="BA8" s="198">
        <f>FINANCIALS!BA12/FINANCIALS!BA5</f>
        <v>0.26905426026620965</v>
      </c>
      <c r="BB8" s="198">
        <f>FINANCIALS!BB12/FINANCIALS!BB5</f>
        <v>0.26905426026620965</v>
      </c>
      <c r="BC8" s="198">
        <f>FINANCIALS!BC12/FINANCIALS!BC5</f>
        <v>0.27439495407682457</v>
      </c>
      <c r="BD8" s="198">
        <f>FINANCIALS!BD12/FINANCIALS!BD5</f>
        <v>0.25754999882563157</v>
      </c>
      <c r="BE8" s="198">
        <f>FINANCIALS!BE12/FINANCIALS!BE5</f>
        <v>0.24875772780766539</v>
      </c>
      <c r="BF8" s="198">
        <f>FINANCIALS!BF12/FINANCIALS!BF5</f>
        <v>0.27383086998593364</v>
      </c>
      <c r="BG8" s="198">
        <f>FINANCIALS!BG12/FINANCIALS!BG5</f>
        <v>0.29872186447099974</v>
      </c>
      <c r="BH8" s="198">
        <f>FINANCIALS!BH12/FINANCIALS!BH5</f>
        <v>0.27685887879509008</v>
      </c>
      <c r="BI8" s="198">
        <f>FINANCIALS!BI12/FINANCIALS!BI5</f>
        <v>0.27443305975726867</v>
      </c>
      <c r="BJ8" s="198">
        <f>FINANCIALS!BJ12/FINANCIALS!BJ5</f>
        <v>0.27086696909257718</v>
      </c>
      <c r="BK8" s="198">
        <f>FINANCIALS!BK12/FINANCIALS!BK5</f>
        <v>0.2703963987317648</v>
      </c>
      <c r="BL8" s="198">
        <f>FINANCIALS!BL12/FINANCIALS!BL5</f>
        <v>0.26498527332213134</v>
      </c>
      <c r="BM8" s="198">
        <f>FINANCIALS!BM12/FINANCIALS!BM5</f>
        <v>0.26720528244139141</v>
      </c>
      <c r="BN8" s="198">
        <f>FINANCIALS!BN12/FINANCIALS!BN5</f>
        <v>0.28015887336096629</v>
      </c>
      <c r="BO8" s="198">
        <f>FINANCIALS!BO12/FINANCIALS!BO5</f>
        <v>0.27105845437156978</v>
      </c>
      <c r="BP8" s="198">
        <f>FINANCIALS!BP12/FINANCIALS!BP5</f>
        <v>0.2718710354204199</v>
      </c>
      <c r="BQ8" s="198">
        <f>FINANCIALS!BQ12/FINANCIALS!BQ5</f>
        <v>0.26699304554602232</v>
      </c>
      <c r="BR8" s="198"/>
      <c r="BS8" s="198">
        <f>FINANCIALS!BR12/FINANCIALS!BR5</f>
        <v>0.23780309630398072</v>
      </c>
      <c r="BT8" s="198">
        <f>FINANCIALS!BS12/FINANCIALS!BS5</f>
        <v>0.26224978955328543</v>
      </c>
      <c r="BU8" s="198">
        <f>FINANCIALS!BT12/FINANCIALS!BT5</f>
        <v>0.2674375973269611</v>
      </c>
      <c r="BV8" s="198">
        <f>FINANCIALS!BU12/FINANCIALS!BU5</f>
        <v>0.27480469710665023</v>
      </c>
      <c r="BW8" s="198">
        <f>FINANCIALS!BV12/FINANCIALS!BV5</f>
        <v>0.25864722835634762</v>
      </c>
      <c r="BX8" s="198">
        <f>FINANCIALS!BW12/FINANCIALS!BW5</f>
        <v>0.25797568884066402</v>
      </c>
      <c r="BY8" s="198">
        <f>FINANCIALS!BX12/FINANCIALS!BX5</f>
        <v>0.25258920917301408</v>
      </c>
      <c r="BZ8" s="198" t="e">
        <f>FINANCIALS!BY12/FINANCIALS!BY5</f>
        <v>#DIV/0!</v>
      </c>
      <c r="CA8" s="198">
        <f>FINANCIALS!BZ12/FINANCIALS!BZ5</f>
        <v>0.2695303130900521</v>
      </c>
      <c r="CB8" s="198">
        <f>FINANCIALS!CA12/FINANCIALS!CA5</f>
        <v>0.26911581965117587</v>
      </c>
      <c r="CC8" s="198">
        <f>FINANCIALS!CB12/FINANCIALS!CB5</f>
        <v>0.27437563871419995</v>
      </c>
      <c r="CD8" s="198">
        <f>FINANCIALS!CC12/FINANCIALS!CC5</f>
        <v>0.28132860627874345</v>
      </c>
      <c r="CE8" s="198">
        <f>FINANCIALS!CC12/FINANCIALS!CC5</f>
        <v>0.28132860627874345</v>
      </c>
    </row>
    <row r="9" spans="1:84" s="137" customFormat="1" ht="15">
      <c r="A9" s="195">
        <v>1.4</v>
      </c>
      <c r="B9" s="195" t="s">
        <v>134</v>
      </c>
      <c r="C9" s="196" t="s">
        <v>133</v>
      </c>
      <c r="D9" s="198">
        <f>FINANCIALS!D13/FINANCIALS!D4</f>
        <v>1.5384078461072131E-2</v>
      </c>
      <c r="E9" s="198">
        <f>FINANCIALS!E13/FINANCIALS!E4</f>
        <v>7.7690834434461689E-2</v>
      </c>
      <c r="F9" s="198">
        <f>FINANCIALS!F13/FINANCIALS!F4</f>
        <v>8.8211032672023043E-2</v>
      </c>
      <c r="G9" s="198">
        <f>FINANCIALS!G13/FINANCIALS!G4</f>
        <v>4.5358568076429941E-2</v>
      </c>
      <c r="H9" s="198">
        <f>FINANCIALS!H13/FINANCIALS!H4</f>
        <v>3.8858846919810418E-2</v>
      </c>
      <c r="I9" s="198">
        <f>FINANCIALS!I13/FINANCIALS!I4</f>
        <v>3.7959269369830823E-2</v>
      </c>
      <c r="J9" s="198">
        <f>FINANCIALS!J13/FINANCIALS!J4</f>
        <v>8.2069986029654041E-2</v>
      </c>
      <c r="K9" s="198">
        <f>FINANCIALS!K13/FINANCIALS!K4</f>
        <v>7.7246265621155483E-2</v>
      </c>
      <c r="L9" s="198">
        <f>FINANCIALS!L13/FINANCIALS!L4</f>
        <v>9.8175357567351865E-2</v>
      </c>
      <c r="M9" s="198">
        <f>FINANCIALS!M13/FINANCIALS!M4</f>
        <v>9.8917366865341402E-2</v>
      </c>
      <c r="N9" s="198">
        <f>FINANCIALS!N13/FINANCIALS!N4</f>
        <v>9.9151184822105581E-2</v>
      </c>
      <c r="O9" s="198">
        <f>FINANCIALS!O13/FINANCIALS!O4</f>
        <v>0.16551024908108317</v>
      </c>
      <c r="P9" s="198">
        <f>FINANCIALS!P13/FINANCIALS!P4</f>
        <v>9.5440136014322358E-2</v>
      </c>
      <c r="Q9" s="198">
        <f>FINANCIALS!Q13/FINANCIALS!Q4</f>
        <v>0.1015622749815653</v>
      </c>
      <c r="R9" s="198">
        <f>FINANCIALS!R13/FINANCIALS!R4</f>
        <v>0.1009874039635297</v>
      </c>
      <c r="S9" s="198">
        <f>FINANCIALS!S13/FINANCIALS!S4</f>
        <v>8.1891763753273852E-2</v>
      </c>
      <c r="T9" s="198">
        <f>FINANCIALS!T13/FINANCIALS!T4</f>
        <v>9.4429314623281316E-2</v>
      </c>
      <c r="U9" s="198">
        <f>FINANCIALS!U13/FINANCIALS!U4</f>
        <v>0.10945740847557937</v>
      </c>
      <c r="V9" s="198">
        <f>FINANCIALS!V13/FINANCIALS!V4</f>
        <v>0.10975153883222787</v>
      </c>
      <c r="W9" s="198">
        <f>FINANCIALS!W13/FINANCIALS!W4</f>
        <v>9.8110592083841555E-2</v>
      </c>
      <c r="X9" s="198">
        <f>FINANCIALS!X13/FINANCIALS!X4</f>
        <v>9.9401242680362836E-2</v>
      </c>
      <c r="Y9" s="198">
        <f>FINANCIALS!Y13/FINANCIALS!Y4</f>
        <v>9.919012783429268E-2</v>
      </c>
      <c r="Z9" s="198">
        <f>FINANCIALS!Z13/FINANCIALS!Z4</f>
        <v>0.10249832452729286</v>
      </c>
      <c r="AA9" s="198">
        <f>FINANCIALS!AA13/FINANCIALS!AA4</f>
        <v>0.1081618885602256</v>
      </c>
      <c r="AB9" s="198">
        <f>FINANCIALS!AB13/FINANCIALS!AB4</f>
        <v>0.11225126632555389</v>
      </c>
      <c r="AC9" s="198">
        <f>FINANCIALS!AC13/FINANCIALS!AC4</f>
        <v>0.10991663065703161</v>
      </c>
      <c r="AD9" s="198">
        <f>FINANCIALS!AD13/FINANCIALS!AD4</f>
        <v>0.10892366512929609</v>
      </c>
      <c r="AE9" s="198">
        <f>FINANCIALS!AE13/FINANCIALS!AE4</f>
        <v>0.10635470553589714</v>
      </c>
      <c r="AF9" s="198">
        <f>FINANCIALS!AF13/FINANCIALS!AF4</f>
        <v>0.10607139683321991</v>
      </c>
      <c r="AG9" s="198">
        <f>FINANCIALS!AG13/FINANCIALS!AG4</f>
        <v>0.10562181372316992</v>
      </c>
      <c r="AH9" s="198">
        <f>FINANCIALS!AH13/FINANCIALS!AH4</f>
        <v>0.10589497780786637</v>
      </c>
      <c r="AI9" s="198">
        <f>FINANCIALS!AI13/FINANCIALS!AI4</f>
        <v>0.10192368296247709</v>
      </c>
      <c r="AJ9" s="198">
        <f>FINANCIALS!AJ13/FINANCIALS!AJ4</f>
        <v>9.7976554555825879E-2</v>
      </c>
      <c r="AK9" s="198">
        <f>FINANCIALS!AK13/FINANCIALS!AK4</f>
        <v>0.10035249955586291</v>
      </c>
      <c r="AL9" s="198">
        <f>FINANCIALS!AL13/FINANCIALS!AL4</f>
        <v>9.9661619168338753E-2</v>
      </c>
      <c r="AM9" s="198">
        <f>FINANCIALS!AM13/FINANCIALS!AM4</f>
        <v>0.10188464498133927</v>
      </c>
      <c r="AN9" s="198">
        <f>FINANCIALS!AN13/FINANCIALS!AN4</f>
        <v>0.10278251187520322</v>
      </c>
      <c r="AO9" s="198">
        <f>FINANCIALS!AO13/FINANCIALS!AO4</f>
        <v>0.10439141293272428</v>
      </c>
      <c r="AP9" s="198">
        <f>FINANCIALS!AP13/FINANCIALS!AP4</f>
        <v>7.9643123772724297E-2</v>
      </c>
      <c r="AQ9" s="198">
        <f>FINANCIALS!AQ13/FINANCIALS!AQ4</f>
        <v>8.3612771986092099E-2</v>
      </c>
      <c r="AR9" s="198">
        <f>FINANCIALS!AR13/FINANCIALS!AR4</f>
        <v>7.5458737746449997E-2</v>
      </c>
      <c r="AS9" s="198">
        <f>FINANCIALS!AS13/FINANCIALS!AS4</f>
        <v>8.1555198788209118E-2</v>
      </c>
      <c r="AT9" s="198">
        <f>FINANCIALS!AT13/FINANCIALS!AT4</f>
        <v>8.0587207729620983E-2</v>
      </c>
      <c r="AU9" s="198">
        <f>FINANCIALS!AU13/FINANCIALS!AU4</f>
        <v>8.504130093547696E-2</v>
      </c>
      <c r="AV9" s="198">
        <f>FINANCIALS!AV13/FINANCIALS!AV4</f>
        <v>8.8908068320523836E-2</v>
      </c>
      <c r="AW9" s="198">
        <f>FINANCIALS!AW13/FINANCIALS!AW4</f>
        <v>9.5183009414943828E-2</v>
      </c>
      <c r="AX9" s="198">
        <f>FINANCIALS!AX13/FINANCIALS!AX4</f>
        <v>0.11948086968068651</v>
      </c>
      <c r="AY9" s="198">
        <f>FINANCIALS!AY13/FINANCIALS!AY4</f>
        <v>8.5364301228777806E-2</v>
      </c>
      <c r="AZ9" s="198">
        <f>FINANCIALS!AZ13/FINANCIALS!AZ4</f>
        <v>8.5322910228400078E-2</v>
      </c>
      <c r="BA9" s="198">
        <f>FINANCIALS!BA13/FINANCIALS!BA4</f>
        <v>8.7323204132888563E-2</v>
      </c>
      <c r="BB9" s="198">
        <f>FINANCIALS!BB13/FINANCIALS!BB4</f>
        <v>8.7323204132697257E-2</v>
      </c>
      <c r="BC9" s="198">
        <f>FINANCIALS!BC13/FINANCIALS!BC4</f>
        <v>9.1434119370485081E-2</v>
      </c>
      <c r="BD9" s="198">
        <f>FINANCIALS!BD13/FINANCIALS!BD4</f>
        <v>7.783670872249876E-2</v>
      </c>
      <c r="BE9" s="198">
        <f>FINANCIALS!BE13/FINANCIALS!BE4</f>
        <v>8.3536860810068211E-2</v>
      </c>
      <c r="BF9" s="198">
        <f>FINANCIALS!BF13/FINANCIALS!BF4</f>
        <v>8.534449864798356E-2</v>
      </c>
      <c r="BG9" s="198">
        <f>FINANCIALS!BG13/FINANCIALS!BG4</f>
        <v>9.982178269634856E-2</v>
      </c>
      <c r="BH9" s="198">
        <f>FINANCIALS!BH13/FINANCIALS!BH4</f>
        <v>8.8819436233959867E-2</v>
      </c>
      <c r="BI9" s="198">
        <f>FINANCIALS!BI13/FINANCIALS!BI4</f>
        <v>8.7772038156517462E-2</v>
      </c>
      <c r="BJ9" s="198">
        <f>FINANCIALS!BJ13/FINANCIALS!BJ4</f>
        <v>8.7258684057295505E-2</v>
      </c>
      <c r="BK9" s="198">
        <f>FINANCIALS!BK13/FINANCIALS!BK4</f>
        <v>8.7569924293772902E-2</v>
      </c>
      <c r="BL9" s="198">
        <f>FINANCIALS!BL13/FINANCIALS!BL4</f>
        <v>8.5138737205893128E-2</v>
      </c>
      <c r="BM9" s="198">
        <f>FINANCIALS!BM13/FINANCIALS!BM4</f>
        <v>8.8260077015577504E-2</v>
      </c>
      <c r="BN9" s="198">
        <f>FINANCIALS!BN13/FINANCIALS!BN4</f>
        <v>9.7153705012941002E-2</v>
      </c>
      <c r="BO9" s="198">
        <f>FINANCIALS!BO13/FINANCIALS!BO4</f>
        <v>9.4176928042662117E-2</v>
      </c>
      <c r="BP9" s="198">
        <f>FINANCIALS!BP13/FINANCIALS!BP4</f>
        <v>9.5480918798686185E-2</v>
      </c>
      <c r="BQ9" s="198">
        <f>FINANCIALS!BQ13/FINANCIALS!BQ4</f>
        <v>8.8458537555133582E-2</v>
      </c>
      <c r="BR9" s="198">
        <f>FINANCIALS!BR13/FINANCIALS!BR4</f>
        <v>8.2865085485334375E-2</v>
      </c>
      <c r="BS9" s="198">
        <f>FINANCIALS!BS13/FINANCIALS!BS4</f>
        <v>8.8104302994835515E-2</v>
      </c>
      <c r="BT9" s="198">
        <f>FINANCIALS!BT13/FINANCIALS!BT4</f>
        <v>8.9960088856264664E-2</v>
      </c>
      <c r="BU9" s="198">
        <f>FINANCIALS!BU13/FINANCIALS!BU4</f>
        <v>9.6875059869070967E-2</v>
      </c>
      <c r="BV9" s="198">
        <f>FINANCIALS!BV13/FINANCIALS!BV4</f>
        <v>9.0900836980275901E-2</v>
      </c>
      <c r="BW9" s="198">
        <f>FINANCIALS!BW13/FINANCIALS!BW4</f>
        <v>8.8400519014116261E-2</v>
      </c>
      <c r="BX9" s="198">
        <f>FINANCIALS!BX13/FINANCIALS!BX4</f>
        <v>8.4763731988939078E-2</v>
      </c>
      <c r="BY9" s="198" t="e">
        <f>FINANCIALS!BY13/FINANCIALS!BY4</f>
        <v>#DIV/0!</v>
      </c>
      <c r="BZ9" s="198">
        <f>FINANCIALS!BZ13/FINANCIALS!BZ4</f>
        <v>9.7715131255333959E-2</v>
      </c>
      <c r="CA9" s="198">
        <f>FINANCIALS!CA13/FINANCIALS!CA4</f>
        <v>9.7243647955197812E-2</v>
      </c>
      <c r="CB9" s="198">
        <f>FINANCIALS!CB13/FINANCIALS!CB4</f>
        <v>0.10175352834689259</v>
      </c>
      <c r="CC9" s="198">
        <f>FINANCIALS!CB13/FINANCIALS!CB4</f>
        <v>0.10175352834689259</v>
      </c>
      <c r="CD9" s="198">
        <f>FINANCIALS!CB13/FINANCIALS!CB4</f>
        <v>0.10175352834689259</v>
      </c>
      <c r="CE9" s="198">
        <f>FINANCIALS!CC13/FINANCIALS!CC4</f>
        <v>0.10791054320261967</v>
      </c>
    </row>
    <row r="10" spans="1:84" s="137" customFormat="1" ht="15">
      <c r="A10" s="191"/>
      <c r="B10" s="195"/>
      <c r="C10" s="199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  <c r="AZ10" s="191"/>
      <c r="BA10" s="191"/>
      <c r="BB10" s="191"/>
      <c r="BC10" s="191"/>
      <c r="BD10" s="191"/>
      <c r="BE10" s="191"/>
      <c r="BF10" s="191"/>
      <c r="BG10" s="191"/>
      <c r="BH10" s="191"/>
      <c r="BI10" s="191"/>
      <c r="BJ10" s="191"/>
      <c r="BK10" s="191"/>
      <c r="BL10" s="191"/>
      <c r="BM10" s="191"/>
      <c r="BN10" s="191"/>
      <c r="BO10" s="191"/>
      <c r="BP10" s="191"/>
      <c r="BQ10" s="191"/>
      <c r="BR10" s="191"/>
      <c r="BS10" s="191"/>
      <c r="BT10" s="191"/>
      <c r="BU10" s="191"/>
      <c r="BV10" s="191"/>
      <c r="BW10" s="191"/>
      <c r="BX10" s="191"/>
      <c r="BY10" s="191"/>
      <c r="BZ10" s="191"/>
      <c r="CA10" s="191"/>
      <c r="CB10" s="191"/>
      <c r="CC10" s="191"/>
      <c r="CD10" s="191"/>
      <c r="CE10" s="191"/>
    </row>
    <row r="11" spans="1:84" s="137" customFormat="1" ht="15">
      <c r="A11" s="194">
        <v>2</v>
      </c>
      <c r="B11" s="191" t="s">
        <v>135</v>
      </c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</row>
    <row r="12" spans="1:84" s="137" customFormat="1" ht="15">
      <c r="A12" s="201">
        <v>2.1</v>
      </c>
      <c r="B12" s="191" t="s">
        <v>136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</row>
    <row r="13" spans="1:84" s="137" customFormat="1" ht="15">
      <c r="A13" s="202" t="s">
        <v>137</v>
      </c>
      <c r="B13" s="195" t="s">
        <v>138</v>
      </c>
      <c r="C13" s="196" t="s">
        <v>139</v>
      </c>
      <c r="D13" s="198">
        <f>FINANCIALS!D33/FINANCIALS!D4</f>
        <v>0.29130010985712573</v>
      </c>
      <c r="E13" s="198">
        <f>FINANCIALS!E33/FINANCIALS!E4</f>
        <v>0.54340848505843276</v>
      </c>
      <c r="F13" s="198">
        <f>FINANCIALS!F33/FINANCIALS!F4</f>
        <v>0.46341821421255114</v>
      </c>
      <c r="G13" s="198">
        <f>FINANCIALS!G33/FINANCIALS!G4</f>
        <v>0.41394609749185113</v>
      </c>
      <c r="H13" s="198">
        <f>FINANCIALS!H33/FINANCIALS!H4</f>
        <v>0.5089689158235231</v>
      </c>
      <c r="I13" s="198">
        <f>FINANCIALS!I33/FINANCIALS!I4</f>
        <v>0.50739369804467205</v>
      </c>
      <c r="J13" s="198">
        <f>FINANCIALS!J33/FINANCIALS!J4</f>
        <v>0.51238502574854472</v>
      </c>
      <c r="K13" s="198">
        <f>FINANCIALS!K33/FINANCIALS!K4</f>
        <v>0.1036539977264533</v>
      </c>
      <c r="L13" s="198">
        <f>FINANCIALS!L33/FINANCIALS!L4</f>
        <v>0.4763399434476327</v>
      </c>
      <c r="M13" s="198">
        <f>FINANCIALS!M33/FINANCIALS!M4</f>
        <v>0.470491068286571</v>
      </c>
      <c r="N13" s="198">
        <f>FINANCIALS!N33/FINANCIALS!N4</f>
        <v>0.48319611597604306</v>
      </c>
      <c r="O13" s="198">
        <f>FINANCIALS!O33/FINANCIALS!O4</f>
        <v>9.7308481695388693E-2</v>
      </c>
      <c r="P13" s="198">
        <f>FINANCIALS!P33/FINANCIALS!P4</f>
        <v>0.43973487508060133</v>
      </c>
      <c r="Q13" s="198">
        <f>FINANCIALS!Q33/FINANCIALS!Q4</f>
        <v>0.47423339469855336</v>
      </c>
      <c r="R13" s="198">
        <f>FINANCIALS!R33/FINANCIALS!R4</f>
        <v>0.45182757358316206</v>
      </c>
      <c r="S13" s="198">
        <f>FINANCIALS!S33/FINANCIALS!S4</f>
        <v>0.56655662912331706</v>
      </c>
      <c r="T13" s="198">
        <f>FINANCIALS!T33/FINANCIALS!T4</f>
        <v>0.42545802585587522</v>
      </c>
      <c r="U13" s="198">
        <f>FINANCIALS!U33/FINANCIALS!U4</f>
        <v>0.51644194004073385</v>
      </c>
      <c r="V13" s="198">
        <f>FINANCIALS!V33/FINANCIALS!V4</f>
        <v>0.50618591493018361</v>
      </c>
      <c r="W13" s="198">
        <f>FINANCIALS!W33/FINANCIALS!W4</f>
        <v>0.5028894608711878</v>
      </c>
      <c r="X13" s="198">
        <f>FINANCIALS!X33/FINANCIALS!X4</f>
        <v>0.55294569584241837</v>
      </c>
      <c r="Y13" s="198">
        <f>FINANCIALS!Y33/FINANCIALS!Y4</f>
        <v>0.53085281266124862</v>
      </c>
      <c r="Z13" s="198">
        <f>FINANCIALS!Z33/FINANCIALS!Z4</f>
        <v>0.52918896042949726</v>
      </c>
      <c r="AA13" s="198">
        <f>FINANCIALS!AA33/FINANCIALS!AA4</f>
        <v>0.51825269856736544</v>
      </c>
      <c r="AB13" s="198">
        <f>FINANCIALS!AB33/FINANCIALS!AB4</f>
        <v>0.52061736999268937</v>
      </c>
      <c r="AC13" s="198">
        <f>FINANCIALS!AC33/FINANCIALS!AC4</f>
        <v>0.53941438684534126</v>
      </c>
      <c r="AD13" s="198">
        <f>FINANCIALS!AD33/FINANCIALS!AD4</f>
        <v>0.53916935373630315</v>
      </c>
      <c r="AE13" s="198">
        <f>FINANCIALS!AE33/FINANCIALS!AE4</f>
        <v>0.55353590517584406</v>
      </c>
      <c r="AF13" s="198">
        <f>FINANCIALS!AF33/FINANCIALS!AF4</f>
        <v>0.54231231774074129</v>
      </c>
      <c r="AG13" s="198">
        <f>FINANCIALS!AG33/FINANCIALS!AG4</f>
        <v>0.53748401998017448</v>
      </c>
      <c r="AH13" s="198">
        <f>FINANCIALS!AH33/FINANCIALS!AH4</f>
        <v>0.53759754322506492</v>
      </c>
      <c r="AI13" s="198">
        <f>FINANCIALS!AI33/FINANCIALS!AI4</f>
        <v>0.53587388318231832</v>
      </c>
      <c r="AJ13" s="198">
        <f>FINANCIALS!AJ33/FINANCIALS!AJ4</f>
        <v>0.56397323378044928</v>
      </c>
      <c r="AK13" s="198">
        <f>FINANCIALS!AK33/FINANCIALS!AK4</f>
        <v>0.55356534031967686</v>
      </c>
      <c r="AL13" s="198">
        <f>FINANCIALS!AL33/FINANCIALS!AL4</f>
        <v>0.55798731233909005</v>
      </c>
      <c r="AM13" s="198">
        <f>FINANCIALS!AM33/FINANCIALS!AM4</f>
        <v>0.53305674669413428</v>
      </c>
      <c r="AN13" s="198">
        <f>FINANCIALS!AN33/FINANCIALS!AN4</f>
        <v>0.53380851993187084</v>
      </c>
      <c r="AO13" s="198">
        <f>FINANCIALS!AO33/FINANCIALS!AO4</f>
        <v>0.52642130139506849</v>
      </c>
      <c r="AP13" s="198">
        <f>FINANCIALS!AP33/FINANCIALS!AP4</f>
        <v>0.48684684216369351</v>
      </c>
      <c r="AQ13" s="198">
        <f>FINANCIALS!AQ33/FINANCIALS!AQ4</f>
        <v>0.49688210294521301</v>
      </c>
      <c r="AR13" s="198">
        <f>FINANCIALS!AR33/FINANCIALS!AR4</f>
        <v>0.53040903025309216</v>
      </c>
      <c r="AS13" s="198">
        <f>FINANCIALS!AS33/FINANCIALS!AS4</f>
        <v>0.48609008444888474</v>
      </c>
      <c r="AT13" s="198">
        <f>FINANCIALS!AT33/FINANCIALS!AT4</f>
        <v>0.48105885226657802</v>
      </c>
      <c r="AU13" s="198">
        <f>FINANCIALS!AU33/FINANCIALS!AU4</f>
        <v>0.50062307345833734</v>
      </c>
      <c r="AV13" s="198">
        <f>FINANCIALS!AV33/FINANCIALS!AV4</f>
        <v>0.4980432244268943</v>
      </c>
      <c r="AW13" s="198">
        <f>FINANCIALS!AW33/FINANCIALS!AW4</f>
        <v>0.51831446115843072</v>
      </c>
      <c r="AX13" s="198">
        <f>FINANCIALS!AX33/FINANCIALS!AX4</f>
        <v>0.29936167800156116</v>
      </c>
      <c r="AY13" s="198">
        <f>FINANCIALS!AY33/FINANCIALS!AY4</f>
        <v>0.5073735921576642</v>
      </c>
      <c r="AZ13" s="198">
        <f>FINANCIALS!AZ33/FINANCIALS!AZ4</f>
        <v>0.52731686282939128</v>
      </c>
      <c r="BA13" s="198">
        <f>FINANCIALS!BA33/FINANCIALS!BA4</f>
        <v>0.52914446920608638</v>
      </c>
      <c r="BB13" s="198">
        <f>FINANCIALS!BB33/FINANCIALS!BB4</f>
        <v>0.52914446920492708</v>
      </c>
      <c r="BC13" s="198">
        <f>FINANCIALS!BC33/FINANCIALS!BC4</f>
        <v>0.52247051126984101</v>
      </c>
      <c r="BD13" s="198">
        <f>FINANCIALS!BD33/FINANCIALS!BD4</f>
        <v>0.54556934437038895</v>
      </c>
      <c r="BE13" s="198">
        <f>FINANCIALS!BE33/FINANCIALS!BE4</f>
        <v>0.45126861564752702</v>
      </c>
      <c r="BF13" s="198">
        <f>FINANCIALS!BF33/FINANCIALS!BF4</f>
        <v>0.5267195747786334</v>
      </c>
      <c r="BG13" s="198">
        <f>FINANCIALS!BG33/FINANCIALS!BG4</f>
        <v>0.50749550996250226</v>
      </c>
      <c r="BH13" s="198">
        <f>FINANCIALS!BH33/FINANCIALS!BH4</f>
        <v>0.50784421371402666</v>
      </c>
      <c r="BI13" s="198">
        <f>FINANCIALS!BI33/FINANCIALS!BI4</f>
        <v>0.51749506221748298</v>
      </c>
      <c r="BJ13" s="198">
        <f>FINANCIALS!BJ33/FINANCIALS!BJ4</f>
        <v>0.50845542473187688</v>
      </c>
      <c r="BK13" s="198">
        <f>FINANCIALS!BK33/FINANCIALS!BK4</f>
        <v>0.51545772286168434</v>
      </c>
      <c r="BL13" s="198">
        <f>FINANCIALS!BL33/FINANCIALS!BL4</f>
        <v>0.51389380634634874</v>
      </c>
      <c r="BM13" s="198">
        <f>FINANCIALS!BM33/FINANCIALS!BM4</f>
        <v>0.48715648117943716</v>
      </c>
      <c r="BN13" s="198">
        <f>FINANCIALS!BN33/FINANCIALS!BN4</f>
        <v>0.49810741338402165</v>
      </c>
      <c r="BO13" s="198">
        <f>FINANCIALS!BO33/FINANCIALS!BO4</f>
        <v>0.55561718452960907</v>
      </c>
      <c r="BP13" s="198">
        <f>FINANCIALS!BP33/FINANCIALS!BP4</f>
        <v>0.5393654338526882</v>
      </c>
      <c r="BQ13" s="198">
        <f>FINANCIALS!BQ33/FINANCIALS!BQ4</f>
        <v>0.54191793157313262</v>
      </c>
      <c r="BR13" s="198">
        <f>FINANCIALS!BR33/FINANCIALS!BR4</f>
        <v>0.43711888107058217</v>
      </c>
      <c r="BS13" s="198">
        <f>FINANCIALS!BS33/FINANCIALS!BS4</f>
        <v>0.54971867369103522</v>
      </c>
      <c r="BT13" s="198">
        <f>FINANCIALS!BT33/FINANCIALS!BT4</f>
        <v>0.56558591340901321</v>
      </c>
      <c r="BU13" s="198">
        <f>FINANCIALS!BU33/FINANCIALS!BU4</f>
        <v>0.55816895530588895</v>
      </c>
      <c r="BV13" s="198">
        <f>FINANCIALS!BV33/FINANCIALS!BV4</f>
        <v>0.57375652003454525</v>
      </c>
      <c r="BW13" s="198">
        <f>FINANCIALS!BW33/FINANCIALS!BW4</f>
        <v>0.56333796207656861</v>
      </c>
      <c r="BX13" s="198">
        <f>FINANCIALS!BX33/FINANCIALS!BX4</f>
        <v>0.54072095175967161</v>
      </c>
      <c r="BY13" s="198" t="e">
        <f>FINANCIALS!BY33/FINANCIALS!BY4</f>
        <v>#DIV/0!</v>
      </c>
      <c r="BZ13" s="198">
        <f>FINANCIALS!BZ33/FINANCIALS!BZ4</f>
        <v>0.54134928488839551</v>
      </c>
      <c r="CA13" s="198">
        <f>FINANCIALS!CA33/FINANCIALS!CA4</f>
        <v>0.5238794201328395</v>
      </c>
      <c r="CB13" s="198">
        <f>FINANCIALS!CB33/FINANCIALS!CB4</f>
        <v>0.50985865114226336</v>
      </c>
      <c r="CC13" s="198">
        <f>FINANCIALS!CC33/FINANCIALS!CC4</f>
        <v>0.51144869925879233</v>
      </c>
      <c r="CD13" s="198">
        <f>FINANCIALS!CD33/FINANCIALS!CD4</f>
        <v>0.48842346127497116</v>
      </c>
      <c r="CE13" s="198">
        <f>FINANCIALS!CE33/FINANCIALS!CE4</f>
        <v>0.40989730601006863</v>
      </c>
    </row>
    <row r="14" spans="1:84" s="137" customFormat="1" ht="15">
      <c r="A14" s="202" t="s">
        <v>140</v>
      </c>
      <c r="B14" s="195" t="s">
        <v>141</v>
      </c>
      <c r="C14" s="196" t="s">
        <v>142</v>
      </c>
      <c r="D14" s="198">
        <f>FINANCIALS!D34/FINANCIALS!D4</f>
        <v>0.24372898246777652</v>
      </c>
      <c r="E14" s="198">
        <f>FINANCIALS!E34/FINANCIALS!E4</f>
        <v>1.2961993501954249E-2</v>
      </c>
      <c r="F14" s="198">
        <f>FINANCIALS!F34/FINANCIALS!F4</f>
        <v>3.2719268000109172E-2</v>
      </c>
      <c r="G14" s="198">
        <f>FINANCIALS!G34/FINANCIALS!G4</f>
        <v>4.5988515488094614E-2</v>
      </c>
      <c r="H14" s="198">
        <f>FINANCIALS!H34/FINANCIALS!H4</f>
        <v>3.6569608471586454E-2</v>
      </c>
      <c r="I14" s="198">
        <f>FINANCIALS!I34/FINANCIALS!I4</f>
        <v>3.6337777536684573E-2</v>
      </c>
      <c r="J14" s="198">
        <f>FINANCIALS!J34/FINANCIALS!J4</f>
        <v>3.3969512679040484E-2</v>
      </c>
      <c r="K14" s="198">
        <f>FINANCIALS!K34/FINANCIALS!K4</f>
        <v>6.1138872319513406E-2</v>
      </c>
      <c r="L14" s="198">
        <f>FINANCIALS!L34/FINANCIALS!L4</f>
        <v>3.3098531448836857E-2</v>
      </c>
      <c r="M14" s="198">
        <f>FINANCIALS!M34/FINANCIALS!M4</f>
        <v>3.2721169990832501E-2</v>
      </c>
      <c r="N14" s="198">
        <f>FINANCIALS!N34/FINANCIALS!N4</f>
        <v>3.2687507834599894E-2</v>
      </c>
      <c r="O14" s="198">
        <f>FINANCIALS!O34/FINANCIALS!O4</f>
        <v>9.7308481695388693E-2</v>
      </c>
      <c r="P14" s="198">
        <f>FINANCIALS!P34/FINANCIALS!P4</f>
        <v>5.6448178745313923E-2</v>
      </c>
      <c r="Q14" s="198">
        <f>FINANCIALS!Q34/FINANCIALS!Q4</f>
        <v>5.6314761871427345E-2</v>
      </c>
      <c r="R14" s="198">
        <f>FINANCIALS!R34/FINANCIALS!R4</f>
        <v>5.5869896156273392E-2</v>
      </c>
      <c r="S14" s="198">
        <f>FINANCIALS!S34/FINANCIALS!S4</f>
        <v>2.64731170841917E-2</v>
      </c>
      <c r="T14" s="198">
        <f>FINANCIALS!T34/FINANCIALS!T4</f>
        <v>5.6511577833959561E-2</v>
      </c>
      <c r="U14" s="198">
        <f>FINANCIALS!U34/FINANCIALS!U4</f>
        <v>5.549548996440417E-2</v>
      </c>
      <c r="V14" s="198">
        <f>FINANCIALS!V34/FINANCIALS!V4</f>
        <v>5.5540679055801803E-2</v>
      </c>
      <c r="W14" s="198">
        <f>FINANCIALS!W34/FINANCIALS!W4</f>
        <v>4.143877092878296E-2</v>
      </c>
      <c r="X14" s="198">
        <f>FINANCIALS!X34/FINANCIALS!X4</f>
        <v>6.8656233850997256E-2</v>
      </c>
      <c r="Y14" s="198">
        <f>FINANCIALS!Y34/FINANCIALS!Y4</f>
        <v>7.0686928942467767E-2</v>
      </c>
      <c r="Z14" s="198">
        <f>FINANCIALS!Z34/FINANCIALS!Z4</f>
        <v>7.0738510112111117E-2</v>
      </c>
      <c r="AA14" s="198">
        <f>FINANCIALS!AA34/FINANCIALS!AA4</f>
        <v>7.0779336129179068E-2</v>
      </c>
      <c r="AB14" s="198">
        <f>FINANCIALS!AB34/FINANCIALS!AB4</f>
        <v>7.1070020437394979E-2</v>
      </c>
      <c r="AC14" s="198">
        <f>FINANCIALS!AC34/FINANCIALS!AC4</f>
        <v>7.1113061696951752E-2</v>
      </c>
      <c r="AD14" s="198">
        <f>FINANCIALS!AD34/FINANCIALS!AD4</f>
        <v>8.0777929017836814E-2</v>
      </c>
      <c r="AE14" s="198">
        <f>FINANCIALS!AE34/FINANCIALS!AE4</f>
        <v>7.9596132836233444E-2</v>
      </c>
      <c r="AF14" s="198">
        <f>FINANCIALS!AF34/FINANCIALS!AF4</f>
        <v>8.1471263120242457E-2</v>
      </c>
      <c r="AG14" s="198">
        <f>FINANCIALS!AG34/FINANCIALS!AG4</f>
        <v>7.9502897459611171E-2</v>
      </c>
      <c r="AH14" s="198">
        <f>FINANCIALS!AH34/FINANCIALS!AH4</f>
        <v>7.9125607486864299E-2</v>
      </c>
      <c r="AI14" s="198">
        <f>FINANCIALS!AI34/FINANCIALS!AI4</f>
        <v>7.9760521645848403E-2</v>
      </c>
      <c r="AJ14" s="198">
        <f>FINANCIALS!AJ34/FINANCIALS!AJ4</f>
        <v>7.5898124858999133E-2</v>
      </c>
      <c r="AK14" s="198">
        <f>FINANCIALS!AK34/FINANCIALS!AK4</f>
        <v>7.5368362012735154E-2</v>
      </c>
      <c r="AL14" s="198">
        <f>FINANCIALS!AL34/FINANCIALS!AL4</f>
        <v>7.5809381634457107E-2</v>
      </c>
      <c r="AM14" s="198">
        <f>FINANCIALS!AM34/FINANCIALS!AM4</f>
        <v>7.5573489167871946E-2</v>
      </c>
      <c r="AN14" s="198">
        <f>FINANCIALS!AN34/FINANCIALS!AN4</f>
        <v>7.6193079748846371E-2</v>
      </c>
      <c r="AO14" s="198">
        <f>FINANCIALS!AO34/FINANCIALS!AO4</f>
        <v>7.4607786794802886E-2</v>
      </c>
      <c r="AP14" s="198">
        <f>FINANCIALS!AP34/FINANCIALS!AP4</f>
        <v>7.5366936028680831E-2</v>
      </c>
      <c r="AQ14" s="198">
        <f>FINANCIALS!AQ34/FINANCIALS!AQ4</f>
        <v>7.3491369814775193E-2</v>
      </c>
      <c r="AR14" s="198">
        <f>FINANCIALS!AR34/FINANCIALS!AR4</f>
        <v>1.1397046346752045E-2</v>
      </c>
      <c r="AS14" s="198">
        <f>FINANCIALS!AS34/FINANCIALS!AS4</f>
        <v>8.6997409457344882E-2</v>
      </c>
      <c r="AT14" s="198">
        <f>FINANCIALS!AT34/FINANCIALS!AT4</f>
        <v>7.536178902656783E-2</v>
      </c>
      <c r="AU14" s="198">
        <f>FINANCIALS!AU34/FINANCIALS!AU4</f>
        <v>7.4774513506675536E-2</v>
      </c>
      <c r="AV14" s="198">
        <f>FINANCIALS!AV34/FINANCIALS!AV4</f>
        <v>7.4318837723216277E-2</v>
      </c>
      <c r="AW14" s="198">
        <f>FINANCIALS!AW34/FINANCIALS!AW4</f>
        <v>7.3394745378030396E-2</v>
      </c>
      <c r="AX14" s="198">
        <f>FINANCIALS!AX34/FINANCIALS!AX4</f>
        <v>0.10417487947704512</v>
      </c>
      <c r="AY14" s="198">
        <f>FINANCIALS!AY34/FINANCIALS!AY4</f>
        <v>7.2061171551313821E-2</v>
      </c>
      <c r="AZ14" s="198">
        <f>FINANCIALS!AZ34/FINANCIALS!AZ4</f>
        <v>7.2412117096589262E-2</v>
      </c>
      <c r="BA14" s="198">
        <f>FINANCIALS!BA34/FINANCIALS!BA4</f>
        <v>7.281582422323829E-2</v>
      </c>
      <c r="BB14" s="198">
        <f>FINANCIALS!BB34/FINANCIALS!BB4</f>
        <v>7.2815824223078765E-2</v>
      </c>
      <c r="BC14" s="198">
        <f>FINANCIALS!BC34/FINANCIALS!BC4</f>
        <v>7.1985747643960582E-2</v>
      </c>
      <c r="BD14" s="198">
        <f>FINANCIALS!BD34/FINANCIALS!BD4</f>
        <v>6.6549157264928702E-2</v>
      </c>
      <c r="BE14" s="198">
        <f>FINANCIALS!BE34/FINANCIALS!BE4</f>
        <v>4.9032123198050302E-2</v>
      </c>
      <c r="BF14" s="198">
        <f>FINANCIALS!BF34/FINANCIALS!BF4</f>
        <v>6.7471579547260477E-2</v>
      </c>
      <c r="BG14" s="198">
        <f>FINANCIALS!BG34/FINANCIALS!BG4</f>
        <v>6.7097073004918489E-2</v>
      </c>
      <c r="BH14" s="198">
        <f>FINANCIALS!BH34/FINANCIALS!BH4</f>
        <v>6.8364189200030262E-2</v>
      </c>
      <c r="BI14" s="198">
        <f>FINANCIALS!BI34/FINANCIALS!BI4</f>
        <v>6.8702850581501024E-2</v>
      </c>
      <c r="BJ14" s="198">
        <f>FINANCIALS!BJ34/FINANCIALS!BJ4</f>
        <v>6.7976253603387701E-2</v>
      </c>
      <c r="BK14" s="198">
        <f>FINANCIALS!BK34/FINANCIALS!BK4</f>
        <v>6.7600937933562047E-2</v>
      </c>
      <c r="BL14" s="198">
        <f>FINANCIALS!BL34/FINANCIALS!BL4</f>
        <v>6.7733922227257701E-2</v>
      </c>
      <c r="BM14" s="198">
        <f>FINANCIALS!BM34/FINANCIALS!BM4</f>
        <v>6.741416646560236E-2</v>
      </c>
      <c r="BN14" s="198">
        <f>FINANCIALS!BN34/FINANCIALS!BN4</f>
        <v>6.642913567291317E-2</v>
      </c>
      <c r="BO14" s="198">
        <f>FINANCIALS!BO34/FINANCIALS!BO4</f>
        <v>6.6173992005322702E-2</v>
      </c>
      <c r="BP14" s="198">
        <f>FINANCIALS!BP34/FINANCIALS!BP4</f>
        <v>6.6025015811659107E-2</v>
      </c>
      <c r="BQ14" s="198">
        <f>FINANCIALS!BQ34/FINANCIALS!BQ4</f>
        <v>6.1443634527044183E-2</v>
      </c>
      <c r="BR14" s="198">
        <f>FINANCIALS!BR34/FINANCIALS!BR4</f>
        <v>4.4864005419714741E-2</v>
      </c>
      <c r="BS14" s="198">
        <f>FINANCIALS!BS34/FINANCIALS!BS4</f>
        <v>6.3800131371450491E-2</v>
      </c>
      <c r="BT14" s="198">
        <f>FINANCIALS!BT34/FINANCIALS!BT4</f>
        <v>6.324094554283069E-2</v>
      </c>
      <c r="BU14" s="198">
        <f>FINANCIALS!BU34/FINANCIALS!BU4</f>
        <v>6.3585271764109996E-2</v>
      </c>
      <c r="BV14" s="198">
        <f>FINANCIALS!BV34/FINANCIALS!BV4</f>
        <v>6.2294165962581832E-2</v>
      </c>
      <c r="BW14" s="198">
        <f>FINANCIALS!BW34/FINANCIALS!BW4</f>
        <v>5.9886809504283385E-2</v>
      </c>
      <c r="BX14" s="198">
        <f>FINANCIALS!BX34/FINANCIALS!BX4</f>
        <v>5.9889327631988086E-2</v>
      </c>
      <c r="BY14" s="198" t="e">
        <f>FINANCIALS!BY34/FINANCIALS!BY4</f>
        <v>#DIV/0!</v>
      </c>
      <c r="BZ14" s="198">
        <f>FINANCIALS!BZ34/FINANCIALS!BZ4</f>
        <v>5.9073958101414269E-2</v>
      </c>
      <c r="CA14" s="198">
        <f>FINANCIALS!CA34/FINANCIALS!CA4</f>
        <v>5.8472627025593589E-2</v>
      </c>
      <c r="CB14" s="198">
        <f>FINANCIALS!CB34/FINANCIALS!CB4</f>
        <v>5.5225019779143188E-2</v>
      </c>
      <c r="CC14" s="198">
        <f>FINANCIALS!CC34/FINANCIALS!CC4</f>
        <v>5.5990443918720025E-2</v>
      </c>
      <c r="CD14" s="198">
        <f>FINANCIALS!CD34/FINANCIALS!CD4</f>
        <v>5.5481853632863502E-2</v>
      </c>
      <c r="CE14" s="198">
        <f>FINANCIALS!CE34/FINANCIALS!CE4</f>
        <v>3.9523593871039805E-2</v>
      </c>
    </row>
    <row r="15" spans="1:84" s="137" customFormat="1" ht="15">
      <c r="A15" s="202"/>
      <c r="B15" s="195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96"/>
      <c r="AO15" s="196"/>
      <c r="AP15" s="196"/>
      <c r="AQ15" s="196"/>
      <c r="AR15" s="196"/>
      <c r="AS15" s="196"/>
      <c r="AT15" s="196"/>
      <c r="AU15" s="196"/>
      <c r="AV15" s="196"/>
      <c r="AW15" s="196"/>
      <c r="AX15" s="196"/>
      <c r="AY15" s="196"/>
      <c r="AZ15" s="196"/>
      <c r="BA15" s="196"/>
      <c r="BB15" s="196"/>
      <c r="BC15" s="196"/>
      <c r="BD15" s="196"/>
      <c r="BE15" s="196"/>
      <c r="BF15" s="196"/>
      <c r="BG15" s="196"/>
      <c r="BH15" s="196"/>
      <c r="BI15" s="196"/>
      <c r="BJ15" s="196"/>
      <c r="BK15" s="196"/>
      <c r="BL15" s="196"/>
      <c r="BM15" s="196"/>
      <c r="BN15" s="196"/>
      <c r="BO15" s="196"/>
      <c r="BP15" s="196"/>
      <c r="BQ15" s="196"/>
      <c r="BR15" s="196"/>
      <c r="BS15" s="196"/>
      <c r="BT15" s="196"/>
      <c r="BU15" s="196"/>
      <c r="BV15" s="196"/>
      <c r="BW15" s="196"/>
      <c r="BX15" s="196"/>
      <c r="BY15" s="196"/>
      <c r="BZ15" s="196"/>
      <c r="CA15" s="196"/>
      <c r="CB15" s="196"/>
      <c r="CC15" s="196"/>
      <c r="CD15" s="196"/>
      <c r="CE15" s="196"/>
    </row>
    <row r="16" spans="1:84" s="137" customFormat="1" ht="15">
      <c r="A16" s="202">
        <v>2.2000000000000002</v>
      </c>
      <c r="B16" s="191" t="s">
        <v>143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  <c r="AL16" s="196"/>
      <c r="AM16" s="196"/>
      <c r="AN16" s="196"/>
      <c r="AO16" s="196"/>
      <c r="AP16" s="196"/>
      <c r="AQ16" s="196"/>
      <c r="AR16" s="196"/>
      <c r="AS16" s="196"/>
      <c r="AT16" s="196"/>
      <c r="AU16" s="196"/>
      <c r="AV16" s="196"/>
      <c r="AW16" s="196"/>
      <c r="AX16" s="196"/>
      <c r="AY16" s="196"/>
      <c r="AZ16" s="196"/>
      <c r="BA16" s="196"/>
      <c r="BB16" s="196"/>
      <c r="BC16" s="196"/>
      <c r="BD16" s="196"/>
      <c r="BE16" s="196"/>
      <c r="BF16" s="196"/>
      <c r="BG16" s="196"/>
      <c r="BH16" s="196"/>
      <c r="BI16" s="196"/>
      <c r="BJ16" s="196"/>
      <c r="BK16" s="196"/>
      <c r="BL16" s="196"/>
      <c r="BM16" s="196"/>
      <c r="BN16" s="196"/>
      <c r="BO16" s="196"/>
      <c r="BP16" s="196"/>
      <c r="BQ16" s="196"/>
      <c r="BR16" s="196"/>
      <c r="BS16" s="196"/>
      <c r="BT16" s="196"/>
      <c r="BU16" s="196"/>
      <c r="BV16" s="196"/>
      <c r="BW16" s="196"/>
      <c r="BX16" s="196"/>
      <c r="BY16" s="196"/>
      <c r="BZ16" s="196"/>
      <c r="CA16" s="196"/>
      <c r="CB16" s="196"/>
      <c r="CC16" s="196"/>
      <c r="CD16" s="196"/>
      <c r="CE16" s="196"/>
    </row>
    <row r="17" spans="1:84" s="137" customFormat="1" ht="15">
      <c r="A17" s="202" t="s">
        <v>144</v>
      </c>
      <c r="B17" s="195" t="s">
        <v>145</v>
      </c>
      <c r="C17" s="196" t="s">
        <v>142</v>
      </c>
      <c r="D17" s="198">
        <f>FINANCIALS!D25/FINANCIALS!D5</f>
        <v>8.8380274686663221E-2</v>
      </c>
      <c r="E17" s="198">
        <f>FINANCIALS!E25/FINANCIALS!E5</f>
        <v>0.10024910826160639</v>
      </c>
      <c r="F17" s="198">
        <f>FINANCIALS!F25/FINANCIALS!F5</f>
        <v>8.0961188468211251E-2</v>
      </c>
      <c r="G17" s="198">
        <f>FINANCIALS!G25/FINANCIALS!G5</f>
        <v>0</v>
      </c>
      <c r="H17" s="198">
        <f>FINANCIALS!H25/FINANCIALS!H5</f>
        <v>0</v>
      </c>
      <c r="I17" s="198">
        <f>FINANCIALS!I25/FINANCIALS!I5</f>
        <v>0</v>
      </c>
      <c r="J17" s="198">
        <f>FINANCIALS!J25/FINANCIALS!J5</f>
        <v>6.2080436905577303E-2</v>
      </c>
      <c r="K17" s="198">
        <f>FINANCIALS!K25/FINANCIALS!K5</f>
        <v>6.2080436905577303E-2</v>
      </c>
      <c r="L17" s="198">
        <f>FINANCIALS!L25/FINANCIALS!L5</f>
        <v>6.1583564942375067E-2</v>
      </c>
      <c r="M17" s="198">
        <f>FINANCIALS!M25/FINANCIALS!M5</f>
        <v>6.0655646731456854E-2</v>
      </c>
      <c r="N17" s="198">
        <f>FINANCIALS!N25/FINANCIALS!N5</f>
        <v>6.060176990923432E-2</v>
      </c>
      <c r="O17" s="198">
        <f>FINANCIALS!O25/FINANCIALS!O5</f>
        <v>6.0076389295229647E-2</v>
      </c>
      <c r="P17" s="198">
        <f>FINANCIALS!P25/FINANCIALS!P5</f>
        <v>5.9284192251062282E-2</v>
      </c>
      <c r="Q17" s="198">
        <f>FINANCIALS!Q25/FINANCIALS!Q5</f>
        <v>5.8864491612867192E-2</v>
      </c>
      <c r="R17" s="198">
        <f>FINANCIALS!R25/FINANCIALS!R5</f>
        <v>5.6971649985224158E-2</v>
      </c>
      <c r="S17" s="198">
        <f>FINANCIALS!S25/FINANCIALS!S5</f>
        <v>6.8162931948690539E-2</v>
      </c>
      <c r="T17" s="198">
        <f>FINANCIALS!T25/FINANCIALS!T5</f>
        <v>5.7304383961604269E-2</v>
      </c>
      <c r="U17" s="198">
        <f>FINANCIALS!U25/FINANCIALS!U5</f>
        <v>5.6748098388087628E-2</v>
      </c>
      <c r="V17" s="198">
        <f>FINANCIALS!V25/FINANCIALS!V5</f>
        <v>5.6439734886663567E-2</v>
      </c>
      <c r="W17" s="198">
        <f>FINANCIALS!W25/FINANCIALS!W5</f>
        <v>5.4769508021319878E-2</v>
      </c>
      <c r="X17" s="198">
        <f>FINANCIALS!X25/FINANCIALS!X5</f>
        <v>4.2841192007143716E-2</v>
      </c>
      <c r="Y17" s="198">
        <f>FINANCIALS!Y25/FINANCIALS!Y5</f>
        <v>4.2243851890767223E-2</v>
      </c>
      <c r="Z17" s="198">
        <f>FINANCIALS!Z25/FINANCIALS!Z5</f>
        <v>4.2252276798636502E-2</v>
      </c>
      <c r="AA17" s="198">
        <f>FINANCIALS!AA25/FINANCIALS!AA5</f>
        <v>4.2195377550611403E-2</v>
      </c>
      <c r="AB17" s="198">
        <f>FINANCIALS!AB25/FINANCIALS!AB5</f>
        <v>4.2212899024357133E-2</v>
      </c>
      <c r="AC17" s="198">
        <f>FINANCIALS!AC25/FINANCIALS!AC5</f>
        <v>4.1663364062863931E-2</v>
      </c>
      <c r="AD17" s="198">
        <f>FINANCIALS!AD25/FINANCIALS!AD5</f>
        <v>4.1526701306925019E-2</v>
      </c>
      <c r="AE17" s="198">
        <f>FINANCIALS!AE25/FINANCIALS!AE5</f>
        <v>4.065861952736894E-2</v>
      </c>
      <c r="AF17" s="198">
        <f>FINANCIALS!AF25/FINANCIALS!AF5</f>
        <v>6.0451835245708394E-2</v>
      </c>
      <c r="AG17" s="198">
        <f>FINANCIALS!AG25/FINANCIALS!AG5</f>
        <v>5.9079179328549031E-2</v>
      </c>
      <c r="AH17" s="198">
        <f>FINANCIALS!AH25/FINANCIALS!AH5</f>
        <v>5.8742336010044395E-2</v>
      </c>
      <c r="AI17" s="198">
        <f>FINANCIALS!AI25/FINANCIALS!AI5</f>
        <v>5.8455517025264234E-2</v>
      </c>
      <c r="AJ17" s="198">
        <f>FINANCIALS!AJ25/FINANCIALS!AJ5</f>
        <v>5.7908053742853197E-2</v>
      </c>
      <c r="AK17" s="198">
        <f>FINANCIALS!AK25/FINANCIALS!AK5</f>
        <v>5.7343153377605149E-2</v>
      </c>
      <c r="AL17" s="198">
        <f>FINANCIALS!AL25/FINANCIALS!AL5</f>
        <v>6.1848065361828714E-2</v>
      </c>
      <c r="AM17" s="198">
        <f>FINANCIALS!AM25/FINANCIALS!AM5</f>
        <v>6.1641485681751138E-2</v>
      </c>
      <c r="AN17" s="198">
        <f>FINANCIALS!AN25/FINANCIALS!AN5</f>
        <v>6.1975320453679761E-2</v>
      </c>
      <c r="AO17" s="198">
        <f>FINANCIALS!AO25/FINANCIALS!AO5</f>
        <v>6.021390697618309E-2</v>
      </c>
      <c r="AP17" s="198">
        <f>FINANCIALS!AP25/FINANCIALS!AP5</f>
        <v>5.8375518990954819E-2</v>
      </c>
      <c r="AQ17" s="198">
        <f>FINANCIALS!AQ25/FINANCIALS!AQ5</f>
        <v>5.7069206980563371E-2</v>
      </c>
      <c r="AR17" s="198">
        <f>FINANCIALS!AR25/FINANCIALS!AR5</f>
        <v>3.2448860329966425E-2</v>
      </c>
      <c r="AS17" s="198">
        <f>FINANCIALS!AS25/FINANCIALS!AS5</f>
        <v>5.7643973040404306E-2</v>
      </c>
      <c r="AT17" s="198">
        <f>FINANCIALS!AT25/FINANCIALS!AT5</f>
        <v>5.6943655718030506E-2</v>
      </c>
      <c r="AU17" s="198">
        <f>FINANCIALS!AU25/FINANCIALS!AU5</f>
        <v>5.6307702994966471E-2</v>
      </c>
      <c r="AV17" s="198">
        <f>FINANCIALS!AV25/FINANCIALS!AV5</f>
        <v>5.5836819648245863E-2</v>
      </c>
      <c r="AW17" s="198">
        <f>FINANCIALS!AW25/FINANCIALS!AW5</f>
        <v>5.5180400629624378E-2</v>
      </c>
      <c r="AX17" s="198">
        <f>FINANCIALS!AX25/FINANCIALS!AX5</f>
        <v>5.4670822983420686E-2</v>
      </c>
      <c r="AY17" s="198">
        <f>FINANCIALS!AY25/FINANCIALS!AY5</f>
        <v>5.4140281095603704E-2</v>
      </c>
      <c r="AZ17" s="198">
        <f>FINANCIALS!AZ25/FINANCIALS!AZ5</f>
        <v>5.3797828473894187E-2</v>
      </c>
      <c r="BA17" s="198">
        <f>FINANCIALS!BA25/FINANCIALS!BA5</f>
        <v>5.450077444242326E-2</v>
      </c>
      <c r="BB17" s="198">
        <f>FINANCIALS!BB25/FINANCIALS!BB5</f>
        <v>5.450077444242326E-2</v>
      </c>
      <c r="BC17" s="198">
        <f>FINANCIALS!BC25/FINANCIALS!BC5</f>
        <v>5.3355926544968436E-2</v>
      </c>
      <c r="BD17" s="198">
        <f>FINANCIALS!BD25/FINANCIALS!BD5</f>
        <v>5.1971945074230801E-2</v>
      </c>
      <c r="BE17" s="198">
        <f>FINANCIALS!BE25/FINANCIALS!BE5</f>
        <v>0.22587928648926867</v>
      </c>
      <c r="BF17" s="198">
        <f>FINANCIALS!BF25/FINANCIALS!BF5</f>
        <v>5.3136567868220012E-2</v>
      </c>
      <c r="BG17" s="198">
        <f>FINANCIALS!BG25/FINANCIALS!BG5</f>
        <v>5.3397934020786561E-2</v>
      </c>
      <c r="BH17" s="198">
        <f>FINANCIALS!BH25/FINANCIALS!BH5</f>
        <v>5.353628731874914E-2</v>
      </c>
      <c r="BI17" s="198">
        <f>FINANCIALS!BI25/FINANCIALS!BI5</f>
        <v>5.5046569848569454E-2</v>
      </c>
      <c r="BJ17" s="198">
        <f>FINANCIALS!BJ25/FINANCIALS!BJ5</f>
        <v>5.4391789474118726E-2</v>
      </c>
      <c r="BK17" s="198">
        <f>FINANCIALS!BK25/FINANCIALS!BK5</f>
        <v>5.8489901841315133E-2</v>
      </c>
      <c r="BL17" s="198">
        <f>FINANCIALS!BL25/FINANCIALS!BL5</f>
        <v>5.8376826894572527E-2</v>
      </c>
      <c r="BM17" s="198">
        <f>FINANCIALS!BM25/FINANCIALS!BM5</f>
        <v>5.3948053252290247E-2</v>
      </c>
      <c r="BN17" s="198">
        <f>FINANCIALS!BN25/FINANCIALS!BN5</f>
        <v>5.1345951298494598E-2</v>
      </c>
      <c r="BO17" s="198">
        <f>FINANCIALS!BO25/FINANCIALS!BO5</f>
        <v>5.0391929997692549E-2</v>
      </c>
      <c r="BP17" s="198">
        <f>FINANCIALS!BP25/FINANCIALS!BP5</f>
        <v>5.0090724734753629E-2</v>
      </c>
      <c r="BQ17" s="198">
        <f>FINANCIALS!BQ25/FINANCIALS!BQ5</f>
        <v>4.9261420937451915E-2</v>
      </c>
      <c r="BR17" s="198">
        <f>FINANCIALS!BR25/FINANCIALS!BR5</f>
        <v>0.20896373628150602</v>
      </c>
      <c r="BS17" s="198">
        <f>FINANCIALS!BS25/FINANCIALS!BS5</f>
        <v>4.9388611143916877E-2</v>
      </c>
      <c r="BT17" s="198">
        <f>FINANCIALS!BT25/FINANCIALS!BT5</f>
        <v>4.9683008960936706E-2</v>
      </c>
      <c r="BU17" s="198">
        <f>FINANCIALS!BU25/FINANCIALS!BU5</f>
        <v>4.9825977910433861E-2</v>
      </c>
      <c r="BV17" s="198">
        <f>FINANCIALS!BV25/FINANCIALS!BV5</f>
        <v>4.8078676764626328E-2</v>
      </c>
      <c r="BW17" s="198">
        <f>FINANCIALS!BW25/FINANCIALS!BW5</f>
        <v>4.7652233430953116E-2</v>
      </c>
      <c r="BX17" s="198">
        <f>FINANCIALS!BX25/FINANCIALS!BX5</f>
        <v>4.8368078071244575E-2</v>
      </c>
      <c r="BY17" s="198" t="e">
        <f>FINANCIALS!BY25/FINANCIALS!BY5</f>
        <v>#DIV/0!</v>
      </c>
      <c r="BZ17" s="198">
        <f>FINANCIALS!BZ25/FINANCIALS!BZ5</f>
        <v>5.2252824885163522E-2</v>
      </c>
      <c r="CA17" s="198">
        <f>FINANCIALS!CA25/FINANCIALS!CA5</f>
        <v>5.207018874956916E-2</v>
      </c>
      <c r="CB17" s="198">
        <f>FINANCIALS!CB25/FINANCIALS!CB5</f>
        <v>5.1797112296327392E-2</v>
      </c>
      <c r="CC17" s="198">
        <f>FINANCIALS!CC25/FINANCIALS!CC5</f>
        <v>4.0139236696952775E-2</v>
      </c>
      <c r="CD17" s="198">
        <f>FINANCIALS!CD25/FINANCIALS!CD5</f>
        <v>4.7233229395389646E-2</v>
      </c>
      <c r="CE17" s="198">
        <f>FINANCIALS!CE25/FINANCIALS!CE5</f>
        <v>0.19323058772112506</v>
      </c>
    </row>
    <row r="18" spans="1:84" s="137" customFormat="1" ht="15">
      <c r="A18" s="202" t="s">
        <v>146</v>
      </c>
      <c r="B18" s="195" t="s">
        <v>147</v>
      </c>
      <c r="C18" s="196" t="s">
        <v>148</v>
      </c>
      <c r="D18" s="198">
        <f>FINANCIALS!D25/FINANCIALS!D12</f>
        <v>-1.9242132250966206</v>
      </c>
      <c r="E18" s="198">
        <f>FINANCIALS!E25/FINANCIALS!E12</f>
        <v>1.0760625093209248</v>
      </c>
      <c r="F18" s="198">
        <f>FINANCIALS!F25/FINANCIALS!F12</f>
        <v>0.41328556814211054</v>
      </c>
      <c r="G18" s="198">
        <f>FINANCIALS!G25/FINANCIALS!G12</f>
        <v>0</v>
      </c>
      <c r="H18" s="198">
        <f>FINANCIALS!H25/FINANCIALS!H12</f>
        <v>0</v>
      </c>
      <c r="I18" s="198">
        <f>FINANCIALS!I25/FINANCIALS!I12</f>
        <v>0</v>
      </c>
      <c r="J18" s="198">
        <f>FINANCIALS!J25/FINANCIALS!J12</f>
        <v>0.34567323914404846</v>
      </c>
      <c r="K18" s="198">
        <f>FINANCIALS!K25/FINANCIALS!K12</f>
        <v>0.47702802813915163</v>
      </c>
      <c r="L18" s="198">
        <f>FINANCIALS!L25/FINANCIALS!L12</f>
        <v>0.30318102687740373</v>
      </c>
      <c r="M18" s="198">
        <f>FINANCIALS!M25/FINANCIALS!M12</f>
        <v>0.29960967125699856</v>
      </c>
      <c r="N18" s="198">
        <f>FINANCIALS!N25/FINANCIALS!N12</f>
        <v>0.29897406787937075</v>
      </c>
      <c r="O18" s="198">
        <f>FINANCIALS!O25/FINANCIALS!O12</f>
        <v>0.28275981338711426</v>
      </c>
      <c r="P18" s="198">
        <f>FINANCIALS!P25/FINANCIALS!P12</f>
        <v>0.28363172058600233</v>
      </c>
      <c r="Q18" s="198">
        <f>FINANCIALS!Q25/FINANCIALS!Q12</f>
        <v>0.27117694213032917</v>
      </c>
      <c r="R18" s="198">
        <f>FINANCIALS!R25/FINANCIALS!R12</f>
        <v>0.27042384669073172</v>
      </c>
      <c r="S18" s="198">
        <f>FINANCIALS!S25/FINANCIALS!S12</f>
        <v>0.36013093770915122</v>
      </c>
      <c r="T18" s="198">
        <f>FINANCIALS!T25/FINANCIALS!T12</f>
        <v>0.2844751103981733</v>
      </c>
      <c r="U18" s="198">
        <f>FINANCIALS!U25/FINANCIALS!U12</f>
        <v>0.25349751696404482</v>
      </c>
      <c r="V18" s="198">
        <f>FINANCIALS!V25/FINANCIALS!V12</f>
        <v>0.25281122920528176</v>
      </c>
      <c r="W18" s="198">
        <f>FINANCIALS!W25/FINANCIALS!W12</f>
        <v>0.27113893763598557</v>
      </c>
      <c r="X18" s="198">
        <f>FINANCIALS!X25/FINANCIALS!X12</f>
        <v>0.13772004461830623</v>
      </c>
      <c r="Y18" s="198">
        <f>FINANCIALS!Y25/FINANCIALS!Y12</f>
        <v>0.13989681799450443</v>
      </c>
      <c r="Z18" s="198">
        <f>FINANCIALS!Z25/FINANCIALS!Z12</f>
        <v>0.13639611496348081</v>
      </c>
      <c r="AA18" s="198">
        <f>FINANCIALS!AA25/FINANCIALS!AA12</f>
        <v>0.13272673872555937</v>
      </c>
      <c r="AB18" s="198">
        <f>FINANCIALS!AB25/FINANCIALS!AB12</f>
        <v>0.13039738197048995</v>
      </c>
      <c r="AC18" s="198">
        <f>FINANCIALS!AC25/FINANCIALS!AC12</f>
        <v>0.13182584446239481</v>
      </c>
      <c r="AD18" s="198">
        <f>FINANCIALS!AD25/FINANCIALS!AD12</f>
        <v>0.13277197243024302</v>
      </c>
      <c r="AE18" s="198">
        <f>FINANCIALS!AE25/FINANCIALS!AE12</f>
        <v>0.13339703962391872</v>
      </c>
      <c r="AF18" s="198">
        <f>FINANCIALS!AF25/FINANCIALS!AF12</f>
        <v>0.19665893651792182</v>
      </c>
      <c r="AG18" s="198">
        <f>FINANCIALS!AG25/FINANCIALS!AG12</f>
        <v>0.19456385102238508</v>
      </c>
      <c r="AH18" s="198">
        <f>FINANCIALS!AH25/FINANCIALS!AH12</f>
        <v>0.19374217710553404</v>
      </c>
      <c r="AI18" s="198">
        <f>FINANCIALS!AI25/FINANCIALS!AI12</f>
        <v>0.19816833477450177</v>
      </c>
      <c r="AJ18" s="198">
        <f>FINANCIALS!AJ25/FINANCIALS!AJ12</f>
        <v>0.19712221918801984</v>
      </c>
      <c r="AK18" s="198">
        <f>FINANCIALS!AK25/FINANCIALS!AK12</f>
        <v>0.1940259733876798</v>
      </c>
      <c r="AL18" s="198">
        <f>FINANCIALS!AL25/FINANCIALS!AL12</f>
        <v>0.20989013074032994</v>
      </c>
      <c r="AM18" s="198">
        <f>FINANCIALS!AM25/FINANCIALS!AM12</f>
        <v>0.20709419420437383</v>
      </c>
      <c r="AN18" s="198">
        <f>FINANCIALS!AN25/FINANCIALS!AN12</f>
        <v>0.20707138490038485</v>
      </c>
      <c r="AO18" s="198">
        <f>FINANCIALS!AO25/FINANCIALS!AO12</f>
        <v>0.20314641591726076</v>
      </c>
      <c r="AP18" s="198">
        <f>FINANCIALS!AP25/FINANCIALS!AP12</f>
        <v>0.22776384784932094</v>
      </c>
      <c r="AQ18" s="198">
        <f>FINANCIALS!AQ25/FINANCIALS!AQ12</f>
        <v>0.22003948453614305</v>
      </c>
      <c r="AR18" s="198">
        <f>FINANCIALS!AR25/FINANCIALS!AR12</f>
        <v>0.14813756382815557</v>
      </c>
      <c r="AS18" s="198">
        <f>FINANCIALS!AS25/FINANCIALS!AS12</f>
        <v>0.22364226372438376</v>
      </c>
      <c r="AT18" s="198">
        <f>FINANCIALS!AT25/FINANCIALS!AT12</f>
        <v>0.22446003709218929</v>
      </c>
      <c r="AU18" s="198">
        <f>FINANCIALS!AU25/FINANCIALS!AU12</f>
        <v>0.21806169526602531</v>
      </c>
      <c r="AV18" s="198">
        <f>FINANCIALS!AV25/FINANCIALS!AV12</f>
        <v>0.21274545008902301</v>
      </c>
      <c r="AW18" s="198">
        <f>FINANCIALS!AW25/FINANCIALS!AW12</f>
        <v>0.20458481201312381</v>
      </c>
      <c r="AX18" s="198">
        <f>FINANCIALS!AX25/FINANCIALS!AX12</f>
        <v>0.21730374438471481</v>
      </c>
      <c r="AY18" s="198">
        <f>FINANCIALS!AY25/FINANCIALS!AY12</f>
        <v>0.21258796315474798</v>
      </c>
      <c r="AZ18" s="198">
        <f>FINANCIALS!AZ25/FINANCIALS!AZ12</f>
        <v>0.2131172284061939</v>
      </c>
      <c r="BA18" s="198">
        <f>FINANCIALS!BA25/FINANCIALS!BA12</f>
        <v>0.20256425000852507</v>
      </c>
      <c r="BB18" s="198">
        <f>FINANCIALS!BB25/FINANCIALS!BB12</f>
        <v>0.20256425000852507</v>
      </c>
      <c r="BC18" s="198">
        <f>FINANCIALS!BC25/FINANCIALS!BC12</f>
        <v>0.19444937216312638</v>
      </c>
      <c r="BD18" s="198">
        <f>FINANCIALS!BD25/FINANCIALS!BD12</f>
        <v>0.201793614099052</v>
      </c>
      <c r="BE18" s="198">
        <f>FINANCIALS!BE25/FINANCIALS!BE12</f>
        <v>0.90802922377516693</v>
      </c>
      <c r="BF18" s="198">
        <f>FINANCIALS!BF25/FINANCIALS!BF12</f>
        <v>0.19404885895790189</v>
      </c>
      <c r="BG18" s="198">
        <f>FINANCIALS!BG25/FINANCIALS!BG12</f>
        <v>0.17875468913314344</v>
      </c>
      <c r="BH18" s="198">
        <f>FINANCIALS!BH25/FINANCIALS!BH12</f>
        <v>0.19337031036079802</v>
      </c>
      <c r="BI18" s="198">
        <f>FINANCIALS!BI25/FINANCIALS!BI12</f>
        <v>0.20058286671896308</v>
      </c>
      <c r="BJ18" s="198">
        <f>FINANCIALS!BJ25/FINANCIALS!BJ12</f>
        <v>0.20080628382388202</v>
      </c>
      <c r="BK18" s="198">
        <f>FINANCIALS!BK25/FINANCIALS!BK12</f>
        <v>0.21631168948865159</v>
      </c>
      <c r="BL18" s="198">
        <f>FINANCIALS!BL25/FINANCIALS!BL12</f>
        <v>0.22030215552245538</v>
      </c>
      <c r="BM18" s="198">
        <f>FINANCIALS!BM25/FINANCIALS!BM12</f>
        <v>0.20189740546810922</v>
      </c>
      <c r="BN18" s="198">
        <f>FINANCIALS!BN25/FINANCIALS!BN12</f>
        <v>0.18327440670543643</v>
      </c>
      <c r="BO18" s="198">
        <f>FINANCIALS!BO25/FINANCIALS!BO12</f>
        <v>0.1859079810460911</v>
      </c>
      <c r="BP18" s="198">
        <f>FINANCIALS!BP25/FINANCIALS!BP12</f>
        <v>0.18424443286977446</v>
      </c>
      <c r="BQ18" s="198">
        <f>FINANCIALS!BQ25/FINANCIALS!BQ12</f>
        <v>0.1845045096088864</v>
      </c>
      <c r="BR18" s="198">
        <f>FINANCIALS!BR25/FINANCIALS!BR12</f>
        <v>0.87872588510954575</v>
      </c>
      <c r="BS18" s="198">
        <f>FINANCIALS!BS25/FINANCIALS!BS12</f>
        <v>0.18832659972023283</v>
      </c>
      <c r="BT18" s="198">
        <f>FINANCIALS!BT25/FINANCIALS!BT12</f>
        <v>0.18577421221817125</v>
      </c>
      <c r="BU18" s="198">
        <f>FINANCIALS!BU25/FINANCIALS!BU12</f>
        <v>0.18131414213453806</v>
      </c>
      <c r="BV18" s="198">
        <f>FINANCIALS!BV25/FINANCIALS!BV12</f>
        <v>0.18588514197564338</v>
      </c>
      <c r="BW18" s="198">
        <f>FINANCIALS!BW25/FINANCIALS!BW12</f>
        <v>0.18471598484764595</v>
      </c>
      <c r="BX18" s="198">
        <f>FINANCIALS!BX25/FINANCIALS!BX12</f>
        <v>0.19148909104075884</v>
      </c>
      <c r="BY18" s="198">
        <f>FINANCIALS!BY25/FINANCIALS!BY12</f>
        <v>0</v>
      </c>
      <c r="BZ18" s="198">
        <f>FINANCIALS!BZ25/FINANCIALS!BZ12</f>
        <v>0.19386622709003221</v>
      </c>
      <c r="CA18" s="198">
        <f>FINANCIALS!CA25/FINANCIALS!CA12</f>
        <v>0.193486168212117</v>
      </c>
      <c r="CB18" s="198">
        <f>FINANCIALS!CB25/FINANCIALS!CB12</f>
        <v>0.18878174658312585</v>
      </c>
      <c r="CC18" s="198">
        <f>FINANCIALS!CC25/FINANCIALS!CC12</f>
        <v>0.14267740926844241</v>
      </c>
      <c r="CD18" s="198">
        <f>FINANCIALS!CD25/FINANCIALS!CD12</f>
        <v>0.18650491945840994</v>
      </c>
      <c r="CE18" s="198">
        <f>FINANCIALS!CE25/FINANCIALS!CE12</f>
        <v>0.84671404496705382</v>
      </c>
    </row>
    <row r="19" spans="1:84" s="137" customFormat="1" ht="15">
      <c r="A19" s="202" t="s">
        <v>149</v>
      </c>
      <c r="B19" s="195" t="s">
        <v>150</v>
      </c>
      <c r="C19" s="195"/>
      <c r="D19" s="198">
        <f>FINANCIALS!D30/FINANCIALS!D4</f>
        <v>0.63617925066672065</v>
      </c>
      <c r="E19" s="198">
        <f>FINANCIALS!E30/FINANCIALS!E4</f>
        <v>0.37667725848344497</v>
      </c>
      <c r="F19" s="198">
        <f>FINANCIALS!F30/FINANCIALS!F4</f>
        <v>0.39436481145332619</v>
      </c>
      <c r="G19" s="198">
        <f>FINANCIALS!G30/FINANCIALS!G4</f>
        <v>0.5194818690036852</v>
      </c>
      <c r="H19" s="198">
        <f>FINANCIALS!H30/FINANCIALS!H4</f>
        <v>0.44903004261899837</v>
      </c>
      <c r="I19" s="198">
        <f>FINANCIALS!I30/FINANCIALS!I4</f>
        <v>0.42710872429041236</v>
      </c>
      <c r="J19" s="198">
        <f>FINANCIALS!J30/FINANCIALS!J4</f>
        <v>0.4030541064987177</v>
      </c>
      <c r="K19" s="198">
        <f>FINANCIALS!K30/FINANCIALS!K4</f>
        <v>0.74404803929127927</v>
      </c>
      <c r="L19" s="198">
        <f>FINANCIALS!L30/FINANCIALS!L4</f>
        <v>0.40262901586593602</v>
      </c>
      <c r="M19" s="198">
        <f>FINANCIALS!M30/FINANCIALS!M4</f>
        <v>0.41192059862693114</v>
      </c>
      <c r="N19" s="198">
        <f>FINANCIALS!N30/FINANCIALS!N4</f>
        <v>0.41231982543636231</v>
      </c>
      <c r="O19" s="198">
        <f>FINANCIALS!O30/FINANCIALS!O4</f>
        <v>0.68674548130181157</v>
      </c>
      <c r="P19" s="198">
        <f>FINANCIALS!P30/FINANCIALS!P4</f>
        <v>0.44009174497962195</v>
      </c>
      <c r="Q19" s="198">
        <f>FINANCIALS!Q30/FINANCIALS!Q4</f>
        <v>0.4387644359411853</v>
      </c>
      <c r="R19" s="198">
        <f>FINANCIALS!R30/FINANCIALS!R4</f>
        <v>0.45220400935500948</v>
      </c>
      <c r="S19" s="198">
        <f>FINANCIALS!S30/FINANCIALS!S4</f>
        <v>0.34184729927349389</v>
      </c>
      <c r="T19" s="198">
        <f>FINANCIALS!T30/FINANCIALS!T4</f>
        <v>0.47831193417136214</v>
      </c>
      <c r="U19" s="198">
        <f>FINANCIALS!U30/FINANCIALS!U4</f>
        <v>0.35105004972681969</v>
      </c>
      <c r="V19" s="198">
        <f>FINANCIALS!V30/FINANCIALS!V4</f>
        <v>0.36147471241510909</v>
      </c>
      <c r="W19" s="198">
        <f>FINANCIALS!W30/FINANCIALS!W4</f>
        <v>0.37284636379322333</v>
      </c>
      <c r="X19" s="198">
        <f>FINANCIALS!X30/FINANCIALS!X4</f>
        <v>0.30426382588232609</v>
      </c>
      <c r="Y19" s="198">
        <f>FINANCIALS!Y30/FINANCIALS!Y4</f>
        <v>0.31273835633754599</v>
      </c>
      <c r="Z19" s="198">
        <f>FINANCIALS!Z30/FINANCIALS!Z4</f>
        <v>0.31095583062616194</v>
      </c>
      <c r="AA19" s="198">
        <f>FINANCIALS!AA30/FINANCIALS!AA4</f>
        <v>0.32656111667857357</v>
      </c>
      <c r="AB19" s="198">
        <f>FINANCIALS!AB30/FINANCIALS!AB4</f>
        <v>0.32920331930041624</v>
      </c>
      <c r="AC19" s="198">
        <f>FINANCIALS!AC30/FINANCIALS!AC4</f>
        <v>0.31440825728303229</v>
      </c>
      <c r="AD19" s="198">
        <f>FINANCIALS!AD30/FINANCIALS!AD4</f>
        <v>0.32025698216050352</v>
      </c>
      <c r="AE19" s="198">
        <f>FINANCIALS!AE30/FINANCIALS!AE4</f>
        <v>0.31258893787246039</v>
      </c>
      <c r="AF19" s="198">
        <f>FINANCIALS!AF30/FINANCIALS!AF4</f>
        <v>0.32441528712572709</v>
      </c>
      <c r="AG19" s="198">
        <f>FINANCIALS!AG30/FINANCIALS!AG4</f>
        <v>0.32381078894361726</v>
      </c>
      <c r="AH19" s="198">
        <f>FINANCIALS!AH30/FINANCIALS!AH4</f>
        <v>0.34493160813720003</v>
      </c>
      <c r="AI19" s="198">
        <f>FINANCIALS!AI30/FINANCIALS!AI4</f>
        <v>0.35575779651131872</v>
      </c>
      <c r="AJ19" s="198">
        <f>FINANCIALS!AJ30/FINANCIALS!AJ4</f>
        <v>0.33425318436222168</v>
      </c>
      <c r="AK19" s="198">
        <f>FINANCIALS!AK30/FINANCIALS!AK4</f>
        <v>0.33410377520614093</v>
      </c>
      <c r="AL19" s="198">
        <f>FINANCIALS!AL30/FINANCIALS!AL4</f>
        <v>0.34104052572737686</v>
      </c>
      <c r="AM19" s="198">
        <f>FINANCIALS!AM30/FINANCIALS!AM4</f>
        <v>0.36454496657556756</v>
      </c>
      <c r="AN19" s="198">
        <f>FINANCIALS!AN30/FINANCIALS!AN4</f>
        <v>0.36715096102080819</v>
      </c>
      <c r="AO19" s="198">
        <f>FINANCIALS!AO30/FINANCIALS!AO4</f>
        <v>0.35503411986966543</v>
      </c>
      <c r="AP19" s="198">
        <f>FINANCIALS!AP30/FINANCIALS!AP4</f>
        <v>0.38826089681230341</v>
      </c>
      <c r="AQ19" s="198">
        <f>FINANCIALS!AQ30/FINANCIALS!AQ4</f>
        <v>0.36638693722555332</v>
      </c>
      <c r="AR19" s="198">
        <f>FINANCIALS!AR30/FINANCIALS!AR4</f>
        <v>0.35378364175634425</v>
      </c>
      <c r="AS19" s="198">
        <f>FINANCIALS!AS30/FINANCIALS!AS4</f>
        <v>0.37803126979980151</v>
      </c>
      <c r="AT19" s="198">
        <f>FINANCIALS!AT30/FINANCIALS!AT4</f>
        <v>0.38599872760104048</v>
      </c>
      <c r="AU19" s="198">
        <f>FINANCIALS!AU30/FINANCIALS!AU4</f>
        <v>0.36814521691470586</v>
      </c>
      <c r="AV19" s="198">
        <f>FINANCIALS!AV30/FINANCIALS!AV4</f>
        <v>0.36827923052104716</v>
      </c>
      <c r="AW19" s="198">
        <f>FINANCIALS!AW30/FINANCIALS!AW4</f>
        <v>0.35501562454197061</v>
      </c>
      <c r="AX19" s="198">
        <f>FINANCIALS!AX30/FINANCIALS!AX4</f>
        <v>0.50414732839956877</v>
      </c>
      <c r="AY19" s="198">
        <f>FINANCIALS!AY30/FINANCIALS!AY4</f>
        <v>0.3481647453167363</v>
      </c>
      <c r="AZ19" s="198">
        <f>FINANCIALS!AZ30/FINANCIALS!AZ4</f>
        <v>0.33197403698233907</v>
      </c>
      <c r="BA19" s="198">
        <f>FINANCIALS!BA30/FINANCIALS!BA4</f>
        <v>0.33068356775847624</v>
      </c>
      <c r="BB19" s="198">
        <f>FINANCIALS!BB30/FINANCIALS!BB4</f>
        <v>0.33068356775994256</v>
      </c>
      <c r="BC19" s="198">
        <f>FINANCIALS!BC30/FINANCIALS!BC4</f>
        <v>0.33687919082947554</v>
      </c>
      <c r="BD19" s="198">
        <f>FINANCIALS!BD30/FINANCIALS!BD4</f>
        <v>0.30697023310486621</v>
      </c>
      <c r="BE19" s="198">
        <f>FINANCIALS!BE30/FINANCIALS!BE4</f>
        <v>0.29452241106384508</v>
      </c>
      <c r="BF19" s="198">
        <f>FINANCIALS!BF30/FINANCIALS!BF4</f>
        <v>0.34382082784093754</v>
      </c>
      <c r="BG19" s="198">
        <f>FINANCIALS!BG30/FINANCIALS!BG4</f>
        <v>0.34776137480363473</v>
      </c>
      <c r="BH19" s="198">
        <f>FINANCIALS!BH30/FINANCIALS!BH4</f>
        <v>0.34742304794474049</v>
      </c>
      <c r="BI19" s="198">
        <f>FINANCIALS!BI30/FINANCIALS!BI4</f>
        <v>0.347547525199978</v>
      </c>
      <c r="BJ19" s="198">
        <f>FINANCIALS!BJ30/FINANCIALS!BJ4</f>
        <v>0.35390036948843329</v>
      </c>
      <c r="BK19" s="198">
        <f>FINANCIALS!BK30/FINANCIALS!BK4</f>
        <v>0.34410611800809815</v>
      </c>
      <c r="BL19" s="198">
        <f>FINANCIALS!BL30/FINANCIALS!BL4</f>
        <v>0.34867188506842678</v>
      </c>
      <c r="BM19" s="198">
        <f>FINANCIALS!BM30/FINANCIALS!BM4</f>
        <v>0.37628107167272407</v>
      </c>
      <c r="BN19" s="198">
        <f>FINANCIALS!BN30/FINANCIALS!BN4</f>
        <v>0.3545740258707975</v>
      </c>
      <c r="BO19" s="198">
        <f>FINANCIALS!BO30/FINANCIALS!BO4</f>
        <v>0.36954470424998676</v>
      </c>
      <c r="BP19" s="198">
        <f>FINANCIALS!BP30/FINANCIALS!BP4</f>
        <v>0.37783273166565523</v>
      </c>
      <c r="BQ19" s="198">
        <f>FINANCIALS!BQ30/FINANCIALS!BQ4</f>
        <v>0.35296896646311932</v>
      </c>
      <c r="BR19" s="198">
        <f>FINANCIALS!BR30/FINANCIALS!BR4</f>
        <v>0.35328979969750501</v>
      </c>
      <c r="BS19" s="198">
        <f>FINANCIALS!BS30/FINANCIALS!BS4</f>
        <v>0.37986727294746225</v>
      </c>
      <c r="BT19" s="198">
        <f>FINANCIALS!BT30/FINANCIALS!BT4</f>
        <v>0.36954984505787158</v>
      </c>
      <c r="BU19" s="198">
        <f>FINANCIALS!BU30/FINANCIALS!BU4</f>
        <v>0.36780779712938055</v>
      </c>
      <c r="BV19" s="198">
        <f>FINANCIALS!BV30/FINANCIALS!BV4</f>
        <v>0.35025696360467445</v>
      </c>
      <c r="BW19" s="198">
        <f>FINANCIALS!BW30/FINANCIALS!BW4</f>
        <v>0.34636509047108127</v>
      </c>
      <c r="BX19" s="198">
        <f>FINANCIALS!BX30/FINANCIALS!BX4</f>
        <v>0.35307129356328282</v>
      </c>
      <c r="BY19" s="198" t="e">
        <f>FINANCIALS!BY30/FINANCIALS!BY4</f>
        <v>#DIV/0!</v>
      </c>
      <c r="BZ19" s="198">
        <f>FINANCIALS!BZ30/FINANCIALS!BZ4</f>
        <v>0.3707005058605875</v>
      </c>
      <c r="CA19" s="198">
        <f>FINANCIALS!CA30/FINANCIALS!CA4</f>
        <v>0.37635766973045282</v>
      </c>
      <c r="CB19" s="198">
        <f>FINANCIALS!CA30/FINANCIALS!CA4</f>
        <v>0.37635766973045282</v>
      </c>
      <c r="CC19" s="198">
        <f>FINANCIALS!CB30/FINANCIALS!CB4</f>
        <v>0.39398109530095693</v>
      </c>
      <c r="CD19" s="198">
        <f>FINANCIALS!CC30/FINANCIALS!CC4</f>
        <v>0.39726480027501149</v>
      </c>
      <c r="CE19" s="198">
        <f>FINANCIALS!CD30/FINANCIALS!CD4</f>
        <v>0.38863524178557757</v>
      </c>
    </row>
    <row r="20" spans="1:84" s="137" customFormat="1" ht="15">
      <c r="A20" s="191"/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/>
      <c r="BX20" s="191"/>
      <c r="BY20" s="191"/>
      <c r="BZ20" s="191"/>
      <c r="CA20" s="191"/>
      <c r="CB20" s="191"/>
      <c r="CC20" s="191"/>
      <c r="CD20" s="191"/>
      <c r="CE20" s="191"/>
    </row>
    <row r="21" spans="1:84" s="137" customFormat="1" ht="15">
      <c r="A21" s="194">
        <v>3</v>
      </c>
      <c r="B21" s="191" t="s">
        <v>151</v>
      </c>
      <c r="C21" s="191"/>
      <c r="D21" s="193" t="s">
        <v>123</v>
      </c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91"/>
      <c r="BN21" s="191"/>
      <c r="BO21" s="191"/>
      <c r="BP21" s="191"/>
      <c r="BQ21" s="191"/>
      <c r="BR21" s="191"/>
      <c r="BS21" s="191"/>
      <c r="BT21" s="191"/>
      <c r="BU21" s="191"/>
      <c r="BV21" s="191"/>
      <c r="BW21" s="191"/>
      <c r="BX21" s="191"/>
      <c r="BY21" s="191"/>
      <c r="BZ21" s="191"/>
      <c r="CA21" s="191"/>
      <c r="CB21" s="191"/>
      <c r="CC21" s="191"/>
      <c r="CD21" s="191"/>
      <c r="CE21" s="191"/>
    </row>
    <row r="22" spans="1:84" s="137" customFormat="1" ht="15">
      <c r="A22" s="195">
        <v>3.1</v>
      </c>
      <c r="B22" s="195" t="s">
        <v>152</v>
      </c>
      <c r="C22" s="198"/>
      <c r="D22" s="198">
        <f t="shared" ref="D22" si="0">D23+D24</f>
        <v>0.82055232045004112</v>
      </c>
      <c r="E22" s="198">
        <f t="shared" ref="E22:I22" si="1">E23+E24</f>
        <v>0.79715678118134314</v>
      </c>
      <c r="F22" s="198">
        <f t="shared" si="1"/>
        <v>0.72149049428367695</v>
      </c>
      <c r="G22" s="198">
        <f t="shared" si="1"/>
        <v>0.95700115685509712</v>
      </c>
      <c r="H22" s="198">
        <f t="shared" si="1"/>
        <v>0.81878601906223913</v>
      </c>
      <c r="I22" s="198">
        <f t="shared" si="1"/>
        <v>0.82447743899449122</v>
      </c>
      <c r="J22" s="198">
        <f t="shared" ref="J22:O22" si="2">J23+J24</f>
        <v>0.78793403445487631</v>
      </c>
      <c r="K22" s="198">
        <f t="shared" si="2"/>
        <v>1.4181362795486676</v>
      </c>
      <c r="L22" s="198">
        <f t="shared" si="2"/>
        <v>0.77387631926642941</v>
      </c>
      <c r="M22" s="198">
        <f t="shared" si="2"/>
        <v>0.7766949295460398</v>
      </c>
      <c r="N22" s="198">
        <f t="shared" si="2"/>
        <v>0.77620504958048786</v>
      </c>
      <c r="O22" s="198">
        <f t="shared" si="2"/>
        <v>1.1568442812734658</v>
      </c>
      <c r="P22" s="198">
        <f t="shared" ref="P22:R22" si="3">P23+P24</f>
        <v>0.68004691788047134</v>
      </c>
      <c r="Q22" s="198">
        <f t="shared" si="3"/>
        <v>0.68325549829763765</v>
      </c>
      <c r="R22" s="198">
        <f t="shared" si="3"/>
        <v>0.7003793735459628</v>
      </c>
      <c r="S22" s="198">
        <f t="shared" ref="S22" si="4">S23+S24</f>
        <v>0.6713932148987497</v>
      </c>
      <c r="T22" s="198">
        <f t="shared" ref="T22:X22" si="5">T23+T24</f>
        <v>0.70431001815246508</v>
      </c>
      <c r="U22" s="198">
        <f t="shared" si="5"/>
        <v>0.69842641738804689</v>
      </c>
      <c r="V22" s="198">
        <f t="shared" si="5"/>
        <v>0.70281415683378079</v>
      </c>
      <c r="W22" s="198">
        <f t="shared" si="5"/>
        <v>0.71656473067136062</v>
      </c>
      <c r="X22" s="198">
        <f t="shared" si="5"/>
        <v>0.62772675410180667</v>
      </c>
      <c r="Y22" s="198">
        <f t="shared" ref="Y22:AE22" si="6">Y23+Y24</f>
        <v>0.6552779484196054</v>
      </c>
      <c r="Z22" s="198">
        <f t="shared" si="6"/>
        <v>0.65562535851966819</v>
      </c>
      <c r="AA22" s="198">
        <f t="shared" si="6"/>
        <v>0.65688834818358099</v>
      </c>
      <c r="AB22" s="198">
        <f t="shared" si="6"/>
        <v>0.65931235199359473</v>
      </c>
      <c r="AC22" s="198">
        <f t="shared" si="6"/>
        <v>0.66841316360097291</v>
      </c>
      <c r="AD22" s="198">
        <f t="shared" si="6"/>
        <v>0.67443495752437321</v>
      </c>
      <c r="AE22" s="198">
        <f t="shared" si="6"/>
        <v>0.6787567027782152</v>
      </c>
      <c r="AF22" s="198">
        <f t="shared" ref="AF22:BB22" si="7">AF23+AF24</f>
        <v>0.68004994288086973</v>
      </c>
      <c r="AG22" s="198">
        <f t="shared" si="7"/>
        <v>0.67903842682005722</v>
      </c>
      <c r="AH22" s="198">
        <f t="shared" si="7"/>
        <v>0.67969127197315637</v>
      </c>
      <c r="AI22" s="198">
        <f t="shared" si="7"/>
        <v>0.68850694995681061</v>
      </c>
      <c r="AJ22" s="198">
        <f t="shared" si="7"/>
        <v>0.66136000282528384</v>
      </c>
      <c r="AK22" s="198">
        <f t="shared" si="7"/>
        <v>0.66321349410916342</v>
      </c>
      <c r="AL22" s="198">
        <f t="shared" si="7"/>
        <v>0.66486566954068826</v>
      </c>
      <c r="AM22" s="198">
        <f t="shared" si="7"/>
        <v>0.66456852774844222</v>
      </c>
      <c r="AN22" s="198">
        <f t="shared" si="7"/>
        <v>0.66640790702258679</v>
      </c>
      <c r="AO22" s="198">
        <f t="shared" si="7"/>
        <v>0.6716310163433683</v>
      </c>
      <c r="AP22" s="198">
        <f t="shared" si="7"/>
        <v>0.68374641913144929</v>
      </c>
      <c r="AQ22" s="198">
        <f t="shared" si="7"/>
        <v>0.68199882456973659</v>
      </c>
      <c r="AR22" s="198">
        <f t="shared" si="7"/>
        <v>0.65881453077103636</v>
      </c>
      <c r="AS22" s="198">
        <f t="shared" si="7"/>
        <v>0.6818916508263746</v>
      </c>
      <c r="AT22" s="198">
        <f t="shared" si="7"/>
        <v>0.6874046999011677</v>
      </c>
      <c r="AU22" s="198">
        <f t="shared" si="7"/>
        <v>0.68957912829125034</v>
      </c>
      <c r="AV22" s="198">
        <f t="shared" si="7"/>
        <v>0.69115819914237242</v>
      </c>
      <c r="AW22" s="198">
        <f t="shared" si="7"/>
        <v>0.69113320260292677</v>
      </c>
      <c r="AX22" s="198">
        <f t="shared" si="7"/>
        <v>0.98983930052787228</v>
      </c>
      <c r="AY22" s="198">
        <f t="shared" si="7"/>
        <v>0.68275513740951588</v>
      </c>
      <c r="AZ22" s="198">
        <f t="shared" si="7"/>
        <v>0.69061320023427419</v>
      </c>
      <c r="BA22" s="198">
        <f t="shared" si="7"/>
        <v>0.68550377712007049</v>
      </c>
      <c r="BB22" s="198">
        <f t="shared" si="7"/>
        <v>0.68550377711856858</v>
      </c>
      <c r="BC22" s="198">
        <f t="shared" ref="BC22:CE22" si="8">BC23+BC24</f>
        <v>0.6926513132216503</v>
      </c>
      <c r="BD22" s="198">
        <f t="shared" si="8"/>
        <v>0.65739680267994327</v>
      </c>
      <c r="BE22" s="198">
        <f t="shared" si="8"/>
        <v>0.63665028591067452</v>
      </c>
      <c r="BF22" s="198">
        <f t="shared" si="8"/>
        <v>0.65159187429343179</v>
      </c>
      <c r="BG22" s="198">
        <f t="shared" si="8"/>
        <v>0.64490113625053203</v>
      </c>
      <c r="BH22" s="198">
        <f t="shared" si="8"/>
        <v>0.66315674494633436</v>
      </c>
      <c r="BI22" s="198">
        <f t="shared" si="8"/>
        <v>0.66784303912223986</v>
      </c>
      <c r="BJ22" s="198">
        <f t="shared" si="8"/>
        <v>0.67121525840701746</v>
      </c>
      <c r="BK22" s="198">
        <f t="shared" si="8"/>
        <v>0.67210891952124752</v>
      </c>
      <c r="BL22" s="198">
        <f t="shared" si="8"/>
        <v>0.67499669368490312</v>
      </c>
      <c r="BM22" s="198">
        <f t="shared" si="8"/>
        <v>0.6798947254110056</v>
      </c>
      <c r="BN22" s="198">
        <f t="shared" si="8"/>
        <v>0.67491890525453391</v>
      </c>
      <c r="BO22" s="198">
        <f t="shared" si="8"/>
        <v>0.68558537180147305</v>
      </c>
      <c r="BP22" s="198">
        <f t="shared" si="8"/>
        <v>0.68519418499596596</v>
      </c>
      <c r="BQ22" s="198">
        <f t="shared" si="8"/>
        <v>0.64844628963651352</v>
      </c>
      <c r="BR22" s="198">
        <f t="shared" si="8"/>
        <v>0.64952303647097098</v>
      </c>
      <c r="BS22" s="198">
        <f t="shared" si="8"/>
        <v>0.67109674307556977</v>
      </c>
      <c r="BT22" s="198">
        <f t="shared" si="8"/>
        <v>0.67174131437788687</v>
      </c>
      <c r="BU22" s="198">
        <f t="shared" si="8"/>
        <v>0.67612891710381517</v>
      </c>
      <c r="BV22" s="198">
        <f t="shared" si="8"/>
        <v>0.68670047901310427</v>
      </c>
      <c r="BW22" s="198">
        <f t="shared" si="8"/>
        <v>0.66545122055968409</v>
      </c>
      <c r="BX22" s="198">
        <f t="shared" si="8"/>
        <v>0.66511541779370487</v>
      </c>
      <c r="BY22" s="198" t="e">
        <f t="shared" si="8"/>
        <v>#DIV/0!</v>
      </c>
      <c r="BZ22" s="198">
        <f t="shared" si="8"/>
        <v>0.6659882610636515</v>
      </c>
      <c r="CA22" s="198">
        <f t="shared" si="8"/>
        <v>0.66216062330534775</v>
      </c>
      <c r="CB22" s="198">
        <f t="shared" si="8"/>
        <v>0.66649238798934163</v>
      </c>
      <c r="CC22" s="198">
        <f t="shared" si="8"/>
        <v>0.67569618431266076</v>
      </c>
      <c r="CD22" s="198">
        <f t="shared" si="8"/>
        <v>0.68083396635639692</v>
      </c>
      <c r="CE22" s="198">
        <f t="shared" si="8"/>
        <v>0.65963998945468194</v>
      </c>
      <c r="CF22" s="203"/>
    </row>
    <row r="23" spans="1:84" s="137" customFormat="1" ht="15">
      <c r="A23" s="195" t="s">
        <v>153</v>
      </c>
      <c r="B23" s="195" t="s">
        <v>154</v>
      </c>
      <c r="C23" s="195"/>
      <c r="D23" s="198">
        <f>FINANCIALS!D6/FINANCIALS!D4</f>
        <v>0.78511319864249207</v>
      </c>
      <c r="E23" s="198">
        <f>FINANCIALS!E6/FINANCIALS!E4</f>
        <v>0.76681906266745403</v>
      </c>
      <c r="F23" s="198">
        <f>FINANCIALS!F6/FINANCIALS!F4</f>
        <v>0.69153368784963343</v>
      </c>
      <c r="G23" s="198">
        <f>FINANCIALS!G6/FINANCIALS!G4</f>
        <v>0.9124965435789304</v>
      </c>
      <c r="H23" s="198">
        <f>FINANCIALS!H6/FINANCIALS!H4</f>
        <v>0.78573944658037886</v>
      </c>
      <c r="I23" s="198">
        <f>FINANCIALS!I6/FINANCIALS!I4</f>
        <v>0.78767020844671976</v>
      </c>
      <c r="J23" s="198">
        <f>FINANCIALS!J6/FINANCIALS!J4</f>
        <v>0.74065003338283308</v>
      </c>
      <c r="K23" s="198">
        <f>FINANCIALS!K6/FINANCIALS!K4</f>
        <v>1.3330337780316794</v>
      </c>
      <c r="L23" s="198">
        <f>FINANCIALS!L6/FINANCIALS!L4</f>
        <v>0.73164416948258981</v>
      </c>
      <c r="M23" s="198">
        <f>FINANCIALS!M6/FINANCIALS!M4</f>
        <v>0.72887236903253394</v>
      </c>
      <c r="N23" s="198">
        <f>FINANCIALS!N6/FINANCIALS!N4</f>
        <v>0.73136791366226461</v>
      </c>
      <c r="O23" s="198">
        <f>FINANCIALS!O6/FINANCIALS!O4</f>
        <v>1.0896802024762862</v>
      </c>
      <c r="P23" s="198">
        <f>FINANCIALS!P6/FINANCIALS!P4</f>
        <v>0.63121882269842822</v>
      </c>
      <c r="Q23" s="198">
        <f>FINANCIALS!Q6/FINANCIALS!Q4</f>
        <v>0.63866378047817185</v>
      </c>
      <c r="R23" s="198">
        <f>FINANCIALS!R6/FINANCIALS!R4</f>
        <v>0.63713729911435457</v>
      </c>
      <c r="S23" s="198">
        <f>FINANCIALS!S6/FINANCIALS!S4</f>
        <v>0.60486539660703298</v>
      </c>
      <c r="T23" s="198">
        <f>FINANCIALS!T6/FINANCIALS!T4</f>
        <v>0.65308295949556805</v>
      </c>
      <c r="U23" s="198">
        <f>FINANCIALS!U6/FINANCIALS!U4</f>
        <v>0.65079736754832185</v>
      </c>
      <c r="V23" s="198">
        <f>FINANCIALS!V6/FINANCIALS!V4</f>
        <v>0.6560306622873936</v>
      </c>
      <c r="W23" s="198">
        <f>FINANCIALS!W6/FINANCIALS!W4</f>
        <v>0.65614407466097957</v>
      </c>
      <c r="X23" s="198">
        <f>FINANCIALS!X6/FINANCIALS!X4</f>
        <v>0.58525943872782737</v>
      </c>
      <c r="Y23" s="198">
        <f>FINANCIALS!Y6/FINANCIALS!Y4</f>
        <v>0.60811543030844917</v>
      </c>
      <c r="Z23" s="198">
        <f>FINANCIALS!Z6/FINANCIALS!Z4</f>
        <v>0.61042540704835768</v>
      </c>
      <c r="AA23" s="198">
        <f>FINANCIALS!AA6/FINANCIALS!AA4</f>
        <v>0.61181410492621535</v>
      </c>
      <c r="AB23" s="198">
        <f>FINANCIALS!AB6/FINANCIALS!AB4</f>
        <v>0.60874858168591794</v>
      </c>
      <c r="AC23" s="198">
        <f>FINANCIALS!AC6/FINANCIALS!AC4</f>
        <v>0.6147878043829722</v>
      </c>
      <c r="AD23" s="198">
        <f>FINANCIALS!AD6/FINANCIALS!AD4</f>
        <v>0.62338879025145211</v>
      </c>
      <c r="AE23" s="198">
        <f>FINANCIALS!AE6/FINANCIALS!AE4</f>
        <v>0.61497831781864409</v>
      </c>
      <c r="AF23" s="198">
        <f>FINANCIALS!AF6/FINANCIALS!AF4</f>
        <v>0.63700262959836496</v>
      </c>
      <c r="AG23" s="198">
        <f>FINANCIALS!AG6/FINANCIALS!AG4</f>
        <v>0.62758458089039526</v>
      </c>
      <c r="AH23" s="198">
        <f>FINANCIALS!AH6/FINANCIALS!AH4</f>
        <v>0.62860266420547128</v>
      </c>
      <c r="AI23" s="198">
        <f>FINANCIALS!AI6/FINANCIALS!AI4</f>
        <v>0.63988315681433361</v>
      </c>
      <c r="AJ23" s="198">
        <f>FINANCIALS!AJ6/FINANCIALS!AJ4</f>
        <v>0.61543304512832564</v>
      </c>
      <c r="AK23" s="198">
        <f>FINANCIALS!AK6/FINANCIALS!AK4</f>
        <v>0.6179598951506885</v>
      </c>
      <c r="AL23" s="198">
        <f>FINANCIALS!AL6/FINANCIALS!AL4</f>
        <v>0.62103125030622974</v>
      </c>
      <c r="AM23" s="198">
        <f>FINANCIALS!AM6/FINANCIALS!AM4</f>
        <v>0.61319941528167698</v>
      </c>
      <c r="AN23" s="198">
        <f>FINANCIALS!AN6/FINANCIALS!AN4</f>
        <v>0.62240438231782313</v>
      </c>
      <c r="AO23" s="198">
        <f>FINANCIALS!AO6/FINANCIALS!AO4</f>
        <v>0.62174058110781005</v>
      </c>
      <c r="AP23" s="198">
        <f>FINANCIALS!AP6/FINANCIALS!AP4</f>
        <v>0.63327933945574533</v>
      </c>
      <c r="AQ23" s="198">
        <f>FINANCIALS!AQ6/FINANCIALS!AQ4</f>
        <v>0.62676403201473441</v>
      </c>
      <c r="AR23" s="198">
        <f>FINANCIALS!AR6/FINANCIALS!AR4</f>
        <v>0.60520405884187012</v>
      </c>
      <c r="AS23" s="198">
        <f>FINANCIALS!AS6/FINANCIALS!AS4</f>
        <v>0.63405204528650738</v>
      </c>
      <c r="AT23" s="198">
        <f>FINANCIALS!AT6/FINANCIALS!AT4</f>
        <v>0.64015759035086151</v>
      </c>
      <c r="AU23" s="198">
        <f>FINANCIALS!AU6/FINANCIALS!AU4</f>
        <v>0.64125557842514502</v>
      </c>
      <c r="AV23" s="198">
        <f>FINANCIALS!AV6/FINANCIALS!AV4</f>
        <v>0.64266120069741839</v>
      </c>
      <c r="AW23" s="198">
        <f>FINANCIALS!AW6/FINANCIALS!AW4</f>
        <v>0.64241914801633182</v>
      </c>
      <c r="AX23" s="198">
        <f>FINANCIALS!AX6/FINANCIALS!AX4</f>
        <v>0.9285687632313292</v>
      </c>
      <c r="AY23" s="198">
        <f>FINANCIALS!AY6/FINANCIALS!AY4</f>
        <v>0.63574497408817843</v>
      </c>
      <c r="AZ23" s="198">
        <f>FINANCIALS!AZ6/FINANCIALS!AZ4</f>
        <v>0.64534881963724</v>
      </c>
      <c r="BA23" s="198">
        <f>FINANCIALS!BA6/FINANCIALS!BA4</f>
        <v>0.63505148602918038</v>
      </c>
      <c r="BB23" s="198">
        <f>FINANCIALS!BB6/FINANCIALS!BB4</f>
        <v>0.63505148602778905</v>
      </c>
      <c r="BC23" s="198">
        <f>FINANCIALS!BC6/FINANCIALS!BC4</f>
        <v>0.63931796285528286</v>
      </c>
      <c r="BD23" s="198">
        <f>FINANCIALS!BD6/FINANCIALS!BD4</f>
        <v>0.59778137924925145</v>
      </c>
      <c r="BE23" s="198">
        <f>FINANCIALS!BE6/FINANCIALS!BE4</f>
        <v>0.57828088524214694</v>
      </c>
      <c r="BF23" s="198">
        <f>FINANCIALS!BF6/FINANCIALS!BF4</f>
        <v>0.60896368685952007</v>
      </c>
      <c r="BG23" s="198">
        <f>FINANCIALS!BG6/FINANCIALS!BG4</f>
        <v>0.6055713139457084</v>
      </c>
      <c r="BH23" s="198">
        <f>FINANCIALS!BH6/FINANCIALS!BH4</f>
        <v>0.6223505786962259</v>
      </c>
      <c r="BI23" s="198">
        <f>FINANCIALS!BI6/FINANCIALS!BI4</f>
        <v>0.63158590295175787</v>
      </c>
      <c r="BJ23" s="198">
        <f>FINANCIALS!BJ6/FINANCIALS!BJ4</f>
        <v>0.63087150304186534</v>
      </c>
      <c r="BK23" s="198">
        <f>FINANCIALS!BK6/FINANCIALS!BK4</f>
        <v>0.63330471694945245</v>
      </c>
      <c r="BL23" s="198">
        <f>FINANCIALS!BL6/FINANCIALS!BL4</f>
        <v>0.64055965262644221</v>
      </c>
      <c r="BM23" s="198">
        <f>FINANCIALS!BM6/FINANCIALS!BM4</f>
        <v>0.63703419462438338</v>
      </c>
      <c r="BN23" s="198">
        <f>FINANCIALS!BN6/FINANCIALS!BN4</f>
        <v>0.63375678376185873</v>
      </c>
      <c r="BO23" s="198">
        <f>FINANCIALS!BO6/FINANCIALS!BO4</f>
        <v>0.63708327631895845</v>
      </c>
      <c r="BP23" s="198">
        <f>FINANCIALS!BP6/FINANCIALS!BP4</f>
        <v>0.6424593419519552</v>
      </c>
      <c r="BQ23" s="198">
        <f>FINANCIALS!BQ6/FINANCIALS!BQ4</f>
        <v>0.60438903236151886</v>
      </c>
      <c r="BR23" s="198">
        <f>FINANCIALS!BR6/FINANCIALS!BR4</f>
        <v>0.60520994674799711</v>
      </c>
      <c r="BS23" s="198">
        <f>FINANCIALS!BS6/FINANCIALS!BS4</f>
        <v>0.62835603849855581</v>
      </c>
      <c r="BT23" s="198">
        <f>FINANCIALS!BT6/FINANCIALS!BT4</f>
        <v>0.6276470594737692</v>
      </c>
      <c r="BU23" s="198">
        <f>FINANCIALS!BU6/FINANCIALS!BU4</f>
        <v>0.63727664035437881</v>
      </c>
      <c r="BV23" s="198">
        <f>FINANCIALS!BV6/FINANCIALS!BV4</f>
        <v>0.63360966533251373</v>
      </c>
      <c r="BW23" s="198">
        <f>FINANCIALS!BW6/FINANCIALS!BW4</f>
        <v>0.61484484855460264</v>
      </c>
      <c r="BX23" s="198">
        <f>FINANCIALS!BX6/FINANCIALS!BX4</f>
        <v>0.61978811496945907</v>
      </c>
      <c r="BY23" s="198" t="e">
        <f>FINANCIALS!BY6/FINANCIALS!BY4</f>
        <v>#DIV/0!</v>
      </c>
      <c r="BZ23" s="198">
        <f>FINANCIALS!BZ6/FINANCIALS!BZ4</f>
        <v>0.61484407767432525</v>
      </c>
      <c r="CA23" s="198">
        <f>FINANCIALS!CA6/FINANCIALS!CA4</f>
        <v>0.61066003412637171</v>
      </c>
      <c r="CB23" s="198">
        <f>FINANCIALS!CB6/FINANCIALS!CB4</f>
        <v>0.61335791936310557</v>
      </c>
      <c r="CC23" s="198">
        <f>FINANCIALS!CC6/FINANCIALS!CC4</f>
        <v>0.62790155522897506</v>
      </c>
      <c r="CD23" s="198">
        <f>FINANCIALS!CD6/FINANCIALS!CD4</f>
        <v>0.62829540906011627</v>
      </c>
      <c r="CE23" s="198">
        <f>FINANCIALS!CE6/FINANCIALS!CE4</f>
        <v>0.60710143215840129</v>
      </c>
      <c r="CF23" s="204"/>
    </row>
    <row r="24" spans="1:84" s="137" customFormat="1" ht="15">
      <c r="A24" s="195" t="s">
        <v>155</v>
      </c>
      <c r="B24" s="195" t="s">
        <v>156</v>
      </c>
      <c r="C24" s="195"/>
      <c r="D24" s="198">
        <f>FINANCIALS!D7/FINANCIALS!D4</f>
        <v>3.5439121807549101E-2</v>
      </c>
      <c r="E24" s="198">
        <f>FINANCIALS!E7/FINANCIALS!E4</f>
        <v>3.0337718513889139E-2</v>
      </c>
      <c r="F24" s="198">
        <f>FINANCIALS!F7/FINANCIALS!F4</f>
        <v>2.9956806434043571E-2</v>
      </c>
      <c r="G24" s="198">
        <f>FINANCIALS!G7/FINANCIALS!G4</f>
        <v>4.4504613276166782E-2</v>
      </c>
      <c r="H24" s="198">
        <f>FINANCIALS!H7/FINANCIALS!H4</f>
        <v>3.3046572481860242E-2</v>
      </c>
      <c r="I24" s="198">
        <f>FINANCIALS!I7/FINANCIALS!I4</f>
        <v>3.6807230547771498E-2</v>
      </c>
      <c r="J24" s="198">
        <f>FINANCIALS!J7/FINANCIALS!J4</f>
        <v>4.7284001072043273E-2</v>
      </c>
      <c r="K24" s="198">
        <f>FINANCIALS!K7/FINANCIALS!K4</f>
        <v>8.5102501516988088E-2</v>
      </c>
      <c r="L24" s="198">
        <f>FINANCIALS!L7/FINANCIALS!L4</f>
        <v>4.2232149783839636E-2</v>
      </c>
      <c r="M24" s="198">
        <f>FINANCIALS!M7/FINANCIALS!M4</f>
        <v>4.7822560513505911E-2</v>
      </c>
      <c r="N24" s="198">
        <f>FINANCIALS!N7/FINANCIALS!N4</f>
        <v>4.483713591822322E-2</v>
      </c>
      <c r="O24" s="198">
        <f>FINANCIALS!O7/FINANCIALS!O4</f>
        <v>6.7164078797179574E-2</v>
      </c>
      <c r="P24" s="198">
        <f>FINANCIALS!P7/FINANCIALS!P4</f>
        <v>4.882809518204307E-2</v>
      </c>
      <c r="Q24" s="198">
        <f>FINANCIALS!Q7/FINANCIALS!Q4</f>
        <v>4.4591717819465769E-2</v>
      </c>
      <c r="R24" s="198">
        <f>FINANCIALS!R7/FINANCIALS!R4</f>
        <v>6.3242074431608217E-2</v>
      </c>
      <c r="S24" s="198">
        <f>FINANCIALS!S7/FINANCIALS!S4</f>
        <v>6.652781829171675E-2</v>
      </c>
      <c r="T24" s="198">
        <f>FINANCIALS!T7/FINANCIALS!T4</f>
        <v>5.1227058656897015E-2</v>
      </c>
      <c r="U24" s="198">
        <f>FINANCIALS!U7/FINANCIALS!U4</f>
        <v>4.7629049839725011E-2</v>
      </c>
      <c r="V24" s="198">
        <f>FINANCIALS!V7/FINANCIALS!V4</f>
        <v>4.6783494546387222E-2</v>
      </c>
      <c r="W24" s="198">
        <f>FINANCIALS!W7/FINANCIALS!W4</f>
        <v>6.0420656010381046E-2</v>
      </c>
      <c r="X24" s="198">
        <f>FINANCIALS!X7/FINANCIALS!X4</f>
        <v>4.2467315373979339E-2</v>
      </c>
      <c r="Y24" s="198">
        <f>FINANCIALS!Y7/FINANCIALS!Y4</f>
        <v>4.7162518111156293E-2</v>
      </c>
      <c r="Z24" s="198">
        <f>FINANCIALS!Z7/FINANCIALS!Z4</f>
        <v>4.519995147131052E-2</v>
      </c>
      <c r="AA24" s="198">
        <f>FINANCIALS!AA7/FINANCIALS!AA4</f>
        <v>4.5074243257365657E-2</v>
      </c>
      <c r="AB24" s="198">
        <f>FINANCIALS!AB7/FINANCIALS!AB4</f>
        <v>5.0563770307676732E-2</v>
      </c>
      <c r="AC24" s="198">
        <f>FINANCIALS!AC7/FINANCIALS!AC4</f>
        <v>5.3625359218000747E-2</v>
      </c>
      <c r="AD24" s="198">
        <f>FINANCIALS!AD7/FINANCIALS!AD4</f>
        <v>5.1046167272921127E-2</v>
      </c>
      <c r="AE24" s="198">
        <f>FINANCIALS!AE7/FINANCIALS!AE4</f>
        <v>6.3778384959571124E-2</v>
      </c>
      <c r="AF24" s="198">
        <f>FINANCIALS!AF7/FINANCIALS!AF4</f>
        <v>4.3047313282504718E-2</v>
      </c>
      <c r="AG24" s="198">
        <f>FINANCIALS!AG7/FINANCIALS!AG4</f>
        <v>5.1453845929662005E-2</v>
      </c>
      <c r="AH24" s="198">
        <f>FINANCIALS!AH7/FINANCIALS!AH4</f>
        <v>5.1088607767685049E-2</v>
      </c>
      <c r="AI24" s="198">
        <f>FINANCIALS!AI7/FINANCIALS!AI4</f>
        <v>4.8623793142477043E-2</v>
      </c>
      <c r="AJ24" s="198">
        <f>FINANCIALS!AJ7/FINANCIALS!AJ4</f>
        <v>4.5926957696958225E-2</v>
      </c>
      <c r="AK24" s="198">
        <f>FINANCIALS!AK7/FINANCIALS!AK4</f>
        <v>4.5253598958474965E-2</v>
      </c>
      <c r="AL24" s="198">
        <f>FINANCIALS!AL7/FINANCIALS!AL4</f>
        <v>4.3834419234458515E-2</v>
      </c>
      <c r="AM24" s="198">
        <f>FINANCIALS!AM7/FINANCIALS!AM4</f>
        <v>5.1369112466765232E-2</v>
      </c>
      <c r="AN24" s="198">
        <f>FINANCIALS!AN7/FINANCIALS!AN4</f>
        <v>4.4003524704763687E-2</v>
      </c>
      <c r="AO24" s="198">
        <f>FINANCIALS!AO7/FINANCIALS!AO4</f>
        <v>4.9890435235558202E-2</v>
      </c>
      <c r="AP24" s="198">
        <f>FINANCIALS!AP7/FINANCIALS!AP4</f>
        <v>5.0467079675703991E-2</v>
      </c>
      <c r="AQ24" s="198">
        <f>FINANCIALS!AQ7/FINANCIALS!AQ4</f>
        <v>5.5234792555002223E-2</v>
      </c>
      <c r="AR24" s="198">
        <f>FINANCIALS!AR7/FINANCIALS!AR4</f>
        <v>5.3610471929166251E-2</v>
      </c>
      <c r="AS24" s="198">
        <f>FINANCIALS!AS7/FINANCIALS!AS4</f>
        <v>4.7839605539867179E-2</v>
      </c>
      <c r="AT24" s="198">
        <f>FINANCIALS!AT7/FINANCIALS!AT4</f>
        <v>4.7247109550306234E-2</v>
      </c>
      <c r="AU24" s="198">
        <f>FINANCIALS!AU7/FINANCIALS!AU4</f>
        <v>4.8323549866105299E-2</v>
      </c>
      <c r="AV24" s="198">
        <f>FINANCIALS!AV7/FINANCIALS!AV4</f>
        <v>4.8496998444954038E-2</v>
      </c>
      <c r="AW24" s="198">
        <f>FINANCIALS!AW7/FINANCIALS!AW4</f>
        <v>4.8714054586594974E-2</v>
      </c>
      <c r="AX24" s="198">
        <f>FINANCIALS!AX7/FINANCIALS!AX4</f>
        <v>6.1270537296543089E-2</v>
      </c>
      <c r="AY24" s="198">
        <f>FINANCIALS!AY7/FINANCIALS!AY4</f>
        <v>4.701016332133745E-2</v>
      </c>
      <c r="AZ24" s="198">
        <f>FINANCIALS!AZ7/FINANCIALS!AZ4</f>
        <v>4.5264380597034151E-2</v>
      </c>
      <c r="BA24" s="198">
        <f>FINANCIALS!BA7/FINANCIALS!BA4</f>
        <v>5.045229109089007E-2</v>
      </c>
      <c r="BB24" s="198">
        <f>FINANCIALS!BB7/FINANCIALS!BB4</f>
        <v>5.045229109077954E-2</v>
      </c>
      <c r="BC24" s="198">
        <f>FINANCIALS!BC7/FINANCIALS!BC4</f>
        <v>5.3333350366367424E-2</v>
      </c>
      <c r="BD24" s="198">
        <f>FINANCIALS!BD7/FINANCIALS!BD4</f>
        <v>5.9615423430691844E-2</v>
      </c>
      <c r="BE24" s="198">
        <f>FINANCIALS!BE7/FINANCIALS!BE4</f>
        <v>5.8369400668527548E-2</v>
      </c>
      <c r="BF24" s="198">
        <f>FINANCIALS!BF7/FINANCIALS!BF4</f>
        <v>4.2628187433911731E-2</v>
      </c>
      <c r="BG24" s="198">
        <f>FINANCIALS!BG7/FINANCIALS!BG4</f>
        <v>3.9329822304823667E-2</v>
      </c>
      <c r="BH24" s="198">
        <f>FINANCIALS!BH7/FINANCIALS!BH4</f>
        <v>4.0806166250108467E-2</v>
      </c>
      <c r="BI24" s="198">
        <f>FINANCIALS!BI7/FINANCIALS!BI4</f>
        <v>3.6257136170481992E-2</v>
      </c>
      <c r="BJ24" s="198">
        <f>FINANCIALS!BJ7/FINANCIALS!BJ4</f>
        <v>4.0343755365152126E-2</v>
      </c>
      <c r="BK24" s="198">
        <f>FINANCIALS!BK7/FINANCIALS!BK4</f>
        <v>3.8804202571795114E-2</v>
      </c>
      <c r="BL24" s="198">
        <f>FINANCIALS!BL7/FINANCIALS!BL4</f>
        <v>3.4437041058460856E-2</v>
      </c>
      <c r="BM24" s="198">
        <f>FINANCIALS!BM7/FINANCIALS!BM4</f>
        <v>4.2860530786622206E-2</v>
      </c>
      <c r="BN24" s="198">
        <f>FINANCIALS!BN7/FINANCIALS!BN4</f>
        <v>4.116212149267523E-2</v>
      </c>
      <c r="BO24" s="198">
        <f>FINANCIALS!BO7/FINANCIALS!BO4</f>
        <v>4.8502095482514579E-2</v>
      </c>
      <c r="BP24" s="198">
        <f>FINANCIALS!BP7/FINANCIALS!BP4</f>
        <v>4.273484304401072E-2</v>
      </c>
      <c r="BQ24" s="198">
        <f>FINANCIALS!BQ7/FINANCIALS!BQ4</f>
        <v>4.4057257274994634E-2</v>
      </c>
      <c r="BR24" s="198">
        <f>FINANCIALS!BR7/FINANCIALS!BR4</f>
        <v>4.4313089722973834E-2</v>
      </c>
      <c r="BS24" s="198">
        <f>FINANCIALS!BS7/FINANCIALS!BS4</f>
        <v>4.2740704577013906E-2</v>
      </c>
      <c r="BT24" s="198">
        <f>FINANCIALS!BT7/FINANCIALS!BT4</f>
        <v>4.4094254904117641E-2</v>
      </c>
      <c r="BU24" s="198">
        <f>FINANCIALS!BU7/FINANCIALS!BU4</f>
        <v>3.8852276749436358E-2</v>
      </c>
      <c r="BV24" s="198">
        <f>FINANCIALS!BV7/FINANCIALS!BV4</f>
        <v>5.3090813680590584E-2</v>
      </c>
      <c r="BW24" s="198">
        <f>FINANCIALS!BW7/FINANCIALS!BW4</f>
        <v>5.0606372005081404E-2</v>
      </c>
      <c r="BX24" s="198">
        <f>FINANCIALS!BX7/FINANCIALS!BX4</f>
        <v>4.5327302824245831E-2</v>
      </c>
      <c r="BY24" s="198" t="e">
        <f>FINANCIALS!BY7/FINANCIALS!BY4</f>
        <v>#DIV/0!</v>
      </c>
      <c r="BZ24" s="198">
        <f>FINANCIALS!BZ7/FINANCIALS!BZ4</f>
        <v>5.1144183389326275E-2</v>
      </c>
      <c r="CA24" s="198">
        <f>FINANCIALS!CA7/FINANCIALS!CA4</f>
        <v>5.1500589178976021E-2</v>
      </c>
      <c r="CB24" s="198">
        <f>FINANCIALS!CB7/FINANCIALS!CB4</f>
        <v>5.3134468626236088E-2</v>
      </c>
      <c r="CC24" s="198">
        <f>FINANCIALS!CC7/FINANCIALS!CC4</f>
        <v>4.7794629083685682E-2</v>
      </c>
      <c r="CD24" s="198">
        <f>FINANCIALS!CD7/FINANCIALS!CD4</f>
        <v>5.2538557296280652E-2</v>
      </c>
      <c r="CE24" s="198">
        <f>FINANCIALS!CD7/FINANCIALS!CD4</f>
        <v>5.2538557296280652E-2</v>
      </c>
    </row>
    <row r="25" spans="1:84" s="137" customFormat="1" ht="15">
      <c r="A25" s="195">
        <v>3.2</v>
      </c>
      <c r="B25" s="195" t="s">
        <v>157</v>
      </c>
      <c r="C25" s="196" t="s">
        <v>158</v>
      </c>
      <c r="D25" s="198">
        <f>FINANCIALS!D9/FINANCIALS!D4</f>
        <v>0</v>
      </c>
      <c r="E25" s="198">
        <f>FINANCIALS!E9/FINANCIALS!E4</f>
        <v>5.3176378873404297E-2</v>
      </c>
      <c r="F25" s="198">
        <f>FINANCIALS!F9/FINANCIALS!F4</f>
        <v>6.7236730283265045E-2</v>
      </c>
      <c r="G25" s="198">
        <f>FINANCIALS!G9/FINANCIALS!G4</f>
        <v>8.7099490472351659E-2</v>
      </c>
      <c r="H25" s="198">
        <f>FINANCIALS!H9/FINANCIALS!H4</f>
        <v>7.5149055479688601E-2</v>
      </c>
      <c r="I25" s="198">
        <f>FINANCIALS!I9/FINANCIALS!I4</f>
        <v>7.0745894333173936E-2</v>
      </c>
      <c r="J25" s="198">
        <f>FINANCIALS!J9/FINANCIALS!J4</f>
        <v>6.6135127612432301E-2</v>
      </c>
      <c r="K25" s="198">
        <f>FINANCIALS!K9/FINANCIALS!K4</f>
        <v>0.11903106062001466</v>
      </c>
      <c r="L25" s="198">
        <f>FINANCIALS!L9/FINANCIALS!L4</f>
        <v>6.4439417245557018E-2</v>
      </c>
      <c r="M25" s="198">
        <f>FINANCIALS!M9/FINANCIALS!M4</f>
        <v>6.1484227530444642E-2</v>
      </c>
      <c r="N25" s="198">
        <f>FINANCIALS!N9/FINANCIALS!N4</f>
        <v>6.142097515671989E-2</v>
      </c>
      <c r="O25" s="198">
        <f>FINANCIALS!O9/FINANCIALS!O4</f>
        <v>0.30982415527884449</v>
      </c>
      <c r="P25" s="198">
        <f>FINANCIALS!P9/FINANCIALS!P4</f>
        <v>0.17783658507282485</v>
      </c>
      <c r="Q25" s="198">
        <f>FINANCIALS!Q9/FINANCIALS!Q4</f>
        <v>0.16842994651552456</v>
      </c>
      <c r="R25" s="198">
        <f>FINANCIALS!R9/FINANCIALS!R4</f>
        <v>0.15206792718279089</v>
      </c>
      <c r="S25" s="198">
        <f>FINANCIALS!S9/FINANCIALS!S4</f>
        <v>0.15695259226825478</v>
      </c>
      <c r="T25" s="198">
        <f>FINANCIALS!T9/FINANCIALS!T4</f>
        <v>0.15381447065879761</v>
      </c>
      <c r="U25" s="198">
        <f>FINANCIALS!U9/FINANCIALS!U4</f>
        <v>0.14522344740965054</v>
      </c>
      <c r="V25" s="198">
        <f>FINANCIALS!V9/FINANCIALS!V4</f>
        <v>0.14028361690441241</v>
      </c>
      <c r="W25" s="198">
        <f>FINANCIALS!W9/FINANCIALS!W4</f>
        <v>0.13869066677734848</v>
      </c>
      <c r="X25" s="198">
        <f>FINANCIALS!X9/FINANCIALS!X4</f>
        <v>0.1472274722588523</v>
      </c>
      <c r="Y25" s="198">
        <f>FINANCIALS!Y9/FINANCIALS!Y4</f>
        <v>0.14685147098283549</v>
      </c>
      <c r="Z25" s="198">
        <f>FINANCIALS!Z9/FINANCIALS!Z4</f>
        <v>0.14127747751935488</v>
      </c>
      <c r="AA25" s="198">
        <f>FINANCIALS!AA9/FINANCIALS!AA4</f>
        <v>0.13427918801637195</v>
      </c>
      <c r="AB25" s="198">
        <f>FINANCIALS!AB9/FINANCIALS!AB4</f>
        <v>0.1272517237597397</v>
      </c>
      <c r="AC25" s="198">
        <f>FINANCIALS!AC9/FINANCIALS!AC4</f>
        <v>0.1203358401085228</v>
      </c>
      <c r="AD25" s="198">
        <f>FINANCIALS!AD9/FINANCIALS!AD4</f>
        <v>0.11462399430540468</v>
      </c>
      <c r="AE25" s="198">
        <f>FINANCIALS!AE9/FINANCIALS!AE4</f>
        <v>0.11436231539703853</v>
      </c>
      <c r="AF25" s="198">
        <f>FINANCIALS!AF9/FINANCIALS!AF4</f>
        <v>0.11090658401898311</v>
      </c>
      <c r="AG25" s="198">
        <f>FINANCIALS!AG9/FINANCIALS!AG4</f>
        <v>0.11477202266337531</v>
      </c>
      <c r="AH25" s="198">
        <f>FINANCIALS!AH9/FINANCIALS!AH4</f>
        <v>0.11422735907643163</v>
      </c>
      <c r="AI25" s="198">
        <f>FINANCIALS!AI9/FINANCIALS!AI4</f>
        <v>0.10839788965335857</v>
      </c>
      <c r="AJ25" s="198">
        <f>FINANCIALS!AJ9/FINANCIALS!AJ4</f>
        <v>0.14435408285853008</v>
      </c>
      <c r="AK25" s="198">
        <f>FINANCIALS!AK9/FINANCIALS!AK4</f>
        <v>0.14077793832235641</v>
      </c>
      <c r="AL25" s="198">
        <f>FINANCIALS!AL9/FINANCIALS!AL4</f>
        <v>0.13921918551396989</v>
      </c>
      <c r="AM25" s="198">
        <f>FINANCIALS!AM9/FINANCIALS!AM4</f>
        <v>0.13762297479401364</v>
      </c>
      <c r="AN25" s="198">
        <f>FINANCIALS!AN9/FINANCIALS!AN4</f>
        <v>0.13413989145541477</v>
      </c>
      <c r="AO25" s="198">
        <f>FINANCIALS!AO9/FINANCIALS!AO4</f>
        <v>0.12929322168557011</v>
      </c>
      <c r="AP25" s="198">
        <f>FINANCIALS!AP9/FINANCIALS!AP4</f>
        <v>0.14064259321189893</v>
      </c>
      <c r="AQ25" s="198">
        <f>FINANCIALS!AQ9/FINANCIALS!AQ4</f>
        <v>0.14075911827725884</v>
      </c>
      <c r="AR25" s="198">
        <f>FINANCIALS!AR9/FINANCIALS!AR4</f>
        <v>0.13591716419020961</v>
      </c>
      <c r="AS25" s="198">
        <f>FINANCIALS!AS9/FINANCIALS!AS4</f>
        <v>0.14213121355683189</v>
      </c>
      <c r="AT25" s="198">
        <f>FINANCIALS!AT9/FINANCIALS!AT4</f>
        <v>0.1382064107570232</v>
      </c>
      <c r="AU25" s="198">
        <f>FINANCIALS!AU9/FINANCIALS!AU4</f>
        <v>0.13214191438453837</v>
      </c>
      <c r="AV25" s="198">
        <f>FINANCIALS!AV9/FINANCIALS!AV4</f>
        <v>0.12722572578799529</v>
      </c>
      <c r="AW25" s="198">
        <f>FINANCIALS!AW9/FINANCIALS!AW4</f>
        <v>0.12224069869029322</v>
      </c>
      <c r="AX25" s="198">
        <f>FINANCIALS!AX9/FINANCIALS!AX4</f>
        <v>0.17400336203899655</v>
      </c>
      <c r="AY25" s="198">
        <f>FINANCIALS!AY9/FINANCIALS!AY4</f>
        <v>0.14291578332989291</v>
      </c>
      <c r="AZ25" s="198">
        <f>FINANCIALS!AZ9/FINANCIALS!AZ4</f>
        <v>0.13480627088850722</v>
      </c>
      <c r="BA25" s="198">
        <f>FINANCIALS!BA9/FINANCIALS!BA4</f>
        <v>0.12980689526086123</v>
      </c>
      <c r="BB25" s="198">
        <f>FINANCIALS!BB9/FINANCIALS!BB4</f>
        <v>0.12980689526057684</v>
      </c>
      <c r="BC25" s="198">
        <f>FINANCIALS!BC9/FINANCIALS!BC4</f>
        <v>0.11702680049923042</v>
      </c>
      <c r="BD25" s="198">
        <f>FINANCIALS!BD9/FINANCIALS!BD4</f>
        <v>0.1730516213929659</v>
      </c>
      <c r="BE25" s="198">
        <f>FINANCIALS!BE9/FINANCIALS!BE4</f>
        <v>0.16864921609181582</v>
      </c>
      <c r="BF25" s="198">
        <f>FINANCIALS!BF9/FINANCIALS!BF4</f>
        <v>0.16935986595395788</v>
      </c>
      <c r="BG25" s="198">
        <f>FINANCIALS!BG9/FINANCIALS!BG4</f>
        <v>0.16195172422320306</v>
      </c>
      <c r="BH25" s="198">
        <f>FINANCIALS!BH9/FINANCIALS!BH4</f>
        <v>0.15253024851572017</v>
      </c>
      <c r="BI25" s="198">
        <f>FINANCIALS!BI9/FINANCIALS!BI4</f>
        <v>0.14823030900679177</v>
      </c>
      <c r="BJ25" s="198">
        <f>FINANCIALS!BJ9/FINANCIALS!BJ4</f>
        <v>0.14637509832821488</v>
      </c>
      <c r="BK25" s="198">
        <f>FINANCIALS!BK9/FINANCIALS!BK4</f>
        <v>0.14556692098447097</v>
      </c>
      <c r="BL25" s="198">
        <f>FINANCIALS!BL9/FINANCIALS!BL4</f>
        <v>0.14525969082292922</v>
      </c>
      <c r="BM25" s="198">
        <f>FINANCIALS!BM9/FINANCIALS!BM4</f>
        <v>0.13731571725198319</v>
      </c>
      <c r="BN25" s="198">
        <f>FINANCIALS!BN9/FINANCIALS!BN4</f>
        <v>0.13493631041775153</v>
      </c>
      <c r="BO25" s="198">
        <f>FINANCIALS!BO9/FINANCIALS!BO4</f>
        <v>0.12731296999805986</v>
      </c>
      <c r="BP25" s="198">
        <f>FINANCIALS!BP9/FINANCIALS!BP4</f>
        <v>0.12348181464762638</v>
      </c>
      <c r="BQ25" s="198">
        <f>FINANCIALS!BQ9/FINANCIALS!BQ4</f>
        <v>0.14383376385726912</v>
      </c>
      <c r="BR25" s="198">
        <f>FINANCIALS!BR9/FINANCIALS!BR4</f>
        <v>0.14402912677260649</v>
      </c>
      <c r="BS25" s="198">
        <f>FINANCIALS!BS9/FINANCIALS!BS4</f>
        <v>0.14525818507717392</v>
      </c>
      <c r="BT25" s="198">
        <f>FINANCIALS!BT9/FINANCIALS!BT4</f>
        <v>0.14398504790895586</v>
      </c>
      <c r="BU25" s="198">
        <f>FINANCIALS!BU9/FINANCIALS!BU4</f>
        <v>0.14080272535284299</v>
      </c>
      <c r="BV25" s="198">
        <f>FINANCIALS!BV9/FINANCIALS!BV4</f>
        <v>0.13079395229404206</v>
      </c>
      <c r="BW25" s="198">
        <f>FINANCIALS!BW9/FINANCIALS!BW4</f>
        <v>0.16225955190977992</v>
      </c>
      <c r="BX25" s="198">
        <f>FINANCIALS!BX9/FINANCIALS!BX4</f>
        <v>0.16075497610903508</v>
      </c>
      <c r="BY25" s="198" t="e">
        <f>FINANCIALS!BY9/FINANCIALS!BY4</f>
        <v>#DIV/0!</v>
      </c>
      <c r="BZ25" s="198">
        <f>FINANCIALS!BZ9/FINANCIALS!BZ4</f>
        <v>0.15507690253640022</v>
      </c>
      <c r="CA25" s="198">
        <f>FINANCIALS!CA9/FINANCIALS!CA4</f>
        <v>0.1497313203867438</v>
      </c>
      <c r="CB25" s="198">
        <f>FINANCIALS!CB9/FINANCIALS!CB4</f>
        <v>0.14864081197749257</v>
      </c>
      <c r="CC25" s="198">
        <f>FINANCIALS!CC9/FINANCIALS!CC4</f>
        <v>0.14690899460883039</v>
      </c>
      <c r="CD25" s="198">
        <f>FINANCIALS!CC9/FINANCIALS!CC4</f>
        <v>0.14690899460883039</v>
      </c>
      <c r="CE25" s="198">
        <f>FINANCIALS!CD9/FINANCIALS!CD4</f>
        <v>0.14023274162095517</v>
      </c>
    </row>
    <row r="26" spans="1:84" s="137" customFormat="1" ht="15">
      <c r="A26" s="195">
        <v>3.3</v>
      </c>
      <c r="B26" s="195" t="s">
        <v>159</v>
      </c>
      <c r="C26" s="196" t="s">
        <v>131</v>
      </c>
      <c r="D26" s="200">
        <f>FINANCIALS!D12/FINANCIALS!D4</f>
        <v>-3.7688463279589017E-2</v>
      </c>
      <c r="E26" s="200">
        <f>FINANCIALS!E12/FINANCIALS!E4</f>
        <v>7.42654406838818E-2</v>
      </c>
      <c r="F26" s="200">
        <f>FINANCIALS!F12/FINANCIALS!F4</f>
        <v>0.14133744894193384</v>
      </c>
      <c r="G26" s="200">
        <f>FINANCIALS!G12/FINANCIALS!G4</f>
        <v>0.12036104565026484</v>
      </c>
      <c r="H26" s="200">
        <f>FINANCIALS!H12/FINANCIALS!H4</f>
        <v>0.10357065312835986</v>
      </c>
      <c r="I26" s="200">
        <f>FINANCIALS!I12/FINANCIALS!I4</f>
        <v>0.10226083879544687</v>
      </c>
      <c r="J26" s="200">
        <f>FINANCIALS!J12/FINANCIALS!J4</f>
        <v>0.14218078877978171</v>
      </c>
      <c r="K26" s="200">
        <f>FINANCIALS!K12/FINANCIALS!K4</f>
        <v>0.18543464998473475</v>
      </c>
      <c r="L26" s="200">
        <f>FINANCIALS!L12/FINANCIALS!L4</f>
        <v>0.15795161371926894</v>
      </c>
      <c r="M26" s="200">
        <f>FINANCIALS!M12/FINANCIALS!M4</f>
        <v>0.15801210470849611</v>
      </c>
      <c r="N26" s="200">
        <f>FINANCIALS!N12/FINANCIALS!N4</f>
        <v>0.15818512849749797</v>
      </c>
      <c r="O26" s="200">
        <f>FINANCIALS!O12/FINANCIALS!O4</f>
        <v>0.24578042491185645</v>
      </c>
      <c r="P26" s="200">
        <f>FINANCIALS!P12/FINANCIALS!P4</f>
        <v>0.14213774318339029</v>
      </c>
      <c r="Q26" s="200">
        <f>FINANCIALS!Q12/FINANCIALS!Q4</f>
        <v>0.148314555186838</v>
      </c>
      <c r="R26" s="200">
        <f>FINANCIALS!R12/FINANCIALS!R4</f>
        <v>0.14755269927124631</v>
      </c>
      <c r="S26" s="200">
        <f>FINANCIALS!S12/FINANCIALS!S4</f>
        <v>0.12707636369446282</v>
      </c>
      <c r="T26" s="200">
        <f>FINANCIALS!T12/FINANCIALS!T4</f>
        <v>0.14187551118873734</v>
      </c>
      <c r="U26" s="200">
        <f>FINANCIALS!U12/FINANCIALS!U4</f>
        <v>0.15635013520230273</v>
      </c>
      <c r="V26" s="200">
        <f>FINANCIALS!V12/FINANCIALS!V4</f>
        <v>0.15690222626180667</v>
      </c>
      <c r="W26" s="200">
        <f>FINANCIALS!W12/FINANCIALS!W4</f>
        <v>0.14474460255129101</v>
      </c>
      <c r="X26" s="200">
        <f>FINANCIALS!X12/FINANCIALS!X4</f>
        <v>0.19526414338746867</v>
      </c>
      <c r="Y26" s="200">
        <f>FINANCIALS!Y12/FINANCIALS!Y4</f>
        <v>0.19787058059755891</v>
      </c>
      <c r="Z26" s="200">
        <f>FINANCIALS!Z12/FINANCIALS!Z4</f>
        <v>0.20309716396097688</v>
      </c>
      <c r="AA26" s="200">
        <f>FINANCIALS!AA12/FINANCIALS!AA4</f>
        <v>0.20883246380004702</v>
      </c>
      <c r="AB26" s="200">
        <f>FINANCIALS!AB12/FINANCIALS!AB4</f>
        <v>0.21343592424666569</v>
      </c>
      <c r="AC26" s="200">
        <f>FINANCIALS!AC12/FINANCIALS!AC4</f>
        <v>0.21125099629050428</v>
      </c>
      <c r="AD26" s="200">
        <f>FINANCIALS!AD12/FINANCIALS!AD4</f>
        <v>0.21094104817022219</v>
      </c>
      <c r="AE26" s="200">
        <f>FINANCIALS!AE12/FINANCIALS!AE4</f>
        <v>0.20688098182474635</v>
      </c>
      <c r="AF26" s="200">
        <f>FINANCIALS!AF12/FINANCIALS!AF4</f>
        <v>0.20904347310014715</v>
      </c>
      <c r="AG26" s="200">
        <f>FINANCIALS!AG12/FINANCIALS!AG4</f>
        <v>0.20618955051656751</v>
      </c>
      <c r="AH26" s="200">
        <f>FINANCIALS!AH12/FINANCIALS!AH4</f>
        <v>0.20608136895041196</v>
      </c>
      <c r="AI26" s="200">
        <f>FINANCIALS!AI12/FINANCIALS!AI4</f>
        <v>0.20309516038983072</v>
      </c>
      <c r="AJ26" s="200">
        <f>FINANCIALS!AJ12/FINANCIALS!AJ4</f>
        <v>0.19428591431618614</v>
      </c>
      <c r="AK26" s="200">
        <f>FINANCIALS!AK12/FINANCIALS!AK4</f>
        <v>0.19600856756848026</v>
      </c>
      <c r="AL26" s="200">
        <f>FINANCIALS!AL12/FINANCIALS!AL4</f>
        <v>0.19591514494534185</v>
      </c>
      <c r="AM26" s="200">
        <f>FINANCIALS!AM12/FINANCIALS!AM4</f>
        <v>0.19780849745754414</v>
      </c>
      <c r="AN26" s="200">
        <f>FINANCIALS!AN12/FINANCIALS!AN4</f>
        <v>0.19945220152199833</v>
      </c>
      <c r="AO26" s="200">
        <f>FINANCIALS!AO12/FINANCIALS!AO4</f>
        <v>0.19907576197106161</v>
      </c>
      <c r="AP26" s="200">
        <f>FINANCIALS!AP12/FINANCIALS!AP4</f>
        <v>0.17531818558883946</v>
      </c>
      <c r="AQ26" s="200">
        <f>FINANCIALS!AQ12/FINANCIALS!AQ4</f>
        <v>0.17695654169779287</v>
      </c>
      <c r="AR26" s="200">
        <f>FINANCIALS!AR12/FINANCIALS!AR4</f>
        <v>0.14431032980359157</v>
      </c>
      <c r="AS26" s="200">
        <f>FINANCIALS!AS12/FINANCIALS!AS4</f>
        <v>0.17580300325637796</v>
      </c>
      <c r="AT26" s="200">
        <f>FINANCIALS!AT12/FINANCIALS!AT4</f>
        <v>0.17438888934180913</v>
      </c>
      <c r="AU26" s="200">
        <f>FINANCIALS!AU12/FINANCIALS!AU4</f>
        <v>0.17810694500314189</v>
      </c>
      <c r="AV26" s="200">
        <f>FINANCIALS!AV12/FINANCIALS!AV4</f>
        <v>0.18144511099141308</v>
      </c>
      <c r="AW26" s="200">
        <f>FINANCIALS!AW12/FINANCIALS!AW4</f>
        <v>0.18645726042332306</v>
      </c>
      <c r="AX26" s="200">
        <f>FINANCIALS!AX12/FINANCIALS!AX4</f>
        <v>0.24916298037955578</v>
      </c>
      <c r="AY26" s="200">
        <f>FINANCIALS!AY12/FINANCIALS!AY4</f>
        <v>0.17397025404467914</v>
      </c>
      <c r="AZ26" s="200">
        <f>FINANCIALS!AZ12/FINANCIALS!AZ4</f>
        <v>0.17438335768498667</v>
      </c>
      <c r="BA26" s="200">
        <f>FINANCIALS!BA12/FINANCIALS!BA4</f>
        <v>0.18449105717137104</v>
      </c>
      <c r="BB26" s="200">
        <f>FINANCIALS!BB12/FINANCIALS!BB4</f>
        <v>0.18449105717096684</v>
      </c>
      <c r="BC26" s="200">
        <f>FINANCIALS!BC12/FINANCIALS!BC4</f>
        <v>0.19011384188457031</v>
      </c>
      <c r="BD26" s="200">
        <f>FINANCIALS!BD12/FINANCIALS!BD4</f>
        <v>0.16935924370044783</v>
      </c>
      <c r="BE26" s="200">
        <f>FINANCIALS!BE12/FINANCIALS!BE4</f>
        <v>0.1583716785312399</v>
      </c>
      <c r="BF26" s="200">
        <f>FINANCIALS!BF12/FINANCIALS!BF4</f>
        <v>0.17855974125793636</v>
      </c>
      <c r="BG26" s="200">
        <f>FINANCIALS!BG12/FINANCIALS!BG4</f>
        <v>0.19276132196228338</v>
      </c>
      <c r="BH26" s="200">
        <f>FINANCIALS!BH12/FINANCIALS!BH4</f>
        <v>0.183755252130995</v>
      </c>
      <c r="BI26" s="200">
        <f>FINANCIALS!BI12/FINANCIALS!BI4</f>
        <v>0.1834178427168946</v>
      </c>
      <c r="BJ26" s="200">
        <f>FINANCIALS!BJ12/FINANCIALS!BJ4</f>
        <v>0.18193783887772313</v>
      </c>
      <c r="BK26" s="200">
        <f>FINANCIALS!BK12/FINANCIALS!BK4</f>
        <v>0.18186105356858306</v>
      </c>
      <c r="BL26" s="200">
        <f>FINANCIALS!BL12/FINANCIALS!BL4</f>
        <v>0.1790484041382607</v>
      </c>
      <c r="BM26" s="200">
        <f>FINANCIALS!BM12/FINANCIALS!BM4</f>
        <v>0.18190722578533311</v>
      </c>
      <c r="BN26" s="200">
        <f>FINANCIALS!BN12/FINANCIALS!BN4</f>
        <v>0.18931655570418132</v>
      </c>
      <c r="BO26" s="200">
        <f>FINANCIALS!BO12/FINANCIALS!BO4</f>
        <v>0.18610410613994546</v>
      </c>
      <c r="BP26" s="200">
        <f>FINANCIALS!BP12/FINANCIALS!BP4</f>
        <v>0.1873616899671017</v>
      </c>
      <c r="BQ26" s="200">
        <f>FINANCIALS!BQ12/FINANCIALS!BQ4</f>
        <v>0.17411515224887988</v>
      </c>
      <c r="BR26" s="200">
        <f>FINANCIALS!BR12/FINANCIALS!BR4</f>
        <v>0.15534322463752462</v>
      </c>
      <c r="BS26" s="200">
        <f>FINANCIALS!BS12/FINANCIALS!BS4</f>
        <v>0.17699832442365274</v>
      </c>
      <c r="BT26" s="200">
        <f>FINANCIALS!BT12/FINANCIALS!BT4</f>
        <v>0.18066310809634795</v>
      </c>
      <c r="BU26" s="200">
        <f>FINANCIALS!BU12/FINANCIALS!BU4</f>
        <v>0.18611762198104573</v>
      </c>
      <c r="BV26" s="200">
        <f>FINANCIALS!BV12/FINANCIALS!BV4</f>
        <v>0.1778546976869973</v>
      </c>
      <c r="BW26" s="200">
        <f>FINANCIALS!BW12/FINANCIALS!BW4</f>
        <v>0.17190160442243108</v>
      </c>
      <c r="BX26" s="200">
        <f>FINANCIALS!BX12/FINANCIALS!BX4</f>
        <v>0.16836344856937327</v>
      </c>
      <c r="BY26" s="200" t="e">
        <f>FINANCIALS!BY12/FINANCIALS!BY4</f>
        <v>#DIV/0!</v>
      </c>
      <c r="BZ26" s="200">
        <f>FINANCIALS!BZ12/FINANCIALS!BZ4</f>
        <v>0.18019115570776631</v>
      </c>
      <c r="CA26" s="200">
        <f>FINANCIALS!CA12/FINANCIALS!CA4</f>
        <v>0.178874632037128</v>
      </c>
      <c r="CB26" s="200">
        <f>FINANCIALS!CB12/FINANCIALS!CB4</f>
        <v>0.1834278767692944</v>
      </c>
      <c r="CC26" s="200">
        <f>FINANCIALS!CC12/FINANCIALS!CC4</f>
        <v>0.19067336196000048</v>
      </c>
      <c r="CD26" s="200">
        <f>FINANCIALS!CD12/FINANCIALS!CD4</f>
        <v>0.1728932508804954</v>
      </c>
      <c r="CE26" s="200">
        <f>FINANCIALS!CD12/FINANCIALS!CD4</f>
        <v>0.1728932508804954</v>
      </c>
    </row>
    <row r="27" spans="1:84" s="137" customFormat="1">
      <c r="A27" s="141"/>
      <c r="B27" s="141"/>
      <c r="C27" s="141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</row>
    <row r="28" spans="1:84" s="137" customFormat="1">
      <c r="A28" s="140">
        <v>4</v>
      </c>
      <c r="B28" s="138" t="s">
        <v>160</v>
      </c>
      <c r="C28" s="138"/>
      <c r="D28" s="139" t="s">
        <v>123</v>
      </c>
      <c r="E28" s="139"/>
      <c r="F28" s="139"/>
      <c r="G28" s="139"/>
      <c r="H28" s="139"/>
      <c r="I28" s="139"/>
    </row>
    <row r="29" spans="1:84">
      <c r="A29" s="141">
        <v>4.0999999999999996</v>
      </c>
      <c r="B29" s="141" t="s">
        <v>42</v>
      </c>
      <c r="C29" s="141"/>
      <c r="D29" s="143"/>
      <c r="E29" s="143"/>
      <c r="F29" s="143"/>
      <c r="G29" s="143"/>
      <c r="H29" s="143"/>
      <c r="I29" s="143"/>
    </row>
    <row r="30" spans="1:84">
      <c r="A30" s="141">
        <v>4.2</v>
      </c>
      <c r="B30" s="141" t="s">
        <v>161</v>
      </c>
      <c r="C30" s="141"/>
      <c r="D30" s="143"/>
      <c r="E30" s="143"/>
      <c r="F30" s="143"/>
      <c r="G30" s="143"/>
      <c r="H30" s="143"/>
      <c r="I30" s="143"/>
    </row>
    <row r="31" spans="1:84">
      <c r="A31" s="141" t="s">
        <v>162</v>
      </c>
      <c r="B31" s="145" t="s">
        <v>163</v>
      </c>
      <c r="C31" s="145"/>
      <c r="D31" s="143"/>
      <c r="E31" s="143"/>
      <c r="F31" s="143"/>
      <c r="G31" s="143"/>
      <c r="H31" s="143"/>
      <c r="I31" s="143"/>
    </row>
    <row r="32" spans="1:84">
      <c r="A32" s="141" t="s">
        <v>164</v>
      </c>
      <c r="B32" s="145" t="s">
        <v>165</v>
      </c>
      <c r="C32" s="145"/>
      <c r="D32" s="143"/>
      <c r="E32" s="143"/>
      <c r="F32" s="143"/>
      <c r="G32" s="143"/>
      <c r="H32" s="143"/>
      <c r="I32" s="143"/>
    </row>
    <row r="33" spans="1:9">
      <c r="A33" s="141">
        <v>4.3</v>
      </c>
      <c r="B33" s="141" t="s">
        <v>166</v>
      </c>
      <c r="C33" s="141"/>
      <c r="D33" s="143"/>
      <c r="E33" s="143"/>
      <c r="F33" s="143"/>
      <c r="G33" s="143"/>
      <c r="H33" s="143"/>
      <c r="I33" s="143"/>
    </row>
    <row r="34" spans="1:9">
      <c r="A34" s="141">
        <v>4.4000000000000004</v>
      </c>
      <c r="B34" s="141" t="s">
        <v>167</v>
      </c>
      <c r="C34" s="141"/>
      <c r="D34" s="146"/>
      <c r="E34" s="146"/>
      <c r="F34" s="146"/>
      <c r="G34" s="146"/>
      <c r="H34" s="146"/>
      <c r="I34" s="146"/>
    </row>
    <row r="35" spans="1:9">
      <c r="A35" s="141">
        <v>4.5</v>
      </c>
      <c r="B35" s="141" t="s">
        <v>168</v>
      </c>
      <c r="C35" s="141"/>
      <c r="D35" s="147"/>
      <c r="E35" s="147"/>
      <c r="F35" s="147"/>
      <c r="G35" s="147"/>
      <c r="H35" s="147"/>
      <c r="I35" s="147"/>
    </row>
    <row r="36" spans="1:9">
      <c r="A36" s="141">
        <v>4.5999999999999996</v>
      </c>
      <c r="B36" s="141" t="s">
        <v>169</v>
      </c>
      <c r="C36" s="141"/>
      <c r="D36" s="147"/>
      <c r="E36" s="147"/>
      <c r="F36" s="147"/>
      <c r="G36" s="147"/>
      <c r="H36" s="147"/>
      <c r="I36" s="147"/>
    </row>
    <row r="37" spans="1:9">
      <c r="A37" s="141"/>
      <c r="B37" s="141"/>
      <c r="C37" s="141"/>
      <c r="D37" s="141"/>
    </row>
    <row r="38" spans="1:9">
      <c r="A38" s="144">
        <v>5</v>
      </c>
      <c r="B38" s="142" t="s">
        <v>170</v>
      </c>
      <c r="C38" s="141"/>
      <c r="D38" s="139" t="s">
        <v>123</v>
      </c>
      <c r="E38" s="139"/>
      <c r="F38" s="139"/>
      <c r="G38" s="139"/>
      <c r="H38" s="139"/>
      <c r="I38" s="139"/>
    </row>
    <row r="39" spans="1:9">
      <c r="A39" s="144">
        <v>5.4</v>
      </c>
      <c r="B39" s="141" t="s">
        <v>171</v>
      </c>
      <c r="C39" s="141"/>
      <c r="D39" s="147"/>
      <c r="E39" s="147"/>
      <c r="F39" s="147"/>
      <c r="G39" s="147"/>
      <c r="H39" s="147"/>
      <c r="I39" s="147"/>
    </row>
    <row r="40" spans="1:9">
      <c r="A40" s="144">
        <v>5.4</v>
      </c>
      <c r="B40" s="141" t="s">
        <v>172</v>
      </c>
      <c r="C40" s="141"/>
      <c r="D40" s="146"/>
      <c r="E40" s="146"/>
      <c r="F40" s="146"/>
      <c r="G40" s="146"/>
      <c r="H40" s="146"/>
      <c r="I40" s="146"/>
    </row>
    <row r="41" spans="1:9">
      <c r="A41" s="144">
        <v>5.4</v>
      </c>
      <c r="B41" s="141" t="s">
        <v>173</v>
      </c>
      <c r="C41" s="141"/>
      <c r="D41" s="146"/>
      <c r="E41" s="146"/>
      <c r="F41" s="146"/>
      <c r="G41" s="146"/>
      <c r="H41" s="146"/>
      <c r="I41" s="146"/>
    </row>
    <row r="42" spans="1:9">
      <c r="A42" s="144">
        <v>5.4</v>
      </c>
      <c r="B42" s="141" t="s">
        <v>174</v>
      </c>
      <c r="C42" s="141"/>
      <c r="D42" s="146"/>
      <c r="E42" s="146"/>
      <c r="F42" s="146"/>
      <c r="G42" s="146"/>
      <c r="H42" s="146"/>
      <c r="I42" s="146"/>
    </row>
    <row r="43" spans="1:9">
      <c r="A43" s="148"/>
    </row>
    <row r="44" spans="1:9">
      <c r="A44" s="148"/>
      <c r="B44" s="104"/>
    </row>
  </sheetData>
  <mergeCells count="1">
    <mergeCell ref="B2:C2"/>
  </mergeCells>
  <pageMargins left="0.7" right="0.7" top="0.75" bottom="0.75" header="0.3" footer="0.3"/>
  <pageSetup scale="2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CI63"/>
  <sheetViews>
    <sheetView view="pageBreakPreview" zoomScaleNormal="100" zoomScaleSheetLayoutView="100" workbookViewId="0">
      <pane xSplit="3" topLeftCell="BY1" activePane="topRight" state="frozen"/>
      <selection pane="topRight" activeCell="D12" sqref="D12:CF12"/>
      <selection activeCell="A4" sqref="A4"/>
    </sheetView>
  </sheetViews>
  <sheetFormatPr defaultRowHeight="11.45"/>
  <cols>
    <col min="1" max="1" width="3.85546875" style="23" customWidth="1"/>
    <col min="2" max="2" width="5.42578125" style="23" customWidth="1"/>
    <col min="3" max="3" width="25" style="24" customWidth="1"/>
    <col min="4" max="4" width="14.7109375" style="23" customWidth="1"/>
    <col min="5" max="5" width="13.85546875" style="23" bestFit="1" customWidth="1"/>
    <col min="6" max="6" width="12.28515625" style="23" customWidth="1"/>
    <col min="7" max="8" width="12.28515625" style="23" hidden="1" customWidth="1"/>
    <col min="9" max="9" width="12.28515625" style="23" customWidth="1"/>
    <col min="10" max="10" width="0.140625" style="23" customWidth="1"/>
    <col min="11" max="11" width="12.28515625" style="23" hidden="1" customWidth="1"/>
    <col min="12" max="12" width="12.28515625" style="23" bestFit="1" customWidth="1"/>
    <col min="13" max="14" width="0.140625" style="23" customWidth="1"/>
    <col min="15" max="18" width="12.28515625" style="23" bestFit="1" customWidth="1"/>
    <col min="19" max="28" width="16" style="23" bestFit="1" customWidth="1"/>
    <col min="29" max="36" width="12.28515625" style="23" bestFit="1" customWidth="1"/>
    <col min="37" max="38" width="12" style="23" bestFit="1" customWidth="1"/>
    <col min="39" max="39" width="12.28515625" style="23" bestFit="1" customWidth="1"/>
    <col min="40" max="41" width="12" style="23" bestFit="1" customWidth="1"/>
    <col min="42" max="43" width="12.28515625" style="23" bestFit="1" customWidth="1"/>
    <col min="44" max="44" width="12.5703125" style="23" bestFit="1" customWidth="1"/>
    <col min="45" max="49" width="12.28515625" style="23" bestFit="1" customWidth="1"/>
    <col min="50" max="53" width="12" style="23" bestFit="1" customWidth="1"/>
    <col min="54" max="56" width="12.28515625" style="23" bestFit="1" customWidth="1"/>
    <col min="57" max="57" width="13.42578125" style="23" bestFit="1" customWidth="1"/>
    <col min="58" max="76" width="12" style="23" bestFit="1" customWidth="1"/>
    <col min="77" max="77" width="9.140625" style="23"/>
    <col min="78" max="83" width="12" style="23" bestFit="1" customWidth="1"/>
    <col min="84" max="84" width="12.42578125" style="23" bestFit="1" customWidth="1"/>
    <col min="85" max="214" width="9.140625" style="23"/>
    <col min="215" max="215" width="3.85546875" style="23" customWidth="1"/>
    <col min="216" max="216" width="5.42578125" style="23" customWidth="1"/>
    <col min="217" max="217" width="37.5703125" style="23" customWidth="1"/>
    <col min="218" max="219" width="19.140625" style="23" bestFit="1" customWidth="1"/>
    <col min="220" max="220" width="18.7109375" style="23" bestFit="1" customWidth="1"/>
    <col min="221" max="221" width="18.42578125" style="23" bestFit="1" customWidth="1"/>
    <col min="222" max="222" width="18.7109375" style="23" bestFit="1" customWidth="1"/>
    <col min="223" max="223" width="18" style="23" customWidth="1"/>
    <col min="224" max="224" width="18.7109375" style="23" bestFit="1" customWidth="1"/>
    <col min="225" max="225" width="17.42578125" style="23" bestFit="1" customWidth="1"/>
    <col min="226" max="226" width="11.5703125" style="23" bestFit="1" customWidth="1"/>
    <col min="227" max="470" width="9.140625" style="23"/>
    <col min="471" max="471" width="3.85546875" style="23" customWidth="1"/>
    <col min="472" max="472" width="5.42578125" style="23" customWidth="1"/>
    <col min="473" max="473" width="37.5703125" style="23" customWidth="1"/>
    <col min="474" max="475" width="19.140625" style="23" bestFit="1" customWidth="1"/>
    <col min="476" max="476" width="18.7109375" style="23" bestFit="1" customWidth="1"/>
    <col min="477" max="477" width="18.42578125" style="23" bestFit="1" customWidth="1"/>
    <col min="478" max="478" width="18.7109375" style="23" bestFit="1" customWidth="1"/>
    <col min="479" max="479" width="18" style="23" customWidth="1"/>
    <col min="480" max="480" width="18.7109375" style="23" bestFit="1" customWidth="1"/>
    <col min="481" max="481" width="17.42578125" style="23" bestFit="1" customWidth="1"/>
    <col min="482" max="482" width="11.5703125" style="23" bestFit="1" customWidth="1"/>
    <col min="483" max="726" width="9.140625" style="23"/>
    <col min="727" max="727" width="3.85546875" style="23" customWidth="1"/>
    <col min="728" max="728" width="5.42578125" style="23" customWidth="1"/>
    <col min="729" max="729" width="37.5703125" style="23" customWidth="1"/>
    <col min="730" max="731" width="19.140625" style="23" bestFit="1" customWidth="1"/>
    <col min="732" max="732" width="18.7109375" style="23" bestFit="1" customWidth="1"/>
    <col min="733" max="733" width="18.42578125" style="23" bestFit="1" customWidth="1"/>
    <col min="734" max="734" width="18.7109375" style="23" bestFit="1" customWidth="1"/>
    <col min="735" max="735" width="18" style="23" customWidth="1"/>
    <col min="736" max="736" width="18.7109375" style="23" bestFit="1" customWidth="1"/>
    <col min="737" max="737" width="17.42578125" style="23" bestFit="1" customWidth="1"/>
    <col min="738" max="738" width="11.5703125" style="23" bestFit="1" customWidth="1"/>
    <col min="739" max="982" width="9.140625" style="23"/>
    <col min="983" max="983" width="3.85546875" style="23" customWidth="1"/>
    <col min="984" max="984" width="5.42578125" style="23" customWidth="1"/>
    <col min="985" max="985" width="37.5703125" style="23" customWidth="1"/>
    <col min="986" max="987" width="19.140625" style="23" bestFit="1" customWidth="1"/>
    <col min="988" max="988" width="18.7109375" style="23" bestFit="1" customWidth="1"/>
    <col min="989" max="989" width="18.42578125" style="23" bestFit="1" customWidth="1"/>
    <col min="990" max="990" width="18.7109375" style="23" bestFit="1" customWidth="1"/>
    <col min="991" max="991" width="18" style="23" customWidth="1"/>
    <col min="992" max="992" width="18.7109375" style="23" bestFit="1" customWidth="1"/>
    <col min="993" max="993" width="17.42578125" style="23" bestFit="1" customWidth="1"/>
    <col min="994" max="994" width="11.5703125" style="23" bestFit="1" customWidth="1"/>
    <col min="995" max="1238" width="9.140625" style="23"/>
    <col min="1239" max="1239" width="3.85546875" style="23" customWidth="1"/>
    <col min="1240" max="1240" width="5.42578125" style="23" customWidth="1"/>
    <col min="1241" max="1241" width="37.5703125" style="23" customWidth="1"/>
    <col min="1242" max="1243" width="19.140625" style="23" bestFit="1" customWidth="1"/>
    <col min="1244" max="1244" width="18.7109375" style="23" bestFit="1" customWidth="1"/>
    <col min="1245" max="1245" width="18.42578125" style="23" bestFit="1" customWidth="1"/>
    <col min="1246" max="1246" width="18.7109375" style="23" bestFit="1" customWidth="1"/>
    <col min="1247" max="1247" width="18" style="23" customWidth="1"/>
    <col min="1248" max="1248" width="18.7109375" style="23" bestFit="1" customWidth="1"/>
    <col min="1249" max="1249" width="17.42578125" style="23" bestFit="1" customWidth="1"/>
    <col min="1250" max="1250" width="11.5703125" style="23" bestFit="1" customWidth="1"/>
    <col min="1251" max="1494" width="9.140625" style="23"/>
    <col min="1495" max="1495" width="3.85546875" style="23" customWidth="1"/>
    <col min="1496" max="1496" width="5.42578125" style="23" customWidth="1"/>
    <col min="1497" max="1497" width="37.5703125" style="23" customWidth="1"/>
    <col min="1498" max="1499" width="19.140625" style="23" bestFit="1" customWidth="1"/>
    <col min="1500" max="1500" width="18.7109375" style="23" bestFit="1" customWidth="1"/>
    <col min="1501" max="1501" width="18.42578125" style="23" bestFit="1" customWidth="1"/>
    <col min="1502" max="1502" width="18.7109375" style="23" bestFit="1" customWidth="1"/>
    <col min="1503" max="1503" width="18" style="23" customWidth="1"/>
    <col min="1504" max="1504" width="18.7109375" style="23" bestFit="1" customWidth="1"/>
    <col min="1505" max="1505" width="17.42578125" style="23" bestFit="1" customWidth="1"/>
    <col min="1506" max="1506" width="11.5703125" style="23" bestFit="1" customWidth="1"/>
    <col min="1507" max="1750" width="9.140625" style="23"/>
    <col min="1751" max="1751" width="3.85546875" style="23" customWidth="1"/>
    <col min="1752" max="1752" width="5.42578125" style="23" customWidth="1"/>
    <col min="1753" max="1753" width="37.5703125" style="23" customWidth="1"/>
    <col min="1754" max="1755" width="19.140625" style="23" bestFit="1" customWidth="1"/>
    <col min="1756" max="1756" width="18.7109375" style="23" bestFit="1" customWidth="1"/>
    <col min="1757" max="1757" width="18.42578125" style="23" bestFit="1" customWidth="1"/>
    <col min="1758" max="1758" width="18.7109375" style="23" bestFit="1" customWidth="1"/>
    <col min="1759" max="1759" width="18" style="23" customWidth="1"/>
    <col min="1760" max="1760" width="18.7109375" style="23" bestFit="1" customWidth="1"/>
    <col min="1761" max="1761" width="17.42578125" style="23" bestFit="1" customWidth="1"/>
    <col min="1762" max="1762" width="11.5703125" style="23" bestFit="1" customWidth="1"/>
    <col min="1763" max="2006" width="9.140625" style="23"/>
    <col min="2007" max="2007" width="3.85546875" style="23" customWidth="1"/>
    <col min="2008" max="2008" width="5.42578125" style="23" customWidth="1"/>
    <col min="2009" max="2009" width="37.5703125" style="23" customWidth="1"/>
    <col min="2010" max="2011" width="19.140625" style="23" bestFit="1" customWidth="1"/>
    <col min="2012" max="2012" width="18.7109375" style="23" bestFit="1" customWidth="1"/>
    <col min="2013" max="2013" width="18.42578125" style="23" bestFit="1" customWidth="1"/>
    <col min="2014" max="2014" width="18.7109375" style="23" bestFit="1" customWidth="1"/>
    <col min="2015" max="2015" width="18" style="23" customWidth="1"/>
    <col min="2016" max="2016" width="18.7109375" style="23" bestFit="1" customWidth="1"/>
    <col min="2017" max="2017" width="17.42578125" style="23" bestFit="1" customWidth="1"/>
    <col min="2018" max="2018" width="11.5703125" style="23" bestFit="1" customWidth="1"/>
    <col min="2019" max="2262" width="9.140625" style="23"/>
    <col min="2263" max="2263" width="3.85546875" style="23" customWidth="1"/>
    <col min="2264" max="2264" width="5.42578125" style="23" customWidth="1"/>
    <col min="2265" max="2265" width="37.5703125" style="23" customWidth="1"/>
    <col min="2266" max="2267" width="19.140625" style="23" bestFit="1" customWidth="1"/>
    <col min="2268" max="2268" width="18.7109375" style="23" bestFit="1" customWidth="1"/>
    <col min="2269" max="2269" width="18.42578125" style="23" bestFit="1" customWidth="1"/>
    <col min="2270" max="2270" width="18.7109375" style="23" bestFit="1" customWidth="1"/>
    <col min="2271" max="2271" width="18" style="23" customWidth="1"/>
    <col min="2272" max="2272" width="18.7109375" style="23" bestFit="1" customWidth="1"/>
    <col min="2273" max="2273" width="17.42578125" style="23" bestFit="1" customWidth="1"/>
    <col min="2274" max="2274" width="11.5703125" style="23" bestFit="1" customWidth="1"/>
    <col min="2275" max="2518" width="9.140625" style="23"/>
    <col min="2519" max="2519" width="3.85546875" style="23" customWidth="1"/>
    <col min="2520" max="2520" width="5.42578125" style="23" customWidth="1"/>
    <col min="2521" max="2521" width="37.5703125" style="23" customWidth="1"/>
    <col min="2522" max="2523" width="19.140625" style="23" bestFit="1" customWidth="1"/>
    <col min="2524" max="2524" width="18.7109375" style="23" bestFit="1" customWidth="1"/>
    <col min="2525" max="2525" width="18.42578125" style="23" bestFit="1" customWidth="1"/>
    <col min="2526" max="2526" width="18.7109375" style="23" bestFit="1" customWidth="1"/>
    <col min="2527" max="2527" width="18" style="23" customWidth="1"/>
    <col min="2528" max="2528" width="18.7109375" style="23" bestFit="1" customWidth="1"/>
    <col min="2529" max="2529" width="17.42578125" style="23" bestFit="1" customWidth="1"/>
    <col min="2530" max="2530" width="11.5703125" style="23" bestFit="1" customWidth="1"/>
    <col min="2531" max="2774" width="9.140625" style="23"/>
    <col min="2775" max="2775" width="3.85546875" style="23" customWidth="1"/>
    <col min="2776" max="2776" width="5.42578125" style="23" customWidth="1"/>
    <col min="2777" max="2777" width="37.5703125" style="23" customWidth="1"/>
    <col min="2778" max="2779" width="19.140625" style="23" bestFit="1" customWidth="1"/>
    <col min="2780" max="2780" width="18.7109375" style="23" bestFit="1" customWidth="1"/>
    <col min="2781" max="2781" width="18.42578125" style="23" bestFit="1" customWidth="1"/>
    <col min="2782" max="2782" width="18.7109375" style="23" bestFit="1" customWidth="1"/>
    <col min="2783" max="2783" width="18" style="23" customWidth="1"/>
    <col min="2784" max="2784" width="18.7109375" style="23" bestFit="1" customWidth="1"/>
    <col min="2785" max="2785" width="17.42578125" style="23" bestFit="1" customWidth="1"/>
    <col min="2786" max="2786" width="11.5703125" style="23" bestFit="1" customWidth="1"/>
    <col min="2787" max="3030" width="9.140625" style="23"/>
    <col min="3031" max="3031" width="3.85546875" style="23" customWidth="1"/>
    <col min="3032" max="3032" width="5.42578125" style="23" customWidth="1"/>
    <col min="3033" max="3033" width="37.5703125" style="23" customWidth="1"/>
    <col min="3034" max="3035" width="19.140625" style="23" bestFit="1" customWidth="1"/>
    <col min="3036" max="3036" width="18.7109375" style="23" bestFit="1" customWidth="1"/>
    <col min="3037" max="3037" width="18.42578125" style="23" bestFit="1" customWidth="1"/>
    <col min="3038" max="3038" width="18.7109375" style="23" bestFit="1" customWidth="1"/>
    <col min="3039" max="3039" width="18" style="23" customWidth="1"/>
    <col min="3040" max="3040" width="18.7109375" style="23" bestFit="1" customWidth="1"/>
    <col min="3041" max="3041" width="17.42578125" style="23" bestFit="1" customWidth="1"/>
    <col min="3042" max="3042" width="11.5703125" style="23" bestFit="1" customWidth="1"/>
    <col min="3043" max="3286" width="9.140625" style="23"/>
    <col min="3287" max="3287" width="3.85546875" style="23" customWidth="1"/>
    <col min="3288" max="3288" width="5.42578125" style="23" customWidth="1"/>
    <col min="3289" max="3289" width="37.5703125" style="23" customWidth="1"/>
    <col min="3290" max="3291" width="19.140625" style="23" bestFit="1" customWidth="1"/>
    <col min="3292" max="3292" width="18.7109375" style="23" bestFit="1" customWidth="1"/>
    <col min="3293" max="3293" width="18.42578125" style="23" bestFit="1" customWidth="1"/>
    <col min="3294" max="3294" width="18.7109375" style="23" bestFit="1" customWidth="1"/>
    <col min="3295" max="3295" width="18" style="23" customWidth="1"/>
    <col min="3296" max="3296" width="18.7109375" style="23" bestFit="1" customWidth="1"/>
    <col min="3297" max="3297" width="17.42578125" style="23" bestFit="1" customWidth="1"/>
    <col min="3298" max="3298" width="11.5703125" style="23" bestFit="1" customWidth="1"/>
    <col min="3299" max="3542" width="9.140625" style="23"/>
    <col min="3543" max="3543" width="3.85546875" style="23" customWidth="1"/>
    <col min="3544" max="3544" width="5.42578125" style="23" customWidth="1"/>
    <col min="3545" max="3545" width="37.5703125" style="23" customWidth="1"/>
    <col min="3546" max="3547" width="19.140625" style="23" bestFit="1" customWidth="1"/>
    <col min="3548" max="3548" width="18.7109375" style="23" bestFit="1" customWidth="1"/>
    <col min="3549" max="3549" width="18.42578125" style="23" bestFit="1" customWidth="1"/>
    <col min="3550" max="3550" width="18.7109375" style="23" bestFit="1" customWidth="1"/>
    <col min="3551" max="3551" width="18" style="23" customWidth="1"/>
    <col min="3552" max="3552" width="18.7109375" style="23" bestFit="1" customWidth="1"/>
    <col min="3553" max="3553" width="17.42578125" style="23" bestFit="1" customWidth="1"/>
    <col min="3554" max="3554" width="11.5703125" style="23" bestFit="1" customWidth="1"/>
    <col min="3555" max="3798" width="9.140625" style="23"/>
    <col min="3799" max="3799" width="3.85546875" style="23" customWidth="1"/>
    <col min="3800" max="3800" width="5.42578125" style="23" customWidth="1"/>
    <col min="3801" max="3801" width="37.5703125" style="23" customWidth="1"/>
    <col min="3802" max="3803" width="19.140625" style="23" bestFit="1" customWidth="1"/>
    <col min="3804" max="3804" width="18.7109375" style="23" bestFit="1" customWidth="1"/>
    <col min="3805" max="3805" width="18.42578125" style="23" bestFit="1" customWidth="1"/>
    <col min="3806" max="3806" width="18.7109375" style="23" bestFit="1" customWidth="1"/>
    <col min="3807" max="3807" width="18" style="23" customWidth="1"/>
    <col min="3808" max="3808" width="18.7109375" style="23" bestFit="1" customWidth="1"/>
    <col min="3809" max="3809" width="17.42578125" style="23" bestFit="1" customWidth="1"/>
    <col min="3810" max="3810" width="11.5703125" style="23" bestFit="1" customWidth="1"/>
    <col min="3811" max="4054" width="9.140625" style="23"/>
    <col min="4055" max="4055" width="3.85546875" style="23" customWidth="1"/>
    <col min="4056" max="4056" width="5.42578125" style="23" customWidth="1"/>
    <col min="4057" max="4057" width="37.5703125" style="23" customWidth="1"/>
    <col min="4058" max="4059" width="19.140625" style="23" bestFit="1" customWidth="1"/>
    <col min="4060" max="4060" width="18.7109375" style="23" bestFit="1" customWidth="1"/>
    <col min="4061" max="4061" width="18.42578125" style="23" bestFit="1" customWidth="1"/>
    <col min="4062" max="4062" width="18.7109375" style="23" bestFit="1" customWidth="1"/>
    <col min="4063" max="4063" width="18" style="23" customWidth="1"/>
    <col min="4064" max="4064" width="18.7109375" style="23" bestFit="1" customWidth="1"/>
    <col min="4065" max="4065" width="17.42578125" style="23" bestFit="1" customWidth="1"/>
    <col min="4066" max="4066" width="11.5703125" style="23" bestFit="1" customWidth="1"/>
    <col min="4067" max="4310" width="9.140625" style="23"/>
    <col min="4311" max="4311" width="3.85546875" style="23" customWidth="1"/>
    <col min="4312" max="4312" width="5.42578125" style="23" customWidth="1"/>
    <col min="4313" max="4313" width="37.5703125" style="23" customWidth="1"/>
    <col min="4314" max="4315" width="19.140625" style="23" bestFit="1" customWidth="1"/>
    <col min="4316" max="4316" width="18.7109375" style="23" bestFit="1" customWidth="1"/>
    <col min="4317" max="4317" width="18.42578125" style="23" bestFit="1" customWidth="1"/>
    <col min="4318" max="4318" width="18.7109375" style="23" bestFit="1" customWidth="1"/>
    <col min="4319" max="4319" width="18" style="23" customWidth="1"/>
    <col min="4320" max="4320" width="18.7109375" style="23" bestFit="1" customWidth="1"/>
    <col min="4321" max="4321" width="17.42578125" style="23" bestFit="1" customWidth="1"/>
    <col min="4322" max="4322" width="11.5703125" style="23" bestFit="1" customWidth="1"/>
    <col min="4323" max="4566" width="9.140625" style="23"/>
    <col min="4567" max="4567" width="3.85546875" style="23" customWidth="1"/>
    <col min="4568" max="4568" width="5.42578125" style="23" customWidth="1"/>
    <col min="4569" max="4569" width="37.5703125" style="23" customWidth="1"/>
    <col min="4570" max="4571" width="19.140625" style="23" bestFit="1" customWidth="1"/>
    <col min="4572" max="4572" width="18.7109375" style="23" bestFit="1" customWidth="1"/>
    <col min="4573" max="4573" width="18.42578125" style="23" bestFit="1" customWidth="1"/>
    <col min="4574" max="4574" width="18.7109375" style="23" bestFit="1" customWidth="1"/>
    <col min="4575" max="4575" width="18" style="23" customWidth="1"/>
    <col min="4576" max="4576" width="18.7109375" style="23" bestFit="1" customWidth="1"/>
    <col min="4577" max="4577" width="17.42578125" style="23" bestFit="1" customWidth="1"/>
    <col min="4578" max="4578" width="11.5703125" style="23" bestFit="1" customWidth="1"/>
    <col min="4579" max="4822" width="9.140625" style="23"/>
    <col min="4823" max="4823" width="3.85546875" style="23" customWidth="1"/>
    <col min="4824" max="4824" width="5.42578125" style="23" customWidth="1"/>
    <col min="4825" max="4825" width="37.5703125" style="23" customWidth="1"/>
    <col min="4826" max="4827" width="19.140625" style="23" bestFit="1" customWidth="1"/>
    <col min="4828" max="4828" width="18.7109375" style="23" bestFit="1" customWidth="1"/>
    <col min="4829" max="4829" width="18.42578125" style="23" bestFit="1" customWidth="1"/>
    <col min="4830" max="4830" width="18.7109375" style="23" bestFit="1" customWidth="1"/>
    <col min="4831" max="4831" width="18" style="23" customWidth="1"/>
    <col min="4832" max="4832" width="18.7109375" style="23" bestFit="1" customWidth="1"/>
    <col min="4833" max="4833" width="17.42578125" style="23" bestFit="1" customWidth="1"/>
    <col min="4834" max="4834" width="11.5703125" style="23" bestFit="1" customWidth="1"/>
    <col min="4835" max="5078" width="9.140625" style="23"/>
    <col min="5079" max="5079" width="3.85546875" style="23" customWidth="1"/>
    <col min="5080" max="5080" width="5.42578125" style="23" customWidth="1"/>
    <col min="5081" max="5081" width="37.5703125" style="23" customWidth="1"/>
    <col min="5082" max="5083" width="19.140625" style="23" bestFit="1" customWidth="1"/>
    <col min="5084" max="5084" width="18.7109375" style="23" bestFit="1" customWidth="1"/>
    <col min="5085" max="5085" width="18.42578125" style="23" bestFit="1" customWidth="1"/>
    <col min="5086" max="5086" width="18.7109375" style="23" bestFit="1" customWidth="1"/>
    <col min="5087" max="5087" width="18" style="23" customWidth="1"/>
    <col min="5088" max="5088" width="18.7109375" style="23" bestFit="1" customWidth="1"/>
    <col min="5089" max="5089" width="17.42578125" style="23" bestFit="1" customWidth="1"/>
    <col min="5090" max="5090" width="11.5703125" style="23" bestFit="1" customWidth="1"/>
    <col min="5091" max="5334" width="9.140625" style="23"/>
    <col min="5335" max="5335" width="3.85546875" style="23" customWidth="1"/>
    <col min="5336" max="5336" width="5.42578125" style="23" customWidth="1"/>
    <col min="5337" max="5337" width="37.5703125" style="23" customWidth="1"/>
    <col min="5338" max="5339" width="19.140625" style="23" bestFit="1" customWidth="1"/>
    <col min="5340" max="5340" width="18.7109375" style="23" bestFit="1" customWidth="1"/>
    <col min="5341" max="5341" width="18.42578125" style="23" bestFit="1" customWidth="1"/>
    <col min="5342" max="5342" width="18.7109375" style="23" bestFit="1" customWidth="1"/>
    <col min="5343" max="5343" width="18" style="23" customWidth="1"/>
    <col min="5344" max="5344" width="18.7109375" style="23" bestFit="1" customWidth="1"/>
    <col min="5345" max="5345" width="17.42578125" style="23" bestFit="1" customWidth="1"/>
    <col min="5346" max="5346" width="11.5703125" style="23" bestFit="1" customWidth="1"/>
    <col min="5347" max="5590" width="9.140625" style="23"/>
    <col min="5591" max="5591" width="3.85546875" style="23" customWidth="1"/>
    <col min="5592" max="5592" width="5.42578125" style="23" customWidth="1"/>
    <col min="5593" max="5593" width="37.5703125" style="23" customWidth="1"/>
    <col min="5594" max="5595" width="19.140625" style="23" bestFit="1" customWidth="1"/>
    <col min="5596" max="5596" width="18.7109375" style="23" bestFit="1" customWidth="1"/>
    <col min="5597" max="5597" width="18.42578125" style="23" bestFit="1" customWidth="1"/>
    <col min="5598" max="5598" width="18.7109375" style="23" bestFit="1" customWidth="1"/>
    <col min="5599" max="5599" width="18" style="23" customWidth="1"/>
    <col min="5600" max="5600" width="18.7109375" style="23" bestFit="1" customWidth="1"/>
    <col min="5601" max="5601" width="17.42578125" style="23" bestFit="1" customWidth="1"/>
    <col min="5602" max="5602" width="11.5703125" style="23" bestFit="1" customWidth="1"/>
    <col min="5603" max="5846" width="9.140625" style="23"/>
    <col min="5847" max="5847" width="3.85546875" style="23" customWidth="1"/>
    <col min="5848" max="5848" width="5.42578125" style="23" customWidth="1"/>
    <col min="5849" max="5849" width="37.5703125" style="23" customWidth="1"/>
    <col min="5850" max="5851" width="19.140625" style="23" bestFit="1" customWidth="1"/>
    <col min="5852" max="5852" width="18.7109375" style="23" bestFit="1" customWidth="1"/>
    <col min="5853" max="5853" width="18.42578125" style="23" bestFit="1" customWidth="1"/>
    <col min="5854" max="5854" width="18.7109375" style="23" bestFit="1" customWidth="1"/>
    <col min="5855" max="5855" width="18" style="23" customWidth="1"/>
    <col min="5856" max="5856" width="18.7109375" style="23" bestFit="1" customWidth="1"/>
    <col min="5857" max="5857" width="17.42578125" style="23" bestFit="1" customWidth="1"/>
    <col min="5858" max="5858" width="11.5703125" style="23" bestFit="1" customWidth="1"/>
    <col min="5859" max="6102" width="9.140625" style="23"/>
    <col min="6103" max="6103" width="3.85546875" style="23" customWidth="1"/>
    <col min="6104" max="6104" width="5.42578125" style="23" customWidth="1"/>
    <col min="6105" max="6105" width="37.5703125" style="23" customWidth="1"/>
    <col min="6106" max="6107" width="19.140625" style="23" bestFit="1" customWidth="1"/>
    <col min="6108" max="6108" width="18.7109375" style="23" bestFit="1" customWidth="1"/>
    <col min="6109" max="6109" width="18.42578125" style="23" bestFit="1" customWidth="1"/>
    <col min="6110" max="6110" width="18.7109375" style="23" bestFit="1" customWidth="1"/>
    <col min="6111" max="6111" width="18" style="23" customWidth="1"/>
    <col min="6112" max="6112" width="18.7109375" style="23" bestFit="1" customWidth="1"/>
    <col min="6113" max="6113" width="17.42578125" style="23" bestFit="1" customWidth="1"/>
    <col min="6114" max="6114" width="11.5703125" style="23" bestFit="1" customWidth="1"/>
    <col min="6115" max="6358" width="9.140625" style="23"/>
    <col min="6359" max="6359" width="3.85546875" style="23" customWidth="1"/>
    <col min="6360" max="6360" width="5.42578125" style="23" customWidth="1"/>
    <col min="6361" max="6361" width="37.5703125" style="23" customWidth="1"/>
    <col min="6362" max="6363" width="19.140625" style="23" bestFit="1" customWidth="1"/>
    <col min="6364" max="6364" width="18.7109375" style="23" bestFit="1" customWidth="1"/>
    <col min="6365" max="6365" width="18.42578125" style="23" bestFit="1" customWidth="1"/>
    <col min="6366" max="6366" width="18.7109375" style="23" bestFit="1" customWidth="1"/>
    <col min="6367" max="6367" width="18" style="23" customWidth="1"/>
    <col min="6368" max="6368" width="18.7109375" style="23" bestFit="1" customWidth="1"/>
    <col min="6369" max="6369" width="17.42578125" style="23" bestFit="1" customWidth="1"/>
    <col min="6370" max="6370" width="11.5703125" style="23" bestFit="1" customWidth="1"/>
    <col min="6371" max="6614" width="9.140625" style="23"/>
    <col min="6615" max="6615" width="3.85546875" style="23" customWidth="1"/>
    <col min="6616" max="6616" width="5.42578125" style="23" customWidth="1"/>
    <col min="6617" max="6617" width="37.5703125" style="23" customWidth="1"/>
    <col min="6618" max="6619" width="19.140625" style="23" bestFit="1" customWidth="1"/>
    <col min="6620" max="6620" width="18.7109375" style="23" bestFit="1" customWidth="1"/>
    <col min="6621" max="6621" width="18.42578125" style="23" bestFit="1" customWidth="1"/>
    <col min="6622" max="6622" width="18.7109375" style="23" bestFit="1" customWidth="1"/>
    <col min="6623" max="6623" width="18" style="23" customWidth="1"/>
    <col min="6624" max="6624" width="18.7109375" style="23" bestFit="1" customWidth="1"/>
    <col min="6625" max="6625" width="17.42578125" style="23" bestFit="1" customWidth="1"/>
    <col min="6626" max="6626" width="11.5703125" style="23" bestFit="1" customWidth="1"/>
    <col min="6627" max="6870" width="9.140625" style="23"/>
    <col min="6871" max="6871" width="3.85546875" style="23" customWidth="1"/>
    <col min="6872" max="6872" width="5.42578125" style="23" customWidth="1"/>
    <col min="6873" max="6873" width="37.5703125" style="23" customWidth="1"/>
    <col min="6874" max="6875" width="19.140625" style="23" bestFit="1" customWidth="1"/>
    <col min="6876" max="6876" width="18.7109375" style="23" bestFit="1" customWidth="1"/>
    <col min="6877" max="6877" width="18.42578125" style="23" bestFit="1" customWidth="1"/>
    <col min="6878" max="6878" width="18.7109375" style="23" bestFit="1" customWidth="1"/>
    <col min="6879" max="6879" width="18" style="23" customWidth="1"/>
    <col min="6880" max="6880" width="18.7109375" style="23" bestFit="1" customWidth="1"/>
    <col min="6881" max="6881" width="17.42578125" style="23" bestFit="1" customWidth="1"/>
    <col min="6882" max="6882" width="11.5703125" style="23" bestFit="1" customWidth="1"/>
    <col min="6883" max="7126" width="9.140625" style="23"/>
    <col min="7127" max="7127" width="3.85546875" style="23" customWidth="1"/>
    <col min="7128" max="7128" width="5.42578125" style="23" customWidth="1"/>
    <col min="7129" max="7129" width="37.5703125" style="23" customWidth="1"/>
    <col min="7130" max="7131" width="19.140625" style="23" bestFit="1" customWidth="1"/>
    <col min="7132" max="7132" width="18.7109375" style="23" bestFit="1" customWidth="1"/>
    <col min="7133" max="7133" width="18.42578125" style="23" bestFit="1" customWidth="1"/>
    <col min="7134" max="7134" width="18.7109375" style="23" bestFit="1" customWidth="1"/>
    <col min="7135" max="7135" width="18" style="23" customWidth="1"/>
    <col min="7136" max="7136" width="18.7109375" style="23" bestFit="1" customWidth="1"/>
    <col min="7137" max="7137" width="17.42578125" style="23" bestFit="1" customWidth="1"/>
    <col min="7138" max="7138" width="11.5703125" style="23" bestFit="1" customWidth="1"/>
    <col min="7139" max="7382" width="9.140625" style="23"/>
    <col min="7383" max="7383" width="3.85546875" style="23" customWidth="1"/>
    <col min="7384" max="7384" width="5.42578125" style="23" customWidth="1"/>
    <col min="7385" max="7385" width="37.5703125" style="23" customWidth="1"/>
    <col min="7386" max="7387" width="19.140625" style="23" bestFit="1" customWidth="1"/>
    <col min="7388" max="7388" width="18.7109375" style="23" bestFit="1" customWidth="1"/>
    <col min="7389" max="7389" width="18.42578125" style="23" bestFit="1" customWidth="1"/>
    <col min="7390" max="7390" width="18.7109375" style="23" bestFit="1" customWidth="1"/>
    <col min="7391" max="7391" width="18" style="23" customWidth="1"/>
    <col min="7392" max="7392" width="18.7109375" style="23" bestFit="1" customWidth="1"/>
    <col min="7393" max="7393" width="17.42578125" style="23" bestFit="1" customWidth="1"/>
    <col min="7394" max="7394" width="11.5703125" style="23" bestFit="1" customWidth="1"/>
    <col min="7395" max="7638" width="9.140625" style="23"/>
    <col min="7639" max="7639" width="3.85546875" style="23" customWidth="1"/>
    <col min="7640" max="7640" width="5.42578125" style="23" customWidth="1"/>
    <col min="7641" max="7641" width="37.5703125" style="23" customWidth="1"/>
    <col min="7642" max="7643" width="19.140625" style="23" bestFit="1" customWidth="1"/>
    <col min="7644" max="7644" width="18.7109375" style="23" bestFit="1" customWidth="1"/>
    <col min="7645" max="7645" width="18.42578125" style="23" bestFit="1" customWidth="1"/>
    <col min="7646" max="7646" width="18.7109375" style="23" bestFit="1" customWidth="1"/>
    <col min="7647" max="7647" width="18" style="23" customWidth="1"/>
    <col min="7648" max="7648" width="18.7109375" style="23" bestFit="1" customWidth="1"/>
    <col min="7649" max="7649" width="17.42578125" style="23" bestFit="1" customWidth="1"/>
    <col min="7650" max="7650" width="11.5703125" style="23" bestFit="1" customWidth="1"/>
    <col min="7651" max="7894" width="9.140625" style="23"/>
    <col min="7895" max="7895" width="3.85546875" style="23" customWidth="1"/>
    <col min="7896" max="7896" width="5.42578125" style="23" customWidth="1"/>
    <col min="7897" max="7897" width="37.5703125" style="23" customWidth="1"/>
    <col min="7898" max="7899" width="19.140625" style="23" bestFit="1" customWidth="1"/>
    <col min="7900" max="7900" width="18.7109375" style="23" bestFit="1" customWidth="1"/>
    <col min="7901" max="7901" width="18.42578125" style="23" bestFit="1" customWidth="1"/>
    <col min="7902" max="7902" width="18.7109375" style="23" bestFit="1" customWidth="1"/>
    <col min="7903" max="7903" width="18" style="23" customWidth="1"/>
    <col min="7904" max="7904" width="18.7109375" style="23" bestFit="1" customWidth="1"/>
    <col min="7905" max="7905" width="17.42578125" style="23" bestFit="1" customWidth="1"/>
    <col min="7906" max="7906" width="11.5703125" style="23" bestFit="1" customWidth="1"/>
    <col min="7907" max="8150" width="9.140625" style="23"/>
    <col min="8151" max="8151" width="3.85546875" style="23" customWidth="1"/>
    <col min="8152" max="8152" width="5.42578125" style="23" customWidth="1"/>
    <col min="8153" max="8153" width="37.5703125" style="23" customWidth="1"/>
    <col min="8154" max="8155" width="19.140625" style="23" bestFit="1" customWidth="1"/>
    <col min="8156" max="8156" width="18.7109375" style="23" bestFit="1" customWidth="1"/>
    <col min="8157" max="8157" width="18.42578125" style="23" bestFit="1" customWidth="1"/>
    <col min="8158" max="8158" width="18.7109375" style="23" bestFit="1" customWidth="1"/>
    <col min="8159" max="8159" width="18" style="23" customWidth="1"/>
    <col min="8160" max="8160" width="18.7109375" style="23" bestFit="1" customWidth="1"/>
    <col min="8161" max="8161" width="17.42578125" style="23" bestFit="1" customWidth="1"/>
    <col min="8162" max="8162" width="11.5703125" style="23" bestFit="1" customWidth="1"/>
    <col min="8163" max="8406" width="9.140625" style="23"/>
    <col min="8407" max="8407" width="3.85546875" style="23" customWidth="1"/>
    <col min="8408" max="8408" width="5.42578125" style="23" customWidth="1"/>
    <col min="8409" max="8409" width="37.5703125" style="23" customWidth="1"/>
    <col min="8410" max="8411" width="19.140625" style="23" bestFit="1" customWidth="1"/>
    <col min="8412" max="8412" width="18.7109375" style="23" bestFit="1" customWidth="1"/>
    <col min="8413" max="8413" width="18.42578125" style="23" bestFit="1" customWidth="1"/>
    <col min="8414" max="8414" width="18.7109375" style="23" bestFit="1" customWidth="1"/>
    <col min="8415" max="8415" width="18" style="23" customWidth="1"/>
    <col min="8416" max="8416" width="18.7109375" style="23" bestFit="1" customWidth="1"/>
    <col min="8417" max="8417" width="17.42578125" style="23" bestFit="1" customWidth="1"/>
    <col min="8418" max="8418" width="11.5703125" style="23" bestFit="1" customWidth="1"/>
    <col min="8419" max="8662" width="9.140625" style="23"/>
    <col min="8663" max="8663" width="3.85546875" style="23" customWidth="1"/>
    <col min="8664" max="8664" width="5.42578125" style="23" customWidth="1"/>
    <col min="8665" max="8665" width="37.5703125" style="23" customWidth="1"/>
    <col min="8666" max="8667" width="19.140625" style="23" bestFit="1" customWidth="1"/>
    <col min="8668" max="8668" width="18.7109375" style="23" bestFit="1" customWidth="1"/>
    <col min="8669" max="8669" width="18.42578125" style="23" bestFit="1" customWidth="1"/>
    <col min="8670" max="8670" width="18.7109375" style="23" bestFit="1" customWidth="1"/>
    <col min="8671" max="8671" width="18" style="23" customWidth="1"/>
    <col min="8672" max="8672" width="18.7109375" style="23" bestFit="1" customWidth="1"/>
    <col min="8673" max="8673" width="17.42578125" style="23" bestFit="1" customWidth="1"/>
    <col min="8674" max="8674" width="11.5703125" style="23" bestFit="1" customWidth="1"/>
    <col min="8675" max="8918" width="9.140625" style="23"/>
    <col min="8919" max="8919" width="3.85546875" style="23" customWidth="1"/>
    <col min="8920" max="8920" width="5.42578125" style="23" customWidth="1"/>
    <col min="8921" max="8921" width="37.5703125" style="23" customWidth="1"/>
    <col min="8922" max="8923" width="19.140625" style="23" bestFit="1" customWidth="1"/>
    <col min="8924" max="8924" width="18.7109375" style="23" bestFit="1" customWidth="1"/>
    <col min="8925" max="8925" width="18.42578125" style="23" bestFit="1" customWidth="1"/>
    <col min="8926" max="8926" width="18.7109375" style="23" bestFit="1" customWidth="1"/>
    <col min="8927" max="8927" width="18" style="23" customWidth="1"/>
    <col min="8928" max="8928" width="18.7109375" style="23" bestFit="1" customWidth="1"/>
    <col min="8929" max="8929" width="17.42578125" style="23" bestFit="1" customWidth="1"/>
    <col min="8930" max="8930" width="11.5703125" style="23" bestFit="1" customWidth="1"/>
    <col min="8931" max="9174" width="9.140625" style="23"/>
    <col min="9175" max="9175" width="3.85546875" style="23" customWidth="1"/>
    <col min="9176" max="9176" width="5.42578125" style="23" customWidth="1"/>
    <col min="9177" max="9177" width="37.5703125" style="23" customWidth="1"/>
    <col min="9178" max="9179" width="19.140625" style="23" bestFit="1" customWidth="1"/>
    <col min="9180" max="9180" width="18.7109375" style="23" bestFit="1" customWidth="1"/>
    <col min="9181" max="9181" width="18.42578125" style="23" bestFit="1" customWidth="1"/>
    <col min="9182" max="9182" width="18.7109375" style="23" bestFit="1" customWidth="1"/>
    <col min="9183" max="9183" width="18" style="23" customWidth="1"/>
    <col min="9184" max="9184" width="18.7109375" style="23" bestFit="1" customWidth="1"/>
    <col min="9185" max="9185" width="17.42578125" style="23" bestFit="1" customWidth="1"/>
    <col min="9186" max="9186" width="11.5703125" style="23" bestFit="1" customWidth="1"/>
    <col min="9187" max="9430" width="9.140625" style="23"/>
    <col min="9431" max="9431" width="3.85546875" style="23" customWidth="1"/>
    <col min="9432" max="9432" width="5.42578125" style="23" customWidth="1"/>
    <col min="9433" max="9433" width="37.5703125" style="23" customWidth="1"/>
    <col min="9434" max="9435" width="19.140625" style="23" bestFit="1" customWidth="1"/>
    <col min="9436" max="9436" width="18.7109375" style="23" bestFit="1" customWidth="1"/>
    <col min="9437" max="9437" width="18.42578125" style="23" bestFit="1" customWidth="1"/>
    <col min="9438" max="9438" width="18.7109375" style="23" bestFit="1" customWidth="1"/>
    <col min="9439" max="9439" width="18" style="23" customWidth="1"/>
    <col min="9440" max="9440" width="18.7109375" style="23" bestFit="1" customWidth="1"/>
    <col min="9441" max="9441" width="17.42578125" style="23" bestFit="1" customWidth="1"/>
    <col min="9442" max="9442" width="11.5703125" style="23" bestFit="1" customWidth="1"/>
    <col min="9443" max="9686" width="9.140625" style="23"/>
    <col min="9687" max="9687" width="3.85546875" style="23" customWidth="1"/>
    <col min="9688" max="9688" width="5.42578125" style="23" customWidth="1"/>
    <col min="9689" max="9689" width="37.5703125" style="23" customWidth="1"/>
    <col min="9690" max="9691" width="19.140625" style="23" bestFit="1" customWidth="1"/>
    <col min="9692" max="9692" width="18.7109375" style="23" bestFit="1" customWidth="1"/>
    <col min="9693" max="9693" width="18.42578125" style="23" bestFit="1" customWidth="1"/>
    <col min="9694" max="9694" width="18.7109375" style="23" bestFit="1" customWidth="1"/>
    <col min="9695" max="9695" width="18" style="23" customWidth="1"/>
    <col min="9696" max="9696" width="18.7109375" style="23" bestFit="1" customWidth="1"/>
    <col min="9697" max="9697" width="17.42578125" style="23" bestFit="1" customWidth="1"/>
    <col min="9698" max="9698" width="11.5703125" style="23" bestFit="1" customWidth="1"/>
    <col min="9699" max="9942" width="9.140625" style="23"/>
    <col min="9943" max="9943" width="3.85546875" style="23" customWidth="1"/>
    <col min="9944" max="9944" width="5.42578125" style="23" customWidth="1"/>
    <col min="9945" max="9945" width="37.5703125" style="23" customWidth="1"/>
    <col min="9946" max="9947" width="19.140625" style="23" bestFit="1" customWidth="1"/>
    <col min="9948" max="9948" width="18.7109375" style="23" bestFit="1" customWidth="1"/>
    <col min="9949" max="9949" width="18.42578125" style="23" bestFit="1" customWidth="1"/>
    <col min="9950" max="9950" width="18.7109375" style="23" bestFit="1" customWidth="1"/>
    <col min="9951" max="9951" width="18" style="23" customWidth="1"/>
    <col min="9952" max="9952" width="18.7109375" style="23" bestFit="1" customWidth="1"/>
    <col min="9953" max="9953" width="17.42578125" style="23" bestFit="1" customWidth="1"/>
    <col min="9954" max="9954" width="11.5703125" style="23" bestFit="1" customWidth="1"/>
    <col min="9955" max="10198" width="9.140625" style="23"/>
    <col min="10199" max="10199" width="3.85546875" style="23" customWidth="1"/>
    <col min="10200" max="10200" width="5.42578125" style="23" customWidth="1"/>
    <col min="10201" max="10201" width="37.5703125" style="23" customWidth="1"/>
    <col min="10202" max="10203" width="19.140625" style="23" bestFit="1" customWidth="1"/>
    <col min="10204" max="10204" width="18.7109375" style="23" bestFit="1" customWidth="1"/>
    <col min="10205" max="10205" width="18.42578125" style="23" bestFit="1" customWidth="1"/>
    <col min="10206" max="10206" width="18.7109375" style="23" bestFit="1" customWidth="1"/>
    <col min="10207" max="10207" width="18" style="23" customWidth="1"/>
    <col min="10208" max="10208" width="18.7109375" style="23" bestFit="1" customWidth="1"/>
    <col min="10209" max="10209" width="17.42578125" style="23" bestFit="1" customWidth="1"/>
    <col min="10210" max="10210" width="11.5703125" style="23" bestFit="1" customWidth="1"/>
    <col min="10211" max="10454" width="9.140625" style="23"/>
    <col min="10455" max="10455" width="3.85546875" style="23" customWidth="1"/>
    <col min="10456" max="10456" width="5.42578125" style="23" customWidth="1"/>
    <col min="10457" max="10457" width="37.5703125" style="23" customWidth="1"/>
    <col min="10458" max="10459" width="19.140625" style="23" bestFit="1" customWidth="1"/>
    <col min="10460" max="10460" width="18.7109375" style="23" bestFit="1" customWidth="1"/>
    <col min="10461" max="10461" width="18.42578125" style="23" bestFit="1" customWidth="1"/>
    <col min="10462" max="10462" width="18.7109375" style="23" bestFit="1" customWidth="1"/>
    <col min="10463" max="10463" width="18" style="23" customWidth="1"/>
    <col min="10464" max="10464" width="18.7109375" style="23" bestFit="1" customWidth="1"/>
    <col min="10465" max="10465" width="17.42578125" style="23" bestFit="1" customWidth="1"/>
    <col min="10466" max="10466" width="11.5703125" style="23" bestFit="1" customWidth="1"/>
    <col min="10467" max="10710" width="9.140625" style="23"/>
    <col min="10711" max="10711" width="3.85546875" style="23" customWidth="1"/>
    <col min="10712" max="10712" width="5.42578125" style="23" customWidth="1"/>
    <col min="10713" max="10713" width="37.5703125" style="23" customWidth="1"/>
    <col min="10714" max="10715" width="19.140625" style="23" bestFit="1" customWidth="1"/>
    <col min="10716" max="10716" width="18.7109375" style="23" bestFit="1" customWidth="1"/>
    <col min="10717" max="10717" width="18.42578125" style="23" bestFit="1" customWidth="1"/>
    <col min="10718" max="10718" width="18.7109375" style="23" bestFit="1" customWidth="1"/>
    <col min="10719" max="10719" width="18" style="23" customWidth="1"/>
    <col min="10720" max="10720" width="18.7109375" style="23" bestFit="1" customWidth="1"/>
    <col min="10721" max="10721" width="17.42578125" style="23" bestFit="1" customWidth="1"/>
    <col min="10722" max="10722" width="11.5703125" style="23" bestFit="1" customWidth="1"/>
    <col min="10723" max="10966" width="9.140625" style="23"/>
    <col min="10967" max="10967" width="3.85546875" style="23" customWidth="1"/>
    <col min="10968" max="10968" width="5.42578125" style="23" customWidth="1"/>
    <col min="10969" max="10969" width="37.5703125" style="23" customWidth="1"/>
    <col min="10970" max="10971" width="19.140625" style="23" bestFit="1" customWidth="1"/>
    <col min="10972" max="10972" width="18.7109375" style="23" bestFit="1" customWidth="1"/>
    <col min="10973" max="10973" width="18.42578125" style="23" bestFit="1" customWidth="1"/>
    <col min="10974" max="10974" width="18.7109375" style="23" bestFit="1" customWidth="1"/>
    <col min="10975" max="10975" width="18" style="23" customWidth="1"/>
    <col min="10976" max="10976" width="18.7109375" style="23" bestFit="1" customWidth="1"/>
    <col min="10977" max="10977" width="17.42578125" style="23" bestFit="1" customWidth="1"/>
    <col min="10978" max="10978" width="11.5703125" style="23" bestFit="1" customWidth="1"/>
    <col min="10979" max="11222" width="9.140625" style="23"/>
    <col min="11223" max="11223" width="3.85546875" style="23" customWidth="1"/>
    <col min="11224" max="11224" width="5.42578125" style="23" customWidth="1"/>
    <col min="11225" max="11225" width="37.5703125" style="23" customWidth="1"/>
    <col min="11226" max="11227" width="19.140625" style="23" bestFit="1" customWidth="1"/>
    <col min="11228" max="11228" width="18.7109375" style="23" bestFit="1" customWidth="1"/>
    <col min="11229" max="11229" width="18.42578125" style="23" bestFit="1" customWidth="1"/>
    <col min="11230" max="11230" width="18.7109375" style="23" bestFit="1" customWidth="1"/>
    <col min="11231" max="11231" width="18" style="23" customWidth="1"/>
    <col min="11232" max="11232" width="18.7109375" style="23" bestFit="1" customWidth="1"/>
    <col min="11233" max="11233" width="17.42578125" style="23" bestFit="1" customWidth="1"/>
    <col min="11234" max="11234" width="11.5703125" style="23" bestFit="1" customWidth="1"/>
    <col min="11235" max="11478" width="9.140625" style="23"/>
    <col min="11479" max="11479" width="3.85546875" style="23" customWidth="1"/>
    <col min="11480" max="11480" width="5.42578125" style="23" customWidth="1"/>
    <col min="11481" max="11481" width="37.5703125" style="23" customWidth="1"/>
    <col min="11482" max="11483" width="19.140625" style="23" bestFit="1" customWidth="1"/>
    <col min="11484" max="11484" width="18.7109375" style="23" bestFit="1" customWidth="1"/>
    <col min="11485" max="11485" width="18.42578125" style="23" bestFit="1" customWidth="1"/>
    <col min="11486" max="11486" width="18.7109375" style="23" bestFit="1" customWidth="1"/>
    <col min="11487" max="11487" width="18" style="23" customWidth="1"/>
    <col min="11488" max="11488" width="18.7109375" style="23" bestFit="1" customWidth="1"/>
    <col min="11489" max="11489" width="17.42578125" style="23" bestFit="1" customWidth="1"/>
    <col min="11490" max="11490" width="11.5703125" style="23" bestFit="1" customWidth="1"/>
    <col min="11491" max="11734" width="9.140625" style="23"/>
    <col min="11735" max="11735" width="3.85546875" style="23" customWidth="1"/>
    <col min="11736" max="11736" width="5.42578125" style="23" customWidth="1"/>
    <col min="11737" max="11737" width="37.5703125" style="23" customWidth="1"/>
    <col min="11738" max="11739" width="19.140625" style="23" bestFit="1" customWidth="1"/>
    <col min="11740" max="11740" width="18.7109375" style="23" bestFit="1" customWidth="1"/>
    <col min="11741" max="11741" width="18.42578125" style="23" bestFit="1" customWidth="1"/>
    <col min="11742" max="11742" width="18.7109375" style="23" bestFit="1" customWidth="1"/>
    <col min="11743" max="11743" width="18" style="23" customWidth="1"/>
    <col min="11744" max="11744" width="18.7109375" style="23" bestFit="1" customWidth="1"/>
    <col min="11745" max="11745" width="17.42578125" style="23" bestFit="1" customWidth="1"/>
    <col min="11746" max="11746" width="11.5703125" style="23" bestFit="1" customWidth="1"/>
    <col min="11747" max="11990" width="9.140625" style="23"/>
    <col min="11991" max="11991" width="3.85546875" style="23" customWidth="1"/>
    <col min="11992" max="11992" width="5.42578125" style="23" customWidth="1"/>
    <col min="11993" max="11993" width="37.5703125" style="23" customWidth="1"/>
    <col min="11994" max="11995" width="19.140625" style="23" bestFit="1" customWidth="1"/>
    <col min="11996" max="11996" width="18.7109375" style="23" bestFit="1" customWidth="1"/>
    <col min="11997" max="11997" width="18.42578125" style="23" bestFit="1" customWidth="1"/>
    <col min="11998" max="11998" width="18.7109375" style="23" bestFit="1" customWidth="1"/>
    <col min="11999" max="11999" width="18" style="23" customWidth="1"/>
    <col min="12000" max="12000" width="18.7109375" style="23" bestFit="1" customWidth="1"/>
    <col min="12001" max="12001" width="17.42578125" style="23" bestFit="1" customWidth="1"/>
    <col min="12002" max="12002" width="11.5703125" style="23" bestFit="1" customWidth="1"/>
    <col min="12003" max="12246" width="9.140625" style="23"/>
    <col min="12247" max="12247" width="3.85546875" style="23" customWidth="1"/>
    <col min="12248" max="12248" width="5.42578125" style="23" customWidth="1"/>
    <col min="12249" max="12249" width="37.5703125" style="23" customWidth="1"/>
    <col min="12250" max="12251" width="19.140625" style="23" bestFit="1" customWidth="1"/>
    <col min="12252" max="12252" width="18.7109375" style="23" bestFit="1" customWidth="1"/>
    <col min="12253" max="12253" width="18.42578125" style="23" bestFit="1" customWidth="1"/>
    <col min="12254" max="12254" width="18.7109375" style="23" bestFit="1" customWidth="1"/>
    <col min="12255" max="12255" width="18" style="23" customWidth="1"/>
    <col min="12256" max="12256" width="18.7109375" style="23" bestFit="1" customWidth="1"/>
    <col min="12257" max="12257" width="17.42578125" style="23" bestFit="1" customWidth="1"/>
    <col min="12258" max="12258" width="11.5703125" style="23" bestFit="1" customWidth="1"/>
    <col min="12259" max="12502" width="9.140625" style="23"/>
    <col min="12503" max="12503" width="3.85546875" style="23" customWidth="1"/>
    <col min="12504" max="12504" width="5.42578125" style="23" customWidth="1"/>
    <col min="12505" max="12505" width="37.5703125" style="23" customWidth="1"/>
    <col min="12506" max="12507" width="19.140625" style="23" bestFit="1" customWidth="1"/>
    <col min="12508" max="12508" width="18.7109375" style="23" bestFit="1" customWidth="1"/>
    <col min="12509" max="12509" width="18.42578125" style="23" bestFit="1" customWidth="1"/>
    <col min="12510" max="12510" width="18.7109375" style="23" bestFit="1" customWidth="1"/>
    <col min="12511" max="12511" width="18" style="23" customWidth="1"/>
    <col min="12512" max="12512" width="18.7109375" style="23" bestFit="1" customWidth="1"/>
    <col min="12513" max="12513" width="17.42578125" style="23" bestFit="1" customWidth="1"/>
    <col min="12514" max="12514" width="11.5703125" style="23" bestFit="1" customWidth="1"/>
    <col min="12515" max="12758" width="9.140625" style="23"/>
    <col min="12759" max="12759" width="3.85546875" style="23" customWidth="1"/>
    <col min="12760" max="12760" width="5.42578125" style="23" customWidth="1"/>
    <col min="12761" max="12761" width="37.5703125" style="23" customWidth="1"/>
    <col min="12762" max="12763" width="19.140625" style="23" bestFit="1" customWidth="1"/>
    <col min="12764" max="12764" width="18.7109375" style="23" bestFit="1" customWidth="1"/>
    <col min="12765" max="12765" width="18.42578125" style="23" bestFit="1" customWidth="1"/>
    <col min="12766" max="12766" width="18.7109375" style="23" bestFit="1" customWidth="1"/>
    <col min="12767" max="12767" width="18" style="23" customWidth="1"/>
    <col min="12768" max="12768" width="18.7109375" style="23" bestFit="1" customWidth="1"/>
    <col min="12769" max="12769" width="17.42578125" style="23" bestFit="1" customWidth="1"/>
    <col min="12770" max="12770" width="11.5703125" style="23" bestFit="1" customWidth="1"/>
    <col min="12771" max="13014" width="9.140625" style="23"/>
    <col min="13015" max="13015" width="3.85546875" style="23" customWidth="1"/>
    <col min="13016" max="13016" width="5.42578125" style="23" customWidth="1"/>
    <col min="13017" max="13017" width="37.5703125" style="23" customWidth="1"/>
    <col min="13018" max="13019" width="19.140625" style="23" bestFit="1" customWidth="1"/>
    <col min="13020" max="13020" width="18.7109375" style="23" bestFit="1" customWidth="1"/>
    <col min="13021" max="13021" width="18.42578125" style="23" bestFit="1" customWidth="1"/>
    <col min="13022" max="13022" width="18.7109375" style="23" bestFit="1" customWidth="1"/>
    <col min="13023" max="13023" width="18" style="23" customWidth="1"/>
    <col min="13024" max="13024" width="18.7109375" style="23" bestFit="1" customWidth="1"/>
    <col min="13025" max="13025" width="17.42578125" style="23" bestFit="1" customWidth="1"/>
    <col min="13026" max="13026" width="11.5703125" style="23" bestFit="1" customWidth="1"/>
    <col min="13027" max="13270" width="9.140625" style="23"/>
    <col min="13271" max="13271" width="3.85546875" style="23" customWidth="1"/>
    <col min="13272" max="13272" width="5.42578125" style="23" customWidth="1"/>
    <col min="13273" max="13273" width="37.5703125" style="23" customWidth="1"/>
    <col min="13274" max="13275" width="19.140625" style="23" bestFit="1" customWidth="1"/>
    <col min="13276" max="13276" width="18.7109375" style="23" bestFit="1" customWidth="1"/>
    <col min="13277" max="13277" width="18.42578125" style="23" bestFit="1" customWidth="1"/>
    <col min="13278" max="13278" width="18.7109375" style="23" bestFit="1" customWidth="1"/>
    <col min="13279" max="13279" width="18" style="23" customWidth="1"/>
    <col min="13280" max="13280" width="18.7109375" style="23" bestFit="1" customWidth="1"/>
    <col min="13281" max="13281" width="17.42578125" style="23" bestFit="1" customWidth="1"/>
    <col min="13282" max="13282" width="11.5703125" style="23" bestFit="1" customWidth="1"/>
    <col min="13283" max="13526" width="9.140625" style="23"/>
    <col min="13527" max="13527" width="3.85546875" style="23" customWidth="1"/>
    <col min="13528" max="13528" width="5.42578125" style="23" customWidth="1"/>
    <col min="13529" max="13529" width="37.5703125" style="23" customWidth="1"/>
    <col min="13530" max="13531" width="19.140625" style="23" bestFit="1" customWidth="1"/>
    <col min="13532" max="13532" width="18.7109375" style="23" bestFit="1" customWidth="1"/>
    <col min="13533" max="13533" width="18.42578125" style="23" bestFit="1" customWidth="1"/>
    <col min="13534" max="13534" width="18.7109375" style="23" bestFit="1" customWidth="1"/>
    <col min="13535" max="13535" width="18" style="23" customWidth="1"/>
    <col min="13536" max="13536" width="18.7109375" style="23" bestFit="1" customWidth="1"/>
    <col min="13537" max="13537" width="17.42578125" style="23" bestFit="1" customWidth="1"/>
    <col min="13538" max="13538" width="11.5703125" style="23" bestFit="1" customWidth="1"/>
    <col min="13539" max="13782" width="9.140625" style="23"/>
    <col min="13783" max="13783" width="3.85546875" style="23" customWidth="1"/>
    <col min="13784" max="13784" width="5.42578125" style="23" customWidth="1"/>
    <col min="13785" max="13785" width="37.5703125" style="23" customWidth="1"/>
    <col min="13786" max="13787" width="19.140625" style="23" bestFit="1" customWidth="1"/>
    <col min="13788" max="13788" width="18.7109375" style="23" bestFit="1" customWidth="1"/>
    <col min="13789" max="13789" width="18.42578125" style="23" bestFit="1" customWidth="1"/>
    <col min="13790" max="13790" width="18.7109375" style="23" bestFit="1" customWidth="1"/>
    <col min="13791" max="13791" width="18" style="23" customWidth="1"/>
    <col min="13792" max="13792" width="18.7109375" style="23" bestFit="1" customWidth="1"/>
    <col min="13793" max="13793" width="17.42578125" style="23" bestFit="1" customWidth="1"/>
    <col min="13794" max="13794" width="11.5703125" style="23" bestFit="1" customWidth="1"/>
    <col min="13795" max="14038" width="9.140625" style="23"/>
    <col min="14039" max="14039" width="3.85546875" style="23" customWidth="1"/>
    <col min="14040" max="14040" width="5.42578125" style="23" customWidth="1"/>
    <col min="14041" max="14041" width="37.5703125" style="23" customWidth="1"/>
    <col min="14042" max="14043" width="19.140625" style="23" bestFit="1" customWidth="1"/>
    <col min="14044" max="14044" width="18.7109375" style="23" bestFit="1" customWidth="1"/>
    <col min="14045" max="14045" width="18.42578125" style="23" bestFit="1" customWidth="1"/>
    <col min="14046" max="14046" width="18.7109375" style="23" bestFit="1" customWidth="1"/>
    <col min="14047" max="14047" width="18" style="23" customWidth="1"/>
    <col min="14048" max="14048" width="18.7109375" style="23" bestFit="1" customWidth="1"/>
    <col min="14049" max="14049" width="17.42578125" style="23" bestFit="1" customWidth="1"/>
    <col min="14050" max="14050" width="11.5703125" style="23" bestFit="1" customWidth="1"/>
    <col min="14051" max="14294" width="9.140625" style="23"/>
    <col min="14295" max="14295" width="3.85546875" style="23" customWidth="1"/>
    <col min="14296" max="14296" width="5.42578125" style="23" customWidth="1"/>
    <col min="14297" max="14297" width="37.5703125" style="23" customWidth="1"/>
    <col min="14298" max="14299" width="19.140625" style="23" bestFit="1" customWidth="1"/>
    <col min="14300" max="14300" width="18.7109375" style="23" bestFit="1" customWidth="1"/>
    <col min="14301" max="14301" width="18.42578125" style="23" bestFit="1" customWidth="1"/>
    <col min="14302" max="14302" width="18.7109375" style="23" bestFit="1" customWidth="1"/>
    <col min="14303" max="14303" width="18" style="23" customWidth="1"/>
    <col min="14304" max="14304" width="18.7109375" style="23" bestFit="1" customWidth="1"/>
    <col min="14305" max="14305" width="17.42578125" style="23" bestFit="1" customWidth="1"/>
    <col min="14306" max="14306" width="11.5703125" style="23" bestFit="1" customWidth="1"/>
    <col min="14307" max="14550" width="9.140625" style="23"/>
    <col min="14551" max="14551" width="3.85546875" style="23" customWidth="1"/>
    <col min="14552" max="14552" width="5.42578125" style="23" customWidth="1"/>
    <col min="14553" max="14553" width="37.5703125" style="23" customWidth="1"/>
    <col min="14554" max="14555" width="19.140625" style="23" bestFit="1" customWidth="1"/>
    <col min="14556" max="14556" width="18.7109375" style="23" bestFit="1" customWidth="1"/>
    <col min="14557" max="14557" width="18.42578125" style="23" bestFit="1" customWidth="1"/>
    <col min="14558" max="14558" width="18.7109375" style="23" bestFit="1" customWidth="1"/>
    <col min="14559" max="14559" width="18" style="23" customWidth="1"/>
    <col min="14560" max="14560" width="18.7109375" style="23" bestFit="1" customWidth="1"/>
    <col min="14561" max="14561" width="17.42578125" style="23" bestFit="1" customWidth="1"/>
    <col min="14562" max="14562" width="11.5703125" style="23" bestFit="1" customWidth="1"/>
    <col min="14563" max="14806" width="9.140625" style="23"/>
    <col min="14807" max="14807" width="3.85546875" style="23" customWidth="1"/>
    <col min="14808" max="14808" width="5.42578125" style="23" customWidth="1"/>
    <col min="14809" max="14809" width="37.5703125" style="23" customWidth="1"/>
    <col min="14810" max="14811" width="19.140625" style="23" bestFit="1" customWidth="1"/>
    <col min="14812" max="14812" width="18.7109375" style="23" bestFit="1" customWidth="1"/>
    <col min="14813" max="14813" width="18.42578125" style="23" bestFit="1" customWidth="1"/>
    <col min="14814" max="14814" width="18.7109375" style="23" bestFit="1" customWidth="1"/>
    <col min="14815" max="14815" width="18" style="23" customWidth="1"/>
    <col min="14816" max="14816" width="18.7109375" style="23" bestFit="1" customWidth="1"/>
    <col min="14817" max="14817" width="17.42578125" style="23" bestFit="1" customWidth="1"/>
    <col min="14818" max="14818" width="11.5703125" style="23" bestFit="1" customWidth="1"/>
    <col min="14819" max="15062" width="9.140625" style="23"/>
    <col min="15063" max="15063" width="3.85546875" style="23" customWidth="1"/>
    <col min="15064" max="15064" width="5.42578125" style="23" customWidth="1"/>
    <col min="15065" max="15065" width="37.5703125" style="23" customWidth="1"/>
    <col min="15066" max="15067" width="19.140625" style="23" bestFit="1" customWidth="1"/>
    <col min="15068" max="15068" width="18.7109375" style="23" bestFit="1" customWidth="1"/>
    <col min="15069" max="15069" width="18.42578125" style="23" bestFit="1" customWidth="1"/>
    <col min="15070" max="15070" width="18.7109375" style="23" bestFit="1" customWidth="1"/>
    <col min="15071" max="15071" width="18" style="23" customWidth="1"/>
    <col min="15072" max="15072" width="18.7109375" style="23" bestFit="1" customWidth="1"/>
    <col min="15073" max="15073" width="17.42578125" style="23" bestFit="1" customWidth="1"/>
    <col min="15074" max="15074" width="11.5703125" style="23" bestFit="1" customWidth="1"/>
    <col min="15075" max="15318" width="9.140625" style="23"/>
    <col min="15319" max="15319" width="3.85546875" style="23" customWidth="1"/>
    <col min="15320" max="15320" width="5.42578125" style="23" customWidth="1"/>
    <col min="15321" max="15321" width="37.5703125" style="23" customWidth="1"/>
    <col min="15322" max="15323" width="19.140625" style="23" bestFit="1" customWidth="1"/>
    <col min="15324" max="15324" width="18.7109375" style="23" bestFit="1" customWidth="1"/>
    <col min="15325" max="15325" width="18.42578125" style="23" bestFit="1" customWidth="1"/>
    <col min="15326" max="15326" width="18.7109375" style="23" bestFit="1" customWidth="1"/>
    <col min="15327" max="15327" width="18" style="23" customWidth="1"/>
    <col min="15328" max="15328" width="18.7109375" style="23" bestFit="1" customWidth="1"/>
    <col min="15329" max="15329" width="17.42578125" style="23" bestFit="1" customWidth="1"/>
    <col min="15330" max="15330" width="11.5703125" style="23" bestFit="1" customWidth="1"/>
    <col min="15331" max="15574" width="9.140625" style="23"/>
    <col min="15575" max="15575" width="3.85546875" style="23" customWidth="1"/>
    <col min="15576" max="15576" width="5.42578125" style="23" customWidth="1"/>
    <col min="15577" max="15577" width="37.5703125" style="23" customWidth="1"/>
    <col min="15578" max="15579" width="19.140625" style="23" bestFit="1" customWidth="1"/>
    <col min="15580" max="15580" width="18.7109375" style="23" bestFit="1" customWidth="1"/>
    <col min="15581" max="15581" width="18.42578125" style="23" bestFit="1" customWidth="1"/>
    <col min="15582" max="15582" width="18.7109375" style="23" bestFit="1" customWidth="1"/>
    <col min="15583" max="15583" width="18" style="23" customWidth="1"/>
    <col min="15584" max="15584" width="18.7109375" style="23" bestFit="1" customWidth="1"/>
    <col min="15585" max="15585" width="17.42578125" style="23" bestFit="1" customWidth="1"/>
    <col min="15586" max="15586" width="11.5703125" style="23" bestFit="1" customWidth="1"/>
    <col min="15587" max="15830" width="9.140625" style="23"/>
    <col min="15831" max="15831" width="3.85546875" style="23" customWidth="1"/>
    <col min="15832" max="15832" width="5.42578125" style="23" customWidth="1"/>
    <col min="15833" max="15833" width="37.5703125" style="23" customWidth="1"/>
    <col min="15834" max="15835" width="19.140625" style="23" bestFit="1" customWidth="1"/>
    <col min="15836" max="15836" width="18.7109375" style="23" bestFit="1" customWidth="1"/>
    <col min="15837" max="15837" width="18.42578125" style="23" bestFit="1" customWidth="1"/>
    <col min="15838" max="15838" width="18.7109375" style="23" bestFit="1" customWidth="1"/>
    <col min="15839" max="15839" width="18" style="23" customWidth="1"/>
    <col min="15840" max="15840" width="18.7109375" style="23" bestFit="1" customWidth="1"/>
    <col min="15841" max="15841" width="17.42578125" style="23" bestFit="1" customWidth="1"/>
    <col min="15842" max="15842" width="11.5703125" style="23" bestFit="1" customWidth="1"/>
    <col min="15843" max="16086" width="9.140625" style="23"/>
    <col min="16087" max="16087" width="3.85546875" style="23" customWidth="1"/>
    <col min="16088" max="16088" width="5.42578125" style="23" customWidth="1"/>
    <col min="16089" max="16089" width="37.5703125" style="23" customWidth="1"/>
    <col min="16090" max="16091" width="19.140625" style="23" bestFit="1" customWidth="1"/>
    <col min="16092" max="16092" width="18.7109375" style="23" bestFit="1" customWidth="1"/>
    <col min="16093" max="16093" width="18.42578125" style="23" bestFit="1" customWidth="1"/>
    <col min="16094" max="16094" width="18.7109375" style="23" bestFit="1" customWidth="1"/>
    <col min="16095" max="16095" width="18" style="23" customWidth="1"/>
    <col min="16096" max="16096" width="18.7109375" style="23" bestFit="1" customWidth="1"/>
    <col min="16097" max="16097" width="17.42578125" style="23" bestFit="1" customWidth="1"/>
    <col min="16098" max="16098" width="11.5703125" style="23" bestFit="1" customWidth="1"/>
    <col min="16099" max="16384" width="9.140625" style="23"/>
  </cols>
  <sheetData>
    <row r="1" spans="2:86" s="18" customFormat="1" ht="23.1">
      <c r="C1" s="19" t="s">
        <v>175</v>
      </c>
      <c r="I1" s="94">
        <f>(S4-F4)/F4</f>
        <v>0.22264596826655075</v>
      </c>
    </row>
    <row r="2" spans="2:86" s="18" customFormat="1" ht="14.1">
      <c r="C2" s="20" t="s">
        <v>176</v>
      </c>
      <c r="D2" s="21" t="s">
        <v>123</v>
      </c>
      <c r="E2" s="22" t="s">
        <v>177</v>
      </c>
      <c r="F2" s="49" t="s">
        <v>8</v>
      </c>
      <c r="G2" s="65">
        <v>42005</v>
      </c>
      <c r="H2" s="65">
        <v>42036</v>
      </c>
      <c r="I2" s="65">
        <v>42064</v>
      </c>
      <c r="J2" s="65">
        <v>42095</v>
      </c>
      <c r="K2" s="65">
        <v>42125</v>
      </c>
      <c r="L2" s="65">
        <v>42156</v>
      </c>
      <c r="M2" s="65">
        <v>42186</v>
      </c>
      <c r="N2" s="65">
        <v>42217</v>
      </c>
      <c r="O2" s="65">
        <v>42248</v>
      </c>
      <c r="P2" s="65">
        <v>42278</v>
      </c>
      <c r="Q2" s="65">
        <v>42309</v>
      </c>
      <c r="R2" s="65">
        <v>42339</v>
      </c>
      <c r="S2" s="65" t="s">
        <v>9</v>
      </c>
      <c r="T2" s="65">
        <v>42385</v>
      </c>
      <c r="U2" s="65">
        <v>42416</v>
      </c>
      <c r="V2" s="65">
        <v>42445</v>
      </c>
      <c r="W2" s="65">
        <v>42476</v>
      </c>
      <c r="X2" s="65">
        <v>42506</v>
      </c>
      <c r="Y2" s="65">
        <v>42537</v>
      </c>
      <c r="Z2" s="65">
        <v>42567</v>
      </c>
      <c r="AA2" s="65">
        <v>42598</v>
      </c>
      <c r="AB2" s="65">
        <v>42629</v>
      </c>
      <c r="AC2" s="65">
        <v>42659</v>
      </c>
      <c r="AD2" s="65">
        <v>42690</v>
      </c>
      <c r="AE2" s="65">
        <v>42720</v>
      </c>
      <c r="AF2" s="49">
        <v>42736</v>
      </c>
      <c r="AG2" s="49">
        <v>42767</v>
      </c>
      <c r="AH2" s="49">
        <v>42795</v>
      </c>
      <c r="AI2" s="49">
        <v>42826</v>
      </c>
      <c r="AJ2" s="49">
        <v>42856</v>
      </c>
      <c r="AK2" s="49">
        <v>42887</v>
      </c>
      <c r="AL2" s="49">
        <v>42917</v>
      </c>
      <c r="AM2" s="49">
        <v>42948</v>
      </c>
      <c r="AN2" s="49">
        <v>42979</v>
      </c>
      <c r="AO2" s="49">
        <v>43009</v>
      </c>
      <c r="AP2" s="49">
        <v>43040</v>
      </c>
      <c r="AQ2" s="49">
        <v>43070</v>
      </c>
      <c r="AR2" s="49" t="s">
        <v>10</v>
      </c>
      <c r="AS2" s="49">
        <v>43101</v>
      </c>
      <c r="AT2" s="49">
        <v>43132</v>
      </c>
      <c r="AU2" s="49">
        <v>43160</v>
      </c>
      <c r="AV2" s="49">
        <v>43191</v>
      </c>
      <c r="AW2" s="49">
        <v>43221</v>
      </c>
      <c r="AX2" s="49">
        <v>43252</v>
      </c>
      <c r="AY2" s="49">
        <v>43282</v>
      </c>
      <c r="AZ2" s="49">
        <v>43313</v>
      </c>
      <c r="BA2" s="49">
        <v>43344</v>
      </c>
      <c r="BB2" s="49">
        <v>43374</v>
      </c>
      <c r="BC2" s="49">
        <v>43405</v>
      </c>
      <c r="BD2" s="49">
        <v>43435</v>
      </c>
      <c r="BE2" s="136" t="s">
        <v>11</v>
      </c>
      <c r="BF2" s="152">
        <v>43466</v>
      </c>
      <c r="BG2" s="152">
        <v>43497</v>
      </c>
      <c r="BH2" s="152">
        <v>43525</v>
      </c>
      <c r="BI2" s="152">
        <v>43556</v>
      </c>
      <c r="BJ2" s="152">
        <v>43586</v>
      </c>
      <c r="BK2" s="152">
        <v>43617</v>
      </c>
      <c r="BL2" s="152">
        <v>43647</v>
      </c>
      <c r="BM2" s="152">
        <v>43678</v>
      </c>
      <c r="BN2" s="152">
        <v>43709</v>
      </c>
      <c r="BO2" s="152">
        <v>43739</v>
      </c>
      <c r="BP2" s="152">
        <v>43770</v>
      </c>
      <c r="BQ2" s="152">
        <v>43800</v>
      </c>
      <c r="BR2" s="152" t="s">
        <v>12</v>
      </c>
      <c r="BS2" s="153">
        <v>43831</v>
      </c>
      <c r="BT2" s="153">
        <v>43862</v>
      </c>
      <c r="BU2" s="153">
        <v>43891</v>
      </c>
      <c r="BV2" s="153">
        <v>43922</v>
      </c>
      <c r="BW2" s="153">
        <v>43952</v>
      </c>
      <c r="BX2" s="153">
        <v>43983</v>
      </c>
      <c r="BY2" s="153">
        <v>44013</v>
      </c>
      <c r="BZ2" s="153">
        <v>44044</v>
      </c>
      <c r="CA2" s="153">
        <v>44075</v>
      </c>
      <c r="CB2" s="153">
        <v>44105</v>
      </c>
      <c r="CC2" s="153">
        <v>44136</v>
      </c>
      <c r="CD2" s="153">
        <v>44166</v>
      </c>
      <c r="CE2" s="153" t="s">
        <v>13</v>
      </c>
      <c r="CF2" s="153" t="s">
        <v>14</v>
      </c>
      <c r="CG2" s="153"/>
      <c r="CH2" s="153"/>
    </row>
    <row r="3" spans="2:86">
      <c r="B3" s="23">
        <v>1</v>
      </c>
      <c r="C3" s="24" t="s">
        <v>178</v>
      </c>
    </row>
    <row r="4" spans="2:86">
      <c r="B4" s="25">
        <v>2</v>
      </c>
      <c r="C4" s="26" t="s">
        <v>42</v>
      </c>
      <c r="D4" s="27">
        <f>SFP!C32</f>
        <v>475383254.73999995</v>
      </c>
      <c r="E4" s="27">
        <f>SFP!D32</f>
        <v>507679004.69999999</v>
      </c>
      <c r="F4" s="27">
        <f>SFP!E32</f>
        <v>601249270</v>
      </c>
      <c r="G4" s="27">
        <f>SFP!F32</f>
        <v>464136520.89999998</v>
      </c>
      <c r="H4" s="27">
        <f>SFP!G32</f>
        <v>537944944.50999999</v>
      </c>
      <c r="I4" s="27">
        <f>SFP!H32</f>
        <v>541376972.76999998</v>
      </c>
      <c r="J4" s="27">
        <f>SFP!I32</f>
        <v>579120347.88000011</v>
      </c>
      <c r="K4" s="27">
        <f>SFP!J32</f>
        <v>321766418.87</v>
      </c>
      <c r="L4" s="27">
        <f>SFP!K32</f>
        <v>594359783.92000008</v>
      </c>
      <c r="M4" s="27">
        <f>SFP!L32</f>
        <v>601214321.05000007</v>
      </c>
      <c r="N4" s="27">
        <f>SFP!M32</f>
        <v>601833461.87</v>
      </c>
      <c r="O4" s="27">
        <f>SFP!N32</f>
        <v>409553390.78000003</v>
      </c>
      <c r="P4" s="27">
        <f>SFP!O32</f>
        <v>706010707.80000007</v>
      </c>
      <c r="Q4" s="27">
        <f>SFP!P32</f>
        <v>707683337.46999991</v>
      </c>
      <c r="R4" s="27">
        <f>SFP!Q32</f>
        <v>713318287.15999997</v>
      </c>
      <c r="S4" s="27">
        <f>SFP!R32</f>
        <v>735114995.8887068</v>
      </c>
      <c r="T4" s="27">
        <f>SFP!S32</f>
        <v>705218650.00999999</v>
      </c>
      <c r="U4" s="27">
        <f>SFP!T32</f>
        <v>718130764.41999996</v>
      </c>
      <c r="V4" s="27">
        <f>SFP!U32</f>
        <v>717546477.78000009</v>
      </c>
      <c r="W4" s="27">
        <f>SFP!V32</f>
        <v>725239140.93999994</v>
      </c>
      <c r="X4" s="27">
        <f>SFP!W32</f>
        <v>828264379.79999995</v>
      </c>
      <c r="Y4" s="27">
        <f>SFP!X32</f>
        <v>804636214.94000006</v>
      </c>
      <c r="Z4" s="27">
        <f>SFP!Y32</f>
        <v>804049489.59000003</v>
      </c>
      <c r="AA4" s="27">
        <f>SFP!Z32</f>
        <v>803585708.21000004</v>
      </c>
      <c r="AB4" s="27">
        <f>SFP!AA32</f>
        <v>800298953.05999994</v>
      </c>
      <c r="AC4" s="27">
        <f>SFP!AB32</f>
        <v>799814571.23000002</v>
      </c>
      <c r="AD4" s="27">
        <f>SFP!AC32</f>
        <v>795281963.53999996</v>
      </c>
      <c r="AE4" s="27">
        <f>SFP!AD32</f>
        <v>807089838.54999995</v>
      </c>
      <c r="AF4" s="27">
        <f>SFP!AE32</f>
        <v>789311808.08000004</v>
      </c>
      <c r="AG4" s="27">
        <f>SFP!AF32</f>
        <v>808853916.70999992</v>
      </c>
      <c r="AH4" s="27">
        <f>SFP!AG32</f>
        <v>812710727.19000006</v>
      </c>
      <c r="AI4" s="27">
        <f>SFP!AH32</f>
        <v>806241341.87</v>
      </c>
      <c r="AJ4" s="27">
        <f>SFP!AI32</f>
        <v>847270339.27999997</v>
      </c>
      <c r="AK4" s="27">
        <f>SFP!AJ32</f>
        <v>853225787.08999991</v>
      </c>
      <c r="AL4" s="27">
        <f>SFP!AK32</f>
        <v>848262162.46000004</v>
      </c>
      <c r="AM4" s="27">
        <f>SFP!AL32</f>
        <v>851485497.21000004</v>
      </c>
      <c r="AN4" s="27">
        <f>SFP!AM32</f>
        <v>844561346.1500001</v>
      </c>
      <c r="AO4" s="27">
        <f>SFP!AN32</f>
        <v>862506887.88</v>
      </c>
      <c r="AP4" s="27">
        <f>SFP!AO32</f>
        <v>853819106.76999998</v>
      </c>
      <c r="AQ4" s="27">
        <f>SFP!AP32</f>
        <v>875609342.46000004</v>
      </c>
      <c r="AR4" s="27">
        <f>SFP!AQ32</f>
        <v>906802314</v>
      </c>
      <c r="AS4" s="27">
        <f>SFP!AR32</f>
        <v>867156452.94000006</v>
      </c>
      <c r="AT4" s="27">
        <f>SFP!AS32</f>
        <v>871003274.30999994</v>
      </c>
      <c r="AU4" s="27">
        <f>SFP!AT32</f>
        <v>877844093.14999986</v>
      </c>
      <c r="AV4" s="27">
        <f>SFP!AU32</f>
        <v>883226474.07999992</v>
      </c>
      <c r="AW4" s="27">
        <f>SFP!AV32</f>
        <v>894346927.18000007</v>
      </c>
      <c r="AX4" s="27">
        <f>SFP!AW32</f>
        <v>630097825.21000004</v>
      </c>
      <c r="AY4" s="27">
        <f>SFP!AX32</f>
        <v>922454680.77999997</v>
      </c>
      <c r="AZ4" s="27">
        <f>SFP!AY32</f>
        <v>917984001.37</v>
      </c>
      <c r="BA4" s="27">
        <f>SFP!AZ32</f>
        <v>912894493.87</v>
      </c>
      <c r="BB4" s="27">
        <f>SFP!BA32</f>
        <v>912894493.87199998</v>
      </c>
      <c r="BC4" s="27">
        <f>SFP!BB32</f>
        <v>922865527.88999999</v>
      </c>
      <c r="BD4" s="27">
        <f>SFP!BC32</f>
        <v>998257043.81999993</v>
      </c>
      <c r="BE4" s="27">
        <f>SFP!BD32</f>
        <v>1024315463.5</v>
      </c>
      <c r="BF4" s="27">
        <f>SFP!BE32</f>
        <v>984609600.75</v>
      </c>
      <c r="BG4" s="27">
        <f>SFP!BF32</f>
        <v>990105261.29999995</v>
      </c>
      <c r="BH4" s="27">
        <f>SFP!BG32</f>
        <v>971753863.79000008</v>
      </c>
      <c r="BI4" s="27">
        <f>SFP!BH32</f>
        <v>966963734.94999993</v>
      </c>
      <c r="BJ4" s="27">
        <f>SFP!BI32</f>
        <v>979219381.3499999</v>
      </c>
      <c r="BK4" s="27">
        <f>SFP!BJ32</f>
        <v>984655938.73000002</v>
      </c>
      <c r="BL4" s="27">
        <f>SFP!BK32</f>
        <v>982722730.51999998</v>
      </c>
      <c r="BM4" s="27">
        <f>SFP!BL32</f>
        <v>987383935.60000002</v>
      </c>
      <c r="BN4" s="27">
        <f>SFP!BM32</f>
        <v>1004795024.4100001</v>
      </c>
      <c r="BO4" s="27">
        <f>SFP!BN32</f>
        <v>1008669161.0600001</v>
      </c>
      <c r="BP4" s="27">
        <f>SFP!BO32</f>
        <v>1010945081.64</v>
      </c>
      <c r="BQ4" s="27">
        <f>SFP!BP32</f>
        <v>1086323514.45</v>
      </c>
      <c r="BR4" s="27">
        <f>SFP!BQ32</f>
        <v>1084850011.5999999</v>
      </c>
      <c r="BS4" s="27">
        <f>SFP!BR32</f>
        <v>1046986323.76</v>
      </c>
      <c r="BT4" s="27">
        <f>SFP!BS32</f>
        <v>1056243932.2599999</v>
      </c>
      <c r="BU4" s="27">
        <f>SFP!BT32</f>
        <v>1050524172.4499999</v>
      </c>
      <c r="BV4" s="27">
        <f>SFP!BU32</f>
        <v>1072297284.4699999</v>
      </c>
      <c r="BW4" s="27">
        <f>SFP!BV32</f>
        <v>1116453949.5999999</v>
      </c>
      <c r="BX4" s="27">
        <f>SFP!BW32</f>
        <v>1115154696.8499999</v>
      </c>
      <c r="BY4" s="27">
        <f>SFP!BX32</f>
        <v>0</v>
      </c>
      <c r="BZ4" s="27">
        <f>SFP!BY32</f>
        <v>1129869525.3400002</v>
      </c>
      <c r="CA4" s="27">
        <f>SFP!BZ32</f>
        <v>1141489076.0900002</v>
      </c>
      <c r="CB4" s="27">
        <f>SFP!CA32</f>
        <v>1140893480.02</v>
      </c>
      <c r="CC4" s="27">
        <f>SFP!CB32</f>
        <v>1125296757.6300001</v>
      </c>
      <c r="CD4" s="27">
        <f>SFP!CC32</f>
        <v>1135612112.3299999</v>
      </c>
      <c r="CE4" s="27">
        <f>SFP!CD32</f>
        <v>1175256454.45</v>
      </c>
      <c r="CF4" s="27">
        <f>SFP!CE32</f>
        <v>1255024242</v>
      </c>
      <c r="CG4" s="27"/>
      <c r="CH4" s="27"/>
    </row>
    <row r="5" spans="2:86">
      <c r="B5" s="25">
        <v>3</v>
      </c>
      <c r="C5" s="26" t="s">
        <v>161</v>
      </c>
      <c r="D5" s="29">
        <f>D6+D7+D8</f>
        <v>390076832.77999997</v>
      </c>
      <c r="E5" s="29">
        <f t="shared" ref="E5:I5" si="0">E6+E7+E8</f>
        <v>404699761.25999999</v>
      </c>
      <c r="F5" s="29">
        <f t="shared" si="0"/>
        <v>433795633</v>
      </c>
      <c r="G5" s="29">
        <f t="shared" si="0"/>
        <v>445639764.19</v>
      </c>
      <c r="H5" s="29">
        <f t="shared" si="0"/>
        <v>441803580.80000001</v>
      </c>
      <c r="I5" s="29">
        <f t="shared" si="0"/>
        <v>447715111.31999999</v>
      </c>
      <c r="J5" s="29">
        <f t="shared" ref="J5:O5" si="1">J6+J7+J8</f>
        <v>458480361.90999997</v>
      </c>
      <c r="K5" s="29">
        <f t="shared" si="1"/>
        <v>458480361.90999997</v>
      </c>
      <c r="L5" s="29">
        <f t="shared" si="1"/>
        <v>462179498.81000006</v>
      </c>
      <c r="M5" s="29">
        <f t="shared" si="1"/>
        <v>469249982.71000004</v>
      </c>
      <c r="N5" s="29">
        <f t="shared" si="1"/>
        <v>469667160.25999999</v>
      </c>
      <c r="O5" s="29">
        <f t="shared" si="1"/>
        <v>473774498</v>
      </c>
      <c r="P5" s="29">
        <f t="shared" ref="P5:R5" si="2">P6+P7+P8</f>
        <v>480105405.83000004</v>
      </c>
      <c r="Q5" s="29">
        <f t="shared" si="2"/>
        <v>483528531.38</v>
      </c>
      <c r="R5" s="29">
        <f t="shared" si="2"/>
        <v>499593415.09999996</v>
      </c>
      <c r="S5" s="29">
        <f>S6+S7+S8</f>
        <v>493551220.41000003</v>
      </c>
      <c r="T5" s="29">
        <f t="shared" ref="T5:Y5" si="3">T6+T7+T8</f>
        <v>496692560.19</v>
      </c>
      <c r="U5" s="29">
        <f t="shared" si="3"/>
        <v>501561497.00999999</v>
      </c>
      <c r="V5" s="29">
        <f t="shared" si="3"/>
        <v>504301822.77000004</v>
      </c>
      <c r="W5" s="29">
        <f t="shared" si="3"/>
        <v>519680789.70000005</v>
      </c>
      <c r="X5" s="29">
        <f t="shared" si="3"/>
        <v>519908710.67000002</v>
      </c>
      <c r="Y5" s="29">
        <f t="shared" si="3"/>
        <v>527260368.14999998</v>
      </c>
      <c r="Z5" s="29">
        <f t="shared" ref="Z5:AO5" si="4">Z6+Z7+Z8</f>
        <v>527155234.88</v>
      </c>
      <c r="AA5" s="29">
        <f t="shared" si="4"/>
        <v>527866088.49000001</v>
      </c>
      <c r="AB5" s="29">
        <f t="shared" si="4"/>
        <v>527646985.04000002</v>
      </c>
      <c r="AC5" s="29">
        <f t="shared" si="4"/>
        <v>534606587.85000002</v>
      </c>
      <c r="AD5" s="29">
        <f t="shared" si="4"/>
        <v>536365957.30000001</v>
      </c>
      <c r="AE5" s="29">
        <f t="shared" si="4"/>
        <v>547817637.65999997</v>
      </c>
      <c r="AF5" s="29">
        <f t="shared" si="4"/>
        <v>536771450</v>
      </c>
      <c r="AG5" s="29">
        <f t="shared" si="4"/>
        <v>549242891.13</v>
      </c>
      <c r="AH5" s="29">
        <f t="shared" si="4"/>
        <v>552392387.90999997</v>
      </c>
      <c r="AI5" s="29">
        <f t="shared" si="4"/>
        <v>555102767.22000003</v>
      </c>
      <c r="AJ5" s="29">
        <f t="shared" si="4"/>
        <v>560350713.98000002</v>
      </c>
      <c r="AK5" s="29">
        <f t="shared" si="4"/>
        <v>565870855.51999998</v>
      </c>
      <c r="AL5" s="29">
        <f t="shared" si="4"/>
        <v>563980390.58999991</v>
      </c>
      <c r="AM5" s="29">
        <f t="shared" si="4"/>
        <v>565870463.27999997</v>
      </c>
      <c r="AN5" s="29">
        <f t="shared" si="4"/>
        <v>562822359.03999996</v>
      </c>
      <c r="AO5" s="29">
        <f t="shared" si="4"/>
        <v>579286377.71000004</v>
      </c>
      <c r="AP5" s="29">
        <f t="shared" ref="AP5:CE5" si="5">AP6+AP7+AP8</f>
        <v>584045756.84000003</v>
      </c>
      <c r="AQ5" s="29">
        <f t="shared" si="5"/>
        <v>597414542.34000003</v>
      </c>
      <c r="AR5" s="29">
        <f t="shared" si="5"/>
        <v>597414541</v>
      </c>
      <c r="AS5" s="29">
        <f t="shared" si="5"/>
        <v>591457745.22000003</v>
      </c>
      <c r="AT5" s="29">
        <f t="shared" si="5"/>
        <v>598731744.38999999</v>
      </c>
      <c r="AU5" s="29">
        <f t="shared" si="5"/>
        <v>605493964.52999997</v>
      </c>
      <c r="AV5" s="29">
        <f t="shared" si="5"/>
        <v>610600219.25999999</v>
      </c>
      <c r="AW5" s="29">
        <f t="shared" si="5"/>
        <v>618263856.01999998</v>
      </c>
      <c r="AX5" s="29">
        <f t="shared" si="5"/>
        <v>624026590.56999993</v>
      </c>
      <c r="AY5" s="29">
        <f t="shared" si="5"/>
        <v>630141672.33000004</v>
      </c>
      <c r="AZ5" s="29">
        <f t="shared" si="5"/>
        <v>634152868.95000005</v>
      </c>
      <c r="BA5" s="29">
        <f t="shared" si="5"/>
        <v>625973623.65999997</v>
      </c>
      <c r="BB5" s="29">
        <f t="shared" si="5"/>
        <v>625973623.65999997</v>
      </c>
      <c r="BC5" s="29">
        <f t="shared" si="5"/>
        <v>639405019.81999993</v>
      </c>
      <c r="BD5" s="29">
        <f t="shared" si="5"/>
        <v>656431988.86000001</v>
      </c>
      <c r="BE5" s="29">
        <f t="shared" si="5"/>
        <v>652130732.70000005</v>
      </c>
      <c r="BF5" s="29">
        <f t="shared" si="5"/>
        <v>642044615.20000005</v>
      </c>
      <c r="BG5" s="29">
        <f t="shared" si="5"/>
        <v>638902008.01999998</v>
      </c>
      <c r="BH5" s="29">
        <f t="shared" si="5"/>
        <v>644967129.20000005</v>
      </c>
      <c r="BI5" s="29">
        <f t="shared" si="5"/>
        <v>646271999.47000003</v>
      </c>
      <c r="BJ5" s="29">
        <f t="shared" si="5"/>
        <v>657728990.08999991</v>
      </c>
      <c r="BK5" s="29">
        <f t="shared" si="5"/>
        <v>662252039.08000004</v>
      </c>
      <c r="BL5" s="29">
        <f t="shared" si="5"/>
        <v>664017793.90999997</v>
      </c>
      <c r="BM5" s="29">
        <f t="shared" si="5"/>
        <v>672188329.7700001</v>
      </c>
      <c r="BN5" s="29">
        <f t="shared" si="5"/>
        <v>678987357.88</v>
      </c>
      <c r="BO5" s="29">
        <f t="shared" si="5"/>
        <v>692535021.81000006</v>
      </c>
      <c r="BP5" s="29">
        <f t="shared" si="5"/>
        <v>696699369.49000001</v>
      </c>
      <c r="BQ5" s="29">
        <f t="shared" si="5"/>
        <v>708428130.49000001</v>
      </c>
      <c r="BR5" s="29">
        <f t="shared" si="5"/>
        <v>708670751.85000002</v>
      </c>
      <c r="BS5" s="29">
        <f t="shared" si="5"/>
        <v>706634790.12</v>
      </c>
      <c r="BT5" s="29">
        <f t="shared" si="5"/>
        <v>713528365.55999994</v>
      </c>
      <c r="BU5" s="29">
        <f t="shared" si="5"/>
        <v>711490971.11000001</v>
      </c>
      <c r="BV5" s="29">
        <f t="shared" si="5"/>
        <v>737348358.88999999</v>
      </c>
      <c r="BW5" s="29">
        <f t="shared" si="5"/>
        <v>743946943.45999992</v>
      </c>
      <c r="BX5" s="29">
        <f t="shared" si="5"/>
        <v>743306854.10000002</v>
      </c>
      <c r="BY5" s="29">
        <f t="shared" si="5"/>
        <v>0</v>
      </c>
      <c r="BZ5" s="29">
        <f t="shared" si="5"/>
        <v>755360290.41000009</v>
      </c>
      <c r="CA5" s="29">
        <f t="shared" si="5"/>
        <v>758719568.12</v>
      </c>
      <c r="CB5" s="29">
        <f t="shared" si="5"/>
        <v>762719568.11000001</v>
      </c>
      <c r="CC5" s="29">
        <f t="shared" si="5"/>
        <v>762681473.51999998</v>
      </c>
      <c r="CD5" s="29">
        <f t="shared" si="5"/>
        <v>775265946.8499999</v>
      </c>
      <c r="CE5" s="29">
        <f t="shared" si="5"/>
        <v>775265946.8499999</v>
      </c>
      <c r="CF5" s="29">
        <f t="shared" ref="CF5" si="6">CF6+CF7+CF8</f>
        <v>824629723</v>
      </c>
      <c r="CG5" s="29"/>
      <c r="CH5" s="29"/>
    </row>
    <row r="6" spans="2:86">
      <c r="B6" s="25">
        <v>3.1</v>
      </c>
      <c r="C6" s="30" t="s">
        <v>179</v>
      </c>
      <c r="D6" s="28">
        <f>SFP!C35</f>
        <v>373229667.70999998</v>
      </c>
      <c r="E6" s="28">
        <f>SFP!D35</f>
        <v>389297938.51999998</v>
      </c>
      <c r="F6" s="28">
        <f>SFP!E35</f>
        <v>415784125</v>
      </c>
      <c r="G6" s="28">
        <f>SFP!F35</f>
        <v>423522971.06999999</v>
      </c>
      <c r="H6" s="28">
        <f>SFP!G35</f>
        <v>422684562.99000001</v>
      </c>
      <c r="I6" s="28">
        <f>SFP!H35</f>
        <v>426426512.99000001</v>
      </c>
      <c r="J6" s="28">
        <f>SFP!I35</f>
        <v>428925504.99000001</v>
      </c>
      <c r="K6" s="28">
        <f>SFP!J35</f>
        <v>428925504.99000001</v>
      </c>
      <c r="L6" s="28">
        <f>SFP!K35</f>
        <v>434859870.48000002</v>
      </c>
      <c r="M6" s="28">
        <f>SFP!L35</f>
        <v>438208506.48000002</v>
      </c>
      <c r="N6" s="28">
        <f>SFP!M35</f>
        <v>440161683.38</v>
      </c>
      <c r="O6" s="28">
        <f>SFP!N35</f>
        <v>446282221.79000002</v>
      </c>
      <c r="P6" s="28">
        <f>SFP!O35</f>
        <v>445647247.79000002</v>
      </c>
      <c r="Q6" s="28">
        <f>SFP!P35</f>
        <v>451971715.69</v>
      </c>
      <c r="R6" s="28">
        <f>SFP!Q35</f>
        <v>454481686.88999999</v>
      </c>
      <c r="S6" s="28">
        <f>SFP!R35</f>
        <v>444645623.54000002</v>
      </c>
      <c r="T6" s="28">
        <f>SFP!S35</f>
        <v>460566283.04000002</v>
      </c>
      <c r="U6" s="28">
        <f>SFP!T35</f>
        <v>467357611.04000002</v>
      </c>
      <c r="V6" s="28">
        <f>SFP!U35</f>
        <v>470732491.04000002</v>
      </c>
      <c r="W6" s="28">
        <f>SFP!V35</f>
        <v>475861365.04000002</v>
      </c>
      <c r="X6" s="28">
        <f>SFP!W35</f>
        <v>484749546.04000002</v>
      </c>
      <c r="Y6" s="28">
        <f>SFP!X35</f>
        <v>489311698.08999997</v>
      </c>
      <c r="Z6" s="28">
        <f>SFP!Y35</f>
        <v>490812236.97000003</v>
      </c>
      <c r="AA6" s="28">
        <f>SFP!Z35</f>
        <v>491645070.80000001</v>
      </c>
      <c r="AB6" s="28">
        <f>SFP!AA35</f>
        <v>487180852.60000002</v>
      </c>
      <c r="AC6" s="28">
        <f>SFP!AB35</f>
        <v>491716244.16000003</v>
      </c>
      <c r="AD6" s="28">
        <f>SFP!AC35</f>
        <v>495769861.16000003</v>
      </c>
      <c r="AE6" s="28">
        <f>SFP!AD35</f>
        <v>496342751.24000001</v>
      </c>
      <c r="AF6" s="28">
        <f>SFP!AE35</f>
        <v>502793697.31999999</v>
      </c>
      <c r="AG6" s="28">
        <f>SFP!AF35</f>
        <v>507624246.31999999</v>
      </c>
      <c r="AH6" s="28">
        <f>SFP!AG35</f>
        <v>510872128.33999997</v>
      </c>
      <c r="AI6" s="28">
        <f>SFP!AH35</f>
        <v>515900254.99000001</v>
      </c>
      <c r="AJ6" s="28">
        <f>SFP!AI35</f>
        <v>521438164.94999999</v>
      </c>
      <c r="AK6" s="28">
        <f>SFP!AJ35</f>
        <v>527259317.93000001</v>
      </c>
      <c r="AL6" s="28">
        <f>SFP!AK35</f>
        <v>526797311.33999997</v>
      </c>
      <c r="AM6" s="28">
        <f>SFP!AL35</f>
        <v>522130409.00999999</v>
      </c>
      <c r="AN6" s="28">
        <f>SFP!AM35</f>
        <v>525658682.98000002</v>
      </c>
      <c r="AO6" s="28">
        <f>SFP!AN35</f>
        <v>536255533.68000001</v>
      </c>
      <c r="AP6" s="28">
        <f>SFP!AO35</f>
        <v>540705999.95000005</v>
      </c>
      <c r="AQ6" s="28">
        <f>SFP!AP35</f>
        <v>548800441.95000005</v>
      </c>
      <c r="AR6" s="28">
        <f>SFP!AQ35</f>
        <v>548800441</v>
      </c>
      <c r="AS6" s="28">
        <f>SFP!AR35</f>
        <v>549822322.57000005</v>
      </c>
      <c r="AT6" s="28">
        <f>SFP!AS35</f>
        <v>557579357.26999998</v>
      </c>
      <c r="AU6" s="28">
        <f>SFP!AT35</f>
        <v>562922421.72000003</v>
      </c>
      <c r="AV6" s="28">
        <f>SFP!AU35</f>
        <v>567615386.32000005</v>
      </c>
      <c r="AW6" s="28">
        <f>SFP!AV35</f>
        <v>574545590.99000001</v>
      </c>
      <c r="AX6" s="28">
        <f>SFP!AW35</f>
        <v>585089158.26999998</v>
      </c>
      <c r="AY6" s="28">
        <f>SFP!AX35</f>
        <v>586445927.13</v>
      </c>
      <c r="AZ6" s="28">
        <f>SFP!AY35</f>
        <v>592419891.73000002</v>
      </c>
      <c r="BA6" s="28">
        <f>SFP!AZ35</f>
        <v>579735004.91999996</v>
      </c>
      <c r="BB6" s="28">
        <f>SFP!BA35</f>
        <v>579735004.91999996</v>
      </c>
      <c r="BC6" s="28">
        <f>SFP!BB35</f>
        <v>590004509.27999997</v>
      </c>
      <c r="BD6" s="28">
        <f>SFP!BC35</f>
        <v>596739472.5</v>
      </c>
      <c r="BE6" s="28">
        <f>SFP!BD35</f>
        <v>592342053</v>
      </c>
      <c r="BF6" s="28">
        <f>SFP!BE35</f>
        <v>599591492.59000003</v>
      </c>
      <c r="BG6" s="28">
        <f>SFP!BF35</f>
        <v>599579344.02999997</v>
      </c>
      <c r="BH6" s="28">
        <f>SFP!BG35</f>
        <v>604771579.48000002</v>
      </c>
      <c r="BI6" s="28">
        <f>SFP!BH35</f>
        <v>610720663.65999997</v>
      </c>
      <c r="BJ6" s="28">
        <f>SFP!BI35</f>
        <v>617761602.91999996</v>
      </c>
      <c r="BK6" s="28">
        <f>SFP!BJ35</f>
        <v>623587250.57000005</v>
      </c>
      <c r="BL6" s="28">
        <f>SFP!BK35</f>
        <v>629492530.88999999</v>
      </c>
      <c r="BM6" s="28">
        <f>SFP!BL35</f>
        <v>628997330.20000005</v>
      </c>
      <c r="BN6" s="28">
        <f>SFP!BM35</f>
        <v>636795663.00999999</v>
      </c>
      <c r="BO6" s="28">
        <f>SFP!BN35</f>
        <v>642606253.85000002</v>
      </c>
      <c r="BP6" s="28">
        <f>SFP!BO35</f>
        <v>649491111.89999998</v>
      </c>
      <c r="BQ6" s="28">
        <f>SFP!BP35</f>
        <v>656562017.73000002</v>
      </c>
      <c r="BR6" s="28">
        <f>SFP!BQ35</f>
        <v>656562017.75</v>
      </c>
      <c r="BS6" s="28">
        <f>SFP!BR35</f>
        <v>657880178.75999999</v>
      </c>
      <c r="BT6" s="28">
        <f>SFP!BS35</f>
        <v>662948398.16999996</v>
      </c>
      <c r="BU6" s="28">
        <f>SFP!BT35</f>
        <v>669474515.23000002</v>
      </c>
      <c r="BV6" s="28">
        <f>SFP!BU35</f>
        <v>679417923.54999995</v>
      </c>
      <c r="BW6" s="28">
        <f>SFP!BV35</f>
        <v>686445959.55999994</v>
      </c>
      <c r="BX6" s="28">
        <f>SFP!BW35</f>
        <v>691159627.46000004</v>
      </c>
      <c r="BY6" s="28">
        <f>SFP!BX35</f>
        <v>0</v>
      </c>
      <c r="BZ6" s="28">
        <f>SFP!BY35</f>
        <v>694693586.20000005</v>
      </c>
      <c r="CA6" s="28">
        <f>SFP!BZ35</f>
        <v>697061758.15999997</v>
      </c>
      <c r="CB6" s="28">
        <f>SFP!CA35</f>
        <v>699776051.12</v>
      </c>
      <c r="CC6" s="28">
        <f>SFP!CB35</f>
        <v>706575584.21000004</v>
      </c>
      <c r="CD6" s="28">
        <f>SFP!CC35</f>
        <v>713499876.64999998</v>
      </c>
      <c r="CE6" s="28">
        <f>SFP!CD35</f>
        <v>713499876.64999998</v>
      </c>
      <c r="CF6" s="28">
        <f>SFP!CE35</f>
        <v>756058831</v>
      </c>
      <c r="CG6" s="28"/>
      <c r="CH6" s="28"/>
    </row>
    <row r="7" spans="2:86">
      <c r="B7" s="25">
        <v>3.2</v>
      </c>
      <c r="C7" s="30" t="s">
        <v>180</v>
      </c>
      <c r="D7" s="28">
        <f>SFP!C33</f>
        <v>16847165.07</v>
      </c>
      <c r="E7" s="28">
        <f>SFP!D33</f>
        <v>15401822.74</v>
      </c>
      <c r="F7" s="28">
        <f>SFP!E33</f>
        <v>18011508</v>
      </c>
      <c r="G7" s="28">
        <f>SFP!F33</f>
        <v>20656216.370000001</v>
      </c>
      <c r="H7" s="28">
        <f>SFP!G33</f>
        <v>17777236.600000001</v>
      </c>
      <c r="I7" s="28">
        <f>SFP!H33</f>
        <v>19926587.050000001</v>
      </c>
      <c r="J7" s="28">
        <f>SFP!I33</f>
        <v>27383127.149999999</v>
      </c>
      <c r="K7" s="28">
        <f>SFP!J33</f>
        <v>27383127.149999999</v>
      </c>
      <c r="L7" s="28">
        <f>SFP!K33</f>
        <v>25101091.420000002</v>
      </c>
      <c r="M7" s="28">
        <f>SFP!L33</f>
        <v>28751608.25</v>
      </c>
      <c r="N7" s="28">
        <f>SFP!M33</f>
        <v>26984488.73</v>
      </c>
      <c r="O7" s="28">
        <f>SFP!N33</f>
        <v>27507276.210000001</v>
      </c>
      <c r="P7" s="28">
        <f>SFP!O33</f>
        <v>34473158.039999999</v>
      </c>
      <c r="Q7" s="28">
        <f>SFP!P33</f>
        <v>31556815.690000001</v>
      </c>
      <c r="R7" s="28">
        <f>SFP!Q33</f>
        <v>45111728.210000001</v>
      </c>
      <c r="S7" s="28">
        <f>SFP!R33</f>
        <v>48905596.869999997</v>
      </c>
      <c r="T7" s="28">
        <f>SFP!S33</f>
        <v>36126277.149999999</v>
      </c>
      <c r="U7" s="28">
        <f>SFP!T33</f>
        <v>34203885.969999999</v>
      </c>
      <c r="V7" s="28">
        <f>SFP!U33</f>
        <v>33569331.729999997</v>
      </c>
      <c r="W7" s="28">
        <f>SFP!V33</f>
        <v>43819424.659999996</v>
      </c>
      <c r="X7" s="28">
        <f>SFP!W33</f>
        <v>35174164.630000003</v>
      </c>
      <c r="Y7" s="28">
        <f>SFP!X33</f>
        <v>37948670.060000002</v>
      </c>
      <c r="Z7" s="28">
        <f>SFP!Y33</f>
        <v>36342997.909999996</v>
      </c>
      <c r="AA7" s="28">
        <f>SFP!Z33</f>
        <v>36221017.689999998</v>
      </c>
      <c r="AB7" s="28">
        <f>SFP!AA33</f>
        <v>40466132.439999998</v>
      </c>
      <c r="AC7" s="28">
        <f>SFP!AB33</f>
        <v>42890343.689999998</v>
      </c>
      <c r="AD7" s="28">
        <f>SFP!AC33</f>
        <v>40596096.140000001</v>
      </c>
      <c r="AE7" s="28">
        <f>SFP!AD33</f>
        <v>51474886.420000002</v>
      </c>
      <c r="AF7" s="28">
        <f>SFP!AE33</f>
        <v>33977752.68</v>
      </c>
      <c r="AG7" s="28">
        <f>SFP!AF33</f>
        <v>41618644.810000002</v>
      </c>
      <c r="AH7" s="28">
        <f>SFP!AG33</f>
        <v>41520259.57</v>
      </c>
      <c r="AI7" s="28">
        <f>SFP!AH33</f>
        <v>39202512.229999997</v>
      </c>
      <c r="AJ7" s="28">
        <f>SFP!AI33</f>
        <v>38912549.030000001</v>
      </c>
      <c r="AK7" s="28">
        <f>SFP!AJ33</f>
        <v>38611537.590000004</v>
      </c>
      <c r="AL7" s="28">
        <f>SFP!AK33</f>
        <v>37183079.25</v>
      </c>
      <c r="AM7" s="28">
        <f>SFP!AL33</f>
        <v>43740054.270000003</v>
      </c>
      <c r="AN7" s="28">
        <f>SFP!AM33</f>
        <v>37163676.060000002</v>
      </c>
      <c r="AO7" s="28">
        <f>SFP!AN33</f>
        <v>43030844.030000001</v>
      </c>
      <c r="AP7" s="28">
        <f>SFP!AO33</f>
        <v>43089756.890000001</v>
      </c>
      <c r="AQ7" s="28">
        <f>SFP!AP33</f>
        <v>48364100.390000001</v>
      </c>
      <c r="AR7" s="28">
        <f>SFP!AQ33</f>
        <v>48614100</v>
      </c>
      <c r="AS7" s="28">
        <f>SFP!AR33</f>
        <v>41484422.649999999</v>
      </c>
      <c r="AT7" s="28">
        <f>SFP!AS33</f>
        <v>41152387.119999997</v>
      </c>
      <c r="AU7" s="28">
        <f>SFP!AT33</f>
        <v>42420542.810000002</v>
      </c>
      <c r="AV7" s="28">
        <f>SFP!AU33</f>
        <v>42833832.939999998</v>
      </c>
      <c r="AW7" s="28">
        <f>SFP!AV33</f>
        <v>43567265.030000001</v>
      </c>
      <c r="AX7" s="28">
        <f>SFP!AW33</f>
        <v>38606432.299999997</v>
      </c>
      <c r="AY7" s="28">
        <f>SFP!AX33</f>
        <v>43364745.200000003</v>
      </c>
      <c r="AZ7" s="28">
        <f>SFP!AY33</f>
        <v>41551977.219999999</v>
      </c>
      <c r="BA7" s="28">
        <f>SFP!AZ33</f>
        <v>46057618.740000002</v>
      </c>
      <c r="BB7" s="28">
        <f>SFP!BA33</f>
        <v>46057618.740000002</v>
      </c>
      <c r="BC7" s="28">
        <f>SFP!BB33</f>
        <v>49219510.539999999</v>
      </c>
      <c r="BD7" s="28">
        <f>SFP!BC33</f>
        <v>59511516.359999999</v>
      </c>
      <c r="BE7" s="28">
        <f>SFP!BD33</f>
        <v>59788679.700000003</v>
      </c>
      <c r="BF7" s="28">
        <f>SFP!BE33</f>
        <v>41972122.609999999</v>
      </c>
      <c r="BG7" s="28">
        <f>SFP!BF33</f>
        <v>38940663.990000002</v>
      </c>
      <c r="BH7" s="28">
        <f>SFP!BG33</f>
        <v>39653549.719999999</v>
      </c>
      <c r="BI7" s="28">
        <f>SFP!BH33</f>
        <v>35059335.810000002</v>
      </c>
      <c r="BJ7" s="28">
        <f>SFP!BI33</f>
        <v>39505387.170000002</v>
      </c>
      <c r="BK7" s="28">
        <f>SFP!BJ33</f>
        <v>38208788.509999998</v>
      </c>
      <c r="BL7" s="28">
        <f>SFP!BK33</f>
        <v>33842063.020000003</v>
      </c>
      <c r="BM7" s="28">
        <f>SFP!BL33</f>
        <v>42319799.57</v>
      </c>
      <c r="BN7" s="28">
        <f>SFP!BM33</f>
        <v>41359494.869999997</v>
      </c>
      <c r="BO7" s="28">
        <f>SFP!BN33</f>
        <v>48922567.960000001</v>
      </c>
      <c r="BP7" s="28">
        <f>SFP!BO33</f>
        <v>43202579.390000001</v>
      </c>
      <c r="BQ7" s="28">
        <f>SFP!BP33</f>
        <v>47860434.560000002</v>
      </c>
      <c r="BR7" s="28">
        <f>SFP!BQ33</f>
        <v>48073055.899999999</v>
      </c>
      <c r="BS7" s="28">
        <f>SFP!BR33</f>
        <v>44748933.159999996</v>
      </c>
      <c r="BT7" s="28">
        <f>SFP!BS33</f>
        <v>46574289.189999998</v>
      </c>
      <c r="BU7" s="28">
        <f>SFP!BT33</f>
        <v>40815255.880000003</v>
      </c>
      <c r="BV7" s="28">
        <f>SFP!BU33</f>
        <v>56929135.340000004</v>
      </c>
      <c r="BW7" s="28">
        <f>SFP!BV33</f>
        <v>56499683.899999999</v>
      </c>
      <c r="BX7" s="28">
        <f>SFP!BW33</f>
        <v>50546954.640000001</v>
      </c>
      <c r="BY7" s="28">
        <f>SFP!BX33</f>
        <v>0</v>
      </c>
      <c r="BZ7" s="28">
        <f>SFP!BY33</f>
        <v>57786254.210000001</v>
      </c>
      <c r="CA7" s="28">
        <f>SFP!BZ33</f>
        <v>58787359.960000001</v>
      </c>
      <c r="CB7" s="28">
        <f>SFP!CA33</f>
        <v>60620768.82</v>
      </c>
      <c r="CC7" s="28">
        <f>SFP!CB33</f>
        <v>53783141.140000001</v>
      </c>
      <c r="CD7" s="28">
        <f>SFP!CC33</f>
        <v>59663422.030000001</v>
      </c>
      <c r="CE7" s="28">
        <f>SFP!CD33</f>
        <v>59652122.049999997</v>
      </c>
      <c r="CF7" s="28">
        <f>SFP!CE33</f>
        <v>61809136</v>
      </c>
      <c r="CG7" s="28"/>
      <c r="CH7" s="28"/>
    </row>
    <row r="8" spans="2:86">
      <c r="B8" s="25"/>
      <c r="C8" s="30" t="s">
        <v>181</v>
      </c>
      <c r="D8" s="28">
        <f>SFP!C34</f>
        <v>0</v>
      </c>
      <c r="E8" s="28">
        <f>SFP!D34</f>
        <v>0</v>
      </c>
      <c r="F8" s="28">
        <f>SFP!E34</f>
        <v>0</v>
      </c>
      <c r="G8" s="28">
        <f>SFP!F34</f>
        <v>1460576.75</v>
      </c>
      <c r="H8" s="28">
        <f>SFP!G34</f>
        <v>1341781.21</v>
      </c>
      <c r="I8" s="28">
        <f>SFP!H34</f>
        <v>1362011.28</v>
      </c>
      <c r="J8" s="28">
        <f>SFP!I34</f>
        <v>2171729.77</v>
      </c>
      <c r="K8" s="28">
        <f>SFP!J34</f>
        <v>2171729.77</v>
      </c>
      <c r="L8" s="28">
        <f>SFP!K34</f>
        <v>2218536.91</v>
      </c>
      <c r="M8" s="28">
        <f>SFP!L34</f>
        <v>2289867.98</v>
      </c>
      <c r="N8" s="28">
        <f>SFP!M34</f>
        <v>2520988.15</v>
      </c>
      <c r="O8" s="28">
        <f>SFP!N34</f>
        <v>-15000</v>
      </c>
      <c r="P8" s="28">
        <f>SFP!O34</f>
        <v>-15000</v>
      </c>
      <c r="Q8" s="28">
        <f>SFP!P34</f>
        <v>0</v>
      </c>
      <c r="R8" s="28">
        <f>SFP!Q34</f>
        <v>0</v>
      </c>
      <c r="S8" s="28">
        <f>SFP!R34</f>
        <v>0</v>
      </c>
      <c r="T8" s="28">
        <f>SFP!S34</f>
        <v>0</v>
      </c>
      <c r="U8" s="28">
        <f>SFP!T34</f>
        <v>0</v>
      </c>
      <c r="V8" s="28">
        <f>SFP!U34</f>
        <v>0</v>
      </c>
      <c r="W8" s="28">
        <f>SFP!V34</f>
        <v>0</v>
      </c>
      <c r="X8" s="28">
        <f>SFP!W34</f>
        <v>-15000</v>
      </c>
      <c r="Y8" s="28">
        <f>SFP!X34</f>
        <v>0</v>
      </c>
      <c r="Z8" s="28">
        <f>SFP!Y34</f>
        <v>0</v>
      </c>
      <c r="AA8" s="28">
        <f>SFP!Z34</f>
        <v>0</v>
      </c>
      <c r="AB8" s="28">
        <f>SFP!AA34</f>
        <v>0</v>
      </c>
      <c r="AC8" s="28">
        <f>SFP!AB34</f>
        <v>0</v>
      </c>
      <c r="AD8" s="28">
        <f>SFP!AC34</f>
        <v>0</v>
      </c>
      <c r="AE8" s="28">
        <f>SFP!AD34</f>
        <v>0</v>
      </c>
      <c r="AF8" s="28">
        <f>SFP!AE34</f>
        <v>0</v>
      </c>
      <c r="AG8" s="28">
        <f>SFP!AF34</f>
        <v>0</v>
      </c>
      <c r="AH8" s="28">
        <f>SFP!AG34</f>
        <v>0</v>
      </c>
      <c r="AI8" s="28">
        <f>SFP!AH34</f>
        <v>0</v>
      </c>
      <c r="AJ8" s="28">
        <f>SFP!AI34</f>
        <v>0</v>
      </c>
      <c r="AK8" s="28">
        <f>SFP!AJ34</f>
        <v>0</v>
      </c>
      <c r="AL8" s="28">
        <f>SFP!AK34</f>
        <v>0</v>
      </c>
      <c r="AM8" s="28">
        <f>SFP!AL34</f>
        <v>0</v>
      </c>
      <c r="AN8" s="28">
        <f>SFP!AM34</f>
        <v>0</v>
      </c>
      <c r="AO8" s="28">
        <f>SFP!AN34</f>
        <v>0</v>
      </c>
      <c r="AP8" s="28">
        <f>SFP!AO34</f>
        <v>250000</v>
      </c>
      <c r="AQ8" s="28">
        <f>SFP!AP34</f>
        <v>250000</v>
      </c>
      <c r="AR8" s="28">
        <f>SFP!AQ34</f>
        <v>0</v>
      </c>
      <c r="AS8" s="28">
        <f>SFP!AR34</f>
        <v>151000</v>
      </c>
      <c r="AT8" s="28">
        <f>SFP!AS34</f>
        <v>0</v>
      </c>
      <c r="AU8" s="28">
        <f>SFP!AT34</f>
        <v>151000</v>
      </c>
      <c r="AV8" s="28">
        <f>SFP!AU34</f>
        <v>151000</v>
      </c>
      <c r="AW8" s="28">
        <f>SFP!AV34</f>
        <v>151000</v>
      </c>
      <c r="AX8" s="28">
        <f>SFP!AW34</f>
        <v>331000</v>
      </c>
      <c r="AY8" s="28">
        <f>SFP!AX34</f>
        <v>331000</v>
      </c>
      <c r="AZ8" s="28">
        <f>SFP!AY34</f>
        <v>181000</v>
      </c>
      <c r="BA8" s="28">
        <f>SFP!AZ34</f>
        <v>181000</v>
      </c>
      <c r="BB8" s="28">
        <f>SFP!BA34</f>
        <v>181000</v>
      </c>
      <c r="BC8" s="28">
        <f>SFP!BB34</f>
        <v>181000</v>
      </c>
      <c r="BD8" s="28">
        <f>SFP!BC34</f>
        <v>181000</v>
      </c>
      <c r="BE8" s="28">
        <f>SFP!BD34</f>
        <v>0</v>
      </c>
      <c r="BF8" s="28">
        <f>SFP!BE34</f>
        <v>481000</v>
      </c>
      <c r="BG8" s="28">
        <f>SFP!BF34</f>
        <v>382000</v>
      </c>
      <c r="BH8" s="28">
        <f>SFP!BG34</f>
        <v>542000</v>
      </c>
      <c r="BI8" s="28">
        <f>SFP!BH34</f>
        <v>492000</v>
      </c>
      <c r="BJ8" s="28">
        <f>SFP!BI34</f>
        <v>462000</v>
      </c>
      <c r="BK8" s="28">
        <f>SFP!BJ34</f>
        <v>456000</v>
      </c>
      <c r="BL8" s="28">
        <f>SFP!BK34</f>
        <v>683200</v>
      </c>
      <c r="BM8" s="28">
        <f>SFP!BL34</f>
        <v>871200</v>
      </c>
      <c r="BN8" s="28">
        <f>SFP!BM34</f>
        <v>832200</v>
      </c>
      <c r="BO8" s="28">
        <f>SFP!BN34</f>
        <v>1006200</v>
      </c>
      <c r="BP8" s="28">
        <f>SFP!BO34</f>
        <v>4005678.2</v>
      </c>
      <c r="BQ8" s="28">
        <f>SFP!BP34</f>
        <v>4005678.2</v>
      </c>
      <c r="BR8" s="28">
        <f>SFP!BQ34</f>
        <v>4035678.2</v>
      </c>
      <c r="BS8" s="28">
        <f>SFP!BR34</f>
        <v>4005678.2</v>
      </c>
      <c r="BT8" s="28">
        <f>SFP!BS34</f>
        <v>4005678.2</v>
      </c>
      <c r="BU8" s="28">
        <f>SFP!BT34</f>
        <v>1201200</v>
      </c>
      <c r="BV8" s="28">
        <f>SFP!BU34</f>
        <v>1001300</v>
      </c>
      <c r="BW8" s="28">
        <f>SFP!BV34</f>
        <v>1001300</v>
      </c>
      <c r="BX8" s="28">
        <f>SFP!BW34</f>
        <v>1600272</v>
      </c>
      <c r="BY8" s="28">
        <f>SFP!BX34</f>
        <v>0</v>
      </c>
      <c r="BZ8" s="28">
        <f>SFP!BY34</f>
        <v>2880450</v>
      </c>
      <c r="CA8" s="28">
        <f>SFP!BZ34</f>
        <v>2870450</v>
      </c>
      <c r="CB8" s="28">
        <f>SFP!CA34</f>
        <v>2322748.17</v>
      </c>
      <c r="CC8" s="28">
        <f>SFP!CB34</f>
        <v>2322748.17</v>
      </c>
      <c r="CD8" s="28">
        <f>SFP!CC34</f>
        <v>2102648.17</v>
      </c>
      <c r="CE8" s="28">
        <f>SFP!CD34</f>
        <v>2113948.15</v>
      </c>
      <c r="CF8" s="28">
        <f>SFP!CE34</f>
        <v>6761756</v>
      </c>
      <c r="CG8" s="28"/>
      <c r="CH8" s="28"/>
    </row>
    <row r="9" spans="2:86" s="18" customFormat="1">
      <c r="B9" s="25">
        <v>4</v>
      </c>
      <c r="C9" s="26" t="s">
        <v>182</v>
      </c>
      <c r="D9" s="31">
        <f>SFP!C43</f>
        <v>0</v>
      </c>
      <c r="E9" s="31">
        <f>SFP!D43</f>
        <v>26996531.100000001</v>
      </c>
      <c r="F9" s="31">
        <f>SFP!E43</f>
        <v>40426035</v>
      </c>
      <c r="G9" s="31">
        <f>SFP!F43</f>
        <v>40426054.479999997</v>
      </c>
      <c r="H9" s="31">
        <f>SFP!G43</f>
        <v>40426054.479999997</v>
      </c>
      <c r="I9" s="31">
        <f>SFP!H43</f>
        <v>38300198.109999999</v>
      </c>
      <c r="J9" s="31">
        <f>SFP!I43</f>
        <v>38300198.109999999</v>
      </c>
      <c r="K9" s="31">
        <f>SFP!J43</f>
        <v>38300198.109999999</v>
      </c>
      <c r="L9" s="31">
        <f>SFP!K43</f>
        <v>38300198.109999999</v>
      </c>
      <c r="M9" s="31">
        <f>SFP!L43</f>
        <v>36965198.109999999</v>
      </c>
      <c r="N9" s="31">
        <f>SFP!M43</f>
        <v>36965198.109999999</v>
      </c>
      <c r="O9" s="31">
        <f>SFP!N43</f>
        <v>126889533.34</v>
      </c>
      <c r="P9" s="31">
        <f>SFP!O43</f>
        <v>125554533.3</v>
      </c>
      <c r="Q9" s="31">
        <f>SFP!P43</f>
        <v>119195066.68000001</v>
      </c>
      <c r="R9" s="31">
        <f>SFP!Q43</f>
        <v>108472833.34999999</v>
      </c>
      <c r="S9" s="31">
        <f>SFP!R43</f>
        <v>115378204.22</v>
      </c>
      <c r="T9" s="31">
        <f>SFP!S43</f>
        <v>108472833.34999999</v>
      </c>
      <c r="U9" s="31">
        <f>SFP!T43</f>
        <v>104289425.3</v>
      </c>
      <c r="V9" s="31">
        <f>SFP!U43</f>
        <v>100660015.2</v>
      </c>
      <c r="W9" s="31">
        <f>SFP!V43</f>
        <v>100583900.03</v>
      </c>
      <c r="X9" s="31">
        <f>SFP!W43</f>
        <v>121943271</v>
      </c>
      <c r="Y9" s="31">
        <f>SFP!X43</f>
        <v>118162011.77</v>
      </c>
      <c r="Z9" s="31">
        <f>SFP!Y43</f>
        <v>113594083.69</v>
      </c>
      <c r="AA9" s="31">
        <f>SFP!Z43</f>
        <v>107904836.40000001</v>
      </c>
      <c r="AB9" s="31">
        <f>SFP!AA43</f>
        <v>101839421.3</v>
      </c>
      <c r="AC9" s="31">
        <f>SFP!AB43</f>
        <v>96246358.359999999</v>
      </c>
      <c r="AD9" s="31">
        <f>SFP!AC43</f>
        <v>91158395.260000005</v>
      </c>
      <c r="AE9" s="31">
        <f>SFP!AD43</f>
        <v>92300662.670000002</v>
      </c>
      <c r="AF9" s="31">
        <f>SFP!AE43</f>
        <v>87539876.359999999</v>
      </c>
      <c r="AG9" s="31">
        <f>SFP!AF43</f>
        <v>92833800.060000002</v>
      </c>
      <c r="AH9" s="31">
        <f>SFP!AG43</f>
        <v>92833800.060000002</v>
      </c>
      <c r="AI9" s="31">
        <f>SFP!AH43</f>
        <v>87394860.010000005</v>
      </c>
      <c r="AJ9" s="31">
        <f>SFP!AI43</f>
        <v>122306932.76000001</v>
      </c>
      <c r="AK9" s="31">
        <f>SFP!AJ43</f>
        <v>120115367.23</v>
      </c>
      <c r="AL9" s="31">
        <f>SFP!AK43</f>
        <v>118094367.36</v>
      </c>
      <c r="AM9" s="31">
        <f>SFP!AL43</f>
        <v>117183967.12</v>
      </c>
      <c r="AN9" s="31">
        <f>SFP!AM43</f>
        <v>113289367.3</v>
      </c>
      <c r="AO9" s="31">
        <f>SFP!AN43</f>
        <v>111516294.26000001</v>
      </c>
      <c r="AP9" s="31">
        <f>SFP!AO43</f>
        <v>120083333.31</v>
      </c>
      <c r="AQ9" s="31">
        <f>SFP!AP43</f>
        <v>123249999</v>
      </c>
      <c r="AR9" s="31">
        <f>SFP!AQ43</f>
        <v>123249999</v>
      </c>
      <c r="AS9" s="31">
        <f>SFP!AR43</f>
        <v>123249999</v>
      </c>
      <c r="AT9" s="31">
        <f>SFP!AS43</f>
        <v>120378236.3</v>
      </c>
      <c r="AU9" s="31">
        <f>SFP!AT43</f>
        <v>115999999</v>
      </c>
      <c r="AV9" s="31">
        <f>SFP!AU43</f>
        <v>112369129.2</v>
      </c>
      <c r="AW9" s="31">
        <f>SFP!AV43</f>
        <v>109325593.25</v>
      </c>
      <c r="AX9" s="31">
        <f>SFP!AW43</f>
        <v>109639140</v>
      </c>
      <c r="AY9" s="31">
        <f>SFP!AX43</f>
        <v>131833333.29000001</v>
      </c>
      <c r="AZ9" s="31">
        <f>SFP!AY43</f>
        <v>123749999.95999999</v>
      </c>
      <c r="BA9" s="31">
        <f>SFP!AZ43</f>
        <v>118499999.95</v>
      </c>
      <c r="BB9" s="31">
        <f>SFP!BA43</f>
        <v>118499999.95</v>
      </c>
      <c r="BC9" s="31">
        <f>SFP!BB43</f>
        <v>108000000.02</v>
      </c>
      <c r="BD9" s="31">
        <f>SFP!BC43</f>
        <v>172750000</v>
      </c>
      <c r="BE9" s="31">
        <f>SFP!BD43</f>
        <v>172749999.94999999</v>
      </c>
      <c r="BF9" s="31">
        <f>SFP!BE43</f>
        <v>166753350</v>
      </c>
      <c r="BG9" s="31">
        <f>SFP!BF43</f>
        <v>160349254.22999999</v>
      </c>
      <c r="BH9" s="31">
        <f>SFP!BG43</f>
        <v>148221858.34</v>
      </c>
      <c r="BI9" s="31">
        <f>SFP!BH43</f>
        <v>143333333.22999999</v>
      </c>
      <c r="BJ9" s="31">
        <f>SFP!BI43</f>
        <v>143333333.22999999</v>
      </c>
      <c r="BK9" s="31">
        <f>SFP!BJ43</f>
        <v>143333333.22999999</v>
      </c>
      <c r="BL9" s="31">
        <f>SFP!BK43</f>
        <v>142750000</v>
      </c>
      <c r="BM9" s="31">
        <f>SFP!BL43</f>
        <v>135583333.31999999</v>
      </c>
      <c r="BN9" s="31">
        <f>SFP!BM43</f>
        <v>135583333.31999999</v>
      </c>
      <c r="BO9" s="31">
        <f>SFP!BN43</f>
        <v>128416666.64</v>
      </c>
      <c r="BP9" s="31">
        <f>SFP!BO43</f>
        <v>124833333.19</v>
      </c>
      <c r="BQ9" s="31">
        <f>SFP!BP43</f>
        <v>156249999.84999999</v>
      </c>
      <c r="BR9" s="31">
        <f>SFP!BQ43</f>
        <v>156249999.84999999</v>
      </c>
      <c r="BS9" s="31">
        <f>SFP!BR43</f>
        <v>152083333.19</v>
      </c>
      <c r="BT9" s="31">
        <f>SFP!BS43</f>
        <v>152083333.19</v>
      </c>
      <c r="BU9" s="31">
        <f>SFP!BT43</f>
        <v>147916666.53</v>
      </c>
      <c r="BV9" s="31">
        <f>SFP!BU43</f>
        <v>140249999.87</v>
      </c>
      <c r="BW9" s="31">
        <f>SFP!BV43</f>
        <v>181155317.59</v>
      </c>
      <c r="BX9" s="31">
        <f>SFP!BW43</f>
        <v>179266666.65000001</v>
      </c>
      <c r="BY9" s="31">
        <f>SFP!BX43</f>
        <v>0</v>
      </c>
      <c r="BZ9" s="31">
        <f>SFP!BY43</f>
        <v>175216666.25999999</v>
      </c>
      <c r="CA9" s="31">
        <f>SFP!BZ43</f>
        <v>170916666.56999999</v>
      </c>
      <c r="CB9" s="31">
        <f>SFP!CA43</f>
        <v>169583333.25</v>
      </c>
      <c r="CC9" s="31">
        <f>SFP!CB43</f>
        <v>165316215.30000001</v>
      </c>
      <c r="CD9" s="31">
        <f>SFP!CC43</f>
        <v>159249999.93000001</v>
      </c>
      <c r="CE9" s="31">
        <f>SFP!CD43</f>
        <v>159249999.94999999</v>
      </c>
      <c r="CF9" s="31">
        <f>SFP!CE43</f>
        <v>157249999</v>
      </c>
      <c r="CG9" s="31"/>
      <c r="CH9" s="31"/>
    </row>
    <row r="10" spans="2:86" s="18" customFormat="1" hidden="1">
      <c r="B10" s="23"/>
      <c r="C10" s="24"/>
    </row>
    <row r="11" spans="2:86" s="18" customFormat="1">
      <c r="B11" s="32">
        <v>5</v>
      </c>
      <c r="C11" s="33" t="s">
        <v>183</v>
      </c>
      <c r="D11" s="21"/>
    </row>
    <row r="12" spans="2:86">
      <c r="B12" s="32">
        <v>5.0999999999999996</v>
      </c>
      <c r="C12" s="33" t="s">
        <v>184</v>
      </c>
      <c r="D12" s="34">
        <f>D15-D27</f>
        <v>-17916464.34</v>
      </c>
      <c r="E12" s="34">
        <f t="shared" ref="E12:BP12" si="7">E15-E27</f>
        <v>37703005.009999998</v>
      </c>
      <c r="F12" s="34">
        <f t="shared" si="7"/>
        <v>84979038</v>
      </c>
      <c r="G12" s="34">
        <f t="shared" si="7"/>
        <v>55863956.979999997</v>
      </c>
      <c r="H12" s="34">
        <f t="shared" si="7"/>
        <v>55715309.25</v>
      </c>
      <c r="I12" s="34">
        <f t="shared" si="7"/>
        <v>55361663.339999996</v>
      </c>
      <c r="J12" s="34">
        <f t="shared" si="7"/>
        <v>82339787.859999999</v>
      </c>
      <c r="K12" s="34">
        <f t="shared" si="7"/>
        <v>59666643.259999998</v>
      </c>
      <c r="L12" s="34">
        <f t="shared" si="7"/>
        <v>93880087</v>
      </c>
      <c r="M12" s="34">
        <f t="shared" si="7"/>
        <v>94999140.25</v>
      </c>
      <c r="N12" s="34">
        <f t="shared" si="7"/>
        <v>95201103.5</v>
      </c>
      <c r="O12" s="34">
        <f t="shared" si="7"/>
        <v>100660206.41</v>
      </c>
      <c r="P12" s="34">
        <f t="shared" si="7"/>
        <v>100350768.67</v>
      </c>
      <c r="Q12" s="34">
        <f t="shared" si="7"/>
        <v>104959739.41</v>
      </c>
      <c r="R12" s="34">
        <f t="shared" si="7"/>
        <v>105252038.70999999</v>
      </c>
      <c r="S12" s="34">
        <f t="shared" si="7"/>
        <v>93415740.574806854</v>
      </c>
      <c r="T12" s="34">
        <f t="shared" si="7"/>
        <v>100053256.47</v>
      </c>
      <c r="U12" s="34">
        <f t="shared" si="7"/>
        <v>112279842.11</v>
      </c>
      <c r="V12" s="34">
        <f t="shared" si="7"/>
        <v>112584639.81</v>
      </c>
      <c r="W12" s="34">
        <f t="shared" si="7"/>
        <v>104974451.21000001</v>
      </c>
      <c r="X12" s="34">
        <f t="shared" si="7"/>
        <v>161730334.62</v>
      </c>
      <c r="Y12" s="34">
        <f t="shared" si="7"/>
        <v>159213835.02000001</v>
      </c>
      <c r="Z12" s="34">
        <f t="shared" si="7"/>
        <v>163300171.02000001</v>
      </c>
      <c r="AA12" s="34">
        <f t="shared" si="7"/>
        <v>167814783.31999999</v>
      </c>
      <c r="AB12" s="34">
        <f t="shared" si="7"/>
        <v>170812546.72</v>
      </c>
      <c r="AC12" s="34">
        <f t="shared" si="7"/>
        <v>168961625.02000001</v>
      </c>
      <c r="AD12" s="34">
        <f t="shared" si="7"/>
        <v>167757610.98000002</v>
      </c>
      <c r="AE12" s="34">
        <f t="shared" si="7"/>
        <v>166971538.22</v>
      </c>
      <c r="AF12" s="34">
        <f t="shared" si="7"/>
        <v>165000481.72</v>
      </c>
      <c r="AG12" s="34">
        <f t="shared" si="7"/>
        <v>166777225.52000001</v>
      </c>
      <c r="AH12" s="34">
        <f t="shared" si="7"/>
        <v>167484539.22</v>
      </c>
      <c r="AI12" s="34">
        <f t="shared" si="7"/>
        <v>163743714.63999999</v>
      </c>
      <c r="AJ12" s="34">
        <f t="shared" si="7"/>
        <v>164612692.54000002</v>
      </c>
      <c r="AK12" s="34">
        <f t="shared" si="7"/>
        <v>167239564.34</v>
      </c>
      <c r="AL12" s="34">
        <f t="shared" si="7"/>
        <v>166187404.51000002</v>
      </c>
      <c r="AM12" s="34">
        <f t="shared" si="7"/>
        <v>168431066.81</v>
      </c>
      <c r="AN12" s="34">
        <f t="shared" si="7"/>
        <v>168449619.81</v>
      </c>
      <c r="AO12" s="34">
        <f t="shared" si="7"/>
        <v>171704215.91</v>
      </c>
      <c r="AP12" s="34">
        <f t="shared" si="7"/>
        <v>149690016.62</v>
      </c>
      <c r="AQ12" s="34">
        <f t="shared" si="7"/>
        <v>154944801.12</v>
      </c>
      <c r="AR12" s="34">
        <f t="shared" si="7"/>
        <v>130860941</v>
      </c>
      <c r="AS12" s="34">
        <f t="shared" si="7"/>
        <v>152448708.72</v>
      </c>
      <c r="AT12" s="34">
        <f t="shared" si="7"/>
        <v>151893293.62</v>
      </c>
      <c r="AU12" s="34">
        <f t="shared" si="7"/>
        <v>156350129.62</v>
      </c>
      <c r="AV12" s="34">
        <f t="shared" si="7"/>
        <v>160257125.62</v>
      </c>
      <c r="AW12" s="34">
        <f t="shared" si="7"/>
        <v>166757477.91000003</v>
      </c>
      <c r="AX12" s="34">
        <f t="shared" si="7"/>
        <v>156997052.06</v>
      </c>
      <c r="AY12" s="34">
        <f t="shared" si="7"/>
        <v>160479675.16</v>
      </c>
      <c r="AZ12" s="34">
        <f t="shared" si="7"/>
        <v>160081132.46000001</v>
      </c>
      <c r="BA12" s="34">
        <f t="shared" si="7"/>
        <v>168420870.25999999</v>
      </c>
      <c r="BB12" s="34">
        <f t="shared" si="7"/>
        <v>168420870.25999999</v>
      </c>
      <c r="BC12" s="34">
        <f t="shared" si="7"/>
        <v>175449511.04999998</v>
      </c>
      <c r="BD12" s="34">
        <f t="shared" si="7"/>
        <v>169064057.96000001</v>
      </c>
      <c r="BE12" s="34">
        <f t="shared" si="7"/>
        <v>162222559.30000001</v>
      </c>
      <c r="BF12" s="34">
        <f t="shared" si="7"/>
        <v>175811635.55000001</v>
      </c>
      <c r="BG12" s="34">
        <f t="shared" si="7"/>
        <v>190853999.05000001</v>
      </c>
      <c r="BH12" s="34">
        <f t="shared" si="7"/>
        <v>178564876.25000003</v>
      </c>
      <c r="BI12" s="34">
        <f t="shared" si="7"/>
        <v>177358402.25000003</v>
      </c>
      <c r="BJ12" s="34">
        <f t="shared" si="7"/>
        <v>178157058.03</v>
      </c>
      <c r="BK12" s="34">
        <f t="shared" si="7"/>
        <v>179070566.41999999</v>
      </c>
      <c r="BL12" s="34">
        <f t="shared" si="7"/>
        <v>175954936.61000001</v>
      </c>
      <c r="BM12" s="34">
        <f t="shared" si="7"/>
        <v>179612272.51000002</v>
      </c>
      <c r="BN12" s="34">
        <f t="shared" si="7"/>
        <v>190224333.21000001</v>
      </c>
      <c r="BO12" s="34">
        <f t="shared" si="7"/>
        <v>187717472.60999998</v>
      </c>
      <c r="BP12" s="34">
        <f t="shared" si="7"/>
        <v>189412378.96000001</v>
      </c>
      <c r="BQ12" s="34">
        <f t="shared" ref="BQ12:CF12" si="8">BQ15-BQ27</f>
        <v>189145384.11000001</v>
      </c>
      <c r="BR12" s="34">
        <f t="shared" si="8"/>
        <v>168524099.04999998</v>
      </c>
      <c r="BS12" s="34">
        <f t="shared" si="8"/>
        <v>185314825</v>
      </c>
      <c r="BT12" s="34">
        <f t="shared" si="8"/>
        <v>190824311.70999998</v>
      </c>
      <c r="BU12" s="34">
        <f t="shared" si="8"/>
        <v>195521060.80999997</v>
      </c>
      <c r="BV12" s="34">
        <f t="shared" si="8"/>
        <v>190713109.35999998</v>
      </c>
      <c r="BW12" s="34">
        <f t="shared" si="8"/>
        <v>191920225.19999999</v>
      </c>
      <c r="BX12" s="34">
        <f t="shared" si="8"/>
        <v>187751290.44999999</v>
      </c>
      <c r="BY12" s="34">
        <f t="shared" si="8"/>
        <v>5642149.6500000004</v>
      </c>
      <c r="BZ12" s="34">
        <f t="shared" si="8"/>
        <v>203592495.56999999</v>
      </c>
      <c r="CA12" s="34">
        <f t="shared" si="8"/>
        <v>204183438.45999998</v>
      </c>
      <c r="CB12" s="34">
        <f t="shared" si="8"/>
        <v>209271668.66</v>
      </c>
      <c r="CC12" s="34">
        <f t="shared" si="8"/>
        <v>214564115.97999996</v>
      </c>
      <c r="CD12" s="34">
        <f t="shared" si="8"/>
        <v>196339669.84</v>
      </c>
      <c r="CE12" s="34">
        <f t="shared" si="8"/>
        <v>176925250.55000001</v>
      </c>
      <c r="CF12" s="34">
        <f t="shared" si="8"/>
        <v>215401868.62</v>
      </c>
      <c r="CG12" s="34"/>
      <c r="CH12" s="34"/>
    </row>
    <row r="13" spans="2:86">
      <c r="B13" s="32">
        <v>5.2</v>
      </c>
      <c r="C13" s="33" t="s">
        <v>185</v>
      </c>
      <c r="D13" s="35">
        <f>D15-D16</f>
        <v>7313333.2899999991</v>
      </c>
      <c r="E13" s="35">
        <f t="shared" ref="E13:I13" si="9">E15-E16</f>
        <v>39442005.5</v>
      </c>
      <c r="F13" s="35">
        <f t="shared" si="9"/>
        <v>53036819</v>
      </c>
      <c r="G13" s="35">
        <f t="shared" si="9"/>
        <v>21052567.979999997</v>
      </c>
      <c r="H13" s="35">
        <f t="shared" si="9"/>
        <v>20903920.25</v>
      </c>
      <c r="I13" s="35">
        <f t="shared" si="9"/>
        <v>20550274.339999996</v>
      </c>
      <c r="J13" s="35">
        <f t="shared" ref="J13:O13" si="10">J15-J16</f>
        <v>47528398.859999999</v>
      </c>
      <c r="K13" s="35">
        <f t="shared" si="10"/>
        <v>24855254.259999998</v>
      </c>
      <c r="L13" s="35">
        <f t="shared" si="10"/>
        <v>58351484.310000002</v>
      </c>
      <c r="M13" s="35">
        <f t="shared" si="10"/>
        <v>59470537.560000002</v>
      </c>
      <c r="N13" s="35">
        <f t="shared" si="10"/>
        <v>59672500.810000002</v>
      </c>
      <c r="O13" s="35">
        <f t="shared" si="10"/>
        <v>67785283.719999999</v>
      </c>
      <c r="P13" s="35">
        <f t="shared" ref="P13:S13" si="11">P15-P16</f>
        <v>67381757.980000004</v>
      </c>
      <c r="Q13" s="35">
        <f t="shared" si="11"/>
        <v>71873929.719999999</v>
      </c>
      <c r="R13" s="35">
        <f t="shared" si="11"/>
        <v>72036162.019999996</v>
      </c>
      <c r="S13" s="35">
        <f t="shared" si="11"/>
        <v>60199863.574806854</v>
      </c>
      <c r="T13" s="35">
        <f t="shared" ref="T13:Y13" si="12">T15-T16</f>
        <v>66593313.780000001</v>
      </c>
      <c r="U13" s="35">
        <f t="shared" si="12"/>
        <v>78604732.420000002</v>
      </c>
      <c r="V13" s="35">
        <f t="shared" si="12"/>
        <v>78751830.120000005</v>
      </c>
      <c r="W13" s="35">
        <f t="shared" si="12"/>
        <v>71153641.520000011</v>
      </c>
      <c r="X13" s="35">
        <f t="shared" si="12"/>
        <v>82330508.620000005</v>
      </c>
      <c r="Y13" s="35">
        <f t="shared" si="12"/>
        <v>79811969.020000011</v>
      </c>
      <c r="Z13" s="35">
        <f t="shared" ref="Z13:AO13" si="13">Z15-Z16</f>
        <v>82413725.520000011</v>
      </c>
      <c r="AA13" s="35">
        <f t="shared" si="13"/>
        <v>86917347.819999993</v>
      </c>
      <c r="AB13" s="35">
        <f t="shared" si="13"/>
        <v>89834570.920000002</v>
      </c>
      <c r="AC13" s="35">
        <f t="shared" si="13"/>
        <v>87912922.820000008</v>
      </c>
      <c r="AD13" s="35">
        <f t="shared" si="13"/>
        <v>86625026.280000016</v>
      </c>
      <c r="AE13" s="35">
        <f t="shared" si="13"/>
        <v>85837802.120000005</v>
      </c>
      <c r="AF13" s="35">
        <f t="shared" si="13"/>
        <v>83723406.019999996</v>
      </c>
      <c r="AG13" s="35">
        <f t="shared" si="13"/>
        <v>85432617.720000014</v>
      </c>
      <c r="AH13" s="35">
        <f t="shared" si="13"/>
        <v>86061984.420000002</v>
      </c>
      <c r="AI13" s="35">
        <f t="shared" si="13"/>
        <v>82175086.919999987</v>
      </c>
      <c r="AJ13" s="35">
        <f t="shared" si="13"/>
        <v>83012628.62000002</v>
      </c>
      <c r="AK13" s="35">
        <f t="shared" si="13"/>
        <v>85623340.420000002</v>
      </c>
      <c r="AL13" s="35">
        <f t="shared" si="13"/>
        <v>84539180.590000018</v>
      </c>
      <c r="AM13" s="35">
        <f t="shared" si="13"/>
        <v>86753297.590000004</v>
      </c>
      <c r="AN13" s="35">
        <f t="shared" si="13"/>
        <v>86806136.590000004</v>
      </c>
      <c r="AO13" s="35">
        <f t="shared" si="13"/>
        <v>90038312.689999998</v>
      </c>
      <c r="AP13" s="35">
        <f t="shared" ref="AP13:BR13" si="14">AP15-AP16</f>
        <v>68000820.800000012</v>
      </c>
      <c r="AQ13" s="35">
        <f t="shared" si="14"/>
        <v>73212124.300000012</v>
      </c>
      <c r="AR13" s="35">
        <f t="shared" si="14"/>
        <v>68426158</v>
      </c>
      <c r="AS13" s="35">
        <f t="shared" si="14"/>
        <v>70721116.900000006</v>
      </c>
      <c r="AT13" s="35">
        <f t="shared" si="14"/>
        <v>70191721.800000012</v>
      </c>
      <c r="AU13" s="35">
        <f t="shared" si="14"/>
        <v>74653003.700000003</v>
      </c>
      <c r="AV13" s="35">
        <f t="shared" si="14"/>
        <v>78525959.700000003</v>
      </c>
      <c r="AW13" s="35">
        <f t="shared" si="14"/>
        <v>85126631.990000024</v>
      </c>
      <c r="AX13" s="35">
        <f t="shared" si="14"/>
        <v>75284636.140000001</v>
      </c>
      <c r="AY13" s="35">
        <f t="shared" si="14"/>
        <v>78744699.239999995</v>
      </c>
      <c r="AZ13" s="35">
        <f t="shared" si="14"/>
        <v>78325066.540000007</v>
      </c>
      <c r="BA13" s="35">
        <f t="shared" si="14"/>
        <v>79716872.239999995</v>
      </c>
      <c r="BB13" s="35">
        <f t="shared" si="14"/>
        <v>79716872.239999995</v>
      </c>
      <c r="BC13" s="35">
        <f t="shared" si="14"/>
        <v>84381396.839999989</v>
      </c>
      <c r="BD13" s="35">
        <f t="shared" si="14"/>
        <v>77701042.750000015</v>
      </c>
      <c r="BE13" s="35">
        <f t="shared" si="14"/>
        <v>85568098.300000012</v>
      </c>
      <c r="BF13" s="35">
        <f t="shared" si="14"/>
        <v>84031012.74000001</v>
      </c>
      <c r="BG13" s="35">
        <f t="shared" si="14"/>
        <v>98834072.24000001</v>
      </c>
      <c r="BH13" s="35">
        <f t="shared" si="14"/>
        <v>86310630.340000033</v>
      </c>
      <c r="BI13" s="35">
        <f t="shared" si="14"/>
        <v>84872377.840000033</v>
      </c>
      <c r="BJ13" s="35">
        <f t="shared" si="14"/>
        <v>85445394.620000005</v>
      </c>
      <c r="BK13" s="35">
        <f t="shared" si="14"/>
        <v>86226246.00999999</v>
      </c>
      <c r="BL13" s="35">
        <f t="shared" si="14"/>
        <v>83667772.300000012</v>
      </c>
      <c r="BM13" s="35">
        <f t="shared" si="14"/>
        <v>87146582.200000018</v>
      </c>
      <c r="BN13" s="35">
        <f t="shared" si="14"/>
        <v>97619559.400000006</v>
      </c>
      <c r="BO13" s="35">
        <f t="shared" si="14"/>
        <v>94993362.999999985</v>
      </c>
      <c r="BP13" s="35">
        <f t="shared" si="14"/>
        <v>96525965.250000015</v>
      </c>
      <c r="BQ13" s="35">
        <f t="shared" si="14"/>
        <v>96094589.400000021</v>
      </c>
      <c r="BR13" s="35">
        <f t="shared" si="14"/>
        <v>89896188.949999973</v>
      </c>
      <c r="BS13" s="35">
        <f t="shared" ref="BS13:BT13" si="15">BS15-BS16</f>
        <v>92244000.299999997</v>
      </c>
      <c r="BT13" s="35">
        <f t="shared" si="15"/>
        <v>95019797.999999985</v>
      </c>
      <c r="BU13" s="35">
        <f t="shared" ref="BU13:CE13" si="16">BU15-BU16</f>
        <v>101769592.09999998</v>
      </c>
      <c r="BV13" s="35">
        <f t="shared" si="16"/>
        <v>97472720.649999991</v>
      </c>
      <c r="BW13" s="35">
        <f t="shared" si="16"/>
        <v>98695108.599999994</v>
      </c>
      <c r="BX13" s="35">
        <f t="shared" si="16"/>
        <v>94524673.849999994</v>
      </c>
      <c r="BY13" s="35">
        <f t="shared" si="16"/>
        <v>5642149.6500000004</v>
      </c>
      <c r="BZ13" s="35">
        <f t="shared" si="16"/>
        <v>110405348.97</v>
      </c>
      <c r="CA13" s="35">
        <f t="shared" si="16"/>
        <v>111002561.85999998</v>
      </c>
      <c r="CB13" s="35">
        <f t="shared" si="16"/>
        <v>116089937.06</v>
      </c>
      <c r="CC13" s="35">
        <f t="shared" si="16"/>
        <v>121431384.37999997</v>
      </c>
      <c r="CD13" s="35">
        <f t="shared" si="16"/>
        <v>103206938.24000001</v>
      </c>
      <c r="CE13" s="35">
        <f t="shared" si="16"/>
        <v>98235436.550000012</v>
      </c>
      <c r="CF13" s="35">
        <f t="shared" ref="CF13" si="17">CF15-CF16</f>
        <v>119293474.62</v>
      </c>
      <c r="CG13" s="35"/>
      <c r="CH13" s="35"/>
    </row>
    <row r="14" spans="2:86">
      <c r="B14" s="36"/>
      <c r="C14" s="19"/>
      <c r="D14" s="18"/>
    </row>
    <row r="15" spans="2:86">
      <c r="B15" s="32">
        <v>5.3</v>
      </c>
      <c r="C15" s="33" t="s">
        <v>186</v>
      </c>
      <c r="D15" s="37">
        <f>SUM(D16:D20)</f>
        <v>12431333.289999999</v>
      </c>
      <c r="E15" s="37">
        <f t="shared" ref="E15:I15" si="18">SUM(E16:E20)</f>
        <v>70214495.189999998</v>
      </c>
      <c r="F15" s="37">
        <f t="shared" si="18"/>
        <v>84979038</v>
      </c>
      <c r="G15" s="37">
        <f t="shared" si="18"/>
        <v>55863956.979999997</v>
      </c>
      <c r="H15" s="37">
        <f t="shared" si="18"/>
        <v>55715309.25</v>
      </c>
      <c r="I15" s="37">
        <f t="shared" si="18"/>
        <v>55361663.339999996</v>
      </c>
      <c r="J15" s="37">
        <f t="shared" ref="J15:O15" si="19">SUM(J16:J20)</f>
        <v>82339787.859999999</v>
      </c>
      <c r="K15" s="37">
        <f t="shared" si="19"/>
        <v>59666643.259999998</v>
      </c>
      <c r="L15" s="37">
        <f t="shared" si="19"/>
        <v>93880087</v>
      </c>
      <c r="M15" s="37">
        <f t="shared" si="19"/>
        <v>94999140.25</v>
      </c>
      <c r="N15" s="37">
        <f t="shared" si="19"/>
        <v>95201103.5</v>
      </c>
      <c r="O15" s="37">
        <f t="shared" si="19"/>
        <v>100660206.41</v>
      </c>
      <c r="P15" s="37">
        <f t="shared" ref="P15:S15" si="20">SUM(P16:P20)</f>
        <v>100350768.67</v>
      </c>
      <c r="Q15" s="37">
        <f t="shared" si="20"/>
        <v>104959739.41</v>
      </c>
      <c r="R15" s="37">
        <f t="shared" si="20"/>
        <v>105252038.70999999</v>
      </c>
      <c r="S15" s="37">
        <f t="shared" si="20"/>
        <v>93415740.574806854</v>
      </c>
      <c r="T15" s="37">
        <f t="shared" ref="T15:Y15" si="21">SUM(T16:T20)</f>
        <v>100053256.47</v>
      </c>
      <c r="U15" s="37">
        <f t="shared" si="21"/>
        <v>112279842.11</v>
      </c>
      <c r="V15" s="37">
        <f t="shared" si="21"/>
        <v>112584639.81</v>
      </c>
      <c r="W15" s="37">
        <f t="shared" si="21"/>
        <v>104974451.21000001</v>
      </c>
      <c r="X15" s="37">
        <f t="shared" si="21"/>
        <v>161730334.62</v>
      </c>
      <c r="Y15" s="37">
        <f t="shared" si="21"/>
        <v>159213835.02000001</v>
      </c>
      <c r="Z15" s="37">
        <f t="shared" ref="Z15:AO15" si="22">SUM(Z16:Z20)</f>
        <v>163300171.02000001</v>
      </c>
      <c r="AA15" s="37">
        <f t="shared" si="22"/>
        <v>167814783.31999999</v>
      </c>
      <c r="AB15" s="37">
        <f t="shared" si="22"/>
        <v>170812546.72</v>
      </c>
      <c r="AC15" s="37">
        <f t="shared" si="22"/>
        <v>168961625.02000001</v>
      </c>
      <c r="AD15" s="37">
        <f t="shared" si="22"/>
        <v>167757610.98000002</v>
      </c>
      <c r="AE15" s="37">
        <f t="shared" si="22"/>
        <v>166971538.22</v>
      </c>
      <c r="AF15" s="37">
        <f t="shared" si="22"/>
        <v>165000481.72</v>
      </c>
      <c r="AG15" s="37">
        <f t="shared" si="22"/>
        <v>166777225.52000001</v>
      </c>
      <c r="AH15" s="37">
        <f t="shared" si="22"/>
        <v>167484539.22</v>
      </c>
      <c r="AI15" s="37">
        <f t="shared" si="22"/>
        <v>163743714.63999999</v>
      </c>
      <c r="AJ15" s="37">
        <f t="shared" si="22"/>
        <v>164612692.54000002</v>
      </c>
      <c r="AK15" s="37">
        <f t="shared" si="22"/>
        <v>167239564.34</v>
      </c>
      <c r="AL15" s="37">
        <f t="shared" si="22"/>
        <v>166187404.51000002</v>
      </c>
      <c r="AM15" s="37">
        <f t="shared" si="22"/>
        <v>168431066.81</v>
      </c>
      <c r="AN15" s="37">
        <f t="shared" si="22"/>
        <v>168449619.81</v>
      </c>
      <c r="AO15" s="37">
        <f t="shared" si="22"/>
        <v>171704215.91</v>
      </c>
      <c r="AP15" s="37">
        <f t="shared" ref="AP15:CE15" si="23">SUM(AP16:AP20)</f>
        <v>149690016.62</v>
      </c>
      <c r="AQ15" s="37">
        <f t="shared" si="23"/>
        <v>154944801.12</v>
      </c>
      <c r="AR15" s="37">
        <f t="shared" si="23"/>
        <v>150158834</v>
      </c>
      <c r="AS15" s="37">
        <f t="shared" si="23"/>
        <v>152448708.72</v>
      </c>
      <c r="AT15" s="37">
        <f t="shared" si="23"/>
        <v>151893293.62</v>
      </c>
      <c r="AU15" s="37">
        <f t="shared" si="23"/>
        <v>156350129.62</v>
      </c>
      <c r="AV15" s="37">
        <f t="shared" si="23"/>
        <v>160257125.62</v>
      </c>
      <c r="AW15" s="37">
        <f t="shared" si="23"/>
        <v>166757477.91000003</v>
      </c>
      <c r="AX15" s="37">
        <f t="shared" si="23"/>
        <v>156997052.06</v>
      </c>
      <c r="AY15" s="37">
        <f t="shared" si="23"/>
        <v>160479675.16</v>
      </c>
      <c r="AZ15" s="37">
        <f t="shared" si="23"/>
        <v>160081132.46000001</v>
      </c>
      <c r="BA15" s="37">
        <f t="shared" si="23"/>
        <v>168420870.25999999</v>
      </c>
      <c r="BB15" s="37">
        <f t="shared" si="23"/>
        <v>168420870.25999999</v>
      </c>
      <c r="BC15" s="37">
        <f t="shared" si="23"/>
        <v>175449511.04999998</v>
      </c>
      <c r="BD15" s="37">
        <f t="shared" si="23"/>
        <v>169064057.96000001</v>
      </c>
      <c r="BE15" s="37">
        <f t="shared" si="23"/>
        <v>176931113.30000001</v>
      </c>
      <c r="BF15" s="37">
        <f t="shared" si="23"/>
        <v>175811635.55000001</v>
      </c>
      <c r="BG15" s="37">
        <f t="shared" si="23"/>
        <v>190853999.05000001</v>
      </c>
      <c r="BH15" s="37">
        <f t="shared" si="23"/>
        <v>178564876.25000003</v>
      </c>
      <c r="BI15" s="37">
        <f t="shared" si="23"/>
        <v>177358402.25000003</v>
      </c>
      <c r="BJ15" s="37">
        <f t="shared" si="23"/>
        <v>178157058.03</v>
      </c>
      <c r="BK15" s="37">
        <f t="shared" si="23"/>
        <v>179070566.41999999</v>
      </c>
      <c r="BL15" s="37">
        <f t="shared" si="23"/>
        <v>175954936.61000001</v>
      </c>
      <c r="BM15" s="37">
        <f t="shared" si="23"/>
        <v>179612272.51000002</v>
      </c>
      <c r="BN15" s="37">
        <f t="shared" si="23"/>
        <v>190224333.21000001</v>
      </c>
      <c r="BO15" s="37">
        <f t="shared" si="23"/>
        <v>187717472.60999998</v>
      </c>
      <c r="BP15" s="37">
        <f t="shared" si="23"/>
        <v>189412378.96000001</v>
      </c>
      <c r="BQ15" s="37">
        <f t="shared" si="23"/>
        <v>189145384.11000001</v>
      </c>
      <c r="BR15" s="37">
        <f t="shared" si="23"/>
        <v>182967013.64999998</v>
      </c>
      <c r="BS15" s="37">
        <f t="shared" si="23"/>
        <v>185314825</v>
      </c>
      <c r="BT15" s="37">
        <f t="shared" si="23"/>
        <v>190824311.70999998</v>
      </c>
      <c r="BU15" s="37">
        <f t="shared" si="23"/>
        <v>195521060.80999997</v>
      </c>
      <c r="BV15" s="37">
        <f t="shared" si="23"/>
        <v>190713109.35999998</v>
      </c>
      <c r="BW15" s="37">
        <f t="shared" si="23"/>
        <v>191920225.19999999</v>
      </c>
      <c r="BX15" s="37">
        <f t="shared" si="23"/>
        <v>187751290.44999999</v>
      </c>
      <c r="BY15" s="37">
        <f t="shared" si="23"/>
        <v>5642149.6500000004</v>
      </c>
      <c r="BZ15" s="37">
        <f t="shared" si="23"/>
        <v>203592495.56999999</v>
      </c>
      <c r="CA15" s="37">
        <f t="shared" si="23"/>
        <v>204183438.45999998</v>
      </c>
      <c r="CB15" s="37">
        <f t="shared" si="23"/>
        <v>209271668.66</v>
      </c>
      <c r="CC15" s="37">
        <f t="shared" si="23"/>
        <v>214564115.97999996</v>
      </c>
      <c r="CD15" s="37">
        <f t="shared" si="23"/>
        <v>196339669.84</v>
      </c>
      <c r="CE15" s="37">
        <f t="shared" si="23"/>
        <v>191368168.15000001</v>
      </c>
      <c r="CF15" s="37">
        <f t="shared" ref="CF15" si="24">SUM(CF16:CF20)</f>
        <v>215489396.62</v>
      </c>
      <c r="CG15" s="37"/>
      <c r="CH15" s="37"/>
    </row>
    <row r="16" spans="2:86">
      <c r="B16" s="32" t="s">
        <v>187</v>
      </c>
      <c r="C16" s="38" t="s">
        <v>188</v>
      </c>
      <c r="D16" s="28">
        <f>SFP!C45</f>
        <v>5118000</v>
      </c>
      <c r="E16" s="28">
        <f>SFP!D45</f>
        <v>30772489.690000001</v>
      </c>
      <c r="F16" s="28">
        <f>SFP!E45</f>
        <v>31942219</v>
      </c>
      <c r="G16" s="28">
        <f>SFP!F45</f>
        <v>34811389</v>
      </c>
      <c r="H16" s="28">
        <f>SFP!G45</f>
        <v>34811389</v>
      </c>
      <c r="I16" s="28">
        <f>SFP!H45</f>
        <v>34811389</v>
      </c>
      <c r="J16" s="28">
        <f>SFP!I45</f>
        <v>34811389</v>
      </c>
      <c r="K16" s="28">
        <f>SFP!J45</f>
        <v>34811389</v>
      </c>
      <c r="L16" s="28">
        <f>SFP!K45</f>
        <v>35528602.689999998</v>
      </c>
      <c r="M16" s="28">
        <f>SFP!L45</f>
        <v>35528602.689999998</v>
      </c>
      <c r="N16" s="28">
        <f>SFP!M45</f>
        <v>35528602.689999998</v>
      </c>
      <c r="O16" s="28">
        <f>SFP!N45</f>
        <v>32874922.690000001</v>
      </c>
      <c r="P16" s="28">
        <f>SFP!O45</f>
        <v>32969010.690000001</v>
      </c>
      <c r="Q16" s="28">
        <f>SFP!P45</f>
        <v>33085809.690000001</v>
      </c>
      <c r="R16" s="28">
        <f>SFP!Q45</f>
        <v>33215876.690000001</v>
      </c>
      <c r="S16" s="28">
        <f>SFP!R45</f>
        <v>33215877</v>
      </c>
      <c r="T16" s="28">
        <f>SFP!S45</f>
        <v>33459942.690000001</v>
      </c>
      <c r="U16" s="28">
        <f>SFP!T45</f>
        <v>33675109.689999998</v>
      </c>
      <c r="V16" s="28">
        <f>SFP!U45</f>
        <v>33832809.689999998</v>
      </c>
      <c r="W16" s="28">
        <f>SFP!V45</f>
        <v>33820809.689999998</v>
      </c>
      <c r="X16" s="28">
        <f>SFP!W45</f>
        <v>79399826</v>
      </c>
      <c r="Y16" s="28">
        <f>SFP!X45</f>
        <v>79401866</v>
      </c>
      <c r="Z16" s="28">
        <f>SFP!Y45</f>
        <v>80886445.5</v>
      </c>
      <c r="AA16" s="28">
        <f>SFP!Z45</f>
        <v>80897435.5</v>
      </c>
      <c r="AB16" s="28">
        <f>SFP!AA45</f>
        <v>80977975.799999997</v>
      </c>
      <c r="AC16" s="28">
        <f>SFP!AB45</f>
        <v>81048702.200000003</v>
      </c>
      <c r="AD16" s="28">
        <f>SFP!AC45</f>
        <v>81132584.700000003</v>
      </c>
      <c r="AE16" s="28">
        <f>SFP!AD45</f>
        <v>81133736.099999994</v>
      </c>
      <c r="AF16" s="28">
        <f>SFP!AE45</f>
        <v>81277075.700000003</v>
      </c>
      <c r="AG16" s="28">
        <f>SFP!AF45</f>
        <v>81344607.799999997</v>
      </c>
      <c r="AH16" s="28">
        <f>SFP!AG45</f>
        <v>81422554.799999997</v>
      </c>
      <c r="AI16" s="28">
        <f>SFP!AH45</f>
        <v>81568627.719999999</v>
      </c>
      <c r="AJ16" s="28">
        <f>SFP!AI45</f>
        <v>81600063.920000002</v>
      </c>
      <c r="AK16" s="28">
        <f>SFP!AJ45</f>
        <v>81616223.920000002</v>
      </c>
      <c r="AL16" s="28">
        <f>SFP!AK45</f>
        <v>81648223.920000002</v>
      </c>
      <c r="AM16" s="28">
        <f>SFP!AL45</f>
        <v>81677769.219999999</v>
      </c>
      <c r="AN16" s="28">
        <f>SFP!AM45</f>
        <v>81643483.219999999</v>
      </c>
      <c r="AO16" s="28">
        <f>SFP!AN45</f>
        <v>81665903.219999999</v>
      </c>
      <c r="AP16" s="28">
        <f>SFP!AO45</f>
        <v>81689195.819999993</v>
      </c>
      <c r="AQ16" s="28">
        <f>SFP!AP45</f>
        <v>81732676.819999993</v>
      </c>
      <c r="AR16" s="28">
        <f>SFP!AQ45</f>
        <v>81732676</v>
      </c>
      <c r="AS16" s="28">
        <f>SFP!AR45</f>
        <v>81727591.819999993</v>
      </c>
      <c r="AT16" s="28">
        <f>SFP!AS45</f>
        <v>81701571.819999993</v>
      </c>
      <c r="AU16" s="28">
        <f>SFP!AT45</f>
        <v>81697125.920000002</v>
      </c>
      <c r="AV16" s="28">
        <f>SFP!AU45</f>
        <v>81731165.920000002</v>
      </c>
      <c r="AW16" s="28">
        <f>SFP!AV45</f>
        <v>81630845.920000002</v>
      </c>
      <c r="AX16" s="28">
        <f>SFP!AW45</f>
        <v>81712415.920000002</v>
      </c>
      <c r="AY16" s="28">
        <f>SFP!AX45</f>
        <v>81734975.920000002</v>
      </c>
      <c r="AZ16" s="28">
        <f>SFP!AY45</f>
        <v>81756065.920000002</v>
      </c>
      <c r="BA16" s="28">
        <f>SFP!AZ45</f>
        <v>88703998.019999996</v>
      </c>
      <c r="BB16" s="28">
        <f>SFP!BA45</f>
        <v>88703998.019999996</v>
      </c>
      <c r="BC16" s="28">
        <f>SFP!BB45</f>
        <v>91068114.209999993</v>
      </c>
      <c r="BD16" s="28">
        <f>SFP!BC45</f>
        <v>91363015.209999993</v>
      </c>
      <c r="BE16" s="28">
        <f>SFP!BD45</f>
        <v>91363015</v>
      </c>
      <c r="BF16" s="28">
        <f>SFP!BE45</f>
        <v>91780622.810000002</v>
      </c>
      <c r="BG16" s="28">
        <f>SFP!BF45</f>
        <v>92019926.810000002</v>
      </c>
      <c r="BH16" s="28">
        <f>SFP!BG45</f>
        <v>92254245.909999996</v>
      </c>
      <c r="BI16" s="28">
        <f>SFP!BH45</f>
        <v>92486024.409999996</v>
      </c>
      <c r="BJ16" s="28">
        <f>SFP!BI45</f>
        <v>92711663.409999996</v>
      </c>
      <c r="BK16" s="28">
        <f>SFP!BJ45</f>
        <v>92844320.409999996</v>
      </c>
      <c r="BL16" s="28">
        <f>SFP!BK45</f>
        <v>92287164.310000002</v>
      </c>
      <c r="BM16" s="28">
        <f>SFP!BL45</f>
        <v>92465690.310000002</v>
      </c>
      <c r="BN16" s="28">
        <f>SFP!BM45</f>
        <v>92604773.810000002</v>
      </c>
      <c r="BO16" s="28">
        <f>SFP!BN45</f>
        <v>92724109.609999999</v>
      </c>
      <c r="BP16" s="28">
        <f>SFP!BO45</f>
        <v>92886413.709999993</v>
      </c>
      <c r="BQ16" s="28">
        <f>SFP!BP45</f>
        <v>93050794.709999993</v>
      </c>
      <c r="BR16" s="28">
        <f>SFP!BQ45</f>
        <v>93070824.700000003</v>
      </c>
      <c r="BS16" s="28">
        <f>SFP!BR45</f>
        <v>93070824.700000003</v>
      </c>
      <c r="BT16" s="28">
        <f>SFP!BS45</f>
        <v>95804513.709999993</v>
      </c>
      <c r="BU16" s="28">
        <f>SFP!BT45</f>
        <v>93751468.709999993</v>
      </c>
      <c r="BV16" s="28">
        <f>SFP!BU45</f>
        <v>93240388.709999993</v>
      </c>
      <c r="BW16" s="28">
        <f>SFP!BV45</f>
        <v>93225116.599999994</v>
      </c>
      <c r="BX16" s="28">
        <f>SFP!BW45</f>
        <v>93226616.599999994</v>
      </c>
      <c r="BY16" s="28">
        <f>SFP!BX45</f>
        <v>0</v>
      </c>
      <c r="BZ16" s="28">
        <f>SFP!BY45</f>
        <v>93187146.599999994</v>
      </c>
      <c r="CA16" s="28">
        <f>SFP!BZ45</f>
        <v>93180876.599999994</v>
      </c>
      <c r="CB16" s="28">
        <f>SFP!CA45</f>
        <v>93181731.599999994</v>
      </c>
      <c r="CC16" s="28">
        <f>SFP!CB45</f>
        <v>93132731.599999994</v>
      </c>
      <c r="CD16" s="28">
        <f>SFP!CC45</f>
        <v>93132731.599999994</v>
      </c>
      <c r="CE16" s="28">
        <f>SFP!CD45</f>
        <v>93132731.599999994</v>
      </c>
      <c r="CF16" s="28">
        <f>SFP!CE45</f>
        <v>96195922</v>
      </c>
      <c r="CG16" s="28"/>
      <c r="CH16" s="28"/>
    </row>
    <row r="17" spans="2:87">
      <c r="B17" s="32" t="s">
        <v>189</v>
      </c>
      <c r="C17" s="39" t="s">
        <v>190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2:87">
      <c r="B18" s="32" t="s">
        <v>191</v>
      </c>
      <c r="C18" s="30" t="s">
        <v>57</v>
      </c>
      <c r="D18" s="28">
        <f>SFP!C47</f>
        <v>0</v>
      </c>
      <c r="E18" s="28">
        <f>SFP!D47</f>
        <v>28882818.399999999</v>
      </c>
      <c r="F18" s="28">
        <f>SFP!E47</f>
        <v>37860904</v>
      </c>
      <c r="G18" s="93">
        <f>SFP!F47</f>
        <v>83273.8</v>
      </c>
      <c r="H18" s="93">
        <f>SFP!G47</f>
        <v>-390773.93</v>
      </c>
      <c r="I18" s="93">
        <f>SFP!H47</f>
        <v>-1112049.8400000001</v>
      </c>
      <c r="J18" s="93">
        <f>SFP!I47</f>
        <v>22673144.600000001</v>
      </c>
      <c r="K18" s="93">
        <f>SFP!J47</f>
        <v>0</v>
      </c>
      <c r="L18" s="93">
        <f>SFP!K47</f>
        <v>32556188.5</v>
      </c>
      <c r="M18" s="93">
        <f>SFP!L47</f>
        <v>33228737.100000001</v>
      </c>
      <c r="N18" s="93">
        <f>SFP!M47</f>
        <v>32904078.899999999</v>
      </c>
      <c r="O18" s="93">
        <f>SFP!N47</f>
        <v>36485189.5</v>
      </c>
      <c r="P18" s="93">
        <f>SFP!O47</f>
        <v>36065149.759999998</v>
      </c>
      <c r="Q18" s="93">
        <f>SFP!P47</f>
        <v>39968970.5</v>
      </c>
      <c r="R18" s="93">
        <f>SFP!Q47</f>
        <v>39866702.799999997</v>
      </c>
      <c r="S18" s="93">
        <f>SFP!R47</f>
        <v>43591339.25984548</v>
      </c>
      <c r="T18" s="93">
        <f>SFP!S47</f>
        <v>33817732.559999995</v>
      </c>
      <c r="U18" s="93">
        <f>SFP!T47</f>
        <v>43826154.299999997</v>
      </c>
      <c r="V18" s="93">
        <f>SFP!U47</f>
        <v>45326725</v>
      </c>
      <c r="W18" s="93">
        <f>SFP!V47</f>
        <v>39913839.899999999</v>
      </c>
      <c r="X18" s="93">
        <f>SFP!W47</f>
        <v>45306800</v>
      </c>
      <c r="Y18" s="93">
        <f>SFP!X47</f>
        <v>42403339.399999999</v>
      </c>
      <c r="Z18" s="93">
        <f>SFP!Y47</f>
        <v>44630485.899999999</v>
      </c>
      <c r="AA18" s="93">
        <f>SFP!Z47</f>
        <v>48838521.200000003</v>
      </c>
      <c r="AB18" s="93">
        <f>SFP!AA47</f>
        <v>51482684.299999997</v>
      </c>
      <c r="AC18" s="93">
        <f>SFP!AB47</f>
        <v>49135096.200000003</v>
      </c>
      <c r="AD18" s="93">
        <f>SFP!AC47</f>
        <v>47567769.659999996</v>
      </c>
      <c r="AE18" s="93">
        <f>SFP!AD47</f>
        <v>50549921.5</v>
      </c>
      <c r="AF18" s="93">
        <f>SFP!AE47</f>
        <v>44005110.399999999</v>
      </c>
      <c r="AG18" s="93">
        <f>SFP!AF47</f>
        <v>45377892.100000001</v>
      </c>
      <c r="AH18" s="93">
        <f>SFP!AG47</f>
        <v>45555616.799999997</v>
      </c>
      <c r="AI18" s="93">
        <f>SFP!AH47</f>
        <v>45123598.299999997</v>
      </c>
      <c r="AJ18" s="93">
        <f>SFP!AI47</f>
        <v>45407279</v>
      </c>
      <c r="AK18" s="93">
        <f>SFP!AJ47</f>
        <v>47678429.799999997</v>
      </c>
      <c r="AL18" s="93">
        <f>SFP!AK47</f>
        <v>46642196.5</v>
      </c>
      <c r="AM18" s="93">
        <f>SFP!AL47</f>
        <v>48853913.5</v>
      </c>
      <c r="AN18" s="93">
        <f>SFP!AM47</f>
        <v>48384284.5</v>
      </c>
      <c r="AO18" s="93">
        <f>SFP!AN47</f>
        <v>50628050.399999999</v>
      </c>
      <c r="AP18" s="93">
        <f>SFP!AO47</f>
        <v>52543201.799999997</v>
      </c>
      <c r="AQ18" s="93">
        <f>SFP!AP47</f>
        <v>56641730.299999997</v>
      </c>
      <c r="AR18" s="93">
        <f>SFP!AQ47</f>
        <v>44478898</v>
      </c>
      <c r="AS18" s="93">
        <f>SFP!AR47</f>
        <v>51678787.899999999</v>
      </c>
      <c r="AT18" s="93">
        <f>SFP!AS47</f>
        <v>50593136.799999997</v>
      </c>
      <c r="AU18" s="93">
        <f>SFP!AT47</f>
        <v>53575913.100000001</v>
      </c>
      <c r="AV18" s="93">
        <f>SFP!AU47</f>
        <v>56990987.100000001</v>
      </c>
      <c r="AW18" s="93">
        <f>SFP!AV47</f>
        <v>57354722</v>
      </c>
      <c r="AX18" s="93">
        <f>SFP!AW47</f>
        <v>56525187.799999997</v>
      </c>
      <c r="AY18" s="93">
        <f>SFP!AX47</f>
        <v>58777390.899999999</v>
      </c>
      <c r="AZ18" s="93">
        <f>SFP!AY47</f>
        <v>58009238.200000003</v>
      </c>
      <c r="BA18" s="93">
        <f>SFP!AZ47</f>
        <v>58802023.899999999</v>
      </c>
      <c r="BB18" s="93">
        <f>SFP!BA47</f>
        <v>58802023.899999999</v>
      </c>
      <c r="BC18" s="93">
        <f>SFP!BB47</f>
        <v>62361602.5</v>
      </c>
      <c r="BD18" s="93">
        <f>SFP!BC47</f>
        <v>55062869.409999996</v>
      </c>
      <c r="BE18" s="93">
        <f>SFP!BD47</f>
        <v>57208618.799999997</v>
      </c>
      <c r="BF18" s="93">
        <f>SFP!BE47</f>
        <v>58488619.200000003</v>
      </c>
      <c r="BG18" s="93">
        <f>SFP!BF47</f>
        <v>68891791.700000003</v>
      </c>
      <c r="BH18" s="93">
        <f>SFP!BG47</f>
        <v>65349628.300000004</v>
      </c>
      <c r="BI18" s="93">
        <f>SFP!BH47</f>
        <v>63911375.800000004</v>
      </c>
      <c r="BJ18" s="93">
        <f>SFP!BI47</f>
        <v>64437624.719999999</v>
      </c>
      <c r="BK18" s="93">
        <f>SFP!BJ47</f>
        <v>69967085.109999999</v>
      </c>
      <c r="BL18" s="93">
        <f>SFP!BK47</f>
        <v>66848461.400000006</v>
      </c>
      <c r="BM18" s="93">
        <f>SFP!BL47</f>
        <v>69810051.299999997</v>
      </c>
      <c r="BN18" s="93">
        <f>SFP!BM47</f>
        <v>75981962.5</v>
      </c>
      <c r="BO18" s="93">
        <f>SFP!BN47</f>
        <v>76519892.099999994</v>
      </c>
      <c r="BP18" s="93">
        <f>SFP!BO47</f>
        <v>77596341.599999994</v>
      </c>
      <c r="BQ18" s="93">
        <f>SFP!BP47</f>
        <v>70974779.400000006</v>
      </c>
      <c r="BR18" s="93">
        <f>SFP!BQ47</f>
        <v>64912350.649999991</v>
      </c>
      <c r="BS18" s="93">
        <f>SFP!BR47</f>
        <v>70213537.450000003</v>
      </c>
      <c r="BT18" s="93">
        <f>SFP!BS47</f>
        <v>72797256.950000003</v>
      </c>
      <c r="BU18" s="93">
        <f>SFP!BT47</f>
        <v>75142525.049999997</v>
      </c>
      <c r="BV18" s="93">
        <f>SFP!BU47</f>
        <v>74831469.950000003</v>
      </c>
      <c r="BW18" s="93">
        <f>SFP!BV47</f>
        <v>75485321.25</v>
      </c>
      <c r="BX18" s="93">
        <f>SFP!BW47</f>
        <v>76144772.150000006</v>
      </c>
      <c r="BY18" s="93">
        <f>SFP!BX47</f>
        <v>0</v>
      </c>
      <c r="BZ18" s="93">
        <f>SFP!BY47</f>
        <v>82083370.719999999</v>
      </c>
      <c r="CA18" s="93">
        <f>SFP!BZ47</f>
        <v>89365354.549999997</v>
      </c>
      <c r="CB18" s="93">
        <f>SFP!CA47</f>
        <v>93771639.75</v>
      </c>
      <c r="CC18" s="93">
        <f>SFP!CB47</f>
        <v>96454876.229999989</v>
      </c>
      <c r="CD18" s="93">
        <f>SFP!CC47</f>
        <v>75741865.450000003</v>
      </c>
      <c r="CE18" s="93">
        <f>SFP!CD47</f>
        <v>73559797.200000003</v>
      </c>
      <c r="CF18" s="93">
        <f>SFP!CE47</f>
        <v>87861275</v>
      </c>
      <c r="CG18" s="93"/>
      <c r="CH18" s="93"/>
      <c r="CI18" s="93"/>
    </row>
    <row r="19" spans="2:87">
      <c r="B19" s="32" t="s">
        <v>192</v>
      </c>
      <c r="C19" s="30" t="s">
        <v>193</v>
      </c>
      <c r="D19" s="31">
        <f>SFP!C51</f>
        <v>3504457.29</v>
      </c>
      <c r="E19" s="31">
        <f>SFP!D51</f>
        <v>6750311.0999999996</v>
      </c>
      <c r="F19" s="31">
        <f>SFP!E51</f>
        <v>11367039</v>
      </c>
      <c r="G19" s="31">
        <f>SFP!F51</f>
        <v>8587761.9199999999</v>
      </c>
      <c r="H19" s="31">
        <f>SFP!G51</f>
        <v>8587761.9199999999</v>
      </c>
      <c r="I19" s="31">
        <f>SFP!H51</f>
        <v>8587761.9199999999</v>
      </c>
      <c r="J19" s="31">
        <f>SFP!I51</f>
        <v>11367039</v>
      </c>
      <c r="K19" s="31">
        <f>SFP!J51</f>
        <v>11367039</v>
      </c>
      <c r="L19" s="31">
        <f>SFP!K51</f>
        <v>11367039</v>
      </c>
      <c r="M19" s="31">
        <f>SFP!L51</f>
        <v>11367039</v>
      </c>
      <c r="N19" s="31">
        <f>SFP!M51</f>
        <v>11367039</v>
      </c>
      <c r="O19" s="31">
        <f>SFP!N51</f>
        <v>11367039</v>
      </c>
      <c r="P19" s="31">
        <f>SFP!O51</f>
        <v>11367039</v>
      </c>
      <c r="Q19" s="31">
        <f>SFP!P51</f>
        <v>11367039</v>
      </c>
      <c r="R19" s="31">
        <f>SFP!Q51</f>
        <v>11367039</v>
      </c>
      <c r="S19" s="31">
        <f>SFP!R51</f>
        <v>12799648.314961368</v>
      </c>
      <c r="T19" s="31">
        <f>SFP!S51</f>
        <v>11367039</v>
      </c>
      <c r="U19" s="31">
        <f>SFP!T51</f>
        <v>12799648</v>
      </c>
      <c r="V19" s="31">
        <f>SFP!U51</f>
        <v>11367039</v>
      </c>
      <c r="W19" s="31">
        <f>SFP!V51</f>
        <v>11367039</v>
      </c>
      <c r="X19" s="31">
        <f>SFP!W51</f>
        <v>12799648</v>
      </c>
      <c r="Y19" s="31">
        <f>SFP!X51</f>
        <v>12799648</v>
      </c>
      <c r="Z19" s="31">
        <f>SFP!Y51</f>
        <v>12799648</v>
      </c>
      <c r="AA19" s="31">
        <f>SFP!Z51</f>
        <v>12799648</v>
      </c>
      <c r="AB19" s="31">
        <f>SFP!AA51</f>
        <v>12799648</v>
      </c>
      <c r="AC19" s="31">
        <f>SFP!AB51</f>
        <v>12799648</v>
      </c>
      <c r="AD19" s="31">
        <f>SFP!AC51</f>
        <v>12799648</v>
      </c>
      <c r="AE19" s="31">
        <f>SFP!AD51</f>
        <v>12799648</v>
      </c>
      <c r="AF19" s="31">
        <f>SFP!AE51</f>
        <v>12799648</v>
      </c>
      <c r="AG19" s="31">
        <f>SFP!AF51</f>
        <v>12799648</v>
      </c>
      <c r="AH19" s="31">
        <f>SFP!AG51</f>
        <v>12897894</v>
      </c>
      <c r="AI19" s="31">
        <f>SFP!AH51</f>
        <v>12897894</v>
      </c>
      <c r="AJ19" s="31">
        <f>SFP!AI51</f>
        <v>12897894</v>
      </c>
      <c r="AK19" s="31">
        <f>SFP!AJ51</f>
        <v>12897894</v>
      </c>
      <c r="AL19" s="31">
        <f>SFP!AK51</f>
        <v>12897894</v>
      </c>
      <c r="AM19" s="31">
        <f>SFP!AL51</f>
        <v>12897894</v>
      </c>
      <c r="AN19" s="31">
        <f>SFP!AM51</f>
        <v>12897894</v>
      </c>
      <c r="AO19" s="31">
        <f>SFP!AN51</f>
        <v>12897894</v>
      </c>
      <c r="AP19" s="31">
        <f>SFP!AO51</f>
        <v>12897894</v>
      </c>
      <c r="AQ19" s="31">
        <f>SFP!AP51</f>
        <v>12897894</v>
      </c>
      <c r="AR19" s="31">
        <f>SFP!AQ51</f>
        <v>14171538</v>
      </c>
      <c r="AS19" s="31">
        <f>SFP!AR51</f>
        <v>12897894</v>
      </c>
      <c r="AT19" s="31">
        <f>SFP!AS51</f>
        <v>12897894</v>
      </c>
      <c r="AU19" s="31">
        <f>SFP!AT51</f>
        <v>14291538.6</v>
      </c>
      <c r="AV19" s="31">
        <f>SFP!AU51</f>
        <v>14291538.6</v>
      </c>
      <c r="AW19" s="31">
        <f>SFP!AV51</f>
        <v>14291538.6</v>
      </c>
      <c r="AX19" s="31">
        <f>SFP!AW51</f>
        <v>14291538.6</v>
      </c>
      <c r="AY19" s="31">
        <f>SFP!AX51</f>
        <v>14291538.6</v>
      </c>
      <c r="AZ19" s="31">
        <f>SFP!AY51</f>
        <v>14291538.6</v>
      </c>
      <c r="BA19" s="31">
        <f>SFP!AZ51</f>
        <v>14291538.6</v>
      </c>
      <c r="BB19" s="31">
        <f>SFP!BA51</f>
        <v>14291538.6</v>
      </c>
      <c r="BC19" s="31">
        <f>SFP!BB51</f>
        <v>14291538.6</v>
      </c>
      <c r="BD19" s="31">
        <f>SFP!BC51</f>
        <v>14291538.6</v>
      </c>
      <c r="BE19" s="31">
        <f>SFP!BD51</f>
        <v>16203968.800000001</v>
      </c>
      <c r="BF19" s="31">
        <f>SFP!BE51</f>
        <v>16523968.800000001</v>
      </c>
      <c r="BG19" s="31">
        <f>SFP!BF51</f>
        <v>16523968.800000001</v>
      </c>
      <c r="BH19" s="31">
        <f>SFP!BG51</f>
        <v>16203968.800000001</v>
      </c>
      <c r="BI19" s="31">
        <f>SFP!BH51</f>
        <v>16203968.800000001</v>
      </c>
      <c r="BJ19" s="31">
        <f>SFP!BI51</f>
        <v>16203968.800000001</v>
      </c>
      <c r="BK19" s="31">
        <f>SFP!BJ51</f>
        <v>16203968.800000001</v>
      </c>
      <c r="BL19" s="31">
        <f>SFP!BK51</f>
        <v>16203968.800000001</v>
      </c>
      <c r="BM19" s="31">
        <f>SFP!BL51</f>
        <v>16203968.800000001</v>
      </c>
      <c r="BN19" s="31">
        <f>SFP!BM51</f>
        <v>16203968.800000001</v>
      </c>
      <c r="BO19" s="31">
        <f>SFP!BN51</f>
        <v>16203968.800000001</v>
      </c>
      <c r="BP19" s="31">
        <f>SFP!BO51</f>
        <v>16203968.800000001</v>
      </c>
      <c r="BQ19" s="31">
        <f>SFP!BP51</f>
        <v>18515873.399999999</v>
      </c>
      <c r="BR19" s="31">
        <f>SFP!BQ51</f>
        <v>18379901.699999999</v>
      </c>
      <c r="BS19" s="31">
        <f>SFP!BR51</f>
        <v>18379901.699999999</v>
      </c>
      <c r="BT19" s="31">
        <f>SFP!BS51</f>
        <v>18379901.699999999</v>
      </c>
      <c r="BU19" s="31">
        <f>SFP!BT51</f>
        <v>18379901.699999999</v>
      </c>
      <c r="BV19" s="31">
        <f>SFP!BU51</f>
        <v>18379901.699999999</v>
      </c>
      <c r="BW19" s="31">
        <f>SFP!BV51</f>
        <v>18379901.699999999</v>
      </c>
      <c r="BX19" s="31">
        <f>SFP!BW51</f>
        <v>18379901.699999999</v>
      </c>
      <c r="BY19" s="31">
        <f>SFP!BX51</f>
        <v>0</v>
      </c>
      <c r="BZ19" s="31">
        <f>SFP!BY51</f>
        <v>18379901.699999999</v>
      </c>
      <c r="CA19" s="31">
        <f>SFP!BZ51</f>
        <v>18379901.699999999</v>
      </c>
      <c r="CB19" s="31">
        <f>SFP!CA51</f>
        <v>18379901.699999999</v>
      </c>
      <c r="CC19" s="31">
        <f>SFP!CB51</f>
        <v>18379901.699999999</v>
      </c>
      <c r="CD19" s="31">
        <f>SFP!CC51</f>
        <v>20868763.34</v>
      </c>
      <c r="CE19" s="31">
        <f>SFP!CD51</f>
        <v>20866763.350000001</v>
      </c>
      <c r="CF19" s="31">
        <f>SFP!CE51</f>
        <v>24867132</v>
      </c>
      <c r="CG19" s="31"/>
      <c r="CH19" s="31"/>
    </row>
    <row r="20" spans="2:87">
      <c r="B20" s="32" t="s">
        <v>194</v>
      </c>
      <c r="C20" s="30" t="s">
        <v>195</v>
      </c>
      <c r="D20" s="31">
        <f>SFP!C52</f>
        <v>3808876</v>
      </c>
      <c r="E20" s="31">
        <f>SFP!D52</f>
        <v>3808876</v>
      </c>
      <c r="F20" s="31">
        <f>SFP!E52</f>
        <v>3808876</v>
      </c>
      <c r="G20" s="31">
        <f>SFP!F52</f>
        <v>12381532.26</v>
      </c>
      <c r="H20" s="31">
        <f>SFP!G52</f>
        <v>12706932.26</v>
      </c>
      <c r="I20" s="31">
        <f>SFP!H52</f>
        <v>13074562.26</v>
      </c>
      <c r="J20" s="31">
        <f>SFP!I52</f>
        <v>13488215.26</v>
      </c>
      <c r="K20" s="31">
        <f>SFP!J52</f>
        <v>13488215.26</v>
      </c>
      <c r="L20" s="31">
        <f>SFP!K52</f>
        <v>14428256.810000001</v>
      </c>
      <c r="M20" s="31">
        <f>SFP!L52</f>
        <v>14874761.460000001</v>
      </c>
      <c r="N20" s="31">
        <f>SFP!M52</f>
        <v>15401382.91</v>
      </c>
      <c r="O20" s="31">
        <f>SFP!N52</f>
        <v>19933055.219999999</v>
      </c>
      <c r="P20" s="31">
        <f>SFP!O52</f>
        <v>19949569.219999999</v>
      </c>
      <c r="Q20" s="31">
        <f>SFP!P52</f>
        <v>20537920.219999999</v>
      </c>
      <c r="R20" s="31">
        <f>SFP!Q52</f>
        <v>20802420.219999999</v>
      </c>
      <c r="S20" s="31">
        <f>SFP!R52</f>
        <v>3808876</v>
      </c>
      <c r="T20" s="31">
        <f>SFP!S52</f>
        <v>21408542.219999999</v>
      </c>
      <c r="U20" s="31">
        <f>SFP!T52</f>
        <v>21978930.120000001</v>
      </c>
      <c r="V20" s="31">
        <f>SFP!U52</f>
        <v>22058066.120000001</v>
      </c>
      <c r="W20" s="31">
        <f>SFP!V52</f>
        <v>19872762.620000001</v>
      </c>
      <c r="X20" s="31">
        <f>SFP!W52</f>
        <v>24224060.620000001</v>
      </c>
      <c r="Y20" s="31">
        <f>SFP!X52</f>
        <v>24608981.620000001</v>
      </c>
      <c r="Z20" s="31">
        <f>SFP!Y52</f>
        <v>24983591.620000001</v>
      </c>
      <c r="AA20" s="31">
        <f>SFP!Z52</f>
        <v>25279178.620000001</v>
      </c>
      <c r="AB20" s="31">
        <f>SFP!AA52</f>
        <v>25552238.620000001</v>
      </c>
      <c r="AC20" s="31">
        <f>SFP!AB52</f>
        <v>25978178.620000001</v>
      </c>
      <c r="AD20" s="31">
        <f>SFP!AC52</f>
        <v>26257608.620000001</v>
      </c>
      <c r="AE20" s="31">
        <f>SFP!AD52</f>
        <v>22488232.620000001</v>
      </c>
      <c r="AF20" s="31">
        <f>SFP!AE52</f>
        <v>26918647.620000001</v>
      </c>
      <c r="AG20" s="31">
        <f>SFP!AF52</f>
        <v>27255077.620000001</v>
      </c>
      <c r="AH20" s="31">
        <f>SFP!AG52</f>
        <v>27608473.620000001</v>
      </c>
      <c r="AI20" s="31">
        <f>SFP!AH52</f>
        <v>24153594.620000001</v>
      </c>
      <c r="AJ20" s="31">
        <f>SFP!AI52</f>
        <v>24707455.620000001</v>
      </c>
      <c r="AK20" s="31">
        <f>SFP!AJ52</f>
        <v>25047016.620000001</v>
      </c>
      <c r="AL20" s="31">
        <f>SFP!AK52</f>
        <v>24999090.09</v>
      </c>
      <c r="AM20" s="31">
        <f>SFP!AL52</f>
        <v>25001490.09</v>
      </c>
      <c r="AN20" s="31">
        <f>SFP!AM52</f>
        <v>25523958.09</v>
      </c>
      <c r="AO20" s="31">
        <f>SFP!AN52</f>
        <v>26512368.289999999</v>
      </c>
      <c r="AP20" s="31">
        <f>SFP!AO52</f>
        <v>2559725</v>
      </c>
      <c r="AQ20" s="31">
        <f>SFP!AP52</f>
        <v>3672500</v>
      </c>
      <c r="AR20" s="31">
        <f>SFP!AQ52</f>
        <v>9775722</v>
      </c>
      <c r="AS20" s="31">
        <f>SFP!AR52</f>
        <v>6144435</v>
      </c>
      <c r="AT20" s="31">
        <f>SFP!AS52</f>
        <v>6700691</v>
      </c>
      <c r="AU20" s="31">
        <f>SFP!AT52</f>
        <v>6785552</v>
      </c>
      <c r="AV20" s="31">
        <f>SFP!AU52</f>
        <v>7243434</v>
      </c>
      <c r="AW20" s="31">
        <f>SFP!AV52</f>
        <v>13480371.390000001</v>
      </c>
      <c r="AX20" s="31">
        <f>SFP!AW52</f>
        <v>4467909.74</v>
      </c>
      <c r="AY20" s="31">
        <f>SFP!AX52</f>
        <v>5675769.7400000002</v>
      </c>
      <c r="AZ20" s="31">
        <f>SFP!AY52</f>
        <v>6024289.7400000002</v>
      </c>
      <c r="BA20" s="31">
        <f>SFP!AZ52</f>
        <v>6623309.7400000002</v>
      </c>
      <c r="BB20" s="31">
        <f>SFP!BA52</f>
        <v>6623309.7400000002</v>
      </c>
      <c r="BC20" s="31">
        <f>SFP!BB52</f>
        <v>7728255.7400000002</v>
      </c>
      <c r="BD20" s="31">
        <f>SFP!BC52</f>
        <v>8346634.7400000002</v>
      </c>
      <c r="BE20" s="31">
        <f>SFP!BD52</f>
        <v>12155510.699999999</v>
      </c>
      <c r="BF20" s="31">
        <f>SFP!BE52</f>
        <v>9018424.7400000002</v>
      </c>
      <c r="BG20" s="31">
        <f>SFP!BF52</f>
        <v>13418311.74</v>
      </c>
      <c r="BH20" s="31">
        <f>SFP!BG52</f>
        <v>4757033.24</v>
      </c>
      <c r="BI20" s="31">
        <f>SFP!BH52</f>
        <v>4757033.24</v>
      </c>
      <c r="BJ20" s="31">
        <f>SFP!BI52</f>
        <v>4803801.0999999996</v>
      </c>
      <c r="BK20" s="31">
        <f>SFP!BJ52</f>
        <v>55192.1</v>
      </c>
      <c r="BL20" s="31">
        <f>SFP!BK52</f>
        <v>615342.1</v>
      </c>
      <c r="BM20" s="31">
        <f>SFP!BL52</f>
        <v>1132562.1000000001</v>
      </c>
      <c r="BN20" s="31">
        <f>SFP!BM52</f>
        <v>5433628.0999999996</v>
      </c>
      <c r="BO20" s="31">
        <f>SFP!BN52</f>
        <v>2269502.1</v>
      </c>
      <c r="BP20" s="31">
        <f>SFP!BO52</f>
        <v>2725654.85</v>
      </c>
      <c r="BQ20" s="31">
        <f>SFP!BP52</f>
        <v>6603936.5999999996</v>
      </c>
      <c r="BR20" s="31">
        <f>SFP!BQ52</f>
        <v>6603936.5999999996</v>
      </c>
      <c r="BS20" s="31">
        <f>SFP!BS52</f>
        <v>3650561.15</v>
      </c>
      <c r="BT20" s="31">
        <f>SFP!BT52</f>
        <v>3842639.35</v>
      </c>
      <c r="BU20" s="31">
        <f>SFP!BU52</f>
        <v>8247165.3499999996</v>
      </c>
      <c r="BV20" s="31">
        <f>SFP!BV52</f>
        <v>4261349</v>
      </c>
      <c r="BW20" s="31">
        <f>SFP!BW52</f>
        <v>4829885.6500000004</v>
      </c>
      <c r="BX20" s="31">
        <f>SFP!BX52</f>
        <v>0</v>
      </c>
      <c r="BY20" s="31">
        <f>SFP!BY52</f>
        <v>5642149.6500000004</v>
      </c>
      <c r="BZ20" s="31">
        <f>SFP!BZ52</f>
        <v>9942076.5500000007</v>
      </c>
      <c r="CA20" s="31">
        <f>SFP!CA52</f>
        <v>3257305.61</v>
      </c>
      <c r="CB20" s="31">
        <f>SFP!CB52</f>
        <v>3938395.61</v>
      </c>
      <c r="CC20" s="31">
        <f>SFP!CC52</f>
        <v>6596606.4500000002</v>
      </c>
      <c r="CD20" s="31">
        <f>SFP!CD52</f>
        <v>6596309.4500000002</v>
      </c>
      <c r="CE20" s="31">
        <f>SFP!CE52</f>
        <v>3808876</v>
      </c>
      <c r="CF20" s="31">
        <f>SFP!CF52</f>
        <v>6565067.6200000001</v>
      </c>
      <c r="CG20" s="31"/>
      <c r="CH20" s="31"/>
    </row>
    <row r="21" spans="2:87" ht="23.1" hidden="1">
      <c r="B21" s="32" t="s">
        <v>196</v>
      </c>
      <c r="C21" s="40" t="s">
        <v>197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2:87" hidden="1">
      <c r="B22" s="41" t="s">
        <v>198</v>
      </c>
      <c r="C22" s="30" t="s">
        <v>64</v>
      </c>
      <c r="D22" s="42">
        <f>SFP!C53</f>
        <v>0</v>
      </c>
      <c r="E22" s="42">
        <f>SFP!D53</f>
        <v>0</v>
      </c>
      <c r="F22" s="42">
        <f>SFP!E53</f>
        <v>0</v>
      </c>
      <c r="G22" s="42">
        <f>SFP!F53</f>
        <v>0</v>
      </c>
      <c r="H22" s="42">
        <f>SFP!G53</f>
        <v>0</v>
      </c>
      <c r="I22" s="42">
        <f>SFP!H53</f>
        <v>0</v>
      </c>
      <c r="J22" s="42">
        <f>SFP!I53</f>
        <v>0</v>
      </c>
      <c r="K22" s="42">
        <f>SFP!J53</f>
        <v>0</v>
      </c>
      <c r="L22" s="42">
        <f>SFP!K53</f>
        <v>0</v>
      </c>
      <c r="M22" s="42">
        <f>SFP!L53</f>
        <v>0</v>
      </c>
      <c r="N22" s="42">
        <f>SFP!M53</f>
        <v>0</v>
      </c>
      <c r="O22" s="42">
        <f>SFP!N53</f>
        <v>0</v>
      </c>
      <c r="P22" s="42">
        <f>SFP!O53</f>
        <v>0</v>
      </c>
      <c r="Q22" s="42">
        <f>SFP!P53</f>
        <v>0</v>
      </c>
      <c r="R22" s="42">
        <f>SFP!Q53</f>
        <v>0</v>
      </c>
      <c r="S22" s="42">
        <f>SFP!R53</f>
        <v>0</v>
      </c>
      <c r="T22" s="42">
        <f>SFP!S53</f>
        <v>0</v>
      </c>
      <c r="U22" s="42">
        <f>SFP!T53</f>
        <v>0</v>
      </c>
      <c r="V22" s="42">
        <f>SFP!U53</f>
        <v>0</v>
      </c>
      <c r="W22" s="42">
        <f>SFP!V53</f>
        <v>0</v>
      </c>
      <c r="X22" s="42">
        <f>SFP!W53</f>
        <v>0</v>
      </c>
      <c r="Y22" s="42">
        <f>SFP!X53</f>
        <v>0</v>
      </c>
      <c r="Z22" s="42">
        <f>SFP!Y53</f>
        <v>0</v>
      </c>
      <c r="AA22" s="42">
        <f>SFP!Z53</f>
        <v>0</v>
      </c>
      <c r="AB22" s="42">
        <f>SFP!AA53</f>
        <v>0</v>
      </c>
    </row>
    <row r="23" spans="2:87" hidden="1">
      <c r="B23" s="41" t="s">
        <v>199</v>
      </c>
      <c r="C23" s="30" t="s">
        <v>200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2:87" hidden="1">
      <c r="C24" s="43"/>
    </row>
    <row r="25" spans="2:87">
      <c r="B25" s="32">
        <v>6</v>
      </c>
      <c r="C25" s="40" t="s">
        <v>201</v>
      </c>
      <c r="D25" s="44">
        <f t="shared" ref="D25:E25" si="25">SUM(D26:D28)</f>
        <v>34475097.629999995</v>
      </c>
      <c r="E25" s="44">
        <f t="shared" si="25"/>
        <v>40570790.18</v>
      </c>
      <c r="F25" s="44">
        <f t="shared" ref="F25:I25" si="26">SUM(F26:F28)</f>
        <v>35120610</v>
      </c>
      <c r="G25" s="44">
        <f t="shared" si="26"/>
        <v>0</v>
      </c>
      <c r="H25" s="44">
        <f t="shared" si="26"/>
        <v>0</v>
      </c>
      <c r="I25" s="44">
        <f t="shared" si="26"/>
        <v>0</v>
      </c>
      <c r="J25" s="44">
        <f t="shared" ref="J25:O25" si="27">SUM(J26:J28)</f>
        <v>28462661.18</v>
      </c>
      <c r="K25" s="44">
        <f t="shared" si="27"/>
        <v>28462661.18</v>
      </c>
      <c r="L25" s="44">
        <f t="shared" si="27"/>
        <v>28462661.18</v>
      </c>
      <c r="M25" s="44">
        <f t="shared" si="27"/>
        <v>28462661.18</v>
      </c>
      <c r="N25" s="44">
        <f t="shared" si="27"/>
        <v>28462661.18</v>
      </c>
      <c r="O25" s="44">
        <f t="shared" si="27"/>
        <v>28462661.18</v>
      </c>
      <c r="P25" s="44">
        <f t="shared" ref="P25:S25" si="28">SUM(P26:P28)</f>
        <v>28462661.18</v>
      </c>
      <c r="Q25" s="44">
        <f t="shared" si="28"/>
        <v>28462661.18</v>
      </c>
      <c r="R25" s="44">
        <f t="shared" si="28"/>
        <v>28462661.18</v>
      </c>
      <c r="S25" s="44">
        <f t="shared" si="28"/>
        <v>33641898.25</v>
      </c>
      <c r="T25" s="44">
        <f t="shared" ref="T25:AO25" si="29">SUM(T26:T28)</f>
        <v>28462661.18</v>
      </c>
      <c r="U25" s="44">
        <f t="shared" si="29"/>
        <v>28462661.18</v>
      </c>
      <c r="V25" s="44">
        <f t="shared" si="29"/>
        <v>28462661.18</v>
      </c>
      <c r="W25" s="44">
        <f t="shared" si="29"/>
        <v>28462661.18</v>
      </c>
      <c r="X25" s="44">
        <f t="shared" si="29"/>
        <v>22273508.899999999</v>
      </c>
      <c r="Y25" s="44">
        <f t="shared" si="29"/>
        <v>22273508.899999999</v>
      </c>
      <c r="Z25" s="44">
        <f t="shared" si="29"/>
        <v>22273508.899999999</v>
      </c>
      <c r="AA25" s="44">
        <f t="shared" si="29"/>
        <v>22273508.899999999</v>
      </c>
      <c r="AB25" s="44">
        <f t="shared" si="29"/>
        <v>22273508.899999999</v>
      </c>
      <c r="AC25" s="44">
        <f t="shared" si="29"/>
        <v>22273508.899999999</v>
      </c>
      <c r="AD25" s="44">
        <f t="shared" si="29"/>
        <v>22273508.899999999</v>
      </c>
      <c r="AE25" s="44">
        <f t="shared" si="29"/>
        <v>22273508.899999999</v>
      </c>
      <c r="AF25" s="44">
        <f t="shared" si="29"/>
        <v>32448819.260000002</v>
      </c>
      <c r="AG25" s="44">
        <f t="shared" si="29"/>
        <v>32448819.260000002</v>
      </c>
      <c r="AH25" s="44">
        <f t="shared" si="29"/>
        <v>32448819.260000002</v>
      </c>
      <c r="AI25" s="44">
        <f t="shared" si="29"/>
        <v>32448819.260000002</v>
      </c>
      <c r="AJ25" s="44">
        <f t="shared" si="29"/>
        <v>32448819.260000002</v>
      </c>
      <c r="AK25" s="44">
        <f t="shared" si="29"/>
        <v>32448819.260000002</v>
      </c>
      <c r="AL25" s="44">
        <f t="shared" si="29"/>
        <v>34881096.060000002</v>
      </c>
      <c r="AM25" s="44">
        <f t="shared" si="29"/>
        <v>34881096.060000002</v>
      </c>
      <c r="AN25" s="44">
        <f t="shared" si="29"/>
        <v>34881096.060000002</v>
      </c>
      <c r="AO25" s="44">
        <f t="shared" si="29"/>
        <v>34881096.060000002</v>
      </c>
      <c r="AP25" s="44">
        <f t="shared" ref="AP25:BR25" si="30">SUM(AP26:AP28)</f>
        <v>34093974.170000002</v>
      </c>
      <c r="AQ25" s="44">
        <f t="shared" si="30"/>
        <v>34093974.170000002</v>
      </c>
      <c r="AR25" s="44">
        <f t="shared" si="30"/>
        <v>19385421</v>
      </c>
      <c r="AS25" s="44">
        <f t="shared" si="30"/>
        <v>34093974.32</v>
      </c>
      <c r="AT25" s="44">
        <f t="shared" si="30"/>
        <v>34093974.32</v>
      </c>
      <c r="AU25" s="44">
        <f t="shared" si="30"/>
        <v>34093974.32</v>
      </c>
      <c r="AV25" s="44">
        <f t="shared" si="30"/>
        <v>34093974.32</v>
      </c>
      <c r="AW25" s="44">
        <f t="shared" si="30"/>
        <v>34116047.270000003</v>
      </c>
      <c r="AX25" s="44">
        <f t="shared" si="30"/>
        <v>34116047.270000003</v>
      </c>
      <c r="AY25" s="44">
        <f t="shared" si="30"/>
        <v>34116047.270000003</v>
      </c>
      <c r="AZ25" s="44">
        <f t="shared" si="30"/>
        <v>34116047.270000003</v>
      </c>
      <c r="BA25" s="44">
        <f t="shared" si="30"/>
        <v>34116047.270000003</v>
      </c>
      <c r="BB25" s="44">
        <f t="shared" si="30"/>
        <v>34116047.270000003</v>
      </c>
      <c r="BC25" s="44">
        <f t="shared" si="30"/>
        <v>34116047.270000003</v>
      </c>
      <c r="BD25" s="44">
        <f t="shared" si="30"/>
        <v>34116047.270000003</v>
      </c>
      <c r="BE25" s="44">
        <f t="shared" si="30"/>
        <v>147302824.59999999</v>
      </c>
      <c r="BF25" s="44">
        <f t="shared" si="30"/>
        <v>34116047.270000003</v>
      </c>
      <c r="BG25" s="44">
        <f t="shared" si="30"/>
        <v>34116047.270000003</v>
      </c>
      <c r="BH25" s="44">
        <f t="shared" si="30"/>
        <v>34529145.539999999</v>
      </c>
      <c r="BI25" s="44">
        <f t="shared" si="30"/>
        <v>35575056.759999998</v>
      </c>
      <c r="BJ25" s="44">
        <f t="shared" si="30"/>
        <v>35775056.759999998</v>
      </c>
      <c r="BK25" s="44">
        <f t="shared" si="30"/>
        <v>38735056.759999998</v>
      </c>
      <c r="BL25" s="44">
        <f t="shared" si="30"/>
        <v>38763251.810000002</v>
      </c>
      <c r="BM25" s="44">
        <f t="shared" si="30"/>
        <v>36263251.810000002</v>
      </c>
      <c r="BN25" s="44">
        <f t="shared" si="30"/>
        <v>34863251.810000002</v>
      </c>
      <c r="BO25" s="44">
        <f t="shared" si="30"/>
        <v>34898176.340000004</v>
      </c>
      <c r="BP25" s="44">
        <f t="shared" si="30"/>
        <v>34898176.340000004</v>
      </c>
      <c r="BQ25" s="44">
        <f t="shared" si="30"/>
        <v>34898176.340000004</v>
      </c>
      <c r="BR25" s="44">
        <f t="shared" si="30"/>
        <v>148086488.09999999</v>
      </c>
      <c r="BS25" s="44">
        <f t="shared" ref="BS25:CE25" si="31">SUM(BS26:BS28)</f>
        <v>34899710.869999997</v>
      </c>
      <c r="BT25" s="44">
        <f t="shared" si="31"/>
        <v>35450236.18</v>
      </c>
      <c r="BU25" s="44">
        <f t="shared" si="31"/>
        <v>35450733.409999996</v>
      </c>
      <c r="BV25" s="44">
        <f t="shared" si="31"/>
        <v>35450733.409999996</v>
      </c>
      <c r="BW25" s="44">
        <f t="shared" si="31"/>
        <v>35450733.409999996</v>
      </c>
      <c r="BX25" s="44">
        <f t="shared" si="31"/>
        <v>35952323.950000003</v>
      </c>
      <c r="BY25" s="44">
        <f t="shared" si="31"/>
        <v>0</v>
      </c>
      <c r="BZ25" s="44">
        <f t="shared" si="31"/>
        <v>39469708.979999997</v>
      </c>
      <c r="CA25" s="44">
        <f t="shared" si="31"/>
        <v>39506671.119999997</v>
      </c>
      <c r="CB25" s="44">
        <f t="shared" si="31"/>
        <v>39506671.119999997</v>
      </c>
      <c r="CC25" s="44">
        <f t="shared" si="31"/>
        <v>30613452.190000001</v>
      </c>
      <c r="CD25" s="44">
        <f t="shared" si="31"/>
        <v>36618314.310000002</v>
      </c>
      <c r="CE25" s="44">
        <f t="shared" si="31"/>
        <v>149805094.54999998</v>
      </c>
      <c r="CF25" s="44">
        <f t="shared" ref="CF25" si="32">SUM(CF26:CF28)</f>
        <v>149815748</v>
      </c>
    </row>
    <row r="26" spans="2:87" ht="23.1">
      <c r="B26" s="32">
        <v>6.1</v>
      </c>
      <c r="C26" s="30" t="s">
        <v>202</v>
      </c>
      <c r="D26" s="45">
        <f>SFP!C18</f>
        <v>4127300</v>
      </c>
      <c r="E26" s="45">
        <f>SFP!D18</f>
        <v>8059300</v>
      </c>
      <c r="F26" s="45">
        <f>SFP!E18</f>
        <v>35120610</v>
      </c>
      <c r="G26" s="45">
        <f>SFP!F18</f>
        <v>0</v>
      </c>
      <c r="H26" s="45">
        <f>SFP!G18</f>
        <v>0</v>
      </c>
      <c r="I26" s="45">
        <f>SFP!H18</f>
        <v>0</v>
      </c>
      <c r="J26" s="45">
        <f>SFP!I18</f>
        <v>28462661.18</v>
      </c>
      <c r="K26" s="45">
        <f>SFP!J18</f>
        <v>28462661.18</v>
      </c>
      <c r="L26" s="45">
        <f>SFP!K18</f>
        <v>28462661.18</v>
      </c>
      <c r="M26" s="45">
        <f>SFP!L18</f>
        <v>28462661.18</v>
      </c>
      <c r="N26" s="45">
        <f>SFP!M18</f>
        <v>28462661.18</v>
      </c>
      <c r="O26" s="45">
        <f>SFP!N18</f>
        <v>28462661.18</v>
      </c>
      <c r="P26" s="45">
        <f>SFP!O18</f>
        <v>28462661.18</v>
      </c>
      <c r="Q26" s="45">
        <f>SFP!P18</f>
        <v>28462661.18</v>
      </c>
      <c r="R26" s="45">
        <f>SFP!Q18</f>
        <v>28462661.18</v>
      </c>
      <c r="S26" s="45">
        <f>SFP!R18</f>
        <v>33641898.25</v>
      </c>
      <c r="T26" s="45">
        <f>SFP!S18</f>
        <v>28462661.18</v>
      </c>
      <c r="U26" s="45">
        <f>SFP!T18</f>
        <v>28462661.18</v>
      </c>
      <c r="V26" s="45">
        <f>SFP!U18</f>
        <v>28462661.18</v>
      </c>
      <c r="W26" s="45">
        <f>SFP!V18</f>
        <v>28462661.18</v>
      </c>
      <c r="X26" s="45">
        <f>SFP!W18</f>
        <v>22273508.899999999</v>
      </c>
      <c r="Y26" s="45">
        <f>SFP!X18</f>
        <v>22273508.899999999</v>
      </c>
      <c r="Z26" s="45">
        <f>SFP!Y18</f>
        <v>22273508.899999999</v>
      </c>
      <c r="AA26" s="45">
        <f>SFP!Z18</f>
        <v>22273508.899999999</v>
      </c>
      <c r="AB26" s="45">
        <f>SFP!AA18</f>
        <v>22273508.899999999</v>
      </c>
      <c r="AC26" s="45">
        <f>SFP!AB18</f>
        <v>22273508.899999999</v>
      </c>
      <c r="AD26" s="45">
        <f>SFP!AC18</f>
        <v>22273508.899999999</v>
      </c>
      <c r="AE26" s="45">
        <f>SFP!AD18</f>
        <v>22273508.899999999</v>
      </c>
      <c r="AF26" s="45">
        <f>SFP!AE18</f>
        <v>32448819.260000002</v>
      </c>
      <c r="AG26" s="45">
        <f>SFP!AF18</f>
        <v>32448819.260000002</v>
      </c>
      <c r="AH26" s="45">
        <f>SFP!AG18</f>
        <v>32448819.260000002</v>
      </c>
      <c r="AI26" s="45">
        <f>SFP!AH18</f>
        <v>32448819.260000002</v>
      </c>
      <c r="AJ26" s="45">
        <f>SFP!AI18</f>
        <v>32448819.260000002</v>
      </c>
      <c r="AK26" s="45">
        <f>SFP!AJ18</f>
        <v>32448819.260000002</v>
      </c>
      <c r="AL26" s="45">
        <f>SFP!AK18</f>
        <v>34881096.060000002</v>
      </c>
      <c r="AM26" s="45">
        <f>SFP!AL18</f>
        <v>34881096.060000002</v>
      </c>
      <c r="AN26" s="45">
        <f>SFP!AM18</f>
        <v>34881096.060000002</v>
      </c>
      <c r="AO26" s="45">
        <f>SFP!AN18</f>
        <v>34881096.060000002</v>
      </c>
      <c r="AP26" s="45">
        <f>SFP!AO18</f>
        <v>34093974.170000002</v>
      </c>
      <c r="AQ26" s="45">
        <f>SFP!AP18</f>
        <v>34093974.170000002</v>
      </c>
      <c r="AR26" s="45">
        <f>SFP!AQ18</f>
        <v>87528</v>
      </c>
      <c r="AS26" s="45">
        <f>SFP!AR18</f>
        <v>34093974.32</v>
      </c>
      <c r="AT26" s="45">
        <f>SFP!AS18</f>
        <v>34093974.32</v>
      </c>
      <c r="AU26" s="45">
        <f>SFP!AT18</f>
        <v>34093974.32</v>
      </c>
      <c r="AV26" s="45">
        <f>SFP!AU18</f>
        <v>34093974.32</v>
      </c>
      <c r="AW26" s="45">
        <f>SFP!AV18</f>
        <v>34116047.270000003</v>
      </c>
      <c r="AX26" s="45">
        <f>SFP!AW18</f>
        <v>34116047.270000003</v>
      </c>
      <c r="AY26" s="45">
        <f>SFP!AX18</f>
        <v>34116047.270000003</v>
      </c>
      <c r="AZ26" s="45">
        <f>SFP!AY18</f>
        <v>34116047.270000003</v>
      </c>
      <c r="BA26" s="45">
        <f>SFP!AZ18</f>
        <v>34116047.270000003</v>
      </c>
      <c r="BB26" s="45">
        <f>SFP!BA18</f>
        <v>34116047.270000003</v>
      </c>
      <c r="BC26" s="45">
        <f>SFP!BB18</f>
        <v>34116047.270000003</v>
      </c>
      <c r="BD26" s="45">
        <f>SFP!BC18</f>
        <v>34116047.270000003</v>
      </c>
      <c r="BE26" s="45">
        <f>SFP!BD18</f>
        <v>132594270.59999999</v>
      </c>
      <c r="BF26" s="45">
        <f>SFP!BE18</f>
        <v>34116047.270000003</v>
      </c>
      <c r="BG26" s="45">
        <f>SFP!BF18</f>
        <v>34116047.270000003</v>
      </c>
      <c r="BH26" s="45">
        <f>SFP!BG18</f>
        <v>34529145.539999999</v>
      </c>
      <c r="BI26" s="45">
        <f>SFP!BH18</f>
        <v>35575056.759999998</v>
      </c>
      <c r="BJ26" s="45">
        <f>SFP!BI18</f>
        <v>35775056.759999998</v>
      </c>
      <c r="BK26" s="45">
        <f>SFP!BJ18</f>
        <v>38735056.759999998</v>
      </c>
      <c r="BL26" s="45">
        <f>SFP!BK18</f>
        <v>38763251.810000002</v>
      </c>
      <c r="BM26" s="45">
        <f>SFP!BL18</f>
        <v>36263251.810000002</v>
      </c>
      <c r="BN26" s="45">
        <f>SFP!BM18</f>
        <v>34863251.810000002</v>
      </c>
      <c r="BO26" s="45">
        <f>SFP!BN18</f>
        <v>34898176.340000004</v>
      </c>
      <c r="BP26" s="45">
        <f>SFP!BO18</f>
        <v>34898176.340000004</v>
      </c>
      <c r="BQ26" s="45">
        <f>SFP!BP18</f>
        <v>34898176.340000004</v>
      </c>
      <c r="BR26" s="45">
        <f>SFP!BQ18</f>
        <v>133643573.5</v>
      </c>
      <c r="BS26" s="45">
        <f>SFP!BR18</f>
        <v>34899710.869999997</v>
      </c>
      <c r="BT26" s="45">
        <f>SFP!BS18</f>
        <v>35450236.18</v>
      </c>
      <c r="BU26" s="45">
        <f>SFP!BT18</f>
        <v>35450733.409999996</v>
      </c>
      <c r="BV26" s="45">
        <f>SFP!BU18</f>
        <v>35450733.409999996</v>
      </c>
      <c r="BW26" s="45">
        <f>SFP!BV18</f>
        <v>35450733.409999996</v>
      </c>
      <c r="BX26" s="45">
        <f>SFP!BW18</f>
        <v>35952323.950000003</v>
      </c>
      <c r="BY26" s="45">
        <f>SFP!BX18</f>
        <v>0</v>
      </c>
      <c r="BZ26" s="45">
        <f>SFP!BY18</f>
        <v>39469708.979999997</v>
      </c>
      <c r="CA26" s="45">
        <f>SFP!BZ18</f>
        <v>39506671.119999997</v>
      </c>
      <c r="CB26" s="45">
        <f>SFP!CA18</f>
        <v>39506671.119999997</v>
      </c>
      <c r="CC26" s="45">
        <f>SFP!CB18</f>
        <v>30613452.190000001</v>
      </c>
      <c r="CD26" s="45">
        <f>SFP!CC18</f>
        <v>36618314.310000002</v>
      </c>
      <c r="CE26" s="45">
        <f>SFP!CD18</f>
        <v>135362176.94999999</v>
      </c>
      <c r="CF26" s="45">
        <f>SFP!CE18</f>
        <v>149728220</v>
      </c>
    </row>
    <row r="27" spans="2:87" ht="23.1">
      <c r="B27" s="32">
        <v>6.2</v>
      </c>
      <c r="C27" s="30" t="s">
        <v>203</v>
      </c>
      <c r="D27" s="114">
        <f>SFP!C17</f>
        <v>30347797.629999999</v>
      </c>
      <c r="E27" s="114">
        <f>SFP!D17</f>
        <v>32511490.18</v>
      </c>
      <c r="F27" s="114">
        <f>SFP!E17</f>
        <v>0</v>
      </c>
      <c r="G27" s="114">
        <f>SFP!F17</f>
        <v>0</v>
      </c>
      <c r="H27" s="114">
        <f>SFP!G17</f>
        <v>0</v>
      </c>
      <c r="I27" s="114">
        <f>SFP!H17</f>
        <v>0</v>
      </c>
      <c r="J27" s="114">
        <f>SFP!I17</f>
        <v>0</v>
      </c>
      <c r="K27" s="114">
        <f>SFP!J17</f>
        <v>0</v>
      </c>
      <c r="L27" s="114">
        <f>SFP!K17</f>
        <v>0</v>
      </c>
      <c r="M27" s="114">
        <f>SFP!L17</f>
        <v>0</v>
      </c>
      <c r="N27" s="114">
        <f>SFP!M17</f>
        <v>0</v>
      </c>
      <c r="O27" s="114">
        <f>SFP!N17</f>
        <v>0</v>
      </c>
      <c r="P27" s="114">
        <f>SFP!O17</f>
        <v>0</v>
      </c>
      <c r="Q27" s="114">
        <f>SFP!P17</f>
        <v>0</v>
      </c>
      <c r="R27" s="114">
        <f>SFP!Q17</f>
        <v>0</v>
      </c>
      <c r="S27" s="114">
        <f>SFP!R17</f>
        <v>0</v>
      </c>
      <c r="T27" s="114">
        <f>SFP!S17</f>
        <v>0</v>
      </c>
      <c r="U27" s="114">
        <f>SFP!T17</f>
        <v>0</v>
      </c>
      <c r="V27" s="114">
        <f>SFP!U17</f>
        <v>0</v>
      </c>
      <c r="W27" s="114">
        <f>SFP!V17</f>
        <v>0</v>
      </c>
      <c r="X27" s="114">
        <f>SFP!W17</f>
        <v>0</v>
      </c>
      <c r="Y27" s="114">
        <f>SFP!X17</f>
        <v>0</v>
      </c>
      <c r="Z27" s="114">
        <f>SFP!Y17</f>
        <v>0</v>
      </c>
      <c r="AA27" s="114">
        <f>SFP!Z17</f>
        <v>0</v>
      </c>
      <c r="AB27" s="114">
        <f>SFP!AA17</f>
        <v>0</v>
      </c>
      <c r="AC27" s="114">
        <f>SFP!AB17</f>
        <v>0</v>
      </c>
      <c r="AD27" s="114">
        <f>SFP!AC17</f>
        <v>0</v>
      </c>
      <c r="AE27" s="114">
        <f>SFP!AD17</f>
        <v>0</v>
      </c>
      <c r="AF27" s="114">
        <f>SFP!AE17</f>
        <v>0</v>
      </c>
      <c r="AG27" s="114">
        <f>SFP!AF17</f>
        <v>0</v>
      </c>
      <c r="AH27" s="114">
        <f>SFP!AG17</f>
        <v>0</v>
      </c>
      <c r="AI27" s="114">
        <f>SFP!AH17</f>
        <v>0</v>
      </c>
      <c r="AJ27" s="114">
        <f>SFP!AI17</f>
        <v>0</v>
      </c>
      <c r="AK27" s="114">
        <f>SFP!AJ17</f>
        <v>0</v>
      </c>
      <c r="AL27" s="114">
        <f>SFP!AK17</f>
        <v>0</v>
      </c>
      <c r="AM27" s="114">
        <f>SFP!AL17</f>
        <v>0</v>
      </c>
      <c r="AN27" s="114">
        <f>SFP!AM17</f>
        <v>0</v>
      </c>
      <c r="AO27" s="114">
        <f>SFP!AN17</f>
        <v>0</v>
      </c>
      <c r="AP27" s="114">
        <f>SFP!AO17</f>
        <v>0</v>
      </c>
      <c r="AQ27" s="114">
        <f>SFP!AP17</f>
        <v>0</v>
      </c>
      <c r="AR27" s="114">
        <f>SFP!AQ17</f>
        <v>19297893</v>
      </c>
      <c r="AS27" s="114">
        <f>SFP!AR17</f>
        <v>0</v>
      </c>
      <c r="AT27" s="114">
        <f>SFP!AS17</f>
        <v>0</v>
      </c>
      <c r="AU27" s="114">
        <f>SFP!AT17</f>
        <v>0</v>
      </c>
      <c r="AV27" s="114">
        <f>SFP!AU17</f>
        <v>0</v>
      </c>
      <c r="AW27" s="114">
        <f>SFP!AV17</f>
        <v>0</v>
      </c>
      <c r="AX27" s="114">
        <f>SFP!AW17</f>
        <v>0</v>
      </c>
      <c r="AY27" s="114">
        <f>SFP!AX17</f>
        <v>0</v>
      </c>
      <c r="AZ27" s="114">
        <f>SFP!AY17</f>
        <v>0</v>
      </c>
      <c r="BA27" s="114">
        <f>SFP!AZ17</f>
        <v>0</v>
      </c>
      <c r="BB27" s="114">
        <f>SFP!BA17</f>
        <v>0</v>
      </c>
      <c r="BC27" s="114">
        <f>SFP!BB17</f>
        <v>0</v>
      </c>
      <c r="BD27" s="114">
        <f>SFP!BC17</f>
        <v>0</v>
      </c>
      <c r="BE27" s="114">
        <f>SFP!BD17</f>
        <v>14708554</v>
      </c>
      <c r="BF27" s="114">
        <f>SFP!BE17</f>
        <v>0</v>
      </c>
      <c r="BG27" s="114">
        <f>SFP!BF17</f>
        <v>0</v>
      </c>
      <c r="BH27" s="114">
        <f>SFP!BG17</f>
        <v>0</v>
      </c>
      <c r="BI27" s="114">
        <f>SFP!BH17</f>
        <v>0</v>
      </c>
      <c r="BJ27" s="114">
        <f>SFP!BI17</f>
        <v>0</v>
      </c>
      <c r="BK27" s="114">
        <f>SFP!BJ17</f>
        <v>0</v>
      </c>
      <c r="BL27" s="114">
        <f>SFP!BK17</f>
        <v>0</v>
      </c>
      <c r="BM27" s="114">
        <f>SFP!BL17</f>
        <v>0</v>
      </c>
      <c r="BN27" s="114">
        <f>SFP!BM17</f>
        <v>0</v>
      </c>
      <c r="BO27" s="114">
        <f>SFP!BN17</f>
        <v>0</v>
      </c>
      <c r="BP27" s="114">
        <f>SFP!BO17</f>
        <v>0</v>
      </c>
      <c r="BQ27" s="114">
        <f>SFP!BP17</f>
        <v>0</v>
      </c>
      <c r="BR27" s="114">
        <f>SFP!BQ17</f>
        <v>14442914.6</v>
      </c>
      <c r="BS27" s="114">
        <f>SFP!BR17</f>
        <v>0</v>
      </c>
      <c r="BT27" s="114">
        <f>SFP!BS17</f>
        <v>0</v>
      </c>
      <c r="BU27" s="114">
        <f>SFP!BT17</f>
        <v>0</v>
      </c>
      <c r="BV27" s="114">
        <f>SFP!BU17</f>
        <v>0</v>
      </c>
      <c r="BW27" s="114">
        <f>SFP!BV17</f>
        <v>0</v>
      </c>
      <c r="BX27" s="114">
        <f>SFP!BW17</f>
        <v>0</v>
      </c>
      <c r="BY27" s="114">
        <f>SFP!BX17</f>
        <v>0</v>
      </c>
      <c r="BZ27" s="114">
        <f>SFP!BY17</f>
        <v>0</v>
      </c>
      <c r="CA27" s="114">
        <f>SFP!BZ17</f>
        <v>0</v>
      </c>
      <c r="CB27" s="114">
        <f>SFP!CA17</f>
        <v>0</v>
      </c>
      <c r="CC27" s="114">
        <f>SFP!CB17</f>
        <v>0</v>
      </c>
      <c r="CD27" s="114">
        <f>SFP!CC17</f>
        <v>0</v>
      </c>
      <c r="CE27" s="114">
        <f>SFP!CD17</f>
        <v>14442917.6</v>
      </c>
      <c r="CF27" s="114">
        <f>SFP!CE17</f>
        <v>87528</v>
      </c>
    </row>
    <row r="28" spans="2:87">
      <c r="B28" s="32">
        <v>6.3</v>
      </c>
      <c r="C28" s="30" t="s">
        <v>204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2:87">
      <c r="B29" s="32">
        <v>7</v>
      </c>
      <c r="C29" s="26" t="s">
        <v>205</v>
      </c>
      <c r="D29" s="28">
        <f t="shared" ref="D29" si="33">D30-D31</f>
        <v>-3050258.2200000286</v>
      </c>
      <c r="E29" s="28">
        <f t="shared" ref="E29:I29" si="34">E30-E31</f>
        <v>-3902676.2400000095</v>
      </c>
      <c r="F29" s="28">
        <f t="shared" si="34"/>
        <v>-10016426</v>
      </c>
      <c r="G29" s="28">
        <f t="shared" si="34"/>
        <v>-2004119.400000006</v>
      </c>
      <c r="H29" s="28">
        <f t="shared" si="34"/>
        <v>-2320087</v>
      </c>
      <c r="I29" s="28">
        <f t="shared" si="34"/>
        <v>-2004119.400000006</v>
      </c>
      <c r="J29" s="28">
        <f t="shared" ref="J29:O29" si="35">J30-J31</f>
        <v>-7996958.099999994</v>
      </c>
      <c r="K29" s="28">
        <f t="shared" si="35"/>
        <v>-2004119.400000006</v>
      </c>
      <c r="L29" s="28">
        <f t="shared" si="35"/>
        <v>-2547249.599999994</v>
      </c>
      <c r="M29" s="28">
        <f t="shared" si="35"/>
        <v>-2160622.900000006</v>
      </c>
      <c r="N29" s="28">
        <f t="shared" si="35"/>
        <v>-2720125.3600000143</v>
      </c>
      <c r="O29" s="28">
        <f t="shared" si="35"/>
        <v>-3892150.4599999785</v>
      </c>
      <c r="P29" s="28">
        <f t="shared" ref="P29:S29" si="36">P30-P31</f>
        <v>-4393500.3000000119</v>
      </c>
      <c r="Q29" s="28">
        <f t="shared" si="36"/>
        <v>-5271719.1999999881</v>
      </c>
      <c r="R29" s="28">
        <f t="shared" si="36"/>
        <v>-7122341.1000000238</v>
      </c>
      <c r="S29" s="28">
        <f t="shared" si="36"/>
        <v>-7504736</v>
      </c>
      <c r="T29" s="28">
        <f t="shared" ref="T29:AO29" si="37">T30-T31</f>
        <v>-2010478.6999999881</v>
      </c>
      <c r="U29" s="28">
        <f t="shared" si="37"/>
        <v>-1010297.2299999893</v>
      </c>
      <c r="V29" s="28">
        <f t="shared" si="37"/>
        <v>-2065128.3000000119</v>
      </c>
      <c r="W29" s="28">
        <f t="shared" si="37"/>
        <v>-2370230.1000000238</v>
      </c>
      <c r="X29" s="28">
        <f t="shared" si="37"/>
        <v>-1213077.3000000119</v>
      </c>
      <c r="Y29" s="28">
        <f t="shared" si="37"/>
        <v>-996699.5</v>
      </c>
      <c r="Z29" s="28">
        <f t="shared" si="37"/>
        <v>-1099590.099999994</v>
      </c>
      <c r="AA29" s="28">
        <f t="shared" si="37"/>
        <v>-2054575.6999999881</v>
      </c>
      <c r="AB29" s="28">
        <f t="shared" si="37"/>
        <v>-1356716.5</v>
      </c>
      <c r="AC29" s="28">
        <f t="shared" si="37"/>
        <v>-11922707.819999993</v>
      </c>
      <c r="AD29" s="28">
        <f t="shared" si="37"/>
        <v>-10596214.780000001</v>
      </c>
      <c r="AE29" s="28">
        <f t="shared" si="37"/>
        <v>-18317842.539999992</v>
      </c>
      <c r="AF29" s="28">
        <f t="shared" si="37"/>
        <v>-11235789.359999985</v>
      </c>
      <c r="AG29" s="28">
        <f t="shared" si="37"/>
        <v>-12369785.300000012</v>
      </c>
      <c r="AH29" s="28">
        <f t="shared" si="37"/>
        <v>-11924753.060000002</v>
      </c>
      <c r="AI29" s="28">
        <f t="shared" si="37"/>
        <v>-12394567.889999986</v>
      </c>
      <c r="AJ29" s="28">
        <f t="shared" si="37"/>
        <v>-11095882.660000026</v>
      </c>
      <c r="AK29" s="28">
        <f t="shared" si="37"/>
        <v>-13741670.949999988</v>
      </c>
      <c r="AL29" s="28">
        <f t="shared" si="37"/>
        <v>-13340487.360000014</v>
      </c>
      <c r="AM29" s="28">
        <f t="shared" si="37"/>
        <v>-10375125.459999979</v>
      </c>
      <c r="AN29" s="28">
        <f t="shared" si="37"/>
        <v>-13645903.319999993</v>
      </c>
      <c r="AO29" s="28">
        <f t="shared" si="37"/>
        <v>-14379389.600000024</v>
      </c>
      <c r="AP29" s="28">
        <f t="shared" ref="AP29:CE29" si="38">AP30-AP31</f>
        <v>-9825396.4499999881</v>
      </c>
      <c r="AQ29" s="28">
        <f t="shared" si="38"/>
        <v>-13788863.529999971</v>
      </c>
      <c r="AR29" s="28">
        <f t="shared" si="38"/>
        <v>-13277969</v>
      </c>
      <c r="AS29" s="28">
        <f t="shared" si="38"/>
        <v>-13245897.399999976</v>
      </c>
      <c r="AT29" s="28">
        <f t="shared" si="38"/>
        <v>-11245365.329999983</v>
      </c>
      <c r="AU29" s="28">
        <f t="shared" si="38"/>
        <v>-12757388.220000029</v>
      </c>
      <c r="AV29" s="28">
        <f t="shared" si="38"/>
        <v>-13526987.399999976</v>
      </c>
      <c r="AW29" s="28">
        <f t="shared" si="38"/>
        <v>-14369785.199999988</v>
      </c>
      <c r="AX29" s="28">
        <f t="shared" si="38"/>
        <v>-10502228.060000002</v>
      </c>
      <c r="AY29" s="28">
        <f t="shared" si="38"/>
        <v>-11868566.089999974</v>
      </c>
      <c r="AZ29" s="28">
        <f t="shared" si="38"/>
        <v>-9807410.5699999928</v>
      </c>
      <c r="BA29" s="28">
        <f t="shared" si="38"/>
        <v>-9609968.0799999833</v>
      </c>
      <c r="BB29" s="28">
        <f t="shared" si="38"/>
        <v>-9609968.0780000091</v>
      </c>
      <c r="BC29" s="28">
        <f t="shared" si="38"/>
        <v>-10509438.790000021</v>
      </c>
      <c r="BD29" s="28">
        <f t="shared" si="38"/>
        <v>-12013231.399999976</v>
      </c>
      <c r="BE29" s="28">
        <f t="shared" si="38"/>
        <v>-16777969</v>
      </c>
      <c r="BF29" s="28">
        <f t="shared" si="38"/>
        <v>-9625368.9200000167</v>
      </c>
      <c r="BG29" s="28">
        <f t="shared" si="38"/>
        <v>-10225012.399999976</v>
      </c>
      <c r="BH29" s="28">
        <f t="shared" si="38"/>
        <v>-10867106.209999979</v>
      </c>
      <c r="BI29" s="28">
        <f t="shared" si="38"/>
        <v>-10735257.350000024</v>
      </c>
      <c r="BJ29" s="28">
        <f t="shared" si="38"/>
        <v>-9298227.2699999809</v>
      </c>
      <c r="BK29" s="28">
        <f t="shared" si="38"/>
        <v>-9879712.8899999857</v>
      </c>
      <c r="BL29" s="28">
        <f t="shared" si="38"/>
        <v>-9507885.6700000167</v>
      </c>
      <c r="BM29" s="28">
        <f t="shared" si="38"/>
        <v>-9703533.5500000119</v>
      </c>
      <c r="BN29" s="28">
        <f t="shared" si="38"/>
        <v>-9824517.4700000286</v>
      </c>
      <c r="BO29" s="28">
        <f t="shared" si="38"/>
        <v>-10001064.050000012</v>
      </c>
      <c r="BP29" s="28">
        <f t="shared" si="38"/>
        <v>-10778845.149999976</v>
      </c>
      <c r="BQ29" s="28">
        <f t="shared" si="38"/>
        <v>-22777969</v>
      </c>
      <c r="BR29" s="28">
        <f t="shared" si="38"/>
        <v>-22777969</v>
      </c>
      <c r="BS29" s="28">
        <f t="shared" si="38"/>
        <v>-10523347</v>
      </c>
      <c r="BT29" s="28">
        <f t="shared" si="38"/>
        <v>-11311510.800000012</v>
      </c>
      <c r="BU29" s="28">
        <f t="shared" si="38"/>
        <v>-10722159.170000017</v>
      </c>
      <c r="BV29" s="28">
        <f t="shared" si="38"/>
        <v>-8260963.2300000191</v>
      </c>
      <c r="BW29" s="28">
        <f t="shared" si="38"/>
        <v>-9145689.1999999881</v>
      </c>
      <c r="BX29" s="28">
        <f t="shared" si="38"/>
        <v>-10699318.170000017</v>
      </c>
      <c r="BY29" s="28">
        <f t="shared" si="38"/>
        <v>0</v>
      </c>
      <c r="BZ29" s="28">
        <f t="shared" si="38"/>
        <v>-10257200.410000026</v>
      </c>
      <c r="CA29" s="28">
        <f t="shared" si="38"/>
        <v>-10239569.699999988</v>
      </c>
      <c r="CB29" s="28">
        <f t="shared" si="38"/>
        <v>-10413070.060000002</v>
      </c>
      <c r="CC29" s="28">
        <f t="shared" si="38"/>
        <v>-11552130.319999993</v>
      </c>
      <c r="CD29" s="28">
        <f t="shared" si="38"/>
        <v>-29769969.00999999</v>
      </c>
      <c r="CE29" s="28">
        <f t="shared" si="38"/>
        <v>-29777969</v>
      </c>
      <c r="CF29" s="28">
        <f t="shared" ref="CF29" si="39">CF30-CF31</f>
        <v>-36777969</v>
      </c>
    </row>
    <row r="30" spans="2:87">
      <c r="B30" s="32">
        <v>7.1</v>
      </c>
      <c r="C30" s="26" t="s">
        <v>206</v>
      </c>
      <c r="D30" s="46">
        <f>SFP!C19</f>
        <v>302428962.77999997</v>
      </c>
      <c r="E30" s="46">
        <f>SFP!D19</f>
        <v>191231135.67999998</v>
      </c>
      <c r="F30" s="46">
        <f>SFP!E19</f>
        <v>237111555</v>
      </c>
      <c r="G30" s="46">
        <f>SFP!F19</f>
        <v>241110507.34999999</v>
      </c>
      <c r="H30" s="46">
        <f>SFP!G19</f>
        <v>241553441.36000001</v>
      </c>
      <c r="I30" s="46">
        <f>SFP!H19</f>
        <v>231226828.19999999</v>
      </c>
      <c r="J30" s="46">
        <f>SFP!I19</f>
        <v>233416834.37</v>
      </c>
      <c r="K30" s="46">
        <f>SFP!J19</f>
        <v>239409673.06999999</v>
      </c>
      <c r="L30" s="46">
        <f>SFP!K19</f>
        <v>239306494.87</v>
      </c>
      <c r="M30" s="46">
        <f>SFP!L19</f>
        <v>247652563.03</v>
      </c>
      <c r="N30" s="46">
        <f>SFP!M19</f>
        <v>248147867.94</v>
      </c>
      <c r="O30" s="46">
        <f>SFP!N19</f>
        <v>281258940.47000003</v>
      </c>
      <c r="P30" s="46">
        <f>SFP!O19</f>
        <v>310709484.37</v>
      </c>
      <c r="Q30" s="46">
        <f>SFP!P19</f>
        <v>310506280.38999999</v>
      </c>
      <c r="R30" s="46">
        <f>SFP!Q19</f>
        <v>322565389.39999998</v>
      </c>
      <c r="S30" s="46">
        <f>SFP!R19</f>
        <v>251297076</v>
      </c>
      <c r="T30" s="46">
        <f>SFP!S19</f>
        <v>337314496.5</v>
      </c>
      <c r="U30" s="46">
        <f>SFP!T19</f>
        <v>252099840.56</v>
      </c>
      <c r="V30" s="46">
        <f>SFP!U19</f>
        <v>259374906.69999999</v>
      </c>
      <c r="W30" s="46">
        <f>SFP!V19</f>
        <v>270402776.57999998</v>
      </c>
      <c r="X30" s="46">
        <f>SFP!W19</f>
        <v>252010889.03999999</v>
      </c>
      <c r="Y30" s="46">
        <f>SFP!X19</f>
        <v>251640607.31</v>
      </c>
      <c r="Z30" s="46">
        <f>SFP!Y19</f>
        <v>250023876.90000001</v>
      </c>
      <c r="AA30" s="46">
        <f>SFP!Z19</f>
        <v>262419846.22</v>
      </c>
      <c r="AB30" s="46">
        <f>SFP!AA19</f>
        <v>263461071.78</v>
      </c>
      <c r="AC30" s="46">
        <f>SFP!AB19</f>
        <v>251468305.49000001</v>
      </c>
      <c r="AD30" s="46">
        <f>SFP!AC19</f>
        <v>254694601.60999998</v>
      </c>
      <c r="AE30" s="46">
        <f>SFP!AD19</f>
        <v>252287355.40000001</v>
      </c>
      <c r="AF30" s="46">
        <f>SFP!AE19</f>
        <v>256064816.85000002</v>
      </c>
      <c r="AG30" s="46">
        <f>SFP!AF19</f>
        <v>261915624.90999997</v>
      </c>
      <c r="AH30" s="46">
        <f>SFP!AG19</f>
        <v>280329618.07999998</v>
      </c>
      <c r="AI30" s="46">
        <f>SFP!AH19</f>
        <v>286826643.24000001</v>
      </c>
      <c r="AJ30" s="46">
        <f>SFP!AI19</f>
        <v>283202808.91999996</v>
      </c>
      <c r="AK30" s="46">
        <f>SFP!AJ19</f>
        <v>285065956.56999999</v>
      </c>
      <c r="AL30" s="46">
        <f>SFP!AK19</f>
        <v>289291773.83999997</v>
      </c>
      <c r="AM30" s="46">
        <f>SFP!AL19</f>
        <v>310404752.12</v>
      </c>
      <c r="AN30" s="46">
        <f>SFP!AM19</f>
        <v>310081509.88</v>
      </c>
      <c r="AO30" s="46">
        <f>SFP!AN19</f>
        <v>306219373.81999999</v>
      </c>
      <c r="AP30" s="46">
        <f>SFP!AO19</f>
        <v>331504572.11000001</v>
      </c>
      <c r="AQ30" s="46">
        <f>SFP!AP19</f>
        <v>320811825.19000006</v>
      </c>
      <c r="AR30" s="46">
        <f>SFP!AQ19</f>
        <v>320811825</v>
      </c>
      <c r="AS30" s="46">
        <f>SFP!AR19</f>
        <v>327812255.02000004</v>
      </c>
      <c r="AT30" s="46">
        <f>SFP!AS19</f>
        <v>336206155.62</v>
      </c>
      <c r="AU30" s="46">
        <f>SFP!AT19</f>
        <v>323174104.08999997</v>
      </c>
      <c r="AV30" s="46">
        <f>SFP!AU19</f>
        <v>325273966.25</v>
      </c>
      <c r="AW30" s="46">
        <f>SFP!AV19</f>
        <v>317507132.91000003</v>
      </c>
      <c r="AX30" s="46">
        <f>SFP!AW19</f>
        <v>317662135.20999998</v>
      </c>
      <c r="AY30" s="46">
        <f>SFP!AX19</f>
        <v>321166199</v>
      </c>
      <c r="AZ30" s="46">
        <f>SFP!AY19</f>
        <v>304746854.81999999</v>
      </c>
      <c r="BA30" s="46">
        <f>SFP!AZ19</f>
        <v>301879208.22000003</v>
      </c>
      <c r="BB30" s="46">
        <f>SFP!BA19</f>
        <v>301879208.222</v>
      </c>
      <c r="BC30" s="46">
        <f>SFP!BB19</f>
        <v>310894192.27999997</v>
      </c>
      <c r="BD30" s="46">
        <f>SFP!BC19</f>
        <v>306435197.44</v>
      </c>
      <c r="BE30" s="46">
        <f>SFP!BD19</f>
        <v>301683860</v>
      </c>
      <c r="BF30" s="46">
        <f>SFP!BE19</f>
        <v>338529288.02999997</v>
      </c>
      <c r="BG30" s="46">
        <f>SFP!BF19</f>
        <v>344320366.87</v>
      </c>
      <c r="BH30" s="46">
        <f>SFP!BG19</f>
        <v>337609689.21000004</v>
      </c>
      <c r="BI30" s="46">
        <f>SFP!BH19</f>
        <v>336065853.03999996</v>
      </c>
      <c r="BJ30" s="46">
        <f>SFP!BI19</f>
        <v>346546100.87</v>
      </c>
      <c r="BK30" s="46">
        <f>SFP!BJ19</f>
        <v>338826132.65000004</v>
      </c>
      <c r="BL30" s="46">
        <f>SFP!BK19</f>
        <v>342647786.94999999</v>
      </c>
      <c r="BM30" s="46">
        <f>SFP!BL19</f>
        <v>371533885.44</v>
      </c>
      <c r="BN30" s="46">
        <f>SFP!BM19</f>
        <v>356274216.97999996</v>
      </c>
      <c r="BO30" s="46">
        <f>SFP!BN19</f>
        <v>372748346.81</v>
      </c>
      <c r="BP30" s="46">
        <f>SFP!BO19</f>
        <v>381968141.76000005</v>
      </c>
      <c r="BQ30" s="46">
        <f>SFP!BP19</f>
        <v>383438488.13999999</v>
      </c>
      <c r="BR30" s="46">
        <f>SFP!BQ19</f>
        <v>383266443.29999995</v>
      </c>
      <c r="BS30" s="46">
        <f>SFP!BR19</f>
        <v>397715839.62</v>
      </c>
      <c r="BT30" s="46">
        <f>SFP!BS19</f>
        <v>390334781.50999999</v>
      </c>
      <c r="BU30" s="46">
        <f>SFP!BT19</f>
        <v>386390981.69999999</v>
      </c>
      <c r="BV30" s="46">
        <f>SFP!BU19</f>
        <v>375579590.94</v>
      </c>
      <c r="BW30" s="46">
        <f>SFP!BV19</f>
        <v>386700673.25999999</v>
      </c>
      <c r="BX30" s="46">
        <f>SFP!BW19</f>
        <v>393729111.33999997</v>
      </c>
      <c r="BY30" s="46">
        <f>SFP!BX19</f>
        <v>0</v>
      </c>
      <c r="BZ30" s="46">
        <f>SFP!BY19</f>
        <v>418843204.59999996</v>
      </c>
      <c r="CA30" s="46">
        <f>SFP!BZ19</f>
        <v>429608168.69999999</v>
      </c>
      <c r="CB30" s="46">
        <f>SFP!CA19</f>
        <v>449490462.88</v>
      </c>
      <c r="CC30" s="46">
        <f>SFP!CB19</f>
        <v>447040791.67000002</v>
      </c>
      <c r="CD30" s="46">
        <f>SFP!CC19</f>
        <v>441338887.85000002</v>
      </c>
      <c r="CE30" s="46">
        <f>SFP!CD19</f>
        <v>441338887.85000002</v>
      </c>
      <c r="CF30" s="46">
        <f>SFP!CE19</f>
        <v>493093543</v>
      </c>
    </row>
    <row r="31" spans="2:87">
      <c r="B31" s="32">
        <v>7.2</v>
      </c>
      <c r="C31" s="26" t="s">
        <v>207</v>
      </c>
      <c r="D31" s="46">
        <f>SFP!C20</f>
        <v>305479221</v>
      </c>
      <c r="E31" s="46">
        <f>SFP!D20</f>
        <v>195133811.91999999</v>
      </c>
      <c r="F31" s="46">
        <f>SFP!E20</f>
        <v>247127981</v>
      </c>
      <c r="G31" s="46">
        <f>SFP!F20</f>
        <v>243114626.75</v>
      </c>
      <c r="H31" s="46">
        <f>SFP!G20</f>
        <v>243873528.36000001</v>
      </c>
      <c r="I31" s="46">
        <f>SFP!H20</f>
        <v>233230947.59999999</v>
      </c>
      <c r="J31" s="46">
        <f>SFP!I20</f>
        <v>241413792.47</v>
      </c>
      <c r="K31" s="46">
        <f>SFP!J20</f>
        <v>241413792.47</v>
      </c>
      <c r="L31" s="46">
        <f>SFP!K20</f>
        <v>241853744.47</v>
      </c>
      <c r="M31" s="46">
        <f>SFP!L20</f>
        <v>249813185.93000001</v>
      </c>
      <c r="N31" s="46">
        <f>SFP!M20</f>
        <v>250867993.30000001</v>
      </c>
      <c r="O31" s="46">
        <f>SFP!N20</f>
        <v>285151090.93000001</v>
      </c>
      <c r="P31" s="46">
        <f>SFP!O20</f>
        <v>315102984.67000002</v>
      </c>
      <c r="Q31" s="46">
        <f>SFP!P20</f>
        <v>315777999.58999997</v>
      </c>
      <c r="R31" s="46">
        <f>SFP!Q20</f>
        <v>329687730.5</v>
      </c>
      <c r="S31" s="46">
        <f>SFP!R20</f>
        <v>258801812</v>
      </c>
      <c r="T31" s="46">
        <f>SFP!S20</f>
        <v>339324975.19999999</v>
      </c>
      <c r="U31" s="46">
        <f>SFP!T20</f>
        <v>253110137.78999999</v>
      </c>
      <c r="V31" s="46">
        <f>SFP!U20</f>
        <v>261440035</v>
      </c>
      <c r="W31" s="46">
        <f>SFP!V20</f>
        <v>272773006.68000001</v>
      </c>
      <c r="X31" s="46">
        <f>SFP!W20</f>
        <v>253223966.34</v>
      </c>
      <c r="Y31" s="46">
        <f>SFP!X20</f>
        <v>252637306.81</v>
      </c>
      <c r="Z31" s="46">
        <f>SFP!Y20</f>
        <v>251123467</v>
      </c>
      <c r="AA31" s="46">
        <f>SFP!Z20</f>
        <v>264474421.91999999</v>
      </c>
      <c r="AB31" s="46">
        <f>SFP!AA20</f>
        <v>264817788.28</v>
      </c>
      <c r="AC31" s="46">
        <f>SFP!AB20</f>
        <v>263391013.31</v>
      </c>
      <c r="AD31" s="46">
        <f>SFP!AC20</f>
        <v>265290816.38999999</v>
      </c>
      <c r="AE31" s="46">
        <f>SFP!AD20</f>
        <v>270605197.94</v>
      </c>
      <c r="AF31" s="46">
        <f>SFP!AE20</f>
        <v>267300606.21000001</v>
      </c>
      <c r="AG31" s="46">
        <f>SFP!AF20</f>
        <v>274285410.20999998</v>
      </c>
      <c r="AH31" s="46">
        <f>SFP!AG20</f>
        <v>292254371.13999999</v>
      </c>
      <c r="AI31" s="46">
        <f>SFP!AH20</f>
        <v>299221211.13</v>
      </c>
      <c r="AJ31" s="46">
        <f>SFP!AI20</f>
        <v>294298691.57999998</v>
      </c>
      <c r="AK31" s="46">
        <f>SFP!AJ20</f>
        <v>298807627.51999998</v>
      </c>
      <c r="AL31" s="46">
        <f>SFP!AK20</f>
        <v>302632261.19999999</v>
      </c>
      <c r="AM31" s="46">
        <f>SFP!AL20</f>
        <v>320779877.57999998</v>
      </c>
      <c r="AN31" s="46">
        <f>SFP!AM20</f>
        <v>323727413.19999999</v>
      </c>
      <c r="AO31" s="46">
        <f>SFP!AN20</f>
        <v>320598763.42000002</v>
      </c>
      <c r="AP31" s="46">
        <f>SFP!AO20</f>
        <v>341329968.56</v>
      </c>
      <c r="AQ31" s="46">
        <f>SFP!AP20</f>
        <v>334600688.72000003</v>
      </c>
      <c r="AR31" s="46">
        <f>SFP!AQ20</f>
        <v>334089794</v>
      </c>
      <c r="AS31" s="46">
        <f>SFP!AR20</f>
        <v>341058152.42000002</v>
      </c>
      <c r="AT31" s="46">
        <f>SFP!AS20</f>
        <v>347451520.94999999</v>
      </c>
      <c r="AU31" s="46">
        <f>SFP!AT20</f>
        <v>335931492.31</v>
      </c>
      <c r="AV31" s="46">
        <f>SFP!AU20</f>
        <v>338800953.64999998</v>
      </c>
      <c r="AW31" s="46">
        <f>SFP!AV20</f>
        <v>331876918.11000001</v>
      </c>
      <c r="AX31" s="46">
        <f>SFP!AW20</f>
        <v>328164363.26999998</v>
      </c>
      <c r="AY31" s="46">
        <f>SFP!AX20</f>
        <v>333034765.08999997</v>
      </c>
      <c r="AZ31" s="46">
        <f>SFP!AY20</f>
        <v>314554265.38999999</v>
      </c>
      <c r="BA31" s="46">
        <f>SFP!AZ20</f>
        <v>311489176.30000001</v>
      </c>
      <c r="BB31" s="46">
        <f>SFP!BA20</f>
        <v>311489176.30000001</v>
      </c>
      <c r="BC31" s="46">
        <f>SFP!BB20</f>
        <v>321403631.06999999</v>
      </c>
      <c r="BD31" s="46">
        <f>SFP!BC20</f>
        <v>318448428.83999997</v>
      </c>
      <c r="BE31" s="46">
        <f>SFP!BD20</f>
        <v>318461829</v>
      </c>
      <c r="BF31" s="46">
        <f>SFP!BE20</f>
        <v>348154656.94999999</v>
      </c>
      <c r="BG31" s="46">
        <f>SFP!BF20</f>
        <v>354545379.26999998</v>
      </c>
      <c r="BH31" s="46">
        <f>SFP!BG20</f>
        <v>348476795.42000002</v>
      </c>
      <c r="BI31" s="46">
        <f>SFP!BH20</f>
        <v>346801110.38999999</v>
      </c>
      <c r="BJ31" s="46">
        <f>SFP!BI20</f>
        <v>355844328.13999999</v>
      </c>
      <c r="BK31" s="46">
        <f>SFP!BJ20</f>
        <v>348705845.54000002</v>
      </c>
      <c r="BL31" s="46">
        <f>SFP!BK20</f>
        <v>352155672.62</v>
      </c>
      <c r="BM31" s="46">
        <f>SFP!BL20</f>
        <v>381237418.99000001</v>
      </c>
      <c r="BN31" s="46">
        <f>SFP!BM20</f>
        <v>366098734.44999999</v>
      </c>
      <c r="BO31" s="46">
        <f>SFP!BN20</f>
        <v>382749410.86000001</v>
      </c>
      <c r="BP31" s="46">
        <f>SFP!BO20</f>
        <v>392746986.91000003</v>
      </c>
      <c r="BQ31" s="46">
        <f>SFP!BP20</f>
        <v>406216457.13999999</v>
      </c>
      <c r="BR31" s="46">
        <f>SFP!BQ20</f>
        <v>406044412.29999995</v>
      </c>
      <c r="BS31" s="46">
        <f>SFP!BR20</f>
        <v>408239186.62</v>
      </c>
      <c r="BT31" s="46">
        <f>SFP!BS20</f>
        <v>401646292.31</v>
      </c>
      <c r="BU31" s="46">
        <f>SFP!BT20</f>
        <v>397113140.87</v>
      </c>
      <c r="BV31" s="46">
        <f>SFP!BU20</f>
        <v>383840554.17000002</v>
      </c>
      <c r="BW31" s="46">
        <f>SFP!BV20</f>
        <v>395846362.45999998</v>
      </c>
      <c r="BX31" s="46">
        <f>SFP!BW20</f>
        <v>404428429.50999999</v>
      </c>
      <c r="BY31" s="46">
        <f>SFP!BX20</f>
        <v>0</v>
      </c>
      <c r="BZ31" s="46">
        <f>SFP!BY20</f>
        <v>429100405.00999999</v>
      </c>
      <c r="CA31" s="46">
        <f>SFP!BZ20</f>
        <v>439847738.39999998</v>
      </c>
      <c r="CB31" s="46">
        <f>SFP!CA20</f>
        <v>459903532.94</v>
      </c>
      <c r="CC31" s="46">
        <f>SFP!CB20</f>
        <v>458592921.99000001</v>
      </c>
      <c r="CD31" s="46">
        <f>SFP!CC20</f>
        <v>471108856.86000001</v>
      </c>
      <c r="CE31" s="46">
        <f>SFP!CD20</f>
        <v>471116856.85000002</v>
      </c>
      <c r="CF31" s="46">
        <f>SFP!CE20</f>
        <v>529871512</v>
      </c>
    </row>
    <row r="33" spans="2:84" s="18" customFormat="1">
      <c r="B33" s="32">
        <v>8</v>
      </c>
      <c r="C33" s="26" t="s">
        <v>208</v>
      </c>
      <c r="D33" s="28">
        <f>SFP!C13+SFP!C22+SFP!C26</f>
        <v>138479194.32999998</v>
      </c>
      <c r="E33" s="28">
        <f>SFP!D13+SFP!D22+SFP!D26</f>
        <v>275877078.83999997</v>
      </c>
      <c r="F33" s="28">
        <f>SFP!E13+SFP!E22+SFP!E26</f>
        <v>278629863</v>
      </c>
      <c r="G33" s="28">
        <f>SFP!F13+SFP!F22+SFP!F26</f>
        <v>192127501.53</v>
      </c>
      <c r="H33" s="28">
        <f>SFP!G13+SFP!G22+SFP!G26</f>
        <v>273797255.18000001</v>
      </c>
      <c r="I33" s="28">
        <f>SFP!H13+SFP!H22+SFP!H26</f>
        <v>274691264.25</v>
      </c>
      <c r="J33" s="28">
        <f>SFP!I13+SFP!I22+SFP!I26</f>
        <v>296732594.36000001</v>
      </c>
      <c r="K33" s="28">
        <f>SFP!J13+SFP!J22+SFP!J26</f>
        <v>33352375.649999999</v>
      </c>
      <c r="L33" s="28">
        <f>SFP!K13+SFP!K22+SFP!K26</f>
        <v>283117305.86000001</v>
      </c>
      <c r="M33" s="28">
        <f>SFP!L13+SFP!L22+SFP!L26</f>
        <v>282865968.18000001</v>
      </c>
      <c r="N33" s="28">
        <f>SFP!M13+SFP!M22+SFP!M26</f>
        <v>290803591.24000001</v>
      </c>
      <c r="O33" s="28">
        <f>SFP!N13+SFP!N22+SFP!N26</f>
        <v>39853018.630000003</v>
      </c>
      <c r="P33" s="28">
        <f>SFP!O13+SFP!O22+SFP!O26</f>
        <v>310457530.39999998</v>
      </c>
      <c r="Q33" s="28">
        <f>SFP!P13+SFP!P22+SFP!P26</f>
        <v>335607071.5</v>
      </c>
      <c r="R33" s="28">
        <f>SFP!Q13+SFP!Q22+SFP!Q26</f>
        <v>322296870.88</v>
      </c>
      <c r="S33" s="28">
        <f>SFP!R13+SFP!R22+SFP!R26</f>
        <v>416484274.08870679</v>
      </c>
      <c r="T33" s="28">
        <f>SFP!S13+SFP!S22+SFP!S26</f>
        <v>300040934.63</v>
      </c>
      <c r="U33" s="28">
        <f>SFP!T13+SFP!T22+SFP!T26</f>
        <v>370872845.18000001</v>
      </c>
      <c r="V33" s="28">
        <f>SFP!U13+SFP!U22+SFP!U26</f>
        <v>363211920.36000001</v>
      </c>
      <c r="W33" s="28">
        <f>SFP!V13+SFP!V22+SFP!V26</f>
        <v>364715120.58999997</v>
      </c>
      <c r="X33" s="28">
        <f>SFP!W13+SFP!W22+SFP!W26</f>
        <v>457985223.83000004</v>
      </c>
      <c r="Y33" s="28">
        <f>SFP!X13+SFP!X22+SFP!X26</f>
        <v>427143397.87</v>
      </c>
      <c r="Z33" s="28">
        <f>SFP!Y13+SFP!Y22+SFP!Y26</f>
        <v>425494113.52999997</v>
      </c>
      <c r="AA33" s="28">
        <f>SFP!Z13+SFP!Z22+SFP!Z26</f>
        <v>416460461.81</v>
      </c>
      <c r="AB33" s="28">
        <f>SFP!AA13+SFP!AA22+SFP!AA26</f>
        <v>416649536.14999998</v>
      </c>
      <c r="AC33" s="28">
        <f>SFP!AB13+SFP!AB22+SFP!AB26</f>
        <v>431431486.52999997</v>
      </c>
      <c r="AD33" s="28">
        <f>SFP!AC13+SFP!AC22+SFP!AC26</f>
        <v>428791662.31999999</v>
      </c>
      <c r="AE33" s="28">
        <f>SFP!AD13+SFP!AD22+SFP!AD26</f>
        <v>446753204.34000003</v>
      </c>
      <c r="AF33" s="28">
        <f>SFP!AE13+SFP!AE22+SFP!AE26</f>
        <v>428053516.06</v>
      </c>
      <c r="AG33" s="28">
        <f>SFP!AF13+SFP!AF22+SFP!AF26</f>
        <v>434746054.73000002</v>
      </c>
      <c r="AH33" s="28">
        <f>SFP!AG13+SFP!AG22+SFP!AG26</f>
        <v>436911290.28999996</v>
      </c>
      <c r="AI33" s="28">
        <f>SFP!AH13+SFP!AH22+SFP!AH26</f>
        <v>432043678.64999998</v>
      </c>
      <c r="AJ33" s="28">
        <f>SFP!AI13+SFP!AI22+SFP!AI26</f>
        <v>477837793.13</v>
      </c>
      <c r="AK33" s="28">
        <f>SFP!AJ13+SFP!AJ22+SFP!AJ26</f>
        <v>472316223.19999999</v>
      </c>
      <c r="AL33" s="28">
        <f>SFP!AK13+SFP!AK22+SFP!AK26</f>
        <v>473319524.19</v>
      </c>
      <c r="AM33" s="28">
        <f>SFP!AL13+SFP!AL22+SFP!AL26</f>
        <v>453890089</v>
      </c>
      <c r="AN33" s="28">
        <f>SFP!AM13+SFP!AM22+SFP!AM26</f>
        <v>450834042.18000001</v>
      </c>
      <c r="AO33" s="28">
        <f>SFP!AN13+SFP!AN22+SFP!AN26</f>
        <v>454041998.38</v>
      </c>
      <c r="AP33" s="28">
        <f>SFP!AO13+SFP!AO22+SFP!AO26</f>
        <v>415679135.90999997</v>
      </c>
      <c r="AQ33" s="28">
        <f>SFP!AP13+SFP!AP22+SFP!AP26</f>
        <v>435074611.44</v>
      </c>
      <c r="AR33" s="28">
        <f>SFP!AQ13+SFP!AQ22+SFP!AQ26</f>
        <v>480976136</v>
      </c>
      <c r="AS33" s="28">
        <f>SFP!AR13+SFP!AR22+SFP!AR26</f>
        <v>421516153.44</v>
      </c>
      <c r="AT33" s="28">
        <f>SFP!AS13+SFP!AS22+SFP!AS26</f>
        <v>419003835.45999998</v>
      </c>
      <c r="AU33" s="28">
        <f>SFP!AT13+SFP!AT22+SFP!AT26</f>
        <v>439469007.92999995</v>
      </c>
      <c r="AV33" s="28">
        <f>SFP!AU13+SFP!AU22+SFP!AU26</f>
        <v>439884961.04999995</v>
      </c>
      <c r="AW33" s="28">
        <f>SFP!AV13+SFP!AV22+SFP!AV26</f>
        <v>463552945.64999998</v>
      </c>
      <c r="AX33" s="28">
        <f>SFP!AW13+SFP!AW22+SFP!AW26</f>
        <v>188627142.25999999</v>
      </c>
      <c r="AY33" s="28">
        <f>SFP!AX13+SFP!AX22+SFP!AX26</f>
        <v>468029144.99000001</v>
      </c>
      <c r="AZ33" s="28">
        <f>SFP!AY13+SFP!AY22+SFP!AY26</f>
        <v>484068443.73000002</v>
      </c>
      <c r="BA33" s="28">
        <f>SFP!AZ13+SFP!AZ22+SFP!AZ26</f>
        <v>483053072.39999998</v>
      </c>
      <c r="BB33" s="28">
        <f>SFP!BA13+SFP!BA22+SFP!BA26</f>
        <v>483053072.39999998</v>
      </c>
      <c r="BC33" s="28">
        <f>SFP!BB13+SFP!BB22+SFP!BB26</f>
        <v>482170024.19</v>
      </c>
      <c r="BD33" s="28">
        <f>SFP!BC13+SFP!BC22+SFP!BC26</f>
        <v>544618440.90999997</v>
      </c>
      <c r="BE33" s="28">
        <f>SFP!BD13+SFP!BD22+SFP!BD26</f>
        <v>462241421.19999999</v>
      </c>
      <c r="BF33" s="28">
        <f>SFP!BE13+SFP!BE22+SFP!BE26</f>
        <v>518613150.23000002</v>
      </c>
      <c r="BG33" s="28">
        <f>SFP!BF13+SFP!BF22+SFP!BF26</f>
        <v>502473974.5</v>
      </c>
      <c r="BH33" s="28">
        <f>SFP!BG13+SFP!BG22+SFP!BG26</f>
        <v>493499576.88</v>
      </c>
      <c r="BI33" s="28">
        <f>SFP!BH13+SFP!BH22+SFP!BH26</f>
        <v>500398958.17999995</v>
      </c>
      <c r="BJ33" s="28">
        <f>SFP!BI13+SFP!BI22+SFP!BI26</f>
        <v>497889406.44999993</v>
      </c>
      <c r="BK33" s="28">
        <f>SFP!BJ13+SFP!BJ22+SFP!BJ26</f>
        <v>507548507.98000002</v>
      </c>
      <c r="BL33" s="28">
        <f>SFP!BK13+SFP!BK22+SFP!BK26</f>
        <v>505015124.56999993</v>
      </c>
      <c r="BM33" s="28">
        <f>SFP!BL13+SFP!BL22+SFP!BL26</f>
        <v>481010483.63999999</v>
      </c>
      <c r="BN33" s="28">
        <f>SFP!BM13+SFP!BM22+SFP!BM26</f>
        <v>500495850.59000003</v>
      </c>
      <c r="BO33" s="28">
        <f>SFP!BN13+SFP!BN22+SFP!BN26</f>
        <v>560433919.38999999</v>
      </c>
      <c r="BP33" s="28">
        <f>SFP!BO13+SFP!BO22+SFP!BO26</f>
        <v>545268832.55999994</v>
      </c>
      <c r="BQ33" s="28">
        <f>SFP!BP13+SFP!BP22+SFP!BP26</f>
        <v>588698191.97000003</v>
      </c>
      <c r="BR33" s="28">
        <f>SFP!BQ13+SFP!BQ22+SFP!BQ26</f>
        <v>474208423.20000005</v>
      </c>
      <c r="BS33" s="28">
        <f>SFP!BR13+SFP!BR22+SFP!BR26</f>
        <v>575547933.26999998</v>
      </c>
      <c r="BT33" s="28">
        <f>SFP!BS13+SFP!BS22+SFP!BS26</f>
        <v>597396689.20999992</v>
      </c>
      <c r="BU33" s="28">
        <f>SFP!BT13+SFP!BT22+SFP!BT26</f>
        <v>586369979.86000001</v>
      </c>
      <c r="BV33" s="28">
        <f>SFP!BU13+SFP!BU22+SFP!BU26</f>
        <v>615237558.38</v>
      </c>
      <c r="BW33" s="28">
        <f>SFP!BV13+SFP!BV22+SFP!BV26</f>
        <v>628940892.72000003</v>
      </c>
      <c r="BX33" s="28">
        <f>SFP!BW13+SFP!BW22+SFP!BW26</f>
        <v>602987509.03999996</v>
      </c>
      <c r="BY33" s="28">
        <f>SFP!BX13+SFP!BX22+SFP!BX26</f>
        <v>0</v>
      </c>
      <c r="BZ33" s="28">
        <f>SFP!BY13+SFP!BY22+SFP!BY26</f>
        <v>611654059.55999994</v>
      </c>
      <c r="CA33" s="28">
        <f>SFP!BZ13+SFP!BZ22+SFP!BZ26</f>
        <v>598002635.26999998</v>
      </c>
      <c r="CB33" s="28">
        <f>SFP!CA13+SFP!CA22+SFP!CA26</f>
        <v>581694410.81999993</v>
      </c>
      <c r="CC33" s="28">
        <f>SFP!CB13+SFP!CB22+SFP!CB26</f>
        <v>575531562.97000003</v>
      </c>
      <c r="CD33" s="28">
        <f>SFP!CC13+SFP!CC22+SFP!CC26</f>
        <v>554659598.56999993</v>
      </c>
      <c r="CE33" s="28">
        <f>SFP!CD13+SFP!CD22+SFP!CD26</f>
        <v>481734454.54999995</v>
      </c>
      <c r="CF33" s="28">
        <f>SFP!CE13+SFP!CE22+SFP!CE26</f>
        <v>466352002</v>
      </c>
    </row>
    <row r="34" spans="2:84" s="18" customFormat="1">
      <c r="B34" s="32">
        <v>8.1</v>
      </c>
      <c r="C34" s="26" t="s">
        <v>209</v>
      </c>
      <c r="D34" s="28">
        <f>SFP!C28</f>
        <v>115864676.95999999</v>
      </c>
      <c r="E34" s="28">
        <f>SFP!D28</f>
        <v>6580531.96</v>
      </c>
      <c r="F34" s="28">
        <f>SFP!E28</f>
        <v>19672436</v>
      </c>
      <c r="G34" s="28">
        <f>SFP!F28</f>
        <v>21344949.579999998</v>
      </c>
      <c r="H34" s="28">
        <f>SFP!G28</f>
        <v>19672436</v>
      </c>
      <c r="I34" s="28">
        <f>SFP!H28</f>
        <v>19672436</v>
      </c>
      <c r="J34" s="28">
        <f>SFP!I28</f>
        <v>19672436</v>
      </c>
      <c r="K34" s="28">
        <f>SFP!J28</f>
        <v>19672436</v>
      </c>
      <c r="L34" s="28">
        <f>SFP!K28</f>
        <v>19672436</v>
      </c>
      <c r="M34" s="28">
        <f>SFP!L28</f>
        <v>19672436</v>
      </c>
      <c r="N34" s="28">
        <f>SFP!M28</f>
        <v>19672436</v>
      </c>
      <c r="O34" s="28">
        <f>SFP!N28</f>
        <v>39853018.630000003</v>
      </c>
      <c r="P34" s="28">
        <f>SFP!O28</f>
        <v>39853018.630000003</v>
      </c>
      <c r="Q34" s="28">
        <f>SFP!P28</f>
        <v>39853018.630000003</v>
      </c>
      <c r="R34" s="28">
        <f>SFP!Q28</f>
        <v>39853018.630000003</v>
      </c>
      <c r="S34" s="28">
        <f>SFP!R28</f>
        <v>19460785.356506836</v>
      </c>
      <c r="T34" s="28">
        <f>SFP!S28</f>
        <v>39853018.630000003</v>
      </c>
      <c r="U34" s="28">
        <f>SFP!T28</f>
        <v>39853018.630000003</v>
      </c>
      <c r="V34" s="28">
        <f>SFP!U28</f>
        <v>39853018.630000003</v>
      </c>
      <c r="W34" s="28">
        <f>SFP!V28</f>
        <v>30053018.629999999</v>
      </c>
      <c r="X34" s="28">
        <f>SFP!W28</f>
        <v>56865512.950000003</v>
      </c>
      <c r="Y34" s="28">
        <f>SFP!X28</f>
        <v>56877262.950000003</v>
      </c>
      <c r="Z34" s="28">
        <f>SFP!Y28</f>
        <v>56877262.950000003</v>
      </c>
      <c r="AA34" s="28">
        <f>SFP!Z28</f>
        <v>56877262.950000003</v>
      </c>
      <c r="AB34" s="28">
        <f>SFP!AA28</f>
        <v>56877262.950000003</v>
      </c>
      <c r="AC34" s="28">
        <f>SFP!AB28</f>
        <v>56877262.950000003</v>
      </c>
      <c r="AD34" s="28">
        <f>SFP!AC28</f>
        <v>64241230</v>
      </c>
      <c r="AE34" s="28">
        <f>SFP!AD28</f>
        <v>64241230</v>
      </c>
      <c r="AF34" s="28">
        <f>SFP!AE28</f>
        <v>64306230</v>
      </c>
      <c r="AG34" s="28">
        <f>SFP!AF28</f>
        <v>64306230</v>
      </c>
      <c r="AH34" s="28">
        <f>SFP!AG28</f>
        <v>64306230</v>
      </c>
      <c r="AI34" s="28">
        <f>SFP!AH28</f>
        <v>64306230</v>
      </c>
      <c r="AJ34" s="28">
        <f>SFP!AI28</f>
        <v>64306230</v>
      </c>
      <c r="AK34" s="28">
        <f>SFP!AJ28</f>
        <v>64306230</v>
      </c>
      <c r="AL34" s="28">
        <f>SFP!AK28</f>
        <v>64306230</v>
      </c>
      <c r="AM34" s="28">
        <f>SFP!AL28</f>
        <v>64349730</v>
      </c>
      <c r="AN34" s="28">
        <f>SFP!AM28</f>
        <v>64349730</v>
      </c>
      <c r="AO34" s="28">
        <f>SFP!AN28</f>
        <v>64349730</v>
      </c>
      <c r="AP34" s="28">
        <f>SFP!AO28</f>
        <v>64349730</v>
      </c>
      <c r="AQ34" s="28">
        <f>SFP!AP28</f>
        <v>64349730</v>
      </c>
      <c r="AR34" s="28">
        <f>SFP!AQ28</f>
        <v>10334868</v>
      </c>
      <c r="AS34" s="28">
        <f>SFP!AR28</f>
        <v>75440365</v>
      </c>
      <c r="AT34" s="28">
        <f>SFP!AS28</f>
        <v>65640365</v>
      </c>
      <c r="AU34" s="28">
        <f>SFP!AT28</f>
        <v>65640365</v>
      </c>
      <c r="AV34" s="28">
        <f>SFP!AU28</f>
        <v>65640365</v>
      </c>
      <c r="AW34" s="28">
        <f>SFP!AV28</f>
        <v>65640365</v>
      </c>
      <c r="AX34" s="28">
        <f>SFP!AW28</f>
        <v>65640365</v>
      </c>
      <c r="AY34" s="28">
        <f>SFP!AX28</f>
        <v>66473165</v>
      </c>
      <c r="AZ34" s="28">
        <f>SFP!AY28</f>
        <v>66473165</v>
      </c>
      <c r="BA34" s="28">
        <f>SFP!AZ28</f>
        <v>66473165</v>
      </c>
      <c r="BB34" s="28">
        <f>SFP!BA28</f>
        <v>66473165</v>
      </c>
      <c r="BC34" s="28">
        <f>SFP!BB28</f>
        <v>66433165</v>
      </c>
      <c r="BD34" s="28">
        <f>SFP!BC28</f>
        <v>66433165</v>
      </c>
      <c r="BE34" s="28">
        <f>SFP!BD28</f>
        <v>50224362</v>
      </c>
      <c r="BF34" s="28">
        <f>SFP!BE28</f>
        <v>66433165</v>
      </c>
      <c r="BG34" s="28">
        <f>SFP!BF28</f>
        <v>66433165</v>
      </c>
      <c r="BH34" s="28">
        <f>SFP!BG28</f>
        <v>66433165</v>
      </c>
      <c r="BI34" s="28">
        <f>SFP!BH28</f>
        <v>66433165</v>
      </c>
      <c r="BJ34" s="28">
        <f>SFP!BI28</f>
        <v>66563665</v>
      </c>
      <c r="BK34" s="28">
        <f>SFP!BJ28</f>
        <v>66563665</v>
      </c>
      <c r="BL34" s="28">
        <f>SFP!BK28</f>
        <v>66563665</v>
      </c>
      <c r="BM34" s="28">
        <f>SFP!BL28</f>
        <v>66563665</v>
      </c>
      <c r="BN34" s="28">
        <f>SFP!BM28</f>
        <v>66747665</v>
      </c>
      <c r="BO34" s="28">
        <f>SFP!BN28</f>
        <v>66747665</v>
      </c>
      <c r="BP34" s="28">
        <f>SFP!BO28</f>
        <v>66747665</v>
      </c>
      <c r="BQ34" s="28">
        <f>SFP!BP28</f>
        <v>66747665</v>
      </c>
      <c r="BR34" s="28">
        <f>SFP!BQ28</f>
        <v>48670716.799999997</v>
      </c>
      <c r="BS34" s="28">
        <f>SFP!BR28</f>
        <v>66797865</v>
      </c>
      <c r="BT34" s="28">
        <f>SFP!BS28</f>
        <v>66797865</v>
      </c>
      <c r="BU34" s="28">
        <f>SFP!BT28</f>
        <v>66797865</v>
      </c>
      <c r="BV34" s="28">
        <f>SFP!BU28</f>
        <v>66797865</v>
      </c>
      <c r="BW34" s="28">
        <f>SFP!BV28</f>
        <v>66860865</v>
      </c>
      <c r="BX34" s="28">
        <f>SFP!BW28</f>
        <v>66785865</v>
      </c>
      <c r="BY34" s="28">
        <f>SFP!BX28</f>
        <v>0</v>
      </c>
      <c r="BZ34" s="28">
        <f>SFP!BY28</f>
        <v>66745865</v>
      </c>
      <c r="CA34" s="28">
        <f>SFP!BZ28</f>
        <v>66745865</v>
      </c>
      <c r="CB34" s="28">
        <f>SFP!CA28</f>
        <v>63005865</v>
      </c>
      <c r="CC34" s="28">
        <f>SFP!CB28</f>
        <v>63005865</v>
      </c>
      <c r="CD34" s="28">
        <f>SFP!CC28</f>
        <v>63005865</v>
      </c>
      <c r="CE34" s="28">
        <f>SFP!CD28</f>
        <v>46450358.799999997</v>
      </c>
      <c r="CF34" s="28">
        <f>SFP!CE28</f>
        <v>51204736</v>
      </c>
    </row>
    <row r="35" spans="2:84" s="18" customFormat="1">
      <c r="C35" s="24"/>
    </row>
    <row r="36" spans="2:84" s="18" customFormat="1">
      <c r="B36" s="32">
        <v>9</v>
      </c>
      <c r="C36" s="26" t="s">
        <v>168</v>
      </c>
      <c r="D36" s="42">
        <f t="shared" ref="D36" si="40">+D37+D38+D39</f>
        <v>45324711.310000002</v>
      </c>
      <c r="E36" s="42">
        <f t="shared" ref="E36:I36" si="41">+E37+E38+E39</f>
        <v>45274898.519999996</v>
      </c>
      <c r="F36" s="42">
        <f t="shared" si="41"/>
        <v>67694492</v>
      </c>
      <c r="G36" s="42">
        <f t="shared" si="41"/>
        <v>6107686.7800000003</v>
      </c>
      <c r="H36" s="42">
        <f t="shared" si="41"/>
        <v>10515264.210000001</v>
      </c>
      <c r="I36" s="42">
        <f t="shared" si="41"/>
        <v>14520009.91</v>
      </c>
      <c r="J36" s="42">
        <f t="shared" ref="J36:O36" si="42">+J37+J38+J39</f>
        <v>19445842.829999998</v>
      </c>
      <c r="K36" s="42">
        <f t="shared" si="42"/>
        <v>28051244.920000002</v>
      </c>
      <c r="L36" s="42">
        <f t="shared" si="42"/>
        <v>33770912.700000003</v>
      </c>
      <c r="M36" s="42">
        <f t="shared" si="42"/>
        <v>38728730.969999999</v>
      </c>
      <c r="N36" s="42">
        <f t="shared" si="42"/>
        <v>42479349.420000002</v>
      </c>
      <c r="O36" s="42">
        <f t="shared" si="42"/>
        <v>53899682.620000005</v>
      </c>
      <c r="P36" s="42">
        <f t="shared" ref="P36:S36" si="43">+P37+P38+P39</f>
        <v>58821648.030000001</v>
      </c>
      <c r="Q36" s="42">
        <f t="shared" si="43"/>
        <v>67737193.950000003</v>
      </c>
      <c r="R36" s="42">
        <f t="shared" si="43"/>
        <v>79548980.609999999</v>
      </c>
      <c r="S36" s="42">
        <f t="shared" si="43"/>
        <v>82952795.609999999</v>
      </c>
      <c r="T36" s="42">
        <f t="shared" ref="T36:AO36" si="44">+T37+T38+T39</f>
        <v>7320326.5</v>
      </c>
      <c r="U36" s="42">
        <f t="shared" si="44"/>
        <v>10942314.57</v>
      </c>
      <c r="V36" s="42">
        <f t="shared" si="44"/>
        <v>22186955.099999998</v>
      </c>
      <c r="W36" s="42">
        <f t="shared" si="44"/>
        <v>31065601.710000001</v>
      </c>
      <c r="X36" s="42">
        <f t="shared" si="44"/>
        <v>38667927.93</v>
      </c>
      <c r="Y36" s="42">
        <f t="shared" si="44"/>
        <v>42565799.260000005</v>
      </c>
      <c r="Z36" s="42">
        <f t="shared" si="44"/>
        <v>51020124.939999998</v>
      </c>
      <c r="AA36" s="42">
        <f t="shared" si="44"/>
        <v>53454536.260000005</v>
      </c>
      <c r="AB36" s="42">
        <f t="shared" si="44"/>
        <v>61054406.689999998</v>
      </c>
      <c r="AC36" s="42">
        <f t="shared" si="44"/>
        <v>66906799.110000007</v>
      </c>
      <c r="AD36" s="42">
        <f t="shared" si="44"/>
        <v>71024298.200000003</v>
      </c>
      <c r="AE36" s="42">
        <f t="shared" si="44"/>
        <v>80891038.640000001</v>
      </c>
      <c r="AF36" s="42">
        <f t="shared" si="44"/>
        <v>9796255.7200000007</v>
      </c>
      <c r="AG36" s="42">
        <f t="shared" si="44"/>
        <v>12957873.299999999</v>
      </c>
      <c r="AH36" s="42">
        <f t="shared" si="44"/>
        <v>19966172.75</v>
      </c>
      <c r="AI36" s="42">
        <f t="shared" si="44"/>
        <v>27890349.400000002</v>
      </c>
      <c r="AJ36" s="42">
        <f t="shared" si="44"/>
        <v>35579072.640000001</v>
      </c>
      <c r="AK36" s="42">
        <f t="shared" si="44"/>
        <v>49020252.130000003</v>
      </c>
      <c r="AL36" s="42">
        <f t="shared" si="44"/>
        <v>53843386.93</v>
      </c>
      <c r="AM36" s="42">
        <f t="shared" si="44"/>
        <v>62084911.270000003</v>
      </c>
      <c r="AN36" s="42">
        <f t="shared" si="44"/>
        <v>71252803.319999993</v>
      </c>
      <c r="AO36" s="42">
        <f t="shared" si="44"/>
        <v>81437577.829999983</v>
      </c>
      <c r="AP36" s="42">
        <f t="shared" ref="AP36:BQ36" si="45">+AP37+AP38+AP39</f>
        <v>88622056.849999994</v>
      </c>
      <c r="AQ36" s="42">
        <f t="shared" si="45"/>
        <v>98840399.789999992</v>
      </c>
      <c r="AR36" s="42">
        <f t="shared" si="45"/>
        <v>98899265</v>
      </c>
      <c r="AS36" s="42">
        <f t="shared" si="45"/>
        <v>9492170.6600000001</v>
      </c>
      <c r="AT36" s="42">
        <f t="shared" si="45"/>
        <v>19549503.220000003</v>
      </c>
      <c r="AU36" s="42">
        <f t="shared" si="45"/>
        <v>26390627.890000001</v>
      </c>
      <c r="AV36" s="42">
        <f t="shared" si="45"/>
        <v>36305908.780000001</v>
      </c>
      <c r="AW36" s="42">
        <f t="shared" si="45"/>
        <v>46154210.329999998</v>
      </c>
      <c r="AX36" s="42">
        <f t="shared" si="45"/>
        <v>56325418.990000002</v>
      </c>
      <c r="AY36" s="42">
        <f t="shared" si="45"/>
        <v>64400146.5</v>
      </c>
      <c r="AZ36" s="42">
        <f t="shared" si="45"/>
        <v>72829556.269999996</v>
      </c>
      <c r="BA36" s="42">
        <f t="shared" si="45"/>
        <v>81118431.00999999</v>
      </c>
      <c r="BB36" s="42">
        <f t="shared" si="45"/>
        <v>81118431.030000001</v>
      </c>
      <c r="BC36" s="42">
        <f t="shared" si="45"/>
        <v>101306384.56999999</v>
      </c>
      <c r="BD36" s="42">
        <f t="shared" si="45"/>
        <v>112068579.97</v>
      </c>
      <c r="BE36" s="42">
        <f t="shared" si="45"/>
        <v>116539340</v>
      </c>
      <c r="BF36" s="42">
        <f t="shared" si="45"/>
        <v>13222201.77</v>
      </c>
      <c r="BG36" s="42">
        <f t="shared" si="45"/>
        <v>24129652.209999997</v>
      </c>
      <c r="BH36" s="42">
        <f t="shared" si="45"/>
        <v>32380907.27</v>
      </c>
      <c r="BI36" s="42">
        <f t="shared" si="45"/>
        <v>40886819.090000004</v>
      </c>
      <c r="BJ36" s="42">
        <f t="shared" si="45"/>
        <v>47230715.25</v>
      </c>
      <c r="BK36" s="42">
        <f t="shared" si="45"/>
        <v>60995592.630000003</v>
      </c>
      <c r="BL36" s="42">
        <f t="shared" si="45"/>
        <v>68057098.829999998</v>
      </c>
      <c r="BM36" s="42">
        <f t="shared" si="45"/>
        <v>81057190.900000006</v>
      </c>
      <c r="BN36" s="42">
        <f t="shared" si="45"/>
        <v>93801008.040000007</v>
      </c>
      <c r="BO36" s="42">
        <f t="shared" si="45"/>
        <v>100544505.02000001</v>
      </c>
      <c r="BP36" s="42">
        <f t="shared" si="45"/>
        <v>109380364.98999999</v>
      </c>
      <c r="BQ36" s="42">
        <f t="shared" si="45"/>
        <v>128885187.56</v>
      </c>
      <c r="BR36" s="42">
        <f t="shared" ref="BR36:CE36" si="46">+BR37+BR38+BR39</f>
        <v>130417989.5</v>
      </c>
      <c r="BS36" s="42">
        <f t="shared" si="46"/>
        <v>15767882.869999999</v>
      </c>
      <c r="BT36" s="42">
        <f t="shared" si="46"/>
        <v>25589629.41</v>
      </c>
      <c r="BU36" s="42">
        <f t="shared" si="46"/>
        <v>36438987.620000005</v>
      </c>
      <c r="BV36" s="42">
        <f t="shared" si="46"/>
        <v>43423568.549999997</v>
      </c>
      <c r="BW36" s="42">
        <f t="shared" si="46"/>
        <v>54563915.109999999</v>
      </c>
      <c r="BX36" s="42">
        <f t="shared" si="46"/>
        <v>64548888.519999996</v>
      </c>
      <c r="BY36" s="42">
        <f t="shared" si="46"/>
        <v>0</v>
      </c>
      <c r="BZ36" s="42">
        <f t="shared" si="46"/>
        <v>88828983.610000014</v>
      </c>
      <c r="CA36" s="42">
        <f t="shared" si="46"/>
        <v>100966620.27000001</v>
      </c>
      <c r="CB36" s="42">
        <f t="shared" si="46"/>
        <v>114859464.59</v>
      </c>
      <c r="CC36" s="42">
        <f t="shared" si="46"/>
        <v>125968990.81999999</v>
      </c>
      <c r="CD36" s="42">
        <f t="shared" si="46"/>
        <v>139354553.92000002</v>
      </c>
      <c r="CE36" s="42">
        <f t="shared" si="46"/>
        <v>139354553.95000002</v>
      </c>
      <c r="CF36" s="42">
        <f t="shared" ref="CF36" si="47">+CF37+CF38+CF39</f>
        <v>159470389</v>
      </c>
    </row>
    <row r="37" spans="2:84">
      <c r="B37" s="25">
        <v>9.1</v>
      </c>
      <c r="C37" s="26" t="s">
        <v>210</v>
      </c>
      <c r="D37" s="28">
        <f>SCI!C12</f>
        <v>44346813.200000003</v>
      </c>
      <c r="E37" s="28">
        <f>SCI!D12</f>
        <v>43848892.969999999</v>
      </c>
      <c r="F37" s="28">
        <f>SCI!E12</f>
        <v>65095569</v>
      </c>
      <c r="G37" s="28">
        <f>SCI!F12</f>
        <v>5293412.2300000004</v>
      </c>
      <c r="H37" s="28">
        <f>SCI!G12</f>
        <v>8814618.7100000009</v>
      </c>
      <c r="I37" s="28">
        <f>SCI!H12</f>
        <v>11941257.960000001</v>
      </c>
      <c r="J37" s="28">
        <f>SCI!I12</f>
        <v>15976793.93</v>
      </c>
      <c r="K37" s="28">
        <f>SCI!J12</f>
        <v>22773179.190000001</v>
      </c>
      <c r="L37" s="28">
        <f>SCI!K12</f>
        <v>27786422.670000002</v>
      </c>
      <c r="M37" s="28">
        <f>SCI!L12</f>
        <v>31965435.260000002</v>
      </c>
      <c r="N37" s="28">
        <f>SCI!M12</f>
        <v>34301412.689999998</v>
      </c>
      <c r="O37" s="28">
        <f>SCI!N12</f>
        <v>45441102.810000002</v>
      </c>
      <c r="P37" s="28">
        <f>SCI!O12</f>
        <v>49657571.520000003</v>
      </c>
      <c r="Q37" s="28">
        <f>SCI!P12</f>
        <v>58085051.520000003</v>
      </c>
      <c r="R37" s="28">
        <f>SCI!Q12</f>
        <v>68498849.620000005</v>
      </c>
      <c r="S37" s="28">
        <f>SCI!R12</f>
        <v>80105334.890000001</v>
      </c>
      <c r="T37" s="28">
        <f>SCI!S12</f>
        <v>6240484.5</v>
      </c>
      <c r="U37" s="28">
        <f>SCI!T12</f>
        <v>9191283.4700000007</v>
      </c>
      <c r="V37" s="28">
        <f>SCI!U12</f>
        <v>19865408.059999999</v>
      </c>
      <c r="W37" s="28">
        <f>SCI!V12</f>
        <v>26331597.41</v>
      </c>
      <c r="X37" s="28">
        <f>SCI!W12</f>
        <v>32790873.82</v>
      </c>
      <c r="Y37" s="28">
        <f>SCI!X12</f>
        <v>36012060.560000002</v>
      </c>
      <c r="Z37" s="28">
        <f>SCI!Y12</f>
        <v>42911257.289999999</v>
      </c>
      <c r="AA37" s="28">
        <f>SCI!Z12</f>
        <v>44403801.710000001</v>
      </c>
      <c r="AB37" s="28">
        <f>SCI!AA12</f>
        <v>51348501.649999999</v>
      </c>
      <c r="AC37" s="28">
        <f>SCI!AB12</f>
        <v>56432182.560000002</v>
      </c>
      <c r="AD37" s="28">
        <f>SCI!AC12</f>
        <v>59911893.649999999</v>
      </c>
      <c r="AE37" s="28">
        <f>SCI!AD12</f>
        <v>68603616.090000004</v>
      </c>
      <c r="AF37" s="28">
        <f>SCI!AE12</f>
        <v>8340896.3600000003</v>
      </c>
      <c r="AG37" s="28">
        <f>SCI!AF12</f>
        <v>11346978.35</v>
      </c>
      <c r="AH37" s="28">
        <f>SCI!AG12</f>
        <v>16772740.85</v>
      </c>
      <c r="AI37" s="28">
        <f>SCI!AH12</f>
        <v>22533643.600000001</v>
      </c>
      <c r="AJ37" s="28">
        <f>SCI!AI12</f>
        <v>29220521.140000001</v>
      </c>
      <c r="AK37" s="28">
        <f>SCI!AJ12</f>
        <v>39968899.130000003</v>
      </c>
      <c r="AL37" s="28">
        <f>SCI!AK12</f>
        <v>44231305.530000001</v>
      </c>
      <c r="AM37" s="28">
        <f>SCI!AL12</f>
        <v>50819365.07</v>
      </c>
      <c r="AN37" s="28">
        <f>SCI!AM12</f>
        <v>59581625.119999997</v>
      </c>
      <c r="AO37" s="28">
        <f>SCI!AN12</f>
        <v>69449227.129999995</v>
      </c>
      <c r="AP37" s="28">
        <f>SCI!AO12</f>
        <v>75848223.799999997</v>
      </c>
      <c r="AQ37" s="28">
        <f>SCI!AP12</f>
        <v>82516332.439999998</v>
      </c>
      <c r="AR37" s="28">
        <f>SCI!AQ12</f>
        <v>82516332</v>
      </c>
      <c r="AS37" s="28">
        <f>SCI!AR12</f>
        <v>8805333.1600000001</v>
      </c>
      <c r="AT37" s="28">
        <f>SCI!AS12</f>
        <v>17804491.920000002</v>
      </c>
      <c r="AU37" s="28">
        <f>SCI!AT12</f>
        <v>23367416.390000001</v>
      </c>
      <c r="AV37" s="28">
        <f>SCI!AU12</f>
        <v>31714267.579999998</v>
      </c>
      <c r="AW37" s="28">
        <f>SCI!AV12</f>
        <v>40040278.93</v>
      </c>
      <c r="AX37" s="28">
        <f>SCI!AW12</f>
        <v>49076825.520000003</v>
      </c>
      <c r="AY37" s="28">
        <f>SCI!AX12</f>
        <v>55700743.18</v>
      </c>
      <c r="AZ37" s="28">
        <f>SCI!AY12</f>
        <v>62869798</v>
      </c>
      <c r="BA37" s="28">
        <f>SCI!AZ12</f>
        <v>69961555.939999998</v>
      </c>
      <c r="BB37" s="28">
        <f>SCI!BA12</f>
        <v>69961555.939999998</v>
      </c>
      <c r="BC37" s="28">
        <f>SCI!BB12</f>
        <v>87604924.849999994</v>
      </c>
      <c r="BD37" s="28">
        <f>SCI!BC12</f>
        <v>98040908.049999997</v>
      </c>
      <c r="BE37" s="28">
        <f>SCI!BD12</f>
        <v>98521727</v>
      </c>
      <c r="BF37" s="28">
        <f>SCI!BE12</f>
        <v>9463907.9700000007</v>
      </c>
      <c r="BG37" s="28">
        <f>SCI!BF12</f>
        <v>20608412.41</v>
      </c>
      <c r="BH37" s="28">
        <f>SCI!BG12</f>
        <v>27884516.07</v>
      </c>
      <c r="BI37" s="28">
        <f>SCI!BH12</f>
        <v>34642879.340000004</v>
      </c>
      <c r="BJ37" s="28">
        <f>SCI!BI12</f>
        <v>39516341.259999998</v>
      </c>
      <c r="BK37" s="28">
        <f>SCI!BJ12</f>
        <v>52060032.719999999</v>
      </c>
      <c r="BL37" s="28">
        <f>SCI!BK12</f>
        <v>58249943.409999996</v>
      </c>
      <c r="BM37" s="28">
        <f>SCI!BL12</f>
        <v>69491514.040000007</v>
      </c>
      <c r="BN37" s="28">
        <f>SCI!BM12</f>
        <v>81181260.400000006</v>
      </c>
      <c r="BO37" s="28">
        <f>SCI!BN12</f>
        <v>86756321.620000005</v>
      </c>
      <c r="BP37" s="28">
        <f>SCI!BO12</f>
        <v>94053167.569999993</v>
      </c>
      <c r="BQ37" s="28">
        <f>SCI!BP12</f>
        <v>112634989.90000001</v>
      </c>
      <c r="BR37" s="28">
        <f>SCI!BQ12</f>
        <v>112634989.90000001</v>
      </c>
      <c r="BS37" s="28">
        <f>SCI!BR12</f>
        <v>14539247.9</v>
      </c>
      <c r="BT37" s="28">
        <f>SCI!BS12</f>
        <v>23327465.940000001</v>
      </c>
      <c r="BU37" s="28">
        <f>SCI!BT12</f>
        <v>33316996.75</v>
      </c>
      <c r="BV37" s="28">
        <f>SCI!BU12</f>
        <v>35778819.380000003</v>
      </c>
      <c r="BW37" s="28">
        <f>SCI!BV12</f>
        <v>45263111.039999999</v>
      </c>
      <c r="BX37" s="28">
        <f>SCI!BW12</f>
        <v>53090883.25</v>
      </c>
      <c r="BY37" s="28">
        <f>SCI!BX12</f>
        <v>0</v>
      </c>
      <c r="BZ37" s="28">
        <f>SCI!BY12</f>
        <v>71863729.650000006</v>
      </c>
      <c r="CA37" s="28">
        <f>SCI!BZ12</f>
        <v>81505966.010000005</v>
      </c>
      <c r="CB37" s="28">
        <f>SCI!CA12</f>
        <v>93911600.530000001</v>
      </c>
      <c r="CC37" s="28">
        <f>SCI!CB12</f>
        <v>103967584.12</v>
      </c>
      <c r="CD37" s="28">
        <f>SCI!CC12</f>
        <v>115757297.91</v>
      </c>
      <c r="CE37" s="28">
        <f>SCI!CD12</f>
        <v>115757297.90000001</v>
      </c>
      <c r="CF37" s="28">
        <f>SCI!CE12</f>
        <v>123851259</v>
      </c>
    </row>
    <row r="38" spans="2:84">
      <c r="B38" s="25">
        <v>9.1999999999999993</v>
      </c>
      <c r="C38" s="26" t="s">
        <v>211</v>
      </c>
      <c r="D38" s="28">
        <f>SCI!C14</f>
        <v>337736.05</v>
      </c>
      <c r="E38" s="28">
        <f>SCI!D14</f>
        <v>1027520.05</v>
      </c>
      <c r="F38" s="28">
        <f>SCI!E14</f>
        <v>1328210</v>
      </c>
      <c r="G38" s="28">
        <f>SCI!F14</f>
        <v>319057.5</v>
      </c>
      <c r="H38" s="28">
        <f>SCI!G14</f>
        <v>625742</v>
      </c>
      <c r="I38" s="28">
        <f>SCI!H14</f>
        <v>945266</v>
      </c>
      <c r="J38" s="28">
        <f>SCI!I14</f>
        <v>1251725</v>
      </c>
      <c r="K38" s="28">
        <f>SCI!J14</f>
        <v>2054943.64</v>
      </c>
      <c r="L38" s="28">
        <f>SCI!K14</f>
        <v>2277488.6400000001</v>
      </c>
      <c r="M38" s="28">
        <f>SCI!L14</f>
        <v>2496039.64</v>
      </c>
      <c r="N38" s="28">
        <f>SCI!M14</f>
        <v>2873568.64</v>
      </c>
      <c r="O38" s="28">
        <f>SCI!N14</f>
        <v>5590391.8600000003</v>
      </c>
      <c r="P38" s="28">
        <f>SCI!O14</f>
        <v>6122572.8600000003</v>
      </c>
      <c r="Q38" s="28">
        <f>SCI!P14</f>
        <v>6319675.9000000004</v>
      </c>
      <c r="R38" s="28">
        <f>SCI!Q14</f>
        <v>7123546.9199999999</v>
      </c>
      <c r="S38" s="28">
        <f>SCI!R14</f>
        <v>396062</v>
      </c>
      <c r="T38" s="28">
        <f>SCI!S14</f>
        <v>688684</v>
      </c>
      <c r="U38" s="28">
        <f>SCI!T14</f>
        <v>1175683.1000000001</v>
      </c>
      <c r="V38" s="28">
        <f>SCI!U14</f>
        <v>1566079.14</v>
      </c>
      <c r="W38" s="28">
        <f>SCI!V14</f>
        <v>753262</v>
      </c>
      <c r="X38" s="28">
        <f>SCI!W14</f>
        <v>915277</v>
      </c>
      <c r="Y38" s="28">
        <f>SCI!X14</f>
        <v>1079715</v>
      </c>
      <c r="Z38" s="28">
        <f>SCI!Y14</f>
        <v>2111559.35</v>
      </c>
      <c r="AA38" s="28">
        <f>SCI!Z14</f>
        <v>2344509.35</v>
      </c>
      <c r="AB38" s="28">
        <f>SCI!AA14</f>
        <v>2420659.35</v>
      </c>
      <c r="AC38" s="28">
        <f>SCI!AB14</f>
        <v>2608519.35</v>
      </c>
      <c r="AD38" s="28">
        <f>SCI!AC14</f>
        <v>2758369.35</v>
      </c>
      <c r="AE38" s="28">
        <f>SCI!AD14</f>
        <v>3518309.35</v>
      </c>
      <c r="AF38" s="28">
        <f>SCI!AE14</f>
        <v>826983.36</v>
      </c>
      <c r="AG38" s="28">
        <f>SCI!AF14</f>
        <v>887325.45</v>
      </c>
      <c r="AH38" s="28">
        <f>SCI!AG14</f>
        <v>812495</v>
      </c>
      <c r="AI38" s="28">
        <f>SCI!AH14</f>
        <v>1226105.6000000001</v>
      </c>
      <c r="AJ38" s="28">
        <f>SCI!AI14</f>
        <v>1439799.6</v>
      </c>
      <c r="AK38" s="28">
        <f>SCI!AJ14</f>
        <v>3462834.6</v>
      </c>
      <c r="AL38" s="28">
        <f>SCI!AK14</f>
        <v>3919686.6</v>
      </c>
      <c r="AM38" s="28">
        <f>SCI!AL14</f>
        <v>4592296.5999999996</v>
      </c>
      <c r="AN38" s="28">
        <f>SCI!AM14</f>
        <v>4043946.6</v>
      </c>
      <c r="AO38" s="28">
        <f>SCI!AN14</f>
        <v>4054346.6</v>
      </c>
      <c r="AP38" s="28">
        <f>SCI!AO14</f>
        <v>4159983.05</v>
      </c>
      <c r="AQ38" s="28">
        <f>SCI!AP14</f>
        <v>4865763.05</v>
      </c>
      <c r="AR38" s="28">
        <f>SCI!AQ14</f>
        <v>4865763</v>
      </c>
      <c r="AS38" s="28">
        <f>SCI!AR14</f>
        <v>141210</v>
      </c>
      <c r="AT38" s="28">
        <f>SCI!AS14</f>
        <v>700280</v>
      </c>
      <c r="AU38" s="28">
        <f>SCI!AT14</f>
        <v>474544</v>
      </c>
      <c r="AV38" s="28">
        <f>SCI!AU14</f>
        <v>651919</v>
      </c>
      <c r="AW38" s="28">
        <f>SCI!AV14</f>
        <v>1206224</v>
      </c>
      <c r="AX38" s="28">
        <f>SCI!AW14</f>
        <v>1725182.62</v>
      </c>
      <c r="AY38" s="28">
        <f>SCI!AX14</f>
        <v>2654811.12</v>
      </c>
      <c r="AZ38" s="28">
        <f>SCI!AY14</f>
        <v>3041484.4699999997</v>
      </c>
      <c r="BA38" s="28">
        <f>SCI!AZ14</f>
        <v>3162198.4699999997</v>
      </c>
      <c r="BB38" s="28">
        <f>SCI!BA14</f>
        <v>3162198.4699999997</v>
      </c>
      <c r="BC38" s="28">
        <f>SCI!BB14</f>
        <v>3756548.12</v>
      </c>
      <c r="BD38" s="28">
        <f>SCI!BC14</f>
        <v>4164787.12</v>
      </c>
      <c r="BE38" s="28">
        <f>SCI!BD14</f>
        <v>18017613</v>
      </c>
      <c r="BF38" s="28">
        <f>SCI!BE14</f>
        <v>370131</v>
      </c>
      <c r="BG38" s="28">
        <f>SCI!BF14</f>
        <v>673479.4</v>
      </c>
      <c r="BH38" s="28">
        <f>SCI!BG14</f>
        <v>903624.4</v>
      </c>
      <c r="BI38" s="28">
        <f>SCI!BH14</f>
        <v>1475080.65</v>
      </c>
      <c r="BJ38" s="28">
        <f>SCI!BI14</f>
        <v>1999306.09</v>
      </c>
      <c r="BK38" s="28">
        <f>SCI!BJ14</f>
        <v>2619777.31</v>
      </c>
      <c r="BL38" s="28">
        <f>SCI!BK14</f>
        <v>2798544.12</v>
      </c>
      <c r="BM38" s="28">
        <f>SCI!BL14</f>
        <v>3059631.8600000003</v>
      </c>
      <c r="BN38" s="28">
        <f>SCI!BM14</f>
        <v>3407277.3400000003</v>
      </c>
      <c r="BO38" s="28">
        <f>SCI!BN14</f>
        <v>3599818.9000000004</v>
      </c>
      <c r="BP38" s="28">
        <f>SCI!BO14</f>
        <v>3905025.62</v>
      </c>
      <c r="BQ38" s="28">
        <f>SCI!BP14</f>
        <v>4190754.56</v>
      </c>
      <c r="BR38" s="28">
        <f>SCI!BQ14</f>
        <v>17782999.600000001</v>
      </c>
      <c r="BS38" s="28">
        <f>SCI!BR14</f>
        <v>382658.77</v>
      </c>
      <c r="BT38" s="28">
        <f>SCI!BS14</f>
        <v>663591.77</v>
      </c>
      <c r="BU38" s="28">
        <f>SCI!BT14</f>
        <v>731881.77</v>
      </c>
      <c r="BV38" s="28">
        <f>SCI!BU14</f>
        <v>2373330.87</v>
      </c>
      <c r="BW38" s="28">
        <f>SCI!BV14</f>
        <v>2834885.87</v>
      </c>
      <c r="BX38" s="28">
        <f>SCI!BW14</f>
        <v>3927521.87</v>
      </c>
      <c r="BY38" s="28">
        <f>SCI!BX14</f>
        <v>0</v>
      </c>
      <c r="BZ38" s="28">
        <f>SCI!BY14</f>
        <v>4411025.5600000005</v>
      </c>
      <c r="CA38" s="28">
        <f>SCI!BZ14</f>
        <v>5457485.5600000005</v>
      </c>
      <c r="CB38" s="28">
        <f>SCI!CA14</f>
        <v>5965886.0600000005</v>
      </c>
      <c r="CC38" s="28">
        <f>SCI!CB14</f>
        <v>6007800.5999999996</v>
      </c>
      <c r="CD38" s="28">
        <f>SCI!CC14</f>
        <v>6487554.5099999998</v>
      </c>
      <c r="CE38" s="28">
        <f>SCI!CD14</f>
        <v>23597256.050000001</v>
      </c>
      <c r="CF38" s="28">
        <f>SCI!CE14</f>
        <v>35619130</v>
      </c>
    </row>
    <row r="39" spans="2:84">
      <c r="B39" s="25">
        <v>9.3000000000000007</v>
      </c>
      <c r="C39" s="26" t="s">
        <v>212</v>
      </c>
      <c r="D39" s="28">
        <f>SCI!C13</f>
        <v>640162.06000000006</v>
      </c>
      <c r="E39" s="28">
        <f>SCI!D13</f>
        <v>398485.5</v>
      </c>
      <c r="F39" s="28">
        <f>SCI!E13</f>
        <v>1270713</v>
      </c>
      <c r="G39" s="28">
        <f>SCI!F13</f>
        <v>495217.05</v>
      </c>
      <c r="H39" s="28">
        <f>SCI!G13</f>
        <v>1074903.5</v>
      </c>
      <c r="I39" s="28">
        <f>SCI!H13</f>
        <v>1633485.95</v>
      </c>
      <c r="J39" s="28">
        <f>SCI!I13</f>
        <v>2217323.9</v>
      </c>
      <c r="K39" s="28">
        <f>SCI!J13</f>
        <v>3223122.09</v>
      </c>
      <c r="L39" s="28">
        <f>SCI!K13</f>
        <v>3707001.39</v>
      </c>
      <c r="M39" s="28">
        <f>SCI!L13</f>
        <v>4267256.07</v>
      </c>
      <c r="N39" s="28">
        <f>SCI!M13</f>
        <v>5304368.09</v>
      </c>
      <c r="O39" s="28">
        <f>SCI!N13</f>
        <v>2868187.95</v>
      </c>
      <c r="P39" s="28">
        <f>SCI!O13</f>
        <v>3041503.65</v>
      </c>
      <c r="Q39" s="28">
        <f>SCI!P13</f>
        <v>3332466.53</v>
      </c>
      <c r="R39" s="28">
        <f>SCI!Q13</f>
        <v>3926584.07</v>
      </c>
      <c r="S39" s="28">
        <f>SCI!R13</f>
        <v>2451398.7199999997</v>
      </c>
      <c r="T39" s="28">
        <f>SCI!S13</f>
        <v>391158</v>
      </c>
      <c r="U39" s="28">
        <f>SCI!T13</f>
        <v>575348</v>
      </c>
      <c r="V39" s="28">
        <f>SCI!U13</f>
        <v>755467.9</v>
      </c>
      <c r="W39" s="28">
        <f>SCI!V13</f>
        <v>3980742.3</v>
      </c>
      <c r="X39" s="28">
        <f>SCI!W13</f>
        <v>4961777.1100000003</v>
      </c>
      <c r="Y39" s="28">
        <f>SCI!X13</f>
        <v>5474023.7000000002</v>
      </c>
      <c r="Z39" s="28">
        <f>SCI!Y13</f>
        <v>5997308.2999999998</v>
      </c>
      <c r="AA39" s="28">
        <f>SCI!Z13</f>
        <v>6706225.2000000002</v>
      </c>
      <c r="AB39" s="28">
        <f>SCI!AA13</f>
        <v>7285245.6900000004</v>
      </c>
      <c r="AC39" s="28">
        <f>SCI!AB13</f>
        <v>7866097.2000000002</v>
      </c>
      <c r="AD39" s="28">
        <f>SCI!AC13</f>
        <v>8354035.2000000002</v>
      </c>
      <c r="AE39" s="28">
        <f>SCI!AD13</f>
        <v>8769113.1999999993</v>
      </c>
      <c r="AF39" s="28">
        <f>SCI!AE13</f>
        <v>628376</v>
      </c>
      <c r="AG39" s="28">
        <f>SCI!AF13</f>
        <v>723569.5</v>
      </c>
      <c r="AH39" s="28">
        <f>SCI!AG13</f>
        <v>2380936.9</v>
      </c>
      <c r="AI39" s="28">
        <f>SCI!AH13</f>
        <v>4130600.2</v>
      </c>
      <c r="AJ39" s="28">
        <f>SCI!AI13</f>
        <v>4918751.9000000004</v>
      </c>
      <c r="AK39" s="28">
        <f>SCI!AJ13</f>
        <v>5588518.4000000004</v>
      </c>
      <c r="AL39" s="28">
        <f>SCI!AK13</f>
        <v>5692394.7999999998</v>
      </c>
      <c r="AM39" s="28">
        <f>SCI!AL13</f>
        <v>6673249.5999999996</v>
      </c>
      <c r="AN39" s="28">
        <f>SCI!AM13</f>
        <v>7627231.5999999996</v>
      </c>
      <c r="AO39" s="28">
        <f>SCI!AN13</f>
        <v>7934004.0999999996</v>
      </c>
      <c r="AP39" s="28">
        <f>SCI!AO13</f>
        <v>8613850</v>
      </c>
      <c r="AQ39" s="28">
        <f>SCI!AP13</f>
        <v>11458304.300000001</v>
      </c>
      <c r="AR39" s="28">
        <f>SCI!AQ13</f>
        <v>11517170</v>
      </c>
      <c r="AS39" s="28">
        <f>SCI!AR13</f>
        <v>545627.5</v>
      </c>
      <c r="AT39" s="28">
        <f>SCI!AS13</f>
        <v>1044731.3</v>
      </c>
      <c r="AU39" s="28">
        <f>SCI!AT13</f>
        <v>2548667.5</v>
      </c>
      <c r="AV39" s="28">
        <f>SCI!AU13</f>
        <v>3939722.2</v>
      </c>
      <c r="AW39" s="28">
        <f>SCI!AV13</f>
        <v>4907707.4000000004</v>
      </c>
      <c r="AX39" s="28">
        <f>SCI!AW13</f>
        <v>5523410.8499999996</v>
      </c>
      <c r="AY39" s="28">
        <f>SCI!AX13</f>
        <v>6044592.2000000002</v>
      </c>
      <c r="AZ39" s="28">
        <f>SCI!AY13</f>
        <v>6918273.7999999998</v>
      </c>
      <c r="BA39" s="28">
        <f>SCI!AZ13</f>
        <v>7994676.5999999996</v>
      </c>
      <c r="BB39" s="28">
        <f>SCI!BA13</f>
        <v>7994676.6200000001</v>
      </c>
      <c r="BC39" s="28">
        <f>SCI!BB13</f>
        <v>9944911.5999999996</v>
      </c>
      <c r="BD39" s="28">
        <f>SCI!BC13</f>
        <v>9862884.8000000007</v>
      </c>
      <c r="BE39" s="28">
        <f>SCI!BD13</f>
        <v>0</v>
      </c>
      <c r="BF39" s="28">
        <f>SCI!BE13</f>
        <v>3388162.8</v>
      </c>
      <c r="BG39" s="28">
        <f>SCI!BF13</f>
        <v>2847760.4</v>
      </c>
      <c r="BH39" s="28">
        <f>SCI!BG13</f>
        <v>3592766.8</v>
      </c>
      <c r="BI39" s="28">
        <f>SCI!BH13</f>
        <v>4768859.0999999996</v>
      </c>
      <c r="BJ39" s="28">
        <f>SCI!BI13</f>
        <v>5715067.9000000004</v>
      </c>
      <c r="BK39" s="28">
        <f>SCI!BJ13</f>
        <v>6315782.5999999996</v>
      </c>
      <c r="BL39" s="28">
        <f>SCI!BK13</f>
        <v>7008611.2999999998</v>
      </c>
      <c r="BM39" s="28">
        <f>SCI!BL13</f>
        <v>8506045</v>
      </c>
      <c r="BN39" s="28">
        <f>SCI!BM13</f>
        <v>9212470.3000000007</v>
      </c>
      <c r="BO39" s="28">
        <f>SCI!BN13</f>
        <v>10188364.5</v>
      </c>
      <c r="BP39" s="28">
        <f>SCI!BO13</f>
        <v>11422171.800000001</v>
      </c>
      <c r="BQ39" s="28">
        <f>SCI!BP13</f>
        <v>12059443.1</v>
      </c>
      <c r="BR39" s="28">
        <f>SCI!BQ13</f>
        <v>0</v>
      </c>
      <c r="BS39" s="28">
        <f>SCI!BR13</f>
        <v>845976.2</v>
      </c>
      <c r="BT39" s="28">
        <f>SCI!BS13</f>
        <v>1598571.7</v>
      </c>
      <c r="BU39" s="28">
        <f>SCI!BT13</f>
        <v>2390109.1</v>
      </c>
      <c r="BV39" s="28">
        <f>SCI!BU13</f>
        <v>5271418.3</v>
      </c>
      <c r="BW39" s="28">
        <f>SCI!BV13</f>
        <v>6465918.2000000002</v>
      </c>
      <c r="BX39" s="28">
        <f>SCI!BW13</f>
        <v>7530483.4000000004</v>
      </c>
      <c r="BY39" s="28">
        <f>SCI!BX13</f>
        <v>0</v>
      </c>
      <c r="BZ39" s="28">
        <f>SCI!BY13</f>
        <v>12554228.4</v>
      </c>
      <c r="CA39" s="28">
        <f>SCI!BZ13</f>
        <v>14003168.699999999</v>
      </c>
      <c r="CB39" s="28">
        <f>SCI!CA13</f>
        <v>14981978</v>
      </c>
      <c r="CC39" s="28">
        <f>SCI!CB13</f>
        <v>15993606.1</v>
      </c>
      <c r="CD39" s="28">
        <f>SCI!CC13</f>
        <v>17109701.5</v>
      </c>
      <c r="CE39" s="28">
        <f>SCI!CD13</f>
        <v>0</v>
      </c>
      <c r="CF39" s="28">
        <f>SCI!CE13</f>
        <v>0</v>
      </c>
    </row>
    <row r="41" spans="2:84">
      <c r="B41" s="32">
        <v>10</v>
      </c>
      <c r="C41" s="47" t="s">
        <v>213</v>
      </c>
      <c r="D41" s="42">
        <f t="shared" ref="D41" si="48">+D42+D43+D44+D45</f>
        <v>27645412.780000001</v>
      </c>
      <c r="E41" s="42">
        <f t="shared" ref="E41:I41" si="49">+E42+E43+E44+E45</f>
        <v>33603719.649999999</v>
      </c>
      <c r="F41" s="42">
        <f t="shared" si="49"/>
        <v>55181123</v>
      </c>
      <c r="G41" s="42">
        <f t="shared" si="49"/>
        <v>4020293.5</v>
      </c>
      <c r="H41" s="42">
        <f t="shared" si="49"/>
        <v>8585951.0999999996</v>
      </c>
      <c r="I41" s="42">
        <f t="shared" si="49"/>
        <v>11831936.800000001</v>
      </c>
      <c r="J41" s="42">
        <f t="shared" ref="J41:O41" si="50">+J42+J43+J44+J45</f>
        <v>26636643.130000003</v>
      </c>
      <c r="K41" s="42">
        <f t="shared" si="50"/>
        <v>30088005.949999999</v>
      </c>
      <c r="L41" s="42">
        <f t="shared" si="50"/>
        <v>36528377.620000005</v>
      </c>
      <c r="M41" s="42">
        <f t="shared" si="50"/>
        <v>41200274.010000005</v>
      </c>
      <c r="N41" s="42">
        <f t="shared" si="50"/>
        <v>45275550.649999999</v>
      </c>
      <c r="O41" s="42">
        <f t="shared" si="50"/>
        <v>51383245.689999998</v>
      </c>
      <c r="P41" s="42">
        <f t="shared" ref="P41:S41" si="51">+P42+P43+P44+P45</f>
        <v>56223900.939999998</v>
      </c>
      <c r="Q41" s="42">
        <f t="shared" si="51"/>
        <v>60357407.269999996</v>
      </c>
      <c r="R41" s="42">
        <f t="shared" si="51"/>
        <v>70420839.729999989</v>
      </c>
      <c r="S41" s="42">
        <f t="shared" si="51"/>
        <v>78242031.151361167</v>
      </c>
      <c r="T41" s="42">
        <f t="shared" ref="T41:AO41" si="52">+T42+T43+T44+T45</f>
        <v>7157919.8700000001</v>
      </c>
      <c r="U41" s="42">
        <f t="shared" si="52"/>
        <v>9697202</v>
      </c>
      <c r="V41" s="42">
        <f t="shared" si="52"/>
        <v>18386440.800000001</v>
      </c>
      <c r="W41" s="42">
        <f t="shared" si="52"/>
        <v>26642434.789999999</v>
      </c>
      <c r="X41" s="42">
        <f t="shared" si="52"/>
        <v>35739389.57</v>
      </c>
      <c r="Y41" s="42">
        <f t="shared" si="52"/>
        <v>42757099.310000002</v>
      </c>
      <c r="Z41" s="42">
        <f t="shared" si="52"/>
        <v>48881387.939999998</v>
      </c>
      <c r="AA41" s="42">
        <f t="shared" si="52"/>
        <v>46152778.32</v>
      </c>
      <c r="AB41" s="42">
        <f t="shared" si="52"/>
        <v>51806344.899999999</v>
      </c>
      <c r="AC41" s="42">
        <f t="shared" si="52"/>
        <v>55790199.340000004</v>
      </c>
      <c r="AD41" s="42">
        <f t="shared" si="52"/>
        <v>62841360.339999989</v>
      </c>
      <c r="AE41" s="42">
        <f t="shared" si="52"/>
        <v>67934480.870000005</v>
      </c>
      <c r="AF41" s="42">
        <f t="shared" si="52"/>
        <v>8066064.4800000004</v>
      </c>
      <c r="AG41" s="42">
        <f t="shared" si="52"/>
        <v>9327914.1899999995</v>
      </c>
      <c r="AH41" s="42">
        <f t="shared" si="52"/>
        <v>14901392.359999999</v>
      </c>
      <c r="AI41" s="42">
        <f t="shared" si="52"/>
        <v>24403591.130000003</v>
      </c>
      <c r="AJ41" s="42">
        <f t="shared" si="52"/>
        <v>31864218.32</v>
      </c>
      <c r="AK41" s="42">
        <f t="shared" si="52"/>
        <v>42542435.299999997</v>
      </c>
      <c r="AL41" s="42">
        <f t="shared" si="52"/>
        <v>48738392.719999999</v>
      </c>
      <c r="AM41" s="42">
        <f t="shared" si="52"/>
        <v>54435159.409999996</v>
      </c>
      <c r="AN41" s="42">
        <f t="shared" si="52"/>
        <v>63900305.25</v>
      </c>
      <c r="AO41" s="42">
        <f t="shared" si="52"/>
        <v>71532694.640000001</v>
      </c>
      <c r="AP41" s="42">
        <f t="shared" ref="AP41:BQ41" si="53">+AP42+AP43+AP44+AP45</f>
        <v>76107400.319999993</v>
      </c>
      <c r="AQ41" s="42">
        <f t="shared" si="53"/>
        <v>82373470.420000002</v>
      </c>
      <c r="AR41" s="42">
        <f t="shared" si="53"/>
        <v>87827945</v>
      </c>
      <c r="AS41" s="42">
        <f t="shared" si="53"/>
        <v>6114234.3000000007</v>
      </c>
      <c r="AT41" s="42">
        <f t="shared" si="53"/>
        <v>11858599.92</v>
      </c>
      <c r="AU41" s="42">
        <f t="shared" si="53"/>
        <v>21044922.240000002</v>
      </c>
      <c r="AV41" s="42">
        <f t="shared" si="53"/>
        <v>27594725.949999999</v>
      </c>
      <c r="AW41" s="42">
        <f t="shared" si="53"/>
        <v>37235190.609999999</v>
      </c>
      <c r="AX41" s="42">
        <f t="shared" si="53"/>
        <v>48090027.359999999</v>
      </c>
      <c r="AY41" s="42">
        <f t="shared" si="53"/>
        <v>54113356.609999999</v>
      </c>
      <c r="AZ41" s="42">
        <f t="shared" si="53"/>
        <v>62709305.859999999</v>
      </c>
      <c r="BA41" s="42">
        <f t="shared" si="53"/>
        <v>70132037.310000002</v>
      </c>
      <c r="BB41" s="42">
        <f t="shared" si="53"/>
        <v>70132037.289999992</v>
      </c>
      <c r="BC41" s="42">
        <f t="shared" si="53"/>
        <v>87346931.080000013</v>
      </c>
      <c r="BD41" s="42">
        <f t="shared" si="53"/>
        <v>104703734.48999999</v>
      </c>
      <c r="BE41" s="42">
        <f t="shared" si="53"/>
        <v>99379298.599999994</v>
      </c>
      <c r="BF41" s="42">
        <f t="shared" si="53"/>
        <v>7099748.3499999996</v>
      </c>
      <c r="BG41" s="42">
        <f t="shared" si="53"/>
        <v>12528112.66</v>
      </c>
      <c r="BH41" s="42">
        <f t="shared" si="53"/>
        <v>22503358.16</v>
      </c>
      <c r="BI41" s="42">
        <f t="shared" si="53"/>
        <v>31618176.07</v>
      </c>
      <c r="BJ41" s="42">
        <f t="shared" si="53"/>
        <v>38853718.890000001</v>
      </c>
      <c r="BK41" s="42">
        <f t="shared" si="53"/>
        <v>46602775.969999999</v>
      </c>
      <c r="BL41" s="42">
        <f t="shared" si="53"/>
        <v>55768365.790000007</v>
      </c>
      <c r="BM41" s="42">
        <f t="shared" si="53"/>
        <v>65571441.07</v>
      </c>
      <c r="BN41" s="42">
        <f t="shared" si="53"/>
        <v>71081478.099999994</v>
      </c>
      <c r="BO41" s="42">
        <f t="shared" si="53"/>
        <v>78371137.159999996</v>
      </c>
      <c r="BP41" s="42">
        <f t="shared" si="53"/>
        <v>85772696.520000011</v>
      </c>
      <c r="BQ41" s="42">
        <f t="shared" si="53"/>
        <v>106534289.65000001</v>
      </c>
      <c r="BR41" s="42">
        <f t="shared" ref="BR41:CE41" si="54">+BR42+BR43+BR44+BR45</f>
        <v>113534538.14999999</v>
      </c>
      <c r="BS41" s="42">
        <f t="shared" si="54"/>
        <v>8187145.4299999997</v>
      </c>
      <c r="BT41" s="42">
        <f t="shared" si="54"/>
        <v>16439246.91</v>
      </c>
      <c r="BU41" s="42">
        <f t="shared" si="54"/>
        <v>24239376</v>
      </c>
      <c r="BV41" s="42">
        <f t="shared" si="54"/>
        <v>32584179.960000001</v>
      </c>
      <c r="BW41" s="42">
        <f t="shared" si="54"/>
        <v>42081774.629999995</v>
      </c>
      <c r="BX41" s="42">
        <f t="shared" si="54"/>
        <v>51178849.509999998</v>
      </c>
      <c r="BY41" s="42">
        <f t="shared" si="54"/>
        <v>0</v>
      </c>
      <c r="BZ41" s="42">
        <f t="shared" si="54"/>
        <v>68205722.019999996</v>
      </c>
      <c r="CA41" s="42">
        <f t="shared" si="54"/>
        <v>73809068.700000003</v>
      </c>
      <c r="CB41" s="42">
        <f t="shared" si="54"/>
        <v>82763814.050000012</v>
      </c>
      <c r="CC41" s="42">
        <f t="shared" si="54"/>
        <v>90847972.620000005</v>
      </c>
      <c r="CD41" s="42">
        <f t="shared" si="54"/>
        <v>117474154.43000001</v>
      </c>
      <c r="CE41" s="42">
        <f t="shared" si="54"/>
        <v>119482458.75</v>
      </c>
      <c r="CF41" s="42">
        <f t="shared" ref="CF41" si="55">+CF42+CF43+CF44+CF45</f>
        <v>131976593</v>
      </c>
    </row>
    <row r="42" spans="2:84">
      <c r="B42" s="32">
        <v>10.1</v>
      </c>
      <c r="C42" s="26" t="s">
        <v>214</v>
      </c>
      <c r="D42" s="48">
        <f>SCI!C20</f>
        <v>5851152.4900000002</v>
      </c>
      <c r="E42" s="48">
        <f>SCI!D20</f>
        <v>6070496.4199999999</v>
      </c>
      <c r="F42" s="48">
        <f>SCI!E20</f>
        <v>24947048</v>
      </c>
      <c r="G42" s="48">
        <f>SCI!F20</f>
        <v>0</v>
      </c>
      <c r="H42" s="48">
        <f>SCI!G20</f>
        <v>0</v>
      </c>
      <c r="I42" s="48">
        <f>SCI!H20</f>
        <v>0</v>
      </c>
      <c r="J42" s="48">
        <f>SCI!I20</f>
        <v>8578510.0999999996</v>
      </c>
      <c r="K42" s="48">
        <f>SCI!J20</f>
        <v>10771280</v>
      </c>
      <c r="L42" s="48">
        <f>SCI!K20</f>
        <v>13045796.109999999</v>
      </c>
      <c r="M42" s="48">
        <f>SCI!L20</f>
        <v>15337297.73</v>
      </c>
      <c r="N42" s="48">
        <f>SCI!M20</f>
        <v>16606467.33</v>
      </c>
      <c r="O42" s="48">
        <f>SCI!N20</f>
        <v>20082700</v>
      </c>
      <c r="P42" s="48">
        <f>SCI!O20</f>
        <v>22280899.640000001</v>
      </c>
      <c r="Q42" s="48">
        <f>SCI!P20</f>
        <v>24858444.359999999</v>
      </c>
      <c r="R42" s="48">
        <f>SCI!Q20</f>
        <v>27268901.210000001</v>
      </c>
      <c r="S42" s="48">
        <f>SCI!R20</f>
        <v>15562596.823900003</v>
      </c>
      <c r="T42" s="48">
        <f>SCI!S20</f>
        <v>1655641.87</v>
      </c>
      <c r="U42" s="48">
        <f>SCI!T20</f>
        <v>1363126</v>
      </c>
      <c r="V42" s="48">
        <f>SCI!U20</f>
        <v>4118909.3</v>
      </c>
      <c r="W42" s="48">
        <f>SCI!V20</f>
        <v>5551715.9299999997</v>
      </c>
      <c r="X42" s="48">
        <f>SCI!W20</f>
        <v>7069264.21</v>
      </c>
      <c r="Y42" s="48">
        <f>SCI!X20</f>
        <v>8562954.7100000009</v>
      </c>
      <c r="Z42" s="48">
        <f>SCI!Y20</f>
        <v>10020749.84</v>
      </c>
      <c r="AA42" s="48">
        <f>SCI!Z20</f>
        <v>11471718.32</v>
      </c>
      <c r="AB42" s="48">
        <f>SCI!AA20</f>
        <v>12788497.4</v>
      </c>
      <c r="AC42" s="48">
        <f>SCI!AB20</f>
        <v>14341726.779999999</v>
      </c>
      <c r="AD42" s="48">
        <f>SCI!AC20</f>
        <v>18178228.239999998</v>
      </c>
      <c r="AE42" s="48">
        <f>SCI!AD20</f>
        <v>17371996.289999999</v>
      </c>
      <c r="AF42" s="48">
        <f>SCI!AE20</f>
        <v>2780236.33</v>
      </c>
      <c r="AG42" s="48">
        <f>SCI!AF20</f>
        <v>0</v>
      </c>
      <c r="AH42" s="48">
        <f>SCI!AG20</f>
        <v>0</v>
      </c>
      <c r="AI42" s="48">
        <f>SCI!AH20</f>
        <v>5394570.3200000003</v>
      </c>
      <c r="AJ42" s="48">
        <f>SCI!AI20</f>
        <v>9342433.7899999991</v>
      </c>
      <c r="AK42" s="48">
        <f>SCI!AJ20</f>
        <v>11278941.5</v>
      </c>
      <c r="AL42" s="48">
        <f>SCI!AK20</f>
        <v>13828429.289999999</v>
      </c>
      <c r="AM42" s="48">
        <f>SCI!AL20</f>
        <v>14967738.390000001</v>
      </c>
      <c r="AN42" s="48">
        <f>SCI!AM20</f>
        <v>16952492.530000001</v>
      </c>
      <c r="AO42" s="48">
        <f>SCI!AN20</f>
        <v>21137405.620000001</v>
      </c>
      <c r="AP42" s="48">
        <f>SCI!AO20</f>
        <v>21312828.16</v>
      </c>
      <c r="AQ42" s="48">
        <f>SCI!AP20</f>
        <v>23598419</v>
      </c>
      <c r="AR42" s="48">
        <f>SCI!AQ20</f>
        <v>29700000</v>
      </c>
      <c r="AS42" s="48">
        <f>SCI!AR20</f>
        <v>2474200.4500000002</v>
      </c>
      <c r="AT42" s="48">
        <f>SCI!AS20</f>
        <v>5018214.22</v>
      </c>
      <c r="AU42" s="48">
        <f>SCI!AT20</f>
        <v>7599452.6900000004</v>
      </c>
      <c r="AV42" s="48">
        <f>SCI!AU20</f>
        <v>10217076.949999999</v>
      </c>
      <c r="AW42" s="48">
        <f>SCI!AV20</f>
        <v>12687881.800000001</v>
      </c>
      <c r="AX42" s="48">
        <f>SCI!AW20</f>
        <v>15797407.27</v>
      </c>
      <c r="AY42" s="48">
        <f>SCI!AX20</f>
        <v>18473046.699999999</v>
      </c>
      <c r="AZ42" s="48">
        <f>SCI!AY20</f>
        <v>21327116.100000001</v>
      </c>
      <c r="BA42" s="48">
        <f>SCI!AZ20</f>
        <v>23479267.699999999</v>
      </c>
      <c r="BB42" s="48">
        <f>SCI!BA20</f>
        <v>23479267.699999999</v>
      </c>
      <c r="BC42" s="48">
        <f>SCI!BB20</f>
        <v>29205223.210000001</v>
      </c>
      <c r="BD42" s="48">
        <f>SCI!BC20</f>
        <v>36997847.299999997</v>
      </c>
      <c r="BE42" s="48">
        <f>SCI!BD20</f>
        <v>20740000</v>
      </c>
      <c r="BF42" s="48">
        <f>SCI!BE20</f>
        <v>0</v>
      </c>
      <c r="BG42" s="48">
        <f>SCI!BF20</f>
        <v>3497546.17</v>
      </c>
      <c r="BH42" s="48">
        <f>SCI!BG20</f>
        <v>5291751.32</v>
      </c>
      <c r="BI42" s="48">
        <f>SCI!BH20</f>
        <v>7125074.21</v>
      </c>
      <c r="BJ42" s="48">
        <f>SCI!BI20</f>
        <v>9006856.7300000004</v>
      </c>
      <c r="BK42" s="48">
        <f>SCI!BJ20</f>
        <v>10912776.880000001</v>
      </c>
      <c r="BL42" s="48">
        <f>SCI!BK20</f>
        <v>12852139.17</v>
      </c>
      <c r="BM42" s="48">
        <f>SCI!BL20</f>
        <v>14676604.369999999</v>
      </c>
      <c r="BN42" s="48">
        <f>SCI!BM20</f>
        <v>16715886.15</v>
      </c>
      <c r="BO42" s="48">
        <f>SCI!BN20</f>
        <v>18742682.399999999</v>
      </c>
      <c r="BP42" s="48">
        <f>SCI!BO20</f>
        <v>22732188.91</v>
      </c>
      <c r="BQ42" s="48">
        <f>SCI!BP20</f>
        <v>32500000</v>
      </c>
      <c r="BR42" s="48">
        <f>SCI!BQ20</f>
        <v>32500000</v>
      </c>
      <c r="BS42" s="48">
        <f>SCI!BR20</f>
        <v>2739854.4</v>
      </c>
      <c r="BT42" s="48">
        <f>SCI!BS20</f>
        <v>5524569.9800000004</v>
      </c>
      <c r="BU42" s="48">
        <f>SCI!BT20</f>
        <v>8368431.4400000004</v>
      </c>
      <c r="BV42" s="48">
        <f>SCI!BU20</f>
        <v>11323632.060000001</v>
      </c>
      <c r="BW42" s="48">
        <f>SCI!BV20</f>
        <v>14300957.49</v>
      </c>
      <c r="BX42" s="48">
        <f>SCI!BW20</f>
        <v>17278990.68</v>
      </c>
      <c r="BY42" s="48">
        <f>SCI!BX20</f>
        <v>0</v>
      </c>
      <c r="BZ42" s="48">
        <f>SCI!BY20</f>
        <v>23156452.870000001</v>
      </c>
      <c r="CA42" s="48">
        <f>SCI!BZ20</f>
        <v>26139815.93</v>
      </c>
      <c r="CB42" s="48">
        <f>SCI!CA20</f>
        <v>31259297.300000001</v>
      </c>
      <c r="CC42" s="48">
        <f>SCI!CB20</f>
        <v>35623185.700000003</v>
      </c>
      <c r="CD42" s="48">
        <f>SCI!CC20</f>
        <v>40000000</v>
      </c>
      <c r="CE42" s="48">
        <f>SCI!CD20</f>
        <v>40000000</v>
      </c>
      <c r="CF42" s="48">
        <f>SCI!CE20</f>
        <v>47000000</v>
      </c>
    </row>
    <row r="43" spans="2:84" ht="23.1" hidden="1">
      <c r="B43" s="32">
        <v>10.199999999999999</v>
      </c>
      <c r="C43" s="26" t="s">
        <v>215</v>
      </c>
      <c r="D43" s="48">
        <f>SCI!C22</f>
        <v>0</v>
      </c>
      <c r="E43" s="48">
        <f>SCI!D22</f>
        <v>0</v>
      </c>
      <c r="F43" s="48">
        <f>SCI!E22</f>
        <v>0</v>
      </c>
      <c r="G43" s="48">
        <f>SCI!F22</f>
        <v>0</v>
      </c>
      <c r="H43" s="48">
        <f>SCI!G22</f>
        <v>0</v>
      </c>
      <c r="I43" s="48">
        <f>SCI!H22</f>
        <v>0</v>
      </c>
      <c r="J43" s="48">
        <f>SCI!I22</f>
        <v>0</v>
      </c>
      <c r="K43" s="48">
        <f>SCI!J22</f>
        <v>0</v>
      </c>
      <c r="L43" s="48">
        <f>SCI!K22</f>
        <v>0</v>
      </c>
      <c r="M43" s="48">
        <f>SCI!L22</f>
        <v>0</v>
      </c>
      <c r="N43" s="48">
        <f>SCI!M22</f>
        <v>0</v>
      </c>
      <c r="O43" s="48">
        <f>SCI!N22</f>
        <v>0</v>
      </c>
      <c r="P43" s="48">
        <f>SCI!O22</f>
        <v>0</v>
      </c>
      <c r="Q43" s="48">
        <f>SCI!P22</f>
        <v>0</v>
      </c>
      <c r="R43" s="48">
        <f>SCI!Q22</f>
        <v>0</v>
      </c>
      <c r="S43" s="48">
        <f>SCI!R22</f>
        <v>0</v>
      </c>
      <c r="T43" s="48">
        <f>SCI!S22</f>
        <v>0</v>
      </c>
      <c r="U43" s="48">
        <f>SCI!T22</f>
        <v>0</v>
      </c>
      <c r="V43" s="48">
        <f>SCI!U22</f>
        <v>0</v>
      </c>
      <c r="W43" s="48">
        <f>SCI!V22</f>
        <v>0</v>
      </c>
      <c r="X43" s="48">
        <f>SCI!W22</f>
        <v>0</v>
      </c>
      <c r="Y43" s="48">
        <f>SCI!X22</f>
        <v>0</v>
      </c>
      <c r="Z43" s="48">
        <f>SCI!Y22</f>
        <v>0</v>
      </c>
      <c r="AA43" s="48">
        <f>SCI!Z22</f>
        <v>0</v>
      </c>
      <c r="AB43" s="48">
        <f>SCI!AA22</f>
        <v>0</v>
      </c>
    </row>
    <row r="44" spans="2:84" ht="23.1">
      <c r="B44" s="32">
        <v>10.3</v>
      </c>
      <c r="C44" s="26" t="s">
        <v>216</v>
      </c>
      <c r="D44" s="31">
        <f>SCI!C21</f>
        <v>7064336.2000000002</v>
      </c>
      <c r="E44" s="31">
        <f>SCI!D21</f>
        <v>3750294</v>
      </c>
      <c r="F44" s="31">
        <f>SCI!E21</f>
        <v>1335000</v>
      </c>
      <c r="G44" s="31">
        <f>SCI!F21</f>
        <v>1335000</v>
      </c>
      <c r="H44" s="31">
        <f>SCI!G21</f>
        <v>1335000</v>
      </c>
      <c r="I44" s="31">
        <f>SCI!H21</f>
        <v>1335000</v>
      </c>
      <c r="J44" s="31">
        <f>SCI!I21</f>
        <v>1335000</v>
      </c>
      <c r="K44" s="31">
        <f>SCI!J21</f>
        <v>1335000</v>
      </c>
      <c r="L44" s="31">
        <f>SCI!K21</f>
        <v>1335000</v>
      </c>
      <c r="M44" s="31">
        <f>SCI!L21</f>
        <v>1335000</v>
      </c>
      <c r="N44" s="31">
        <f>SCI!M21</f>
        <v>1335000</v>
      </c>
      <c r="O44" s="31">
        <f>SCI!N21</f>
        <v>1335000</v>
      </c>
      <c r="P44" s="31">
        <f>SCI!O21</f>
        <v>1335000</v>
      </c>
      <c r="Q44" s="31">
        <f>SCI!P21</f>
        <v>0</v>
      </c>
      <c r="R44" s="31">
        <f>SCI!Q21</f>
        <v>1335000</v>
      </c>
      <c r="S44" s="31">
        <f>SCI!R21</f>
        <v>13249142.720000001</v>
      </c>
      <c r="T44" s="31">
        <f>SCI!S21</f>
        <v>1335000</v>
      </c>
      <c r="U44" s="31">
        <f>SCI!T21</f>
        <v>0</v>
      </c>
      <c r="V44" s="31">
        <f>SCI!U21</f>
        <v>2726252</v>
      </c>
      <c r="W44" s="31">
        <f>SCI!V21</f>
        <v>4343744.8600000003</v>
      </c>
      <c r="X44" s="31">
        <f>SCI!W21</f>
        <v>6456798.8600000003</v>
      </c>
      <c r="Y44" s="31">
        <f>SCI!X21</f>
        <v>7748158.5999999996</v>
      </c>
      <c r="Z44" s="31">
        <f>SCI!Y21</f>
        <v>8979578.5999999996</v>
      </c>
      <c r="AA44" s="31">
        <f>SCI!Z21</f>
        <v>1335000</v>
      </c>
      <c r="AB44" s="31">
        <f>SCI!AA21</f>
        <v>1335000</v>
      </c>
      <c r="AC44" s="31">
        <f>SCI!AB21</f>
        <v>1335000</v>
      </c>
      <c r="AD44" s="31">
        <f>SCI!AC21</f>
        <v>1335000</v>
      </c>
      <c r="AE44" s="31">
        <f>SCI!AD21</f>
        <v>1335000</v>
      </c>
      <c r="AF44" s="31">
        <f>SCI!AE21</f>
        <v>1335000</v>
      </c>
      <c r="AG44" s="31">
        <f>SCI!AF21</f>
        <v>1335000</v>
      </c>
      <c r="AH44" s="31">
        <f>SCI!AG21</f>
        <v>2770280</v>
      </c>
      <c r="AI44" s="31">
        <f>SCI!AH21</f>
        <v>3770280</v>
      </c>
      <c r="AJ44" s="31">
        <f>SCI!AI21</f>
        <v>4272396.3600000003</v>
      </c>
      <c r="AK44" s="31">
        <f>SCI!AJ21</f>
        <v>5070280</v>
      </c>
      <c r="AL44" s="31">
        <f>SCI!AK21</f>
        <v>5896536</v>
      </c>
      <c r="AM44" s="31">
        <f>SCI!AL21</f>
        <v>6932410.3600000003</v>
      </c>
      <c r="AN44" s="31">
        <f>SCI!AM21</f>
        <v>7570389.6299999999</v>
      </c>
      <c r="AO44" s="31">
        <f>SCI!AN21</f>
        <v>8930285.3599999994</v>
      </c>
      <c r="AP44" s="31">
        <f>SCI!AO21</f>
        <v>9589535.7300000004</v>
      </c>
      <c r="AQ44" s="31">
        <f>SCI!AP21</f>
        <v>9589535.7300000004</v>
      </c>
      <c r="AR44" s="31">
        <f>SCI!AQ21</f>
        <v>9592536</v>
      </c>
      <c r="AS44" s="31">
        <f>SCI!AR21</f>
        <v>0</v>
      </c>
      <c r="AT44" s="31">
        <f>SCI!AS21</f>
        <v>1246379</v>
      </c>
      <c r="AU44" s="31">
        <f>SCI!AT21</f>
        <v>1350000</v>
      </c>
      <c r="AV44" s="31">
        <f>SCI!AU21</f>
        <v>1350000</v>
      </c>
      <c r="AW44" s="31">
        <f>SCI!AV21</f>
        <v>3261478.96</v>
      </c>
      <c r="AX44" s="31">
        <f>SCI!AW21</f>
        <v>4861478.96</v>
      </c>
      <c r="AY44" s="31">
        <f>SCI!AX21</f>
        <v>4861478.96</v>
      </c>
      <c r="AZ44" s="31">
        <f>SCI!AY21</f>
        <v>5961478.96</v>
      </c>
      <c r="BA44" s="31">
        <f>SCI!AZ21</f>
        <v>6451478.96</v>
      </c>
      <c r="BB44" s="31">
        <f>SCI!BA21</f>
        <v>6451478.96</v>
      </c>
      <c r="BC44" s="31">
        <f>SCI!BB21</f>
        <v>7508389.5599999996</v>
      </c>
      <c r="BD44" s="31">
        <f>SCI!BC21</f>
        <v>7508389.5599999996</v>
      </c>
      <c r="BE44" s="31">
        <f>SCI!BD21</f>
        <v>7512889</v>
      </c>
      <c r="BF44" s="31">
        <f>SCI!BE21</f>
        <v>1925360.25</v>
      </c>
      <c r="BG44" s="31">
        <f>SCI!BF21</f>
        <v>1925360.39</v>
      </c>
      <c r="BH44" s="31">
        <f>SCI!BG21</f>
        <v>2240125.69</v>
      </c>
      <c r="BI44" s="31">
        <f>SCI!BH21</f>
        <v>2865321.23</v>
      </c>
      <c r="BJ44" s="31">
        <f>SCI!BI21</f>
        <v>3400899.55</v>
      </c>
      <c r="BK44" s="31">
        <f>SCI!BJ21</f>
        <v>5301799.0999999996</v>
      </c>
      <c r="BL44" s="31">
        <f>SCI!BK21</f>
        <v>5301799.0999999996</v>
      </c>
      <c r="BM44" s="31">
        <f>SCI!BL21</f>
        <v>7363625.5999999996</v>
      </c>
      <c r="BN44" s="31">
        <f>SCI!BM21</f>
        <v>7363625.5999999996</v>
      </c>
      <c r="BO44" s="31">
        <f>SCI!BN21</f>
        <v>9276280.0800000001</v>
      </c>
      <c r="BP44" s="31">
        <f>SCI!BO21</f>
        <v>9276280.0800000001</v>
      </c>
      <c r="BQ44" s="31">
        <f>SCI!BP21</f>
        <v>10610115.699999999</v>
      </c>
      <c r="BR44" s="31">
        <f>SCI!BQ21</f>
        <v>10610115.699999999</v>
      </c>
      <c r="BS44" s="31">
        <f>SCI!BR21</f>
        <v>1570137.03</v>
      </c>
      <c r="BT44" s="31">
        <f>SCI!BS21</f>
        <v>1570137.03</v>
      </c>
      <c r="BU44" s="31">
        <f>SCI!BT21</f>
        <v>2201413.2999999998</v>
      </c>
      <c r="BV44" s="31">
        <f>SCI!BU21</f>
        <v>3201413.3</v>
      </c>
      <c r="BW44" s="31">
        <f>SCI!BV21</f>
        <v>5664580.96</v>
      </c>
      <c r="BX44" s="31">
        <f>SCI!BW21</f>
        <v>6689016.4699999997</v>
      </c>
      <c r="BY44" s="31">
        <f>SCI!BX21</f>
        <v>0</v>
      </c>
      <c r="BZ44" s="31">
        <f>SCI!BY21</f>
        <v>8711019.9199999999</v>
      </c>
      <c r="CA44" s="31">
        <f>SCI!BZ21</f>
        <v>9700575.8800000008</v>
      </c>
      <c r="CB44" s="31">
        <f>SCI!CA21</f>
        <v>10147493.689999999</v>
      </c>
      <c r="CC44" s="31">
        <f>SCI!CB21</f>
        <v>10147493.689999999</v>
      </c>
      <c r="CD44" s="31">
        <f>SCI!CC21</f>
        <v>11784115.199999999</v>
      </c>
      <c r="CE44" s="31">
        <f>SCI!CD21</f>
        <v>11784115.199999999</v>
      </c>
      <c r="CF44" s="31">
        <f>SCI!CE21</f>
        <v>10402628</v>
      </c>
    </row>
    <row r="45" spans="2:84">
      <c r="B45" s="32">
        <v>10.4</v>
      </c>
      <c r="C45" s="26" t="s">
        <v>217</v>
      </c>
      <c r="D45" s="31">
        <f>SCI!C30</f>
        <v>14729924.09</v>
      </c>
      <c r="E45" s="31">
        <f>SCI!D30</f>
        <v>23782929.23</v>
      </c>
      <c r="F45" s="31">
        <f>SCI!E30</f>
        <v>28899075</v>
      </c>
      <c r="G45" s="31">
        <f>SCI!F30</f>
        <v>2685293.5</v>
      </c>
      <c r="H45" s="31">
        <f>SCI!G30</f>
        <v>7250951.0999999996</v>
      </c>
      <c r="I45" s="31">
        <f>SCI!H30</f>
        <v>10496936.800000001</v>
      </c>
      <c r="J45" s="31">
        <f>SCI!I30</f>
        <v>16723133.030000001</v>
      </c>
      <c r="K45" s="31">
        <f>SCI!J30</f>
        <v>17981725.949999999</v>
      </c>
      <c r="L45" s="31">
        <f>SCI!K30</f>
        <v>22147581.510000002</v>
      </c>
      <c r="M45" s="31">
        <f>SCI!L30</f>
        <v>24527976.280000001</v>
      </c>
      <c r="N45" s="31">
        <f>SCI!M30</f>
        <v>27334083.32</v>
      </c>
      <c r="O45" s="31">
        <f>SCI!N30</f>
        <v>29965545.690000001</v>
      </c>
      <c r="P45" s="31">
        <f>SCI!O30</f>
        <v>32608001.300000001</v>
      </c>
      <c r="Q45" s="31">
        <f>SCI!P30</f>
        <v>35498962.909999996</v>
      </c>
      <c r="R45" s="31">
        <f>SCI!Q30</f>
        <v>41816938.519999996</v>
      </c>
      <c r="S45" s="31">
        <f>SCI!R30</f>
        <v>49430291.607461154</v>
      </c>
      <c r="T45" s="31">
        <f>SCI!S30</f>
        <v>4167278</v>
      </c>
      <c r="U45" s="31">
        <f>SCI!T30</f>
        <v>8334076</v>
      </c>
      <c r="V45" s="31">
        <f>SCI!U30</f>
        <v>11541279.5</v>
      </c>
      <c r="W45" s="31">
        <f>SCI!V30</f>
        <v>16746974</v>
      </c>
      <c r="X45" s="31">
        <f>SCI!W30</f>
        <v>22213326.5</v>
      </c>
      <c r="Y45" s="31">
        <f>SCI!X30</f>
        <v>26445986</v>
      </c>
      <c r="Z45" s="31">
        <f>SCI!Y30</f>
        <v>29881059.5</v>
      </c>
      <c r="AA45" s="31">
        <f>SCI!Z30</f>
        <v>33346060</v>
      </c>
      <c r="AB45" s="31">
        <f>SCI!AA30</f>
        <v>37682847.5</v>
      </c>
      <c r="AC45" s="31">
        <f>SCI!AB30</f>
        <v>40113472.560000002</v>
      </c>
      <c r="AD45" s="31">
        <f>SCI!AC30</f>
        <v>43328132.099999994</v>
      </c>
      <c r="AE45" s="31">
        <f>SCI!AD30</f>
        <v>49227484.580000006</v>
      </c>
      <c r="AF45" s="31">
        <f>SCI!AE30</f>
        <v>3950828.1500000004</v>
      </c>
      <c r="AG45" s="31">
        <f>SCI!AF30</f>
        <v>7992914.1899999995</v>
      </c>
      <c r="AH45" s="31">
        <f>SCI!AG30</f>
        <v>12131112.359999999</v>
      </c>
      <c r="AI45" s="31">
        <f>SCI!AH30</f>
        <v>15238740.810000001</v>
      </c>
      <c r="AJ45" s="31">
        <f>SCI!AI30</f>
        <v>18249388.170000002</v>
      </c>
      <c r="AK45" s="31">
        <f>SCI!AJ30</f>
        <v>26193213.800000001</v>
      </c>
      <c r="AL45" s="31">
        <f>SCI!AK30</f>
        <v>29013427.43</v>
      </c>
      <c r="AM45" s="31">
        <f>SCI!AL30</f>
        <v>32535010.66</v>
      </c>
      <c r="AN45" s="31">
        <f>SCI!AM30</f>
        <v>39377423.090000004</v>
      </c>
      <c r="AO45" s="31">
        <f>SCI!AN30</f>
        <v>41465003.659999996</v>
      </c>
      <c r="AP45" s="31">
        <f>SCI!AO30</f>
        <v>45205036.43</v>
      </c>
      <c r="AQ45" s="31">
        <f>SCI!AP30</f>
        <v>49185515.690000005</v>
      </c>
      <c r="AR45" s="31">
        <f>SCI!AQ30</f>
        <v>48535409</v>
      </c>
      <c r="AS45" s="31">
        <f>SCI!AR30</f>
        <v>3640033.85</v>
      </c>
      <c r="AT45" s="31">
        <f>SCI!AS30</f>
        <v>5594006.7000000002</v>
      </c>
      <c r="AU45" s="31">
        <f>SCI!AT30</f>
        <v>12095469.550000001</v>
      </c>
      <c r="AV45" s="31">
        <f>SCI!AU30</f>
        <v>16027649</v>
      </c>
      <c r="AW45" s="31">
        <f>SCI!AV30</f>
        <v>21285829.850000001</v>
      </c>
      <c r="AX45" s="31">
        <f>SCI!AW30</f>
        <v>27431141.130000003</v>
      </c>
      <c r="AY45" s="31">
        <f>SCI!AX30</f>
        <v>30778830.949999999</v>
      </c>
      <c r="AZ45" s="31">
        <f>SCI!AY30</f>
        <v>35420710.799999997</v>
      </c>
      <c r="BA45" s="31">
        <f>SCI!AZ30</f>
        <v>40201290.649999999</v>
      </c>
      <c r="BB45" s="31">
        <f>SCI!BA30</f>
        <v>40201290.629999995</v>
      </c>
      <c r="BC45" s="31">
        <f>SCI!BB30</f>
        <v>50633318.310000002</v>
      </c>
      <c r="BD45" s="31">
        <f>SCI!BC30</f>
        <v>60197497.629999995</v>
      </c>
      <c r="BE45" s="31">
        <f>SCI!BD30</f>
        <v>71126409.599999994</v>
      </c>
      <c r="BF45" s="31">
        <f>SCI!BE30</f>
        <v>5174388.0999999996</v>
      </c>
      <c r="BG45" s="31">
        <f>SCI!BF30</f>
        <v>7105206.0999999996</v>
      </c>
      <c r="BH45" s="31">
        <f>SCI!BG30</f>
        <v>14971481.15</v>
      </c>
      <c r="BI45" s="31">
        <f>SCI!BH30</f>
        <v>21627780.629999999</v>
      </c>
      <c r="BJ45" s="31">
        <f>SCI!BI30</f>
        <v>26445962.609999999</v>
      </c>
      <c r="BK45" s="31">
        <f>SCI!BJ30</f>
        <v>30388199.990000002</v>
      </c>
      <c r="BL45" s="31">
        <f>SCI!BK30</f>
        <v>37614427.520000003</v>
      </c>
      <c r="BM45" s="31">
        <f>SCI!BL30</f>
        <v>43531211.100000001</v>
      </c>
      <c r="BN45" s="31">
        <f>SCI!BM30</f>
        <v>47001966.350000001</v>
      </c>
      <c r="BO45" s="31">
        <f>SCI!BN30</f>
        <v>50352174.68</v>
      </c>
      <c r="BP45" s="31">
        <f>SCI!BO30</f>
        <v>53764227.530000001</v>
      </c>
      <c r="BQ45" s="31">
        <f>SCI!BP30</f>
        <v>63424173.950000003</v>
      </c>
      <c r="BR45" s="31">
        <f>SCI!BQ30</f>
        <v>70424422.449999988</v>
      </c>
      <c r="BS45" s="31">
        <f>SCI!BR30</f>
        <v>3877154</v>
      </c>
      <c r="BT45" s="31">
        <f>SCI!BS30</f>
        <v>9344539.9000000004</v>
      </c>
      <c r="BU45" s="31">
        <f>SCI!BT30</f>
        <v>13669531.26</v>
      </c>
      <c r="BV45" s="31">
        <f>SCI!BU30</f>
        <v>18059134.600000001</v>
      </c>
      <c r="BW45" s="31">
        <f>SCI!BV30</f>
        <v>22116236.18</v>
      </c>
      <c r="BX45" s="31">
        <f>SCI!BW30</f>
        <v>27210842.359999999</v>
      </c>
      <c r="BY45" s="31">
        <f>SCI!BX30</f>
        <v>0</v>
      </c>
      <c r="BZ45" s="31">
        <f>SCI!BY30</f>
        <v>36338249.229999997</v>
      </c>
      <c r="CA45" s="31">
        <f>SCI!BZ30</f>
        <v>37968676.890000001</v>
      </c>
      <c r="CB45" s="31">
        <f>SCI!CA30</f>
        <v>41357023.060000002</v>
      </c>
      <c r="CC45" s="31">
        <f>SCI!CB30</f>
        <v>45077293.229999997</v>
      </c>
      <c r="CD45" s="31">
        <f>SCI!CC30</f>
        <v>65690039.229999997</v>
      </c>
      <c r="CE45" s="31">
        <f>SCI!CD30</f>
        <v>67698343.549999997</v>
      </c>
      <c r="CF45" s="31">
        <f>SCI!CE30</f>
        <v>74573965</v>
      </c>
    </row>
    <row r="63" spans="59:60">
      <c r="BG63" s="23" t="s">
        <v>218</v>
      </c>
      <c r="BH63" s="23" t="s">
        <v>219</v>
      </c>
    </row>
  </sheetData>
  <pageMargins left="0.7" right="0.7" top="0.75" bottom="0.75" header="0.3" footer="0.3"/>
  <pageSetup scale="1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S111"/>
  <sheetViews>
    <sheetView topLeftCell="K79" workbookViewId="0">
      <selection activeCell="P62" sqref="P62:S62"/>
    </sheetView>
  </sheetViews>
  <sheetFormatPr defaultColWidth="9.140625" defaultRowHeight="12.6"/>
  <cols>
    <col min="1" max="1" width="4.5703125" style="87" customWidth="1"/>
    <col min="2" max="2" width="32.5703125" style="87" customWidth="1"/>
    <col min="3" max="3" width="7.7109375" style="87" customWidth="1"/>
    <col min="4" max="4" width="21.28515625" style="58" customWidth="1"/>
    <col min="5" max="5" width="12.5703125" style="87" customWidth="1"/>
    <col min="6" max="6" width="16.85546875" style="58" bestFit="1" customWidth="1"/>
    <col min="7" max="7" width="9" style="87" customWidth="1"/>
    <col min="8" max="8" width="35.140625" style="87" customWidth="1"/>
    <col min="9" max="9" width="9.140625" style="87"/>
    <col min="10" max="10" width="17.85546875" style="87" bestFit="1" customWidth="1"/>
    <col min="11" max="11" width="9.140625" style="87"/>
    <col min="12" max="12" width="16.42578125" style="87" bestFit="1" customWidth="1"/>
    <col min="13" max="13" width="9.140625" style="87"/>
    <col min="14" max="14" width="13.85546875" style="87" bestFit="1" customWidth="1"/>
    <col min="15" max="15" width="37.5703125" style="87" customWidth="1"/>
    <col min="16" max="16" width="11" style="87" bestFit="1" customWidth="1"/>
    <col min="17" max="17" width="23" style="87" customWidth="1"/>
    <col min="18" max="18" width="9.140625" style="87"/>
    <col min="19" max="19" width="23.28515625" style="87" customWidth="1"/>
    <col min="20" max="16384" width="9.140625" style="87"/>
  </cols>
  <sheetData>
    <row r="2" spans="2:19">
      <c r="O2" s="128" t="s">
        <v>220</v>
      </c>
      <c r="P2" s="128"/>
      <c r="Q2" s="128"/>
      <c r="R2" s="128"/>
      <c r="S2" s="128"/>
    </row>
    <row r="3" spans="2:19" ht="14.1">
      <c r="B3" s="394" t="s">
        <v>220</v>
      </c>
      <c r="C3" s="394"/>
      <c r="D3" s="394"/>
      <c r="E3" s="394"/>
      <c r="F3" s="394"/>
      <c r="H3" s="394" t="s">
        <v>220</v>
      </c>
      <c r="I3" s="394"/>
      <c r="J3" s="394"/>
      <c r="K3" s="394"/>
      <c r="L3" s="394"/>
      <c r="O3" s="128" t="s">
        <v>221</v>
      </c>
      <c r="P3" s="128"/>
      <c r="Q3" s="128"/>
      <c r="R3" s="128"/>
      <c r="S3" s="128" t="s">
        <v>222</v>
      </c>
    </row>
    <row r="4" spans="2:19" ht="14.1">
      <c r="B4" s="10" t="s">
        <v>221</v>
      </c>
      <c r="C4" s="9"/>
      <c r="E4" s="9"/>
      <c r="F4" s="61" t="s">
        <v>222</v>
      </c>
      <c r="H4" s="10" t="s">
        <v>221</v>
      </c>
      <c r="I4" s="9"/>
      <c r="J4" s="58"/>
      <c r="K4" s="9"/>
      <c r="L4" s="61" t="s">
        <v>222</v>
      </c>
      <c r="O4" s="128" t="s">
        <v>3</v>
      </c>
      <c r="P4" s="128"/>
      <c r="Q4" s="128"/>
      <c r="R4" s="128"/>
      <c r="S4" s="128">
        <v>2016</v>
      </c>
    </row>
    <row r="5" spans="2:19" ht="14.1">
      <c r="B5" s="10" t="s">
        <v>3</v>
      </c>
      <c r="C5" s="9"/>
      <c r="D5" s="59"/>
      <c r="E5" s="9"/>
      <c r="F5" s="62">
        <v>2016</v>
      </c>
      <c r="H5" s="10" t="s">
        <v>3</v>
      </c>
      <c r="I5" s="9"/>
      <c r="J5" s="59"/>
      <c r="K5" s="9"/>
      <c r="L5" s="62">
        <v>2016</v>
      </c>
      <c r="O5" s="128" t="s">
        <v>4</v>
      </c>
      <c r="P5" s="128"/>
      <c r="Q5" s="128"/>
      <c r="R5" s="128"/>
      <c r="S5" s="128">
        <v>42370</v>
      </c>
    </row>
    <row r="6" spans="2:19" ht="14.1">
      <c r="B6" s="10" t="s">
        <v>4</v>
      </c>
      <c r="C6" s="9"/>
      <c r="D6" s="59"/>
      <c r="E6" s="11"/>
      <c r="F6" s="95">
        <v>42370</v>
      </c>
      <c r="H6" s="10" t="s">
        <v>4</v>
      </c>
      <c r="I6" s="9"/>
      <c r="J6" s="59"/>
      <c r="K6" s="11"/>
      <c r="L6" s="95">
        <v>42370</v>
      </c>
      <c r="O6" s="128" t="s">
        <v>5</v>
      </c>
      <c r="P6" s="128"/>
      <c r="Q6" s="128"/>
      <c r="R6" s="128"/>
      <c r="S6" s="128" t="s">
        <v>223</v>
      </c>
    </row>
    <row r="7" spans="2:19" ht="14.1">
      <c r="B7" s="10" t="s">
        <v>5</v>
      </c>
      <c r="C7" s="9"/>
      <c r="D7" s="59"/>
      <c r="E7" s="11"/>
      <c r="F7" s="63" t="s">
        <v>224</v>
      </c>
      <c r="H7" s="10" t="s">
        <v>5</v>
      </c>
      <c r="I7" s="9"/>
      <c r="J7" s="59"/>
      <c r="K7" s="11"/>
      <c r="L7" s="63" t="s">
        <v>225</v>
      </c>
      <c r="O7" s="128" t="s">
        <v>226</v>
      </c>
      <c r="P7" s="128"/>
      <c r="Q7" s="128"/>
      <c r="R7" s="128"/>
      <c r="S7" s="128"/>
    </row>
    <row r="8" spans="2:19" ht="14.1">
      <c r="B8" s="395" t="s">
        <v>227</v>
      </c>
      <c r="C8" s="395"/>
      <c r="D8" s="395"/>
      <c r="E8" s="395"/>
      <c r="F8" s="396"/>
      <c r="H8" s="395" t="s">
        <v>227</v>
      </c>
      <c r="I8" s="395"/>
      <c r="J8" s="395"/>
      <c r="K8" s="395"/>
      <c r="L8" s="396"/>
      <c r="O8" s="128"/>
      <c r="P8" s="128" t="s">
        <v>228</v>
      </c>
      <c r="Q8" s="128" t="s">
        <v>229</v>
      </c>
      <c r="R8" s="128" t="s">
        <v>230</v>
      </c>
      <c r="S8" s="128" t="s">
        <v>231</v>
      </c>
    </row>
    <row r="9" spans="2:19" ht="14.1">
      <c r="B9" s="9"/>
      <c r="C9" s="10" t="s">
        <v>228</v>
      </c>
      <c r="D9" s="60" t="s">
        <v>229</v>
      </c>
      <c r="E9" s="10" t="s">
        <v>230</v>
      </c>
      <c r="F9" s="60" t="s">
        <v>231</v>
      </c>
      <c r="H9" s="9"/>
      <c r="I9" s="10" t="s">
        <v>228</v>
      </c>
      <c r="J9" s="60" t="s">
        <v>229</v>
      </c>
      <c r="K9" s="10" t="s">
        <v>230</v>
      </c>
      <c r="L9" s="60" t="s">
        <v>231</v>
      </c>
      <c r="O9" s="128" t="s">
        <v>232</v>
      </c>
      <c r="P9" s="128" t="s">
        <v>233</v>
      </c>
      <c r="Q9" s="128" t="s">
        <v>234</v>
      </c>
      <c r="R9" s="128" t="s">
        <v>235</v>
      </c>
      <c r="S9" s="128" t="s">
        <v>236</v>
      </c>
    </row>
    <row r="10" spans="2:19" ht="56.1">
      <c r="B10" s="10" t="s">
        <v>232</v>
      </c>
      <c r="C10" s="10" t="s">
        <v>233</v>
      </c>
      <c r="D10" s="60" t="s">
        <v>234</v>
      </c>
      <c r="E10" s="10" t="s">
        <v>235</v>
      </c>
      <c r="F10" s="60" t="s">
        <v>236</v>
      </c>
      <c r="H10" s="10" t="s">
        <v>232</v>
      </c>
      <c r="I10" s="10" t="s">
        <v>233</v>
      </c>
      <c r="J10" s="60" t="s">
        <v>234</v>
      </c>
      <c r="K10" s="10" t="s">
        <v>235</v>
      </c>
      <c r="L10" s="60" t="s">
        <v>236</v>
      </c>
      <c r="O10" s="128" t="s">
        <v>237</v>
      </c>
      <c r="P10" s="128">
        <v>3222</v>
      </c>
      <c r="Q10" s="128">
        <v>294427788.38</v>
      </c>
      <c r="R10" s="128">
        <v>0.01</v>
      </c>
      <c r="S10" s="128">
        <f>Q10*R10</f>
        <v>2944277.8838</v>
      </c>
    </row>
    <row r="11" spans="2:19" ht="14.1">
      <c r="B11" s="9" t="s">
        <v>237</v>
      </c>
      <c r="C11" s="12"/>
      <c r="D11" s="12">
        <v>240698474.46000001</v>
      </c>
      <c r="E11" s="13">
        <v>0.01</v>
      </c>
      <c r="F11" s="57">
        <f>D11*E11</f>
        <v>2406984.7446000003</v>
      </c>
      <c r="H11" s="9" t="s">
        <v>237</v>
      </c>
      <c r="I11" s="12"/>
      <c r="J11" s="12">
        <v>208835530.25999999</v>
      </c>
      <c r="K11" s="13">
        <v>0.01</v>
      </c>
      <c r="L11" s="57">
        <f>J11*K11</f>
        <v>2088355.3026000001</v>
      </c>
      <c r="O11" s="128" t="s">
        <v>238</v>
      </c>
      <c r="P11" s="128">
        <v>404</v>
      </c>
      <c r="Q11" s="128">
        <v>27566931</v>
      </c>
      <c r="R11" s="128">
        <v>0.05</v>
      </c>
      <c r="S11" s="128">
        <f>Q11*R11</f>
        <v>1378346.55</v>
      </c>
    </row>
    <row r="12" spans="2:19" ht="14.1">
      <c r="B12" s="9" t="s">
        <v>238</v>
      </c>
      <c r="C12" s="12"/>
      <c r="D12" s="12">
        <v>6121965.71</v>
      </c>
      <c r="E12" s="13">
        <v>0.05</v>
      </c>
      <c r="F12" s="57">
        <f>D12*E12</f>
        <v>306098.2855</v>
      </c>
      <c r="H12" s="9" t="s">
        <v>238</v>
      </c>
      <c r="I12" s="12"/>
      <c r="J12" s="12">
        <v>34350560.619999997</v>
      </c>
      <c r="K12" s="13">
        <v>0.05</v>
      </c>
      <c r="L12" s="57">
        <f>J12*K12</f>
        <v>1717528.031</v>
      </c>
      <c r="O12" s="128" t="s">
        <v>239</v>
      </c>
      <c r="P12" s="128">
        <v>63</v>
      </c>
      <c r="Q12" s="128">
        <v>2635489.96</v>
      </c>
      <c r="R12" s="128">
        <v>0.25</v>
      </c>
      <c r="S12" s="128">
        <f>Q12*R12</f>
        <v>658872.49</v>
      </c>
    </row>
    <row r="13" spans="2:19" ht="14.1">
      <c r="B13" s="9" t="s">
        <v>239</v>
      </c>
      <c r="C13" s="12"/>
      <c r="D13" s="12">
        <v>13684297.15</v>
      </c>
      <c r="E13" s="13">
        <v>0.25</v>
      </c>
      <c r="F13" s="57">
        <f>D13*E13</f>
        <v>3421074.2875000001</v>
      </c>
      <c r="H13" s="9" t="s">
        <v>239</v>
      </c>
      <c r="I13" s="12"/>
      <c r="J13" s="12">
        <v>6042444.8099999996</v>
      </c>
      <c r="K13" s="13">
        <v>0.25</v>
      </c>
      <c r="L13" s="57">
        <f>J13*K13</f>
        <v>1510611.2024999999</v>
      </c>
      <c r="O13" s="128" t="s">
        <v>240</v>
      </c>
      <c r="P13" s="128">
        <v>131</v>
      </c>
      <c r="Q13" s="128">
        <v>7050782.0099999998</v>
      </c>
      <c r="R13" s="128">
        <v>0.5</v>
      </c>
      <c r="S13" s="128">
        <f>Q13*R13</f>
        <v>3525391.0049999999</v>
      </c>
    </row>
    <row r="14" spans="2:19" ht="14.1">
      <c r="B14" s="9" t="s">
        <v>240</v>
      </c>
      <c r="C14" s="12"/>
      <c r="D14" s="12">
        <v>870151</v>
      </c>
      <c r="E14" s="13">
        <v>0.5</v>
      </c>
      <c r="F14" s="57">
        <f>D14*E14</f>
        <v>435075.5</v>
      </c>
      <c r="H14" s="9" t="s">
        <v>240</v>
      </c>
      <c r="I14" s="12"/>
      <c r="J14" s="12">
        <v>4869289.21</v>
      </c>
      <c r="K14" s="13">
        <v>0.5</v>
      </c>
      <c r="L14" s="57">
        <f>J14*K14</f>
        <v>2434644.605</v>
      </c>
      <c r="O14" s="128" t="s">
        <v>241</v>
      </c>
      <c r="P14" s="128">
        <v>118</v>
      </c>
      <c r="Q14" s="128">
        <v>4250500.26</v>
      </c>
      <c r="R14" s="128">
        <v>1</v>
      </c>
      <c r="S14" s="128">
        <f>Q14*R14</f>
        <v>4250500.26</v>
      </c>
    </row>
    <row r="15" spans="2:19" ht="14.1">
      <c r="B15" s="9" t="s">
        <v>241</v>
      </c>
      <c r="C15" s="12"/>
      <c r="D15" s="12">
        <v>65146.7</v>
      </c>
      <c r="E15" s="13">
        <v>1</v>
      </c>
      <c r="F15" s="57">
        <f>D15*E15</f>
        <v>65146.7</v>
      </c>
      <c r="H15" s="9" t="s">
        <v>241</v>
      </c>
      <c r="I15" s="12"/>
      <c r="J15" s="12">
        <v>385146.7</v>
      </c>
      <c r="K15" s="13">
        <v>1</v>
      </c>
      <c r="L15" s="57">
        <f>J15*K15</f>
        <v>385146.7</v>
      </c>
      <c r="O15" s="128" t="s">
        <v>242</v>
      </c>
      <c r="P15" s="128">
        <f>SUM(P10:P14)</f>
        <v>3938</v>
      </c>
      <c r="Q15" s="128">
        <f>SUM(Q10:Q14)</f>
        <v>335931491.60999995</v>
      </c>
      <c r="R15" s="128"/>
      <c r="S15" s="128">
        <f>SUM(S10:S14)</f>
        <v>12757388.1888</v>
      </c>
    </row>
    <row r="16" spans="2:19" ht="14.1">
      <c r="B16" s="10" t="s">
        <v>242</v>
      </c>
      <c r="C16" s="10">
        <f>SUM(C11:C15)</f>
        <v>0</v>
      </c>
      <c r="D16" s="72">
        <f>SUM(D11:D15)</f>
        <v>261440035.02000001</v>
      </c>
      <c r="E16" s="14"/>
      <c r="F16" s="72">
        <f>SUM(F11:F15)</f>
        <v>6634379.5176000008</v>
      </c>
      <c r="H16" s="10" t="s">
        <v>242</v>
      </c>
      <c r="I16" s="10">
        <f>SUM(I11:I15)</f>
        <v>0</v>
      </c>
      <c r="J16" s="72">
        <f>SUM(J11:J15)</f>
        <v>254482971.59999999</v>
      </c>
      <c r="K16" s="14"/>
      <c r="L16" s="72">
        <f>SUM(L11:L15)</f>
        <v>8136285.8411000008</v>
      </c>
      <c r="O16" s="128" t="s">
        <v>243</v>
      </c>
      <c r="P16" s="128"/>
      <c r="Q16" s="128"/>
      <c r="R16" s="128"/>
      <c r="S16" s="128"/>
    </row>
    <row r="17" spans="2:19" ht="14.1">
      <c r="B17" s="9" t="s">
        <v>243</v>
      </c>
      <c r="C17" s="12"/>
      <c r="D17" s="56"/>
      <c r="E17" s="12"/>
      <c r="F17" s="56"/>
      <c r="H17" s="9" t="s">
        <v>243</v>
      </c>
      <c r="I17" s="12"/>
      <c r="J17" s="56"/>
      <c r="K17" s="12"/>
      <c r="L17" s="56"/>
      <c r="O17" s="128" t="s">
        <v>237</v>
      </c>
      <c r="P17" s="128">
        <v>0</v>
      </c>
      <c r="Q17" s="128"/>
      <c r="R17" s="128">
        <v>0.01</v>
      </c>
      <c r="S17" s="128">
        <f>Q17*R17</f>
        <v>0</v>
      </c>
    </row>
    <row r="18" spans="2:19" ht="14.1">
      <c r="B18" s="9" t="s">
        <v>237</v>
      </c>
      <c r="C18" s="12">
        <v>0</v>
      </c>
      <c r="D18" s="56"/>
      <c r="E18" s="13">
        <v>0.01</v>
      </c>
      <c r="F18" s="57">
        <f>D18*E18</f>
        <v>0</v>
      </c>
      <c r="H18" s="9" t="s">
        <v>237</v>
      </c>
      <c r="I18" s="12">
        <v>0</v>
      </c>
      <c r="J18" s="56"/>
      <c r="K18" s="13">
        <v>0.01</v>
      </c>
      <c r="L18" s="57">
        <f>J18*K18</f>
        <v>0</v>
      </c>
      <c r="O18" s="128" t="s">
        <v>238</v>
      </c>
      <c r="P18" s="128">
        <v>0</v>
      </c>
      <c r="Q18" s="128"/>
      <c r="R18" s="128">
        <v>0.05</v>
      </c>
      <c r="S18" s="128">
        <f>Q18*R18</f>
        <v>0</v>
      </c>
    </row>
    <row r="19" spans="2:19" ht="14.1">
      <c r="B19" s="9" t="s">
        <v>238</v>
      </c>
      <c r="C19" s="12">
        <v>0</v>
      </c>
      <c r="D19" s="56"/>
      <c r="E19" s="13">
        <v>0.05</v>
      </c>
      <c r="F19" s="57">
        <f>D19*E19</f>
        <v>0</v>
      </c>
      <c r="H19" s="9" t="s">
        <v>238</v>
      </c>
      <c r="I19" s="12">
        <v>0</v>
      </c>
      <c r="J19" s="56"/>
      <c r="K19" s="13">
        <v>0.05</v>
      </c>
      <c r="L19" s="57">
        <f>J19*K19</f>
        <v>0</v>
      </c>
      <c r="O19" s="128" t="s">
        <v>239</v>
      </c>
      <c r="P19" s="128">
        <v>0</v>
      </c>
      <c r="Q19" s="128">
        <v>0</v>
      </c>
      <c r="R19" s="128">
        <v>0.25</v>
      </c>
      <c r="S19" s="128">
        <f>Q19*R19</f>
        <v>0</v>
      </c>
    </row>
    <row r="20" spans="2:19" ht="14.1">
      <c r="B20" s="9" t="s">
        <v>239</v>
      </c>
      <c r="C20" s="12">
        <v>0</v>
      </c>
      <c r="D20" s="56">
        <v>0</v>
      </c>
      <c r="E20" s="13">
        <v>0.25</v>
      </c>
      <c r="F20" s="57">
        <f>D20*E20</f>
        <v>0</v>
      </c>
      <c r="H20" s="9" t="s">
        <v>239</v>
      </c>
      <c r="I20" s="12">
        <v>0</v>
      </c>
      <c r="J20" s="56">
        <v>0</v>
      </c>
      <c r="K20" s="13">
        <v>0.25</v>
      </c>
      <c r="L20" s="57">
        <f>J20*K20</f>
        <v>0</v>
      </c>
      <c r="O20" s="128" t="s">
        <v>240</v>
      </c>
      <c r="P20" s="128">
        <v>0</v>
      </c>
      <c r="Q20" s="128">
        <v>0</v>
      </c>
      <c r="R20" s="128">
        <v>0.5</v>
      </c>
      <c r="S20" s="128">
        <f>Q20*R20</f>
        <v>0</v>
      </c>
    </row>
    <row r="21" spans="2:19" ht="14.1">
      <c r="B21" s="9" t="s">
        <v>240</v>
      </c>
      <c r="C21" s="12">
        <v>0</v>
      </c>
      <c r="D21" s="56">
        <v>0</v>
      </c>
      <c r="E21" s="13">
        <v>0.5</v>
      </c>
      <c r="F21" s="57">
        <f>D21*E21</f>
        <v>0</v>
      </c>
      <c r="H21" s="9" t="s">
        <v>240</v>
      </c>
      <c r="I21" s="12">
        <v>0</v>
      </c>
      <c r="J21" s="56">
        <v>0</v>
      </c>
      <c r="K21" s="13">
        <v>0.5</v>
      </c>
      <c r="L21" s="57">
        <f>J21*K21</f>
        <v>0</v>
      </c>
      <c r="O21" s="128" t="s">
        <v>241</v>
      </c>
      <c r="P21" s="128">
        <v>0</v>
      </c>
      <c r="Q21" s="128">
        <v>0</v>
      </c>
      <c r="R21" s="128">
        <v>1</v>
      </c>
      <c r="S21" s="128">
        <f>Q21*R21</f>
        <v>0</v>
      </c>
    </row>
    <row r="22" spans="2:19" ht="14.1">
      <c r="B22" s="9" t="s">
        <v>241</v>
      </c>
      <c r="C22" s="12">
        <v>0</v>
      </c>
      <c r="D22" s="56">
        <v>0</v>
      </c>
      <c r="E22" s="13">
        <v>1</v>
      </c>
      <c r="F22" s="57">
        <f>D22*E22</f>
        <v>0</v>
      </c>
      <c r="H22" s="9" t="s">
        <v>241</v>
      </c>
      <c r="I22" s="12">
        <v>0</v>
      </c>
      <c r="J22" s="56">
        <v>0</v>
      </c>
      <c r="K22" s="13">
        <v>1</v>
      </c>
      <c r="L22" s="57">
        <f>J22*K22</f>
        <v>0</v>
      </c>
      <c r="O22" s="128" t="s">
        <v>242</v>
      </c>
      <c r="P22" s="128">
        <f>SUM(P16:P21)</f>
        <v>0</v>
      </c>
      <c r="Q22" s="128">
        <f>SUM(Q16:Q21)</f>
        <v>0</v>
      </c>
      <c r="R22" s="128"/>
      <c r="S22" s="128">
        <f>SUM(S16:S21)</f>
        <v>0</v>
      </c>
    </row>
    <row r="23" spans="2:19" ht="14.1">
      <c r="B23" s="10" t="s">
        <v>242</v>
      </c>
      <c r="C23" s="10">
        <f>SUM(C17:C22)</f>
        <v>0</v>
      </c>
      <c r="D23" s="72">
        <f>SUM(D17:D22)</f>
        <v>0</v>
      </c>
      <c r="E23" s="10"/>
      <c r="F23" s="72">
        <f>SUM(F17:F22)</f>
        <v>0</v>
      </c>
      <c r="H23" s="10" t="s">
        <v>242</v>
      </c>
      <c r="I23" s="10">
        <f>SUM(I17:I22)</f>
        <v>0</v>
      </c>
      <c r="J23" s="72">
        <f>SUM(J17:J22)</f>
        <v>0</v>
      </c>
      <c r="K23" s="10"/>
      <c r="L23" s="72">
        <f>SUM(L17:L22)</f>
        <v>0</v>
      </c>
      <c r="O23" s="128" t="s">
        <v>244</v>
      </c>
      <c r="P23" s="128">
        <f>P15+P22</f>
        <v>3938</v>
      </c>
      <c r="Q23" s="128">
        <f>Q15+Q22</f>
        <v>335931491.60999995</v>
      </c>
      <c r="R23" s="128"/>
      <c r="S23" s="128">
        <f>S15+S22</f>
        <v>12757388.1888</v>
      </c>
    </row>
    <row r="24" spans="2:19" ht="14.1">
      <c r="B24" s="10" t="s">
        <v>244</v>
      </c>
      <c r="C24" s="10">
        <f>C16+C23</f>
        <v>0</v>
      </c>
      <c r="D24" s="72">
        <f>D16+D23</f>
        <v>261440035.02000001</v>
      </c>
      <c r="E24" s="10"/>
      <c r="F24" s="72">
        <f>F16+F23</f>
        <v>6634379.5176000008</v>
      </c>
      <c r="H24" s="10" t="s">
        <v>244</v>
      </c>
      <c r="I24" s="10">
        <f>I16+I23</f>
        <v>0</v>
      </c>
      <c r="J24" s="72">
        <f>J16+J23</f>
        <v>254482971.59999999</v>
      </c>
      <c r="K24" s="10"/>
      <c r="L24" s="72">
        <f>L16+L23</f>
        <v>8136285.8411000008</v>
      </c>
      <c r="O24" s="128"/>
      <c r="P24" s="128"/>
      <c r="Q24" s="128"/>
      <c r="R24" s="128"/>
      <c r="S24" s="128"/>
    </row>
    <row r="25" spans="2:19" ht="14.1">
      <c r="B25" s="88"/>
      <c r="C25" s="88"/>
      <c r="D25" s="89"/>
      <c r="E25" s="88"/>
      <c r="F25" s="92"/>
      <c r="H25" s="88"/>
      <c r="I25" s="88"/>
      <c r="J25" s="89"/>
      <c r="K25" s="88"/>
      <c r="L25" s="92"/>
      <c r="O25" s="128"/>
      <c r="P25" s="128"/>
      <c r="Q25" s="128">
        <f>Q12+Q13+Q14</f>
        <v>13936772.229999999</v>
      </c>
      <c r="R25" s="128"/>
      <c r="S25" s="128"/>
    </row>
    <row r="26" spans="2:19" ht="14.1">
      <c r="B26" s="64"/>
      <c r="C26" s="64"/>
      <c r="D26" s="90">
        <f>D13+D14+D15</f>
        <v>14619594.85</v>
      </c>
      <c r="E26" s="64"/>
      <c r="F26" s="90"/>
      <c r="H26" s="64"/>
      <c r="I26" s="64"/>
      <c r="J26" s="90">
        <f>J13+J14+J15</f>
        <v>11296880.719999999</v>
      </c>
      <c r="K26" s="64"/>
      <c r="L26" s="90"/>
      <c r="O26" s="128"/>
      <c r="P26" s="128" t="s">
        <v>245</v>
      </c>
      <c r="Q26" s="128">
        <f>Q25/Q23</f>
        <v>4.1486947720221212E-2</v>
      </c>
      <c r="R26" s="128"/>
      <c r="S26" s="128"/>
    </row>
    <row r="27" spans="2:19" ht="14.1">
      <c r="B27" s="64"/>
      <c r="C27" s="64" t="s">
        <v>245</v>
      </c>
      <c r="D27" s="91">
        <f>D26/D24</f>
        <v>5.5919495454786063E-2</v>
      </c>
      <c r="E27" s="64"/>
      <c r="F27" s="90"/>
      <c r="H27" s="64"/>
      <c r="I27" s="64" t="s">
        <v>245</v>
      </c>
      <c r="J27" s="91">
        <f>J26/J24</f>
        <v>4.4391499552891886E-2</v>
      </c>
      <c r="K27" s="64"/>
      <c r="L27" s="90"/>
      <c r="O27" s="128"/>
      <c r="P27" s="128"/>
      <c r="Q27" s="128"/>
      <c r="R27" s="128"/>
      <c r="S27" s="128"/>
    </row>
    <row r="28" spans="2:19">
      <c r="O28" s="128"/>
      <c r="P28" s="128">
        <v>42795</v>
      </c>
      <c r="Q28" s="128"/>
      <c r="R28" s="128"/>
      <c r="S28" s="128"/>
    </row>
    <row r="29" spans="2:19">
      <c r="I29" s="100">
        <v>42795</v>
      </c>
      <c r="O29" s="128" t="s">
        <v>220</v>
      </c>
      <c r="P29" s="128"/>
      <c r="Q29" s="128"/>
      <c r="R29" s="128"/>
      <c r="S29" s="128"/>
    </row>
    <row r="30" spans="2:19" ht="14.1">
      <c r="B30" s="394" t="s">
        <v>220</v>
      </c>
      <c r="C30" s="394"/>
      <c r="D30" s="394"/>
      <c r="E30" s="394"/>
      <c r="F30" s="394"/>
      <c r="H30" s="394" t="s">
        <v>220</v>
      </c>
      <c r="I30" s="394"/>
      <c r="J30" s="394"/>
      <c r="K30" s="394"/>
      <c r="L30" s="394"/>
      <c r="O30" s="128" t="s">
        <v>221</v>
      </c>
      <c r="P30" s="128"/>
      <c r="Q30" s="128"/>
      <c r="R30" s="128"/>
      <c r="S30" s="128" t="s">
        <v>222</v>
      </c>
    </row>
    <row r="31" spans="2:19" ht="14.1">
      <c r="B31" s="10" t="s">
        <v>221</v>
      </c>
      <c r="C31" s="9"/>
      <c r="E31" s="9"/>
      <c r="F31" s="96" t="s">
        <v>222</v>
      </c>
      <c r="H31" s="10" t="s">
        <v>221</v>
      </c>
      <c r="I31" s="9"/>
      <c r="J31" s="58"/>
      <c r="K31" s="9"/>
      <c r="L31" s="96" t="s">
        <v>222</v>
      </c>
      <c r="O31" s="128" t="s">
        <v>3</v>
      </c>
      <c r="P31" s="128"/>
      <c r="Q31" s="128"/>
      <c r="R31" s="128"/>
      <c r="S31" s="128">
        <v>2017</v>
      </c>
    </row>
    <row r="32" spans="2:19" ht="14.1">
      <c r="B32" s="10" t="s">
        <v>3</v>
      </c>
      <c r="C32" s="9"/>
      <c r="D32" s="59"/>
      <c r="E32" s="9"/>
      <c r="F32" s="97">
        <v>2016</v>
      </c>
      <c r="H32" s="10" t="s">
        <v>3</v>
      </c>
      <c r="I32" s="9"/>
      <c r="J32" s="59"/>
      <c r="K32" s="9"/>
      <c r="L32" s="97">
        <v>2017</v>
      </c>
      <c r="O32" s="128" t="s">
        <v>4</v>
      </c>
      <c r="P32" s="128"/>
      <c r="Q32" s="128"/>
      <c r="R32" s="128"/>
      <c r="S32" s="129">
        <v>43101</v>
      </c>
    </row>
    <row r="33" spans="2:19" ht="14.1">
      <c r="B33" s="10" t="s">
        <v>4</v>
      </c>
      <c r="C33" s="9"/>
      <c r="D33" s="59"/>
      <c r="E33" s="11"/>
      <c r="F33" s="98" t="s">
        <v>246</v>
      </c>
      <c r="H33" s="10" t="s">
        <v>4</v>
      </c>
      <c r="I33" s="9"/>
      <c r="J33" s="59"/>
      <c r="K33" s="11"/>
      <c r="L33" s="98" t="s">
        <v>247</v>
      </c>
      <c r="O33" s="128" t="s">
        <v>5</v>
      </c>
      <c r="P33" s="128"/>
      <c r="Q33" s="128"/>
      <c r="R33" s="128"/>
      <c r="S33" s="128" t="s">
        <v>248</v>
      </c>
    </row>
    <row r="34" spans="2:19" ht="14.1">
      <c r="B34" s="10" t="s">
        <v>5</v>
      </c>
      <c r="C34" s="9"/>
      <c r="D34" s="59"/>
      <c r="E34" s="11"/>
      <c r="F34" s="98" t="s">
        <v>249</v>
      </c>
      <c r="H34" s="10" t="s">
        <v>5</v>
      </c>
      <c r="I34" s="9"/>
      <c r="J34" s="59"/>
      <c r="K34" s="11"/>
      <c r="L34" s="98" t="s">
        <v>250</v>
      </c>
      <c r="O34" s="128" t="s">
        <v>226</v>
      </c>
      <c r="P34" s="128"/>
      <c r="Q34" s="128"/>
      <c r="R34" s="128"/>
      <c r="S34" s="128"/>
    </row>
    <row r="35" spans="2:19" ht="14.1">
      <c r="B35" s="395" t="s">
        <v>227</v>
      </c>
      <c r="C35" s="395"/>
      <c r="D35" s="395"/>
      <c r="E35" s="395"/>
      <c r="F35" s="396"/>
      <c r="H35" s="395" t="s">
        <v>227</v>
      </c>
      <c r="I35" s="395"/>
      <c r="J35" s="395"/>
      <c r="K35" s="395"/>
      <c r="L35" s="396"/>
      <c r="O35" s="128"/>
      <c r="P35" s="128" t="s">
        <v>228</v>
      </c>
      <c r="Q35" s="128" t="s">
        <v>229</v>
      </c>
      <c r="R35" s="128" t="s">
        <v>230</v>
      </c>
      <c r="S35" s="128" t="s">
        <v>231</v>
      </c>
    </row>
    <row r="36" spans="2:19" ht="14.1">
      <c r="B36" s="9"/>
      <c r="C36" s="10" t="s">
        <v>228</v>
      </c>
      <c r="D36" s="60" t="s">
        <v>229</v>
      </c>
      <c r="E36" s="10" t="s">
        <v>230</v>
      </c>
      <c r="F36" s="60" t="s">
        <v>231</v>
      </c>
      <c r="H36" s="9"/>
      <c r="I36" s="10" t="s">
        <v>228</v>
      </c>
      <c r="J36" s="60" t="s">
        <v>229</v>
      </c>
      <c r="K36" s="10" t="s">
        <v>230</v>
      </c>
      <c r="L36" s="60" t="s">
        <v>231</v>
      </c>
      <c r="O36" s="128" t="s">
        <v>232</v>
      </c>
      <c r="P36" s="128" t="s">
        <v>233</v>
      </c>
      <c r="Q36" s="128" t="s">
        <v>234</v>
      </c>
      <c r="R36" s="128" t="s">
        <v>235</v>
      </c>
      <c r="S36" s="128" t="s">
        <v>236</v>
      </c>
    </row>
    <row r="37" spans="2:19" ht="56.1">
      <c r="B37" s="10" t="s">
        <v>232</v>
      </c>
      <c r="C37" s="10" t="s">
        <v>233</v>
      </c>
      <c r="D37" s="60" t="s">
        <v>234</v>
      </c>
      <c r="E37" s="10" t="s">
        <v>235</v>
      </c>
      <c r="F37" s="60" t="s">
        <v>236</v>
      </c>
      <c r="H37" s="10" t="s">
        <v>232</v>
      </c>
      <c r="I37" s="10" t="s">
        <v>233</v>
      </c>
      <c r="J37" s="60" t="s">
        <v>234</v>
      </c>
      <c r="K37" s="10" t="s">
        <v>235</v>
      </c>
      <c r="L37" s="60" t="s">
        <v>236</v>
      </c>
      <c r="O37" s="128" t="s">
        <v>237</v>
      </c>
      <c r="P37" s="128">
        <v>2650</v>
      </c>
      <c r="Q37" s="128">
        <v>264271508.81999999</v>
      </c>
      <c r="R37" s="128">
        <v>0.01</v>
      </c>
      <c r="S37" s="128">
        <f>Q37*R37</f>
        <v>2642715.0882000001</v>
      </c>
    </row>
    <row r="38" spans="2:19" ht="14.1">
      <c r="B38" s="9" t="s">
        <v>237</v>
      </c>
      <c r="C38" s="12">
        <v>2730</v>
      </c>
      <c r="D38" s="12">
        <v>240533086.25</v>
      </c>
      <c r="E38" s="13">
        <v>0.01</v>
      </c>
      <c r="F38" s="57">
        <f>D38*E38</f>
        <v>2405330.8625000003</v>
      </c>
      <c r="H38" s="9" t="s">
        <v>237</v>
      </c>
      <c r="I38" s="12">
        <v>2650</v>
      </c>
      <c r="J38" s="12">
        <v>264271508.81999999</v>
      </c>
      <c r="K38" s="13">
        <v>0.01</v>
      </c>
      <c r="L38" s="57">
        <f>J38*K38</f>
        <v>2642715.0882000001</v>
      </c>
      <c r="O38" s="128" t="s">
        <v>238</v>
      </c>
      <c r="P38" s="128">
        <v>78</v>
      </c>
      <c r="Q38" s="128">
        <v>10262123.390000001</v>
      </c>
      <c r="R38" s="128">
        <v>0.05</v>
      </c>
      <c r="S38" s="128">
        <f>Q38*R38</f>
        <v>513106.16950000008</v>
      </c>
    </row>
    <row r="39" spans="2:19" ht="14.1">
      <c r="B39" s="9" t="s">
        <v>238</v>
      </c>
      <c r="C39" s="12">
        <v>145</v>
      </c>
      <c r="D39" s="12">
        <v>7306925.4800000004</v>
      </c>
      <c r="E39" s="13">
        <v>0.05</v>
      </c>
      <c r="F39" s="57">
        <f>D39*E39</f>
        <v>365346.27400000003</v>
      </c>
      <c r="H39" s="9" t="s">
        <v>238</v>
      </c>
      <c r="I39" s="12">
        <v>78</v>
      </c>
      <c r="J39" s="12">
        <v>10262123.390000001</v>
      </c>
      <c r="K39" s="13">
        <v>0.05</v>
      </c>
      <c r="L39" s="57">
        <f>J39*K39</f>
        <v>513106.16950000008</v>
      </c>
      <c r="O39" s="128" t="s">
        <v>239</v>
      </c>
      <c r="P39" s="128">
        <v>58</v>
      </c>
      <c r="Q39" s="128">
        <v>6806907.6900000004</v>
      </c>
      <c r="R39" s="128">
        <v>0.25</v>
      </c>
      <c r="S39" s="128">
        <f>Q39*R39</f>
        <v>1701726.9225000001</v>
      </c>
    </row>
    <row r="40" spans="2:19" ht="14.1">
      <c r="B40" s="9" t="s">
        <v>239</v>
      </c>
      <c r="C40" s="12">
        <v>113</v>
      </c>
      <c r="D40" s="12">
        <v>7113724.0599999996</v>
      </c>
      <c r="E40" s="13">
        <v>0.25</v>
      </c>
      <c r="F40" s="57">
        <f>D40*E40</f>
        <v>1778431.0149999999</v>
      </c>
      <c r="H40" s="9" t="s">
        <v>239</v>
      </c>
      <c r="I40" s="12">
        <v>58</v>
      </c>
      <c r="J40" s="12">
        <v>6806907.6900000004</v>
      </c>
      <c r="K40" s="13">
        <v>0.25</v>
      </c>
      <c r="L40" s="57">
        <f>J40*K40</f>
        <v>1701726.9225000001</v>
      </c>
      <c r="N40" s="87">
        <f>SUM(J40+J41+J42)</f>
        <v>18697147.390000001</v>
      </c>
      <c r="O40" s="128" t="s">
        <v>240</v>
      </c>
      <c r="P40" s="128">
        <v>108</v>
      </c>
      <c r="Q40" s="128">
        <v>9646069.6400000006</v>
      </c>
      <c r="R40" s="128">
        <v>0.5</v>
      </c>
      <c r="S40" s="128">
        <f>Q40*R40</f>
        <v>4823034.82</v>
      </c>
    </row>
    <row r="41" spans="2:19" ht="14.1">
      <c r="B41" s="9" t="s">
        <v>240</v>
      </c>
      <c r="C41" s="12">
        <v>175</v>
      </c>
      <c r="D41" s="12">
        <v>5802149.25</v>
      </c>
      <c r="E41" s="13">
        <v>0.5</v>
      </c>
      <c r="F41" s="57">
        <f>D41*E41</f>
        <v>2901074.625</v>
      </c>
      <c r="H41" s="9" t="s">
        <v>240</v>
      </c>
      <c r="I41" s="12">
        <v>108</v>
      </c>
      <c r="J41" s="12">
        <v>9646069.6400000006</v>
      </c>
      <c r="K41" s="13">
        <v>0.5</v>
      </c>
      <c r="L41" s="57">
        <f>J41*K41</f>
        <v>4823034.82</v>
      </c>
      <c r="N41" s="102">
        <f>N40/J43</f>
        <v>6.376256754323345E-2</v>
      </c>
      <c r="O41" s="128" t="s">
        <v>241</v>
      </c>
      <c r="P41" s="128">
        <v>122</v>
      </c>
      <c r="Q41" s="128">
        <v>2244170.06</v>
      </c>
      <c r="R41" s="128">
        <v>1</v>
      </c>
      <c r="S41" s="128">
        <f>Q41*R41</f>
        <v>2244170.06</v>
      </c>
    </row>
    <row r="42" spans="2:19" ht="14.1">
      <c r="B42" s="9" t="s">
        <v>241</v>
      </c>
      <c r="C42" s="12">
        <v>94</v>
      </c>
      <c r="D42" s="12">
        <v>4061903.24</v>
      </c>
      <c r="E42" s="13">
        <v>1</v>
      </c>
      <c r="F42" s="57">
        <f>D42*E42</f>
        <v>4061903.24</v>
      </c>
      <c r="H42" s="9" t="s">
        <v>241</v>
      </c>
      <c r="I42" s="12">
        <v>122</v>
      </c>
      <c r="J42" s="12">
        <v>2244170.06</v>
      </c>
      <c r="K42" s="13">
        <v>1</v>
      </c>
      <c r="L42" s="57">
        <f>J42*K42</f>
        <v>2244170.06</v>
      </c>
      <c r="O42" s="128" t="s">
        <v>242</v>
      </c>
      <c r="P42" s="128"/>
      <c r="Q42" s="128">
        <f>SUM(Q37:Q41)</f>
        <v>293230779.59999996</v>
      </c>
      <c r="R42" s="128"/>
      <c r="S42" s="128">
        <f>SUM(S37:S41)</f>
        <v>11924753.0602</v>
      </c>
    </row>
    <row r="43" spans="2:19" ht="14.1">
      <c r="B43" s="10" t="s">
        <v>242</v>
      </c>
      <c r="C43" s="10">
        <f>SUM(C38:C42)</f>
        <v>3257</v>
      </c>
      <c r="D43" s="72">
        <f>SUM(D38:D42)</f>
        <v>264817788.28</v>
      </c>
      <c r="E43" s="14"/>
      <c r="F43" s="72">
        <f>SUM(F38:F42)</f>
        <v>11512086.0165</v>
      </c>
      <c r="H43" s="10" t="s">
        <v>242</v>
      </c>
      <c r="I43" s="10"/>
      <c r="J43" s="72">
        <f>SUM(J38:J42)</f>
        <v>293230779.59999996</v>
      </c>
      <c r="K43" s="14"/>
      <c r="L43" s="72">
        <f>SUM(L38:L42)</f>
        <v>11924753.0602</v>
      </c>
      <c r="O43" s="128" t="s">
        <v>243</v>
      </c>
      <c r="P43" s="128"/>
      <c r="Q43" s="128"/>
      <c r="R43" s="128"/>
      <c r="S43" s="128"/>
    </row>
    <row r="44" spans="2:19" ht="14.1">
      <c r="B44" s="9" t="s">
        <v>243</v>
      </c>
      <c r="C44" s="12"/>
      <c r="D44" s="56"/>
      <c r="E44" s="12"/>
      <c r="F44" s="56"/>
      <c r="H44" s="9" t="s">
        <v>243</v>
      </c>
      <c r="I44" s="12"/>
      <c r="J44" s="56"/>
      <c r="K44" s="12"/>
      <c r="L44" s="56"/>
      <c r="O44" s="128" t="s">
        <v>237</v>
      </c>
      <c r="P44" s="128">
        <v>0</v>
      </c>
      <c r="Q44" s="128"/>
      <c r="R44" s="128">
        <v>0.01</v>
      </c>
      <c r="S44" s="128">
        <f>Q44*R44</f>
        <v>0</v>
      </c>
    </row>
    <row r="45" spans="2:19" ht="14.1">
      <c r="B45" s="9" t="s">
        <v>237</v>
      </c>
      <c r="C45" s="12">
        <v>0</v>
      </c>
      <c r="D45" s="56"/>
      <c r="E45" s="13">
        <v>0.01</v>
      </c>
      <c r="F45" s="57">
        <f>D45*E45</f>
        <v>0</v>
      </c>
      <c r="H45" s="9" t="s">
        <v>237</v>
      </c>
      <c r="I45" s="12">
        <v>0</v>
      </c>
      <c r="J45" s="56"/>
      <c r="K45" s="13">
        <v>0.01</v>
      </c>
      <c r="L45" s="57">
        <f>J45*K45</f>
        <v>0</v>
      </c>
      <c r="O45" s="128" t="s">
        <v>238</v>
      </c>
      <c r="P45" s="128">
        <v>0</v>
      </c>
      <c r="Q45" s="128"/>
      <c r="R45" s="128">
        <v>0.05</v>
      </c>
      <c r="S45" s="128">
        <f>Q45*R45</f>
        <v>0</v>
      </c>
    </row>
    <row r="46" spans="2:19" ht="14.1">
      <c r="B46" s="9" t="s">
        <v>238</v>
      </c>
      <c r="C46" s="12">
        <v>0</v>
      </c>
      <c r="D46" s="56"/>
      <c r="E46" s="13">
        <v>0.05</v>
      </c>
      <c r="F46" s="57">
        <f>D46*E46</f>
        <v>0</v>
      </c>
      <c r="H46" s="9" t="s">
        <v>238</v>
      </c>
      <c r="I46" s="12">
        <v>0</v>
      </c>
      <c r="J46" s="56"/>
      <c r="K46" s="13">
        <v>0.05</v>
      </c>
      <c r="L46" s="57">
        <f>J46*K46</f>
        <v>0</v>
      </c>
      <c r="O46" s="128" t="s">
        <v>239</v>
      </c>
      <c r="P46" s="128">
        <v>0</v>
      </c>
      <c r="Q46" s="128">
        <v>0</v>
      </c>
      <c r="R46" s="128">
        <v>0.25</v>
      </c>
      <c r="S46" s="128">
        <f>Q46*R46</f>
        <v>0</v>
      </c>
    </row>
    <row r="47" spans="2:19" ht="14.1">
      <c r="B47" s="9" t="s">
        <v>239</v>
      </c>
      <c r="C47" s="12">
        <v>0</v>
      </c>
      <c r="D47" s="56">
        <v>0</v>
      </c>
      <c r="E47" s="13">
        <v>0.25</v>
      </c>
      <c r="F47" s="57">
        <f>D47*E47</f>
        <v>0</v>
      </c>
      <c r="H47" s="9" t="s">
        <v>239</v>
      </c>
      <c r="I47" s="12">
        <v>0</v>
      </c>
      <c r="J47" s="56">
        <v>0</v>
      </c>
      <c r="K47" s="13">
        <v>0.25</v>
      </c>
      <c r="L47" s="57">
        <f>J47*K47</f>
        <v>0</v>
      </c>
      <c r="O47" s="128" t="s">
        <v>240</v>
      </c>
      <c r="P47" s="128">
        <v>0</v>
      </c>
      <c r="Q47" s="128">
        <v>0</v>
      </c>
      <c r="R47" s="128">
        <v>0.5</v>
      </c>
      <c r="S47" s="128">
        <f>Q47*R47</f>
        <v>0</v>
      </c>
    </row>
    <row r="48" spans="2:19" ht="14.1">
      <c r="B48" s="9" t="s">
        <v>240</v>
      </c>
      <c r="C48" s="12">
        <v>0</v>
      </c>
      <c r="D48" s="56">
        <v>0</v>
      </c>
      <c r="E48" s="13">
        <v>0.5</v>
      </c>
      <c r="F48" s="57">
        <f>D48*E48</f>
        <v>0</v>
      </c>
      <c r="H48" s="9" t="s">
        <v>240</v>
      </c>
      <c r="I48" s="12">
        <v>0</v>
      </c>
      <c r="J48" s="56">
        <v>0</v>
      </c>
      <c r="K48" s="13">
        <v>0.5</v>
      </c>
      <c r="L48" s="57">
        <f>J48*K48</f>
        <v>0</v>
      </c>
      <c r="O48" s="128" t="s">
        <v>241</v>
      </c>
      <c r="P48" s="128">
        <v>0</v>
      </c>
      <c r="Q48" s="128">
        <v>0</v>
      </c>
      <c r="R48" s="128">
        <v>1</v>
      </c>
      <c r="S48" s="128">
        <f>Q48*R48</f>
        <v>0</v>
      </c>
    </row>
    <row r="49" spans="2:19" ht="14.1">
      <c r="B49" s="9" t="s">
        <v>241</v>
      </c>
      <c r="C49" s="12">
        <v>0</v>
      </c>
      <c r="D49" s="56">
        <v>0</v>
      </c>
      <c r="E49" s="13">
        <v>1</v>
      </c>
      <c r="F49" s="57">
        <f>D49*E49</f>
        <v>0</v>
      </c>
      <c r="H49" s="9" t="s">
        <v>241</v>
      </c>
      <c r="I49" s="12">
        <v>0</v>
      </c>
      <c r="J49" s="56">
        <v>0</v>
      </c>
      <c r="K49" s="13">
        <v>1</v>
      </c>
      <c r="L49" s="57">
        <f>J49*K49</f>
        <v>0</v>
      </c>
      <c r="O49" s="128" t="s">
        <v>242</v>
      </c>
      <c r="P49" s="128">
        <f>SUM(P43:P48)</f>
        <v>0</v>
      </c>
      <c r="Q49" s="128">
        <f>SUM(Q43:Q48)</f>
        <v>0</v>
      </c>
      <c r="R49" s="128"/>
      <c r="S49" s="128">
        <f>SUM(S43:S48)</f>
        <v>0</v>
      </c>
    </row>
    <row r="50" spans="2:19" ht="14.1">
      <c r="B50" s="10" t="s">
        <v>242</v>
      </c>
      <c r="C50" s="10">
        <f>SUM(C44:C49)</f>
        <v>0</v>
      </c>
      <c r="D50" s="72">
        <f>SUM(D44:D49)</f>
        <v>0</v>
      </c>
      <c r="E50" s="10"/>
      <c r="F50" s="72">
        <f>SUM(F44:F49)</f>
        <v>0</v>
      </c>
      <c r="H50" s="10" t="s">
        <v>242</v>
      </c>
      <c r="I50" s="10">
        <f>SUM(I44:I49)</f>
        <v>0</v>
      </c>
      <c r="J50" s="72">
        <f>SUM(J44:J49)</f>
        <v>0</v>
      </c>
      <c r="K50" s="10"/>
      <c r="L50" s="72">
        <f>SUM(L44:L49)</f>
        <v>0</v>
      </c>
      <c r="O50" s="128" t="s">
        <v>244</v>
      </c>
      <c r="P50" s="128">
        <f>P42+P49</f>
        <v>0</v>
      </c>
      <c r="Q50" s="128">
        <f>Q42+Q49</f>
        <v>293230779.59999996</v>
      </c>
      <c r="R50" s="128"/>
      <c r="S50" s="128">
        <f>S42+S49</f>
        <v>11924753.0602</v>
      </c>
    </row>
    <row r="51" spans="2:19" ht="14.1">
      <c r="B51" s="10" t="s">
        <v>244</v>
      </c>
      <c r="C51" s="10">
        <f>C43+C50</f>
        <v>3257</v>
      </c>
      <c r="D51" s="72">
        <f>D43+D50</f>
        <v>264817788.28</v>
      </c>
      <c r="E51" s="10"/>
      <c r="F51" s="72">
        <f>F43+F50</f>
        <v>11512086.0165</v>
      </c>
      <c r="H51" s="10" t="s">
        <v>244</v>
      </c>
      <c r="I51" s="10">
        <f>I43+I50</f>
        <v>0</v>
      </c>
      <c r="J51" s="72">
        <f>J43+J50</f>
        <v>293230779.59999996</v>
      </c>
      <c r="K51" s="10"/>
      <c r="L51" s="72">
        <f>L43+L50</f>
        <v>11924753.0602</v>
      </c>
      <c r="O51" s="128"/>
      <c r="P51" s="128"/>
      <c r="Q51" s="128"/>
      <c r="R51" s="128"/>
      <c r="S51" s="128"/>
    </row>
    <row r="52" spans="2:19" ht="14.1">
      <c r="B52" s="88"/>
      <c r="C52" s="88"/>
      <c r="D52" s="89"/>
      <c r="E52" s="88"/>
      <c r="F52" s="92"/>
      <c r="O52" s="128"/>
      <c r="P52" s="128"/>
      <c r="Q52" s="128"/>
      <c r="R52" s="128"/>
      <c r="S52" s="128"/>
    </row>
    <row r="53" spans="2:19" ht="14.1">
      <c r="B53" s="64"/>
      <c r="C53" s="64"/>
      <c r="D53" s="90">
        <f>D40+D41+D42</f>
        <v>16977776.549999997</v>
      </c>
      <c r="E53" s="64"/>
      <c r="F53" s="90"/>
      <c r="O53" s="128"/>
      <c r="P53" s="128"/>
      <c r="Q53" s="128"/>
      <c r="R53" s="128"/>
      <c r="S53" s="128"/>
    </row>
    <row r="54" spans="2:19" ht="14.1">
      <c r="B54" s="64"/>
      <c r="C54" s="64" t="s">
        <v>245</v>
      </c>
      <c r="D54" s="91">
        <f>D53/D51</f>
        <v>6.4111163605251736E-2</v>
      </c>
      <c r="E54" s="64"/>
      <c r="F54" s="90"/>
      <c r="O54" s="128"/>
      <c r="P54" s="128">
        <v>42979</v>
      </c>
      <c r="Q54" s="128"/>
      <c r="R54" s="128"/>
      <c r="S54" s="128"/>
    </row>
    <row r="55" spans="2:19">
      <c r="C55" s="100">
        <v>42887</v>
      </c>
      <c r="I55" s="100">
        <v>42979</v>
      </c>
      <c r="O55" s="128" t="s">
        <v>220</v>
      </c>
      <c r="P55" s="128"/>
      <c r="Q55" s="128"/>
      <c r="R55" s="128"/>
      <c r="S55" s="128"/>
    </row>
    <row r="56" spans="2:19" ht="14.1">
      <c r="B56" s="394" t="s">
        <v>220</v>
      </c>
      <c r="C56" s="394"/>
      <c r="D56" s="394"/>
      <c r="E56" s="394"/>
      <c r="F56" s="394"/>
      <c r="H56" s="394" t="s">
        <v>220</v>
      </c>
      <c r="I56" s="394"/>
      <c r="J56" s="394"/>
      <c r="K56" s="394"/>
      <c r="L56" s="394"/>
      <c r="O56" s="128" t="s">
        <v>221</v>
      </c>
      <c r="P56" s="128"/>
      <c r="Q56" s="128"/>
      <c r="R56" s="128"/>
      <c r="S56" s="128" t="s">
        <v>222</v>
      </c>
    </row>
    <row r="57" spans="2:19" ht="14.1">
      <c r="B57" s="10" t="s">
        <v>221</v>
      </c>
      <c r="C57" s="9"/>
      <c r="E57" s="9"/>
      <c r="F57" s="96" t="s">
        <v>222</v>
      </c>
      <c r="H57" s="10" t="s">
        <v>221</v>
      </c>
      <c r="I57" s="9"/>
      <c r="J57" s="58"/>
      <c r="K57" s="9"/>
      <c r="L57" s="96" t="s">
        <v>222</v>
      </c>
      <c r="O57" s="128" t="s">
        <v>3</v>
      </c>
      <c r="P57" s="128"/>
      <c r="Q57" s="128"/>
      <c r="R57" s="128"/>
      <c r="S57" s="128">
        <v>2017</v>
      </c>
    </row>
    <row r="58" spans="2:19" ht="14.1">
      <c r="B58" s="10" t="s">
        <v>3</v>
      </c>
      <c r="C58" s="9"/>
      <c r="D58" s="59"/>
      <c r="E58" s="9"/>
      <c r="F58" s="97">
        <v>2016</v>
      </c>
      <c r="H58" s="10" t="s">
        <v>3</v>
      </c>
      <c r="I58" s="9"/>
      <c r="J58" s="59"/>
      <c r="K58" s="9"/>
      <c r="L58" s="97">
        <v>2017</v>
      </c>
      <c r="O58" s="128" t="s">
        <v>4</v>
      </c>
      <c r="P58" s="128"/>
      <c r="Q58" s="128"/>
      <c r="R58" s="128"/>
      <c r="S58" s="128" t="s">
        <v>247</v>
      </c>
    </row>
    <row r="59" spans="2:19" ht="14.1">
      <c r="B59" s="10" t="s">
        <v>4</v>
      </c>
      <c r="C59" s="9"/>
      <c r="D59" s="59"/>
      <c r="E59" s="11"/>
      <c r="F59" s="98" t="s">
        <v>246</v>
      </c>
      <c r="H59" s="10" t="s">
        <v>4</v>
      </c>
      <c r="I59" s="9"/>
      <c r="J59" s="59"/>
      <c r="K59" s="11"/>
      <c r="L59" s="98" t="s">
        <v>247</v>
      </c>
      <c r="O59" s="128" t="s">
        <v>5</v>
      </c>
      <c r="P59" s="128"/>
      <c r="Q59" s="128"/>
      <c r="R59" s="128"/>
      <c r="S59" s="128" t="s">
        <v>251</v>
      </c>
    </row>
    <row r="60" spans="2:19" ht="14.1">
      <c r="B60" s="10" t="s">
        <v>5</v>
      </c>
      <c r="C60" s="9"/>
      <c r="D60" s="59"/>
      <c r="E60" s="11"/>
      <c r="F60" s="98" t="s">
        <v>249</v>
      </c>
      <c r="H60" s="10" t="s">
        <v>5</v>
      </c>
      <c r="I60" s="9"/>
      <c r="J60" s="59"/>
      <c r="K60" s="11"/>
      <c r="L60" s="98" t="s">
        <v>251</v>
      </c>
      <c r="O60" s="128" t="s">
        <v>226</v>
      </c>
      <c r="P60" s="128"/>
      <c r="Q60" s="128"/>
      <c r="R60" s="128"/>
      <c r="S60" s="128"/>
    </row>
    <row r="61" spans="2:19" ht="14.1">
      <c r="B61" s="395" t="s">
        <v>227</v>
      </c>
      <c r="C61" s="395"/>
      <c r="D61" s="395"/>
      <c r="E61" s="395"/>
      <c r="F61" s="396"/>
      <c r="H61" s="395" t="s">
        <v>227</v>
      </c>
      <c r="I61" s="395"/>
      <c r="J61" s="395"/>
      <c r="K61" s="395"/>
      <c r="L61" s="396"/>
      <c r="O61" s="128"/>
      <c r="P61" s="128" t="s">
        <v>228</v>
      </c>
      <c r="Q61" s="128" t="s">
        <v>229</v>
      </c>
      <c r="R61" s="128" t="s">
        <v>230</v>
      </c>
      <c r="S61" s="128" t="s">
        <v>231</v>
      </c>
    </row>
    <row r="62" spans="2:19" ht="14.1">
      <c r="B62" s="9"/>
      <c r="C62" s="10" t="s">
        <v>228</v>
      </c>
      <c r="D62" s="60" t="s">
        <v>229</v>
      </c>
      <c r="E62" s="10" t="s">
        <v>230</v>
      </c>
      <c r="F62" s="60" t="s">
        <v>231</v>
      </c>
      <c r="H62" s="9"/>
      <c r="I62" s="10" t="s">
        <v>228</v>
      </c>
      <c r="J62" s="60" t="s">
        <v>229</v>
      </c>
      <c r="K62" s="10" t="s">
        <v>230</v>
      </c>
      <c r="L62" s="60" t="s">
        <v>231</v>
      </c>
      <c r="O62" s="128" t="s">
        <v>232</v>
      </c>
      <c r="P62" s="128" t="s">
        <v>233</v>
      </c>
      <c r="Q62" s="128" t="s">
        <v>234</v>
      </c>
      <c r="R62" s="128" t="s">
        <v>235</v>
      </c>
      <c r="S62" s="128" t="s">
        <v>236</v>
      </c>
    </row>
    <row r="63" spans="2:19" ht="56.1">
      <c r="B63" s="10" t="s">
        <v>232</v>
      </c>
      <c r="C63" s="10" t="s">
        <v>233</v>
      </c>
      <c r="D63" s="60" t="s">
        <v>234</v>
      </c>
      <c r="E63" s="10" t="s">
        <v>235</v>
      </c>
      <c r="F63" s="60" t="s">
        <v>236</v>
      </c>
      <c r="H63" s="10" t="s">
        <v>232</v>
      </c>
      <c r="I63" s="10" t="s">
        <v>233</v>
      </c>
      <c r="J63" s="60" t="s">
        <v>234</v>
      </c>
      <c r="K63" s="10" t="s">
        <v>235</v>
      </c>
      <c r="L63" s="60" t="s">
        <v>236</v>
      </c>
      <c r="O63" s="128" t="s">
        <v>237</v>
      </c>
      <c r="P63" s="128">
        <v>2830</v>
      </c>
      <c r="Q63" s="128">
        <v>266922214.05000001</v>
      </c>
      <c r="R63" s="128">
        <v>0.01</v>
      </c>
      <c r="S63" s="128">
        <f>Q63*R63</f>
        <v>2669222.1405000002</v>
      </c>
    </row>
    <row r="64" spans="2:19" ht="14.1">
      <c r="B64" s="9" t="s">
        <v>237</v>
      </c>
      <c r="C64" s="12"/>
      <c r="D64" s="12"/>
      <c r="E64" s="13">
        <v>0.01</v>
      </c>
      <c r="F64" s="57">
        <f>D64*E64</f>
        <v>0</v>
      </c>
      <c r="H64" s="9" t="s">
        <v>237</v>
      </c>
      <c r="I64" s="12">
        <v>2830</v>
      </c>
      <c r="J64" s="12">
        <v>266922214.05000001</v>
      </c>
      <c r="K64" s="13">
        <v>0.01</v>
      </c>
      <c r="L64" s="57">
        <f>J64*K64</f>
        <v>2669222.1405000002</v>
      </c>
      <c r="O64" s="128" t="s">
        <v>238</v>
      </c>
      <c r="P64" s="128">
        <v>136</v>
      </c>
      <c r="Q64" s="128">
        <v>12218659.49</v>
      </c>
      <c r="R64" s="128">
        <v>0.05</v>
      </c>
      <c r="S64" s="128">
        <f>Q64*R64</f>
        <v>610932.97450000001</v>
      </c>
    </row>
    <row r="65" spans="2:19" ht="14.1">
      <c r="B65" s="9" t="s">
        <v>238</v>
      </c>
      <c r="C65" s="12"/>
      <c r="D65" s="12"/>
      <c r="E65" s="13">
        <v>0.05</v>
      </c>
      <c r="F65" s="57">
        <f>D65*E65</f>
        <v>0</v>
      </c>
      <c r="H65" s="9" t="s">
        <v>238</v>
      </c>
      <c r="I65" s="12">
        <v>136</v>
      </c>
      <c r="J65" s="12">
        <v>12218659.49</v>
      </c>
      <c r="K65" s="13">
        <v>0.05</v>
      </c>
      <c r="L65" s="57">
        <f>J65*K65</f>
        <v>610932.97450000001</v>
      </c>
      <c r="O65" s="128" t="s">
        <v>239</v>
      </c>
      <c r="P65" s="128">
        <v>70</v>
      </c>
      <c r="Q65" s="128">
        <v>8624095.4900000002</v>
      </c>
      <c r="R65" s="128">
        <v>0.25</v>
      </c>
      <c r="S65" s="128">
        <f>Q65*R65</f>
        <v>2156023.8725000001</v>
      </c>
    </row>
    <row r="66" spans="2:19" ht="14.1">
      <c r="B66" s="9" t="s">
        <v>239</v>
      </c>
      <c r="C66" s="12"/>
      <c r="D66" s="12"/>
      <c r="E66" s="13">
        <v>0.25</v>
      </c>
      <c r="F66" s="57">
        <f>D66*E66</f>
        <v>0</v>
      </c>
      <c r="H66" s="9" t="s">
        <v>239</v>
      </c>
      <c r="I66" s="12">
        <v>70</v>
      </c>
      <c r="J66" s="12">
        <v>8624095.4900000002</v>
      </c>
      <c r="K66" s="13">
        <v>0.25</v>
      </c>
      <c r="L66" s="57">
        <f>J66*K66</f>
        <v>2156023.8725000001</v>
      </c>
      <c r="M66" s="87">
        <f>SUM(J66+J67+J68)</f>
        <v>19242868.050000001</v>
      </c>
      <c r="O66" s="128" t="s">
        <v>240</v>
      </c>
      <c r="P66" s="128">
        <v>43</v>
      </c>
      <c r="Q66" s="128">
        <v>4626561.2</v>
      </c>
      <c r="R66" s="128">
        <v>0.5</v>
      </c>
      <c r="S66" s="128">
        <f>Q66*R66</f>
        <v>2313280.6</v>
      </c>
    </row>
    <row r="67" spans="2:19" ht="14.1">
      <c r="B67" s="9" t="s">
        <v>240</v>
      </c>
      <c r="C67" s="12"/>
      <c r="D67" s="12"/>
      <c r="E67" s="13">
        <v>0.5</v>
      </c>
      <c r="F67" s="57">
        <f>D67*E67</f>
        <v>0</v>
      </c>
      <c r="H67" s="9" t="s">
        <v>240</v>
      </c>
      <c r="I67" s="12">
        <v>43</v>
      </c>
      <c r="J67" s="12">
        <v>4626561.2</v>
      </c>
      <c r="K67" s="13">
        <v>0.5</v>
      </c>
      <c r="L67" s="57">
        <f>J67*K67</f>
        <v>2313280.6</v>
      </c>
      <c r="M67" s="102">
        <f>M66/J69</f>
        <v>6.4490336998458297E-2</v>
      </c>
      <c r="O67" s="128" t="s">
        <v>241</v>
      </c>
      <c r="P67" s="128">
        <v>96</v>
      </c>
      <c r="Q67" s="128">
        <v>5992211.3600000003</v>
      </c>
      <c r="R67" s="128">
        <v>1</v>
      </c>
      <c r="S67" s="128">
        <f>Q67*R67</f>
        <v>5992211.3600000003</v>
      </c>
    </row>
    <row r="68" spans="2:19" ht="14.1">
      <c r="B68" s="9" t="s">
        <v>241</v>
      </c>
      <c r="C68" s="12"/>
      <c r="D68" s="12"/>
      <c r="E68" s="13">
        <v>1</v>
      </c>
      <c r="F68" s="57">
        <f>D68*E68</f>
        <v>0</v>
      </c>
      <c r="H68" s="9" t="s">
        <v>241</v>
      </c>
      <c r="I68" s="12">
        <v>96</v>
      </c>
      <c r="J68" s="12">
        <v>5992211.3600000003</v>
      </c>
      <c r="K68" s="13">
        <v>1</v>
      </c>
      <c r="L68" s="57">
        <f>J68*K68</f>
        <v>5992211.3600000003</v>
      </c>
      <c r="O68" s="128" t="s">
        <v>242</v>
      </c>
      <c r="P68" s="128"/>
      <c r="Q68" s="128">
        <f>SUM(Q63:Q67)</f>
        <v>298383741.59000003</v>
      </c>
      <c r="R68" s="128"/>
      <c r="S68" s="128">
        <f>SUM(S63:S67)</f>
        <v>13741670.947500002</v>
      </c>
    </row>
    <row r="69" spans="2:19" ht="14.1">
      <c r="B69" s="10" t="s">
        <v>242</v>
      </c>
      <c r="C69" s="10"/>
      <c r="D69" s="72">
        <f>SUM(D64:D68)</f>
        <v>0</v>
      </c>
      <c r="E69" s="14"/>
      <c r="F69" s="72">
        <f>SUM(F64:F68)</f>
        <v>0</v>
      </c>
      <c r="H69" s="10" t="s">
        <v>242</v>
      </c>
      <c r="I69" s="10"/>
      <c r="J69" s="72">
        <f>SUM(J64:J68)</f>
        <v>298383741.59000003</v>
      </c>
      <c r="K69" s="14"/>
      <c r="L69" s="72">
        <f>SUM(L64:L68)</f>
        <v>13741670.947500002</v>
      </c>
      <c r="O69" s="128" t="s">
        <v>243</v>
      </c>
      <c r="P69" s="128"/>
      <c r="Q69" s="128"/>
      <c r="R69" s="128"/>
      <c r="S69" s="128"/>
    </row>
    <row r="70" spans="2:19" ht="14.1">
      <c r="B70" s="9" t="s">
        <v>243</v>
      </c>
      <c r="C70" s="12"/>
      <c r="D70" s="56"/>
      <c r="E70" s="12"/>
      <c r="F70" s="56"/>
      <c r="H70" s="9" t="s">
        <v>243</v>
      </c>
      <c r="I70" s="12"/>
      <c r="J70" s="56"/>
      <c r="K70" s="12"/>
      <c r="L70" s="56"/>
      <c r="O70" s="128" t="s">
        <v>237</v>
      </c>
      <c r="P70" s="128">
        <v>0</v>
      </c>
      <c r="Q70" s="128"/>
      <c r="R70" s="128">
        <v>0.01</v>
      </c>
      <c r="S70" s="128">
        <f>Q70*R70</f>
        <v>0</v>
      </c>
    </row>
    <row r="71" spans="2:19" ht="14.1">
      <c r="B71" s="9" t="s">
        <v>237</v>
      </c>
      <c r="C71" s="12">
        <v>0</v>
      </c>
      <c r="D71" s="56"/>
      <c r="E71" s="13">
        <v>0.01</v>
      </c>
      <c r="F71" s="57">
        <f>D71*E71</f>
        <v>0</v>
      </c>
      <c r="H71" s="9" t="s">
        <v>237</v>
      </c>
      <c r="I71" s="12">
        <v>0</v>
      </c>
      <c r="J71" s="56"/>
      <c r="K71" s="13">
        <v>0.01</v>
      </c>
      <c r="L71" s="57">
        <f>J71*K71</f>
        <v>0</v>
      </c>
      <c r="O71" s="128" t="s">
        <v>238</v>
      </c>
      <c r="P71" s="128">
        <v>0</v>
      </c>
      <c r="Q71" s="128"/>
      <c r="R71" s="128">
        <v>0.05</v>
      </c>
      <c r="S71" s="128">
        <f>Q71*R71</f>
        <v>0</v>
      </c>
    </row>
    <row r="72" spans="2:19" ht="14.1">
      <c r="B72" s="9" t="s">
        <v>238</v>
      </c>
      <c r="C72" s="12">
        <v>0</v>
      </c>
      <c r="D72" s="56"/>
      <c r="E72" s="13">
        <v>0.05</v>
      </c>
      <c r="F72" s="57">
        <f>D72*E72</f>
        <v>0</v>
      </c>
      <c r="H72" s="9" t="s">
        <v>238</v>
      </c>
      <c r="I72" s="12">
        <v>0</v>
      </c>
      <c r="J72" s="56"/>
      <c r="K72" s="13">
        <v>0.05</v>
      </c>
      <c r="L72" s="57">
        <f>J72*K72</f>
        <v>0</v>
      </c>
      <c r="O72" s="128" t="s">
        <v>239</v>
      </c>
      <c r="P72" s="128">
        <v>0</v>
      </c>
      <c r="Q72" s="128">
        <v>0</v>
      </c>
      <c r="R72" s="128">
        <v>0.25</v>
      </c>
      <c r="S72" s="128">
        <f>Q72*R72</f>
        <v>0</v>
      </c>
    </row>
    <row r="73" spans="2:19" ht="14.1">
      <c r="B73" s="9" t="s">
        <v>239</v>
      </c>
      <c r="C73" s="12">
        <v>0</v>
      </c>
      <c r="D73" s="56">
        <v>0</v>
      </c>
      <c r="E73" s="13">
        <v>0.25</v>
      </c>
      <c r="F73" s="57">
        <f>D73*E73</f>
        <v>0</v>
      </c>
      <c r="H73" s="9" t="s">
        <v>239</v>
      </c>
      <c r="I73" s="12">
        <v>0</v>
      </c>
      <c r="J73" s="56">
        <v>0</v>
      </c>
      <c r="K73" s="13">
        <v>0.25</v>
      </c>
      <c r="L73" s="57">
        <f>J73*K73</f>
        <v>0</v>
      </c>
      <c r="O73" s="128" t="s">
        <v>240</v>
      </c>
      <c r="P73" s="128">
        <v>0</v>
      </c>
      <c r="Q73" s="128">
        <v>0</v>
      </c>
      <c r="R73" s="128">
        <v>0.5</v>
      </c>
      <c r="S73" s="128">
        <f>Q73*R73</f>
        <v>0</v>
      </c>
    </row>
    <row r="74" spans="2:19" ht="14.1">
      <c r="B74" s="9" t="s">
        <v>240</v>
      </c>
      <c r="C74" s="12">
        <v>0</v>
      </c>
      <c r="D74" s="56">
        <v>0</v>
      </c>
      <c r="E74" s="13">
        <v>0.5</v>
      </c>
      <c r="F74" s="57">
        <f>D74*E74</f>
        <v>0</v>
      </c>
      <c r="H74" s="9" t="s">
        <v>240</v>
      </c>
      <c r="I74" s="12">
        <v>0</v>
      </c>
      <c r="J74" s="56">
        <v>0</v>
      </c>
      <c r="K74" s="13">
        <v>0.5</v>
      </c>
      <c r="L74" s="57">
        <f>J74*K74</f>
        <v>0</v>
      </c>
      <c r="O74" s="128" t="s">
        <v>241</v>
      </c>
      <c r="P74" s="128">
        <v>0</v>
      </c>
      <c r="Q74" s="128">
        <v>0</v>
      </c>
      <c r="R74" s="128">
        <v>1</v>
      </c>
      <c r="S74" s="128">
        <f>Q74*R74</f>
        <v>0</v>
      </c>
    </row>
    <row r="75" spans="2:19" ht="14.1">
      <c r="B75" s="9" t="s">
        <v>241</v>
      </c>
      <c r="C75" s="12">
        <v>0</v>
      </c>
      <c r="D75" s="56">
        <v>0</v>
      </c>
      <c r="E75" s="13">
        <v>1</v>
      </c>
      <c r="F75" s="57">
        <f>D75*E75</f>
        <v>0</v>
      </c>
      <c r="H75" s="9" t="s">
        <v>241</v>
      </c>
      <c r="I75" s="12">
        <v>0</v>
      </c>
      <c r="J75" s="56">
        <v>0</v>
      </c>
      <c r="K75" s="13">
        <v>1</v>
      </c>
      <c r="L75" s="57">
        <f>J75*K75</f>
        <v>0</v>
      </c>
      <c r="O75" s="128" t="s">
        <v>242</v>
      </c>
      <c r="P75" s="128">
        <f>SUM(P69:P74)</f>
        <v>0</v>
      </c>
      <c r="Q75" s="128">
        <f>SUM(Q69:Q74)</f>
        <v>0</v>
      </c>
      <c r="R75" s="128"/>
      <c r="S75" s="128">
        <f>SUM(S69:S74)</f>
        <v>0</v>
      </c>
    </row>
    <row r="76" spans="2:19" ht="14.1">
      <c r="B76" s="10" t="s">
        <v>242</v>
      </c>
      <c r="C76" s="10">
        <f>SUM(C70:C75)</f>
        <v>0</v>
      </c>
      <c r="D76" s="72">
        <f>SUM(D70:D75)</f>
        <v>0</v>
      </c>
      <c r="E76" s="10"/>
      <c r="F76" s="72">
        <f>SUM(F70:F75)</f>
        <v>0</v>
      </c>
      <c r="H76" s="10" t="s">
        <v>242</v>
      </c>
      <c r="I76" s="10">
        <f>SUM(I70:I75)</f>
        <v>0</v>
      </c>
      <c r="J76" s="72">
        <f>SUM(J70:J75)</f>
        <v>0</v>
      </c>
      <c r="K76" s="10"/>
      <c r="L76" s="72">
        <f>SUM(L70:L75)</f>
        <v>0</v>
      </c>
      <c r="O76" s="128" t="s">
        <v>244</v>
      </c>
      <c r="P76" s="128">
        <f>P68+P75</f>
        <v>0</v>
      </c>
      <c r="Q76" s="128">
        <f>Q68+Q75</f>
        <v>298383741.59000003</v>
      </c>
      <c r="R76" s="128"/>
      <c r="S76" s="128">
        <f>S68+S75</f>
        <v>13741670.947500002</v>
      </c>
    </row>
    <row r="77" spans="2:19" ht="14.1">
      <c r="B77" s="10" t="s">
        <v>244</v>
      </c>
      <c r="C77" s="10">
        <f>C69+C76</f>
        <v>0</v>
      </c>
      <c r="D77" s="72">
        <f>D69+D76</f>
        <v>0</v>
      </c>
      <c r="E77" s="10"/>
      <c r="F77" s="72">
        <f>F69+F76</f>
        <v>0</v>
      </c>
      <c r="H77" s="10" t="s">
        <v>244</v>
      </c>
      <c r="I77" s="10">
        <f>I69+I76</f>
        <v>0</v>
      </c>
      <c r="J77" s="72">
        <f>J69+J76</f>
        <v>298383741.59000003</v>
      </c>
      <c r="K77" s="10"/>
      <c r="L77" s="72">
        <f>L69+L76</f>
        <v>13741670.947500002</v>
      </c>
      <c r="O77" s="128"/>
      <c r="P77" s="128"/>
      <c r="Q77" s="128"/>
      <c r="R77" s="128"/>
      <c r="S77" s="128"/>
    </row>
    <row r="78" spans="2:19">
      <c r="O78" s="128"/>
      <c r="P78" s="128"/>
      <c r="Q78" s="128"/>
      <c r="R78" s="128"/>
      <c r="S78" s="128"/>
    </row>
    <row r="79" spans="2:19">
      <c r="O79" s="128"/>
      <c r="P79" s="128">
        <v>43070</v>
      </c>
      <c r="Q79" s="128"/>
      <c r="R79" s="128"/>
      <c r="S79" s="128"/>
    </row>
    <row r="80" spans="2:19">
      <c r="I80" s="122">
        <v>43070</v>
      </c>
      <c r="O80" s="128"/>
      <c r="P80" s="128" t="s">
        <v>228</v>
      </c>
      <c r="Q80" s="128" t="s">
        <v>229</v>
      </c>
      <c r="R80" s="128" t="s">
        <v>230</v>
      </c>
      <c r="S80" s="128" t="s">
        <v>231</v>
      </c>
    </row>
    <row r="81" spans="8:19">
      <c r="H81" s="115"/>
      <c r="I81" s="115" t="s">
        <v>228</v>
      </c>
      <c r="J81" s="115" t="s">
        <v>229</v>
      </c>
      <c r="K81" s="115" t="s">
        <v>230</v>
      </c>
      <c r="L81" s="115" t="s">
        <v>231</v>
      </c>
      <c r="O81" s="128" t="s">
        <v>232</v>
      </c>
      <c r="P81" s="128" t="s">
        <v>233</v>
      </c>
      <c r="Q81" s="128" t="s">
        <v>234</v>
      </c>
      <c r="R81" s="128" t="s">
        <v>235</v>
      </c>
      <c r="S81" s="128" t="s">
        <v>236</v>
      </c>
    </row>
    <row r="82" spans="8:19" ht="62.45">
      <c r="H82" s="116" t="s">
        <v>232</v>
      </c>
      <c r="I82" s="115" t="s">
        <v>233</v>
      </c>
      <c r="J82" s="115" t="s">
        <v>234</v>
      </c>
      <c r="K82" s="115" t="s">
        <v>235</v>
      </c>
      <c r="L82" s="115" t="s">
        <v>236</v>
      </c>
      <c r="O82" s="128" t="s">
        <v>237</v>
      </c>
      <c r="P82" s="128">
        <v>3034</v>
      </c>
      <c r="Q82" s="128">
        <v>299591832.75</v>
      </c>
      <c r="R82" s="128">
        <v>0.01</v>
      </c>
      <c r="S82" s="128">
        <f>Q82*R82</f>
        <v>2995918.3275000001</v>
      </c>
    </row>
    <row r="83" spans="8:19">
      <c r="H83" s="115" t="s">
        <v>237</v>
      </c>
      <c r="I83" s="117">
        <v>3034</v>
      </c>
      <c r="J83" s="117">
        <v>299591832.75</v>
      </c>
      <c r="K83" s="118">
        <v>0.01</v>
      </c>
      <c r="L83" s="119">
        <f>J83*K83</f>
        <v>2995918.3275000001</v>
      </c>
      <c r="O83" s="128" t="s">
        <v>238</v>
      </c>
      <c r="P83" s="128">
        <v>113</v>
      </c>
      <c r="Q83" s="128">
        <v>12056692.140000001</v>
      </c>
      <c r="R83" s="128">
        <v>0.05</v>
      </c>
      <c r="S83" s="128">
        <f>Q83*R83</f>
        <v>602834.60700000008</v>
      </c>
    </row>
    <row r="84" spans="8:19">
      <c r="H84" s="115" t="s">
        <v>238</v>
      </c>
      <c r="I84" s="117">
        <v>113</v>
      </c>
      <c r="J84" s="117">
        <v>12056692.140000001</v>
      </c>
      <c r="K84" s="118">
        <v>0.05</v>
      </c>
      <c r="L84" s="119">
        <f>J84*K84</f>
        <v>602834.60700000008</v>
      </c>
      <c r="O84" s="128" t="s">
        <v>239</v>
      </c>
      <c r="P84" s="128">
        <v>96</v>
      </c>
      <c r="Q84" s="128">
        <v>10737464.720000001</v>
      </c>
      <c r="R84" s="128">
        <v>0.25</v>
      </c>
      <c r="S84" s="128">
        <f>Q84*R84</f>
        <v>2684366.18</v>
      </c>
    </row>
    <row r="85" spans="8:19">
      <c r="H85" s="115" t="s">
        <v>239</v>
      </c>
      <c r="I85" s="117">
        <v>96</v>
      </c>
      <c r="J85" s="117">
        <v>10737464.720000001</v>
      </c>
      <c r="K85" s="118">
        <v>0.25</v>
      </c>
      <c r="L85" s="119">
        <f>J85*K85</f>
        <v>2684366.18</v>
      </c>
      <c r="O85" s="128" t="s">
        <v>240</v>
      </c>
      <c r="P85" s="128">
        <v>302</v>
      </c>
      <c r="Q85" s="128">
        <v>8396120.1999999993</v>
      </c>
      <c r="R85" s="128">
        <v>0.5</v>
      </c>
      <c r="S85" s="128">
        <f>Q85*R85</f>
        <v>4198060.0999999996</v>
      </c>
    </row>
    <row r="86" spans="8:19">
      <c r="H86" s="115" t="s">
        <v>240</v>
      </c>
      <c r="I86" s="117">
        <v>302</v>
      </c>
      <c r="J86" s="117">
        <v>8396120.1999999993</v>
      </c>
      <c r="K86" s="118">
        <v>0.5</v>
      </c>
      <c r="L86" s="119">
        <f>J86*K86</f>
        <v>4198060.0999999996</v>
      </c>
      <c r="O86" s="128" t="s">
        <v>241</v>
      </c>
      <c r="P86" s="128">
        <v>68</v>
      </c>
      <c r="Q86" s="128">
        <v>3307684.32</v>
      </c>
      <c r="R86" s="128">
        <v>1</v>
      </c>
      <c r="S86" s="128">
        <f>Q86*R86</f>
        <v>3307684.32</v>
      </c>
    </row>
    <row r="87" spans="8:19">
      <c r="H87" s="115" t="s">
        <v>241</v>
      </c>
      <c r="I87" s="117">
        <v>68</v>
      </c>
      <c r="J87" s="117">
        <v>3307684.32</v>
      </c>
      <c r="K87" s="118">
        <v>1</v>
      </c>
      <c r="L87" s="119">
        <f>J87*K87</f>
        <v>3307684.32</v>
      </c>
      <c r="N87" s="120">
        <f>J85+J86+J87</f>
        <v>22441269.240000002</v>
      </c>
      <c r="O87" s="128" t="s">
        <v>242</v>
      </c>
      <c r="P87" s="128">
        <f>SUM(P82:P86)</f>
        <v>3613</v>
      </c>
      <c r="Q87" s="128">
        <f>SUM(Q82:Q86)</f>
        <v>334089794.13</v>
      </c>
      <c r="R87" s="128"/>
      <c r="S87" s="128">
        <f>SUM(S82:S86)</f>
        <v>13788863.534500001</v>
      </c>
    </row>
    <row r="88" spans="8:19">
      <c r="H88" s="115" t="s">
        <v>242</v>
      </c>
      <c r="I88" s="121">
        <f>SUM(I83:I87)</f>
        <v>3613</v>
      </c>
      <c r="J88" s="121">
        <f>SUM(J83:J87)</f>
        <v>334089794.13</v>
      </c>
      <c r="K88" s="119"/>
      <c r="L88" s="121">
        <f>SUM(L83:L87)</f>
        <v>13788863.534500001</v>
      </c>
      <c r="N88" s="102">
        <f>N87/J88</f>
        <v>6.7171370195366467E-2</v>
      </c>
      <c r="O88" s="128" t="s">
        <v>243</v>
      </c>
      <c r="P88" s="128"/>
      <c r="Q88" s="128"/>
      <c r="R88" s="128"/>
      <c r="S88" s="128"/>
    </row>
    <row r="89" spans="8:19">
      <c r="H89" s="115" t="s">
        <v>243</v>
      </c>
      <c r="I89" s="117"/>
      <c r="J89" s="117"/>
      <c r="K89" s="117"/>
      <c r="L89" s="117"/>
      <c r="O89" s="128" t="s">
        <v>237</v>
      </c>
      <c r="P89" s="128">
        <v>0</v>
      </c>
      <c r="Q89" s="128"/>
      <c r="R89" s="128">
        <v>0.01</v>
      </c>
      <c r="S89" s="128">
        <f>Q89*R89</f>
        <v>0</v>
      </c>
    </row>
    <row r="90" spans="8:19">
      <c r="H90" s="115" t="s">
        <v>237</v>
      </c>
      <c r="I90" s="117">
        <v>0</v>
      </c>
      <c r="J90" s="117"/>
      <c r="K90" s="118">
        <v>0.01</v>
      </c>
      <c r="L90" s="119">
        <f>J90*K90</f>
        <v>0</v>
      </c>
      <c r="O90" s="128" t="s">
        <v>238</v>
      </c>
      <c r="P90" s="128">
        <v>0</v>
      </c>
      <c r="Q90" s="128"/>
      <c r="R90" s="128">
        <v>0.05</v>
      </c>
      <c r="S90" s="128">
        <f>Q90*R90</f>
        <v>0</v>
      </c>
    </row>
    <row r="91" spans="8:19">
      <c r="H91" s="115" t="s">
        <v>238</v>
      </c>
      <c r="I91" s="117">
        <v>0</v>
      </c>
      <c r="J91" s="117"/>
      <c r="K91" s="118">
        <v>0.05</v>
      </c>
      <c r="L91" s="119">
        <f>J91*K91</f>
        <v>0</v>
      </c>
      <c r="O91" s="128" t="s">
        <v>239</v>
      </c>
      <c r="P91" s="128">
        <v>0</v>
      </c>
      <c r="Q91" s="128"/>
      <c r="R91" s="128">
        <v>0.25</v>
      </c>
      <c r="S91" s="128">
        <f>Q91*R91</f>
        <v>0</v>
      </c>
    </row>
    <row r="92" spans="8:19">
      <c r="H92" s="115" t="s">
        <v>239</v>
      </c>
      <c r="I92" s="117">
        <v>0</v>
      </c>
      <c r="J92" s="117"/>
      <c r="K92" s="118">
        <v>0.25</v>
      </c>
      <c r="L92" s="119">
        <f>J92*K92</f>
        <v>0</v>
      </c>
      <c r="O92" s="128" t="s">
        <v>240</v>
      </c>
      <c r="P92" s="128">
        <v>0</v>
      </c>
      <c r="Q92" s="128"/>
      <c r="R92" s="128">
        <v>0.5</v>
      </c>
      <c r="S92" s="128">
        <f>Q92*R92</f>
        <v>0</v>
      </c>
    </row>
    <row r="93" spans="8:19">
      <c r="H93" s="115" t="s">
        <v>240</v>
      </c>
      <c r="I93" s="117">
        <v>0</v>
      </c>
      <c r="J93" s="117"/>
      <c r="K93" s="118">
        <v>0.5</v>
      </c>
      <c r="L93" s="119">
        <f>J93*K93</f>
        <v>0</v>
      </c>
      <c r="O93" s="128" t="s">
        <v>241</v>
      </c>
      <c r="P93" s="128">
        <v>0</v>
      </c>
      <c r="Q93" s="128"/>
      <c r="R93" s="128">
        <v>1</v>
      </c>
      <c r="S93" s="128">
        <f>Q93*R93</f>
        <v>0</v>
      </c>
    </row>
    <row r="94" spans="8:19">
      <c r="H94" s="115" t="s">
        <v>241</v>
      </c>
      <c r="I94" s="117">
        <v>0</v>
      </c>
      <c r="J94" s="117"/>
      <c r="K94" s="118">
        <v>1</v>
      </c>
      <c r="L94" s="119">
        <f>J94*K94</f>
        <v>0</v>
      </c>
      <c r="O94" s="128" t="s">
        <v>242</v>
      </c>
      <c r="P94" s="128">
        <f>SUM(P88:P93)</f>
        <v>0</v>
      </c>
      <c r="Q94" s="128">
        <f>SUM(Q88:Q93)</f>
        <v>0</v>
      </c>
      <c r="R94" s="128"/>
      <c r="S94" s="128">
        <f>SUM(S88:S93)</f>
        <v>0</v>
      </c>
    </row>
    <row r="95" spans="8:19">
      <c r="H95" s="115" t="s">
        <v>242</v>
      </c>
      <c r="I95" s="121">
        <f>SUM(I89:I94)</f>
        <v>0</v>
      </c>
      <c r="J95" s="121">
        <f>SUM(J89:J94)</f>
        <v>0</v>
      </c>
      <c r="K95" s="119"/>
      <c r="L95" s="121">
        <f>SUM(L89:L94)</f>
        <v>0</v>
      </c>
      <c r="O95" s="128" t="s">
        <v>244</v>
      </c>
      <c r="P95" s="128">
        <f>P87+P94</f>
        <v>3613</v>
      </c>
      <c r="Q95" s="128">
        <f>Q87+Q94</f>
        <v>334089794.13</v>
      </c>
      <c r="R95" s="128"/>
      <c r="S95" s="128">
        <f>S87+S94</f>
        <v>13788863.534500001</v>
      </c>
    </row>
    <row r="96" spans="8:19">
      <c r="H96" s="115" t="s">
        <v>244</v>
      </c>
      <c r="I96" s="121">
        <f>I88+I95</f>
        <v>3613</v>
      </c>
      <c r="J96" s="121">
        <f>J88+J95</f>
        <v>334089794.13</v>
      </c>
      <c r="K96" s="119"/>
      <c r="L96" s="121">
        <f>L88+L95</f>
        <v>13788863.534500001</v>
      </c>
    </row>
    <row r="98" spans="15:19">
      <c r="O98" s="128" t="s">
        <v>232</v>
      </c>
      <c r="P98" s="128" t="s">
        <v>233</v>
      </c>
      <c r="Q98" s="128" t="s">
        <v>234</v>
      </c>
      <c r="R98" s="128" t="s">
        <v>235</v>
      </c>
      <c r="S98" s="128" t="s">
        <v>236</v>
      </c>
    </row>
    <row r="99" spans="15:19">
      <c r="O99" s="128" t="s">
        <v>237</v>
      </c>
      <c r="P99" s="113">
        <v>3185</v>
      </c>
      <c r="Q99" s="113">
        <v>294354796.76999998</v>
      </c>
      <c r="R99" s="128">
        <v>0.01</v>
      </c>
      <c r="S99" s="130">
        <f>Q99*R99</f>
        <v>2943547.9676999999</v>
      </c>
    </row>
    <row r="100" spans="15:19">
      <c r="O100" s="128" t="s">
        <v>238</v>
      </c>
      <c r="P100" s="113">
        <v>178</v>
      </c>
      <c r="Q100" s="113">
        <v>9221046.1799999997</v>
      </c>
      <c r="R100" s="128">
        <v>0.05</v>
      </c>
      <c r="S100" s="130">
        <f>Q100*R100</f>
        <v>461052.30900000001</v>
      </c>
    </row>
    <row r="101" spans="15:19">
      <c r="O101" s="128" t="s">
        <v>239</v>
      </c>
      <c r="P101" s="113">
        <v>169</v>
      </c>
      <c r="Q101" s="113">
        <v>7447461.9400000004</v>
      </c>
      <c r="R101" s="128">
        <v>0.25</v>
      </c>
      <c r="S101" s="130">
        <f>Q101*R101</f>
        <v>1861865.4850000001</v>
      </c>
    </row>
    <row r="102" spans="15:19">
      <c r="O102" s="128" t="s">
        <v>240</v>
      </c>
      <c r="P102" s="113">
        <v>117</v>
      </c>
      <c r="Q102" s="113">
        <v>1356716.63</v>
      </c>
      <c r="R102" s="128">
        <v>0.5</v>
      </c>
      <c r="S102" s="130">
        <f>Q102*R102</f>
        <v>678358.31499999994</v>
      </c>
    </row>
    <row r="103" spans="15:19">
      <c r="O103" s="128" t="s">
        <v>241</v>
      </c>
      <c r="P103" s="113">
        <v>148</v>
      </c>
      <c r="Q103" s="131">
        <v>6068407.3200000003</v>
      </c>
      <c r="R103" s="132">
        <v>1</v>
      </c>
      <c r="S103" s="133">
        <f>Q103*R103</f>
        <v>6068407.3200000003</v>
      </c>
    </row>
    <row r="104" spans="15:19">
      <c r="Q104" s="134">
        <f>SUM(Q99:Q103)</f>
        <v>318448428.83999997</v>
      </c>
      <c r="R104" s="128"/>
      <c r="S104" s="130">
        <f>SUM(S99:S103)</f>
        <v>12013231.3967</v>
      </c>
    </row>
    <row r="109" spans="15:19">
      <c r="S109" s="87">
        <f>33000-31268</f>
        <v>1732</v>
      </c>
    </row>
    <row r="111" spans="15:19">
      <c r="S111" s="87">
        <f>11000-S109</f>
        <v>9268</v>
      </c>
    </row>
  </sheetData>
  <mergeCells count="12">
    <mergeCell ref="B56:F56"/>
    <mergeCell ref="B61:F61"/>
    <mergeCell ref="H56:L56"/>
    <mergeCell ref="H61:L61"/>
    <mergeCell ref="B35:F35"/>
    <mergeCell ref="H35:L35"/>
    <mergeCell ref="B3:F3"/>
    <mergeCell ref="B8:F8"/>
    <mergeCell ref="H3:L3"/>
    <mergeCell ref="H8:L8"/>
    <mergeCell ref="B30:F30"/>
    <mergeCell ref="H30:L3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5"/>
  <sheetViews>
    <sheetView workbookViewId="0">
      <selection activeCell="E29" sqref="E29"/>
    </sheetView>
  </sheetViews>
  <sheetFormatPr defaultRowHeight="14.45"/>
  <cols>
    <col min="1" max="1" width="12.5703125" customWidth="1"/>
    <col min="2" max="2" width="23.7109375" customWidth="1"/>
    <col min="3" max="3" width="19.85546875" customWidth="1"/>
    <col min="4" max="4" width="15.5703125" style="17" customWidth="1"/>
    <col min="5" max="5" width="30.7109375" style="82" customWidth="1"/>
  </cols>
  <sheetData>
    <row r="1" spans="1:5" ht="15.6">
      <c r="A1" s="1"/>
      <c r="B1" s="2" t="s">
        <v>252</v>
      </c>
      <c r="C1" s="1"/>
      <c r="D1" s="73"/>
      <c r="E1" s="75"/>
    </row>
    <row r="2" spans="1:5" ht="15.6">
      <c r="A2" s="1"/>
      <c r="B2" s="3" t="s">
        <v>253</v>
      </c>
      <c r="C2" s="1"/>
      <c r="D2" s="73"/>
      <c r="E2" s="75"/>
    </row>
    <row r="3" spans="1:5" ht="15.6">
      <c r="A3" s="1"/>
      <c r="B3" s="2" t="s">
        <v>221</v>
      </c>
      <c r="C3" s="1"/>
      <c r="D3" s="73"/>
      <c r="E3" s="76">
        <v>2690</v>
      </c>
    </row>
    <row r="4" spans="1:5" ht="15.6">
      <c r="A4" s="1"/>
      <c r="B4" s="2" t="s">
        <v>3</v>
      </c>
      <c r="C4" s="1"/>
      <c r="D4" s="73"/>
      <c r="E4" s="76">
        <v>2014</v>
      </c>
    </row>
    <row r="5" spans="1:5" ht="15.6">
      <c r="A5" s="1"/>
      <c r="B5" s="2" t="s">
        <v>4</v>
      </c>
      <c r="C5" s="1"/>
      <c r="D5" s="73"/>
      <c r="E5" s="76" t="s">
        <v>254</v>
      </c>
    </row>
    <row r="6" spans="1:5" ht="15.6">
      <c r="A6" s="1"/>
      <c r="B6" s="2" t="s">
        <v>5</v>
      </c>
      <c r="C6" s="1"/>
      <c r="D6" s="73"/>
      <c r="E6" s="76" t="s">
        <v>255</v>
      </c>
    </row>
    <row r="7" spans="1:5" ht="15.6">
      <c r="A7" s="1"/>
      <c r="B7" s="1"/>
      <c r="C7" s="1"/>
      <c r="D7" s="73"/>
      <c r="E7" s="75"/>
    </row>
    <row r="8" spans="1:5" ht="15.6">
      <c r="A8" s="4" t="s">
        <v>256</v>
      </c>
      <c r="B8" s="2" t="s">
        <v>257</v>
      </c>
      <c r="C8" s="3" t="s">
        <v>258</v>
      </c>
      <c r="D8" s="74" t="s">
        <v>233</v>
      </c>
      <c r="E8" s="77" t="s">
        <v>259</v>
      </c>
    </row>
    <row r="9" spans="1:5" ht="15.6">
      <c r="A9" s="1">
        <v>1</v>
      </c>
      <c r="B9" s="1" t="s">
        <v>260</v>
      </c>
      <c r="C9" s="1" t="s">
        <v>261</v>
      </c>
      <c r="D9" s="73">
        <v>594</v>
      </c>
      <c r="E9" s="75">
        <v>7783.6</v>
      </c>
    </row>
    <row r="10" spans="1:5" ht="15.6">
      <c r="A10" s="1"/>
      <c r="B10" s="1"/>
      <c r="C10" s="1" t="s">
        <v>262</v>
      </c>
      <c r="D10" s="73">
        <v>3990</v>
      </c>
      <c r="E10" s="75">
        <v>-354413.1</v>
      </c>
    </row>
    <row r="11" spans="1:5" ht="15.6">
      <c r="A11" s="1"/>
      <c r="B11" s="1"/>
      <c r="C11" s="1" t="s">
        <v>263</v>
      </c>
      <c r="D11" s="73">
        <v>0</v>
      </c>
      <c r="E11" s="75">
        <v>0</v>
      </c>
    </row>
    <row r="12" spans="1:5" ht="15.6">
      <c r="A12" s="1">
        <v>2</v>
      </c>
      <c r="B12" s="1" t="s">
        <v>264</v>
      </c>
      <c r="C12" s="1" t="s">
        <v>261</v>
      </c>
      <c r="D12" s="73">
        <v>262</v>
      </c>
      <c r="E12" s="75">
        <v>20033.810000000001</v>
      </c>
    </row>
    <row r="13" spans="1:5" ht="15.6">
      <c r="A13" s="1"/>
      <c r="B13" s="1"/>
      <c r="C13" s="1" t="s">
        <v>262</v>
      </c>
      <c r="D13" s="73">
        <v>65</v>
      </c>
      <c r="E13" s="75">
        <v>4449.8999999999996</v>
      </c>
    </row>
    <row r="14" spans="1:5" ht="15.6">
      <c r="A14" s="1"/>
      <c r="B14" s="1"/>
      <c r="C14" s="1" t="s">
        <v>263</v>
      </c>
      <c r="D14" s="73">
        <v>0</v>
      </c>
      <c r="E14" s="75">
        <v>0</v>
      </c>
    </row>
    <row r="15" spans="1:5" ht="15.6">
      <c r="A15" s="1"/>
      <c r="B15" s="1"/>
      <c r="C15" s="1"/>
      <c r="D15" s="1"/>
      <c r="E15" s="78"/>
    </row>
    <row r="16" spans="1:5" ht="15.6">
      <c r="A16" s="1">
        <v>3</v>
      </c>
      <c r="B16" s="1" t="s">
        <v>265</v>
      </c>
      <c r="C16" s="1" t="s">
        <v>261</v>
      </c>
      <c r="D16" s="73">
        <v>1742</v>
      </c>
      <c r="E16" s="75">
        <v>346689.28000000003</v>
      </c>
    </row>
    <row r="17" spans="1:5" ht="15.6">
      <c r="A17" s="1"/>
      <c r="B17" s="1"/>
      <c r="C17" s="1" t="s">
        <v>262</v>
      </c>
      <c r="D17" s="73">
        <v>61</v>
      </c>
      <c r="E17" s="75">
        <v>10435.700000000001</v>
      </c>
    </row>
    <row r="18" spans="1:5" ht="15.6">
      <c r="A18" s="1"/>
      <c r="B18" s="1"/>
      <c r="C18" s="1" t="s">
        <v>263</v>
      </c>
      <c r="D18" s="73">
        <v>0</v>
      </c>
      <c r="E18" s="75">
        <v>0</v>
      </c>
    </row>
    <row r="19" spans="1:5" ht="15.6">
      <c r="A19" s="1">
        <v>4</v>
      </c>
      <c r="B19" s="1" t="s">
        <v>266</v>
      </c>
      <c r="C19" s="1" t="s">
        <v>261</v>
      </c>
      <c r="D19" s="73">
        <v>113</v>
      </c>
      <c r="E19" s="75">
        <v>41934.19</v>
      </c>
    </row>
    <row r="20" spans="1:5" ht="15.6">
      <c r="A20" s="1"/>
      <c r="B20" s="1"/>
      <c r="C20" s="1" t="s">
        <v>262</v>
      </c>
      <c r="D20" s="73">
        <v>24</v>
      </c>
      <c r="E20" s="75">
        <v>11106.12</v>
      </c>
    </row>
    <row r="21" spans="1:5" ht="15.6">
      <c r="A21" s="1"/>
      <c r="B21" s="1"/>
      <c r="C21" s="1" t="s">
        <v>263</v>
      </c>
      <c r="D21" s="73">
        <v>0</v>
      </c>
      <c r="E21" s="75">
        <v>0</v>
      </c>
    </row>
    <row r="22" spans="1:5" ht="15.6">
      <c r="A22" s="1"/>
      <c r="B22" s="1"/>
      <c r="C22" s="1"/>
      <c r="D22" s="73"/>
      <c r="E22" s="75"/>
    </row>
    <row r="23" spans="1:5" ht="15.6">
      <c r="A23" s="1">
        <v>5</v>
      </c>
      <c r="B23" s="1" t="s">
        <v>267</v>
      </c>
      <c r="C23" s="1" t="s">
        <v>261</v>
      </c>
      <c r="D23" s="73">
        <v>3</v>
      </c>
      <c r="E23" s="75">
        <v>6298.24</v>
      </c>
    </row>
    <row r="24" spans="1:5" ht="15.6">
      <c r="A24" s="1"/>
      <c r="B24" s="1"/>
      <c r="C24" s="1" t="s">
        <v>262</v>
      </c>
      <c r="D24" s="73">
        <v>2</v>
      </c>
      <c r="E24" s="75">
        <v>11196.38</v>
      </c>
    </row>
    <row r="25" spans="1:5" ht="15.6">
      <c r="A25" s="1"/>
      <c r="B25" s="1"/>
      <c r="C25" s="1" t="s">
        <v>263</v>
      </c>
      <c r="D25" s="73">
        <v>0</v>
      </c>
      <c r="E25" s="75">
        <v>0</v>
      </c>
    </row>
    <row r="26" spans="1:5" ht="15.6">
      <c r="A26" s="1"/>
      <c r="B26" s="1"/>
      <c r="C26" s="2" t="s">
        <v>268</v>
      </c>
      <c r="D26" s="2">
        <f>SUM(D9:D25)</f>
        <v>6856</v>
      </c>
      <c r="E26" s="79">
        <f>SUM(E9:E25)</f>
        <v>105514.12000000005</v>
      </c>
    </row>
    <row r="27" spans="1:5" ht="15.6">
      <c r="A27" s="5"/>
      <c r="B27" s="5"/>
      <c r="C27" s="6"/>
      <c r="D27" s="15"/>
      <c r="E27" s="80"/>
    </row>
    <row r="28" spans="1:5" ht="15.6">
      <c r="A28" s="5"/>
      <c r="B28" s="6"/>
      <c r="C28" s="5"/>
      <c r="D28" s="16"/>
      <c r="E28" s="81"/>
    </row>
    <row r="29" spans="1:5" ht="15.6">
      <c r="A29" s="5"/>
      <c r="B29" s="5"/>
      <c r="C29" s="5"/>
      <c r="D29" s="16"/>
      <c r="E29" s="81"/>
    </row>
    <row r="30" spans="1:5" ht="15.6">
      <c r="A30" s="5"/>
      <c r="B30" s="5"/>
      <c r="C30" s="5"/>
      <c r="D30" s="16"/>
      <c r="E30" s="81"/>
    </row>
    <row r="31" spans="1:5" ht="15.6">
      <c r="A31" s="5"/>
      <c r="B31" s="5"/>
      <c r="C31" s="5"/>
      <c r="D31" s="16"/>
      <c r="E31" s="81"/>
    </row>
    <row r="32" spans="1:5" ht="15.6">
      <c r="A32" s="5"/>
      <c r="B32" s="8"/>
      <c r="C32" s="7"/>
      <c r="D32" s="16"/>
      <c r="E32" s="81"/>
    </row>
    <row r="33" spans="1:5" ht="15.6">
      <c r="A33" s="5"/>
      <c r="B33" s="7"/>
      <c r="C33" s="7"/>
      <c r="D33" s="16"/>
      <c r="E33" s="81"/>
    </row>
    <row r="34" spans="1:5" ht="15.6">
      <c r="A34" s="5"/>
      <c r="B34" s="7"/>
      <c r="C34" s="7"/>
      <c r="D34" s="16"/>
      <c r="E34" s="81"/>
    </row>
    <row r="35" spans="1:5" ht="15.6">
      <c r="A35" s="5"/>
      <c r="B35" s="7"/>
      <c r="C35" s="7"/>
      <c r="D35" s="16"/>
      <c r="E35" s="81"/>
    </row>
    <row r="36" spans="1:5" ht="15.6">
      <c r="A36" s="5"/>
      <c r="B36" s="7"/>
      <c r="C36" s="7"/>
      <c r="D36" s="16"/>
      <c r="E36" s="81"/>
    </row>
    <row r="37" spans="1:5" ht="15.6">
      <c r="A37" s="5"/>
      <c r="B37" s="7"/>
      <c r="C37" s="7"/>
      <c r="D37" s="16"/>
      <c r="E37" s="81"/>
    </row>
    <row r="38" spans="1:5" ht="15.6">
      <c r="A38" s="5"/>
      <c r="B38" s="7"/>
      <c r="C38" s="7"/>
      <c r="D38" s="16"/>
      <c r="E38" s="81"/>
    </row>
    <row r="39" spans="1:5" ht="15.6">
      <c r="A39" s="5"/>
      <c r="B39" s="7"/>
      <c r="C39" s="7"/>
      <c r="D39" s="16"/>
      <c r="E39" s="81"/>
    </row>
    <row r="40" spans="1:5" ht="15.6">
      <c r="A40" s="5"/>
      <c r="B40" s="5"/>
      <c r="C40" s="5"/>
      <c r="D40" s="16"/>
      <c r="E40" s="81"/>
    </row>
    <row r="41" spans="1:5" ht="15.6">
      <c r="A41" s="5"/>
      <c r="B41" s="5"/>
      <c r="C41" s="5"/>
      <c r="D41" s="16"/>
      <c r="E41" s="81"/>
    </row>
    <row r="42" spans="1:5" ht="15.6">
      <c r="A42" s="5"/>
      <c r="B42" s="5"/>
      <c r="C42" s="5"/>
      <c r="D42" s="16"/>
      <c r="E42" s="81"/>
    </row>
    <row r="43" spans="1:5" ht="15.6">
      <c r="A43" s="5"/>
      <c r="B43" s="5"/>
      <c r="C43" s="5"/>
      <c r="D43" s="16"/>
      <c r="E43" s="81"/>
    </row>
    <row r="44" spans="1:5" ht="15.6">
      <c r="A44" s="5"/>
      <c r="B44" s="5"/>
      <c r="C44" s="5"/>
      <c r="D44" s="16"/>
      <c r="E44" s="81"/>
    </row>
    <row r="45" spans="1:5" ht="15.6">
      <c r="A45" s="5"/>
      <c r="B45" s="5"/>
      <c r="C45" s="5"/>
      <c r="D45" s="16"/>
      <c r="E45" s="81"/>
    </row>
    <row r="46" spans="1:5" ht="15.6">
      <c r="A46" s="5"/>
      <c r="B46" s="5"/>
      <c r="C46" s="5"/>
      <c r="D46" s="16"/>
      <c r="E46" s="81"/>
    </row>
    <row r="47" spans="1:5" ht="15.6">
      <c r="A47" s="5"/>
      <c r="B47" s="5"/>
      <c r="C47" s="5"/>
      <c r="D47" s="16"/>
      <c r="E47" s="81"/>
    </row>
    <row r="48" spans="1:5" ht="15.6">
      <c r="A48" s="5"/>
      <c r="B48" s="5"/>
      <c r="C48" s="5"/>
      <c r="D48" s="16"/>
      <c r="E48" s="81"/>
    </row>
    <row r="49" spans="1:5" ht="15.6">
      <c r="A49" s="5"/>
      <c r="B49" s="5"/>
      <c r="C49" s="5"/>
      <c r="D49" s="16"/>
      <c r="E49" s="81"/>
    </row>
    <row r="50" spans="1:5" ht="15.6">
      <c r="A50" s="5"/>
      <c r="B50" s="5"/>
      <c r="C50" s="5"/>
      <c r="D50" s="16"/>
      <c r="E50" s="81"/>
    </row>
    <row r="51" spans="1:5" ht="15.6">
      <c r="A51" s="5"/>
      <c r="B51" s="5"/>
      <c r="C51" s="5"/>
      <c r="D51" s="16"/>
      <c r="E51" s="81"/>
    </row>
    <row r="52" spans="1:5" ht="15.6">
      <c r="A52" s="5"/>
      <c r="B52" s="5"/>
      <c r="C52" s="5"/>
      <c r="D52" s="16"/>
      <c r="E52" s="81"/>
    </row>
    <row r="53" spans="1:5" ht="15.6">
      <c r="A53" s="5"/>
      <c r="B53" s="5"/>
      <c r="C53" s="5"/>
      <c r="D53" s="16"/>
      <c r="E53" s="81"/>
    </row>
    <row r="54" spans="1:5" ht="15.6">
      <c r="A54" s="5"/>
      <c r="B54" s="5"/>
      <c r="C54" s="5"/>
      <c r="D54" s="16"/>
      <c r="E54" s="81"/>
    </row>
    <row r="55" spans="1:5" ht="15.6">
      <c r="A55" s="5"/>
      <c r="B55" s="5"/>
      <c r="C55" s="5"/>
      <c r="D55" s="16"/>
      <c r="E55" s="81"/>
    </row>
    <row r="56" spans="1:5" ht="15.6">
      <c r="A56" s="5"/>
      <c r="B56" s="5"/>
      <c r="C56" s="5"/>
      <c r="D56" s="16"/>
      <c r="E56" s="81"/>
    </row>
    <row r="57" spans="1:5" ht="15.6">
      <c r="A57" s="5"/>
      <c r="B57" s="5"/>
      <c r="C57" s="5"/>
      <c r="D57" s="16"/>
      <c r="E57" s="81"/>
    </row>
    <row r="58" spans="1:5" ht="15.6">
      <c r="A58" s="5"/>
      <c r="B58" s="5"/>
      <c r="C58" s="5"/>
      <c r="D58" s="16"/>
      <c r="E58" s="81"/>
    </row>
    <row r="59" spans="1:5" ht="15.6">
      <c r="A59" s="5"/>
      <c r="B59" s="5"/>
      <c r="C59" s="5"/>
      <c r="D59" s="16"/>
      <c r="E59" s="81"/>
    </row>
    <row r="60" spans="1:5" ht="15.6">
      <c r="A60" s="5"/>
      <c r="B60" s="5"/>
      <c r="C60" s="5"/>
      <c r="D60" s="16"/>
      <c r="E60" s="81"/>
    </row>
    <row r="61" spans="1:5" ht="15.6">
      <c r="A61" s="5"/>
      <c r="B61" s="5"/>
      <c r="C61" s="5"/>
      <c r="D61" s="16"/>
      <c r="E61" s="81"/>
    </row>
    <row r="62" spans="1:5" ht="15.6">
      <c r="A62" s="5"/>
      <c r="B62" s="5"/>
      <c r="C62" s="5"/>
      <c r="D62" s="16"/>
      <c r="E62" s="81"/>
    </row>
    <row r="63" spans="1:5" ht="15.6">
      <c r="A63" s="5"/>
      <c r="B63" s="5"/>
      <c r="C63" s="5"/>
      <c r="D63" s="16"/>
      <c r="E63" s="81"/>
    </row>
    <row r="64" spans="1:5" ht="15.6">
      <c r="A64" s="5"/>
      <c r="B64" s="5"/>
      <c r="C64" s="5"/>
      <c r="D64" s="16"/>
      <c r="E64" s="81"/>
    </row>
    <row r="65" spans="1:5" ht="15.6">
      <c r="A65" s="5"/>
      <c r="B65" s="5"/>
      <c r="C65" s="5"/>
      <c r="D65" s="16"/>
      <c r="E65" s="8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Q25"/>
  <sheetViews>
    <sheetView view="pageBreakPreview" zoomScaleNormal="100" zoomScaleSheetLayoutView="100" workbookViewId="0">
      <pane xSplit="3" topLeftCell="BZ1" activePane="topRight" state="frozen"/>
      <selection pane="topRight" activeCell="CF10" sqref="CF10"/>
    </sheetView>
  </sheetViews>
  <sheetFormatPr defaultColWidth="9.140625" defaultRowHeight="15"/>
  <cols>
    <col min="1" max="1" width="14.28515625" style="155" customWidth="1"/>
    <col min="2" max="2" width="52.28515625" style="155" bestFit="1" customWidth="1"/>
    <col min="3" max="3" width="13.7109375" style="155" customWidth="1"/>
    <col min="4" max="4" width="0.140625" style="155" customWidth="1"/>
    <col min="5" max="5" width="0.140625" style="188" customWidth="1"/>
    <col min="6" max="6" width="11.140625" style="155" hidden="1" customWidth="1"/>
    <col min="7" max="9" width="9.85546875" style="155" hidden="1" customWidth="1"/>
    <col min="10" max="10" width="0.140625" style="155" hidden="1" customWidth="1"/>
    <col min="11" max="14" width="9.85546875" style="155" hidden="1" customWidth="1"/>
    <col min="15" max="18" width="10.28515625" style="155" hidden="1" customWidth="1"/>
    <col min="19" max="23" width="11.85546875" style="155" hidden="1" customWidth="1"/>
    <col min="24" max="27" width="12.28515625" style="155" hidden="1" customWidth="1"/>
    <col min="28" max="28" width="0.140625" style="155" hidden="1" customWidth="1"/>
    <col min="29" max="30" width="12.28515625" style="155" hidden="1" customWidth="1"/>
    <col min="31" max="31" width="0.140625" style="155" hidden="1" customWidth="1"/>
    <col min="32" max="37" width="12.28515625" style="155" hidden="1" customWidth="1"/>
    <col min="38" max="38" width="10.7109375" style="155" hidden="1" customWidth="1"/>
    <col min="39" max="41" width="12.28515625" style="155" hidden="1" customWidth="1"/>
    <col min="42" max="42" width="0.140625" style="155" customWidth="1"/>
    <col min="43" max="44" width="16.28515625" style="155" hidden="1" customWidth="1"/>
    <col min="45" max="52" width="15.5703125" style="155" hidden="1" customWidth="1"/>
    <col min="53" max="56" width="16.28515625" style="155" hidden="1" customWidth="1"/>
    <col min="57" max="57" width="16.42578125" style="155" bestFit="1" customWidth="1"/>
    <col min="58" max="59" width="13.5703125" style="155" hidden="1" customWidth="1"/>
    <col min="60" max="60" width="14.7109375" style="155" bestFit="1" customWidth="1"/>
    <col min="61" max="62" width="13.5703125" style="155" hidden="1" customWidth="1"/>
    <col min="63" max="63" width="14.7109375" style="155" bestFit="1" customWidth="1"/>
    <col min="64" max="65" width="14.7109375" style="155" customWidth="1"/>
    <col min="66" max="66" width="14.7109375" style="155" bestFit="1" customWidth="1"/>
    <col min="67" max="68" width="14.7109375" style="155" customWidth="1"/>
    <col min="69" max="69" width="14.7109375" style="155" bestFit="1" customWidth="1"/>
    <col min="70" max="70" width="13.42578125" style="155" bestFit="1" customWidth="1"/>
    <col min="71" max="76" width="14.7109375" style="155" customWidth="1"/>
    <col min="77" max="77" width="12.28515625" style="155" customWidth="1"/>
    <col min="78" max="82" width="14.7109375" style="155" customWidth="1"/>
    <col min="83" max="84" width="14.85546875" style="155" customWidth="1"/>
    <col min="85" max="85" width="4.140625" style="155" customWidth="1"/>
    <col min="86" max="16384" width="9.140625" style="155"/>
  </cols>
  <sheetData>
    <row r="1" spans="1:95">
      <c r="A1" s="398" t="s">
        <v>269</v>
      </c>
      <c r="B1" s="398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</row>
    <row r="2" spans="1:95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</row>
    <row r="3" spans="1:95">
      <c r="A3" s="156"/>
      <c r="B3" s="156"/>
      <c r="C3" s="156"/>
      <c r="D3" s="157" t="s">
        <v>270</v>
      </c>
      <c r="E3" s="157" t="s">
        <v>271</v>
      </c>
      <c r="F3" s="157" t="s">
        <v>8</v>
      </c>
      <c r="G3" s="158">
        <v>42005</v>
      </c>
      <c r="H3" s="158">
        <v>42036</v>
      </c>
      <c r="I3" s="158">
        <v>42064</v>
      </c>
      <c r="J3" s="158">
        <v>42095</v>
      </c>
      <c r="K3" s="158">
        <v>42125</v>
      </c>
      <c r="L3" s="158">
        <v>42156</v>
      </c>
      <c r="M3" s="158">
        <v>42186</v>
      </c>
      <c r="N3" s="158">
        <v>42217</v>
      </c>
      <c r="O3" s="158">
        <v>42248</v>
      </c>
      <c r="P3" s="158">
        <v>42278</v>
      </c>
      <c r="Q3" s="158">
        <v>42309</v>
      </c>
      <c r="R3" s="158">
        <v>42339</v>
      </c>
      <c r="S3" s="158" t="s">
        <v>9</v>
      </c>
      <c r="T3" s="158">
        <v>42385</v>
      </c>
      <c r="U3" s="158">
        <v>42416</v>
      </c>
      <c r="V3" s="158">
        <v>42445</v>
      </c>
      <c r="W3" s="158">
        <v>42476</v>
      </c>
      <c r="X3" s="158">
        <v>42506</v>
      </c>
      <c r="Y3" s="158">
        <v>42537</v>
      </c>
      <c r="Z3" s="158">
        <v>42567</v>
      </c>
      <c r="AA3" s="158">
        <v>42598</v>
      </c>
      <c r="AB3" s="158">
        <v>42629</v>
      </c>
      <c r="AC3" s="158">
        <v>42659</v>
      </c>
      <c r="AD3" s="158">
        <v>42690</v>
      </c>
      <c r="AE3" s="158">
        <v>42720</v>
      </c>
      <c r="AF3" s="157">
        <v>42736</v>
      </c>
      <c r="AG3" s="157">
        <v>42767</v>
      </c>
      <c r="AH3" s="157">
        <v>42795</v>
      </c>
      <c r="AI3" s="157">
        <v>42826</v>
      </c>
      <c r="AJ3" s="157">
        <v>42856</v>
      </c>
      <c r="AK3" s="157">
        <v>42887</v>
      </c>
      <c r="AL3" s="157">
        <v>42917</v>
      </c>
      <c r="AM3" s="157">
        <v>42948</v>
      </c>
      <c r="AN3" s="157">
        <v>42979</v>
      </c>
      <c r="AO3" s="157">
        <v>43009</v>
      </c>
      <c r="AP3" s="157">
        <v>43040</v>
      </c>
      <c r="AQ3" s="157">
        <v>43070</v>
      </c>
      <c r="AR3" s="156" t="s">
        <v>10</v>
      </c>
      <c r="AS3" s="157">
        <v>43101</v>
      </c>
      <c r="AT3" s="157">
        <v>43132</v>
      </c>
      <c r="AU3" s="157">
        <v>43160</v>
      </c>
      <c r="AV3" s="157">
        <v>43191</v>
      </c>
      <c r="AW3" s="157">
        <v>43221</v>
      </c>
      <c r="AX3" s="157">
        <v>43252</v>
      </c>
      <c r="AY3" s="157">
        <v>43282</v>
      </c>
      <c r="AZ3" s="157">
        <v>43313</v>
      </c>
      <c r="BA3" s="157">
        <v>43344</v>
      </c>
      <c r="BB3" s="157">
        <v>43374</v>
      </c>
      <c r="BC3" s="157">
        <v>43405</v>
      </c>
      <c r="BD3" s="157">
        <v>43435</v>
      </c>
      <c r="BE3" s="159" t="s">
        <v>11</v>
      </c>
      <c r="BF3" s="160">
        <v>43466</v>
      </c>
      <c r="BG3" s="160">
        <v>43497</v>
      </c>
      <c r="BH3" s="160">
        <v>43525</v>
      </c>
      <c r="BI3" s="160">
        <v>43556</v>
      </c>
      <c r="BJ3" s="160">
        <v>43586</v>
      </c>
      <c r="BK3" s="160">
        <v>43617</v>
      </c>
      <c r="BL3" s="160">
        <v>43647</v>
      </c>
      <c r="BM3" s="160">
        <v>43678</v>
      </c>
      <c r="BN3" s="160">
        <v>43709</v>
      </c>
      <c r="BO3" s="160">
        <v>43739</v>
      </c>
      <c r="BP3" s="160">
        <v>43770</v>
      </c>
      <c r="BQ3" s="160">
        <v>43800</v>
      </c>
      <c r="BR3" s="160" t="s">
        <v>12</v>
      </c>
      <c r="BS3" s="207">
        <v>43831</v>
      </c>
      <c r="BT3" s="207">
        <v>43862</v>
      </c>
      <c r="BU3" s="207">
        <v>43891</v>
      </c>
      <c r="BV3" s="207">
        <v>43922</v>
      </c>
      <c r="BW3" s="207">
        <v>43952</v>
      </c>
      <c r="BX3" s="207">
        <v>43983</v>
      </c>
      <c r="BY3" s="207">
        <v>44013</v>
      </c>
      <c r="BZ3" s="207">
        <v>44044</v>
      </c>
      <c r="CA3" s="207">
        <v>44075</v>
      </c>
      <c r="CB3" s="207">
        <v>44105</v>
      </c>
      <c r="CC3" s="207">
        <v>44136</v>
      </c>
      <c r="CD3" s="207">
        <v>44166</v>
      </c>
      <c r="CE3" s="207" t="s">
        <v>13</v>
      </c>
      <c r="CF3" s="207" t="s">
        <v>14</v>
      </c>
      <c r="CG3" s="208"/>
      <c r="CH3" s="189">
        <v>43831</v>
      </c>
      <c r="CI3" s="189">
        <v>43862</v>
      </c>
      <c r="CJ3" s="189">
        <v>43891</v>
      </c>
      <c r="CK3" s="189">
        <v>43922</v>
      </c>
      <c r="CL3" s="189">
        <v>43952</v>
      </c>
      <c r="CM3" s="189">
        <v>43983</v>
      </c>
      <c r="CN3" s="189">
        <v>44013</v>
      </c>
      <c r="CO3" s="189">
        <v>44044</v>
      </c>
      <c r="CP3" s="189">
        <v>44075</v>
      </c>
      <c r="CQ3" s="189">
        <v>44105</v>
      </c>
    </row>
    <row r="4" spans="1:95">
      <c r="A4" s="397" t="s">
        <v>272</v>
      </c>
      <c r="B4" s="161" t="s">
        <v>184</v>
      </c>
      <c r="C4" s="162" t="s">
        <v>273</v>
      </c>
      <c r="D4" s="163">
        <f>FINANCIALS!D12</f>
        <v>-17916464.34</v>
      </c>
      <c r="E4" s="163">
        <f>FINANCIALS!E12</f>
        <v>37703005.009999998</v>
      </c>
      <c r="F4" s="163">
        <f>FINANCIALS!F12</f>
        <v>84979038</v>
      </c>
      <c r="G4" s="163">
        <f>FINANCIALS!G12</f>
        <v>55863956.979999997</v>
      </c>
      <c r="H4" s="163">
        <f>FINANCIALS!H12</f>
        <v>55715309.25</v>
      </c>
      <c r="I4" s="163">
        <f>FINANCIALS!I12</f>
        <v>55361663.339999996</v>
      </c>
      <c r="J4" s="163">
        <f>FINANCIALS!J12</f>
        <v>82339787.859999999</v>
      </c>
      <c r="K4" s="163">
        <f>FINANCIALS!K12</f>
        <v>59666643.259999998</v>
      </c>
      <c r="L4" s="163">
        <f>FINANCIALS!L12</f>
        <v>93880087</v>
      </c>
      <c r="M4" s="163">
        <f>FINANCIALS!M12</f>
        <v>94999140.25</v>
      </c>
      <c r="N4" s="163">
        <f>FINANCIALS!N12</f>
        <v>95201103.5</v>
      </c>
      <c r="O4" s="163">
        <f>FINANCIALS!O12</f>
        <v>100660206.41</v>
      </c>
      <c r="P4" s="163">
        <f>FINANCIALS!P12</f>
        <v>100350768.67</v>
      </c>
      <c r="Q4" s="163">
        <f>FINANCIALS!Q12</f>
        <v>104959739.41</v>
      </c>
      <c r="R4" s="163">
        <f>FINANCIALS!R12</f>
        <v>105252038.70999999</v>
      </c>
      <c r="S4" s="163">
        <f>FINANCIALS!S12</f>
        <v>93415740.574806854</v>
      </c>
      <c r="T4" s="163">
        <f>FINANCIALS!T12</f>
        <v>100053256.47</v>
      </c>
      <c r="U4" s="163">
        <f>FINANCIALS!U12</f>
        <v>112279842.11</v>
      </c>
      <c r="V4" s="163">
        <f>FINANCIALS!V12</f>
        <v>112584639.81</v>
      </c>
      <c r="W4" s="164">
        <f>FINANCIALS!W12</f>
        <v>104974451.21000001</v>
      </c>
      <c r="X4" s="164">
        <f>FINANCIALS!X12</f>
        <v>161730334.62</v>
      </c>
      <c r="Y4" s="163">
        <f>FINANCIALS!Y12</f>
        <v>159213835.02000001</v>
      </c>
      <c r="Z4" s="163">
        <f>FINANCIALS!Z12</f>
        <v>163300171.02000001</v>
      </c>
      <c r="AA4" s="163">
        <f>FINANCIALS!AA12</f>
        <v>167814783.31999999</v>
      </c>
      <c r="AB4" s="163">
        <f>FINANCIALS!AB12</f>
        <v>170812546.72</v>
      </c>
      <c r="AC4" s="163">
        <f>FINANCIALS!AC12</f>
        <v>168961625.02000001</v>
      </c>
      <c r="AD4" s="163">
        <f>FINANCIALS!AD12</f>
        <v>167757610.98000002</v>
      </c>
      <c r="AE4" s="163">
        <f>FINANCIALS!AE12</f>
        <v>166971538.22</v>
      </c>
      <c r="AF4" s="163">
        <f>FINANCIALS!AF12</f>
        <v>165000481.72</v>
      </c>
      <c r="AG4" s="163">
        <f>FINANCIALS!AG12</f>
        <v>166777225.52000001</v>
      </c>
      <c r="AH4" s="163">
        <f>FINANCIALS!AH12</f>
        <v>167484539.22</v>
      </c>
      <c r="AI4" s="163">
        <f>FINANCIALS!AI12</f>
        <v>163743714.63999999</v>
      </c>
      <c r="AJ4" s="163">
        <f>FINANCIALS!AJ12</f>
        <v>164612692.54000002</v>
      </c>
      <c r="AK4" s="163">
        <f>FINANCIALS!AK12</f>
        <v>167239564.34</v>
      </c>
      <c r="AL4" s="163">
        <f>FINANCIALS!AL12</f>
        <v>166187404.51000002</v>
      </c>
      <c r="AM4" s="163">
        <f>FINANCIALS!AM12</f>
        <v>168431066.81</v>
      </c>
      <c r="AN4" s="163">
        <f>FINANCIALS!AN12</f>
        <v>168449619.81</v>
      </c>
      <c r="AO4" s="163">
        <f>FINANCIALS!AO12</f>
        <v>171704215.91</v>
      </c>
      <c r="AP4" s="163">
        <f>FINANCIALS!AP12</f>
        <v>149690016.62</v>
      </c>
      <c r="AQ4" s="163">
        <f>FINANCIALS!AQ12</f>
        <v>154944801.12</v>
      </c>
      <c r="AR4" s="163">
        <f>FINANCIALS!AR12</f>
        <v>130860941</v>
      </c>
      <c r="AS4" s="163">
        <f>FINANCIALS!AS12</f>
        <v>152448708.72</v>
      </c>
      <c r="AT4" s="163">
        <f>FINANCIALS!AT12</f>
        <v>151893293.62</v>
      </c>
      <c r="AU4" s="163">
        <f>FINANCIALS!AU12</f>
        <v>156350129.62</v>
      </c>
      <c r="AV4" s="163">
        <f>FINANCIALS!AV12</f>
        <v>160257125.62</v>
      </c>
      <c r="AW4" s="163">
        <f>FINANCIALS!AW12</f>
        <v>166757477.91000003</v>
      </c>
      <c r="AX4" s="163">
        <f>FINANCIALS!AX12</f>
        <v>156997052.06</v>
      </c>
      <c r="AY4" s="163">
        <f>FINANCIALS!AY12</f>
        <v>160479675.16</v>
      </c>
      <c r="AZ4" s="163">
        <f>FINANCIALS!AZ12</f>
        <v>160081132.46000001</v>
      </c>
      <c r="BA4" s="163">
        <f>FINANCIALS!BA12</f>
        <v>168420870.25999999</v>
      </c>
      <c r="BB4" s="163">
        <f>FINANCIALS!BB12</f>
        <v>168420870.25999999</v>
      </c>
      <c r="BC4" s="163">
        <f>FINANCIALS!BC12</f>
        <v>175449511.04999998</v>
      </c>
      <c r="BD4" s="165">
        <f>FINANCIALS!BD12</f>
        <v>169064057.96000001</v>
      </c>
      <c r="BE4" s="165">
        <f>FINANCIALS!BE12</f>
        <v>162222559.30000001</v>
      </c>
      <c r="BF4" s="165">
        <f>FINANCIALS!BF12</f>
        <v>175811635.55000001</v>
      </c>
      <c r="BG4" s="165">
        <f>FINANCIALS!BG12</f>
        <v>190853999.05000001</v>
      </c>
      <c r="BH4" s="165">
        <f>FINANCIALS!BH12</f>
        <v>178564876.25000003</v>
      </c>
      <c r="BI4" s="165">
        <f>FINANCIALS!BI12</f>
        <v>177358402.25000003</v>
      </c>
      <c r="BJ4" s="165">
        <f>FINANCIALS!BJ12</f>
        <v>178157058.03</v>
      </c>
      <c r="BK4" s="165">
        <f>FINANCIALS!BK12</f>
        <v>179070566.41999999</v>
      </c>
      <c r="BL4" s="165">
        <f>FINANCIALS!BL12</f>
        <v>175954936.61000001</v>
      </c>
      <c r="BM4" s="165">
        <f>FINANCIALS!BM12</f>
        <v>179612272.51000002</v>
      </c>
      <c r="BN4" s="165">
        <f>FINANCIALS!BN12</f>
        <v>190224333.21000001</v>
      </c>
      <c r="BO4" s="165">
        <f>FINANCIALS!BO12</f>
        <v>187717472.60999998</v>
      </c>
      <c r="BP4" s="165">
        <f>FINANCIALS!BP12</f>
        <v>189412378.96000001</v>
      </c>
      <c r="BQ4" s="165">
        <f>FINANCIALS!BQ12</f>
        <v>189145384.11000001</v>
      </c>
      <c r="BR4" s="165">
        <f>FINANCIALS!BR12</f>
        <v>168524099.04999998</v>
      </c>
      <c r="BS4" s="165">
        <f>FINANCIALS!BS12</f>
        <v>185314825</v>
      </c>
      <c r="BT4" s="165">
        <f>FINANCIALS!BT12</f>
        <v>190824311.70999998</v>
      </c>
      <c r="BU4" s="165">
        <f>FINANCIALS!BU12</f>
        <v>195521060.80999997</v>
      </c>
      <c r="BV4" s="165">
        <f>FINANCIALS!BV12</f>
        <v>190713109.35999998</v>
      </c>
      <c r="BW4" s="165">
        <f>FINANCIALS!BW12</f>
        <v>191920225.19999999</v>
      </c>
      <c r="BX4" s="165">
        <f>FINANCIALS!BX12</f>
        <v>187751290.44999999</v>
      </c>
      <c r="BY4" s="165">
        <f>FINANCIALS!BY12</f>
        <v>5642149.6500000004</v>
      </c>
      <c r="BZ4" s="165">
        <f>FINANCIALS!BZ12</f>
        <v>203592495.56999999</v>
      </c>
      <c r="CA4" s="165">
        <f>FINANCIALS!CA12</f>
        <v>204183438.45999998</v>
      </c>
      <c r="CB4" s="165">
        <f>FINANCIALS!CB12</f>
        <v>209271668.66</v>
      </c>
      <c r="CC4" s="165">
        <f>FINANCIALS!CC12</f>
        <v>214564115.97999996</v>
      </c>
      <c r="CD4" s="165">
        <f>FINANCIALS!CD12</f>
        <v>196339669.84</v>
      </c>
      <c r="CE4" s="165">
        <f>FINANCIALS!CE12</f>
        <v>176925250.55000001</v>
      </c>
      <c r="CF4" s="165">
        <f>FINANCIALS!CF12</f>
        <v>215401868.62</v>
      </c>
      <c r="CG4" s="165">
        <f>FINANCIALS!CG12</f>
        <v>0</v>
      </c>
      <c r="CH4" s="165">
        <f>FINANCIALS!CH12</f>
        <v>0</v>
      </c>
      <c r="CI4" s="165">
        <f>FINANCIALS!CI12</f>
        <v>0</v>
      </c>
      <c r="CJ4" s="165">
        <f>FINANCIALS!CJ12</f>
        <v>0</v>
      </c>
      <c r="CK4" s="165">
        <f>FINANCIALS!CK12</f>
        <v>0</v>
      </c>
      <c r="CL4" s="165">
        <f>FINANCIALS!CL12</f>
        <v>0</v>
      </c>
      <c r="CM4" s="165">
        <f>FINANCIALS!CM12</f>
        <v>0</v>
      </c>
      <c r="CN4" s="165">
        <f>FINANCIALS!CN12</f>
        <v>0</v>
      </c>
      <c r="CO4" s="165">
        <f>FINANCIALS!CO12</f>
        <v>0</v>
      </c>
      <c r="CP4" s="165">
        <f>FINANCIALS!CP12</f>
        <v>0</v>
      </c>
      <c r="CQ4" s="165">
        <f>FINANCIALS!CQ12</f>
        <v>0</v>
      </c>
    </row>
    <row r="5" spans="1:95">
      <c r="A5" s="397"/>
      <c r="B5" s="166" t="s">
        <v>274</v>
      </c>
      <c r="C5" s="162" t="s">
        <v>275</v>
      </c>
      <c r="D5" s="167">
        <f>FINANCIALS!D12/FINANCIALS!D4</f>
        <v>-3.7688463279589017E-2</v>
      </c>
      <c r="E5" s="167">
        <f>FINANCIALS!E12/FINANCIALS!E4</f>
        <v>7.42654406838818E-2</v>
      </c>
      <c r="F5" s="167">
        <f>FINANCIALS!F12/FINANCIALS!F4</f>
        <v>0.14133744894193384</v>
      </c>
      <c r="G5" s="167">
        <f>FINANCIALS!G12/FINANCIALS!G4</f>
        <v>0.12036104565026484</v>
      </c>
      <c r="H5" s="167">
        <f>FINANCIALS!H12/FINANCIALS!H4</f>
        <v>0.10357065312835986</v>
      </c>
      <c r="I5" s="167">
        <f>FINANCIALS!I12/FINANCIALS!I4</f>
        <v>0.10226083879544687</v>
      </c>
      <c r="J5" s="168">
        <f>FINANCIALS!J12/FINANCIALS!J4</f>
        <v>0.14218078877978171</v>
      </c>
      <c r="K5" s="168">
        <f>FINANCIALS!K12/FINANCIALS!K4</f>
        <v>0.18543464998473475</v>
      </c>
      <c r="L5" s="168">
        <f>FINANCIALS!L12/FINANCIALS!L4</f>
        <v>0.15795161371926894</v>
      </c>
      <c r="M5" s="168">
        <f>FINANCIALS!M12/FINANCIALS!M4</f>
        <v>0.15801210470849611</v>
      </c>
      <c r="N5" s="168">
        <f>FINANCIALS!N12/FINANCIALS!N4</f>
        <v>0.15818512849749797</v>
      </c>
      <c r="O5" s="168">
        <f>FINANCIALS!O12/FINANCIALS!O4</f>
        <v>0.24578042491185645</v>
      </c>
      <c r="P5" s="168">
        <f>FINANCIALS!P12/FINANCIALS!P4</f>
        <v>0.14213774318339029</v>
      </c>
      <c r="Q5" s="168">
        <f>FINANCIALS!Q12/FINANCIALS!Q4</f>
        <v>0.148314555186838</v>
      </c>
      <c r="R5" s="168">
        <f>FINANCIALS!R12/FINANCIALS!R4</f>
        <v>0.14755269927124631</v>
      </c>
      <c r="S5" s="168">
        <f>FINANCIALS!S12/FINANCIALS!S4</f>
        <v>0.12707636369446282</v>
      </c>
      <c r="T5" s="168">
        <f>FINANCIALS!T12/FINANCIALS!T4</f>
        <v>0.14187551118873734</v>
      </c>
      <c r="U5" s="168">
        <f>FINANCIALS!U12/FINANCIALS!U4</f>
        <v>0.15635013520230273</v>
      </c>
      <c r="V5" s="168">
        <f>FINANCIALS!V12/FINANCIALS!V4</f>
        <v>0.15690222626180667</v>
      </c>
      <c r="W5" s="168">
        <f>FINANCIALS!W12/FINANCIALS!W4</f>
        <v>0.14474460255129101</v>
      </c>
      <c r="X5" s="168">
        <f>FINANCIALS!X12/FINANCIALS!X4</f>
        <v>0.19526414338746867</v>
      </c>
      <c r="Y5" s="168">
        <f>FINANCIALS!Y12/FINANCIALS!Y4</f>
        <v>0.19787058059755891</v>
      </c>
      <c r="Z5" s="168">
        <f>FINANCIALS!Z12/FINANCIALS!Z4</f>
        <v>0.20309716396097688</v>
      </c>
      <c r="AA5" s="168">
        <f>FINANCIALS!AA12/FINANCIALS!AA4</f>
        <v>0.20883246380004702</v>
      </c>
      <c r="AB5" s="168">
        <f>FINANCIALS!AB12/FINANCIALS!AB4</f>
        <v>0.21343592424666569</v>
      </c>
      <c r="AC5" s="168">
        <f>FINANCIALS!AC12/FINANCIALS!AC4</f>
        <v>0.21125099629050428</v>
      </c>
      <c r="AD5" s="168">
        <f>FINANCIALS!AD12/FINANCIALS!AD4</f>
        <v>0.21094104817022219</v>
      </c>
      <c r="AE5" s="168">
        <f>FINANCIALS!AE12/FINANCIALS!AE4</f>
        <v>0.20688098182474635</v>
      </c>
      <c r="AF5" s="168">
        <f>FINANCIALS!AF12/FINANCIALS!AF4</f>
        <v>0.20904347310014715</v>
      </c>
      <c r="AG5" s="168">
        <f>FINANCIALS!AG12/FINANCIALS!AG4</f>
        <v>0.20618955051656751</v>
      </c>
      <c r="AH5" s="168">
        <f>FINANCIALS!AH12/FINANCIALS!AH4</f>
        <v>0.20608136895041196</v>
      </c>
      <c r="AI5" s="168">
        <f>FINANCIALS!AI12/FINANCIALS!AI4</f>
        <v>0.20309516038983072</v>
      </c>
      <c r="AJ5" s="168">
        <f>FINANCIALS!AJ12/FINANCIALS!AJ4</f>
        <v>0.19428591431618614</v>
      </c>
      <c r="AK5" s="168">
        <f>FINANCIALS!AK12/FINANCIALS!AK4</f>
        <v>0.19600856756848026</v>
      </c>
      <c r="AL5" s="168">
        <f>FINANCIALS!AL12/FINANCIALS!AL4</f>
        <v>0.19591514494534185</v>
      </c>
      <c r="AM5" s="168">
        <f>FINANCIALS!AM12/FINANCIALS!AM4</f>
        <v>0.19780849745754414</v>
      </c>
      <c r="AN5" s="168">
        <f>FINANCIALS!AN12/FINANCIALS!AN4</f>
        <v>0.19945220152199833</v>
      </c>
      <c r="AO5" s="168">
        <f>FINANCIALS!AO12/FINANCIALS!AO4</f>
        <v>0.19907576197106161</v>
      </c>
      <c r="AP5" s="168">
        <f>FINANCIALS!AP12/FINANCIALS!AP4</f>
        <v>0.17531818558883946</v>
      </c>
      <c r="AQ5" s="168">
        <f>FINANCIALS!AQ12/FINANCIALS!AQ4</f>
        <v>0.17695654169779287</v>
      </c>
      <c r="AR5" s="168">
        <f>FINANCIALS!AR12/FINANCIALS!AR4</f>
        <v>0.14431032980359157</v>
      </c>
      <c r="AS5" s="168">
        <f>FINANCIALS!AS12/FINANCIALS!AS4</f>
        <v>0.17580300325637796</v>
      </c>
      <c r="AT5" s="168">
        <f>FINANCIALS!AT12/FINANCIALS!AT4</f>
        <v>0.17438888934180913</v>
      </c>
      <c r="AU5" s="168">
        <f>FINANCIALS!AU12/FINANCIALS!AU4</f>
        <v>0.17810694500314189</v>
      </c>
      <c r="AV5" s="168">
        <f>FINANCIALS!AV12/FINANCIALS!AV4</f>
        <v>0.18144511099141308</v>
      </c>
      <c r="AW5" s="168">
        <f>FINANCIALS!AW12/FINANCIALS!AW4</f>
        <v>0.18645726042332306</v>
      </c>
      <c r="AX5" s="168">
        <f>FINANCIALS!AX12/FINANCIALS!AX4</f>
        <v>0.24916298037955578</v>
      </c>
      <c r="AY5" s="168">
        <f>FINANCIALS!AY12/FINANCIALS!AY4</f>
        <v>0.17397025404467914</v>
      </c>
      <c r="AZ5" s="168">
        <f>FINANCIALS!AZ12/FINANCIALS!AZ4</f>
        <v>0.17438335768498667</v>
      </c>
      <c r="BA5" s="168">
        <f>FINANCIALS!BA12/FINANCIALS!BA4</f>
        <v>0.18449105717137104</v>
      </c>
      <c r="BB5" s="168">
        <f>FINANCIALS!BB12/FINANCIALS!BB4</f>
        <v>0.18449105717096684</v>
      </c>
      <c r="BC5" s="168">
        <f>FINANCIALS!BC12/FINANCIALS!BC4</f>
        <v>0.19011384188457031</v>
      </c>
      <c r="BD5" s="169">
        <f>FINANCIALS!BD12/FINANCIALS!BD4</f>
        <v>0.16935924370044783</v>
      </c>
      <c r="BE5" s="169">
        <f>FINANCIALS!BE12/FINANCIALS!BE4</f>
        <v>0.1583716785312399</v>
      </c>
      <c r="BF5" s="169">
        <f>FINANCIALS!BF12/FINANCIALS!BF4</f>
        <v>0.17855974125793636</v>
      </c>
      <c r="BG5" s="169">
        <f>FINANCIALS!BG12/FINANCIALS!BG4</f>
        <v>0.19276132196228338</v>
      </c>
      <c r="BH5" s="169">
        <f>FINANCIALS!BH12/FINANCIALS!BH4</f>
        <v>0.183755252130995</v>
      </c>
      <c r="BI5" s="169">
        <f>FINANCIALS!BI12/FINANCIALS!BI4</f>
        <v>0.1834178427168946</v>
      </c>
      <c r="BJ5" s="169">
        <f>FINANCIALS!BJ12/FINANCIALS!BJ4</f>
        <v>0.18193783887772313</v>
      </c>
      <c r="BK5" s="169">
        <f>FINANCIALS!BK12/FINANCIALS!BK4</f>
        <v>0.18186105356858306</v>
      </c>
      <c r="BL5" s="169">
        <f>FINANCIALS!BL12/FINANCIALS!BL4</f>
        <v>0.1790484041382607</v>
      </c>
      <c r="BM5" s="169">
        <f>FINANCIALS!BM12/FINANCIALS!BM4</f>
        <v>0.18190722578533311</v>
      </c>
      <c r="BN5" s="169">
        <f>FINANCIALS!BN12/FINANCIALS!BN4</f>
        <v>0.18931655570418132</v>
      </c>
      <c r="BO5" s="169">
        <f>FINANCIALS!BO12/FINANCIALS!BO4</f>
        <v>0.18610410613994546</v>
      </c>
      <c r="BP5" s="169">
        <f>FINANCIALS!BP12/FINANCIALS!BP4</f>
        <v>0.1873616899671017</v>
      </c>
      <c r="BQ5" s="169">
        <f>FINANCIALS!BQ12/FINANCIALS!BQ4</f>
        <v>0.17411515224887988</v>
      </c>
      <c r="BR5" s="169">
        <f>FINANCIALS!BR12/FINANCIALS!BR4</f>
        <v>0.15534322463752462</v>
      </c>
      <c r="BS5" s="169">
        <f>FINANCIALS!BS12/FINANCIALS!BS4</f>
        <v>0.17699832442365274</v>
      </c>
      <c r="BT5" s="169">
        <f>FINANCIALS!BT12/FINANCIALS!BT4</f>
        <v>0.18066310809634795</v>
      </c>
      <c r="BU5" s="169">
        <f>FINANCIALS!BU12/FINANCIALS!BU4</f>
        <v>0.18611762198104573</v>
      </c>
      <c r="BV5" s="169">
        <f>FINANCIALS!BV12/FINANCIALS!BV4</f>
        <v>0.1778546976869973</v>
      </c>
      <c r="BW5" s="169">
        <f>FINANCIALS!BW12/FINANCIALS!BW4</f>
        <v>0.17190160442243108</v>
      </c>
      <c r="BX5" s="169">
        <f>FINANCIALS!BX12/FINANCIALS!BX4</f>
        <v>0.16836344856937327</v>
      </c>
      <c r="BY5" s="169" t="e">
        <f>FINANCIALS!BY12/FINANCIALS!BY4</f>
        <v>#DIV/0!</v>
      </c>
      <c r="BZ5" s="169">
        <f>FINANCIALS!BZ12/FINANCIALS!BZ4</f>
        <v>0.18019115570776631</v>
      </c>
      <c r="CA5" s="169">
        <f>FINANCIALS!CA12/FINANCIALS!CA4</f>
        <v>0.178874632037128</v>
      </c>
      <c r="CB5" s="169">
        <f>FINANCIALS!CB12/FINANCIALS!CB4</f>
        <v>0.1834278767692944</v>
      </c>
      <c r="CC5" s="169">
        <f>FINANCIALS!CC12/FINANCIALS!CC4</f>
        <v>0.19067336196000048</v>
      </c>
      <c r="CD5" s="169">
        <f>FINANCIALS!CD12/FINANCIALS!CD4</f>
        <v>0.1728932508804954</v>
      </c>
      <c r="CE5" s="169">
        <f>FINANCIALS!CE12/FINANCIALS!CE4</f>
        <v>0.15054182419512685</v>
      </c>
      <c r="CF5" s="169">
        <f>FINANCIALS!CF12/FINANCIALS!CF4</f>
        <v>0.17163163978150472</v>
      </c>
      <c r="CG5" s="169" t="e">
        <f>FINANCIALS!CG12/FINANCIALS!CG4</f>
        <v>#DIV/0!</v>
      </c>
      <c r="CH5" s="169" t="e">
        <f>FINANCIALS!CH12/FINANCIALS!CH4</f>
        <v>#DIV/0!</v>
      </c>
      <c r="CI5" s="169" t="e">
        <f>FINANCIALS!CI12/FINANCIALS!CI4</f>
        <v>#DIV/0!</v>
      </c>
      <c r="CJ5" s="169" t="e">
        <f>FINANCIALS!CJ12/FINANCIALS!CJ4</f>
        <v>#DIV/0!</v>
      </c>
      <c r="CK5" s="169" t="e">
        <f>FINANCIALS!CK12/FINANCIALS!CK4</f>
        <v>#DIV/0!</v>
      </c>
      <c r="CL5" s="169" t="e">
        <f>FINANCIALS!CL12/FINANCIALS!CL4</f>
        <v>#DIV/0!</v>
      </c>
      <c r="CM5" s="169" t="e">
        <f>FINANCIALS!CM12/FINANCIALS!CM4</f>
        <v>#DIV/0!</v>
      </c>
      <c r="CN5" s="169" t="e">
        <f>FINANCIALS!CN12/FINANCIALS!CN4</f>
        <v>#DIV/0!</v>
      </c>
      <c r="CO5" s="169" t="e">
        <f>FINANCIALS!CO12/FINANCIALS!CO4</f>
        <v>#DIV/0!</v>
      </c>
      <c r="CP5" s="169" t="e">
        <f>FINANCIALS!CP12/FINANCIALS!CP4</f>
        <v>#DIV/0!</v>
      </c>
      <c r="CQ5" s="169" t="e">
        <f>FINANCIALS!CQ12/FINANCIALS!CQ4</f>
        <v>#DIV/0!</v>
      </c>
    </row>
    <row r="6" spans="1:95">
      <c r="A6" s="397"/>
      <c r="B6" s="161" t="s">
        <v>276</v>
      </c>
      <c r="C6" s="162" t="s">
        <v>277</v>
      </c>
      <c r="D6" s="170">
        <f>FINANCIALS!D12/FINANCIALS!D5</f>
        <v>-4.5930603497554373E-2</v>
      </c>
      <c r="E6" s="170">
        <f>FINANCIALS!E12/FINANCIALS!E5</f>
        <v>9.3162904007194722E-2</v>
      </c>
      <c r="F6" s="170">
        <f>FINANCIALS!F12/FINANCIALS!F5</f>
        <v>0.19589648105102064</v>
      </c>
      <c r="G6" s="170">
        <f>FINANCIALS!G12/FINANCIALS!G5</f>
        <v>0.12535676003136517</v>
      </c>
      <c r="H6" s="170">
        <f>FINANCIALS!H12/FINANCIALS!H5</f>
        <v>0.12610877700247014</v>
      </c>
      <c r="I6" s="170">
        <f>FINANCIALS!I12/FINANCIALS!I5</f>
        <v>0.12365377433157665</v>
      </c>
      <c r="J6" s="170">
        <f>FINANCIALS!J12/FINANCIALS!J5</f>
        <v>0.17959283472246815</v>
      </c>
      <c r="K6" s="170">
        <f>FINANCIALS!K12/FINANCIALS!K5</f>
        <v>0.13014001954507401</v>
      </c>
      <c r="L6" s="170">
        <f>FINANCIALS!L12/FINANCIALS!L5</f>
        <v>0.20312473236419706</v>
      </c>
      <c r="M6" s="170">
        <f>FINANCIALS!M12/FINANCIALS!M5</f>
        <v>0.20244889451324749</v>
      </c>
      <c r="N6" s="170">
        <f>FINANCIALS!N12/FINANCIALS!N5</f>
        <v>0.20269908470351267</v>
      </c>
      <c r="O6" s="170">
        <f>FINANCIALS!O12/FINANCIALS!O5</f>
        <v>0.21246438302384102</v>
      </c>
      <c r="P6" s="170">
        <f>FINANCIALS!P12/FINANCIALS!P5</f>
        <v>0.20901820194362294</v>
      </c>
      <c r="Q6" s="170">
        <f>FINANCIALS!Q12/FINANCIALS!Q5</f>
        <v>0.21707041590791515</v>
      </c>
      <c r="R6" s="170">
        <f>FINANCIALS!R12/FINANCIALS!R5</f>
        <v>0.21067539228661061</v>
      </c>
      <c r="S6" s="170">
        <f>FINANCIALS!S12/FINANCIALS!S5</f>
        <v>0.18927263617584628</v>
      </c>
      <c r="T6" s="170">
        <f>FINANCIALS!T12/FINANCIALS!T5</f>
        <v>0.20143900772688561</v>
      </c>
      <c r="U6" s="170">
        <f>FINANCIALS!U12/FINANCIALS!U5</f>
        <v>0.2238605690016939</v>
      </c>
      <c r="V6" s="170">
        <f>FINANCIALS!V12/FINANCIALS!V5</f>
        <v>0.22324852841419762</v>
      </c>
      <c r="W6" s="170">
        <f>FINANCIALS!W12/FINANCIALS!W5</f>
        <v>0.20199794429692</v>
      </c>
      <c r="X6" s="170">
        <f>FINANCIALS!X12/FINANCIALS!X5</f>
        <v>0.31107448538721366</v>
      </c>
      <c r="Y6" s="170">
        <f>FINANCIALS!Y12/FINANCIALS!Y5</f>
        <v>0.30196435127228333</v>
      </c>
      <c r="Z6" s="170">
        <f>FINANCIALS!Z12/FINANCIALS!Z5</f>
        <v>0.30977624846535606</v>
      </c>
      <c r="AA6" s="170">
        <f>FINANCIALS!AA12/FINANCIALS!AA5</f>
        <v>0.31791165786013381</v>
      </c>
      <c r="AB6" s="170">
        <f>FINANCIALS!AB12/FINANCIALS!AB5</f>
        <v>0.32372505020008974</v>
      </c>
      <c r="AC6" s="170">
        <f>FINANCIALS!AC12/FINANCIALS!AC5</f>
        <v>0.31604852775852305</v>
      </c>
      <c r="AD6" s="170">
        <f>FINANCIALS!AD12/FINANCIALS!AD5</f>
        <v>0.31276707385470753</v>
      </c>
      <c r="AE6" s="170">
        <f>FINANCIALS!AE12/FINANCIALS!AE5</f>
        <v>0.3047940167337766</v>
      </c>
      <c r="AF6" s="170">
        <f>FINANCIALS!AF12/FINANCIALS!AF5</f>
        <v>0.30739429550509811</v>
      </c>
      <c r="AG6" s="170">
        <f>FINANCIALS!AG12/FINANCIALS!AG5</f>
        <v>0.30364931110328308</v>
      </c>
      <c r="AH6" s="170">
        <f>FINANCIALS!AH12/FINANCIALS!AH5</f>
        <v>0.30319849238633584</v>
      </c>
      <c r="AI6" s="170">
        <f>FINANCIALS!AI12/FINANCIALS!AI5</f>
        <v>0.294979099924221</v>
      </c>
      <c r="AJ6" s="170">
        <f>FINANCIALS!AJ12/FINANCIALS!AJ5</f>
        <v>0.29376725759980982</v>
      </c>
      <c r="AK6" s="170">
        <f>FINANCIALS!AK12/FINANCIALS!AK5</f>
        <v>0.29554369642578127</v>
      </c>
      <c r="AL6" s="170">
        <f>FINANCIALS!AL12/FINANCIALS!AL5</f>
        <v>0.2946687638131274</v>
      </c>
      <c r="AM6" s="170">
        <f>FINANCIALS!AM12/FINANCIALS!AM5</f>
        <v>0.29764951122154287</v>
      </c>
      <c r="AN6" s="170">
        <f>FINANCIALS!AN12/FINANCIALS!AN5</f>
        <v>0.29929447027890416</v>
      </c>
      <c r="AO6" s="170">
        <f>FINANCIALS!AO12/FINANCIALS!AO5</f>
        <v>0.29640644509675984</v>
      </c>
      <c r="AP6" s="170">
        <f>FINANCIALS!AP12/FINANCIALS!AP5</f>
        <v>0.2562984404336795</v>
      </c>
      <c r="AQ6" s="170">
        <f>FINANCIALS!AQ12/FINANCIALS!AQ5</f>
        <v>0.2593589377873195</v>
      </c>
      <c r="AR6" s="170">
        <f>FINANCIALS!AR12/FINANCIALS!AR5</f>
        <v>0.21904545674592144</v>
      </c>
      <c r="AS6" s="170">
        <f>FINANCIALS!AS12/FINANCIALS!AS5</f>
        <v>0.25775080291373109</v>
      </c>
      <c r="AT6" s="170">
        <f>FINANCIALS!AT12/FINANCIALS!AT5</f>
        <v>0.25369173263854911</v>
      </c>
      <c r="AU6" s="170">
        <f>FINANCIALS!AU12/FINANCIALS!AU5</f>
        <v>0.25821913805757424</v>
      </c>
      <c r="AV6" s="170">
        <f>FINANCIALS!AV12/FINANCIALS!AV5</f>
        <v>0.26245834928493667</v>
      </c>
      <c r="AW6" s="170">
        <f>FINANCIALS!AW12/FINANCIALS!AW5</f>
        <v>0.26971894974336919</v>
      </c>
      <c r="AX6" s="170">
        <f>FINANCIALS!AX12/FINANCIALS!AX5</f>
        <v>0.25158711893445979</v>
      </c>
      <c r="AY6" s="170">
        <f>FINANCIALS!AY12/FINANCIALS!AY5</f>
        <v>0.25467237322460101</v>
      </c>
      <c r="AZ6" s="170">
        <f>FINANCIALS!AZ12/FINANCIALS!AZ5</f>
        <v>0.25243303357604402</v>
      </c>
      <c r="BA6" s="170">
        <f>FINANCIALS!BA12/FINANCIALS!BA5</f>
        <v>0.26905426026620965</v>
      </c>
      <c r="BB6" s="170">
        <f>FINANCIALS!BB12/FINANCIALS!BB5</f>
        <v>0.26905426026620965</v>
      </c>
      <c r="BC6" s="170">
        <f>FINANCIALS!BC12/FINANCIALS!BC5</f>
        <v>0.27439495407682457</v>
      </c>
      <c r="BD6" s="171">
        <f>FINANCIALS!BD12/FINANCIALS!BD5</f>
        <v>0.25754999882563157</v>
      </c>
      <c r="BE6" s="171">
        <f>FINANCIALS!BE12/FINANCIALS!BE5</f>
        <v>0.24875772780766539</v>
      </c>
      <c r="BF6" s="171">
        <f>FINANCIALS!BF12/FINANCIALS!BF5</f>
        <v>0.27383086998593364</v>
      </c>
      <c r="BG6" s="171">
        <f>FINANCIALS!BG12/FINANCIALS!BG5</f>
        <v>0.29872186447099974</v>
      </c>
      <c r="BH6" s="171">
        <f>FINANCIALS!BH12/FINANCIALS!BH5</f>
        <v>0.27685887879509008</v>
      </c>
      <c r="BI6" s="171">
        <f>FINANCIALS!BI12/FINANCIALS!BI5</f>
        <v>0.27443305975726867</v>
      </c>
      <c r="BJ6" s="171">
        <f>FINANCIALS!BJ12/FINANCIALS!BJ5</f>
        <v>0.27086696909257718</v>
      </c>
      <c r="BK6" s="171">
        <f>FINANCIALS!BK12/FINANCIALS!BK5</f>
        <v>0.2703963987317648</v>
      </c>
      <c r="BL6" s="171">
        <f>FINANCIALS!BL12/FINANCIALS!BL5</f>
        <v>0.26498527332213134</v>
      </c>
      <c r="BM6" s="171">
        <f>FINANCIALS!BM12/FINANCIALS!BM5</f>
        <v>0.26720528244139141</v>
      </c>
      <c r="BN6" s="171">
        <f>FINANCIALS!BN12/FINANCIALS!BN5</f>
        <v>0.28015887336096629</v>
      </c>
      <c r="BO6" s="171">
        <f>FINANCIALS!BO12/FINANCIALS!BO5</f>
        <v>0.27105845437156978</v>
      </c>
      <c r="BP6" s="171">
        <f>FINANCIALS!BP12/FINANCIALS!BP5</f>
        <v>0.2718710354204199</v>
      </c>
      <c r="BQ6" s="171">
        <f>FINANCIALS!BQ12/FINANCIALS!BQ5</f>
        <v>0.26699304554602232</v>
      </c>
      <c r="BR6" s="171">
        <f>FINANCIALS!BR12/FINANCIALS!BR5</f>
        <v>0.23780309630398072</v>
      </c>
      <c r="BS6" s="171">
        <f>FINANCIALS!BS12/FINANCIALS!BS5</f>
        <v>0.26224978955328543</v>
      </c>
      <c r="BT6" s="171">
        <f>FINANCIALS!BT12/FINANCIALS!BT5</f>
        <v>0.2674375973269611</v>
      </c>
      <c r="BU6" s="171">
        <f>FINANCIALS!BU12/FINANCIALS!BU5</f>
        <v>0.27480469710665023</v>
      </c>
      <c r="BV6" s="171">
        <f>FINANCIALS!BV12/FINANCIALS!BV5</f>
        <v>0.25864722835634762</v>
      </c>
      <c r="BW6" s="171">
        <f>FINANCIALS!BW12/FINANCIALS!BW5</f>
        <v>0.25797568884066402</v>
      </c>
      <c r="BX6" s="171">
        <f>FINANCIALS!BX12/FINANCIALS!BX5</f>
        <v>0.25258920917301408</v>
      </c>
      <c r="BY6" s="171" t="e">
        <f>FINANCIALS!BY12/FINANCIALS!BY5</f>
        <v>#DIV/0!</v>
      </c>
      <c r="BZ6" s="171">
        <f>FINANCIALS!BZ12/FINANCIALS!BZ5</f>
        <v>0.2695303130900521</v>
      </c>
      <c r="CA6" s="171">
        <f>FINANCIALS!CA12/FINANCIALS!CA5</f>
        <v>0.26911581965117587</v>
      </c>
      <c r="CB6" s="171">
        <f>FINANCIALS!CB12/FINANCIALS!CB5</f>
        <v>0.27437563871419995</v>
      </c>
      <c r="CC6" s="171">
        <f>FINANCIALS!CC12/FINANCIALS!CC5</f>
        <v>0.28132860627874345</v>
      </c>
      <c r="CD6" s="171">
        <f>FINANCIALS!CD12/FINANCIALS!CD5</f>
        <v>0.25325460332386845</v>
      </c>
      <c r="CE6" s="171">
        <f>FINANCIALS!CE12/FINANCIALS!CE5</f>
        <v>0.22821233315982584</v>
      </c>
      <c r="CF6" s="171">
        <f>FINANCIALS!CF12/FINANCIALS!CF5</f>
        <v>0.26121041069968809</v>
      </c>
      <c r="CG6" s="171" t="e">
        <f>FINANCIALS!CG12/FINANCIALS!CG5</f>
        <v>#DIV/0!</v>
      </c>
      <c r="CH6" s="171" t="e">
        <f>FINANCIALS!CH12/FINANCIALS!CH5</f>
        <v>#DIV/0!</v>
      </c>
      <c r="CI6" s="171" t="e">
        <f>FINANCIALS!CI12/FINANCIALS!CI5</f>
        <v>#DIV/0!</v>
      </c>
      <c r="CJ6" s="171" t="e">
        <f>FINANCIALS!CJ12/FINANCIALS!CJ5</f>
        <v>#DIV/0!</v>
      </c>
      <c r="CK6" s="171" t="e">
        <f>FINANCIALS!CK12/FINANCIALS!CK5</f>
        <v>#DIV/0!</v>
      </c>
      <c r="CL6" s="171" t="e">
        <f>FINANCIALS!CL12/FINANCIALS!CL5</f>
        <v>#DIV/0!</v>
      </c>
      <c r="CM6" s="171" t="e">
        <f>FINANCIALS!CM12/FINANCIALS!CM5</f>
        <v>#DIV/0!</v>
      </c>
      <c r="CN6" s="171" t="e">
        <f>FINANCIALS!CN12/FINANCIALS!CN5</f>
        <v>#DIV/0!</v>
      </c>
      <c r="CO6" s="171" t="e">
        <f>FINANCIALS!CO12/FINANCIALS!CO5</f>
        <v>#DIV/0!</v>
      </c>
      <c r="CP6" s="171" t="e">
        <f>FINANCIALS!CP12/FINANCIALS!CP5</f>
        <v>#DIV/0!</v>
      </c>
      <c r="CQ6" s="171" t="e">
        <f>FINANCIALS!CQ12/FINANCIALS!CQ5</f>
        <v>#DIV/0!</v>
      </c>
    </row>
    <row r="7" spans="1:95">
      <c r="A7" s="397"/>
      <c r="B7" s="161" t="s">
        <v>278</v>
      </c>
      <c r="C7" s="162" t="s">
        <v>277</v>
      </c>
      <c r="D7" s="170">
        <f>(FINANCIALS!D12-FINANCIALS!D16)/FINANCIALS!D4</f>
        <v>-4.845451351162585E-2</v>
      </c>
      <c r="E7" s="170">
        <f>(FINANCIALS!E12-FINANCIALS!E16)/FINANCIALS!E4</f>
        <v>1.3651372729300493E-2</v>
      </c>
      <c r="F7" s="170">
        <f>(FINANCIALS!F12-FINANCIALS!F16)/FINANCIALS!F4</f>
        <v>8.8211032672023043E-2</v>
      </c>
      <c r="G7" s="170">
        <f>(FINANCIALS!G12-FINANCIALS!G16)/FINANCIALS!G4</f>
        <v>4.5358568076429941E-2</v>
      </c>
      <c r="H7" s="170">
        <f>(FINANCIALS!H12-FINANCIALS!H16)/FINANCIALS!H4</f>
        <v>3.8858846919810418E-2</v>
      </c>
      <c r="I7" s="170">
        <f>(FINANCIALS!I12-FINANCIALS!I16)/FINANCIALS!I4</f>
        <v>3.7959269369830823E-2</v>
      </c>
      <c r="J7" s="170">
        <f>(FINANCIALS!J12-FINANCIALS!J16)/FINANCIALS!J4</f>
        <v>8.2069986029654041E-2</v>
      </c>
      <c r="K7" s="170">
        <f>(FINANCIALS!K12-FINANCIALS!K16)/FINANCIALS!K4</f>
        <v>7.7246265621155483E-2</v>
      </c>
      <c r="L7" s="170">
        <f>(FINANCIALS!L12-FINANCIALS!L16)/FINANCIALS!L4</f>
        <v>9.8175357567351865E-2</v>
      </c>
      <c r="M7" s="170">
        <f>(FINANCIALS!M12-FINANCIALS!M16)/FINANCIALS!M4</f>
        <v>9.8917366865341402E-2</v>
      </c>
      <c r="N7" s="170">
        <f>(FINANCIALS!N12-FINANCIALS!N16)/FINANCIALS!N4</f>
        <v>9.9151184822105581E-2</v>
      </c>
      <c r="O7" s="170">
        <f>(FINANCIALS!O12-FINANCIALS!O16)/FINANCIALS!O4</f>
        <v>0.16551024908108317</v>
      </c>
      <c r="P7" s="170">
        <f>(FINANCIALS!P12-FINANCIALS!P16)/FINANCIALS!P4</f>
        <v>9.5440136014322358E-2</v>
      </c>
      <c r="Q7" s="170">
        <f>(FINANCIALS!Q12-FINANCIALS!Q16)/FINANCIALS!Q4</f>
        <v>0.1015622749815653</v>
      </c>
      <c r="R7" s="170">
        <f>(FINANCIALS!R12-FINANCIALS!R16)/FINANCIALS!R4</f>
        <v>0.1009874039635297</v>
      </c>
      <c r="S7" s="170">
        <f>(FINANCIALS!S12-FINANCIALS!S16)/FINANCIALS!S4</f>
        <v>8.1891763753273852E-2</v>
      </c>
      <c r="T7" s="170">
        <f>(FINANCIALS!T12-FINANCIALS!T16)/FINANCIALS!T4</f>
        <v>9.4429314623281316E-2</v>
      </c>
      <c r="U7" s="170">
        <f>(FINANCIALS!U12-FINANCIALS!U16)/FINANCIALS!U4</f>
        <v>0.10945740847557937</v>
      </c>
      <c r="V7" s="170">
        <f>(FINANCIALS!V12-FINANCIALS!V16)/FINANCIALS!V4</f>
        <v>0.10975153883222787</v>
      </c>
      <c r="W7" s="170">
        <f>(FINANCIALS!W12-FINANCIALS!W16)/FINANCIALS!W4</f>
        <v>9.8110592083841555E-2</v>
      </c>
      <c r="X7" s="170">
        <f>(FINANCIALS!X12-FINANCIALS!X16)/FINANCIALS!X4</f>
        <v>9.9401242680362836E-2</v>
      </c>
      <c r="Y7" s="170">
        <f>(FINANCIALS!Y12-FINANCIALS!Y16)/FINANCIALS!Y4</f>
        <v>9.919012783429268E-2</v>
      </c>
      <c r="Z7" s="170">
        <f>(FINANCIALS!Z12-FINANCIALS!Z16)/FINANCIALS!Z4</f>
        <v>0.10249832452729286</v>
      </c>
      <c r="AA7" s="170">
        <f>(FINANCIALS!AA12-FINANCIALS!AA16)/FINANCIALS!AA4</f>
        <v>0.1081618885602256</v>
      </c>
      <c r="AB7" s="170">
        <f>(FINANCIALS!AB12-FINANCIALS!AB16)/FINANCIALS!AB4</f>
        <v>0.11225126632555389</v>
      </c>
      <c r="AC7" s="170">
        <f>(FINANCIALS!AC12-FINANCIALS!AC16)/FINANCIALS!AC4</f>
        <v>0.10991663065703161</v>
      </c>
      <c r="AD7" s="170">
        <f>(FINANCIALS!AD12-FINANCIALS!AD16)/FINANCIALS!AD4</f>
        <v>0.10892366512929609</v>
      </c>
      <c r="AE7" s="170">
        <f>(FINANCIALS!AE12-FINANCIALS!AE16)/FINANCIALS!AE4</f>
        <v>0.10635470553589714</v>
      </c>
      <c r="AF7" s="170">
        <f>(FINANCIALS!AF12-FINANCIALS!AF16)/FINANCIALS!AF4</f>
        <v>0.10607139683321991</v>
      </c>
      <c r="AG7" s="170">
        <f>(FINANCIALS!AG12-FINANCIALS!AG16)/FINANCIALS!AG4</f>
        <v>0.10562181372316992</v>
      </c>
      <c r="AH7" s="170">
        <f>(FINANCIALS!AH12-FINANCIALS!AH16)/FINANCIALS!AH4</f>
        <v>0.10589497780786637</v>
      </c>
      <c r="AI7" s="170">
        <f>(FINANCIALS!AI12-FINANCIALS!AI16)/FINANCIALS!AI4</f>
        <v>0.10192368296247709</v>
      </c>
      <c r="AJ7" s="170">
        <f>(FINANCIALS!AJ12-FINANCIALS!AJ16)/FINANCIALS!AJ4</f>
        <v>9.7976554555825879E-2</v>
      </c>
      <c r="AK7" s="170">
        <f>(FINANCIALS!AK12-FINANCIALS!AK16)/FINANCIALS!AK4</f>
        <v>0.10035249955586291</v>
      </c>
      <c r="AL7" s="170">
        <f>(FINANCIALS!AL12-FINANCIALS!AL16)/FINANCIALS!AL4</f>
        <v>9.9661619168338753E-2</v>
      </c>
      <c r="AM7" s="170">
        <f>(FINANCIALS!AM12-FINANCIALS!AM16)/FINANCIALS!AM4</f>
        <v>0.10188464498133927</v>
      </c>
      <c r="AN7" s="170">
        <f>(FINANCIALS!AN12-FINANCIALS!AN16)/FINANCIALS!AN4</f>
        <v>0.10278251187520322</v>
      </c>
      <c r="AO7" s="170">
        <f>(FINANCIALS!AO12-FINANCIALS!AO16)/FINANCIALS!AO4</f>
        <v>0.10439141293272428</v>
      </c>
      <c r="AP7" s="170">
        <f>(FINANCIALS!AP12-FINANCIALS!AP16)/FINANCIALS!AP4</f>
        <v>7.9643123772724297E-2</v>
      </c>
      <c r="AQ7" s="170">
        <f>(FINANCIALS!AQ12-FINANCIALS!AQ16)/FINANCIALS!AQ4</f>
        <v>8.3612771986092099E-2</v>
      </c>
      <c r="AR7" s="170">
        <f>(FINANCIALS!AR12-FINANCIALS!AR16)/FINANCIALS!AR4</f>
        <v>5.4177480848378159E-2</v>
      </c>
      <c r="AS7" s="170">
        <f>(FINANCIALS!AS12-FINANCIALS!AS16)/FINANCIALS!AS4</f>
        <v>8.1555198788209118E-2</v>
      </c>
      <c r="AT7" s="170">
        <f>(FINANCIALS!AT12-FINANCIALS!AT16)/FINANCIALS!AT4</f>
        <v>8.0587207729620983E-2</v>
      </c>
      <c r="AU7" s="170">
        <f>(FINANCIALS!AU12-FINANCIALS!AU16)/FINANCIALS!AU4</f>
        <v>8.504130093547696E-2</v>
      </c>
      <c r="AV7" s="170">
        <f>(FINANCIALS!AV12-FINANCIALS!AV16)/FINANCIALS!AV4</f>
        <v>8.8908068320523836E-2</v>
      </c>
      <c r="AW7" s="170">
        <f>(FINANCIALS!AW12-FINANCIALS!AW16)/FINANCIALS!AW4</f>
        <v>9.5183009414943828E-2</v>
      </c>
      <c r="AX7" s="170">
        <f>(FINANCIALS!AX12-FINANCIALS!AX16)/FINANCIALS!AX4</f>
        <v>0.11948086968068651</v>
      </c>
      <c r="AY7" s="170">
        <f>(FINANCIALS!AY12-FINANCIALS!AY16)/FINANCIALS!AY4</f>
        <v>8.5364301228777806E-2</v>
      </c>
      <c r="AZ7" s="170">
        <f>(FINANCIALS!AZ12-FINANCIALS!AZ16)/FINANCIALS!AZ4</f>
        <v>8.5322910228400078E-2</v>
      </c>
      <c r="BA7" s="170">
        <f>(FINANCIALS!BA12-FINANCIALS!BA16)/FINANCIALS!BA4</f>
        <v>8.7323204132888563E-2</v>
      </c>
      <c r="BB7" s="170">
        <f>(FINANCIALS!BB12-FINANCIALS!BB16)/FINANCIALS!BB4</f>
        <v>8.7323204132697257E-2</v>
      </c>
      <c r="BC7" s="170">
        <f>(FINANCIALS!BC12-FINANCIALS!BC16)/FINANCIALS!BC4</f>
        <v>9.1434119370485081E-2</v>
      </c>
      <c r="BD7" s="171">
        <f>(FINANCIALS!BD12-FINANCIALS!BD16)/FINANCIALS!BD4</f>
        <v>7.783670872249876E-2</v>
      </c>
      <c r="BE7" s="171">
        <f>(FINANCIALS!BE12-FINANCIALS!BE16)/FINANCIALS!BE4</f>
        <v>6.9177462241836019E-2</v>
      </c>
      <c r="BF7" s="171">
        <f>(FINANCIALS!BF12-FINANCIALS!BF16)/FINANCIALS!BF4</f>
        <v>8.534449864798356E-2</v>
      </c>
      <c r="BG7" s="171">
        <f>(FINANCIALS!BG12-FINANCIALS!BG16)/FINANCIALS!BG4</f>
        <v>9.982178269634856E-2</v>
      </c>
      <c r="BH7" s="171">
        <f>(FINANCIALS!BH12-FINANCIALS!BH16)/FINANCIALS!BH4</f>
        <v>8.8819436233959867E-2</v>
      </c>
      <c r="BI7" s="171">
        <f>(FINANCIALS!BI12-FINANCIALS!BI16)/FINANCIALS!BI4</f>
        <v>8.7772038156517462E-2</v>
      </c>
      <c r="BJ7" s="171">
        <f>(FINANCIALS!BJ12-FINANCIALS!BJ16)/FINANCIALS!BJ4</f>
        <v>8.7258684057295505E-2</v>
      </c>
      <c r="BK7" s="171">
        <f>(FINANCIALS!BK12-FINANCIALS!BK16)/FINANCIALS!BK4</f>
        <v>8.7569924293772902E-2</v>
      </c>
      <c r="BL7" s="171">
        <f>(FINANCIALS!BL12-FINANCIALS!BL16)/FINANCIALS!BL4</f>
        <v>8.5138737205893128E-2</v>
      </c>
      <c r="BM7" s="171">
        <f>(FINANCIALS!BM12-FINANCIALS!BM16)/FINANCIALS!BM4</f>
        <v>8.8260077015577504E-2</v>
      </c>
      <c r="BN7" s="171">
        <f>(FINANCIALS!BN12-FINANCIALS!BN16)/FINANCIALS!BN4</f>
        <v>9.7153705012941002E-2</v>
      </c>
      <c r="BO7" s="171">
        <f>(FINANCIALS!BO12-FINANCIALS!BO16)/FINANCIALS!BO4</f>
        <v>9.4176928042662117E-2</v>
      </c>
      <c r="BP7" s="171">
        <f>(FINANCIALS!BP12-FINANCIALS!BP16)/FINANCIALS!BP4</f>
        <v>9.5480918798686185E-2</v>
      </c>
      <c r="BQ7" s="171">
        <f>(FINANCIALS!BQ12-FINANCIALS!BQ16)/FINANCIALS!BQ4</f>
        <v>8.8458537555133582E-2</v>
      </c>
      <c r="BR7" s="171">
        <f>(FINANCIALS!BR12-FINANCIALS!BR16)/FINANCIALS!BR4</f>
        <v>6.9551803054061917E-2</v>
      </c>
      <c r="BS7" s="171">
        <f>(FINANCIALS!BS12-FINANCIALS!BS16)/FINANCIALS!BS4</f>
        <v>8.8104302994835515E-2</v>
      </c>
      <c r="BT7" s="171">
        <f>(FINANCIALS!BT12-FINANCIALS!BT16)/FINANCIALS!BT4</f>
        <v>8.9960088856264664E-2</v>
      </c>
      <c r="BU7" s="171">
        <f>(FINANCIALS!BU12-FINANCIALS!BU16)/FINANCIALS!BU4</f>
        <v>9.6875059869070967E-2</v>
      </c>
      <c r="BV7" s="171">
        <f>(FINANCIALS!BV12-FINANCIALS!BV16)/FINANCIALS!BV4</f>
        <v>9.0900836980275901E-2</v>
      </c>
      <c r="BW7" s="171">
        <f>(FINANCIALS!BW12-FINANCIALS!BW16)/FINANCIALS!BW4</f>
        <v>8.8400519014116261E-2</v>
      </c>
      <c r="BX7" s="171">
        <f>(FINANCIALS!BX12-FINANCIALS!BX16)/FINANCIALS!BX4</f>
        <v>8.4763731988939078E-2</v>
      </c>
      <c r="BY7" s="171" t="e">
        <f>(FINANCIALS!BY12-FINANCIALS!BY16)/FINANCIALS!BY4</f>
        <v>#DIV/0!</v>
      </c>
      <c r="BZ7" s="171">
        <f>(FINANCIALS!BZ12-FINANCIALS!BZ16)/FINANCIALS!BZ4</f>
        <v>9.7715131255333959E-2</v>
      </c>
      <c r="CA7" s="171">
        <f>(FINANCIALS!CA12-FINANCIALS!CA16)/FINANCIALS!CA4</f>
        <v>9.7243647955197812E-2</v>
      </c>
      <c r="CB7" s="171">
        <f>(FINANCIALS!CB12-FINANCIALS!CB16)/FINANCIALS!CB4</f>
        <v>0.10175352834689259</v>
      </c>
      <c r="CC7" s="171">
        <f>(FINANCIALS!CC12-FINANCIALS!CC16)/FINANCIALS!CC4</f>
        <v>0.10791054320261967</v>
      </c>
      <c r="CD7" s="171">
        <f>(FINANCIALS!CD12-FINANCIALS!CD16)/FINANCIALS!CD4</f>
        <v>9.0882209796304889E-2</v>
      </c>
      <c r="CE7" s="171">
        <f>(FINANCIALS!CE12-FINANCIALS!CE16)/FINANCIALS!CE4</f>
        <v>7.1297220817403195E-2</v>
      </c>
      <c r="CF7" s="171">
        <f>(FINANCIALS!CF12-FINANCIALS!CF16)/FINANCIALS!CF4</f>
        <v>9.4982983300811813E-2</v>
      </c>
      <c r="CG7" s="171" t="e">
        <f>(FINANCIALS!CG12-FINANCIALS!CG16)/FINANCIALS!CG4</f>
        <v>#DIV/0!</v>
      </c>
      <c r="CH7" s="171" t="e">
        <f>(FINANCIALS!CH12-FINANCIALS!CH16)/FINANCIALS!CH4</f>
        <v>#DIV/0!</v>
      </c>
      <c r="CI7" s="171" t="e">
        <f>(FINANCIALS!CI12-FINANCIALS!CI16)/FINANCIALS!CI4</f>
        <v>#DIV/0!</v>
      </c>
      <c r="CJ7" s="171" t="e">
        <f>(FINANCIALS!CJ12-FINANCIALS!CJ16)/FINANCIALS!CJ4</f>
        <v>#DIV/0!</v>
      </c>
      <c r="CK7" s="171" t="e">
        <f>(FINANCIALS!CK12-FINANCIALS!CK16)/FINANCIALS!CK4</f>
        <v>#DIV/0!</v>
      </c>
      <c r="CL7" s="171" t="e">
        <f>(FINANCIALS!CL12-FINANCIALS!CL16)/FINANCIALS!CL4</f>
        <v>#DIV/0!</v>
      </c>
      <c r="CM7" s="171" t="e">
        <f>(FINANCIALS!CM12-FINANCIALS!CM16)/FINANCIALS!CM4</f>
        <v>#DIV/0!</v>
      </c>
      <c r="CN7" s="171" t="e">
        <f>(FINANCIALS!CN12-FINANCIALS!CN16)/FINANCIALS!CN4</f>
        <v>#DIV/0!</v>
      </c>
      <c r="CO7" s="171" t="e">
        <f>(FINANCIALS!CO12-FINANCIALS!CO16)/FINANCIALS!CO4</f>
        <v>#DIV/0!</v>
      </c>
      <c r="CP7" s="171" t="e">
        <f>(FINANCIALS!CP12-FINANCIALS!CP16)/FINANCIALS!CP4</f>
        <v>#DIV/0!</v>
      </c>
      <c r="CQ7" s="171" t="e">
        <f>(FINANCIALS!CQ12-FINANCIALS!CQ16)/FINANCIALS!CQ4</f>
        <v>#DIV/0!</v>
      </c>
    </row>
    <row r="8" spans="1:95">
      <c r="A8" s="166"/>
      <c r="B8" s="161"/>
      <c r="C8" s="16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173"/>
      <c r="BP8" s="173"/>
      <c r="BQ8" s="173"/>
      <c r="BR8" s="173"/>
      <c r="BS8" s="173"/>
      <c r="BT8" s="173"/>
      <c r="BU8" s="173"/>
      <c r="BV8" s="173"/>
      <c r="BW8" s="173"/>
      <c r="BX8" s="173"/>
      <c r="BY8" s="173"/>
      <c r="BZ8" s="173"/>
      <c r="CA8" s="173"/>
      <c r="CB8" s="173"/>
      <c r="CC8" s="173"/>
      <c r="CD8" s="173"/>
      <c r="CE8" s="173"/>
      <c r="CF8" s="173"/>
      <c r="CG8" s="173"/>
    </row>
    <row r="9" spans="1:95">
      <c r="A9" s="397" t="s">
        <v>279</v>
      </c>
      <c r="B9" s="161" t="s">
        <v>280</v>
      </c>
      <c r="C9" s="16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73"/>
      <c r="BE9" s="173"/>
      <c r="BF9" s="173"/>
      <c r="BG9" s="173"/>
      <c r="BH9" s="173"/>
      <c r="BI9" s="173"/>
      <c r="BJ9" s="173"/>
      <c r="BK9" s="173"/>
      <c r="BL9" s="173"/>
      <c r="BM9" s="173"/>
      <c r="BN9" s="173"/>
      <c r="BO9" s="173"/>
      <c r="BP9" s="173"/>
      <c r="BQ9" s="173"/>
      <c r="BR9" s="173"/>
      <c r="BS9" s="173"/>
      <c r="BT9" s="173"/>
      <c r="BU9" s="173"/>
      <c r="BV9" s="173"/>
      <c r="BW9" s="173"/>
      <c r="BX9" s="173"/>
      <c r="BY9" s="173"/>
      <c r="BZ9" s="173"/>
      <c r="CA9" s="173"/>
      <c r="CB9" s="173"/>
      <c r="CC9" s="173"/>
      <c r="CD9" s="173"/>
      <c r="CE9" s="173"/>
      <c r="CF9" s="173"/>
      <c r="CG9" s="173"/>
    </row>
    <row r="10" spans="1:95">
      <c r="A10" s="397"/>
      <c r="B10" s="161" t="s">
        <v>281</v>
      </c>
      <c r="C10" s="162"/>
      <c r="D10" s="172"/>
      <c r="E10" s="172"/>
      <c r="F10" s="174"/>
      <c r="G10" s="174"/>
      <c r="H10" s="174"/>
      <c r="I10" s="174" t="e">
        <f>'FORM 4'!#REF!</f>
        <v>#REF!</v>
      </c>
      <c r="J10" s="174" t="e">
        <f>'FORM 4'!#REF!</f>
        <v>#REF!</v>
      </c>
      <c r="K10" s="174" t="e">
        <f>'FORM 4'!#REF!</f>
        <v>#REF!</v>
      </c>
      <c r="L10" s="174" t="e">
        <f>'FORM 4'!#REF!</f>
        <v>#REF!</v>
      </c>
      <c r="M10" s="174" t="e">
        <f>'FORM 4'!#REF!</f>
        <v>#REF!</v>
      </c>
      <c r="N10" s="174" t="e">
        <f>'FORM 4'!#REF!</f>
        <v>#REF!</v>
      </c>
      <c r="O10" s="174" t="e">
        <f>'FORM 4'!#REF!</f>
        <v>#REF!</v>
      </c>
      <c r="P10" s="174" t="e">
        <f>'FORM 4'!#REF!</f>
        <v>#REF!</v>
      </c>
      <c r="Q10" s="174" t="e">
        <f>'FORM 4'!#REF!</f>
        <v>#REF!</v>
      </c>
      <c r="R10" s="174" t="e">
        <f>'FORM 4'!#REF!</f>
        <v>#REF!</v>
      </c>
      <c r="S10" s="174">
        <f>(21463086+1782189+608263)/258801812</f>
        <v>9.2169130562347074E-2</v>
      </c>
      <c r="T10" s="174">
        <f t="shared" ref="T10:AR10" si="0">(21463086+1782189+608263)/258801812</f>
        <v>9.2169130562347074E-2</v>
      </c>
      <c r="U10" s="174">
        <f t="shared" si="0"/>
        <v>9.2169130562347074E-2</v>
      </c>
      <c r="V10" s="174">
        <f t="shared" si="0"/>
        <v>9.2169130562347074E-2</v>
      </c>
      <c r="W10" s="174">
        <f t="shared" si="0"/>
        <v>9.2169130562347074E-2</v>
      </c>
      <c r="X10" s="174">
        <f t="shared" si="0"/>
        <v>9.2169130562347074E-2</v>
      </c>
      <c r="Y10" s="174">
        <f t="shared" si="0"/>
        <v>9.2169130562347074E-2</v>
      </c>
      <c r="Z10" s="174">
        <f t="shared" si="0"/>
        <v>9.2169130562347074E-2</v>
      </c>
      <c r="AA10" s="174">
        <f t="shared" si="0"/>
        <v>9.2169130562347074E-2</v>
      </c>
      <c r="AB10" s="174">
        <f t="shared" si="0"/>
        <v>9.2169130562347074E-2</v>
      </c>
      <c r="AC10" s="174">
        <f t="shared" si="0"/>
        <v>9.2169130562347074E-2</v>
      </c>
      <c r="AD10" s="174">
        <f t="shared" si="0"/>
        <v>9.2169130562347074E-2</v>
      </c>
      <c r="AE10" s="174">
        <f t="shared" si="0"/>
        <v>9.2169130562347074E-2</v>
      </c>
      <c r="AF10" s="174">
        <f t="shared" si="0"/>
        <v>9.2169130562347074E-2</v>
      </c>
      <c r="AG10" s="174">
        <f t="shared" si="0"/>
        <v>9.2169130562347074E-2</v>
      </c>
      <c r="AH10" s="174">
        <f t="shared" si="0"/>
        <v>9.2169130562347074E-2</v>
      </c>
      <c r="AI10" s="174">
        <f t="shared" si="0"/>
        <v>9.2169130562347074E-2</v>
      </c>
      <c r="AJ10" s="174">
        <f t="shared" si="0"/>
        <v>9.2169130562347074E-2</v>
      </c>
      <c r="AK10" s="174">
        <f t="shared" si="0"/>
        <v>9.2169130562347074E-2</v>
      </c>
      <c r="AL10" s="174">
        <f t="shared" si="0"/>
        <v>9.2169130562347074E-2</v>
      </c>
      <c r="AM10" s="174">
        <f t="shared" si="0"/>
        <v>9.2169130562347074E-2</v>
      </c>
      <c r="AN10" s="174">
        <f t="shared" si="0"/>
        <v>9.2169130562347074E-2</v>
      </c>
      <c r="AO10" s="174">
        <f t="shared" si="0"/>
        <v>9.2169130562347074E-2</v>
      </c>
      <c r="AP10" s="174">
        <f t="shared" si="0"/>
        <v>9.2169130562347074E-2</v>
      </c>
      <c r="AQ10" s="174">
        <f>SUM('[2]Portfolio Analysis'!$D$12+'[2]Portfolio Analysis'!$D$13+'[2]Portfolio Analysis'!$D$14)/334089794.1</f>
        <v>6.7171370201398198E-2</v>
      </c>
      <c r="AR10" s="174">
        <f t="shared" si="0"/>
        <v>9.2169130562347074E-2</v>
      </c>
      <c r="AS10" s="174">
        <v>0</v>
      </c>
      <c r="AT10" s="174">
        <v>0</v>
      </c>
      <c r="AU10" s="174">
        <f>SUM('[3]Portfolio Analysis'!$D$12+'[3]Portfolio Analysis'!$D$13+'[3]Portfolio Analysis'!$D$14)/'[3]Portfolio Analysis'!$D$15</f>
        <v>4.1486947720221212E-2</v>
      </c>
      <c r="AV10" s="174">
        <v>0</v>
      </c>
      <c r="AW10" s="174">
        <v>0</v>
      </c>
      <c r="AX10" s="174">
        <f>SUM('[4]Portfolio Analysis'!$D$12+'[4]Portfolio Analysis'!$D$13+'[4]Portfolio Analysis'!$D$14)/'[4]Portfolio Analysis'!$D$15</f>
        <v>3.8179033930298097E-2</v>
      </c>
      <c r="AY10" s="174">
        <v>0</v>
      </c>
      <c r="AZ10" s="174">
        <v>0</v>
      </c>
      <c r="BA10" s="174">
        <f>SUM('[5]Portfolio Analysis'!$D$12+'[5]Portfolio Analysis'!$D$13+'[5]Portfolio Analysis'!$D$14)/311489176.3</f>
        <v>2.6947408509359495E-2</v>
      </c>
      <c r="BB10" s="174">
        <f>SUM('[5]Portfolio Analysis'!$D$12+'[5]Portfolio Analysis'!$D$13+'[5]Portfolio Analysis'!$D$14)/311489176.3</f>
        <v>2.6947408509359495E-2</v>
      </c>
      <c r="BC10" s="174">
        <f>SUM('[5]Portfolio Analysis'!$D$12+'[5]Portfolio Analysis'!$D$13+'[5]Portfolio Analysis'!$D$14)/311489176.3</f>
        <v>2.6947408509359495E-2</v>
      </c>
      <c r="BD10" s="175">
        <f>SUM('[5]Portfolio Analysis'!$D$12+'[5]Portfolio Analysis'!$D$13+'[5]Portfolio Analysis'!$D$14)/311489176.3</f>
        <v>2.6947408509359495E-2</v>
      </c>
      <c r="BE10" s="175">
        <f>SUM('[5]Portfolio Analysis'!$D$12+'[5]Portfolio Analysis'!$D$13+'[5]Portfolio Analysis'!$D$14)/311489176.3</f>
        <v>2.6947408509359495E-2</v>
      </c>
      <c r="BF10" s="175">
        <f>SUM('[5]Portfolio Analysis'!$D$12+'[5]Portfolio Analysis'!$D$13+'[5]Portfolio Analysis'!$D$14)/311489176.3</f>
        <v>2.6947408509359495E-2</v>
      </c>
      <c r="BG10" s="175">
        <f>SUM('[5]Portfolio Analysis'!$D$12+'[5]Portfolio Analysis'!$D$13+'[5]Portfolio Analysis'!$D$14)/311489176.3</f>
        <v>2.6947408509359495E-2</v>
      </c>
      <c r="BH10" s="175">
        <f>SUM('[5]Portfolio Analysis'!$D$12+'[5]Portfolio Analysis'!$D$13+'[5]Portfolio Analysis'!$D$14)/311489176.3</f>
        <v>2.6947408509359495E-2</v>
      </c>
      <c r="BI10" s="175">
        <f>SUM('[5]Portfolio Analysis'!$D$12+'[5]Portfolio Analysis'!$D$13+'[5]Portfolio Analysis'!$D$14)/311489176.3</f>
        <v>2.6947408509359495E-2</v>
      </c>
      <c r="BJ10" s="175">
        <f>SUM('[5]Portfolio Analysis'!$D$12+'[5]Portfolio Analysis'!$D$13+'[5]Portfolio Analysis'!$D$14)/311489176.3</f>
        <v>2.6947408509359495E-2</v>
      </c>
      <c r="BK10" s="175">
        <f>SUM('[5]Portfolio Analysis'!$D$12+'[5]Portfolio Analysis'!$D$13+'[5]Portfolio Analysis'!$D$14)/311489176.3</f>
        <v>2.6947408509359495E-2</v>
      </c>
      <c r="BL10" s="175">
        <f>SUM('[5]Portfolio Analysis'!$D$12+'[5]Portfolio Analysis'!$D$13+'[5]Portfolio Analysis'!$D$14)/311489176.3</f>
        <v>2.6947408509359495E-2</v>
      </c>
      <c r="BM10" s="175">
        <f>SUM('[5]Portfolio Analysis'!$D$12+'[5]Portfolio Analysis'!$D$13+'[5]Portfolio Analysis'!$D$14)/311489176.3</f>
        <v>2.6947408509359495E-2</v>
      </c>
      <c r="BN10" s="175">
        <f>SUM('[5]Portfolio Analysis'!$D$12+'[5]Portfolio Analysis'!$D$13+'[5]Portfolio Analysis'!$D$14)/311489176.3</f>
        <v>2.6947408509359495E-2</v>
      </c>
      <c r="BO10" s="175">
        <f>SUM('[5]Portfolio Analysis'!$D$12+'[5]Portfolio Analysis'!$D$13+'[5]Portfolio Analysis'!$D$14)/311489176.3</f>
        <v>2.6947408509359495E-2</v>
      </c>
      <c r="BP10" s="175">
        <f>SUM('[5]Portfolio Analysis'!$D$12+'[5]Portfolio Analysis'!$D$13+'[5]Portfolio Analysis'!$D$14)/311489176.3</f>
        <v>2.6947408509359495E-2</v>
      </c>
      <c r="BQ10" s="175">
        <f>SUM('[5]Portfolio Analysis'!$D$12+'[5]Portfolio Analysis'!$D$13+'[5]Portfolio Analysis'!$D$14)/311489176.3</f>
        <v>2.6947408509359495E-2</v>
      </c>
      <c r="BR10" s="175">
        <f>SUM('[5]Portfolio Analysis'!$D$12+'[5]Portfolio Analysis'!$D$13+'[5]Portfolio Analysis'!$D$14)/311489176.3</f>
        <v>2.6947408509359495E-2</v>
      </c>
      <c r="BS10" s="175">
        <f>SUM('[5]Portfolio Analysis'!$D$12+'[5]Portfolio Analysis'!$D$13+'[5]Portfolio Analysis'!$D$14)/311489176.3</f>
        <v>2.6947408509359495E-2</v>
      </c>
      <c r="BT10" s="175">
        <f>SUM('[5]Portfolio Analysis'!$D$12+'[5]Portfolio Analysis'!$D$13+'[5]Portfolio Analysis'!$D$14)/311489176.3</f>
        <v>2.6947408509359495E-2</v>
      </c>
      <c r="BU10" s="175">
        <f>SUM('[5]Portfolio Analysis'!$D$12+'[5]Portfolio Analysis'!$D$13+'[5]Portfolio Analysis'!$D$14)/311489176.3</f>
        <v>2.6947408509359495E-2</v>
      </c>
      <c r="BV10" s="175">
        <f>SUM('[5]Portfolio Analysis'!$D$12+'[5]Portfolio Analysis'!$D$13+'[5]Portfolio Analysis'!$D$14)/311489176.3</f>
        <v>2.6947408509359495E-2</v>
      </c>
      <c r="BW10" s="175">
        <f>SUM('[5]Portfolio Analysis'!$D$12+'[5]Portfolio Analysis'!$D$13+'[5]Portfolio Analysis'!$D$14)/311489176.3</f>
        <v>2.6947408509359495E-2</v>
      </c>
      <c r="BX10" s="175">
        <f>SUM('[5]Portfolio Analysis'!$D$12+'[5]Portfolio Analysis'!$D$13+'[5]Portfolio Analysis'!$D$14)/311489176.3</f>
        <v>2.6947408509359495E-2</v>
      </c>
      <c r="BY10" s="175">
        <f>SUM('[5]Portfolio Analysis'!$D$12+'[5]Portfolio Analysis'!$D$13+'[5]Portfolio Analysis'!$D$14)/311489176.3</f>
        <v>2.6947408509359495E-2</v>
      </c>
      <c r="BZ10" s="175">
        <f>SUM('[5]Portfolio Analysis'!$D$12+'[5]Portfolio Analysis'!$D$13+'[5]Portfolio Analysis'!$D$14)/311489176.3</f>
        <v>2.6947408509359495E-2</v>
      </c>
      <c r="CA10" s="175">
        <f>SUM('[5]Portfolio Analysis'!$D$12+'[5]Portfolio Analysis'!$D$13+'[5]Portfolio Analysis'!$D$14)/311489176.3</f>
        <v>2.6947408509359495E-2</v>
      </c>
      <c r="CB10" s="175">
        <f>SUM('[5]Portfolio Analysis'!$D$12+'[5]Portfolio Analysis'!$D$13+'[5]Portfolio Analysis'!$D$14)/311489176.3</f>
        <v>2.6947408509359495E-2</v>
      </c>
      <c r="CC10" s="175">
        <v>24.06</v>
      </c>
      <c r="CD10" s="175">
        <v>25.06</v>
      </c>
      <c r="CE10" s="175">
        <v>26.06</v>
      </c>
      <c r="CF10" s="175">
        <v>27.06</v>
      </c>
      <c r="CG10" s="175">
        <v>28.06</v>
      </c>
    </row>
    <row r="11" spans="1:95">
      <c r="A11" s="166"/>
      <c r="B11" s="161"/>
      <c r="C11" s="16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73"/>
      <c r="BE11" s="173"/>
      <c r="BF11" s="173"/>
      <c r="BG11" s="173"/>
      <c r="BH11" s="173"/>
      <c r="BI11" s="173"/>
      <c r="BJ11" s="173"/>
      <c r="BK11" s="173"/>
      <c r="BL11" s="173"/>
      <c r="BM11" s="173"/>
      <c r="BN11" s="173"/>
      <c r="BO11" s="173"/>
      <c r="BP11" s="173"/>
      <c r="BQ11" s="173"/>
      <c r="BR11" s="173"/>
      <c r="BS11" s="173"/>
      <c r="BT11" s="173"/>
      <c r="BU11" s="173"/>
      <c r="BV11" s="173"/>
      <c r="BW11" s="173"/>
      <c r="BX11" s="173"/>
      <c r="BY11" s="173"/>
      <c r="BZ11" s="173"/>
      <c r="CA11" s="173"/>
      <c r="CB11" s="173"/>
      <c r="CC11" s="173"/>
      <c r="CD11" s="173"/>
      <c r="CE11" s="173"/>
      <c r="CF11" s="173"/>
      <c r="CG11" s="173"/>
    </row>
    <row r="12" spans="1:95">
      <c r="A12" s="397" t="s">
        <v>282</v>
      </c>
      <c r="B12" s="161" t="s">
        <v>283</v>
      </c>
      <c r="C12" s="162"/>
      <c r="D12" s="176">
        <f>SCI!C40/SFP!C32</f>
        <v>3.6985498026463372E-2</v>
      </c>
      <c r="E12" s="176">
        <f>SCI!D40/SFP!D32</f>
        <v>2.1226691965266515E-2</v>
      </c>
      <c r="F12" s="176">
        <f>SCI!E40/SFP!E32</f>
        <v>7.9563739012938842E-3</v>
      </c>
      <c r="G12" s="176">
        <f>SCI!F40/SFP!F32</f>
        <v>1.7941669368858089E-4</v>
      </c>
      <c r="H12" s="176">
        <f>SCI!G40/SFP!G32</f>
        <v>-7.2641993198010926E-4</v>
      </c>
      <c r="I12" s="176">
        <f>SCI!H40/SFP!H32</f>
        <v>-2.0541136692794832E-3</v>
      </c>
      <c r="J12" s="176">
        <f>SCI!I40/SFP!I32</f>
        <v>-2.6225565075719059E-2</v>
      </c>
      <c r="K12" s="176">
        <f>SCI!J40/SFP!J32</f>
        <v>-3.059759863871216E-2</v>
      </c>
      <c r="L12" s="176">
        <f>SCI!K40/SFP!K32</f>
        <v>-8.9250898925456283E-3</v>
      </c>
      <c r="M12" s="176">
        <f>SCI!L40/SFP!L32</f>
        <v>-7.7046832183073856E-3</v>
      </c>
      <c r="N12" s="176">
        <f>SCI!M40/SFP!M32</f>
        <v>-8.2362055187132563E-3</v>
      </c>
      <c r="O12" s="176">
        <f>SCI!N40/SFP!N32</f>
        <v>-3.3590578199827149E-3</v>
      </c>
      <c r="P12" s="176">
        <f>SCI!O40/SFP!O32</f>
        <v>-2.5435212528089621E-3</v>
      </c>
      <c r="Q12" s="176">
        <f>SCI!P40/SFP!P32</f>
        <v>2.9788287901993632E-3</v>
      </c>
      <c r="R12" s="176">
        <f>SCI!Q40/SFP!Q32</f>
        <v>2.811928161811016E-3</v>
      </c>
      <c r="S12" s="176">
        <f>SCI!R40/SFP!R32</f>
        <v>4.1088530033145006E-3</v>
      </c>
      <c r="T12" s="176">
        <f>SCI!S40/SFP!S32</f>
        <v>-2.62056607546297E-3</v>
      </c>
      <c r="U12" s="176">
        <f>SCI!T40/SFP!T32</f>
        <v>3.2698135441899671E-4</v>
      </c>
      <c r="V12" s="176">
        <f>SCI!U40/SFP!U32</f>
        <v>2.4184997818804234E-3</v>
      </c>
      <c r="W12" s="176">
        <f>SCI!V40/SFP!V32</f>
        <v>2.8307032868346562E-3</v>
      </c>
      <c r="X12" s="176">
        <f>SCI!W40/SFP!W32</f>
        <v>2.0711515089109952E-3</v>
      </c>
      <c r="Y12" s="176">
        <f>SCI!X40/SFP!X32</f>
        <v>-1.476443053322654E-3</v>
      </c>
      <c r="Z12" s="176">
        <f>SCI!Y40/SFP!Y32</f>
        <v>1.2923917164973004E-3</v>
      </c>
      <c r="AA12" s="176">
        <f>SCI!Z40/SFP!Z32</f>
        <v>6.5297107531792518E-3</v>
      </c>
      <c r="AB12" s="176">
        <f>SCI!AA40/SFP!AA32</f>
        <v>9.8604956308225595E-3</v>
      </c>
      <c r="AC12" s="176">
        <f>SCI!AB40/SFP!AB32</f>
        <v>6.9313030412467965E-3</v>
      </c>
      <c r="AD12" s="176">
        <f>SCI!AC40/SFP!AC32</f>
        <v>5.0000262074345351E-3</v>
      </c>
      <c r="AE12" s="176">
        <f>SCI!AD40/SFP!AD32</f>
        <v>8.6218190808865069E-3</v>
      </c>
      <c r="AF12" s="176">
        <f>SCI!AE40/SFP!AE32</f>
        <v>5.2421797794523824E-4</v>
      </c>
      <c r="AG12" s="176">
        <f>SCI!AF40/SFP!AF32</f>
        <v>2.2087464412199114E-3</v>
      </c>
      <c r="AH12" s="176">
        <f>SCI!AG40/SFP!AG32</f>
        <v>1.9334021779592616E-3</v>
      </c>
      <c r="AI12" s="176">
        <f>SCI!AH40/SFP!AH32</f>
        <v>1.4130734940452866E-3</v>
      </c>
      <c r="AJ12" s="176">
        <f>SCI!AI40/SFP!AI32</f>
        <v>1.6794628042912686E-3</v>
      </c>
      <c r="AK12" s="176">
        <f>SCI!AJ40/SFP!AJ32</f>
        <v>4.329580500138281E-3</v>
      </c>
      <c r="AL12" s="176">
        <f>SCI!AK40/SFP!AK32</f>
        <v>3.1333195415578054E-3</v>
      </c>
      <c r="AM12" s="176">
        <f>SCI!AL40/SFP!AL32</f>
        <v>5.7189388145257244E-3</v>
      </c>
      <c r="AN12" s="176">
        <f>SCI!AM40/SFP!AM32</f>
        <v>5.2097631392409565E-3</v>
      </c>
      <c r="AO12" s="176">
        <f>SCI!AN40/SFP!AN32</f>
        <v>7.7028143002196214E-3</v>
      </c>
      <c r="AP12" s="176">
        <f>SCI!AO40/SFP!AO32</f>
        <v>1.0024233367625448E-2</v>
      </c>
      <c r="AQ12" s="176">
        <f>SCI!AP40/SFP!AP32</f>
        <v>1.4455545191465574E-2</v>
      </c>
      <c r="AR12" s="176">
        <f>SCI!AQ40/SFP!AQ32</f>
        <v>7.8276013309776359E-3</v>
      </c>
      <c r="AS12" s="176">
        <f>SCI!AR40/SFP!AR32</f>
        <v>2.8766065818258929E-3</v>
      </c>
      <c r="AT12" s="176">
        <f>SCI!AS40/SFP!AS32</f>
        <v>7.5875913385462781E-3</v>
      </c>
      <c r="AU12" s="176">
        <f>SCI!AT40/SFP!AT32</f>
        <v>4.5760002047579998E-3</v>
      </c>
      <c r="AV12" s="176">
        <f>SCI!AU40/SFP!AU32</f>
        <v>8.4147033044288354E-3</v>
      </c>
      <c r="AW12" s="176">
        <f>SCI!AV40/SFP!AV32</f>
        <v>8.7167780008830693E-3</v>
      </c>
      <c r="AX12" s="176">
        <f>SCI!AW40/SFP!AW32</f>
        <v>1.1055885548689632E-2</v>
      </c>
      <c r="AY12" s="176">
        <f>SCI!AX40/SFP!AX32</f>
        <v>9.9934368398511744E-3</v>
      </c>
      <c r="AZ12" s="176">
        <f>SCI!AY40/SFP!AY32</f>
        <v>9.2053236193536062E-3</v>
      </c>
      <c r="BA12" s="176">
        <f>SCI!AZ40/SFP!AZ32</f>
        <v>1.0125075243707461E-2</v>
      </c>
      <c r="BB12" s="176">
        <f>SCI!BA40/SFP!BA32</f>
        <v>1.0125075267784465E-2</v>
      </c>
      <c r="BC12" s="176">
        <f>SCI!BB40/SFP!BB32</f>
        <v>1.3872773121422727E-2</v>
      </c>
      <c r="BD12" s="177">
        <f>SCI!BC40/SFP!BC32</f>
        <v>5.5135809099208814E-3</v>
      </c>
      <c r="BE12" s="177">
        <f>SCI!BD40/SFP!BD32</f>
        <v>1.3335775829571869E-2</v>
      </c>
      <c r="BF12" s="177">
        <f>SCI!BE40/SFP!BE32</f>
        <v>4.7969568003422705E-3</v>
      </c>
      <c r="BG12" s="177">
        <f>SCI!BF40/SFP!BF32</f>
        <v>1.0507137934345203E-2</v>
      </c>
      <c r="BH12" s="177">
        <f>SCI!BG40/SFP!BG32</f>
        <v>8.3776452179451302E-3</v>
      </c>
      <c r="BI12" s="177">
        <f>SCI!BH40/SFP!BH32</f>
        <v>6.9317558950094359E-3</v>
      </c>
      <c r="BJ12" s="177">
        <f>SCI!BI40/SFP!BI32</f>
        <v>7.3824166450154804E-3</v>
      </c>
      <c r="BK12" s="177">
        <f>SCI!BJ40/SFP!BJ32</f>
        <v>1.2957283207427516E-2</v>
      </c>
      <c r="BL12" s="177">
        <f>SCI!BK40/SFP!BK32</f>
        <v>9.8089540321300399E-3</v>
      </c>
      <c r="BM12" s="177">
        <f>SCI!BL40/SFP!BL32</f>
        <v>1.2762443894068966E-2</v>
      </c>
      <c r="BN12" s="177">
        <f>SCI!BM40/SFP!BM32</f>
        <v>1.8683754103005653E-2</v>
      </c>
      <c r="BO12" s="177">
        <f>SCI!BN40/SFP!BN32</f>
        <v>1.9145299098572609E-2</v>
      </c>
      <c r="BP12" s="177">
        <f>SCI!BO40/SFP!BO32</f>
        <v>2.0166992975450375E-2</v>
      </c>
      <c r="BQ12" s="177">
        <f>SCI!BP40/SFP!BP32</f>
        <v>1.3592679357102904E-2</v>
      </c>
      <c r="BR12" s="177">
        <f>SCI!BQ40/SFP!BQ32</f>
        <v>1.0032217572591866E-2</v>
      </c>
      <c r="BS12" s="177" t="e">
        <f>SCI!BR40/SFP!#REF!</f>
        <v>#REF!</v>
      </c>
      <c r="BT12" s="177">
        <f>SCI!BS40/SFP!BR32</f>
        <v>7.5310499584017952E-3</v>
      </c>
      <c r="BU12" s="177">
        <f>SCI!BT40/SFP!BS32</f>
        <v>9.6854278330488885E-3</v>
      </c>
      <c r="BV12" s="177">
        <f>SCI!BU40/SFP!BT32</f>
        <v>9.4420667797361895E-3</v>
      </c>
      <c r="BW12" s="177">
        <f>SCI!BV40/SFP!BU32</f>
        <v>9.86001804082327E-3</v>
      </c>
      <c r="BX12" s="177">
        <f>SCI!BW40/SFP!BV32</f>
        <v>1.0060801436570063E-2</v>
      </c>
      <c r="BY12" s="177" t="e">
        <f>SCI!BY40/SFP!BX32</f>
        <v>#DIV/0!</v>
      </c>
      <c r="BZ12" s="177">
        <f>SCI!BZ40/SFP!BY32</f>
        <v>2.1642325393847237E-2</v>
      </c>
      <c r="CA12" s="177">
        <f>SCI!CA40/SFP!CA32</f>
        <v>2.5295340463768887E-2</v>
      </c>
      <c r="CB12" s="177">
        <f>SCI!CB40/SFP!CB32</f>
        <v>2.8030406562649355E-2</v>
      </c>
      <c r="CC12" s="177">
        <f>SCI!CC40/SFP!CC32</f>
        <v>9.5362797846356706E-3</v>
      </c>
      <c r="CD12" s="177">
        <f>SCI!CD40/SFP!CD32</f>
        <v>7.7960917936739753E-3</v>
      </c>
      <c r="CE12" s="177">
        <f>SCI!CE40/SFP!CE32</f>
        <v>1.6329402504083265E-2</v>
      </c>
      <c r="CF12" s="177">
        <f>SCI!CF40/SFP!CF32</f>
        <v>7.5093520916191623E-3</v>
      </c>
      <c r="CG12" s="177">
        <f>SCI!CG40/SFP!CG32</f>
        <v>1.6354972748031035E-2</v>
      </c>
    </row>
    <row r="13" spans="1:95">
      <c r="A13" s="397"/>
      <c r="B13" s="161" t="s">
        <v>284</v>
      </c>
      <c r="C13" s="162"/>
      <c r="D13" s="176">
        <f>SCI!C30/SCI!C26</f>
        <v>0.45586246972743472</v>
      </c>
      <c r="E13" s="176">
        <f>SCI!D30/SCI!D26</f>
        <v>0.67161231638483854</v>
      </c>
      <c r="F13" s="176">
        <f>SCI!E30/SCI!E26</f>
        <v>0.72616964735344525</v>
      </c>
      <c r="G13" s="176">
        <f>SCI!F30/SCI!F26</f>
        <v>0.56263769733491709</v>
      </c>
      <c r="H13" s="176">
        <f>SCI!G30/SCI!G26</f>
        <v>0.78984122179202498</v>
      </c>
      <c r="I13" s="176">
        <f>SCI!H30/SCI!H26</f>
        <v>0.7961265764418376</v>
      </c>
      <c r="J13" s="178">
        <f>SCI!I30/SCI!I26</f>
        <v>1.7543589280480354</v>
      </c>
      <c r="K13" s="178">
        <f>SCI!J30/SCI!J26</f>
        <v>1.1277369401700759</v>
      </c>
      <c r="L13" s="178">
        <f>SCI!K30/SCI!K26</f>
        <v>1.1422098163877001</v>
      </c>
      <c r="M13" s="178">
        <f>SCI!L30/SCI!L26</f>
        <v>1.1120554267821412</v>
      </c>
      <c r="N13" s="178">
        <f>SCI!M30/SCI!M26</f>
        <v>1.1139544651712032</v>
      </c>
      <c r="O13" s="178">
        <f>SCI!N30/SCI!N26</f>
        <v>0.9225282225090975</v>
      </c>
      <c r="P13" s="178">
        <f>SCI!O30/SCI!O26</f>
        <v>0.9262124167558422</v>
      </c>
      <c r="Q13" s="178">
        <f>SCI!P30/SCI!P26</f>
        <v>0.82789174706435265</v>
      </c>
      <c r="R13" s="178">
        <f>SCI!Q30/SCI!Q26</f>
        <v>0.82082389531028976</v>
      </c>
      <c r="S13" s="178">
        <f>SCI!R30/SCI!R26</f>
        <v>0.91299090189730436</v>
      </c>
      <c r="T13" s="178">
        <f>SCI!S30/SCI!S26</f>
        <v>0.96248996315466051</v>
      </c>
      <c r="U13" s="178">
        <f>SCI!T30/SCI!T26</f>
        <v>0.87001899368601732</v>
      </c>
      <c r="V13" s="178">
        <f>SCI!U30/SCI!U26</f>
        <v>0.75227705771928721</v>
      </c>
      <c r="W13" s="178">
        <f>SCI!V30/SCI!V26</f>
        <v>0.79106577812992651</v>
      </c>
      <c r="X13" s="178">
        <f>SCI!W30/SCI!W26</f>
        <v>0.8835194455022618</v>
      </c>
      <c r="Y13" s="178">
        <f>SCI!X30/SCI!X26</f>
        <v>1.0072863202540039</v>
      </c>
      <c r="Z13" s="178">
        <f>SCI!Y30/SCI!Y26</f>
        <v>0.93320579036159712</v>
      </c>
      <c r="AA13" s="178">
        <f>SCI!Z30/SCI!Z26</f>
        <v>0.82036531577714489</v>
      </c>
      <c r="AB13" s="178">
        <f>SCI!AA30/SCI!AA26</f>
        <v>0.802943068289804</v>
      </c>
      <c r="AC13" s="178">
        <f>SCI!AB30/SCI!AB26</f>
        <v>0.78300636199784956</v>
      </c>
      <c r="AD13" s="178">
        <f>SCI!AC30/SCI!AC26</f>
        <v>0.84114214932141163</v>
      </c>
      <c r="AE13" s="178">
        <f>SCI!AD30/SCI!AD26</f>
        <v>0.79164175758991973</v>
      </c>
      <c r="AF13" s="178">
        <f>SCI!AE30/SCI!AE26</f>
        <v>0.6954435249692047</v>
      </c>
      <c r="AG13" s="178">
        <f>SCI!AF30/SCI!AF26</f>
        <v>0.68768831799964647</v>
      </c>
      <c r="AH13" s="178">
        <f>SCI!AG30/SCI!AG26</f>
        <v>0.76955055152858731</v>
      </c>
      <c r="AI13" s="178">
        <f>SCI!AH30/SCI!AH26</f>
        <v>0.88118319719481542</v>
      </c>
      <c r="AJ13" s="178">
        <f>SCI!AI30/SCI!AI26</f>
        <v>0.88881612317252545</v>
      </c>
      <c r="AK13" s="178">
        <f>SCI!AJ30/SCI!AJ26</f>
        <v>0.83847716371985259</v>
      </c>
      <c r="AL13" s="178">
        <f>SCI!AK30/SCI!AK26</f>
        <v>0.88762935721586678</v>
      </c>
      <c r="AM13" s="178">
        <f>SCI!AL30/SCI!AL26</f>
        <v>0.8395533258618384</v>
      </c>
      <c r="AN13" s="178">
        <f>SCI!AM30/SCI!AM26</f>
        <v>0.86929868041652991</v>
      </c>
      <c r="AO13" s="178">
        <f>SCI!AN30/SCI!AN26</f>
        <v>0.83033156337891811</v>
      </c>
      <c r="AP13" s="178">
        <f>SCI!AO30/SCI!AO26</f>
        <v>0.81671507254379483</v>
      </c>
      <c r="AQ13" s="178">
        <f>SCI!AP30/SCI!AP26</f>
        <v>0.77723629249138182</v>
      </c>
      <c r="AR13" s="178">
        <f>SCI!AQ30/SCI!AQ26</f>
        <v>0.81426056779596145</v>
      </c>
      <c r="AS13" s="178">
        <f>SCI!AR30/SCI!AR26</f>
        <v>0.51867331166685016</v>
      </c>
      <c r="AT13" s="178">
        <f>SCI!AS30/SCI!AS26</f>
        <v>0.42107975891443739</v>
      </c>
      <c r="AU13" s="178">
        <f>SCI!AT30/SCI!AT26</f>
        <v>0.69350083416397312</v>
      </c>
      <c r="AV13" s="178">
        <f>SCI!AU30/SCI!AU26</f>
        <v>0.64787412397394506</v>
      </c>
      <c r="AW13" s="178">
        <f>SCI!AV30/SCI!AV26</f>
        <v>0.70471563848281749</v>
      </c>
      <c r="AX13" s="178">
        <f>SCI!AW30/SCI!AW26</f>
        <v>0.76910030236423799</v>
      </c>
      <c r="AY13" s="178">
        <f>SCI!AX30/SCI!AX26</f>
        <v>0.74950360716377751</v>
      </c>
      <c r="AZ13" s="178">
        <f>SCI!AY30/SCI!AY26</f>
        <v>0.77777696954323905</v>
      </c>
      <c r="BA13" s="178">
        <f>SCI!AZ30/SCI!AZ26</f>
        <v>0.79123960583992292</v>
      </c>
      <c r="BB13" s="178">
        <f>SCI!BA30/SCI!BA26</f>
        <v>0.79123960513482106</v>
      </c>
      <c r="BC13" s="178">
        <f>SCI!BB30/SCI!BB26</f>
        <v>0.78388520726091537</v>
      </c>
      <c r="BD13" s="179">
        <f>SCI!BC30/SCI!BC26</f>
        <v>0.89099185817150972</v>
      </c>
      <c r="BE13" s="179">
        <f>SCI!BD30/SCI!BD26</f>
        <v>0.80563222096219489</v>
      </c>
      <c r="BF13" s="179">
        <f>SCI!BE30/SCI!BE26</f>
        <v>0.458814375740144</v>
      </c>
      <c r="BG13" s="179">
        <f>SCI!BF30/SCI!BF26</f>
        <v>0.38119817939128969</v>
      </c>
      <c r="BH13" s="179">
        <f>SCI!BG30/SCI!BG26</f>
        <v>0.6045401274722445</v>
      </c>
      <c r="BI13" s="179">
        <f>SCI!BH30/SCI!BH26</f>
        <v>0.70193475048520737</v>
      </c>
      <c r="BJ13" s="179">
        <f>SCI!BI30/SCI!BI26</f>
        <v>0.75944042069438189</v>
      </c>
      <c r="BK13" s="179">
        <f>SCI!BJ30/SCI!BJ26</f>
        <v>0.67859558052262303</v>
      </c>
      <c r="BL13" s="179">
        <f>SCI!BK30/SCI!BK26</f>
        <v>0.77478299380693283</v>
      </c>
      <c r="BM13" s="179">
        <f>SCI!BL30/SCI!BL26</f>
        <v>0.75579470744202937</v>
      </c>
      <c r="BN13" s="179">
        <f>SCI!BM30/SCI!BM26</f>
        <v>0.69786940702055944</v>
      </c>
      <c r="BO13" s="179">
        <f>SCI!BN30/SCI!BN26</f>
        <v>0.70969367995654442</v>
      </c>
      <c r="BP13" s="179">
        <f>SCI!BO30/SCI!BO26</f>
        <v>0.71046540497682986</v>
      </c>
      <c r="BQ13" s="179">
        <f>SCI!BP30/SCI!BP26</f>
        <v>0.73942431728322433</v>
      </c>
      <c r="BR13" s="179">
        <f>SCI!BQ30/SCI!BQ26</f>
        <v>0.8066216640588949</v>
      </c>
      <c r="BS13" s="179">
        <f>SCI!BR30/SCI!BR26</f>
        <v>0.33838285345108837</v>
      </c>
      <c r="BT13" s="179">
        <f>SCI!BS30/SCI!BS26</f>
        <v>0.50986438341344154</v>
      </c>
      <c r="BU13" s="179">
        <f>SCI!BT30/SCI!BT26</f>
        <v>0.53956182810501074</v>
      </c>
      <c r="BV13" s="179">
        <f>SCI!BU30/SCI!BU26</f>
        <v>0.62491548378669948</v>
      </c>
      <c r="BW13" s="179">
        <f>SCI!BV30/SCI!BV26</f>
        <v>0.65425320783916963</v>
      </c>
      <c r="BX13" s="179">
        <f>SCI!BW30/SCI!BW26</f>
        <v>0.68392506785376006</v>
      </c>
      <c r="BY13" s="179">
        <f>SCI!BY30/SCI!BY26</f>
        <v>0.65074686261939918</v>
      </c>
      <c r="BZ13" s="179">
        <f>SCI!BZ30/SCI!BZ26</f>
        <v>0.5986660093506333</v>
      </c>
      <c r="CA13" s="179">
        <f>SCI!CA30/SCI!CA26</f>
        <v>0.57846419088365375</v>
      </c>
      <c r="CB13" s="179">
        <f>SCI!CB30/SCI!CB26</f>
        <v>0.57764504609179135</v>
      </c>
      <c r="CC13" s="179">
        <f>SCI!CC30/SCI!CC26</f>
        <v>0.77420087933384008</v>
      </c>
      <c r="CD13" s="179">
        <f>SCI!CD30/SCI!CD26</f>
        <v>0.8072708978222447</v>
      </c>
      <c r="CE13" s="179">
        <f>SCI!CE30/SCI!CE26</f>
        <v>0.73063192794049825</v>
      </c>
      <c r="CF13" s="179">
        <f>SCI!CF30/SCI!CF26</f>
        <v>0.31600199724803385</v>
      </c>
      <c r="CG13" s="179">
        <f>SCI!CG30/SCI!CG26</f>
        <v>0.26443196135631014</v>
      </c>
    </row>
    <row r="14" spans="1:95">
      <c r="A14" s="397"/>
      <c r="B14" s="161" t="s">
        <v>285</v>
      </c>
      <c r="C14" s="162"/>
      <c r="D14" s="176">
        <f>SCI!C30/SFP!C32</f>
        <v>3.0985365898208165E-2</v>
      </c>
      <c r="E14" s="176">
        <f>SCI!D30/SFP!D32</f>
        <v>4.6846391144447504E-2</v>
      </c>
      <c r="F14" s="176">
        <f>SCI!E30/SFP!E32</f>
        <v>4.8065047962553037E-2</v>
      </c>
      <c r="G14" s="176">
        <f>SCI!F30/SFP!F32</f>
        <v>5.7855682090971611E-3</v>
      </c>
      <c r="H14" s="176">
        <f>SCI!G30/SFP!G32</f>
        <v>1.3478983628342676E-2</v>
      </c>
      <c r="I14" s="176">
        <f>SCI!H30/SFP!H32</f>
        <v>1.9389330037979925E-2</v>
      </c>
      <c r="J14" s="176">
        <f>SCI!I30/SFP!I32</f>
        <v>2.8876783713814892E-2</v>
      </c>
      <c r="K14" s="176">
        <f>SCI!J30/SFP!J32</f>
        <v>5.5884408364146203E-2</v>
      </c>
      <c r="L14" s="176">
        <f>SCI!K30/SFP!K32</f>
        <v>3.7262920724429487E-2</v>
      </c>
      <c r="M14" s="176">
        <f>SCI!L30/SFP!L32</f>
        <v>4.0797391913690174E-2</v>
      </c>
      <c r="N14" s="176">
        <f>SCI!M30/SFP!M32</f>
        <v>4.5418018524706665E-2</v>
      </c>
      <c r="O14" s="176">
        <f>SCI!N30/SFP!N32</f>
        <v>7.3166396285793675E-2</v>
      </c>
      <c r="P14" s="176">
        <f>SCI!O30/SFP!O32</f>
        <v>4.6186270179399677E-2</v>
      </c>
      <c r="Q14" s="176">
        <f>SCI!P30/SFP!P32</f>
        <v>5.0162213846817988E-2</v>
      </c>
      <c r="R14" s="176">
        <f>SCI!Q30/SFP!Q32</f>
        <v>5.8623112953531079E-2</v>
      </c>
      <c r="S14" s="176">
        <f>SCI!R30/SFP!R32</f>
        <v>6.724157701027865E-2</v>
      </c>
      <c r="T14" s="176">
        <f>SCI!S30/SFP!S32</f>
        <v>5.9091999338657707E-3</v>
      </c>
      <c r="U14" s="176">
        <f>SCI!T30/SFP!T32</f>
        <v>1.1605234607559302E-2</v>
      </c>
      <c r="V14" s="176">
        <f>SCI!U30/SFP!U32</f>
        <v>1.6084365065392403E-2</v>
      </c>
      <c r="W14" s="176">
        <f>SCI!V30/SFP!V32</f>
        <v>2.3091657709336872E-2</v>
      </c>
      <c r="X14" s="176">
        <f>SCI!W30/SFP!W32</f>
        <v>2.6819125682265639E-2</v>
      </c>
      <c r="Y14" s="176">
        <f>SCI!X30/SFP!X32</f>
        <v>3.2867009350271439E-2</v>
      </c>
      <c r="Z14" s="176">
        <f>SCI!Y30/SFP!Y32</f>
        <v>3.716320933831687E-2</v>
      </c>
      <c r="AA14" s="176">
        <f>SCI!Z30/SFP!Z32</f>
        <v>4.1496581707854016E-2</v>
      </c>
      <c r="AB14" s="176">
        <f>SCI!AA30/SFP!AA32</f>
        <v>4.7085963758814069E-2</v>
      </c>
      <c r="AC14" s="176">
        <f>SCI!AB30/SFP!AB32</f>
        <v>5.0153465569289693E-2</v>
      </c>
      <c r="AD14" s="176">
        <f>SCI!AC30/SFP!AC32</f>
        <v>5.4481472089641748E-2</v>
      </c>
      <c r="AE14" s="176">
        <f>SCI!AD30/SFP!AD32</f>
        <v>6.0993810389734351E-2</v>
      </c>
      <c r="AF14" s="176">
        <f>SCI!AE30/SFP!AE32</f>
        <v>5.0054086478325778E-3</v>
      </c>
      <c r="AG14" s="176">
        <f>SCI!AF30/SFP!AF32</f>
        <v>9.8817771971866659E-3</v>
      </c>
      <c r="AH14" s="176">
        <f>SCI!AG30/SFP!AG32</f>
        <v>1.4926728483016467E-2</v>
      </c>
      <c r="AI14" s="176">
        <f>SCI!AH30/SFP!AH32</f>
        <v>1.8900966768406087E-2</v>
      </c>
      <c r="AJ14" s="176">
        <f>SCI!AI30/SFP!AI32</f>
        <v>2.153903816048619E-2</v>
      </c>
      <c r="AK14" s="176">
        <f>SCI!AJ30/SFP!AJ32</f>
        <v>3.0699041445212544E-2</v>
      </c>
      <c r="AL14" s="176">
        <f>SCI!AK30/SFP!AK32</f>
        <v>3.4203373336681317E-2</v>
      </c>
      <c r="AM14" s="176">
        <f>SCI!AL30/SFP!AL32</f>
        <v>3.8209706174215624E-2</v>
      </c>
      <c r="AN14" s="176">
        <f>SCI!AM30/SFP!AM32</f>
        <v>4.6624704374057739E-2</v>
      </c>
      <c r="AO14" s="176">
        <f>SCI!AN30/SFP!AN32</f>
        <v>4.8074982638015747E-2</v>
      </c>
      <c r="AP14" s="176">
        <f>SCI!AO30/SFP!AO32</f>
        <v>5.2944512568957117E-2</v>
      </c>
      <c r="AQ14" s="176">
        <f>SCI!AP30/SFP!AP32</f>
        <v>5.6172899608191329E-2</v>
      </c>
      <c r="AR14" s="176">
        <f>SCI!AQ30/SFP!AQ32</f>
        <v>5.3523693368078461E-2</v>
      </c>
      <c r="AS14" s="176">
        <f>SCI!AR30/SFP!AR32</f>
        <v>4.1976667966418975E-3</v>
      </c>
      <c r="AT14" s="176">
        <f>SCI!AS30/SFP!AS32</f>
        <v>6.4224864188157224E-3</v>
      </c>
      <c r="AU14" s="176">
        <f>SCI!AT30/SFP!AT32</f>
        <v>1.3778607892202576E-2</v>
      </c>
      <c r="AV14" s="176">
        <f>SCI!AU30/SFP!AU32</f>
        <v>1.8146703558331364E-2</v>
      </c>
      <c r="AW14" s="176">
        <f>SCI!AV30/SFP!AV32</f>
        <v>2.3800417045225588E-2</v>
      </c>
      <c r="AX14" s="176">
        <f>SCI!AW30/SFP!AW32</f>
        <v>4.3534733865900434E-2</v>
      </c>
      <c r="AY14" s="176">
        <f>SCI!AX30/SFP!AX32</f>
        <v>3.3366225562403068E-2</v>
      </c>
      <c r="AZ14" s="176">
        <f>SCI!AY30/SFP!AY32</f>
        <v>3.8585324741104529E-2</v>
      </c>
      <c r="BA14" s="176">
        <f>SCI!AZ30/SFP!AZ32</f>
        <v>4.4037170691627409E-2</v>
      </c>
      <c r="BB14" s="176">
        <f>SCI!BA30/SFP!BA32</f>
        <v>4.4037170669622587E-2</v>
      </c>
      <c r="BC14" s="176">
        <f>SCI!BB30/SFP!BB32</f>
        <v>5.4865326290565695E-2</v>
      </c>
      <c r="BD14" s="177">
        <f>SCI!BC30/SFP!BC32</f>
        <v>6.0302602423564236E-2</v>
      </c>
      <c r="BE14" s="177">
        <f>SCI!BD30/SFP!BD32</f>
        <v>6.9437992624817965E-2</v>
      </c>
      <c r="BF14" s="177">
        <f>SCI!BE30/SFP!BE32</f>
        <v>5.2552687847635731E-3</v>
      </c>
      <c r="BG14" s="177">
        <f>SCI!BF30/SFP!BF32</f>
        <v>7.1762128510163888E-3</v>
      </c>
      <c r="BH14" s="177">
        <f>SCI!BG30/SFP!BG32</f>
        <v>1.5406659760125634E-2</v>
      </c>
      <c r="BI14" s="177">
        <f>SCI!BH30/SFP!BH32</f>
        <v>2.2366692615538818E-2</v>
      </c>
      <c r="BJ14" s="177">
        <f>SCI!BI30/SFP!BI32</f>
        <v>2.7007188699165959E-2</v>
      </c>
      <c r="BK14" s="177">
        <f>SCI!BJ30/SFP!BJ32</f>
        <v>3.0861744488327993E-2</v>
      </c>
      <c r="BL14" s="177">
        <f>SCI!BK30/SFP!BK32</f>
        <v>3.8275727579941722E-2</v>
      </c>
      <c r="BM14" s="177">
        <f>SCI!BL30/SFP!BL32</f>
        <v>4.4087420840554337E-2</v>
      </c>
      <c r="BN14" s="177">
        <f>SCI!BM30/SFP!BM32</f>
        <v>4.6777666298257019E-2</v>
      </c>
      <c r="BO14" s="177">
        <f>SCI!BN30/SFP!BN32</f>
        <v>4.9919415229355696E-2</v>
      </c>
      <c r="BP14" s="177">
        <f>SCI!BO30/SFP!BO32</f>
        <v>5.3182144615394222E-2</v>
      </c>
      <c r="BQ14" s="177">
        <f>SCI!BP30/SFP!BP32</f>
        <v>5.83842410721555E-2</v>
      </c>
      <c r="BR14" s="177">
        <f>SCI!BQ30/SFP!BQ32</f>
        <v>6.4916275703526941E-2</v>
      </c>
      <c r="BS14" s="177" t="e">
        <f>SCI!BR30/SFP!#REF!</f>
        <v>#REF!</v>
      </c>
      <c r="BT14" s="177">
        <f>SCI!BS30/SFP!BR32</f>
        <v>8.9251785700899412E-3</v>
      </c>
      <c r="BU14" s="177">
        <f>SCI!BT30/SFP!BS32</f>
        <v>1.2941642401440252E-2</v>
      </c>
      <c r="BV14" s="177">
        <f>SCI!BU30/SFP!BT32</f>
        <v>1.7190594061137161E-2</v>
      </c>
      <c r="BW14" s="177">
        <f>SCI!BV30/SFP!BU32</f>
        <v>2.0625097629461315E-2</v>
      </c>
      <c r="BX14" s="177">
        <f>SCI!BW30/SFP!BV32</f>
        <v>2.4372561331122547E-2</v>
      </c>
      <c r="BY14" s="177" t="e">
        <f>SCI!BY30/SFP!BX32</f>
        <v>#DIV/0!</v>
      </c>
      <c r="BZ14" s="177">
        <f>SCI!BZ30/SFP!BY32</f>
        <v>3.3604479135389081E-2</v>
      </c>
      <c r="CA14" s="177">
        <f>SCI!CA30/SFP!CA32</f>
        <v>3.6249679557529779E-2</v>
      </c>
      <c r="CB14" s="177">
        <f>SCI!CB30/SFP!CB32</f>
        <v>4.0058138374927679E-2</v>
      </c>
      <c r="CC14" s="177">
        <f>SCI!CC30/SFP!CC32</f>
        <v>5.7845490125338669E-2</v>
      </c>
      <c r="CD14" s="177">
        <f>SCI!CD30/SFP!CD32</f>
        <v>5.7603039144066358E-2</v>
      </c>
      <c r="CE14" s="177">
        <f>SCI!CE30/SFP!CE32</f>
        <v>5.9420338272637124E-2</v>
      </c>
      <c r="CF14" s="177">
        <f>SCI!CF30/SFP!CF32</f>
        <v>4.1224339142620445E-3</v>
      </c>
      <c r="CG14" s="177">
        <f>SCI!CG30/SFP!CG32</f>
        <v>6.4227232005431012E-3</v>
      </c>
    </row>
    <row r="15" spans="1:95">
      <c r="A15" s="161"/>
      <c r="B15" s="161"/>
      <c r="C15" s="16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73"/>
      <c r="BE15" s="173"/>
      <c r="BF15" s="173"/>
      <c r="BG15" s="173"/>
      <c r="BH15" s="173"/>
      <c r="BI15" s="173"/>
      <c r="BJ15" s="173"/>
      <c r="BK15" s="173"/>
      <c r="BL15" s="173"/>
      <c r="BM15" s="173"/>
      <c r="BN15" s="173"/>
      <c r="BO15" s="173"/>
      <c r="BP15" s="173"/>
      <c r="BQ15" s="173"/>
      <c r="BR15" s="173"/>
      <c r="BS15" s="173"/>
      <c r="BT15" s="173"/>
      <c r="BU15" s="173"/>
      <c r="BV15" s="173"/>
      <c r="BW15" s="173"/>
      <c r="BX15" s="173"/>
      <c r="BY15" s="173"/>
      <c r="BZ15" s="173"/>
      <c r="CA15" s="173"/>
      <c r="CB15" s="173"/>
      <c r="CC15" s="173"/>
      <c r="CD15" s="173"/>
      <c r="CE15" s="173"/>
      <c r="CF15" s="173"/>
      <c r="CG15" s="173"/>
    </row>
    <row r="16" spans="1:95">
      <c r="A16" s="397" t="s">
        <v>286</v>
      </c>
      <c r="B16" s="161" t="s">
        <v>287</v>
      </c>
      <c r="C16" s="162" t="s">
        <v>288</v>
      </c>
      <c r="D16" s="176" t="e">
        <f>SFP!C10/(SFP!#REF!+SFP!C33+SFP!#REF!-SFP!C42)</f>
        <v>#REF!</v>
      </c>
      <c r="E16" s="176" t="e">
        <f>SFP!D10/(SFP!#REF!+SFP!D33+SFP!#REF!-SFP!D42)</f>
        <v>#REF!</v>
      </c>
      <c r="F16" s="176">
        <f>SFP!E10/(SFP!E33+SFP!E34+SFP!E37-SFP!E43)</f>
        <v>0.83749007160697375</v>
      </c>
      <c r="G16" s="176">
        <f>SFP!F10/(SFP!F33+SFP!F34+SFP!F37-SFP!F43)</f>
        <v>1.3970611314376666</v>
      </c>
      <c r="H16" s="176">
        <f>SFP!G10/(SFP!G33+SFP!G34+SFP!G37-SFP!G43)</f>
        <v>1.1817682369740936</v>
      </c>
      <c r="I16" s="176">
        <f>SFP!H10/(SFP!H33+SFP!H34+SFP!H37-SFP!H43)</f>
        <v>1.6656277585937243</v>
      </c>
      <c r="J16" s="176">
        <f>SFP!I10/(SFP!I33+SFP!I34+SFP!I37-SFP!I43)</f>
        <v>0.69390483011006898</v>
      </c>
      <c r="K16" s="176">
        <f>SFP!J10/(SFP!J33+SFP!J34+SFP!J37-SFP!J43)</f>
        <v>0.69503665761613831</v>
      </c>
      <c r="L16" s="176">
        <f>SFP!K10/(SFP!K33+SFP!K34+SFP!K37-SFP!K43)</f>
        <v>1.5912852651169285</v>
      </c>
      <c r="M16" s="176">
        <f>SFP!L10/(SFP!L33+SFP!L34+SFP!L37-SFP!L43)</f>
        <v>1.3605386659795462</v>
      </c>
      <c r="N16" s="176">
        <f>SFP!M10/(SFP!M33+SFP!M34+SFP!M37-SFP!M43)</f>
        <v>1.1665407629229279</v>
      </c>
      <c r="O16" s="176">
        <f>SFP!N10/(SFP!N33+SFP!N34+SFP!N37-SFP!N43)</f>
        <v>2.1816589518398404</v>
      </c>
      <c r="P16" s="176">
        <f>SFP!O10/(SFP!O33+SFP!O34+SFP!O37-SFP!O43)</f>
        <v>1.6362172285747631</v>
      </c>
      <c r="Q16" s="176">
        <f>SFP!P10/(SFP!P33+SFP!P34+SFP!P37-SFP!P43)</f>
        <v>1.0491338772971108</v>
      </c>
      <c r="R16" s="176">
        <f>SFP!Q10/(SFP!Q33+SFP!Q34+SFP!Q37-SFP!Q43)</f>
        <v>0.88654031416900125</v>
      </c>
      <c r="S16" s="176">
        <f>SFP!R10/(SFP!R33+SFP!R34+SFP!R37-SFP!R43)</f>
        <v>0.42328173775663608</v>
      </c>
      <c r="T16" s="176">
        <f>SFP!S10/(SFP!S33+SFP!S34+SFP!S37-SFP!S43)</f>
        <v>1.0906343196229396</v>
      </c>
      <c r="U16" s="176">
        <f>SFP!T10/(SFP!T33+SFP!T34+SFP!T37-SFP!T43)</f>
        <v>1.9499368451437984</v>
      </c>
      <c r="V16" s="176">
        <f>SFP!U10/(SFP!U33+SFP!U34+SFP!U37-SFP!U43)</f>
        <v>1.9808851148673132</v>
      </c>
      <c r="W16" s="176">
        <f>SFP!V10/(SFP!V33+SFP!V34+SFP!V37-SFP!V43)</f>
        <v>1.4071061650949575</v>
      </c>
      <c r="X16" s="176">
        <f>SFP!W10/(SFP!W33+SFP!W34+SFP!W37-SFP!W43)</f>
        <v>1.6041575518038829</v>
      </c>
      <c r="Y16" s="176">
        <f>SFP!X10/(SFP!X33+SFP!X34+SFP!X37-SFP!X43)</f>
        <v>2.7294421832499927</v>
      </c>
      <c r="Z16" s="176">
        <f>SFP!Y10/(SFP!Y33+SFP!Y34+SFP!Y37-SFP!Y43)</f>
        <v>2.9237541306619192</v>
      </c>
      <c r="AA16" s="176">
        <f>SFP!Z10/(SFP!Z33+SFP!Z34+SFP!Z37-SFP!Z43)</f>
        <v>2.8279683402788458</v>
      </c>
      <c r="AB16" s="176">
        <f>SFP!AA10/(SFP!AA33+SFP!AA34+SFP!AA37-SFP!AA43)</f>
        <v>2.4196736956560003</v>
      </c>
      <c r="AC16" s="176">
        <f>SFP!AB10/(SFP!AB33+SFP!AB34+SFP!AB37-SFP!AB43)</f>
        <v>2.2065868950373049</v>
      </c>
      <c r="AD16" s="176">
        <f>SFP!AC10/(SFP!AC33+SFP!AC34+SFP!AC37-SFP!AC43)</f>
        <v>2.2051921052032464</v>
      </c>
      <c r="AE16" s="176">
        <f>SFP!AD10/(SFP!AD33+SFP!AD34+SFP!AD37-SFP!AD43)</f>
        <v>1.6663615187050274</v>
      </c>
      <c r="AF16" s="176">
        <f>SFP!AE10/(SFP!AE33+SFP!AE34+SFP!AE37-SFP!AE43)</f>
        <v>2.1409495970820638</v>
      </c>
      <c r="AG16" s="176">
        <f>SFP!AF10/(SFP!AF33+SFP!AF34+SFP!AF37-SFP!AF43)</f>
        <v>1.9160503224948713</v>
      </c>
      <c r="AH16" s="176">
        <f>SFP!AG10/(SFP!AG33+SFP!AG34+SFP!AG37-SFP!AG43)</f>
        <v>1.5178373211697147</v>
      </c>
      <c r="AI16" s="176">
        <f>SFP!AH10/(SFP!AH33+SFP!AH34+SFP!AH37-SFP!AH43)</f>
        <v>1.4009867632404025</v>
      </c>
      <c r="AJ16" s="176">
        <f>SFP!AI10/(SFP!AI33+SFP!AI34+SFP!AI37-SFP!AI43)</f>
        <v>1.3820970178164649</v>
      </c>
      <c r="AK16" s="176">
        <f>SFP!AJ10/(SFP!AJ33+SFP!AJ34+SFP!AJ37-SFP!AJ43)</f>
        <v>1.6418612678200786</v>
      </c>
      <c r="AL16" s="176">
        <f>SFP!AK10/(SFP!AK33+SFP!AK34+SFP!AK37-SFP!AK43)</f>
        <v>1.365399783827747</v>
      </c>
      <c r="AM16" s="176">
        <f>SFP!AL10/(SFP!AL33+SFP!AL34+SFP!AL37-SFP!AL43)</f>
        <v>1.1959189558179757</v>
      </c>
      <c r="AN16" s="176">
        <f>SFP!AM10/(SFP!AM33+SFP!AM34+SFP!AM37-SFP!AM43)</f>
        <v>1.3121602381656314</v>
      </c>
      <c r="AO16" s="176">
        <f>SFP!AN10/(SFP!AN33+SFP!AN34+SFP!AN37-SFP!AN43)</f>
        <v>1.5654914779973927</v>
      </c>
      <c r="AP16" s="176">
        <f>SFP!AO10/(SFP!AO33+SFP!AO34+SFP!AO37-SFP!AO43)</f>
        <v>1.6737847598941629</v>
      </c>
      <c r="AQ16" s="176">
        <f>SFP!AP10/(SFP!AP33+SFP!AP34+SFP!AP37-SFP!AP43)</f>
        <v>1.7614011361529593</v>
      </c>
      <c r="AR16" s="176">
        <f>SFP!AQ10/(SFP!AQ33+SFP!AQ34+SFP!AQ37-SFP!AQ43)</f>
        <v>1.0533365969174384</v>
      </c>
      <c r="AS16" s="176">
        <f>SFP!AR10/(SFP!AR33+SFP!AR34+SFP!AR37-SFP!AR43)</f>
        <v>2.0111257393468538</v>
      </c>
      <c r="AT16" s="176">
        <f>SFP!AS10/(SFP!AS33+SFP!AS34+SFP!AS37-SFP!AS43)</f>
        <v>1.9852872367225149</v>
      </c>
      <c r="AU16" s="176">
        <f>SFP!AT10/(SFP!AT33+SFP!AT34+SFP!AT37-SFP!AT43)</f>
        <v>1.9051930340412293</v>
      </c>
      <c r="AV16" s="176">
        <f>SFP!AU10/(SFP!AU33+SFP!AU34+SFP!AU37-SFP!AU43)</f>
        <v>1.9535628433688179</v>
      </c>
      <c r="AW16" s="176">
        <f>SFP!AV10/(SFP!AV33+SFP!AV34+SFP!AV37-SFP!AV43)</f>
        <v>1.8109319135988593</v>
      </c>
      <c r="AX16" s="176">
        <f>SFP!AW10/(SFP!AW33+SFP!AW34+SFP!AW37-SFP!AW43)</f>
        <v>2.3035032145661019</v>
      </c>
      <c r="AY16" s="176">
        <f>SFP!AX10/(SFP!AX33+SFP!AX34+SFP!AX37-SFP!AX43)</f>
        <v>2.2689460739532139</v>
      </c>
      <c r="AZ16" s="176">
        <f>SFP!AY10/(SFP!AY33+SFP!AY34+SFP!AY37-SFP!AY43)</f>
        <v>2.2776389771791115</v>
      </c>
      <c r="BA16" s="176">
        <f>SFP!AZ10/(SFP!AZ33+SFP!AZ34+SFP!AZ37-SFP!AZ43)</f>
        <v>2.0296057394728311</v>
      </c>
      <c r="BB16" s="176">
        <f>SFP!BA10/(SFP!BA33+SFP!BA34+SFP!BA37-SFP!BA43)</f>
        <v>2.0296057394728311</v>
      </c>
      <c r="BC16" s="176">
        <f>SFP!BB10/(SFP!BB33+SFP!BB34+SFP!BB37-SFP!BB43)</f>
        <v>1.9364975673438032</v>
      </c>
      <c r="BD16" s="177">
        <f>SFP!BC10/(SFP!BC33+SFP!BC34+SFP!BC37-SFP!BC43)</f>
        <v>1.8941491352126343</v>
      </c>
      <c r="BE16" s="177">
        <f>SFP!BD10/(SFP!BD33+SFP!BD34+SFP!BD37-SFP!BD43)</f>
        <v>1.374215581053098</v>
      </c>
      <c r="BF16" s="177">
        <f>SFP!BE10/(SFP!BE33+SFP!BE34+SFP!BE37-SFP!BE43)</f>
        <v>2.198922234238919</v>
      </c>
      <c r="BG16" s="177">
        <f>SFP!BF10/(SFP!BF33+SFP!BF34+SFP!BF37-SFP!BF43)</f>
        <v>2.7768940753294058</v>
      </c>
      <c r="BH16" s="177">
        <f>SFP!BG10/(SFP!BG33+SFP!BG34+SFP!BG37-SFP!BG43)</f>
        <v>2.6399801196698252</v>
      </c>
      <c r="BI16" s="177">
        <f>SFP!BH10/(SFP!BH33+SFP!BH34+SFP!BH37-SFP!BH43)</f>
        <v>2.6700506410591607</v>
      </c>
      <c r="BJ16" s="177">
        <f>SFP!BI10/(SFP!BI33+SFP!BI34+SFP!BI37-SFP!BI43)</f>
        <v>2.4772401770690986</v>
      </c>
      <c r="BK16" s="177">
        <f>SFP!BJ10/(SFP!BJ33+SFP!BJ34+SFP!BJ37-SFP!BJ43)</f>
        <v>2.5745968147285754</v>
      </c>
      <c r="BL16" s="177">
        <f>SFP!BK10/(SFP!BK33+SFP!BK34+SFP!BK37-SFP!BK43)</f>
        <v>2.7891624499490915</v>
      </c>
      <c r="BM16" s="177">
        <f>SFP!BL10/(SFP!BL33+SFP!BL34+SFP!BL37-SFP!BL43)</f>
        <v>2.2823346459078029</v>
      </c>
      <c r="BN16" s="177">
        <f>SFP!BM10/(SFP!BM33+SFP!BM34+SFP!BM37-SFP!BM43)</f>
        <v>2.6820848363326246</v>
      </c>
      <c r="BO16" s="177">
        <f>SFP!BN10/(SFP!BN33+SFP!BN34+SFP!BN37-SFP!BN43)</f>
        <v>0.81293250721742838</v>
      </c>
      <c r="BP16" s="177">
        <f>SFP!BO10/(SFP!BO33+SFP!BO34+SFP!BO37-SFP!BO43)</f>
        <v>1.033927822626084</v>
      </c>
      <c r="BQ16" s="177">
        <f>SFP!BP10/(SFP!BP33+SFP!BP34+SFP!BP37-SFP!BP43)</f>
        <v>0.93981641924828185</v>
      </c>
      <c r="BR16" s="177">
        <f>SFP!BQ10/(SFP!BQ33+SFP!BQ34+SFP!BQ37-SFP!BQ43)</f>
        <v>0.8901738348761179</v>
      </c>
      <c r="BS16" s="177" t="e">
        <f>SFP!#REF!/(SFP!#REF!+SFP!#REF!+SFP!#REF!-SFP!#REF!)</f>
        <v>#REF!</v>
      </c>
      <c r="BT16" s="177">
        <f>SFP!BR10/(SFP!BR33+SFP!BR34+SFP!BR37-SFP!BR43)</f>
        <v>0.7962906259950544</v>
      </c>
      <c r="BU16" s="177">
        <f>SFP!BS10/(SFP!BS33+SFP!BS34+SFP!BS37-SFP!BS43)</f>
        <v>0.6536624491089853</v>
      </c>
      <c r="BV16" s="177">
        <f>SFP!BT10/(SFP!BT33+SFP!BT34+SFP!BT37-SFP!BT43)</f>
        <v>1.0070453729092586</v>
      </c>
      <c r="BW16" s="177">
        <f>SFP!BU10/(SFP!BU33+SFP!BU34+SFP!BU37-SFP!BU43)</f>
        <v>0.79456336673198558</v>
      </c>
      <c r="BX16" s="177">
        <f>SFP!BV10/(SFP!BV33+SFP!BV34+SFP!BV37-SFP!BV43)</f>
        <v>1.1367049009747465</v>
      </c>
      <c r="BY16" s="177" t="e">
        <f>SFP!BX10/(SFP!BX33+SFP!BX34+SFP!BX37-SFP!BX43)</f>
        <v>#DIV/0!</v>
      </c>
      <c r="BZ16" s="177">
        <f>SFP!BY10/(SFP!BY33+SFP!BY34+SFP!BY37-SFP!BY43)</f>
        <v>0.98740409554217967</v>
      </c>
      <c r="CA16" s="177" t="e">
        <f>SFP!CA10/(SFP!CA33+SFP!CA34+SFP!CA37-SFP!#REF!)</f>
        <v>#REF!</v>
      </c>
      <c r="CB16" s="177">
        <f>SFP!CB10/(SFP!CB33+SFP!CB34+SFP!CB37-SFP!CB43)</f>
        <v>1.2852652669235445</v>
      </c>
      <c r="CC16" s="177">
        <f>SFP!CC10/(SFP!CC33+SFP!CC34+SFP!CC37-SFP!CC43)</f>
        <v>1.5482832033186578</v>
      </c>
      <c r="CD16" s="177">
        <f>SFP!CD10/(SFP!CD33+SFP!CD34+SFP!CD37-SFP!CD43)</f>
        <v>0.94487397385125083</v>
      </c>
      <c r="CE16" s="177">
        <f>SFP!CE10/(SFP!CE33+SFP!CE34+SFP!CE37-SFP!CE43)</f>
        <v>1.186946689216569</v>
      </c>
      <c r="CF16" s="177">
        <f>SFP!CF10/(SFP!CF33+SFP!CF34+SFP!CF37-SFP!CF43)</f>
        <v>1.4945779199097555</v>
      </c>
      <c r="CG16" s="177">
        <f>SFP!CG10/(SFP!CG33+SFP!CG34+SFP!CG37-SFP!CG43)</f>
        <v>1.5591609594607152</v>
      </c>
    </row>
    <row r="17" spans="1:85">
      <c r="A17" s="397"/>
      <c r="B17" s="161" t="s">
        <v>289</v>
      </c>
      <c r="C17" s="162"/>
      <c r="D17" s="180" t="e">
        <f>SFP!C10/(SFP!C35+SFP!#REF!-SFP!C42)</f>
        <v>#REF!</v>
      </c>
      <c r="E17" s="180" t="e">
        <f>SFP!D10/(SFP!D35+SFP!#REF!-SFP!D42)</f>
        <v>#REF!</v>
      </c>
      <c r="F17" s="180">
        <f>SFP!E10/(SFP!E36+SFP!E37-SFP!E43)</f>
        <v>0.10570626754958619</v>
      </c>
      <c r="G17" s="180">
        <f>SFP!F10/(SFP!F36+SFP!F37-SFP!F43)</f>
        <v>6.9335177205655102E-2</v>
      </c>
      <c r="H17" s="180">
        <f>SFP!G10/(SFP!G36+SFP!G37-SFP!G43)</f>
        <v>5.1140934460257768E-2</v>
      </c>
      <c r="I17" s="180">
        <f>SFP!H10/(SFP!H36+SFP!H37-SFP!H43)</f>
        <v>7.919965045507725E-2</v>
      </c>
      <c r="J17" s="180">
        <f>SFP!I10/(SFP!I36+SFP!I37-SFP!I43)</f>
        <v>4.473094089475043E-2</v>
      </c>
      <c r="K17" s="180">
        <f>SFP!J10/(SFP!J36+SFP!J37-SFP!J43)</f>
        <v>4.4803901489748756E-2</v>
      </c>
      <c r="L17" s="180">
        <f>SFP!K10/(SFP!K36+SFP!K37-SFP!K43)</f>
        <v>9.4061554270436595E-2</v>
      </c>
      <c r="M17" s="180">
        <f>SFP!L10/(SFP!L36+SFP!L37-SFP!L43)</f>
        <v>9.0001343028499117E-2</v>
      </c>
      <c r="N17" s="180">
        <f>SFP!M10/(SFP!M36+SFP!M37-SFP!M43)</f>
        <v>7.3284539397955831E-2</v>
      </c>
      <c r="O17" s="180">
        <f>SFP!N10/(SFP!N36+SFP!N37-SFP!N43)</f>
        <v>0.12659771843608181</v>
      </c>
      <c r="P17" s="180">
        <f>SFP!O10/(SFP!O36+SFP!O37-SFP!O43)</f>
        <v>0.11743469489273758</v>
      </c>
      <c r="Q17" s="180">
        <f>SFP!P10/(SFP!P36+SFP!P37-SFP!P43)</f>
        <v>6.8470260287456147E-2</v>
      </c>
      <c r="R17" s="180">
        <f>SFP!Q10/(SFP!Q36+SFP!Q37-SFP!Q43)</f>
        <v>8.0051827128255537E-2</v>
      </c>
      <c r="S17" s="180">
        <f>SFP!R10/(SFP!R36+SFP!R37-SFP!R43)</f>
        <v>6.4267531405012054E-2</v>
      </c>
      <c r="T17" s="180">
        <f>SFP!S10/(SFP!S36+SFP!S37-SFP!S43)</f>
        <v>7.9325846324189153E-2</v>
      </c>
      <c r="U17" s="180">
        <f>SFP!T10/(SFP!T36+SFP!T37-SFP!T43)</f>
        <v>0.13297555314272907</v>
      </c>
      <c r="V17" s="180">
        <f>SFP!U10/(SFP!U36+SFP!U37-SFP!U43)</f>
        <v>0.13185950662392842</v>
      </c>
      <c r="W17" s="180">
        <f>SFP!V10/(SFP!V36+SFP!V37-SFP!V43)</f>
        <v>0.11864703066202256</v>
      </c>
      <c r="X17" s="180">
        <f>SFP!W10/(SFP!W36+SFP!W37-SFP!W43)</f>
        <v>0.17626952673691729</v>
      </c>
      <c r="Y17" s="180">
        <f>SFP!X10/(SFP!X36+SFP!X37-SFP!X43)</f>
        <v>0.1964469683610526</v>
      </c>
      <c r="Z17" s="180">
        <f>SFP!Y10/(SFP!Y36+SFP!Y37-SFP!Y43)</f>
        <v>0.20156869026291324</v>
      </c>
      <c r="AA17" s="180">
        <f>SFP!Z10/(SFP!Z36+SFP!Z37-SFP!Z43)</f>
        <v>0.19404900885566262</v>
      </c>
      <c r="AB17" s="180">
        <f>SFP!AA10/(SFP!AA36+SFP!AA37-SFP!AA43)</f>
        <v>0.1855688348576032</v>
      </c>
      <c r="AC17" s="180">
        <f>SFP!AB10/(SFP!AB36+SFP!AB37-SFP!AB43)</f>
        <v>0.17702974946607739</v>
      </c>
      <c r="AD17" s="180">
        <f>SFP!AC10/(SFP!AC36+SFP!AC37-SFP!AC43)</f>
        <v>0.16690505706335956</v>
      </c>
      <c r="AE17" s="180">
        <f>SFP!AD10/(SFP!AD36+SFP!AD37-SFP!AD43)</f>
        <v>0.15657723303030316</v>
      </c>
      <c r="AF17" s="180">
        <f>SFP!AE10/(SFP!AE36+SFP!AE37-SFP!AE43)</f>
        <v>0.13552258770469255</v>
      </c>
      <c r="AG17" s="180">
        <f>SFP!AF10/(SFP!AF36+SFP!AF37-SFP!AF43)</f>
        <v>0.14518789245671923</v>
      </c>
      <c r="AH17" s="180">
        <f>SFP!AG10/(SFP!AG36+SFP!AG37-SFP!AG43)</f>
        <v>0.11408737871722421</v>
      </c>
      <c r="AI17" s="180">
        <f>SFP!AH10/(SFP!AH36+SFP!AH37-SFP!AH43)</f>
        <v>9.8940599765075687E-2</v>
      </c>
      <c r="AJ17" s="180">
        <f>SFP!AI10/(SFP!AI36+SFP!AI37-SFP!AI43)</f>
        <v>9.5977245371939579E-2</v>
      </c>
      <c r="AK17" s="180">
        <f>SFP!AJ10/(SFP!AJ36+SFP!AJ37-SFP!AJ43)</f>
        <v>0.11203048794895816</v>
      </c>
      <c r="AL17" s="180">
        <f>SFP!AK10/(SFP!AK36+SFP!AK37-SFP!AK43)</f>
        <v>9.00204496771385E-2</v>
      </c>
      <c r="AM17" s="180">
        <f>SFP!AL10/(SFP!AL36+SFP!AL37-SFP!AL43)</f>
        <v>9.2440873705960797E-2</v>
      </c>
      <c r="AN17" s="180">
        <f>SFP!AM10/(SFP!AM36+SFP!AM37-SFP!AM43)</f>
        <v>8.664314280828754E-2</v>
      </c>
      <c r="AO17" s="180">
        <f>SFP!AN10/(SFP!AN36+SFP!AN37-SFP!AN43)</f>
        <v>0.11628863065328925</v>
      </c>
      <c r="AP17" s="180">
        <f>SFP!AO10/(SFP!AO36+SFP!AO37-SFP!AO43)</f>
        <v>0.12420503655824487</v>
      </c>
      <c r="AQ17" s="180">
        <f>SFP!AP10/(SFP!AP36+SFP!AP37-SFP!AP43)</f>
        <v>0.14333251970164954</v>
      </c>
      <c r="AR17" s="180">
        <f>SFP!AQ10/(SFP!AQ36+SFP!AQ37-SFP!AQ43)</f>
        <v>0.13589877510857401</v>
      </c>
      <c r="AS17" s="180">
        <f>SFP!AR10/(SFP!AR36+SFP!AR37-SFP!AR43)</f>
        <v>0.14157236224686529</v>
      </c>
      <c r="AT17" s="180">
        <f>SFP!AS10/(SFP!AS36+SFP!AS37-SFP!AS43)</f>
        <v>0.13645394565346941</v>
      </c>
      <c r="AU17" s="180">
        <f>SFP!AT10/(SFP!AT36+SFP!AT37-SFP!AT43)</f>
        <v>0.13395180061449058</v>
      </c>
      <c r="AV17" s="180">
        <f>SFP!AU10/(SFP!AU36+SFP!AU37-SFP!AU43)</f>
        <v>0.13752627301996295</v>
      </c>
      <c r="AW17" s="180">
        <f>SFP!AV10/(SFP!AV36+SFP!AV37-SFP!AV43)</f>
        <v>0.12805342020096824</v>
      </c>
      <c r="AX17" s="180">
        <f>SFP!AW10/(SFP!AW36+SFP!AW37-SFP!AW43)</f>
        <v>0.14373185666346822</v>
      </c>
      <c r="AY17" s="180">
        <f>SFP!AX10/(SFP!AX36+SFP!AX37-SFP!AX43)</f>
        <v>0.15733491986557502</v>
      </c>
      <c r="AZ17" s="180">
        <f>SFP!AY10/(SFP!AY36+SFP!AY37-SFP!AY43)</f>
        <v>0.14988918319865624</v>
      </c>
      <c r="BA17" s="180">
        <f>SFP!AZ10/(SFP!AZ36+SFP!AZ37-SFP!AZ43)</f>
        <v>0.14992032001490993</v>
      </c>
      <c r="BB17" s="180">
        <f>SFP!BA10/(SFP!BA36+SFP!BA37-SFP!BA43)</f>
        <v>0.14992032001490993</v>
      </c>
      <c r="BC17" s="180">
        <f>SFP!BB10/(SFP!BB36+SFP!BB37-SFP!BB43)</f>
        <v>0.14964477215611582</v>
      </c>
      <c r="BD17" s="181">
        <f>SFP!BC10/(SFP!BC36+SFP!BC37-SFP!BC43)</f>
        <v>0.17227293251042247</v>
      </c>
      <c r="BE17" s="181">
        <f>SFP!BD10/(SFP!BD36+SFP!BD37-SFP!BD43)</f>
        <v>0.1676276305567018</v>
      </c>
      <c r="BF17" s="181">
        <f>SFP!BE10/(SFP!BE36+SFP!BE37-SFP!BE43)</f>
        <v>0.14539661732217887</v>
      </c>
      <c r="BG17" s="181">
        <f>SFP!BF10/(SFP!BF36+SFP!BF37-SFP!BF43)</f>
        <v>0.17091020420862693</v>
      </c>
      <c r="BH17" s="181">
        <f>SFP!BG10/(SFP!BG36+SFP!BG37-SFP!BG43)</f>
        <v>0.16452846564695903</v>
      </c>
      <c r="BI17" s="181">
        <f>SFP!BH10/(SFP!BH36+SFP!BH37-SFP!BH43)</f>
        <v>0.14687912681942886</v>
      </c>
      <c r="BJ17" s="181">
        <f>SFP!BI10/(SFP!BI36+SFP!BI37-SFP!BI43)</f>
        <v>0.15053132636962252</v>
      </c>
      <c r="BK17" s="181">
        <f>SFP!BJ10/(SFP!BJ36+SFP!BJ37-SFP!BJ43)</f>
        <v>0.15031473738954362</v>
      </c>
      <c r="BL17" s="181">
        <f>SFP!BK10/(SFP!BK36+SFP!BK37-SFP!BK43)</f>
        <v>0.14502106430456876</v>
      </c>
      <c r="BM17" s="181">
        <f>SFP!BL10/(SFP!BL36+SFP!BL37-SFP!BL43)</f>
        <v>0.14664984550346094</v>
      </c>
      <c r="BN17" s="181">
        <f>SFP!BM10/(SFP!BM36+SFP!BM37-SFP!BM43)</f>
        <v>0.16666246244013203</v>
      </c>
      <c r="BO17" s="181">
        <f>SFP!BN10/(SFP!BN36+SFP!BN37-SFP!BN43)</f>
        <v>5.8608903870186788E-2</v>
      </c>
      <c r="BP17" s="181">
        <f>SFP!BO10/(SFP!BO36+SFP!BO37-SFP!BO43)</f>
        <v>7.0058813194749978E-2</v>
      </c>
      <c r="BQ17" s="181">
        <f>SFP!BP10/(SFP!BP36+SFP!BP37-SFP!BP43)</f>
        <v>0.10701261665900554</v>
      </c>
      <c r="BR17" s="181">
        <f>SFP!BQ10/(SFP!BQ36+SFP!BQ37-SFP!BQ43)</f>
        <v>0.10633737656597884</v>
      </c>
      <c r="BS17" s="181" t="e">
        <f>SFP!#REF!/(SFP!#REF!+SFP!#REF!-SFP!#REF!)</f>
        <v>#REF!</v>
      </c>
      <c r="BT17" s="181">
        <f>SFP!BR10/(SFP!BR36+SFP!BR37-SFP!BR43)</f>
        <v>5.4940459403940684E-2</v>
      </c>
      <c r="BU17" s="181">
        <f>SFP!BS10/(SFP!BS36+SFP!BS37-SFP!BS43)</f>
        <v>4.6336245278842843E-2</v>
      </c>
      <c r="BV17" s="181">
        <f>SFP!BT10/(SFP!BT36+SFP!BT37-SFP!BT43)</f>
        <v>5.9470153801091996E-2</v>
      </c>
      <c r="BW17" s="181">
        <f>SFP!BU10/(SFP!BU36+SFP!BU37-SFP!BU43)</f>
        <v>6.2425583762459852E-2</v>
      </c>
      <c r="BX17" s="181">
        <f>SFP!BV10/(SFP!BV36+SFP!BV37-SFP!BV43)</f>
        <v>8.785794576426581E-2</v>
      </c>
      <c r="BY17" s="181" t="e">
        <f>SFP!BX10/(SFP!BX36+SFP!BX37-SFP!BX43)</f>
        <v>#DIV/0!</v>
      </c>
      <c r="BZ17" s="181">
        <f>SFP!BY10/(SFP!BY36+SFP!BY37-SFP!BY43)</f>
        <v>7.9303284751023453E-2</v>
      </c>
      <c r="CA17" s="181" t="e">
        <f>SFP!CA10/(SFP!CA36+SFP!CA37-SFP!#REF!)</f>
        <v>#REF!</v>
      </c>
      <c r="CB17" s="181">
        <f>SFP!CB10/(SFP!CB36+SFP!CB37-SFP!CB43)</f>
        <v>9.4549236219396662E-2</v>
      </c>
      <c r="CC17" s="181">
        <f>SFP!CC10/(SFP!CC36+SFP!CC37-SFP!CC43)</f>
        <v>0.13204152239300429</v>
      </c>
      <c r="CD17" s="181">
        <f>SFP!CD10/(SFP!CD36+SFP!CD37-SFP!CD43)</f>
        <v>0.12457006905662601</v>
      </c>
      <c r="CE17" s="181">
        <f>SFP!CE10/(SFP!CE36+SFP!CE37-SFP!CE43)</f>
        <v>0.16585385509302775</v>
      </c>
      <c r="CF17" s="181">
        <f>SFP!CF10/(SFP!CF36+SFP!CF37-SFP!CF43)</f>
        <v>0.12789191367901692</v>
      </c>
      <c r="CG17" s="181">
        <f>SFP!CG10/(SFP!CG36+SFP!CG37-SFP!CG43)</f>
        <v>0.13861764560803397</v>
      </c>
    </row>
    <row r="18" spans="1:85">
      <c r="A18" s="397"/>
      <c r="B18" s="161" t="s">
        <v>290</v>
      </c>
      <c r="C18" s="162" t="s">
        <v>291</v>
      </c>
      <c r="D18" s="182">
        <f>SFP!C43/SFP!C32</f>
        <v>0</v>
      </c>
      <c r="E18" s="182">
        <f>SFP!D43/SFP!D32</f>
        <v>5.3176378873404297E-2</v>
      </c>
      <c r="F18" s="182">
        <f>SFP!E43/SFP!E32</f>
        <v>6.7236730283265045E-2</v>
      </c>
      <c r="G18" s="182">
        <f>SFP!F43/SFP!F32</f>
        <v>8.7099490472351659E-2</v>
      </c>
      <c r="H18" s="182">
        <f>SFP!G43/SFP!G32</f>
        <v>7.5149055479688601E-2</v>
      </c>
      <c r="I18" s="182">
        <f>SFP!H43/SFP!H32</f>
        <v>7.0745894333173936E-2</v>
      </c>
      <c r="J18" s="182">
        <f>SFP!I43/SFP!I32</f>
        <v>6.6135127612432301E-2</v>
      </c>
      <c r="K18" s="182">
        <f>SFP!J43/SFP!J32</f>
        <v>0.11903106062001466</v>
      </c>
      <c r="L18" s="182">
        <f>SFP!K43/SFP!K32</f>
        <v>6.4439417245557018E-2</v>
      </c>
      <c r="M18" s="182">
        <f>SFP!L43/SFP!L32</f>
        <v>6.1484227530444642E-2</v>
      </c>
      <c r="N18" s="182">
        <f>SFP!M43/SFP!M32</f>
        <v>6.142097515671989E-2</v>
      </c>
      <c r="O18" s="182">
        <f>SFP!N43/SFP!N32</f>
        <v>0.30982415527884449</v>
      </c>
      <c r="P18" s="182">
        <f>SFP!O43/SFP!O32</f>
        <v>0.17783658507282485</v>
      </c>
      <c r="Q18" s="182">
        <f>SFP!P43/SFP!P32</f>
        <v>0.16842994651552456</v>
      </c>
      <c r="R18" s="182">
        <f>SFP!Q43/SFP!Q32</f>
        <v>0.15206792718279089</v>
      </c>
      <c r="S18" s="182">
        <f>SFP!R43/SFP!R32</f>
        <v>0.15695259226825478</v>
      </c>
      <c r="T18" s="182">
        <f>SFP!S43/SFP!S32</f>
        <v>0.15381447065879761</v>
      </c>
      <c r="U18" s="182">
        <f>SFP!T43/SFP!T32</f>
        <v>0.14522344740965054</v>
      </c>
      <c r="V18" s="182">
        <f>SFP!U43/SFP!U32</f>
        <v>0.14028361690441241</v>
      </c>
      <c r="W18" s="182">
        <f>SFP!V43/SFP!V32</f>
        <v>0.13869066677734848</v>
      </c>
      <c r="X18" s="182">
        <f>SFP!W43/SFP!W32</f>
        <v>0.1472274722588523</v>
      </c>
      <c r="Y18" s="182">
        <f>SFP!X43/SFP!X32</f>
        <v>0.14685147098283549</v>
      </c>
      <c r="Z18" s="182">
        <f>SFP!Y43/SFP!Y32</f>
        <v>0.14127747751935488</v>
      </c>
      <c r="AA18" s="182">
        <f>SFP!Z43/SFP!Z32</f>
        <v>0.13427918801637195</v>
      </c>
      <c r="AB18" s="182">
        <f>SFP!AA43/SFP!AA32</f>
        <v>0.1272517237597397</v>
      </c>
      <c r="AC18" s="182">
        <f>SFP!AB43/SFP!AB32</f>
        <v>0.1203358401085228</v>
      </c>
      <c r="AD18" s="182">
        <f>SFP!AC43/SFP!AC32</f>
        <v>0.11462399430540468</v>
      </c>
      <c r="AE18" s="182">
        <f>SFP!AD43/SFP!AD32</f>
        <v>0.11436231539703853</v>
      </c>
      <c r="AF18" s="182">
        <f>SFP!AE43/SFP!AE32</f>
        <v>0.11090658401898311</v>
      </c>
      <c r="AG18" s="182">
        <f>SFP!AF43/SFP!AF32</f>
        <v>0.11477202266337531</v>
      </c>
      <c r="AH18" s="182">
        <f>SFP!AG43/SFP!AG32</f>
        <v>0.11422735907643163</v>
      </c>
      <c r="AI18" s="182">
        <f>SFP!AH43/SFP!AH32</f>
        <v>0.10839788965335857</v>
      </c>
      <c r="AJ18" s="182">
        <f>SFP!AI43/SFP!AI32</f>
        <v>0.14435408285853008</v>
      </c>
      <c r="AK18" s="182">
        <f>SFP!AJ43/SFP!AJ32</f>
        <v>0.14077793832235641</v>
      </c>
      <c r="AL18" s="182">
        <f>SFP!AK43/SFP!AK32</f>
        <v>0.13921918551396989</v>
      </c>
      <c r="AM18" s="182">
        <f>SFP!AL43/SFP!AL32</f>
        <v>0.13762297479401364</v>
      </c>
      <c r="AN18" s="182">
        <f>SFP!AM43/SFP!AM32</f>
        <v>0.13413989145541477</v>
      </c>
      <c r="AO18" s="182">
        <f>SFP!AN43/SFP!AN32</f>
        <v>0.12929322168557011</v>
      </c>
      <c r="AP18" s="182">
        <f>SFP!AO43/SFP!AO32</f>
        <v>0.14064259321189893</v>
      </c>
      <c r="AQ18" s="182">
        <f>SFP!AP43/SFP!AP32</f>
        <v>0.14075911827725884</v>
      </c>
      <c r="AR18" s="182">
        <f>SFP!AQ43/SFP!AQ32</f>
        <v>0.13591716419020961</v>
      </c>
      <c r="AS18" s="182">
        <f>SFP!AR43/SFP!AR32</f>
        <v>0.14213121355683189</v>
      </c>
      <c r="AT18" s="182">
        <f>SFP!AS43/SFP!AS32</f>
        <v>0.1382064107570232</v>
      </c>
      <c r="AU18" s="182">
        <f>SFP!AT43/SFP!AT32</f>
        <v>0.13214191438453837</v>
      </c>
      <c r="AV18" s="182">
        <f>SFP!AU43/SFP!AU32</f>
        <v>0.12722572578799529</v>
      </c>
      <c r="AW18" s="182">
        <f>SFP!AV43/SFP!AV32</f>
        <v>0.12224069869029322</v>
      </c>
      <c r="AX18" s="182">
        <f>SFP!AW43/SFP!AW32</f>
        <v>0.17400336203899655</v>
      </c>
      <c r="AY18" s="182">
        <f>SFP!AX43/SFP!AX32</f>
        <v>0.14291578332989291</v>
      </c>
      <c r="AZ18" s="182">
        <f>SFP!AY43/SFP!AY32</f>
        <v>0.13480627088850722</v>
      </c>
      <c r="BA18" s="182">
        <f>SFP!AZ43/SFP!AZ32</f>
        <v>0.12980689526086123</v>
      </c>
      <c r="BB18" s="182">
        <f>SFP!BA43/SFP!BA32</f>
        <v>0.12980689526057684</v>
      </c>
      <c r="BC18" s="182">
        <f>SFP!BB43/SFP!BB32</f>
        <v>0.11702680049923042</v>
      </c>
      <c r="BD18" s="183">
        <f>SFP!BC43/SFP!BC32</f>
        <v>0.1730516213929659</v>
      </c>
      <c r="BE18" s="183">
        <f>SFP!BD43/SFP!BD32</f>
        <v>0.16864921609181582</v>
      </c>
      <c r="BF18" s="183">
        <f>SFP!BE43/SFP!BE32</f>
        <v>0.16935986595395788</v>
      </c>
      <c r="BG18" s="183">
        <f>SFP!BF43/SFP!BF32</f>
        <v>0.16195172422320306</v>
      </c>
      <c r="BH18" s="183">
        <f>SFP!BG43/SFP!BG32</f>
        <v>0.15253024851572017</v>
      </c>
      <c r="BI18" s="183">
        <f>SFP!BH43/SFP!BH32</f>
        <v>0.14823030900679177</v>
      </c>
      <c r="BJ18" s="183">
        <f>SFP!BI43/SFP!BI32</f>
        <v>0.14637509832821488</v>
      </c>
      <c r="BK18" s="183">
        <f>SFP!BJ43/SFP!BJ32</f>
        <v>0.14556692098447097</v>
      </c>
      <c r="BL18" s="183">
        <f>SFP!BK43/SFP!BK32</f>
        <v>0.14525969082292922</v>
      </c>
      <c r="BM18" s="183">
        <f>SFP!BL43/SFP!BL32</f>
        <v>0.13731571725198319</v>
      </c>
      <c r="BN18" s="183">
        <f>SFP!BM43/SFP!BM32</f>
        <v>0.13493631041775153</v>
      </c>
      <c r="BO18" s="183">
        <f>SFP!BN43/SFP!BN32</f>
        <v>0.12731296999805986</v>
      </c>
      <c r="BP18" s="183">
        <f>SFP!BO43/SFP!BO32</f>
        <v>0.12348181464762638</v>
      </c>
      <c r="BQ18" s="183">
        <f>SFP!BP43/SFP!BP32</f>
        <v>0.14383376385726912</v>
      </c>
      <c r="BR18" s="183">
        <f>SFP!BQ43/SFP!BQ32</f>
        <v>0.14402912677260649</v>
      </c>
      <c r="BS18" s="183" t="e">
        <f>SFP!#REF!/SFP!#REF!</f>
        <v>#REF!</v>
      </c>
      <c r="BT18" s="183">
        <f>SFP!BR43/SFP!BR32</f>
        <v>0.14525818507717392</v>
      </c>
      <c r="BU18" s="183">
        <f>SFP!BS43/SFP!BS32</f>
        <v>0.14398504790895586</v>
      </c>
      <c r="BV18" s="183">
        <f>SFP!BT43/SFP!BT32</f>
        <v>0.14080272535284299</v>
      </c>
      <c r="BW18" s="183">
        <f>SFP!BU43/SFP!BU32</f>
        <v>0.13079395229404206</v>
      </c>
      <c r="BX18" s="183">
        <f>SFP!BV43/SFP!BV32</f>
        <v>0.16225955190977992</v>
      </c>
      <c r="BY18" s="183" t="e">
        <f>SFP!BX43/SFP!BX32</f>
        <v>#DIV/0!</v>
      </c>
      <c r="BZ18" s="183">
        <f>SFP!BY43/SFP!BY32</f>
        <v>0.15507690253640022</v>
      </c>
      <c r="CA18" s="183" t="e">
        <f>SFP!#REF!/SFP!CA32</f>
        <v>#REF!</v>
      </c>
      <c r="CB18" s="183">
        <f>SFP!CB43/SFP!CB32</f>
        <v>0.14690899460883039</v>
      </c>
      <c r="CC18" s="183">
        <f>SFP!CC43/SFP!CC32</f>
        <v>0.14023274162095517</v>
      </c>
      <c r="CD18" s="183">
        <f>SFP!CD43/SFP!CD32</f>
        <v>0.13550234023137211</v>
      </c>
      <c r="CE18" s="183">
        <f>SFP!CE43/SFP!CE32</f>
        <v>0.12529638371718402</v>
      </c>
      <c r="CF18" s="183">
        <f>SFP!CF43/SFP!CF32</f>
        <v>0.12981891572434129</v>
      </c>
      <c r="CG18" s="183">
        <f>SFP!CG43/SFP!CG32</f>
        <v>0.12378071950813621</v>
      </c>
    </row>
    <row r="19" spans="1:85">
      <c r="A19" s="397"/>
      <c r="B19" s="161" t="s">
        <v>292</v>
      </c>
      <c r="C19" s="162"/>
      <c r="D19" s="170">
        <f>SFP!C10/SFP!C32</f>
        <v>7.9574370053672461E-2</v>
      </c>
      <c r="E19" s="170">
        <f>SFP!D10/SFP!D32</f>
        <v>6.8043019743179861E-2</v>
      </c>
      <c r="F19" s="170">
        <f>SFP!E10/SFP!E32</f>
        <v>8.3658669556471971E-2</v>
      </c>
      <c r="G19" s="170">
        <f>SFP!F10/SFP!F32</f>
        <v>6.6572033504463668E-2</v>
      </c>
      <c r="H19" s="170">
        <f>SFP!G10/SFP!G32</f>
        <v>4.2001041557478545E-2</v>
      </c>
      <c r="I19" s="170">
        <f>SFP!H10/SFP!H32</f>
        <v>6.5497577664915652E-2</v>
      </c>
      <c r="J19" s="170">
        <f>SFP!I10/SFP!I32</f>
        <v>3.541277395117453E-2</v>
      </c>
      <c r="K19" s="170">
        <f>SFP!J10/SFP!J32</f>
        <v>6.3840437551375598E-2</v>
      </c>
      <c r="L19" s="170">
        <f>SFP!K10/SFP!K32</f>
        <v>7.3143108242080257E-2</v>
      </c>
      <c r="M19" s="170">
        <f>SFP!L10/SFP!L32</f>
        <v>7.0246378340158788E-2</v>
      </c>
      <c r="N19" s="170">
        <f>SFP!M10/SFP!M32</f>
        <v>5.7190807242676729E-2</v>
      </c>
      <c r="O19" s="170">
        <f>SFP!N10/SFP!N32</f>
        <v>0.1464492099205176</v>
      </c>
      <c r="P19" s="170">
        <f>SFP!O10/SFP!O32</f>
        <v>7.9858607280460278E-2</v>
      </c>
      <c r="Q19" s="170">
        <f>SFP!P10/SFP!P32</f>
        <v>4.678268181127479E-2</v>
      </c>
      <c r="R19" s="170">
        <f>SFP!Q10/SFP!Q32</f>
        <v>5.6066648535297317E-2</v>
      </c>
      <c r="S19" s="170">
        <f>SFP!R10/SFP!R32</f>
        <v>4.5831941585232995E-2</v>
      </c>
      <c r="T19" s="170">
        <f>SFP!S10/SFP!S32</f>
        <v>5.5869988264549302E-2</v>
      </c>
      <c r="U19" s="170">
        <f>SFP!T10/SFP!T32</f>
        <v>9.287363918167009E-2</v>
      </c>
      <c r="V19" s="170">
        <f>SFP!U10/SFP!U32</f>
        <v>9.2672727968414595E-2</v>
      </c>
      <c r="W19" s="170">
        <f>SFP!V10/SFP!V32</f>
        <v>8.5018277571288867E-2</v>
      </c>
      <c r="X19" s="170">
        <f>SFP!W10/SFP!W32</f>
        <v>0.11589869173557814</v>
      </c>
      <c r="Y19" s="170">
        <f>SFP!X10/SFP!X32</f>
        <v>0.12872736640088173</v>
      </c>
      <c r="Z19" s="170">
        <f>SFP!Y10/SFP!Y32</f>
        <v>0.13215354481996244</v>
      </c>
      <c r="AA19" s="170">
        <f>SFP!Z10/SFP!Z32</f>
        <v>0.12746853289385729</v>
      </c>
      <c r="AB19" s="170">
        <f>SFP!AA10/SFP!AA32</f>
        <v>0.12234782496667733</v>
      </c>
      <c r="AC19" s="170">
        <f>SFP!AB10/SFP!AB32</f>
        <v>0.11832901489210843</v>
      </c>
      <c r="AD19" s="170">
        <f>SFP!AC10/SFP!AC32</f>
        <v>0.11256660507113002</v>
      </c>
      <c r="AE19" s="170">
        <f>SFP!AD10/SFP!AD32</f>
        <v>0.10627784642178481</v>
      </c>
      <c r="AF19" s="170">
        <f>SFP!AE10/SFP!AE32</f>
        <v>9.2162128027643828E-2</v>
      </c>
      <c r="AG19" s="170">
        <f>SFP!AF10/SFP!AF32</f>
        <v>9.8588158087130312E-2</v>
      </c>
      <c r="AH19" s="170">
        <f>SFP!AG10/SFP!AG32</f>
        <v>7.7544195556393344E-2</v>
      </c>
      <c r="AI19" s="170">
        <f>SFP!AH10/SFP!AH32</f>
        <v>6.8121290571149809E-2</v>
      </c>
      <c r="AJ19" s="170">
        <f>SFP!AI10/SFP!AI32</f>
        <v>6.3475511270348922E-2</v>
      </c>
      <c r="AK19" s="170">
        <f>SFP!AJ10/SFP!AJ32</f>
        <v>7.430013135938307E-2</v>
      </c>
      <c r="AL19" s="170">
        <f>SFP!AK10/SFP!AK32</f>
        <v>5.9851506546944516E-2</v>
      </c>
      <c r="AM19" s="170">
        <f>SFP!AL10/SFP!AL32</f>
        <v>6.1433295342550043E-2</v>
      </c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</row>
    <row r="20" spans="1:85">
      <c r="A20" s="161"/>
      <c r="B20" s="161"/>
      <c r="C20" s="162"/>
      <c r="D20" s="184"/>
      <c r="E20" s="172"/>
      <c r="F20" s="172"/>
      <c r="G20" s="156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73"/>
      <c r="BE20" s="173"/>
      <c r="BF20" s="173"/>
      <c r="BG20" s="173"/>
      <c r="BH20" s="173"/>
      <c r="BI20" s="173"/>
      <c r="BJ20" s="173"/>
      <c r="BK20" s="173"/>
      <c r="BL20" s="173"/>
      <c r="BM20" s="173"/>
      <c r="BN20" s="173"/>
      <c r="BO20" s="173"/>
      <c r="BP20" s="173"/>
      <c r="BQ20" s="173"/>
      <c r="BR20" s="173"/>
      <c r="BS20" s="173"/>
      <c r="BT20" s="173"/>
      <c r="BU20" s="173"/>
      <c r="BV20" s="173"/>
      <c r="BW20" s="173"/>
      <c r="BX20" s="173"/>
      <c r="BY20" s="173"/>
      <c r="BZ20" s="173"/>
      <c r="CA20" s="173"/>
      <c r="CB20" s="173"/>
      <c r="CC20" s="173"/>
      <c r="CD20" s="173"/>
      <c r="CE20" s="173"/>
      <c r="CF20" s="173"/>
      <c r="CG20" s="173"/>
    </row>
    <row r="21" spans="1:85">
      <c r="A21" s="397" t="s">
        <v>293</v>
      </c>
      <c r="B21" s="161" t="s">
        <v>294</v>
      </c>
      <c r="C21" s="162" t="s">
        <v>295</v>
      </c>
      <c r="D21" s="176">
        <f>(SFP!C13+SFP!C22+SFP!C26-SFP!C27)/SFP!C32</f>
        <v>0.29130010985712573</v>
      </c>
      <c r="E21" s="176">
        <f>(SFP!D13+SFP!D22+SFP!D26-SFP!D27)/SFP!D32</f>
        <v>0.54340848505843276</v>
      </c>
      <c r="F21" s="178">
        <f>(SFP!E13+SFP!E22+SFP!E26-SFP!E27)/SFP!E32</f>
        <v>0.46341821421255114</v>
      </c>
      <c r="G21" s="178">
        <f>(SFP!F13+SFP!F22+SFP!F26-SFP!F27)/SFP!F32</f>
        <v>0.36316192275314657</v>
      </c>
      <c r="H21" s="178">
        <f>(SFP!G13+SFP!G22+SFP!G26-SFP!G27)/SFP!G32</f>
        <v>0.46515255427843971</v>
      </c>
      <c r="I21" s="178">
        <f>(SFP!H13+SFP!H22+SFP!H26-SFP!H27)/SFP!H32</f>
        <v>0.47631495988942335</v>
      </c>
      <c r="J21" s="178">
        <f>(SFP!I13+SFP!I22+SFP!I26-SFP!I27)/SFP!I32</f>
        <v>0.51238502574854472</v>
      </c>
      <c r="K21" s="178">
        <f>(SFP!J13+SFP!J22+SFP!J26-SFP!J27)/SFP!J32</f>
        <v>0.1036539977264533</v>
      </c>
      <c r="L21" s="178">
        <f>(SFP!K13+SFP!K22+SFP!K26-SFP!K27)/SFP!K32</f>
        <v>0.4763399434476327</v>
      </c>
      <c r="M21" s="178">
        <f>(SFP!L13+SFP!L22+SFP!L26-SFP!L27)/SFP!L32</f>
        <v>0.470491068286571</v>
      </c>
      <c r="N21" s="178">
        <f>(SFP!M13+SFP!M22+SFP!M26-SFP!M27)/SFP!M32</f>
        <v>0.48319611597604306</v>
      </c>
      <c r="O21" s="178">
        <f>(SFP!N13+SFP!N22+SFP!N26-SFP!N27)/SFP!N32</f>
        <v>9.7308481695388693E-2</v>
      </c>
      <c r="P21" s="178">
        <f>(SFP!O13+SFP!O22+SFP!O26-SFP!O27)/SFP!O32</f>
        <v>0.43973487508060133</v>
      </c>
      <c r="Q21" s="178">
        <f>(SFP!P13+SFP!P22+SFP!P26-SFP!P27)/SFP!P32</f>
        <v>0.47423339469855336</v>
      </c>
      <c r="R21" s="178">
        <f>(SFP!Q13+SFP!Q22+SFP!Q26-SFP!Q27)/SFP!Q32</f>
        <v>0.45182757358316206</v>
      </c>
      <c r="S21" s="178">
        <f>(SFP!R13+SFP!R22+SFP!R26-SFP!R27)/SFP!R32</f>
        <v>0.56655662912331706</v>
      </c>
      <c r="T21" s="178">
        <f>(SFP!S13+SFP!S22+SFP!S26-SFP!S27)/SFP!S32</f>
        <v>0.42545802585587522</v>
      </c>
      <c r="U21" s="178">
        <f>(SFP!T13+SFP!T22+SFP!T26-SFP!T27)/SFP!T32</f>
        <v>0.51644194004073385</v>
      </c>
      <c r="V21" s="178">
        <f>(SFP!U13+SFP!U22+SFP!U26-SFP!U27)/SFP!U32</f>
        <v>0.50618591493018361</v>
      </c>
      <c r="W21" s="178">
        <f>(SFP!V13+SFP!V22+SFP!V26-SFP!V27)/SFP!V32</f>
        <v>0.5028894608711878</v>
      </c>
      <c r="X21" s="178">
        <f>(SFP!W13+SFP!W22+SFP!W26-SFP!W27)/SFP!W32</f>
        <v>0.42353438723841652</v>
      </c>
      <c r="Y21" s="178">
        <f>(SFP!X13+SFP!X22+SFP!X26-SFP!X27)/SFP!X32</f>
        <v>0.39764133737611906</v>
      </c>
      <c r="Z21" s="178">
        <f>(SFP!Y13+SFP!Y22+SFP!Y26-SFP!Y27)/SFP!Y32</f>
        <v>0.39588027900162076</v>
      </c>
      <c r="AA21" s="178">
        <f>(SFP!Z13+SFP!Z22+SFP!Z26-SFP!Z27)/SFP!Z32</f>
        <v>0.38486707937963716</v>
      </c>
      <c r="AB21" s="178">
        <f>(SFP!AA13+SFP!AA22+SFP!AA26-SFP!AA27)/SFP!AA32</f>
        <v>0.38668394817555007</v>
      </c>
      <c r="AC21" s="178">
        <f>(SFP!AB13+SFP!AB22+SFP!AB26-SFP!AB27)/SFP!AB32</f>
        <v>0.40539985258252814</v>
      </c>
      <c r="AD21" s="178">
        <f>(SFP!AC13+SFP!AC22+SFP!AC26-SFP!AC27)/SFP!AC32</f>
        <v>0.40439102080029049</v>
      </c>
      <c r="AE21" s="178">
        <f>(SFP!AD13+SFP!AD22+SFP!AD26-SFP!AD27)/SFP!AD32</f>
        <v>0.42072940441185297</v>
      </c>
      <c r="AF21" s="178">
        <f>(SFP!AE13+SFP!AE22+SFP!AE26-SFP!AE27)/SFP!AE32</f>
        <v>0.40651455548410953</v>
      </c>
      <c r="AG21" s="178">
        <f>(SFP!AF13+SFP!AF22+SFP!AF26-SFP!AF27)/SFP!AF32</f>
        <v>0.40496716490209017</v>
      </c>
      <c r="AH21" s="178">
        <f>(SFP!AG13+SFP!AG22+SFP!AG26-SFP!AG27)/SFP!AG32</f>
        <v>0.40570956183886464</v>
      </c>
      <c r="AI21" s="178">
        <f>(SFP!AH13+SFP!AH22+SFP!AH26-SFP!AH27)/SFP!AH32</f>
        <v>0.40292761549107037</v>
      </c>
      <c r="AJ21" s="178">
        <f>(SFP!AI13+SFP!AI22+SFP!AI26-SFP!AI27)/SFP!AI32</f>
        <v>0.43746487831141917</v>
      </c>
      <c r="AK21" s="178">
        <f>(SFP!AJ13+SFP!AJ22+SFP!AJ26-SFP!AJ27)/SFP!AJ32</f>
        <v>0.42794000306215013</v>
      </c>
      <c r="AL21" s="178">
        <f>(SFP!AK13+SFP!AK22+SFP!AK26-SFP!AK27)/SFP!AK32</f>
        <v>0.43162687566801033</v>
      </c>
      <c r="AM21" s="178">
        <f>(SFP!AL13+SFP!AL22+SFP!AL26-SFP!AL27)/SFP!AL32</f>
        <v>0.40717465285787868</v>
      </c>
      <c r="AN21" s="178">
        <f>(SFP!AM13+SFP!AM22+SFP!AM26-SFP!AM27)/SFP!AM32</f>
        <v>0.40689437953387675</v>
      </c>
      <c r="AO21" s="178">
        <f>(SFP!AN13+SFP!AN22+SFP!AN26-SFP!AN27)/SFP!AN32</f>
        <v>0.40214776947759023</v>
      </c>
      <c r="AP21" s="178">
        <f>(SFP!AO13+SFP!AO22+SFP!AO26-SFP!AO27)/SFP!AO32</f>
        <v>0.36130880206818916</v>
      </c>
      <c r="AQ21" s="178">
        <f>(SFP!AP13+SFP!AP22+SFP!AP26-SFP!AP27)/SFP!AP32</f>
        <v>0.3744681769369983</v>
      </c>
      <c r="AR21" s="178">
        <f>(SFP!AQ13+SFP!AQ22+SFP!AQ26-SFP!AQ27)/SFP!AQ32</f>
        <v>0.48459118510806976</v>
      </c>
      <c r="AS21" s="178">
        <f>(SFP!AR13+SFP!AR22+SFP!AR26-SFP!AR27)/SFP!AR32</f>
        <v>0.35556372224947719</v>
      </c>
      <c r="AT21" s="178">
        <f>(SFP!AS13+SFP!AS22+SFP!AS26-SFP!AS27)/SFP!AS32</f>
        <v>0.35110896505212935</v>
      </c>
      <c r="AU21" s="178">
        <f>(SFP!AT13+SFP!AT22+SFP!AT26-SFP!AT27)/SFP!AT32</f>
        <v>0.37168585312135505</v>
      </c>
      <c r="AV21" s="178">
        <f>(SFP!AU13+SFP!AU22+SFP!AU26-SFP!AU27)/SFP!AU32</f>
        <v>0.36989174733502006</v>
      </c>
      <c r="AW21" s="178">
        <f>(SFP!AV13+SFP!AV22+SFP!AV26-SFP!AV27)/SFP!AV32</f>
        <v>0.39175644008165056</v>
      </c>
      <c r="AX21" s="178">
        <f>(SFP!AW13+SFP!AW22+SFP!AW26-SFP!AW27)/SFP!AW32</f>
        <v>0.11972801997032302</v>
      </c>
      <c r="AY21" s="178">
        <f>(SFP!AX13+SFP!AX22+SFP!AX26-SFP!AX27)/SFP!AX32</f>
        <v>0.38467187074161296</v>
      </c>
      <c r="AZ21" s="178">
        <f>(SFP!AY13+SFP!AY22+SFP!AY26-SFP!AY27)/SFP!AY32</f>
        <v>0.40401757102138597</v>
      </c>
      <c r="BA21" s="178">
        <f>(SFP!AZ13+SFP!AZ22+SFP!AZ26-SFP!AZ27)/SFP!AZ32</f>
        <v>0.40515776754446114</v>
      </c>
      <c r="BB21" s="178">
        <f>(SFP!BA13+SFP!BA22+SFP!BA26-SFP!BA27)/SFP!BA32</f>
        <v>0.40515776754357352</v>
      </c>
      <c r="BC21" s="178">
        <f>(SFP!BB13+SFP!BB22+SFP!BB26-SFP!BB27)/SFP!BB32</f>
        <v>0.39982341498184187</v>
      </c>
      <c r="BD21" s="179">
        <f>(SFP!BC13+SFP!BC22+SFP!BC26-SFP!BC27)/SFP!BC32</f>
        <v>0.43218494306742233</v>
      </c>
      <c r="BE21" s="179">
        <f>(SFP!BD13+SFP!BD22+SFP!BD26-SFP!BD27)/SFP!BD32</f>
        <v>0.45126861564752702</v>
      </c>
      <c r="BF21" s="179">
        <f>(SFP!BE13+SFP!BE22+SFP!BE26-SFP!BE27)/SFP!BE32</f>
        <v>0.41176357884503395</v>
      </c>
      <c r="BG21" s="179">
        <f>(SFP!BF13+SFP!BF22+SFP!BF26-SFP!BF27)/SFP!BF32</f>
        <v>0.39317758672332392</v>
      </c>
      <c r="BH21" s="179">
        <f>(SFP!BG13+SFP!BG22+SFP!BG26-SFP!BG27)/SFP!BG32</f>
        <v>0.39136741698841049</v>
      </c>
      <c r="BI21" s="179">
        <f>(SFP!BH13+SFP!BH22+SFP!BH26-SFP!BH27)/SFP!BH32</f>
        <v>0.40044126467682062</v>
      </c>
      <c r="BJ21" s="179">
        <f>(SFP!BI13+SFP!BI22+SFP!BI26-SFP!BI27)/SFP!BI32</f>
        <v>0.39286664103771107</v>
      </c>
      <c r="BK21" s="179">
        <f>(SFP!BJ13+SFP!BJ22+SFP!BJ26-SFP!BJ27)/SFP!BJ32</f>
        <v>0.40050713676560373</v>
      </c>
      <c r="BL21" s="179">
        <f>(SFP!BK13+SFP!BK22+SFP!BK26-SFP!BK27)/SFP!BK32</f>
        <v>0.39871708991880861</v>
      </c>
      <c r="BM21" s="179">
        <f>(SFP!BL13+SFP!BL22+SFP!BL26-SFP!BL27)/SFP!BL32</f>
        <v>0.37252348667844781</v>
      </c>
      <c r="BN21" s="179">
        <f>(SFP!BM13+SFP!BM22+SFP!BM26-SFP!BM27)/SFP!BM32</f>
        <v>0.38546077948328006</v>
      </c>
      <c r="BO21" s="179">
        <f>(SFP!BN13+SFP!BN22+SFP!BN26-SFP!BN27)/SFP!BN32</f>
        <v>0.44340320830270308</v>
      </c>
      <c r="BP21" s="179">
        <f>(SFP!BO13+SFP!BO22+SFP!BO26-SFP!BO27)/SFP!BO32</f>
        <v>0.4274040827213455</v>
      </c>
      <c r="BQ21" s="179">
        <f>(SFP!BP13+SFP!BP22+SFP!BP26-SFP!BP27)/SFP!BP32</f>
        <v>0.43772541824315475</v>
      </c>
      <c r="BR21" s="179">
        <f>(SFP!BQ13+SFP!BQ22+SFP!BQ26-SFP!BQ27)/SFP!BQ32</f>
        <v>0.43711888107058217</v>
      </c>
      <c r="BS21" s="179" t="e">
        <f>(SFP!#REF!+SFP!#REF!+SFP!#REF!-SFP!#REF!)/SFP!#REF!</f>
        <v>#REF!</v>
      </c>
      <c r="BT21" s="179">
        <f>(SFP!BR13+SFP!BR22+SFP!BR26-SFP!BR27)/SFP!BR32</f>
        <v>0.44161145711009953</v>
      </c>
      <c r="BU21" s="179">
        <f>(SFP!BS13+SFP!BS22+SFP!BS26-SFP!BS27)/SFP!BS32</f>
        <v>0.45842621875607537</v>
      </c>
      <c r="BV21" s="179">
        <f>(SFP!BT13+SFP!BT22+SFP!BT26-SFP!BT27)/SFP!BT32</f>
        <v>0.45042581123712444</v>
      </c>
      <c r="BW21" s="179">
        <f>(SFP!BU13+SFP!BU22+SFP!BU26-SFP!BU27)/SFP!BU32</f>
        <v>0.4682011121273581</v>
      </c>
      <c r="BX21" s="179">
        <f>(SFP!BV13+SFP!BV22+SFP!BV26-SFP!BV27)/SFP!BV32</f>
        <v>0.46195735672284827</v>
      </c>
      <c r="BY21" s="179" t="e">
        <f>(SFP!BY13+SFP!BX22+SFP!BX26-SFP!BX27)/SFP!BX32</f>
        <v>#DIV/0!</v>
      </c>
      <c r="BZ21" s="179">
        <f>(SFP!BZ13+SFP!BY22+SFP!BY26-SFP!BY27)/SFP!BY32</f>
        <v>0.42892431218035165</v>
      </c>
      <c r="CA21" s="179">
        <f>(SFP!CA13+SFP!CA22+SFP!CA26-SFP!CA27)/SFP!CA32</f>
        <v>0.41064975982839952</v>
      </c>
      <c r="CB21" s="179">
        <f>(SFP!CB13+SFP!CB22+SFP!CB26-SFP!CB27)/SFP!CB32</f>
        <v>0.41086476307258674</v>
      </c>
      <c r="CC21" s="179">
        <f>(SFP!CC13+SFP!CC22+SFP!CC26-SFP!CC27)/SFP!CC32</f>
        <v>0.38875318122858432</v>
      </c>
      <c r="CD21" s="179">
        <f>(SFP!CD13+SFP!CD22+SFP!CD26-SFP!CD27)/SFP!CD32</f>
        <v>0.40989730601006863</v>
      </c>
      <c r="CE21" s="179">
        <f>(SFP!CE13+SFP!CE22+SFP!CE26-SFP!CE27)/SFP!CE32</f>
        <v>0.37158804299813675</v>
      </c>
      <c r="CF21" s="179">
        <f>(SFP!CF13+SFP!CF22+SFP!CF26-SFP!CF27)/SFP!CF32</f>
        <v>0.35721309775382865</v>
      </c>
      <c r="CG21" s="179">
        <f>(SFP!CG13+SFP!CG22+SFP!CG26-SFP!CG27)/SFP!CG32</f>
        <v>0.34907665615139744</v>
      </c>
    </row>
    <row r="22" spans="1:85">
      <c r="A22" s="397"/>
      <c r="B22" s="161" t="s">
        <v>296</v>
      </c>
      <c r="C22" s="162" t="s">
        <v>297</v>
      </c>
      <c r="D22" s="170">
        <f>SFP!C28/SFP!C32</f>
        <v>0.24372898246777652</v>
      </c>
      <c r="E22" s="170">
        <f>SFP!D28/SFP!D32</f>
        <v>1.2961993501954249E-2</v>
      </c>
      <c r="F22" s="170">
        <f>SFP!E28/SFP!E32</f>
        <v>3.2719268000109172E-2</v>
      </c>
      <c r="G22" s="170">
        <f>SFP!F28/SFP!F32</f>
        <v>4.5988515488094614E-2</v>
      </c>
      <c r="H22" s="170">
        <f>SFP!G28/SFP!G32</f>
        <v>3.6569608471586454E-2</v>
      </c>
      <c r="I22" s="170">
        <f>SFP!H28/SFP!H32</f>
        <v>3.6337777536684573E-2</v>
      </c>
      <c r="J22" s="170">
        <f>SFP!I28/SFP!I32</f>
        <v>3.3969512679040484E-2</v>
      </c>
      <c r="K22" s="170">
        <f>SFP!J28/SFP!J32</f>
        <v>6.1138872319513406E-2</v>
      </c>
      <c r="L22" s="170">
        <f>SFP!K28/SFP!K32</f>
        <v>3.3098531448836857E-2</v>
      </c>
      <c r="M22" s="170">
        <f>SFP!L28/SFP!L32</f>
        <v>3.2721169990832501E-2</v>
      </c>
      <c r="N22" s="170">
        <f>SFP!M28/SFP!M32</f>
        <v>3.2687507834599894E-2</v>
      </c>
      <c r="O22" s="170">
        <f>SFP!N28/SFP!N32</f>
        <v>9.7308481695388693E-2</v>
      </c>
      <c r="P22" s="170">
        <f>SFP!O28/SFP!O32</f>
        <v>5.6448178745313923E-2</v>
      </c>
      <c r="Q22" s="170">
        <f>SFP!P28/SFP!P32</f>
        <v>5.6314761871427345E-2</v>
      </c>
      <c r="R22" s="170">
        <f>SFP!Q28/SFP!Q32</f>
        <v>5.5869896156273392E-2</v>
      </c>
      <c r="S22" s="170">
        <f>SFP!R28/SFP!R32</f>
        <v>2.64731170841917E-2</v>
      </c>
      <c r="T22" s="170">
        <f>SFP!S28/SFP!S32</f>
        <v>5.6511577833959561E-2</v>
      </c>
      <c r="U22" s="170">
        <f>SFP!T28/SFP!T32</f>
        <v>5.549548996440417E-2</v>
      </c>
      <c r="V22" s="170">
        <f>SFP!U28/SFP!U32</f>
        <v>5.5540679055801803E-2</v>
      </c>
      <c r="W22" s="170">
        <f>SFP!V28/SFP!V32</f>
        <v>4.143877092878296E-2</v>
      </c>
      <c r="X22" s="170">
        <f>SFP!W28/SFP!W32</f>
        <v>6.8656233850997256E-2</v>
      </c>
      <c r="Y22" s="170">
        <f>SFP!X28/SFP!X32</f>
        <v>7.0686928942467767E-2</v>
      </c>
      <c r="Z22" s="170">
        <f>SFP!Y28/SFP!Y32</f>
        <v>7.0738510112111117E-2</v>
      </c>
      <c r="AA22" s="170">
        <f>SFP!Z28/SFP!Z32</f>
        <v>7.0779336129179068E-2</v>
      </c>
      <c r="AB22" s="170">
        <f>SFP!AA28/SFP!AA32</f>
        <v>7.1070020437394979E-2</v>
      </c>
      <c r="AC22" s="170">
        <f>SFP!AB28/SFP!AB32</f>
        <v>7.1113061696951752E-2</v>
      </c>
      <c r="AD22" s="170">
        <f>SFP!AC28/SFP!AC32</f>
        <v>8.0777929017836814E-2</v>
      </c>
      <c r="AE22" s="170">
        <f>SFP!AD28/SFP!AD32</f>
        <v>7.9596132836233444E-2</v>
      </c>
      <c r="AF22" s="170">
        <f>SFP!AE28/SFP!AE32</f>
        <v>8.1471263120242457E-2</v>
      </c>
      <c r="AG22" s="170">
        <f>SFP!AF28/SFP!AF32</f>
        <v>7.9502897459611171E-2</v>
      </c>
      <c r="AH22" s="170">
        <f>SFP!AG28/SFP!AG32</f>
        <v>7.9125607486864299E-2</v>
      </c>
      <c r="AI22" s="170">
        <f>SFP!AH28/SFP!AH32</f>
        <v>7.9760521645848403E-2</v>
      </c>
      <c r="AJ22" s="170">
        <f>SFP!AI28/SFP!AI32</f>
        <v>7.5898124858999133E-2</v>
      </c>
      <c r="AK22" s="170">
        <f>SFP!AJ28/SFP!AJ32</f>
        <v>7.5368362012735154E-2</v>
      </c>
      <c r="AL22" s="170">
        <f>SFP!AK28/SFP!AK32</f>
        <v>7.5809381634457107E-2</v>
      </c>
      <c r="AM22" s="170">
        <f>SFP!AL28/SFP!AL32</f>
        <v>7.5573489167871946E-2</v>
      </c>
      <c r="AN22" s="170">
        <f>SFP!AM28/SFP!AM32</f>
        <v>7.6193079748846371E-2</v>
      </c>
      <c r="AO22" s="170">
        <f>SFP!AN28/SFP!AN32</f>
        <v>7.4607786794802886E-2</v>
      </c>
      <c r="AP22" s="170">
        <f>SFP!AO28/SFP!AO32</f>
        <v>7.5366936028680831E-2</v>
      </c>
      <c r="AQ22" s="170">
        <f>SFP!AP28/SFP!AP32</f>
        <v>7.3491369814775193E-2</v>
      </c>
      <c r="AR22" s="170">
        <f>SFP!AQ28/SFP!AQ32</f>
        <v>1.1397046346752045E-2</v>
      </c>
      <c r="AS22" s="170">
        <f>SFP!AR28/SFP!AR32</f>
        <v>8.6997409457344882E-2</v>
      </c>
      <c r="AT22" s="170">
        <f>SFP!AS28/SFP!AS32</f>
        <v>7.536178902656783E-2</v>
      </c>
      <c r="AU22" s="170">
        <f>SFP!AT28/SFP!AT32</f>
        <v>7.4774513506675536E-2</v>
      </c>
      <c r="AV22" s="170">
        <f>SFP!AU28/SFP!AU32</f>
        <v>7.4318837723216277E-2</v>
      </c>
      <c r="AW22" s="170">
        <f>SFP!AV28/SFP!AV32</f>
        <v>7.3394745378030396E-2</v>
      </c>
      <c r="AX22" s="170">
        <f>SFP!AW28/SFP!AW32</f>
        <v>0.10417487947704512</v>
      </c>
      <c r="AY22" s="170">
        <f>SFP!AX28/SFP!AX32</f>
        <v>7.2061171551313821E-2</v>
      </c>
      <c r="AZ22" s="170">
        <f>SFP!AY28/SFP!AY32</f>
        <v>7.2412117096589262E-2</v>
      </c>
      <c r="BA22" s="170">
        <f>SFP!AZ28/SFP!AZ32</f>
        <v>7.281582422323829E-2</v>
      </c>
      <c r="BB22" s="170">
        <f>SFP!BA28/SFP!BA32</f>
        <v>7.2815824223078765E-2</v>
      </c>
      <c r="BC22" s="170">
        <f>SFP!BB28/SFP!BB32</f>
        <v>7.1985747643960582E-2</v>
      </c>
      <c r="BD22" s="171">
        <f>SFP!BC28/SFP!BC32</f>
        <v>6.6549157264928702E-2</v>
      </c>
      <c r="BE22" s="171">
        <f>SFP!BD28/SFP!BD32</f>
        <v>4.9032123198050302E-2</v>
      </c>
      <c r="BF22" s="171">
        <f>SFP!BE28/SFP!BE32</f>
        <v>6.7471579547260477E-2</v>
      </c>
      <c r="BG22" s="171">
        <f>SFP!BF28/SFP!BF32</f>
        <v>6.7097073004918489E-2</v>
      </c>
      <c r="BH22" s="171">
        <f>SFP!BG28/SFP!BG32</f>
        <v>6.8364189200030262E-2</v>
      </c>
      <c r="BI22" s="171">
        <f>SFP!BH28/SFP!BH32</f>
        <v>6.8702850581501024E-2</v>
      </c>
      <c r="BJ22" s="171">
        <f>SFP!BI28/SFP!BI32</f>
        <v>6.7976253603387701E-2</v>
      </c>
      <c r="BK22" s="171">
        <f>SFP!BJ28/SFP!BJ32</f>
        <v>6.7600937933562047E-2</v>
      </c>
      <c r="BL22" s="171">
        <f>SFP!BK28/SFP!BK32</f>
        <v>6.7733922227257701E-2</v>
      </c>
      <c r="BM22" s="171">
        <f>SFP!BL28/SFP!BL32</f>
        <v>6.741416646560236E-2</v>
      </c>
      <c r="BN22" s="171">
        <f>SFP!BM28/SFP!BM32</f>
        <v>6.642913567291317E-2</v>
      </c>
      <c r="BO22" s="171">
        <f>SFP!BN28/SFP!BN32</f>
        <v>6.6173992005322702E-2</v>
      </c>
      <c r="BP22" s="171">
        <f>SFP!BO28/SFP!BO32</f>
        <v>6.6025015811659107E-2</v>
      </c>
      <c r="BQ22" s="171">
        <f>SFP!BP28/SFP!BP32</f>
        <v>6.1443634527044183E-2</v>
      </c>
      <c r="BR22" s="171">
        <f>SFP!BQ28/SFP!BQ32</f>
        <v>4.4864005419714741E-2</v>
      </c>
      <c r="BS22" s="171" t="e">
        <f>SFP!#REF!/SFP!#REF!</f>
        <v>#REF!</v>
      </c>
      <c r="BT22" s="171">
        <f>SFP!BR28/SFP!BR32</f>
        <v>6.3800131371450491E-2</v>
      </c>
      <c r="BU22" s="171">
        <f>SFP!BS28/SFP!BS32</f>
        <v>6.324094554283069E-2</v>
      </c>
      <c r="BV22" s="171">
        <f>SFP!BT28/SFP!BT32</f>
        <v>6.3585271764109996E-2</v>
      </c>
      <c r="BW22" s="171">
        <f>SFP!BU28/SFP!BU32</f>
        <v>6.2294165962581832E-2</v>
      </c>
      <c r="BX22" s="171">
        <f>SFP!BV28/SFP!BV32</f>
        <v>5.9886809504283385E-2</v>
      </c>
      <c r="BY22" s="171" t="e">
        <f>SFP!BX28/SFP!BX32</f>
        <v>#DIV/0!</v>
      </c>
      <c r="BZ22" s="171">
        <f>SFP!BY28/SFP!BY32</f>
        <v>5.9073958101414269E-2</v>
      </c>
      <c r="CA22" s="171">
        <f>SFP!CA28/SFP!CA32</f>
        <v>5.5225019779143188E-2</v>
      </c>
      <c r="CB22" s="171">
        <f>SFP!CB28/SFP!CB32</f>
        <v>5.5990443918720025E-2</v>
      </c>
      <c r="CC22" s="171">
        <f>SFP!CC28/SFP!CC32</f>
        <v>5.5481853632863502E-2</v>
      </c>
      <c r="CD22" s="171">
        <f>SFP!CD28/SFP!CD32</f>
        <v>3.9523593871039805E-2</v>
      </c>
      <c r="CE22" s="171">
        <f>SFP!CE28/SFP!CE32</f>
        <v>4.0799798351624193E-2</v>
      </c>
      <c r="CF22" s="171">
        <f>SFP!CF28/SFP!CF32</f>
        <v>5.7131815522731721E-2</v>
      </c>
      <c r="CG22" s="171">
        <f>SFP!CG28/SFP!CG32</f>
        <v>5.7016434612540273E-2</v>
      </c>
    </row>
    <row r="23" spans="1:85">
      <c r="A23" s="397"/>
      <c r="B23" s="166" t="s">
        <v>298</v>
      </c>
      <c r="C23" s="162" t="s">
        <v>297</v>
      </c>
      <c r="D23" s="170">
        <f>SFP!C18/SFP!C35</f>
        <v>1.1058338489872992E-2</v>
      </c>
      <c r="E23" s="170">
        <f>SFP!D18/SFP!D35</f>
        <v>2.070213890841335E-2</v>
      </c>
      <c r="F23" s="170">
        <f>SFP!E18/SFP!E36</f>
        <v>8.0961188468211251E-2</v>
      </c>
      <c r="G23" s="170">
        <f>SFP!F18/SFP!F36</f>
        <v>0</v>
      </c>
      <c r="H23" s="170">
        <f>SFP!G18/SFP!G36</f>
        <v>0</v>
      </c>
      <c r="I23" s="170">
        <f>SFP!H18/SFP!H36</f>
        <v>0</v>
      </c>
      <c r="J23" s="170">
        <f>SFP!I18/SFP!I36</f>
        <v>6.2080436905577296E-2</v>
      </c>
      <c r="K23" s="170">
        <f>SFP!J18/SFP!J36</f>
        <v>6.2080436905577296E-2</v>
      </c>
      <c r="L23" s="170">
        <f>SFP!K18/SFP!K36</f>
        <v>6.1583564942375074E-2</v>
      </c>
      <c r="M23" s="170">
        <f>SFP!L18/SFP!L36</f>
        <v>6.0655646731456854E-2</v>
      </c>
      <c r="N23" s="170">
        <f>SFP!M18/SFP!M36</f>
        <v>6.060176990923432E-2</v>
      </c>
      <c r="O23" s="170">
        <f>SFP!N18/SFP!N36</f>
        <v>6.0076389295229647E-2</v>
      </c>
      <c r="P23" s="170">
        <f>SFP!O18/SFP!O36</f>
        <v>5.9284192251062282E-2</v>
      </c>
      <c r="Q23" s="170">
        <f>SFP!P18/SFP!P36</f>
        <v>5.8864491612867192E-2</v>
      </c>
      <c r="R23" s="170">
        <f>SFP!Q18/SFP!Q36</f>
        <v>5.6971649985224158E-2</v>
      </c>
      <c r="S23" s="170">
        <f>SFP!R18/SFP!R36</f>
        <v>6.8162931948690539E-2</v>
      </c>
      <c r="T23" s="170">
        <f>SFP!S18/SFP!S36</f>
        <v>5.7304383961604269E-2</v>
      </c>
      <c r="U23" s="170">
        <f>SFP!T18/SFP!T36</f>
        <v>5.6748098388087628E-2</v>
      </c>
      <c r="V23" s="170">
        <f>SFP!U18/SFP!U36</f>
        <v>5.6439734886663567E-2</v>
      </c>
      <c r="W23" s="170">
        <f>SFP!V18/SFP!V36</f>
        <v>5.4769508021319878E-2</v>
      </c>
      <c r="X23" s="170">
        <f>SFP!W18/SFP!W36</f>
        <v>4.2841192007143716E-2</v>
      </c>
      <c r="Y23" s="170">
        <f>SFP!X18/SFP!X36</f>
        <v>4.2243851890767223E-2</v>
      </c>
      <c r="Z23" s="170">
        <f>SFP!Y18/SFP!Y36</f>
        <v>4.2252276798636502E-2</v>
      </c>
      <c r="AA23" s="170">
        <f>SFP!Z18/SFP!Z36</f>
        <v>4.2195377550611403E-2</v>
      </c>
      <c r="AB23" s="170">
        <f>SFP!AA18/SFP!AA36</f>
        <v>4.2212899024357133E-2</v>
      </c>
      <c r="AC23" s="170">
        <f>SFP!AB18/SFP!AB36</f>
        <v>4.1663364062863931E-2</v>
      </c>
      <c r="AD23" s="170">
        <f>SFP!AC18/SFP!AC36</f>
        <v>4.1526701306925019E-2</v>
      </c>
      <c r="AE23" s="170">
        <f>SFP!AD18/SFP!AD36</f>
        <v>4.065861952736894E-2</v>
      </c>
      <c r="AF23" s="170">
        <f>SFP!AE18/SFP!AE36</f>
        <v>6.0451835245708394E-2</v>
      </c>
      <c r="AG23" s="170">
        <f>SFP!AF18/SFP!AF36</f>
        <v>5.9079179328549031E-2</v>
      </c>
      <c r="AH23" s="170">
        <f>SFP!AG18/SFP!AG36</f>
        <v>5.8742336010044395E-2</v>
      </c>
      <c r="AI23" s="170">
        <f>SFP!AH18/SFP!AH36</f>
        <v>5.8455517025264234E-2</v>
      </c>
      <c r="AJ23" s="170">
        <f>SFP!AI18/SFP!AI36</f>
        <v>5.7908053742853197E-2</v>
      </c>
      <c r="AK23" s="170">
        <f>SFP!AJ18/SFP!AJ36</f>
        <v>5.7343153377605149E-2</v>
      </c>
      <c r="AL23" s="170">
        <f>SFP!AK18/SFP!AK36</f>
        <v>6.1848065361828714E-2</v>
      </c>
      <c r="AM23" s="170">
        <f>SFP!AL18/SFP!AL36</f>
        <v>6.1641485681751138E-2</v>
      </c>
      <c r="AN23" s="170">
        <f>SFP!AM18/SFP!AM36</f>
        <v>6.1975320453679761E-2</v>
      </c>
      <c r="AO23" s="170">
        <f>SFP!AN18/SFP!AN36</f>
        <v>6.021390697618309E-2</v>
      </c>
      <c r="AP23" s="170">
        <f>SFP!AO18/SFP!AO36</f>
        <v>5.8375518990954819E-2</v>
      </c>
      <c r="AQ23" s="170">
        <f>SFP!AP18/SFP!AP36</f>
        <v>5.7069206980563371E-2</v>
      </c>
      <c r="AR23" s="170">
        <f>SFP!AQ18/SFP!AQ36</f>
        <v>1.4651133173539544E-4</v>
      </c>
      <c r="AS23" s="170">
        <f>SFP!AR18/SFP!AR36</f>
        <v>5.7643973040404306E-2</v>
      </c>
      <c r="AT23" s="170">
        <f>SFP!AS18/SFP!AS36</f>
        <v>5.6943655718030506E-2</v>
      </c>
      <c r="AU23" s="170">
        <f>SFP!AT18/SFP!AT36</f>
        <v>5.6307702994966471E-2</v>
      </c>
      <c r="AV23" s="170">
        <f>SFP!AU18/SFP!AU36</f>
        <v>5.5836819648245863E-2</v>
      </c>
      <c r="AW23" s="170">
        <f>SFP!AV18/SFP!AV36</f>
        <v>5.5180400629624378E-2</v>
      </c>
      <c r="AX23" s="170">
        <f>SFP!AW18/SFP!AW36</f>
        <v>5.4670822983420686E-2</v>
      </c>
      <c r="AY23" s="170">
        <f>SFP!AX18/SFP!AX36</f>
        <v>5.4140281095603704E-2</v>
      </c>
      <c r="AZ23" s="170">
        <f>SFP!AY18/SFP!AY36</f>
        <v>5.3797828473894187E-2</v>
      </c>
      <c r="BA23" s="170">
        <f>SFP!AZ18/SFP!AZ36</f>
        <v>5.450077444242326E-2</v>
      </c>
      <c r="BB23" s="170">
        <f>SFP!BA18/SFP!BA36</f>
        <v>5.450077444242326E-2</v>
      </c>
      <c r="BC23" s="170">
        <f>SFP!BB18/SFP!BB36</f>
        <v>5.3355926544968436E-2</v>
      </c>
      <c r="BD23" s="171">
        <f>SFP!BC18/SFP!BC36</f>
        <v>5.1971945074230801E-2</v>
      </c>
      <c r="BE23" s="171">
        <f>SFP!BD18/SFP!BD36</f>
        <v>0.2033246770183999</v>
      </c>
      <c r="BF23" s="171">
        <f>SFP!BE18/SFP!BE36</f>
        <v>5.3136567868220012E-2</v>
      </c>
      <c r="BG23" s="171">
        <f>SFP!BF18/SFP!BF36</f>
        <v>5.3397934020786561E-2</v>
      </c>
      <c r="BH23" s="171">
        <f>SFP!BG18/SFP!BG36</f>
        <v>5.353628731874914E-2</v>
      </c>
      <c r="BI23" s="171">
        <f>SFP!BH18/SFP!BH36</f>
        <v>5.5046569848569454E-2</v>
      </c>
      <c r="BJ23" s="171">
        <f>SFP!BI18/SFP!BI36</f>
        <v>5.4391789474118726E-2</v>
      </c>
      <c r="BK23" s="171">
        <f>SFP!BJ18/SFP!BJ36</f>
        <v>5.8489901841315133E-2</v>
      </c>
      <c r="BL23" s="171">
        <f>SFP!BK18/SFP!BK36</f>
        <v>5.8376826894572527E-2</v>
      </c>
      <c r="BM23" s="171">
        <f>SFP!BL18/SFP!BL36</f>
        <v>5.3948053252290247E-2</v>
      </c>
      <c r="BN23" s="171">
        <f>SFP!BM18/SFP!BM36</f>
        <v>5.1345951298494598E-2</v>
      </c>
      <c r="BO23" s="171">
        <f>SFP!BN18/SFP!BN36</f>
        <v>5.0391929997692549E-2</v>
      </c>
      <c r="BP23" s="171">
        <f>SFP!BO18/SFP!BO36</f>
        <v>5.0090724734753629E-2</v>
      </c>
      <c r="BQ23" s="171">
        <f>SFP!BP18/SFP!BP36</f>
        <v>4.9261420937451915E-2</v>
      </c>
      <c r="BR23" s="171">
        <f>SFP!BQ18/SFP!BQ36</f>
        <v>0.18858344746290237</v>
      </c>
      <c r="BS23" s="171" t="e">
        <f>SFP!#REF!/SFP!#REF!</f>
        <v>#REF!</v>
      </c>
      <c r="BT23" s="171">
        <f>SFP!BR18/SFP!BR36</f>
        <v>4.9388611143916877E-2</v>
      </c>
      <c r="BU23" s="171">
        <f>SFP!BS18/SFP!BS36</f>
        <v>4.9683008960936706E-2</v>
      </c>
      <c r="BV23" s="171">
        <f>SFP!BT18/SFP!BT36</f>
        <v>4.9825977910433861E-2</v>
      </c>
      <c r="BW23" s="171">
        <f>SFP!BU18/SFP!BU36</f>
        <v>4.8078676764626328E-2</v>
      </c>
      <c r="BX23" s="171">
        <f>SFP!BV18/SFP!BV36</f>
        <v>4.7652233430953116E-2</v>
      </c>
      <c r="BY23" s="171" t="e">
        <f>SFP!BX18/SFP!BX36</f>
        <v>#DIV/0!</v>
      </c>
      <c r="BZ23" s="171">
        <f>SFP!BY18/SFP!BY36</f>
        <v>5.2252824885163522E-2</v>
      </c>
      <c r="CA23" s="171">
        <f>SFP!CA18/SFP!CA36</f>
        <v>5.1797112296327392E-2</v>
      </c>
      <c r="CB23" s="171">
        <f>SFP!CB18/SFP!CB36</f>
        <v>4.0139236696952775E-2</v>
      </c>
      <c r="CC23" s="171">
        <f>SFP!CC18/SFP!CC36</f>
        <v>4.7233229395389639E-2</v>
      </c>
      <c r="CD23" s="171">
        <f>SFP!CD18/SFP!CD36</f>
        <v>0.17460095790353361</v>
      </c>
      <c r="CE23" s="171">
        <f>SFP!CE18/SFP!CE36</f>
        <v>0.18157024398209815</v>
      </c>
      <c r="CF23" s="171">
        <f>SFP!CF18/SFP!CF36</f>
        <v>4.4173197454924783E-2</v>
      </c>
      <c r="CG23" s="171">
        <f>SFP!CG18/SFP!CG36</f>
        <v>4.4030624331558584E-2</v>
      </c>
    </row>
    <row r="24" spans="1:85">
      <c r="A24" s="397"/>
      <c r="B24" s="185" t="s">
        <v>299</v>
      </c>
      <c r="C24" s="186" t="s">
        <v>300</v>
      </c>
      <c r="D24" s="170">
        <f>SFP!C18/FINANCIALS!D12</f>
        <v>-0.23036353164756165</v>
      </c>
      <c r="E24" s="170">
        <f>SFP!D18/FINANCIALS!E12</f>
        <v>0.21375749752207882</v>
      </c>
      <c r="F24" s="170">
        <f>SFP!E18/FINANCIALS!F12</f>
        <v>0.41328556814211054</v>
      </c>
      <c r="G24" s="170">
        <f>SFP!F18/FINANCIALS!G12</f>
        <v>0</v>
      </c>
      <c r="H24" s="170">
        <f>SFP!G18/FINANCIALS!H12</f>
        <v>0</v>
      </c>
      <c r="I24" s="170">
        <f>SFP!H18/FINANCIALS!I12</f>
        <v>0</v>
      </c>
      <c r="J24" s="170">
        <f>SFP!I18/FINANCIALS!J12</f>
        <v>0.34567323914404846</v>
      </c>
      <c r="K24" s="170">
        <f>SFP!J18/FINANCIALS!K12</f>
        <v>0.47702802813915163</v>
      </c>
      <c r="L24" s="170">
        <f>SFP!K18/FINANCIALS!L12</f>
        <v>0.30318102687740373</v>
      </c>
      <c r="M24" s="170">
        <f>SFP!L18/FINANCIALS!M12</f>
        <v>0.29960967125699856</v>
      </c>
      <c r="N24" s="170">
        <f>SFP!M18/FINANCIALS!N12</f>
        <v>0.29897406787937075</v>
      </c>
      <c r="O24" s="170">
        <f>SFP!N18/FINANCIALS!O12</f>
        <v>0.28275981338711426</v>
      </c>
      <c r="P24" s="170">
        <f>SFP!O18/FINANCIALS!P12</f>
        <v>0.28363172058600233</v>
      </c>
      <c r="Q24" s="170">
        <f>SFP!P18/FINANCIALS!Q12</f>
        <v>0.27117694213032917</v>
      </c>
      <c r="R24" s="170">
        <f>SFP!Q18/FINANCIALS!R12</f>
        <v>0.27042384669073172</v>
      </c>
      <c r="S24" s="170">
        <f>SFP!R18/FINANCIALS!S12</f>
        <v>0.36013093770915122</v>
      </c>
      <c r="T24" s="170">
        <f>SFP!S18/FINANCIALS!T12</f>
        <v>0.2844751103981733</v>
      </c>
      <c r="U24" s="170">
        <f>SFP!T18/FINANCIALS!U12</f>
        <v>0.25349751696404482</v>
      </c>
      <c r="V24" s="170">
        <f>SFP!U18/FINANCIALS!V12</f>
        <v>0.25281122920528176</v>
      </c>
      <c r="W24" s="170">
        <f>SFP!V18/FINANCIALS!W12</f>
        <v>0.27113893763598557</v>
      </c>
      <c r="X24" s="170">
        <f>SFP!W18/FINANCIALS!X12</f>
        <v>0.13772004461830623</v>
      </c>
      <c r="Y24" s="170">
        <f>SFP!X18/FINANCIALS!Y12</f>
        <v>0.13989681799450443</v>
      </c>
      <c r="Z24" s="170">
        <f>SFP!Y18/FINANCIALS!Z12</f>
        <v>0.13639611496348081</v>
      </c>
      <c r="AA24" s="170">
        <f>SFP!Z18/FINANCIALS!AA12</f>
        <v>0.13272673872555937</v>
      </c>
      <c r="AB24" s="170">
        <f>SFP!AA18/FINANCIALS!AB12</f>
        <v>0.13039738197048995</v>
      </c>
      <c r="AC24" s="170">
        <f>SFP!AB18/FINANCIALS!AC12</f>
        <v>0.13182584446239481</v>
      </c>
      <c r="AD24" s="170">
        <f>SFP!AC18/FINANCIALS!AD12</f>
        <v>0.13277197243024302</v>
      </c>
      <c r="AE24" s="170">
        <f>SFP!AD18/FINANCIALS!AE12</f>
        <v>0.13339703962391872</v>
      </c>
      <c r="AF24" s="170">
        <f>SFP!AE18/FINANCIALS!AF12</f>
        <v>0.19665893651792182</v>
      </c>
      <c r="AG24" s="170">
        <f>SFP!AF18/FINANCIALS!AG12</f>
        <v>0.19456385102238508</v>
      </c>
      <c r="AH24" s="170">
        <f>SFP!AG18/FINANCIALS!AH12</f>
        <v>0.19374217710553404</v>
      </c>
      <c r="AI24" s="170">
        <f>SFP!AH18/FINANCIALS!AI12</f>
        <v>0.19816833477450177</v>
      </c>
      <c r="AJ24" s="170">
        <f>SFP!AI18/FINANCIALS!AJ12</f>
        <v>0.19712221918801984</v>
      </c>
      <c r="AK24" s="170">
        <f>SFP!AJ18/FINANCIALS!AK12</f>
        <v>0.1940259733876798</v>
      </c>
      <c r="AL24" s="170">
        <f>SFP!AK18/FINANCIALS!AL12</f>
        <v>0.20989013074032994</v>
      </c>
      <c r="AM24" s="170">
        <f>SFP!AL18/FINANCIALS!AM12</f>
        <v>0.20709419420437383</v>
      </c>
      <c r="AN24" s="170">
        <f>SFP!AM18/FINANCIALS!AN12</f>
        <v>0.20707138490038485</v>
      </c>
      <c r="AO24" s="170">
        <f>SFP!AN18/FINANCIALS!AO12</f>
        <v>0.20314641591726076</v>
      </c>
      <c r="AP24" s="170">
        <f>SFP!AO18/FINANCIALS!AP12</f>
        <v>0.22776384784932094</v>
      </c>
      <c r="AQ24" s="170">
        <f>SFP!AP18/FINANCIALS!AQ12</f>
        <v>0.22003948453614305</v>
      </c>
      <c r="AR24" s="170">
        <f>SFP!AQ18/FINANCIALS!AR12</f>
        <v>6.6886268225749648E-4</v>
      </c>
      <c r="AS24" s="170">
        <f>SFP!AR18/FINANCIALS!AS12</f>
        <v>0.22364226372438376</v>
      </c>
      <c r="AT24" s="170">
        <f>SFP!AS18/FINANCIALS!AT12</f>
        <v>0.22446003709218929</v>
      </c>
      <c r="AU24" s="170">
        <f>SFP!AT18/FINANCIALS!AU12</f>
        <v>0.21806169526602531</v>
      </c>
      <c r="AV24" s="170">
        <f>SFP!AU18/FINANCIALS!AV12</f>
        <v>0.21274545008902301</v>
      </c>
      <c r="AW24" s="170">
        <f>SFP!AV18/FINANCIALS!AW12</f>
        <v>0.20458481201312381</v>
      </c>
      <c r="AX24" s="170">
        <f>SFP!AW18/FINANCIALS!AX12</f>
        <v>0.21730374438471481</v>
      </c>
      <c r="AY24" s="170">
        <f>SFP!AX18/FINANCIALS!AY12</f>
        <v>0.21258796315474798</v>
      </c>
      <c r="AZ24" s="170">
        <f>SFP!AY18/FINANCIALS!AZ12</f>
        <v>0.2131172284061939</v>
      </c>
      <c r="BA24" s="170">
        <f>SFP!AZ18/FINANCIALS!BA12</f>
        <v>0.20256425000852507</v>
      </c>
      <c r="BB24" s="170">
        <f>SFP!BA18/FINANCIALS!BB12</f>
        <v>0.20256425000852507</v>
      </c>
      <c r="BC24" s="170">
        <f>SFP!BB18/FINANCIALS!BC12</f>
        <v>0.19444937216312638</v>
      </c>
      <c r="BD24" s="171">
        <f>SFP!BC18/FINANCIALS!BD12</f>
        <v>0.201793614099052</v>
      </c>
      <c r="BE24" s="171">
        <f>SFP!BD18/FINANCIALS!BE12</f>
        <v>0.81736024368097848</v>
      </c>
      <c r="BF24" s="171">
        <f>SFP!BE18/FINANCIALS!BF12</f>
        <v>0.19404885895790189</v>
      </c>
      <c r="BG24" s="171">
        <f>SFP!BF18/FINANCIALS!BG12</f>
        <v>0.17875468913314344</v>
      </c>
      <c r="BH24" s="171">
        <f>SFP!BG18/FINANCIALS!BH12</f>
        <v>0.19337031036079802</v>
      </c>
      <c r="BI24" s="171">
        <f>SFP!BH18/FINANCIALS!BI12</f>
        <v>0.20058286671896308</v>
      </c>
      <c r="BJ24" s="171">
        <f>SFP!BI18/FINANCIALS!BJ12</f>
        <v>0.20080628382388202</v>
      </c>
      <c r="BK24" s="171">
        <f>SFP!BJ18/FINANCIALS!BK12</f>
        <v>0.21631168948865159</v>
      </c>
      <c r="BL24" s="171">
        <f>SFP!BK18/FINANCIALS!BL12</f>
        <v>0.22030215552245538</v>
      </c>
      <c r="BM24" s="171">
        <f>SFP!BL18/FINANCIALS!BM12</f>
        <v>0.20189740546810922</v>
      </c>
      <c r="BN24" s="171">
        <f>SFP!BM18/FINANCIALS!BN12</f>
        <v>0.18327440670543643</v>
      </c>
      <c r="BO24" s="171">
        <f>SFP!BN18/FINANCIALS!BO12</f>
        <v>0.1859079810460911</v>
      </c>
      <c r="BP24" s="171">
        <f>SFP!BO18/FINANCIALS!BP12</f>
        <v>0.18424443286977446</v>
      </c>
      <c r="BQ24" s="171">
        <f>SFP!BP18/FINANCIALS!BQ12</f>
        <v>0.1845045096088864</v>
      </c>
      <c r="BR24" s="171">
        <f>SFP!BQ18/FINANCIALS!BR12</f>
        <v>0.7930235156477462</v>
      </c>
      <c r="BS24" s="171" t="e">
        <f>SFP!#REF!/FINANCIALS!BS12</f>
        <v>#REF!</v>
      </c>
      <c r="BT24" s="171">
        <f>SFP!BR18/FINANCIALS!BT12</f>
        <v>0.18288922704481114</v>
      </c>
      <c r="BU24" s="171">
        <f>SFP!BS18/FINANCIALS!BU12</f>
        <v>0.18131159903254213</v>
      </c>
      <c r="BV24" s="171">
        <f>SFP!BT18/FINANCIALS!BV12</f>
        <v>0.18588514197564338</v>
      </c>
      <c r="BW24" s="171">
        <f>SFP!BU18/FINANCIALS!BW12</f>
        <v>0.18471598484764595</v>
      </c>
      <c r="BX24" s="171">
        <f>SFP!BV18/FINANCIALS!BX12</f>
        <v>0.18881752197298945</v>
      </c>
      <c r="BY24" s="171">
        <f>SFP!BX18/FINANCIALS!BY12</f>
        <v>0</v>
      </c>
      <c r="BZ24" s="171">
        <f>SFP!BY18/FINANCIALS!BZ12</f>
        <v>0.19386622709003221</v>
      </c>
      <c r="CA24" s="171">
        <f>SFP!CA18/FINANCIALS!CA12</f>
        <v>0.193486168212117</v>
      </c>
      <c r="CB24" s="171">
        <f>SFP!CB18/FINANCIALS!CB12</f>
        <v>0.1462856983270733</v>
      </c>
      <c r="CC24" s="171">
        <f>SFP!CC18/FINANCIALS!CD12</f>
        <v>0.18650491945840994</v>
      </c>
      <c r="CD24" s="171">
        <f>SFP!CD18/FINANCIALS!CE12</f>
        <v>0.76508116579858065</v>
      </c>
      <c r="CE24" s="171">
        <f>SFP!CE18/FINANCIALS!CF12</f>
        <v>0.69511105432489162</v>
      </c>
      <c r="CF24" s="171" t="e">
        <f>SFP!CF18/FINANCIALS!CG12</f>
        <v>#DIV/0!</v>
      </c>
      <c r="CG24" s="171" t="e">
        <f>SFP!CG18/FINANCIALS!CH12</f>
        <v>#DIV/0!</v>
      </c>
    </row>
    <row r="25" spans="1:85">
      <c r="A25" s="397"/>
      <c r="B25" s="187" t="s">
        <v>301</v>
      </c>
      <c r="C25" s="186"/>
      <c r="D25" s="170">
        <f>FINANCIALS!D30/FINANCIALS!D4</f>
        <v>0.63617925066672065</v>
      </c>
      <c r="E25" s="170">
        <f>FINANCIALS!E30/FINANCIALS!E4</f>
        <v>0.37667725848344497</v>
      </c>
      <c r="F25" s="170">
        <f>FINANCIALS!F30/FINANCIALS!F4</f>
        <v>0.39436481145332619</v>
      </c>
      <c r="G25" s="170">
        <f>FINANCIALS!G30/FINANCIALS!G4</f>
        <v>0.5194818690036852</v>
      </c>
      <c r="H25" s="170">
        <f>FINANCIALS!H30/FINANCIALS!H4</f>
        <v>0.44903004261899837</v>
      </c>
      <c r="I25" s="170">
        <f>FINANCIALS!I30/FINANCIALS!I4</f>
        <v>0.42710872429041236</v>
      </c>
      <c r="J25" s="170">
        <f>FINANCIALS!J30/FINANCIALS!J4</f>
        <v>0.4030541064987177</v>
      </c>
      <c r="K25" s="170">
        <f>FINANCIALS!K30/FINANCIALS!K4</f>
        <v>0.74404803929127927</v>
      </c>
      <c r="L25" s="170">
        <f>FINANCIALS!L30/FINANCIALS!L4</f>
        <v>0.40262901586593602</v>
      </c>
      <c r="M25" s="170">
        <f>FINANCIALS!M30/FINANCIALS!M4</f>
        <v>0.41192059862693114</v>
      </c>
      <c r="N25" s="170">
        <f>FINANCIALS!N30/FINANCIALS!N4</f>
        <v>0.41231982543636231</v>
      </c>
      <c r="O25" s="170">
        <f>FINANCIALS!O30/FINANCIALS!O4</f>
        <v>0.68674548130181157</v>
      </c>
      <c r="P25" s="170">
        <f>FINANCIALS!P30/FINANCIALS!P4</f>
        <v>0.44009174497962195</v>
      </c>
      <c r="Q25" s="170">
        <f>FINANCIALS!Q30/FINANCIALS!Q4</f>
        <v>0.4387644359411853</v>
      </c>
      <c r="R25" s="170">
        <f>FINANCIALS!R30/FINANCIALS!R4</f>
        <v>0.45220400935500948</v>
      </c>
      <c r="S25" s="170">
        <f>FINANCIALS!S30/FINANCIALS!S4</f>
        <v>0.34184729927349389</v>
      </c>
      <c r="T25" s="170">
        <f>FINANCIALS!T30/FINANCIALS!T4</f>
        <v>0.47831193417136214</v>
      </c>
      <c r="U25" s="170">
        <f>FINANCIALS!U30/FINANCIALS!U4</f>
        <v>0.35105004972681969</v>
      </c>
      <c r="V25" s="170">
        <f>FINANCIALS!V30/FINANCIALS!V4</f>
        <v>0.36147471241510909</v>
      </c>
      <c r="W25" s="170">
        <f>FINANCIALS!W30/FINANCIALS!W4</f>
        <v>0.37284636379322333</v>
      </c>
      <c r="X25" s="170">
        <f>FINANCIALS!X30/FINANCIALS!X4</f>
        <v>0.30426382588232609</v>
      </c>
      <c r="Y25" s="170">
        <f>FINANCIALS!Y30/FINANCIALS!Y4</f>
        <v>0.31273835633754599</v>
      </c>
      <c r="Z25" s="170">
        <f>FINANCIALS!Z30/FINANCIALS!Z4</f>
        <v>0.31095583062616194</v>
      </c>
      <c r="AA25" s="170">
        <f>FINANCIALS!AA30/FINANCIALS!AA4</f>
        <v>0.32656111667857357</v>
      </c>
      <c r="AB25" s="170">
        <f>FINANCIALS!AB30/FINANCIALS!AB4</f>
        <v>0.32920331930041624</v>
      </c>
      <c r="AC25" s="170">
        <f>FINANCIALS!AC30/FINANCIALS!AC4</f>
        <v>0.31440825728303229</v>
      </c>
      <c r="AD25" s="170">
        <f>FINANCIALS!AD30/FINANCIALS!AD4</f>
        <v>0.32025698216050352</v>
      </c>
      <c r="AE25" s="170">
        <f>FINANCIALS!AE30/FINANCIALS!AE4</f>
        <v>0.31258893787246039</v>
      </c>
      <c r="AF25" s="170">
        <f>FINANCIALS!AF30/FINANCIALS!AF4</f>
        <v>0.32441528712572709</v>
      </c>
      <c r="AG25" s="170">
        <f>FINANCIALS!AG30/FINANCIALS!AG4</f>
        <v>0.32381078894361726</v>
      </c>
      <c r="AH25" s="170">
        <f>FINANCIALS!AH30/FINANCIALS!AH4</f>
        <v>0.34493160813720003</v>
      </c>
      <c r="AI25" s="170">
        <f>FINANCIALS!AI30/FINANCIALS!AI4</f>
        <v>0.35575779651131872</v>
      </c>
      <c r="AJ25" s="170">
        <f>FINANCIALS!AJ30/FINANCIALS!AJ4</f>
        <v>0.33425318436222168</v>
      </c>
      <c r="AK25" s="170">
        <f>FINANCIALS!AK30/FINANCIALS!AK4</f>
        <v>0.33410377520614093</v>
      </c>
      <c r="AL25" s="170">
        <f>FINANCIALS!AL30/FINANCIALS!AL4</f>
        <v>0.34104052572737686</v>
      </c>
      <c r="AM25" s="170">
        <f>FINANCIALS!AM30/FINANCIALS!AM4</f>
        <v>0.36454496657556756</v>
      </c>
      <c r="AN25" s="170">
        <f>FINANCIALS!AN30/FINANCIALS!AN4</f>
        <v>0.36715096102080819</v>
      </c>
      <c r="AO25" s="170">
        <f>FINANCIALS!AO30/FINANCIALS!AO4</f>
        <v>0.35503411986966543</v>
      </c>
      <c r="AP25" s="170">
        <f>FINANCIALS!AP30/FINANCIALS!AP4</f>
        <v>0.38826089681230341</v>
      </c>
      <c r="AQ25" s="170">
        <f>FINANCIALS!AQ30/FINANCIALS!AQ4</f>
        <v>0.36638693722555332</v>
      </c>
      <c r="AR25" s="170">
        <f>FINANCIALS!AR30/FINANCIALS!AR4</f>
        <v>0.35378364175634425</v>
      </c>
      <c r="AS25" s="170">
        <f>FINANCIALS!AS30/FINANCIALS!AS4</f>
        <v>0.37803126979980151</v>
      </c>
      <c r="AT25" s="170">
        <f>FINANCIALS!AT30/FINANCIALS!AT4</f>
        <v>0.38599872760104048</v>
      </c>
      <c r="AU25" s="170">
        <f>FINANCIALS!AU30/FINANCIALS!AU4</f>
        <v>0.36814521691470586</v>
      </c>
      <c r="AV25" s="170">
        <f>FINANCIALS!AV30/FINANCIALS!AV4</f>
        <v>0.36827923052104716</v>
      </c>
      <c r="AW25" s="170">
        <f>FINANCIALS!AW30/FINANCIALS!AW4</f>
        <v>0.35501562454197061</v>
      </c>
      <c r="AX25" s="170">
        <f>FINANCIALS!AX30/FINANCIALS!AX4</f>
        <v>0.50414732839956877</v>
      </c>
      <c r="AY25" s="170">
        <f>FINANCIALS!AY30/FINANCIALS!AY4</f>
        <v>0.3481647453167363</v>
      </c>
      <c r="AZ25" s="170">
        <f>FINANCIALS!AZ30/FINANCIALS!AZ4</f>
        <v>0.33197403698233907</v>
      </c>
      <c r="BA25" s="170">
        <f>FINANCIALS!BA30/FINANCIALS!BA4</f>
        <v>0.33068356775847624</v>
      </c>
      <c r="BB25" s="170">
        <f>FINANCIALS!BB30/FINANCIALS!BB4</f>
        <v>0.33068356775994256</v>
      </c>
      <c r="BC25" s="170">
        <f>FINANCIALS!BC30/FINANCIALS!BC4</f>
        <v>0.33687919082947554</v>
      </c>
      <c r="BD25" s="171">
        <f>FINANCIALS!BD30/FINANCIALS!BD4</f>
        <v>0.30697023310486621</v>
      </c>
      <c r="BE25" s="171">
        <f>FINANCIALS!BE30/FINANCIALS!BE4</f>
        <v>0.29452241106384508</v>
      </c>
      <c r="BF25" s="171">
        <f>FINANCIALS!BF30/FINANCIALS!BF4</f>
        <v>0.34382082784093754</v>
      </c>
      <c r="BG25" s="171">
        <f>FINANCIALS!BG30/FINANCIALS!BG4</f>
        <v>0.34776137480363473</v>
      </c>
      <c r="BH25" s="171">
        <f>FINANCIALS!BH30/FINANCIALS!BH4</f>
        <v>0.34742304794474049</v>
      </c>
      <c r="BI25" s="171">
        <f>FINANCIALS!BI30/FINANCIALS!BI4</f>
        <v>0.347547525199978</v>
      </c>
      <c r="BJ25" s="171">
        <f>FINANCIALS!BJ30/FINANCIALS!BJ4</f>
        <v>0.35390036948843329</v>
      </c>
      <c r="BK25" s="171">
        <f>FINANCIALS!BK30/FINANCIALS!BK4</f>
        <v>0.34410611800809815</v>
      </c>
      <c r="BL25" s="171">
        <f>FINANCIALS!BL30/FINANCIALS!BL4</f>
        <v>0.34867188506842678</v>
      </c>
      <c r="BM25" s="171">
        <f>FINANCIALS!BM30/FINANCIALS!BM4</f>
        <v>0.37628107167272407</v>
      </c>
      <c r="BN25" s="171">
        <f>FINANCIALS!BN30/FINANCIALS!BN4</f>
        <v>0.3545740258707975</v>
      </c>
      <c r="BO25" s="171">
        <f>FINANCIALS!BO30/FINANCIALS!BO4</f>
        <v>0.36954470424998676</v>
      </c>
      <c r="BP25" s="171">
        <f>FINANCIALS!BP30/FINANCIALS!BP4</f>
        <v>0.37783273166565523</v>
      </c>
      <c r="BQ25" s="171">
        <f>FINANCIALS!BQ30/FINANCIALS!BQ4</f>
        <v>0.35296896646311932</v>
      </c>
      <c r="BR25" s="171">
        <f>FINANCIALS!BR30/FINANCIALS!BR4</f>
        <v>0.35328979969750501</v>
      </c>
      <c r="BS25" s="171">
        <f>FINANCIALS!BS30/FINANCIALS!BS4</f>
        <v>0.37986727294746225</v>
      </c>
      <c r="BT25" s="171">
        <f>FINANCIALS!BT30/FINANCIALS!BT4</f>
        <v>0.36954984505787158</v>
      </c>
      <c r="BU25" s="171">
        <f>FINANCIALS!BU30/FINANCIALS!BU4</f>
        <v>0.36780779712938055</v>
      </c>
      <c r="BV25" s="171">
        <f>FINANCIALS!BV30/FINANCIALS!BV4</f>
        <v>0.35025696360467445</v>
      </c>
      <c r="BW25" s="171">
        <f>FINANCIALS!BW30/FINANCIALS!BW4</f>
        <v>0.34636509047108127</v>
      </c>
      <c r="BX25" s="171">
        <f>FINANCIALS!BX30/FINANCIALS!BX4</f>
        <v>0.35307129356328282</v>
      </c>
      <c r="BY25" s="171" t="e">
        <f>FINANCIALS!BY30/FINANCIALS!BY4</f>
        <v>#DIV/0!</v>
      </c>
      <c r="BZ25" s="171">
        <f>FINANCIALS!BZ30/FINANCIALS!BZ4</f>
        <v>0.3707005058605875</v>
      </c>
      <c r="CA25" s="171">
        <f>FINANCIALS!CA30/FINANCIALS!CA4</f>
        <v>0.37635766973045282</v>
      </c>
      <c r="CB25" s="171">
        <f>FINANCIALS!CB30/FINANCIALS!CB4</f>
        <v>0.39398109530095693</v>
      </c>
      <c r="CC25" s="171">
        <f>FINANCIALS!CD30/FINANCIALS!CD4</f>
        <v>0.38863524178557757</v>
      </c>
      <c r="CD25" s="171">
        <f>FINANCIALS!CE30/FINANCIALS!CE4</f>
        <v>0.37552560224528958</v>
      </c>
      <c r="CE25" s="171">
        <f>FINANCIALS!CF30/FINANCIALS!CF4</f>
        <v>0.39289563221042545</v>
      </c>
      <c r="CF25" s="171" t="e">
        <f>FINANCIALS!CG30/FINANCIALS!CG4</f>
        <v>#DIV/0!</v>
      </c>
      <c r="CG25" s="171" t="e">
        <f>FINANCIALS!CH30/FINANCIALS!CH4</f>
        <v>#DIV/0!</v>
      </c>
    </row>
  </sheetData>
  <mergeCells count="6">
    <mergeCell ref="A21:A25"/>
    <mergeCell ref="A1:B1"/>
    <mergeCell ref="A4:A7"/>
    <mergeCell ref="A9:A10"/>
    <mergeCell ref="A12:A14"/>
    <mergeCell ref="A16:A19"/>
  </mergeCells>
  <pageMargins left="0.7" right="0.7" top="0.75" bottom="0.75" header="0.3" footer="0.3"/>
  <pageSetup scale="2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9"/>
  <sheetViews>
    <sheetView workbookViewId="0">
      <selection activeCell="H6" sqref="H6"/>
    </sheetView>
  </sheetViews>
  <sheetFormatPr defaultRowHeight="14.45"/>
  <cols>
    <col min="2" max="2" width="12" bestFit="1" customWidth="1"/>
    <col min="3" max="3" width="28" customWidth="1"/>
    <col min="4" max="4" width="9.28515625" bestFit="1" customWidth="1"/>
    <col min="5" max="5" width="15.28515625" bestFit="1" customWidth="1"/>
    <col min="8" max="8" width="30" bestFit="1" customWidth="1"/>
  </cols>
  <sheetData>
    <row r="1" spans="1:13">
      <c r="C1" s="124">
        <v>43160</v>
      </c>
      <c r="J1" s="124">
        <v>43252</v>
      </c>
    </row>
    <row r="2" spans="1:13">
      <c r="A2" s="123"/>
      <c r="B2" s="123" t="s">
        <v>228</v>
      </c>
      <c r="C2" s="123" t="s">
        <v>229</v>
      </c>
      <c r="D2" s="123" t="s">
        <v>230</v>
      </c>
      <c r="E2" s="123" t="s">
        <v>231</v>
      </c>
      <c r="I2" t="s">
        <v>228</v>
      </c>
      <c r="J2" t="s">
        <v>229</v>
      </c>
      <c r="K2" t="s">
        <v>230</v>
      </c>
      <c r="L2" t="s">
        <v>231</v>
      </c>
    </row>
    <row r="3" spans="1:13">
      <c r="A3" s="123" t="s">
        <v>232</v>
      </c>
      <c r="B3" s="123" t="s">
        <v>233</v>
      </c>
      <c r="C3" s="123" t="s">
        <v>234</v>
      </c>
      <c r="D3" s="123" t="s">
        <v>235</v>
      </c>
      <c r="E3" s="123" t="s">
        <v>236</v>
      </c>
      <c r="H3" s="123" t="s">
        <v>232</v>
      </c>
      <c r="I3" s="123" t="s">
        <v>233</v>
      </c>
      <c r="J3" s="123" t="s">
        <v>234</v>
      </c>
      <c r="K3" s="123" t="s">
        <v>235</v>
      </c>
      <c r="L3" s="123" t="s">
        <v>236</v>
      </c>
      <c r="M3" s="123"/>
    </row>
    <row r="4" spans="1:13">
      <c r="A4" s="123" t="s">
        <v>237</v>
      </c>
      <c r="B4" s="125">
        <v>3222</v>
      </c>
      <c r="C4" s="125">
        <v>294427788.38</v>
      </c>
      <c r="D4" s="125">
        <v>0.01</v>
      </c>
      <c r="E4" s="125">
        <f>C4*D4</f>
        <v>2944277.8838</v>
      </c>
      <c r="H4" s="123" t="s">
        <v>237</v>
      </c>
      <c r="I4" s="123">
        <v>3222</v>
      </c>
      <c r="J4" s="123">
        <v>294427788.38</v>
      </c>
      <c r="K4" s="123">
        <v>0.01</v>
      </c>
      <c r="L4" s="123">
        <f>J4*K4</f>
        <v>2944277.8838</v>
      </c>
      <c r="M4" s="123"/>
    </row>
    <row r="5" spans="1:13">
      <c r="A5" s="123" t="s">
        <v>238</v>
      </c>
      <c r="B5" s="125">
        <v>404</v>
      </c>
      <c r="C5" s="125">
        <v>27566931</v>
      </c>
      <c r="D5" s="125">
        <v>0.05</v>
      </c>
      <c r="E5" s="125">
        <f>C5*D5</f>
        <v>1378346.55</v>
      </c>
      <c r="H5" s="123" t="s">
        <v>238</v>
      </c>
      <c r="I5" s="123">
        <v>404</v>
      </c>
      <c r="J5" s="123">
        <v>27566931</v>
      </c>
      <c r="K5" s="123">
        <v>0.05</v>
      </c>
      <c r="L5" s="123">
        <f>J5*K5</f>
        <v>1378346.55</v>
      </c>
      <c r="M5" s="123"/>
    </row>
    <row r="6" spans="1:13">
      <c r="A6" s="123" t="s">
        <v>239</v>
      </c>
      <c r="B6" s="125">
        <v>63</v>
      </c>
      <c r="C6" s="125">
        <v>2635489.96</v>
      </c>
      <c r="D6" s="125">
        <v>0.25</v>
      </c>
      <c r="E6" s="125">
        <f>C6*D6</f>
        <v>658872.49</v>
      </c>
      <c r="H6" s="123" t="s">
        <v>239</v>
      </c>
      <c r="I6" s="123">
        <v>63</v>
      </c>
      <c r="J6" s="123">
        <v>2635489.96</v>
      </c>
      <c r="K6" s="123">
        <v>0.25</v>
      </c>
      <c r="L6" s="123">
        <f>J6*K6</f>
        <v>658872.49</v>
      </c>
      <c r="M6" s="123"/>
    </row>
    <row r="7" spans="1:13">
      <c r="A7" s="123" t="s">
        <v>240</v>
      </c>
      <c r="B7" s="125">
        <v>131</v>
      </c>
      <c r="C7" s="125">
        <v>7050782.0099999998</v>
      </c>
      <c r="D7" s="125">
        <v>0.5</v>
      </c>
      <c r="E7" s="125">
        <f>C7*D7</f>
        <v>3525391.0049999999</v>
      </c>
      <c r="H7" s="123" t="s">
        <v>240</v>
      </c>
      <c r="I7" s="123">
        <v>131</v>
      </c>
      <c r="J7" s="123">
        <v>7050782.0099999998</v>
      </c>
      <c r="K7" s="123">
        <v>0.5</v>
      </c>
      <c r="L7" s="123">
        <f>J7*K7</f>
        <v>3525391.0049999999</v>
      </c>
      <c r="M7" s="123"/>
    </row>
    <row r="8" spans="1:13">
      <c r="A8" s="123" t="s">
        <v>241</v>
      </c>
      <c r="B8" s="125">
        <v>118</v>
      </c>
      <c r="C8" s="125">
        <v>4250500.26</v>
      </c>
      <c r="D8" s="125">
        <v>1</v>
      </c>
      <c r="E8" s="125">
        <f>C8*D8</f>
        <v>4250500.26</v>
      </c>
      <c r="H8" s="123" t="s">
        <v>241</v>
      </c>
      <c r="I8" s="123">
        <v>118</v>
      </c>
      <c r="J8" s="123">
        <v>4250500.26</v>
      </c>
      <c r="K8" s="123">
        <v>1</v>
      </c>
      <c r="L8" s="123">
        <f>J8*K8</f>
        <v>4250500.26</v>
      </c>
      <c r="M8" s="123"/>
    </row>
    <row r="9" spans="1:13">
      <c r="A9" s="123" t="s">
        <v>242</v>
      </c>
      <c r="B9" s="125">
        <f>SUM(B4:B8)</f>
        <v>3938</v>
      </c>
      <c r="C9" s="125">
        <f>SUM(C4:C8)</f>
        <v>335931491.60999995</v>
      </c>
      <c r="D9" s="125"/>
      <c r="E9" s="125">
        <f>SUM(E4:E8)</f>
        <v>12757388.1888</v>
      </c>
      <c r="H9" s="123" t="s">
        <v>242</v>
      </c>
      <c r="I9" s="123">
        <f>SUM(I4:I8)</f>
        <v>3938</v>
      </c>
      <c r="J9" s="123">
        <f>SUM(J4:J8)</f>
        <v>335931491.60999995</v>
      </c>
      <c r="K9" s="123"/>
      <c r="L9" s="123">
        <f>SUM(L4:L8)</f>
        <v>12757388.1888</v>
      </c>
      <c r="M9" s="123"/>
    </row>
    <row r="10" spans="1:13">
      <c r="A10" s="123" t="s">
        <v>243</v>
      </c>
      <c r="B10" s="125"/>
      <c r="C10" s="125"/>
      <c r="D10" s="125"/>
      <c r="E10" s="125"/>
      <c r="H10" s="123" t="s">
        <v>243</v>
      </c>
      <c r="I10" s="123"/>
      <c r="J10" s="123"/>
      <c r="K10" s="123"/>
      <c r="L10" s="123"/>
      <c r="M10" s="123"/>
    </row>
    <row r="11" spans="1:13">
      <c r="A11" s="123" t="s">
        <v>237</v>
      </c>
      <c r="B11" s="125">
        <v>0</v>
      </c>
      <c r="C11" s="125"/>
      <c r="D11" s="125">
        <v>0.01</v>
      </c>
      <c r="E11" s="125">
        <f>C11*D11</f>
        <v>0</v>
      </c>
      <c r="H11" s="123" t="s">
        <v>237</v>
      </c>
      <c r="I11" s="123">
        <v>0</v>
      </c>
      <c r="J11" s="123"/>
      <c r="K11" s="123">
        <v>0.01</v>
      </c>
      <c r="L11" s="123">
        <f>J11*K11</f>
        <v>0</v>
      </c>
      <c r="M11" s="123"/>
    </row>
    <row r="12" spans="1:13">
      <c r="A12" s="123" t="s">
        <v>238</v>
      </c>
      <c r="B12" s="125">
        <v>0</v>
      </c>
      <c r="C12" s="125"/>
      <c r="D12" s="125">
        <v>0.05</v>
      </c>
      <c r="E12" s="125">
        <f>C12*D12</f>
        <v>0</v>
      </c>
      <c r="H12" s="123" t="s">
        <v>238</v>
      </c>
      <c r="I12" s="123">
        <v>0</v>
      </c>
      <c r="J12" s="123"/>
      <c r="K12" s="123">
        <v>0.05</v>
      </c>
      <c r="L12" s="123">
        <f>J12*K12</f>
        <v>0</v>
      </c>
      <c r="M12" s="123"/>
    </row>
    <row r="13" spans="1:13">
      <c r="A13" s="123" t="s">
        <v>239</v>
      </c>
      <c r="B13" s="125">
        <v>0</v>
      </c>
      <c r="C13" s="125"/>
      <c r="D13" s="125">
        <v>0.25</v>
      </c>
      <c r="E13" s="125">
        <f>C13*D13</f>
        <v>0</v>
      </c>
      <c r="H13" s="123" t="s">
        <v>239</v>
      </c>
      <c r="I13" s="123">
        <v>0</v>
      </c>
      <c r="J13" s="123"/>
      <c r="K13" s="123">
        <v>0.25</v>
      </c>
      <c r="L13" s="123">
        <f>J13*K13</f>
        <v>0</v>
      </c>
      <c r="M13" s="123"/>
    </row>
    <row r="14" spans="1:13">
      <c r="A14" s="123" t="s">
        <v>240</v>
      </c>
      <c r="B14" s="125">
        <v>0</v>
      </c>
      <c r="C14" s="125"/>
      <c r="D14" s="125">
        <v>0.5</v>
      </c>
      <c r="E14" s="125">
        <f>C14*D14</f>
        <v>0</v>
      </c>
      <c r="H14" s="123" t="s">
        <v>240</v>
      </c>
      <c r="I14" s="123">
        <v>0</v>
      </c>
      <c r="J14" s="123"/>
      <c r="K14" s="123">
        <v>0.5</v>
      </c>
      <c r="L14" s="123">
        <f>J14*K14</f>
        <v>0</v>
      </c>
      <c r="M14" s="123"/>
    </row>
    <row r="15" spans="1:13">
      <c r="A15" s="123" t="s">
        <v>241</v>
      </c>
      <c r="B15" s="125">
        <v>0</v>
      </c>
      <c r="C15" s="125"/>
      <c r="D15" s="125">
        <v>1</v>
      </c>
      <c r="E15" s="125">
        <f>C15*D15</f>
        <v>0</v>
      </c>
      <c r="H15" s="123" t="s">
        <v>241</v>
      </c>
      <c r="I15" s="123">
        <v>0</v>
      </c>
      <c r="J15" s="123"/>
      <c r="K15" s="123">
        <v>1</v>
      </c>
      <c r="L15" s="123">
        <f>J15*K15</f>
        <v>0</v>
      </c>
      <c r="M15" s="123"/>
    </row>
    <row r="16" spans="1:13">
      <c r="A16" s="123" t="s">
        <v>242</v>
      </c>
      <c r="B16" s="125">
        <f>SUM(B10:B15)</f>
        <v>0</v>
      </c>
      <c r="C16" s="125">
        <f>SUM(C10:C15)</f>
        <v>0</v>
      </c>
      <c r="D16" s="125"/>
      <c r="E16" s="125">
        <f>SUM(E10:E15)</f>
        <v>0</v>
      </c>
      <c r="H16" s="123" t="s">
        <v>242</v>
      </c>
      <c r="I16" s="123">
        <f>SUM(I10:I15)</f>
        <v>0</v>
      </c>
      <c r="J16" s="123">
        <f>SUM(J10:J15)</f>
        <v>0</v>
      </c>
      <c r="K16" s="123"/>
      <c r="L16" s="123">
        <f>SUM(L10:L15)</f>
        <v>0</v>
      </c>
      <c r="M16" s="123"/>
    </row>
    <row r="17" spans="1:13">
      <c r="A17" s="123" t="s">
        <v>244</v>
      </c>
      <c r="B17" s="125">
        <f>B9+B16</f>
        <v>3938</v>
      </c>
      <c r="C17" s="125">
        <f>C9+C16</f>
        <v>335931491.60999995</v>
      </c>
      <c r="D17" s="125"/>
      <c r="E17" s="125">
        <f>E9+E16</f>
        <v>12757388.1888</v>
      </c>
      <c r="H17" s="123" t="s">
        <v>244</v>
      </c>
      <c r="I17" s="123">
        <f>I9+I16</f>
        <v>3938</v>
      </c>
      <c r="J17" s="123">
        <f>J9+J16</f>
        <v>335931491.60999995</v>
      </c>
      <c r="K17" s="123"/>
      <c r="L17" s="123">
        <f>L9+L16</f>
        <v>12757388.1888</v>
      </c>
      <c r="M17" s="123"/>
    </row>
    <row r="18" spans="1:13">
      <c r="B18" t="s">
        <v>302</v>
      </c>
      <c r="C18" s="126">
        <f>SUM(C6:C8)</f>
        <v>13936772.229999999</v>
      </c>
    </row>
    <row r="19" spans="1:13">
      <c r="C19" s="127">
        <f>C18/C9</f>
        <v>4.1486947720221212E-2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U54"/>
  <sheetViews>
    <sheetView topLeftCell="E27" workbookViewId="0">
      <selection activeCell="M48" sqref="M48"/>
    </sheetView>
  </sheetViews>
  <sheetFormatPr defaultRowHeight="14.45"/>
  <cols>
    <col min="2" max="2" width="14.5703125" bestFit="1" customWidth="1"/>
    <col min="4" max="4" width="13.85546875" bestFit="1" customWidth="1"/>
    <col min="5" max="5" width="22" customWidth="1"/>
    <col min="6" max="6" width="12.7109375" bestFit="1" customWidth="1"/>
    <col min="7" max="7" width="13.42578125" customWidth="1"/>
    <col min="16" max="16" width="11.140625" bestFit="1" customWidth="1"/>
    <col min="17" max="17" width="20.28515625" customWidth="1"/>
    <col min="19" max="19" width="13.7109375" bestFit="1" customWidth="1"/>
  </cols>
  <sheetData>
    <row r="1" spans="2:21">
      <c r="O1" t="s">
        <v>303</v>
      </c>
    </row>
    <row r="2" spans="2:21">
      <c r="C2" t="s">
        <v>303</v>
      </c>
      <c r="O2" t="s">
        <v>220</v>
      </c>
    </row>
    <row r="3" spans="2:21">
      <c r="C3" t="s">
        <v>220</v>
      </c>
      <c r="O3" t="s">
        <v>221</v>
      </c>
      <c r="S3" t="s">
        <v>222</v>
      </c>
    </row>
    <row r="4" spans="2:21">
      <c r="C4" t="s">
        <v>221</v>
      </c>
      <c r="G4" t="s">
        <v>222</v>
      </c>
      <c r="O4" t="s">
        <v>3</v>
      </c>
      <c r="S4">
        <v>2020</v>
      </c>
    </row>
    <row r="5" spans="2:21">
      <c r="C5" t="s">
        <v>3</v>
      </c>
      <c r="G5">
        <v>2020</v>
      </c>
      <c r="O5" t="s">
        <v>4</v>
      </c>
      <c r="S5" t="s">
        <v>304</v>
      </c>
    </row>
    <row r="6" spans="2:21">
      <c r="C6" t="s">
        <v>4</v>
      </c>
      <c r="G6" t="s">
        <v>304</v>
      </c>
      <c r="O6" t="s">
        <v>5</v>
      </c>
      <c r="S6" t="s">
        <v>305</v>
      </c>
    </row>
    <row r="7" spans="2:21">
      <c r="C7" t="s">
        <v>5</v>
      </c>
      <c r="G7" t="s">
        <v>306</v>
      </c>
      <c r="O7" t="s">
        <v>226</v>
      </c>
    </row>
    <row r="8" spans="2:21">
      <c r="C8" t="s">
        <v>226</v>
      </c>
      <c r="P8" t="s">
        <v>228</v>
      </c>
      <c r="Q8" t="s">
        <v>229</v>
      </c>
      <c r="R8" t="s">
        <v>230</v>
      </c>
      <c r="S8" t="s">
        <v>231</v>
      </c>
    </row>
    <row r="9" spans="2:21">
      <c r="D9" t="s">
        <v>228</v>
      </c>
      <c r="E9" t="s">
        <v>229</v>
      </c>
      <c r="F9" t="s">
        <v>230</v>
      </c>
      <c r="G9" t="s">
        <v>231</v>
      </c>
      <c r="N9" t="s">
        <v>256</v>
      </c>
      <c r="O9" t="s">
        <v>232</v>
      </c>
      <c r="P9" t="s">
        <v>233</v>
      </c>
      <c r="Q9" t="s">
        <v>234</v>
      </c>
      <c r="R9" t="s">
        <v>235</v>
      </c>
      <c r="S9" t="s">
        <v>236</v>
      </c>
    </row>
    <row r="10" spans="2:21">
      <c r="B10" s="128" t="s">
        <v>256</v>
      </c>
      <c r="C10" s="128" t="s">
        <v>232</v>
      </c>
      <c r="D10" s="128" t="s">
        <v>233</v>
      </c>
      <c r="E10" s="128" t="s">
        <v>234</v>
      </c>
      <c r="F10" s="128" t="s">
        <v>235</v>
      </c>
      <c r="G10" t="s">
        <v>236</v>
      </c>
      <c r="N10">
        <v>1</v>
      </c>
      <c r="O10" t="s">
        <v>237</v>
      </c>
      <c r="P10">
        <v>3273</v>
      </c>
      <c r="Q10" s="82">
        <v>391146563.20999998</v>
      </c>
      <c r="R10">
        <v>0.01</v>
      </c>
      <c r="S10" s="82">
        <v>3911465.6321</v>
      </c>
    </row>
    <row r="11" spans="2:21" ht="24.95">
      <c r="B11" s="128">
        <v>1</v>
      </c>
      <c r="C11" s="113" t="s">
        <v>237</v>
      </c>
      <c r="D11" s="113">
        <v>3407</v>
      </c>
      <c r="E11" s="130">
        <v>386124377.97000003</v>
      </c>
      <c r="F11" s="130">
        <v>0.01</v>
      </c>
      <c r="G11" s="82">
        <v>3861243.7797000003</v>
      </c>
      <c r="N11">
        <v>2</v>
      </c>
      <c r="O11" t="s">
        <v>238</v>
      </c>
      <c r="P11">
        <v>70</v>
      </c>
      <c r="Q11" s="82">
        <v>5611577.4299999997</v>
      </c>
      <c r="R11">
        <v>0.05</v>
      </c>
      <c r="S11" s="82">
        <v>280578.87150000001</v>
      </c>
    </row>
    <row r="12" spans="2:21">
      <c r="B12" s="128">
        <v>2</v>
      </c>
      <c r="C12" s="113" t="s">
        <v>238</v>
      </c>
      <c r="D12" s="113">
        <v>101</v>
      </c>
      <c r="E12" s="130">
        <v>2775685.17</v>
      </c>
      <c r="F12" s="130">
        <v>0.05</v>
      </c>
      <c r="G12" s="82">
        <v>138784.2585</v>
      </c>
      <c r="N12">
        <v>3</v>
      </c>
      <c r="O12" t="s">
        <v>239</v>
      </c>
      <c r="P12">
        <v>76</v>
      </c>
      <c r="Q12" s="82">
        <v>43245.17</v>
      </c>
      <c r="R12">
        <v>0.25</v>
      </c>
      <c r="S12" s="82">
        <v>10811.2925</v>
      </c>
    </row>
    <row r="13" spans="2:21" ht="24.95">
      <c r="B13" s="128">
        <v>3</v>
      </c>
      <c r="C13" s="113" t="s">
        <v>239</v>
      </c>
      <c r="D13" s="113">
        <v>23</v>
      </c>
      <c r="E13" s="130">
        <v>493191.67999999999</v>
      </c>
      <c r="F13" s="130">
        <v>0.25</v>
      </c>
      <c r="G13" s="82">
        <v>123297.92</v>
      </c>
      <c r="N13">
        <v>4</v>
      </c>
      <c r="O13" t="s">
        <v>240</v>
      </c>
      <c r="P13">
        <v>67</v>
      </c>
      <c r="Q13" s="82">
        <v>2261162.73</v>
      </c>
      <c r="R13">
        <v>0.5</v>
      </c>
      <c r="S13" s="82">
        <v>1130581.365</v>
      </c>
    </row>
    <row r="14" spans="2:21">
      <c r="B14" s="128">
        <v>4</v>
      </c>
      <c r="C14" s="113" t="s">
        <v>240</v>
      </c>
      <c r="D14" s="113">
        <v>57</v>
      </c>
      <c r="E14" s="130">
        <v>2242105.77</v>
      </c>
      <c r="F14" s="130">
        <v>0.5</v>
      </c>
      <c r="G14" s="82">
        <v>1121052.885</v>
      </c>
      <c r="J14" s="127">
        <f>SUM(E13:E15)/E16</f>
        <v>2.0681959204302828E-2</v>
      </c>
      <c r="N14">
        <v>5</v>
      </c>
      <c r="O14" t="s">
        <v>241</v>
      </c>
      <c r="P14">
        <v>138</v>
      </c>
      <c r="Q14" s="82">
        <v>5365881.01</v>
      </c>
      <c r="R14">
        <v>1</v>
      </c>
      <c r="S14" s="82">
        <v>5365881.01</v>
      </c>
    </row>
    <row r="15" spans="2:21">
      <c r="B15" s="128">
        <v>5</v>
      </c>
      <c r="C15" s="113" t="s">
        <v>241</v>
      </c>
      <c r="D15" s="113">
        <v>120</v>
      </c>
      <c r="E15" s="130">
        <v>5477780.3300000001</v>
      </c>
      <c r="F15" s="130">
        <v>1</v>
      </c>
      <c r="G15" s="82">
        <v>5477780.3300000001</v>
      </c>
      <c r="O15" t="s">
        <v>242</v>
      </c>
      <c r="P15">
        <v>3624</v>
      </c>
      <c r="Q15" s="82">
        <v>404428429.55000001</v>
      </c>
      <c r="S15" s="82">
        <v>10699318.1711</v>
      </c>
      <c r="U15">
        <f>SUM(Q12:Q14)/Q15</f>
        <v>1.8965751044095955E-2</v>
      </c>
    </row>
    <row r="16" spans="2:21">
      <c r="C16" s="149" t="s">
        <v>242</v>
      </c>
      <c r="D16" s="149">
        <v>3708</v>
      </c>
      <c r="E16" s="82">
        <v>397113140.92000002</v>
      </c>
      <c r="F16" s="149"/>
      <c r="G16" s="82">
        <v>10722159.1732</v>
      </c>
      <c r="O16" t="s">
        <v>243</v>
      </c>
      <c r="Q16" s="82"/>
      <c r="S16" s="82"/>
    </row>
    <row r="17" spans="2:19">
      <c r="C17" t="s">
        <v>243</v>
      </c>
      <c r="E17" s="82"/>
      <c r="G17" s="82"/>
      <c r="N17">
        <v>1</v>
      </c>
      <c r="O17" t="s">
        <v>237</v>
      </c>
      <c r="P17">
        <v>0</v>
      </c>
      <c r="Q17" s="82"/>
      <c r="R17">
        <v>0.01</v>
      </c>
      <c r="S17" s="82">
        <v>0</v>
      </c>
    </row>
    <row r="18" spans="2:19">
      <c r="B18">
        <v>1</v>
      </c>
      <c r="C18" t="s">
        <v>237</v>
      </c>
      <c r="D18">
        <v>0</v>
      </c>
      <c r="E18" s="82"/>
      <c r="F18">
        <v>0.01</v>
      </c>
      <c r="G18" s="82">
        <v>0</v>
      </c>
      <c r="N18">
        <v>2</v>
      </c>
      <c r="O18" t="s">
        <v>238</v>
      </c>
      <c r="P18">
        <v>0</v>
      </c>
      <c r="Q18" s="82"/>
      <c r="R18">
        <v>0.05</v>
      </c>
      <c r="S18" s="82">
        <v>0</v>
      </c>
    </row>
    <row r="19" spans="2:19">
      <c r="B19">
        <v>2</v>
      </c>
      <c r="C19" t="s">
        <v>238</v>
      </c>
      <c r="D19" s="150">
        <v>0</v>
      </c>
      <c r="E19" s="82"/>
      <c r="F19">
        <v>0.05</v>
      </c>
      <c r="G19" s="82">
        <v>0</v>
      </c>
      <c r="N19">
        <v>3</v>
      </c>
      <c r="O19" t="s">
        <v>239</v>
      </c>
      <c r="P19">
        <v>0</v>
      </c>
      <c r="Q19" s="82"/>
      <c r="R19">
        <v>0.25</v>
      </c>
      <c r="S19" s="82">
        <v>0</v>
      </c>
    </row>
    <row r="20" spans="2:19">
      <c r="B20">
        <v>3</v>
      </c>
      <c r="C20" t="s">
        <v>239</v>
      </c>
      <c r="D20" s="127">
        <v>0</v>
      </c>
      <c r="E20" s="82"/>
      <c r="F20">
        <v>0.25</v>
      </c>
      <c r="G20" s="82">
        <v>0</v>
      </c>
      <c r="N20">
        <v>4</v>
      </c>
      <c r="O20" t="s">
        <v>240</v>
      </c>
      <c r="P20">
        <v>0</v>
      </c>
      <c r="Q20" s="82"/>
      <c r="R20">
        <v>0.5</v>
      </c>
      <c r="S20" s="82">
        <v>0</v>
      </c>
    </row>
    <row r="21" spans="2:19">
      <c r="B21">
        <v>4</v>
      </c>
      <c r="C21" t="s">
        <v>240</v>
      </c>
      <c r="D21">
        <v>0</v>
      </c>
      <c r="E21" s="82"/>
      <c r="F21">
        <v>0.5</v>
      </c>
      <c r="G21" s="82">
        <v>0</v>
      </c>
      <c r="N21">
        <v>5</v>
      </c>
      <c r="O21" t="s">
        <v>241</v>
      </c>
      <c r="P21">
        <v>0</v>
      </c>
      <c r="Q21" s="82"/>
      <c r="R21">
        <v>1</v>
      </c>
      <c r="S21" s="82">
        <v>0</v>
      </c>
    </row>
    <row r="22" spans="2:19">
      <c r="B22">
        <v>5</v>
      </c>
      <c r="C22" t="s">
        <v>241</v>
      </c>
      <c r="D22">
        <v>0</v>
      </c>
      <c r="E22" s="82"/>
      <c r="F22">
        <v>1</v>
      </c>
      <c r="G22" s="82">
        <v>0</v>
      </c>
      <c r="O22" t="s">
        <v>242</v>
      </c>
      <c r="P22">
        <v>0</v>
      </c>
      <c r="Q22" s="82">
        <v>0</v>
      </c>
      <c r="S22" s="82">
        <v>0</v>
      </c>
    </row>
    <row r="23" spans="2:19">
      <c r="C23" t="s">
        <v>242</v>
      </c>
      <c r="D23">
        <v>0</v>
      </c>
      <c r="E23" s="82">
        <v>0</v>
      </c>
      <c r="G23" s="82">
        <v>0</v>
      </c>
      <c r="O23" t="s">
        <v>244</v>
      </c>
      <c r="P23">
        <v>3624</v>
      </c>
      <c r="Q23" s="82">
        <v>404428429.55000001</v>
      </c>
      <c r="S23" s="82">
        <v>10699318.1711</v>
      </c>
    </row>
    <row r="24" spans="2:19">
      <c r="C24" t="s">
        <v>244</v>
      </c>
      <c r="D24">
        <v>3708</v>
      </c>
      <c r="E24" s="82">
        <v>397113140.92000002</v>
      </c>
      <c r="G24" s="82">
        <v>10722159.1732</v>
      </c>
    </row>
    <row r="25" spans="2:19">
      <c r="N25" t="s">
        <v>307</v>
      </c>
    </row>
    <row r="26" spans="2:19">
      <c r="B26" t="s">
        <v>307</v>
      </c>
    </row>
    <row r="30" spans="2:19">
      <c r="C30" t="s">
        <v>303</v>
      </c>
    </row>
    <row r="31" spans="2:19">
      <c r="C31" t="s">
        <v>220</v>
      </c>
    </row>
    <row r="32" spans="2:19">
      <c r="C32" t="s">
        <v>221</v>
      </c>
      <c r="G32" t="s">
        <v>222</v>
      </c>
    </row>
    <row r="33" spans="2:9">
      <c r="C33" t="s">
        <v>3</v>
      </c>
      <c r="G33">
        <v>2020</v>
      </c>
    </row>
    <row r="34" spans="2:9">
      <c r="C34" t="s">
        <v>4</v>
      </c>
      <c r="G34" t="s">
        <v>304</v>
      </c>
    </row>
    <row r="35" spans="2:9">
      <c r="C35" t="s">
        <v>5</v>
      </c>
      <c r="G35" t="s">
        <v>308</v>
      </c>
    </row>
    <row r="36" spans="2:9">
      <c r="C36" t="s">
        <v>226</v>
      </c>
    </row>
    <row r="37" spans="2:9">
      <c r="D37" t="s">
        <v>228</v>
      </c>
      <c r="E37" t="s">
        <v>229</v>
      </c>
      <c r="F37" t="s">
        <v>230</v>
      </c>
      <c r="G37" t="s">
        <v>231</v>
      </c>
    </row>
    <row r="38" spans="2:9">
      <c r="B38" t="s">
        <v>256</v>
      </c>
      <c r="C38" t="s">
        <v>232</v>
      </c>
      <c r="D38" t="s">
        <v>233</v>
      </c>
      <c r="E38" t="s">
        <v>234</v>
      </c>
      <c r="F38" t="s">
        <v>235</v>
      </c>
      <c r="G38" t="s">
        <v>236</v>
      </c>
    </row>
    <row r="39" spans="2:9">
      <c r="B39">
        <v>1</v>
      </c>
      <c r="C39" t="s">
        <v>237</v>
      </c>
      <c r="D39">
        <v>3237</v>
      </c>
      <c r="E39" s="82">
        <v>408215478.22000003</v>
      </c>
      <c r="F39">
        <v>0.01</v>
      </c>
      <c r="G39" s="82">
        <v>4082154.7822000002</v>
      </c>
    </row>
    <row r="40" spans="2:9">
      <c r="B40">
        <v>2</v>
      </c>
      <c r="C40" t="s">
        <v>238</v>
      </c>
      <c r="D40">
        <v>213</v>
      </c>
      <c r="E40" s="82">
        <v>24513171.379999999</v>
      </c>
      <c r="F40">
        <v>0.05</v>
      </c>
      <c r="G40" s="82">
        <v>1225658.5689999999</v>
      </c>
    </row>
    <row r="41" spans="2:9">
      <c r="B41">
        <v>3</v>
      </c>
      <c r="C41" t="s">
        <v>239</v>
      </c>
      <c r="D41">
        <v>32</v>
      </c>
      <c r="E41" s="82">
        <v>2624294.5699999998</v>
      </c>
      <c r="F41">
        <v>0.25</v>
      </c>
      <c r="G41" s="82">
        <v>656073.64249999996</v>
      </c>
      <c r="I41">
        <f>SUM(E41:E43)/E44</f>
        <v>1.6185348085921331E-2</v>
      </c>
    </row>
    <row r="42" spans="2:9">
      <c r="B42">
        <v>4</v>
      </c>
      <c r="C42" t="s">
        <v>240</v>
      </c>
      <c r="D42">
        <v>8</v>
      </c>
      <c r="E42" s="82">
        <v>623978.52</v>
      </c>
      <c r="F42">
        <v>0.5</v>
      </c>
      <c r="G42" s="82">
        <v>311989.26</v>
      </c>
    </row>
    <row r="43" spans="2:9">
      <c r="B43">
        <v>5</v>
      </c>
      <c r="C43" t="s">
        <v>241</v>
      </c>
      <c r="D43">
        <v>103</v>
      </c>
      <c r="E43" s="82">
        <v>3870815.66</v>
      </c>
      <c r="F43">
        <v>1</v>
      </c>
      <c r="G43" s="82">
        <v>3870815.66</v>
      </c>
    </row>
    <row r="44" spans="2:9">
      <c r="C44" t="s">
        <v>242</v>
      </c>
      <c r="D44">
        <v>3593</v>
      </c>
      <c r="E44" s="82">
        <v>439847738.35000002</v>
      </c>
      <c r="G44" s="82">
        <v>10146691.913699999</v>
      </c>
    </row>
    <row r="45" spans="2:9">
      <c r="C45" t="s">
        <v>243</v>
      </c>
      <c r="E45" s="82"/>
      <c r="G45" s="82"/>
    </row>
    <row r="46" spans="2:9">
      <c r="B46">
        <v>1</v>
      </c>
      <c r="C46" t="s">
        <v>237</v>
      </c>
      <c r="D46">
        <v>0</v>
      </c>
      <c r="E46" s="82"/>
      <c r="F46">
        <v>0.01</v>
      </c>
      <c r="G46" s="82">
        <v>0</v>
      </c>
    </row>
    <row r="47" spans="2:9">
      <c r="B47">
        <v>2</v>
      </c>
      <c r="C47" t="s">
        <v>238</v>
      </c>
      <c r="D47">
        <v>0</v>
      </c>
      <c r="E47" s="82"/>
      <c r="F47">
        <v>0.05</v>
      </c>
      <c r="G47" s="82">
        <v>0</v>
      </c>
    </row>
    <row r="48" spans="2:9">
      <c r="B48">
        <v>3</v>
      </c>
      <c r="C48" t="s">
        <v>239</v>
      </c>
      <c r="D48">
        <v>0</v>
      </c>
      <c r="E48" s="82"/>
      <c r="F48">
        <v>0.25</v>
      </c>
      <c r="G48" s="82">
        <v>0</v>
      </c>
    </row>
    <row r="49" spans="2:7">
      <c r="B49">
        <v>4</v>
      </c>
      <c r="C49" t="s">
        <v>240</v>
      </c>
      <c r="D49">
        <v>0</v>
      </c>
      <c r="E49" s="82"/>
      <c r="F49">
        <v>0.5</v>
      </c>
      <c r="G49" s="82">
        <v>0</v>
      </c>
    </row>
    <row r="50" spans="2:7">
      <c r="B50">
        <v>5</v>
      </c>
      <c r="C50" t="s">
        <v>241</v>
      </c>
      <c r="D50">
        <v>0</v>
      </c>
      <c r="E50" s="82"/>
      <c r="F50">
        <v>1</v>
      </c>
      <c r="G50" s="82">
        <v>0</v>
      </c>
    </row>
    <row r="51" spans="2:7">
      <c r="C51" t="s">
        <v>242</v>
      </c>
      <c r="D51">
        <v>0</v>
      </c>
      <c r="E51" s="82">
        <v>0</v>
      </c>
      <c r="G51" s="82">
        <v>0</v>
      </c>
    </row>
    <row r="52" spans="2:7">
      <c r="C52" t="s">
        <v>244</v>
      </c>
      <c r="D52">
        <v>3593</v>
      </c>
      <c r="E52" s="82">
        <v>439847738.35000002</v>
      </c>
      <c r="G52" s="82">
        <v>10146691.913699999</v>
      </c>
    </row>
    <row r="53" spans="2:7">
      <c r="E53" s="82"/>
    </row>
    <row r="54" spans="2:7">
      <c r="B54" t="s">
        <v>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19D057CF-B096-49DB-98E1-70C8C481C1D0}"/>
</file>

<file path=customXml/itemProps2.xml><?xml version="1.0" encoding="utf-8"?>
<ds:datastoreItem xmlns:ds="http://schemas.openxmlformats.org/officeDocument/2006/customXml" ds:itemID="{BB990440-2A0B-4BA3-B9EC-A00CB3CD6C95}"/>
</file>

<file path=customXml/itemProps3.xml><?xml version="1.0" encoding="utf-8"?>
<ds:datastoreItem xmlns:ds="http://schemas.openxmlformats.org/officeDocument/2006/customXml" ds:itemID="{D209E9EF-B35D-4DF9-949D-2747F452F8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</dc:creator>
  <cp:keywords/>
  <dc:description/>
  <cp:lastModifiedBy>Brian Nzioka</cp:lastModifiedBy>
  <cp:revision/>
  <dcterms:created xsi:type="dcterms:W3CDTF">2013-02-05T11:43:32Z</dcterms:created>
  <dcterms:modified xsi:type="dcterms:W3CDTF">2023-05-31T06:29:26Z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2022-01-31T11:53:47Z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e86d7088-b72b-4b3c-8504-bb387977e245</vt:lpwstr>
  </property>
  <property fmtid="{D5CDD505-2E9C-101B-9397-08002B2CF9AE}" pid="9" name="MSIP_Label_6294dde6-398b-42fd-9ab1-a1959fc6b9e2_ContentBits">
    <vt:lpwstr>0</vt:lpwstr>
  </property>
  <property fmtid="{D5CDD505-2E9C-101B-9397-08002B2CF9AE}" pid="10" name="MediaServiceImageTags">
    <vt:lpwstr/>
  </property>
</Properties>
</file>
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emison\Desktop\"/>
    </mc:Choice>
  </mc:AlternateContent>
  <xr:revisionPtr revIDLastSave="60" documentId="8_{C5672BA4-F0BD-4251-B324-CAE80AD3CE4E}" xr6:coauthVersionLast="47" xr6:coauthVersionMax="47" xr10:uidLastSave="{442131D2-7230-4C8D-9EBE-C3FD30D9A030}"/>
  <bookViews>
    <workbookView xWindow="0" yWindow="0" windowWidth="19200" windowHeight="6640" firstSheet="2" xr2:uid="{00000000-000D-0000-FFFF-FFFF00000000}"/>
  </bookViews>
  <sheets>
    <sheet name="Trend" sheetId="4" r:id="rId1"/>
    <sheet name="Financials" sheetId="6" r:id="rId2"/>
    <sheet name="Prudential Ratios" sheetId="5" r:id="rId3"/>
    <sheet name="Sheet1" sheetId="7" r:id="rId4"/>
    <sheet name="FORM 4" sheetId="8" r:id="rId5"/>
  </sheets>
  <externalReferences>
    <externalReference r:id="rId6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#REF!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2">'Prudential Ratios'!$B$1:$Q$40</definedName>
    <definedName name="_xlnm.Print_Area" localSheetId="0">Trend!$A$1:$G$110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0" i="4" l="1"/>
  <c r="AU20" i="4"/>
  <c r="AV20" i="4"/>
  <c r="AW20" i="4"/>
  <c r="AX20" i="4"/>
  <c r="AY20" i="4"/>
  <c r="AZ20" i="4"/>
  <c r="BA20" i="4"/>
  <c r="BB20" i="4"/>
  <c r="BC20" i="4"/>
  <c r="BA99" i="4"/>
  <c r="BB99" i="4"/>
  <c r="BC99" i="4"/>
  <c r="AW92" i="4"/>
  <c r="AX92" i="4"/>
  <c r="AY92" i="4"/>
  <c r="AZ92" i="4"/>
  <c r="BA92" i="4"/>
  <c r="BB92" i="4"/>
  <c r="BC92" i="4"/>
  <c r="AW89" i="4"/>
  <c r="AX89" i="4"/>
  <c r="AY89" i="4"/>
  <c r="AZ89" i="4"/>
  <c r="BA89" i="4"/>
  <c r="BB89" i="4"/>
  <c r="BC89" i="4"/>
  <c r="AW81" i="4"/>
  <c r="AX81" i="4"/>
  <c r="AY81" i="4"/>
  <c r="AZ81" i="4"/>
  <c r="BA81" i="4"/>
  <c r="BB81" i="4"/>
  <c r="BC81" i="4"/>
  <c r="AW76" i="4"/>
  <c r="AX76" i="4"/>
  <c r="AY76" i="4"/>
  <c r="AZ76" i="4"/>
  <c r="BA76" i="4"/>
  <c r="BB76" i="4"/>
  <c r="BC76" i="4"/>
  <c r="AW73" i="4"/>
  <c r="AW72" i="4" s="1"/>
  <c r="AW88" i="4" s="1"/>
  <c r="AX73" i="4"/>
  <c r="AX72" i="4" s="1"/>
  <c r="AX88" i="4" s="1"/>
  <c r="AY73" i="4"/>
  <c r="AY72" i="4" s="1"/>
  <c r="AY88" i="4" s="1"/>
  <c r="AZ73" i="4"/>
  <c r="AZ72" i="4" s="1"/>
  <c r="AZ88" i="4" s="1"/>
  <c r="BA73" i="4"/>
  <c r="BA72" i="4" s="1"/>
  <c r="BA88" i="4" s="1"/>
  <c r="BA98" i="4" s="1"/>
  <c r="BA102" i="4" s="1"/>
  <c r="BA104" i="4" s="1"/>
  <c r="BA106" i="4" s="1"/>
  <c r="BB73" i="4"/>
  <c r="BB72" i="4" s="1"/>
  <c r="BB88" i="4" s="1"/>
  <c r="BB98" i="4" s="1"/>
  <c r="BB102" i="4" s="1"/>
  <c r="BB104" i="4" s="1"/>
  <c r="BB106" i="4" s="1"/>
  <c r="BC73" i="4"/>
  <c r="BC72" i="4" s="1"/>
  <c r="BC88" i="4" s="1"/>
  <c r="BC98" i="4" s="1"/>
  <c r="BC102" i="4" s="1"/>
  <c r="BC104" i="4" s="1"/>
  <c r="BC106" i="4" s="1"/>
  <c r="BC57" i="4"/>
  <c r="AY57" i="4"/>
  <c r="AZ57" i="4"/>
  <c r="BA57" i="4"/>
  <c r="BB57" i="4"/>
  <c r="AY53" i="4"/>
  <c r="AY63" i="4" s="1"/>
  <c r="AZ53" i="4"/>
  <c r="AZ63" i="4" s="1"/>
  <c r="BA53" i="4"/>
  <c r="BA63" i="4" s="1"/>
  <c r="BB53" i="4"/>
  <c r="BB63" i="4" s="1"/>
  <c r="BC53" i="4"/>
  <c r="BC63" i="4" s="1"/>
  <c r="AW40" i="4"/>
  <c r="AX40" i="4"/>
  <c r="AY40" i="4"/>
  <c r="AZ40" i="4"/>
  <c r="BA40" i="4"/>
  <c r="BB40" i="4"/>
  <c r="BC40" i="4"/>
  <c r="AW38" i="4"/>
  <c r="AW47" i="4" s="1"/>
  <c r="AX38" i="4"/>
  <c r="AX47" i="4" s="1"/>
  <c r="AY38" i="4"/>
  <c r="AY47" i="4" s="1"/>
  <c r="AZ38" i="4"/>
  <c r="AZ47" i="4" s="1"/>
  <c r="BA38" i="4"/>
  <c r="BA47" i="4" s="1"/>
  <c r="BB38" i="4"/>
  <c r="BB47" i="4" s="1"/>
  <c r="BC38" i="4"/>
  <c r="BC47" i="4" s="1"/>
  <c r="AW25" i="4"/>
  <c r="AX25" i="4"/>
  <c r="AY25" i="4"/>
  <c r="AZ25" i="4"/>
  <c r="BA25" i="4"/>
  <c r="BB25" i="4"/>
  <c r="BC25" i="4"/>
  <c r="AW16" i="4"/>
  <c r="AX16" i="4"/>
  <c r="AY16" i="4"/>
  <c r="AZ16" i="4"/>
  <c r="BA16" i="4"/>
  <c r="BB16" i="4"/>
  <c r="BC16" i="4"/>
  <c r="AX9" i="4"/>
  <c r="AY9" i="4"/>
  <c r="AZ9" i="4"/>
  <c r="BA9" i="4"/>
  <c r="BB9" i="4"/>
  <c r="BC9" i="4"/>
  <c r="AW3" i="4"/>
  <c r="AX3" i="4"/>
  <c r="AX32" i="4" s="1"/>
  <c r="AY3" i="4"/>
  <c r="AY32" i="4" s="1"/>
  <c r="AZ3" i="4"/>
  <c r="AZ32" i="4" s="1"/>
  <c r="BA3" i="4"/>
  <c r="BA32" i="4" s="1"/>
  <c r="BB3" i="4"/>
  <c r="BB32" i="4" s="1"/>
  <c r="BC3" i="4"/>
  <c r="BC32" i="4" s="1"/>
  <c r="AW98" i="4"/>
  <c r="AX98" i="4"/>
  <c r="AY98" i="4"/>
  <c r="AZ98" i="4"/>
  <c r="AT99" i="4"/>
  <c r="AU99" i="4"/>
  <c r="AV99" i="4"/>
  <c r="AW99" i="4"/>
  <c r="AX99" i="4"/>
  <c r="AY99" i="4"/>
  <c r="AZ99" i="4"/>
  <c r="AT92" i="4"/>
  <c r="AU92" i="4"/>
  <c r="AV92" i="4"/>
  <c r="AT89" i="4"/>
  <c r="AU89" i="4"/>
  <c r="AV89" i="4"/>
  <c r="AT81" i="4"/>
  <c r="AU81" i="4"/>
  <c r="AV81" i="4"/>
  <c r="AT76" i="4"/>
  <c r="AU76" i="4"/>
  <c r="AV76" i="4"/>
  <c r="AT73" i="4"/>
  <c r="AT72" i="4" s="1"/>
  <c r="AT88" i="4" s="1"/>
  <c r="AT98" i="4" s="1"/>
  <c r="AT102" i="4" s="1"/>
  <c r="AT104" i="4" s="1"/>
  <c r="AT106" i="4" s="1"/>
  <c r="AU73" i="4"/>
  <c r="AU72" i="4" s="1"/>
  <c r="AU88" i="4" s="1"/>
  <c r="AU98" i="4" s="1"/>
  <c r="AU102" i="4" s="1"/>
  <c r="AU104" i="4" s="1"/>
  <c r="AU106" i="4" s="1"/>
  <c r="AV73" i="4"/>
  <c r="AV72" i="4" s="1"/>
  <c r="AV88" i="4" s="1"/>
  <c r="AV98" i="4" s="1"/>
  <c r="AV102" i="4" s="1"/>
  <c r="AV104" i="4" s="1"/>
  <c r="AV106" i="4" s="1"/>
  <c r="AT40" i="4"/>
  <c r="AU40" i="4"/>
  <c r="AV40" i="4"/>
  <c r="AT38" i="4"/>
  <c r="AT47" i="4" s="1"/>
  <c r="AU38" i="4"/>
  <c r="AU47" i="4" s="1"/>
  <c r="AV38" i="4"/>
  <c r="AV47" i="4" s="1"/>
  <c r="AU25" i="4"/>
  <c r="AV25" i="4"/>
  <c r="AT3" i="4"/>
  <c r="AU3" i="4"/>
  <c r="AV3" i="4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X5" i="6"/>
  <c r="AY5" i="6"/>
  <c r="AZ5" i="6"/>
  <c r="AF6" i="6"/>
  <c r="AT6" i="6"/>
  <c r="AU6" i="6"/>
  <c r="AV6" i="6"/>
  <c r="AW6" i="6"/>
  <c r="AX6" i="6"/>
  <c r="AY6" i="6"/>
  <c r="AZ6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T8" i="6"/>
  <c r="AU8" i="6"/>
  <c r="AV8" i="6"/>
  <c r="AW8" i="6"/>
  <c r="AX8" i="6"/>
  <c r="AY8" i="6"/>
  <c r="AZ8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T10" i="6"/>
  <c r="U10" i="6"/>
  <c r="V10" i="6"/>
  <c r="V51" i="6" s="1"/>
  <c r="W10" i="6"/>
  <c r="X10" i="6"/>
  <c r="Y10" i="6"/>
  <c r="Z10" i="6"/>
  <c r="AA10" i="6"/>
  <c r="AB10" i="6"/>
  <c r="AC10" i="6"/>
  <c r="AD10" i="6"/>
  <c r="AD51" i="6" s="1"/>
  <c r="AE10" i="6"/>
  <c r="AF10" i="6"/>
  <c r="AG10" i="6"/>
  <c r="AH10" i="6"/>
  <c r="AI10" i="6"/>
  <c r="AJ10" i="6"/>
  <c r="AK10" i="6"/>
  <c r="AL10" i="6"/>
  <c r="AL51" i="6" s="1"/>
  <c r="AM10" i="6"/>
  <c r="AN10" i="6"/>
  <c r="AO10" i="6"/>
  <c r="AP10" i="6"/>
  <c r="AQ10" i="6"/>
  <c r="AR10" i="6"/>
  <c r="AT10" i="6"/>
  <c r="AT51" i="6" s="1"/>
  <c r="AU10" i="6"/>
  <c r="AV10" i="6"/>
  <c r="AW10" i="6"/>
  <c r="AX10" i="6"/>
  <c r="AY10" i="6"/>
  <c r="AZ10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AF16" i="6"/>
  <c r="AY16" i="6"/>
  <c r="AZ16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T20" i="6"/>
  <c r="AU20" i="6"/>
  <c r="AV20" i="6"/>
  <c r="AW20" i="6"/>
  <c r="AX20" i="6"/>
  <c r="AY20" i="6"/>
  <c r="AZ20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T23" i="6"/>
  <c r="U23" i="6"/>
  <c r="U21" i="6" s="1"/>
  <c r="V23" i="6"/>
  <c r="W23" i="6"/>
  <c r="W21" i="6" s="1"/>
  <c r="X23" i="6"/>
  <c r="X21" i="6" s="1"/>
  <c r="Y23" i="6"/>
  <c r="Y21" i="6" s="1"/>
  <c r="Z23" i="6"/>
  <c r="Z21" i="6" s="1"/>
  <c r="AA23" i="6"/>
  <c r="AA21" i="6" s="1"/>
  <c r="AB23" i="6"/>
  <c r="AC23" i="6"/>
  <c r="AC21" i="6" s="1"/>
  <c r="AD23" i="6"/>
  <c r="AE23" i="6"/>
  <c r="AE21" i="6" s="1"/>
  <c r="AF23" i="6"/>
  <c r="AF21" i="6" s="1"/>
  <c r="AG23" i="6"/>
  <c r="AG21" i="6" s="1"/>
  <c r="AH23" i="6"/>
  <c r="AH21" i="6" s="1"/>
  <c r="AI23" i="6"/>
  <c r="AI21" i="6" s="1"/>
  <c r="AJ23" i="6"/>
  <c r="AK23" i="6"/>
  <c r="AK21" i="6" s="1"/>
  <c r="AL23" i="6"/>
  <c r="AM23" i="6"/>
  <c r="AM21" i="6" s="1"/>
  <c r="AN23" i="6"/>
  <c r="AN21" i="6" s="1"/>
  <c r="AO23" i="6"/>
  <c r="AO21" i="6" s="1"/>
  <c r="AP23" i="6"/>
  <c r="AP21" i="6" s="1"/>
  <c r="AQ23" i="6"/>
  <c r="AQ21" i="6" s="1"/>
  <c r="AR23" i="6"/>
  <c r="AT23" i="6"/>
  <c r="AU23" i="6"/>
  <c r="AU21" i="6" s="1"/>
  <c r="AV23" i="6"/>
  <c r="AV21" i="6" s="1"/>
  <c r="AW23" i="6"/>
  <c r="AW21" i="6" s="1"/>
  <c r="AX23" i="6"/>
  <c r="AX21" i="6" s="1"/>
  <c r="AY23" i="6"/>
  <c r="AY21" i="6" s="1"/>
  <c r="AZ23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T26" i="6"/>
  <c r="AU26" i="6"/>
  <c r="AV26" i="6"/>
  <c r="AV55" i="6" s="1"/>
  <c r="AW26" i="6"/>
  <c r="AX26" i="6"/>
  <c r="AY26" i="6"/>
  <c r="AZ26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AT31" i="6"/>
  <c r="AU31" i="6"/>
  <c r="AV31" i="6"/>
  <c r="AW31" i="6"/>
  <c r="AX31" i="6"/>
  <c r="AY31" i="6"/>
  <c r="AZ31" i="6"/>
  <c r="AU32" i="6"/>
  <c r="AV32" i="6"/>
  <c r="AW32" i="6"/>
  <c r="AX32" i="6"/>
  <c r="AY32" i="6"/>
  <c r="AZ32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T36" i="6"/>
  <c r="AU36" i="6"/>
  <c r="AV36" i="6"/>
  <c r="AW36" i="6"/>
  <c r="AX36" i="6"/>
  <c r="AX39" i="6" s="1"/>
  <c r="AY36" i="6"/>
  <c r="AY39" i="6" s="1"/>
  <c r="AZ36" i="6"/>
  <c r="AF37" i="6"/>
  <c r="AR37" i="6"/>
  <c r="AT37" i="6"/>
  <c r="AU37" i="6"/>
  <c r="AV37" i="6"/>
  <c r="AW37" i="6"/>
  <c r="AX37" i="6"/>
  <c r="AY37" i="6"/>
  <c r="AZ37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T39" i="6"/>
  <c r="V39" i="6"/>
  <c r="W39" i="6"/>
  <c r="X39" i="6"/>
  <c r="AB39" i="6"/>
  <c r="AD39" i="6"/>
  <c r="AE39" i="6"/>
  <c r="AF39" i="6"/>
  <c r="AJ39" i="6"/>
  <c r="AL39" i="6"/>
  <c r="AM39" i="6"/>
  <c r="AN39" i="6"/>
  <c r="AR39" i="6"/>
  <c r="AT39" i="6"/>
  <c r="AU39" i="6"/>
  <c r="AV39" i="6"/>
  <c r="AZ39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T41" i="6"/>
  <c r="AU41" i="6"/>
  <c r="AV41" i="6"/>
  <c r="AW41" i="6"/>
  <c r="AX41" i="6"/>
  <c r="AY41" i="6"/>
  <c r="AZ41" i="6"/>
  <c r="T42" i="6"/>
  <c r="U42" i="6"/>
  <c r="X35" i="5" s="1"/>
  <c r="V42" i="6"/>
  <c r="Y35" i="5" s="1"/>
  <c r="W42" i="6"/>
  <c r="Z35" i="5" s="1"/>
  <c r="X42" i="6"/>
  <c r="AA35" i="5" s="1"/>
  <c r="Y42" i="6"/>
  <c r="AB35" i="5" s="1"/>
  <c r="Z42" i="6"/>
  <c r="AC35" i="5" s="1"/>
  <c r="AA42" i="6"/>
  <c r="AD35" i="5" s="1"/>
  <c r="AB42" i="6"/>
  <c r="AE35" i="5" s="1"/>
  <c r="AC42" i="6"/>
  <c r="AF35" i="5" s="1"/>
  <c r="AD42" i="6"/>
  <c r="AG35" i="5" s="1"/>
  <c r="AE42" i="6"/>
  <c r="AH35" i="5" s="1"/>
  <c r="AF42" i="6"/>
  <c r="AI35" i="5" s="1"/>
  <c r="AG42" i="6"/>
  <c r="AJ35" i="5" s="1"/>
  <c r="AH42" i="6"/>
  <c r="AK35" i="5" s="1"/>
  <c r="AI42" i="6"/>
  <c r="AL35" i="5" s="1"/>
  <c r="AJ42" i="6"/>
  <c r="AM35" i="5" s="1"/>
  <c r="AK42" i="6"/>
  <c r="AN35" i="5" s="1"/>
  <c r="AL42" i="6"/>
  <c r="AO35" i="5" s="1"/>
  <c r="AM42" i="6"/>
  <c r="AP35" i="5" s="1"/>
  <c r="AN42" i="6"/>
  <c r="AQ35" i="5" s="1"/>
  <c r="AO42" i="6"/>
  <c r="AR35" i="5" s="1"/>
  <c r="AP42" i="6"/>
  <c r="AS35" i="5" s="1"/>
  <c r="AQ42" i="6"/>
  <c r="AT35" i="5" s="1"/>
  <c r="AR42" i="6"/>
  <c r="AU35" i="5" s="1"/>
  <c r="AS42" i="6"/>
  <c r="AV35" i="5" s="1"/>
  <c r="AT42" i="6"/>
  <c r="AU42" i="6"/>
  <c r="AV42" i="6"/>
  <c r="AW42" i="6"/>
  <c r="AX42" i="6"/>
  <c r="AY42" i="6"/>
  <c r="AZ42" i="6"/>
  <c r="T43" i="6"/>
  <c r="U43" i="6"/>
  <c r="X36" i="5" s="1"/>
  <c r="V43" i="6"/>
  <c r="Y36" i="5" s="1"/>
  <c r="W43" i="6"/>
  <c r="Z36" i="5" s="1"/>
  <c r="X43" i="6"/>
  <c r="AA36" i="5" s="1"/>
  <c r="Y43" i="6"/>
  <c r="AB36" i="5" s="1"/>
  <c r="Z43" i="6"/>
  <c r="AC36" i="5" s="1"/>
  <c r="AA43" i="6"/>
  <c r="AD36" i="5" s="1"/>
  <c r="AB43" i="6"/>
  <c r="AE36" i="5" s="1"/>
  <c r="AC43" i="6"/>
  <c r="AF36" i="5" s="1"/>
  <c r="AD43" i="6"/>
  <c r="AG36" i="5" s="1"/>
  <c r="AE43" i="6"/>
  <c r="AH36" i="5" s="1"/>
  <c r="AF43" i="6"/>
  <c r="AI36" i="5" s="1"/>
  <c r="AG43" i="6"/>
  <c r="AJ36" i="5" s="1"/>
  <c r="AH43" i="6"/>
  <c r="AK36" i="5" s="1"/>
  <c r="AI43" i="6"/>
  <c r="AL36" i="5" s="1"/>
  <c r="AJ43" i="6"/>
  <c r="AM36" i="5" s="1"/>
  <c r="AK43" i="6"/>
  <c r="AN36" i="5" s="1"/>
  <c r="AL43" i="6"/>
  <c r="AO36" i="5" s="1"/>
  <c r="AM43" i="6"/>
  <c r="AP36" i="5" s="1"/>
  <c r="AN43" i="6"/>
  <c r="AQ36" i="5" s="1"/>
  <c r="AO43" i="6"/>
  <c r="AR36" i="5" s="1"/>
  <c r="AP43" i="6"/>
  <c r="AS36" i="5" s="1"/>
  <c r="AQ43" i="6"/>
  <c r="AT36" i="5" s="1"/>
  <c r="AR43" i="6"/>
  <c r="AU36" i="5" s="1"/>
  <c r="AS43" i="6"/>
  <c r="AV36" i="5" s="1"/>
  <c r="AT43" i="6"/>
  <c r="AU43" i="6"/>
  <c r="AV43" i="6"/>
  <c r="AW43" i="6"/>
  <c r="AX43" i="6"/>
  <c r="AY43" i="6"/>
  <c r="AZ43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X44" i="6"/>
  <c r="AY44" i="6"/>
  <c r="AZ44" i="6"/>
  <c r="AF45" i="6"/>
  <c r="AR45" i="6"/>
  <c r="AT45" i="6"/>
  <c r="AU45" i="6"/>
  <c r="AV45" i="6"/>
  <c r="AW45" i="6"/>
  <c r="AX45" i="6"/>
  <c r="AY45" i="6"/>
  <c r="AZ45" i="6"/>
  <c r="AF47" i="6"/>
  <c r="AR47" i="6"/>
  <c r="AT47" i="6"/>
  <c r="AU47" i="6"/>
  <c r="AV47" i="6"/>
  <c r="AW47" i="6"/>
  <c r="AX47" i="6"/>
  <c r="AY47" i="6"/>
  <c r="AZ47" i="6"/>
  <c r="AT48" i="6"/>
  <c r="AU48" i="6"/>
  <c r="AV48" i="6"/>
  <c r="AW48" i="6"/>
  <c r="AX48" i="6"/>
  <c r="AY48" i="6"/>
  <c r="AZ48" i="6"/>
  <c r="AF49" i="6"/>
  <c r="AR49" i="6"/>
  <c r="AT49" i="6"/>
  <c r="AU49" i="6"/>
  <c r="AV49" i="6"/>
  <c r="AW49" i="6"/>
  <c r="AX49" i="6"/>
  <c r="AY49" i="6"/>
  <c r="AZ49" i="6"/>
  <c r="AF50" i="6"/>
  <c r="AR50" i="6"/>
  <c r="AT50" i="6"/>
  <c r="AU50" i="6"/>
  <c r="AV50" i="6"/>
  <c r="AW50" i="6"/>
  <c r="AX50" i="6"/>
  <c r="AY50" i="6"/>
  <c r="AZ50" i="6"/>
  <c r="T51" i="6"/>
  <c r="U51" i="6"/>
  <c r="Y51" i="6"/>
  <c r="Z51" i="6"/>
  <c r="AA51" i="6"/>
  <c r="AB51" i="6"/>
  <c r="AC51" i="6"/>
  <c r="AG51" i="6"/>
  <c r="AH51" i="6"/>
  <c r="AI51" i="6"/>
  <c r="AJ51" i="6"/>
  <c r="AK51" i="6"/>
  <c r="AO51" i="6"/>
  <c r="AP51" i="6"/>
  <c r="AQ51" i="6"/>
  <c r="AR51" i="6"/>
  <c r="AW51" i="6"/>
  <c r="AX51" i="6"/>
  <c r="AY51" i="6"/>
  <c r="AZ51" i="6"/>
  <c r="AH55" i="6"/>
  <c r="AI55" i="6"/>
  <c r="AJ55" i="6"/>
  <c r="AM55" i="6"/>
  <c r="AP55" i="6"/>
  <c r="AQ55" i="6"/>
  <c r="AR55" i="6"/>
  <c r="AU55" i="6"/>
  <c r="AX55" i="6"/>
  <c r="AY55" i="6"/>
  <c r="AZ55" i="6"/>
  <c r="T25" i="4"/>
  <c r="T32" i="6" s="1"/>
  <c r="U25" i="4"/>
  <c r="U32" i="6" s="1"/>
  <c r="V25" i="4"/>
  <c r="V32" i="6" s="1"/>
  <c r="W25" i="4"/>
  <c r="W32" i="6" s="1"/>
  <c r="X25" i="4"/>
  <c r="X32" i="6" s="1"/>
  <c r="Y25" i="4"/>
  <c r="Y32" i="6" s="1"/>
  <c r="Z25" i="4"/>
  <c r="Z32" i="6" s="1"/>
  <c r="AA25" i="4"/>
  <c r="AA32" i="6" s="1"/>
  <c r="AB25" i="4"/>
  <c r="AB32" i="6" s="1"/>
  <c r="AC25" i="4"/>
  <c r="AC32" i="6" s="1"/>
  <c r="AD25" i="4"/>
  <c r="AD32" i="6" s="1"/>
  <c r="AE25" i="4"/>
  <c r="AE32" i="6" s="1"/>
  <c r="AF25" i="4"/>
  <c r="AF32" i="6" s="1"/>
  <c r="AG25" i="4"/>
  <c r="AG32" i="6" s="1"/>
  <c r="AH25" i="4"/>
  <c r="AH32" i="6" s="1"/>
  <c r="AI25" i="4"/>
  <c r="AI32" i="6" s="1"/>
  <c r="AJ25" i="4"/>
  <c r="AJ32" i="6" s="1"/>
  <c r="AK25" i="4"/>
  <c r="AK32" i="6" s="1"/>
  <c r="AL25" i="4"/>
  <c r="AL32" i="6" s="1"/>
  <c r="AM25" i="4"/>
  <c r="AM32" i="6" s="1"/>
  <c r="AN25" i="4"/>
  <c r="AN32" i="6" s="1"/>
  <c r="AO25" i="4"/>
  <c r="AO32" i="6" s="1"/>
  <c r="AP25" i="4"/>
  <c r="AP32" i="6" s="1"/>
  <c r="AQ25" i="4"/>
  <c r="AQ32" i="6" s="1"/>
  <c r="AR25" i="4"/>
  <c r="AR32" i="6" s="1"/>
  <c r="AS25" i="4"/>
  <c r="AS32" i="6" s="1"/>
  <c r="AT25" i="4"/>
  <c r="AT32" i="6" s="1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T16" i="4"/>
  <c r="AU16" i="4"/>
  <c r="AV16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T9" i="4"/>
  <c r="AT32" i="4" s="1"/>
  <c r="AT5" i="6" s="1"/>
  <c r="AU9" i="4"/>
  <c r="AU32" i="4" s="1"/>
  <c r="AU5" i="6" s="1"/>
  <c r="AV9" i="4"/>
  <c r="AV32" i="4" s="1"/>
  <c r="AV5" i="6" s="1"/>
  <c r="AW9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Z102" i="4" l="1"/>
  <c r="AZ104" i="4" s="1"/>
  <c r="AZ106" i="4" s="1"/>
  <c r="AY102" i="4"/>
  <c r="AY104" i="4" s="1"/>
  <c r="AY106" i="4" s="1"/>
  <c r="AX102" i="4"/>
  <c r="AX104" i="4" s="1"/>
  <c r="AX106" i="4" s="1"/>
  <c r="AW102" i="4"/>
  <c r="AW104" i="4" s="1"/>
  <c r="AW106" i="4" s="1"/>
  <c r="AW32" i="4"/>
  <c r="AW5" i="6" s="1"/>
  <c r="BC65" i="4"/>
  <c r="BC67" i="4" s="1"/>
  <c r="BB65" i="4"/>
  <c r="BB67" i="4" s="1"/>
  <c r="BA65" i="4"/>
  <c r="BA67" i="4" s="1"/>
  <c r="AZ65" i="4"/>
  <c r="AZ67" i="4" s="1"/>
  <c r="AY65" i="4"/>
  <c r="AY67" i="4" s="1"/>
  <c r="AR31" i="6"/>
  <c r="AR48" i="6"/>
  <c r="AQ31" i="6"/>
  <c r="AQ48" i="6"/>
  <c r="AP31" i="6"/>
  <c r="AP48" i="6"/>
  <c r="AO31" i="6"/>
  <c r="AO48" i="6"/>
  <c r="AN31" i="6"/>
  <c r="AN48" i="6"/>
  <c r="AM31" i="6"/>
  <c r="AM48" i="6"/>
  <c r="AL31" i="6"/>
  <c r="AL48" i="6"/>
  <c r="AK31" i="6"/>
  <c r="AK48" i="6"/>
  <c r="AJ31" i="6"/>
  <c r="AJ48" i="6"/>
  <c r="AI31" i="6"/>
  <c r="AI48" i="6"/>
  <c r="AH31" i="6"/>
  <c r="AH48" i="6"/>
  <c r="AG31" i="6"/>
  <c r="AG48" i="6"/>
  <c r="AF31" i="6"/>
  <c r="AF48" i="6"/>
  <c r="AI40" i="5" s="1"/>
  <c r="AF32" i="4"/>
  <c r="AF5" i="6" s="1"/>
  <c r="AE31" i="6"/>
  <c r="AE48" i="6"/>
  <c r="AD31" i="6"/>
  <c r="AD48" i="6"/>
  <c r="AC31" i="6"/>
  <c r="AC48" i="6"/>
  <c r="AB31" i="6"/>
  <c r="AB48" i="6"/>
  <c r="AA31" i="6"/>
  <c r="AA48" i="6"/>
  <c r="Z31" i="6"/>
  <c r="Z48" i="6"/>
  <c r="Y31" i="6"/>
  <c r="Y48" i="6"/>
  <c r="X31" i="6"/>
  <c r="X48" i="6"/>
  <c r="W31" i="6"/>
  <c r="W48" i="6"/>
  <c r="V31" i="6"/>
  <c r="V48" i="6"/>
  <c r="U31" i="6"/>
  <c r="U48" i="6"/>
  <c r="T31" i="6"/>
  <c r="T48" i="6"/>
  <c r="AI12" i="5"/>
  <c r="AY40" i="6"/>
  <c r="AZ40" i="6"/>
  <c r="AX40" i="6"/>
  <c r="AV40" i="6"/>
  <c r="AU40" i="6"/>
  <c r="AT40" i="6"/>
  <c r="AR40" i="6"/>
  <c r="AF40" i="6"/>
  <c r="AZ35" i="6"/>
  <c r="AW35" i="6"/>
  <c r="AV35" i="6"/>
  <c r="AU35" i="6"/>
  <c r="AT35" i="6"/>
  <c r="AR35" i="6"/>
  <c r="AP39" i="6"/>
  <c r="AI39" i="6"/>
  <c r="AH39" i="6"/>
  <c r="AF35" i="6"/>
  <c r="Z39" i="6"/>
  <c r="AI13" i="5"/>
  <c r="AZ25" i="6"/>
  <c r="AY25" i="6"/>
  <c r="AX25" i="6"/>
  <c r="AW39" i="6"/>
  <c r="AU25" i="6"/>
  <c r="AT25" i="6"/>
  <c r="AU14" i="5"/>
  <c r="AR25" i="6"/>
  <c r="AQ25" i="6"/>
  <c r="AT14" i="5"/>
  <c r="AS14" i="5"/>
  <c r="AP25" i="6"/>
  <c r="AO39" i="6"/>
  <c r="AR14" i="5"/>
  <c r="AN55" i="6"/>
  <c r="AQ14" i="5"/>
  <c r="AM25" i="6"/>
  <c r="AP14" i="5"/>
  <c r="AL25" i="6"/>
  <c r="AO14" i="5"/>
  <c r="AK25" i="6"/>
  <c r="AN14" i="5"/>
  <c r="AM14" i="5"/>
  <c r="AJ25" i="6"/>
  <c r="AI25" i="6"/>
  <c r="AL14" i="5"/>
  <c r="AK14" i="5"/>
  <c r="AH25" i="6"/>
  <c r="AG39" i="6"/>
  <c r="AJ14" i="5"/>
  <c r="AI14" i="5"/>
  <c r="AE25" i="6"/>
  <c r="AH14" i="5"/>
  <c r="AD25" i="6"/>
  <c r="AG14" i="5"/>
  <c r="AC25" i="6"/>
  <c r="AF14" i="5"/>
  <c r="AE14" i="5"/>
  <c r="AB25" i="6"/>
  <c r="AA25" i="6"/>
  <c r="AD14" i="5"/>
  <c r="AC14" i="5"/>
  <c r="Z25" i="6"/>
  <c r="Y39" i="6"/>
  <c r="AB14" i="5"/>
  <c r="AK55" i="6"/>
  <c r="AA14" i="5"/>
  <c r="W25" i="6"/>
  <c r="Z14" i="5"/>
  <c r="V25" i="6"/>
  <c r="Y14" i="5"/>
  <c r="U25" i="6"/>
  <c r="X14" i="5"/>
  <c r="W14" i="5"/>
  <c r="T25" i="6"/>
  <c r="AI16" i="5"/>
  <c r="AZ21" i="6"/>
  <c r="AT21" i="6"/>
  <c r="AR21" i="6"/>
  <c r="AL21" i="6"/>
  <c r="AJ21" i="6"/>
  <c r="AD21" i="6"/>
  <c r="AB21" i="6"/>
  <c r="V21" i="6"/>
  <c r="T21" i="6"/>
  <c r="AZ14" i="6"/>
  <c r="AZ12" i="6" s="1"/>
  <c r="AZ13" i="6" s="1"/>
  <c r="AY14" i="6"/>
  <c r="AY12" i="6" s="1"/>
  <c r="AY13" i="6" s="1"/>
  <c r="AF14" i="6"/>
  <c r="AF12" i="6" s="1"/>
  <c r="AI8" i="5"/>
  <c r="AI23" i="5"/>
  <c r="AV51" i="6"/>
  <c r="AU51" i="6"/>
  <c r="AU27" i="5"/>
  <c r="AT27" i="5"/>
  <c r="AS27" i="5"/>
  <c r="AR27" i="5"/>
  <c r="AN51" i="6"/>
  <c r="AQ27" i="5"/>
  <c r="AM51" i="6"/>
  <c r="AP27" i="5"/>
  <c r="AO27" i="5"/>
  <c r="AN27" i="5"/>
  <c r="AM27" i="5"/>
  <c r="AL27" i="5"/>
  <c r="AK27" i="5"/>
  <c r="AJ27" i="5"/>
  <c r="AF51" i="6"/>
  <c r="AI22" i="5"/>
  <c r="AI27" i="5"/>
  <c r="AE51" i="6"/>
  <c r="AH27" i="5"/>
  <c r="AG27" i="5"/>
  <c r="AF27" i="5"/>
  <c r="AE27" i="5"/>
  <c r="AD27" i="5"/>
  <c r="AC27" i="5"/>
  <c r="AB27" i="5"/>
  <c r="X51" i="6"/>
  <c r="AA27" i="5"/>
  <c r="W51" i="6"/>
  <c r="Z27" i="5"/>
  <c r="Y27" i="5"/>
  <c r="X27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1" i="5"/>
  <c r="AI28" i="5"/>
  <c r="AH28" i="5"/>
  <c r="AG28" i="5"/>
  <c r="AF28" i="5"/>
  <c r="AE28" i="5"/>
  <c r="AD28" i="5"/>
  <c r="AC28" i="5"/>
  <c r="AB28" i="5"/>
  <c r="AA28" i="5"/>
  <c r="Z28" i="5"/>
  <c r="Y28" i="5"/>
  <c r="X28" i="5"/>
  <c r="AI20" i="5"/>
  <c r="AO25" i="6"/>
  <c r="AW55" i="6"/>
  <c r="AO55" i="6"/>
  <c r="AG55" i="6"/>
  <c r="AX35" i="6"/>
  <c r="AV25" i="6"/>
  <c r="AN25" i="6"/>
  <c r="AF25" i="6"/>
  <c r="X25" i="6"/>
  <c r="AW25" i="6"/>
  <c r="Y25" i="6"/>
  <c r="AK39" i="6"/>
  <c r="AC39" i="6"/>
  <c r="U39" i="6"/>
  <c r="AY35" i="6"/>
  <c r="AG25" i="6"/>
  <c r="AT55" i="6"/>
  <c r="AL55" i="6"/>
  <c r="AQ39" i="6"/>
  <c r="AA39" i="6"/>
  <c r="AL20" i="4"/>
  <c r="AL32" i="4" s="1"/>
  <c r="AL5" i="6" s="1"/>
  <c r="AM20" i="4"/>
  <c r="AM32" i="4" s="1"/>
  <c r="AM5" i="6" s="1"/>
  <c r="AN20" i="4"/>
  <c r="AN32" i="4" s="1"/>
  <c r="AN5" i="6" s="1"/>
  <c r="AO20" i="4"/>
  <c r="AO32" i="4" s="1"/>
  <c r="AO5" i="6" s="1"/>
  <c r="AP20" i="4"/>
  <c r="AP32" i="4" s="1"/>
  <c r="AP5" i="6" s="1"/>
  <c r="AQ20" i="4"/>
  <c r="AQ32" i="4" s="1"/>
  <c r="AQ5" i="6" s="1"/>
  <c r="AR20" i="4"/>
  <c r="AR32" i="4" s="1"/>
  <c r="AR5" i="6" s="1"/>
  <c r="AG20" i="4"/>
  <c r="AG32" i="4" s="1"/>
  <c r="AG5" i="6" s="1"/>
  <c r="AH20" i="4"/>
  <c r="AH32" i="4" s="1"/>
  <c r="AH5" i="6" s="1"/>
  <c r="AI20" i="4"/>
  <c r="AI32" i="4" s="1"/>
  <c r="AI5" i="6" s="1"/>
  <c r="AJ20" i="4"/>
  <c r="AJ32" i="4" s="1"/>
  <c r="AJ5" i="6" s="1"/>
  <c r="AK20" i="4"/>
  <c r="AK32" i="4" s="1"/>
  <c r="AK5" i="6" s="1"/>
  <c r="AO38" i="4"/>
  <c r="AO6" i="6" s="1"/>
  <c r="AP38" i="4"/>
  <c r="AP6" i="6" s="1"/>
  <c r="AQ38" i="4"/>
  <c r="AQ6" i="6" s="1"/>
  <c r="AR38" i="4"/>
  <c r="AR6" i="6" s="1"/>
  <c r="AG38" i="4"/>
  <c r="AG6" i="6" s="1"/>
  <c r="AH38" i="4"/>
  <c r="AH6" i="6" s="1"/>
  <c r="AI38" i="4"/>
  <c r="AI6" i="6" s="1"/>
  <c r="AJ38" i="4"/>
  <c r="AJ6" i="6" s="1"/>
  <c r="AK38" i="4"/>
  <c r="AL38" i="4"/>
  <c r="AM38" i="4"/>
  <c r="AM6" i="6" s="1"/>
  <c r="AN38" i="4"/>
  <c r="AP40" i="4"/>
  <c r="AQ40" i="4"/>
  <c r="AR40" i="4"/>
  <c r="AG40" i="4"/>
  <c r="AH40" i="4"/>
  <c r="AI40" i="4"/>
  <c r="AJ40" i="4"/>
  <c r="AK40" i="4"/>
  <c r="AL40" i="4"/>
  <c r="AM40" i="4"/>
  <c r="AN40" i="4"/>
  <c r="AO40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G53" i="4"/>
  <c r="AG16" i="6" s="1"/>
  <c r="AG14" i="6" s="1"/>
  <c r="AG12" i="6" s="1"/>
  <c r="AH53" i="4"/>
  <c r="AH16" i="6" s="1"/>
  <c r="AH14" i="6" s="1"/>
  <c r="AH12" i="6" s="1"/>
  <c r="AI53" i="4"/>
  <c r="AI16" i="6" s="1"/>
  <c r="AI14" i="6" s="1"/>
  <c r="AI12" i="6" s="1"/>
  <c r="AJ53" i="4"/>
  <c r="AK53" i="4"/>
  <c r="AL53" i="4"/>
  <c r="AM53" i="4"/>
  <c r="AN53" i="4"/>
  <c r="AN16" i="6" s="1"/>
  <c r="AN14" i="6" s="1"/>
  <c r="AN12" i="6" s="1"/>
  <c r="AO53" i="4"/>
  <c r="AO16" i="6" s="1"/>
  <c r="AO14" i="6" s="1"/>
  <c r="AO12" i="6" s="1"/>
  <c r="AP53" i="4"/>
  <c r="AP16" i="6" s="1"/>
  <c r="AP14" i="6" s="1"/>
  <c r="AP12" i="6" s="1"/>
  <c r="AQ53" i="4"/>
  <c r="AQ16" i="6" s="1"/>
  <c r="AQ14" i="6" s="1"/>
  <c r="AQ12" i="6" s="1"/>
  <c r="AR53" i="4"/>
  <c r="AG99" i="4"/>
  <c r="AH99" i="4"/>
  <c r="AI99" i="4"/>
  <c r="AJ99" i="4"/>
  <c r="AK99" i="4"/>
  <c r="AL99" i="4"/>
  <c r="AM99" i="4"/>
  <c r="AN99" i="4"/>
  <c r="AO99" i="4"/>
  <c r="AP99" i="4"/>
  <c r="AQ99" i="4"/>
  <c r="AQ92" i="4"/>
  <c r="AQ45" i="6" s="1"/>
  <c r="AG92" i="4"/>
  <c r="AG45" i="6" s="1"/>
  <c r="AH92" i="4"/>
  <c r="AH45" i="6" s="1"/>
  <c r="AI92" i="4"/>
  <c r="AI45" i="6" s="1"/>
  <c r="AJ92" i="4"/>
  <c r="AJ45" i="6" s="1"/>
  <c r="AK92" i="4"/>
  <c r="AK45" i="6" s="1"/>
  <c r="AL92" i="4"/>
  <c r="AL45" i="6" s="1"/>
  <c r="AM92" i="4"/>
  <c r="AM45" i="6" s="1"/>
  <c r="AN92" i="4"/>
  <c r="AN45" i="6" s="1"/>
  <c r="AO92" i="4"/>
  <c r="AO45" i="6" s="1"/>
  <c r="AP92" i="4"/>
  <c r="AP45" i="6" s="1"/>
  <c r="AG89" i="4"/>
  <c r="AG47" i="6" s="1"/>
  <c r="AH89" i="4"/>
  <c r="AH47" i="6" s="1"/>
  <c r="AI89" i="4"/>
  <c r="AI47" i="6" s="1"/>
  <c r="AJ89" i="4"/>
  <c r="AJ47" i="6" s="1"/>
  <c r="AK89" i="4"/>
  <c r="AK47" i="6" s="1"/>
  <c r="AL89" i="4"/>
  <c r="AL47" i="6" s="1"/>
  <c r="AM89" i="4"/>
  <c r="AM47" i="6" s="1"/>
  <c r="AN89" i="4"/>
  <c r="AN47" i="6" s="1"/>
  <c r="AO89" i="4"/>
  <c r="AO47" i="6" s="1"/>
  <c r="AP89" i="4"/>
  <c r="AP47" i="6" s="1"/>
  <c r="AQ89" i="4"/>
  <c r="AQ47" i="6" s="1"/>
  <c r="AG81" i="4"/>
  <c r="AG50" i="6" s="1"/>
  <c r="AH81" i="4"/>
  <c r="AH50" i="6" s="1"/>
  <c r="AI81" i="4"/>
  <c r="AI50" i="6" s="1"/>
  <c r="AJ81" i="4"/>
  <c r="AJ50" i="6" s="1"/>
  <c r="AK81" i="4"/>
  <c r="AK50" i="6" s="1"/>
  <c r="AL81" i="4"/>
  <c r="AL50" i="6" s="1"/>
  <c r="AM81" i="4"/>
  <c r="AM50" i="6" s="1"/>
  <c r="AN81" i="4"/>
  <c r="AN50" i="6" s="1"/>
  <c r="AO81" i="4"/>
  <c r="AO50" i="6" s="1"/>
  <c r="AP81" i="4"/>
  <c r="AP50" i="6" s="1"/>
  <c r="AQ81" i="4"/>
  <c r="AQ50" i="6" s="1"/>
  <c r="AG76" i="4"/>
  <c r="AG37" i="6" s="1"/>
  <c r="AG35" i="6" s="1"/>
  <c r="AJ31" i="5" s="1"/>
  <c r="AH76" i="4"/>
  <c r="AH37" i="6" s="1"/>
  <c r="AH35" i="6" s="1"/>
  <c r="AK31" i="5" s="1"/>
  <c r="AI76" i="4"/>
  <c r="AI37" i="6" s="1"/>
  <c r="AI35" i="6" s="1"/>
  <c r="AL31" i="5" s="1"/>
  <c r="AJ76" i="4"/>
  <c r="AJ37" i="6" s="1"/>
  <c r="AJ35" i="6" s="1"/>
  <c r="AM31" i="5" s="1"/>
  <c r="AK76" i="4"/>
  <c r="AK37" i="6" s="1"/>
  <c r="AK35" i="6" s="1"/>
  <c r="AN31" i="5" s="1"/>
  <c r="AL76" i="4"/>
  <c r="AL37" i="6" s="1"/>
  <c r="AL35" i="6" s="1"/>
  <c r="AO31" i="5" s="1"/>
  <c r="AM76" i="4"/>
  <c r="AM37" i="6" s="1"/>
  <c r="AM35" i="6" s="1"/>
  <c r="AP31" i="5" s="1"/>
  <c r="AN76" i="4"/>
  <c r="AN37" i="6" s="1"/>
  <c r="AN35" i="6" s="1"/>
  <c r="AQ31" i="5" s="1"/>
  <c r="AO76" i="4"/>
  <c r="AO37" i="6" s="1"/>
  <c r="AO35" i="6" s="1"/>
  <c r="AR31" i="5" s="1"/>
  <c r="AP76" i="4"/>
  <c r="AP37" i="6" s="1"/>
  <c r="AP35" i="6" s="1"/>
  <c r="AS31" i="5" s="1"/>
  <c r="AQ76" i="4"/>
  <c r="AQ37" i="6" s="1"/>
  <c r="AQ35" i="6" s="1"/>
  <c r="AT31" i="5" s="1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T37" i="6" s="1"/>
  <c r="T35" i="6" s="1"/>
  <c r="U76" i="4"/>
  <c r="U37" i="6" s="1"/>
  <c r="U35" i="6" s="1"/>
  <c r="X31" i="5" s="1"/>
  <c r="V76" i="4"/>
  <c r="V37" i="6" s="1"/>
  <c r="V35" i="6" s="1"/>
  <c r="Y31" i="5" s="1"/>
  <c r="W76" i="4"/>
  <c r="W37" i="6" s="1"/>
  <c r="W35" i="6" s="1"/>
  <c r="Z31" i="5" s="1"/>
  <c r="X76" i="4"/>
  <c r="X37" i="6" s="1"/>
  <c r="X35" i="6" s="1"/>
  <c r="AA31" i="5" s="1"/>
  <c r="Y76" i="4"/>
  <c r="Y37" i="6" s="1"/>
  <c r="Y35" i="6" s="1"/>
  <c r="AB31" i="5" s="1"/>
  <c r="Z76" i="4"/>
  <c r="Z37" i="6" s="1"/>
  <c r="Z35" i="6" s="1"/>
  <c r="AC31" i="5" s="1"/>
  <c r="AA76" i="4"/>
  <c r="AA37" i="6" s="1"/>
  <c r="AA35" i="6" s="1"/>
  <c r="AD31" i="5" s="1"/>
  <c r="AB76" i="4"/>
  <c r="AB37" i="6" s="1"/>
  <c r="AB35" i="6" s="1"/>
  <c r="AE31" i="5" s="1"/>
  <c r="AC76" i="4"/>
  <c r="AC37" i="6" s="1"/>
  <c r="AC35" i="6" s="1"/>
  <c r="AF31" i="5" s="1"/>
  <c r="AD76" i="4"/>
  <c r="AD37" i="6" s="1"/>
  <c r="AD35" i="6" s="1"/>
  <c r="AG31" i="5" s="1"/>
  <c r="AE76" i="4"/>
  <c r="AE37" i="6" s="1"/>
  <c r="AE35" i="6" s="1"/>
  <c r="AH31" i="5" s="1"/>
  <c r="AG73" i="4"/>
  <c r="AH73" i="4"/>
  <c r="AI73" i="4"/>
  <c r="AJ73" i="4"/>
  <c r="AJ72" i="4" s="1"/>
  <c r="AJ49" i="6" s="1"/>
  <c r="AK73" i="4"/>
  <c r="AL73" i="4"/>
  <c r="AM73" i="4"/>
  <c r="AN73" i="4"/>
  <c r="AO73" i="4"/>
  <c r="AP73" i="4"/>
  <c r="AQ73" i="4"/>
  <c r="AS82" i="4"/>
  <c r="AS20" i="6" s="1"/>
  <c r="AS55" i="4"/>
  <c r="AS53" i="4" s="1"/>
  <c r="AS16" i="6" s="1"/>
  <c r="AS14" i="6" s="1"/>
  <c r="AS12" i="6" s="1"/>
  <c r="AS45" i="4"/>
  <c r="AS10" i="6" s="1"/>
  <c r="AS61" i="4"/>
  <c r="AS57" i="4" s="1"/>
  <c r="AS12" i="4"/>
  <c r="AS17" i="4"/>
  <c r="AS5" i="4"/>
  <c r="AS3" i="4" s="1"/>
  <c r="AS36" i="4"/>
  <c r="AS8" i="6" s="1"/>
  <c r="AS97" i="4"/>
  <c r="AS94" i="4"/>
  <c r="AS93" i="4"/>
  <c r="AS41" i="6" s="1"/>
  <c r="AS80" i="4"/>
  <c r="AS76" i="4" s="1"/>
  <c r="AS37" i="6" s="1"/>
  <c r="AS74" i="4"/>
  <c r="AS36" i="6" s="1"/>
  <c r="AS20" i="4"/>
  <c r="AS89" i="4"/>
  <c r="AS47" i="6" s="1"/>
  <c r="AS99" i="4"/>
  <c r="AS35" i="6" l="1"/>
  <c r="AV31" i="5" s="1"/>
  <c r="AV27" i="5"/>
  <c r="AS31" i="6"/>
  <c r="AS48" i="6"/>
  <c r="AS26" i="6"/>
  <c r="AS16" i="4"/>
  <c r="AS23" i="6"/>
  <c r="AS21" i="6" s="1"/>
  <c r="AS9" i="4"/>
  <c r="AS32" i="4" s="1"/>
  <c r="AS5" i="6" s="1"/>
  <c r="AS51" i="6"/>
  <c r="AS13" i="6"/>
  <c r="AV9" i="5" s="1"/>
  <c r="AV5" i="5"/>
  <c r="AV6" i="5"/>
  <c r="AS37" i="5"/>
  <c r="AP40" i="6"/>
  <c r="AO40" i="6"/>
  <c r="AR37" i="5"/>
  <c r="AQ37" i="5"/>
  <c r="AN40" i="6"/>
  <c r="AP37" i="5"/>
  <c r="AM40" i="6"/>
  <c r="AO37" i="5"/>
  <c r="AL40" i="6"/>
  <c r="AN37" i="5"/>
  <c r="AK40" i="6"/>
  <c r="AM37" i="5"/>
  <c r="AJ40" i="6"/>
  <c r="AL37" i="5"/>
  <c r="AI40" i="6"/>
  <c r="AK37" i="5"/>
  <c r="AH40" i="6"/>
  <c r="AG40" i="6"/>
  <c r="AJ37" i="5"/>
  <c r="AT37" i="5"/>
  <c r="AQ40" i="6"/>
  <c r="AR63" i="4"/>
  <c r="AR16" i="6"/>
  <c r="AR14" i="6" s="1"/>
  <c r="AR12" i="6" s="1"/>
  <c r="AQ13" i="6"/>
  <c r="AT9" i="5" s="1"/>
  <c r="AT5" i="5"/>
  <c r="AT6" i="5"/>
  <c r="AT7" i="5"/>
  <c r="AT30" i="5"/>
  <c r="AT17" i="5"/>
  <c r="AP13" i="6"/>
  <c r="AS9" i="5" s="1"/>
  <c r="AS5" i="5"/>
  <c r="AS6" i="5"/>
  <c r="AS7" i="5"/>
  <c r="AS30" i="5"/>
  <c r="AS17" i="5"/>
  <c r="AO13" i="6"/>
  <c r="AR9" i="5" s="1"/>
  <c r="AR5" i="5"/>
  <c r="AR6" i="5"/>
  <c r="AR7" i="5"/>
  <c r="AR30" i="5"/>
  <c r="AR17" i="5"/>
  <c r="AN13" i="6"/>
  <c r="AQ9" i="5" s="1"/>
  <c r="AQ5" i="5"/>
  <c r="AQ6" i="5"/>
  <c r="AQ17" i="5"/>
  <c r="AM63" i="4"/>
  <c r="AM16" i="6"/>
  <c r="AM14" i="6" s="1"/>
  <c r="AM12" i="6" s="1"/>
  <c r="AL63" i="4"/>
  <c r="AL16" i="6"/>
  <c r="AL14" i="6" s="1"/>
  <c r="AL12" i="6" s="1"/>
  <c r="AK63" i="4"/>
  <c r="AK16" i="6"/>
  <c r="AK14" i="6" s="1"/>
  <c r="AK12" i="6" s="1"/>
  <c r="AJ63" i="4"/>
  <c r="AJ16" i="6"/>
  <c r="AJ14" i="6" s="1"/>
  <c r="AJ12" i="6" s="1"/>
  <c r="AI13" i="6"/>
  <c r="AL9" i="5" s="1"/>
  <c r="AL5" i="5"/>
  <c r="AL6" i="5"/>
  <c r="AL7" i="5"/>
  <c r="AL30" i="5"/>
  <c r="AL17" i="5"/>
  <c r="AH13" i="6"/>
  <c r="AK9" i="5" s="1"/>
  <c r="AK5" i="5"/>
  <c r="AK6" i="5"/>
  <c r="AK7" i="5"/>
  <c r="AK30" i="5"/>
  <c r="AK17" i="5"/>
  <c r="AG13" i="6"/>
  <c r="AJ9" i="5" s="1"/>
  <c r="AJ5" i="5"/>
  <c r="AJ6" i="5"/>
  <c r="AJ7" i="5"/>
  <c r="AJ30" i="5"/>
  <c r="AJ17" i="5"/>
  <c r="AN47" i="4"/>
  <c r="AN6" i="6"/>
  <c r="AP20" i="5"/>
  <c r="AP16" i="5"/>
  <c r="AL47" i="4"/>
  <c r="AL6" i="6"/>
  <c r="AK47" i="4"/>
  <c r="AK6" i="6"/>
  <c r="AM20" i="5"/>
  <c r="AM26" i="5"/>
  <c r="AM34" i="5"/>
  <c r="AL20" i="5"/>
  <c r="AL26" i="5"/>
  <c r="AL34" i="5"/>
  <c r="AL16" i="5"/>
  <c r="AK20" i="5"/>
  <c r="AK26" i="5"/>
  <c r="AK34" i="5"/>
  <c r="AK16" i="5"/>
  <c r="AJ20" i="5"/>
  <c r="AJ26" i="5"/>
  <c r="AJ34" i="5"/>
  <c r="AJ16" i="5"/>
  <c r="AU20" i="5"/>
  <c r="AU26" i="5"/>
  <c r="AU34" i="5"/>
  <c r="AT20" i="5"/>
  <c r="AT26" i="5"/>
  <c r="AT34" i="5"/>
  <c r="AT16" i="5"/>
  <c r="AS20" i="5"/>
  <c r="AS26" i="5"/>
  <c r="AS34" i="5"/>
  <c r="AS16" i="5"/>
  <c r="AR20" i="5"/>
  <c r="AR26" i="5"/>
  <c r="AR34" i="5"/>
  <c r="AR16" i="5"/>
  <c r="AN25" i="5"/>
  <c r="AN12" i="5"/>
  <c r="AN13" i="5"/>
  <c r="AN8" i="5"/>
  <c r="AN23" i="5"/>
  <c r="AN22" i="5"/>
  <c r="AN21" i="5"/>
  <c r="AX52" i="6"/>
  <c r="AM25" i="5"/>
  <c r="AW52" i="6"/>
  <c r="AM12" i="5"/>
  <c r="AM13" i="5"/>
  <c r="AM8" i="5"/>
  <c r="AM23" i="5"/>
  <c r="AM22" i="5"/>
  <c r="AM21" i="5"/>
  <c r="AV52" i="6"/>
  <c r="AL25" i="5"/>
  <c r="AL12" i="5"/>
  <c r="AL13" i="5"/>
  <c r="AL8" i="5"/>
  <c r="AL23" i="5"/>
  <c r="AL22" i="5"/>
  <c r="AL21" i="5"/>
  <c r="AU52" i="6"/>
  <c r="AK25" i="5"/>
  <c r="AK12" i="5"/>
  <c r="AK13" i="5"/>
  <c r="AK8" i="5"/>
  <c r="AK23" i="5"/>
  <c r="AK22" i="5"/>
  <c r="AK21" i="5"/>
  <c r="AJ25" i="5"/>
  <c r="AT52" i="6"/>
  <c r="AJ12" i="5"/>
  <c r="AJ13" i="5"/>
  <c r="AJ8" i="5"/>
  <c r="AJ23" i="5"/>
  <c r="AJ22" i="5"/>
  <c r="AJ21" i="5"/>
  <c r="AU25" i="5"/>
  <c r="AU12" i="5"/>
  <c r="AU37" i="5"/>
  <c r="AU13" i="5"/>
  <c r="AU8" i="5"/>
  <c r="AU23" i="5"/>
  <c r="AU22" i="5"/>
  <c r="AU21" i="5"/>
  <c r="AT25" i="5"/>
  <c r="AT12" i="5"/>
  <c r="AT13" i="5"/>
  <c r="AT8" i="5"/>
  <c r="AT23" i="5"/>
  <c r="AT22" i="5"/>
  <c r="AT21" i="5"/>
  <c r="AS25" i="5"/>
  <c r="AS12" i="5"/>
  <c r="AS13" i="5"/>
  <c r="AS8" i="5"/>
  <c r="AS23" i="5"/>
  <c r="AS22" i="5"/>
  <c r="AS21" i="5"/>
  <c r="AR25" i="5"/>
  <c r="AR12" i="5"/>
  <c r="AR13" i="5"/>
  <c r="AR8" i="5"/>
  <c r="AR23" i="5"/>
  <c r="AR22" i="5"/>
  <c r="AR21" i="5"/>
  <c r="AQ25" i="5"/>
  <c r="AQ12" i="5"/>
  <c r="AQ13" i="5"/>
  <c r="AQ8" i="5"/>
  <c r="AQ23" i="5"/>
  <c r="AQ22" i="5"/>
  <c r="AQ21" i="5"/>
  <c r="AP25" i="5"/>
  <c r="AZ52" i="6"/>
  <c r="AP12" i="5"/>
  <c r="AP13" i="5"/>
  <c r="AP8" i="5"/>
  <c r="AP23" i="5"/>
  <c r="AP22" i="5"/>
  <c r="AP21" i="5"/>
  <c r="AO25" i="5"/>
  <c r="AO12" i="5"/>
  <c r="AO13" i="5"/>
  <c r="AO8" i="5"/>
  <c r="AO23" i="5"/>
  <c r="AO22" i="5"/>
  <c r="AO21" i="5"/>
  <c r="AY52" i="6"/>
  <c r="AJ18" i="5"/>
  <c r="AJ29" i="5"/>
  <c r="AJ38" i="5"/>
  <c r="AB29" i="5"/>
  <c r="AB38" i="5"/>
  <c r="AA29" i="5"/>
  <c r="AA38" i="5"/>
  <c r="AI18" i="5"/>
  <c r="AI29" i="5"/>
  <c r="AI38" i="5"/>
  <c r="AQ18" i="5"/>
  <c r="AQ29" i="5"/>
  <c r="AQ38" i="5"/>
  <c r="AR18" i="5"/>
  <c r="AR29" i="5"/>
  <c r="AR38" i="5"/>
  <c r="AF13" i="6"/>
  <c r="AI9" i="5" s="1"/>
  <c r="AI5" i="5"/>
  <c r="AI6" i="5"/>
  <c r="AI7" i="5"/>
  <c r="AI17" i="5"/>
  <c r="AM16" i="5"/>
  <c r="AM17" i="5"/>
  <c r="AO16" i="5"/>
  <c r="AO17" i="5"/>
  <c r="AU16" i="5"/>
  <c r="AU17" i="5"/>
  <c r="X29" i="5"/>
  <c r="X38" i="5"/>
  <c r="Y29" i="5"/>
  <c r="Y38" i="5"/>
  <c r="Z29" i="5"/>
  <c r="Z38" i="5"/>
  <c r="AC29" i="5"/>
  <c r="AC38" i="5"/>
  <c r="AD29" i="5"/>
  <c r="AD38" i="5"/>
  <c r="AE29" i="5"/>
  <c r="AE38" i="5"/>
  <c r="AF29" i="5"/>
  <c r="AF38" i="5"/>
  <c r="AG29" i="5"/>
  <c r="AG38" i="5"/>
  <c r="AH29" i="5"/>
  <c r="AH38" i="5"/>
  <c r="AK18" i="5"/>
  <c r="AK29" i="5"/>
  <c r="AK38" i="5"/>
  <c r="AL18" i="5"/>
  <c r="AL29" i="5"/>
  <c r="AL38" i="5"/>
  <c r="AM18" i="5"/>
  <c r="AM29" i="5"/>
  <c r="AM38" i="5"/>
  <c r="AN18" i="5"/>
  <c r="AN29" i="5"/>
  <c r="AN38" i="5"/>
  <c r="AO18" i="5"/>
  <c r="AO29" i="5"/>
  <c r="AO38" i="5"/>
  <c r="AP18" i="5"/>
  <c r="AP29" i="5"/>
  <c r="AP38" i="5"/>
  <c r="AS18" i="5"/>
  <c r="AS29" i="5"/>
  <c r="AS38" i="5"/>
  <c r="AT18" i="5"/>
  <c r="AT29" i="5"/>
  <c r="AT38" i="5"/>
  <c r="AU18" i="5"/>
  <c r="AU29" i="5"/>
  <c r="AU38" i="5"/>
  <c r="AI31" i="5"/>
  <c r="AU31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S40" i="4"/>
  <c r="AJ88" i="4"/>
  <c r="AJ98" i="4" s="1"/>
  <c r="AJ102" i="4" s="1"/>
  <c r="AJ104" i="4" s="1"/>
  <c r="AS38" i="4"/>
  <c r="AS6" i="6" s="1"/>
  <c r="AI63" i="4"/>
  <c r="AP63" i="4"/>
  <c r="AH63" i="4"/>
  <c r="AG63" i="4"/>
  <c r="AR47" i="4"/>
  <c r="AR65" i="4" s="1"/>
  <c r="AS73" i="4"/>
  <c r="AQ63" i="4"/>
  <c r="AO63" i="4"/>
  <c r="AN63" i="4"/>
  <c r="AJ47" i="4"/>
  <c r="AJ65" i="4" s="1"/>
  <c r="AN65" i="4"/>
  <c r="AL65" i="4"/>
  <c r="AK65" i="4"/>
  <c r="AH47" i="4"/>
  <c r="AH65" i="4" s="1"/>
  <c r="AO47" i="4"/>
  <c r="AO65" i="4" s="1"/>
  <c r="AP47" i="4"/>
  <c r="AP65" i="4" s="1"/>
  <c r="AQ47" i="4"/>
  <c r="AQ65" i="4" s="1"/>
  <c r="AM47" i="4"/>
  <c r="AM65" i="4" s="1"/>
  <c r="AG47" i="4"/>
  <c r="AG65" i="4" s="1"/>
  <c r="AI47" i="4"/>
  <c r="AI72" i="4"/>
  <c r="AH72" i="4"/>
  <c r="AS72" i="4"/>
  <c r="AS49" i="6" s="1"/>
  <c r="AS92" i="4"/>
  <c r="AS45" i="6" s="1"/>
  <c r="AM72" i="4"/>
  <c r="AL72" i="4"/>
  <c r="AK72" i="4"/>
  <c r="AQ72" i="4"/>
  <c r="AP72" i="4"/>
  <c r="AG72" i="4"/>
  <c r="AO72" i="4"/>
  <c r="AN72" i="4"/>
  <c r="AS81" i="4"/>
  <c r="AS50" i="6" s="1"/>
  <c r="AS63" i="4"/>
  <c r="AB40" i="4"/>
  <c r="AC40" i="4"/>
  <c r="AD40" i="4"/>
  <c r="AE40" i="4"/>
  <c r="AB38" i="4"/>
  <c r="AB6" i="6" s="1"/>
  <c r="AC38" i="4"/>
  <c r="AC6" i="6" s="1"/>
  <c r="AD38" i="4"/>
  <c r="AE38" i="4"/>
  <c r="Z20" i="4"/>
  <c r="Z32" i="4" s="1"/>
  <c r="Z5" i="6" s="1"/>
  <c r="AA20" i="4"/>
  <c r="AA32" i="4" s="1"/>
  <c r="AA5" i="6" s="1"/>
  <c r="AB20" i="4"/>
  <c r="AB32" i="4" s="1"/>
  <c r="AB5" i="6" s="1"/>
  <c r="AC20" i="4"/>
  <c r="AC32" i="4" s="1"/>
  <c r="AC5" i="6" s="1"/>
  <c r="AD20" i="4"/>
  <c r="AD32" i="4" s="1"/>
  <c r="AD5" i="6" s="1"/>
  <c r="AE20" i="4"/>
  <c r="AE32" i="4" s="1"/>
  <c r="AE5" i="6" s="1"/>
  <c r="AA99" i="4"/>
  <c r="AB99" i="4"/>
  <c r="AC99" i="4"/>
  <c r="AD99" i="4"/>
  <c r="AE99" i="4"/>
  <c r="AA92" i="4"/>
  <c r="AA45" i="6" s="1"/>
  <c r="AB92" i="4"/>
  <c r="AB45" i="6" s="1"/>
  <c r="AC92" i="4"/>
  <c r="AC45" i="6" s="1"/>
  <c r="AD92" i="4"/>
  <c r="AD45" i="6" s="1"/>
  <c r="AE92" i="4"/>
  <c r="AE45" i="6" s="1"/>
  <c r="AA89" i="4"/>
  <c r="AA47" i="6" s="1"/>
  <c r="AB89" i="4"/>
  <c r="AB47" i="6" s="1"/>
  <c r="AC89" i="4"/>
  <c r="AC47" i="6" s="1"/>
  <c r="AD89" i="4"/>
  <c r="AD47" i="6" s="1"/>
  <c r="AE89" i="4"/>
  <c r="AE47" i="6" s="1"/>
  <c r="AA81" i="4"/>
  <c r="AA50" i="6" s="1"/>
  <c r="AB81" i="4"/>
  <c r="AB50" i="6" s="1"/>
  <c r="AC81" i="4"/>
  <c r="AC50" i="6" s="1"/>
  <c r="AD81" i="4"/>
  <c r="AD50" i="6" s="1"/>
  <c r="AE81" i="4"/>
  <c r="AE50" i="6" s="1"/>
  <c r="AA73" i="4"/>
  <c r="AA107" i="4" s="1"/>
  <c r="AB73" i="4"/>
  <c r="AB72" i="4" s="1"/>
  <c r="AB49" i="6" s="1"/>
  <c r="AC73" i="4"/>
  <c r="AC72" i="4" s="1"/>
  <c r="AC49" i="6" s="1"/>
  <c r="AD73" i="4"/>
  <c r="AE73" i="4"/>
  <c r="AE72" i="4" s="1"/>
  <c r="AE49" i="6" s="1"/>
  <c r="AB57" i="4"/>
  <c r="AC57" i="4"/>
  <c r="AD57" i="4"/>
  <c r="AE57" i="4"/>
  <c r="AT57" i="4"/>
  <c r="AU57" i="4"/>
  <c r="AV57" i="4"/>
  <c r="AW57" i="4"/>
  <c r="AX57" i="4"/>
  <c r="AA57" i="4"/>
  <c r="AA53" i="4"/>
  <c r="AA16" i="6" s="1"/>
  <c r="AA14" i="6" s="1"/>
  <c r="AA12" i="6" s="1"/>
  <c r="AB53" i="4"/>
  <c r="AB16" i="6" s="1"/>
  <c r="AB14" i="6" s="1"/>
  <c r="AB12" i="6" s="1"/>
  <c r="AC53" i="4"/>
  <c r="AC16" i="6" s="1"/>
  <c r="AC14" i="6" s="1"/>
  <c r="AC12" i="6" s="1"/>
  <c r="AD53" i="4"/>
  <c r="AD16" i="6" s="1"/>
  <c r="AD14" i="6" s="1"/>
  <c r="AD12" i="6" s="1"/>
  <c r="AE53" i="4"/>
  <c r="AE16" i="6" s="1"/>
  <c r="AE14" i="6" s="1"/>
  <c r="AE12" i="6" s="1"/>
  <c r="AT53" i="4"/>
  <c r="AT16" i="6" s="1"/>
  <c r="AT14" i="6" s="1"/>
  <c r="AT12" i="6" s="1"/>
  <c r="AT13" i="6" s="1"/>
  <c r="AU53" i="4"/>
  <c r="AU16" i="6" s="1"/>
  <c r="AU14" i="6" s="1"/>
  <c r="AU12" i="6" s="1"/>
  <c r="AU13" i="6" s="1"/>
  <c r="AV53" i="4"/>
  <c r="AV16" i="6" s="1"/>
  <c r="AV14" i="6" s="1"/>
  <c r="AV12" i="6" s="1"/>
  <c r="AV13" i="6" s="1"/>
  <c r="AW53" i="4"/>
  <c r="AW16" i="6" s="1"/>
  <c r="AW14" i="6" s="1"/>
  <c r="AW12" i="6" s="1"/>
  <c r="AW13" i="6" s="1"/>
  <c r="AX53" i="4"/>
  <c r="AX16" i="6" s="1"/>
  <c r="AX14" i="6" s="1"/>
  <c r="AX12" i="6" s="1"/>
  <c r="AX13" i="6" s="1"/>
  <c r="W99" i="4"/>
  <c r="X99" i="4"/>
  <c r="Y99" i="4"/>
  <c r="Z99" i="4"/>
  <c r="W92" i="4"/>
  <c r="W45" i="6" s="1"/>
  <c r="X92" i="4"/>
  <c r="X45" i="6" s="1"/>
  <c r="Y92" i="4"/>
  <c r="Y45" i="6" s="1"/>
  <c r="Z92" i="4"/>
  <c r="Z45" i="6" s="1"/>
  <c r="W89" i="4"/>
  <c r="W47" i="6" s="1"/>
  <c r="X89" i="4"/>
  <c r="X47" i="6" s="1"/>
  <c r="Y89" i="4"/>
  <c r="Y47" i="6" s="1"/>
  <c r="Z89" i="4"/>
  <c r="Z47" i="6" s="1"/>
  <c r="W81" i="4"/>
  <c r="W50" i="6" s="1"/>
  <c r="X81" i="4"/>
  <c r="Y81" i="4"/>
  <c r="Y50" i="6" s="1"/>
  <c r="Z81" i="4"/>
  <c r="Z50" i="6" s="1"/>
  <c r="W73" i="4"/>
  <c r="W107" i="4" s="1"/>
  <c r="X73" i="4"/>
  <c r="X107" i="4" s="1"/>
  <c r="Y73" i="4"/>
  <c r="Y107" i="4" s="1"/>
  <c r="Z73" i="4"/>
  <c r="Z72" i="4" s="1"/>
  <c r="Z49" i="6" s="1"/>
  <c r="W57" i="4"/>
  <c r="X57" i="4"/>
  <c r="Y57" i="4"/>
  <c r="Z57" i="4"/>
  <c r="W53" i="4"/>
  <c r="X53" i="4"/>
  <c r="X16" i="6" s="1"/>
  <c r="X14" i="6" s="1"/>
  <c r="X12" i="6" s="1"/>
  <c r="Y53" i="4"/>
  <c r="Y16" i="6" s="1"/>
  <c r="Y14" i="6" s="1"/>
  <c r="Y12" i="6" s="1"/>
  <c r="Z53" i="4"/>
  <c r="Z16" i="6" s="1"/>
  <c r="Z14" i="6" s="1"/>
  <c r="Z12" i="6" s="1"/>
  <c r="W40" i="4"/>
  <c r="X40" i="4"/>
  <c r="Y40" i="4"/>
  <c r="Z40" i="4"/>
  <c r="AA40" i="4"/>
  <c r="W38" i="4"/>
  <c r="W6" i="6" s="1"/>
  <c r="X38" i="4"/>
  <c r="X6" i="6" s="1"/>
  <c r="Y38" i="4"/>
  <c r="Y6" i="6" s="1"/>
  <c r="Z38" i="4"/>
  <c r="Z6" i="6" s="1"/>
  <c r="AA38" i="4"/>
  <c r="AA6" i="6" s="1"/>
  <c r="V20" i="4"/>
  <c r="V32" i="4" s="1"/>
  <c r="V5" i="6" s="1"/>
  <c r="W20" i="4"/>
  <c r="W32" i="4" s="1"/>
  <c r="W5" i="6" s="1"/>
  <c r="X20" i="4"/>
  <c r="X32" i="4" s="1"/>
  <c r="X5" i="6" s="1"/>
  <c r="Y20" i="4"/>
  <c r="Y32" i="4" s="1"/>
  <c r="Y5" i="6" s="1"/>
  <c r="V57" i="4"/>
  <c r="V53" i="4"/>
  <c r="V16" i="6" s="1"/>
  <c r="V14" i="6" s="1"/>
  <c r="V12" i="6" s="1"/>
  <c r="V40" i="4"/>
  <c r="V38" i="4"/>
  <c r="V6" i="6" s="1"/>
  <c r="U81" i="4"/>
  <c r="V81" i="4"/>
  <c r="U73" i="4"/>
  <c r="U72" i="4" s="1"/>
  <c r="U49" i="6" s="1"/>
  <c r="V73" i="4"/>
  <c r="V107" i="4" s="1"/>
  <c r="U40" i="4"/>
  <c r="S44" i="6"/>
  <c r="S43" i="6"/>
  <c r="S42" i="6"/>
  <c r="S41" i="6"/>
  <c r="S38" i="6"/>
  <c r="S36" i="6"/>
  <c r="S33" i="6"/>
  <c r="S27" i="6"/>
  <c r="S26" i="6"/>
  <c r="S23" i="6"/>
  <c r="S22" i="6"/>
  <c r="S20" i="6"/>
  <c r="S18" i="6"/>
  <c r="S17" i="6"/>
  <c r="S15" i="6"/>
  <c r="W35" i="5" s="1"/>
  <c r="S10" i="6"/>
  <c r="S9" i="6"/>
  <c r="W36" i="5" s="1"/>
  <c r="S8" i="6"/>
  <c r="W27" i="5" s="1"/>
  <c r="S7" i="6"/>
  <c r="W28" i="5" s="1"/>
  <c r="T40" i="4"/>
  <c r="U20" i="4"/>
  <c r="U32" i="4" s="1"/>
  <c r="U5" i="6" s="1"/>
  <c r="R99" i="4"/>
  <c r="S99" i="4"/>
  <c r="T99" i="4"/>
  <c r="U99" i="4"/>
  <c r="V99" i="4"/>
  <c r="R92" i="4"/>
  <c r="R45" i="6" s="1"/>
  <c r="S92" i="4"/>
  <c r="S45" i="6" s="1"/>
  <c r="T92" i="4"/>
  <c r="T45" i="6" s="1"/>
  <c r="U92" i="4"/>
  <c r="U45" i="6" s="1"/>
  <c r="V92" i="4"/>
  <c r="R89" i="4"/>
  <c r="R47" i="6" s="1"/>
  <c r="S89" i="4"/>
  <c r="S47" i="6" s="1"/>
  <c r="T89" i="4"/>
  <c r="T47" i="6" s="1"/>
  <c r="U89" i="4"/>
  <c r="U47" i="6" s="1"/>
  <c r="V89" i="4"/>
  <c r="V47" i="6" s="1"/>
  <c r="R81" i="4"/>
  <c r="S81" i="4"/>
  <c r="S50" i="6" s="1"/>
  <c r="T81" i="4"/>
  <c r="T50" i="6" s="1"/>
  <c r="R37" i="6"/>
  <c r="S37" i="6"/>
  <c r="R73" i="4"/>
  <c r="R107" i="4" s="1"/>
  <c r="S73" i="4"/>
  <c r="S72" i="4" s="1"/>
  <c r="S49" i="6" s="1"/>
  <c r="T73" i="4"/>
  <c r="T72" i="4" s="1"/>
  <c r="T49" i="6" s="1"/>
  <c r="R57" i="4"/>
  <c r="S57" i="4"/>
  <c r="T57" i="4"/>
  <c r="U57" i="4"/>
  <c r="R53" i="4"/>
  <c r="S53" i="4"/>
  <c r="T53" i="4"/>
  <c r="T16" i="6" s="1"/>
  <c r="T14" i="6" s="1"/>
  <c r="T12" i="6" s="1"/>
  <c r="U53" i="4"/>
  <c r="U16" i="6" s="1"/>
  <c r="U14" i="6" s="1"/>
  <c r="U12" i="6" s="1"/>
  <c r="R40" i="4"/>
  <c r="S40" i="4"/>
  <c r="R38" i="4"/>
  <c r="S38" i="4"/>
  <c r="T38" i="4"/>
  <c r="T6" i="6" s="1"/>
  <c r="U38" i="4"/>
  <c r="U6" i="6" s="1"/>
  <c r="R25" i="4"/>
  <c r="R32" i="6" s="1"/>
  <c r="S25" i="4"/>
  <c r="S32" i="6" s="1"/>
  <c r="R20" i="4"/>
  <c r="S20" i="4"/>
  <c r="T20" i="4"/>
  <c r="T32" i="4" s="1"/>
  <c r="T5" i="6" s="1"/>
  <c r="R16" i="4"/>
  <c r="S16" i="4"/>
  <c r="R9" i="4"/>
  <c r="S9" i="4"/>
  <c r="R3" i="4"/>
  <c r="R31" i="6" s="1"/>
  <c r="H20" i="8"/>
  <c r="D20" i="8"/>
  <c r="I19" i="8"/>
  <c r="E19" i="8"/>
  <c r="G18" i="8"/>
  <c r="C18" i="8"/>
  <c r="J17" i="8"/>
  <c r="F17" i="8"/>
  <c r="J16" i="8"/>
  <c r="F16" i="8"/>
  <c r="J15" i="8"/>
  <c r="F15" i="8"/>
  <c r="J13" i="8"/>
  <c r="F13" i="8"/>
  <c r="H11" i="8"/>
  <c r="H14" i="8"/>
  <c r="J14" i="8" s="1"/>
  <c r="J18" i="8" s="1"/>
  <c r="H18" i="8"/>
  <c r="G11" i="8"/>
  <c r="G19" i="8"/>
  <c r="D11" i="8"/>
  <c r="D14" i="8" s="1"/>
  <c r="C11" i="8"/>
  <c r="C19" i="8"/>
  <c r="J10" i="8"/>
  <c r="F10" i="8"/>
  <c r="J9" i="8"/>
  <c r="F9" i="8"/>
  <c r="J8" i="8"/>
  <c r="F8" i="8"/>
  <c r="J7" i="8"/>
  <c r="F7" i="8"/>
  <c r="J6" i="8"/>
  <c r="J11" i="8" s="1"/>
  <c r="F6" i="8"/>
  <c r="F11" i="8"/>
  <c r="C8" i="6"/>
  <c r="D8" i="6"/>
  <c r="E8" i="6"/>
  <c r="G8" i="6"/>
  <c r="H8" i="6"/>
  <c r="I8" i="6"/>
  <c r="J8" i="6"/>
  <c r="K8" i="6"/>
  <c r="L8" i="6"/>
  <c r="M8" i="6"/>
  <c r="N8" i="6"/>
  <c r="O8" i="6"/>
  <c r="P8" i="6"/>
  <c r="Q8" i="6"/>
  <c r="R8" i="6"/>
  <c r="V32" i="5"/>
  <c r="S5" i="4"/>
  <c r="S3" i="4" s="1"/>
  <c r="S48" i="6" s="1"/>
  <c r="D42" i="6"/>
  <c r="E42" i="6"/>
  <c r="C42" i="6"/>
  <c r="R32" i="5"/>
  <c r="S32" i="5"/>
  <c r="T32" i="5"/>
  <c r="U32" i="5"/>
  <c r="G32" i="5"/>
  <c r="H32" i="5"/>
  <c r="I32" i="5"/>
  <c r="J32" i="5"/>
  <c r="O7" i="6"/>
  <c r="P7" i="6"/>
  <c r="Q7" i="6"/>
  <c r="R7" i="6"/>
  <c r="O9" i="6"/>
  <c r="P9" i="6"/>
  <c r="Q9" i="6"/>
  <c r="R9" i="6"/>
  <c r="O10" i="6"/>
  <c r="P10" i="6"/>
  <c r="Q10" i="6"/>
  <c r="R10" i="6"/>
  <c r="O15" i="6"/>
  <c r="P15" i="6"/>
  <c r="Q15" i="6"/>
  <c r="R15" i="6"/>
  <c r="O17" i="6"/>
  <c r="P17" i="6"/>
  <c r="Q17" i="6"/>
  <c r="R17" i="6"/>
  <c r="O18" i="6"/>
  <c r="P18" i="6"/>
  <c r="Q18" i="6"/>
  <c r="R18" i="6"/>
  <c r="O20" i="6"/>
  <c r="P20" i="6"/>
  <c r="Q20" i="6"/>
  <c r="R20" i="6"/>
  <c r="O22" i="6"/>
  <c r="P22" i="6"/>
  <c r="Q22" i="6"/>
  <c r="R22" i="6"/>
  <c r="O23" i="6"/>
  <c r="P23" i="6"/>
  <c r="Q23" i="6"/>
  <c r="R23" i="6"/>
  <c r="O26" i="6"/>
  <c r="AB55" i="6" s="1"/>
  <c r="P26" i="6"/>
  <c r="AC55" i="6" s="1"/>
  <c r="Q26" i="6"/>
  <c r="AD55" i="6" s="1"/>
  <c r="R26" i="6"/>
  <c r="AE55" i="6" s="1"/>
  <c r="O27" i="6"/>
  <c r="R42" i="5" s="1"/>
  <c r="P27" i="6"/>
  <c r="S42" i="5" s="1"/>
  <c r="Q27" i="6"/>
  <c r="T42" i="5" s="1"/>
  <c r="R27" i="6"/>
  <c r="U42" i="5" s="1"/>
  <c r="O33" i="6"/>
  <c r="P33" i="6"/>
  <c r="Q33" i="6"/>
  <c r="R33" i="6"/>
  <c r="O36" i="6"/>
  <c r="P36" i="6"/>
  <c r="Q36" i="6"/>
  <c r="R36" i="6"/>
  <c r="O38" i="6"/>
  <c r="P38" i="6"/>
  <c r="Q38" i="6"/>
  <c r="R38" i="6"/>
  <c r="O41" i="6"/>
  <c r="P41" i="6"/>
  <c r="Q41" i="6"/>
  <c r="R41" i="6"/>
  <c r="O42" i="6"/>
  <c r="P42" i="6"/>
  <c r="Q42" i="6"/>
  <c r="R42" i="6"/>
  <c r="O43" i="6"/>
  <c r="P43" i="6"/>
  <c r="Q43" i="6"/>
  <c r="R43" i="6"/>
  <c r="O44" i="6"/>
  <c r="P44" i="6"/>
  <c r="Q44" i="6"/>
  <c r="R44" i="6"/>
  <c r="C7" i="6"/>
  <c r="D7" i="6"/>
  <c r="E7" i="6"/>
  <c r="F7" i="6"/>
  <c r="C9" i="6"/>
  <c r="D9" i="6"/>
  <c r="E9" i="6"/>
  <c r="F9" i="6"/>
  <c r="C10" i="6"/>
  <c r="D10" i="6"/>
  <c r="E10" i="6"/>
  <c r="F10" i="6"/>
  <c r="C15" i="6"/>
  <c r="D15" i="6"/>
  <c r="E15" i="6"/>
  <c r="F15" i="6"/>
  <c r="C17" i="6"/>
  <c r="D17" i="6"/>
  <c r="E17" i="6"/>
  <c r="F17" i="6"/>
  <c r="C18" i="6"/>
  <c r="D18" i="6"/>
  <c r="E18" i="6"/>
  <c r="F18" i="6"/>
  <c r="C20" i="6"/>
  <c r="D20" i="6"/>
  <c r="E20" i="6"/>
  <c r="C22" i="6"/>
  <c r="D22" i="6"/>
  <c r="E22" i="6"/>
  <c r="F22" i="6"/>
  <c r="C23" i="6"/>
  <c r="C21" i="6" s="1"/>
  <c r="D23" i="6"/>
  <c r="D21" i="6" s="1"/>
  <c r="E23" i="6"/>
  <c r="E21" i="6" s="1"/>
  <c r="F23" i="6"/>
  <c r="F21" i="6" s="1"/>
  <c r="C26" i="6"/>
  <c r="F14" i="5" s="1"/>
  <c r="D26" i="6"/>
  <c r="G14" i="5" s="1"/>
  <c r="E26" i="6"/>
  <c r="H14" i="5" s="1"/>
  <c r="F26" i="6"/>
  <c r="I14" i="5" s="1"/>
  <c r="C27" i="6"/>
  <c r="F42" i="5" s="1"/>
  <c r="D27" i="6"/>
  <c r="G42" i="5" s="1"/>
  <c r="E27" i="6"/>
  <c r="H42" i="5" s="1"/>
  <c r="F27" i="6"/>
  <c r="I42" i="5" s="1"/>
  <c r="C33" i="6"/>
  <c r="D33" i="6"/>
  <c r="E33" i="6"/>
  <c r="C36" i="6"/>
  <c r="D36" i="6"/>
  <c r="E36" i="6"/>
  <c r="F36" i="6"/>
  <c r="C38" i="6"/>
  <c r="D38" i="6"/>
  <c r="E38" i="6"/>
  <c r="F38" i="6"/>
  <c r="C41" i="6"/>
  <c r="D41" i="6"/>
  <c r="E41" i="6"/>
  <c r="F41" i="6"/>
  <c r="C43" i="6"/>
  <c r="D43" i="6"/>
  <c r="E43" i="6"/>
  <c r="F43" i="6"/>
  <c r="C44" i="6"/>
  <c r="D44" i="6"/>
  <c r="E44" i="6"/>
  <c r="F44" i="6"/>
  <c r="F97" i="4"/>
  <c r="F92" i="4" s="1"/>
  <c r="F45" i="6" s="1"/>
  <c r="F82" i="4"/>
  <c r="F81" i="4" s="1"/>
  <c r="C73" i="4"/>
  <c r="C72" i="4" s="1"/>
  <c r="C49" i="6" s="1"/>
  <c r="D73" i="4"/>
  <c r="D72" i="4" s="1"/>
  <c r="E73" i="4"/>
  <c r="E72" i="4" s="1"/>
  <c r="F73" i="4"/>
  <c r="F72" i="4" s="1"/>
  <c r="F49" i="6" s="1"/>
  <c r="G73" i="4"/>
  <c r="G72" i="4" s="1"/>
  <c r="G49" i="6" s="1"/>
  <c r="H73" i="4"/>
  <c r="H72" i="4" s="1"/>
  <c r="H49" i="6" s="1"/>
  <c r="D37" i="6"/>
  <c r="E37" i="6"/>
  <c r="F37" i="6"/>
  <c r="G37" i="6"/>
  <c r="C81" i="4"/>
  <c r="D81" i="4"/>
  <c r="E81" i="4"/>
  <c r="G81" i="4"/>
  <c r="H81" i="4"/>
  <c r="C89" i="4"/>
  <c r="C47" i="6" s="1"/>
  <c r="D89" i="4"/>
  <c r="D47" i="6" s="1"/>
  <c r="E89" i="4"/>
  <c r="E47" i="6" s="1"/>
  <c r="F89" i="4"/>
  <c r="F47" i="6" s="1"/>
  <c r="G89" i="4"/>
  <c r="G47" i="6" s="1"/>
  <c r="H89" i="4"/>
  <c r="H47" i="6" s="1"/>
  <c r="C92" i="4"/>
  <c r="D92" i="4"/>
  <c r="E92" i="4"/>
  <c r="G92" i="4"/>
  <c r="G45" i="6" s="1"/>
  <c r="H92" i="4"/>
  <c r="H50" i="6" s="1"/>
  <c r="C99" i="4"/>
  <c r="D99" i="4"/>
  <c r="E99" i="4"/>
  <c r="F99" i="4"/>
  <c r="G99" i="4"/>
  <c r="H99" i="4"/>
  <c r="F55" i="4"/>
  <c r="F53" i="4" s="1"/>
  <c r="F35" i="4"/>
  <c r="F8" i="6" s="1"/>
  <c r="F27" i="4"/>
  <c r="F25" i="4" s="1"/>
  <c r="F32" i="6" s="1"/>
  <c r="F5" i="4"/>
  <c r="F3" i="4" s="1"/>
  <c r="D38" i="4"/>
  <c r="D6" i="6" s="1"/>
  <c r="E38" i="4"/>
  <c r="G38" i="4"/>
  <c r="H38" i="4"/>
  <c r="D25" i="4"/>
  <c r="D32" i="6" s="1"/>
  <c r="E25" i="4"/>
  <c r="E32" i="6" s="1"/>
  <c r="G25" i="4"/>
  <c r="G32" i="6" s="1"/>
  <c r="H25" i="4"/>
  <c r="H32" i="6" s="1"/>
  <c r="I25" i="4"/>
  <c r="I32" i="6" s="1"/>
  <c r="J25" i="4"/>
  <c r="J32" i="6" s="1"/>
  <c r="K25" i="4"/>
  <c r="K32" i="6" s="1"/>
  <c r="L25" i="4"/>
  <c r="L32" i="6" s="1"/>
  <c r="M25" i="4"/>
  <c r="M32" i="6" s="1"/>
  <c r="N25" i="4"/>
  <c r="N32" i="6" s="1"/>
  <c r="O25" i="4"/>
  <c r="O32" i="6" s="1"/>
  <c r="P25" i="4"/>
  <c r="P32" i="6" s="1"/>
  <c r="Q25" i="4"/>
  <c r="Q32" i="6" s="1"/>
  <c r="D16" i="4"/>
  <c r="E16" i="4"/>
  <c r="F16" i="4"/>
  <c r="G16" i="4"/>
  <c r="H16" i="4"/>
  <c r="I16" i="4"/>
  <c r="J16" i="4"/>
  <c r="K16" i="4"/>
  <c r="D9" i="4"/>
  <c r="E9" i="4"/>
  <c r="F9" i="4"/>
  <c r="G9" i="4"/>
  <c r="H9" i="4"/>
  <c r="C57" i="4"/>
  <c r="D57" i="4"/>
  <c r="E57" i="4"/>
  <c r="F57" i="4"/>
  <c r="G57" i="4"/>
  <c r="H57" i="4"/>
  <c r="M3" i="4"/>
  <c r="M31" i="6" s="1"/>
  <c r="N3" i="4"/>
  <c r="N48" i="6" s="1"/>
  <c r="O3" i="4"/>
  <c r="O31" i="6" s="1"/>
  <c r="O99" i="4"/>
  <c r="P99" i="4"/>
  <c r="Q99" i="4"/>
  <c r="O92" i="4"/>
  <c r="O45" i="6" s="1"/>
  <c r="P92" i="4"/>
  <c r="Q92" i="4"/>
  <c r="Q45" i="6" s="1"/>
  <c r="O89" i="4"/>
  <c r="O47" i="6" s="1"/>
  <c r="P89" i="4"/>
  <c r="P47" i="6" s="1"/>
  <c r="Q89" i="4"/>
  <c r="Q47" i="6" s="1"/>
  <c r="O81" i="4"/>
  <c r="P81" i="4"/>
  <c r="Q81" i="4"/>
  <c r="O73" i="4"/>
  <c r="P73" i="4"/>
  <c r="P107" i="4" s="1"/>
  <c r="Q73" i="4"/>
  <c r="Q72" i="4" s="1"/>
  <c r="Q49" i="6" s="1"/>
  <c r="J3" i="4"/>
  <c r="J31" i="6" s="1"/>
  <c r="K3" i="4"/>
  <c r="K31" i="6" s="1"/>
  <c r="L3" i="4"/>
  <c r="P3" i="4"/>
  <c r="P31" i="6" s="1"/>
  <c r="P48" i="6"/>
  <c r="Q3" i="4"/>
  <c r="Q48" i="6" s="1"/>
  <c r="I9" i="4"/>
  <c r="J9" i="4"/>
  <c r="K9" i="4"/>
  <c r="L9" i="4"/>
  <c r="M9" i="4"/>
  <c r="N9" i="4"/>
  <c r="O9" i="4"/>
  <c r="P9" i="4"/>
  <c r="Q9" i="4"/>
  <c r="O57" i="4"/>
  <c r="P57" i="4"/>
  <c r="Q57" i="4"/>
  <c r="O53" i="4"/>
  <c r="P53" i="4"/>
  <c r="P16" i="6" s="1"/>
  <c r="Q53" i="4"/>
  <c r="O38" i="4"/>
  <c r="O6" i="6" s="1"/>
  <c r="P38" i="4"/>
  <c r="P6" i="6" s="1"/>
  <c r="Q38" i="4"/>
  <c r="Q6" i="6" s="1"/>
  <c r="O40" i="4"/>
  <c r="P40" i="4"/>
  <c r="Q40" i="4"/>
  <c r="C53" i="4"/>
  <c r="C16" i="6" s="1"/>
  <c r="D53" i="4"/>
  <c r="D16" i="6" s="1"/>
  <c r="E53" i="4"/>
  <c r="E16" i="6" s="1"/>
  <c r="D40" i="4"/>
  <c r="E40" i="4"/>
  <c r="F40" i="4"/>
  <c r="G40" i="4"/>
  <c r="G47" i="4" s="1"/>
  <c r="C40" i="4"/>
  <c r="C38" i="4"/>
  <c r="C9" i="4"/>
  <c r="L16" i="4"/>
  <c r="M16" i="4"/>
  <c r="N16" i="4"/>
  <c r="O16" i="4"/>
  <c r="P16" i="4"/>
  <c r="Q16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C25" i="4"/>
  <c r="C32" i="6" s="1"/>
  <c r="C20" i="4"/>
  <c r="C16" i="4"/>
  <c r="D3" i="4"/>
  <c r="D48" i="6" s="1"/>
  <c r="E3" i="4"/>
  <c r="E31" i="6" s="1"/>
  <c r="G3" i="4"/>
  <c r="G31" i="6" s="1"/>
  <c r="H3" i="4"/>
  <c r="H31" i="6" s="1"/>
  <c r="I3" i="4"/>
  <c r="I31" i="6" s="1"/>
  <c r="C3" i="4"/>
  <c r="C31" i="6" s="1"/>
  <c r="K32" i="5"/>
  <c r="L32" i="5"/>
  <c r="M32" i="5"/>
  <c r="N32" i="5"/>
  <c r="O32" i="5"/>
  <c r="P32" i="5"/>
  <c r="Q32" i="5"/>
  <c r="G7" i="6"/>
  <c r="H7" i="6"/>
  <c r="I7" i="6"/>
  <c r="J7" i="6"/>
  <c r="K7" i="6"/>
  <c r="L7" i="6"/>
  <c r="M7" i="6"/>
  <c r="N7" i="6"/>
  <c r="G9" i="6"/>
  <c r="H9" i="6"/>
  <c r="I9" i="6"/>
  <c r="J9" i="6"/>
  <c r="K9" i="6"/>
  <c r="L9" i="6"/>
  <c r="M9" i="6"/>
  <c r="N9" i="6"/>
  <c r="G10" i="6"/>
  <c r="H10" i="6"/>
  <c r="I10" i="6"/>
  <c r="J10" i="6"/>
  <c r="K10" i="6"/>
  <c r="L10" i="6"/>
  <c r="M10" i="6"/>
  <c r="N10" i="6"/>
  <c r="G15" i="6"/>
  <c r="H15" i="6"/>
  <c r="I15" i="6"/>
  <c r="J15" i="6"/>
  <c r="K15" i="6"/>
  <c r="L15" i="6"/>
  <c r="M15" i="6"/>
  <c r="N15" i="6"/>
  <c r="G17" i="6"/>
  <c r="H17" i="6"/>
  <c r="I17" i="6"/>
  <c r="J17" i="6"/>
  <c r="K17" i="6"/>
  <c r="L17" i="6"/>
  <c r="M17" i="6"/>
  <c r="N17" i="6"/>
  <c r="G18" i="6"/>
  <c r="H18" i="6"/>
  <c r="I18" i="6"/>
  <c r="J18" i="6"/>
  <c r="K18" i="6"/>
  <c r="L18" i="6"/>
  <c r="M18" i="6"/>
  <c r="N18" i="6"/>
  <c r="G20" i="6"/>
  <c r="H20" i="6"/>
  <c r="I20" i="6"/>
  <c r="J20" i="6"/>
  <c r="K20" i="6"/>
  <c r="L20" i="6"/>
  <c r="M20" i="6"/>
  <c r="N20" i="6"/>
  <c r="G22" i="6"/>
  <c r="H22" i="6"/>
  <c r="I22" i="6"/>
  <c r="J22" i="6"/>
  <c r="K22" i="6"/>
  <c r="L22" i="6"/>
  <c r="M22" i="6"/>
  <c r="N22" i="6"/>
  <c r="G23" i="6"/>
  <c r="G21" i="6" s="1"/>
  <c r="H23" i="6"/>
  <c r="H21" i="6" s="1"/>
  <c r="I23" i="6"/>
  <c r="I21" i="6" s="1"/>
  <c r="J23" i="6"/>
  <c r="J21" i="6" s="1"/>
  <c r="K23" i="6"/>
  <c r="L23" i="6"/>
  <c r="M23" i="6"/>
  <c r="N23" i="6"/>
  <c r="G26" i="6"/>
  <c r="H26" i="6"/>
  <c r="U55" i="6" s="1"/>
  <c r="I26" i="6"/>
  <c r="V55" i="6" s="1"/>
  <c r="J26" i="6"/>
  <c r="K26" i="6"/>
  <c r="X55" i="6" s="1"/>
  <c r="L26" i="6"/>
  <c r="M26" i="6"/>
  <c r="Z55" i="6" s="1"/>
  <c r="N26" i="6"/>
  <c r="AA55" i="6" s="1"/>
  <c r="G27" i="6"/>
  <c r="J42" i="5" s="1"/>
  <c r="H27" i="6"/>
  <c r="K42" i="5" s="1"/>
  <c r="I27" i="6"/>
  <c r="L42" i="5" s="1"/>
  <c r="J27" i="6"/>
  <c r="M42" i="5" s="1"/>
  <c r="K27" i="6"/>
  <c r="N42" i="5" s="1"/>
  <c r="L27" i="6"/>
  <c r="O42" i="5" s="1"/>
  <c r="M27" i="6"/>
  <c r="P42" i="5" s="1"/>
  <c r="N27" i="6"/>
  <c r="Q42" i="5" s="1"/>
  <c r="G33" i="6"/>
  <c r="H33" i="6"/>
  <c r="I33" i="6"/>
  <c r="J33" i="6"/>
  <c r="K33" i="6"/>
  <c r="L33" i="6"/>
  <c r="M33" i="6"/>
  <c r="N33" i="6"/>
  <c r="G36" i="6"/>
  <c r="H36" i="6"/>
  <c r="I36" i="6"/>
  <c r="J36" i="6"/>
  <c r="K36" i="6"/>
  <c r="L36" i="6"/>
  <c r="M36" i="6"/>
  <c r="N36" i="6"/>
  <c r="G38" i="6"/>
  <c r="H38" i="6"/>
  <c r="I38" i="6"/>
  <c r="J38" i="6"/>
  <c r="K38" i="6"/>
  <c r="L38" i="6"/>
  <c r="M38" i="6"/>
  <c r="N38" i="6"/>
  <c r="G41" i="6"/>
  <c r="H41" i="6"/>
  <c r="I41" i="6"/>
  <c r="J41" i="6"/>
  <c r="K41" i="6"/>
  <c r="L41" i="6"/>
  <c r="M41" i="6"/>
  <c r="N41" i="6"/>
  <c r="G42" i="6"/>
  <c r="H42" i="6"/>
  <c r="I42" i="6"/>
  <c r="J42" i="6"/>
  <c r="K42" i="6"/>
  <c r="L42" i="6"/>
  <c r="M42" i="6"/>
  <c r="N42" i="6"/>
  <c r="G43" i="6"/>
  <c r="H43" i="6"/>
  <c r="I43" i="6"/>
  <c r="J43" i="6"/>
  <c r="K43" i="6"/>
  <c r="L43" i="6"/>
  <c r="M43" i="6"/>
  <c r="N43" i="6"/>
  <c r="G44" i="6"/>
  <c r="H44" i="6"/>
  <c r="I44" i="6"/>
  <c r="J44" i="6"/>
  <c r="K44" i="6"/>
  <c r="L44" i="6"/>
  <c r="M44" i="6"/>
  <c r="N44" i="6"/>
  <c r="J47" i="6"/>
  <c r="I38" i="4"/>
  <c r="I6" i="6" s="1"/>
  <c r="J38" i="4"/>
  <c r="J6" i="6" s="1"/>
  <c r="K38" i="4"/>
  <c r="K6" i="6" s="1"/>
  <c r="L38" i="4"/>
  <c r="L6" i="6" s="1"/>
  <c r="M38" i="4"/>
  <c r="M6" i="6" s="1"/>
  <c r="N38" i="4"/>
  <c r="N6" i="6" s="1"/>
  <c r="H40" i="4"/>
  <c r="I40" i="4"/>
  <c r="J40" i="4"/>
  <c r="K40" i="4"/>
  <c r="L40" i="4"/>
  <c r="M40" i="4"/>
  <c r="N40" i="4"/>
  <c r="G53" i="4"/>
  <c r="G63" i="4" s="1"/>
  <c r="H53" i="4"/>
  <c r="H16" i="6" s="1"/>
  <c r="I53" i="4"/>
  <c r="I16" i="6" s="1"/>
  <c r="J53" i="4"/>
  <c r="J16" i="6" s="1"/>
  <c r="K53" i="4"/>
  <c r="K16" i="6" s="1"/>
  <c r="L53" i="4"/>
  <c r="L16" i="6" s="1"/>
  <c r="M53" i="4"/>
  <c r="M16" i="6" s="1"/>
  <c r="N53" i="4"/>
  <c r="N16" i="6" s="1"/>
  <c r="I57" i="4"/>
  <c r="J57" i="4"/>
  <c r="K57" i="4"/>
  <c r="L57" i="4"/>
  <c r="M57" i="4"/>
  <c r="N57" i="4"/>
  <c r="I73" i="4"/>
  <c r="I72" i="4" s="1"/>
  <c r="J73" i="4"/>
  <c r="J107" i="4" s="1"/>
  <c r="K73" i="4"/>
  <c r="K107" i="4" s="1"/>
  <c r="L73" i="4"/>
  <c r="L72" i="4" s="1"/>
  <c r="M73" i="4"/>
  <c r="M72" i="4" s="1"/>
  <c r="M49" i="6" s="1"/>
  <c r="N73" i="4"/>
  <c r="N72" i="4" s="1"/>
  <c r="I81" i="4"/>
  <c r="J81" i="4"/>
  <c r="K81" i="4"/>
  <c r="L81" i="4"/>
  <c r="M81" i="4"/>
  <c r="N81" i="4"/>
  <c r="I89" i="4"/>
  <c r="I47" i="6" s="1"/>
  <c r="K89" i="4"/>
  <c r="K47" i="6" s="1"/>
  <c r="L89" i="4"/>
  <c r="L47" i="6" s="1"/>
  <c r="M89" i="4"/>
  <c r="M47" i="6" s="1"/>
  <c r="N89" i="4"/>
  <c r="N47" i="6" s="1"/>
  <c r="I92" i="4"/>
  <c r="I45" i="6" s="1"/>
  <c r="J92" i="4"/>
  <c r="K92" i="4"/>
  <c r="K45" i="6" s="1"/>
  <c r="L92" i="4"/>
  <c r="M92" i="4"/>
  <c r="M45" i="6" s="1"/>
  <c r="N92" i="4"/>
  <c r="N45" i="6" s="1"/>
  <c r="I99" i="4"/>
  <c r="J99" i="4"/>
  <c r="K99" i="4"/>
  <c r="L99" i="4"/>
  <c r="M99" i="4"/>
  <c r="N99" i="4"/>
  <c r="R6" i="6"/>
  <c r="N37" i="6"/>
  <c r="E6" i="6"/>
  <c r="I47" i="4"/>
  <c r="F38" i="4"/>
  <c r="F6" i="6" s="1"/>
  <c r="M37" i="6"/>
  <c r="E45" i="6"/>
  <c r="J37" i="6"/>
  <c r="O37" i="6"/>
  <c r="O107" i="4"/>
  <c r="K37" i="6"/>
  <c r="P37" i="6"/>
  <c r="G6" i="6"/>
  <c r="Q16" i="6"/>
  <c r="I37" i="6"/>
  <c r="H107" i="4"/>
  <c r="H37" i="6"/>
  <c r="O72" i="4"/>
  <c r="O49" i="6" s="1"/>
  <c r="U107" i="4"/>
  <c r="Y108" i="4"/>
  <c r="L37" i="6"/>
  <c r="C37" i="6"/>
  <c r="S47" i="4"/>
  <c r="S6" i="6"/>
  <c r="T107" i="4"/>
  <c r="Q37" i="6"/>
  <c r="D45" i="6"/>
  <c r="L31" i="6"/>
  <c r="L48" i="6"/>
  <c r="AD72" i="4"/>
  <c r="AD49" i="6" s="1"/>
  <c r="M50" i="6" l="1"/>
  <c r="O14" i="5"/>
  <c r="Y55" i="6"/>
  <c r="M14" i="5"/>
  <c r="W55" i="6"/>
  <c r="J14" i="5"/>
  <c r="T55" i="6"/>
  <c r="P50" i="6"/>
  <c r="D50" i="6"/>
  <c r="H19" i="8"/>
  <c r="W12" i="5"/>
  <c r="W13" i="5"/>
  <c r="W8" i="5"/>
  <c r="W23" i="5"/>
  <c r="W22" i="5"/>
  <c r="W21" i="5"/>
  <c r="AG52" i="6"/>
  <c r="W18" i="5"/>
  <c r="X20" i="5"/>
  <c r="X26" i="5"/>
  <c r="X34" i="5"/>
  <c r="X16" i="5"/>
  <c r="X40" i="5"/>
  <c r="W20" i="5"/>
  <c r="W26" i="5"/>
  <c r="W34" i="5"/>
  <c r="W16" i="5"/>
  <c r="W40" i="5"/>
  <c r="U13" i="6"/>
  <c r="X9" i="5" s="1"/>
  <c r="X5" i="5"/>
  <c r="X6" i="5"/>
  <c r="X7" i="5"/>
  <c r="X30" i="5"/>
  <c r="X17" i="5"/>
  <c r="T13" i="6"/>
  <c r="W9" i="5" s="1"/>
  <c r="W5" i="5"/>
  <c r="W6" i="5"/>
  <c r="W7" i="5"/>
  <c r="W17" i="5"/>
  <c r="V108" i="4"/>
  <c r="V45" i="6"/>
  <c r="X37" i="5"/>
  <c r="U40" i="6"/>
  <c r="T40" i="6"/>
  <c r="X25" i="5"/>
  <c r="X12" i="5"/>
  <c r="X13" i="5"/>
  <c r="X8" i="5"/>
  <c r="X23" i="5"/>
  <c r="X22" i="5"/>
  <c r="X21" i="5"/>
  <c r="AH52" i="6"/>
  <c r="X18" i="5"/>
  <c r="V14" i="5"/>
  <c r="AF55" i="6"/>
  <c r="V50" i="6"/>
  <c r="U50" i="6"/>
  <c r="Y20" i="5"/>
  <c r="Y26" i="5"/>
  <c r="Y34" i="5"/>
  <c r="Y16" i="5"/>
  <c r="Y40" i="5"/>
  <c r="V13" i="6"/>
  <c r="Y9" i="5" s="1"/>
  <c r="Y5" i="5"/>
  <c r="Y6" i="5"/>
  <c r="Y7" i="5"/>
  <c r="Y30" i="5"/>
  <c r="Y17" i="5"/>
  <c r="AB25" i="5"/>
  <c r="AB12" i="5"/>
  <c r="AB13" i="5"/>
  <c r="AB8" i="5"/>
  <c r="AB23" i="5"/>
  <c r="AB22" i="5"/>
  <c r="AB21" i="5"/>
  <c r="AL52" i="6"/>
  <c r="AB18" i="5"/>
  <c r="AA25" i="5"/>
  <c r="AA12" i="5"/>
  <c r="AA13" i="5"/>
  <c r="AA8" i="5"/>
  <c r="AA23" i="5"/>
  <c r="AA22" i="5"/>
  <c r="AA21" i="5"/>
  <c r="AK52" i="6"/>
  <c r="AA18" i="5"/>
  <c r="Z25" i="5"/>
  <c r="Z12" i="5"/>
  <c r="Z13" i="5"/>
  <c r="Z8" i="5"/>
  <c r="Z23" i="5"/>
  <c r="Z22" i="5"/>
  <c r="Z21" i="5"/>
  <c r="AJ52" i="6"/>
  <c r="Z18" i="5"/>
  <c r="Y25" i="5"/>
  <c r="Y12" i="5"/>
  <c r="Y13" i="5"/>
  <c r="Y8" i="5"/>
  <c r="Y23" i="5"/>
  <c r="Y22" i="5"/>
  <c r="Y21" i="5"/>
  <c r="AI52" i="6"/>
  <c r="Y18" i="5"/>
  <c r="AD20" i="5"/>
  <c r="AD26" i="5"/>
  <c r="AD34" i="5"/>
  <c r="AD16" i="5"/>
  <c r="AD40" i="5"/>
  <c r="AC20" i="5"/>
  <c r="AC26" i="5"/>
  <c r="AC34" i="5"/>
  <c r="AC16" i="5"/>
  <c r="AC40" i="5"/>
  <c r="AB20" i="5"/>
  <c r="AB26" i="5"/>
  <c r="AB34" i="5"/>
  <c r="AB16" i="5"/>
  <c r="AB40" i="5"/>
  <c r="AA20" i="5"/>
  <c r="AA26" i="5"/>
  <c r="AA34" i="5"/>
  <c r="AA16" i="5"/>
  <c r="AA40" i="5"/>
  <c r="Z20" i="5"/>
  <c r="Z26" i="5"/>
  <c r="Z34" i="5"/>
  <c r="Z16" i="5"/>
  <c r="Z40" i="5"/>
  <c r="Z13" i="6"/>
  <c r="AC9" i="5" s="1"/>
  <c r="AC5" i="5"/>
  <c r="AC6" i="5"/>
  <c r="AC7" i="5"/>
  <c r="AC30" i="5"/>
  <c r="AC17" i="5"/>
  <c r="Y13" i="6"/>
  <c r="AB9" i="5" s="1"/>
  <c r="AB5" i="5"/>
  <c r="AB6" i="5"/>
  <c r="AB7" i="5"/>
  <c r="AB30" i="5"/>
  <c r="AB17" i="5"/>
  <c r="X13" i="6"/>
  <c r="AA9" i="5" s="1"/>
  <c r="AA5" i="5"/>
  <c r="AA6" i="5"/>
  <c r="AA7" i="5"/>
  <c r="AA17" i="5"/>
  <c r="W63" i="4"/>
  <c r="W16" i="6"/>
  <c r="W14" i="6" s="1"/>
  <c r="W12" i="6" s="1"/>
  <c r="X108" i="4"/>
  <c r="X50" i="6"/>
  <c r="AC37" i="5"/>
  <c r="Z40" i="6"/>
  <c r="Y40" i="6"/>
  <c r="AB37" i="5"/>
  <c r="AA37" i="5"/>
  <c r="X40" i="6"/>
  <c r="Z37" i="5"/>
  <c r="W40" i="6"/>
  <c r="AE13" i="6"/>
  <c r="AH9" i="5" s="1"/>
  <c r="AH5" i="5"/>
  <c r="AH6" i="5"/>
  <c r="AH30" i="5"/>
  <c r="AH17" i="5"/>
  <c r="AI30" i="5"/>
  <c r="AD13" i="6"/>
  <c r="AG9" i="5" s="1"/>
  <c r="AG5" i="5"/>
  <c r="AG6" i="5"/>
  <c r="AG30" i="5"/>
  <c r="AG17" i="5"/>
  <c r="AC13" i="6"/>
  <c r="AF9" i="5" s="1"/>
  <c r="AF5" i="5"/>
  <c r="AF6" i="5"/>
  <c r="AF7" i="5"/>
  <c r="AF30" i="5"/>
  <c r="AF17" i="5"/>
  <c r="AB13" i="6"/>
  <c r="AE9" i="5" s="1"/>
  <c r="AE5" i="5"/>
  <c r="AE6" i="5"/>
  <c r="AE7" i="5"/>
  <c r="AE30" i="5"/>
  <c r="AE17" i="5"/>
  <c r="AA13" i="6"/>
  <c r="AD9" i="5" s="1"/>
  <c r="AD5" i="5"/>
  <c r="AD6" i="5"/>
  <c r="AD7" i="5"/>
  <c r="AD30" i="5"/>
  <c r="AD17" i="5"/>
  <c r="AH37" i="5"/>
  <c r="AE40" i="6"/>
  <c r="AG37" i="5"/>
  <c r="AD40" i="6"/>
  <c r="AF37" i="5"/>
  <c r="AC40" i="6"/>
  <c r="AE37" i="5"/>
  <c r="AB40" i="6"/>
  <c r="AD37" i="5"/>
  <c r="AA40" i="6"/>
  <c r="AH25" i="5"/>
  <c r="AH12" i="5"/>
  <c r="AI37" i="5"/>
  <c r="AH13" i="5"/>
  <c r="AH8" i="5"/>
  <c r="AH23" i="5"/>
  <c r="AH22" i="5"/>
  <c r="AH21" i="5"/>
  <c r="AR52" i="6"/>
  <c r="AH18" i="5"/>
  <c r="AI25" i="5"/>
  <c r="AG25" i="5"/>
  <c r="AG12" i="5"/>
  <c r="AG13" i="5"/>
  <c r="AG8" i="5"/>
  <c r="AG23" i="5"/>
  <c r="AG22" i="5"/>
  <c r="AG21" i="5"/>
  <c r="AQ52" i="6"/>
  <c r="AG18" i="5"/>
  <c r="AF25" i="5"/>
  <c r="AF12" i="5"/>
  <c r="AF13" i="5"/>
  <c r="AF8" i="5"/>
  <c r="AF23" i="5"/>
  <c r="AF22" i="5"/>
  <c r="AF21" i="5"/>
  <c r="AP52" i="6"/>
  <c r="AF18" i="5"/>
  <c r="AE25" i="5"/>
  <c r="AE12" i="5"/>
  <c r="AE13" i="5"/>
  <c r="AE8" i="5"/>
  <c r="AE23" i="5"/>
  <c r="AE22" i="5"/>
  <c r="AE21" i="5"/>
  <c r="AO52" i="6"/>
  <c r="AE18" i="5"/>
  <c r="AN52" i="6"/>
  <c r="AD25" i="5"/>
  <c r="AD12" i="5"/>
  <c r="AD13" i="5"/>
  <c r="AD8" i="5"/>
  <c r="AD23" i="5"/>
  <c r="AD22" i="5"/>
  <c r="AD21" i="5"/>
  <c r="AD18" i="5"/>
  <c r="AM52" i="6"/>
  <c r="AC25" i="5"/>
  <c r="AC12" i="5"/>
  <c r="AC13" i="5"/>
  <c r="AC8" i="5"/>
  <c r="AC23" i="5"/>
  <c r="AC22" i="5"/>
  <c r="AC21" i="5"/>
  <c r="AC18" i="5"/>
  <c r="AE47" i="4"/>
  <c r="AE6" i="6"/>
  <c r="AD47" i="4"/>
  <c r="AD6" i="6"/>
  <c r="AF20" i="5"/>
  <c r="AF26" i="5"/>
  <c r="AF34" i="5"/>
  <c r="AF16" i="5"/>
  <c r="AF40" i="5"/>
  <c r="AE20" i="5"/>
  <c r="AE26" i="5"/>
  <c r="AE34" i="5"/>
  <c r="AE16" i="5"/>
  <c r="AE40" i="5"/>
  <c r="AN88" i="4"/>
  <c r="AN98" i="4" s="1"/>
  <c r="AN102" i="4" s="1"/>
  <c r="AN104" i="4" s="1"/>
  <c r="AN49" i="6"/>
  <c r="AO88" i="4"/>
  <c r="AO98" i="4" s="1"/>
  <c r="AO102" i="4" s="1"/>
  <c r="AO104" i="4" s="1"/>
  <c r="AO49" i="6"/>
  <c r="AG88" i="4"/>
  <c r="AG98" i="4" s="1"/>
  <c r="AG102" i="4" s="1"/>
  <c r="AG104" i="4" s="1"/>
  <c r="AG49" i="6"/>
  <c r="AP88" i="4"/>
  <c r="AP98" i="4" s="1"/>
  <c r="AP102" i="4" s="1"/>
  <c r="AP104" i="4" s="1"/>
  <c r="AP49" i="6"/>
  <c r="AQ88" i="4"/>
  <c r="AQ98" i="4" s="1"/>
  <c r="AQ102" i="4" s="1"/>
  <c r="AQ104" i="4" s="1"/>
  <c r="AQ49" i="6"/>
  <c r="AK88" i="4"/>
  <c r="AK98" i="4" s="1"/>
  <c r="AK102" i="4" s="1"/>
  <c r="AK104" i="4" s="1"/>
  <c r="AK49" i="6"/>
  <c r="AL88" i="4"/>
  <c r="AL98" i="4" s="1"/>
  <c r="AL102" i="4" s="1"/>
  <c r="AL104" i="4" s="1"/>
  <c r="AL49" i="6"/>
  <c r="AM88" i="4"/>
  <c r="AM98" i="4" s="1"/>
  <c r="AM102" i="4" s="1"/>
  <c r="AM104" i="4" s="1"/>
  <c r="AM49" i="6"/>
  <c r="AV37" i="5"/>
  <c r="AS40" i="6"/>
  <c r="AH88" i="4"/>
  <c r="AH98" i="4" s="1"/>
  <c r="AH102" i="4" s="1"/>
  <c r="AH104" i="4" s="1"/>
  <c r="AH49" i="6"/>
  <c r="AI88" i="4"/>
  <c r="AI98" i="4" s="1"/>
  <c r="AI102" i="4" s="1"/>
  <c r="AI104" i="4" s="1"/>
  <c r="AI49" i="6"/>
  <c r="AV20" i="5"/>
  <c r="AV26" i="5"/>
  <c r="AV34" i="5"/>
  <c r="AV7" i="5"/>
  <c r="AN20" i="5"/>
  <c r="AN26" i="5"/>
  <c r="AN34" i="5"/>
  <c r="AN16" i="5"/>
  <c r="AO20" i="5"/>
  <c r="AO26" i="5"/>
  <c r="AO34" i="5"/>
  <c r="AP26" i="5"/>
  <c r="AP34" i="5"/>
  <c r="AQ20" i="5"/>
  <c r="AQ26" i="5"/>
  <c r="AQ34" i="5"/>
  <c r="AQ16" i="5"/>
  <c r="AQ7" i="5"/>
  <c r="AJ13" i="6"/>
  <c r="AM9" i="5" s="1"/>
  <c r="AM5" i="5"/>
  <c r="AM6" i="5"/>
  <c r="AM7" i="5"/>
  <c r="AM30" i="5"/>
  <c r="AK13" i="6"/>
  <c r="AN9" i="5" s="1"/>
  <c r="AN5" i="5"/>
  <c r="AN6" i="5"/>
  <c r="AN7" i="5"/>
  <c r="AN30" i="5"/>
  <c r="AN17" i="5"/>
  <c r="AL13" i="6"/>
  <c r="AO9" i="5" s="1"/>
  <c r="AO5" i="5"/>
  <c r="AO6" i="5"/>
  <c r="AO7" i="5"/>
  <c r="AO30" i="5"/>
  <c r="AM13" i="6"/>
  <c r="AP9" i="5" s="1"/>
  <c r="AP5" i="5"/>
  <c r="AP6" i="5"/>
  <c r="AP7" i="5"/>
  <c r="AP30" i="5"/>
  <c r="AP17" i="5"/>
  <c r="AQ30" i="5"/>
  <c r="AR13" i="6"/>
  <c r="AU9" i="5" s="1"/>
  <c r="AU5" i="5"/>
  <c r="AU6" i="5"/>
  <c r="AU7" i="5"/>
  <c r="AU30" i="5"/>
  <c r="AV30" i="5"/>
  <c r="AV25" i="5"/>
  <c r="AS52" i="6"/>
  <c r="AV12" i="5"/>
  <c r="AV13" i="5"/>
  <c r="AV8" i="5"/>
  <c r="AV23" i="5"/>
  <c r="AV21" i="5"/>
  <c r="AV22" i="5"/>
  <c r="AV16" i="5"/>
  <c r="AV17" i="5"/>
  <c r="AS25" i="6"/>
  <c r="AV14" i="5"/>
  <c r="AS55" i="6"/>
  <c r="AS39" i="6"/>
  <c r="AV40" i="5"/>
  <c r="AV63" i="4"/>
  <c r="AV65" i="4" s="1"/>
  <c r="AV67" i="4" s="1"/>
  <c r="AU63" i="4"/>
  <c r="AU65" i="4" s="1"/>
  <c r="AU67" i="4" s="1"/>
  <c r="AT63" i="4"/>
  <c r="AT65" i="4" s="1"/>
  <c r="AT67" i="4" s="1"/>
  <c r="E88" i="4"/>
  <c r="H44" i="5" s="1"/>
  <c r="Z107" i="4"/>
  <c r="R50" i="6"/>
  <c r="Z63" i="4"/>
  <c r="I50" i="6"/>
  <c r="E47" i="4"/>
  <c r="V63" i="4"/>
  <c r="AS47" i="4"/>
  <c r="AS65" i="4" s="1"/>
  <c r="AS67" i="4" s="1"/>
  <c r="AI65" i="4"/>
  <c r="M48" i="6"/>
  <c r="P40" i="5" s="1"/>
  <c r="D31" i="6"/>
  <c r="J19" i="8"/>
  <c r="D18" i="8"/>
  <c r="D19" i="8" s="1"/>
  <c r="D21" i="8" s="1"/>
  <c r="F14" i="8"/>
  <c r="F18" i="8"/>
  <c r="F19" i="8" s="1"/>
  <c r="Q50" i="6"/>
  <c r="Z108" i="4"/>
  <c r="S108" i="4"/>
  <c r="R72" i="4"/>
  <c r="R49" i="6" s="1"/>
  <c r="N32" i="4"/>
  <c r="N5" i="6" s="1"/>
  <c r="J108" i="4"/>
  <c r="N50" i="6"/>
  <c r="H63" i="4"/>
  <c r="C32" i="4"/>
  <c r="C5" i="6" s="1"/>
  <c r="F23" i="5" s="1"/>
  <c r="AA47" i="4"/>
  <c r="AC47" i="4"/>
  <c r="O63" i="4"/>
  <c r="E63" i="4"/>
  <c r="E65" i="4" s="1"/>
  <c r="C50" i="6"/>
  <c r="Z47" i="4"/>
  <c r="AB47" i="4"/>
  <c r="U88" i="4"/>
  <c r="S32" i="4"/>
  <c r="S5" i="6" s="1"/>
  <c r="Q31" i="6"/>
  <c r="F33" i="6"/>
  <c r="W47" i="4"/>
  <c r="W65" i="4" s="1"/>
  <c r="G108" i="4"/>
  <c r="Y47" i="4"/>
  <c r="AX63" i="4"/>
  <c r="AX65" i="4" s="1"/>
  <c r="AX67" i="4" s="1"/>
  <c r="N31" i="6"/>
  <c r="I108" i="4"/>
  <c r="T108" i="4"/>
  <c r="K50" i="6"/>
  <c r="I88" i="4"/>
  <c r="X47" i="4"/>
  <c r="AW63" i="4"/>
  <c r="AW65" i="4" s="1"/>
  <c r="AW67" i="4" s="1"/>
  <c r="K72" i="4"/>
  <c r="K49" i="6" s="1"/>
  <c r="O32" i="4"/>
  <c r="O5" i="6" s="1"/>
  <c r="J72" i="4"/>
  <c r="J49" i="6" s="1"/>
  <c r="U108" i="4"/>
  <c r="K63" i="4"/>
  <c r="N47" i="4"/>
  <c r="M32" i="4"/>
  <c r="M5" i="6" s="1"/>
  <c r="O16" i="6"/>
  <c r="O14" i="6" s="1"/>
  <c r="O12" i="6" s="1"/>
  <c r="U47" i="4"/>
  <c r="G107" i="4"/>
  <c r="AA63" i="4"/>
  <c r="O50" i="6"/>
  <c r="V72" i="4"/>
  <c r="V49" i="6" s="1"/>
  <c r="F107" i="4"/>
  <c r="F47" i="4"/>
  <c r="K47" i="4"/>
  <c r="J32" i="4"/>
  <c r="J5" i="6" s="1"/>
  <c r="P63" i="4"/>
  <c r="T63" i="4"/>
  <c r="S63" i="4"/>
  <c r="S65" i="4" s="1"/>
  <c r="Q47" i="4"/>
  <c r="H108" i="4"/>
  <c r="G32" i="4"/>
  <c r="G5" i="6" s="1"/>
  <c r="N108" i="4"/>
  <c r="G16" i="6"/>
  <c r="G14" i="6" s="1"/>
  <c r="G12" i="6" s="1"/>
  <c r="J5" i="5" s="1"/>
  <c r="O48" i="6"/>
  <c r="R47" i="5" s="1"/>
  <c r="U98" i="4"/>
  <c r="U102" i="4" s="1"/>
  <c r="U104" i="4" s="1"/>
  <c r="U106" i="4" s="1"/>
  <c r="R48" i="6"/>
  <c r="F20" i="6"/>
  <c r="AA72" i="4"/>
  <c r="AA49" i="6" s="1"/>
  <c r="C48" i="6"/>
  <c r="Q107" i="4"/>
  <c r="U27" i="5"/>
  <c r="H27" i="5"/>
  <c r="N49" i="6"/>
  <c r="N88" i="4"/>
  <c r="N98" i="4" s="1"/>
  <c r="N102" i="4" s="1"/>
  <c r="N104" i="4" s="1"/>
  <c r="N106" i="4" s="1"/>
  <c r="J47" i="4"/>
  <c r="K48" i="6"/>
  <c r="L50" i="6"/>
  <c r="P47" i="4"/>
  <c r="P65" i="4" s="1"/>
  <c r="X72" i="4"/>
  <c r="X49" i="6" s="1"/>
  <c r="I107" i="4"/>
  <c r="S107" i="4"/>
  <c r="I32" i="4"/>
  <c r="I5" i="6" s="1"/>
  <c r="C47" i="4"/>
  <c r="G50" i="6"/>
  <c r="E50" i="6"/>
  <c r="G65" i="4"/>
  <c r="G67" i="4" s="1"/>
  <c r="X63" i="4"/>
  <c r="X65" i="4" s="1"/>
  <c r="C45" i="6"/>
  <c r="C40" i="6" s="1"/>
  <c r="R63" i="4"/>
  <c r="O108" i="4"/>
  <c r="M108" i="4"/>
  <c r="W108" i="4"/>
  <c r="N107" i="4"/>
  <c r="L32" i="4"/>
  <c r="L5" i="6" s="1"/>
  <c r="P108" i="4"/>
  <c r="Y72" i="4"/>
  <c r="Y49" i="6" s="1"/>
  <c r="J63" i="4"/>
  <c r="O51" i="6"/>
  <c r="Y63" i="4"/>
  <c r="H47" i="4"/>
  <c r="R32" i="4"/>
  <c r="R5" i="6" s="1"/>
  <c r="R47" i="4"/>
  <c r="M63" i="4"/>
  <c r="L47" i="4"/>
  <c r="K32" i="4"/>
  <c r="K5" i="6" s="1"/>
  <c r="Q63" i="4"/>
  <c r="C63" i="4"/>
  <c r="V47" i="4"/>
  <c r="V65" i="4" s="1"/>
  <c r="F50" i="6"/>
  <c r="F108" i="4"/>
  <c r="L49" i="6"/>
  <c r="L88" i="4"/>
  <c r="L98" i="4" s="1"/>
  <c r="L102" i="4" s="1"/>
  <c r="L104" i="4" s="1"/>
  <c r="L106" i="4" s="1"/>
  <c r="Q26" i="5"/>
  <c r="P26" i="5"/>
  <c r="D49" i="6"/>
  <c r="D88" i="4"/>
  <c r="G44" i="5" s="1"/>
  <c r="F32" i="4"/>
  <c r="F5" i="6" s="1"/>
  <c r="I20" i="5" s="1"/>
  <c r="F48" i="6"/>
  <c r="F31" i="6"/>
  <c r="F63" i="4"/>
  <c r="F16" i="6"/>
  <c r="F14" i="6" s="1"/>
  <c r="F12" i="6" s="1"/>
  <c r="W72" i="4"/>
  <c r="H48" i="6"/>
  <c r="P72" i="4"/>
  <c r="H45" i="6"/>
  <c r="R108" i="4"/>
  <c r="O47" i="4"/>
  <c r="M47" i="4"/>
  <c r="D32" i="4"/>
  <c r="D5" i="6" s="1"/>
  <c r="G45" i="5" s="1"/>
  <c r="R16" i="6"/>
  <c r="R14" i="6" s="1"/>
  <c r="R12" i="6" s="1"/>
  <c r="K108" i="4"/>
  <c r="H32" i="4"/>
  <c r="H5" i="6" s="1"/>
  <c r="S26" i="5"/>
  <c r="J48" i="6"/>
  <c r="S16" i="6"/>
  <c r="S14" i="6" s="1"/>
  <c r="S12" i="6" s="1"/>
  <c r="W30" i="5" s="1"/>
  <c r="M107" i="4"/>
  <c r="D47" i="4"/>
  <c r="L45" i="6"/>
  <c r="L40" i="6" s="1"/>
  <c r="N63" i="4"/>
  <c r="N65" i="4" s="1"/>
  <c r="N67" i="4" s="1"/>
  <c r="O28" i="5"/>
  <c r="C6" i="6"/>
  <c r="G34" i="5" s="1"/>
  <c r="S31" i="6"/>
  <c r="D63" i="4"/>
  <c r="Q108" i="4"/>
  <c r="J50" i="6"/>
  <c r="I48" i="6"/>
  <c r="F88" i="4"/>
  <c r="I44" i="5" s="1"/>
  <c r="E48" i="6"/>
  <c r="L107" i="4"/>
  <c r="L63" i="4"/>
  <c r="H6" i="6"/>
  <c r="K34" i="5" s="1"/>
  <c r="O26" i="5"/>
  <c r="J26" i="5"/>
  <c r="G48" i="6"/>
  <c r="J47" i="5" s="1"/>
  <c r="P45" i="6"/>
  <c r="P40" i="6" s="1"/>
  <c r="F65" i="4"/>
  <c r="J45" i="6"/>
  <c r="H88" i="4"/>
  <c r="E32" i="4"/>
  <c r="E5" i="6" s="1"/>
  <c r="H23" i="5" s="1"/>
  <c r="L108" i="4"/>
  <c r="F42" i="6"/>
  <c r="I35" i="5" s="1"/>
  <c r="I63" i="4"/>
  <c r="I65" i="4" s="1"/>
  <c r="U63" i="4"/>
  <c r="U65" i="4" s="1"/>
  <c r="U67" i="4" s="1"/>
  <c r="T47" i="4"/>
  <c r="T65" i="4" s="1"/>
  <c r="J27" i="5"/>
  <c r="T88" i="4"/>
  <c r="T98" i="4" s="1"/>
  <c r="T102" i="4" s="1"/>
  <c r="T104" i="4" s="1"/>
  <c r="T106" i="4" s="1"/>
  <c r="G88" i="4"/>
  <c r="J44" i="5" s="1"/>
  <c r="I49" i="6"/>
  <c r="E49" i="6"/>
  <c r="O88" i="4"/>
  <c r="R44" i="5" s="1"/>
  <c r="I98" i="4"/>
  <c r="I102" i="4" s="1"/>
  <c r="I104" i="4" s="1"/>
  <c r="I106" i="4" s="1"/>
  <c r="L44" i="5"/>
  <c r="Z88" i="4"/>
  <c r="Z98" i="4" s="1"/>
  <c r="Z102" i="4" s="1"/>
  <c r="Z104" i="4" s="1"/>
  <c r="Z106" i="4" s="1"/>
  <c r="Q88" i="4"/>
  <c r="C88" i="4"/>
  <c r="S88" i="4"/>
  <c r="S98" i="4" s="1"/>
  <c r="S102" i="4" s="1"/>
  <c r="S104" i="4" s="1"/>
  <c r="S106" i="4" s="1"/>
  <c r="M88" i="4"/>
  <c r="Q39" i="6"/>
  <c r="T35" i="5"/>
  <c r="F12" i="5"/>
  <c r="I16" i="5"/>
  <c r="L28" i="5"/>
  <c r="G36" i="5"/>
  <c r="J40" i="5"/>
  <c r="E39" i="6"/>
  <c r="M28" i="5"/>
  <c r="U36" i="5"/>
  <c r="P34" i="5"/>
  <c r="Q25" i="6"/>
  <c r="Q51" i="6"/>
  <c r="R26" i="5"/>
  <c r="N26" i="5"/>
  <c r="M40" i="5"/>
  <c r="S51" i="6"/>
  <c r="Q8" i="5"/>
  <c r="F21" i="5"/>
  <c r="Q13" i="5"/>
  <c r="L27" i="5"/>
  <c r="J13" i="5"/>
  <c r="G27" i="5"/>
  <c r="T14" i="5"/>
  <c r="L51" i="6"/>
  <c r="U35" i="5"/>
  <c r="R39" i="6"/>
  <c r="P27" i="5"/>
  <c r="H40" i="5"/>
  <c r="R21" i="5"/>
  <c r="R51" i="6"/>
  <c r="K35" i="6"/>
  <c r="S21" i="6"/>
  <c r="V16" i="5" s="1"/>
  <c r="L25" i="6"/>
  <c r="O18" i="5" s="1"/>
  <c r="J36" i="5"/>
  <c r="O40" i="6"/>
  <c r="V23" i="5"/>
  <c r="U34" i="5"/>
  <c r="E51" i="6"/>
  <c r="J48" i="5"/>
  <c r="T26" i="5"/>
  <c r="K21" i="6"/>
  <c r="N16" i="5" s="1"/>
  <c r="M39" i="6"/>
  <c r="R28" i="5"/>
  <c r="H36" i="5"/>
  <c r="U14" i="5"/>
  <c r="Q27" i="5"/>
  <c r="F22" i="5"/>
  <c r="Q35" i="6"/>
  <c r="P14" i="5"/>
  <c r="N40" i="6"/>
  <c r="J39" i="6"/>
  <c r="K39" i="6"/>
  <c r="G51" i="6"/>
  <c r="S28" i="5"/>
  <c r="O27" i="5"/>
  <c r="D51" i="6"/>
  <c r="M40" i="6"/>
  <c r="J35" i="5"/>
  <c r="Q21" i="6"/>
  <c r="T16" i="5" s="1"/>
  <c r="G25" i="6"/>
  <c r="J18" i="5" s="1"/>
  <c r="D39" i="6"/>
  <c r="G28" i="5"/>
  <c r="O22" i="5"/>
  <c r="H25" i="6"/>
  <c r="G35" i="5"/>
  <c r="Q22" i="5"/>
  <c r="R36" i="5"/>
  <c r="D14" i="6"/>
  <c r="D12" i="6" s="1"/>
  <c r="G7" i="5" s="1"/>
  <c r="Q28" i="5"/>
  <c r="N51" i="6"/>
  <c r="R27" i="5"/>
  <c r="N14" i="5"/>
  <c r="K25" i="6"/>
  <c r="M14" i="6"/>
  <c r="M12" i="6" s="1"/>
  <c r="O39" i="6"/>
  <c r="C51" i="6"/>
  <c r="R21" i="6"/>
  <c r="U16" i="5" s="1"/>
  <c r="J51" i="6"/>
  <c r="G40" i="5"/>
  <c r="Q35" i="5"/>
  <c r="N40" i="5"/>
  <c r="K36" i="5"/>
  <c r="S34" i="5"/>
  <c r="U12" i="5"/>
  <c r="M26" i="5"/>
  <c r="U26" i="5"/>
  <c r="O36" i="5"/>
  <c r="L14" i="6"/>
  <c r="L12" i="6" s="1"/>
  <c r="O7" i="5" s="1"/>
  <c r="I36" i="5"/>
  <c r="F35" i="6"/>
  <c r="S36" i="5"/>
  <c r="R25" i="6"/>
  <c r="U18" i="5" s="1"/>
  <c r="O21" i="6"/>
  <c r="R16" i="5" s="1"/>
  <c r="G39" i="6"/>
  <c r="I25" i="6"/>
  <c r="N35" i="5"/>
  <c r="M34" i="5"/>
  <c r="Q34" i="5"/>
  <c r="G26" i="5"/>
  <c r="L36" i="5"/>
  <c r="M21" i="6"/>
  <c r="P16" i="5" s="1"/>
  <c r="C39" i="6"/>
  <c r="E14" i="6"/>
  <c r="E12" i="6" s="1"/>
  <c r="H5" i="5" s="1"/>
  <c r="H28" i="5"/>
  <c r="S27" i="5"/>
  <c r="O34" i="5"/>
  <c r="L35" i="5"/>
  <c r="Q12" i="5"/>
  <c r="N34" i="5"/>
  <c r="N21" i="6"/>
  <c r="Q16" i="5" s="1"/>
  <c r="R35" i="5"/>
  <c r="T40" i="5"/>
  <c r="F51" i="6"/>
  <c r="J35" i="6"/>
  <c r="M35" i="6"/>
  <c r="P35" i="5"/>
  <c r="L21" i="6"/>
  <c r="O16" i="5" s="1"/>
  <c r="V28" i="5"/>
  <c r="V22" i="5"/>
  <c r="K35" i="5"/>
  <c r="O45" i="5"/>
  <c r="E25" i="6"/>
  <c r="O47" i="5"/>
  <c r="J14" i="6"/>
  <c r="J12" i="6" s="1"/>
  <c r="J13" i="6" s="1"/>
  <c r="I40" i="6"/>
  <c r="N35" i="6"/>
  <c r="Q47" i="5"/>
  <c r="U22" i="5"/>
  <c r="K27" i="5"/>
  <c r="V36" i="5"/>
  <c r="H51" i="6"/>
  <c r="Q36" i="5"/>
  <c r="S35" i="5"/>
  <c r="Q23" i="5"/>
  <c r="L35" i="6"/>
  <c r="C25" i="6"/>
  <c r="I27" i="5"/>
  <c r="U40" i="5"/>
  <c r="K40" i="6"/>
  <c r="J34" i="5"/>
  <c r="M51" i="6"/>
  <c r="M36" i="5"/>
  <c r="R40" i="6"/>
  <c r="U13" i="5"/>
  <c r="T36" i="5"/>
  <c r="U20" i="5"/>
  <c r="J40" i="6"/>
  <c r="T34" i="5"/>
  <c r="V35" i="5"/>
  <c r="U47" i="5"/>
  <c r="H14" i="6"/>
  <c r="H12" i="6" s="1"/>
  <c r="Q20" i="5"/>
  <c r="U48" i="5"/>
  <c r="H35" i="5"/>
  <c r="Q14" i="6"/>
  <c r="Q12" i="6" s="1"/>
  <c r="T5" i="5" s="1"/>
  <c r="N36" i="5"/>
  <c r="H39" i="6"/>
  <c r="G35" i="6"/>
  <c r="U28" i="5"/>
  <c r="E40" i="6"/>
  <c r="R35" i="6"/>
  <c r="L40" i="5"/>
  <c r="Q21" i="5"/>
  <c r="K51" i="6"/>
  <c r="U23" i="5"/>
  <c r="I28" i="5"/>
  <c r="N14" i="6"/>
  <c r="N12" i="6" s="1"/>
  <c r="Q7" i="5" s="1"/>
  <c r="O35" i="5"/>
  <c r="V40" i="5"/>
  <c r="V37" i="5"/>
  <c r="S39" i="6"/>
  <c r="I26" i="5"/>
  <c r="V20" i="5"/>
  <c r="I35" i="6"/>
  <c r="O21" i="5"/>
  <c r="D40" i="6"/>
  <c r="D35" i="6"/>
  <c r="P21" i="6"/>
  <c r="S16" i="5" s="1"/>
  <c r="D25" i="6"/>
  <c r="E35" i="6"/>
  <c r="O35" i="6"/>
  <c r="P14" i="6"/>
  <c r="P12" i="6" s="1"/>
  <c r="S5" i="5" s="1"/>
  <c r="S40" i="5"/>
  <c r="M16" i="5"/>
  <c r="L16" i="5"/>
  <c r="G16" i="5"/>
  <c r="J16" i="5"/>
  <c r="L39" i="6"/>
  <c r="F25" i="6"/>
  <c r="P28" i="5"/>
  <c r="V25" i="5"/>
  <c r="M35" i="5"/>
  <c r="J22" i="5"/>
  <c r="J28" i="5"/>
  <c r="U8" i="5"/>
  <c r="G22" i="5"/>
  <c r="I51" i="6"/>
  <c r="S25" i="6"/>
  <c r="T28" i="5"/>
  <c r="N28" i="5"/>
  <c r="S55" i="6"/>
  <c r="F39" i="6"/>
  <c r="J20" i="5"/>
  <c r="I14" i="6"/>
  <c r="I12" i="6" s="1"/>
  <c r="N39" i="6"/>
  <c r="U21" i="5"/>
  <c r="V34" i="5"/>
  <c r="F40" i="5"/>
  <c r="I39" i="6"/>
  <c r="I40" i="5"/>
  <c r="K14" i="5"/>
  <c r="G40" i="6"/>
  <c r="F16" i="5"/>
  <c r="O12" i="5"/>
  <c r="M25" i="6"/>
  <c r="P25" i="6"/>
  <c r="O25" i="6"/>
  <c r="C14" i="6"/>
  <c r="C12" i="6" s="1"/>
  <c r="P36" i="5"/>
  <c r="L14" i="5"/>
  <c r="K28" i="5"/>
  <c r="O40" i="5"/>
  <c r="R34" i="5"/>
  <c r="J25" i="6"/>
  <c r="Q48" i="5"/>
  <c r="O23" i="5"/>
  <c r="N27" i="5"/>
  <c r="P35" i="6"/>
  <c r="S40" i="6"/>
  <c r="H16" i="5"/>
  <c r="M27" i="5"/>
  <c r="H34" i="5"/>
  <c r="G13" i="5"/>
  <c r="K14" i="6"/>
  <c r="K12" i="6" s="1"/>
  <c r="P51" i="6"/>
  <c r="J45" i="5"/>
  <c r="T27" i="5"/>
  <c r="H26" i="5"/>
  <c r="N25" i="6"/>
  <c r="H35" i="6"/>
  <c r="C35" i="6"/>
  <c r="P39" i="6"/>
  <c r="Q14" i="5"/>
  <c r="S14" i="5"/>
  <c r="V27" i="5"/>
  <c r="V26" i="5"/>
  <c r="I34" i="5"/>
  <c r="R14" i="5"/>
  <c r="AS88" i="4"/>
  <c r="AW44" i="6" s="1"/>
  <c r="AW40" i="6" s="1"/>
  <c r="AD88" i="4"/>
  <c r="AD98" i="4" s="1"/>
  <c r="AD102" i="4" s="1"/>
  <c r="AD104" i="4" s="1"/>
  <c r="AD106" i="4" s="1"/>
  <c r="AE63" i="4"/>
  <c r="AD63" i="4"/>
  <c r="AC63" i="4"/>
  <c r="AB63" i="4"/>
  <c r="AE88" i="4"/>
  <c r="AE98" i="4" s="1"/>
  <c r="AE102" i="4" s="1"/>
  <c r="AE104" i="4" s="1"/>
  <c r="AE106" i="4" s="1"/>
  <c r="AC88" i="4"/>
  <c r="AC98" i="4" s="1"/>
  <c r="AC102" i="4" s="1"/>
  <c r="AC104" i="4" s="1"/>
  <c r="AC106" i="4" s="1"/>
  <c r="AB88" i="4"/>
  <c r="AB98" i="4" s="1"/>
  <c r="AB102" i="4" s="1"/>
  <c r="AB104" i="4" s="1"/>
  <c r="AB106" i="4" s="1"/>
  <c r="Q40" i="5"/>
  <c r="Q32" i="4"/>
  <c r="P32" i="4"/>
  <c r="Q40" i="6"/>
  <c r="S35" i="6"/>
  <c r="W31" i="5" s="1"/>
  <c r="AA108" i="4"/>
  <c r="W29" i="5" l="1"/>
  <c r="W38" i="5"/>
  <c r="K13" i="5"/>
  <c r="U52" i="6"/>
  <c r="W88" i="4"/>
  <c r="W98" i="4" s="1"/>
  <c r="W102" i="4" s="1"/>
  <c r="W104" i="4" s="1"/>
  <c r="W106" i="4" s="1"/>
  <c r="W49" i="6"/>
  <c r="N13" i="5"/>
  <c r="X52" i="6"/>
  <c r="U45" i="5"/>
  <c r="AE52" i="6"/>
  <c r="O13" i="5"/>
  <c r="Y52" i="6"/>
  <c r="R65" i="4"/>
  <c r="R67" i="4" s="1"/>
  <c r="L20" i="5"/>
  <c r="V52" i="6"/>
  <c r="J23" i="5"/>
  <c r="T52" i="6"/>
  <c r="M13" i="5"/>
  <c r="W52" i="6"/>
  <c r="P8" i="5"/>
  <c r="Z52" i="6"/>
  <c r="R22" i="5"/>
  <c r="AB52" i="6"/>
  <c r="V8" i="5"/>
  <c r="AF52" i="6"/>
  <c r="W25" i="5"/>
  <c r="W37" i="5"/>
  <c r="Q45" i="5"/>
  <c r="AA52" i="6"/>
  <c r="AV18" i="5"/>
  <c r="AV29" i="5"/>
  <c r="AV38" i="5"/>
  <c r="AG20" i="5"/>
  <c r="AG26" i="5"/>
  <c r="AG34" i="5"/>
  <c r="AG16" i="5"/>
  <c r="AG40" i="5"/>
  <c r="AG7" i="5"/>
  <c r="AH20" i="5"/>
  <c r="AH26" i="5"/>
  <c r="AI34" i="5"/>
  <c r="AH34" i="5"/>
  <c r="AH16" i="5"/>
  <c r="AI26" i="5"/>
  <c r="AH40" i="5"/>
  <c r="AH7" i="5"/>
  <c r="W13" i="6"/>
  <c r="Z9" i="5" s="1"/>
  <c r="Z5" i="5"/>
  <c r="Z6" i="5"/>
  <c r="Z7" i="5"/>
  <c r="Z30" i="5"/>
  <c r="Z17" i="5"/>
  <c r="AA30" i="5"/>
  <c r="Y37" i="5"/>
  <c r="V40" i="6"/>
  <c r="X67" i="4"/>
  <c r="H20" i="5"/>
  <c r="G48" i="5"/>
  <c r="L47" i="5"/>
  <c r="H25" i="5"/>
  <c r="V21" i="5"/>
  <c r="V13" i="5"/>
  <c r="AA88" i="4"/>
  <c r="AA98" i="4" s="1"/>
  <c r="AA102" i="4" s="1"/>
  <c r="AA104" i="4" s="1"/>
  <c r="AA106" i="4" s="1"/>
  <c r="Q37" i="5"/>
  <c r="K88" i="4"/>
  <c r="Z65" i="4"/>
  <c r="F67" i="4"/>
  <c r="V12" i="5"/>
  <c r="L13" i="5"/>
  <c r="H13" i="5"/>
  <c r="O48" i="5"/>
  <c r="L21" i="5"/>
  <c r="E98" i="4"/>
  <c r="E102" i="4" s="1"/>
  <c r="E104" i="4" s="1"/>
  <c r="E106" i="4" s="1"/>
  <c r="R88" i="4"/>
  <c r="U44" i="5" s="1"/>
  <c r="O65" i="4"/>
  <c r="L65" i="4"/>
  <c r="L67" i="4" s="1"/>
  <c r="S67" i="4"/>
  <c r="J25" i="5"/>
  <c r="H21" i="5"/>
  <c r="L18" i="5"/>
  <c r="I23" i="5"/>
  <c r="I47" i="5"/>
  <c r="N22" i="5"/>
  <c r="R40" i="5"/>
  <c r="W67" i="4"/>
  <c r="F20" i="5"/>
  <c r="P25" i="5"/>
  <c r="F18" i="5"/>
  <c r="G20" i="5"/>
  <c r="F48" i="5"/>
  <c r="T67" i="4"/>
  <c r="V67" i="4"/>
  <c r="L34" i="5"/>
  <c r="P48" i="5"/>
  <c r="K22" i="5"/>
  <c r="F8" i="5"/>
  <c r="R48" i="5"/>
  <c r="F45" i="5"/>
  <c r="R37" i="5"/>
  <c r="F40" i="6"/>
  <c r="F47" i="5"/>
  <c r="O37" i="5"/>
  <c r="J37" i="5"/>
  <c r="K12" i="5"/>
  <c r="N18" i="5"/>
  <c r="F13" i="5"/>
  <c r="H47" i="5"/>
  <c r="K37" i="5"/>
  <c r="K20" i="5"/>
  <c r="M9" i="5"/>
  <c r="J88" i="4"/>
  <c r="M21" i="5"/>
  <c r="H48" i="5"/>
  <c r="H12" i="5"/>
  <c r="H40" i="6"/>
  <c r="I6" i="5"/>
  <c r="H65" i="4"/>
  <c r="M23" i="5"/>
  <c r="K8" i="5"/>
  <c r="M47" i="5"/>
  <c r="M12" i="5"/>
  <c r="K65" i="4"/>
  <c r="K67" i="4" s="1"/>
  <c r="K45" i="5"/>
  <c r="N37" i="5"/>
  <c r="K25" i="5"/>
  <c r="M22" i="5"/>
  <c r="K23" i="5"/>
  <c r="K18" i="5"/>
  <c r="O67" i="4"/>
  <c r="H8" i="5"/>
  <c r="R23" i="5"/>
  <c r="J8" i="5"/>
  <c r="M45" i="5"/>
  <c r="P22" i="5"/>
  <c r="M48" i="5"/>
  <c r="L45" i="5"/>
  <c r="R8" i="5"/>
  <c r="P37" i="5"/>
  <c r="P45" i="5"/>
  <c r="L23" i="5"/>
  <c r="R98" i="4"/>
  <c r="R102" i="4" s="1"/>
  <c r="R104" i="4" s="1"/>
  <c r="R106" i="4" s="1"/>
  <c r="R12" i="5"/>
  <c r="M8" i="5"/>
  <c r="R13" i="5"/>
  <c r="N8" i="5"/>
  <c r="R25" i="5"/>
  <c r="Q25" i="5"/>
  <c r="R45" i="5"/>
  <c r="P20" i="5"/>
  <c r="P12" i="5"/>
  <c r="O20" i="5"/>
  <c r="J21" i="5"/>
  <c r="P21" i="5"/>
  <c r="P6" i="5"/>
  <c r="R20" i="5"/>
  <c r="I67" i="4"/>
  <c r="Y65" i="4"/>
  <c r="Y67" i="4" s="1"/>
  <c r="N21" i="5"/>
  <c r="AA65" i="4"/>
  <c r="AA67" i="4" s="1"/>
  <c r="N48" i="5"/>
  <c r="O8" i="5"/>
  <c r="P47" i="5"/>
  <c r="J12" i="5"/>
  <c r="N23" i="5"/>
  <c r="H22" i="5"/>
  <c r="Q65" i="4"/>
  <c r="Q67" i="4" s="1"/>
  <c r="J65" i="4"/>
  <c r="J67" i="4" s="1"/>
  <c r="V88" i="4"/>
  <c r="V98" i="4" s="1"/>
  <c r="V102" i="4" s="1"/>
  <c r="V104" i="4" s="1"/>
  <c r="V106" i="4" s="1"/>
  <c r="O98" i="4"/>
  <c r="O102" i="4" s="1"/>
  <c r="O104" i="4" s="1"/>
  <c r="O106" i="4" s="1"/>
  <c r="M25" i="5"/>
  <c r="M20" i="5"/>
  <c r="P23" i="5"/>
  <c r="N25" i="5"/>
  <c r="D98" i="4"/>
  <c r="D102" i="4" s="1"/>
  <c r="D104" i="4" s="1"/>
  <c r="D106" i="4" s="1"/>
  <c r="P13" i="5"/>
  <c r="N45" i="5"/>
  <c r="N20" i="5"/>
  <c r="U31" i="5"/>
  <c r="L12" i="5"/>
  <c r="N12" i="5"/>
  <c r="M65" i="4"/>
  <c r="M67" i="4" s="1"/>
  <c r="C65" i="4"/>
  <c r="C67" i="4" s="1"/>
  <c r="N47" i="5"/>
  <c r="K26" i="5"/>
  <c r="G12" i="5"/>
  <c r="Q44" i="5"/>
  <c r="D65" i="4"/>
  <c r="D67" i="4" s="1"/>
  <c r="Y88" i="4"/>
  <c r="Y98" i="4" s="1"/>
  <c r="Y102" i="4" s="1"/>
  <c r="Y104" i="4" s="1"/>
  <c r="Y106" i="4" s="1"/>
  <c r="X88" i="4"/>
  <c r="X98" i="4" s="1"/>
  <c r="X102" i="4" s="1"/>
  <c r="X104" i="4" s="1"/>
  <c r="X106" i="4" s="1"/>
  <c r="G37" i="5"/>
  <c r="O25" i="5"/>
  <c r="G21" i="5"/>
  <c r="L22" i="5"/>
  <c r="L26" i="5"/>
  <c r="H37" i="5"/>
  <c r="M37" i="5"/>
  <c r="G8" i="5"/>
  <c r="L48" i="5"/>
  <c r="L8" i="5"/>
  <c r="G25" i="5"/>
  <c r="H45" i="5"/>
  <c r="G23" i="5"/>
  <c r="G47" i="5"/>
  <c r="L25" i="5"/>
  <c r="G98" i="4"/>
  <c r="G102" i="4" s="1"/>
  <c r="G104" i="4" s="1"/>
  <c r="G106" i="4" s="1"/>
  <c r="F98" i="4"/>
  <c r="F102" i="4" s="1"/>
  <c r="F104" i="4" s="1"/>
  <c r="F106" i="4" s="1"/>
  <c r="P88" i="4"/>
  <c r="P49" i="6"/>
  <c r="K40" i="5"/>
  <c r="I8" i="5"/>
  <c r="O44" i="5"/>
  <c r="N44" i="5"/>
  <c r="K98" i="4"/>
  <c r="K102" i="4" s="1"/>
  <c r="K104" i="4" s="1"/>
  <c r="K106" i="4" s="1"/>
  <c r="I13" i="5"/>
  <c r="I12" i="5"/>
  <c r="K48" i="5"/>
  <c r="I48" i="5"/>
  <c r="I37" i="5"/>
  <c r="I21" i="5"/>
  <c r="K47" i="5"/>
  <c r="E67" i="4"/>
  <c r="L37" i="5"/>
  <c r="K21" i="5"/>
  <c r="I22" i="5"/>
  <c r="K16" i="5"/>
  <c r="S52" i="6"/>
  <c r="H67" i="4"/>
  <c r="K44" i="5"/>
  <c r="H98" i="4"/>
  <c r="H102" i="4" s="1"/>
  <c r="H104" i="4" s="1"/>
  <c r="H106" i="4" s="1"/>
  <c r="I45" i="5"/>
  <c r="I25" i="5"/>
  <c r="O6" i="5"/>
  <c r="J17" i="5"/>
  <c r="J7" i="5"/>
  <c r="M44" i="5"/>
  <c r="J98" i="4"/>
  <c r="J102" i="4" s="1"/>
  <c r="J104" i="4" s="1"/>
  <c r="J106" i="4" s="1"/>
  <c r="M98" i="4"/>
  <c r="M102" i="4" s="1"/>
  <c r="M104" i="4" s="1"/>
  <c r="M106" i="4" s="1"/>
  <c r="P44" i="5"/>
  <c r="F44" i="5"/>
  <c r="C98" i="4"/>
  <c r="C102" i="4" s="1"/>
  <c r="C104" i="4" s="1"/>
  <c r="C106" i="4" s="1"/>
  <c r="T44" i="5"/>
  <c r="Q98" i="4"/>
  <c r="Q102" i="4" s="1"/>
  <c r="Q104" i="4" s="1"/>
  <c r="Q106" i="4" s="1"/>
  <c r="H17" i="5"/>
  <c r="O29" i="5"/>
  <c r="J6" i="5"/>
  <c r="G13" i="6"/>
  <c r="J9" i="5" s="1"/>
  <c r="K30" i="5"/>
  <c r="I5" i="5"/>
  <c r="G17" i="5"/>
  <c r="R31" i="5"/>
  <c r="M31" i="5"/>
  <c r="L38" i="5"/>
  <c r="L29" i="5"/>
  <c r="N31" i="5"/>
  <c r="I17" i="5"/>
  <c r="G6" i="5"/>
  <c r="O17" i="5"/>
  <c r="M17" i="5"/>
  <c r="E13" i="6"/>
  <c r="H9" i="5" s="1"/>
  <c r="F13" i="6"/>
  <c r="I9" i="5" s="1"/>
  <c r="I7" i="5"/>
  <c r="O38" i="5"/>
  <c r="J30" i="5"/>
  <c r="O31" i="5"/>
  <c r="K29" i="5"/>
  <c r="G5" i="5"/>
  <c r="P31" i="5"/>
  <c r="R17" i="5"/>
  <c r="D13" i="6"/>
  <c r="G9" i="5" s="1"/>
  <c r="I30" i="5"/>
  <c r="Q5" i="5"/>
  <c r="K38" i="5"/>
  <c r="M7" i="5"/>
  <c r="P30" i="5"/>
  <c r="J29" i="5"/>
  <c r="T30" i="5"/>
  <c r="Q31" i="5"/>
  <c r="T7" i="5"/>
  <c r="K7" i="5"/>
  <c r="H13" i="6"/>
  <c r="K9" i="5" s="1"/>
  <c r="G31" i="5"/>
  <c r="J31" i="5"/>
  <c r="K17" i="5"/>
  <c r="I31" i="5"/>
  <c r="Q17" i="5"/>
  <c r="H30" i="5"/>
  <c r="P13" i="6"/>
  <c r="M13" i="6"/>
  <c r="P9" i="5" s="1"/>
  <c r="U38" i="5"/>
  <c r="P17" i="5"/>
  <c r="P5" i="5"/>
  <c r="Q6" i="5"/>
  <c r="P7" i="5"/>
  <c r="G30" i="5"/>
  <c r="K6" i="5"/>
  <c r="Q30" i="5"/>
  <c r="L13" i="6"/>
  <c r="O9" i="5" s="1"/>
  <c r="M5" i="5"/>
  <c r="U29" i="5"/>
  <c r="O5" i="5"/>
  <c r="K5" i="5"/>
  <c r="M6" i="5"/>
  <c r="K31" i="5"/>
  <c r="S31" i="5"/>
  <c r="S17" i="5"/>
  <c r="H7" i="5"/>
  <c r="F17" i="5"/>
  <c r="H6" i="5"/>
  <c r="N13" i="6"/>
  <c r="Q9" i="5" s="1"/>
  <c r="G18" i="5"/>
  <c r="G38" i="5"/>
  <c r="T17" i="5"/>
  <c r="H31" i="5"/>
  <c r="S30" i="5"/>
  <c r="H29" i="5"/>
  <c r="H38" i="5"/>
  <c r="H18" i="5"/>
  <c r="S7" i="5"/>
  <c r="Q13" i="6"/>
  <c r="G29" i="5"/>
  <c r="R38" i="5"/>
  <c r="R18" i="5"/>
  <c r="R29" i="5"/>
  <c r="Q29" i="5"/>
  <c r="Q38" i="5"/>
  <c r="Q18" i="5"/>
  <c r="P18" i="5"/>
  <c r="P29" i="5"/>
  <c r="V18" i="5"/>
  <c r="V29" i="5"/>
  <c r="S29" i="5"/>
  <c r="T29" i="5"/>
  <c r="N6" i="5"/>
  <c r="K13" i="6"/>
  <c r="N9" i="5" s="1"/>
  <c r="N30" i="5"/>
  <c r="N5" i="5"/>
  <c r="N7" i="5"/>
  <c r="V38" i="5"/>
  <c r="J38" i="5"/>
  <c r="I18" i="5"/>
  <c r="I29" i="5"/>
  <c r="I38" i="5"/>
  <c r="I13" i="6"/>
  <c r="L9" i="5" s="1"/>
  <c r="L7" i="5"/>
  <c r="L6" i="5"/>
  <c r="L30" i="5"/>
  <c r="L5" i="5"/>
  <c r="U5" i="5"/>
  <c r="R13" i="6"/>
  <c r="U9" i="5" s="1"/>
  <c r="U6" i="5"/>
  <c r="U30" i="5"/>
  <c r="U7" i="5"/>
  <c r="R30" i="5"/>
  <c r="O13" i="6"/>
  <c r="R9" i="5" s="1"/>
  <c r="R5" i="5"/>
  <c r="R6" i="5"/>
  <c r="R7" i="5"/>
  <c r="P38" i="5"/>
  <c r="T31" i="5"/>
  <c r="L31" i="5"/>
  <c r="N38" i="5"/>
  <c r="M18" i="5"/>
  <c r="M38" i="5"/>
  <c r="M29" i="5"/>
  <c r="N29" i="5"/>
  <c r="T38" i="5"/>
  <c r="M30" i="5"/>
  <c r="F6" i="5"/>
  <c r="F7" i="5"/>
  <c r="F5" i="5"/>
  <c r="C13" i="6"/>
  <c r="F9" i="5" s="1"/>
  <c r="S38" i="5"/>
  <c r="N17" i="5"/>
  <c r="O30" i="5"/>
  <c r="U17" i="5"/>
  <c r="L17" i="5"/>
  <c r="AS98" i="4"/>
  <c r="AS102" i="4" s="1"/>
  <c r="AB65" i="4"/>
  <c r="AB67" i="4" s="1"/>
  <c r="AC65" i="4"/>
  <c r="AC67" i="4" s="1"/>
  <c r="AD65" i="4"/>
  <c r="AD67" i="4" s="1"/>
  <c r="AE65" i="4"/>
  <c r="AE67" i="4" s="1"/>
  <c r="Z67" i="4"/>
  <c r="V31" i="5"/>
  <c r="V17" i="5"/>
  <c r="V5" i="5"/>
  <c r="S13" i="6"/>
  <c r="V9" i="5" s="1"/>
  <c r="V30" i="5"/>
  <c r="V7" i="5"/>
  <c r="V6" i="5"/>
  <c r="P5" i="6"/>
  <c r="AC52" i="6" s="1"/>
  <c r="P67" i="4"/>
  <c r="Q5" i="6"/>
  <c r="AD52" i="6" s="1"/>
  <c r="P98" i="4" l="1"/>
  <c r="P102" i="4" s="1"/>
  <c r="P104" i="4" s="1"/>
  <c r="P106" i="4" s="1"/>
  <c r="S44" i="5"/>
  <c r="AS104" i="4"/>
  <c r="AS106" i="4" s="1"/>
  <c r="T45" i="5"/>
  <c r="T12" i="5"/>
  <c r="T37" i="5"/>
  <c r="T21" i="5"/>
  <c r="T13" i="5"/>
  <c r="U25" i="5"/>
  <c r="T47" i="5"/>
  <c r="T20" i="5"/>
  <c r="T23" i="5"/>
  <c r="T22" i="5"/>
  <c r="T8" i="5"/>
  <c r="T6" i="5"/>
  <c r="T9" i="5"/>
  <c r="T48" i="5"/>
  <c r="T25" i="5"/>
  <c r="U37" i="5"/>
  <c r="T18" i="5"/>
  <c r="S37" i="5"/>
  <c r="S12" i="5"/>
  <c r="S23" i="5"/>
  <c r="S21" i="5"/>
  <c r="S13" i="5"/>
  <c r="S45" i="5"/>
  <c r="S48" i="5"/>
  <c r="S25" i="5"/>
  <c r="S22" i="5"/>
  <c r="S20" i="5"/>
  <c r="S47" i="5"/>
  <c r="S18" i="5"/>
  <c r="S8" i="5"/>
  <c r="S9" i="5"/>
  <c r="S6" i="5"/>
</calcChain>
</file>

<file path=xl/sharedStrings.xml><?xml version="1.0" encoding="utf-8"?>
<sst xmlns="http://schemas.openxmlformats.org/spreadsheetml/2006/main" count="338" uniqueCount="261">
  <si>
    <t>SOTICO SACCO</t>
  </si>
  <si>
    <t>ASSETS</t>
  </si>
  <si>
    <t>Audit 2016</t>
  </si>
  <si>
    <t>Audit 2017</t>
  </si>
  <si>
    <t>Audit 2018</t>
  </si>
  <si>
    <t>Audit 2019</t>
  </si>
  <si>
    <t>Audited 2020</t>
  </si>
  <si>
    <t>audited 21</t>
  </si>
  <si>
    <t>Audited 2022</t>
  </si>
  <si>
    <t>Cash and Cash Equivalent</t>
  </si>
  <si>
    <t>Cash in hand(both local and foreign notes and coins)</t>
  </si>
  <si>
    <t>Cash at bank:(placement with financial institutions)</t>
  </si>
  <si>
    <t>Prepayments and Sundry Receivables</t>
  </si>
  <si>
    <t>Financial Investments</t>
  </si>
  <si>
    <t xml:space="preserve">Government Securities - Treasury Bills/bonds,  </t>
  </si>
  <si>
    <t>Other Securities - Commercial papers/Bonds</t>
  </si>
  <si>
    <t>Balances with other SACCO Societies</t>
  </si>
  <si>
    <t>Equity Investments in NACCOs(Shares in- CIC, KUSCCO, COOP BANK,CAK, KERUSSU)</t>
  </si>
  <si>
    <t xml:space="preserve">Investments in companies - shares/stocks </t>
  </si>
  <si>
    <t>Net Loan Portfolio</t>
  </si>
  <si>
    <t>Gross Loan Portfolio</t>
  </si>
  <si>
    <t>Allowance for Loan Loss</t>
  </si>
  <si>
    <t>Account Receivables</t>
  </si>
  <si>
    <t>Tax Recoverable</t>
  </si>
  <si>
    <t>Deferred Tax Assets</t>
  </si>
  <si>
    <t>Retirement Benefit Assets</t>
  </si>
  <si>
    <t>Property and Equipment and 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</si>
  <si>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</si>
  <si>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</si>
  <si>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</si>
  <si>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</si>
  <si>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</si>
  <si>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</si>
  <si>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</si>
  <si>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</si>
  <si>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</si>
  <si>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</si>
  <si>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</si>
  <si>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</si>
  <si>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</si>
  <si>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</si>
  <si>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</si>
  <si>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</si>
  <si>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</si>
  <si>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</si>
  <si>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</si>
  <si>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</si>
  <si>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</si>
  <si>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</si>
  <si>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</si>
  <si>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</si>
  <si>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</si>
  <si>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</si>
  <si>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</si>
  <si>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</si>
  <si>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</si>
  <si>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</si>
  <si>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</si>
  <si>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</si>
  <si>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Equity</t>
  </si>
  <si>
    <t>Suspense  (Difference in Books)</t>
  </si>
  <si>
    <t>Sacco Name: SOTICO SACCO</t>
  </si>
  <si>
    <t>AUDITED YEAR TO</t>
  </si>
  <si>
    <t>Financial Income</t>
  </si>
  <si>
    <t>Financial Income from Loans Portfolio</t>
  </si>
  <si>
    <t>Interest on Loan Portfolio</t>
  </si>
  <si>
    <t>Fees &amp; Commission on Loan Portfolio</t>
  </si>
  <si>
    <t>Financial Income From Investments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</si>
  <si>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</si>
  <si>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</si>
  <si>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</si>
  <si>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</si>
  <si>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</si>
  <si>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</si>
  <si>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</si>
  <si>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</si>
  <si>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</si>
  <si>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</si>
  <si>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</si>
  <si>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</t>
  </si>
  <si>
    <t>Allowance For Loan Loss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</si>
  <si>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</si>
  <si>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</si>
  <si>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</si>
  <si>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</si>
  <si>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</si>
  <si>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</si>
  <si>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</si>
  <si>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</si>
  <si>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</si>
  <si>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 Operating Income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</si>
  <si>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</si>
  <si>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</si>
  <si>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</si>
  <si>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2"/>
        <rFont val="Cambria"/>
        <family val="1"/>
      </rPr>
      <t>(Incomes taxes &amp; Other payable to KRA)</t>
    </r>
  </si>
  <si>
    <t>Net Income After Tax Before Donations</t>
  </si>
  <si>
    <t>Donations</t>
  </si>
  <si>
    <t>Net Income</t>
  </si>
  <si>
    <t>Total income</t>
  </si>
  <si>
    <t>Total expenses</t>
  </si>
  <si>
    <t xml:space="preserve">Sotico Sacco </t>
  </si>
  <si>
    <t>Year</t>
  </si>
  <si>
    <t>Audit 20</t>
  </si>
  <si>
    <t>Audited 2021</t>
  </si>
  <si>
    <t>audited 22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</si>
  <si>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</si>
  <si>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</si>
  <si>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</si>
  <si>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</si>
  <si>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</si>
  <si>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</si>
  <si>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</si>
  <si>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</si>
  <si>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</si>
  <si>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</si>
  <si>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</si>
  <si>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</si>
  <si>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</si>
  <si>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</si>
  <si>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</si>
  <si>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</si>
  <si>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</si>
  <si>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`nbnmn</t>
  </si>
  <si>
    <t>Supplementary Capital &amp; reserves</t>
  </si>
  <si>
    <t>a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</si>
  <si>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</si>
  <si>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</si>
  <si>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</si>
  <si>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</si>
  <si>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</si>
  <si>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</si>
  <si>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</si>
  <si>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 (A/L NPL30</t>
  </si>
  <si>
    <t>Non Performing Loans NPL30</t>
  </si>
  <si>
    <t>Required loan loss provision</t>
  </si>
  <si>
    <t>Cash and Cash equipments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</si>
  <si>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</si>
  <si>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</si>
  <si>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</si>
  <si>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</si>
  <si>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</si>
  <si>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</si>
  <si>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</si>
  <si>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</si>
  <si>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</si>
  <si>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</si>
  <si>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</si>
  <si>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</si>
  <si>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</si>
  <si>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Liquid Assets</t>
  </si>
  <si>
    <t>Total Income</t>
  </si>
  <si>
    <t>Total Expenses</t>
  </si>
  <si>
    <t>Short  Term Liabilities</t>
  </si>
  <si>
    <t>Average Assets</t>
  </si>
  <si>
    <t>Institutional Capital</t>
  </si>
  <si>
    <t>Average gross loans</t>
  </si>
  <si>
    <t>Description</t>
  </si>
  <si>
    <t>Audited 2016</t>
  </si>
  <si>
    <t>Audited 2017</t>
  </si>
  <si>
    <t>Audited 2018</t>
  </si>
  <si>
    <t>Audited 2019</t>
  </si>
  <si>
    <t>Share Capital</t>
  </si>
  <si>
    <t>Gross Loans Portfolio</t>
  </si>
  <si>
    <t>FOSA Deposits</t>
  </si>
  <si>
    <t>BOSA Deposits</t>
  </si>
  <si>
    <t>Sotico Sacco Society</t>
  </si>
  <si>
    <t xml:space="preserve">Financial Performance </t>
  </si>
  <si>
    <t>FINANCIAL SOUNDNESS INDICATORS</t>
  </si>
  <si>
    <t>Prude.  Std</t>
  </si>
  <si>
    <t>Ref. #</t>
  </si>
  <si>
    <t>Audit 16</t>
  </si>
  <si>
    <t>Audit 17</t>
  </si>
  <si>
    <t>Audit 18</t>
  </si>
  <si>
    <t>Audit 19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</si>
  <si>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</si>
  <si>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</si>
  <si>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</si>
  <si>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</si>
  <si>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</si>
  <si>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</si>
  <si>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</si>
  <si>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</si>
  <si>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</si>
  <si>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</si>
  <si>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</si>
  <si>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</si>
  <si>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</si>
  <si>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</si>
  <si>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</si>
  <si>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</si>
  <si>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</si>
  <si>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</si>
  <si>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</si>
  <si>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</si>
  <si>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</si>
  <si>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</si>
  <si>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</si>
  <si>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</si>
  <si>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</si>
  <si>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</si>
  <si>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</si>
  <si>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</si>
  <si>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</si>
  <si>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</si>
  <si>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</si>
  <si>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</si>
  <si>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</si>
  <si>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</si>
  <si>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</si>
  <si>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</si>
  <si>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</si>
  <si>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</si>
  <si>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</si>
  <si>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</si>
  <si>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</si>
  <si>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</si>
  <si>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</si>
  <si>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4.2.1</t>
  </si>
  <si>
    <t>4.2.2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</si>
  <si>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</si>
  <si>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</si>
  <si>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</si>
  <si>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</si>
  <si>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</si>
  <si>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</si>
  <si>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</si>
  <si>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</si>
  <si>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</si>
  <si>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 xml:space="preserve">Liquid Assets - ST Liabilities/ Deposits </t>
  </si>
  <si>
    <r>
      <rPr>
        <sz val="12"/>
        <color indexed="8"/>
        <rFont val="Calibri"/>
        <family val="2"/>
      </rPr>
      <t>≥</t>
    </r>
    <r>
      <rPr>
        <sz val="12"/>
        <color indexed="8"/>
        <rFont val="Cambria"/>
        <family val="1"/>
      </rPr>
      <t>15%</t>
    </r>
  </si>
  <si>
    <t>Loan Loss Provisions Ratios</t>
  </si>
  <si>
    <t>Actual LLP / Required LLP</t>
  </si>
  <si>
    <t>RETURN ON ASSETS</t>
  </si>
  <si>
    <t>COST INCOME RATIO</t>
  </si>
  <si>
    <t>OPERATING EXPENSE RATIO</t>
  </si>
  <si>
    <t>TECHNICAL LIQUIDITY</t>
  </si>
  <si>
    <t>LIQUID ASSETS/TOTAL ASSETS</t>
  </si>
  <si>
    <t>GROSS LOANS/TOTAL ASSETS</t>
  </si>
  <si>
    <t>=</t>
  </si>
  <si>
    <t>Gross Loans</t>
  </si>
  <si>
    <t>Short-term Liabilities)</t>
  </si>
  <si>
    <t>External Borrowing</t>
  </si>
  <si>
    <t>Net Financial Income/Loss</t>
  </si>
  <si>
    <t>Dividends+Interest on Deposits</t>
  </si>
  <si>
    <t>Interest on Loan portfolio+Fees&amp;Commission on Loan</t>
  </si>
  <si>
    <t>C/S 6128</t>
  </si>
  <si>
    <t>CLASSIFICATION</t>
  </si>
  <si>
    <t>NO. OF A/Cs</t>
  </si>
  <si>
    <t>OUTSTANDING LOAN PORTFOLIO(Kshs)</t>
  </si>
  <si>
    <t>RQD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</si>
  <si>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</si>
  <si>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</si>
  <si>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</si>
  <si>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</si>
  <si>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</si>
  <si>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</si>
  <si>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</si>
  <si>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</si>
  <si>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</si>
  <si>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NPL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</si>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</sst>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_);_(* \(#,##0.00\);_(* \-??_);_(@_)"/>
    <numFmt numFmtId="167" formatCode="[$-10409]#,##0.00;\-\ #,##0.00"/>
    <numFmt numFmtId="168" formatCode="d/mmm/yy"/>
    <numFmt numFmtId="169" formatCode="\£#,##0;&quot;-£&quot;#,##0"/>
    <numFmt numFmtId="170" formatCode="&quot;£&quot;#,##0;\-&quot;£&quot;#,##0"/>
    <numFmt numFmtId="171" formatCode="_-* #,##0.00_-;\-* #,##0.00_-;_-* \-??_-;_-@_-"/>
    <numFmt numFmtId="172" formatCode="0.0"/>
    <numFmt numFmtId="173" formatCode="0.0%"/>
    <numFmt numFmtId="174" formatCode="[$-10409]0.00;\-\ 0.00"/>
  </numFmts>
  <fonts count="5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2"/>
      <color indexed="8"/>
      <name val="Calibri"/>
      <family val="2"/>
    </font>
    <font>
      <sz val="12"/>
      <color indexed="8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9.85"/>
      <color indexed="8"/>
      <name val="Times New Roman"/>
      <family val="1"/>
    </font>
    <font>
      <i/>
      <sz val="12"/>
      <name val="Cambria"/>
      <family val="1"/>
    </font>
    <font>
      <sz val="10"/>
      <name val="Arial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i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b/>
      <i/>
      <sz val="1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i/>
      <sz val="12"/>
      <name val="Cambria"/>
      <family val="1"/>
      <scheme val="major"/>
    </font>
    <font>
      <i/>
      <sz val="12"/>
      <color indexed="8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0"/>
      <color rgb="FF000000"/>
      <name val="Arial"/>
      <family val="2"/>
    </font>
    <font>
      <sz val="10"/>
      <color rgb="FF000000"/>
      <name val="Arial"/>
      <charset val="1"/>
    </font>
  </fonts>
  <fills count="26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FF"/>
        <bgColor indexed="64"/>
      </patternFill>
    </fill>
  </fills>
  <borders count="8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59"/>
      </right>
      <top style="thick">
        <color indexed="64"/>
      </top>
      <bottom/>
      <diagonal/>
    </border>
    <border>
      <left style="thin">
        <color indexed="59"/>
      </left>
      <right style="thin">
        <color indexed="59"/>
      </right>
      <top style="thick">
        <color indexed="64"/>
      </top>
      <bottom/>
      <diagonal/>
    </border>
    <border>
      <left style="thin">
        <color indexed="59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59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ck">
        <color indexed="64"/>
      </top>
      <bottom style="thin">
        <color indexed="59"/>
      </bottom>
      <diagonal/>
    </border>
    <border>
      <left style="thin">
        <color indexed="59"/>
      </left>
      <right style="thick">
        <color indexed="64"/>
      </right>
      <top style="thick">
        <color indexed="64"/>
      </top>
      <bottom style="thin">
        <color indexed="59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59"/>
      </top>
      <bottom style="thin">
        <color indexed="59"/>
      </bottom>
      <diagonal/>
    </border>
    <border>
      <left style="thick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ck">
        <color indexed="64"/>
      </right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ck">
        <color indexed="64"/>
      </left>
      <right/>
      <top style="thin">
        <color indexed="59"/>
      </top>
      <bottom style="thick">
        <color indexed="64"/>
      </bottom>
      <diagonal/>
    </border>
    <border>
      <left style="thick">
        <color indexed="64"/>
      </left>
      <right style="thin">
        <color indexed="59"/>
      </right>
      <top style="thin">
        <color indexed="59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ck">
        <color indexed="64"/>
      </bottom>
      <diagonal/>
    </border>
    <border>
      <left style="thin">
        <color indexed="59"/>
      </left>
      <right style="thick">
        <color indexed="64"/>
      </right>
      <top style="thin">
        <color indexed="59"/>
      </top>
      <bottom style="thick">
        <color indexed="64"/>
      </bottom>
      <diagonal/>
    </border>
    <border>
      <left/>
      <right style="thin">
        <color indexed="59"/>
      </right>
      <top style="thin">
        <color indexed="59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59"/>
      </right>
      <top/>
      <bottom style="thick">
        <color indexed="64"/>
      </bottom>
      <diagonal/>
    </border>
    <border>
      <left style="thin">
        <color indexed="59"/>
      </left>
      <right style="thin">
        <color indexed="59"/>
      </right>
      <top/>
      <bottom style="thick">
        <color indexed="64"/>
      </bottom>
      <diagonal/>
    </border>
    <border>
      <left style="thin">
        <color indexed="59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59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ck">
        <color indexed="64"/>
      </right>
      <top/>
      <bottom/>
      <diagonal/>
    </border>
    <border>
      <left/>
      <right style="thin">
        <color indexed="59"/>
      </right>
      <top/>
      <bottom/>
      <diagonal/>
    </border>
    <border>
      <left style="thick">
        <color indexed="64"/>
      </left>
      <right style="thin">
        <color indexed="59"/>
      </right>
      <top style="thick">
        <color indexed="64"/>
      </top>
      <bottom style="thin">
        <color indexed="59"/>
      </bottom>
      <diagonal/>
    </border>
    <border>
      <left/>
      <right style="thin">
        <color indexed="59"/>
      </right>
      <top style="thick">
        <color indexed="64"/>
      </top>
      <bottom style="thin">
        <color indexed="59"/>
      </bottom>
      <diagonal/>
    </border>
    <border>
      <left style="thick">
        <color indexed="64"/>
      </left>
      <right/>
      <top style="thin">
        <color indexed="59"/>
      </top>
      <bottom/>
      <diagonal/>
    </border>
    <border>
      <left style="thick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ck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59"/>
      </right>
      <top style="thick">
        <color indexed="64"/>
      </top>
      <bottom style="thick">
        <color indexed="64"/>
      </bottom>
      <diagonal/>
    </border>
    <border>
      <left style="thin">
        <color indexed="59"/>
      </left>
      <right style="thin">
        <color indexed="59"/>
      </right>
      <top style="thick">
        <color indexed="64"/>
      </top>
      <bottom style="thick">
        <color indexed="64"/>
      </bottom>
      <diagonal/>
    </border>
    <border>
      <left style="thin">
        <color indexed="59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59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12"/>
      </left>
      <right/>
      <top style="thin">
        <color indexed="12"/>
      </top>
      <bottom style="thin">
        <color rgb="FF000000"/>
      </bottom>
      <diagonal/>
    </border>
    <border>
      <left style="thin">
        <color indexed="12"/>
      </left>
      <right/>
      <top style="thin">
        <color rgb="FF000000"/>
      </top>
      <bottom style="thin">
        <color indexed="12"/>
      </bottom>
      <diagonal/>
    </border>
    <border>
      <left style="thin">
        <color indexed="12"/>
      </left>
      <right/>
      <top style="thin">
        <color rgb="FF000000"/>
      </top>
      <bottom style="thin">
        <color rgb="FF000000"/>
      </bottom>
      <diagonal/>
    </border>
  </borders>
  <cellStyleXfs count="688">
    <xf numFmtId="0" fontId="0" fillId="0" borderId="0"/>
    <xf numFmtId="0" fontId="3" fillId="2" borderId="0" applyNumberFormat="0" applyBorder="0" applyAlignment="0" applyProtection="0"/>
    <xf numFmtId="0" fontId="2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3" borderId="0" applyNumberFormat="0" applyBorder="0" applyAlignment="0" applyProtection="0"/>
    <xf numFmtId="0" fontId="25" fillId="11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4" fillId="4" borderId="0" applyNumberFormat="0" applyBorder="0" applyAlignment="0" applyProtection="0"/>
    <xf numFmtId="0" fontId="25" fillId="12" borderId="0" applyNumberFormat="0" applyBorder="0" applyAlignment="0" applyProtection="0"/>
    <xf numFmtId="0" fontId="5" fillId="5" borderId="2" applyNumberFormat="0" applyAlignment="0" applyProtection="0"/>
    <xf numFmtId="0" fontId="26" fillId="13" borderId="72" applyNumberFormat="0" applyAlignment="0" applyProtection="0"/>
    <xf numFmtId="43" fontId="23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7" fillId="14" borderId="7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7" borderId="3" applyNumberFormat="0" applyAlignment="0" applyProtection="0"/>
    <xf numFmtId="0" fontId="2" fillId="15" borderId="73" applyNumberFormat="0" applyFont="0" applyAlignment="0" applyProtection="0"/>
    <xf numFmtId="9" fontId="23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74" applyNumberFormat="0" applyFill="0" applyAlignment="0" applyProtection="0"/>
    <xf numFmtId="0" fontId="30" fillId="0" borderId="74" applyNumberFormat="0" applyFill="0" applyAlignment="0" applyProtection="0"/>
  </cellStyleXfs>
  <cellXfs count="293">
    <xf numFmtId="0" fontId="0" fillId="0" borderId="0" xfId="0"/>
    <xf numFmtId="0" fontId="31" fillId="0" borderId="0" xfId="0" applyFont="1"/>
    <xf numFmtId="0" fontId="32" fillId="0" borderId="5" xfId="0" applyFont="1" applyBorder="1"/>
    <xf numFmtId="0" fontId="32" fillId="0" borderId="6" xfId="0" applyFont="1" applyBorder="1"/>
    <xf numFmtId="0" fontId="32" fillId="0" borderId="7" xfId="0" applyFont="1" applyBorder="1"/>
    <xf numFmtId="0" fontId="33" fillId="0" borderId="8" xfId="0" applyFont="1" applyBorder="1"/>
    <xf numFmtId="0" fontId="33" fillId="0" borderId="7" xfId="0" applyFont="1" applyBorder="1"/>
    <xf numFmtId="0" fontId="34" fillId="0" borderId="7" xfId="0" applyFont="1" applyBorder="1"/>
    <xf numFmtId="172" fontId="33" fillId="0" borderId="9" xfId="0" applyNumberFormat="1" applyFont="1" applyBorder="1"/>
    <xf numFmtId="172" fontId="33" fillId="0" borderId="8" xfId="0" applyNumberFormat="1" applyFont="1" applyBorder="1"/>
    <xf numFmtId="172" fontId="33" fillId="0" borderId="10" xfId="0" applyNumberFormat="1" applyFont="1" applyBorder="1"/>
    <xf numFmtId="0" fontId="32" fillId="0" borderId="11" xfId="0" applyFont="1" applyBorder="1"/>
    <xf numFmtId="172" fontId="33" fillId="0" borderId="5" xfId="0" applyNumberFormat="1" applyFont="1" applyBorder="1"/>
    <xf numFmtId="9" fontId="34" fillId="0" borderId="7" xfId="679" applyFont="1" applyBorder="1"/>
    <xf numFmtId="172" fontId="33" fillId="0" borderId="8" xfId="0" applyNumberFormat="1" applyFont="1" applyBorder="1" applyAlignment="1">
      <alignment horizontal="right"/>
    </xf>
    <xf numFmtId="0" fontId="34" fillId="0" borderId="11" xfId="0" applyFont="1" applyBorder="1"/>
    <xf numFmtId="0" fontId="33" fillId="0" borderId="12" xfId="0" applyFont="1" applyBorder="1"/>
    <xf numFmtId="0" fontId="33" fillId="0" borderId="10" xfId="0" applyFont="1" applyBorder="1"/>
    <xf numFmtId="0" fontId="35" fillId="0" borderId="7" xfId="0" applyFont="1" applyBorder="1"/>
    <xf numFmtId="0" fontId="35" fillId="0" borderId="0" xfId="0" applyFont="1"/>
    <xf numFmtId="0" fontId="33" fillId="0" borderId="11" xfId="0" applyFont="1" applyBorder="1"/>
    <xf numFmtId="172" fontId="33" fillId="0" borderId="13" xfId="0" applyNumberFormat="1" applyFont="1" applyBorder="1"/>
    <xf numFmtId="172" fontId="33" fillId="0" borderId="14" xfId="0" applyNumberFormat="1" applyFont="1" applyBorder="1"/>
    <xf numFmtId="172" fontId="33" fillId="0" borderId="15" xfId="0" applyNumberFormat="1" applyFont="1" applyBorder="1"/>
    <xf numFmtId="172" fontId="36" fillId="0" borderId="5" xfId="0" applyNumberFormat="1" applyFont="1" applyBorder="1"/>
    <xf numFmtId="0" fontId="33" fillId="0" borderId="16" xfId="0" applyFont="1" applyBorder="1"/>
    <xf numFmtId="0" fontId="33" fillId="0" borderId="17" xfId="0" applyFont="1" applyBorder="1"/>
    <xf numFmtId="165" fontId="31" fillId="0" borderId="7" xfId="53" applyNumberFormat="1" applyFont="1" applyBorder="1"/>
    <xf numFmtId="165" fontId="33" fillId="0" borderId="7" xfId="53" applyNumberFormat="1" applyFont="1" applyBorder="1"/>
    <xf numFmtId="165" fontId="37" fillId="0" borderId="7" xfId="53" applyNumberFormat="1" applyFont="1" applyBorder="1"/>
    <xf numFmtId="0" fontId="38" fillId="0" borderId="7" xfId="0" applyFont="1" applyBorder="1"/>
    <xf numFmtId="17" fontId="32" fillId="0" borderId="7" xfId="0" applyNumberFormat="1" applyFont="1" applyBorder="1"/>
    <xf numFmtId="0" fontId="31" fillId="0" borderId="7" xfId="0" applyFont="1" applyBorder="1"/>
    <xf numFmtId="43" fontId="31" fillId="0" borderId="7" xfId="53" applyFont="1" applyBorder="1"/>
    <xf numFmtId="0" fontId="32" fillId="16" borderId="6" xfId="0" applyFont="1" applyFill="1" applyBorder="1"/>
    <xf numFmtId="165" fontId="31" fillId="16" borderId="7" xfId="53" applyNumberFormat="1" applyFont="1" applyFill="1" applyBorder="1"/>
    <xf numFmtId="0" fontId="33" fillId="17" borderId="10" xfId="0" applyFont="1" applyFill="1" applyBorder="1"/>
    <xf numFmtId="0" fontId="33" fillId="17" borderId="11" xfId="0" applyFont="1" applyFill="1" applyBorder="1"/>
    <xf numFmtId="165" fontId="31" fillId="17" borderId="7" xfId="53" applyNumberFormat="1" applyFont="1" applyFill="1" applyBorder="1"/>
    <xf numFmtId="0" fontId="31" fillId="17" borderId="0" xfId="0" applyFont="1" applyFill="1"/>
    <xf numFmtId="172" fontId="33" fillId="0" borderId="18" xfId="0" applyNumberFormat="1" applyFont="1" applyBorder="1"/>
    <xf numFmtId="165" fontId="31" fillId="0" borderId="19" xfId="53" applyNumberFormat="1" applyFont="1" applyBorder="1"/>
    <xf numFmtId="0" fontId="39" fillId="0" borderId="0" xfId="639" applyFont="1"/>
    <xf numFmtId="0" fontId="40" fillId="0" borderId="0" xfId="639" applyFont="1"/>
    <xf numFmtId="0" fontId="39" fillId="0" borderId="0" xfId="639" applyFont="1" applyAlignment="1">
      <alignment horizontal="center"/>
    </xf>
    <xf numFmtId="0" fontId="41" fillId="0" borderId="0" xfId="639" applyFont="1"/>
    <xf numFmtId="0" fontId="41" fillId="0" borderId="20" xfId="639" applyFont="1" applyBorder="1"/>
    <xf numFmtId="0" fontId="41" fillId="8" borderId="20" xfId="639" applyFont="1" applyFill="1" applyBorder="1"/>
    <xf numFmtId="0" fontId="41" fillId="8" borderId="20" xfId="639" applyFont="1" applyFill="1" applyBorder="1" applyAlignment="1">
      <alignment horizontal="center"/>
    </xf>
    <xf numFmtId="172" fontId="41" fillId="0" borderId="20" xfId="639" applyNumberFormat="1" applyFont="1" applyBorder="1"/>
    <xf numFmtId="14" fontId="41" fillId="8" borderId="20" xfId="639" applyNumberFormat="1" applyFont="1" applyFill="1" applyBorder="1" applyAlignment="1">
      <alignment horizontal="center"/>
    </xf>
    <xf numFmtId="0" fontId="39" fillId="0" borderId="20" xfId="639" applyFont="1" applyBorder="1"/>
    <xf numFmtId="0" fontId="42" fillId="0" borderId="20" xfId="639" applyFont="1" applyBorder="1" applyAlignment="1">
      <alignment horizontal="center"/>
    </xf>
    <xf numFmtId="165" fontId="40" fillId="0" borderId="20" xfId="53" applyNumberFormat="1" applyFont="1" applyBorder="1" applyAlignment="1">
      <alignment horizontal="right"/>
    </xf>
    <xf numFmtId="173" fontId="42" fillId="0" borderId="20" xfId="679" applyNumberFormat="1" applyFont="1" applyBorder="1"/>
    <xf numFmtId="0" fontId="39" fillId="17" borderId="20" xfId="639" applyFont="1" applyFill="1" applyBorder="1"/>
    <xf numFmtId="172" fontId="39" fillId="0" borderId="20" xfId="639" applyNumberFormat="1" applyFont="1" applyBorder="1"/>
    <xf numFmtId="14" fontId="41" fillId="17" borderId="20" xfId="639" applyNumberFormat="1" applyFont="1" applyFill="1" applyBorder="1" applyAlignment="1">
      <alignment horizontal="center"/>
    </xf>
    <xf numFmtId="0" fontId="39" fillId="0" borderId="20" xfId="639" applyFont="1" applyBorder="1" applyAlignment="1">
      <alignment horizontal="right"/>
    </xf>
    <xf numFmtId="173" fontId="42" fillId="0" borderId="20" xfId="679" applyNumberFormat="1" applyFont="1" applyBorder="1" applyAlignment="1">
      <alignment horizontal="center"/>
    </xf>
    <xf numFmtId="0" fontId="43" fillId="0" borderId="20" xfId="639" applyFont="1" applyBorder="1"/>
    <xf numFmtId="173" fontId="44" fillId="0" borderId="20" xfId="679" applyNumberFormat="1" applyFont="1" applyBorder="1" applyAlignment="1">
      <alignment horizontal="center"/>
    </xf>
    <xf numFmtId="173" fontId="44" fillId="0" borderId="20" xfId="679" applyNumberFormat="1" applyFont="1" applyBorder="1"/>
    <xf numFmtId="173" fontId="42" fillId="0" borderId="20" xfId="679" applyNumberFormat="1" applyFont="1" applyBorder="1" applyAlignment="1">
      <alignment horizontal="right"/>
    </xf>
    <xf numFmtId="0" fontId="44" fillId="17" borderId="20" xfId="639" applyFont="1" applyFill="1" applyBorder="1"/>
    <xf numFmtId="9" fontId="42" fillId="0" borderId="20" xfId="679" applyFont="1" applyBorder="1" applyAlignment="1">
      <alignment horizontal="right"/>
    </xf>
    <xf numFmtId="9" fontId="39" fillId="0" borderId="20" xfId="677" applyFont="1" applyBorder="1" applyAlignment="1">
      <alignment horizontal="right"/>
    </xf>
    <xf numFmtId="9" fontId="42" fillId="0" borderId="20" xfId="639" applyNumberFormat="1" applyFont="1" applyBorder="1" applyAlignment="1">
      <alignment horizontal="center"/>
    </xf>
    <xf numFmtId="173" fontId="39" fillId="0" borderId="20" xfId="679" applyNumberFormat="1" applyFont="1" applyBorder="1"/>
    <xf numFmtId="0" fontId="39" fillId="0" borderId="20" xfId="639" applyFont="1" applyBorder="1" applyAlignment="1">
      <alignment horizontal="center"/>
    </xf>
    <xf numFmtId="9" fontId="39" fillId="0" borderId="20" xfId="677" applyFont="1" applyBorder="1"/>
    <xf numFmtId="0" fontId="40" fillId="0" borderId="20" xfId="639" applyFont="1" applyBorder="1"/>
    <xf numFmtId="173" fontId="39" fillId="0" borderId="20" xfId="677" applyNumberFormat="1" applyFont="1" applyBorder="1"/>
    <xf numFmtId="10" fontId="39" fillId="0" borderId="20" xfId="677" applyNumberFormat="1" applyFont="1" applyBorder="1"/>
    <xf numFmtId="17" fontId="45" fillId="0" borderId="20" xfId="0" applyNumberFormat="1" applyFont="1" applyBorder="1"/>
    <xf numFmtId="165" fontId="31" fillId="0" borderId="0" xfId="53" applyNumberFormat="1" applyFont="1"/>
    <xf numFmtId="0" fontId="32" fillId="0" borderId="0" xfId="0" applyFont="1"/>
    <xf numFmtId="0" fontId="41" fillId="17" borderId="20" xfId="639" applyFont="1" applyFill="1" applyBorder="1" applyAlignment="1">
      <alignment horizontal="center"/>
    </xf>
    <xf numFmtId="3" fontId="31" fillId="0" borderId="7" xfId="0" applyNumberFormat="1" applyFont="1" applyBorder="1"/>
    <xf numFmtId="0" fontId="32" fillId="16" borderId="7" xfId="0" applyFont="1" applyFill="1" applyBorder="1"/>
    <xf numFmtId="17" fontId="32" fillId="16" borderId="7" xfId="0" applyNumberFormat="1" applyFont="1" applyFill="1" applyBorder="1"/>
    <xf numFmtId="165" fontId="31" fillId="0" borderId="0" xfId="0" applyNumberFormat="1" applyFont="1"/>
    <xf numFmtId="165" fontId="46" fillId="0" borderId="7" xfId="53" applyNumberFormat="1" applyFont="1" applyBorder="1" applyProtection="1">
      <protection locked="0"/>
    </xf>
    <xf numFmtId="0" fontId="46" fillId="0" borderId="7" xfId="0" applyFont="1" applyBorder="1"/>
    <xf numFmtId="165" fontId="46" fillId="0" borderId="7" xfId="53" applyNumberFormat="1" applyFont="1" applyFill="1" applyBorder="1" applyProtection="1"/>
    <xf numFmtId="0" fontId="29" fillId="16" borderId="7" xfId="0" applyFont="1" applyFill="1" applyBorder="1"/>
    <xf numFmtId="17" fontId="29" fillId="16" borderId="7" xfId="0" applyNumberFormat="1" applyFont="1" applyFill="1" applyBorder="1"/>
    <xf numFmtId="165" fontId="47" fillId="0" borderId="7" xfId="53" applyNumberFormat="1" applyFont="1" applyBorder="1" applyProtection="1">
      <protection locked="0"/>
    </xf>
    <xf numFmtId="165" fontId="15" fillId="0" borderId="0" xfId="53" applyNumberFormat="1" applyFont="1"/>
    <xf numFmtId="165" fontId="14" fillId="0" borderId="0" xfId="53" applyNumberFormat="1" applyFont="1"/>
    <xf numFmtId="165" fontId="15" fillId="0" borderId="21" xfId="53" applyNumberFormat="1" applyFont="1" applyBorder="1"/>
    <xf numFmtId="165" fontId="16" fillId="0" borderId="22" xfId="53" applyNumberFormat="1" applyFont="1" applyFill="1" applyBorder="1" applyAlignment="1"/>
    <xf numFmtId="165" fontId="16" fillId="0" borderId="23" xfId="53" applyNumberFormat="1" applyFont="1" applyBorder="1" applyAlignment="1" applyProtection="1">
      <protection locked="0"/>
    </xf>
    <xf numFmtId="165" fontId="16" fillId="0" borderId="24" xfId="53" applyNumberFormat="1" applyFont="1" applyBorder="1" applyAlignment="1" applyProtection="1">
      <alignment horizontal="center" wrapText="1"/>
      <protection locked="0"/>
    </xf>
    <xf numFmtId="165" fontId="16" fillId="0" borderId="24" xfId="53" applyNumberFormat="1" applyFont="1" applyBorder="1" applyAlignment="1" applyProtection="1">
      <alignment horizontal="center" wrapText="1"/>
    </xf>
    <xf numFmtId="165" fontId="16" fillId="0" borderId="25" xfId="53" applyNumberFormat="1" applyFont="1" applyBorder="1" applyAlignment="1" applyProtection="1">
      <alignment wrapText="1"/>
    </xf>
    <xf numFmtId="165" fontId="16" fillId="0" borderId="26" xfId="53" applyNumberFormat="1" applyFont="1" applyBorder="1" applyAlignment="1" applyProtection="1">
      <protection locked="0"/>
    </xf>
    <xf numFmtId="165" fontId="16" fillId="0" borderId="27" xfId="53" applyNumberFormat="1" applyFont="1" applyBorder="1" applyAlignment="1"/>
    <xf numFmtId="3" fontId="18" fillId="0" borderId="22" xfId="476" applyNumberFormat="1" applyFont="1" applyBorder="1" applyAlignment="1" applyProtection="1">
      <alignment horizontal="right" vertical="center"/>
      <protection locked="0"/>
    </xf>
    <xf numFmtId="164" fontId="17" fillId="0" borderId="28" xfId="476" applyNumberFormat="1" applyFont="1" applyBorder="1" applyAlignment="1" applyProtection="1">
      <alignment wrapText="1"/>
      <protection locked="0"/>
    </xf>
    <xf numFmtId="43" fontId="17" fillId="0" borderId="28" xfId="53" applyFont="1" applyBorder="1" applyAlignment="1" applyProtection="1">
      <alignment horizontal="center"/>
    </xf>
    <xf numFmtId="165" fontId="17" fillId="0" borderId="29" xfId="53" applyNumberFormat="1" applyFont="1" applyBorder="1" applyAlignment="1" applyProtection="1"/>
    <xf numFmtId="3" fontId="18" fillId="0" borderId="30" xfId="476" applyNumberFormat="1" applyFont="1" applyBorder="1" applyAlignment="1" applyProtection="1">
      <alignment horizontal="right" vertical="center"/>
      <protection locked="0"/>
    </xf>
    <xf numFmtId="165" fontId="16" fillId="0" borderId="31" xfId="53" applyNumberFormat="1" applyFont="1" applyBorder="1" applyAlignment="1"/>
    <xf numFmtId="0" fontId="17" fillId="0" borderId="32" xfId="476" applyFont="1" applyBorder="1" applyAlignment="1" applyProtection="1">
      <alignment wrapText="1"/>
      <protection locked="0"/>
    </xf>
    <xf numFmtId="39" fontId="18" fillId="0" borderId="33" xfId="476" applyNumberFormat="1" applyFont="1" applyBorder="1" applyAlignment="1" applyProtection="1">
      <alignment horizontal="right" vertical="center"/>
      <protection locked="0"/>
    </xf>
    <xf numFmtId="43" fontId="17" fillId="0" borderId="34" xfId="53" applyFont="1" applyBorder="1" applyAlignment="1" applyProtection="1">
      <alignment horizontal="center"/>
    </xf>
    <xf numFmtId="165" fontId="17" fillId="0" borderId="35" xfId="53" applyNumberFormat="1" applyFont="1" applyBorder="1" applyAlignment="1" applyProtection="1"/>
    <xf numFmtId="0" fontId="17" fillId="0" borderId="36" xfId="476" applyFont="1" applyBorder="1" applyAlignment="1" applyProtection="1">
      <alignment wrapText="1"/>
      <protection locked="0"/>
    </xf>
    <xf numFmtId="165" fontId="16" fillId="0" borderId="37" xfId="53" applyNumberFormat="1" applyFont="1" applyBorder="1" applyAlignment="1"/>
    <xf numFmtId="0" fontId="17" fillId="0" borderId="38" xfId="476" applyFont="1" applyBorder="1" applyAlignment="1" applyProtection="1">
      <alignment wrapText="1"/>
      <protection locked="0"/>
    </xf>
    <xf numFmtId="39" fontId="18" fillId="0" borderId="39" xfId="476" applyNumberFormat="1" applyFont="1" applyBorder="1" applyAlignment="1" applyProtection="1">
      <alignment horizontal="right" vertical="center"/>
      <protection locked="0"/>
    </xf>
    <xf numFmtId="43" fontId="17" fillId="0" borderId="40" xfId="53" applyFont="1" applyBorder="1" applyAlignment="1" applyProtection="1">
      <alignment horizontal="center"/>
    </xf>
    <xf numFmtId="165" fontId="17" fillId="0" borderId="41" xfId="53" applyNumberFormat="1" applyFont="1" applyBorder="1" applyAlignment="1" applyProtection="1"/>
    <xf numFmtId="0" fontId="17" fillId="0" borderId="42" xfId="476" applyFont="1" applyBorder="1" applyAlignment="1" applyProtection="1">
      <alignment wrapText="1"/>
      <protection locked="0"/>
    </xf>
    <xf numFmtId="165" fontId="16" fillId="0" borderId="43" xfId="53" applyNumberFormat="1" applyFont="1" applyBorder="1" applyAlignment="1"/>
    <xf numFmtId="165" fontId="16" fillId="0" borderId="44" xfId="53" applyNumberFormat="1" applyFont="1" applyBorder="1" applyAlignment="1" applyProtection="1">
      <protection locked="0"/>
    </xf>
    <xf numFmtId="165" fontId="16" fillId="0" borderId="45" xfId="53" applyNumberFormat="1" applyFont="1" applyBorder="1" applyAlignment="1" applyProtection="1">
      <protection locked="0"/>
    </xf>
    <xf numFmtId="165" fontId="16" fillId="0" borderId="46" xfId="53" applyNumberFormat="1" applyFont="1" applyBorder="1" applyAlignment="1" applyProtection="1">
      <protection locked="0"/>
    </xf>
    <xf numFmtId="165" fontId="16" fillId="0" borderId="47" xfId="53" applyNumberFormat="1" applyFont="1" applyBorder="1" applyAlignment="1" applyProtection="1">
      <protection locked="0"/>
    </xf>
    <xf numFmtId="165" fontId="16" fillId="0" borderId="48" xfId="53" applyNumberFormat="1" applyFont="1" applyBorder="1" applyAlignment="1"/>
    <xf numFmtId="165" fontId="17" fillId="0" borderId="49" xfId="53" applyNumberFormat="1" applyFont="1" applyBorder="1" applyAlignment="1" applyProtection="1">
      <protection locked="0"/>
    </xf>
    <xf numFmtId="165" fontId="17" fillId="0" borderId="50" xfId="53" applyNumberFormat="1" applyFont="1" applyBorder="1" applyAlignment="1" applyProtection="1">
      <protection locked="0"/>
    </xf>
    <xf numFmtId="165" fontId="17" fillId="0" borderId="50" xfId="53" applyNumberFormat="1" applyFont="1" applyBorder="1" applyAlignment="1" applyProtection="1">
      <alignment horizontal="center"/>
    </xf>
    <xf numFmtId="165" fontId="17" fillId="0" borderId="51" xfId="53" applyNumberFormat="1" applyFont="1" applyBorder="1" applyAlignment="1" applyProtection="1"/>
    <xf numFmtId="165" fontId="17" fillId="0" borderId="52" xfId="53" applyNumberFormat="1" applyFont="1" applyBorder="1" applyAlignment="1" applyProtection="1">
      <protection locked="0"/>
    </xf>
    <xf numFmtId="165" fontId="17" fillId="0" borderId="53" xfId="53" applyNumberFormat="1" applyFont="1" applyBorder="1" applyAlignment="1" applyProtection="1">
      <protection locked="0"/>
    </xf>
    <xf numFmtId="165" fontId="17" fillId="0" borderId="28" xfId="53" applyNumberFormat="1" applyFont="1" applyBorder="1" applyAlignment="1" applyProtection="1">
      <protection locked="0"/>
    </xf>
    <xf numFmtId="165" fontId="17" fillId="0" borderId="28" xfId="53" applyNumberFormat="1" applyFont="1" applyBorder="1" applyAlignment="1" applyProtection="1">
      <alignment horizontal="center"/>
    </xf>
    <xf numFmtId="165" fontId="17" fillId="0" borderId="54" xfId="53" applyNumberFormat="1" applyFont="1" applyBorder="1" applyAlignment="1" applyProtection="1">
      <protection locked="0"/>
    </xf>
    <xf numFmtId="165" fontId="17" fillId="0" borderId="32" xfId="53" applyNumberFormat="1" applyFont="1" applyBorder="1" applyAlignment="1" applyProtection="1">
      <protection locked="0"/>
    </xf>
    <xf numFmtId="165" fontId="17" fillId="0" borderId="34" xfId="53" applyNumberFormat="1" applyFont="1" applyBorder="1" applyAlignment="1" applyProtection="1">
      <protection locked="0"/>
    </xf>
    <xf numFmtId="165" fontId="17" fillId="0" borderId="34" xfId="53" applyNumberFormat="1" applyFont="1" applyBorder="1" applyAlignment="1" applyProtection="1">
      <alignment horizontal="center"/>
    </xf>
    <xf numFmtId="165" fontId="17" fillId="0" borderId="36" xfId="53" applyNumberFormat="1" applyFont="1" applyBorder="1" applyAlignment="1" applyProtection="1">
      <protection locked="0"/>
    </xf>
    <xf numFmtId="165" fontId="16" fillId="0" borderId="55" xfId="53" applyNumberFormat="1" applyFont="1" applyBorder="1" applyAlignment="1"/>
    <xf numFmtId="165" fontId="16" fillId="0" borderId="56" xfId="53" applyNumberFormat="1" applyFont="1" applyBorder="1" applyAlignment="1" applyProtection="1"/>
    <xf numFmtId="165" fontId="16" fillId="0" borderId="57" xfId="53" applyNumberFormat="1" applyFont="1" applyBorder="1" applyAlignment="1" applyProtection="1"/>
    <xf numFmtId="165" fontId="17" fillId="0" borderId="57" xfId="53" applyNumberFormat="1" applyFont="1" applyBorder="1" applyAlignment="1" applyProtection="1">
      <alignment horizontal="center"/>
    </xf>
    <xf numFmtId="165" fontId="16" fillId="0" borderId="58" xfId="53" applyNumberFormat="1" applyFont="1" applyBorder="1" applyAlignment="1" applyProtection="1"/>
    <xf numFmtId="165" fontId="16" fillId="0" borderId="59" xfId="53" applyNumberFormat="1" applyFont="1" applyBorder="1" applyAlignment="1" applyProtection="1"/>
    <xf numFmtId="165" fontId="16" fillId="0" borderId="60" xfId="53" applyNumberFormat="1" applyFont="1" applyBorder="1" applyAlignment="1"/>
    <xf numFmtId="165" fontId="16" fillId="0" borderId="61" xfId="53" applyNumberFormat="1" applyFont="1" applyBorder="1" applyAlignment="1" applyProtection="1"/>
    <xf numFmtId="165" fontId="16" fillId="0" borderId="62" xfId="53" applyNumberFormat="1" applyFont="1" applyBorder="1" applyAlignment="1" applyProtection="1"/>
    <xf numFmtId="165" fontId="16" fillId="0" borderId="63" xfId="53" applyNumberFormat="1" applyFont="1" applyBorder="1" applyAlignment="1" applyProtection="1"/>
    <xf numFmtId="165" fontId="16" fillId="0" borderId="64" xfId="53" applyNumberFormat="1" applyFont="1" applyBorder="1" applyAlignment="1" applyProtection="1"/>
    <xf numFmtId="165" fontId="16" fillId="0" borderId="65" xfId="53" applyNumberFormat="1" applyFont="1" applyBorder="1" applyAlignment="1"/>
    <xf numFmtId="165" fontId="16" fillId="0" borderId="66" xfId="53" applyNumberFormat="1" applyFont="1" applyBorder="1" applyAlignment="1"/>
    <xf numFmtId="9" fontId="14" fillId="0" borderId="0" xfId="677" applyFont="1"/>
    <xf numFmtId="173" fontId="14" fillId="0" borderId="0" xfId="677" applyNumberFormat="1" applyFont="1"/>
    <xf numFmtId="43" fontId="31" fillId="0" borderId="0" xfId="53" applyFont="1"/>
    <xf numFmtId="0" fontId="48" fillId="17" borderId="0" xfId="0" applyFont="1" applyFill="1"/>
    <xf numFmtId="0" fontId="45" fillId="0" borderId="7" xfId="0" applyFont="1" applyBorder="1" applyAlignment="1" applyProtection="1">
      <alignment horizontal="left" vertical="top" wrapText="1" readingOrder="1"/>
      <protection locked="0"/>
    </xf>
    <xf numFmtId="0" fontId="48" fillId="0" borderId="7" xfId="0" applyFont="1" applyBorder="1"/>
    <xf numFmtId="0" fontId="48" fillId="0" borderId="0" xfId="0" applyFont="1"/>
    <xf numFmtId="0" fontId="40" fillId="17" borderId="67" xfId="0" applyFont="1" applyFill="1" applyBorder="1"/>
    <xf numFmtId="0" fontId="45" fillId="0" borderId="7" xfId="0" applyFont="1" applyBorder="1" applyAlignment="1" applyProtection="1">
      <alignment horizontal="center" vertical="center" wrapText="1"/>
      <protection locked="0"/>
    </xf>
    <xf numFmtId="17" fontId="45" fillId="0" borderId="7" xfId="0" applyNumberFormat="1" applyFont="1" applyBorder="1"/>
    <xf numFmtId="0" fontId="48" fillId="0" borderId="0" xfId="0" applyFont="1" applyAlignment="1">
      <alignment horizontal="center" vertical="center"/>
    </xf>
    <xf numFmtId="0" fontId="39" fillId="17" borderId="67" xfId="0" applyFont="1" applyFill="1" applyBorder="1"/>
    <xf numFmtId="0" fontId="45" fillId="18" borderId="7" xfId="0" applyFont="1" applyFill="1" applyBorder="1" applyAlignment="1" applyProtection="1">
      <alignment horizontal="left" vertical="top" wrapText="1" readingOrder="1"/>
      <protection locked="0"/>
    </xf>
    <xf numFmtId="43" fontId="45" fillId="18" borderId="7" xfId="53" applyFont="1" applyFill="1" applyBorder="1" applyAlignment="1" applyProtection="1">
      <alignment horizontal="left" vertical="top" wrapText="1" readingOrder="1"/>
      <protection locked="0"/>
    </xf>
    <xf numFmtId="0" fontId="39" fillId="0" borderId="7" xfId="0" applyFont="1" applyBorder="1"/>
    <xf numFmtId="43" fontId="48" fillId="19" borderId="7" xfId="53" applyFont="1" applyFill="1" applyBorder="1" applyAlignment="1" applyProtection="1">
      <alignment horizontal="left" vertical="top" wrapText="1" readingOrder="1"/>
      <protection locked="0"/>
    </xf>
    <xf numFmtId="43" fontId="48" fillId="0" borderId="7" xfId="53" applyFont="1" applyBorder="1"/>
    <xf numFmtId="43" fontId="42" fillId="0" borderId="7" xfId="53" applyFont="1" applyBorder="1" applyAlignment="1" applyProtection="1">
      <alignment vertical="top" wrapText="1" readingOrder="1"/>
      <protection locked="0"/>
    </xf>
    <xf numFmtId="43" fontId="39" fillId="0" borderId="7" xfId="53" applyFont="1" applyFill="1" applyBorder="1" applyAlignment="1" applyProtection="1">
      <protection locked="0"/>
    </xf>
    <xf numFmtId="165" fontId="48" fillId="0" borderId="7" xfId="53" applyNumberFormat="1" applyFont="1" applyBorder="1"/>
    <xf numFmtId="167" fontId="42" fillId="0" borderId="68" xfId="0" applyNumberFormat="1" applyFont="1" applyBorder="1" applyAlignment="1" applyProtection="1">
      <alignment vertical="top" wrapText="1" readingOrder="1"/>
      <protection locked="0"/>
    </xf>
    <xf numFmtId="0" fontId="45" fillId="19" borderId="7" xfId="0" applyFont="1" applyFill="1" applyBorder="1" applyAlignment="1" applyProtection="1">
      <alignment horizontal="left" vertical="top" wrapText="1" readingOrder="1"/>
      <protection locked="0"/>
    </xf>
    <xf numFmtId="43" fontId="48" fillId="17" borderId="7" xfId="53" applyFont="1" applyFill="1" applyBorder="1"/>
    <xf numFmtId="0" fontId="39" fillId="20" borderId="7" xfId="0" applyFont="1" applyFill="1" applyBorder="1" applyAlignment="1">
      <alignment wrapText="1"/>
    </xf>
    <xf numFmtId="43" fontId="48" fillId="19" borderId="7" xfId="53" applyFont="1" applyFill="1" applyBorder="1" applyAlignment="1" applyProtection="1">
      <alignment horizontal="left" wrapText="1" readingOrder="1"/>
      <protection locked="0"/>
    </xf>
    <xf numFmtId="43" fontId="42" fillId="0" borderId="7" xfId="53" applyFont="1" applyBorder="1" applyAlignment="1" applyProtection="1">
      <alignment wrapText="1" readingOrder="1"/>
      <protection locked="0"/>
    </xf>
    <xf numFmtId="43" fontId="45" fillId="19" borderId="7" xfId="53" applyFont="1" applyFill="1" applyBorder="1" applyAlignment="1" applyProtection="1">
      <alignment horizontal="left" vertical="top" wrapText="1" readingOrder="1"/>
      <protection locked="0"/>
    </xf>
    <xf numFmtId="0" fontId="45" fillId="21" borderId="7" xfId="0" applyFont="1" applyFill="1" applyBorder="1" applyAlignment="1" applyProtection="1">
      <alignment horizontal="left" vertical="top" wrapText="1" readingOrder="1"/>
      <protection locked="0"/>
    </xf>
    <xf numFmtId="43" fontId="45" fillId="21" borderId="7" xfId="53" applyFont="1" applyFill="1" applyBorder="1" applyAlignment="1" applyProtection="1">
      <alignment horizontal="left" vertical="top" wrapText="1" readingOrder="1"/>
      <protection locked="0"/>
    </xf>
    <xf numFmtId="43" fontId="48" fillId="0" borderId="7" xfId="53" applyFont="1" applyFill="1" applyBorder="1" applyAlignment="1" applyProtection="1">
      <alignment horizontal="left" vertical="top" wrapText="1" readingOrder="1"/>
      <protection locked="0"/>
    </xf>
    <xf numFmtId="43" fontId="48" fillId="22" borderId="7" xfId="53" applyFont="1" applyFill="1" applyBorder="1"/>
    <xf numFmtId="43" fontId="39" fillId="17" borderId="7" xfId="53" applyFont="1" applyFill="1" applyBorder="1"/>
    <xf numFmtId="174" fontId="42" fillId="0" borderId="68" xfId="0" applyNumberFormat="1" applyFont="1" applyBorder="1" applyAlignment="1" applyProtection="1">
      <alignment vertical="top" wrapText="1" readingOrder="1"/>
      <protection locked="0"/>
    </xf>
    <xf numFmtId="43" fontId="45" fillId="0" borderId="7" xfId="53" applyFont="1" applyBorder="1"/>
    <xf numFmtId="43" fontId="45" fillId="22" borderId="7" xfId="53" applyFont="1" applyFill="1" applyBorder="1"/>
    <xf numFmtId="43" fontId="45" fillId="17" borderId="7" xfId="53" applyFont="1" applyFill="1" applyBorder="1"/>
    <xf numFmtId="43" fontId="45" fillId="23" borderId="7" xfId="53" applyFont="1" applyFill="1" applyBorder="1"/>
    <xf numFmtId="43" fontId="49" fillId="22" borderId="7" xfId="53" applyFont="1" applyFill="1" applyBorder="1"/>
    <xf numFmtId="0" fontId="45" fillId="0" borderId="0" xfId="0" applyFont="1"/>
    <xf numFmtId="165" fontId="48" fillId="0" borderId="0" xfId="0" applyNumberFormat="1" applyFont="1"/>
    <xf numFmtId="0" fontId="45" fillId="19" borderId="0" xfId="0" applyFont="1" applyFill="1" applyAlignment="1" applyProtection="1">
      <alignment horizontal="left" vertical="top" wrapText="1" readingOrder="1"/>
      <protection locked="0"/>
    </xf>
    <xf numFmtId="165" fontId="45" fillId="0" borderId="0" xfId="0" applyNumberFormat="1" applyFont="1"/>
    <xf numFmtId="165" fontId="48" fillId="0" borderId="7" xfId="0" applyNumberFormat="1" applyFont="1" applyBorder="1"/>
    <xf numFmtId="17" fontId="45" fillId="0" borderId="7" xfId="0" applyNumberFormat="1" applyFont="1" applyBorder="1" applyAlignment="1">
      <alignment horizontal="center" vertical="center"/>
    </xf>
    <xf numFmtId="43" fontId="40" fillId="0" borderId="7" xfId="132" applyFont="1" applyBorder="1"/>
    <xf numFmtId="43" fontId="40" fillId="22" borderId="7" xfId="53" applyFont="1" applyFill="1" applyBorder="1"/>
    <xf numFmtId="43" fontId="39" fillId="22" borderId="7" xfId="53" applyFont="1" applyFill="1" applyBorder="1"/>
    <xf numFmtId="43" fontId="39" fillId="0" borderId="7" xfId="132" applyFont="1" applyBorder="1"/>
    <xf numFmtId="43" fontId="42" fillId="0" borderId="7" xfId="53" applyFont="1" applyBorder="1" applyAlignment="1" applyProtection="1">
      <alignment horizontal="right" vertical="center"/>
      <protection locked="0"/>
    </xf>
    <xf numFmtId="43" fontId="39" fillId="0" borderId="7" xfId="53" applyFont="1" applyBorder="1" applyAlignment="1" applyProtection="1">
      <alignment horizontal="right" vertical="center"/>
      <protection locked="0"/>
    </xf>
    <xf numFmtId="43" fontId="39" fillId="0" borderId="7" xfId="132" applyFont="1" applyBorder="1" applyProtection="1"/>
    <xf numFmtId="43" fontId="39" fillId="0" borderId="7" xfId="132" applyFont="1" applyBorder="1" applyAlignment="1">
      <alignment wrapText="1"/>
    </xf>
    <xf numFmtId="43" fontId="42" fillId="9" borderId="7" xfId="53" applyFont="1" applyFill="1" applyBorder="1" applyAlignment="1" applyProtection="1">
      <alignment vertical="top" wrapText="1" readingOrder="1"/>
      <protection locked="0"/>
    </xf>
    <xf numFmtId="43" fontId="42" fillId="0" borderId="7" xfId="53" applyFont="1" applyBorder="1" applyAlignment="1" applyProtection="1">
      <alignment vertical="top" readingOrder="1"/>
      <protection locked="0"/>
    </xf>
    <xf numFmtId="43" fontId="41" fillId="0" borderId="7" xfId="132" applyFont="1" applyBorder="1" applyAlignment="1" applyProtection="1">
      <alignment vertical="center"/>
    </xf>
    <xf numFmtId="43" fontId="39" fillId="17" borderId="7" xfId="132" applyFont="1" applyFill="1" applyBorder="1"/>
    <xf numFmtId="43" fontId="39" fillId="17" borderId="7" xfId="53" applyFont="1" applyFill="1" applyBorder="1" applyAlignment="1" applyProtection="1">
      <protection locked="0"/>
    </xf>
    <xf numFmtId="43" fontId="42" fillId="0" borderId="68" xfId="53" applyFont="1" applyBorder="1" applyAlignment="1" applyProtection="1">
      <alignment vertical="top" wrapText="1" readingOrder="1"/>
      <protection locked="0"/>
    </xf>
    <xf numFmtId="43" fontId="39" fillId="17" borderId="7" xfId="132" applyFont="1" applyFill="1" applyBorder="1" applyProtection="1"/>
    <xf numFmtId="43" fontId="40" fillId="17" borderId="7" xfId="132" applyFont="1" applyFill="1" applyBorder="1"/>
    <xf numFmtId="43" fontId="40" fillId="17" borderId="7" xfId="132" applyFont="1" applyFill="1" applyBorder="1" applyProtection="1"/>
    <xf numFmtId="43" fontId="45" fillId="0" borderId="0" xfId="0" applyNumberFormat="1" applyFont="1"/>
    <xf numFmtId="165" fontId="45" fillId="0" borderId="0" xfId="53" applyNumberFormat="1" applyFont="1" applyBorder="1"/>
    <xf numFmtId="165" fontId="48" fillId="0" borderId="0" xfId="53" applyNumberFormat="1" applyFont="1" applyBorder="1"/>
    <xf numFmtId="0" fontId="45" fillId="0" borderId="0" xfId="0" applyFont="1" applyAlignment="1">
      <alignment horizontal="right"/>
    </xf>
    <xf numFmtId="167" fontId="42" fillId="9" borderId="68" xfId="0" applyNumberFormat="1" applyFont="1" applyFill="1" applyBorder="1" applyAlignment="1" applyProtection="1">
      <alignment vertical="top" wrapText="1" readingOrder="1"/>
      <protection locked="0"/>
    </xf>
    <xf numFmtId="43" fontId="48" fillId="0" borderId="0" xfId="0" applyNumberFormat="1" applyFont="1"/>
    <xf numFmtId="43" fontId="45" fillId="24" borderId="7" xfId="53" applyFont="1" applyFill="1" applyBorder="1" applyAlignment="1" applyProtection="1">
      <alignment horizontal="left" vertical="top" wrapText="1" readingOrder="1"/>
      <protection locked="0"/>
    </xf>
    <xf numFmtId="167" fontId="21" fillId="0" borderId="68" xfId="517" applyNumberFormat="1" applyFont="1" applyBorder="1" applyAlignment="1" applyProtection="1">
      <alignment vertical="top" wrapText="1" readingOrder="1"/>
      <protection locked="0"/>
    </xf>
    <xf numFmtId="174" fontId="21" fillId="0" borderId="68" xfId="517" applyNumberFormat="1" applyFont="1" applyBorder="1" applyAlignment="1" applyProtection="1">
      <alignment vertical="top" wrapText="1" readingOrder="1"/>
      <protection locked="0"/>
    </xf>
    <xf numFmtId="167" fontId="22" fillId="0" borderId="68" xfId="517" applyNumberFormat="1" applyFont="1" applyBorder="1" applyAlignment="1" applyProtection="1">
      <alignment vertical="top" wrapText="1" readingOrder="1"/>
      <protection locked="0"/>
    </xf>
    <xf numFmtId="167" fontId="22" fillId="9" borderId="68" xfId="517" applyNumberFormat="1" applyFont="1" applyFill="1" applyBorder="1" applyAlignment="1" applyProtection="1">
      <alignment vertical="top" wrapText="1" readingOrder="1"/>
      <protection locked="0"/>
    </xf>
    <xf numFmtId="17" fontId="45" fillId="25" borderId="7" xfId="0" applyNumberFormat="1" applyFont="1" applyFill="1" applyBorder="1" applyAlignment="1">
      <alignment horizontal="center" vertical="center"/>
    </xf>
    <xf numFmtId="0" fontId="48" fillId="25" borderId="0" xfId="0" applyFont="1" applyFill="1"/>
    <xf numFmtId="43" fontId="40" fillId="22" borderId="16" xfId="53" applyFont="1" applyFill="1" applyBorder="1"/>
    <xf numFmtId="43" fontId="45" fillId="18" borderId="16" xfId="53" applyFont="1" applyFill="1" applyBorder="1" applyAlignment="1" applyProtection="1">
      <alignment horizontal="left" vertical="top" wrapText="1" readingOrder="1"/>
      <protection locked="0"/>
    </xf>
    <xf numFmtId="43" fontId="45" fillId="24" borderId="16" xfId="53" applyFont="1" applyFill="1" applyBorder="1" applyAlignment="1" applyProtection="1">
      <alignment horizontal="left" vertical="top" wrapText="1" readingOrder="1"/>
      <protection locked="0"/>
    </xf>
    <xf numFmtId="17" fontId="45" fillId="0" borderId="0" xfId="0" applyNumberFormat="1" applyFont="1"/>
    <xf numFmtId="0" fontId="48" fillId="0" borderId="75" xfId="0" applyFont="1" applyBorder="1"/>
    <xf numFmtId="0" fontId="48" fillId="17" borderId="75" xfId="0" applyFont="1" applyFill="1" applyBorder="1"/>
    <xf numFmtId="43" fontId="45" fillId="18" borderId="75" xfId="53" applyFont="1" applyFill="1" applyBorder="1" applyAlignment="1" applyProtection="1">
      <alignment horizontal="left" vertical="top" wrapText="1" readingOrder="1"/>
      <protection locked="0"/>
    </xf>
    <xf numFmtId="167" fontId="21" fillId="0" borderId="76" xfId="517" applyNumberFormat="1" applyFont="1" applyBorder="1" applyAlignment="1" applyProtection="1">
      <alignment vertical="top" wrapText="1" readingOrder="1"/>
      <protection locked="0"/>
    </xf>
    <xf numFmtId="43" fontId="48" fillId="22" borderId="75" xfId="53" applyFont="1" applyFill="1" applyBorder="1"/>
    <xf numFmtId="43" fontId="45" fillId="22" borderId="75" xfId="53" applyFont="1" applyFill="1" applyBorder="1"/>
    <xf numFmtId="43" fontId="45" fillId="23" borderId="75" xfId="53" applyFont="1" applyFill="1" applyBorder="1"/>
    <xf numFmtId="43" fontId="48" fillId="22" borderId="16" xfId="53" applyFont="1" applyFill="1" applyBorder="1"/>
    <xf numFmtId="174" fontId="21" fillId="0" borderId="76" xfId="517" applyNumberFormat="1" applyFont="1" applyBorder="1" applyAlignment="1" applyProtection="1">
      <alignment vertical="top" wrapText="1" readingOrder="1"/>
      <protection locked="0"/>
    </xf>
    <xf numFmtId="43" fontId="45" fillId="22" borderId="16" xfId="53" applyFont="1" applyFill="1" applyBorder="1"/>
    <xf numFmtId="43" fontId="45" fillId="23" borderId="16" xfId="53" applyFont="1" applyFill="1" applyBorder="1"/>
    <xf numFmtId="43" fontId="40" fillId="22" borderId="75" xfId="53" applyFont="1" applyFill="1" applyBorder="1"/>
    <xf numFmtId="43" fontId="39" fillId="22" borderId="75" xfId="53" applyFont="1" applyFill="1" applyBorder="1"/>
    <xf numFmtId="43" fontId="45" fillId="24" borderId="75" xfId="53" applyFont="1" applyFill="1" applyBorder="1" applyAlignment="1" applyProtection="1">
      <alignment horizontal="left" vertical="top" wrapText="1" readingOrder="1"/>
      <protection locked="0"/>
    </xf>
    <xf numFmtId="43" fontId="39" fillId="22" borderId="16" xfId="53" applyFont="1" applyFill="1" applyBorder="1"/>
    <xf numFmtId="167" fontId="22" fillId="0" borderId="76" xfId="517" applyNumberFormat="1" applyFont="1" applyBorder="1" applyAlignment="1" applyProtection="1">
      <alignment vertical="top" wrapText="1" readingOrder="1"/>
      <protection locked="0"/>
    </xf>
    <xf numFmtId="167" fontId="22" fillId="9" borderId="76" xfId="517" applyNumberFormat="1" applyFont="1" applyFill="1" applyBorder="1" applyAlignment="1" applyProtection="1">
      <alignment vertical="top" wrapText="1" readingOrder="1"/>
      <protection locked="0"/>
    </xf>
    <xf numFmtId="17" fontId="45" fillId="0" borderId="19" xfId="0" applyNumberFormat="1" applyFont="1" applyBorder="1" applyAlignment="1">
      <alignment horizontal="center" vertical="center"/>
    </xf>
    <xf numFmtId="4" fontId="48" fillId="0" borderId="75" xfId="0" applyNumberFormat="1" applyFont="1" applyBorder="1"/>
    <xf numFmtId="4" fontId="50" fillId="0" borderId="77" xfId="0" applyNumberFormat="1" applyFont="1" applyBorder="1" applyAlignment="1">
      <alignment wrapText="1" readingOrder="1"/>
    </xf>
    <xf numFmtId="4" fontId="50" fillId="0" borderId="78" xfId="0" applyNumberFormat="1" applyFont="1" applyBorder="1" applyAlignment="1">
      <alignment wrapText="1" readingOrder="1"/>
    </xf>
    <xf numFmtId="0" fontId="50" fillId="0" borderId="80" xfId="0" applyFont="1" applyBorder="1" applyAlignment="1">
      <alignment wrapText="1" readingOrder="1"/>
    </xf>
    <xf numFmtId="4" fontId="50" fillId="0" borderId="80" xfId="0" applyNumberFormat="1" applyFont="1" applyBorder="1" applyAlignment="1">
      <alignment wrapText="1" readingOrder="1"/>
    </xf>
    <xf numFmtId="0" fontId="50" fillId="0" borderId="81" xfId="0" applyFont="1" applyBorder="1" applyAlignment="1">
      <alignment wrapText="1" readingOrder="1"/>
    </xf>
    <xf numFmtId="4" fontId="50" fillId="0" borderId="81" xfId="0" applyNumberFormat="1" applyFont="1" applyBorder="1" applyAlignment="1">
      <alignment wrapText="1" readingOrder="1"/>
    </xf>
    <xf numFmtId="4" fontId="50" fillId="0" borderId="79" xfId="0" applyNumberFormat="1" applyFont="1" applyBorder="1" applyAlignment="1">
      <alignment readingOrder="1"/>
    </xf>
    <xf numFmtId="4" fontId="48" fillId="17" borderId="75" xfId="0" applyNumberFormat="1" applyFont="1" applyFill="1" applyBorder="1"/>
    <xf numFmtId="4" fontId="50" fillId="0" borderId="79" xfId="0" applyNumberFormat="1" applyFont="1" applyBorder="1" applyAlignment="1">
      <alignment wrapText="1" readingOrder="1"/>
    </xf>
    <xf numFmtId="0" fontId="50" fillId="0" borderId="79" xfId="0" applyFont="1" applyBorder="1" applyAlignment="1">
      <alignment wrapText="1" readingOrder="1"/>
    </xf>
    <xf numFmtId="164" fontId="48" fillId="0" borderId="0" xfId="0" applyNumberFormat="1" applyFont="1"/>
    <xf numFmtId="43" fontId="48" fillId="0" borderId="0" xfId="53" applyFont="1"/>
    <xf numFmtId="43" fontId="45" fillId="0" borderId="16" xfId="53" applyFont="1" applyBorder="1"/>
    <xf numFmtId="43" fontId="48" fillId="0" borderId="75" xfId="53" applyFont="1" applyBorder="1"/>
    <xf numFmtId="43" fontId="48" fillId="17" borderId="75" xfId="53" applyFont="1" applyFill="1" applyBorder="1"/>
    <xf numFmtId="43" fontId="48" fillId="17" borderId="0" xfId="53" applyFont="1" applyFill="1"/>
    <xf numFmtId="43" fontId="45" fillId="0" borderId="19" xfId="53" applyFont="1" applyBorder="1" applyAlignment="1">
      <alignment horizontal="center" vertical="center"/>
    </xf>
    <xf numFmtId="164" fontId="48" fillId="25" borderId="0" xfId="0" applyNumberFormat="1" applyFont="1" applyFill="1"/>
    <xf numFmtId="167" fontId="22" fillId="0" borderId="68" xfId="0" applyNumberFormat="1" applyFont="1" applyBorder="1" applyAlignment="1" applyProtection="1">
      <alignment vertical="top" wrapText="1" readingOrder="1"/>
      <protection locked="0"/>
    </xf>
    <xf numFmtId="167" fontId="22" fillId="9" borderId="68" xfId="0" applyNumberFormat="1" applyFont="1" applyFill="1" applyBorder="1" applyAlignment="1" applyProtection="1">
      <alignment vertical="top" wrapText="1" readingOrder="1"/>
      <protection locked="0"/>
    </xf>
    <xf numFmtId="0" fontId="48" fillId="0" borderId="82" xfId="0" applyFont="1" applyBorder="1"/>
    <xf numFmtId="167" fontId="21" fillId="0" borderId="68" xfId="0" applyNumberFormat="1" applyFont="1" applyBorder="1" applyAlignment="1" applyProtection="1">
      <alignment vertical="top" wrapText="1" readingOrder="1"/>
      <protection locked="0"/>
    </xf>
    <xf numFmtId="174" fontId="21" fillId="0" borderId="68" xfId="0" applyNumberFormat="1" applyFont="1" applyBorder="1" applyAlignment="1" applyProtection="1">
      <alignment vertical="top" wrapText="1" readingOrder="1"/>
      <protection locked="0"/>
    </xf>
    <xf numFmtId="167" fontId="21" fillId="0" borderId="76" xfId="0" applyNumberFormat="1" applyFont="1" applyBorder="1" applyAlignment="1" applyProtection="1">
      <alignment vertical="top" wrapText="1" readingOrder="1"/>
      <protection locked="0"/>
    </xf>
    <xf numFmtId="167" fontId="21" fillId="0" borderId="85" xfId="0" applyNumberFormat="1" applyFont="1" applyBorder="1" applyAlignment="1" applyProtection="1">
      <alignment vertical="top" wrapText="1" readingOrder="1"/>
      <protection locked="0"/>
    </xf>
    <xf numFmtId="167" fontId="21" fillId="0" borderId="84" xfId="0" applyNumberFormat="1" applyFont="1" applyBorder="1" applyAlignment="1" applyProtection="1">
      <alignment vertical="top" wrapText="1" readingOrder="1"/>
      <protection locked="0"/>
    </xf>
    <xf numFmtId="167" fontId="21" fillId="0" borderId="83" xfId="0" applyNumberFormat="1" applyFont="1" applyBorder="1" applyAlignment="1" applyProtection="1">
      <alignment vertical="top" wrapText="1" readingOrder="1"/>
      <protection locked="0"/>
    </xf>
    <xf numFmtId="174" fontId="21" fillId="0" borderId="76" xfId="0" applyNumberFormat="1" applyFont="1" applyBorder="1" applyAlignment="1" applyProtection="1">
      <alignment vertical="top" wrapText="1" readingOrder="1"/>
      <protection locked="0"/>
    </xf>
    <xf numFmtId="174" fontId="21" fillId="0" borderId="83" xfId="0" applyNumberFormat="1" applyFont="1" applyBorder="1" applyAlignment="1" applyProtection="1">
      <alignment vertical="top" wrapText="1" readingOrder="1"/>
      <protection locked="0"/>
    </xf>
    <xf numFmtId="17" fontId="31" fillId="0" borderId="0" xfId="0" applyNumberFormat="1" applyFont="1"/>
    <xf numFmtId="4" fontId="50" fillId="0" borderId="0" xfId="0" applyNumberFormat="1" applyFont="1" applyAlignment="1">
      <alignment readingOrder="1"/>
    </xf>
    <xf numFmtId="4" fontId="48" fillId="17" borderId="0" xfId="0" applyNumberFormat="1" applyFont="1" applyFill="1"/>
    <xf numFmtId="4" fontId="48" fillId="0" borderId="0" xfId="0" applyNumberFormat="1" applyFont="1"/>
    <xf numFmtId="4" fontId="50" fillId="0" borderId="0" xfId="0" applyNumberFormat="1" applyFont="1" applyAlignment="1">
      <alignment wrapText="1" readingOrder="1"/>
    </xf>
    <xf numFmtId="0" fontId="50" fillId="0" borderId="0" xfId="0" applyFont="1" applyAlignment="1">
      <alignment wrapText="1" readingOrder="1"/>
    </xf>
    <xf numFmtId="17" fontId="15" fillId="0" borderId="60" xfId="53" applyNumberFormat="1" applyFont="1" applyBorder="1" applyAlignment="1">
      <alignment horizontal="center"/>
    </xf>
    <xf numFmtId="0" fontId="15" fillId="0" borderId="69" xfId="53" applyNumberFormat="1" applyFont="1" applyBorder="1" applyAlignment="1">
      <alignment horizontal="center"/>
    </xf>
    <xf numFmtId="0" fontId="15" fillId="0" borderId="70" xfId="53" applyNumberFormat="1" applyFont="1" applyBorder="1" applyAlignment="1">
      <alignment horizontal="center"/>
    </xf>
    <xf numFmtId="165" fontId="15" fillId="0" borderId="60" xfId="53" applyNumberFormat="1" applyFont="1" applyBorder="1" applyAlignment="1">
      <alignment horizontal="center"/>
    </xf>
    <xf numFmtId="165" fontId="15" fillId="0" borderId="69" xfId="53" applyNumberFormat="1" applyFont="1" applyBorder="1" applyAlignment="1">
      <alignment horizontal="center"/>
    </xf>
    <xf numFmtId="165" fontId="15" fillId="0" borderId="70" xfId="53" applyNumberFormat="1" applyFont="1" applyBorder="1" applyAlignment="1">
      <alignment horizontal="center"/>
    </xf>
    <xf numFmtId="0" fontId="51" fillId="0" borderId="77" xfId="0" applyFont="1" applyFill="1" applyBorder="1" applyAlignment="1">
      <alignment wrapText="1" readingOrder="1"/>
    </xf>
    <xf numFmtId="4" fontId="51" fillId="0" borderId="77" xfId="0" applyNumberFormat="1" applyFont="1" applyFill="1" applyBorder="1" applyAlignment="1">
      <alignment wrapText="1" readingOrder="1"/>
    </xf>
    <xf numFmtId="0" fontId="51" fillId="0" borderId="78" xfId="0" applyFont="1" applyFill="1" applyBorder="1" applyAlignment="1">
      <alignment wrapText="1" readingOrder="1"/>
    </xf>
    <xf numFmtId="4" fontId="51" fillId="0" borderId="78" xfId="0" applyNumberFormat="1" applyFont="1" applyFill="1" applyBorder="1" applyAlignment="1">
      <alignment wrapText="1" readingOrder="1"/>
    </xf>
    <xf numFmtId="0" fontId="51" fillId="0" borderId="80" xfId="0" applyFont="1" applyFill="1" applyBorder="1" applyAlignment="1">
      <alignment wrapText="1" readingOrder="1"/>
    </xf>
    <xf numFmtId="4" fontId="51" fillId="0" borderId="80" xfId="0" applyNumberFormat="1" applyFont="1" applyFill="1" applyBorder="1" applyAlignment="1">
      <alignment wrapText="1" readingOrder="1"/>
    </xf>
    <xf numFmtId="0" fontId="51" fillId="0" borderId="81" xfId="0" applyFont="1" applyFill="1" applyBorder="1" applyAlignment="1">
      <alignment wrapText="1" readingOrder="1"/>
    </xf>
    <xf numFmtId="4" fontId="51" fillId="0" borderId="81" xfId="0" applyNumberFormat="1" applyFont="1" applyFill="1" applyBorder="1" applyAlignment="1">
      <alignment wrapText="1" readingOrder="1"/>
    </xf>
  </cellXfs>
  <cellStyles count="68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2" xfId="70" xr:uid="{00000000-0005-0000-0000-000045000000}"/>
    <cellStyle name="Comma 10 2 2" xfId="71" xr:uid="{00000000-0005-0000-0000-000046000000}"/>
    <cellStyle name="Comma 10 3" xfId="72" xr:uid="{00000000-0005-0000-0000-000047000000}"/>
    <cellStyle name="Comma 10 3 2" xfId="73" xr:uid="{00000000-0005-0000-0000-000048000000}"/>
    <cellStyle name="Comma 10 4" xfId="74" xr:uid="{00000000-0005-0000-0000-000049000000}"/>
    <cellStyle name="Comma 10 4 2" xfId="75" xr:uid="{00000000-0005-0000-0000-00004A000000}"/>
    <cellStyle name="Comma 10 5" xfId="76" xr:uid="{00000000-0005-0000-0000-00004B000000}"/>
    <cellStyle name="Comma 10 5 2" xfId="77" xr:uid="{00000000-0005-0000-0000-00004C000000}"/>
    <cellStyle name="Comma 10 6" xfId="78" xr:uid="{00000000-0005-0000-0000-00004D000000}"/>
    <cellStyle name="Comma 10 6 2" xfId="79" xr:uid="{00000000-0005-0000-0000-00004E000000}"/>
    <cellStyle name="Comma 10 7" xfId="80" xr:uid="{00000000-0005-0000-0000-00004F000000}"/>
    <cellStyle name="Comma 10 7 2" xfId="81" xr:uid="{00000000-0005-0000-0000-000050000000}"/>
    <cellStyle name="Comma 10 8" xfId="82" xr:uid="{00000000-0005-0000-0000-000051000000}"/>
    <cellStyle name="Comma 10 8 2" xfId="83" xr:uid="{00000000-0005-0000-0000-000052000000}"/>
    <cellStyle name="Comma 10 9" xfId="84" xr:uid="{00000000-0005-0000-0000-000053000000}"/>
    <cellStyle name="Comma 10 9 2" xfId="85" xr:uid="{00000000-0005-0000-0000-000054000000}"/>
    <cellStyle name="Comma 11" xfId="86" xr:uid="{00000000-0005-0000-0000-000055000000}"/>
    <cellStyle name="Comma 11 10" xfId="87" xr:uid="{00000000-0005-0000-0000-000056000000}"/>
    <cellStyle name="Comma 11 10 2" xfId="88" xr:uid="{00000000-0005-0000-0000-000057000000}"/>
    <cellStyle name="Comma 11 11" xfId="89" xr:uid="{00000000-0005-0000-0000-000058000000}"/>
    <cellStyle name="Comma 11 11 2" xfId="90" xr:uid="{00000000-0005-0000-0000-000059000000}"/>
    <cellStyle name="Comma 11 12" xfId="91" xr:uid="{00000000-0005-0000-0000-00005A000000}"/>
    <cellStyle name="Comma 11 12 2" xfId="92" xr:uid="{00000000-0005-0000-0000-00005B000000}"/>
    <cellStyle name="Comma 11 13" xfId="93" xr:uid="{00000000-0005-0000-0000-00005C000000}"/>
    <cellStyle name="Comma 11 13 2" xfId="94" xr:uid="{00000000-0005-0000-0000-00005D000000}"/>
    <cellStyle name="Comma 11 14" xfId="95" xr:uid="{00000000-0005-0000-0000-00005E000000}"/>
    <cellStyle name="Comma 11 14 2" xfId="96" xr:uid="{00000000-0005-0000-0000-00005F000000}"/>
    <cellStyle name="Comma 11 15" xfId="97" xr:uid="{00000000-0005-0000-0000-000060000000}"/>
    <cellStyle name="Comma 11 15 2" xfId="98" xr:uid="{00000000-0005-0000-0000-000061000000}"/>
    <cellStyle name="Comma 11 16" xfId="99" xr:uid="{00000000-0005-0000-0000-000062000000}"/>
    <cellStyle name="Comma 11 16 2" xfId="100" xr:uid="{00000000-0005-0000-0000-000063000000}"/>
    <cellStyle name="Comma 11 17" xfId="101" xr:uid="{00000000-0005-0000-0000-000064000000}"/>
    <cellStyle name="Comma 11 17 2" xfId="102" xr:uid="{00000000-0005-0000-0000-000065000000}"/>
    <cellStyle name="Comma 11 18" xfId="103" xr:uid="{00000000-0005-0000-0000-000066000000}"/>
    <cellStyle name="Comma 11 2" xfId="104" xr:uid="{00000000-0005-0000-0000-000067000000}"/>
    <cellStyle name="Comma 11 2 2" xfId="105" xr:uid="{00000000-0005-0000-0000-000068000000}"/>
    <cellStyle name="Comma 11 2 2 2" xfId="106" xr:uid="{00000000-0005-0000-0000-000069000000}"/>
    <cellStyle name="Comma 11 2 3" xfId="107" xr:uid="{00000000-0005-0000-0000-00006A000000}"/>
    <cellStyle name="Comma 11 3" xfId="108" xr:uid="{00000000-0005-0000-0000-00006B000000}"/>
    <cellStyle name="Comma 11 3 2" xfId="109" xr:uid="{00000000-0005-0000-0000-00006C000000}"/>
    <cellStyle name="Comma 11 4" xfId="110" xr:uid="{00000000-0005-0000-0000-00006D000000}"/>
    <cellStyle name="Comma 11 4 2" xfId="111" xr:uid="{00000000-0005-0000-0000-00006E000000}"/>
    <cellStyle name="Comma 11 5" xfId="112" xr:uid="{00000000-0005-0000-0000-00006F000000}"/>
    <cellStyle name="Comma 11 5 2" xfId="113" xr:uid="{00000000-0005-0000-0000-000070000000}"/>
    <cellStyle name="Comma 11 6" xfId="114" xr:uid="{00000000-0005-0000-0000-000071000000}"/>
    <cellStyle name="Comma 11 6 2" xfId="115" xr:uid="{00000000-0005-0000-0000-000072000000}"/>
    <cellStyle name="Comma 11 7" xfId="116" xr:uid="{00000000-0005-0000-0000-000073000000}"/>
    <cellStyle name="Comma 11 7 2" xfId="117" xr:uid="{00000000-0005-0000-0000-000074000000}"/>
    <cellStyle name="Comma 11 8" xfId="118" xr:uid="{00000000-0005-0000-0000-000075000000}"/>
    <cellStyle name="Comma 11 8 2" xfId="119" xr:uid="{00000000-0005-0000-0000-000076000000}"/>
    <cellStyle name="Comma 11 9" xfId="120" xr:uid="{00000000-0005-0000-0000-000077000000}"/>
    <cellStyle name="Comma 11 9 2" xfId="121" xr:uid="{00000000-0005-0000-0000-000078000000}"/>
    <cellStyle name="Comma 12" xfId="122" xr:uid="{00000000-0005-0000-0000-000079000000}"/>
    <cellStyle name="Comma 12 2" xfId="123" xr:uid="{00000000-0005-0000-0000-00007A000000}"/>
    <cellStyle name="Comma 13" xfId="124" xr:uid="{00000000-0005-0000-0000-00007B000000}"/>
    <cellStyle name="Comma 13 2" xfId="125" xr:uid="{00000000-0005-0000-0000-00007C000000}"/>
    <cellStyle name="Comma 14" xfId="126" xr:uid="{00000000-0005-0000-0000-00007D000000}"/>
    <cellStyle name="Comma 14 2" xfId="127" xr:uid="{00000000-0005-0000-0000-00007E000000}"/>
    <cellStyle name="Comma 15" xfId="128" xr:uid="{00000000-0005-0000-0000-00007F000000}"/>
    <cellStyle name="Comma 15 2" xfId="129" xr:uid="{00000000-0005-0000-0000-000080000000}"/>
    <cellStyle name="Comma 16" xfId="130" xr:uid="{00000000-0005-0000-0000-000081000000}"/>
    <cellStyle name="Comma 16 10" xfId="131" xr:uid="{00000000-0005-0000-0000-000082000000}"/>
    <cellStyle name="Comma 16 10 2" xfId="132" xr:uid="{00000000-0005-0000-0000-000083000000}"/>
    <cellStyle name="Comma 16 11" xfId="133" xr:uid="{00000000-0005-0000-0000-000084000000}"/>
    <cellStyle name="Comma 16 11 2" xfId="134" xr:uid="{00000000-0005-0000-0000-000085000000}"/>
    <cellStyle name="Comma 16 12" xfId="135" xr:uid="{00000000-0005-0000-0000-000086000000}"/>
    <cellStyle name="Comma 16 12 2" xfId="136" xr:uid="{00000000-0005-0000-0000-000087000000}"/>
    <cellStyle name="Comma 16 13" xfId="137" xr:uid="{00000000-0005-0000-0000-000088000000}"/>
    <cellStyle name="Comma 16 13 2" xfId="138" xr:uid="{00000000-0005-0000-0000-000089000000}"/>
    <cellStyle name="Comma 16 14" xfId="139" xr:uid="{00000000-0005-0000-0000-00008A000000}"/>
    <cellStyle name="Comma 16 14 2" xfId="140" xr:uid="{00000000-0005-0000-0000-00008B000000}"/>
    <cellStyle name="Comma 16 15" xfId="141" xr:uid="{00000000-0005-0000-0000-00008C000000}"/>
    <cellStyle name="Comma 16 15 2" xfId="142" xr:uid="{00000000-0005-0000-0000-00008D000000}"/>
    <cellStyle name="Comma 16 16" xfId="143" xr:uid="{00000000-0005-0000-0000-00008E000000}"/>
    <cellStyle name="Comma 16 16 2" xfId="144" xr:uid="{00000000-0005-0000-0000-00008F000000}"/>
    <cellStyle name="Comma 16 17" xfId="145" xr:uid="{00000000-0005-0000-0000-000090000000}"/>
    <cellStyle name="Comma 16 2" xfId="146" xr:uid="{00000000-0005-0000-0000-000091000000}"/>
    <cellStyle name="Comma 16 2 2" xfId="147" xr:uid="{00000000-0005-0000-0000-000092000000}"/>
    <cellStyle name="Comma 16 3" xfId="148" xr:uid="{00000000-0005-0000-0000-000093000000}"/>
    <cellStyle name="Comma 16 3 2" xfId="149" xr:uid="{00000000-0005-0000-0000-000094000000}"/>
    <cellStyle name="Comma 16 4" xfId="150" xr:uid="{00000000-0005-0000-0000-000095000000}"/>
    <cellStyle name="Comma 16 4 2" xfId="151" xr:uid="{00000000-0005-0000-0000-000096000000}"/>
    <cellStyle name="Comma 16 5" xfId="152" xr:uid="{00000000-0005-0000-0000-000097000000}"/>
    <cellStyle name="Comma 16 5 2" xfId="153" xr:uid="{00000000-0005-0000-0000-000098000000}"/>
    <cellStyle name="Comma 16 6" xfId="154" xr:uid="{00000000-0005-0000-0000-000099000000}"/>
    <cellStyle name="Comma 16 6 2" xfId="155" xr:uid="{00000000-0005-0000-0000-00009A000000}"/>
    <cellStyle name="Comma 16 7" xfId="156" xr:uid="{00000000-0005-0000-0000-00009B000000}"/>
    <cellStyle name="Comma 16 7 2" xfId="157" xr:uid="{00000000-0005-0000-0000-00009C000000}"/>
    <cellStyle name="Comma 16 8" xfId="158" xr:uid="{00000000-0005-0000-0000-00009D000000}"/>
    <cellStyle name="Comma 16 8 2" xfId="159" xr:uid="{00000000-0005-0000-0000-00009E000000}"/>
    <cellStyle name="Comma 16 9" xfId="160" xr:uid="{00000000-0005-0000-0000-00009F000000}"/>
    <cellStyle name="Comma 16 9 2" xfId="161" xr:uid="{00000000-0005-0000-0000-0000A0000000}"/>
    <cellStyle name="Comma 17" xfId="162" xr:uid="{00000000-0005-0000-0000-0000A1000000}"/>
    <cellStyle name="Comma 17 10" xfId="163" xr:uid="{00000000-0005-0000-0000-0000A2000000}"/>
    <cellStyle name="Comma 17 10 2" xfId="164" xr:uid="{00000000-0005-0000-0000-0000A3000000}"/>
    <cellStyle name="Comma 17 11" xfId="165" xr:uid="{00000000-0005-0000-0000-0000A4000000}"/>
    <cellStyle name="Comma 17 2" xfId="166" xr:uid="{00000000-0005-0000-0000-0000A5000000}"/>
    <cellStyle name="Comma 17 2 2" xfId="167" xr:uid="{00000000-0005-0000-0000-0000A6000000}"/>
    <cellStyle name="Comma 17 3" xfId="168" xr:uid="{00000000-0005-0000-0000-0000A7000000}"/>
    <cellStyle name="Comma 17 3 2" xfId="169" xr:uid="{00000000-0005-0000-0000-0000A8000000}"/>
    <cellStyle name="Comma 17 4" xfId="170" xr:uid="{00000000-0005-0000-0000-0000A9000000}"/>
    <cellStyle name="Comma 17 4 2" xfId="171" xr:uid="{00000000-0005-0000-0000-0000AA000000}"/>
    <cellStyle name="Comma 17 5" xfId="172" xr:uid="{00000000-0005-0000-0000-0000AB000000}"/>
    <cellStyle name="Comma 17 5 2" xfId="173" xr:uid="{00000000-0005-0000-0000-0000AC000000}"/>
    <cellStyle name="Comma 17 6" xfId="174" xr:uid="{00000000-0005-0000-0000-0000AD000000}"/>
    <cellStyle name="Comma 17 6 2" xfId="175" xr:uid="{00000000-0005-0000-0000-0000AE000000}"/>
    <cellStyle name="Comma 17 7" xfId="176" xr:uid="{00000000-0005-0000-0000-0000AF000000}"/>
    <cellStyle name="Comma 17 7 2" xfId="177" xr:uid="{00000000-0005-0000-0000-0000B0000000}"/>
    <cellStyle name="Comma 17 8" xfId="178" xr:uid="{00000000-0005-0000-0000-0000B1000000}"/>
    <cellStyle name="Comma 17 8 2" xfId="179" xr:uid="{00000000-0005-0000-0000-0000B2000000}"/>
    <cellStyle name="Comma 17 9" xfId="180" xr:uid="{00000000-0005-0000-0000-0000B3000000}"/>
    <cellStyle name="Comma 17 9 2" xfId="181" xr:uid="{00000000-0005-0000-0000-0000B4000000}"/>
    <cellStyle name="Comma 18" xfId="182" xr:uid="{00000000-0005-0000-0000-0000B5000000}"/>
    <cellStyle name="Comma 18 2" xfId="183" xr:uid="{00000000-0005-0000-0000-0000B6000000}"/>
    <cellStyle name="Comma 19" xfId="184" xr:uid="{00000000-0005-0000-0000-0000B7000000}"/>
    <cellStyle name="Comma 2" xfId="185" xr:uid="{00000000-0005-0000-0000-0000B8000000}"/>
    <cellStyle name="Comma 2 10" xfId="186" xr:uid="{00000000-0005-0000-0000-0000B9000000}"/>
    <cellStyle name="Comma 2 10 2" xfId="187" xr:uid="{00000000-0005-0000-0000-0000BA000000}"/>
    <cellStyle name="Comma 2 11" xfId="188" xr:uid="{00000000-0005-0000-0000-0000BB000000}"/>
    <cellStyle name="Comma 2 11 2" xfId="189" xr:uid="{00000000-0005-0000-0000-0000BC000000}"/>
    <cellStyle name="Comma 2 12" xfId="190" xr:uid="{00000000-0005-0000-0000-0000BD000000}"/>
    <cellStyle name="Comma 2 12 2" xfId="191" xr:uid="{00000000-0005-0000-0000-0000BE000000}"/>
    <cellStyle name="Comma 2 13" xfId="192" xr:uid="{00000000-0005-0000-0000-0000BF000000}"/>
    <cellStyle name="Comma 2 13 2" xfId="193" xr:uid="{00000000-0005-0000-0000-0000C0000000}"/>
    <cellStyle name="Comma 2 14" xfId="194" xr:uid="{00000000-0005-0000-0000-0000C1000000}"/>
    <cellStyle name="Comma 2 14 2" xfId="195" xr:uid="{00000000-0005-0000-0000-0000C2000000}"/>
    <cellStyle name="Comma 2 15" xfId="196" xr:uid="{00000000-0005-0000-0000-0000C3000000}"/>
    <cellStyle name="Comma 2 15 2" xfId="197" xr:uid="{00000000-0005-0000-0000-0000C4000000}"/>
    <cellStyle name="Comma 2 16" xfId="198" xr:uid="{00000000-0005-0000-0000-0000C5000000}"/>
    <cellStyle name="Comma 2 16 2" xfId="199" xr:uid="{00000000-0005-0000-0000-0000C6000000}"/>
    <cellStyle name="Comma 2 17" xfId="200" xr:uid="{00000000-0005-0000-0000-0000C7000000}"/>
    <cellStyle name="Comma 2 17 2" xfId="201" xr:uid="{00000000-0005-0000-0000-0000C8000000}"/>
    <cellStyle name="Comma 2 18" xfId="202" xr:uid="{00000000-0005-0000-0000-0000C9000000}"/>
    <cellStyle name="Comma 2 18 2" xfId="203" xr:uid="{00000000-0005-0000-0000-0000CA000000}"/>
    <cellStyle name="Comma 2 19" xfId="204" xr:uid="{00000000-0005-0000-0000-0000CB000000}"/>
    <cellStyle name="Comma 2 19 2" xfId="205" xr:uid="{00000000-0005-0000-0000-0000CC000000}"/>
    <cellStyle name="Comma 2 2" xfId="206" xr:uid="{00000000-0005-0000-0000-0000CD000000}"/>
    <cellStyle name="Comma 2 2 2" xfId="207" xr:uid="{00000000-0005-0000-0000-0000CE000000}"/>
    <cellStyle name="Comma 2 20" xfId="208" xr:uid="{00000000-0005-0000-0000-0000CF000000}"/>
    <cellStyle name="Comma 2 20 2" xfId="209" xr:uid="{00000000-0005-0000-0000-0000D0000000}"/>
    <cellStyle name="Comma 2 21" xfId="210" xr:uid="{00000000-0005-0000-0000-0000D1000000}"/>
    <cellStyle name="Comma 2 21 2" xfId="211" xr:uid="{00000000-0005-0000-0000-0000D2000000}"/>
    <cellStyle name="Comma 2 22" xfId="212" xr:uid="{00000000-0005-0000-0000-0000D3000000}"/>
    <cellStyle name="Comma 2 22 2" xfId="213" xr:uid="{00000000-0005-0000-0000-0000D4000000}"/>
    <cellStyle name="Comma 2 23" xfId="214" xr:uid="{00000000-0005-0000-0000-0000D5000000}"/>
    <cellStyle name="Comma 2 23 2" xfId="215" xr:uid="{00000000-0005-0000-0000-0000D6000000}"/>
    <cellStyle name="Comma 2 24" xfId="216" xr:uid="{00000000-0005-0000-0000-0000D7000000}"/>
    <cellStyle name="Comma 2 24 2" xfId="217" xr:uid="{00000000-0005-0000-0000-0000D8000000}"/>
    <cellStyle name="Comma 2 25" xfId="218" xr:uid="{00000000-0005-0000-0000-0000D9000000}"/>
    <cellStyle name="Comma 2 25 2" xfId="219" xr:uid="{00000000-0005-0000-0000-0000DA000000}"/>
    <cellStyle name="Comma 2 26" xfId="220" xr:uid="{00000000-0005-0000-0000-0000DB000000}"/>
    <cellStyle name="Comma 2 26 2" xfId="221" xr:uid="{00000000-0005-0000-0000-0000DC000000}"/>
    <cellStyle name="Comma 2 27" xfId="222" xr:uid="{00000000-0005-0000-0000-0000DD000000}"/>
    <cellStyle name="Comma 2 3" xfId="223" xr:uid="{00000000-0005-0000-0000-0000DE000000}"/>
    <cellStyle name="Comma 2 3 2" xfId="224" xr:uid="{00000000-0005-0000-0000-0000DF000000}"/>
    <cellStyle name="Comma 2 4" xfId="225" xr:uid="{00000000-0005-0000-0000-0000E0000000}"/>
    <cellStyle name="Comma 2 4 2" xfId="226" xr:uid="{00000000-0005-0000-0000-0000E1000000}"/>
    <cellStyle name="Comma 2 5" xfId="227" xr:uid="{00000000-0005-0000-0000-0000E2000000}"/>
    <cellStyle name="Comma 2 5 2" xfId="228" xr:uid="{00000000-0005-0000-0000-0000E3000000}"/>
    <cellStyle name="Comma 2 6" xfId="229" xr:uid="{00000000-0005-0000-0000-0000E4000000}"/>
    <cellStyle name="Comma 2 6 2" xfId="230" xr:uid="{00000000-0005-0000-0000-0000E5000000}"/>
    <cellStyle name="Comma 2 7" xfId="231" xr:uid="{00000000-0005-0000-0000-0000E6000000}"/>
    <cellStyle name="Comma 2 7 2" xfId="232" xr:uid="{00000000-0005-0000-0000-0000E7000000}"/>
    <cellStyle name="Comma 2 8" xfId="233" xr:uid="{00000000-0005-0000-0000-0000E8000000}"/>
    <cellStyle name="Comma 2 8 2" xfId="234" xr:uid="{00000000-0005-0000-0000-0000E9000000}"/>
    <cellStyle name="Comma 2 9" xfId="235" xr:uid="{00000000-0005-0000-0000-0000EA000000}"/>
    <cellStyle name="Comma 2 9 2" xfId="236" xr:uid="{00000000-0005-0000-0000-0000EB000000}"/>
    <cellStyle name="Comma 24" xfId="237" xr:uid="{00000000-0005-0000-0000-0000EC000000}"/>
    <cellStyle name="Comma 24 2" xfId="238" xr:uid="{00000000-0005-0000-0000-0000ED000000}"/>
    <cellStyle name="Comma 3" xfId="239" xr:uid="{00000000-0005-0000-0000-0000EE000000}"/>
    <cellStyle name="Comma 3 10" xfId="240" xr:uid="{00000000-0005-0000-0000-0000EF000000}"/>
    <cellStyle name="Comma 3 10 2" xfId="241" xr:uid="{00000000-0005-0000-0000-0000F0000000}"/>
    <cellStyle name="Comma 3 11" xfId="242" xr:uid="{00000000-0005-0000-0000-0000F1000000}"/>
    <cellStyle name="Comma 3 11 2" xfId="243" xr:uid="{00000000-0005-0000-0000-0000F2000000}"/>
    <cellStyle name="Comma 3 12" xfId="244" xr:uid="{00000000-0005-0000-0000-0000F3000000}"/>
    <cellStyle name="Comma 3 12 2" xfId="245" xr:uid="{00000000-0005-0000-0000-0000F4000000}"/>
    <cellStyle name="Comma 3 13" xfId="246" xr:uid="{00000000-0005-0000-0000-0000F5000000}"/>
    <cellStyle name="Comma 3 13 2" xfId="247" xr:uid="{00000000-0005-0000-0000-0000F6000000}"/>
    <cellStyle name="Comma 3 14" xfId="248" xr:uid="{00000000-0005-0000-0000-0000F7000000}"/>
    <cellStyle name="Comma 3 14 2" xfId="249" xr:uid="{00000000-0005-0000-0000-0000F8000000}"/>
    <cellStyle name="Comma 3 15" xfId="250" xr:uid="{00000000-0005-0000-0000-0000F9000000}"/>
    <cellStyle name="Comma 3 15 2" xfId="251" xr:uid="{00000000-0005-0000-0000-0000FA000000}"/>
    <cellStyle name="Comma 3 16" xfId="252" xr:uid="{00000000-0005-0000-0000-0000FB000000}"/>
    <cellStyle name="Comma 3 16 2" xfId="253" xr:uid="{00000000-0005-0000-0000-0000FC000000}"/>
    <cellStyle name="Comma 3 17" xfId="254" xr:uid="{00000000-0005-0000-0000-0000FD000000}"/>
    <cellStyle name="Comma 3 17 2" xfId="255" xr:uid="{00000000-0005-0000-0000-0000FE000000}"/>
    <cellStyle name="Comma 3 18" xfId="256" xr:uid="{00000000-0005-0000-0000-0000FF000000}"/>
    <cellStyle name="Comma 3 18 2" xfId="257" xr:uid="{00000000-0005-0000-0000-000000010000}"/>
    <cellStyle name="Comma 3 19" xfId="258" xr:uid="{00000000-0005-0000-0000-000001010000}"/>
    <cellStyle name="Comma 3 19 2" xfId="259" xr:uid="{00000000-0005-0000-0000-000002010000}"/>
    <cellStyle name="Comma 3 2" xfId="260" xr:uid="{00000000-0005-0000-0000-000003010000}"/>
    <cellStyle name="Comma 3 2 2" xfId="261" xr:uid="{00000000-0005-0000-0000-000004010000}"/>
    <cellStyle name="Comma 3 20" xfId="262" xr:uid="{00000000-0005-0000-0000-000005010000}"/>
    <cellStyle name="Comma 3 20 2" xfId="263" xr:uid="{00000000-0005-0000-0000-000006010000}"/>
    <cellStyle name="Comma 3 21" xfId="264" xr:uid="{00000000-0005-0000-0000-000007010000}"/>
    <cellStyle name="Comma 3 3" xfId="265" xr:uid="{00000000-0005-0000-0000-000008010000}"/>
    <cellStyle name="Comma 3 3 2" xfId="266" xr:uid="{00000000-0005-0000-0000-000009010000}"/>
    <cellStyle name="Comma 3 4" xfId="267" xr:uid="{00000000-0005-0000-0000-00000A010000}"/>
    <cellStyle name="Comma 3 4 2" xfId="268" xr:uid="{00000000-0005-0000-0000-00000B010000}"/>
    <cellStyle name="Comma 3 5" xfId="269" xr:uid="{00000000-0005-0000-0000-00000C010000}"/>
    <cellStyle name="Comma 3 5 2" xfId="270" xr:uid="{00000000-0005-0000-0000-00000D010000}"/>
    <cellStyle name="Comma 3 6" xfId="271" xr:uid="{00000000-0005-0000-0000-00000E010000}"/>
    <cellStyle name="Comma 3 6 2" xfId="272" xr:uid="{00000000-0005-0000-0000-00000F010000}"/>
    <cellStyle name="Comma 3 7" xfId="273" xr:uid="{00000000-0005-0000-0000-000010010000}"/>
    <cellStyle name="Comma 3 7 2" xfId="274" xr:uid="{00000000-0005-0000-0000-000011010000}"/>
    <cellStyle name="Comma 3 8" xfId="275" xr:uid="{00000000-0005-0000-0000-000012010000}"/>
    <cellStyle name="Comma 3 8 2" xfId="276" xr:uid="{00000000-0005-0000-0000-000013010000}"/>
    <cellStyle name="Comma 3 9" xfId="277" xr:uid="{00000000-0005-0000-0000-000014010000}"/>
    <cellStyle name="Comma 3 9 2" xfId="278" xr:uid="{00000000-0005-0000-0000-000015010000}"/>
    <cellStyle name="Comma 4" xfId="279" xr:uid="{00000000-0005-0000-0000-000016010000}"/>
    <cellStyle name="Comma 4 2" xfId="280" xr:uid="{00000000-0005-0000-0000-000017010000}"/>
    <cellStyle name="Comma 5" xfId="281" xr:uid="{00000000-0005-0000-0000-000018010000}"/>
    <cellStyle name="Comma 5 10" xfId="282" xr:uid="{00000000-0005-0000-0000-000019010000}"/>
    <cellStyle name="Comma 5 10 2" xfId="283" xr:uid="{00000000-0005-0000-0000-00001A010000}"/>
    <cellStyle name="Comma 5 11" xfId="284" xr:uid="{00000000-0005-0000-0000-00001B010000}"/>
    <cellStyle name="Comma 5 11 2" xfId="285" xr:uid="{00000000-0005-0000-0000-00001C010000}"/>
    <cellStyle name="Comma 5 12" xfId="286" xr:uid="{00000000-0005-0000-0000-00001D010000}"/>
    <cellStyle name="Comma 5 12 2" xfId="287" xr:uid="{00000000-0005-0000-0000-00001E010000}"/>
    <cellStyle name="Comma 5 13" xfId="288" xr:uid="{00000000-0005-0000-0000-00001F010000}"/>
    <cellStyle name="Comma 5 13 2" xfId="289" xr:uid="{00000000-0005-0000-0000-000020010000}"/>
    <cellStyle name="Comma 5 14" xfId="290" xr:uid="{00000000-0005-0000-0000-000021010000}"/>
    <cellStyle name="Comma 5 14 2" xfId="291" xr:uid="{00000000-0005-0000-0000-000022010000}"/>
    <cellStyle name="Comma 5 15" xfId="292" xr:uid="{00000000-0005-0000-0000-000023010000}"/>
    <cellStyle name="Comma 5 15 2" xfId="293" xr:uid="{00000000-0005-0000-0000-000024010000}"/>
    <cellStyle name="Comma 5 16" xfId="294" xr:uid="{00000000-0005-0000-0000-000025010000}"/>
    <cellStyle name="Comma 5 16 2" xfId="295" xr:uid="{00000000-0005-0000-0000-000026010000}"/>
    <cellStyle name="Comma 5 17" xfId="296" xr:uid="{00000000-0005-0000-0000-000027010000}"/>
    <cellStyle name="Comma 5 17 2" xfId="297" xr:uid="{00000000-0005-0000-0000-000028010000}"/>
    <cellStyle name="Comma 5 18" xfId="298" xr:uid="{00000000-0005-0000-0000-000029010000}"/>
    <cellStyle name="Comma 5 18 2" xfId="299" xr:uid="{00000000-0005-0000-0000-00002A010000}"/>
    <cellStyle name="Comma 5 19" xfId="300" xr:uid="{00000000-0005-0000-0000-00002B010000}"/>
    <cellStyle name="Comma 5 19 2" xfId="301" xr:uid="{00000000-0005-0000-0000-00002C010000}"/>
    <cellStyle name="Comma 5 2" xfId="302" xr:uid="{00000000-0005-0000-0000-00002D010000}"/>
    <cellStyle name="Comma 5 2 2" xfId="303" xr:uid="{00000000-0005-0000-0000-00002E010000}"/>
    <cellStyle name="Comma 5 20" xfId="304" xr:uid="{00000000-0005-0000-0000-00002F010000}"/>
    <cellStyle name="Comma 5 20 2" xfId="305" xr:uid="{00000000-0005-0000-0000-000030010000}"/>
    <cellStyle name="Comma 5 21" xfId="306" xr:uid="{00000000-0005-0000-0000-000031010000}"/>
    <cellStyle name="Comma 5 3" xfId="307" xr:uid="{00000000-0005-0000-0000-000032010000}"/>
    <cellStyle name="Comma 5 3 2" xfId="308" xr:uid="{00000000-0005-0000-0000-000033010000}"/>
    <cellStyle name="Comma 5 4" xfId="309" xr:uid="{00000000-0005-0000-0000-000034010000}"/>
    <cellStyle name="Comma 5 4 2" xfId="310" xr:uid="{00000000-0005-0000-0000-000035010000}"/>
    <cellStyle name="Comma 5 5" xfId="311" xr:uid="{00000000-0005-0000-0000-000036010000}"/>
    <cellStyle name="Comma 5 5 2" xfId="312" xr:uid="{00000000-0005-0000-0000-000037010000}"/>
    <cellStyle name="Comma 5 6" xfId="313" xr:uid="{00000000-0005-0000-0000-000038010000}"/>
    <cellStyle name="Comma 5 6 2" xfId="314" xr:uid="{00000000-0005-0000-0000-000039010000}"/>
    <cellStyle name="Comma 5 7" xfId="315" xr:uid="{00000000-0005-0000-0000-00003A010000}"/>
    <cellStyle name="Comma 5 7 2" xfId="316" xr:uid="{00000000-0005-0000-0000-00003B010000}"/>
    <cellStyle name="Comma 5 8" xfId="317" xr:uid="{00000000-0005-0000-0000-00003C010000}"/>
    <cellStyle name="Comma 5 8 2" xfId="318" xr:uid="{00000000-0005-0000-0000-00003D010000}"/>
    <cellStyle name="Comma 5 9" xfId="319" xr:uid="{00000000-0005-0000-0000-00003E010000}"/>
    <cellStyle name="Comma 5 9 2" xfId="320" xr:uid="{00000000-0005-0000-0000-00003F010000}"/>
    <cellStyle name="Comma 6" xfId="321" xr:uid="{00000000-0005-0000-0000-000040010000}"/>
    <cellStyle name="Comma 6 10" xfId="322" xr:uid="{00000000-0005-0000-0000-000041010000}"/>
    <cellStyle name="Comma 6 10 2" xfId="323" xr:uid="{00000000-0005-0000-0000-000042010000}"/>
    <cellStyle name="Comma 6 11" xfId="324" xr:uid="{00000000-0005-0000-0000-000043010000}"/>
    <cellStyle name="Comma 6 11 2" xfId="325" xr:uid="{00000000-0005-0000-0000-000044010000}"/>
    <cellStyle name="Comma 6 12" xfId="326" xr:uid="{00000000-0005-0000-0000-000045010000}"/>
    <cellStyle name="Comma 6 12 2" xfId="327" xr:uid="{00000000-0005-0000-0000-000046010000}"/>
    <cellStyle name="Comma 6 13" xfId="328" xr:uid="{00000000-0005-0000-0000-000047010000}"/>
    <cellStyle name="Comma 6 13 2" xfId="329" xr:uid="{00000000-0005-0000-0000-000048010000}"/>
    <cellStyle name="Comma 6 14" xfId="330" xr:uid="{00000000-0005-0000-0000-000049010000}"/>
    <cellStyle name="Comma 6 14 2" xfId="331" xr:uid="{00000000-0005-0000-0000-00004A010000}"/>
    <cellStyle name="Comma 6 15" xfId="332" xr:uid="{00000000-0005-0000-0000-00004B010000}"/>
    <cellStyle name="Comma 6 15 2" xfId="333" xr:uid="{00000000-0005-0000-0000-00004C010000}"/>
    <cellStyle name="Comma 6 16" xfId="334" xr:uid="{00000000-0005-0000-0000-00004D010000}"/>
    <cellStyle name="Comma 6 16 2" xfId="335" xr:uid="{00000000-0005-0000-0000-00004E010000}"/>
    <cellStyle name="Comma 6 17" xfId="336" xr:uid="{00000000-0005-0000-0000-00004F010000}"/>
    <cellStyle name="Comma 6 17 2" xfId="337" xr:uid="{00000000-0005-0000-0000-000050010000}"/>
    <cellStyle name="Comma 6 18" xfId="338" xr:uid="{00000000-0005-0000-0000-000051010000}"/>
    <cellStyle name="Comma 6 18 2" xfId="339" xr:uid="{00000000-0005-0000-0000-000052010000}"/>
    <cellStyle name="Comma 6 19" xfId="340" xr:uid="{00000000-0005-0000-0000-000053010000}"/>
    <cellStyle name="Comma 6 19 2" xfId="341" xr:uid="{00000000-0005-0000-0000-000054010000}"/>
    <cellStyle name="Comma 6 2" xfId="342" xr:uid="{00000000-0005-0000-0000-000055010000}"/>
    <cellStyle name="Comma 6 2 2" xfId="343" xr:uid="{00000000-0005-0000-0000-000056010000}"/>
    <cellStyle name="Comma 6 20" xfId="344" xr:uid="{00000000-0005-0000-0000-000057010000}"/>
    <cellStyle name="Comma 6 3" xfId="345" xr:uid="{00000000-0005-0000-0000-000058010000}"/>
    <cellStyle name="Comma 6 3 2" xfId="346" xr:uid="{00000000-0005-0000-0000-000059010000}"/>
    <cellStyle name="Comma 6 4" xfId="347" xr:uid="{00000000-0005-0000-0000-00005A010000}"/>
    <cellStyle name="Comma 6 4 2" xfId="348" xr:uid="{00000000-0005-0000-0000-00005B010000}"/>
    <cellStyle name="Comma 6 5" xfId="349" xr:uid="{00000000-0005-0000-0000-00005C010000}"/>
    <cellStyle name="Comma 6 5 2" xfId="350" xr:uid="{00000000-0005-0000-0000-00005D010000}"/>
    <cellStyle name="Comma 6 6" xfId="351" xr:uid="{00000000-0005-0000-0000-00005E010000}"/>
    <cellStyle name="Comma 6 6 2" xfId="352" xr:uid="{00000000-0005-0000-0000-00005F010000}"/>
    <cellStyle name="Comma 6 7" xfId="353" xr:uid="{00000000-0005-0000-0000-000060010000}"/>
    <cellStyle name="Comma 6 7 2" xfId="354" xr:uid="{00000000-0005-0000-0000-000061010000}"/>
    <cellStyle name="Comma 6 8" xfId="355" xr:uid="{00000000-0005-0000-0000-000062010000}"/>
    <cellStyle name="Comma 6 8 2" xfId="356" xr:uid="{00000000-0005-0000-0000-000063010000}"/>
    <cellStyle name="Comma 6 9" xfId="357" xr:uid="{00000000-0005-0000-0000-000064010000}"/>
    <cellStyle name="Comma 6 9 2" xfId="358" xr:uid="{00000000-0005-0000-0000-000065010000}"/>
    <cellStyle name="Comma 7" xfId="359" xr:uid="{00000000-0005-0000-0000-000066010000}"/>
    <cellStyle name="Comma 7 10" xfId="360" xr:uid="{00000000-0005-0000-0000-000067010000}"/>
    <cellStyle name="Comma 7 10 2" xfId="361" xr:uid="{00000000-0005-0000-0000-000068010000}"/>
    <cellStyle name="Comma 7 11" xfId="362" xr:uid="{00000000-0005-0000-0000-000069010000}"/>
    <cellStyle name="Comma 7 11 2" xfId="363" xr:uid="{00000000-0005-0000-0000-00006A010000}"/>
    <cellStyle name="Comma 7 12" xfId="364" xr:uid="{00000000-0005-0000-0000-00006B010000}"/>
    <cellStyle name="Comma 7 12 2" xfId="365" xr:uid="{00000000-0005-0000-0000-00006C010000}"/>
    <cellStyle name="Comma 7 13" xfId="366" xr:uid="{00000000-0005-0000-0000-00006D010000}"/>
    <cellStyle name="Comma 7 13 2" xfId="367" xr:uid="{00000000-0005-0000-0000-00006E010000}"/>
    <cellStyle name="Comma 7 14" xfId="368" xr:uid="{00000000-0005-0000-0000-00006F010000}"/>
    <cellStyle name="Comma 7 14 2" xfId="369" xr:uid="{00000000-0005-0000-0000-000070010000}"/>
    <cellStyle name="Comma 7 15" xfId="370" xr:uid="{00000000-0005-0000-0000-000071010000}"/>
    <cellStyle name="Comma 7 15 2" xfId="371" xr:uid="{00000000-0005-0000-0000-000072010000}"/>
    <cellStyle name="Comma 7 16" xfId="372" xr:uid="{00000000-0005-0000-0000-000073010000}"/>
    <cellStyle name="Comma 7 16 2" xfId="373" xr:uid="{00000000-0005-0000-0000-000074010000}"/>
    <cellStyle name="Comma 7 17" xfId="374" xr:uid="{00000000-0005-0000-0000-000075010000}"/>
    <cellStyle name="Comma 7 17 2" xfId="375" xr:uid="{00000000-0005-0000-0000-000076010000}"/>
    <cellStyle name="Comma 7 18" xfId="376" xr:uid="{00000000-0005-0000-0000-000077010000}"/>
    <cellStyle name="Comma 7 18 2" xfId="377" xr:uid="{00000000-0005-0000-0000-000078010000}"/>
    <cellStyle name="Comma 7 19" xfId="378" xr:uid="{00000000-0005-0000-0000-000079010000}"/>
    <cellStyle name="Comma 7 19 2" xfId="379" xr:uid="{00000000-0005-0000-0000-00007A010000}"/>
    <cellStyle name="Comma 7 2" xfId="380" xr:uid="{00000000-0005-0000-0000-00007B010000}"/>
    <cellStyle name="Comma 7 2 2" xfId="381" xr:uid="{00000000-0005-0000-0000-00007C010000}"/>
    <cellStyle name="Comma 7 20" xfId="382" xr:uid="{00000000-0005-0000-0000-00007D010000}"/>
    <cellStyle name="Comma 7 3" xfId="383" xr:uid="{00000000-0005-0000-0000-00007E010000}"/>
    <cellStyle name="Comma 7 3 2" xfId="384" xr:uid="{00000000-0005-0000-0000-00007F010000}"/>
    <cellStyle name="Comma 7 4" xfId="385" xr:uid="{00000000-0005-0000-0000-000080010000}"/>
    <cellStyle name="Comma 7 4 2" xfId="386" xr:uid="{00000000-0005-0000-0000-000081010000}"/>
    <cellStyle name="Comma 7 5" xfId="387" xr:uid="{00000000-0005-0000-0000-000082010000}"/>
    <cellStyle name="Comma 7 5 2" xfId="388" xr:uid="{00000000-0005-0000-0000-000083010000}"/>
    <cellStyle name="Comma 7 6" xfId="389" xr:uid="{00000000-0005-0000-0000-000084010000}"/>
    <cellStyle name="Comma 7 6 2" xfId="390" xr:uid="{00000000-0005-0000-0000-000085010000}"/>
    <cellStyle name="Comma 7 7" xfId="391" xr:uid="{00000000-0005-0000-0000-000086010000}"/>
    <cellStyle name="Comma 7 7 2" xfId="392" xr:uid="{00000000-0005-0000-0000-000087010000}"/>
    <cellStyle name="Comma 7 8" xfId="393" xr:uid="{00000000-0005-0000-0000-000088010000}"/>
    <cellStyle name="Comma 7 8 2" xfId="394" xr:uid="{00000000-0005-0000-0000-000089010000}"/>
    <cellStyle name="Comma 7 9" xfId="395" xr:uid="{00000000-0005-0000-0000-00008A010000}"/>
    <cellStyle name="Comma 7 9 2" xfId="396" xr:uid="{00000000-0005-0000-0000-00008B010000}"/>
    <cellStyle name="Comma 8" xfId="397" xr:uid="{00000000-0005-0000-0000-00008C010000}"/>
    <cellStyle name="Comma 8 10" xfId="398" xr:uid="{00000000-0005-0000-0000-00008D010000}"/>
    <cellStyle name="Comma 8 10 2" xfId="399" xr:uid="{00000000-0005-0000-0000-00008E010000}"/>
    <cellStyle name="Comma 8 11" xfId="400" xr:uid="{00000000-0005-0000-0000-00008F010000}"/>
    <cellStyle name="Comma 8 11 2" xfId="401" xr:uid="{00000000-0005-0000-0000-000090010000}"/>
    <cellStyle name="Comma 8 12" xfId="402" xr:uid="{00000000-0005-0000-0000-000091010000}"/>
    <cellStyle name="Comma 8 12 2" xfId="403" xr:uid="{00000000-0005-0000-0000-000092010000}"/>
    <cellStyle name="Comma 8 13" xfId="404" xr:uid="{00000000-0005-0000-0000-000093010000}"/>
    <cellStyle name="Comma 8 13 2" xfId="405" xr:uid="{00000000-0005-0000-0000-000094010000}"/>
    <cellStyle name="Comma 8 14" xfId="406" xr:uid="{00000000-0005-0000-0000-000095010000}"/>
    <cellStyle name="Comma 8 14 2" xfId="407" xr:uid="{00000000-0005-0000-0000-000096010000}"/>
    <cellStyle name="Comma 8 15" xfId="408" xr:uid="{00000000-0005-0000-0000-000097010000}"/>
    <cellStyle name="Comma 8 15 2" xfId="409" xr:uid="{00000000-0005-0000-0000-000098010000}"/>
    <cellStyle name="Comma 8 16" xfId="410" xr:uid="{00000000-0005-0000-0000-000099010000}"/>
    <cellStyle name="Comma 8 16 2" xfId="411" xr:uid="{00000000-0005-0000-0000-00009A010000}"/>
    <cellStyle name="Comma 8 17" xfId="412" xr:uid="{00000000-0005-0000-0000-00009B010000}"/>
    <cellStyle name="Comma 8 17 2" xfId="413" xr:uid="{00000000-0005-0000-0000-00009C010000}"/>
    <cellStyle name="Comma 8 18" xfId="414" xr:uid="{00000000-0005-0000-0000-00009D010000}"/>
    <cellStyle name="Comma 8 18 2" xfId="415" xr:uid="{00000000-0005-0000-0000-00009E010000}"/>
    <cellStyle name="Comma 8 19" xfId="416" xr:uid="{00000000-0005-0000-0000-00009F010000}"/>
    <cellStyle name="Comma 8 19 2" xfId="417" xr:uid="{00000000-0005-0000-0000-0000A0010000}"/>
    <cellStyle name="Comma 8 2" xfId="418" xr:uid="{00000000-0005-0000-0000-0000A1010000}"/>
    <cellStyle name="Comma 8 2 2" xfId="419" xr:uid="{00000000-0005-0000-0000-0000A2010000}"/>
    <cellStyle name="Comma 8 20" xfId="420" xr:uid="{00000000-0005-0000-0000-0000A3010000}"/>
    <cellStyle name="Comma 8 3" xfId="421" xr:uid="{00000000-0005-0000-0000-0000A4010000}"/>
    <cellStyle name="Comma 8 3 2" xfId="422" xr:uid="{00000000-0005-0000-0000-0000A5010000}"/>
    <cellStyle name="Comma 8 4" xfId="423" xr:uid="{00000000-0005-0000-0000-0000A6010000}"/>
    <cellStyle name="Comma 8 4 2" xfId="424" xr:uid="{00000000-0005-0000-0000-0000A7010000}"/>
    <cellStyle name="Comma 8 5" xfId="425" xr:uid="{00000000-0005-0000-0000-0000A8010000}"/>
    <cellStyle name="Comma 8 5 2" xfId="426" xr:uid="{00000000-0005-0000-0000-0000A9010000}"/>
    <cellStyle name="Comma 8 6" xfId="427" xr:uid="{00000000-0005-0000-0000-0000AA010000}"/>
    <cellStyle name="Comma 8 6 2" xfId="428" xr:uid="{00000000-0005-0000-0000-0000AB010000}"/>
    <cellStyle name="Comma 8 7" xfId="429" xr:uid="{00000000-0005-0000-0000-0000AC010000}"/>
    <cellStyle name="Comma 8 7 2" xfId="430" xr:uid="{00000000-0005-0000-0000-0000AD010000}"/>
    <cellStyle name="Comma 8 8" xfId="431" xr:uid="{00000000-0005-0000-0000-0000AE010000}"/>
    <cellStyle name="Comma 8 8 2" xfId="432" xr:uid="{00000000-0005-0000-0000-0000AF010000}"/>
    <cellStyle name="Comma 8 9" xfId="433" xr:uid="{00000000-0005-0000-0000-0000B0010000}"/>
    <cellStyle name="Comma 8 9 2" xfId="434" xr:uid="{00000000-0005-0000-0000-0000B1010000}"/>
    <cellStyle name="Comma 9" xfId="435" xr:uid="{00000000-0005-0000-0000-0000B2010000}"/>
    <cellStyle name="Comma 9 10" xfId="436" xr:uid="{00000000-0005-0000-0000-0000B3010000}"/>
    <cellStyle name="Comma 9 10 2" xfId="437" xr:uid="{00000000-0005-0000-0000-0000B4010000}"/>
    <cellStyle name="Comma 9 11" xfId="438" xr:uid="{00000000-0005-0000-0000-0000B5010000}"/>
    <cellStyle name="Comma 9 11 2" xfId="439" xr:uid="{00000000-0005-0000-0000-0000B6010000}"/>
    <cellStyle name="Comma 9 12" xfId="440" xr:uid="{00000000-0005-0000-0000-0000B7010000}"/>
    <cellStyle name="Comma 9 12 2" xfId="441" xr:uid="{00000000-0005-0000-0000-0000B8010000}"/>
    <cellStyle name="Comma 9 13" xfId="442" xr:uid="{00000000-0005-0000-0000-0000B9010000}"/>
    <cellStyle name="Comma 9 13 2" xfId="443" xr:uid="{00000000-0005-0000-0000-0000BA010000}"/>
    <cellStyle name="Comma 9 14" xfId="444" xr:uid="{00000000-0005-0000-0000-0000BB010000}"/>
    <cellStyle name="Comma 9 14 2" xfId="445" xr:uid="{00000000-0005-0000-0000-0000BC010000}"/>
    <cellStyle name="Comma 9 15" xfId="446" xr:uid="{00000000-0005-0000-0000-0000BD010000}"/>
    <cellStyle name="Comma 9 15 2" xfId="447" xr:uid="{00000000-0005-0000-0000-0000BE010000}"/>
    <cellStyle name="Comma 9 16" xfId="448" xr:uid="{00000000-0005-0000-0000-0000BF010000}"/>
    <cellStyle name="Comma 9 16 2" xfId="449" xr:uid="{00000000-0005-0000-0000-0000C0010000}"/>
    <cellStyle name="Comma 9 17" xfId="450" xr:uid="{00000000-0005-0000-0000-0000C1010000}"/>
    <cellStyle name="Comma 9 17 2" xfId="451" xr:uid="{00000000-0005-0000-0000-0000C2010000}"/>
    <cellStyle name="Comma 9 18" xfId="452" xr:uid="{00000000-0005-0000-0000-0000C3010000}"/>
    <cellStyle name="Comma 9 18 2" xfId="453" xr:uid="{00000000-0005-0000-0000-0000C4010000}"/>
    <cellStyle name="Comma 9 19" xfId="454" xr:uid="{00000000-0005-0000-0000-0000C5010000}"/>
    <cellStyle name="Comma 9 19 2" xfId="455" xr:uid="{00000000-0005-0000-0000-0000C6010000}"/>
    <cellStyle name="Comma 9 2" xfId="456" xr:uid="{00000000-0005-0000-0000-0000C7010000}"/>
    <cellStyle name="Comma 9 2 2" xfId="457" xr:uid="{00000000-0005-0000-0000-0000C8010000}"/>
    <cellStyle name="Comma 9 20" xfId="458" xr:uid="{00000000-0005-0000-0000-0000C9010000}"/>
    <cellStyle name="Comma 9 3" xfId="459" xr:uid="{00000000-0005-0000-0000-0000CA010000}"/>
    <cellStyle name="Comma 9 3 2" xfId="460" xr:uid="{00000000-0005-0000-0000-0000CB010000}"/>
    <cellStyle name="Comma 9 4" xfId="461" xr:uid="{00000000-0005-0000-0000-0000CC010000}"/>
    <cellStyle name="Comma 9 4 2" xfId="462" xr:uid="{00000000-0005-0000-0000-0000CD010000}"/>
    <cellStyle name="Comma 9 5" xfId="463" xr:uid="{00000000-0005-0000-0000-0000CE010000}"/>
    <cellStyle name="Comma 9 5 2" xfId="464" xr:uid="{00000000-0005-0000-0000-0000CF010000}"/>
    <cellStyle name="Comma 9 6" xfId="465" xr:uid="{00000000-0005-0000-0000-0000D0010000}"/>
    <cellStyle name="Comma 9 6 2" xfId="466" xr:uid="{00000000-0005-0000-0000-0000D1010000}"/>
    <cellStyle name="Comma 9 7" xfId="467" xr:uid="{00000000-0005-0000-0000-0000D2010000}"/>
    <cellStyle name="Comma 9 7 2" xfId="468" xr:uid="{00000000-0005-0000-0000-0000D3010000}"/>
    <cellStyle name="Comma 9 8" xfId="469" xr:uid="{00000000-0005-0000-0000-0000D4010000}"/>
    <cellStyle name="Comma 9 8 2" xfId="470" xr:uid="{00000000-0005-0000-0000-0000D5010000}"/>
    <cellStyle name="Comma 9 9" xfId="471" xr:uid="{00000000-0005-0000-0000-0000D6010000}"/>
    <cellStyle name="Comma 9 9 2" xfId="472" xr:uid="{00000000-0005-0000-0000-0000D7010000}"/>
    <cellStyle name="Input 2" xfId="473" xr:uid="{00000000-0005-0000-0000-0000D8010000}"/>
    <cellStyle name="Input 2 2" xfId="474" xr:uid="{00000000-0005-0000-0000-0000D9010000}"/>
    <cellStyle name="Jun" xfId="475" xr:uid="{00000000-0005-0000-0000-0000DA010000}"/>
    <cellStyle name="Normal" xfId="0" builtinId="0"/>
    <cellStyle name="Normal 10" xfId="476" xr:uid="{00000000-0005-0000-0000-0000DC010000}"/>
    <cellStyle name="Normal 10 2" xfId="477" xr:uid="{00000000-0005-0000-0000-0000DD010000}"/>
    <cellStyle name="Normal 10 3" xfId="478" xr:uid="{00000000-0005-0000-0000-0000DE010000}"/>
    <cellStyle name="Normal 10 4" xfId="479" xr:uid="{00000000-0005-0000-0000-0000DF010000}"/>
    <cellStyle name="Normal 10 5" xfId="480" xr:uid="{00000000-0005-0000-0000-0000E0010000}"/>
    <cellStyle name="Normal 11" xfId="481" xr:uid="{00000000-0005-0000-0000-0000E1010000}"/>
    <cellStyle name="Normal 12" xfId="482" xr:uid="{00000000-0005-0000-0000-0000E2010000}"/>
    <cellStyle name="Normal 12 2" xfId="483" xr:uid="{00000000-0005-0000-0000-0000E3010000}"/>
    <cellStyle name="Normal 12 3" xfId="484" xr:uid="{00000000-0005-0000-0000-0000E4010000}"/>
    <cellStyle name="Normal 12 4" xfId="485" xr:uid="{00000000-0005-0000-0000-0000E5010000}"/>
    <cellStyle name="Normal 12 5" xfId="486" xr:uid="{00000000-0005-0000-0000-0000E6010000}"/>
    <cellStyle name="Normal 13" xfId="487" xr:uid="{00000000-0005-0000-0000-0000E7010000}"/>
    <cellStyle name="Normal 13 2" xfId="488" xr:uid="{00000000-0005-0000-0000-0000E8010000}"/>
    <cellStyle name="Normal 13 3" xfId="489" xr:uid="{00000000-0005-0000-0000-0000E9010000}"/>
    <cellStyle name="Normal 13 4" xfId="490" xr:uid="{00000000-0005-0000-0000-0000EA010000}"/>
    <cellStyle name="Normal 13 5" xfId="491" xr:uid="{00000000-0005-0000-0000-0000EB010000}"/>
    <cellStyle name="Normal 14" xfId="492" xr:uid="{00000000-0005-0000-0000-0000EC010000}"/>
    <cellStyle name="Normal 14 10" xfId="493" xr:uid="{00000000-0005-0000-0000-0000ED010000}"/>
    <cellStyle name="Normal 14 11" xfId="494" xr:uid="{00000000-0005-0000-0000-0000EE010000}"/>
    <cellStyle name="Normal 14 12" xfId="495" xr:uid="{00000000-0005-0000-0000-0000EF010000}"/>
    <cellStyle name="Normal 14 2" xfId="496" xr:uid="{00000000-0005-0000-0000-0000F0010000}"/>
    <cellStyle name="Normal 14 3" xfId="497" xr:uid="{00000000-0005-0000-0000-0000F1010000}"/>
    <cellStyle name="Normal 14 4" xfId="498" xr:uid="{00000000-0005-0000-0000-0000F2010000}"/>
    <cellStyle name="Normal 14 5" xfId="499" xr:uid="{00000000-0005-0000-0000-0000F3010000}"/>
    <cellStyle name="Normal 14 6" xfId="500" xr:uid="{00000000-0005-0000-0000-0000F4010000}"/>
    <cellStyle name="Normal 14 7" xfId="501" xr:uid="{00000000-0005-0000-0000-0000F5010000}"/>
    <cellStyle name="Normal 14 8" xfId="502" xr:uid="{00000000-0005-0000-0000-0000F6010000}"/>
    <cellStyle name="Normal 14 9" xfId="503" xr:uid="{00000000-0005-0000-0000-0000F7010000}"/>
    <cellStyle name="Normal 15" xfId="504" xr:uid="{00000000-0005-0000-0000-0000F8010000}"/>
    <cellStyle name="Normal 16" xfId="505" xr:uid="{00000000-0005-0000-0000-0000F9010000}"/>
    <cellStyle name="Normal 17" xfId="506" xr:uid="{00000000-0005-0000-0000-0000FA010000}"/>
    <cellStyle name="Normal 17 2" xfId="507" xr:uid="{00000000-0005-0000-0000-0000FB010000}"/>
    <cellStyle name="Normal 17 2 2" xfId="508" xr:uid="{00000000-0005-0000-0000-0000FC010000}"/>
    <cellStyle name="Normal 17 3" xfId="509" xr:uid="{00000000-0005-0000-0000-0000FD010000}"/>
    <cellStyle name="Normal 17 3 2" xfId="510" xr:uid="{00000000-0005-0000-0000-0000FE010000}"/>
    <cellStyle name="Normal 17 4" xfId="511" xr:uid="{00000000-0005-0000-0000-0000FF010000}"/>
    <cellStyle name="Normal 17 4 2" xfId="512" xr:uid="{00000000-0005-0000-0000-000000020000}"/>
    <cellStyle name="Normal 17 5" xfId="513" xr:uid="{00000000-0005-0000-0000-000001020000}"/>
    <cellStyle name="Normal 17 5 2" xfId="514" xr:uid="{00000000-0005-0000-0000-000002020000}"/>
    <cellStyle name="Normal 17 6" xfId="515" xr:uid="{00000000-0005-0000-0000-000003020000}"/>
    <cellStyle name="Normal 18" xfId="516" xr:uid="{00000000-0005-0000-0000-000004020000}"/>
    <cellStyle name="Normal 19" xfId="517" xr:uid="{00000000-0005-0000-0000-000005020000}"/>
    <cellStyle name="Normal 2" xfId="518" xr:uid="{00000000-0005-0000-0000-000006020000}"/>
    <cellStyle name="Normal 2 10" xfId="519" xr:uid="{00000000-0005-0000-0000-000007020000}"/>
    <cellStyle name="Normal 2 11" xfId="520" xr:uid="{00000000-0005-0000-0000-000008020000}"/>
    <cellStyle name="Normal 2 12" xfId="521" xr:uid="{00000000-0005-0000-0000-000009020000}"/>
    <cellStyle name="Normal 2 13" xfId="522" xr:uid="{00000000-0005-0000-0000-00000A020000}"/>
    <cellStyle name="Normal 2 14" xfId="523" xr:uid="{00000000-0005-0000-0000-00000B020000}"/>
    <cellStyle name="Normal 2 15" xfId="524" xr:uid="{00000000-0005-0000-0000-00000C020000}"/>
    <cellStyle name="Normal 2 16" xfId="525" xr:uid="{00000000-0005-0000-0000-00000D020000}"/>
    <cellStyle name="Normal 2 17" xfId="526" xr:uid="{00000000-0005-0000-0000-00000E020000}"/>
    <cellStyle name="Normal 2 18" xfId="527" xr:uid="{00000000-0005-0000-0000-00000F020000}"/>
    <cellStyle name="Normal 2 19" xfId="528" xr:uid="{00000000-0005-0000-0000-000010020000}"/>
    <cellStyle name="Normal 2 2" xfId="529" xr:uid="{00000000-0005-0000-0000-000011020000}"/>
    <cellStyle name="Normal 2 20" xfId="530" xr:uid="{00000000-0005-0000-0000-000012020000}"/>
    <cellStyle name="Normal 2 3" xfId="531" xr:uid="{00000000-0005-0000-0000-000013020000}"/>
    <cellStyle name="Normal 2 4" xfId="532" xr:uid="{00000000-0005-0000-0000-000014020000}"/>
    <cellStyle name="Normal 2 5" xfId="533" xr:uid="{00000000-0005-0000-0000-000015020000}"/>
    <cellStyle name="Normal 2 6" xfId="534" xr:uid="{00000000-0005-0000-0000-000016020000}"/>
    <cellStyle name="Normal 2 7" xfId="535" xr:uid="{00000000-0005-0000-0000-000017020000}"/>
    <cellStyle name="Normal 2 8" xfId="536" xr:uid="{00000000-0005-0000-0000-000018020000}"/>
    <cellStyle name="Normal 2 9" xfId="537" xr:uid="{00000000-0005-0000-0000-000019020000}"/>
    <cellStyle name="Normal 2_deposits mobilized" xfId="538" xr:uid="{00000000-0005-0000-0000-00001A020000}"/>
    <cellStyle name="Normal 21" xfId="539" xr:uid="{00000000-0005-0000-0000-00001B020000}"/>
    <cellStyle name="Normal 21 10" xfId="540" xr:uid="{00000000-0005-0000-0000-00001C020000}"/>
    <cellStyle name="Normal 21 11" xfId="541" xr:uid="{00000000-0005-0000-0000-00001D020000}"/>
    <cellStyle name="Normal 21 12" xfId="542" xr:uid="{00000000-0005-0000-0000-00001E020000}"/>
    <cellStyle name="Normal 21 13" xfId="543" xr:uid="{00000000-0005-0000-0000-00001F020000}"/>
    <cellStyle name="Normal 21 14" xfId="544" xr:uid="{00000000-0005-0000-0000-000020020000}"/>
    <cellStyle name="Normal 21 15" xfId="545" xr:uid="{00000000-0005-0000-0000-000021020000}"/>
    <cellStyle name="Normal 21 16" xfId="546" xr:uid="{00000000-0005-0000-0000-000022020000}"/>
    <cellStyle name="Normal 21 2" xfId="547" xr:uid="{00000000-0005-0000-0000-000023020000}"/>
    <cellStyle name="Normal 21 3" xfId="548" xr:uid="{00000000-0005-0000-0000-000024020000}"/>
    <cellStyle name="Normal 21 4" xfId="549" xr:uid="{00000000-0005-0000-0000-000025020000}"/>
    <cellStyle name="Normal 21 5" xfId="550" xr:uid="{00000000-0005-0000-0000-000026020000}"/>
    <cellStyle name="Normal 21 6" xfId="551" xr:uid="{00000000-0005-0000-0000-000027020000}"/>
    <cellStyle name="Normal 21 7" xfId="552" xr:uid="{00000000-0005-0000-0000-000028020000}"/>
    <cellStyle name="Normal 21 8" xfId="553" xr:uid="{00000000-0005-0000-0000-000029020000}"/>
    <cellStyle name="Normal 21 9" xfId="554" xr:uid="{00000000-0005-0000-0000-00002A020000}"/>
    <cellStyle name="Normal 22" xfId="555" xr:uid="{00000000-0005-0000-0000-00002B020000}"/>
    <cellStyle name="Normal 26" xfId="556" xr:uid="{00000000-0005-0000-0000-00002C020000}"/>
    <cellStyle name="Normal 27" xfId="557" xr:uid="{00000000-0005-0000-0000-00002D020000}"/>
    <cellStyle name="Normal 3" xfId="558" xr:uid="{00000000-0005-0000-0000-00002E020000}"/>
    <cellStyle name="Normal 3 10" xfId="559" xr:uid="{00000000-0005-0000-0000-00002F020000}"/>
    <cellStyle name="Normal 3 11" xfId="560" xr:uid="{00000000-0005-0000-0000-000030020000}"/>
    <cellStyle name="Normal 3 12" xfId="561" xr:uid="{00000000-0005-0000-0000-000031020000}"/>
    <cellStyle name="Normal 3 13" xfId="562" xr:uid="{00000000-0005-0000-0000-000032020000}"/>
    <cellStyle name="Normal 3 14" xfId="563" xr:uid="{00000000-0005-0000-0000-000033020000}"/>
    <cellStyle name="Normal 3 15" xfId="564" xr:uid="{00000000-0005-0000-0000-000034020000}"/>
    <cellStyle name="Normal 3 16" xfId="565" xr:uid="{00000000-0005-0000-0000-000035020000}"/>
    <cellStyle name="Normal 3 17" xfId="566" xr:uid="{00000000-0005-0000-0000-000036020000}"/>
    <cellStyle name="Normal 3 18" xfId="567" xr:uid="{00000000-0005-0000-0000-000037020000}"/>
    <cellStyle name="Normal 3 19" xfId="568" xr:uid="{00000000-0005-0000-0000-000038020000}"/>
    <cellStyle name="Normal 3 2" xfId="569" xr:uid="{00000000-0005-0000-0000-000039020000}"/>
    <cellStyle name="Normal 3 20" xfId="570" xr:uid="{00000000-0005-0000-0000-00003A020000}"/>
    <cellStyle name="Normal 3 21" xfId="571" xr:uid="{00000000-0005-0000-0000-00003B020000}"/>
    <cellStyle name="Normal 3 22" xfId="572" xr:uid="{00000000-0005-0000-0000-00003C020000}"/>
    <cellStyle name="Normal 3 23" xfId="573" xr:uid="{00000000-0005-0000-0000-00003D020000}"/>
    <cellStyle name="Normal 3 24" xfId="574" xr:uid="{00000000-0005-0000-0000-00003E020000}"/>
    <cellStyle name="Normal 3 25" xfId="575" xr:uid="{00000000-0005-0000-0000-00003F020000}"/>
    <cellStyle name="Normal 3 26" xfId="576" xr:uid="{00000000-0005-0000-0000-000040020000}"/>
    <cellStyle name="Normal 3 27" xfId="577" xr:uid="{00000000-0005-0000-0000-000041020000}"/>
    <cellStyle name="Normal 3 28" xfId="578" xr:uid="{00000000-0005-0000-0000-000042020000}"/>
    <cellStyle name="Normal 3 29" xfId="579" xr:uid="{00000000-0005-0000-0000-000043020000}"/>
    <cellStyle name="Normal 3 3" xfId="580" xr:uid="{00000000-0005-0000-0000-000044020000}"/>
    <cellStyle name="Normal 3 30" xfId="581" xr:uid="{00000000-0005-0000-0000-000045020000}"/>
    <cellStyle name="Normal 3 4" xfId="582" xr:uid="{00000000-0005-0000-0000-000046020000}"/>
    <cellStyle name="Normal 3 5" xfId="583" xr:uid="{00000000-0005-0000-0000-000047020000}"/>
    <cellStyle name="Normal 3 6" xfId="584" xr:uid="{00000000-0005-0000-0000-000048020000}"/>
    <cellStyle name="Normal 3 7" xfId="585" xr:uid="{00000000-0005-0000-0000-000049020000}"/>
    <cellStyle name="Normal 3 8" xfId="586" xr:uid="{00000000-0005-0000-0000-00004A020000}"/>
    <cellStyle name="Normal 3 9" xfId="587" xr:uid="{00000000-0005-0000-0000-00004B020000}"/>
    <cellStyle name="Normal 3_deposits mobilized" xfId="588" xr:uid="{00000000-0005-0000-0000-00004C020000}"/>
    <cellStyle name="Normal 4" xfId="589" xr:uid="{00000000-0005-0000-0000-00004D020000}"/>
    <cellStyle name="Normal 4 10" xfId="590" xr:uid="{00000000-0005-0000-0000-00004E020000}"/>
    <cellStyle name="Normal 4 11" xfId="591" xr:uid="{00000000-0005-0000-0000-00004F020000}"/>
    <cellStyle name="Normal 4 12" xfId="592" xr:uid="{00000000-0005-0000-0000-000050020000}"/>
    <cellStyle name="Normal 4 13" xfId="593" xr:uid="{00000000-0005-0000-0000-000051020000}"/>
    <cellStyle name="Normal 4 14" xfId="594" xr:uid="{00000000-0005-0000-0000-000052020000}"/>
    <cellStyle name="Normal 4 15" xfId="595" xr:uid="{00000000-0005-0000-0000-000053020000}"/>
    <cellStyle name="Normal 4 16" xfId="596" xr:uid="{00000000-0005-0000-0000-000054020000}"/>
    <cellStyle name="Normal 4 17" xfId="597" xr:uid="{00000000-0005-0000-0000-000055020000}"/>
    <cellStyle name="Normal 4 18" xfId="598" xr:uid="{00000000-0005-0000-0000-000056020000}"/>
    <cellStyle name="Normal 4 19" xfId="599" xr:uid="{00000000-0005-0000-0000-000057020000}"/>
    <cellStyle name="Normal 4 2" xfId="600" xr:uid="{00000000-0005-0000-0000-000058020000}"/>
    <cellStyle name="Normal 4 20" xfId="601" xr:uid="{00000000-0005-0000-0000-000059020000}"/>
    <cellStyle name="Normal 4 21" xfId="602" xr:uid="{00000000-0005-0000-0000-00005A020000}"/>
    <cellStyle name="Normal 4 22" xfId="603" xr:uid="{00000000-0005-0000-0000-00005B020000}"/>
    <cellStyle name="Normal 4 23" xfId="604" xr:uid="{00000000-0005-0000-0000-00005C020000}"/>
    <cellStyle name="Normal 4 24" xfId="605" xr:uid="{00000000-0005-0000-0000-00005D020000}"/>
    <cellStyle name="Normal 4 25" xfId="606" xr:uid="{00000000-0005-0000-0000-00005E020000}"/>
    <cellStyle name="Normal 4 26" xfId="607" xr:uid="{00000000-0005-0000-0000-00005F020000}"/>
    <cellStyle name="Normal 4 27" xfId="608" xr:uid="{00000000-0005-0000-0000-000060020000}"/>
    <cellStyle name="Normal 4 28" xfId="609" xr:uid="{00000000-0005-0000-0000-000061020000}"/>
    <cellStyle name="Normal 4 29" xfId="610" xr:uid="{00000000-0005-0000-0000-000062020000}"/>
    <cellStyle name="Normal 4 3" xfId="611" xr:uid="{00000000-0005-0000-0000-000063020000}"/>
    <cellStyle name="Normal 4 30" xfId="612" xr:uid="{00000000-0005-0000-0000-000064020000}"/>
    <cellStyle name="Normal 4 4" xfId="613" xr:uid="{00000000-0005-0000-0000-000065020000}"/>
    <cellStyle name="Normal 4 5" xfId="614" xr:uid="{00000000-0005-0000-0000-000066020000}"/>
    <cellStyle name="Normal 4 6" xfId="615" xr:uid="{00000000-0005-0000-0000-000067020000}"/>
    <cellStyle name="Normal 4 7" xfId="616" xr:uid="{00000000-0005-0000-0000-000068020000}"/>
    <cellStyle name="Normal 4 8" xfId="617" xr:uid="{00000000-0005-0000-0000-000069020000}"/>
    <cellStyle name="Normal 4 9" xfId="618" xr:uid="{00000000-0005-0000-0000-00006A020000}"/>
    <cellStyle name="Normal 5" xfId="619" xr:uid="{00000000-0005-0000-0000-00006B020000}"/>
    <cellStyle name="Normal 5 10" xfId="620" xr:uid="{00000000-0005-0000-0000-00006C020000}"/>
    <cellStyle name="Normal 5 11" xfId="621" xr:uid="{00000000-0005-0000-0000-00006D020000}"/>
    <cellStyle name="Normal 5 12" xfId="622" xr:uid="{00000000-0005-0000-0000-00006E020000}"/>
    <cellStyle name="Normal 5 13" xfId="623" xr:uid="{00000000-0005-0000-0000-00006F020000}"/>
    <cellStyle name="Normal 5 14" xfId="624" xr:uid="{00000000-0005-0000-0000-000070020000}"/>
    <cellStyle name="Normal 5 15" xfId="625" xr:uid="{00000000-0005-0000-0000-000071020000}"/>
    <cellStyle name="Normal 5 2" xfId="626" xr:uid="{00000000-0005-0000-0000-000072020000}"/>
    <cellStyle name="Normal 5 3" xfId="627" xr:uid="{00000000-0005-0000-0000-000073020000}"/>
    <cellStyle name="Normal 5 4" xfId="628" xr:uid="{00000000-0005-0000-0000-000074020000}"/>
    <cellStyle name="Normal 5 5" xfId="629" xr:uid="{00000000-0005-0000-0000-000075020000}"/>
    <cellStyle name="Normal 5 6" xfId="630" xr:uid="{00000000-0005-0000-0000-000076020000}"/>
    <cellStyle name="Normal 5 7" xfId="631" xr:uid="{00000000-0005-0000-0000-000077020000}"/>
    <cellStyle name="Normal 5 8" xfId="632" xr:uid="{00000000-0005-0000-0000-000078020000}"/>
    <cellStyle name="Normal 5 9" xfId="633" xr:uid="{00000000-0005-0000-0000-000079020000}"/>
    <cellStyle name="Normal 6" xfId="634" xr:uid="{00000000-0005-0000-0000-00007A020000}"/>
    <cellStyle name="Normal 6 2" xfId="635" xr:uid="{00000000-0005-0000-0000-00007B020000}"/>
    <cellStyle name="Normal 6 3" xfId="636" xr:uid="{00000000-0005-0000-0000-00007C020000}"/>
    <cellStyle name="Normal 6 4" xfId="637" xr:uid="{00000000-0005-0000-0000-00007D020000}"/>
    <cellStyle name="Normal 6 5" xfId="638" xr:uid="{00000000-0005-0000-0000-00007E020000}"/>
    <cellStyle name="Normal 7" xfId="639" xr:uid="{00000000-0005-0000-0000-00007F020000}"/>
    <cellStyle name="Normal 7 2" xfId="640" xr:uid="{00000000-0005-0000-0000-000080020000}"/>
    <cellStyle name="Normal 7 3" xfId="641" xr:uid="{00000000-0005-0000-0000-000081020000}"/>
    <cellStyle name="Normal 7 4" xfId="642" xr:uid="{00000000-0005-0000-0000-000082020000}"/>
    <cellStyle name="Normal 8" xfId="643" xr:uid="{00000000-0005-0000-0000-000083020000}"/>
    <cellStyle name="Normal 9" xfId="644" xr:uid="{00000000-0005-0000-0000-000084020000}"/>
    <cellStyle name="Normal 9 10" xfId="645" xr:uid="{00000000-0005-0000-0000-000085020000}"/>
    <cellStyle name="Normal 9 10 2" xfId="646" xr:uid="{00000000-0005-0000-0000-000086020000}"/>
    <cellStyle name="Normal 9 11" xfId="647" xr:uid="{00000000-0005-0000-0000-000087020000}"/>
    <cellStyle name="Normal 9 11 2" xfId="648" xr:uid="{00000000-0005-0000-0000-000088020000}"/>
    <cellStyle name="Normal 9 12" xfId="649" xr:uid="{00000000-0005-0000-0000-000089020000}"/>
    <cellStyle name="Normal 9 12 2" xfId="650" xr:uid="{00000000-0005-0000-0000-00008A020000}"/>
    <cellStyle name="Normal 9 13" xfId="651" xr:uid="{00000000-0005-0000-0000-00008B020000}"/>
    <cellStyle name="Normal 9 14" xfId="652" xr:uid="{00000000-0005-0000-0000-00008C020000}"/>
    <cellStyle name="Normal 9 15" xfId="653" xr:uid="{00000000-0005-0000-0000-00008D020000}"/>
    <cellStyle name="Normal 9 2" xfId="654" xr:uid="{00000000-0005-0000-0000-00008E020000}"/>
    <cellStyle name="Normal 9 2 2" xfId="655" xr:uid="{00000000-0005-0000-0000-00008F020000}"/>
    <cellStyle name="Normal 9 2 2 2" xfId="656" xr:uid="{00000000-0005-0000-0000-000090020000}"/>
    <cellStyle name="Normal 9 2 3" xfId="657" xr:uid="{00000000-0005-0000-0000-000091020000}"/>
    <cellStyle name="Normal 9 2 3 2" xfId="658" xr:uid="{00000000-0005-0000-0000-000092020000}"/>
    <cellStyle name="Normal 9 2 4" xfId="659" xr:uid="{00000000-0005-0000-0000-000093020000}"/>
    <cellStyle name="Normal 9 2 4 2" xfId="660" xr:uid="{00000000-0005-0000-0000-000094020000}"/>
    <cellStyle name="Normal 9 3" xfId="661" xr:uid="{00000000-0005-0000-0000-000095020000}"/>
    <cellStyle name="Normal 9 3 2" xfId="662" xr:uid="{00000000-0005-0000-0000-000096020000}"/>
    <cellStyle name="Normal 9 4" xfId="663" xr:uid="{00000000-0005-0000-0000-000097020000}"/>
    <cellStyle name="Normal 9 4 2" xfId="664" xr:uid="{00000000-0005-0000-0000-000098020000}"/>
    <cellStyle name="Normal 9 5" xfId="665" xr:uid="{00000000-0005-0000-0000-000099020000}"/>
    <cellStyle name="Normal 9 5 2" xfId="666" xr:uid="{00000000-0005-0000-0000-00009A020000}"/>
    <cellStyle name="Normal 9 6" xfId="667" xr:uid="{00000000-0005-0000-0000-00009B020000}"/>
    <cellStyle name="Normal 9 6 2" xfId="668" xr:uid="{00000000-0005-0000-0000-00009C020000}"/>
    <cellStyle name="Normal 9 7" xfId="669" xr:uid="{00000000-0005-0000-0000-00009D020000}"/>
    <cellStyle name="Normal 9 7 2" xfId="670" xr:uid="{00000000-0005-0000-0000-00009E020000}"/>
    <cellStyle name="Normal 9 8" xfId="671" xr:uid="{00000000-0005-0000-0000-00009F020000}"/>
    <cellStyle name="Normal 9 8 2" xfId="672" xr:uid="{00000000-0005-0000-0000-0000A0020000}"/>
    <cellStyle name="Normal 9 9" xfId="673" xr:uid="{00000000-0005-0000-0000-0000A1020000}"/>
    <cellStyle name="Normal 9 9 2" xfId="674" xr:uid="{00000000-0005-0000-0000-0000A2020000}"/>
    <cellStyle name="Note 2" xfId="675" xr:uid="{00000000-0005-0000-0000-0000A3020000}"/>
    <cellStyle name="Note 2 2" xfId="676" xr:uid="{00000000-0005-0000-0000-0000A4020000}"/>
    <cellStyle name="Per cent" xfId="677" builtinId="5"/>
    <cellStyle name="Percent 2" xfId="678" xr:uid="{00000000-0005-0000-0000-0000A6020000}"/>
    <cellStyle name="Percent 2 2" xfId="679" xr:uid="{00000000-0005-0000-0000-0000A7020000}"/>
    <cellStyle name="Percent 3" xfId="680" xr:uid="{00000000-0005-0000-0000-0000A8020000}"/>
    <cellStyle name="Percent 3 2" xfId="681" xr:uid="{00000000-0005-0000-0000-0000A9020000}"/>
    <cellStyle name="Percent 4" xfId="682" xr:uid="{00000000-0005-0000-0000-0000AA020000}"/>
    <cellStyle name="Percent 5" xfId="683" xr:uid="{00000000-0005-0000-0000-0000AB020000}"/>
    <cellStyle name="Total 2" xfId="684" xr:uid="{00000000-0005-0000-0000-0000AC020000}"/>
    <cellStyle name="Total 2 2" xfId="685" xr:uid="{00000000-0005-0000-0000-0000AD020000}"/>
    <cellStyle name="Total 2 2 2" xfId="686" xr:uid="{00000000-0005-0000-0000-0000AE020000}"/>
    <cellStyle name="Total 2 3" xfId="687" xr:uid="{00000000-0005-0000-0000-0000AF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132"/>
  <sheetViews>
    <sheetView showGridLines="0" tabSelected="1" zoomScale="94" zoomScaleNormal="90" zoomScaleSheetLayoutView="100" workbookViewId="0">
      <pane xSplit="2" ySplit="4" topLeftCell="AW14" activePane="bottomRight" state="frozen"/>
      <selection pane="bottomRight" activeCell="AS20" sqref="AS20:BC20"/>
      <selection pane="bottomLeft" activeCell="A7" sqref="A7"/>
      <selection pane="topRight" activeCell="C1" sqref="C1"/>
    </sheetView>
  </sheetViews>
  <sheetFormatPr defaultColWidth="9.140625" defaultRowHeight="15"/>
  <cols>
    <col min="1" max="1" width="8.28515625" style="150" customWidth="1"/>
    <col min="2" max="2" width="48.7109375" style="185" customWidth="1"/>
    <col min="3" max="6" width="19.85546875" style="185" bestFit="1" customWidth="1"/>
    <col min="7" max="8" width="17.5703125" style="153" hidden="1" customWidth="1"/>
    <col min="9" max="9" width="19.85546875" style="153" bestFit="1" customWidth="1"/>
    <col min="10" max="11" width="17.5703125" style="153" hidden="1" customWidth="1"/>
    <col min="12" max="12" width="19.85546875" style="153" bestFit="1" customWidth="1"/>
    <col min="13" max="14" width="17.7109375" style="153" hidden="1" customWidth="1"/>
    <col min="15" max="19" width="19.85546875" style="153" bestFit="1" customWidth="1"/>
    <col min="20" max="20" width="20.140625" style="153" customWidth="1"/>
    <col min="21" max="22" width="19.85546875" style="153" bestFit="1" customWidth="1"/>
    <col min="23" max="23" width="19.7109375" style="153" customWidth="1"/>
    <col min="24" max="25" width="19.42578125" style="153" bestFit="1" customWidth="1"/>
    <col min="26" max="27" width="19.85546875" style="153" bestFit="1" customWidth="1"/>
    <col min="28" max="28" width="18.140625" style="153" customWidth="1"/>
    <col min="29" max="29" width="18.85546875" style="153" customWidth="1"/>
    <col min="30" max="30" width="20.42578125" style="153" bestFit="1" customWidth="1"/>
    <col min="31" max="31" width="19" style="153" bestFit="1" customWidth="1"/>
    <col min="32" max="36" width="19" style="153" customWidth="1"/>
    <col min="37" max="44" width="19.85546875" style="153" bestFit="1" customWidth="1"/>
    <col min="45" max="45" width="19.85546875" style="255" bestFit="1" customWidth="1"/>
    <col min="46" max="46" width="10.28515625" style="153" bestFit="1" customWidth="1"/>
    <col min="47" max="47" width="14.28515625" style="153" bestFit="1" customWidth="1"/>
    <col min="48" max="48" width="9.140625" style="153"/>
    <col min="49" max="49" width="15.7109375" style="153" bestFit="1" customWidth="1"/>
    <col min="50" max="50" width="11.5703125" style="153" bestFit="1" customWidth="1"/>
    <col min="51" max="52" width="9.140625" style="153"/>
    <col min="53" max="53" width="15.7109375" style="153" bestFit="1" customWidth="1"/>
    <col min="54" max="16384" width="9.140625" style="153"/>
  </cols>
  <sheetData>
    <row r="1" spans="1:55">
      <c r="B1" s="151" t="s">
        <v>0</v>
      </c>
      <c r="C1" s="151"/>
      <c r="D1" s="151"/>
      <c r="E1" s="151"/>
      <c r="F1" s="151"/>
      <c r="G1" s="152"/>
      <c r="H1" s="152"/>
      <c r="I1" s="152"/>
      <c r="J1" s="152"/>
      <c r="K1" s="152"/>
      <c r="L1" s="152"/>
      <c r="M1" s="152"/>
      <c r="N1" s="152"/>
    </row>
    <row r="2" spans="1:55" s="157" customFormat="1" ht="15.75">
      <c r="A2" s="154"/>
      <c r="B2" s="155" t="s">
        <v>1</v>
      </c>
      <c r="C2" s="155" t="s">
        <v>2</v>
      </c>
      <c r="D2" s="155" t="s">
        <v>3</v>
      </c>
      <c r="E2" s="155" t="s">
        <v>4</v>
      </c>
      <c r="F2" s="155" t="s">
        <v>5</v>
      </c>
      <c r="G2" s="156">
        <v>43831</v>
      </c>
      <c r="H2" s="156">
        <v>43862</v>
      </c>
      <c r="I2" s="156">
        <v>43891</v>
      </c>
      <c r="J2" s="156">
        <v>43922</v>
      </c>
      <c r="K2" s="156">
        <v>43952</v>
      </c>
      <c r="L2" s="156">
        <v>43983</v>
      </c>
      <c r="M2" s="156">
        <v>44013</v>
      </c>
      <c r="N2" s="156">
        <v>44044</v>
      </c>
      <c r="O2" s="156">
        <v>44075</v>
      </c>
      <c r="P2" s="156">
        <v>44105</v>
      </c>
      <c r="Q2" s="156">
        <v>44136</v>
      </c>
      <c r="R2" s="156">
        <v>44166</v>
      </c>
      <c r="S2" s="156" t="s">
        <v>6</v>
      </c>
      <c r="T2" s="156">
        <v>44217</v>
      </c>
      <c r="U2" s="156">
        <v>44248</v>
      </c>
      <c r="V2" s="156">
        <v>44276</v>
      </c>
      <c r="W2" s="156">
        <v>44307</v>
      </c>
      <c r="X2" s="156">
        <v>44337</v>
      </c>
      <c r="Y2" s="156">
        <v>44368</v>
      </c>
      <c r="Z2" s="156">
        <v>44398</v>
      </c>
      <c r="AA2" s="156">
        <v>44429</v>
      </c>
      <c r="AB2" s="156">
        <v>44460</v>
      </c>
      <c r="AC2" s="156">
        <v>44490</v>
      </c>
      <c r="AD2" s="156">
        <v>44521</v>
      </c>
      <c r="AE2" s="156">
        <v>44551</v>
      </c>
      <c r="AF2" s="156" t="s">
        <v>7</v>
      </c>
      <c r="AG2" s="156">
        <v>44582</v>
      </c>
      <c r="AH2" s="156">
        <v>44613</v>
      </c>
      <c r="AI2" s="156">
        <v>44641</v>
      </c>
      <c r="AJ2" s="156">
        <v>44672</v>
      </c>
      <c r="AK2" s="156">
        <v>44702</v>
      </c>
      <c r="AL2" s="156">
        <v>44733</v>
      </c>
      <c r="AM2" s="156">
        <v>44763</v>
      </c>
      <c r="AN2" s="156">
        <v>44794</v>
      </c>
      <c r="AO2" s="156">
        <v>44825</v>
      </c>
      <c r="AP2" s="156">
        <v>44855</v>
      </c>
      <c r="AQ2" s="156">
        <v>44886</v>
      </c>
      <c r="AR2" s="156">
        <v>44916</v>
      </c>
      <c r="AS2" s="256" t="s">
        <v>8</v>
      </c>
      <c r="AT2" s="224">
        <v>44927</v>
      </c>
      <c r="AU2" s="224">
        <v>44958</v>
      </c>
      <c r="AV2" s="224">
        <v>44986</v>
      </c>
      <c r="AW2" s="224">
        <v>45017</v>
      </c>
      <c r="AX2" s="224">
        <v>45047</v>
      </c>
      <c r="AY2" s="224">
        <v>45078</v>
      </c>
      <c r="AZ2" s="224">
        <v>45108</v>
      </c>
      <c r="BA2" s="224">
        <v>45139</v>
      </c>
      <c r="BB2" s="224">
        <v>45170</v>
      </c>
      <c r="BC2" s="224">
        <v>45200</v>
      </c>
    </row>
    <row r="3" spans="1:55" ht="15.75">
      <c r="A3" s="158"/>
      <c r="B3" s="159" t="s">
        <v>9</v>
      </c>
      <c r="C3" s="160">
        <f>C4+C5</f>
        <v>27227584</v>
      </c>
      <c r="D3" s="160">
        <f t="shared" ref="D3:BC3" si="0">D4+D5</f>
        <v>20473615</v>
      </c>
      <c r="E3" s="160">
        <f t="shared" si="0"/>
        <v>29501244</v>
      </c>
      <c r="F3" s="160">
        <f t="shared" si="0"/>
        <v>52141499</v>
      </c>
      <c r="G3" s="160">
        <f t="shared" si="0"/>
        <v>28844167.66</v>
      </c>
      <c r="H3" s="160">
        <f t="shared" si="0"/>
        <v>28253971.68</v>
      </c>
      <c r="I3" s="160">
        <f t="shared" si="0"/>
        <v>41920668.090000004</v>
      </c>
      <c r="J3" s="160">
        <f t="shared" si="0"/>
        <v>37566334.920000002</v>
      </c>
      <c r="K3" s="160">
        <f t="shared" si="0"/>
        <v>35841129.75</v>
      </c>
      <c r="L3" s="160">
        <f t="shared" si="0"/>
        <v>34432927.879999995</v>
      </c>
      <c r="M3" s="160">
        <f t="shared" si="0"/>
        <v>32508509.169099998</v>
      </c>
      <c r="N3" s="160">
        <f t="shared" si="0"/>
        <v>29841406.809999999</v>
      </c>
      <c r="O3" s="160">
        <f t="shared" si="0"/>
        <v>31894418.23</v>
      </c>
      <c r="P3" s="160">
        <f t="shared" si="0"/>
        <v>26706977.359999999</v>
      </c>
      <c r="Q3" s="160">
        <f t="shared" si="0"/>
        <v>31004700.609999999</v>
      </c>
      <c r="R3" s="160">
        <f t="shared" si="0"/>
        <v>27687159.280000001</v>
      </c>
      <c r="S3" s="160">
        <f t="shared" si="0"/>
        <v>27606849</v>
      </c>
      <c r="T3" s="160">
        <f t="shared" si="0"/>
        <v>37145987.350000001</v>
      </c>
      <c r="U3" s="160">
        <f t="shared" si="0"/>
        <v>34260729.57</v>
      </c>
      <c r="V3" s="160">
        <f t="shared" si="0"/>
        <v>37416387.230000004</v>
      </c>
      <c r="W3" s="160">
        <f t="shared" si="0"/>
        <v>35284942.82</v>
      </c>
      <c r="X3" s="160">
        <f t="shared" si="0"/>
        <v>31890141.370000001</v>
      </c>
      <c r="Y3" s="160">
        <f t="shared" si="0"/>
        <v>30542558.120000001</v>
      </c>
      <c r="Z3" s="160">
        <f t="shared" si="0"/>
        <v>21771906.649999999</v>
      </c>
      <c r="AA3" s="160">
        <f t="shared" si="0"/>
        <v>20104880.710000001</v>
      </c>
      <c r="AB3" s="160">
        <f t="shared" si="0"/>
        <v>22411865.109999999</v>
      </c>
      <c r="AC3" s="160">
        <f t="shared" si="0"/>
        <v>25748102.09</v>
      </c>
      <c r="AD3" s="160">
        <f t="shared" si="0"/>
        <v>49472758.380000003</v>
      </c>
      <c r="AE3" s="160">
        <f t="shared" si="0"/>
        <v>26939956.510000002</v>
      </c>
      <c r="AF3" s="160">
        <f t="shared" si="0"/>
        <v>26846351</v>
      </c>
      <c r="AG3" s="160">
        <f t="shared" si="0"/>
        <v>33290032.899999999</v>
      </c>
      <c r="AH3" s="160">
        <f t="shared" si="0"/>
        <v>22017838.57</v>
      </c>
      <c r="AI3" s="160">
        <f t="shared" si="0"/>
        <v>31385825.530000001</v>
      </c>
      <c r="AJ3" s="160">
        <f t="shared" si="0"/>
        <v>18157183.149999999</v>
      </c>
      <c r="AK3" s="160">
        <f t="shared" si="0"/>
        <v>17174380.48</v>
      </c>
      <c r="AL3" s="160">
        <f t="shared" si="0"/>
        <v>25446229.440000001</v>
      </c>
      <c r="AM3" s="160">
        <f t="shared" si="0"/>
        <v>27602567.440000001</v>
      </c>
      <c r="AN3" s="160">
        <f t="shared" si="0"/>
        <v>23837543.309999999</v>
      </c>
      <c r="AO3" s="160">
        <f t="shared" si="0"/>
        <v>26381347.210000001</v>
      </c>
      <c r="AP3" s="160">
        <f t="shared" si="0"/>
        <v>28550602.25</v>
      </c>
      <c r="AQ3" s="160">
        <f t="shared" si="0"/>
        <v>31339952.120000001</v>
      </c>
      <c r="AR3" s="160">
        <f t="shared" si="0"/>
        <v>28628400.16</v>
      </c>
      <c r="AS3" s="160">
        <f t="shared" si="0"/>
        <v>28628400</v>
      </c>
      <c r="AT3" s="160">
        <f t="shared" si="0"/>
        <v>27901506.77</v>
      </c>
      <c r="AU3" s="160">
        <f t="shared" si="0"/>
        <v>25149969.620000001</v>
      </c>
      <c r="AV3" s="160">
        <f t="shared" si="0"/>
        <v>16990470.189999998</v>
      </c>
      <c r="AW3" s="160">
        <f t="shared" si="0"/>
        <v>21630243.940000001</v>
      </c>
      <c r="AX3" s="160">
        <f t="shared" si="0"/>
        <v>21647569.539999999</v>
      </c>
      <c r="AY3" s="160">
        <f t="shared" si="0"/>
        <v>27149828.059999999</v>
      </c>
      <c r="AZ3" s="160">
        <f t="shared" si="0"/>
        <v>52036291.899999999</v>
      </c>
      <c r="BA3" s="160">
        <f t="shared" si="0"/>
        <v>0</v>
      </c>
      <c r="BB3" s="160">
        <f t="shared" si="0"/>
        <v>0</v>
      </c>
      <c r="BC3" s="160">
        <f t="shared" si="0"/>
        <v>0</v>
      </c>
    </row>
    <row r="4" spans="1:55" ht="15.75">
      <c r="A4" s="158"/>
      <c r="B4" s="161" t="s">
        <v>10</v>
      </c>
      <c r="C4" s="162">
        <v>169124</v>
      </c>
      <c r="D4" s="162">
        <v>895020</v>
      </c>
      <c r="E4" s="162">
        <v>1271319</v>
      </c>
      <c r="F4" s="162">
        <v>3664875</v>
      </c>
      <c r="G4" s="163">
        <v>1795796</v>
      </c>
      <c r="H4" s="163">
        <v>2840851</v>
      </c>
      <c r="I4" s="163">
        <v>11998592</v>
      </c>
      <c r="J4" s="163">
        <v>2633772</v>
      </c>
      <c r="K4" s="164">
        <v>2443459</v>
      </c>
      <c r="L4" s="165">
        <v>1180714</v>
      </c>
      <c r="M4" s="166">
        <v>1859636</v>
      </c>
      <c r="N4" s="163">
        <v>1697909</v>
      </c>
      <c r="O4" s="163">
        <v>3188901</v>
      </c>
      <c r="P4" s="163">
        <v>1602048</v>
      </c>
      <c r="Q4" s="163">
        <v>279037</v>
      </c>
      <c r="R4" s="163">
        <v>648514</v>
      </c>
      <c r="S4" s="163">
        <v>631414</v>
      </c>
      <c r="T4" s="167">
        <v>1512742</v>
      </c>
      <c r="U4" s="167">
        <v>1735893</v>
      </c>
      <c r="V4" s="167">
        <v>4383087</v>
      </c>
      <c r="W4" s="167">
        <v>744029</v>
      </c>
      <c r="X4" s="215">
        <v>1864038</v>
      </c>
      <c r="Y4" s="215">
        <v>1410962</v>
      </c>
      <c r="Z4" s="215">
        <v>695173</v>
      </c>
      <c r="AA4" s="228">
        <v>577366</v>
      </c>
      <c r="AB4" s="244">
        <v>528792</v>
      </c>
      <c r="AC4" s="245">
        <v>733129</v>
      </c>
      <c r="AD4" s="245">
        <v>737157</v>
      </c>
      <c r="AE4" s="250">
        <v>1327867</v>
      </c>
      <c r="AF4" s="274">
        <v>1200917</v>
      </c>
      <c r="AG4" s="265">
        <v>1463496</v>
      </c>
      <c r="AH4" s="265">
        <v>397781</v>
      </c>
      <c r="AI4" s="265">
        <v>1935733</v>
      </c>
      <c r="AJ4" s="265">
        <v>1225532</v>
      </c>
      <c r="AK4" s="265">
        <v>292550</v>
      </c>
      <c r="AL4" s="265">
        <v>758099</v>
      </c>
      <c r="AM4" s="265">
        <v>1875881</v>
      </c>
      <c r="AN4" s="265">
        <v>2344131</v>
      </c>
      <c r="AO4" s="265">
        <v>2474530</v>
      </c>
      <c r="AP4" s="265">
        <v>2879290</v>
      </c>
      <c r="AQ4" s="265">
        <v>1345227</v>
      </c>
      <c r="AR4" s="267">
        <v>4462609</v>
      </c>
      <c r="AS4" s="257">
        <v>4328509</v>
      </c>
      <c r="AT4" s="286">
        <v>2535627</v>
      </c>
      <c r="AU4" s="288">
        <v>937581</v>
      </c>
      <c r="AV4" s="288">
        <v>1291167</v>
      </c>
      <c r="AW4" s="288">
        <v>656334</v>
      </c>
      <c r="AX4" s="288">
        <v>630848</v>
      </c>
      <c r="AY4" s="288">
        <v>1296450</v>
      </c>
      <c r="AZ4" s="288">
        <v>3799733</v>
      </c>
    </row>
    <row r="5" spans="1:55" ht="15.75">
      <c r="A5" s="158"/>
      <c r="B5" s="161" t="s">
        <v>11</v>
      </c>
      <c r="C5" s="162">
        <v>27058460</v>
      </c>
      <c r="D5" s="162">
        <v>19578595</v>
      </c>
      <c r="E5" s="162">
        <v>28229925</v>
      </c>
      <c r="F5" s="162">
        <f>52141499-3664875</f>
        <v>48476624</v>
      </c>
      <c r="G5" s="163">
        <v>27048371.66</v>
      </c>
      <c r="H5" s="163">
        <v>25413120.68</v>
      </c>
      <c r="I5" s="163">
        <v>29922076.09</v>
      </c>
      <c r="J5" s="163">
        <v>34932562.920000002</v>
      </c>
      <c r="K5" s="164">
        <v>33397670.75</v>
      </c>
      <c r="L5" s="165">
        <v>33252213.879999999</v>
      </c>
      <c r="M5" s="166">
        <v>30648873.169099998</v>
      </c>
      <c r="N5" s="163">
        <v>28143497.809999999</v>
      </c>
      <c r="O5" s="163">
        <v>28705517.23</v>
      </c>
      <c r="P5" s="163">
        <v>25104929.359999999</v>
      </c>
      <c r="Q5" s="163">
        <v>30725663.609999999</v>
      </c>
      <c r="R5" s="163">
        <v>27038645.280000001</v>
      </c>
      <c r="S5" s="163">
        <f>27606849-S4</f>
        <v>26975435</v>
      </c>
      <c r="T5" s="167">
        <v>35633245.350000001</v>
      </c>
      <c r="U5" s="167">
        <v>32524836.57</v>
      </c>
      <c r="V5" s="167">
        <v>33033300.23</v>
      </c>
      <c r="W5" s="167">
        <v>34540913.82</v>
      </c>
      <c r="X5" s="215">
        <v>30026103.370000001</v>
      </c>
      <c r="Y5" s="215">
        <v>29131596.120000001</v>
      </c>
      <c r="Z5" s="215">
        <v>21076733.649999999</v>
      </c>
      <c r="AA5" s="228">
        <v>19527514.710000001</v>
      </c>
      <c r="AB5" s="247">
        <v>21883073.109999999</v>
      </c>
      <c r="AC5" s="249">
        <v>25014973.09</v>
      </c>
      <c r="AD5" s="249">
        <v>48735601.380000003</v>
      </c>
      <c r="AE5" s="250">
        <v>25612089.510000002</v>
      </c>
      <c r="AF5" s="274">
        <v>25645434</v>
      </c>
      <c r="AG5" s="265">
        <v>31826536.899999999</v>
      </c>
      <c r="AH5" s="265">
        <v>21620057.57</v>
      </c>
      <c r="AI5" s="265">
        <v>29450092.530000001</v>
      </c>
      <c r="AJ5" s="265">
        <v>16931651.149999999</v>
      </c>
      <c r="AK5" s="265">
        <v>16881830.48</v>
      </c>
      <c r="AL5" s="265">
        <v>24688130.440000001</v>
      </c>
      <c r="AM5" s="265">
        <v>25726686.440000001</v>
      </c>
      <c r="AN5" s="265">
        <v>21493412.309999999</v>
      </c>
      <c r="AO5" s="265">
        <v>23906817.210000001</v>
      </c>
      <c r="AP5" s="265">
        <v>25671312.25</v>
      </c>
      <c r="AQ5" s="265">
        <v>29994725.120000001</v>
      </c>
      <c r="AR5" s="267">
        <v>24165791.16</v>
      </c>
      <c r="AS5" s="257">
        <f>5505784+537250+17519568+15000+134100+588189</f>
        <v>24299891</v>
      </c>
      <c r="AT5" s="290">
        <v>25365879.77</v>
      </c>
      <c r="AU5" s="292">
        <v>24212388.620000001</v>
      </c>
      <c r="AV5" s="292">
        <v>15699303.189999999</v>
      </c>
      <c r="AW5" s="292">
        <v>20973909.940000001</v>
      </c>
      <c r="AX5" s="292">
        <v>21016721.539999999</v>
      </c>
      <c r="AY5" s="292">
        <v>25853378.059999999</v>
      </c>
      <c r="AZ5" s="292">
        <v>48236558.899999999</v>
      </c>
    </row>
    <row r="6" spans="1:55" ht="15.75">
      <c r="A6" s="158"/>
      <c r="B6" s="161"/>
      <c r="C6" s="162"/>
      <c r="D6" s="162"/>
      <c r="E6" s="162"/>
      <c r="F6" s="162"/>
      <c r="G6" s="163"/>
      <c r="H6" s="163"/>
      <c r="I6" s="163"/>
      <c r="J6" s="163"/>
      <c r="K6" s="164"/>
      <c r="L6" s="165"/>
      <c r="M6" s="163"/>
      <c r="N6" s="163"/>
      <c r="O6" s="163"/>
      <c r="P6" s="163"/>
      <c r="Q6" s="163"/>
      <c r="R6" s="163"/>
      <c r="S6" s="163"/>
      <c r="AB6" s="225"/>
      <c r="AC6" s="225"/>
      <c r="AD6" s="225"/>
      <c r="AE6" s="225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57"/>
    </row>
    <row r="7" spans="1:55" s="150" customFormat="1" ht="15.75">
      <c r="A7" s="158"/>
      <c r="B7" s="168" t="s">
        <v>12</v>
      </c>
      <c r="C7" s="162">
        <v>625108</v>
      </c>
      <c r="D7" s="162">
        <v>109588</v>
      </c>
      <c r="E7" s="162">
        <v>292674</v>
      </c>
      <c r="F7" s="162">
        <v>83945</v>
      </c>
      <c r="G7" s="169">
        <v>1374105.35</v>
      </c>
      <c r="H7" s="169">
        <v>1264313.3500000001</v>
      </c>
      <c r="I7" s="169">
        <v>1198812.3500000001</v>
      </c>
      <c r="J7" s="169">
        <v>1198812.3500000001</v>
      </c>
      <c r="K7" s="169">
        <v>990479.02</v>
      </c>
      <c r="L7" s="169">
        <v>948812.35</v>
      </c>
      <c r="M7" s="166">
        <v>982916.35</v>
      </c>
      <c r="N7" s="169">
        <v>982916.35</v>
      </c>
      <c r="O7" s="169">
        <v>863394.35</v>
      </c>
      <c r="P7" s="169">
        <v>854931.35</v>
      </c>
      <c r="Q7" s="169">
        <v>112307.18</v>
      </c>
      <c r="R7" s="169">
        <v>661012.35</v>
      </c>
      <c r="S7" s="169">
        <v>81853</v>
      </c>
      <c r="T7" s="167">
        <v>752023.35</v>
      </c>
      <c r="U7" s="167">
        <v>690999.35</v>
      </c>
      <c r="V7" s="167">
        <v>682023.35</v>
      </c>
      <c r="W7" s="167">
        <v>682023.35</v>
      </c>
      <c r="X7" s="215">
        <v>397847.52</v>
      </c>
      <c r="Y7" s="215">
        <v>341012.35</v>
      </c>
      <c r="Z7" s="215">
        <v>284177.18</v>
      </c>
      <c r="AA7" s="228">
        <v>227342.02</v>
      </c>
      <c r="AB7" s="251">
        <v>170506.85</v>
      </c>
      <c r="AC7" s="251">
        <v>113671.67999999999</v>
      </c>
      <c r="AD7" s="251">
        <v>56836.52</v>
      </c>
      <c r="AE7" s="251">
        <v>769726.5</v>
      </c>
      <c r="AF7" s="275">
        <v>912262</v>
      </c>
      <c r="AG7" s="265">
        <v>906229.18</v>
      </c>
      <c r="AH7" s="265">
        <v>500716.86</v>
      </c>
      <c r="AI7" s="265">
        <v>928158.75</v>
      </c>
      <c r="AJ7" s="265">
        <v>121349.35</v>
      </c>
      <c r="AK7" s="265">
        <v>106180.85</v>
      </c>
      <c r="AL7" s="265">
        <v>91012.35</v>
      </c>
      <c r="AM7" s="265">
        <v>75843.850000000006</v>
      </c>
      <c r="AN7" s="265">
        <v>1.35</v>
      </c>
      <c r="AO7" s="265">
        <v>1.35</v>
      </c>
      <c r="AP7" s="265">
        <v>1.35</v>
      </c>
      <c r="AQ7" s="265">
        <v>1.35</v>
      </c>
      <c r="AR7" s="268">
        <v>667030.22</v>
      </c>
      <c r="AS7" s="258">
        <v>674602</v>
      </c>
      <c r="AT7" s="290">
        <v>731249.5</v>
      </c>
      <c r="AU7" s="292">
        <v>763289.5</v>
      </c>
      <c r="AV7" s="291">
        <v>0</v>
      </c>
      <c r="AW7" s="292">
        <v>640688.98</v>
      </c>
      <c r="AX7" s="292">
        <v>820328.67</v>
      </c>
      <c r="AY7" s="292">
        <v>657174.80000000005</v>
      </c>
      <c r="AZ7" s="292">
        <v>951507.05</v>
      </c>
    </row>
    <row r="8" spans="1:55" s="150" customFormat="1">
      <c r="A8" s="158"/>
      <c r="B8" s="168"/>
      <c r="C8" s="162"/>
      <c r="D8" s="162"/>
      <c r="E8" s="162"/>
      <c r="F8" s="162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6"/>
      <c r="AQ8" s="226"/>
      <c r="AR8" s="226"/>
      <c r="AS8" s="258"/>
    </row>
    <row r="9" spans="1:55" ht="15.75">
      <c r="A9" s="154"/>
      <c r="B9" s="159" t="s">
        <v>13</v>
      </c>
      <c r="C9" s="160">
        <f t="shared" ref="C9:H9" si="1">SUM(C10:C14)</f>
        <v>40449810</v>
      </c>
      <c r="D9" s="160">
        <f t="shared" si="1"/>
        <v>49120055</v>
      </c>
      <c r="E9" s="160">
        <f t="shared" si="1"/>
        <v>49120055</v>
      </c>
      <c r="F9" s="160">
        <f t="shared" si="1"/>
        <v>49120055</v>
      </c>
      <c r="G9" s="160">
        <f t="shared" si="1"/>
        <v>49120054.799999997</v>
      </c>
      <c r="H9" s="160">
        <f t="shared" si="1"/>
        <v>49120054.799999997</v>
      </c>
      <c r="I9" s="160">
        <f t="shared" ref="I9:O9" si="2">SUM(I10:I14)</f>
        <v>49120054.799999997</v>
      </c>
      <c r="J9" s="160">
        <f t="shared" si="2"/>
        <v>49120054.799999997</v>
      </c>
      <c r="K9" s="160">
        <f t="shared" si="2"/>
        <v>49120054.799999997</v>
      </c>
      <c r="L9" s="160">
        <f t="shared" si="2"/>
        <v>49120054.799999997</v>
      </c>
      <c r="M9" s="160">
        <f t="shared" si="2"/>
        <v>49120054.799999997</v>
      </c>
      <c r="N9" s="160">
        <f t="shared" si="2"/>
        <v>49120054.799999997</v>
      </c>
      <c r="O9" s="160">
        <f t="shared" si="2"/>
        <v>49120054.799999997</v>
      </c>
      <c r="P9" s="160">
        <f>SUM(P10:P14)</f>
        <v>49120054.799999997</v>
      </c>
      <c r="Q9" s="160">
        <f>SUM(Q10:Q14)</f>
        <v>49120054.799999997</v>
      </c>
      <c r="R9" s="160">
        <f t="shared" ref="R9:BC9" si="3">SUM(R10:R14)</f>
        <v>49120054.799999997</v>
      </c>
      <c r="S9" s="160">
        <f t="shared" si="3"/>
        <v>5151498</v>
      </c>
      <c r="T9" s="160">
        <f t="shared" si="3"/>
        <v>49120054.799999997</v>
      </c>
      <c r="U9" s="160">
        <f t="shared" si="3"/>
        <v>5151497.8</v>
      </c>
      <c r="V9" s="160">
        <f t="shared" si="3"/>
        <v>5151497.8</v>
      </c>
      <c r="W9" s="160">
        <f t="shared" si="3"/>
        <v>5151497.8</v>
      </c>
      <c r="X9" s="160">
        <f t="shared" si="3"/>
        <v>5151497.8</v>
      </c>
      <c r="Y9" s="160">
        <f t="shared" si="3"/>
        <v>5151497.8</v>
      </c>
      <c r="Z9" s="160">
        <f t="shared" si="3"/>
        <v>5151497.8</v>
      </c>
      <c r="AA9" s="160">
        <f t="shared" si="3"/>
        <v>5151497.8</v>
      </c>
      <c r="AB9" s="160">
        <f t="shared" si="3"/>
        <v>5151497.8</v>
      </c>
      <c r="AC9" s="160">
        <f t="shared" si="3"/>
        <v>5151497.8</v>
      </c>
      <c r="AD9" s="160">
        <f t="shared" si="3"/>
        <v>5151497.8</v>
      </c>
      <c r="AE9" s="160">
        <f t="shared" si="3"/>
        <v>5151497.8</v>
      </c>
      <c r="AF9" s="160">
        <f t="shared" si="3"/>
        <v>5151498</v>
      </c>
      <c r="AG9" s="160">
        <f t="shared" si="3"/>
        <v>5151497.8</v>
      </c>
      <c r="AH9" s="160">
        <f t="shared" si="3"/>
        <v>5151497.8</v>
      </c>
      <c r="AI9" s="160">
        <f t="shared" si="3"/>
        <v>5151497.8</v>
      </c>
      <c r="AJ9" s="160">
        <f t="shared" si="3"/>
        <v>5151497.8</v>
      </c>
      <c r="AK9" s="160">
        <f t="shared" si="3"/>
        <v>5151497.8</v>
      </c>
      <c r="AL9" s="160">
        <f t="shared" si="3"/>
        <v>5151497.8</v>
      </c>
      <c r="AM9" s="160">
        <f t="shared" si="3"/>
        <v>5151497.8</v>
      </c>
      <c r="AN9" s="160">
        <f t="shared" si="3"/>
        <v>5151497.8</v>
      </c>
      <c r="AO9" s="160">
        <f t="shared" si="3"/>
        <v>5151497.8</v>
      </c>
      <c r="AP9" s="160">
        <f t="shared" si="3"/>
        <v>5151497.8</v>
      </c>
      <c r="AQ9" s="160">
        <f t="shared" si="3"/>
        <v>5151497.8</v>
      </c>
      <c r="AR9" s="160">
        <f t="shared" si="3"/>
        <v>5151497.8</v>
      </c>
      <c r="AS9" s="160">
        <f t="shared" si="3"/>
        <v>5151498</v>
      </c>
      <c r="AT9" s="160">
        <f t="shared" si="3"/>
        <v>5151497.8</v>
      </c>
      <c r="AU9" s="160">
        <f t="shared" si="3"/>
        <v>5151497.8</v>
      </c>
      <c r="AV9" s="160">
        <f t="shared" si="3"/>
        <v>5151497.8</v>
      </c>
      <c r="AW9" s="160">
        <f t="shared" si="3"/>
        <v>10302995.6</v>
      </c>
      <c r="AX9" s="160">
        <f t="shared" si="3"/>
        <v>5151497.8</v>
      </c>
      <c r="AY9" s="160">
        <f t="shared" si="3"/>
        <v>5151497.8</v>
      </c>
      <c r="AZ9" s="160">
        <f t="shared" si="3"/>
        <v>0</v>
      </c>
      <c r="BA9" s="160">
        <f t="shared" si="3"/>
        <v>0</v>
      </c>
      <c r="BB9" s="160">
        <f t="shared" si="3"/>
        <v>0</v>
      </c>
      <c r="BC9" s="160">
        <f t="shared" si="3"/>
        <v>0</v>
      </c>
    </row>
    <row r="10" spans="1:55" ht="15.75">
      <c r="A10" s="158"/>
      <c r="B10" s="161" t="s">
        <v>14</v>
      </c>
      <c r="C10" s="162"/>
      <c r="D10" s="162"/>
      <c r="E10" s="162"/>
      <c r="F10" s="162"/>
      <c r="G10" s="163">
        <v>0</v>
      </c>
      <c r="H10" s="163">
        <v>0</v>
      </c>
      <c r="I10" s="163">
        <v>0</v>
      </c>
      <c r="J10" s="163">
        <v>0</v>
      </c>
      <c r="K10" s="163">
        <v>0</v>
      </c>
      <c r="L10" s="165">
        <v>0</v>
      </c>
      <c r="M10" s="163">
        <v>0</v>
      </c>
      <c r="N10" s="163">
        <v>0</v>
      </c>
      <c r="O10" s="163">
        <v>0</v>
      </c>
      <c r="P10" s="163">
        <v>0</v>
      </c>
      <c r="Q10" s="163">
        <v>0</v>
      </c>
      <c r="R10" s="163">
        <v>0</v>
      </c>
      <c r="S10" s="163">
        <v>0</v>
      </c>
      <c r="T10" s="167">
        <v>0</v>
      </c>
      <c r="U10" s="167">
        <v>0</v>
      </c>
      <c r="V10" s="167">
        <v>0</v>
      </c>
      <c r="W10" s="167">
        <v>0</v>
      </c>
      <c r="X10" s="215">
        <v>0</v>
      </c>
      <c r="Y10" s="215">
        <v>0</v>
      </c>
      <c r="Z10" s="215">
        <v>0</v>
      </c>
      <c r="AA10" s="228">
        <v>0</v>
      </c>
      <c r="AB10" s="225">
        <v>0</v>
      </c>
      <c r="AC10" s="225">
        <v>0</v>
      </c>
      <c r="AD10" s="225">
        <v>0</v>
      </c>
      <c r="AE10" s="225">
        <v>0</v>
      </c>
      <c r="AG10" s="265">
        <v>0</v>
      </c>
      <c r="AH10" s="265">
        <v>0</v>
      </c>
      <c r="AI10" s="265">
        <v>0</v>
      </c>
      <c r="AJ10" s="265">
        <v>0</v>
      </c>
      <c r="AK10" s="265">
        <v>0</v>
      </c>
      <c r="AL10" s="265">
        <v>0</v>
      </c>
      <c r="AM10" s="265">
        <v>0</v>
      </c>
      <c r="AN10" s="265">
        <v>0</v>
      </c>
      <c r="AO10" s="265">
        <v>0</v>
      </c>
      <c r="AP10" s="265">
        <v>0</v>
      </c>
      <c r="AQ10" s="265">
        <v>0</v>
      </c>
      <c r="AR10" s="269">
        <v>0</v>
      </c>
      <c r="AS10" s="257">
        <v>0</v>
      </c>
      <c r="AT10" s="285">
        <v>0</v>
      </c>
      <c r="AU10" s="287">
        <v>0</v>
      </c>
      <c r="AV10" s="287">
        <v>0</v>
      </c>
      <c r="AW10" s="287">
        <v>0</v>
      </c>
      <c r="AX10" s="287">
        <v>0</v>
      </c>
      <c r="AY10" s="287">
        <v>0</v>
      </c>
      <c r="AZ10" s="287">
        <v>0</v>
      </c>
    </row>
    <row r="11" spans="1:55" ht="15.75">
      <c r="A11" s="154"/>
      <c r="B11" s="161" t="s">
        <v>15</v>
      </c>
      <c r="C11" s="162"/>
      <c r="D11" s="162"/>
      <c r="E11" s="162"/>
      <c r="F11" s="162"/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5">
        <v>0</v>
      </c>
      <c r="M11" s="163">
        <v>0</v>
      </c>
      <c r="N11" s="163">
        <v>0</v>
      </c>
      <c r="O11" s="163">
        <v>0</v>
      </c>
      <c r="P11" s="163">
        <v>0</v>
      </c>
      <c r="Q11" s="163">
        <v>0</v>
      </c>
      <c r="R11" s="163">
        <v>0</v>
      </c>
      <c r="S11" s="163">
        <v>0</v>
      </c>
      <c r="T11" s="167">
        <v>0</v>
      </c>
      <c r="U11" s="167">
        <v>0</v>
      </c>
      <c r="V11" s="167">
        <v>0</v>
      </c>
      <c r="W11" s="167">
        <v>0</v>
      </c>
      <c r="X11" s="215">
        <v>0</v>
      </c>
      <c r="Y11" s="215">
        <v>0</v>
      </c>
      <c r="Z11" s="215">
        <v>0</v>
      </c>
      <c r="AA11" s="228">
        <v>0</v>
      </c>
      <c r="AB11" s="225">
        <v>0</v>
      </c>
      <c r="AC11" s="225">
        <v>0</v>
      </c>
      <c r="AD11" s="225">
        <v>0</v>
      </c>
      <c r="AE11" s="225">
        <v>0</v>
      </c>
      <c r="AG11" s="265">
        <v>0</v>
      </c>
      <c r="AH11" s="265">
        <v>0</v>
      </c>
      <c r="AI11" s="265">
        <v>0</v>
      </c>
      <c r="AJ11" s="265">
        <v>0</v>
      </c>
      <c r="AK11" s="265">
        <v>0</v>
      </c>
      <c r="AL11" s="265">
        <v>0</v>
      </c>
      <c r="AM11" s="265">
        <v>0</v>
      </c>
      <c r="AN11" s="265">
        <v>0</v>
      </c>
      <c r="AO11" s="265">
        <v>0</v>
      </c>
      <c r="AP11" s="265">
        <v>0</v>
      </c>
      <c r="AQ11" s="265">
        <v>0</v>
      </c>
      <c r="AR11" s="267">
        <v>0</v>
      </c>
      <c r="AS11" s="257"/>
      <c r="AT11" s="289">
        <v>0</v>
      </c>
      <c r="AU11" s="291">
        <v>0</v>
      </c>
      <c r="AV11" s="291">
        <v>0</v>
      </c>
      <c r="AW11" s="291">
        <v>0</v>
      </c>
      <c r="AX11" s="291">
        <v>0</v>
      </c>
      <c r="AY11" s="291">
        <v>0</v>
      </c>
      <c r="AZ11" s="291">
        <v>0</v>
      </c>
    </row>
    <row r="12" spans="1:55" ht="15.75">
      <c r="A12" s="158"/>
      <c r="B12" s="161" t="s">
        <v>16</v>
      </c>
      <c r="C12" s="162"/>
      <c r="D12" s="162"/>
      <c r="E12" s="162"/>
      <c r="F12" s="162"/>
      <c r="G12" s="163">
        <v>0</v>
      </c>
      <c r="H12" s="163">
        <v>0</v>
      </c>
      <c r="I12" s="163">
        <v>0</v>
      </c>
      <c r="J12" s="163">
        <v>0</v>
      </c>
      <c r="K12" s="163">
        <v>0</v>
      </c>
      <c r="L12" s="165">
        <v>0</v>
      </c>
      <c r="M12" s="163">
        <v>0</v>
      </c>
      <c r="N12" s="163">
        <v>0</v>
      </c>
      <c r="O12" s="163"/>
      <c r="P12" s="163"/>
      <c r="Q12" s="163"/>
      <c r="R12" s="163"/>
      <c r="S12" s="163"/>
      <c r="AA12" s="228"/>
      <c r="AB12" s="243">
        <v>0</v>
      </c>
      <c r="AC12" s="243">
        <v>0</v>
      </c>
      <c r="AD12" s="243">
        <v>0</v>
      </c>
      <c r="AE12" s="243">
        <v>0</v>
      </c>
      <c r="AF12" s="276"/>
      <c r="AG12" s="265">
        <v>5151497.8</v>
      </c>
      <c r="AH12" s="265">
        <v>5151497.8</v>
      </c>
      <c r="AI12" s="265">
        <v>5151497.8</v>
      </c>
      <c r="AJ12" s="265">
        <v>5151497.8</v>
      </c>
      <c r="AK12" s="265">
        <v>5151497.8</v>
      </c>
      <c r="AL12" s="265">
        <v>5151497.8</v>
      </c>
      <c r="AM12" s="265">
        <v>5151497.8</v>
      </c>
      <c r="AN12" s="265">
        <v>5151497.8</v>
      </c>
      <c r="AO12" s="265">
        <v>5151497.8</v>
      </c>
      <c r="AP12" s="265">
        <v>5151497.8</v>
      </c>
      <c r="AQ12" s="265">
        <v>5151497.8</v>
      </c>
      <c r="AR12" s="267">
        <v>5151497.8</v>
      </c>
      <c r="AS12" s="257">
        <f>5051088+35280+65130</f>
        <v>5151498</v>
      </c>
      <c r="AT12" s="290">
        <v>5151497.8</v>
      </c>
      <c r="AU12" s="292">
        <v>5151497.8</v>
      </c>
      <c r="AV12" s="292">
        <v>5151497.8</v>
      </c>
      <c r="AW12" s="292">
        <v>5151497.8</v>
      </c>
      <c r="AX12" s="292">
        <v>5151497.8</v>
      </c>
      <c r="AY12" s="292">
        <v>5151497.8</v>
      </c>
      <c r="AZ12" s="291">
        <v>0</v>
      </c>
    </row>
    <row r="13" spans="1:55" ht="30">
      <c r="A13" s="158"/>
      <c r="B13" s="170" t="s">
        <v>17</v>
      </c>
      <c r="C13" s="171">
        <v>40449810</v>
      </c>
      <c r="D13" s="171">
        <v>49120055</v>
      </c>
      <c r="E13" s="171">
        <v>49120055</v>
      </c>
      <c r="F13" s="171">
        <v>49120055</v>
      </c>
      <c r="G13" s="163">
        <v>49120054.799999997</v>
      </c>
      <c r="H13" s="163">
        <v>49120054.799999997</v>
      </c>
      <c r="I13" s="163">
        <v>49120054.799999997</v>
      </c>
      <c r="J13" s="163">
        <v>49120054.799999997</v>
      </c>
      <c r="K13" s="172">
        <v>49120054.799999997</v>
      </c>
      <c r="L13" s="165">
        <v>49120054.799999997</v>
      </c>
      <c r="M13" s="163">
        <v>49120054.799999997</v>
      </c>
      <c r="N13" s="163">
        <v>49120054.799999997</v>
      </c>
      <c r="O13" s="163">
        <v>49120054.799999997</v>
      </c>
      <c r="P13" s="163">
        <v>49120054.799999997</v>
      </c>
      <c r="Q13" s="163">
        <v>49120054.799999997</v>
      </c>
      <c r="R13" s="163">
        <v>49120054.799999997</v>
      </c>
      <c r="S13" s="163">
        <v>5151498</v>
      </c>
      <c r="T13" s="167">
        <v>49120054.799999997</v>
      </c>
      <c r="U13" s="167">
        <v>5151497.8</v>
      </c>
      <c r="V13" s="167">
        <v>5151497.8</v>
      </c>
      <c r="W13" s="167">
        <v>5151497.8</v>
      </c>
      <c r="X13" s="215">
        <v>5151497.8</v>
      </c>
      <c r="Y13" s="215">
        <v>5151497.8</v>
      </c>
      <c r="Z13" s="215">
        <v>5151497.8</v>
      </c>
      <c r="AA13" s="228">
        <v>5151497.8</v>
      </c>
      <c r="AB13" s="243">
        <v>5151497.8</v>
      </c>
      <c r="AC13" s="243">
        <v>5151497.8</v>
      </c>
      <c r="AD13" s="243">
        <v>5151497.8</v>
      </c>
      <c r="AE13" s="243">
        <v>5151497.8</v>
      </c>
      <c r="AF13" s="276">
        <v>5151498</v>
      </c>
      <c r="AG13" s="265">
        <v>0</v>
      </c>
      <c r="AH13" s="265">
        <v>0</v>
      </c>
      <c r="AI13" s="265">
        <v>0</v>
      </c>
      <c r="AJ13" s="265">
        <v>0</v>
      </c>
      <c r="AK13" s="265">
        <v>0</v>
      </c>
      <c r="AL13" s="265">
        <v>0</v>
      </c>
      <c r="AM13" s="265">
        <v>0</v>
      </c>
      <c r="AN13" s="265">
        <v>0</v>
      </c>
      <c r="AO13" s="265">
        <v>0</v>
      </c>
      <c r="AP13" s="265">
        <v>0</v>
      </c>
      <c r="AQ13" s="265">
        <v>0</v>
      </c>
      <c r="AR13" s="270">
        <v>0</v>
      </c>
    </row>
    <row r="14" spans="1:55" ht="15.75">
      <c r="A14" s="158"/>
      <c r="B14" s="161" t="s">
        <v>18</v>
      </c>
      <c r="C14" s="162"/>
      <c r="D14" s="171"/>
      <c r="E14" s="171"/>
      <c r="F14" s="171"/>
      <c r="G14" s="163"/>
      <c r="H14" s="163"/>
      <c r="I14" s="163"/>
      <c r="J14" s="163"/>
      <c r="K14" s="172"/>
      <c r="L14" s="165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85">
        <v>0</v>
      </c>
      <c r="AR14" s="287">
        <v>0</v>
      </c>
      <c r="AS14" s="287">
        <v>0</v>
      </c>
      <c r="AT14" s="287">
        <v>0</v>
      </c>
      <c r="AU14" s="287">
        <v>0</v>
      </c>
      <c r="AV14" s="287">
        <v>0</v>
      </c>
      <c r="AW14" s="288">
        <v>5151497.8</v>
      </c>
    </row>
    <row r="15" spans="1:55">
      <c r="A15" s="158"/>
      <c r="B15" s="168"/>
      <c r="C15" s="162"/>
      <c r="D15" s="162"/>
      <c r="E15" s="162"/>
      <c r="F15" s="162"/>
      <c r="G15" s="163"/>
      <c r="H15" s="163"/>
      <c r="I15" s="163"/>
      <c r="J15" s="163"/>
      <c r="K15" s="164"/>
      <c r="L15" s="165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57"/>
    </row>
    <row r="16" spans="1:55" ht="15.75">
      <c r="A16" s="158"/>
      <c r="B16" s="159" t="s">
        <v>19</v>
      </c>
      <c r="C16" s="160">
        <f>C17-C18</f>
        <v>108864930</v>
      </c>
      <c r="D16" s="160">
        <f t="shared" ref="D16:K16" si="4">D17-D18</f>
        <v>112673981</v>
      </c>
      <c r="E16" s="160">
        <f t="shared" si="4"/>
        <v>118004126</v>
      </c>
      <c r="F16" s="160">
        <f t="shared" si="4"/>
        <v>126643002</v>
      </c>
      <c r="G16" s="160">
        <f t="shared" si="4"/>
        <v>144740267</v>
      </c>
      <c r="H16" s="160">
        <f t="shared" si="4"/>
        <v>139423704</v>
      </c>
      <c r="I16" s="160">
        <f t="shared" si="4"/>
        <v>138129985</v>
      </c>
      <c r="J16" s="160">
        <f t="shared" si="4"/>
        <v>133289652</v>
      </c>
      <c r="K16" s="160">
        <f t="shared" si="4"/>
        <v>134500365.66999999</v>
      </c>
      <c r="L16" s="160">
        <f t="shared" ref="L16:BC16" si="5">L17-L18</f>
        <v>134658921</v>
      </c>
      <c r="M16" s="160">
        <f t="shared" si="5"/>
        <v>139596986.4747</v>
      </c>
      <c r="N16" s="160">
        <f t="shared" si="5"/>
        <v>144836859</v>
      </c>
      <c r="O16" s="160">
        <f t="shared" si="5"/>
        <v>154875142</v>
      </c>
      <c r="P16" s="160">
        <f t="shared" si="5"/>
        <v>160973544</v>
      </c>
      <c r="Q16" s="160">
        <f t="shared" si="5"/>
        <v>165088427</v>
      </c>
      <c r="R16" s="160">
        <f t="shared" si="5"/>
        <v>165037244</v>
      </c>
      <c r="S16" s="160">
        <f t="shared" si="5"/>
        <v>164933870.68939996</v>
      </c>
      <c r="T16" s="160">
        <f t="shared" si="5"/>
        <v>173280635</v>
      </c>
      <c r="U16" s="160">
        <f t="shared" si="5"/>
        <v>172994468</v>
      </c>
      <c r="V16" s="160">
        <f t="shared" si="5"/>
        <v>169023899</v>
      </c>
      <c r="W16" s="160">
        <f t="shared" si="5"/>
        <v>169018065</v>
      </c>
      <c r="X16" s="160">
        <f t="shared" si="5"/>
        <v>168026846</v>
      </c>
      <c r="Y16" s="160">
        <f t="shared" si="5"/>
        <v>165341272</v>
      </c>
      <c r="Z16" s="160">
        <f t="shared" si="5"/>
        <v>184237798</v>
      </c>
      <c r="AA16" s="160">
        <f t="shared" si="5"/>
        <v>181592809</v>
      </c>
      <c r="AB16" s="160">
        <f t="shared" si="5"/>
        <v>177447463</v>
      </c>
      <c r="AC16" s="160">
        <f t="shared" si="5"/>
        <v>177705601</v>
      </c>
      <c r="AD16" s="160">
        <f t="shared" si="5"/>
        <v>172800310</v>
      </c>
      <c r="AE16" s="160">
        <f t="shared" si="5"/>
        <v>175577793</v>
      </c>
      <c r="AF16" s="160">
        <f t="shared" si="5"/>
        <v>175570859</v>
      </c>
      <c r="AG16" s="160">
        <f t="shared" si="5"/>
        <v>172642836</v>
      </c>
      <c r="AH16" s="160">
        <f t="shared" si="5"/>
        <v>168843473</v>
      </c>
      <c r="AI16" s="160">
        <f t="shared" si="5"/>
        <v>165808468</v>
      </c>
      <c r="AJ16" s="160">
        <f t="shared" si="5"/>
        <v>182814786</v>
      </c>
      <c r="AK16" s="160">
        <f t="shared" si="5"/>
        <v>181537338</v>
      </c>
      <c r="AL16" s="160">
        <f t="shared" si="5"/>
        <v>178265575</v>
      </c>
      <c r="AM16" s="160">
        <f t="shared" si="5"/>
        <v>176572991</v>
      </c>
      <c r="AN16" s="160">
        <f t="shared" si="5"/>
        <v>182489817</v>
      </c>
      <c r="AO16" s="160">
        <f t="shared" si="5"/>
        <v>183345738</v>
      </c>
      <c r="AP16" s="160">
        <f t="shared" si="5"/>
        <v>186109490</v>
      </c>
      <c r="AQ16" s="160">
        <f t="shared" si="5"/>
        <v>181552892</v>
      </c>
      <c r="AR16" s="160">
        <f t="shared" si="5"/>
        <v>184968400</v>
      </c>
      <c r="AS16" s="160">
        <f t="shared" si="5"/>
        <v>184968991</v>
      </c>
      <c r="AT16" s="160">
        <f t="shared" si="5"/>
        <v>203816857</v>
      </c>
      <c r="AU16" s="160">
        <f t="shared" si="5"/>
        <v>206236938</v>
      </c>
      <c r="AV16" s="160">
        <f t="shared" si="5"/>
        <v>197394719</v>
      </c>
      <c r="AW16" s="160">
        <f t="shared" si="5"/>
        <v>191703999</v>
      </c>
      <c r="AX16" s="160">
        <f t="shared" si="5"/>
        <v>191065599</v>
      </c>
      <c r="AY16" s="160">
        <f t="shared" si="5"/>
        <v>188942294</v>
      </c>
      <c r="AZ16" s="160">
        <f t="shared" si="5"/>
        <v>181059969</v>
      </c>
      <c r="BA16" s="160">
        <f t="shared" si="5"/>
        <v>0</v>
      </c>
      <c r="BB16" s="160">
        <f t="shared" si="5"/>
        <v>0</v>
      </c>
      <c r="BC16" s="160">
        <f t="shared" si="5"/>
        <v>0</v>
      </c>
    </row>
    <row r="17" spans="1:55" ht="15.75">
      <c r="A17" s="158"/>
      <c r="B17" s="168" t="s">
        <v>20</v>
      </c>
      <c r="C17" s="162">
        <v>112489704</v>
      </c>
      <c r="D17" s="162">
        <v>116513632</v>
      </c>
      <c r="E17" s="162">
        <v>121965745</v>
      </c>
      <c r="F17" s="162">
        <v>131804621</v>
      </c>
      <c r="G17" s="163">
        <v>149901886</v>
      </c>
      <c r="H17" s="163">
        <v>144585323</v>
      </c>
      <c r="I17" s="163">
        <v>143291604</v>
      </c>
      <c r="J17" s="163">
        <v>138451271</v>
      </c>
      <c r="K17" s="164">
        <v>139995318</v>
      </c>
      <c r="L17" s="165">
        <v>140220540</v>
      </c>
      <c r="M17" s="163">
        <v>145258605.4747</v>
      </c>
      <c r="N17" s="163">
        <v>150498478</v>
      </c>
      <c r="O17" s="163">
        <v>160536761</v>
      </c>
      <c r="P17" s="163">
        <v>166635163</v>
      </c>
      <c r="Q17" s="163">
        <v>170750046</v>
      </c>
      <c r="R17" s="163">
        <v>170698863</v>
      </c>
      <c r="S17" s="163">
        <v>170595489.68939996</v>
      </c>
      <c r="T17" s="167">
        <v>178942254</v>
      </c>
      <c r="U17" s="167">
        <v>178656087</v>
      </c>
      <c r="V17" s="167">
        <v>174685518</v>
      </c>
      <c r="W17" s="167">
        <v>174679684</v>
      </c>
      <c r="X17" s="215">
        <v>173688465</v>
      </c>
      <c r="Y17" s="215">
        <v>171002891</v>
      </c>
      <c r="Z17" s="215">
        <v>189899417</v>
      </c>
      <c r="AA17" s="228">
        <v>187254428</v>
      </c>
      <c r="AB17" s="243">
        <v>183109082</v>
      </c>
      <c r="AC17" s="243">
        <v>183367220</v>
      </c>
      <c r="AD17" s="243">
        <v>178461929</v>
      </c>
      <c r="AE17" s="243">
        <v>181539412</v>
      </c>
      <c r="AF17" s="276">
        <v>181532478</v>
      </c>
      <c r="AG17" s="265">
        <v>178604455</v>
      </c>
      <c r="AH17" s="265">
        <v>174805092</v>
      </c>
      <c r="AI17" s="265">
        <v>171770087</v>
      </c>
      <c r="AJ17" s="265">
        <v>188776405</v>
      </c>
      <c r="AK17" s="265">
        <v>187498957</v>
      </c>
      <c r="AL17" s="265">
        <v>184227194</v>
      </c>
      <c r="AM17" s="265">
        <v>182534610</v>
      </c>
      <c r="AN17" s="265">
        <v>188451436</v>
      </c>
      <c r="AO17" s="265">
        <v>189307357</v>
      </c>
      <c r="AP17" s="265">
        <v>192071109</v>
      </c>
      <c r="AQ17" s="265">
        <v>187514511</v>
      </c>
      <c r="AR17" s="269">
        <v>191230019</v>
      </c>
      <c r="AS17" s="257">
        <f>188945414+2285196</f>
        <v>191230610</v>
      </c>
      <c r="AT17" s="286">
        <v>210078476</v>
      </c>
      <c r="AU17" s="288">
        <v>212498557</v>
      </c>
      <c r="AV17" s="288">
        <v>203656338</v>
      </c>
      <c r="AW17" s="288">
        <v>197965618</v>
      </c>
      <c r="AX17" s="288">
        <v>197327218</v>
      </c>
      <c r="AY17" s="288">
        <v>195353913</v>
      </c>
      <c r="AZ17" s="288">
        <v>187471588</v>
      </c>
    </row>
    <row r="18" spans="1:55" ht="15.75">
      <c r="A18" s="158"/>
      <c r="B18" s="168" t="s">
        <v>21</v>
      </c>
      <c r="C18" s="162">
        <v>3624774</v>
      </c>
      <c r="D18" s="162">
        <v>3839651</v>
      </c>
      <c r="E18" s="162">
        <v>3961619</v>
      </c>
      <c r="F18" s="162">
        <v>5161619</v>
      </c>
      <c r="G18" s="163">
        <v>5161619</v>
      </c>
      <c r="H18" s="163">
        <v>5161619</v>
      </c>
      <c r="I18" s="163">
        <v>5161619</v>
      </c>
      <c r="J18" s="163">
        <v>5161619</v>
      </c>
      <c r="K18" s="164">
        <v>5494952.3300000001</v>
      </c>
      <c r="L18" s="165">
        <v>5561619</v>
      </c>
      <c r="M18" s="163">
        <v>5661619</v>
      </c>
      <c r="N18" s="163">
        <v>5661619</v>
      </c>
      <c r="O18" s="163">
        <v>5661619</v>
      </c>
      <c r="P18" s="163">
        <v>5661619</v>
      </c>
      <c r="Q18" s="163">
        <v>5661619</v>
      </c>
      <c r="R18" s="163">
        <v>5661619</v>
      </c>
      <c r="S18" s="163">
        <v>5661619</v>
      </c>
      <c r="T18" s="167">
        <v>5661619</v>
      </c>
      <c r="U18" s="167">
        <v>5661619</v>
      </c>
      <c r="V18" s="167">
        <v>5661619</v>
      </c>
      <c r="W18" s="167">
        <v>5661619</v>
      </c>
      <c r="X18" s="215">
        <v>5661619</v>
      </c>
      <c r="Y18" s="215">
        <v>5661619</v>
      </c>
      <c r="Z18" s="215">
        <v>5661619</v>
      </c>
      <c r="AA18" s="228">
        <v>5661619</v>
      </c>
      <c r="AB18" s="243">
        <v>5661619</v>
      </c>
      <c r="AC18" s="243">
        <v>5661619</v>
      </c>
      <c r="AD18" s="243">
        <v>5661619</v>
      </c>
      <c r="AE18" s="243">
        <v>5961619</v>
      </c>
      <c r="AF18" s="276">
        <v>5961619</v>
      </c>
      <c r="AG18" s="265">
        <v>5961619</v>
      </c>
      <c r="AH18" s="265">
        <v>5961619</v>
      </c>
      <c r="AI18" s="265">
        <v>5961619</v>
      </c>
      <c r="AJ18" s="265">
        <v>5961619</v>
      </c>
      <c r="AK18" s="265">
        <v>5961619</v>
      </c>
      <c r="AL18" s="265">
        <v>5961619</v>
      </c>
      <c r="AM18" s="265">
        <v>5961619</v>
      </c>
      <c r="AN18" s="265">
        <v>5961619</v>
      </c>
      <c r="AO18" s="265">
        <v>5961619</v>
      </c>
      <c r="AP18" s="265">
        <v>5961619</v>
      </c>
      <c r="AQ18" s="265">
        <v>5961619</v>
      </c>
      <c r="AR18" s="270">
        <v>6261619</v>
      </c>
      <c r="AS18" s="257">
        <v>6261619</v>
      </c>
      <c r="AT18" s="290">
        <v>6261619</v>
      </c>
      <c r="AU18" s="292">
        <v>6261619</v>
      </c>
      <c r="AV18" s="292">
        <v>6261619</v>
      </c>
      <c r="AW18" s="292">
        <v>6261619</v>
      </c>
      <c r="AX18" s="292">
        <v>6261619</v>
      </c>
      <c r="AY18" s="292">
        <v>6411619</v>
      </c>
      <c r="AZ18" s="292">
        <v>6411619</v>
      </c>
    </row>
    <row r="19" spans="1:55">
      <c r="A19" s="158"/>
      <c r="B19" s="168"/>
      <c r="C19" s="173"/>
      <c r="D19" s="173"/>
      <c r="E19" s="173"/>
      <c r="F19" s="173"/>
      <c r="G19" s="163"/>
      <c r="H19" s="163"/>
      <c r="I19" s="163"/>
      <c r="J19" s="163"/>
      <c r="K19" s="164"/>
      <c r="L19" s="165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57">
        <v>0</v>
      </c>
    </row>
    <row r="20" spans="1:55" ht="15.75">
      <c r="A20" s="158"/>
      <c r="B20" s="159" t="s">
        <v>22</v>
      </c>
      <c r="C20" s="160">
        <f>SUM(C21:C23)</f>
        <v>0</v>
      </c>
      <c r="D20" s="160">
        <f t="shared" ref="D20:AR20" si="6">SUM(D21:D23)</f>
        <v>0</v>
      </c>
      <c r="E20" s="160">
        <f t="shared" si="6"/>
        <v>0</v>
      </c>
      <c r="F20" s="160">
        <f t="shared" si="6"/>
        <v>24654</v>
      </c>
      <c r="G20" s="160">
        <f t="shared" si="6"/>
        <v>24654.37</v>
      </c>
      <c r="H20" s="160">
        <f t="shared" si="6"/>
        <v>24654.37</v>
      </c>
      <c r="I20" s="160">
        <f t="shared" si="6"/>
        <v>24654.37</v>
      </c>
      <c r="J20" s="160">
        <f t="shared" si="6"/>
        <v>24654.37</v>
      </c>
      <c r="K20" s="160">
        <f t="shared" si="6"/>
        <v>24654.37</v>
      </c>
      <c r="L20" s="160">
        <f t="shared" si="6"/>
        <v>24654.37</v>
      </c>
      <c r="M20" s="160">
        <f t="shared" si="6"/>
        <v>24654.365053287387</v>
      </c>
      <c r="N20" s="160">
        <f t="shared" si="6"/>
        <v>24654.37</v>
      </c>
      <c r="O20" s="160">
        <f t="shared" si="6"/>
        <v>24654.37</v>
      </c>
      <c r="P20" s="160">
        <f t="shared" si="6"/>
        <v>24654.37</v>
      </c>
      <c r="Q20" s="160">
        <f t="shared" si="6"/>
        <v>24654.37</v>
      </c>
      <c r="R20" s="160">
        <f t="shared" si="6"/>
        <v>24654.37</v>
      </c>
      <c r="S20" s="160">
        <f t="shared" si="6"/>
        <v>24654.37</v>
      </c>
      <c r="T20" s="160">
        <f t="shared" si="6"/>
        <v>24654.37</v>
      </c>
      <c r="U20" s="160">
        <f t="shared" si="6"/>
        <v>0</v>
      </c>
      <c r="V20" s="160">
        <f t="shared" si="6"/>
        <v>0</v>
      </c>
      <c r="W20" s="160">
        <f t="shared" si="6"/>
        <v>0</v>
      </c>
      <c r="X20" s="160">
        <f t="shared" si="6"/>
        <v>0</v>
      </c>
      <c r="Y20" s="160">
        <f t="shared" si="6"/>
        <v>0</v>
      </c>
      <c r="Z20" s="160">
        <f t="shared" si="6"/>
        <v>0</v>
      </c>
      <c r="AA20" s="222">
        <f t="shared" si="6"/>
        <v>0</v>
      </c>
      <c r="AB20" s="227">
        <f t="shared" si="6"/>
        <v>0</v>
      </c>
      <c r="AC20" s="227">
        <f t="shared" si="6"/>
        <v>0</v>
      </c>
      <c r="AD20" s="227">
        <f t="shared" si="6"/>
        <v>0</v>
      </c>
      <c r="AE20" s="227">
        <f t="shared" si="6"/>
        <v>0</v>
      </c>
      <c r="AF20" s="227">
        <v>0</v>
      </c>
      <c r="AG20" s="227">
        <f t="shared" si="6"/>
        <v>0</v>
      </c>
      <c r="AH20" s="227">
        <f t="shared" si="6"/>
        <v>0</v>
      </c>
      <c r="AI20" s="227">
        <f t="shared" si="6"/>
        <v>0</v>
      </c>
      <c r="AJ20" s="227">
        <f t="shared" si="6"/>
        <v>0</v>
      </c>
      <c r="AK20" s="227">
        <f t="shared" si="6"/>
        <v>0</v>
      </c>
      <c r="AL20" s="227">
        <f t="shared" si="6"/>
        <v>0</v>
      </c>
      <c r="AM20" s="227">
        <f t="shared" si="6"/>
        <v>0</v>
      </c>
      <c r="AN20" s="227">
        <f t="shared" si="6"/>
        <v>0</v>
      </c>
      <c r="AO20" s="227">
        <f t="shared" si="6"/>
        <v>0</v>
      </c>
      <c r="AP20" s="227">
        <f t="shared" si="6"/>
        <v>0</v>
      </c>
      <c r="AQ20" s="227">
        <f t="shared" si="6"/>
        <v>0</v>
      </c>
      <c r="AR20" s="227">
        <f t="shared" si="6"/>
        <v>0</v>
      </c>
      <c r="AS20" s="227">
        <f t="shared" ref="AS20:BC20" si="7">SUM(AS21:AS23)</f>
        <v>87423</v>
      </c>
      <c r="AT20" s="227">
        <f t="shared" si="7"/>
        <v>0</v>
      </c>
      <c r="AU20" s="227">
        <f t="shared" si="7"/>
        <v>0</v>
      </c>
      <c r="AV20" s="227">
        <f t="shared" si="7"/>
        <v>0</v>
      </c>
      <c r="AW20" s="227">
        <f t="shared" si="7"/>
        <v>0</v>
      </c>
      <c r="AX20" s="227">
        <f t="shared" si="7"/>
        <v>0</v>
      </c>
      <c r="AY20" s="227">
        <f t="shared" si="7"/>
        <v>0</v>
      </c>
      <c r="AZ20" s="227">
        <f t="shared" si="7"/>
        <v>0</v>
      </c>
      <c r="BA20" s="227">
        <f t="shared" si="7"/>
        <v>0</v>
      </c>
      <c r="BB20" s="227">
        <f t="shared" si="7"/>
        <v>0</v>
      </c>
      <c r="BC20" s="227">
        <f t="shared" si="7"/>
        <v>0</v>
      </c>
    </row>
    <row r="21" spans="1:55" ht="15.75">
      <c r="A21" s="154"/>
      <c r="B21" s="168" t="s">
        <v>23</v>
      </c>
      <c r="C21" s="173"/>
      <c r="D21" s="173"/>
      <c r="E21" s="173"/>
      <c r="F21" s="162"/>
      <c r="G21" s="163">
        <v>0</v>
      </c>
      <c r="H21" s="163">
        <v>0</v>
      </c>
      <c r="I21" s="163">
        <v>0</v>
      </c>
      <c r="J21" s="163">
        <v>0</v>
      </c>
      <c r="K21" s="163">
        <v>0</v>
      </c>
      <c r="L21" s="163">
        <v>0</v>
      </c>
      <c r="M21" s="163"/>
      <c r="N21" s="163">
        <v>0</v>
      </c>
      <c r="O21" s="163">
        <v>0</v>
      </c>
      <c r="P21" s="163">
        <v>0</v>
      </c>
      <c r="Q21" s="163">
        <v>0</v>
      </c>
      <c r="R21" s="163">
        <v>0</v>
      </c>
      <c r="S21" s="163">
        <v>0</v>
      </c>
      <c r="T21" s="167">
        <v>0</v>
      </c>
      <c r="U21" s="167">
        <v>0</v>
      </c>
      <c r="V21" s="167">
        <v>0</v>
      </c>
      <c r="W21" s="167">
        <v>0</v>
      </c>
      <c r="X21" s="215">
        <v>0</v>
      </c>
      <c r="Y21" s="215">
        <v>0</v>
      </c>
      <c r="Z21" s="215">
        <v>0</v>
      </c>
      <c r="AA21" s="228">
        <v>0</v>
      </c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57">
        <v>87423</v>
      </c>
      <c r="AT21" s="285">
        <v>0</v>
      </c>
      <c r="AU21" s="287">
        <v>0</v>
      </c>
      <c r="AV21" s="287">
        <v>0</v>
      </c>
      <c r="AW21" s="287">
        <v>0</v>
      </c>
      <c r="AX21" s="287">
        <v>0</v>
      </c>
      <c r="AY21" s="287">
        <v>0</v>
      </c>
      <c r="AZ21" s="287">
        <v>0</v>
      </c>
    </row>
    <row r="22" spans="1:55" ht="15.75">
      <c r="A22" s="158"/>
      <c r="B22" s="168" t="s">
        <v>24</v>
      </c>
      <c r="C22" s="173"/>
      <c r="D22" s="173"/>
      <c r="E22" s="173"/>
      <c r="F22" s="162">
        <v>24654</v>
      </c>
      <c r="G22" s="163">
        <v>24654.37</v>
      </c>
      <c r="H22" s="163">
        <v>24654.37</v>
      </c>
      <c r="I22" s="163">
        <v>24654.37</v>
      </c>
      <c r="J22" s="163">
        <v>24654.37</v>
      </c>
      <c r="K22" s="163">
        <v>24654.37</v>
      </c>
      <c r="L22" s="163">
        <v>24654.37</v>
      </c>
      <c r="M22" s="166">
        <v>24654.365053287387</v>
      </c>
      <c r="N22" s="163">
        <v>24654.37</v>
      </c>
      <c r="O22" s="163">
        <v>24654.37</v>
      </c>
      <c r="P22" s="163">
        <v>24654.37</v>
      </c>
      <c r="Q22" s="163">
        <v>24654.37</v>
      </c>
      <c r="R22" s="163">
        <v>24654.37</v>
      </c>
      <c r="S22" s="163">
        <v>24654.37</v>
      </c>
      <c r="T22" s="167">
        <v>24654.37</v>
      </c>
      <c r="U22" s="167">
        <v>0</v>
      </c>
      <c r="V22" s="167">
        <v>0</v>
      </c>
      <c r="W22" s="167">
        <v>0</v>
      </c>
      <c r="X22" s="215">
        <v>0</v>
      </c>
      <c r="Y22" s="215">
        <v>0</v>
      </c>
      <c r="Z22" s="215">
        <v>0</v>
      </c>
      <c r="AA22" s="228">
        <v>0</v>
      </c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57">
        <v>0</v>
      </c>
      <c r="AT22" s="289">
        <v>0</v>
      </c>
      <c r="AU22" s="291">
        <v>0</v>
      </c>
      <c r="AV22" s="291">
        <v>0</v>
      </c>
      <c r="AW22" s="291">
        <v>0</v>
      </c>
      <c r="AX22" s="291">
        <v>0</v>
      </c>
      <c r="AY22" s="291">
        <v>0</v>
      </c>
      <c r="AZ22" s="291">
        <v>0</v>
      </c>
    </row>
    <row r="23" spans="1:55" ht="15.75">
      <c r="A23" s="158"/>
      <c r="B23" s="168" t="s">
        <v>25</v>
      </c>
      <c r="C23" s="173"/>
      <c r="D23" s="173"/>
      <c r="E23" s="173"/>
      <c r="F23" s="162"/>
      <c r="G23" s="163">
        <v>0</v>
      </c>
      <c r="H23" s="163">
        <v>0</v>
      </c>
      <c r="I23" s="163">
        <v>0</v>
      </c>
      <c r="J23" s="163">
        <v>0</v>
      </c>
      <c r="K23" s="163">
        <v>0</v>
      </c>
      <c r="L23" s="163">
        <v>0</v>
      </c>
      <c r="M23" s="163"/>
      <c r="N23" s="163">
        <v>0</v>
      </c>
      <c r="O23" s="163">
        <v>0</v>
      </c>
      <c r="P23" s="163">
        <v>0</v>
      </c>
      <c r="Q23" s="163">
        <v>0</v>
      </c>
      <c r="R23" s="163">
        <v>0</v>
      </c>
      <c r="S23" s="163">
        <v>0</v>
      </c>
      <c r="T23" s="167">
        <v>0</v>
      </c>
      <c r="U23" s="167">
        <v>0</v>
      </c>
      <c r="V23" s="167">
        <v>0</v>
      </c>
      <c r="W23" s="167">
        <v>0</v>
      </c>
      <c r="X23" s="215">
        <v>0</v>
      </c>
      <c r="Y23" s="215">
        <v>0</v>
      </c>
      <c r="Z23" s="215">
        <v>0</v>
      </c>
      <c r="AA23" s="228">
        <v>0</v>
      </c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57">
        <v>0</v>
      </c>
      <c r="AT23" s="289">
        <v>0</v>
      </c>
      <c r="AU23" s="291">
        <v>0</v>
      </c>
      <c r="AV23" s="291">
        <v>0</v>
      </c>
      <c r="AW23" s="291">
        <v>0</v>
      </c>
      <c r="AX23" s="291">
        <v>0</v>
      </c>
      <c r="AY23" s="291">
        <v>0</v>
      </c>
      <c r="AZ23" s="291">
        <v>0</v>
      </c>
    </row>
    <row r="24" spans="1:55">
      <c r="A24" s="158"/>
      <c r="B24" s="168"/>
      <c r="C24" s="173"/>
      <c r="D24" s="173"/>
      <c r="E24" s="173"/>
      <c r="F24" s="162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57"/>
    </row>
    <row r="25" spans="1:55" ht="15.75">
      <c r="A25" s="158"/>
      <c r="B25" s="159" t="s">
        <v>26</v>
      </c>
      <c r="C25" s="160">
        <f>SUM(C26:C30)</f>
        <v>12988708</v>
      </c>
      <c r="D25" s="160">
        <f t="shared" ref="D25:BC25" si="8">SUM(D26:D30)</f>
        <v>16405838.027000001</v>
      </c>
      <c r="E25" s="160">
        <f t="shared" si="8"/>
        <v>18915297</v>
      </c>
      <c r="F25" s="160">
        <f t="shared" si="8"/>
        <v>18369726</v>
      </c>
      <c r="G25" s="160">
        <f t="shared" si="8"/>
        <v>17066421.579999998</v>
      </c>
      <c r="H25" s="160">
        <f t="shared" si="8"/>
        <v>17019582.309999999</v>
      </c>
      <c r="I25" s="160">
        <f t="shared" si="8"/>
        <v>17004895.039999999</v>
      </c>
      <c r="J25" s="160">
        <f t="shared" si="8"/>
        <v>16944608.77</v>
      </c>
      <c r="K25" s="160">
        <f t="shared" si="8"/>
        <v>16857960</v>
      </c>
      <c r="L25" s="160">
        <f t="shared" si="8"/>
        <v>16789311.23</v>
      </c>
      <c r="M25" s="160">
        <f t="shared" si="8"/>
        <v>16789311.724011593</v>
      </c>
      <c r="N25" s="160">
        <f t="shared" si="8"/>
        <v>16615514.68</v>
      </c>
      <c r="O25" s="160">
        <f t="shared" si="8"/>
        <v>16528616.41</v>
      </c>
      <c r="P25" s="160">
        <f t="shared" si="8"/>
        <v>16441718.140000001</v>
      </c>
      <c r="Q25" s="160">
        <f t="shared" si="8"/>
        <v>16366895.869999999</v>
      </c>
      <c r="R25" s="160">
        <f t="shared" si="8"/>
        <v>16279855.6</v>
      </c>
      <c r="S25" s="160">
        <f t="shared" si="8"/>
        <v>16961877</v>
      </c>
      <c r="T25" s="160">
        <f t="shared" si="8"/>
        <v>16156754.6</v>
      </c>
      <c r="U25" s="160">
        <f t="shared" si="8"/>
        <v>16206763.67</v>
      </c>
      <c r="V25" s="160">
        <f t="shared" si="8"/>
        <v>16178417.26</v>
      </c>
      <c r="W25" s="160">
        <f t="shared" si="8"/>
        <v>16111321.85</v>
      </c>
      <c r="X25" s="160">
        <f t="shared" si="8"/>
        <v>16057486.439999999</v>
      </c>
      <c r="Y25" s="160">
        <f t="shared" si="8"/>
        <v>15982914.02</v>
      </c>
      <c r="Z25" s="160">
        <f t="shared" si="8"/>
        <v>15948342.609999999</v>
      </c>
      <c r="AA25" s="160">
        <f t="shared" si="8"/>
        <v>15990771.199999999</v>
      </c>
      <c r="AB25" s="160">
        <f t="shared" si="8"/>
        <v>17288159.189999998</v>
      </c>
      <c r="AC25" s="160">
        <f t="shared" si="8"/>
        <v>17061718.77</v>
      </c>
      <c r="AD25" s="160">
        <f t="shared" si="8"/>
        <v>16982898.359999999</v>
      </c>
      <c r="AE25" s="160">
        <f t="shared" si="8"/>
        <v>16907609.949999999</v>
      </c>
      <c r="AF25" s="160">
        <f t="shared" si="8"/>
        <v>16975566</v>
      </c>
      <c r="AG25" s="160">
        <f t="shared" si="8"/>
        <v>16914254.600000001</v>
      </c>
      <c r="AH25" s="160">
        <f t="shared" si="8"/>
        <v>16852943.210000001</v>
      </c>
      <c r="AI25" s="160">
        <f t="shared" si="8"/>
        <v>16791631.82</v>
      </c>
      <c r="AJ25" s="160">
        <f t="shared" si="8"/>
        <v>16730320.439999999</v>
      </c>
      <c r="AK25" s="160">
        <f t="shared" si="8"/>
        <v>16669009.050000001</v>
      </c>
      <c r="AL25" s="160">
        <f t="shared" si="8"/>
        <v>16607697.66</v>
      </c>
      <c r="AM25" s="160">
        <f t="shared" si="8"/>
        <v>16560982.280000001</v>
      </c>
      <c r="AN25" s="160">
        <f t="shared" si="8"/>
        <v>16499541.890000001</v>
      </c>
      <c r="AO25" s="160">
        <f t="shared" si="8"/>
        <v>16438101.5</v>
      </c>
      <c r="AP25" s="160">
        <f t="shared" si="8"/>
        <v>16376660.110000001</v>
      </c>
      <c r="AQ25" s="160">
        <f t="shared" si="8"/>
        <v>17818724.729999997</v>
      </c>
      <c r="AR25" s="160">
        <f t="shared" si="8"/>
        <v>16253779.34</v>
      </c>
      <c r="AS25" s="160">
        <f t="shared" si="8"/>
        <v>16253779</v>
      </c>
      <c r="AT25" s="160">
        <f t="shared" si="8"/>
        <v>16199068.040000001</v>
      </c>
      <c r="AU25" s="160">
        <f t="shared" si="8"/>
        <v>16144356.5</v>
      </c>
      <c r="AV25" s="160">
        <f t="shared" si="8"/>
        <v>16089644.950000001</v>
      </c>
      <c r="AW25" s="160">
        <f t="shared" si="8"/>
        <v>16034933.41</v>
      </c>
      <c r="AX25" s="160">
        <f t="shared" si="8"/>
        <v>15980221.860000001</v>
      </c>
      <c r="AY25" s="160">
        <f t="shared" si="8"/>
        <v>15925510.32</v>
      </c>
      <c r="AZ25" s="160">
        <f t="shared" si="8"/>
        <v>15870798</v>
      </c>
      <c r="BA25" s="160">
        <f t="shared" si="8"/>
        <v>0</v>
      </c>
      <c r="BB25" s="160">
        <f t="shared" si="8"/>
        <v>0</v>
      </c>
      <c r="BC25" s="160">
        <f t="shared" si="8"/>
        <v>0</v>
      </c>
    </row>
    <row r="26" spans="1:55" ht="15.75">
      <c r="A26" s="154"/>
      <c r="B26" s="168" t="s">
        <v>27</v>
      </c>
      <c r="C26" s="162"/>
      <c r="D26" s="162"/>
      <c r="E26" s="162"/>
      <c r="F26" s="162">
        <v>4728302</v>
      </c>
      <c r="G26" s="163">
        <v>4038480</v>
      </c>
      <c r="H26" s="163">
        <v>4728302</v>
      </c>
      <c r="I26" s="163">
        <v>4728302</v>
      </c>
      <c r="J26" s="163">
        <v>4728302</v>
      </c>
      <c r="K26" s="163">
        <v>4728302</v>
      </c>
      <c r="L26" s="165">
        <v>4728302</v>
      </c>
      <c r="M26" s="163">
        <v>4728302</v>
      </c>
      <c r="N26" s="163">
        <v>4728302</v>
      </c>
      <c r="O26" s="163">
        <v>4728302</v>
      </c>
      <c r="P26" s="163">
        <v>4728302</v>
      </c>
      <c r="Q26" s="163">
        <v>4728302</v>
      </c>
      <c r="R26" s="163">
        <v>4728302</v>
      </c>
      <c r="S26" s="163"/>
      <c r="T26" s="167">
        <v>4728302</v>
      </c>
      <c r="U26" s="167">
        <v>4728302</v>
      </c>
      <c r="V26" s="167">
        <v>4774302</v>
      </c>
      <c r="W26" s="167">
        <v>4781552</v>
      </c>
      <c r="X26" s="215">
        <v>4781552</v>
      </c>
      <c r="Y26" s="215">
        <v>4781552</v>
      </c>
      <c r="Z26" s="215">
        <v>4821552</v>
      </c>
      <c r="AA26" s="228">
        <v>4938552</v>
      </c>
      <c r="AB26" s="243">
        <v>6310511.4000000004</v>
      </c>
      <c r="AC26" s="243">
        <v>5990211.4000000004</v>
      </c>
      <c r="AD26" s="243">
        <v>5990211.4000000004</v>
      </c>
      <c r="AE26" s="243">
        <v>5990211.4000000004</v>
      </c>
      <c r="AF26" s="276"/>
      <c r="AG26" s="265">
        <v>5990211.4000000004</v>
      </c>
      <c r="AH26" s="265">
        <v>5990211.4000000004</v>
      </c>
      <c r="AI26" s="265">
        <v>5990211.4000000004</v>
      </c>
      <c r="AJ26" s="265">
        <v>5990211.4000000004</v>
      </c>
      <c r="AK26" s="265">
        <v>5990211.4000000004</v>
      </c>
      <c r="AL26" s="265">
        <v>5990211.4000000004</v>
      </c>
      <c r="AM26" s="265">
        <v>5990211.4000000004</v>
      </c>
      <c r="AN26" s="265">
        <v>5990211.4000000004</v>
      </c>
      <c r="AO26" s="265">
        <v>5990211.4000000004</v>
      </c>
      <c r="AP26" s="265">
        <v>5990211.4000000004</v>
      </c>
      <c r="AQ26" s="265">
        <v>5990211.4000000004</v>
      </c>
      <c r="AR26" s="269">
        <v>5990211.4000000004</v>
      </c>
      <c r="AS26" s="257"/>
      <c r="AT26" s="286">
        <v>5990211.4000000004</v>
      </c>
      <c r="AU26" s="288">
        <v>5990211.4000000004</v>
      </c>
      <c r="AV26" s="288">
        <v>5990211.4000000004</v>
      </c>
      <c r="AW26" s="288">
        <v>5990211.4000000004</v>
      </c>
      <c r="AX26" s="288">
        <v>5990211.4000000004</v>
      </c>
      <c r="AY26" s="288">
        <v>5990211.4000000004</v>
      </c>
      <c r="AZ26" s="288">
        <v>5990211</v>
      </c>
    </row>
    <row r="27" spans="1:55" ht="15.75">
      <c r="A27" s="158"/>
      <c r="B27" s="168" t="s">
        <v>28</v>
      </c>
      <c r="C27" s="162">
        <v>10052178</v>
      </c>
      <c r="D27" s="162">
        <v>14045660</v>
      </c>
      <c r="E27" s="162">
        <v>16051260</v>
      </c>
      <c r="F27" s="162">
        <f>10646547+399391+117946+468108</f>
        <v>11631992</v>
      </c>
      <c r="G27" s="163">
        <v>12221216</v>
      </c>
      <c r="H27" s="163">
        <v>11505240</v>
      </c>
      <c r="I27" s="163">
        <v>11511238</v>
      </c>
      <c r="J27" s="163">
        <v>11445987</v>
      </c>
      <c r="K27" s="164">
        <v>11380736</v>
      </c>
      <c r="L27" s="165">
        <v>11357710</v>
      </c>
      <c r="M27" s="163">
        <v>11357710.498851094</v>
      </c>
      <c r="N27" s="163">
        <v>11225284</v>
      </c>
      <c r="O27" s="163">
        <v>11159071</v>
      </c>
      <c r="P27" s="163">
        <v>11092858</v>
      </c>
      <c r="Q27" s="163">
        <v>11038721</v>
      </c>
      <c r="R27" s="163">
        <v>10972366</v>
      </c>
      <c r="S27" s="163">
        <v>15634519</v>
      </c>
      <c r="T27" s="167">
        <v>10849265</v>
      </c>
      <c r="U27" s="167">
        <v>10865392</v>
      </c>
      <c r="V27" s="167">
        <v>10807179</v>
      </c>
      <c r="W27" s="167">
        <v>10748967</v>
      </c>
      <c r="X27" s="215">
        <v>10711265</v>
      </c>
      <c r="Y27" s="215">
        <v>10652826</v>
      </c>
      <c r="Z27" s="215">
        <v>10594388</v>
      </c>
      <c r="AA27" s="228">
        <v>10535950</v>
      </c>
      <c r="AB27" s="243">
        <v>10477512</v>
      </c>
      <c r="AC27" s="243">
        <v>10587505</v>
      </c>
      <c r="AD27" s="243">
        <v>10524818</v>
      </c>
      <c r="AE27" s="243">
        <v>10465663</v>
      </c>
      <c r="AF27" s="276">
        <v>16491564</v>
      </c>
      <c r="AG27" s="265">
        <v>10450124</v>
      </c>
      <c r="AH27" s="265">
        <v>10398896</v>
      </c>
      <c r="AI27" s="265">
        <v>10347668</v>
      </c>
      <c r="AJ27" s="265">
        <v>10296440</v>
      </c>
      <c r="AK27" s="265">
        <v>10245212</v>
      </c>
      <c r="AL27" s="265">
        <v>10193984</v>
      </c>
      <c r="AM27" s="265">
        <v>10157352</v>
      </c>
      <c r="AN27" s="265">
        <v>10105995</v>
      </c>
      <c r="AO27" s="265">
        <v>10054638</v>
      </c>
      <c r="AP27" s="265">
        <v>10003280</v>
      </c>
      <c r="AQ27" s="265">
        <v>11455428</v>
      </c>
      <c r="AR27" s="267">
        <v>9900566</v>
      </c>
      <c r="AS27" s="257">
        <v>15890778</v>
      </c>
      <c r="AT27" s="290">
        <v>9853417</v>
      </c>
      <c r="AU27" s="292">
        <v>9806268</v>
      </c>
      <c r="AV27" s="292">
        <v>9759119</v>
      </c>
      <c r="AW27" s="292">
        <v>9711970</v>
      </c>
      <c r="AX27" s="292">
        <v>9664821</v>
      </c>
      <c r="AY27" s="292">
        <v>9617672</v>
      </c>
      <c r="AZ27" s="292">
        <v>9570523</v>
      </c>
    </row>
    <row r="28" spans="1:55" ht="15.75">
      <c r="A28" s="158"/>
      <c r="B28" s="168" t="s">
        <v>29</v>
      </c>
      <c r="C28" s="162"/>
      <c r="D28" s="162"/>
      <c r="E28" s="162"/>
      <c r="F28" s="162"/>
      <c r="G28" s="163">
        <v>0</v>
      </c>
      <c r="H28" s="163">
        <v>0</v>
      </c>
      <c r="I28" s="163">
        <v>0</v>
      </c>
      <c r="J28" s="163">
        <v>0</v>
      </c>
      <c r="K28" s="164">
        <v>0</v>
      </c>
      <c r="L28" s="165">
        <v>0</v>
      </c>
      <c r="M28" s="163">
        <v>0</v>
      </c>
      <c r="N28" s="163">
        <v>0</v>
      </c>
      <c r="O28" s="163">
        <v>0</v>
      </c>
      <c r="P28" s="163">
        <v>0</v>
      </c>
      <c r="Q28" s="163">
        <v>0</v>
      </c>
      <c r="R28" s="163">
        <v>0</v>
      </c>
      <c r="S28" s="163"/>
      <c r="T28" s="167">
        <v>0</v>
      </c>
      <c r="U28" s="167">
        <v>0</v>
      </c>
      <c r="V28" s="167">
        <v>0</v>
      </c>
      <c r="W28" s="167">
        <v>0</v>
      </c>
      <c r="X28" s="215">
        <v>0</v>
      </c>
      <c r="Y28" s="215">
        <v>0</v>
      </c>
      <c r="Z28" s="215">
        <v>0</v>
      </c>
      <c r="AA28" s="228">
        <v>0</v>
      </c>
      <c r="AB28" s="225">
        <v>0</v>
      </c>
      <c r="AC28" s="225">
        <v>0</v>
      </c>
      <c r="AD28" s="225">
        <v>0</v>
      </c>
      <c r="AE28" s="225">
        <v>0</v>
      </c>
      <c r="AG28" s="265">
        <v>0</v>
      </c>
      <c r="AH28" s="265">
        <v>0</v>
      </c>
      <c r="AI28" s="265">
        <v>0</v>
      </c>
      <c r="AJ28" s="265">
        <v>0</v>
      </c>
      <c r="AK28" s="265">
        <v>0</v>
      </c>
      <c r="AL28" s="265">
        <v>0</v>
      </c>
      <c r="AM28" s="265">
        <v>0</v>
      </c>
      <c r="AN28" s="265">
        <v>0</v>
      </c>
      <c r="AO28" s="265">
        <v>0</v>
      </c>
      <c r="AP28" s="265">
        <v>0</v>
      </c>
      <c r="AQ28" s="265">
        <v>0</v>
      </c>
      <c r="AR28" s="267">
        <v>0</v>
      </c>
      <c r="AS28" s="257"/>
      <c r="AT28" s="289">
        <v>0</v>
      </c>
      <c r="AU28" s="291">
        <v>0</v>
      </c>
      <c r="AV28" s="291">
        <v>0</v>
      </c>
      <c r="AW28" s="291">
        <v>0</v>
      </c>
      <c r="AX28" s="291">
        <v>0</v>
      </c>
      <c r="AY28" s="291">
        <v>0</v>
      </c>
      <c r="AZ28" s="291">
        <v>0</v>
      </c>
    </row>
    <row r="29" spans="1:55" ht="15.75">
      <c r="A29" s="158"/>
      <c r="B29" s="168" t="s">
        <v>30</v>
      </c>
      <c r="C29" s="162">
        <v>254508</v>
      </c>
      <c r="D29" s="162">
        <v>178156.027</v>
      </c>
      <c r="E29" s="162">
        <v>1182015</v>
      </c>
      <c r="F29" s="162">
        <v>827410</v>
      </c>
      <c r="G29" s="163">
        <v>806725.58</v>
      </c>
      <c r="H29" s="163">
        <v>786040.31</v>
      </c>
      <c r="I29" s="163">
        <v>765355.04</v>
      </c>
      <c r="J29" s="163">
        <v>770319.77</v>
      </c>
      <c r="K29" s="164">
        <v>748922</v>
      </c>
      <c r="L29" s="165">
        <v>703299.23</v>
      </c>
      <c r="M29" s="163">
        <v>703299.2251604998</v>
      </c>
      <c r="N29" s="163">
        <v>661928.68000000005</v>
      </c>
      <c r="O29" s="163">
        <v>641243.41</v>
      </c>
      <c r="P29" s="163">
        <v>620558.14</v>
      </c>
      <c r="Q29" s="163">
        <v>599872.87</v>
      </c>
      <c r="R29" s="163">
        <v>579187.6</v>
      </c>
      <c r="S29" s="163">
        <v>645336</v>
      </c>
      <c r="T29" s="167">
        <v>579187.6</v>
      </c>
      <c r="U29" s="167">
        <v>613069.67000000004</v>
      </c>
      <c r="V29" s="167">
        <v>596936.26</v>
      </c>
      <c r="W29" s="167">
        <v>580802.85</v>
      </c>
      <c r="X29" s="215">
        <v>564669.43999999994</v>
      </c>
      <c r="Y29" s="215">
        <v>548536.02</v>
      </c>
      <c r="Z29" s="215">
        <v>532402.61</v>
      </c>
      <c r="AA29" s="228">
        <v>516269.2</v>
      </c>
      <c r="AB29" s="243">
        <v>500135.79</v>
      </c>
      <c r="AC29" s="243">
        <v>484002.37</v>
      </c>
      <c r="AD29" s="243">
        <v>467868.96</v>
      </c>
      <c r="AE29" s="243">
        <v>451735.55</v>
      </c>
      <c r="AF29" s="276">
        <v>484002</v>
      </c>
      <c r="AG29" s="265">
        <v>473919.2</v>
      </c>
      <c r="AH29" s="265">
        <v>463835.81</v>
      </c>
      <c r="AI29" s="265">
        <v>453752.42</v>
      </c>
      <c r="AJ29" s="265">
        <v>443669.04</v>
      </c>
      <c r="AK29" s="265">
        <v>433585.65</v>
      </c>
      <c r="AL29" s="265">
        <v>423502.26</v>
      </c>
      <c r="AM29" s="265">
        <v>413418.88</v>
      </c>
      <c r="AN29" s="265">
        <v>403335.49</v>
      </c>
      <c r="AO29" s="265">
        <v>393252.1</v>
      </c>
      <c r="AP29" s="265">
        <v>383168.71</v>
      </c>
      <c r="AQ29" s="265">
        <v>373085.33</v>
      </c>
      <c r="AR29" s="267">
        <v>363001.94</v>
      </c>
      <c r="AS29" s="257">
        <v>363001</v>
      </c>
      <c r="AT29" s="290">
        <v>355439.64</v>
      </c>
      <c r="AU29" s="292">
        <v>347877.1</v>
      </c>
      <c r="AV29" s="292">
        <v>340314.55</v>
      </c>
      <c r="AW29" s="292">
        <v>332752.01</v>
      </c>
      <c r="AX29" s="292">
        <v>325189.46000000002</v>
      </c>
      <c r="AY29" s="292">
        <v>317626.92</v>
      </c>
      <c r="AZ29" s="292">
        <v>310064</v>
      </c>
    </row>
    <row r="30" spans="1:55" ht="15.75">
      <c r="A30" s="158"/>
      <c r="B30" s="168" t="s">
        <v>31</v>
      </c>
      <c r="C30" s="162">
        <v>2682022</v>
      </c>
      <c r="D30" s="162">
        <v>2182022</v>
      </c>
      <c r="E30" s="162">
        <v>1682022</v>
      </c>
      <c r="F30" s="162">
        <v>1182022</v>
      </c>
      <c r="G30" s="163">
        <v>0</v>
      </c>
      <c r="H30" s="163">
        <v>0</v>
      </c>
      <c r="I30" s="163">
        <v>0</v>
      </c>
      <c r="J30" s="163">
        <v>0</v>
      </c>
      <c r="K30" s="164">
        <v>0</v>
      </c>
      <c r="L30" s="165">
        <v>0</v>
      </c>
      <c r="M30" s="163"/>
      <c r="N30" s="163">
        <v>0</v>
      </c>
      <c r="O30" s="163">
        <v>0</v>
      </c>
      <c r="P30" s="163">
        <v>0</v>
      </c>
      <c r="Q30" s="163">
        <v>0</v>
      </c>
      <c r="R30" s="163">
        <v>0</v>
      </c>
      <c r="S30" s="163">
        <v>682022</v>
      </c>
      <c r="T30" s="167">
        <v>0</v>
      </c>
      <c r="U30" s="167">
        <v>0</v>
      </c>
      <c r="V30" s="167">
        <v>0</v>
      </c>
      <c r="W30" s="167">
        <v>0</v>
      </c>
      <c r="X30" s="215">
        <v>0</v>
      </c>
      <c r="Y30" s="215">
        <v>0</v>
      </c>
      <c r="Z30" s="215">
        <v>0</v>
      </c>
      <c r="AA30" s="228">
        <v>0</v>
      </c>
      <c r="AB30" s="225">
        <v>0</v>
      </c>
      <c r="AC30" s="225">
        <v>0</v>
      </c>
      <c r="AD30" s="225">
        <v>0</v>
      </c>
      <c r="AE30" s="225">
        <v>0</v>
      </c>
      <c r="AG30" s="265">
        <v>0</v>
      </c>
      <c r="AH30" s="265">
        <v>0</v>
      </c>
      <c r="AI30" s="265">
        <v>0</v>
      </c>
      <c r="AJ30" s="265">
        <v>0</v>
      </c>
      <c r="AK30" s="265">
        <v>0</v>
      </c>
      <c r="AL30" s="265">
        <v>0</v>
      </c>
      <c r="AM30" s="265">
        <v>0</v>
      </c>
      <c r="AN30" s="265">
        <v>0</v>
      </c>
      <c r="AO30" s="265">
        <v>0</v>
      </c>
      <c r="AP30" s="265">
        <v>0</v>
      </c>
      <c r="AQ30" s="265">
        <v>0</v>
      </c>
      <c r="AR30" s="270">
        <v>0</v>
      </c>
      <c r="AS30" s="257"/>
      <c r="AT30" s="289">
        <v>0</v>
      </c>
      <c r="AU30" s="291">
        <v>0</v>
      </c>
      <c r="AV30" s="291">
        <v>0</v>
      </c>
      <c r="AW30" s="291">
        <v>0</v>
      </c>
      <c r="AX30" s="291">
        <v>0</v>
      </c>
      <c r="AY30" s="291">
        <v>0</v>
      </c>
      <c r="AZ30" s="291">
        <v>0</v>
      </c>
    </row>
    <row r="31" spans="1:55">
      <c r="A31" s="158"/>
      <c r="B31" s="168"/>
      <c r="C31" s="162"/>
      <c r="D31" s="162"/>
      <c r="E31" s="162"/>
      <c r="F31" s="162"/>
      <c r="G31" s="163"/>
      <c r="H31" s="163"/>
      <c r="I31" s="163"/>
      <c r="J31" s="163"/>
      <c r="K31" s="164"/>
      <c r="L31" s="165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57"/>
    </row>
    <row r="32" spans="1:55" ht="15.75">
      <c r="A32" s="154"/>
      <c r="B32" s="174" t="s">
        <v>32</v>
      </c>
      <c r="C32" s="175">
        <f>C3+C7+C9+C16+C20+C25</f>
        <v>190156140</v>
      </c>
      <c r="D32" s="175">
        <f t="shared" ref="D32:BC32" si="9">D3+D7+D9+D16+D20+D25</f>
        <v>198783077.02700001</v>
      </c>
      <c r="E32" s="175">
        <f t="shared" si="9"/>
        <v>215833396</v>
      </c>
      <c r="F32" s="175">
        <f t="shared" si="9"/>
        <v>246382881</v>
      </c>
      <c r="G32" s="175">
        <f t="shared" si="9"/>
        <v>241169670.75999999</v>
      </c>
      <c r="H32" s="175">
        <f t="shared" si="9"/>
        <v>235106280.50999999</v>
      </c>
      <c r="I32" s="175">
        <f t="shared" si="9"/>
        <v>247399069.65000001</v>
      </c>
      <c r="J32" s="175">
        <f t="shared" si="9"/>
        <v>238144117.21000001</v>
      </c>
      <c r="K32" s="175">
        <f t="shared" si="9"/>
        <v>237334643.60999998</v>
      </c>
      <c r="L32" s="175">
        <f t="shared" si="9"/>
        <v>235974681.63</v>
      </c>
      <c r="M32" s="175">
        <f t="shared" si="9"/>
        <v>239022432.88286489</v>
      </c>
      <c r="N32" s="175">
        <f t="shared" si="9"/>
        <v>241421406.00999999</v>
      </c>
      <c r="O32" s="175">
        <f t="shared" si="9"/>
        <v>253306280.16</v>
      </c>
      <c r="P32" s="175">
        <f t="shared" si="9"/>
        <v>254121880.01999998</v>
      </c>
      <c r="Q32" s="175">
        <f t="shared" si="9"/>
        <v>261717039.83000001</v>
      </c>
      <c r="R32" s="175">
        <f t="shared" si="9"/>
        <v>258809980.40000001</v>
      </c>
      <c r="S32" s="175">
        <f t="shared" si="9"/>
        <v>214760602.05939996</v>
      </c>
      <c r="T32" s="175">
        <f t="shared" si="9"/>
        <v>276480109.47000003</v>
      </c>
      <c r="U32" s="175">
        <f t="shared" si="9"/>
        <v>229304458.38999999</v>
      </c>
      <c r="V32" s="175">
        <f t="shared" si="9"/>
        <v>228452224.63999999</v>
      </c>
      <c r="W32" s="175">
        <f t="shared" si="9"/>
        <v>226247850.81999999</v>
      </c>
      <c r="X32" s="175">
        <f t="shared" si="9"/>
        <v>221523819.13</v>
      </c>
      <c r="Y32" s="175">
        <f t="shared" si="9"/>
        <v>217359254.29000002</v>
      </c>
      <c r="Z32" s="175">
        <f t="shared" si="9"/>
        <v>227393722.24000001</v>
      </c>
      <c r="AA32" s="175">
        <f t="shared" si="9"/>
        <v>223067300.72999999</v>
      </c>
      <c r="AB32" s="175">
        <f t="shared" si="9"/>
        <v>222469491.94999999</v>
      </c>
      <c r="AC32" s="175">
        <f t="shared" si="9"/>
        <v>225780591.34</v>
      </c>
      <c r="AD32" s="175">
        <f t="shared" si="9"/>
        <v>244464301.06</v>
      </c>
      <c r="AE32" s="175">
        <f t="shared" si="9"/>
        <v>225346583.75999999</v>
      </c>
      <c r="AF32" s="175">
        <f t="shared" si="9"/>
        <v>225456536</v>
      </c>
      <c r="AG32" s="175">
        <f t="shared" si="9"/>
        <v>228904850.47999999</v>
      </c>
      <c r="AH32" s="175">
        <f t="shared" si="9"/>
        <v>213366469.44</v>
      </c>
      <c r="AI32" s="175">
        <f t="shared" si="9"/>
        <v>220065581.89999998</v>
      </c>
      <c r="AJ32" s="175">
        <f t="shared" si="9"/>
        <v>222975136.74000001</v>
      </c>
      <c r="AK32" s="175">
        <f t="shared" si="9"/>
        <v>220638406.18000001</v>
      </c>
      <c r="AL32" s="175">
        <f t="shared" si="9"/>
        <v>225562012.25</v>
      </c>
      <c r="AM32" s="175">
        <f t="shared" si="9"/>
        <v>225963882.37</v>
      </c>
      <c r="AN32" s="175">
        <f t="shared" si="9"/>
        <v>227978401.35000002</v>
      </c>
      <c r="AO32" s="175">
        <f t="shared" si="9"/>
        <v>231316685.86000001</v>
      </c>
      <c r="AP32" s="175">
        <f t="shared" si="9"/>
        <v>236188251.51000002</v>
      </c>
      <c r="AQ32" s="175">
        <f t="shared" si="9"/>
        <v>235863068</v>
      </c>
      <c r="AR32" s="175">
        <f t="shared" si="9"/>
        <v>235669107.52000001</v>
      </c>
      <c r="AS32" s="175">
        <f t="shared" si="9"/>
        <v>235764693</v>
      </c>
      <c r="AT32" s="175" t="e">
        <f>AT3+#REF!+AT9+AT16+AT20+AT25</f>
        <v>#REF!</v>
      </c>
      <c r="AU32" s="175" t="e">
        <f>AU3+#REF!+AU9+AU16+AU20+AU25</f>
        <v>#REF!</v>
      </c>
      <c r="AV32" s="175" t="e">
        <f>AV3+#REF!+AV9+AV16+AV20+AV25</f>
        <v>#REF!</v>
      </c>
      <c r="AW32" s="175" t="e">
        <f>AW3+#REF!+AW9+AW16+AW20+AW25</f>
        <v>#REF!</v>
      </c>
      <c r="AX32" s="175" t="e">
        <f>AX3+#REF!+AX9+AX16+AX20+AX25</f>
        <v>#REF!</v>
      </c>
      <c r="AY32" s="175" t="e">
        <f>AY3+#REF!+AY9+AY16+AY20+AY25</f>
        <v>#REF!</v>
      </c>
      <c r="AZ32" s="175" t="e">
        <f>AZ3+#REF!+AZ9+AZ16+AZ20+AZ25</f>
        <v>#REF!</v>
      </c>
      <c r="BA32" s="175">
        <f t="shared" si="9"/>
        <v>0</v>
      </c>
      <c r="BB32" s="175">
        <f t="shared" si="9"/>
        <v>0</v>
      </c>
      <c r="BC32" s="175">
        <f t="shared" si="9"/>
        <v>0</v>
      </c>
    </row>
    <row r="33" spans="1:55" s="150" customFormat="1">
      <c r="A33" s="154"/>
      <c r="B33" s="168"/>
      <c r="C33" s="162"/>
      <c r="D33" s="162"/>
      <c r="E33" s="162"/>
      <c r="F33" s="173"/>
      <c r="G33" s="173"/>
      <c r="H33" s="173"/>
      <c r="I33" s="173"/>
      <c r="J33" s="173"/>
      <c r="K33" s="173"/>
      <c r="L33" s="173"/>
      <c r="M33" s="173"/>
      <c r="N33" s="173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AS33" s="259"/>
    </row>
    <row r="34" spans="1:55" s="150" customFormat="1">
      <c r="A34" s="154"/>
      <c r="B34" s="168" t="s">
        <v>33</v>
      </c>
      <c r="C34" s="162"/>
      <c r="D34" s="162"/>
      <c r="E34" s="162"/>
      <c r="F34" s="173"/>
      <c r="G34" s="173"/>
      <c r="H34" s="173"/>
      <c r="I34" s="173"/>
      <c r="J34" s="173"/>
      <c r="K34" s="173"/>
      <c r="L34" s="173"/>
      <c r="M34" s="173"/>
      <c r="N34" s="173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AS34" s="259"/>
    </row>
    <row r="35" spans="1:55">
      <c r="A35" s="158"/>
      <c r="B35" s="161" t="s">
        <v>34</v>
      </c>
      <c r="C35" s="162">
        <v>8225206</v>
      </c>
      <c r="D35" s="162">
        <v>7582824</v>
      </c>
      <c r="E35" s="162">
        <v>12295782</v>
      </c>
      <c r="F35" s="162">
        <f>2750359+13768541</f>
        <v>16518900</v>
      </c>
      <c r="G35" s="163">
        <v>10725594</v>
      </c>
      <c r="H35" s="163">
        <v>9323076</v>
      </c>
      <c r="I35" s="163">
        <v>9323076</v>
      </c>
      <c r="J35" s="163">
        <v>9323076</v>
      </c>
      <c r="K35" s="164">
        <v>12848608</v>
      </c>
      <c r="L35" s="165">
        <v>12332975</v>
      </c>
      <c r="M35" s="163">
        <v>12332974.610600008</v>
      </c>
      <c r="N35" s="163">
        <v>11041856</v>
      </c>
      <c r="O35" s="163">
        <v>12509093</v>
      </c>
      <c r="P35" s="163">
        <v>11318113</v>
      </c>
      <c r="Q35" s="163">
        <v>16644640</v>
      </c>
      <c r="R35" s="163">
        <v>14908062</v>
      </c>
      <c r="S35" s="163">
        <v>14908062</v>
      </c>
      <c r="T35" s="167">
        <v>14174609</v>
      </c>
      <c r="U35" s="167">
        <v>14174609</v>
      </c>
      <c r="V35" s="167">
        <v>24128229</v>
      </c>
      <c r="W35" s="167">
        <v>12983252</v>
      </c>
      <c r="X35" s="215">
        <v>13708126</v>
      </c>
      <c r="Y35" s="215">
        <v>12824131</v>
      </c>
      <c r="Z35" s="215">
        <v>16101738</v>
      </c>
      <c r="AA35" s="228">
        <v>16384201</v>
      </c>
      <c r="AB35" s="243">
        <v>12302073</v>
      </c>
      <c r="AC35" s="243">
        <v>11240594</v>
      </c>
      <c r="AD35" s="243">
        <v>11011255</v>
      </c>
      <c r="AE35" s="243">
        <v>11261843</v>
      </c>
      <c r="AF35" s="276">
        <v>10866395</v>
      </c>
      <c r="AG35" s="265">
        <v>11477157</v>
      </c>
      <c r="AH35" s="265">
        <v>13578330</v>
      </c>
      <c r="AI35" s="265">
        <v>15269225</v>
      </c>
      <c r="AJ35" s="265">
        <v>16288304</v>
      </c>
      <c r="AK35" s="265">
        <v>14249401</v>
      </c>
      <c r="AL35" s="265">
        <v>14249401</v>
      </c>
      <c r="AM35" s="265">
        <v>11203778</v>
      </c>
      <c r="AN35" s="265">
        <v>12634700</v>
      </c>
      <c r="AO35" s="265">
        <v>12403805</v>
      </c>
      <c r="AP35" s="265">
        <v>13252408</v>
      </c>
      <c r="AQ35" s="265">
        <v>12393395</v>
      </c>
      <c r="AR35" s="267">
        <v>11231947</v>
      </c>
      <c r="AS35" s="257">
        <v>11188730</v>
      </c>
    </row>
    <row r="36" spans="1:55">
      <c r="A36" s="158"/>
      <c r="B36" s="161" t="s">
        <v>35</v>
      </c>
      <c r="C36" s="162">
        <v>1506728</v>
      </c>
      <c r="D36" s="162">
        <v>972987</v>
      </c>
      <c r="E36" s="162"/>
      <c r="F36" s="162"/>
      <c r="G36" s="163">
        <v>2210643</v>
      </c>
      <c r="H36" s="163">
        <v>2214951</v>
      </c>
      <c r="I36" s="163">
        <v>1961671</v>
      </c>
      <c r="J36" s="163">
        <v>2086980</v>
      </c>
      <c r="K36" s="164">
        <v>2963541</v>
      </c>
      <c r="L36" s="165">
        <v>3022835</v>
      </c>
      <c r="M36" s="163">
        <v>3143066.0612000008</v>
      </c>
      <c r="N36" s="163">
        <v>3724149</v>
      </c>
      <c r="O36" s="163">
        <v>3597590</v>
      </c>
      <c r="P36" s="163">
        <v>3604241</v>
      </c>
      <c r="Q36" s="163">
        <v>3744423</v>
      </c>
      <c r="R36" s="163">
        <v>3455423</v>
      </c>
      <c r="S36" s="163">
        <v>3455423</v>
      </c>
      <c r="T36" s="167">
        <v>3329227</v>
      </c>
      <c r="U36" s="167">
        <v>3219756</v>
      </c>
      <c r="V36" s="167">
        <v>3058071</v>
      </c>
      <c r="W36" s="167">
        <v>3498168</v>
      </c>
      <c r="X36" s="215">
        <v>2686474</v>
      </c>
      <c r="Y36" s="215">
        <v>2616111</v>
      </c>
      <c r="Z36" s="215">
        <v>2045376</v>
      </c>
      <c r="AA36" s="228">
        <v>2359674</v>
      </c>
      <c r="AB36" s="243">
        <v>2037786</v>
      </c>
      <c r="AC36" s="243">
        <v>2560064</v>
      </c>
      <c r="AD36" s="243">
        <v>2649900</v>
      </c>
      <c r="AE36" s="243">
        <v>3329981</v>
      </c>
      <c r="AF36" s="276">
        <v>3732181</v>
      </c>
      <c r="AG36" s="265">
        <v>3629057</v>
      </c>
      <c r="AH36" s="265">
        <v>3297345</v>
      </c>
      <c r="AI36" s="265">
        <v>4706910</v>
      </c>
      <c r="AJ36" s="265">
        <v>3317899</v>
      </c>
      <c r="AK36" s="265">
        <v>3491565</v>
      </c>
      <c r="AL36" s="265">
        <v>3197394</v>
      </c>
      <c r="AM36" s="265">
        <v>3544007</v>
      </c>
      <c r="AN36" s="265">
        <v>3602829</v>
      </c>
      <c r="AO36" s="265">
        <v>3768963</v>
      </c>
      <c r="AP36" s="265">
        <v>3565751</v>
      </c>
      <c r="AQ36" s="265">
        <v>3984635</v>
      </c>
      <c r="AR36" s="267">
        <v>3956965</v>
      </c>
      <c r="AS36" s="257">
        <f>981250+2975715</f>
        <v>3956965</v>
      </c>
    </row>
    <row r="37" spans="1:55">
      <c r="A37" s="158"/>
      <c r="B37" s="161" t="s">
        <v>36</v>
      </c>
      <c r="C37" s="162">
        <v>93532161</v>
      </c>
      <c r="D37" s="162">
        <v>98991963</v>
      </c>
      <c r="E37" s="162">
        <v>109828204</v>
      </c>
      <c r="F37" s="162">
        <v>116729770</v>
      </c>
      <c r="G37" s="163">
        <v>117465834</v>
      </c>
      <c r="H37" s="163">
        <v>118247917</v>
      </c>
      <c r="I37" s="163">
        <v>119559661</v>
      </c>
      <c r="J37" s="163">
        <v>120700906</v>
      </c>
      <c r="K37" s="164">
        <v>122212542</v>
      </c>
      <c r="L37" s="165">
        <v>124213870</v>
      </c>
      <c r="M37" s="163">
        <v>126262954.58569999</v>
      </c>
      <c r="N37" s="163">
        <v>128279307</v>
      </c>
      <c r="O37" s="163">
        <v>130016226</v>
      </c>
      <c r="P37" s="163">
        <v>131724520</v>
      </c>
      <c r="Q37" s="163">
        <v>133734795</v>
      </c>
      <c r="R37" s="163">
        <v>135994936</v>
      </c>
      <c r="S37" s="163">
        <v>135994936</v>
      </c>
      <c r="T37" s="167">
        <v>136653263</v>
      </c>
      <c r="U37" s="167">
        <v>137537284</v>
      </c>
      <c r="V37" s="167">
        <v>139195096</v>
      </c>
      <c r="W37" s="167">
        <v>140475752</v>
      </c>
      <c r="X37" s="215">
        <v>141528870</v>
      </c>
      <c r="Y37" s="215">
        <v>141453588</v>
      </c>
      <c r="Z37" s="215">
        <v>142098601</v>
      </c>
      <c r="AA37" s="228">
        <v>142486180</v>
      </c>
      <c r="AB37" s="243">
        <v>143168702</v>
      </c>
      <c r="AC37" s="243">
        <v>143994254</v>
      </c>
      <c r="AD37" s="243">
        <v>143554875</v>
      </c>
      <c r="AE37" s="243">
        <v>146927870</v>
      </c>
      <c r="AF37" s="276">
        <v>146924536</v>
      </c>
      <c r="AG37" s="265">
        <v>147221478</v>
      </c>
      <c r="AH37" s="265">
        <v>148468081</v>
      </c>
      <c r="AI37" s="265">
        <v>150105966</v>
      </c>
      <c r="AJ37" s="265">
        <v>151905118</v>
      </c>
      <c r="AK37" s="265">
        <v>152648620</v>
      </c>
      <c r="AL37" s="265">
        <v>152865832</v>
      </c>
      <c r="AM37" s="265">
        <v>153860576</v>
      </c>
      <c r="AN37" s="265">
        <v>154727604</v>
      </c>
      <c r="AO37" s="265">
        <v>155462672</v>
      </c>
      <c r="AP37" s="265">
        <v>158029895</v>
      </c>
      <c r="AQ37" s="265">
        <v>156535062</v>
      </c>
      <c r="AR37" s="270">
        <v>157906218</v>
      </c>
      <c r="AS37" s="257">
        <v>157906218</v>
      </c>
    </row>
    <row r="38" spans="1:55" ht="15.75">
      <c r="A38" s="158"/>
      <c r="B38" s="159" t="s">
        <v>37</v>
      </c>
      <c r="C38" s="160">
        <f t="shared" ref="C38:H38" si="10">SUM(C35:C37)</f>
        <v>103264095</v>
      </c>
      <c r="D38" s="160">
        <f t="shared" si="10"/>
        <v>107547774</v>
      </c>
      <c r="E38" s="160">
        <f t="shared" si="10"/>
        <v>122123986</v>
      </c>
      <c r="F38" s="160">
        <f t="shared" si="10"/>
        <v>133248670</v>
      </c>
      <c r="G38" s="160">
        <f t="shared" si="10"/>
        <v>130402071</v>
      </c>
      <c r="H38" s="160">
        <f t="shared" si="10"/>
        <v>129785944</v>
      </c>
      <c r="I38" s="160">
        <f t="shared" ref="I38:N38" si="11">SUM(I35:I37)</f>
        <v>130844408</v>
      </c>
      <c r="J38" s="160">
        <f t="shared" si="11"/>
        <v>132110962</v>
      </c>
      <c r="K38" s="160">
        <f t="shared" si="11"/>
        <v>138024691</v>
      </c>
      <c r="L38" s="160">
        <f t="shared" si="11"/>
        <v>139569680</v>
      </c>
      <c r="M38" s="160">
        <f t="shared" si="11"/>
        <v>141738995.25749999</v>
      </c>
      <c r="N38" s="160">
        <f t="shared" si="11"/>
        <v>143045312</v>
      </c>
      <c r="O38" s="160">
        <f>SUM(O35:O37)</f>
        <v>146122909</v>
      </c>
      <c r="P38" s="160">
        <f>SUM(P35:P37)</f>
        <v>146646874</v>
      </c>
      <c r="Q38" s="160">
        <f>SUM(Q35:Q37)</f>
        <v>154123858</v>
      </c>
      <c r="R38" s="160">
        <f t="shared" ref="R38:AR38" si="12">SUM(R35:R37)</f>
        <v>154358421</v>
      </c>
      <c r="S38" s="160">
        <f t="shared" si="12"/>
        <v>154358421</v>
      </c>
      <c r="T38" s="160">
        <f t="shared" si="12"/>
        <v>154157099</v>
      </c>
      <c r="U38" s="160">
        <f t="shared" si="12"/>
        <v>154931649</v>
      </c>
      <c r="V38" s="160">
        <f t="shared" si="12"/>
        <v>166381396</v>
      </c>
      <c r="W38" s="160">
        <f t="shared" si="12"/>
        <v>156957172</v>
      </c>
      <c r="X38" s="160">
        <f t="shared" si="12"/>
        <v>157923470</v>
      </c>
      <c r="Y38" s="160">
        <f t="shared" si="12"/>
        <v>156893830</v>
      </c>
      <c r="Z38" s="160">
        <f t="shared" si="12"/>
        <v>160245715</v>
      </c>
      <c r="AA38" s="222">
        <f t="shared" si="12"/>
        <v>161230055</v>
      </c>
      <c r="AB38" s="227">
        <f t="shared" si="12"/>
        <v>157508561</v>
      </c>
      <c r="AC38" s="227">
        <f t="shared" si="12"/>
        <v>157794912</v>
      </c>
      <c r="AD38" s="227">
        <f t="shared" si="12"/>
        <v>157216030</v>
      </c>
      <c r="AE38" s="227">
        <f t="shared" si="12"/>
        <v>161519694</v>
      </c>
      <c r="AF38" s="227">
        <v>161523112</v>
      </c>
      <c r="AG38" s="227">
        <f t="shared" si="12"/>
        <v>162327692</v>
      </c>
      <c r="AH38" s="227">
        <f t="shared" si="12"/>
        <v>165343756</v>
      </c>
      <c r="AI38" s="227">
        <f t="shared" si="12"/>
        <v>170082101</v>
      </c>
      <c r="AJ38" s="227">
        <f t="shared" si="12"/>
        <v>171511321</v>
      </c>
      <c r="AK38" s="227">
        <f t="shared" si="12"/>
        <v>170389586</v>
      </c>
      <c r="AL38" s="227">
        <f t="shared" si="12"/>
        <v>170312627</v>
      </c>
      <c r="AM38" s="227">
        <f t="shared" si="12"/>
        <v>168608361</v>
      </c>
      <c r="AN38" s="227">
        <f t="shared" si="12"/>
        <v>170965133</v>
      </c>
      <c r="AO38" s="227">
        <f t="shared" si="12"/>
        <v>171635440</v>
      </c>
      <c r="AP38" s="227">
        <f t="shared" si="12"/>
        <v>174848054</v>
      </c>
      <c r="AQ38" s="227">
        <f t="shared" si="12"/>
        <v>172913092</v>
      </c>
      <c r="AR38" s="227">
        <f t="shared" si="12"/>
        <v>173095130</v>
      </c>
      <c r="AS38" s="227">
        <f t="shared" ref="AS38:BC38" si="13">SUM(AS35:AS37)</f>
        <v>173051913</v>
      </c>
      <c r="AT38" s="227">
        <f t="shared" si="13"/>
        <v>0</v>
      </c>
      <c r="AU38" s="227">
        <f t="shared" si="13"/>
        <v>0</v>
      </c>
      <c r="AV38" s="227">
        <f t="shared" si="13"/>
        <v>0</v>
      </c>
      <c r="AW38" s="227">
        <f t="shared" si="13"/>
        <v>0</v>
      </c>
      <c r="AX38" s="227">
        <f t="shared" si="13"/>
        <v>0</v>
      </c>
      <c r="AY38" s="227">
        <f t="shared" si="13"/>
        <v>0</v>
      </c>
      <c r="AZ38" s="227">
        <f t="shared" si="13"/>
        <v>0</v>
      </c>
      <c r="BA38" s="227">
        <f t="shared" si="13"/>
        <v>0</v>
      </c>
      <c r="BB38" s="227">
        <f t="shared" si="13"/>
        <v>0</v>
      </c>
      <c r="BC38" s="227">
        <f t="shared" si="13"/>
        <v>0</v>
      </c>
    </row>
    <row r="39" spans="1:55" s="150" customFormat="1">
      <c r="A39" s="158"/>
      <c r="B39" s="168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58"/>
    </row>
    <row r="40" spans="1:55" ht="15.75">
      <c r="A40" s="158"/>
      <c r="B40" s="159" t="s">
        <v>38</v>
      </c>
      <c r="C40" s="160">
        <f>SUM(C41:C46)</f>
        <v>25491076</v>
      </c>
      <c r="D40" s="160">
        <f>SUM(D41:D46)</f>
        <v>19847333</v>
      </c>
      <c r="E40" s="160">
        <f>SUM(E41:E46)</f>
        <v>21277512</v>
      </c>
      <c r="F40" s="160">
        <f>SUM(F41:F46)</f>
        <v>39923867</v>
      </c>
      <c r="G40" s="160">
        <f>SUM(G41:G46)</f>
        <v>36157376</v>
      </c>
      <c r="H40" s="160">
        <f t="shared" ref="H40:N40" si="14">SUM(H42:H46)</f>
        <v>31404626</v>
      </c>
      <c r="I40" s="160">
        <f t="shared" si="14"/>
        <v>42591870</v>
      </c>
      <c r="J40" s="160">
        <f t="shared" si="14"/>
        <v>32154417</v>
      </c>
      <c r="K40" s="160">
        <f t="shared" si="14"/>
        <v>24771760</v>
      </c>
      <c r="L40" s="160">
        <f t="shared" si="14"/>
        <v>21188898</v>
      </c>
      <c r="M40" s="160">
        <f t="shared" si="14"/>
        <v>21177451.677155413</v>
      </c>
      <c r="N40" s="160">
        <f t="shared" si="14"/>
        <v>21688671</v>
      </c>
      <c r="O40" s="160">
        <f>SUM(O42:O46)</f>
        <v>29589025</v>
      </c>
      <c r="P40" s="160">
        <f>SUM(P42:P46)</f>
        <v>28902573</v>
      </c>
      <c r="Q40" s="160">
        <f>SUM(Q42:Q46)</f>
        <v>28255630</v>
      </c>
      <c r="R40" s="160">
        <f>SUM(R42:R46)</f>
        <v>26166271</v>
      </c>
      <c r="S40" s="160">
        <f>SUM(S42:S46)</f>
        <v>26166271</v>
      </c>
      <c r="T40" s="160">
        <f t="shared" ref="T40:AR40" si="15">T41+T42+T43+T44+T45+T46</f>
        <v>44792538</v>
      </c>
      <c r="U40" s="160">
        <f t="shared" si="15"/>
        <v>40229835</v>
      </c>
      <c r="V40" s="160">
        <f t="shared" si="15"/>
        <v>27648444</v>
      </c>
      <c r="W40" s="160">
        <f t="shared" si="15"/>
        <v>31182796</v>
      </c>
      <c r="X40" s="160">
        <f t="shared" si="15"/>
        <v>25544616</v>
      </c>
      <c r="Y40" s="160">
        <f t="shared" si="15"/>
        <v>22264807</v>
      </c>
      <c r="Z40" s="160">
        <f t="shared" si="15"/>
        <v>29286390</v>
      </c>
      <c r="AA40" s="222">
        <f t="shared" si="15"/>
        <v>23802904</v>
      </c>
      <c r="AB40" s="227">
        <f t="shared" si="15"/>
        <v>27457479</v>
      </c>
      <c r="AC40" s="227">
        <f t="shared" si="15"/>
        <v>31330246</v>
      </c>
      <c r="AD40" s="227">
        <f t="shared" si="15"/>
        <v>50092084</v>
      </c>
      <c r="AE40" s="227">
        <f t="shared" si="15"/>
        <v>26401893</v>
      </c>
      <c r="AF40" s="227">
        <v>28558245</v>
      </c>
      <c r="AG40" s="227">
        <f t="shared" si="15"/>
        <v>30937410</v>
      </c>
      <c r="AH40" s="227">
        <f t="shared" si="15"/>
        <v>12178724</v>
      </c>
      <c r="AI40" s="227">
        <f t="shared" si="15"/>
        <v>13403851</v>
      </c>
      <c r="AJ40" s="227">
        <f t="shared" si="15"/>
        <v>15127650</v>
      </c>
      <c r="AK40" s="227">
        <f t="shared" si="15"/>
        <v>13514942</v>
      </c>
      <c r="AL40" s="227">
        <f t="shared" si="15"/>
        <v>18119376</v>
      </c>
      <c r="AM40" s="227">
        <f t="shared" si="15"/>
        <v>19692739</v>
      </c>
      <c r="AN40" s="227">
        <f t="shared" si="15"/>
        <v>18673318</v>
      </c>
      <c r="AO40" s="227">
        <f t="shared" si="15"/>
        <v>21143906</v>
      </c>
      <c r="AP40" s="227">
        <f t="shared" si="15"/>
        <v>22853066</v>
      </c>
      <c r="AQ40" s="227">
        <f t="shared" si="15"/>
        <v>23908217</v>
      </c>
      <c r="AR40" s="227">
        <f t="shared" si="15"/>
        <v>23351900</v>
      </c>
      <c r="AS40" s="227">
        <f t="shared" ref="AS40:BC40" si="16">AS41+AS42+AS43+AS44+AS45+AS46</f>
        <v>22926284</v>
      </c>
      <c r="AT40" s="227">
        <f t="shared" si="16"/>
        <v>0</v>
      </c>
      <c r="AU40" s="227">
        <f t="shared" si="16"/>
        <v>0</v>
      </c>
      <c r="AV40" s="227">
        <f t="shared" si="16"/>
        <v>0</v>
      </c>
      <c r="AW40" s="227">
        <f t="shared" si="16"/>
        <v>0</v>
      </c>
      <c r="AX40" s="227">
        <f t="shared" si="16"/>
        <v>0</v>
      </c>
      <c r="AY40" s="227">
        <f t="shared" si="16"/>
        <v>0</v>
      </c>
      <c r="AZ40" s="227">
        <f t="shared" si="16"/>
        <v>0</v>
      </c>
      <c r="BA40" s="227">
        <f t="shared" si="16"/>
        <v>0</v>
      </c>
      <c r="BB40" s="227">
        <f t="shared" si="16"/>
        <v>0</v>
      </c>
      <c r="BC40" s="227">
        <f t="shared" si="16"/>
        <v>0</v>
      </c>
    </row>
    <row r="41" spans="1:55">
      <c r="A41" s="158"/>
      <c r="B41" s="168" t="s">
        <v>39</v>
      </c>
      <c r="C41" s="162">
        <v>46171</v>
      </c>
      <c r="D41" s="162">
        <v>45756</v>
      </c>
      <c r="E41" s="162">
        <v>66991</v>
      </c>
      <c r="F41" s="162">
        <v>0</v>
      </c>
      <c r="G41" s="163">
        <v>0</v>
      </c>
      <c r="H41" s="163">
        <v>0</v>
      </c>
      <c r="I41" s="163">
        <v>0</v>
      </c>
      <c r="J41" s="163">
        <v>0</v>
      </c>
      <c r="K41" s="164">
        <v>0</v>
      </c>
      <c r="L41" s="165">
        <v>0</v>
      </c>
      <c r="M41" s="163"/>
      <c r="N41" s="163">
        <v>0</v>
      </c>
      <c r="O41" s="163">
        <v>0</v>
      </c>
      <c r="P41" s="163">
        <v>0</v>
      </c>
      <c r="Q41" s="163">
        <v>0</v>
      </c>
      <c r="R41" s="163">
        <v>0</v>
      </c>
      <c r="S41" s="163">
        <v>0</v>
      </c>
      <c r="T41" s="167">
        <v>0</v>
      </c>
      <c r="U41" s="167">
        <v>3057048</v>
      </c>
      <c r="V41" s="167">
        <v>3117312</v>
      </c>
      <c r="W41" s="167">
        <v>789464</v>
      </c>
      <c r="X41" s="215">
        <v>536064</v>
      </c>
      <c r="Y41" s="215">
        <v>84408</v>
      </c>
      <c r="Z41" s="215">
        <v>145703</v>
      </c>
      <c r="AA41" s="228">
        <v>207313</v>
      </c>
      <c r="AB41" s="243">
        <v>264868</v>
      </c>
      <c r="AC41" s="243">
        <v>309927</v>
      </c>
      <c r="AD41" s="243">
        <v>380294</v>
      </c>
      <c r="AE41" s="243">
        <v>351837</v>
      </c>
      <c r="AF41" s="276">
        <v>33481</v>
      </c>
      <c r="AG41" s="265">
        <v>315592</v>
      </c>
      <c r="AH41" s="265">
        <v>537672</v>
      </c>
      <c r="AI41" s="265">
        <v>430774</v>
      </c>
      <c r="AJ41" s="265">
        <v>318125</v>
      </c>
      <c r="AK41" s="265">
        <v>395314</v>
      </c>
      <c r="AL41" s="265">
        <v>315771</v>
      </c>
      <c r="AM41" s="265">
        <v>376319</v>
      </c>
      <c r="AN41" s="265">
        <v>423512</v>
      </c>
      <c r="AO41" s="265">
        <v>247907</v>
      </c>
      <c r="AP41" s="265">
        <v>297130</v>
      </c>
      <c r="AQ41" s="265">
        <v>407657</v>
      </c>
      <c r="AR41" s="269">
        <v>204879</v>
      </c>
      <c r="AS41" s="257">
        <v>0</v>
      </c>
    </row>
    <row r="42" spans="1:55">
      <c r="A42" s="154"/>
      <c r="B42" s="168" t="s">
        <v>40</v>
      </c>
      <c r="C42" s="162">
        <v>10618031</v>
      </c>
      <c r="D42" s="162">
        <v>11160836</v>
      </c>
      <c r="E42" s="162">
        <v>12285140</v>
      </c>
      <c r="F42" s="162">
        <v>13018317</v>
      </c>
      <c r="G42" s="163">
        <v>12813817</v>
      </c>
      <c r="H42" s="163">
        <v>14813817</v>
      </c>
      <c r="I42" s="163">
        <v>14940262</v>
      </c>
      <c r="J42" s="163">
        <v>3800755</v>
      </c>
      <c r="K42" s="164">
        <v>8514761</v>
      </c>
      <c r="L42" s="165">
        <v>9214331</v>
      </c>
      <c r="M42" s="163">
        <v>10014330.790199999</v>
      </c>
      <c r="N42" s="163">
        <v>11013741</v>
      </c>
      <c r="O42" s="163">
        <v>12013281</v>
      </c>
      <c r="P42" s="163">
        <v>13013281</v>
      </c>
      <c r="Q42" s="163">
        <v>13763281</v>
      </c>
      <c r="R42" s="163">
        <v>13598769</v>
      </c>
      <c r="S42" s="163">
        <v>13598769</v>
      </c>
      <c r="T42" s="167">
        <v>16178541</v>
      </c>
      <c r="U42" s="167">
        <v>1445817</v>
      </c>
      <c r="V42" s="167">
        <v>743561</v>
      </c>
      <c r="W42" s="167">
        <v>9068</v>
      </c>
      <c r="X42" s="215">
        <v>9068</v>
      </c>
      <c r="Y42" s="215">
        <v>9068</v>
      </c>
      <c r="Z42" s="215">
        <v>8468</v>
      </c>
      <c r="AA42" s="228">
        <v>4388</v>
      </c>
      <c r="AB42" s="243">
        <v>3528</v>
      </c>
      <c r="AC42" s="243">
        <v>3528</v>
      </c>
      <c r="AD42" s="243">
        <v>2248</v>
      </c>
      <c r="AE42" s="243">
        <v>2248</v>
      </c>
      <c r="AF42" s="276">
        <v>16669637</v>
      </c>
      <c r="AG42" s="265">
        <v>1639429</v>
      </c>
      <c r="AH42" s="265">
        <v>2681850</v>
      </c>
      <c r="AI42" s="265">
        <v>2510683</v>
      </c>
      <c r="AJ42" s="265">
        <v>3806545</v>
      </c>
      <c r="AK42" s="265">
        <v>5097204</v>
      </c>
      <c r="AL42" s="265">
        <v>10199543</v>
      </c>
      <c r="AM42" s="265">
        <v>10906945</v>
      </c>
      <c r="AN42" s="265">
        <v>11613057</v>
      </c>
      <c r="AO42" s="265">
        <v>12963710</v>
      </c>
      <c r="AP42" s="265">
        <v>14494561</v>
      </c>
      <c r="AQ42" s="265">
        <v>15661993</v>
      </c>
      <c r="AR42" s="267">
        <v>15799109</v>
      </c>
      <c r="AS42" s="257">
        <v>15284564</v>
      </c>
    </row>
    <row r="43" spans="1:55">
      <c r="A43" s="158"/>
      <c r="B43" s="168" t="s">
        <v>41</v>
      </c>
      <c r="C43" s="162"/>
      <c r="D43" s="162"/>
      <c r="E43" s="162"/>
      <c r="F43" s="162"/>
      <c r="G43" s="163">
        <v>0</v>
      </c>
      <c r="H43" s="163">
        <v>0</v>
      </c>
      <c r="I43" s="163">
        <v>0</v>
      </c>
      <c r="J43" s="163">
        <v>0</v>
      </c>
      <c r="K43" s="164">
        <v>0</v>
      </c>
      <c r="L43" s="165">
        <v>0</v>
      </c>
      <c r="M43" s="163">
        <v>0</v>
      </c>
      <c r="N43" s="163">
        <v>0</v>
      </c>
      <c r="O43" s="163">
        <v>0</v>
      </c>
      <c r="P43" s="163">
        <v>0</v>
      </c>
      <c r="Q43" s="163">
        <v>0</v>
      </c>
      <c r="R43" s="163">
        <v>0</v>
      </c>
      <c r="S43" s="163">
        <v>0</v>
      </c>
      <c r="T43" s="167">
        <v>0</v>
      </c>
      <c r="U43" s="167">
        <v>0</v>
      </c>
      <c r="V43" s="167">
        <v>0</v>
      </c>
      <c r="W43" s="167">
        <v>0</v>
      </c>
      <c r="X43" s="215">
        <v>0</v>
      </c>
      <c r="Y43" s="215">
        <v>0</v>
      </c>
      <c r="Z43" s="215">
        <v>0</v>
      </c>
      <c r="AA43" s="228">
        <v>0</v>
      </c>
      <c r="AB43" s="225">
        <v>0</v>
      </c>
      <c r="AC43" s="225">
        <v>0</v>
      </c>
      <c r="AD43" s="225">
        <v>0</v>
      </c>
      <c r="AE43" s="225">
        <v>0</v>
      </c>
      <c r="AG43" s="265">
        <v>0</v>
      </c>
      <c r="AH43" s="265">
        <v>0</v>
      </c>
      <c r="AI43" s="265">
        <v>0</v>
      </c>
      <c r="AJ43" s="265">
        <v>0</v>
      </c>
      <c r="AK43" s="265">
        <v>0</v>
      </c>
      <c r="AL43" s="265">
        <v>0</v>
      </c>
      <c r="AM43" s="265">
        <v>0</v>
      </c>
      <c r="AN43" s="265">
        <v>0</v>
      </c>
      <c r="AO43" s="265">
        <v>0</v>
      </c>
      <c r="AP43" s="265">
        <v>0</v>
      </c>
      <c r="AQ43" s="265">
        <v>0</v>
      </c>
      <c r="AR43" s="267">
        <v>0</v>
      </c>
      <c r="AS43" s="257"/>
    </row>
    <row r="44" spans="1:55">
      <c r="A44" s="158"/>
      <c r="B44" s="168" t="s">
        <v>42</v>
      </c>
      <c r="C44" s="162"/>
      <c r="D44" s="162"/>
      <c r="E44" s="162">
        <v>1578142</v>
      </c>
      <c r="F44" s="162">
        <v>1841591</v>
      </c>
      <c r="G44" s="163">
        <v>0</v>
      </c>
      <c r="H44" s="163">
        <v>0</v>
      </c>
      <c r="I44" s="163">
        <v>0</v>
      </c>
      <c r="J44" s="163">
        <v>0</v>
      </c>
      <c r="K44" s="164">
        <v>0</v>
      </c>
      <c r="L44" s="165">
        <v>0</v>
      </c>
      <c r="M44" s="163">
        <v>0</v>
      </c>
      <c r="N44" s="163">
        <v>0</v>
      </c>
      <c r="O44" s="163">
        <v>0</v>
      </c>
      <c r="P44" s="163">
        <v>0</v>
      </c>
      <c r="Q44" s="163">
        <v>0</v>
      </c>
      <c r="R44" s="163">
        <v>0</v>
      </c>
      <c r="S44" s="163">
        <v>0</v>
      </c>
      <c r="T44" s="167">
        <v>0</v>
      </c>
      <c r="U44" s="167">
        <v>0</v>
      </c>
      <c r="V44" s="167">
        <v>0</v>
      </c>
      <c r="W44" s="167">
        <v>0</v>
      </c>
      <c r="X44" s="215">
        <v>0</v>
      </c>
      <c r="Y44" s="215">
        <v>0</v>
      </c>
      <c r="Z44" s="215">
        <v>0</v>
      </c>
      <c r="AA44" s="228">
        <v>0</v>
      </c>
      <c r="AB44" s="225">
        <v>0</v>
      </c>
      <c r="AC44" s="225">
        <v>0</v>
      </c>
      <c r="AD44" s="225">
        <v>0</v>
      </c>
      <c r="AE44" s="225">
        <v>0</v>
      </c>
      <c r="AG44" s="265">
        <v>2452000</v>
      </c>
      <c r="AH44" s="265">
        <v>2452000</v>
      </c>
      <c r="AI44" s="265">
        <v>2505789</v>
      </c>
      <c r="AJ44" s="265">
        <v>2532684</v>
      </c>
      <c r="AK44" s="265">
        <v>2559579</v>
      </c>
      <c r="AL44" s="265">
        <v>2586474</v>
      </c>
      <c r="AM44" s="265">
        <v>2613368</v>
      </c>
      <c r="AN44" s="265">
        <v>2640263</v>
      </c>
      <c r="AO44" s="265">
        <v>2667158</v>
      </c>
      <c r="AP44" s="265">
        <v>2694052</v>
      </c>
      <c r="AQ44" s="265">
        <v>2747842</v>
      </c>
      <c r="AR44" s="267">
        <v>2747842</v>
      </c>
      <c r="AS44" s="257"/>
    </row>
    <row r="45" spans="1:55">
      <c r="A45" s="154"/>
      <c r="B45" s="168" t="s">
        <v>43</v>
      </c>
      <c r="C45" s="162">
        <v>7826874</v>
      </c>
      <c r="D45" s="162">
        <v>8640741</v>
      </c>
      <c r="E45" s="162">
        <v>7347239</v>
      </c>
      <c r="F45" s="162">
        <v>13063959</v>
      </c>
      <c r="G45" s="163">
        <v>15424764</v>
      </c>
      <c r="H45" s="163">
        <v>12760343</v>
      </c>
      <c r="I45" s="163">
        <v>15651608</v>
      </c>
      <c r="J45" s="163">
        <v>20474711</v>
      </c>
      <c r="K45" s="164">
        <v>12539722</v>
      </c>
      <c r="L45" s="165">
        <v>11974567</v>
      </c>
      <c r="M45" s="163">
        <v>11163120.886955412</v>
      </c>
      <c r="N45" s="163">
        <v>10674930</v>
      </c>
      <c r="O45" s="163">
        <v>9575744</v>
      </c>
      <c r="P45" s="163">
        <v>10618644</v>
      </c>
      <c r="Q45" s="163">
        <v>11947976</v>
      </c>
      <c r="R45" s="163">
        <v>12567502</v>
      </c>
      <c r="S45" s="163">
        <v>12567502</v>
      </c>
      <c r="T45" s="167">
        <v>16613997</v>
      </c>
      <c r="U45" s="167">
        <v>27868011</v>
      </c>
      <c r="V45" s="167">
        <v>11787571</v>
      </c>
      <c r="W45" s="167">
        <v>18384264</v>
      </c>
      <c r="X45" s="215">
        <v>17170443</v>
      </c>
      <c r="Y45" s="215">
        <v>18128591</v>
      </c>
      <c r="Z45" s="215">
        <v>17132219</v>
      </c>
      <c r="AA45" s="228">
        <v>15676682</v>
      </c>
      <c r="AB45" s="243">
        <v>19189083</v>
      </c>
      <c r="AC45" s="243">
        <v>23016791</v>
      </c>
      <c r="AD45" s="243">
        <v>44481633</v>
      </c>
      <c r="AE45" s="243">
        <v>23543552</v>
      </c>
      <c r="AF45" s="276">
        <v>9350871</v>
      </c>
      <c r="AG45" s="265">
        <v>26530389</v>
      </c>
      <c r="AH45" s="265">
        <v>6507202</v>
      </c>
      <c r="AI45" s="265">
        <v>7956605</v>
      </c>
      <c r="AJ45" s="265">
        <v>8470296</v>
      </c>
      <c r="AK45" s="265">
        <v>5462845</v>
      </c>
      <c r="AL45" s="265">
        <v>5017588</v>
      </c>
      <c r="AM45" s="265">
        <v>5796107</v>
      </c>
      <c r="AN45" s="265">
        <v>3996486</v>
      </c>
      <c r="AO45" s="265">
        <v>5265131</v>
      </c>
      <c r="AP45" s="265">
        <v>5367323</v>
      </c>
      <c r="AQ45" s="265">
        <v>5090725</v>
      </c>
      <c r="AR45" s="267">
        <v>4600070</v>
      </c>
      <c r="AS45" s="257">
        <f>4893878+2747842</f>
        <v>7641720</v>
      </c>
    </row>
    <row r="46" spans="1:55">
      <c r="A46" s="158"/>
      <c r="B46" s="151" t="s">
        <v>44</v>
      </c>
      <c r="C46" s="176">
        <v>7000000</v>
      </c>
      <c r="D46" s="176"/>
      <c r="E46" s="176"/>
      <c r="F46" s="176">
        <v>12000000</v>
      </c>
      <c r="G46" s="163">
        <v>7918795</v>
      </c>
      <c r="H46" s="163">
        <v>3830466</v>
      </c>
      <c r="I46" s="163">
        <v>12000000</v>
      </c>
      <c r="J46" s="163">
        <v>7878951</v>
      </c>
      <c r="K46" s="164">
        <v>3717277</v>
      </c>
      <c r="L46" s="165">
        <v>0</v>
      </c>
      <c r="M46" s="163">
        <v>0</v>
      </c>
      <c r="N46" s="163">
        <v>0</v>
      </c>
      <c r="O46" s="163">
        <v>8000000</v>
      </c>
      <c r="P46" s="163">
        <v>5270648</v>
      </c>
      <c r="Q46" s="163">
        <v>2544373</v>
      </c>
      <c r="R46" s="163">
        <v>0</v>
      </c>
      <c r="S46" s="163">
        <v>0</v>
      </c>
      <c r="T46" s="167">
        <v>12000000</v>
      </c>
      <c r="U46" s="167">
        <v>7858959</v>
      </c>
      <c r="V46" s="167">
        <v>12000000</v>
      </c>
      <c r="W46" s="167">
        <v>12000000</v>
      </c>
      <c r="X46" s="215">
        <v>7829041</v>
      </c>
      <c r="Y46" s="215">
        <v>4042740</v>
      </c>
      <c r="Z46" s="215">
        <v>12000000</v>
      </c>
      <c r="AA46" s="228">
        <v>7914521</v>
      </c>
      <c r="AB46" s="243">
        <v>8000000</v>
      </c>
      <c r="AC46" s="243">
        <v>8000000</v>
      </c>
      <c r="AD46" s="243">
        <v>5227909</v>
      </c>
      <c r="AE46" s="243">
        <v>2504256</v>
      </c>
      <c r="AF46" s="276">
        <v>2504256</v>
      </c>
      <c r="AG46" s="265">
        <v>0</v>
      </c>
      <c r="AH46" s="265">
        <v>0</v>
      </c>
      <c r="AI46" s="265">
        <v>0</v>
      </c>
      <c r="AJ46" s="265">
        <v>0</v>
      </c>
      <c r="AK46" s="265">
        <v>0</v>
      </c>
      <c r="AL46" s="265">
        <v>0</v>
      </c>
      <c r="AM46" s="265">
        <v>0</v>
      </c>
      <c r="AN46" s="265">
        <v>0</v>
      </c>
      <c r="AO46" s="265">
        <v>0</v>
      </c>
      <c r="AP46" s="265">
        <v>0</v>
      </c>
      <c r="AQ46" s="265">
        <v>0</v>
      </c>
      <c r="AR46" s="270">
        <v>0</v>
      </c>
      <c r="AS46" s="257">
        <v>0</v>
      </c>
    </row>
    <row r="47" spans="1:55" ht="15.75">
      <c r="A47" s="158"/>
      <c r="B47" s="159" t="s">
        <v>45</v>
      </c>
      <c r="C47" s="160">
        <f>C38+C40</f>
        <v>128755171</v>
      </c>
      <c r="D47" s="160">
        <f>D38+D40</f>
        <v>127395107</v>
      </c>
      <c r="E47" s="160">
        <f>E38+E40</f>
        <v>143401498</v>
      </c>
      <c r="F47" s="160">
        <f>F38+F40</f>
        <v>173172537</v>
      </c>
      <c r="G47" s="160">
        <f>G38+G40</f>
        <v>166559447</v>
      </c>
      <c r="H47" s="160">
        <f t="shared" ref="H47:AR47" si="17">H38+H40</f>
        <v>161190570</v>
      </c>
      <c r="I47" s="160">
        <f t="shared" si="17"/>
        <v>173436278</v>
      </c>
      <c r="J47" s="160">
        <f t="shared" si="17"/>
        <v>164265379</v>
      </c>
      <c r="K47" s="160">
        <f t="shared" si="17"/>
        <v>162796451</v>
      </c>
      <c r="L47" s="160">
        <f t="shared" si="17"/>
        <v>160758578</v>
      </c>
      <c r="M47" s="160">
        <f t="shared" si="17"/>
        <v>162916446.9346554</v>
      </c>
      <c r="N47" s="160">
        <f t="shared" si="17"/>
        <v>164733983</v>
      </c>
      <c r="O47" s="160">
        <f t="shared" si="17"/>
        <v>175711934</v>
      </c>
      <c r="P47" s="160">
        <f t="shared" si="17"/>
        <v>175549447</v>
      </c>
      <c r="Q47" s="160">
        <f t="shared" si="17"/>
        <v>182379488</v>
      </c>
      <c r="R47" s="160">
        <f t="shared" si="17"/>
        <v>180524692</v>
      </c>
      <c r="S47" s="160">
        <f t="shared" si="17"/>
        <v>180524692</v>
      </c>
      <c r="T47" s="160">
        <f t="shared" si="17"/>
        <v>198949637</v>
      </c>
      <c r="U47" s="160">
        <f t="shared" si="17"/>
        <v>195161484</v>
      </c>
      <c r="V47" s="160">
        <f t="shared" si="17"/>
        <v>194029840</v>
      </c>
      <c r="W47" s="160">
        <f t="shared" si="17"/>
        <v>188139968</v>
      </c>
      <c r="X47" s="227">
        <f t="shared" si="17"/>
        <v>183468086</v>
      </c>
      <c r="Y47" s="227">
        <f t="shared" si="17"/>
        <v>179158637</v>
      </c>
      <c r="Z47" s="227">
        <f t="shared" si="17"/>
        <v>189532105</v>
      </c>
      <c r="AA47" s="227">
        <f t="shared" si="17"/>
        <v>185032959</v>
      </c>
      <c r="AB47" s="227">
        <f t="shared" si="17"/>
        <v>184966040</v>
      </c>
      <c r="AC47" s="227">
        <f t="shared" si="17"/>
        <v>189125158</v>
      </c>
      <c r="AD47" s="227">
        <f t="shared" si="17"/>
        <v>207308114</v>
      </c>
      <c r="AE47" s="227">
        <f t="shared" si="17"/>
        <v>187921587</v>
      </c>
      <c r="AF47" s="227">
        <v>190081357</v>
      </c>
      <c r="AG47" s="227">
        <f t="shared" si="17"/>
        <v>193265102</v>
      </c>
      <c r="AH47" s="227">
        <f t="shared" si="17"/>
        <v>177522480</v>
      </c>
      <c r="AI47" s="227">
        <f t="shared" si="17"/>
        <v>183485952</v>
      </c>
      <c r="AJ47" s="227">
        <f t="shared" si="17"/>
        <v>186638971</v>
      </c>
      <c r="AK47" s="227">
        <f t="shared" si="17"/>
        <v>183904528</v>
      </c>
      <c r="AL47" s="227">
        <f t="shared" si="17"/>
        <v>188432003</v>
      </c>
      <c r="AM47" s="227">
        <f t="shared" si="17"/>
        <v>188301100</v>
      </c>
      <c r="AN47" s="227">
        <f t="shared" si="17"/>
        <v>189638451</v>
      </c>
      <c r="AO47" s="227">
        <f t="shared" si="17"/>
        <v>192779346</v>
      </c>
      <c r="AP47" s="227">
        <f t="shared" si="17"/>
        <v>197701120</v>
      </c>
      <c r="AQ47" s="227">
        <f t="shared" si="17"/>
        <v>196821309</v>
      </c>
      <c r="AR47" s="227">
        <f t="shared" si="17"/>
        <v>196447030</v>
      </c>
      <c r="AS47" s="227">
        <f t="shared" ref="AS47:BC47" si="18">AS38+AS40</f>
        <v>195978197</v>
      </c>
      <c r="AT47" s="227">
        <f t="shared" si="18"/>
        <v>0</v>
      </c>
      <c r="AU47" s="227">
        <f t="shared" si="18"/>
        <v>0</v>
      </c>
      <c r="AV47" s="227">
        <f t="shared" si="18"/>
        <v>0</v>
      </c>
      <c r="AW47" s="227">
        <f t="shared" si="18"/>
        <v>0</v>
      </c>
      <c r="AX47" s="227">
        <f t="shared" si="18"/>
        <v>0</v>
      </c>
      <c r="AY47" s="227">
        <f t="shared" si="18"/>
        <v>0</v>
      </c>
      <c r="AZ47" s="227">
        <f t="shared" si="18"/>
        <v>0</v>
      </c>
      <c r="BA47" s="227">
        <f t="shared" si="18"/>
        <v>0</v>
      </c>
      <c r="BB47" s="227">
        <f t="shared" si="18"/>
        <v>0</v>
      </c>
      <c r="BC47" s="227">
        <f t="shared" si="18"/>
        <v>0</v>
      </c>
    </row>
    <row r="48" spans="1:55" s="150" customFormat="1">
      <c r="A48" s="158"/>
      <c r="B48" s="168"/>
      <c r="C48" s="173"/>
      <c r="D48" s="173"/>
      <c r="E48" s="173"/>
      <c r="F48" s="162"/>
      <c r="G48" s="173"/>
      <c r="H48" s="173"/>
      <c r="I48" s="173"/>
      <c r="J48" s="173"/>
      <c r="K48" s="173"/>
      <c r="L48" s="173"/>
      <c r="M48" s="173"/>
      <c r="N48" s="173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AB48" s="226"/>
      <c r="AC48" s="226"/>
      <c r="AD48" s="226"/>
      <c r="AE48" s="226"/>
      <c r="AF48" s="226"/>
      <c r="AG48" s="226"/>
      <c r="AH48" s="226"/>
      <c r="AI48" s="226"/>
      <c r="AJ48" s="226"/>
      <c r="AK48" s="226"/>
      <c r="AL48" s="226"/>
      <c r="AM48" s="226"/>
      <c r="AN48" s="226"/>
      <c r="AO48" s="226"/>
      <c r="AP48" s="226"/>
      <c r="AQ48" s="226"/>
      <c r="AR48" s="226"/>
      <c r="AS48" s="258"/>
    </row>
    <row r="49" spans="1:55" s="150" customFormat="1">
      <c r="A49" s="158"/>
      <c r="B49" s="168" t="s">
        <v>46</v>
      </c>
      <c r="C49" s="162"/>
      <c r="D49" s="162"/>
      <c r="E49" s="162"/>
      <c r="F49" s="162"/>
      <c r="G49" s="173"/>
      <c r="H49" s="173"/>
      <c r="I49" s="173"/>
      <c r="J49" s="173"/>
      <c r="K49" s="173"/>
      <c r="L49" s="173"/>
      <c r="M49" s="173"/>
      <c r="N49" s="173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58"/>
    </row>
    <row r="50" spans="1:55">
      <c r="A50" s="158"/>
      <c r="B50" s="161" t="s">
        <v>47</v>
      </c>
      <c r="C50" s="162">
        <v>10092600</v>
      </c>
      <c r="D50" s="162">
        <v>10571400</v>
      </c>
      <c r="E50" s="162">
        <v>10978200</v>
      </c>
      <c r="F50" s="162">
        <v>11404800</v>
      </c>
      <c r="G50" s="163">
        <v>11404800</v>
      </c>
      <c r="H50" s="163">
        <v>11404800</v>
      </c>
      <c r="I50" s="163">
        <v>11548800</v>
      </c>
      <c r="J50" s="163">
        <v>11548800</v>
      </c>
      <c r="K50" s="164">
        <v>11667600</v>
      </c>
      <c r="L50" s="165">
        <v>11945719</v>
      </c>
      <c r="M50" s="163">
        <v>12340353.380000001</v>
      </c>
      <c r="N50" s="163">
        <v>12779540</v>
      </c>
      <c r="O50" s="163">
        <v>13211239</v>
      </c>
      <c r="P50" s="163">
        <v>13589570</v>
      </c>
      <c r="Q50" s="163">
        <v>13980210</v>
      </c>
      <c r="R50" s="163">
        <v>14458167</v>
      </c>
      <c r="S50" s="163">
        <v>14458167</v>
      </c>
      <c r="T50" s="167">
        <v>14808084</v>
      </c>
      <c r="U50" s="167">
        <v>15166381</v>
      </c>
      <c r="V50" s="167">
        <v>15288654</v>
      </c>
      <c r="W50" s="167">
        <v>15698722</v>
      </c>
      <c r="X50" s="215">
        <v>15872188</v>
      </c>
      <c r="Y50" s="215">
        <v>15939395</v>
      </c>
      <c r="Z50" s="215">
        <v>16042617</v>
      </c>
      <c r="AA50" s="228">
        <v>16118036</v>
      </c>
      <c r="AB50" s="244">
        <v>16150196</v>
      </c>
      <c r="AC50" s="245">
        <v>16181908</v>
      </c>
      <c r="AD50" s="245">
        <v>16293098</v>
      </c>
      <c r="AE50" s="252">
        <v>16370661</v>
      </c>
      <c r="AF50" s="277">
        <v>16371815</v>
      </c>
      <c r="AG50" s="265">
        <v>16392886</v>
      </c>
      <c r="AH50" s="265">
        <v>16483845</v>
      </c>
      <c r="AI50" s="265">
        <v>16569936</v>
      </c>
      <c r="AJ50" s="265">
        <v>16603732</v>
      </c>
      <c r="AK50" s="265">
        <v>16680213</v>
      </c>
      <c r="AL50" s="265">
        <v>16712323</v>
      </c>
      <c r="AM50" s="265">
        <v>16791479</v>
      </c>
      <c r="AN50" s="265">
        <v>16848441</v>
      </c>
      <c r="AO50" s="265">
        <v>16904201</v>
      </c>
      <c r="AP50" s="265">
        <v>16929441</v>
      </c>
      <c r="AQ50" s="265">
        <v>16966895</v>
      </c>
      <c r="AR50" s="269">
        <v>17043686</v>
      </c>
      <c r="AS50" s="257">
        <v>17043686</v>
      </c>
    </row>
    <row r="51" spans="1:55">
      <c r="A51" s="154"/>
      <c r="B51" s="161" t="s">
        <v>48</v>
      </c>
      <c r="C51" s="162"/>
      <c r="D51" s="162"/>
      <c r="E51" s="162"/>
      <c r="F51" s="162"/>
      <c r="G51" s="163">
        <v>0</v>
      </c>
      <c r="H51" s="163">
        <v>0</v>
      </c>
      <c r="I51" s="163">
        <v>0</v>
      </c>
      <c r="J51" s="163">
        <v>0</v>
      </c>
      <c r="K51" s="163">
        <v>0</v>
      </c>
      <c r="L51" s="165">
        <v>0</v>
      </c>
      <c r="M51" s="163"/>
      <c r="N51" s="163">
        <v>0</v>
      </c>
      <c r="O51" s="163">
        <v>0</v>
      </c>
      <c r="P51" s="163">
        <v>0</v>
      </c>
      <c r="Q51" s="163">
        <v>0</v>
      </c>
      <c r="R51" s="163">
        <v>0</v>
      </c>
      <c r="S51" s="163">
        <v>0</v>
      </c>
      <c r="T51" s="167">
        <v>0</v>
      </c>
      <c r="U51" s="167">
        <v>0</v>
      </c>
      <c r="V51" s="167">
        <v>0</v>
      </c>
      <c r="W51" s="167">
        <v>0</v>
      </c>
      <c r="X51" s="215">
        <v>0</v>
      </c>
      <c r="Y51" s="215">
        <v>0</v>
      </c>
      <c r="Z51" s="215">
        <v>0</v>
      </c>
      <c r="AA51" s="228">
        <v>0</v>
      </c>
      <c r="AB51" s="246">
        <v>0</v>
      </c>
      <c r="AC51" s="248">
        <v>0</v>
      </c>
      <c r="AD51" s="248">
        <v>0</v>
      </c>
      <c r="AE51" s="253">
        <v>0</v>
      </c>
      <c r="AF51" s="278"/>
      <c r="AG51" s="265">
        <v>0</v>
      </c>
      <c r="AH51" s="265">
        <v>0</v>
      </c>
      <c r="AI51" s="265">
        <v>0</v>
      </c>
      <c r="AJ51" s="265">
        <v>0</v>
      </c>
      <c r="AK51" s="265">
        <v>0</v>
      </c>
      <c r="AL51" s="265">
        <v>0</v>
      </c>
      <c r="AM51" s="265">
        <v>0</v>
      </c>
      <c r="AN51" s="265">
        <v>0</v>
      </c>
      <c r="AO51" s="265">
        <v>0</v>
      </c>
      <c r="AP51" s="265">
        <v>0</v>
      </c>
      <c r="AQ51" s="265">
        <v>0</v>
      </c>
      <c r="AR51" s="270">
        <v>0</v>
      </c>
      <c r="AS51" s="257">
        <v>0</v>
      </c>
    </row>
    <row r="52" spans="1:55">
      <c r="A52" s="154"/>
      <c r="B52" s="161"/>
      <c r="C52" s="173"/>
      <c r="D52" s="173"/>
      <c r="E52" s="173"/>
      <c r="F52" s="173"/>
      <c r="G52" s="163"/>
      <c r="H52" s="163"/>
      <c r="I52" s="163"/>
      <c r="J52" s="163"/>
      <c r="K52" s="163"/>
      <c r="L52" s="165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57"/>
    </row>
    <row r="53" spans="1:55">
      <c r="A53" s="158"/>
      <c r="B53" s="159" t="s">
        <v>49</v>
      </c>
      <c r="C53" s="177">
        <f>C54+C55</f>
        <v>1279011</v>
      </c>
      <c r="D53" s="177">
        <f>D54+D55</f>
        <v>1697046.7480000006</v>
      </c>
      <c r="E53" s="177">
        <f>E54+E55</f>
        <v>1946285</v>
      </c>
      <c r="F53" s="177">
        <f>F54+F55</f>
        <v>1958695</v>
      </c>
      <c r="G53" s="177">
        <f>G54+G55</f>
        <v>3353455</v>
      </c>
      <c r="H53" s="177">
        <f t="shared" ref="H53:BC53" si="19">H54+H55</f>
        <v>2464062</v>
      </c>
      <c r="I53" s="177">
        <f t="shared" si="19"/>
        <v>2267142</v>
      </c>
      <c r="J53" s="177">
        <f t="shared" si="19"/>
        <v>2083089</v>
      </c>
      <c r="K53" s="177">
        <f t="shared" si="19"/>
        <v>2348778</v>
      </c>
      <c r="L53" s="177">
        <f t="shared" si="19"/>
        <v>2613577</v>
      </c>
      <c r="M53" s="177">
        <f t="shared" si="19"/>
        <v>3008824.3876095163</v>
      </c>
      <c r="N53" s="177">
        <f t="shared" si="19"/>
        <v>3023429</v>
      </c>
      <c r="O53" s="177">
        <f t="shared" si="19"/>
        <v>3368951</v>
      </c>
      <c r="P53" s="177">
        <f t="shared" si="19"/>
        <v>3839006</v>
      </c>
      <c r="Q53" s="177">
        <f t="shared" si="19"/>
        <v>3785764</v>
      </c>
      <c r="R53" s="177">
        <f t="shared" si="19"/>
        <v>2146567</v>
      </c>
      <c r="S53" s="177">
        <f t="shared" si="19"/>
        <v>2146567</v>
      </c>
      <c r="T53" s="177">
        <f t="shared" si="19"/>
        <v>2334354</v>
      </c>
      <c r="U53" s="177">
        <f t="shared" si="19"/>
        <v>2117517</v>
      </c>
      <c r="V53" s="177">
        <f t="shared" si="19"/>
        <v>2148148</v>
      </c>
      <c r="W53" s="177">
        <f t="shared" si="19"/>
        <v>5297068</v>
      </c>
      <c r="X53" s="177">
        <f t="shared" si="19"/>
        <v>4914818</v>
      </c>
      <c r="Y53" s="177">
        <f t="shared" si="19"/>
        <v>4858193</v>
      </c>
      <c r="Z53" s="177">
        <f t="shared" si="19"/>
        <v>4277119</v>
      </c>
      <c r="AA53" s="232">
        <f t="shared" si="19"/>
        <v>4235710</v>
      </c>
      <c r="AB53" s="229">
        <f t="shared" si="19"/>
        <v>3535931</v>
      </c>
      <c r="AC53" s="229">
        <f t="shared" si="19"/>
        <v>2384123</v>
      </c>
      <c r="AD53" s="229">
        <f t="shared" si="19"/>
        <v>2627718</v>
      </c>
      <c r="AE53" s="229">
        <f t="shared" si="19"/>
        <v>2571365</v>
      </c>
      <c r="AF53" s="229">
        <v>2166296</v>
      </c>
      <c r="AG53" s="229">
        <f t="shared" si="19"/>
        <v>2263767</v>
      </c>
      <c r="AH53" s="229">
        <f t="shared" si="19"/>
        <v>2211604</v>
      </c>
      <c r="AI53" s="229">
        <f t="shared" si="19"/>
        <v>2648150</v>
      </c>
      <c r="AJ53" s="229">
        <f t="shared" si="19"/>
        <v>2194937</v>
      </c>
      <c r="AK53" s="229">
        <f t="shared" si="19"/>
        <v>2337875</v>
      </c>
      <c r="AL53" s="229">
        <f t="shared" si="19"/>
        <v>2524547</v>
      </c>
      <c r="AM53" s="229">
        <f t="shared" si="19"/>
        <v>2657603</v>
      </c>
      <c r="AN53" s="229">
        <f t="shared" si="19"/>
        <v>3096865</v>
      </c>
      <c r="AO53" s="229">
        <f t="shared" si="19"/>
        <v>3019960</v>
      </c>
      <c r="AP53" s="229">
        <f t="shared" si="19"/>
        <v>2727843</v>
      </c>
      <c r="AQ53" s="229">
        <f t="shared" si="19"/>
        <v>3100192</v>
      </c>
      <c r="AR53" s="229">
        <f t="shared" si="19"/>
        <v>3151949</v>
      </c>
      <c r="AS53" s="229">
        <f t="shared" ref="AS53" si="20">AS54+AS55</f>
        <v>3062352</v>
      </c>
      <c r="AT53" s="177">
        <f t="shared" si="19"/>
        <v>0</v>
      </c>
      <c r="AU53" s="177">
        <f t="shared" si="19"/>
        <v>0</v>
      </c>
      <c r="AV53" s="177">
        <f t="shared" si="19"/>
        <v>0</v>
      </c>
      <c r="AW53" s="177">
        <f t="shared" si="19"/>
        <v>0</v>
      </c>
      <c r="AX53" s="177">
        <f t="shared" si="19"/>
        <v>0</v>
      </c>
      <c r="AY53" s="177">
        <f t="shared" si="19"/>
        <v>0</v>
      </c>
      <c r="AZ53" s="177">
        <f t="shared" si="19"/>
        <v>0</v>
      </c>
      <c r="BA53" s="177">
        <f t="shared" si="19"/>
        <v>0</v>
      </c>
      <c r="BB53" s="177">
        <f t="shared" si="19"/>
        <v>0</v>
      </c>
      <c r="BC53" s="177">
        <f t="shared" si="19"/>
        <v>0</v>
      </c>
    </row>
    <row r="54" spans="1:55">
      <c r="A54" s="154"/>
      <c r="B54" s="161" t="s">
        <v>50</v>
      </c>
      <c r="C54" s="162">
        <v>1238165</v>
      </c>
      <c r="D54" s="162">
        <v>1279010.7480000006</v>
      </c>
      <c r="E54" s="162">
        <v>1697047</v>
      </c>
      <c r="F54" s="162">
        <v>1946285</v>
      </c>
      <c r="G54" s="163">
        <v>1979175</v>
      </c>
      <c r="H54" s="163">
        <v>1958694</v>
      </c>
      <c r="I54" s="163">
        <v>1958694</v>
      </c>
      <c r="J54" s="163">
        <v>1958694</v>
      </c>
      <c r="K54" s="164">
        <v>1958694</v>
      </c>
      <c r="L54" s="165">
        <v>1958694</v>
      </c>
      <c r="M54" s="163">
        <v>1958694.4217999994</v>
      </c>
      <c r="N54" s="163">
        <v>1958694</v>
      </c>
      <c r="O54" s="163">
        <v>1958694</v>
      </c>
      <c r="P54" s="163">
        <v>1958694</v>
      </c>
      <c r="Q54" s="163">
        <v>1958694</v>
      </c>
      <c r="R54" s="163">
        <v>1958694</v>
      </c>
      <c r="S54" s="163">
        <v>1958694</v>
      </c>
      <c r="T54" s="167">
        <v>1958694</v>
      </c>
      <c r="U54" s="167">
        <v>2019454</v>
      </c>
      <c r="V54" s="167">
        <v>2019454</v>
      </c>
      <c r="W54" s="167">
        <v>2019454</v>
      </c>
      <c r="X54" s="215">
        <v>2019454</v>
      </c>
      <c r="Y54" s="215">
        <v>2019454</v>
      </c>
      <c r="Z54" s="215">
        <v>2019454</v>
      </c>
      <c r="AA54" s="228">
        <v>2019454</v>
      </c>
      <c r="AB54" s="243">
        <v>2019454</v>
      </c>
      <c r="AC54" s="243">
        <v>2019454</v>
      </c>
      <c r="AD54" s="243">
        <v>2019454</v>
      </c>
      <c r="AE54" s="243">
        <v>2019454</v>
      </c>
      <c r="AF54" s="276">
        <v>2019454</v>
      </c>
      <c r="AG54" s="265">
        <v>2166297</v>
      </c>
      <c r="AH54" s="265">
        <v>2166297</v>
      </c>
      <c r="AI54" s="265">
        <v>2166297</v>
      </c>
      <c r="AJ54" s="265">
        <v>2166297</v>
      </c>
      <c r="AK54" s="265">
        <v>2166297</v>
      </c>
      <c r="AL54" s="265">
        <v>2166297</v>
      </c>
      <c r="AM54" s="265">
        <v>2166297</v>
      </c>
      <c r="AN54" s="265">
        <v>2166297</v>
      </c>
      <c r="AO54" s="265">
        <v>2166297</v>
      </c>
      <c r="AP54" s="265">
        <v>2166297</v>
      </c>
      <c r="AQ54" s="265">
        <v>2166297</v>
      </c>
      <c r="AR54" s="269">
        <v>2166297</v>
      </c>
      <c r="AS54" s="257">
        <v>2166297</v>
      </c>
    </row>
    <row r="55" spans="1:55">
      <c r="A55" s="158"/>
      <c r="B55" s="161" t="s">
        <v>51</v>
      </c>
      <c r="C55" s="162">
        <v>40846</v>
      </c>
      <c r="D55" s="162">
        <v>418036</v>
      </c>
      <c r="E55" s="162">
        <v>249238</v>
      </c>
      <c r="F55" s="162">
        <f>1697187-339437-1140840-204500</f>
        <v>12410</v>
      </c>
      <c r="G55" s="163">
        <v>1374280</v>
      </c>
      <c r="H55" s="163">
        <v>505368</v>
      </c>
      <c r="I55" s="163">
        <v>308448</v>
      </c>
      <c r="J55" s="163">
        <v>124395</v>
      </c>
      <c r="K55" s="164">
        <v>390084</v>
      </c>
      <c r="L55" s="165">
        <v>654883</v>
      </c>
      <c r="M55" s="163">
        <v>1050129.9658095166</v>
      </c>
      <c r="N55" s="163">
        <v>1064735</v>
      </c>
      <c r="O55" s="163">
        <v>1410257</v>
      </c>
      <c r="P55" s="163">
        <v>1880312</v>
      </c>
      <c r="Q55" s="163">
        <v>1827070</v>
      </c>
      <c r="R55" s="163">
        <v>187873</v>
      </c>
      <c r="S55" s="163">
        <v>187873</v>
      </c>
      <c r="T55" s="167">
        <v>375660</v>
      </c>
      <c r="U55" s="167">
        <v>98063</v>
      </c>
      <c r="V55" s="167">
        <v>128694</v>
      </c>
      <c r="W55" s="167">
        <v>3277614</v>
      </c>
      <c r="X55" s="215">
        <v>2895364</v>
      </c>
      <c r="Y55" s="215">
        <v>2838739</v>
      </c>
      <c r="Z55" s="215">
        <v>2257665</v>
      </c>
      <c r="AA55" s="228">
        <v>2216256</v>
      </c>
      <c r="AB55" s="243">
        <v>1516477</v>
      </c>
      <c r="AC55" s="243">
        <v>364669</v>
      </c>
      <c r="AD55" s="243">
        <v>608264</v>
      </c>
      <c r="AE55" s="243">
        <v>551911</v>
      </c>
      <c r="AF55" s="276">
        <v>146842</v>
      </c>
      <c r="AG55" s="265">
        <v>97470</v>
      </c>
      <c r="AH55" s="265">
        <v>45307</v>
      </c>
      <c r="AI55" s="265">
        <v>481853</v>
      </c>
      <c r="AJ55" s="265">
        <v>28640</v>
      </c>
      <c r="AK55" s="265">
        <v>171578</v>
      </c>
      <c r="AL55" s="265">
        <v>358250</v>
      </c>
      <c r="AM55" s="265">
        <v>491306</v>
      </c>
      <c r="AN55" s="265">
        <v>930568</v>
      </c>
      <c r="AO55" s="265">
        <v>853663</v>
      </c>
      <c r="AP55" s="265">
        <v>561546</v>
      </c>
      <c r="AQ55" s="265">
        <v>933895</v>
      </c>
      <c r="AR55" s="270">
        <v>985652</v>
      </c>
      <c r="AS55" s="257">
        <f>3062352-AS54</f>
        <v>896055</v>
      </c>
    </row>
    <row r="56" spans="1:55">
      <c r="A56" s="158"/>
      <c r="B56" s="161"/>
      <c r="C56" s="173"/>
      <c r="D56" s="173"/>
      <c r="E56" s="173"/>
      <c r="F56" s="162"/>
      <c r="G56" s="163"/>
      <c r="H56" s="163"/>
      <c r="I56" s="163"/>
      <c r="J56" s="163"/>
      <c r="K56" s="164"/>
      <c r="L56" s="165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57"/>
    </row>
    <row r="57" spans="1:55" ht="15.75">
      <c r="A57" s="158"/>
      <c r="B57" s="159" t="s">
        <v>52</v>
      </c>
      <c r="C57" s="160">
        <f t="shared" ref="C57:H57" si="21">SUM(C58:C62)</f>
        <v>50029358</v>
      </c>
      <c r="D57" s="160">
        <f t="shared" si="21"/>
        <v>59119522</v>
      </c>
      <c r="E57" s="160">
        <f t="shared" si="21"/>
        <v>59507412</v>
      </c>
      <c r="F57" s="160">
        <f t="shared" si="21"/>
        <v>59846849</v>
      </c>
      <c r="G57" s="160">
        <f t="shared" si="21"/>
        <v>59851969</v>
      </c>
      <c r="H57" s="160">
        <f t="shared" si="21"/>
        <v>60046849</v>
      </c>
      <c r="I57" s="160">
        <f t="shared" ref="I57:BC57" si="22">SUM(I58:I62)</f>
        <v>60146849</v>
      </c>
      <c r="J57" s="160">
        <f t="shared" si="22"/>
        <v>60246849</v>
      </c>
      <c r="K57" s="160">
        <f t="shared" si="22"/>
        <v>60521815</v>
      </c>
      <c r="L57" s="160">
        <f t="shared" si="22"/>
        <v>60656808</v>
      </c>
      <c r="M57" s="160">
        <f t="shared" si="22"/>
        <v>60756808.180599995</v>
      </c>
      <c r="N57" s="160">
        <f t="shared" si="22"/>
        <v>60884455</v>
      </c>
      <c r="O57" s="160">
        <f t="shared" si="22"/>
        <v>61014156</v>
      </c>
      <c r="P57" s="160">
        <f t="shared" si="22"/>
        <v>61143856</v>
      </c>
      <c r="Q57" s="160">
        <f t="shared" si="22"/>
        <v>61571578</v>
      </c>
      <c r="R57" s="160">
        <f t="shared" si="22"/>
        <v>61680555</v>
      </c>
      <c r="S57" s="160">
        <f t="shared" si="22"/>
        <v>61680555</v>
      </c>
      <c r="T57" s="160">
        <f t="shared" si="22"/>
        <v>60388033</v>
      </c>
      <c r="U57" s="160">
        <f t="shared" si="22"/>
        <v>16859077</v>
      </c>
      <c r="V57" s="160">
        <f t="shared" si="22"/>
        <v>16985585</v>
      </c>
      <c r="W57" s="160">
        <f t="shared" si="22"/>
        <v>17112093</v>
      </c>
      <c r="X57" s="160">
        <f t="shared" si="22"/>
        <v>17268727</v>
      </c>
      <c r="Y57" s="160">
        <f t="shared" si="22"/>
        <v>17403031</v>
      </c>
      <c r="Z57" s="160">
        <f t="shared" si="22"/>
        <v>17541880</v>
      </c>
      <c r="AA57" s="222">
        <f t="shared" si="22"/>
        <v>17680597</v>
      </c>
      <c r="AB57" s="227">
        <f t="shared" si="22"/>
        <v>17817326</v>
      </c>
      <c r="AC57" s="227">
        <f t="shared" si="22"/>
        <v>18089403</v>
      </c>
      <c r="AD57" s="227">
        <f t="shared" si="22"/>
        <v>18235371</v>
      </c>
      <c r="AE57" s="227">
        <f t="shared" si="22"/>
        <v>18482971</v>
      </c>
      <c r="AF57" s="227">
        <v>16837068</v>
      </c>
      <c r="AG57" s="227">
        <f t="shared" si="22"/>
        <v>16983096</v>
      </c>
      <c r="AH57" s="227">
        <f t="shared" si="22"/>
        <v>17148541</v>
      </c>
      <c r="AI57" s="227">
        <f t="shared" si="22"/>
        <v>17361544</v>
      </c>
      <c r="AJ57" s="227">
        <f t="shared" si="22"/>
        <v>17537497</v>
      </c>
      <c r="AK57" s="227">
        <f t="shared" si="22"/>
        <v>17715791</v>
      </c>
      <c r="AL57" s="227">
        <f t="shared" si="22"/>
        <v>17893141</v>
      </c>
      <c r="AM57" s="227">
        <f t="shared" si="22"/>
        <v>18213700</v>
      </c>
      <c r="AN57" s="227">
        <f t="shared" si="22"/>
        <v>18394644</v>
      </c>
      <c r="AO57" s="227">
        <f t="shared" si="22"/>
        <v>18613180</v>
      </c>
      <c r="AP57" s="227">
        <f t="shared" si="22"/>
        <v>18829848</v>
      </c>
      <c r="AQ57" s="227">
        <f t="shared" si="22"/>
        <v>18974672</v>
      </c>
      <c r="AR57" s="227">
        <f t="shared" si="22"/>
        <v>19026443</v>
      </c>
      <c r="AS57" s="227">
        <f t="shared" ref="AS57" si="23">SUM(AS58:AS62)</f>
        <v>19680459</v>
      </c>
      <c r="AT57" s="160">
        <f t="shared" si="22"/>
        <v>0</v>
      </c>
      <c r="AU57" s="160">
        <f t="shared" si="22"/>
        <v>0</v>
      </c>
      <c r="AV57" s="160">
        <f t="shared" si="22"/>
        <v>0</v>
      </c>
      <c r="AW57" s="160">
        <f t="shared" si="22"/>
        <v>0</v>
      </c>
      <c r="AX57" s="160">
        <f t="shared" si="22"/>
        <v>0</v>
      </c>
      <c r="AY57" s="160">
        <f t="shared" si="22"/>
        <v>0</v>
      </c>
      <c r="AZ57" s="160">
        <f t="shared" si="22"/>
        <v>0</v>
      </c>
      <c r="BA57" s="160">
        <f t="shared" si="22"/>
        <v>0</v>
      </c>
      <c r="BB57" s="160">
        <f t="shared" si="22"/>
        <v>0</v>
      </c>
      <c r="BC57" s="160">
        <f t="shared" si="22"/>
        <v>0</v>
      </c>
    </row>
    <row r="58" spans="1:55">
      <c r="A58" s="158"/>
      <c r="B58" s="161" t="s">
        <v>53</v>
      </c>
      <c r="C58" s="162">
        <v>4468256</v>
      </c>
      <c r="D58" s="162">
        <v>4888175</v>
      </c>
      <c r="E58" s="162">
        <v>5276065</v>
      </c>
      <c r="F58" s="162">
        <v>5615502</v>
      </c>
      <c r="G58" s="163">
        <v>5620622</v>
      </c>
      <c r="H58" s="163">
        <v>5615502</v>
      </c>
      <c r="I58" s="163">
        <v>5615502</v>
      </c>
      <c r="J58" s="163">
        <v>5615502</v>
      </c>
      <c r="K58" s="164">
        <v>5790468</v>
      </c>
      <c r="L58" s="165">
        <v>5825461</v>
      </c>
      <c r="M58" s="163">
        <v>5825461.3805999989</v>
      </c>
      <c r="N58" s="163">
        <v>5853108</v>
      </c>
      <c r="O58" s="163">
        <v>5882809</v>
      </c>
      <c r="P58" s="163">
        <v>5912509</v>
      </c>
      <c r="Q58" s="163">
        <v>5942210</v>
      </c>
      <c r="R58" s="163">
        <v>6003391</v>
      </c>
      <c r="S58" s="163">
        <v>6003391</v>
      </c>
      <c r="T58" s="167">
        <v>6036201</v>
      </c>
      <c r="U58" s="167">
        <v>6343271</v>
      </c>
      <c r="V58" s="167">
        <v>6343271</v>
      </c>
      <c r="W58" s="167">
        <v>6343271</v>
      </c>
      <c r="X58" s="215">
        <v>6343271</v>
      </c>
      <c r="Y58" s="215">
        <v>6343271</v>
      </c>
      <c r="Z58" s="215">
        <v>6343271</v>
      </c>
      <c r="AA58" s="228">
        <v>6343271</v>
      </c>
      <c r="AB58" s="243">
        <v>6343271</v>
      </c>
      <c r="AC58" s="243">
        <v>6343271</v>
      </c>
      <c r="AD58" s="243">
        <v>6343271</v>
      </c>
      <c r="AE58" s="243">
        <v>6583115</v>
      </c>
      <c r="AF58" s="276">
        <v>6574278</v>
      </c>
      <c r="AG58" s="265">
        <v>6611020</v>
      </c>
      <c r="AH58" s="265">
        <v>6611020</v>
      </c>
      <c r="AI58" s="265">
        <v>6684506</v>
      </c>
      <c r="AJ58" s="265">
        <v>6721249</v>
      </c>
      <c r="AK58" s="265">
        <v>6757992</v>
      </c>
      <c r="AL58" s="265">
        <v>6794735</v>
      </c>
      <c r="AM58" s="265">
        <v>6831478</v>
      </c>
      <c r="AN58" s="265">
        <v>6868221</v>
      </c>
      <c r="AO58" s="265">
        <v>6941707</v>
      </c>
      <c r="AP58" s="265">
        <v>7015193</v>
      </c>
      <c r="AQ58" s="265">
        <v>7015193</v>
      </c>
      <c r="AR58" s="269">
        <v>7059284</v>
      </c>
      <c r="AS58" s="257">
        <v>7322167</v>
      </c>
    </row>
    <row r="59" spans="1:55">
      <c r="A59" s="158"/>
      <c r="B59" s="161" t="s">
        <v>54</v>
      </c>
      <c r="C59" s="162">
        <v>8982342</v>
      </c>
      <c r="D59" s="162">
        <v>17158163</v>
      </c>
      <c r="E59" s="162">
        <v>17158163</v>
      </c>
      <c r="F59" s="162">
        <v>17158163</v>
      </c>
      <c r="G59" s="178">
        <v>17158163</v>
      </c>
      <c r="H59" s="163">
        <v>17158163</v>
      </c>
      <c r="I59" s="163">
        <v>17158163</v>
      </c>
      <c r="J59" s="163">
        <v>17158163</v>
      </c>
      <c r="K59" s="164">
        <v>17158163</v>
      </c>
      <c r="L59" s="165">
        <v>17158163</v>
      </c>
      <c r="M59" s="163">
        <v>17158163</v>
      </c>
      <c r="N59" s="163">
        <v>17158163</v>
      </c>
      <c r="O59" s="163">
        <v>17158163</v>
      </c>
      <c r="P59" s="163">
        <v>17158163</v>
      </c>
      <c r="Q59" s="163">
        <v>17158163</v>
      </c>
      <c r="R59" s="163">
        <v>17158163</v>
      </c>
      <c r="S59" s="163">
        <v>17158163</v>
      </c>
      <c r="T59" s="167">
        <v>17158163</v>
      </c>
      <c r="U59" s="167">
        <v>10262790</v>
      </c>
      <c r="V59" s="167">
        <v>10262790</v>
      </c>
      <c r="W59" s="167">
        <v>10262790</v>
      </c>
      <c r="X59" s="215">
        <v>10262790</v>
      </c>
      <c r="Y59" s="215">
        <v>10262790</v>
      </c>
      <c r="Z59" s="215">
        <v>10262790</v>
      </c>
      <c r="AA59" s="228">
        <v>10262790</v>
      </c>
      <c r="AB59" s="243">
        <v>10262790</v>
      </c>
      <c r="AC59" s="243">
        <v>10262790</v>
      </c>
      <c r="AD59" s="243">
        <v>10262790</v>
      </c>
      <c r="AE59" s="243">
        <v>10262790</v>
      </c>
      <c r="AF59" s="276">
        <v>10262790</v>
      </c>
      <c r="AG59" s="265">
        <v>10262790</v>
      </c>
      <c r="AH59" s="265">
        <v>10262790</v>
      </c>
      <c r="AI59" s="265">
        <v>10262790</v>
      </c>
      <c r="AJ59" s="265">
        <v>10262790</v>
      </c>
      <c r="AK59" s="265">
        <v>10262790</v>
      </c>
      <c r="AL59" s="265">
        <v>10262790</v>
      </c>
      <c r="AM59" s="265">
        <v>10262790</v>
      </c>
      <c r="AN59" s="265">
        <v>10262790</v>
      </c>
      <c r="AO59" s="265">
        <v>10262790</v>
      </c>
      <c r="AP59" s="265">
        <v>10262790</v>
      </c>
      <c r="AQ59" s="265">
        <v>10262790</v>
      </c>
      <c r="AR59" s="267">
        <v>10262790</v>
      </c>
      <c r="AS59" s="257">
        <v>10262790</v>
      </c>
    </row>
    <row r="60" spans="1:55">
      <c r="A60" s="158"/>
      <c r="B60" s="161" t="s">
        <v>55</v>
      </c>
      <c r="C60" s="162">
        <v>36578760</v>
      </c>
      <c r="D60" s="162">
        <v>37073184</v>
      </c>
      <c r="E60" s="162">
        <v>37073184</v>
      </c>
      <c r="F60" s="162">
        <v>37073184</v>
      </c>
      <c r="G60" s="178">
        <v>37073184</v>
      </c>
      <c r="H60" s="163">
        <v>37073184</v>
      </c>
      <c r="I60" s="163">
        <v>37073184</v>
      </c>
      <c r="J60" s="163">
        <v>37073184</v>
      </c>
      <c r="K60" s="164">
        <v>37073184</v>
      </c>
      <c r="L60" s="163">
        <v>37073184</v>
      </c>
      <c r="M60" s="163">
        <v>37073183.799999997</v>
      </c>
      <c r="N60" s="163">
        <v>37073184</v>
      </c>
      <c r="O60" s="163">
        <v>37073184</v>
      </c>
      <c r="P60" s="163">
        <v>37073184</v>
      </c>
      <c r="Q60" s="163">
        <v>37073184</v>
      </c>
      <c r="R60" s="163">
        <v>37073184</v>
      </c>
      <c r="S60" s="163">
        <v>37073184</v>
      </c>
      <c r="T60" s="167">
        <v>37073184</v>
      </c>
      <c r="U60" s="167">
        <v>0</v>
      </c>
      <c r="V60" s="167">
        <v>0</v>
      </c>
      <c r="W60" s="167">
        <v>0</v>
      </c>
      <c r="X60" s="215">
        <v>0</v>
      </c>
      <c r="Y60" s="215">
        <v>0</v>
      </c>
      <c r="Z60" s="215">
        <v>0</v>
      </c>
      <c r="AA60" s="228">
        <v>0</v>
      </c>
      <c r="AB60" s="225">
        <v>0</v>
      </c>
      <c r="AC60" s="225">
        <v>0</v>
      </c>
      <c r="AD60" s="225">
        <v>0</v>
      </c>
      <c r="AE60" s="225">
        <v>0</v>
      </c>
      <c r="AG60" s="265">
        <v>0</v>
      </c>
      <c r="AH60" s="265">
        <v>0</v>
      </c>
      <c r="AI60" s="265">
        <v>0</v>
      </c>
      <c r="AJ60" s="265">
        <v>0</v>
      </c>
      <c r="AK60" s="265">
        <v>0</v>
      </c>
      <c r="AL60" s="265">
        <v>0</v>
      </c>
      <c r="AM60" s="265">
        <v>0</v>
      </c>
      <c r="AN60" s="265">
        <v>0</v>
      </c>
      <c r="AO60" s="265">
        <v>0</v>
      </c>
      <c r="AP60" s="265">
        <v>0</v>
      </c>
      <c r="AQ60" s="265">
        <v>0</v>
      </c>
      <c r="AR60" s="267">
        <v>0</v>
      </c>
      <c r="AS60" s="257">
        <v>0</v>
      </c>
    </row>
    <row r="61" spans="1:55">
      <c r="A61" s="158"/>
      <c r="B61" s="161" t="s">
        <v>56</v>
      </c>
      <c r="C61" s="173"/>
      <c r="D61" s="173"/>
      <c r="E61" s="173"/>
      <c r="F61" s="162"/>
      <c r="G61" s="178">
        <v>0</v>
      </c>
      <c r="H61" s="163">
        <v>200000</v>
      </c>
      <c r="I61" s="163">
        <v>300000</v>
      </c>
      <c r="J61" s="163">
        <v>400000</v>
      </c>
      <c r="K61" s="164">
        <v>500000</v>
      </c>
      <c r="L61" s="163">
        <v>600000</v>
      </c>
      <c r="M61" s="163">
        <v>700000</v>
      </c>
      <c r="N61" s="163">
        <v>800000</v>
      </c>
      <c r="O61" s="163">
        <v>900000</v>
      </c>
      <c r="P61" s="163">
        <v>1000000</v>
      </c>
      <c r="Q61" s="163">
        <v>1398021</v>
      </c>
      <c r="R61" s="163">
        <v>1445817</v>
      </c>
      <c r="S61" s="163">
        <v>1445817</v>
      </c>
      <c r="T61" s="179">
        <v>120485</v>
      </c>
      <c r="U61" s="179">
        <v>253016</v>
      </c>
      <c r="V61" s="179">
        <v>379524</v>
      </c>
      <c r="W61" s="179">
        <v>506032</v>
      </c>
      <c r="X61" s="216">
        <v>662666</v>
      </c>
      <c r="Y61" s="216">
        <v>796970</v>
      </c>
      <c r="Z61" s="216">
        <v>935819</v>
      </c>
      <c r="AA61" s="233">
        <v>1074536</v>
      </c>
      <c r="AB61" s="225">
        <v>1211265</v>
      </c>
      <c r="AC61" s="225">
        <v>1483342</v>
      </c>
      <c r="AD61" s="225">
        <v>1629310</v>
      </c>
      <c r="AE61" s="225">
        <v>1637066</v>
      </c>
      <c r="AG61" s="266">
        <v>109286</v>
      </c>
      <c r="AH61" s="266">
        <v>274731</v>
      </c>
      <c r="AI61" s="266">
        <v>414248</v>
      </c>
      <c r="AJ61" s="266">
        <v>553458</v>
      </c>
      <c r="AK61" s="266">
        <v>695009</v>
      </c>
      <c r="AL61" s="266">
        <v>835616</v>
      </c>
      <c r="AM61" s="266">
        <v>1119432</v>
      </c>
      <c r="AN61" s="266">
        <v>1263633</v>
      </c>
      <c r="AO61" s="266">
        <v>1408683</v>
      </c>
      <c r="AP61" s="266">
        <v>1551865</v>
      </c>
      <c r="AQ61" s="266">
        <v>1696689</v>
      </c>
      <c r="AR61" s="271">
        <v>1704369</v>
      </c>
      <c r="AS61" s="257">
        <f>1755500+340002</f>
        <v>2095502</v>
      </c>
    </row>
    <row r="62" spans="1:55">
      <c r="A62" s="154"/>
      <c r="B62" s="161" t="s">
        <v>57</v>
      </c>
      <c r="C62" s="180"/>
      <c r="D62" s="180"/>
      <c r="E62" s="180"/>
      <c r="F62" s="163"/>
      <c r="G62" s="163"/>
      <c r="H62" s="163"/>
      <c r="I62" s="163"/>
      <c r="J62" s="163"/>
      <c r="K62" s="164"/>
      <c r="L62" s="163"/>
      <c r="M62" s="163"/>
      <c r="N62" s="163"/>
      <c r="O62" s="163"/>
      <c r="P62" s="163"/>
      <c r="Q62" s="163"/>
      <c r="R62" s="163"/>
      <c r="S62" s="163"/>
      <c r="T62" s="179">
        <v>0</v>
      </c>
      <c r="U62" s="179">
        <v>0</v>
      </c>
      <c r="V62" s="179">
        <v>0</v>
      </c>
      <c r="W62" s="179">
        <v>0</v>
      </c>
      <c r="X62" s="216">
        <v>0</v>
      </c>
      <c r="Y62" s="216">
        <v>0</v>
      </c>
      <c r="Z62" s="216">
        <v>0</v>
      </c>
      <c r="AA62" s="233">
        <v>0</v>
      </c>
      <c r="AB62" s="225">
        <v>0</v>
      </c>
      <c r="AC62" s="225">
        <v>0</v>
      </c>
      <c r="AD62" s="225">
        <v>0</v>
      </c>
      <c r="AE62" s="225">
        <v>0</v>
      </c>
      <c r="AG62" s="266">
        <v>0</v>
      </c>
      <c r="AH62" s="266">
        <v>0</v>
      </c>
      <c r="AI62" s="266">
        <v>0</v>
      </c>
      <c r="AJ62" s="266">
        <v>0</v>
      </c>
      <c r="AK62" s="266">
        <v>0</v>
      </c>
      <c r="AL62" s="266">
        <v>0</v>
      </c>
      <c r="AM62" s="266">
        <v>0</v>
      </c>
      <c r="AN62" s="266">
        <v>0</v>
      </c>
      <c r="AO62" s="266">
        <v>0</v>
      </c>
      <c r="AP62" s="266">
        <v>0</v>
      </c>
      <c r="AQ62" s="266">
        <v>0</v>
      </c>
      <c r="AR62" s="272">
        <v>0</v>
      </c>
      <c r="AS62" s="257"/>
    </row>
    <row r="63" spans="1:55" ht="15.75">
      <c r="A63" s="158"/>
      <c r="B63" s="159" t="s">
        <v>58</v>
      </c>
      <c r="C63" s="181">
        <f t="shared" ref="C63:H63" si="24">C50+C53+C57</f>
        <v>61400969</v>
      </c>
      <c r="D63" s="181">
        <f t="shared" si="24"/>
        <v>71387968.747999996</v>
      </c>
      <c r="E63" s="181">
        <f t="shared" si="24"/>
        <v>72431897</v>
      </c>
      <c r="F63" s="181">
        <f t="shared" si="24"/>
        <v>73210344</v>
      </c>
      <c r="G63" s="181">
        <f t="shared" si="24"/>
        <v>74610224</v>
      </c>
      <c r="H63" s="181">
        <f t="shared" si="24"/>
        <v>73915711</v>
      </c>
      <c r="I63" s="181">
        <f t="shared" ref="I63:BC63" si="25">I50+I53+I57</f>
        <v>73962791</v>
      </c>
      <c r="J63" s="181">
        <f t="shared" si="25"/>
        <v>73878738</v>
      </c>
      <c r="K63" s="181">
        <f t="shared" si="25"/>
        <v>74538193</v>
      </c>
      <c r="L63" s="181">
        <f t="shared" si="25"/>
        <v>75216104</v>
      </c>
      <c r="M63" s="181">
        <f t="shared" si="25"/>
        <v>76105985.948209509</v>
      </c>
      <c r="N63" s="181">
        <f t="shared" si="25"/>
        <v>76687424</v>
      </c>
      <c r="O63" s="181">
        <f t="shared" si="25"/>
        <v>77594346</v>
      </c>
      <c r="P63" s="181">
        <f t="shared" si="25"/>
        <v>78572432</v>
      </c>
      <c r="Q63" s="181">
        <f t="shared" si="25"/>
        <v>79337552</v>
      </c>
      <c r="R63" s="181">
        <f t="shared" si="25"/>
        <v>78285289</v>
      </c>
      <c r="S63" s="181">
        <f t="shared" si="25"/>
        <v>78285289</v>
      </c>
      <c r="T63" s="181">
        <f t="shared" si="25"/>
        <v>77530471</v>
      </c>
      <c r="U63" s="181">
        <f t="shared" si="25"/>
        <v>34142975</v>
      </c>
      <c r="V63" s="181">
        <f t="shared" si="25"/>
        <v>34422387</v>
      </c>
      <c r="W63" s="181">
        <f t="shared" si="25"/>
        <v>38107883</v>
      </c>
      <c r="X63" s="181">
        <f t="shared" si="25"/>
        <v>38055733</v>
      </c>
      <c r="Y63" s="181">
        <f t="shared" si="25"/>
        <v>38200619</v>
      </c>
      <c r="Z63" s="181">
        <f t="shared" si="25"/>
        <v>37861616</v>
      </c>
      <c r="AA63" s="234">
        <f t="shared" si="25"/>
        <v>38034343</v>
      </c>
      <c r="AB63" s="230">
        <f t="shared" si="25"/>
        <v>37503453</v>
      </c>
      <c r="AC63" s="230">
        <f t="shared" si="25"/>
        <v>36655434</v>
      </c>
      <c r="AD63" s="230">
        <f t="shared" si="25"/>
        <v>37156187</v>
      </c>
      <c r="AE63" s="230">
        <f t="shared" si="25"/>
        <v>37424997</v>
      </c>
      <c r="AF63" s="230">
        <v>35375179</v>
      </c>
      <c r="AG63" s="230">
        <f t="shared" si="25"/>
        <v>35639749</v>
      </c>
      <c r="AH63" s="230">
        <f t="shared" si="25"/>
        <v>35843990</v>
      </c>
      <c r="AI63" s="230">
        <f t="shared" si="25"/>
        <v>36579630</v>
      </c>
      <c r="AJ63" s="230">
        <f t="shared" si="25"/>
        <v>36336166</v>
      </c>
      <c r="AK63" s="230">
        <f t="shared" si="25"/>
        <v>36733879</v>
      </c>
      <c r="AL63" s="230">
        <f t="shared" si="25"/>
        <v>37130011</v>
      </c>
      <c r="AM63" s="230">
        <f t="shared" si="25"/>
        <v>37662782</v>
      </c>
      <c r="AN63" s="230">
        <f t="shared" si="25"/>
        <v>38339950</v>
      </c>
      <c r="AO63" s="230">
        <f t="shared" si="25"/>
        <v>38537341</v>
      </c>
      <c r="AP63" s="230">
        <f t="shared" si="25"/>
        <v>38487132</v>
      </c>
      <c r="AQ63" s="230">
        <f t="shared" si="25"/>
        <v>39041759</v>
      </c>
      <c r="AR63" s="230">
        <f t="shared" si="25"/>
        <v>39222078</v>
      </c>
      <c r="AS63" s="230">
        <f t="shared" ref="AS63" si="26">AS50+AS53+AS57</f>
        <v>39786497</v>
      </c>
      <c r="AT63" s="181">
        <f t="shared" si="25"/>
        <v>0</v>
      </c>
      <c r="AU63" s="181">
        <f t="shared" si="25"/>
        <v>0</v>
      </c>
      <c r="AV63" s="181">
        <f t="shared" si="25"/>
        <v>0</v>
      </c>
      <c r="AW63" s="181">
        <f t="shared" si="25"/>
        <v>0</v>
      </c>
      <c r="AX63" s="181">
        <f t="shared" si="25"/>
        <v>0</v>
      </c>
      <c r="AY63" s="181">
        <f t="shared" si="25"/>
        <v>0</v>
      </c>
      <c r="AZ63" s="181">
        <f t="shared" si="25"/>
        <v>0</v>
      </c>
      <c r="BA63" s="181">
        <f t="shared" si="25"/>
        <v>0</v>
      </c>
      <c r="BB63" s="181">
        <f t="shared" si="25"/>
        <v>0</v>
      </c>
      <c r="BC63" s="181">
        <f t="shared" si="25"/>
        <v>0</v>
      </c>
    </row>
    <row r="64" spans="1:55" s="150" customFormat="1">
      <c r="A64" s="158"/>
      <c r="B64" s="168"/>
      <c r="C64" s="173"/>
      <c r="D64" s="173"/>
      <c r="E64" s="173"/>
      <c r="F64" s="173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  <c r="AM64" s="226"/>
      <c r="AN64" s="226"/>
      <c r="AO64" s="226"/>
      <c r="AP64" s="226"/>
      <c r="AQ64" s="226"/>
      <c r="AR64" s="226"/>
      <c r="AS64" s="258"/>
    </row>
    <row r="65" spans="1:55" ht="15.75">
      <c r="A65" s="154"/>
      <c r="B65" s="174" t="s">
        <v>59</v>
      </c>
      <c r="C65" s="183">
        <f t="shared" ref="C65:H65" si="27">C63+C47</f>
        <v>190156140</v>
      </c>
      <c r="D65" s="183">
        <f t="shared" si="27"/>
        <v>198783075.748</v>
      </c>
      <c r="E65" s="183">
        <f t="shared" si="27"/>
        <v>215833395</v>
      </c>
      <c r="F65" s="183">
        <f t="shared" si="27"/>
        <v>246382881</v>
      </c>
      <c r="G65" s="183">
        <f t="shared" si="27"/>
        <v>241169671</v>
      </c>
      <c r="H65" s="183">
        <f t="shared" si="27"/>
        <v>235106281</v>
      </c>
      <c r="I65" s="183">
        <f t="shared" ref="I65:BC65" si="28">I63+I47</f>
        <v>247399069</v>
      </c>
      <c r="J65" s="183">
        <f t="shared" si="28"/>
        <v>238144117</v>
      </c>
      <c r="K65" s="183">
        <f t="shared" si="28"/>
        <v>237334644</v>
      </c>
      <c r="L65" s="183">
        <f t="shared" si="28"/>
        <v>235974682</v>
      </c>
      <c r="M65" s="183">
        <f t="shared" si="28"/>
        <v>239022432.88286489</v>
      </c>
      <c r="N65" s="183">
        <f t="shared" si="28"/>
        <v>241421407</v>
      </c>
      <c r="O65" s="183">
        <f t="shared" si="28"/>
        <v>253306280</v>
      </c>
      <c r="P65" s="183">
        <f t="shared" si="28"/>
        <v>254121879</v>
      </c>
      <c r="Q65" s="183">
        <f t="shared" si="28"/>
        <v>261717040</v>
      </c>
      <c r="R65" s="183">
        <f t="shared" si="28"/>
        <v>258809981</v>
      </c>
      <c r="S65" s="183">
        <f t="shared" si="28"/>
        <v>258809981</v>
      </c>
      <c r="T65" s="183">
        <f t="shared" si="28"/>
        <v>276480108</v>
      </c>
      <c r="U65" s="183">
        <f t="shared" si="28"/>
        <v>229304459</v>
      </c>
      <c r="V65" s="183">
        <f t="shared" si="28"/>
        <v>228452227</v>
      </c>
      <c r="W65" s="183">
        <f t="shared" si="28"/>
        <v>226247851</v>
      </c>
      <c r="X65" s="183">
        <f t="shared" si="28"/>
        <v>221523819</v>
      </c>
      <c r="Y65" s="183">
        <f t="shared" si="28"/>
        <v>217359256</v>
      </c>
      <c r="Z65" s="183">
        <f t="shared" si="28"/>
        <v>227393721</v>
      </c>
      <c r="AA65" s="235">
        <f>AA63+AA47</f>
        <v>223067302</v>
      </c>
      <c r="AB65" s="231">
        <f t="shared" si="28"/>
        <v>222469493</v>
      </c>
      <c r="AC65" s="231">
        <f t="shared" si="28"/>
        <v>225780592</v>
      </c>
      <c r="AD65" s="231">
        <f t="shared" si="28"/>
        <v>244464301</v>
      </c>
      <c r="AE65" s="231">
        <f t="shared" si="28"/>
        <v>225346584</v>
      </c>
      <c r="AF65" s="231">
        <v>225456536</v>
      </c>
      <c r="AG65" s="231">
        <f t="shared" si="28"/>
        <v>228904851</v>
      </c>
      <c r="AH65" s="231">
        <f t="shared" si="28"/>
        <v>213366470</v>
      </c>
      <c r="AI65" s="231">
        <f t="shared" si="28"/>
        <v>220065582</v>
      </c>
      <c r="AJ65" s="231">
        <f t="shared" si="28"/>
        <v>222975137</v>
      </c>
      <c r="AK65" s="231">
        <f t="shared" si="28"/>
        <v>220638407</v>
      </c>
      <c r="AL65" s="231">
        <f t="shared" si="28"/>
        <v>225562014</v>
      </c>
      <c r="AM65" s="231">
        <f t="shared" si="28"/>
        <v>225963882</v>
      </c>
      <c r="AN65" s="231">
        <f t="shared" si="28"/>
        <v>227978401</v>
      </c>
      <c r="AO65" s="231">
        <f t="shared" si="28"/>
        <v>231316687</v>
      </c>
      <c r="AP65" s="231">
        <f t="shared" si="28"/>
        <v>236188252</v>
      </c>
      <c r="AQ65" s="231">
        <f t="shared" si="28"/>
        <v>235863068</v>
      </c>
      <c r="AR65" s="231">
        <f t="shared" si="28"/>
        <v>235669108</v>
      </c>
      <c r="AS65" s="231">
        <f t="shared" ref="AS65" si="29">AS63+AS47</f>
        <v>235764694</v>
      </c>
      <c r="AT65" s="183">
        <f t="shared" si="28"/>
        <v>0</v>
      </c>
      <c r="AU65" s="183">
        <f t="shared" si="28"/>
        <v>0</v>
      </c>
      <c r="AV65" s="183">
        <f t="shared" si="28"/>
        <v>0</v>
      </c>
      <c r="AW65" s="183">
        <f t="shared" si="28"/>
        <v>0</v>
      </c>
      <c r="AX65" s="183">
        <f t="shared" si="28"/>
        <v>0</v>
      </c>
      <c r="AY65" s="183">
        <f t="shared" si="28"/>
        <v>0</v>
      </c>
      <c r="AZ65" s="183">
        <f t="shared" si="28"/>
        <v>0</v>
      </c>
      <c r="BA65" s="183">
        <f t="shared" si="28"/>
        <v>0</v>
      </c>
      <c r="BB65" s="183">
        <f t="shared" si="28"/>
        <v>0</v>
      </c>
      <c r="BC65" s="183">
        <f t="shared" si="28"/>
        <v>0</v>
      </c>
    </row>
    <row r="66" spans="1:55">
      <c r="A66" s="158"/>
      <c r="B66" s="168"/>
      <c r="C66" s="173"/>
      <c r="D66" s="173"/>
      <c r="E66" s="173"/>
      <c r="F66" s="17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</row>
    <row r="67" spans="1:55" ht="15.75">
      <c r="A67" s="158"/>
      <c r="B67" s="168" t="s">
        <v>60</v>
      </c>
      <c r="C67" s="184">
        <f>C65-C32</f>
        <v>0</v>
      </c>
      <c r="D67" s="184">
        <f>D65-D32</f>
        <v>-1.2790000140666962</v>
      </c>
      <c r="E67" s="184">
        <f>E65-E32</f>
        <v>-1</v>
      </c>
      <c r="F67" s="184">
        <f>F65-F32</f>
        <v>0</v>
      </c>
      <c r="G67" s="184">
        <f>G65-G32</f>
        <v>0.24000000953674316</v>
      </c>
      <c r="H67" s="184">
        <f t="shared" ref="H67:BC67" si="30">H65-H32</f>
        <v>0.49000000953674316</v>
      </c>
      <c r="I67" s="184">
        <f t="shared" si="30"/>
        <v>-0.65000000596046448</v>
      </c>
      <c r="J67" s="184">
        <f t="shared" si="30"/>
        <v>-0.21000000834465027</v>
      </c>
      <c r="K67" s="184">
        <f t="shared" si="30"/>
        <v>0.39000001549720764</v>
      </c>
      <c r="L67" s="184">
        <f t="shared" si="30"/>
        <v>0.37000000476837158</v>
      </c>
      <c r="M67" s="184">
        <f t="shared" si="30"/>
        <v>0</v>
      </c>
      <c r="N67" s="184">
        <f t="shared" si="30"/>
        <v>0.99000000953674316</v>
      </c>
      <c r="O67" s="184">
        <f t="shared" si="30"/>
        <v>-0.15999999642372131</v>
      </c>
      <c r="P67" s="184">
        <f t="shared" si="30"/>
        <v>-1.0199999809265137</v>
      </c>
      <c r="Q67" s="184">
        <f t="shared" si="30"/>
        <v>0.16999998688697815</v>
      </c>
      <c r="R67" s="184">
        <f t="shared" si="30"/>
        <v>0.59999999403953552</v>
      </c>
      <c r="S67" s="184">
        <f t="shared" si="30"/>
        <v>44049378.940600038</v>
      </c>
      <c r="T67" s="184">
        <f t="shared" si="30"/>
        <v>-1.4700000286102295</v>
      </c>
      <c r="U67" s="184">
        <f t="shared" si="30"/>
        <v>0.61000001430511475</v>
      </c>
      <c r="V67" s="184">
        <f t="shared" si="30"/>
        <v>2.3600000143051147</v>
      </c>
      <c r="W67" s="184">
        <f t="shared" si="30"/>
        <v>0.18000000715255737</v>
      </c>
      <c r="X67" s="184">
        <f t="shared" si="30"/>
        <v>-0.12999999523162842</v>
      </c>
      <c r="Y67" s="184">
        <f t="shared" si="30"/>
        <v>1.7099999785423279</v>
      </c>
      <c r="Z67" s="184">
        <f t="shared" si="30"/>
        <v>-1.2400000095367432</v>
      </c>
      <c r="AA67" s="184">
        <f t="shared" si="30"/>
        <v>1.2700000107288361</v>
      </c>
      <c r="AB67" s="184">
        <f t="shared" si="30"/>
        <v>1.050000011920929</v>
      </c>
      <c r="AC67" s="184">
        <f t="shared" si="30"/>
        <v>0.65999999642372131</v>
      </c>
      <c r="AD67" s="184">
        <f t="shared" si="30"/>
        <v>-6.0000002384185791E-2</v>
      </c>
      <c r="AE67" s="184">
        <f t="shared" si="30"/>
        <v>0.24000000953674316</v>
      </c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>
        <f t="shared" ref="AS67" si="31">AS65-AS32</f>
        <v>1</v>
      </c>
      <c r="AT67" s="184" t="e">
        <f t="shared" si="30"/>
        <v>#REF!</v>
      </c>
      <c r="AU67" s="184" t="e">
        <f t="shared" si="30"/>
        <v>#REF!</v>
      </c>
      <c r="AV67" s="184" t="e">
        <f t="shared" si="30"/>
        <v>#REF!</v>
      </c>
      <c r="AW67" s="184" t="e">
        <f t="shared" si="30"/>
        <v>#REF!</v>
      </c>
      <c r="AX67" s="184" t="e">
        <f t="shared" si="30"/>
        <v>#REF!</v>
      </c>
      <c r="AY67" s="184" t="e">
        <f t="shared" si="30"/>
        <v>#REF!</v>
      </c>
      <c r="AZ67" s="184" t="e">
        <f t="shared" si="30"/>
        <v>#REF!</v>
      </c>
      <c r="BA67" s="184">
        <f t="shared" si="30"/>
        <v>0</v>
      </c>
      <c r="BB67" s="184">
        <f t="shared" si="30"/>
        <v>0</v>
      </c>
      <c r="BC67" s="184">
        <f t="shared" si="30"/>
        <v>0</v>
      </c>
    </row>
    <row r="68" spans="1:55">
      <c r="A68" s="158"/>
      <c r="G68" s="186"/>
    </row>
    <row r="69" spans="1:55">
      <c r="A69" s="154"/>
      <c r="B69" s="187"/>
      <c r="C69" s="187"/>
      <c r="D69" s="187"/>
      <c r="E69" s="187"/>
      <c r="F69" s="187"/>
      <c r="G69" s="188"/>
    </row>
    <row r="70" spans="1:55">
      <c r="A70" s="158"/>
      <c r="B70" s="151" t="s">
        <v>61</v>
      </c>
      <c r="C70" s="151"/>
      <c r="D70" s="151"/>
      <c r="E70" s="151"/>
      <c r="F70" s="151"/>
      <c r="G70" s="189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</row>
    <row r="71" spans="1:55">
      <c r="A71" s="158"/>
      <c r="B71" s="151" t="s">
        <v>62</v>
      </c>
      <c r="C71" s="155" t="s">
        <v>2</v>
      </c>
      <c r="D71" s="155" t="s">
        <v>3</v>
      </c>
      <c r="E71" s="155" t="s">
        <v>4</v>
      </c>
      <c r="F71" s="155" t="s">
        <v>5</v>
      </c>
      <c r="G71" s="190">
        <v>43831</v>
      </c>
      <c r="H71" s="190">
        <v>43862</v>
      </c>
      <c r="I71" s="190">
        <v>43891</v>
      </c>
      <c r="J71" s="190">
        <v>43922</v>
      </c>
      <c r="K71" s="190">
        <v>43952</v>
      </c>
      <c r="L71" s="190">
        <v>43983</v>
      </c>
      <c r="M71" s="190">
        <v>44013</v>
      </c>
      <c r="N71" s="190">
        <v>44044</v>
      </c>
      <c r="O71" s="190">
        <v>44075</v>
      </c>
      <c r="P71" s="190">
        <v>44105</v>
      </c>
      <c r="Q71" s="190">
        <v>44136</v>
      </c>
      <c r="R71" s="190">
        <v>44166</v>
      </c>
      <c r="S71" s="190" t="s">
        <v>6</v>
      </c>
      <c r="T71" s="190">
        <v>44197</v>
      </c>
      <c r="U71" s="190">
        <v>44228</v>
      </c>
      <c r="V71" s="190">
        <v>44256</v>
      </c>
      <c r="W71" s="190">
        <v>44287</v>
      </c>
      <c r="X71" s="190">
        <v>44317</v>
      </c>
      <c r="Y71" s="190">
        <v>44348</v>
      </c>
      <c r="Z71" s="190">
        <v>44378</v>
      </c>
      <c r="AA71" s="190">
        <v>44409</v>
      </c>
      <c r="AB71" s="242">
        <v>44440</v>
      </c>
      <c r="AC71" s="242">
        <v>44470</v>
      </c>
      <c r="AD71" s="242">
        <v>44501</v>
      </c>
      <c r="AE71" s="242">
        <v>44531</v>
      </c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60" t="s">
        <v>8</v>
      </c>
      <c r="AT71" s="219"/>
      <c r="AU71" s="219"/>
      <c r="AV71" s="219"/>
      <c r="AW71" s="219"/>
      <c r="AX71" s="219"/>
      <c r="AY71" s="220"/>
      <c r="AZ71" s="220"/>
      <c r="BA71" s="220"/>
      <c r="BB71" s="220"/>
    </row>
    <row r="72" spans="1:55" ht="15.75">
      <c r="A72" s="191"/>
      <c r="B72" s="159" t="s">
        <v>63</v>
      </c>
      <c r="C72" s="192">
        <f t="shared" ref="C72:H72" si="32">C73+C76</f>
        <v>27127521</v>
      </c>
      <c r="D72" s="192">
        <f t="shared" si="32"/>
        <v>27376695</v>
      </c>
      <c r="E72" s="192">
        <f t="shared" si="32"/>
        <v>28491876</v>
      </c>
      <c r="F72" s="192">
        <f t="shared" si="32"/>
        <v>30436001</v>
      </c>
      <c r="G72" s="192">
        <f t="shared" si="32"/>
        <v>2318955.64</v>
      </c>
      <c r="H72" s="192">
        <f t="shared" si="32"/>
        <v>4953370.4899999993</v>
      </c>
      <c r="I72" s="192">
        <f t="shared" ref="I72:N72" si="33">I73+I76</f>
        <v>7211467.8399999999</v>
      </c>
      <c r="J72" s="192">
        <f t="shared" si="33"/>
        <v>9740396.3599999994</v>
      </c>
      <c r="K72" s="192">
        <f t="shared" si="33"/>
        <v>16785195.339999996</v>
      </c>
      <c r="L72" s="192">
        <f t="shared" si="33"/>
        <v>19237293.59</v>
      </c>
      <c r="M72" s="192">
        <f t="shared" si="33"/>
        <v>21717977.160799999</v>
      </c>
      <c r="N72" s="192">
        <f t="shared" si="33"/>
        <v>23942854.34</v>
      </c>
      <c r="O72" s="192">
        <f>O73+O76</f>
        <v>27154555.770000003</v>
      </c>
      <c r="P72" s="192">
        <f>P73+P76</f>
        <v>29860863.25</v>
      </c>
      <c r="Q72" s="192">
        <f>Q73+Q76</f>
        <v>32795633.409999996</v>
      </c>
      <c r="R72" s="192">
        <f t="shared" ref="R72:AE72" si="34">R73+R76</f>
        <v>107367728.22</v>
      </c>
      <c r="S72" s="192">
        <f t="shared" si="34"/>
        <v>107367728.22</v>
      </c>
      <c r="T72" s="192">
        <f t="shared" si="34"/>
        <v>2490640.36</v>
      </c>
      <c r="U72" s="192">
        <f t="shared" si="34"/>
        <v>5297175.32</v>
      </c>
      <c r="V72" s="192">
        <f t="shared" si="34"/>
        <v>7890717.2199999997</v>
      </c>
      <c r="W72" s="192">
        <f t="shared" si="34"/>
        <v>15101143.949999999</v>
      </c>
      <c r="X72" s="192">
        <f t="shared" si="34"/>
        <v>17663632.57</v>
      </c>
      <c r="Y72" s="192">
        <f t="shared" si="34"/>
        <v>20213285.66</v>
      </c>
      <c r="Z72" s="192">
        <f t="shared" si="34"/>
        <v>22986765.670000002</v>
      </c>
      <c r="AA72" s="221">
        <f t="shared" si="34"/>
        <v>25937570.23</v>
      </c>
      <c r="AB72" s="236">
        <f t="shared" si="34"/>
        <v>28345757.399999999</v>
      </c>
      <c r="AC72" s="236">
        <f t="shared" si="34"/>
        <v>30909032.530000001</v>
      </c>
      <c r="AD72" s="236">
        <f t="shared" si="34"/>
        <v>33743484.459999993</v>
      </c>
      <c r="AE72" s="236">
        <f t="shared" si="34"/>
        <v>36726267.950000003</v>
      </c>
      <c r="AF72" s="236"/>
      <c r="AG72" s="236">
        <f t="shared" ref="AG72:AQ72" si="35">AG73+AG76</f>
        <v>2527419.3299999996</v>
      </c>
      <c r="AH72" s="236">
        <f t="shared" si="35"/>
        <v>5006252.41</v>
      </c>
      <c r="AI72" s="236">
        <f t="shared" si="35"/>
        <v>7571888.9400000004</v>
      </c>
      <c r="AJ72" s="236">
        <f t="shared" si="35"/>
        <v>10236488.98</v>
      </c>
      <c r="AK72" s="236">
        <f t="shared" si="35"/>
        <v>13030832.57</v>
      </c>
      <c r="AL72" s="236">
        <f t="shared" si="35"/>
        <v>20262517.559999999</v>
      </c>
      <c r="AM72" s="236">
        <f t="shared" si="35"/>
        <v>22848276.469999999</v>
      </c>
      <c r="AN72" s="236">
        <f t="shared" si="35"/>
        <v>25517577.169999998</v>
      </c>
      <c r="AO72" s="236">
        <f t="shared" si="35"/>
        <v>28276056.720000003</v>
      </c>
      <c r="AP72" s="236">
        <f t="shared" si="35"/>
        <v>30966492.259999998</v>
      </c>
      <c r="AQ72" s="236">
        <f t="shared" si="35"/>
        <v>33959720.82</v>
      </c>
      <c r="AR72" s="236"/>
      <c r="AS72" s="236">
        <f>AS73+AS76</f>
        <v>36979854</v>
      </c>
      <c r="AT72" s="236">
        <f t="shared" ref="AT72:AV72" si="36">AT73+AT76</f>
        <v>0</v>
      </c>
      <c r="AU72" s="236">
        <f t="shared" si="36"/>
        <v>0</v>
      </c>
      <c r="AV72" s="236">
        <f t="shared" si="36"/>
        <v>0</v>
      </c>
      <c r="AW72" s="236">
        <f t="shared" ref="AW72" si="37">AW73+AW76</f>
        <v>0</v>
      </c>
      <c r="AX72" s="236">
        <f t="shared" ref="AX72" si="38">AX73+AX76</f>
        <v>0</v>
      </c>
      <c r="AY72" s="236">
        <f t="shared" ref="AY72" si="39">AY73+AY76</f>
        <v>0</v>
      </c>
      <c r="AZ72" s="236">
        <f t="shared" ref="AZ72" si="40">AZ73+AZ76</f>
        <v>0</v>
      </c>
      <c r="BA72" s="236">
        <f t="shared" ref="BA72" si="41">BA73+BA76</f>
        <v>0</v>
      </c>
      <c r="BB72" s="236">
        <f t="shared" ref="BB72" si="42">BB73+BB76</f>
        <v>0</v>
      </c>
      <c r="BC72" s="236">
        <f t="shared" ref="BC72" si="43">BC73+BC76</f>
        <v>0</v>
      </c>
    </row>
    <row r="73" spans="1:55" ht="15.75">
      <c r="A73" s="191"/>
      <c r="B73" s="159" t="s">
        <v>64</v>
      </c>
      <c r="C73" s="193">
        <f t="shared" ref="C73:H73" si="44">C74+C75</f>
        <v>20991266</v>
      </c>
      <c r="D73" s="193">
        <f t="shared" si="44"/>
        <v>20574476</v>
      </c>
      <c r="E73" s="193">
        <f t="shared" si="44"/>
        <v>21879593</v>
      </c>
      <c r="F73" s="193">
        <f t="shared" si="44"/>
        <v>18377030</v>
      </c>
      <c r="G73" s="193">
        <f t="shared" si="44"/>
        <v>2030007.6</v>
      </c>
      <c r="H73" s="193">
        <f t="shared" si="44"/>
        <v>4314076.2299999995</v>
      </c>
      <c r="I73" s="193">
        <f t="shared" ref="I73:N73" si="45">I74+I75</f>
        <v>6151500.4100000001</v>
      </c>
      <c r="J73" s="193">
        <f t="shared" si="45"/>
        <v>8127739.71</v>
      </c>
      <c r="K73" s="193">
        <f t="shared" si="45"/>
        <v>10146663.719999999</v>
      </c>
      <c r="L73" s="193">
        <f t="shared" si="45"/>
        <v>12256902.42</v>
      </c>
      <c r="M73" s="193">
        <f t="shared" si="45"/>
        <v>14394649.4179</v>
      </c>
      <c r="N73" s="193">
        <f t="shared" si="45"/>
        <v>16266843.83</v>
      </c>
      <c r="O73" s="193">
        <f>O74+O75</f>
        <v>19126128.530000001</v>
      </c>
      <c r="P73" s="193">
        <f>P74+P75</f>
        <v>21472786.359999999</v>
      </c>
      <c r="Q73" s="193">
        <f>Q74+Q75</f>
        <v>24050953.379999999</v>
      </c>
      <c r="R73" s="193">
        <f t="shared" ref="R73:AE73" si="46">R74+R75</f>
        <v>79896203.699999988</v>
      </c>
      <c r="S73" s="193">
        <f t="shared" si="46"/>
        <v>79896203.699999988</v>
      </c>
      <c r="T73" s="193">
        <f t="shared" si="46"/>
        <v>2176719.11</v>
      </c>
      <c r="U73" s="193">
        <f t="shared" si="46"/>
        <v>4628823.96</v>
      </c>
      <c r="V73" s="193">
        <f t="shared" si="46"/>
        <v>6829794.5099999998</v>
      </c>
      <c r="W73" s="193">
        <f t="shared" si="46"/>
        <v>9065543.0099999998</v>
      </c>
      <c r="X73" s="193">
        <f t="shared" si="46"/>
        <v>11253044.92</v>
      </c>
      <c r="Y73" s="193">
        <f t="shared" si="46"/>
        <v>13467746.66</v>
      </c>
      <c r="Z73" s="193">
        <f t="shared" si="46"/>
        <v>15893960.870000001</v>
      </c>
      <c r="AA73" s="239">
        <f t="shared" si="46"/>
        <v>18501037.23</v>
      </c>
      <c r="AB73" s="237">
        <f t="shared" si="46"/>
        <v>20597602.869999997</v>
      </c>
      <c r="AC73" s="237">
        <f t="shared" si="46"/>
        <v>22855778.109999999</v>
      </c>
      <c r="AD73" s="237">
        <f t="shared" si="46"/>
        <v>25342061.689999998</v>
      </c>
      <c r="AE73" s="237">
        <f t="shared" si="46"/>
        <v>27867864.82</v>
      </c>
      <c r="AF73" s="237"/>
      <c r="AG73" s="237">
        <f t="shared" ref="AG73:AQ73" si="47">AG74+AG75</f>
        <v>2259229.0299999998</v>
      </c>
      <c r="AH73" s="237">
        <f t="shared" si="47"/>
        <v>4328981.8600000003</v>
      </c>
      <c r="AI73" s="237">
        <f t="shared" si="47"/>
        <v>6503053.1500000004</v>
      </c>
      <c r="AJ73" s="237">
        <f t="shared" si="47"/>
        <v>8817570.6500000004</v>
      </c>
      <c r="AK73" s="237">
        <f t="shared" si="47"/>
        <v>11288062.58</v>
      </c>
      <c r="AL73" s="237">
        <f t="shared" si="47"/>
        <v>13612263.1</v>
      </c>
      <c r="AM73" s="237">
        <f t="shared" si="47"/>
        <v>15860996.100000001</v>
      </c>
      <c r="AN73" s="237">
        <f t="shared" si="47"/>
        <v>18169041.989999998</v>
      </c>
      <c r="AO73" s="237">
        <f t="shared" si="47"/>
        <v>20579195.880000003</v>
      </c>
      <c r="AP73" s="237">
        <f t="shared" si="47"/>
        <v>22916257.140000001</v>
      </c>
      <c r="AQ73" s="237">
        <f t="shared" si="47"/>
        <v>25627912.719999999</v>
      </c>
      <c r="AR73" s="237"/>
      <c r="AS73" s="237">
        <f t="shared" ref="AS73:AV73" si="48">AS74+AS75</f>
        <v>27587210</v>
      </c>
      <c r="AT73" s="237">
        <f t="shared" si="48"/>
        <v>0</v>
      </c>
      <c r="AU73" s="237">
        <f t="shared" si="48"/>
        <v>0</v>
      </c>
      <c r="AV73" s="237">
        <f t="shared" si="48"/>
        <v>0</v>
      </c>
      <c r="AW73" s="237">
        <f t="shared" ref="AW73:BC73" si="49">AW74+AW75</f>
        <v>0</v>
      </c>
      <c r="AX73" s="237">
        <f t="shared" si="49"/>
        <v>0</v>
      </c>
      <c r="AY73" s="237">
        <f t="shared" si="49"/>
        <v>0</v>
      </c>
      <c r="AZ73" s="237">
        <f t="shared" si="49"/>
        <v>0</v>
      </c>
      <c r="BA73" s="237">
        <f t="shared" si="49"/>
        <v>0</v>
      </c>
      <c r="BB73" s="237">
        <f t="shared" si="49"/>
        <v>0</v>
      </c>
      <c r="BC73" s="237">
        <f t="shared" si="49"/>
        <v>0</v>
      </c>
    </row>
    <row r="74" spans="1:55">
      <c r="A74" s="194"/>
      <c r="B74" s="194" t="s">
        <v>65</v>
      </c>
      <c r="C74" s="162">
        <v>18352026</v>
      </c>
      <c r="D74" s="162">
        <v>18322301</v>
      </c>
      <c r="E74" s="162">
        <v>18131997</v>
      </c>
      <c r="F74" s="162">
        <v>18377030</v>
      </c>
      <c r="G74" s="163">
        <v>1756233.8</v>
      </c>
      <c r="H74" s="163">
        <v>3494619.53</v>
      </c>
      <c r="I74" s="163">
        <v>5151232.21</v>
      </c>
      <c r="J74" s="163">
        <v>6814814.0099999998</v>
      </c>
      <c r="K74" s="164">
        <v>8648603.5199999996</v>
      </c>
      <c r="L74" s="195">
        <v>10428847.220000001</v>
      </c>
      <c r="M74" s="163">
        <v>12286089.4629</v>
      </c>
      <c r="N74" s="163">
        <v>13737398.83</v>
      </c>
      <c r="O74" s="163">
        <v>16213729.529999999</v>
      </c>
      <c r="P74" s="163">
        <v>18093425.059999999</v>
      </c>
      <c r="Q74" s="163">
        <v>20227998.98</v>
      </c>
      <c r="R74" s="163">
        <v>67300739.099999994</v>
      </c>
      <c r="S74" s="163">
        <v>67300739.099999994</v>
      </c>
      <c r="T74" s="167">
        <v>1968749.51</v>
      </c>
      <c r="U74" s="167">
        <v>4034586.56</v>
      </c>
      <c r="V74" s="167">
        <v>5968272.4100000001</v>
      </c>
      <c r="W74" s="167">
        <v>7962660.21</v>
      </c>
      <c r="X74" s="217">
        <v>9930248.0199999996</v>
      </c>
      <c r="Y74" s="217">
        <v>11941394.16</v>
      </c>
      <c r="Z74" s="217">
        <v>14067205.970000001</v>
      </c>
      <c r="AA74" s="240">
        <v>16107786.029999999</v>
      </c>
      <c r="AB74" s="243">
        <v>17984424.469999999</v>
      </c>
      <c r="AC74" s="243">
        <v>20025321.109999999</v>
      </c>
      <c r="AD74" s="243">
        <v>22276678.989999998</v>
      </c>
      <c r="AE74" s="243">
        <v>24477669.82</v>
      </c>
      <c r="AF74" s="276"/>
      <c r="AG74" s="262">
        <v>2008244.13</v>
      </c>
      <c r="AH74" s="262">
        <v>3861609.56</v>
      </c>
      <c r="AI74" s="262">
        <v>5885049.6500000004</v>
      </c>
      <c r="AJ74" s="262">
        <v>7992142.6500000004</v>
      </c>
      <c r="AK74" s="262">
        <v>9922023.3800000008</v>
      </c>
      <c r="AL74" s="262">
        <v>11975440.4</v>
      </c>
      <c r="AM74" s="262">
        <v>14016816.300000001</v>
      </c>
      <c r="AN74" s="262">
        <v>16095631.189999999</v>
      </c>
      <c r="AO74" s="262">
        <v>18176266.280000001</v>
      </c>
      <c r="AP74" s="262">
        <v>20254309.440000001</v>
      </c>
      <c r="AQ74" s="262">
        <v>22649593.219999999</v>
      </c>
      <c r="AR74" s="262"/>
      <c r="AS74" s="257">
        <f>22783165+2136371</f>
        <v>24919536</v>
      </c>
      <c r="AT74" s="220"/>
      <c r="AU74" s="220"/>
      <c r="AV74" s="220"/>
      <c r="AW74" s="220"/>
      <c r="AX74" s="220"/>
      <c r="AY74" s="220"/>
      <c r="AZ74" s="220"/>
      <c r="BA74" s="220"/>
      <c r="BB74" s="220"/>
    </row>
    <row r="75" spans="1:55">
      <c r="A75" s="194"/>
      <c r="B75" s="194" t="s">
        <v>66</v>
      </c>
      <c r="C75" s="162">
        <v>2639240</v>
      </c>
      <c r="D75" s="162">
        <v>2252175</v>
      </c>
      <c r="E75" s="162">
        <v>3747596</v>
      </c>
      <c r="F75" s="162"/>
      <c r="G75" s="163">
        <v>273773.8</v>
      </c>
      <c r="H75" s="163">
        <v>819456.7</v>
      </c>
      <c r="I75" s="163">
        <v>1000268.2</v>
      </c>
      <c r="J75" s="163">
        <v>1312925.7</v>
      </c>
      <c r="K75" s="164">
        <v>1498060.2</v>
      </c>
      <c r="L75" s="196">
        <v>1828055.2</v>
      </c>
      <c r="M75" s="163">
        <v>2108559.9550000001</v>
      </c>
      <c r="N75" s="163">
        <v>2529445</v>
      </c>
      <c r="O75" s="163">
        <v>2912399</v>
      </c>
      <c r="P75" s="163">
        <v>3379361.3</v>
      </c>
      <c r="Q75" s="163">
        <v>3822954.4</v>
      </c>
      <c r="R75" s="163">
        <v>12595464.6</v>
      </c>
      <c r="S75" s="163">
        <v>12595464.6</v>
      </c>
      <c r="T75" s="167">
        <v>207969.6</v>
      </c>
      <c r="U75" s="167">
        <v>594237.4</v>
      </c>
      <c r="V75" s="167">
        <v>861522.1</v>
      </c>
      <c r="W75" s="167">
        <v>1102882.8</v>
      </c>
      <c r="X75" s="217">
        <v>1322796.8999999999</v>
      </c>
      <c r="Y75" s="217">
        <v>1526352.5</v>
      </c>
      <c r="Z75" s="217">
        <v>1826754.9</v>
      </c>
      <c r="AA75" s="240">
        <v>2393251.2000000002</v>
      </c>
      <c r="AB75" s="243">
        <v>2613178.4</v>
      </c>
      <c r="AC75" s="243">
        <v>2830457</v>
      </c>
      <c r="AD75" s="243">
        <v>3065382.7</v>
      </c>
      <c r="AE75" s="243">
        <v>3390195</v>
      </c>
      <c r="AF75" s="276"/>
      <c r="AG75" s="262">
        <v>250984.9</v>
      </c>
      <c r="AH75" s="262">
        <v>467372.3</v>
      </c>
      <c r="AI75" s="262">
        <v>618003.5</v>
      </c>
      <c r="AJ75" s="262">
        <v>825428</v>
      </c>
      <c r="AK75" s="262">
        <v>1366039.2</v>
      </c>
      <c r="AL75" s="262">
        <v>1636822.7</v>
      </c>
      <c r="AM75" s="262">
        <v>1844179.8</v>
      </c>
      <c r="AN75" s="262">
        <v>2073410.8</v>
      </c>
      <c r="AO75" s="262">
        <v>2402929.6</v>
      </c>
      <c r="AP75" s="262">
        <v>2661947.7000000002</v>
      </c>
      <c r="AQ75" s="262">
        <v>2978319.5</v>
      </c>
      <c r="AR75" s="262"/>
      <c r="AS75" s="257">
        <v>2667674</v>
      </c>
      <c r="AT75" s="220"/>
      <c r="AU75" s="220"/>
      <c r="AV75" s="220"/>
      <c r="AW75" s="220"/>
      <c r="AX75" s="220"/>
      <c r="AY75" s="220"/>
      <c r="AZ75" s="220"/>
      <c r="BA75" s="220"/>
      <c r="BB75" s="220"/>
    </row>
    <row r="76" spans="1:55" ht="15.75">
      <c r="A76" s="197"/>
      <c r="B76" s="159" t="s">
        <v>67</v>
      </c>
      <c r="C76" s="192">
        <f t="shared" ref="C76:H76" si="50">SUM(C77:C80)</f>
        <v>6136255</v>
      </c>
      <c r="D76" s="192">
        <f t="shared" si="50"/>
        <v>6802219</v>
      </c>
      <c r="E76" s="192">
        <f t="shared" si="50"/>
        <v>6612283</v>
      </c>
      <c r="F76" s="192">
        <f t="shared" si="50"/>
        <v>12058971</v>
      </c>
      <c r="G76" s="192">
        <f t="shared" si="50"/>
        <v>288948.03999999998</v>
      </c>
      <c r="H76" s="192">
        <f t="shared" si="50"/>
        <v>639294.26</v>
      </c>
      <c r="I76" s="192">
        <f t="shared" ref="I76:AQ76" si="51">SUM(I77:I80)</f>
        <v>1059967.43</v>
      </c>
      <c r="J76" s="192">
        <f t="shared" si="51"/>
        <v>1612656.65</v>
      </c>
      <c r="K76" s="192">
        <f t="shared" si="51"/>
        <v>6638531.6199999992</v>
      </c>
      <c r="L76" s="192">
        <f t="shared" si="51"/>
        <v>6980391.1699999999</v>
      </c>
      <c r="M76" s="192">
        <f t="shared" si="51"/>
        <v>7323327.742899999</v>
      </c>
      <c r="N76" s="192">
        <f t="shared" si="51"/>
        <v>7676010.5099999998</v>
      </c>
      <c r="O76" s="192">
        <f t="shared" si="51"/>
        <v>8028427.2400000002</v>
      </c>
      <c r="P76" s="192">
        <f t="shared" si="51"/>
        <v>8388076.8899999997</v>
      </c>
      <c r="Q76" s="192">
        <f t="shared" si="51"/>
        <v>8744680.0299999993</v>
      </c>
      <c r="R76" s="192">
        <f t="shared" si="51"/>
        <v>27471524.520000003</v>
      </c>
      <c r="S76" s="192">
        <f t="shared" si="51"/>
        <v>27471524.520000003</v>
      </c>
      <c r="T76" s="192">
        <f t="shared" si="51"/>
        <v>313921.25</v>
      </c>
      <c r="U76" s="192">
        <f t="shared" si="51"/>
        <v>668351.36</v>
      </c>
      <c r="V76" s="192">
        <f t="shared" si="51"/>
        <v>1060922.71</v>
      </c>
      <c r="W76" s="192">
        <f t="shared" si="51"/>
        <v>6035600.9399999995</v>
      </c>
      <c r="X76" s="192">
        <f t="shared" si="51"/>
        <v>6410587.6500000004</v>
      </c>
      <c r="Y76" s="192">
        <f t="shared" si="51"/>
        <v>6745539</v>
      </c>
      <c r="Z76" s="192">
        <f t="shared" si="51"/>
        <v>7092804.7999999998</v>
      </c>
      <c r="AA76" s="221">
        <f t="shared" si="51"/>
        <v>7436533</v>
      </c>
      <c r="AB76" s="236">
        <f t="shared" si="51"/>
        <v>7748154.5299999993</v>
      </c>
      <c r="AC76" s="236">
        <f t="shared" si="51"/>
        <v>8053254.4199999999</v>
      </c>
      <c r="AD76" s="236">
        <f t="shared" si="51"/>
        <v>8401422.7699999996</v>
      </c>
      <c r="AE76" s="236">
        <f t="shared" si="51"/>
        <v>8858403.129999999</v>
      </c>
      <c r="AF76" s="236"/>
      <c r="AG76" s="236">
        <f t="shared" si="51"/>
        <v>268190.3</v>
      </c>
      <c r="AH76" s="236">
        <f t="shared" si="51"/>
        <v>677270.55</v>
      </c>
      <c r="AI76" s="236">
        <f t="shared" si="51"/>
        <v>1068835.79</v>
      </c>
      <c r="AJ76" s="236">
        <f t="shared" si="51"/>
        <v>1418918.33</v>
      </c>
      <c r="AK76" s="236">
        <f t="shared" si="51"/>
        <v>1742769.99</v>
      </c>
      <c r="AL76" s="236">
        <f t="shared" si="51"/>
        <v>6650254.46</v>
      </c>
      <c r="AM76" s="236">
        <f t="shared" si="51"/>
        <v>6987280.3699999992</v>
      </c>
      <c r="AN76" s="236">
        <f t="shared" si="51"/>
        <v>7348535.1799999997</v>
      </c>
      <c r="AO76" s="236">
        <f t="shared" si="51"/>
        <v>7696860.8399999999</v>
      </c>
      <c r="AP76" s="236">
        <f t="shared" si="51"/>
        <v>8050235.1199999992</v>
      </c>
      <c r="AQ76" s="236">
        <f t="shared" si="51"/>
        <v>8331808.0999999996</v>
      </c>
      <c r="AR76" s="236"/>
      <c r="AS76" s="236">
        <f t="shared" ref="AS76:BC76" si="52">SUM(AS77:AS80)</f>
        <v>9392644</v>
      </c>
      <c r="AT76" s="236">
        <f t="shared" si="52"/>
        <v>0</v>
      </c>
      <c r="AU76" s="236">
        <f t="shared" si="52"/>
        <v>0</v>
      </c>
      <c r="AV76" s="236">
        <f t="shared" si="52"/>
        <v>0</v>
      </c>
      <c r="AW76" s="236">
        <f t="shared" si="52"/>
        <v>0</v>
      </c>
      <c r="AX76" s="236">
        <f t="shared" si="52"/>
        <v>0</v>
      </c>
      <c r="AY76" s="236">
        <f t="shared" si="52"/>
        <v>0</v>
      </c>
      <c r="AZ76" s="236">
        <f t="shared" si="52"/>
        <v>0</v>
      </c>
      <c r="BA76" s="236">
        <f t="shared" si="52"/>
        <v>0</v>
      </c>
      <c r="BB76" s="236">
        <f t="shared" si="52"/>
        <v>0</v>
      </c>
      <c r="BC76" s="236">
        <f t="shared" si="52"/>
        <v>0</v>
      </c>
    </row>
    <row r="77" spans="1:55">
      <c r="A77" s="191"/>
      <c r="B77" s="194" t="s">
        <v>68</v>
      </c>
      <c r="C77" s="162"/>
      <c r="D77" s="162"/>
      <c r="E77" s="162"/>
      <c r="F77" s="162"/>
      <c r="G77" s="163">
        <v>0</v>
      </c>
      <c r="H77" s="163">
        <v>0</v>
      </c>
      <c r="I77" s="163">
        <v>0</v>
      </c>
      <c r="J77" s="163">
        <v>0</v>
      </c>
      <c r="K77" s="163">
        <v>0</v>
      </c>
      <c r="L77" s="195">
        <v>0</v>
      </c>
      <c r="M77" s="163"/>
      <c r="N77" s="163">
        <v>0</v>
      </c>
      <c r="O77" s="163">
        <v>0</v>
      </c>
      <c r="P77" s="163">
        <v>0</v>
      </c>
      <c r="Q77" s="163">
        <v>0</v>
      </c>
      <c r="R77" s="163">
        <v>0</v>
      </c>
      <c r="S77" s="163">
        <v>0</v>
      </c>
      <c r="T77" s="167">
        <v>0</v>
      </c>
      <c r="U77" s="167">
        <v>0</v>
      </c>
      <c r="V77" s="167">
        <v>0</v>
      </c>
      <c r="W77" s="167">
        <v>0</v>
      </c>
      <c r="X77" s="217">
        <v>0</v>
      </c>
      <c r="Y77" s="217">
        <v>0</v>
      </c>
      <c r="Z77" s="217">
        <v>0</v>
      </c>
      <c r="AA77" s="240">
        <v>0</v>
      </c>
      <c r="AB77" s="225">
        <v>0</v>
      </c>
      <c r="AC77" s="225">
        <v>0</v>
      </c>
      <c r="AD77" s="225">
        <v>0</v>
      </c>
      <c r="AE77" s="225">
        <v>0</v>
      </c>
      <c r="AG77" s="262">
        <v>0</v>
      </c>
      <c r="AH77" s="262">
        <v>0</v>
      </c>
      <c r="AI77" s="262">
        <v>0</v>
      </c>
      <c r="AJ77" s="262">
        <v>0</v>
      </c>
      <c r="AK77" s="262">
        <v>0</v>
      </c>
      <c r="AL77" s="262">
        <v>0</v>
      </c>
      <c r="AM77" s="262">
        <v>0</v>
      </c>
      <c r="AN77" s="262">
        <v>0</v>
      </c>
      <c r="AO77" s="262">
        <v>0</v>
      </c>
      <c r="AP77" s="262">
        <v>0</v>
      </c>
      <c r="AQ77" s="262">
        <v>0</v>
      </c>
      <c r="AR77" s="262"/>
      <c r="AS77" s="257">
        <v>0</v>
      </c>
      <c r="AT77" s="220"/>
      <c r="AU77" s="220"/>
      <c r="AV77" s="220"/>
      <c r="AW77" s="220"/>
      <c r="AX77" s="220"/>
      <c r="AY77" s="220"/>
      <c r="AZ77" s="220"/>
      <c r="BA77" s="220"/>
      <c r="BB77" s="220"/>
    </row>
    <row r="78" spans="1:55">
      <c r="A78" s="194"/>
      <c r="B78" s="198" t="s">
        <v>69</v>
      </c>
      <c r="C78" s="162"/>
      <c r="D78" s="162"/>
      <c r="E78" s="162"/>
      <c r="F78" s="162"/>
      <c r="G78" s="163">
        <v>0</v>
      </c>
      <c r="H78" s="163">
        <v>0</v>
      </c>
      <c r="I78" s="163">
        <v>0</v>
      </c>
      <c r="J78" s="163">
        <v>0</v>
      </c>
      <c r="K78" s="164">
        <v>0</v>
      </c>
      <c r="L78" s="195">
        <v>0</v>
      </c>
      <c r="M78" s="163"/>
      <c r="N78" s="163">
        <v>0</v>
      </c>
      <c r="O78" s="163">
        <v>0</v>
      </c>
      <c r="P78" s="163">
        <v>0</v>
      </c>
      <c r="Q78" s="163">
        <v>0</v>
      </c>
      <c r="R78" s="163">
        <v>0</v>
      </c>
      <c r="S78" s="163">
        <v>0</v>
      </c>
      <c r="T78" s="167">
        <v>0</v>
      </c>
      <c r="U78" s="167">
        <v>0</v>
      </c>
      <c r="V78" s="167">
        <v>0</v>
      </c>
      <c r="W78" s="167">
        <v>0</v>
      </c>
      <c r="X78" s="217">
        <v>0</v>
      </c>
      <c r="Y78" s="217">
        <v>0</v>
      </c>
      <c r="Z78" s="217">
        <v>0</v>
      </c>
      <c r="AA78" s="240">
        <v>0</v>
      </c>
      <c r="AB78" s="225">
        <v>0</v>
      </c>
      <c r="AC78" s="225">
        <v>0</v>
      </c>
      <c r="AD78" s="225">
        <v>0</v>
      </c>
      <c r="AE78" s="225">
        <v>0</v>
      </c>
      <c r="AG78" s="262">
        <v>0</v>
      </c>
      <c r="AH78" s="262">
        <v>0</v>
      </c>
      <c r="AI78" s="262">
        <v>0</v>
      </c>
      <c r="AJ78" s="262">
        <v>0</v>
      </c>
      <c r="AK78" s="262">
        <v>0</v>
      </c>
      <c r="AL78" s="262">
        <v>0</v>
      </c>
      <c r="AM78" s="262">
        <v>0</v>
      </c>
      <c r="AN78" s="262">
        <v>0</v>
      </c>
      <c r="AO78" s="262">
        <v>0</v>
      </c>
      <c r="AP78" s="262">
        <v>0</v>
      </c>
      <c r="AQ78" s="262">
        <v>0</v>
      </c>
      <c r="AR78" s="262"/>
      <c r="AS78" s="257">
        <v>0</v>
      </c>
    </row>
    <row r="79" spans="1:55" ht="30">
      <c r="A79" s="198"/>
      <c r="B79" s="198" t="s">
        <v>70</v>
      </c>
      <c r="C79" s="162">
        <v>2899215</v>
      </c>
      <c r="D79" s="162">
        <v>3896606</v>
      </c>
      <c r="E79" s="162"/>
      <c r="F79" s="162">
        <v>4717217</v>
      </c>
      <c r="G79" s="163">
        <v>0</v>
      </c>
      <c r="H79" s="163">
        <v>0</v>
      </c>
      <c r="I79" s="163">
        <v>0</v>
      </c>
      <c r="J79" s="163">
        <v>33516</v>
      </c>
      <c r="K79" s="164">
        <v>4714005.5999999996</v>
      </c>
      <c r="L79" s="195">
        <v>4714005.5999999996</v>
      </c>
      <c r="M79" s="163">
        <v>4714005.5999999996</v>
      </c>
      <c r="N79" s="163">
        <v>4714005.5999999996</v>
      </c>
      <c r="O79" s="163">
        <v>4714005.5999999996</v>
      </c>
      <c r="P79" s="163">
        <v>4714005.5999999996</v>
      </c>
      <c r="Q79" s="163">
        <v>4714005.5999999996</v>
      </c>
      <c r="R79" s="163">
        <v>14142016.800000001</v>
      </c>
      <c r="S79" s="163">
        <v>14142016.800000001</v>
      </c>
      <c r="T79" s="167">
        <v>0</v>
      </c>
      <c r="U79" s="167">
        <v>0</v>
      </c>
      <c r="V79" s="167">
        <v>0</v>
      </c>
      <c r="W79" s="167">
        <v>4640108.3</v>
      </c>
      <c r="X79" s="217">
        <v>4640108.3</v>
      </c>
      <c r="Y79" s="217">
        <v>4640108.3</v>
      </c>
      <c r="Z79" s="217">
        <v>4640108.3</v>
      </c>
      <c r="AA79" s="240">
        <v>4640108.3</v>
      </c>
      <c r="AB79" s="243">
        <v>4640108.3</v>
      </c>
      <c r="AC79" s="243">
        <v>4640108.3</v>
      </c>
      <c r="AD79" s="243">
        <v>4640108.3</v>
      </c>
      <c r="AE79" s="243">
        <v>4640108.3</v>
      </c>
      <c r="AF79" s="276"/>
      <c r="AG79" s="262">
        <v>0</v>
      </c>
      <c r="AH79" s="262">
        <v>0</v>
      </c>
      <c r="AI79" s="262">
        <v>0</v>
      </c>
      <c r="AJ79" s="262">
        <v>0</v>
      </c>
      <c r="AK79" s="262">
        <v>0</v>
      </c>
      <c r="AL79" s="262">
        <v>4474558.8</v>
      </c>
      <c r="AM79" s="262">
        <v>4474558.8</v>
      </c>
      <c r="AN79" s="262">
        <v>4474558.8</v>
      </c>
      <c r="AO79" s="262">
        <v>4474558.8</v>
      </c>
      <c r="AP79" s="262">
        <v>4474558.8</v>
      </c>
      <c r="AQ79" s="262">
        <v>4474558.8</v>
      </c>
      <c r="AR79" s="262"/>
      <c r="AS79" s="257">
        <v>4522926</v>
      </c>
      <c r="BA79" s="254"/>
    </row>
    <row r="80" spans="1:55" ht="30">
      <c r="A80" s="198"/>
      <c r="B80" s="198" t="s">
        <v>71</v>
      </c>
      <c r="C80" s="176">
        <v>3237040</v>
      </c>
      <c r="D80" s="176">
        <v>2905613</v>
      </c>
      <c r="E80" s="176">
        <v>6612283</v>
      </c>
      <c r="F80" s="176">
        <v>7341754</v>
      </c>
      <c r="G80" s="163">
        <v>288948.03999999998</v>
      </c>
      <c r="H80" s="163">
        <v>639294.26</v>
      </c>
      <c r="I80" s="163">
        <v>1059967.43</v>
      </c>
      <c r="J80" s="163">
        <v>1579140.65</v>
      </c>
      <c r="K80" s="199">
        <v>1924526.02</v>
      </c>
      <c r="L80" s="195">
        <v>2266385.5699999998</v>
      </c>
      <c r="M80" s="163">
        <v>2609322.1428999994</v>
      </c>
      <c r="N80" s="163">
        <v>2962004.91</v>
      </c>
      <c r="O80" s="163">
        <v>3314421.64</v>
      </c>
      <c r="P80" s="163">
        <v>3674071.29</v>
      </c>
      <c r="Q80" s="163">
        <v>4030674.43</v>
      </c>
      <c r="R80" s="163">
        <v>13329507.720000001</v>
      </c>
      <c r="S80" s="163">
        <v>13329507.720000001</v>
      </c>
      <c r="T80" s="212">
        <v>313921.25</v>
      </c>
      <c r="U80" s="212">
        <v>668351.36</v>
      </c>
      <c r="V80" s="212">
        <v>1060922.71</v>
      </c>
      <c r="W80" s="212">
        <v>1395492.64</v>
      </c>
      <c r="X80" s="218">
        <v>1770479.35</v>
      </c>
      <c r="Y80" s="218">
        <v>2105430.7000000002</v>
      </c>
      <c r="Z80" s="218">
        <v>2452696.5</v>
      </c>
      <c r="AA80" s="241">
        <v>2796424.7</v>
      </c>
      <c r="AB80" s="243">
        <v>3108046.23</v>
      </c>
      <c r="AC80" s="243">
        <v>3413146.12</v>
      </c>
      <c r="AD80" s="243">
        <v>3761314.47</v>
      </c>
      <c r="AE80" s="243">
        <v>4218294.83</v>
      </c>
      <c r="AF80" s="276"/>
      <c r="AG80" s="263">
        <v>268190.3</v>
      </c>
      <c r="AH80" s="263">
        <v>677270.55</v>
      </c>
      <c r="AI80" s="263">
        <v>1068835.79</v>
      </c>
      <c r="AJ80" s="263">
        <v>1418918.33</v>
      </c>
      <c r="AK80" s="263">
        <v>1742769.99</v>
      </c>
      <c r="AL80" s="263">
        <v>2175695.66</v>
      </c>
      <c r="AM80" s="263">
        <v>2512721.5699999998</v>
      </c>
      <c r="AN80" s="263">
        <v>2873976.38</v>
      </c>
      <c r="AO80" s="263">
        <v>3222302.04</v>
      </c>
      <c r="AP80" s="263">
        <v>3575676.32</v>
      </c>
      <c r="AQ80" s="263">
        <v>3857249.3</v>
      </c>
      <c r="AR80" s="263"/>
      <c r="AS80" s="257">
        <f>55881+2997450+1050477+12433+168341+48490+800+177146+137301+221399</f>
        <v>4869718</v>
      </c>
      <c r="AT80" s="220"/>
      <c r="AU80" s="220"/>
      <c r="AV80" s="220"/>
      <c r="AW80" s="220"/>
      <c r="AX80" s="220"/>
    </row>
    <row r="81" spans="1:55" ht="15.75">
      <c r="A81" s="198"/>
      <c r="B81" s="159" t="s">
        <v>72</v>
      </c>
      <c r="C81" s="192">
        <f t="shared" ref="C81:H81" si="53">SUM(C82:C87)</f>
        <v>10222087</v>
      </c>
      <c r="D81" s="192">
        <f t="shared" si="53"/>
        <v>10502116</v>
      </c>
      <c r="E81" s="192">
        <f t="shared" si="53"/>
        <v>12059614</v>
      </c>
      <c r="F81" s="192">
        <f t="shared" si="53"/>
        <v>13430945</v>
      </c>
      <c r="G81" s="192">
        <f t="shared" si="53"/>
        <v>54840</v>
      </c>
      <c r="H81" s="192">
        <f t="shared" si="53"/>
        <v>2290222</v>
      </c>
      <c r="I81" s="192">
        <f t="shared" ref="I81:AQ81" si="54">SUM(I82:I87)</f>
        <v>3305698.01</v>
      </c>
      <c r="J81" s="192">
        <f t="shared" si="54"/>
        <v>4937066.01</v>
      </c>
      <c r="K81" s="192">
        <f t="shared" si="54"/>
        <v>9767340.6099999994</v>
      </c>
      <c r="L81" s="192">
        <f t="shared" si="54"/>
        <v>10835047.83</v>
      </c>
      <c r="M81" s="192">
        <f t="shared" si="54"/>
        <v>11735659.83</v>
      </c>
      <c r="N81" s="192">
        <f t="shared" si="54"/>
        <v>12883505.83</v>
      </c>
      <c r="O81" s="192">
        <f t="shared" si="54"/>
        <v>14258991.83</v>
      </c>
      <c r="P81" s="192">
        <f t="shared" si="54"/>
        <v>15392742.83</v>
      </c>
      <c r="Q81" s="192">
        <f t="shared" si="54"/>
        <v>16577822.459999999</v>
      </c>
      <c r="R81" s="192">
        <f t="shared" si="54"/>
        <v>49956478.649999999</v>
      </c>
      <c r="S81" s="192">
        <f t="shared" si="54"/>
        <v>49956478.649999999</v>
      </c>
      <c r="T81" s="192">
        <f t="shared" si="54"/>
        <v>1253775.8599999999</v>
      </c>
      <c r="U81" s="192">
        <f t="shared" si="54"/>
        <v>2539395.67</v>
      </c>
      <c r="V81" s="192">
        <f t="shared" si="54"/>
        <v>3545206.0300000003</v>
      </c>
      <c r="W81" s="192">
        <f t="shared" si="54"/>
        <v>6401774.9199999999</v>
      </c>
      <c r="X81" s="192">
        <f t="shared" si="54"/>
        <v>8031680.8699999992</v>
      </c>
      <c r="Y81" s="192">
        <f t="shared" si="54"/>
        <v>9394575.7200000007</v>
      </c>
      <c r="Z81" s="192">
        <f t="shared" si="54"/>
        <v>11245224.930000002</v>
      </c>
      <c r="AA81" s="221">
        <f t="shared" si="54"/>
        <v>12760511.24</v>
      </c>
      <c r="AB81" s="236">
        <f t="shared" si="54"/>
        <v>14729798.1</v>
      </c>
      <c r="AC81" s="236">
        <f t="shared" si="54"/>
        <v>16905297.539999999</v>
      </c>
      <c r="AD81" s="236">
        <f t="shared" si="54"/>
        <v>18245884.780000001</v>
      </c>
      <c r="AE81" s="236">
        <f t="shared" si="54"/>
        <v>19244617.249999996</v>
      </c>
      <c r="AF81" s="236"/>
      <c r="AG81" s="236">
        <f t="shared" si="54"/>
        <v>1319426.3299999998</v>
      </c>
      <c r="AH81" s="236">
        <f t="shared" si="54"/>
        <v>2436917.66</v>
      </c>
      <c r="AI81" s="236">
        <f t="shared" si="54"/>
        <v>3280885.4</v>
      </c>
      <c r="AJ81" s="236">
        <f t="shared" si="54"/>
        <v>4769182.59</v>
      </c>
      <c r="AK81" s="236">
        <f t="shared" si="54"/>
        <v>6295269.5200000005</v>
      </c>
      <c r="AL81" s="236">
        <f t="shared" si="54"/>
        <v>11614871.4</v>
      </c>
      <c r="AM81" s="236">
        <f t="shared" si="54"/>
        <v>12645587.210000001</v>
      </c>
      <c r="AN81" s="236">
        <f t="shared" si="54"/>
        <v>13534157.160000002</v>
      </c>
      <c r="AO81" s="236">
        <f t="shared" si="54"/>
        <v>15067389.880000001</v>
      </c>
      <c r="AP81" s="236">
        <f t="shared" si="54"/>
        <v>16792998.899999999</v>
      </c>
      <c r="AQ81" s="236">
        <f t="shared" si="54"/>
        <v>18125175.420000002</v>
      </c>
      <c r="AR81" s="236"/>
      <c r="AS81" s="236">
        <f t="shared" ref="AS81:BC81" si="55">SUM(AS82:AS87)</f>
        <v>15883112</v>
      </c>
      <c r="AT81" s="236">
        <f t="shared" si="55"/>
        <v>0</v>
      </c>
      <c r="AU81" s="236">
        <f t="shared" si="55"/>
        <v>0</v>
      </c>
      <c r="AV81" s="236">
        <f t="shared" si="55"/>
        <v>0</v>
      </c>
      <c r="AW81" s="236">
        <f t="shared" si="55"/>
        <v>0</v>
      </c>
      <c r="AX81" s="236">
        <f t="shared" si="55"/>
        <v>0</v>
      </c>
      <c r="AY81" s="236">
        <f t="shared" si="55"/>
        <v>0</v>
      </c>
      <c r="AZ81" s="236">
        <f t="shared" si="55"/>
        <v>0</v>
      </c>
      <c r="BA81" s="236">
        <f t="shared" si="55"/>
        <v>0</v>
      </c>
      <c r="BB81" s="236">
        <f t="shared" si="55"/>
        <v>0</v>
      </c>
      <c r="BC81" s="236">
        <f t="shared" si="55"/>
        <v>0</v>
      </c>
    </row>
    <row r="82" spans="1:55">
      <c r="A82" s="197"/>
      <c r="B82" s="194" t="s">
        <v>73</v>
      </c>
      <c r="C82" s="162">
        <v>9449807</v>
      </c>
      <c r="D82" s="162">
        <v>9899196</v>
      </c>
      <c r="E82" s="162">
        <v>11083861</v>
      </c>
      <c r="F82" s="162">
        <f>11672977+67437</f>
        <v>11740414</v>
      </c>
      <c r="G82" s="163">
        <v>0</v>
      </c>
      <c r="H82" s="163">
        <v>2000000</v>
      </c>
      <c r="I82" s="163">
        <v>2300000</v>
      </c>
      <c r="J82" s="163">
        <v>3800000</v>
      </c>
      <c r="K82" s="164">
        <v>8514005.5999999996</v>
      </c>
      <c r="L82" s="195">
        <v>9214005.5999999996</v>
      </c>
      <c r="M82" s="163">
        <v>10014005.6</v>
      </c>
      <c r="N82" s="163">
        <v>11014005.6</v>
      </c>
      <c r="O82" s="163">
        <v>12014005.6</v>
      </c>
      <c r="P82" s="163">
        <v>13014005.6</v>
      </c>
      <c r="Q82" s="163">
        <v>13764005.6</v>
      </c>
      <c r="R82" s="163">
        <v>40798480.920000002</v>
      </c>
      <c r="S82" s="163">
        <v>40798480.920000002</v>
      </c>
      <c r="T82" s="167">
        <v>1133291.1399999999</v>
      </c>
      <c r="U82" s="167">
        <v>1784925.67</v>
      </c>
      <c r="V82" s="167">
        <v>2379900.89</v>
      </c>
      <c r="W82" s="167">
        <v>4759801.78</v>
      </c>
      <c r="X82" s="217">
        <v>6233073.75</v>
      </c>
      <c r="Y82" s="217">
        <v>7072679.4000000004</v>
      </c>
      <c r="Z82" s="217">
        <v>8289085.0700000003</v>
      </c>
      <c r="AA82" s="240">
        <v>9499078.6799999997</v>
      </c>
      <c r="AB82" s="243">
        <v>10737652.66</v>
      </c>
      <c r="AC82" s="243">
        <v>12599497.199999999</v>
      </c>
      <c r="AD82" s="243">
        <v>13757342.23</v>
      </c>
      <c r="AE82" s="243">
        <v>14691330.199999999</v>
      </c>
      <c r="AF82" s="276"/>
      <c r="AG82" s="262">
        <v>981476.52</v>
      </c>
      <c r="AH82" s="262">
        <v>1855851.01</v>
      </c>
      <c r="AI82" s="262">
        <v>2501766.1</v>
      </c>
      <c r="AJ82" s="262">
        <v>3797627.95</v>
      </c>
      <c r="AK82" s="262">
        <v>5088287.32</v>
      </c>
      <c r="AL82" s="262">
        <v>10191055.449999999</v>
      </c>
      <c r="AM82" s="262">
        <v>10898457.5</v>
      </c>
      <c r="AN82" s="262">
        <v>11604570.300000001</v>
      </c>
      <c r="AO82" s="262">
        <v>12955222.689999999</v>
      </c>
      <c r="AP82" s="262">
        <v>14486073.68</v>
      </c>
      <c r="AQ82" s="262">
        <v>15653506.17</v>
      </c>
      <c r="AR82" s="262"/>
      <c r="AS82" s="257">
        <f>15284564+173318+51354</f>
        <v>15509236</v>
      </c>
      <c r="AT82" s="220"/>
      <c r="AU82" s="220"/>
      <c r="AV82" s="220"/>
      <c r="AW82" s="220"/>
      <c r="AX82" s="220"/>
    </row>
    <row r="83" spans="1:55">
      <c r="A83" s="191"/>
      <c r="B83" s="194" t="s">
        <v>74</v>
      </c>
      <c r="C83" s="162">
        <v>772280</v>
      </c>
      <c r="D83" s="162">
        <v>505621</v>
      </c>
      <c r="E83" s="162">
        <v>975753</v>
      </c>
      <c r="F83" s="162">
        <v>1298320</v>
      </c>
      <c r="G83" s="163">
        <v>0</v>
      </c>
      <c r="H83" s="163">
        <v>0</v>
      </c>
      <c r="I83" s="163">
        <v>583973.01</v>
      </c>
      <c r="J83" s="163">
        <v>583973.01</v>
      </c>
      <c r="K83" s="164">
        <v>583973.01</v>
      </c>
      <c r="L83" s="195">
        <v>835860.23</v>
      </c>
      <c r="M83" s="163">
        <v>835860.23</v>
      </c>
      <c r="N83" s="163">
        <v>835860.23</v>
      </c>
      <c r="O83" s="163">
        <v>1082450.23</v>
      </c>
      <c r="P83" s="163">
        <v>1082450.23</v>
      </c>
      <c r="Q83" s="163">
        <v>1082450.23</v>
      </c>
      <c r="R83" s="163">
        <v>3701590.86</v>
      </c>
      <c r="S83" s="163">
        <v>3701590.86</v>
      </c>
      <c r="T83" s="167">
        <v>0</v>
      </c>
      <c r="U83" s="167">
        <v>370590</v>
      </c>
      <c r="V83" s="167">
        <v>611357.14</v>
      </c>
      <c r="W83" s="167">
        <v>981947.14</v>
      </c>
      <c r="X83" s="217">
        <v>981947.14</v>
      </c>
      <c r="Y83" s="217">
        <v>1283974.55</v>
      </c>
      <c r="Z83" s="217">
        <v>1728614.55</v>
      </c>
      <c r="AA83" s="240">
        <v>1818614.55</v>
      </c>
      <c r="AB83" s="243">
        <v>2369524.4700000002</v>
      </c>
      <c r="AC83" s="243">
        <v>2369524.4700000002</v>
      </c>
      <c r="AD83" s="243">
        <v>2369524.4700000002</v>
      </c>
      <c r="AE83" s="243">
        <v>2369524.4700000002</v>
      </c>
      <c r="AF83" s="276"/>
      <c r="AG83" s="262">
        <v>191853.9</v>
      </c>
      <c r="AH83" s="262">
        <v>191853.9</v>
      </c>
      <c r="AI83" s="262">
        <v>191853.9</v>
      </c>
      <c r="AJ83" s="262">
        <v>191853.9</v>
      </c>
      <c r="AK83" s="262">
        <v>191853.9</v>
      </c>
      <c r="AL83" s="262">
        <v>191853.9</v>
      </c>
      <c r="AM83" s="262">
        <v>191853.9</v>
      </c>
      <c r="AN83" s="262">
        <v>191853.9</v>
      </c>
      <c r="AO83" s="262">
        <v>191853.9</v>
      </c>
      <c r="AP83" s="262">
        <v>191853.9</v>
      </c>
      <c r="AQ83" s="262">
        <v>191853.9</v>
      </c>
      <c r="AR83" s="262"/>
      <c r="AS83" s="257">
        <v>191854</v>
      </c>
      <c r="AT83" s="220"/>
      <c r="AU83" s="220"/>
      <c r="AV83" s="220"/>
      <c r="AW83" s="220"/>
      <c r="AX83" s="220"/>
    </row>
    <row r="84" spans="1:55">
      <c r="A84" s="194"/>
      <c r="B84" s="194" t="s">
        <v>75</v>
      </c>
      <c r="C84" s="162"/>
      <c r="D84" s="162"/>
      <c r="E84" s="162"/>
      <c r="F84" s="173"/>
      <c r="G84" s="163">
        <v>0</v>
      </c>
      <c r="H84" s="163">
        <v>200000</v>
      </c>
      <c r="I84" s="163">
        <v>300000</v>
      </c>
      <c r="J84" s="163">
        <v>400000</v>
      </c>
      <c r="K84" s="164">
        <v>500000</v>
      </c>
      <c r="L84" s="163">
        <v>600000</v>
      </c>
      <c r="M84" s="163">
        <v>700000</v>
      </c>
      <c r="N84" s="163">
        <v>800000</v>
      </c>
      <c r="O84" s="163">
        <v>900000</v>
      </c>
      <c r="P84" s="163">
        <v>1000000</v>
      </c>
      <c r="Q84" s="163">
        <v>1398021.02</v>
      </c>
      <c r="R84" s="163">
        <v>4337450.04</v>
      </c>
      <c r="S84" s="163">
        <v>4337450.04</v>
      </c>
      <c r="T84" s="167">
        <v>120484.72</v>
      </c>
      <c r="U84" s="167">
        <v>253016</v>
      </c>
      <c r="V84" s="167">
        <v>379524</v>
      </c>
      <c r="W84" s="167">
        <v>506032</v>
      </c>
      <c r="X84" s="217">
        <v>662665.98</v>
      </c>
      <c r="Y84" s="217">
        <v>796969.77</v>
      </c>
      <c r="Z84" s="217">
        <v>935819.31</v>
      </c>
      <c r="AA84" s="240">
        <v>1074535.72</v>
      </c>
      <c r="AB84" s="243">
        <v>1211264.68</v>
      </c>
      <c r="AC84" s="243">
        <v>1483341.58</v>
      </c>
      <c r="AD84" s="243">
        <v>1629309.79</v>
      </c>
      <c r="AE84" s="243">
        <v>1637066.09</v>
      </c>
      <c r="AF84" s="276"/>
      <c r="AG84" s="262">
        <v>109285.91</v>
      </c>
      <c r="AH84" s="262">
        <v>274730.75</v>
      </c>
      <c r="AI84" s="262">
        <v>414248.4</v>
      </c>
      <c r="AJ84" s="262">
        <v>553457.74</v>
      </c>
      <c r="AK84" s="262">
        <v>695008.87</v>
      </c>
      <c r="AL84" s="262">
        <v>835616.16</v>
      </c>
      <c r="AM84" s="262">
        <v>1119431.92</v>
      </c>
      <c r="AN84" s="262">
        <v>1263633.07</v>
      </c>
      <c r="AO84" s="262">
        <v>1408683.4</v>
      </c>
      <c r="AP84" s="262">
        <v>1551865.43</v>
      </c>
      <c r="AQ84" s="262">
        <v>1696689.46</v>
      </c>
      <c r="AR84" s="262"/>
      <c r="AS84" s="257">
        <v>0</v>
      </c>
      <c r="AT84" s="220"/>
      <c r="AU84" s="220"/>
      <c r="AV84" s="220"/>
      <c r="AW84" s="220"/>
      <c r="AX84" s="220"/>
    </row>
    <row r="85" spans="1:55">
      <c r="A85" s="194"/>
      <c r="B85" s="194" t="s">
        <v>76</v>
      </c>
      <c r="C85" s="162"/>
      <c r="D85" s="162">
        <v>97299</v>
      </c>
      <c r="E85" s="162"/>
      <c r="F85" s="162">
        <v>392211</v>
      </c>
      <c r="G85" s="163">
        <v>54840</v>
      </c>
      <c r="H85" s="163">
        <v>90222</v>
      </c>
      <c r="I85" s="163">
        <v>121725</v>
      </c>
      <c r="J85" s="163">
        <v>153093</v>
      </c>
      <c r="K85" s="164">
        <v>169362</v>
      </c>
      <c r="L85" s="195">
        <v>185182</v>
      </c>
      <c r="M85" s="163">
        <v>185794</v>
      </c>
      <c r="N85" s="163">
        <v>233640</v>
      </c>
      <c r="O85" s="163">
        <v>262536</v>
      </c>
      <c r="P85" s="163">
        <v>296287</v>
      </c>
      <c r="Q85" s="163">
        <v>333345.61</v>
      </c>
      <c r="R85" s="163">
        <v>1118956.83</v>
      </c>
      <c r="S85" s="163">
        <v>1118956.83</v>
      </c>
      <c r="T85" s="167">
        <v>0</v>
      </c>
      <c r="U85" s="167">
        <v>130864</v>
      </c>
      <c r="V85" s="167">
        <v>174424</v>
      </c>
      <c r="W85" s="167">
        <v>153994</v>
      </c>
      <c r="X85" s="217">
        <v>153994</v>
      </c>
      <c r="Y85" s="217">
        <v>240952</v>
      </c>
      <c r="Z85" s="217">
        <v>291706</v>
      </c>
      <c r="AA85" s="240">
        <v>368282.29</v>
      </c>
      <c r="AB85" s="243">
        <v>411356.29</v>
      </c>
      <c r="AC85" s="243">
        <v>452934.29</v>
      </c>
      <c r="AD85" s="243">
        <v>489708.29</v>
      </c>
      <c r="AE85" s="243">
        <v>546696.49</v>
      </c>
      <c r="AF85" s="276"/>
      <c r="AG85" s="262">
        <v>36810</v>
      </c>
      <c r="AH85" s="262">
        <v>114482</v>
      </c>
      <c r="AI85" s="262">
        <v>173017</v>
      </c>
      <c r="AJ85" s="262">
        <v>226243</v>
      </c>
      <c r="AK85" s="262">
        <v>320119.43</v>
      </c>
      <c r="AL85" s="262">
        <v>396345.89</v>
      </c>
      <c r="AM85" s="262">
        <v>435843.89</v>
      </c>
      <c r="AN85" s="262">
        <v>474099.89</v>
      </c>
      <c r="AO85" s="262">
        <v>511629.89</v>
      </c>
      <c r="AP85" s="262">
        <v>563205.89</v>
      </c>
      <c r="AQ85" s="262">
        <v>583125.89</v>
      </c>
      <c r="AR85" s="262"/>
      <c r="AS85" s="257">
        <v>182022</v>
      </c>
      <c r="AT85" s="220"/>
      <c r="AU85" s="220"/>
      <c r="AV85" s="220"/>
      <c r="AW85" s="220"/>
      <c r="AX85" s="220"/>
    </row>
    <row r="86" spans="1:55">
      <c r="A86" s="194"/>
      <c r="B86" s="194" t="s">
        <v>77</v>
      </c>
      <c r="C86" s="162"/>
      <c r="D86" s="162"/>
      <c r="E86" s="162"/>
      <c r="F86" s="173"/>
      <c r="G86" s="163">
        <v>0</v>
      </c>
      <c r="H86" s="163">
        <v>0</v>
      </c>
      <c r="I86" s="163">
        <v>0</v>
      </c>
      <c r="J86" s="163">
        <v>0</v>
      </c>
      <c r="K86" s="164">
        <v>0</v>
      </c>
      <c r="L86" s="163">
        <v>0</v>
      </c>
      <c r="M86" s="163"/>
      <c r="N86" s="163">
        <v>0</v>
      </c>
      <c r="O86" s="163">
        <v>0</v>
      </c>
      <c r="P86" s="163">
        <v>0</v>
      </c>
      <c r="Q86" s="163">
        <v>0</v>
      </c>
      <c r="R86" s="163">
        <v>0</v>
      </c>
      <c r="S86" s="163">
        <v>0</v>
      </c>
      <c r="T86" s="167">
        <v>0</v>
      </c>
      <c r="U86" s="167">
        <v>0</v>
      </c>
      <c r="V86" s="167">
        <v>0</v>
      </c>
      <c r="W86" s="167">
        <v>0</v>
      </c>
      <c r="X86" s="217">
        <v>0</v>
      </c>
      <c r="Y86" s="217">
        <v>0</v>
      </c>
      <c r="Z86" s="217">
        <v>0</v>
      </c>
      <c r="AA86" s="240">
        <v>0</v>
      </c>
      <c r="AB86" s="225">
        <v>0</v>
      </c>
      <c r="AC86" s="225">
        <v>0</v>
      </c>
      <c r="AD86" s="225">
        <v>0</v>
      </c>
      <c r="AE86" s="225">
        <v>0</v>
      </c>
      <c r="AG86" s="262">
        <v>0</v>
      </c>
      <c r="AH86" s="262">
        <v>0</v>
      </c>
      <c r="AI86" s="262">
        <v>0</v>
      </c>
      <c r="AJ86" s="262">
        <v>0</v>
      </c>
      <c r="AK86" s="262">
        <v>0</v>
      </c>
      <c r="AL86" s="262">
        <v>0</v>
      </c>
      <c r="AM86" s="262">
        <v>0</v>
      </c>
      <c r="AN86" s="262">
        <v>0</v>
      </c>
      <c r="AO86" s="262">
        <v>0</v>
      </c>
      <c r="AP86" s="262">
        <v>0</v>
      </c>
      <c r="AQ86" s="262">
        <v>0</v>
      </c>
      <c r="AR86" s="262"/>
      <c r="AS86" s="257">
        <v>0</v>
      </c>
      <c r="AT86" s="220"/>
      <c r="AU86" s="220"/>
      <c r="AV86" s="220"/>
      <c r="AW86" s="261"/>
      <c r="AX86" s="220"/>
    </row>
    <row r="87" spans="1:55">
      <c r="A87" s="194"/>
      <c r="B87" s="194" t="s">
        <v>78</v>
      </c>
      <c r="C87" s="173"/>
      <c r="D87" s="173"/>
      <c r="E87" s="173"/>
      <c r="F87" s="173"/>
      <c r="G87" s="163">
        <v>0</v>
      </c>
      <c r="H87" s="163">
        <v>0</v>
      </c>
      <c r="I87" s="163">
        <v>0</v>
      </c>
      <c r="J87" s="163">
        <v>0</v>
      </c>
      <c r="K87" s="200">
        <v>0</v>
      </c>
      <c r="L87" s="163">
        <v>0</v>
      </c>
      <c r="M87" s="163"/>
      <c r="N87" s="163">
        <v>0</v>
      </c>
      <c r="O87" s="163">
        <v>0</v>
      </c>
      <c r="P87" s="163">
        <v>0</v>
      </c>
      <c r="Q87" s="163">
        <v>0</v>
      </c>
      <c r="R87" s="163">
        <v>0</v>
      </c>
      <c r="S87" s="163">
        <v>0</v>
      </c>
      <c r="T87" s="167">
        <v>0</v>
      </c>
      <c r="U87" s="167">
        <v>0</v>
      </c>
      <c r="V87" s="167">
        <v>0</v>
      </c>
      <c r="W87" s="167">
        <v>0</v>
      </c>
      <c r="X87" s="217">
        <v>0</v>
      </c>
      <c r="Y87" s="217">
        <v>0</v>
      </c>
      <c r="Z87" s="217">
        <v>0</v>
      </c>
      <c r="AA87" s="240">
        <v>0</v>
      </c>
      <c r="AB87" s="225">
        <v>0</v>
      </c>
      <c r="AC87" s="225">
        <v>0</v>
      </c>
      <c r="AD87" s="225">
        <v>0</v>
      </c>
      <c r="AE87" s="225">
        <v>0</v>
      </c>
      <c r="AG87" s="262">
        <v>0</v>
      </c>
      <c r="AH87" s="262">
        <v>0</v>
      </c>
      <c r="AI87" s="262">
        <v>0</v>
      </c>
      <c r="AJ87" s="262">
        <v>0</v>
      </c>
      <c r="AK87" s="262">
        <v>0</v>
      </c>
      <c r="AL87" s="262">
        <v>0</v>
      </c>
      <c r="AM87" s="262">
        <v>0</v>
      </c>
      <c r="AN87" s="262">
        <v>0</v>
      </c>
      <c r="AO87" s="262">
        <v>0</v>
      </c>
      <c r="AP87" s="262">
        <v>0</v>
      </c>
      <c r="AQ87" s="262">
        <v>0</v>
      </c>
      <c r="AR87" s="262"/>
      <c r="AS87" s="257">
        <v>0</v>
      </c>
      <c r="AT87" s="220"/>
      <c r="AU87" s="220"/>
      <c r="AV87" s="220"/>
      <c r="AW87" s="220"/>
      <c r="AX87" s="220"/>
    </row>
    <row r="88" spans="1:55" ht="12.75" customHeight="1">
      <c r="A88" s="197"/>
      <c r="B88" s="159" t="s">
        <v>79</v>
      </c>
      <c r="C88" s="192">
        <f t="shared" ref="C88:H88" si="56">C72-C81</f>
        <v>16905434</v>
      </c>
      <c r="D88" s="192">
        <f t="shared" si="56"/>
        <v>16874579</v>
      </c>
      <c r="E88" s="192">
        <f t="shared" si="56"/>
        <v>16432262</v>
      </c>
      <c r="F88" s="192">
        <f t="shared" si="56"/>
        <v>17005056</v>
      </c>
      <c r="G88" s="192">
        <f t="shared" si="56"/>
        <v>2264115.64</v>
      </c>
      <c r="H88" s="192">
        <f t="shared" si="56"/>
        <v>2663148.4899999993</v>
      </c>
      <c r="I88" s="192">
        <f t="shared" ref="I88:N88" si="57">I72-I81</f>
        <v>3905769.83</v>
      </c>
      <c r="J88" s="192">
        <f t="shared" si="57"/>
        <v>4803330.3499999996</v>
      </c>
      <c r="K88" s="192">
        <f t="shared" si="57"/>
        <v>7017854.7299999967</v>
      </c>
      <c r="L88" s="192">
        <f t="shared" si="57"/>
        <v>8402245.7599999998</v>
      </c>
      <c r="M88" s="192">
        <f t="shared" si="57"/>
        <v>9982317.3307999987</v>
      </c>
      <c r="N88" s="192">
        <f t="shared" si="57"/>
        <v>11059348.51</v>
      </c>
      <c r="O88" s="192">
        <f>O72-O81</f>
        <v>12895563.940000003</v>
      </c>
      <c r="P88" s="192">
        <f>P72-P81</f>
        <v>14468120.42</v>
      </c>
      <c r="Q88" s="192">
        <f>Q72-Q81</f>
        <v>16217810.949999997</v>
      </c>
      <c r="R88" s="192">
        <f t="shared" ref="R88:AE88" si="58">R72-R81</f>
        <v>57411249.57</v>
      </c>
      <c r="S88" s="192">
        <f t="shared" si="58"/>
        <v>57411249.57</v>
      </c>
      <c r="T88" s="192">
        <f t="shared" si="58"/>
        <v>1236864.5</v>
      </c>
      <c r="U88" s="192">
        <f t="shared" si="58"/>
        <v>2757779.6500000004</v>
      </c>
      <c r="V88" s="192">
        <f t="shared" si="58"/>
        <v>4345511.1899999995</v>
      </c>
      <c r="W88" s="192">
        <f t="shared" si="58"/>
        <v>8699369.0299999993</v>
      </c>
      <c r="X88" s="192">
        <f t="shared" si="58"/>
        <v>9631951.7000000011</v>
      </c>
      <c r="Y88" s="192">
        <f t="shared" si="58"/>
        <v>10818709.939999999</v>
      </c>
      <c r="Z88" s="192">
        <f t="shared" si="58"/>
        <v>11741540.74</v>
      </c>
      <c r="AA88" s="221">
        <f t="shared" si="58"/>
        <v>13177058.99</v>
      </c>
      <c r="AB88" s="236">
        <f t="shared" si="58"/>
        <v>13615959.299999999</v>
      </c>
      <c r="AC88" s="236">
        <f t="shared" si="58"/>
        <v>14003734.990000002</v>
      </c>
      <c r="AD88" s="236">
        <f t="shared" si="58"/>
        <v>15497599.679999992</v>
      </c>
      <c r="AE88" s="236">
        <f t="shared" si="58"/>
        <v>17481650.700000007</v>
      </c>
      <c r="AF88" s="236"/>
      <c r="AG88" s="236">
        <f t="shared" ref="AG88:AQ88" si="59">AG72-AG81</f>
        <v>1207992.9999999998</v>
      </c>
      <c r="AH88" s="236">
        <f t="shared" si="59"/>
        <v>2569334.75</v>
      </c>
      <c r="AI88" s="236">
        <f t="shared" si="59"/>
        <v>4291003.540000001</v>
      </c>
      <c r="AJ88" s="236">
        <f t="shared" si="59"/>
        <v>5467306.3900000006</v>
      </c>
      <c r="AK88" s="236">
        <f t="shared" si="59"/>
        <v>6735563.0499999998</v>
      </c>
      <c r="AL88" s="236">
        <f t="shared" si="59"/>
        <v>8647646.1599999983</v>
      </c>
      <c r="AM88" s="236">
        <f t="shared" si="59"/>
        <v>10202689.259999998</v>
      </c>
      <c r="AN88" s="236">
        <f t="shared" si="59"/>
        <v>11983420.009999996</v>
      </c>
      <c r="AO88" s="236">
        <f t="shared" si="59"/>
        <v>13208666.840000002</v>
      </c>
      <c r="AP88" s="236">
        <f t="shared" si="59"/>
        <v>14173493.359999999</v>
      </c>
      <c r="AQ88" s="236">
        <f t="shared" si="59"/>
        <v>15834545.399999999</v>
      </c>
      <c r="AR88" s="236"/>
      <c r="AS88" s="236">
        <f t="shared" ref="AS88:AV88" si="60">AS72-AS81</f>
        <v>21096742</v>
      </c>
      <c r="AT88" s="236">
        <f t="shared" si="60"/>
        <v>0</v>
      </c>
      <c r="AU88" s="236">
        <f t="shared" si="60"/>
        <v>0</v>
      </c>
      <c r="AV88" s="236">
        <f t="shared" si="60"/>
        <v>0</v>
      </c>
      <c r="AW88" s="236">
        <f t="shared" ref="AW88:BC88" si="61">AW72-AW81</f>
        <v>0</v>
      </c>
      <c r="AX88" s="236">
        <f t="shared" si="61"/>
        <v>0</v>
      </c>
      <c r="AY88" s="236">
        <f t="shared" si="61"/>
        <v>0</v>
      </c>
      <c r="AZ88" s="236">
        <f t="shared" si="61"/>
        <v>0</v>
      </c>
      <c r="BA88" s="236">
        <f t="shared" si="61"/>
        <v>0</v>
      </c>
      <c r="BB88" s="236">
        <f t="shared" si="61"/>
        <v>0</v>
      </c>
      <c r="BC88" s="236">
        <f t="shared" si="61"/>
        <v>0</v>
      </c>
    </row>
    <row r="89" spans="1:55" ht="15.75">
      <c r="A89" s="194"/>
      <c r="B89" s="159" t="s">
        <v>80</v>
      </c>
      <c r="C89" s="192">
        <f t="shared" ref="C89:H89" si="62">C90-C91</f>
        <v>1145539</v>
      </c>
      <c r="D89" s="192">
        <f t="shared" si="62"/>
        <v>214877</v>
      </c>
      <c r="E89" s="192">
        <f t="shared" si="62"/>
        <v>121968</v>
      </c>
      <c r="F89" s="192">
        <f t="shared" si="62"/>
        <v>1700000</v>
      </c>
      <c r="G89" s="192">
        <f t="shared" si="62"/>
        <v>0</v>
      </c>
      <c r="H89" s="192">
        <f t="shared" si="62"/>
        <v>0</v>
      </c>
      <c r="I89" s="192">
        <f>I90-I91</f>
        <v>0</v>
      </c>
      <c r="J89" s="192">
        <v>0</v>
      </c>
      <c r="K89" s="192">
        <f t="shared" ref="K89:AE89" si="63">K90-K91</f>
        <v>333333.33</v>
      </c>
      <c r="L89" s="192">
        <f t="shared" si="63"/>
        <v>400000</v>
      </c>
      <c r="M89" s="192">
        <f t="shared" si="63"/>
        <v>500000</v>
      </c>
      <c r="N89" s="192">
        <f t="shared" si="63"/>
        <v>500000</v>
      </c>
      <c r="O89" s="192">
        <f t="shared" si="63"/>
        <v>500000</v>
      </c>
      <c r="P89" s="192">
        <f t="shared" si="63"/>
        <v>500000</v>
      </c>
      <c r="Q89" s="192">
        <f t="shared" si="63"/>
        <v>500000</v>
      </c>
      <c r="R89" s="192">
        <f t="shared" si="63"/>
        <v>1500000</v>
      </c>
      <c r="S89" s="192">
        <f t="shared" si="63"/>
        <v>1500000</v>
      </c>
      <c r="T89" s="192">
        <f t="shared" si="63"/>
        <v>0</v>
      </c>
      <c r="U89" s="192">
        <f t="shared" si="63"/>
        <v>0</v>
      </c>
      <c r="V89" s="192">
        <f t="shared" si="63"/>
        <v>0</v>
      </c>
      <c r="W89" s="192">
        <f t="shared" si="63"/>
        <v>0</v>
      </c>
      <c r="X89" s="192">
        <f t="shared" si="63"/>
        <v>0</v>
      </c>
      <c r="Y89" s="192">
        <f t="shared" si="63"/>
        <v>0</v>
      </c>
      <c r="Z89" s="192">
        <f t="shared" si="63"/>
        <v>0</v>
      </c>
      <c r="AA89" s="221">
        <f t="shared" si="63"/>
        <v>0</v>
      </c>
      <c r="AB89" s="236">
        <f t="shared" si="63"/>
        <v>0</v>
      </c>
      <c r="AC89" s="236">
        <f t="shared" si="63"/>
        <v>0</v>
      </c>
      <c r="AD89" s="236">
        <f t="shared" si="63"/>
        <v>0</v>
      </c>
      <c r="AE89" s="236">
        <f t="shared" si="63"/>
        <v>300000</v>
      </c>
      <c r="AF89" s="236"/>
      <c r="AG89" s="236">
        <f t="shared" ref="AG89:AQ89" si="64">AG90-AG91</f>
        <v>0</v>
      </c>
      <c r="AH89" s="236">
        <f t="shared" si="64"/>
        <v>0</v>
      </c>
      <c r="AI89" s="236">
        <f t="shared" si="64"/>
        <v>0</v>
      </c>
      <c r="AJ89" s="236">
        <f t="shared" si="64"/>
        <v>0</v>
      </c>
      <c r="AK89" s="236">
        <f t="shared" si="64"/>
        <v>0</v>
      </c>
      <c r="AL89" s="236">
        <f t="shared" si="64"/>
        <v>0</v>
      </c>
      <c r="AM89" s="236">
        <f t="shared" si="64"/>
        <v>0</v>
      </c>
      <c r="AN89" s="236">
        <f t="shared" si="64"/>
        <v>0</v>
      </c>
      <c r="AO89" s="236">
        <f t="shared" si="64"/>
        <v>0</v>
      </c>
      <c r="AP89" s="236">
        <f t="shared" si="64"/>
        <v>0</v>
      </c>
      <c r="AQ89" s="236">
        <f t="shared" si="64"/>
        <v>0</v>
      </c>
      <c r="AR89" s="236"/>
      <c r="AS89" s="236">
        <f t="shared" ref="AS89:AV89" si="65">AS90-AS91</f>
        <v>300000</v>
      </c>
      <c r="AT89" s="236">
        <f t="shared" si="65"/>
        <v>0</v>
      </c>
      <c r="AU89" s="236">
        <f t="shared" si="65"/>
        <v>0</v>
      </c>
      <c r="AV89" s="236">
        <f t="shared" si="65"/>
        <v>0</v>
      </c>
      <c r="AW89" s="236">
        <f t="shared" ref="AW89:BC89" si="66">AW90-AW91</f>
        <v>0</v>
      </c>
      <c r="AX89" s="236">
        <f t="shared" si="66"/>
        <v>0</v>
      </c>
      <c r="AY89" s="236">
        <f t="shared" si="66"/>
        <v>0</v>
      </c>
      <c r="AZ89" s="236">
        <f t="shared" si="66"/>
        <v>0</v>
      </c>
      <c r="BA89" s="236">
        <f t="shared" si="66"/>
        <v>0</v>
      </c>
      <c r="BB89" s="236">
        <f t="shared" si="66"/>
        <v>0</v>
      </c>
      <c r="BC89" s="236">
        <f t="shared" si="66"/>
        <v>0</v>
      </c>
    </row>
    <row r="90" spans="1:55">
      <c r="A90" s="194"/>
      <c r="B90" s="194" t="s">
        <v>81</v>
      </c>
      <c r="C90" s="162">
        <v>1145539</v>
      </c>
      <c r="D90" s="162">
        <v>214877</v>
      </c>
      <c r="E90" s="162">
        <v>121968</v>
      </c>
      <c r="F90" s="162">
        <v>1700000</v>
      </c>
      <c r="G90" s="163">
        <v>0</v>
      </c>
      <c r="H90" s="163">
        <v>0</v>
      </c>
      <c r="I90" s="163">
        <v>0</v>
      </c>
      <c r="J90" s="163">
        <v>0</v>
      </c>
      <c r="K90" s="164">
        <v>333333.33</v>
      </c>
      <c r="L90" s="165">
        <v>400000</v>
      </c>
      <c r="M90" s="163">
        <v>500000</v>
      </c>
      <c r="N90" s="163">
        <v>500000</v>
      </c>
      <c r="O90" s="163">
        <v>500000</v>
      </c>
      <c r="P90" s="163">
        <v>500000</v>
      </c>
      <c r="Q90" s="163">
        <v>500000</v>
      </c>
      <c r="R90" s="163">
        <v>1500000</v>
      </c>
      <c r="S90" s="163">
        <v>1500000</v>
      </c>
      <c r="T90" s="167">
        <v>0</v>
      </c>
      <c r="U90" s="167">
        <v>0</v>
      </c>
      <c r="V90" s="167">
        <v>0</v>
      </c>
      <c r="W90" s="163">
        <v>0</v>
      </c>
      <c r="X90" s="217">
        <v>0</v>
      </c>
      <c r="Y90" s="217">
        <v>0</v>
      </c>
      <c r="Z90" s="217">
        <v>0</v>
      </c>
      <c r="AA90" s="240">
        <v>0</v>
      </c>
      <c r="AB90" s="225"/>
      <c r="AC90" s="225"/>
      <c r="AD90" s="225"/>
      <c r="AE90" s="225">
        <v>300000</v>
      </c>
      <c r="AG90" s="262">
        <v>0</v>
      </c>
      <c r="AH90" s="262">
        <v>0</v>
      </c>
      <c r="AI90" s="262">
        <v>0</v>
      </c>
      <c r="AJ90" s="262">
        <v>0</v>
      </c>
      <c r="AK90" s="262">
        <v>0</v>
      </c>
      <c r="AL90" s="262">
        <v>0</v>
      </c>
      <c r="AM90" s="262">
        <v>0</v>
      </c>
      <c r="AN90" s="262">
        <v>0</v>
      </c>
      <c r="AO90" s="262">
        <v>0</v>
      </c>
      <c r="AP90" s="262">
        <v>0</v>
      </c>
      <c r="AQ90" s="262">
        <v>0</v>
      </c>
      <c r="AR90" s="262"/>
      <c r="AS90" s="257">
        <v>300000</v>
      </c>
      <c r="AT90" s="220"/>
      <c r="AU90" s="220"/>
      <c r="AV90" s="220"/>
      <c r="AW90" s="220"/>
      <c r="AX90" s="220"/>
    </row>
    <row r="91" spans="1:55">
      <c r="A91" s="197"/>
      <c r="B91" s="194" t="s">
        <v>82</v>
      </c>
      <c r="C91" s="173"/>
      <c r="D91" s="173"/>
      <c r="E91" s="173"/>
      <c r="F91" s="173"/>
      <c r="G91" s="163">
        <v>0</v>
      </c>
      <c r="H91" s="163">
        <v>0</v>
      </c>
      <c r="I91" s="163">
        <v>0</v>
      </c>
      <c r="J91" s="163">
        <v>0</v>
      </c>
      <c r="K91" s="164">
        <v>0</v>
      </c>
      <c r="L91" s="165">
        <v>0</v>
      </c>
      <c r="M91" s="163"/>
      <c r="N91" s="163">
        <v>0</v>
      </c>
      <c r="O91" s="163">
        <v>0</v>
      </c>
      <c r="P91" s="163">
        <v>0</v>
      </c>
      <c r="Q91" s="163">
        <v>0</v>
      </c>
      <c r="R91" s="163">
        <v>0</v>
      </c>
      <c r="S91" s="163">
        <v>0</v>
      </c>
      <c r="T91" s="167">
        <v>0</v>
      </c>
      <c r="U91" s="167">
        <v>0</v>
      </c>
      <c r="V91" s="167">
        <v>0</v>
      </c>
      <c r="W91" s="163">
        <v>0</v>
      </c>
      <c r="X91" s="217">
        <v>0</v>
      </c>
      <c r="Y91" s="217">
        <v>0</v>
      </c>
      <c r="Z91" s="217">
        <v>0</v>
      </c>
      <c r="AA91" s="240">
        <v>0</v>
      </c>
      <c r="AB91" s="225"/>
      <c r="AC91" s="225"/>
      <c r="AD91" s="225"/>
      <c r="AE91" s="225"/>
      <c r="AG91" s="262">
        <v>0</v>
      </c>
      <c r="AH91" s="262">
        <v>0</v>
      </c>
      <c r="AI91" s="262">
        <v>0</v>
      </c>
      <c r="AJ91" s="262">
        <v>0</v>
      </c>
      <c r="AK91" s="262">
        <v>0</v>
      </c>
      <c r="AL91" s="262">
        <v>0</v>
      </c>
      <c r="AM91" s="262">
        <v>0</v>
      </c>
      <c r="AN91" s="262">
        <v>0</v>
      </c>
      <c r="AO91" s="262">
        <v>0</v>
      </c>
      <c r="AP91" s="262">
        <v>0</v>
      </c>
      <c r="AQ91" s="262">
        <v>0</v>
      </c>
      <c r="AR91" s="262"/>
      <c r="AS91" s="257">
        <v>0</v>
      </c>
      <c r="AT91" s="220"/>
      <c r="AU91" s="220"/>
      <c r="AV91" s="220"/>
      <c r="AW91" s="220"/>
      <c r="AX91" s="220"/>
    </row>
    <row r="92" spans="1:55" ht="15.75">
      <c r="A92" s="191"/>
      <c r="B92" s="159" t="s">
        <v>83</v>
      </c>
      <c r="C92" s="192">
        <f t="shared" ref="C92:H92" si="67">SUM(C93:C97)</f>
        <v>14145467</v>
      </c>
      <c r="D92" s="192">
        <f t="shared" si="67"/>
        <v>14462350</v>
      </c>
      <c r="E92" s="192">
        <f t="shared" si="67"/>
        <v>14206098</v>
      </c>
      <c r="F92" s="192">
        <f t="shared" si="67"/>
        <v>13467776</v>
      </c>
      <c r="G92" s="192">
        <f t="shared" si="67"/>
        <v>889835.41</v>
      </c>
      <c r="H92" s="192">
        <f t="shared" si="67"/>
        <v>2157780.37</v>
      </c>
      <c r="I92" s="192">
        <f t="shared" ref="I92:AQ92" si="68">SUM(I93:I97)</f>
        <v>3597321.67</v>
      </c>
      <c r="J92" s="192">
        <f t="shared" si="68"/>
        <v>4678935.38</v>
      </c>
      <c r="K92" s="192">
        <f t="shared" si="68"/>
        <v>6294437.79</v>
      </c>
      <c r="L92" s="192">
        <f t="shared" si="68"/>
        <v>7347362.8399999999</v>
      </c>
      <c r="M92" s="192">
        <f t="shared" si="68"/>
        <v>8432187.3649904821</v>
      </c>
      <c r="N92" s="192">
        <f t="shared" si="68"/>
        <v>9494613.8500000015</v>
      </c>
      <c r="O92" s="192">
        <f t="shared" si="68"/>
        <v>10985307.220000001</v>
      </c>
      <c r="P92" s="192">
        <f t="shared" si="68"/>
        <v>12087808.009999998</v>
      </c>
      <c r="Q92" s="192">
        <f t="shared" si="68"/>
        <v>13890741.33</v>
      </c>
      <c r="R92" s="192">
        <f t="shared" si="68"/>
        <v>55347630.480000004</v>
      </c>
      <c r="S92" s="192">
        <f t="shared" si="68"/>
        <v>55347630.480000004</v>
      </c>
      <c r="T92" s="192">
        <f t="shared" si="68"/>
        <v>861204.11</v>
      </c>
      <c r="U92" s="192">
        <f t="shared" si="68"/>
        <v>2540196.6500000004</v>
      </c>
      <c r="V92" s="192">
        <f t="shared" si="68"/>
        <v>4037032.59</v>
      </c>
      <c r="W92" s="192">
        <f t="shared" si="68"/>
        <v>5081626.93</v>
      </c>
      <c r="X92" s="192">
        <f t="shared" si="68"/>
        <v>6329259.4299999997</v>
      </c>
      <c r="Y92" s="192">
        <f t="shared" si="68"/>
        <v>7507931.75</v>
      </c>
      <c r="Z92" s="192">
        <f t="shared" si="68"/>
        <v>8950540.6400000006</v>
      </c>
      <c r="AA92" s="221">
        <f t="shared" si="68"/>
        <v>10365858.26</v>
      </c>
      <c r="AB92" s="236">
        <f t="shared" si="68"/>
        <v>11446981.649999999</v>
      </c>
      <c r="AC92" s="236">
        <f t="shared" si="68"/>
        <v>12941506.920000002</v>
      </c>
      <c r="AD92" s="236">
        <f t="shared" si="68"/>
        <v>14121409.830000002</v>
      </c>
      <c r="AE92" s="236">
        <f t="shared" si="68"/>
        <v>15781138.750000002</v>
      </c>
      <c r="AF92" s="236"/>
      <c r="AG92" s="236">
        <f t="shared" si="68"/>
        <v>1056887.1599999999</v>
      </c>
      <c r="AH92" s="236">
        <f t="shared" si="68"/>
        <v>2403193.4400000004</v>
      </c>
      <c r="AI92" s="236">
        <f t="shared" si="68"/>
        <v>3619586.95</v>
      </c>
      <c r="AJ92" s="236">
        <f t="shared" si="68"/>
        <v>5199918.2</v>
      </c>
      <c r="AK92" s="236">
        <f t="shared" si="68"/>
        <v>6254462.3499999996</v>
      </c>
      <c r="AL92" s="236">
        <f t="shared" si="68"/>
        <v>7836217.120000001</v>
      </c>
      <c r="AM92" s="236">
        <f t="shared" si="68"/>
        <v>9200386.8499999996</v>
      </c>
      <c r="AN92" s="236">
        <f t="shared" si="68"/>
        <v>10476372.110000001</v>
      </c>
      <c r="AO92" s="236">
        <f t="shared" si="68"/>
        <v>11713432.07</v>
      </c>
      <c r="AP92" s="236">
        <f t="shared" si="68"/>
        <v>12903412.959999999</v>
      </c>
      <c r="AQ92" s="236">
        <f t="shared" si="68"/>
        <v>14133064.460000001</v>
      </c>
      <c r="AR92" s="236"/>
      <c r="AS92" s="236">
        <f t="shared" ref="AS92:BC92" si="69">SUM(AS93:AS97)</f>
        <v>16262395</v>
      </c>
      <c r="AT92" s="236">
        <f t="shared" si="69"/>
        <v>0</v>
      </c>
      <c r="AU92" s="236">
        <f t="shared" si="69"/>
        <v>0</v>
      </c>
      <c r="AV92" s="236">
        <f t="shared" si="69"/>
        <v>0</v>
      </c>
      <c r="AW92" s="236">
        <f t="shared" si="69"/>
        <v>0</v>
      </c>
      <c r="AX92" s="236">
        <f t="shared" si="69"/>
        <v>0</v>
      </c>
      <c r="AY92" s="236">
        <f t="shared" si="69"/>
        <v>0</v>
      </c>
      <c r="AZ92" s="236">
        <f t="shared" si="69"/>
        <v>0</v>
      </c>
      <c r="BA92" s="236">
        <f t="shared" si="69"/>
        <v>0</v>
      </c>
      <c r="BB92" s="236">
        <f t="shared" si="69"/>
        <v>0</v>
      </c>
      <c r="BC92" s="236">
        <f t="shared" si="69"/>
        <v>0</v>
      </c>
    </row>
    <row r="93" spans="1:55">
      <c r="A93" s="197"/>
      <c r="B93" s="194" t="s">
        <v>84</v>
      </c>
      <c r="C93" s="162">
        <v>4472114</v>
      </c>
      <c r="D93" s="162">
        <v>5710996</v>
      </c>
      <c r="E93" s="162">
        <v>5971894</v>
      </c>
      <c r="F93" s="162">
        <v>6436772</v>
      </c>
      <c r="G93" s="163">
        <v>588360.4</v>
      </c>
      <c r="H93" s="163">
        <v>1165382.8</v>
      </c>
      <c r="I93" s="163">
        <v>1771537.7</v>
      </c>
      <c r="J93" s="163">
        <v>2345206.1</v>
      </c>
      <c r="K93" s="164">
        <v>3012999.98</v>
      </c>
      <c r="L93" s="165">
        <v>3590790.28</v>
      </c>
      <c r="M93" s="163">
        <v>4200083.675684575</v>
      </c>
      <c r="N93" s="163">
        <v>4757233.08</v>
      </c>
      <c r="O93" s="152">
        <v>5403492.1600000001</v>
      </c>
      <c r="P93" s="152">
        <v>5996477.5599999996</v>
      </c>
      <c r="Q93" s="152">
        <v>6595132.79</v>
      </c>
      <c r="R93" s="152">
        <v>21601342.079999998</v>
      </c>
      <c r="S93" s="152">
        <v>21601342.079999998</v>
      </c>
      <c r="T93" s="167">
        <v>580725.4</v>
      </c>
      <c r="U93" s="167">
        <v>1156964.8</v>
      </c>
      <c r="V93" s="167">
        <v>1753879.7</v>
      </c>
      <c r="W93" s="167">
        <v>2340114.1</v>
      </c>
      <c r="X93" s="217">
        <v>2907993.5</v>
      </c>
      <c r="Y93" s="217">
        <v>3633286.45</v>
      </c>
      <c r="Z93" s="217">
        <v>4228171.1100000003</v>
      </c>
      <c r="AA93" s="240">
        <v>4870009.7699999996</v>
      </c>
      <c r="AB93" s="243">
        <v>5466529.4299999997</v>
      </c>
      <c r="AC93" s="243">
        <v>6083015.0899999999</v>
      </c>
      <c r="AD93" s="243">
        <v>6708415.75</v>
      </c>
      <c r="AE93" s="243">
        <v>7337830.4000000004</v>
      </c>
      <c r="AF93" s="276"/>
      <c r="AG93" s="262">
        <v>650516.82999999996</v>
      </c>
      <c r="AH93" s="262">
        <v>1264244.93</v>
      </c>
      <c r="AI93" s="262">
        <v>1955841.48</v>
      </c>
      <c r="AJ93" s="262">
        <v>2607010.81</v>
      </c>
      <c r="AK93" s="262">
        <v>3237218.63</v>
      </c>
      <c r="AL93" s="262">
        <v>3870476.46</v>
      </c>
      <c r="AM93" s="262">
        <v>4492764.29</v>
      </c>
      <c r="AN93" s="262">
        <v>5184524.6100000003</v>
      </c>
      <c r="AO93" s="262">
        <v>5823522.9400000004</v>
      </c>
      <c r="AP93" s="262">
        <v>6486978.7699999996</v>
      </c>
      <c r="AQ93" s="262">
        <v>7166179.3200000003</v>
      </c>
      <c r="AR93" s="262"/>
      <c r="AS93" s="257">
        <f>6733911+16500+13250+322737+281635</f>
        <v>7368033</v>
      </c>
      <c r="AT93" s="220"/>
      <c r="AU93" s="220"/>
      <c r="AV93" s="220"/>
      <c r="AW93" s="220"/>
      <c r="AX93" s="220"/>
    </row>
    <row r="94" spans="1:55">
      <c r="A94" s="191"/>
      <c r="B94" s="194" t="s">
        <v>85</v>
      </c>
      <c r="C94" s="162">
        <v>1296449</v>
      </c>
      <c r="D94" s="162">
        <v>1871226</v>
      </c>
      <c r="E94" s="162">
        <v>1650234</v>
      </c>
      <c r="F94" s="162">
        <v>1966056</v>
      </c>
      <c r="G94" s="163">
        <v>185483.4</v>
      </c>
      <c r="H94" s="163">
        <v>473562.6</v>
      </c>
      <c r="I94" s="163">
        <v>728291.4</v>
      </c>
      <c r="J94" s="163">
        <v>790050.15</v>
      </c>
      <c r="K94" s="164">
        <v>942162.69</v>
      </c>
      <c r="L94" s="195">
        <v>1058861.3999999999</v>
      </c>
      <c r="M94" s="163">
        <v>1099749.1499999999</v>
      </c>
      <c r="N94" s="163">
        <v>1192858.6499999999</v>
      </c>
      <c r="O94" s="152">
        <v>1337194.8999999999</v>
      </c>
      <c r="P94" s="152">
        <v>1561892.9</v>
      </c>
      <c r="Q94" s="152">
        <v>1660168.08</v>
      </c>
      <c r="R94" s="152">
        <v>5552392.7400000002</v>
      </c>
      <c r="S94" s="152">
        <v>5552392.7400000002</v>
      </c>
      <c r="T94" s="167">
        <v>84516</v>
      </c>
      <c r="U94" s="167">
        <v>240274.6</v>
      </c>
      <c r="V94" s="167">
        <v>475593</v>
      </c>
      <c r="W94" s="167">
        <v>612106.4</v>
      </c>
      <c r="X94" s="217">
        <v>806953.13</v>
      </c>
      <c r="Y94" s="217">
        <v>980883.8</v>
      </c>
      <c r="Z94" s="217">
        <v>1190888.8700000001</v>
      </c>
      <c r="AA94" s="240">
        <v>1501700.73</v>
      </c>
      <c r="AB94" s="243">
        <v>1700225.17</v>
      </c>
      <c r="AC94" s="243">
        <v>1860042.04</v>
      </c>
      <c r="AD94" s="243">
        <v>2177986.37</v>
      </c>
      <c r="AE94" s="243">
        <v>2367681.9700000002</v>
      </c>
      <c r="AF94" s="276"/>
      <c r="AG94" s="262">
        <v>132987.5</v>
      </c>
      <c r="AH94" s="262">
        <v>418352.9</v>
      </c>
      <c r="AI94" s="262">
        <v>598824.5</v>
      </c>
      <c r="AJ94" s="262">
        <v>1135610.2</v>
      </c>
      <c r="AK94" s="262">
        <v>1335172.8999999999</v>
      </c>
      <c r="AL94" s="262">
        <v>1787981.6</v>
      </c>
      <c r="AM94" s="262">
        <v>2217146.9</v>
      </c>
      <c r="AN94" s="262">
        <v>2511916.6</v>
      </c>
      <c r="AO94" s="262">
        <v>2689398.2</v>
      </c>
      <c r="AP94" s="262">
        <v>2904093.2</v>
      </c>
      <c r="AQ94" s="262">
        <v>3194527.8</v>
      </c>
      <c r="AR94" s="262"/>
      <c r="AS94" s="257">
        <f>701420+74700+893635+129480+504449+777636</f>
        <v>3081320</v>
      </c>
      <c r="AT94" s="220"/>
      <c r="AU94" s="220"/>
      <c r="AV94" s="220"/>
      <c r="AW94" s="220"/>
      <c r="AX94" s="220"/>
    </row>
    <row r="95" spans="1:55">
      <c r="A95" s="194"/>
      <c r="B95" s="194" t="s">
        <v>86</v>
      </c>
      <c r="C95" s="162"/>
      <c r="D95" s="162"/>
      <c r="E95" s="162">
        <v>59700</v>
      </c>
      <c r="F95" s="162">
        <v>189420</v>
      </c>
      <c r="G95" s="163">
        <v>0</v>
      </c>
      <c r="H95" s="163">
        <v>0</v>
      </c>
      <c r="I95" s="163">
        <v>0</v>
      </c>
      <c r="J95" s="163">
        <v>0</v>
      </c>
      <c r="K95" s="164">
        <v>0</v>
      </c>
      <c r="L95" s="195">
        <v>0</v>
      </c>
      <c r="M95" s="163">
        <v>0</v>
      </c>
      <c r="N95" s="163">
        <v>0</v>
      </c>
      <c r="O95" s="152">
        <v>0</v>
      </c>
      <c r="P95" s="152">
        <v>0</v>
      </c>
      <c r="Q95" s="152">
        <v>0</v>
      </c>
      <c r="R95" s="152">
        <v>0</v>
      </c>
      <c r="S95" s="152">
        <v>0</v>
      </c>
      <c r="T95" s="167">
        <v>0</v>
      </c>
      <c r="U95" s="167">
        <v>0</v>
      </c>
      <c r="V95" s="167">
        <v>0</v>
      </c>
      <c r="W95" s="167">
        <v>0</v>
      </c>
      <c r="X95" s="217">
        <v>0</v>
      </c>
      <c r="Y95" s="217">
        <v>0</v>
      </c>
      <c r="Z95" s="217">
        <v>0</v>
      </c>
      <c r="AA95" s="240">
        <v>0</v>
      </c>
      <c r="AB95" s="225">
        <v>0</v>
      </c>
      <c r="AC95" s="225">
        <v>0</v>
      </c>
      <c r="AD95" s="225">
        <v>0</v>
      </c>
      <c r="AE95" s="225">
        <v>0</v>
      </c>
      <c r="AG95" s="262">
        <v>0</v>
      </c>
      <c r="AH95" s="262">
        <v>0</v>
      </c>
      <c r="AI95" s="262">
        <v>0</v>
      </c>
      <c r="AJ95" s="262">
        <v>0</v>
      </c>
      <c r="AK95" s="262">
        <v>0</v>
      </c>
      <c r="AL95" s="262">
        <v>0</v>
      </c>
      <c r="AM95" s="262">
        <v>0</v>
      </c>
      <c r="AN95" s="262">
        <v>0</v>
      </c>
      <c r="AO95" s="262">
        <v>0</v>
      </c>
      <c r="AP95" s="262">
        <v>0</v>
      </c>
      <c r="AQ95" s="262">
        <v>0</v>
      </c>
      <c r="AR95" s="262"/>
      <c r="AS95" s="257">
        <v>0</v>
      </c>
      <c r="AT95" s="220"/>
      <c r="AU95" s="220"/>
      <c r="AV95" s="220"/>
      <c r="AW95" s="220"/>
      <c r="AX95" s="220"/>
    </row>
    <row r="96" spans="1:55">
      <c r="A96" s="194"/>
      <c r="B96" s="194" t="s">
        <v>87</v>
      </c>
      <c r="C96" s="162">
        <v>2497819</v>
      </c>
      <c r="D96" s="162">
        <v>1079211</v>
      </c>
      <c r="E96" s="162">
        <v>1452835</v>
      </c>
      <c r="F96" s="162">
        <v>1219993</v>
      </c>
      <c r="G96" s="163">
        <v>86791.61</v>
      </c>
      <c r="H96" s="163">
        <v>168122.12</v>
      </c>
      <c r="I96" s="163">
        <v>257808.03</v>
      </c>
      <c r="J96" s="163">
        <v>346594.04</v>
      </c>
      <c r="K96" s="164">
        <v>433242.55</v>
      </c>
      <c r="L96" s="195">
        <v>521391.06</v>
      </c>
      <c r="M96" s="163">
        <v>521391.06260590622</v>
      </c>
      <c r="N96" s="163">
        <v>695188.08</v>
      </c>
      <c r="O96" s="152">
        <v>782086.59</v>
      </c>
      <c r="P96" s="152">
        <v>868985.1</v>
      </c>
      <c r="Q96" s="152">
        <v>957446.53</v>
      </c>
      <c r="R96" s="152">
        <v>3133461.39</v>
      </c>
      <c r="S96" s="152">
        <v>3133461.39</v>
      </c>
      <c r="T96" s="167">
        <v>56952.71</v>
      </c>
      <c r="U96" s="167">
        <v>148692.25</v>
      </c>
      <c r="V96" s="167">
        <v>223038.38</v>
      </c>
      <c r="W96" s="167">
        <v>292344.51</v>
      </c>
      <c r="X96" s="217">
        <v>372857.59999999998</v>
      </c>
      <c r="Y96" s="217">
        <v>447429.11</v>
      </c>
      <c r="Z96" s="217">
        <v>522000.63</v>
      </c>
      <c r="AA96" s="240">
        <v>596572.15</v>
      </c>
      <c r="AB96" s="243">
        <v>671143.67</v>
      </c>
      <c r="AC96" s="243">
        <v>753038.26</v>
      </c>
      <c r="AD96" s="243">
        <v>828173.17</v>
      </c>
      <c r="AE96" s="243">
        <v>903461.64</v>
      </c>
      <c r="AF96" s="276"/>
      <c r="AG96" s="262">
        <v>61311.41</v>
      </c>
      <c r="AH96" s="262">
        <v>122622.82</v>
      </c>
      <c r="AI96" s="262">
        <v>183934.23</v>
      </c>
      <c r="AJ96" s="262">
        <v>245245.64</v>
      </c>
      <c r="AK96" s="262">
        <v>306557.05</v>
      </c>
      <c r="AL96" s="262">
        <v>367868.46</v>
      </c>
      <c r="AM96" s="262">
        <v>430084.04</v>
      </c>
      <c r="AN96" s="262">
        <v>491524.61</v>
      </c>
      <c r="AO96" s="262">
        <v>552965.18999999994</v>
      </c>
      <c r="AP96" s="262">
        <v>614405.77</v>
      </c>
      <c r="AQ96" s="262">
        <v>748067.12</v>
      </c>
      <c r="AR96" s="262"/>
      <c r="AS96" s="257">
        <v>737787</v>
      </c>
      <c r="AT96" s="220"/>
      <c r="AU96" s="220"/>
      <c r="AV96" s="220"/>
      <c r="AW96" s="220"/>
      <c r="AX96" s="220"/>
    </row>
    <row r="97" spans="1:55">
      <c r="A97" s="201"/>
      <c r="B97" s="194" t="s">
        <v>88</v>
      </c>
      <c r="C97" s="162">
        <v>5879085</v>
      </c>
      <c r="D97" s="162">
        <v>5800917</v>
      </c>
      <c r="E97" s="162">
        <v>5071435</v>
      </c>
      <c r="F97" s="162">
        <f>4237166-F95-F85</f>
        <v>3655535</v>
      </c>
      <c r="G97" s="163">
        <v>29200</v>
      </c>
      <c r="H97" s="163">
        <v>350712.85</v>
      </c>
      <c r="I97" s="163">
        <v>839684.54</v>
      </c>
      <c r="J97" s="163">
        <v>1197085.0900000001</v>
      </c>
      <c r="K97" s="164">
        <v>1906032.57</v>
      </c>
      <c r="L97" s="195">
        <v>2176320.1</v>
      </c>
      <c r="M97" s="163">
        <v>2610963.4767</v>
      </c>
      <c r="N97" s="163">
        <v>2849334.04</v>
      </c>
      <c r="O97" s="152">
        <v>3462533.57</v>
      </c>
      <c r="P97" s="152">
        <v>3660452.45</v>
      </c>
      <c r="Q97" s="152">
        <v>4677993.93</v>
      </c>
      <c r="R97" s="152">
        <v>25060434.27</v>
      </c>
      <c r="S97" s="152">
        <v>25060434.27</v>
      </c>
      <c r="T97" s="167">
        <v>139010</v>
      </c>
      <c r="U97" s="167">
        <v>994265</v>
      </c>
      <c r="V97" s="167">
        <v>1584521.51</v>
      </c>
      <c r="W97" s="167">
        <v>1837061.92</v>
      </c>
      <c r="X97" s="217">
        <v>2241455.2000000002</v>
      </c>
      <c r="Y97" s="217">
        <v>2446332.39</v>
      </c>
      <c r="Z97" s="217">
        <v>3009480.03</v>
      </c>
      <c r="AA97" s="240">
        <v>3397575.61</v>
      </c>
      <c r="AB97" s="243">
        <v>3609083.38</v>
      </c>
      <c r="AC97" s="243">
        <v>4245411.53</v>
      </c>
      <c r="AD97" s="243">
        <v>4406834.54</v>
      </c>
      <c r="AE97" s="243">
        <v>5172164.74</v>
      </c>
      <c r="AF97" s="276"/>
      <c r="AG97" s="262">
        <v>212071.42</v>
      </c>
      <c r="AH97" s="262">
        <v>597972.79</v>
      </c>
      <c r="AI97" s="262">
        <v>880986.74</v>
      </c>
      <c r="AJ97" s="262">
        <v>1212051.55</v>
      </c>
      <c r="AK97" s="262">
        <v>1375513.77</v>
      </c>
      <c r="AL97" s="262">
        <v>1809890.6</v>
      </c>
      <c r="AM97" s="262">
        <v>2060391.62</v>
      </c>
      <c r="AN97" s="262">
        <v>2288406.29</v>
      </c>
      <c r="AO97" s="262">
        <v>2647545.7400000002</v>
      </c>
      <c r="AP97" s="262">
        <v>2897935.22</v>
      </c>
      <c r="AQ97" s="262">
        <v>3024290.22</v>
      </c>
      <c r="AR97" s="262"/>
      <c r="AS97" s="257">
        <f>609428+238760+519470+29510+444140+42330+116000+582190+141081+78488+574529+89400+52100+132000+16000+109000+57050+142435+282665+818679</f>
        <v>5075255</v>
      </c>
      <c r="AT97" s="220"/>
      <c r="AU97" s="220"/>
      <c r="AV97" s="220"/>
      <c r="AW97" s="220"/>
      <c r="AX97" s="220"/>
    </row>
    <row r="98" spans="1:55" ht="15.75">
      <c r="A98" s="191"/>
      <c r="B98" s="159" t="s">
        <v>89</v>
      </c>
      <c r="C98" s="192">
        <f t="shared" ref="C98:H98" si="70">C88-C89-C92</f>
        <v>1614428</v>
      </c>
      <c r="D98" s="192">
        <f t="shared" si="70"/>
        <v>2197352</v>
      </c>
      <c r="E98" s="192">
        <f t="shared" si="70"/>
        <v>2104196</v>
      </c>
      <c r="F98" s="192">
        <f t="shared" si="70"/>
        <v>1837280</v>
      </c>
      <c r="G98" s="192">
        <f t="shared" si="70"/>
        <v>1374280.23</v>
      </c>
      <c r="H98" s="192">
        <f t="shared" si="70"/>
        <v>505368.11999999918</v>
      </c>
      <c r="I98" s="192">
        <f t="shared" ref="I98:N98" si="71">I88-I89-I92</f>
        <v>308448.16000000015</v>
      </c>
      <c r="J98" s="192">
        <f t="shared" si="71"/>
        <v>124394.96999999974</v>
      </c>
      <c r="K98" s="192">
        <f t="shared" si="71"/>
        <v>390083.60999999661</v>
      </c>
      <c r="L98" s="192">
        <f t="shared" si="71"/>
        <v>654882.91999999993</v>
      </c>
      <c r="M98" s="192">
        <f t="shared" si="71"/>
        <v>1050129.9658095166</v>
      </c>
      <c r="N98" s="192">
        <f t="shared" si="71"/>
        <v>1064734.6599999983</v>
      </c>
      <c r="O98" s="192">
        <f>O88-O89-O92</f>
        <v>1410256.7200000025</v>
      </c>
      <c r="P98" s="192">
        <f>P88-P89-P92</f>
        <v>1880312.410000002</v>
      </c>
      <c r="Q98" s="192">
        <f>Q88-Q89-Q92</f>
        <v>1827069.6199999973</v>
      </c>
      <c r="R98" s="192">
        <f t="shared" ref="R98:AE98" si="72">R88-R89-R92</f>
        <v>563619.08999999613</v>
      </c>
      <c r="S98" s="192">
        <f t="shared" si="72"/>
        <v>563619.08999999613</v>
      </c>
      <c r="T98" s="192">
        <f t="shared" si="72"/>
        <v>375660.39</v>
      </c>
      <c r="U98" s="192">
        <f t="shared" si="72"/>
        <v>217583</v>
      </c>
      <c r="V98" s="192">
        <f t="shared" si="72"/>
        <v>308478.59999999963</v>
      </c>
      <c r="W98" s="192">
        <f t="shared" si="72"/>
        <v>3617742.0999999996</v>
      </c>
      <c r="X98" s="192">
        <f t="shared" si="72"/>
        <v>3302692.2700000014</v>
      </c>
      <c r="Y98" s="192">
        <f t="shared" si="72"/>
        <v>3310778.1899999995</v>
      </c>
      <c r="Z98" s="192">
        <f t="shared" si="72"/>
        <v>2791000.0999999996</v>
      </c>
      <c r="AA98" s="221">
        <f t="shared" si="72"/>
        <v>2811200.7300000004</v>
      </c>
      <c r="AB98" s="236">
        <f t="shared" si="72"/>
        <v>2168977.6500000004</v>
      </c>
      <c r="AC98" s="236">
        <f t="shared" si="72"/>
        <v>1062228.0700000003</v>
      </c>
      <c r="AD98" s="236">
        <f t="shared" si="72"/>
        <v>1376189.8499999903</v>
      </c>
      <c r="AE98" s="236">
        <f t="shared" si="72"/>
        <v>1400511.9500000048</v>
      </c>
      <c r="AF98" s="236"/>
      <c r="AG98" s="236">
        <f t="shared" ref="AG98:AQ98" si="73">AG88-AG89-AG92</f>
        <v>151105.83999999985</v>
      </c>
      <c r="AH98" s="236">
        <f t="shared" si="73"/>
        <v>166141.30999999959</v>
      </c>
      <c r="AI98" s="236">
        <f t="shared" si="73"/>
        <v>671416.59000000078</v>
      </c>
      <c r="AJ98" s="236">
        <f t="shared" si="73"/>
        <v>267388.19000000041</v>
      </c>
      <c r="AK98" s="236">
        <f t="shared" si="73"/>
        <v>481100.70000000019</v>
      </c>
      <c r="AL98" s="236">
        <f t="shared" si="73"/>
        <v>811429.03999999724</v>
      </c>
      <c r="AM98" s="236">
        <f t="shared" si="73"/>
        <v>1002302.4099999983</v>
      </c>
      <c r="AN98" s="236">
        <f t="shared" si="73"/>
        <v>1507047.8999999948</v>
      </c>
      <c r="AO98" s="236">
        <f t="shared" si="73"/>
        <v>1495234.7700000014</v>
      </c>
      <c r="AP98" s="236">
        <f t="shared" si="73"/>
        <v>1270080.4000000004</v>
      </c>
      <c r="AQ98" s="236">
        <f t="shared" si="73"/>
        <v>1701480.9399999976</v>
      </c>
      <c r="AR98" s="236"/>
      <c r="AS98" s="236">
        <f>AS88-AS89-AS92</f>
        <v>4534347</v>
      </c>
      <c r="AT98" s="236">
        <f t="shared" ref="AT98:AZ98" si="74">AT88-AT89-AT92</f>
        <v>0</v>
      </c>
      <c r="AU98" s="236">
        <f t="shared" si="74"/>
        <v>0</v>
      </c>
      <c r="AV98" s="236">
        <f t="shared" si="74"/>
        <v>0</v>
      </c>
      <c r="AW98" s="236">
        <f t="shared" si="74"/>
        <v>0</v>
      </c>
      <c r="AX98" s="236">
        <f t="shared" si="74"/>
        <v>0</v>
      </c>
      <c r="AY98" s="236">
        <f t="shared" si="74"/>
        <v>0</v>
      </c>
      <c r="AZ98" s="236">
        <f t="shared" si="74"/>
        <v>0</v>
      </c>
      <c r="BA98" s="236">
        <f t="shared" ref="BA98:BC98" si="75">BA88-BA89-BA92</f>
        <v>0</v>
      </c>
      <c r="BB98" s="236">
        <f t="shared" si="75"/>
        <v>0</v>
      </c>
      <c r="BC98" s="236">
        <f t="shared" si="75"/>
        <v>0</v>
      </c>
    </row>
    <row r="99" spans="1:55" ht="15.75">
      <c r="A99" s="194"/>
      <c r="B99" s="159" t="s">
        <v>90</v>
      </c>
      <c r="C99" s="192">
        <f t="shared" ref="C99:H99" si="76">C100-C101</f>
        <v>0</v>
      </c>
      <c r="D99" s="192">
        <f t="shared" si="76"/>
        <v>0</v>
      </c>
      <c r="E99" s="192">
        <f t="shared" si="76"/>
        <v>0</v>
      </c>
      <c r="F99" s="192">
        <f t="shared" si="76"/>
        <v>0</v>
      </c>
      <c r="G99" s="192">
        <f t="shared" si="76"/>
        <v>0</v>
      </c>
      <c r="H99" s="192">
        <f t="shared" si="76"/>
        <v>0</v>
      </c>
      <c r="I99" s="192">
        <f t="shared" ref="I99:N99" si="77">I100-I101</f>
        <v>0</v>
      </c>
      <c r="J99" s="192">
        <f t="shared" si="77"/>
        <v>0</v>
      </c>
      <c r="K99" s="192">
        <f t="shared" si="77"/>
        <v>0</v>
      </c>
      <c r="L99" s="192">
        <f t="shared" si="77"/>
        <v>0</v>
      </c>
      <c r="M99" s="192">
        <f t="shared" si="77"/>
        <v>0</v>
      </c>
      <c r="N99" s="192">
        <f t="shared" si="77"/>
        <v>0</v>
      </c>
      <c r="O99" s="192">
        <f>O100-O101</f>
        <v>0</v>
      </c>
      <c r="P99" s="192">
        <f>P100-P101</f>
        <v>0</v>
      </c>
      <c r="Q99" s="192">
        <f>Q100-Q101</f>
        <v>0</v>
      </c>
      <c r="R99" s="192">
        <f t="shared" ref="R99:AE99" si="78">R100-R101</f>
        <v>0</v>
      </c>
      <c r="S99" s="192">
        <f t="shared" si="78"/>
        <v>0</v>
      </c>
      <c r="T99" s="192">
        <f t="shared" si="78"/>
        <v>0</v>
      </c>
      <c r="U99" s="192">
        <f t="shared" si="78"/>
        <v>0</v>
      </c>
      <c r="V99" s="192">
        <f t="shared" si="78"/>
        <v>0</v>
      </c>
      <c r="W99" s="192">
        <f t="shared" si="78"/>
        <v>0</v>
      </c>
      <c r="X99" s="192">
        <f t="shared" si="78"/>
        <v>0</v>
      </c>
      <c r="Y99" s="192">
        <f t="shared" si="78"/>
        <v>0</v>
      </c>
      <c r="Z99" s="192">
        <f t="shared" si="78"/>
        <v>0</v>
      </c>
      <c r="AA99" s="221">
        <f t="shared" si="78"/>
        <v>0</v>
      </c>
      <c r="AB99" s="236">
        <f t="shared" si="78"/>
        <v>0</v>
      </c>
      <c r="AC99" s="236">
        <f t="shared" si="78"/>
        <v>0</v>
      </c>
      <c r="AD99" s="236">
        <f t="shared" si="78"/>
        <v>0</v>
      </c>
      <c r="AE99" s="236">
        <f t="shared" si="78"/>
        <v>0</v>
      </c>
      <c r="AF99" s="236"/>
      <c r="AG99" s="236">
        <f t="shared" ref="AG99:AQ99" si="79">AG100-AG101</f>
        <v>0</v>
      </c>
      <c r="AH99" s="236">
        <f t="shared" si="79"/>
        <v>0</v>
      </c>
      <c r="AI99" s="236">
        <f t="shared" si="79"/>
        <v>0</v>
      </c>
      <c r="AJ99" s="236">
        <f t="shared" si="79"/>
        <v>0</v>
      </c>
      <c r="AK99" s="236">
        <f t="shared" si="79"/>
        <v>0</v>
      </c>
      <c r="AL99" s="236">
        <f t="shared" si="79"/>
        <v>0</v>
      </c>
      <c r="AM99" s="236">
        <f t="shared" si="79"/>
        <v>0</v>
      </c>
      <c r="AN99" s="236">
        <f t="shared" si="79"/>
        <v>0</v>
      </c>
      <c r="AO99" s="236">
        <f t="shared" si="79"/>
        <v>0</v>
      </c>
      <c r="AP99" s="236">
        <f t="shared" si="79"/>
        <v>0</v>
      </c>
      <c r="AQ99" s="236">
        <f t="shared" si="79"/>
        <v>0</v>
      </c>
      <c r="AR99" s="236"/>
      <c r="AS99" s="236">
        <f t="shared" ref="AS99:AZ99" si="80">AS100-AS101</f>
        <v>0</v>
      </c>
      <c r="AT99" s="236">
        <f t="shared" si="80"/>
        <v>0</v>
      </c>
      <c r="AU99" s="236">
        <f t="shared" si="80"/>
        <v>0</v>
      </c>
      <c r="AV99" s="236">
        <f t="shared" si="80"/>
        <v>0</v>
      </c>
      <c r="AW99" s="236">
        <f t="shared" si="80"/>
        <v>0</v>
      </c>
      <c r="AX99" s="236">
        <f t="shared" si="80"/>
        <v>0</v>
      </c>
      <c r="AY99" s="236">
        <f t="shared" si="80"/>
        <v>0</v>
      </c>
      <c r="AZ99" s="236">
        <f t="shared" si="80"/>
        <v>0</v>
      </c>
      <c r="BA99" s="236">
        <f t="shared" ref="BA99:BC99" si="81">BA100-BA101</f>
        <v>0</v>
      </c>
      <c r="BB99" s="236">
        <f t="shared" si="81"/>
        <v>0</v>
      </c>
      <c r="BC99" s="236">
        <f t="shared" si="81"/>
        <v>0</v>
      </c>
    </row>
    <row r="100" spans="1:55">
      <c r="A100" s="194"/>
      <c r="B100" s="194" t="s">
        <v>91</v>
      </c>
      <c r="C100" s="173"/>
      <c r="D100" s="173"/>
      <c r="E100" s="173"/>
      <c r="F100" s="173"/>
      <c r="G100" s="163">
        <v>0</v>
      </c>
      <c r="H100" s="163">
        <v>0</v>
      </c>
      <c r="I100" s="163">
        <v>0</v>
      </c>
      <c r="J100" s="163">
        <v>0</v>
      </c>
      <c r="K100" s="163">
        <v>0</v>
      </c>
      <c r="L100" s="195">
        <v>0</v>
      </c>
      <c r="M100" s="163"/>
      <c r="N100" s="163">
        <v>0</v>
      </c>
      <c r="O100" s="163">
        <v>0</v>
      </c>
      <c r="P100" s="163">
        <v>0</v>
      </c>
      <c r="Q100" s="163">
        <v>0</v>
      </c>
      <c r="R100" s="163">
        <v>0</v>
      </c>
      <c r="S100" s="163">
        <v>0</v>
      </c>
      <c r="T100" s="167">
        <v>0</v>
      </c>
      <c r="U100" s="167">
        <v>0</v>
      </c>
      <c r="V100" s="167">
        <v>0</v>
      </c>
      <c r="W100" s="163">
        <v>0</v>
      </c>
      <c r="X100" s="217">
        <v>0</v>
      </c>
      <c r="Y100" s="217">
        <v>0</v>
      </c>
      <c r="Z100" s="217">
        <v>0</v>
      </c>
      <c r="AA100" s="240">
        <v>0</v>
      </c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5"/>
      <c r="AL100" s="225"/>
      <c r="AM100" s="225"/>
      <c r="AN100" s="225"/>
      <c r="AO100" s="225"/>
      <c r="AP100" s="225"/>
      <c r="AQ100" s="225"/>
      <c r="AR100" s="225"/>
      <c r="AS100" s="257">
        <v>0</v>
      </c>
      <c r="AT100" s="220"/>
      <c r="AU100" s="220"/>
      <c r="AV100" s="220"/>
      <c r="AW100" s="220"/>
      <c r="AX100" s="220"/>
    </row>
    <row r="101" spans="1:55">
      <c r="A101" s="194"/>
      <c r="B101" s="194" t="s">
        <v>92</v>
      </c>
      <c r="C101" s="173"/>
      <c r="D101" s="173"/>
      <c r="E101" s="173"/>
      <c r="F101" s="173"/>
      <c r="G101" s="163">
        <v>0</v>
      </c>
      <c r="H101" s="163">
        <v>0</v>
      </c>
      <c r="I101" s="163">
        <v>0</v>
      </c>
      <c r="J101" s="163">
        <v>0</v>
      </c>
      <c r="K101" s="163">
        <v>0</v>
      </c>
      <c r="L101" s="195">
        <v>0</v>
      </c>
      <c r="M101" s="163"/>
      <c r="N101" s="163">
        <v>0</v>
      </c>
      <c r="O101" s="163">
        <v>0</v>
      </c>
      <c r="P101" s="163">
        <v>0</v>
      </c>
      <c r="Q101" s="163">
        <v>0</v>
      </c>
      <c r="R101" s="163">
        <v>0</v>
      </c>
      <c r="S101" s="163">
        <v>0</v>
      </c>
      <c r="T101" s="167">
        <v>0</v>
      </c>
      <c r="U101" s="167">
        <v>0</v>
      </c>
      <c r="V101" s="167">
        <v>0</v>
      </c>
      <c r="W101" s="163">
        <v>0</v>
      </c>
      <c r="X101" s="217">
        <v>0</v>
      </c>
      <c r="Y101" s="217">
        <v>0</v>
      </c>
      <c r="Z101" s="217">
        <v>0</v>
      </c>
      <c r="AA101" s="240">
        <v>0</v>
      </c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57">
        <v>0</v>
      </c>
      <c r="AT101" s="220"/>
      <c r="AU101" s="220"/>
      <c r="AV101" s="220"/>
      <c r="AW101" s="220"/>
      <c r="AX101" s="220"/>
    </row>
    <row r="102" spans="1:55" s="150" customFormat="1" ht="15.75">
      <c r="A102" s="202"/>
      <c r="B102" s="159" t="s">
        <v>93</v>
      </c>
      <c r="C102" s="160">
        <f t="shared" ref="C102:H102" si="82">C98+C99</f>
        <v>1614428</v>
      </c>
      <c r="D102" s="160">
        <f t="shared" si="82"/>
        <v>2197352</v>
      </c>
      <c r="E102" s="160">
        <f t="shared" si="82"/>
        <v>2104196</v>
      </c>
      <c r="F102" s="160">
        <f t="shared" si="82"/>
        <v>1837280</v>
      </c>
      <c r="G102" s="160">
        <f t="shared" si="82"/>
        <v>1374280.23</v>
      </c>
      <c r="H102" s="160">
        <f t="shared" si="82"/>
        <v>505368.11999999918</v>
      </c>
      <c r="I102" s="160">
        <f t="shared" ref="I102:AQ102" si="83">I98+I99</f>
        <v>308448.16000000015</v>
      </c>
      <c r="J102" s="160">
        <f t="shared" si="83"/>
        <v>124394.96999999974</v>
      </c>
      <c r="K102" s="160">
        <f t="shared" si="83"/>
        <v>390083.60999999661</v>
      </c>
      <c r="L102" s="160">
        <f t="shared" si="83"/>
        <v>654882.91999999993</v>
      </c>
      <c r="M102" s="160">
        <f t="shared" si="83"/>
        <v>1050129.9658095166</v>
      </c>
      <c r="N102" s="160">
        <f t="shared" si="83"/>
        <v>1064734.6599999983</v>
      </c>
      <c r="O102" s="160">
        <f t="shared" si="83"/>
        <v>1410256.7200000025</v>
      </c>
      <c r="P102" s="160">
        <f t="shared" si="83"/>
        <v>1880312.410000002</v>
      </c>
      <c r="Q102" s="160">
        <f t="shared" si="83"/>
        <v>1827069.6199999973</v>
      </c>
      <c r="R102" s="160">
        <f t="shared" si="83"/>
        <v>563619.08999999613</v>
      </c>
      <c r="S102" s="160">
        <f t="shared" si="83"/>
        <v>563619.08999999613</v>
      </c>
      <c r="T102" s="160">
        <f t="shared" si="83"/>
        <v>375660.39</v>
      </c>
      <c r="U102" s="160">
        <f t="shared" si="83"/>
        <v>217583</v>
      </c>
      <c r="V102" s="160">
        <f t="shared" si="83"/>
        <v>308478.59999999963</v>
      </c>
      <c r="W102" s="160">
        <f t="shared" si="83"/>
        <v>3617742.0999999996</v>
      </c>
      <c r="X102" s="160">
        <f t="shared" si="83"/>
        <v>3302692.2700000014</v>
      </c>
      <c r="Y102" s="160">
        <f t="shared" si="83"/>
        <v>3310778.1899999995</v>
      </c>
      <c r="Z102" s="160">
        <f t="shared" si="83"/>
        <v>2791000.0999999996</v>
      </c>
      <c r="AA102" s="222">
        <f t="shared" si="83"/>
        <v>2811200.7300000004</v>
      </c>
      <c r="AB102" s="227">
        <f t="shared" si="83"/>
        <v>2168977.6500000004</v>
      </c>
      <c r="AC102" s="227">
        <f t="shared" si="83"/>
        <v>1062228.0700000003</v>
      </c>
      <c r="AD102" s="227">
        <f t="shared" si="83"/>
        <v>1376189.8499999903</v>
      </c>
      <c r="AE102" s="227">
        <f t="shared" si="83"/>
        <v>1400511.9500000048</v>
      </c>
      <c r="AF102" s="227"/>
      <c r="AG102" s="227">
        <f t="shared" si="83"/>
        <v>151105.83999999985</v>
      </c>
      <c r="AH102" s="227">
        <f t="shared" si="83"/>
        <v>166141.30999999959</v>
      </c>
      <c r="AI102" s="227">
        <f t="shared" si="83"/>
        <v>671416.59000000078</v>
      </c>
      <c r="AJ102" s="227">
        <f t="shared" si="83"/>
        <v>267388.19000000041</v>
      </c>
      <c r="AK102" s="227">
        <f t="shared" si="83"/>
        <v>481100.70000000019</v>
      </c>
      <c r="AL102" s="227">
        <f t="shared" si="83"/>
        <v>811429.03999999724</v>
      </c>
      <c r="AM102" s="227">
        <f t="shared" si="83"/>
        <v>1002302.4099999983</v>
      </c>
      <c r="AN102" s="227">
        <f t="shared" si="83"/>
        <v>1507047.8999999948</v>
      </c>
      <c r="AO102" s="227">
        <f t="shared" si="83"/>
        <v>1495234.7700000014</v>
      </c>
      <c r="AP102" s="227">
        <f t="shared" si="83"/>
        <v>1270080.4000000004</v>
      </c>
      <c r="AQ102" s="227">
        <f t="shared" si="83"/>
        <v>1701480.9399999976</v>
      </c>
      <c r="AR102" s="227"/>
      <c r="AS102" s="227">
        <f t="shared" ref="AS102:BC102" si="84">AS98+AS99</f>
        <v>4534347</v>
      </c>
      <c r="AT102" s="227">
        <f t="shared" si="84"/>
        <v>0</v>
      </c>
      <c r="AU102" s="227">
        <f t="shared" si="84"/>
        <v>0</v>
      </c>
      <c r="AV102" s="227">
        <f t="shared" si="84"/>
        <v>0</v>
      </c>
      <c r="AW102" s="227">
        <f t="shared" si="84"/>
        <v>0</v>
      </c>
      <c r="AX102" s="227">
        <f t="shared" si="84"/>
        <v>0</v>
      </c>
      <c r="AY102" s="227">
        <f t="shared" si="84"/>
        <v>0</v>
      </c>
      <c r="AZ102" s="227">
        <f t="shared" si="84"/>
        <v>0</v>
      </c>
      <c r="BA102" s="227">
        <f t="shared" si="84"/>
        <v>0</v>
      </c>
      <c r="BB102" s="227">
        <f t="shared" si="84"/>
        <v>0</v>
      </c>
      <c r="BC102" s="227">
        <f t="shared" si="84"/>
        <v>0</v>
      </c>
    </row>
    <row r="103" spans="1:55" s="150" customFormat="1">
      <c r="A103" s="202"/>
      <c r="B103" s="202" t="s">
        <v>94</v>
      </c>
      <c r="C103" s="162">
        <v>46171</v>
      </c>
      <c r="D103" s="162"/>
      <c r="E103" s="162">
        <v>164747</v>
      </c>
      <c r="F103" s="173">
        <v>140093</v>
      </c>
      <c r="G103" s="169">
        <v>0</v>
      </c>
      <c r="H103" s="169">
        <v>0</v>
      </c>
      <c r="I103" s="169">
        <v>0</v>
      </c>
      <c r="J103" s="169">
        <v>0</v>
      </c>
      <c r="K103" s="169">
        <v>0</v>
      </c>
      <c r="L103" s="203">
        <v>0</v>
      </c>
      <c r="M103" s="169"/>
      <c r="N103" s="169">
        <v>0</v>
      </c>
      <c r="O103" s="204">
        <v>0</v>
      </c>
      <c r="P103" s="204">
        <v>0</v>
      </c>
      <c r="Q103" s="204">
        <v>0</v>
      </c>
      <c r="R103" s="204">
        <v>0</v>
      </c>
      <c r="S103" s="204">
        <v>1</v>
      </c>
      <c r="T103" s="167">
        <v>0</v>
      </c>
      <c r="U103" s="167">
        <v>119520.5</v>
      </c>
      <c r="V103" s="167">
        <v>179785</v>
      </c>
      <c r="W103" s="167">
        <v>335257.09999999998</v>
      </c>
      <c r="X103" s="217">
        <v>407328.5</v>
      </c>
      <c r="Y103" s="217">
        <v>472039.6</v>
      </c>
      <c r="Z103" s="217">
        <v>533335.19999999995</v>
      </c>
      <c r="AA103" s="240">
        <v>594945.1</v>
      </c>
      <c r="AB103" s="226"/>
      <c r="AC103" s="226"/>
      <c r="AD103" s="226"/>
      <c r="AE103" s="226"/>
      <c r="AG103" s="262">
        <v>53635.5</v>
      </c>
      <c r="AH103" s="262">
        <v>120834.7</v>
      </c>
      <c r="AI103" s="262">
        <v>189563.2</v>
      </c>
      <c r="AJ103" s="262">
        <v>238747.8</v>
      </c>
      <c r="AK103" s="262">
        <v>309522.7</v>
      </c>
      <c r="AL103" s="262">
        <v>453178.7</v>
      </c>
      <c r="AM103" s="262">
        <v>510996.3</v>
      </c>
      <c r="AN103" s="262">
        <v>576479.6</v>
      </c>
      <c r="AO103" s="262">
        <v>641572.19999999995</v>
      </c>
      <c r="AP103" s="262">
        <v>708534.2</v>
      </c>
      <c r="AQ103" s="262">
        <v>767585.9</v>
      </c>
      <c r="AR103" s="262"/>
      <c r="AS103" s="258">
        <v>795401</v>
      </c>
      <c r="AT103" s="220"/>
      <c r="AU103" s="220"/>
      <c r="AV103" s="220"/>
      <c r="AW103" s="220"/>
      <c r="AX103" s="220"/>
    </row>
    <row r="104" spans="1:55" s="150" customFormat="1" ht="15.75">
      <c r="A104" s="205"/>
      <c r="B104" s="159" t="s">
        <v>95</v>
      </c>
      <c r="C104" s="160">
        <f t="shared" ref="C104:H104" si="85">C102-C103</f>
        <v>1568257</v>
      </c>
      <c r="D104" s="160">
        <f t="shared" si="85"/>
        <v>2197352</v>
      </c>
      <c r="E104" s="160">
        <f t="shared" si="85"/>
        <v>1939449</v>
      </c>
      <c r="F104" s="160">
        <f t="shared" si="85"/>
        <v>1697187</v>
      </c>
      <c r="G104" s="160">
        <f t="shared" si="85"/>
        <v>1374280.23</v>
      </c>
      <c r="H104" s="160">
        <f t="shared" si="85"/>
        <v>505368.11999999918</v>
      </c>
      <c r="I104" s="160">
        <f t="shared" ref="I104:AQ104" si="86">I102-I103</f>
        <v>308448.16000000015</v>
      </c>
      <c r="J104" s="160">
        <f t="shared" si="86"/>
        <v>124394.96999999974</v>
      </c>
      <c r="K104" s="160">
        <f t="shared" si="86"/>
        <v>390083.60999999661</v>
      </c>
      <c r="L104" s="160">
        <f t="shared" si="86"/>
        <v>654882.91999999993</v>
      </c>
      <c r="M104" s="160">
        <f t="shared" si="86"/>
        <v>1050129.9658095166</v>
      </c>
      <c r="N104" s="160">
        <f t="shared" si="86"/>
        <v>1064734.6599999983</v>
      </c>
      <c r="O104" s="160">
        <f t="shared" si="86"/>
        <v>1410256.7200000025</v>
      </c>
      <c r="P104" s="160">
        <f t="shared" si="86"/>
        <v>1880312.410000002</v>
      </c>
      <c r="Q104" s="160">
        <f t="shared" si="86"/>
        <v>1827069.6199999973</v>
      </c>
      <c r="R104" s="160">
        <f t="shared" si="86"/>
        <v>563619.08999999613</v>
      </c>
      <c r="S104" s="160">
        <f t="shared" si="86"/>
        <v>563618.08999999613</v>
      </c>
      <c r="T104" s="160">
        <f t="shared" si="86"/>
        <v>375660.39</v>
      </c>
      <c r="U104" s="160">
        <f t="shared" si="86"/>
        <v>98062.5</v>
      </c>
      <c r="V104" s="160">
        <f t="shared" si="86"/>
        <v>128693.59999999963</v>
      </c>
      <c r="W104" s="160">
        <f t="shared" si="86"/>
        <v>3282484.9999999995</v>
      </c>
      <c r="X104" s="160">
        <f t="shared" si="86"/>
        <v>2895363.7700000014</v>
      </c>
      <c r="Y104" s="160">
        <f t="shared" si="86"/>
        <v>2838738.5899999994</v>
      </c>
      <c r="Z104" s="160">
        <f t="shared" si="86"/>
        <v>2257664.8999999994</v>
      </c>
      <c r="AA104" s="222">
        <f t="shared" si="86"/>
        <v>2216255.6300000004</v>
      </c>
      <c r="AB104" s="227">
        <f t="shared" si="86"/>
        <v>2168977.6500000004</v>
      </c>
      <c r="AC104" s="227">
        <f t="shared" si="86"/>
        <v>1062228.0700000003</v>
      </c>
      <c r="AD104" s="227">
        <f t="shared" si="86"/>
        <v>1376189.8499999903</v>
      </c>
      <c r="AE104" s="227">
        <f t="shared" si="86"/>
        <v>1400511.9500000048</v>
      </c>
      <c r="AF104" s="227"/>
      <c r="AG104" s="227">
        <f t="shared" si="86"/>
        <v>97470.339999999851</v>
      </c>
      <c r="AH104" s="227">
        <f t="shared" si="86"/>
        <v>45306.609999999593</v>
      </c>
      <c r="AI104" s="227">
        <f t="shared" si="86"/>
        <v>481853.39000000077</v>
      </c>
      <c r="AJ104" s="227">
        <f t="shared" si="86"/>
        <v>28640.390000000421</v>
      </c>
      <c r="AK104" s="227">
        <f t="shared" si="86"/>
        <v>171578.00000000017</v>
      </c>
      <c r="AL104" s="227">
        <f t="shared" si="86"/>
        <v>358250.33999999723</v>
      </c>
      <c r="AM104" s="227">
        <f t="shared" si="86"/>
        <v>491306.1099999983</v>
      </c>
      <c r="AN104" s="227">
        <f t="shared" si="86"/>
        <v>930568.29999999481</v>
      </c>
      <c r="AO104" s="227">
        <f t="shared" si="86"/>
        <v>853662.57000000146</v>
      </c>
      <c r="AP104" s="227">
        <f t="shared" si="86"/>
        <v>561546.20000000042</v>
      </c>
      <c r="AQ104" s="227">
        <f t="shared" si="86"/>
        <v>933895.03999999759</v>
      </c>
      <c r="AR104" s="227"/>
      <c r="AS104" s="227">
        <f>AS102-AS103</f>
        <v>3738946</v>
      </c>
      <c r="AT104" s="227">
        <f t="shared" ref="AT104:AX104" si="87">AT102-AT103</f>
        <v>0</v>
      </c>
      <c r="AU104" s="227">
        <f t="shared" si="87"/>
        <v>0</v>
      </c>
      <c r="AV104" s="227">
        <f t="shared" si="87"/>
        <v>0</v>
      </c>
      <c r="AW104" s="227">
        <f t="shared" si="87"/>
        <v>0</v>
      </c>
      <c r="AX104" s="227">
        <f t="shared" si="87"/>
        <v>0</v>
      </c>
      <c r="AY104" s="227">
        <f t="shared" ref="AY104" si="88">AY102-AY103</f>
        <v>0</v>
      </c>
      <c r="AZ104" s="227">
        <f t="shared" ref="AZ104" si="89">AZ102-AZ103</f>
        <v>0</v>
      </c>
      <c r="BA104" s="227">
        <f t="shared" ref="BA104" si="90">BA102-BA103</f>
        <v>0</v>
      </c>
      <c r="BB104" s="227">
        <f t="shared" ref="BB104" si="91">BB102-BB103</f>
        <v>0</v>
      </c>
      <c r="BC104" s="227">
        <f t="shared" ref="BC104" si="92">BC102-BC103</f>
        <v>0</v>
      </c>
    </row>
    <row r="105" spans="1:55" s="150" customFormat="1">
      <c r="A105" s="206"/>
      <c r="B105" s="202" t="s">
        <v>96</v>
      </c>
      <c r="C105" s="169"/>
      <c r="D105" s="169"/>
      <c r="E105" s="169"/>
      <c r="F105" s="169"/>
      <c r="G105" s="169"/>
      <c r="H105" s="169"/>
      <c r="I105" s="169"/>
      <c r="J105" s="169">
        <v>0</v>
      </c>
      <c r="K105" s="169">
        <v>0</v>
      </c>
      <c r="L105" s="169">
        <v>0</v>
      </c>
      <c r="M105" s="169"/>
      <c r="N105" s="169">
        <v>0</v>
      </c>
      <c r="O105" s="204">
        <v>0</v>
      </c>
      <c r="P105" s="204">
        <v>0</v>
      </c>
      <c r="Q105" s="204">
        <v>0</v>
      </c>
      <c r="R105" s="204">
        <v>0</v>
      </c>
      <c r="S105" s="204">
        <v>1</v>
      </c>
      <c r="T105" s="167">
        <v>0</v>
      </c>
      <c r="U105" s="167">
        <v>0</v>
      </c>
      <c r="V105" s="167">
        <v>0</v>
      </c>
      <c r="W105" s="204"/>
      <c r="X105" s="217">
        <v>0</v>
      </c>
      <c r="Y105" s="217">
        <v>0</v>
      </c>
      <c r="Z105" s="217">
        <v>0</v>
      </c>
      <c r="AA105" s="240">
        <v>0</v>
      </c>
      <c r="AB105" s="251">
        <v>652500.1</v>
      </c>
      <c r="AC105" s="251">
        <v>697558.6</v>
      </c>
      <c r="AD105" s="251">
        <v>767925.7</v>
      </c>
      <c r="AE105" s="251">
        <v>848600.8</v>
      </c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51"/>
      <c r="AS105" s="258">
        <v>0</v>
      </c>
      <c r="AT105" s="220"/>
      <c r="AU105" s="220"/>
      <c r="AV105" s="220"/>
      <c r="AW105" s="220"/>
      <c r="AX105" s="220"/>
    </row>
    <row r="106" spans="1:55" s="150" customFormat="1" ht="15.75">
      <c r="A106" s="207"/>
      <c r="B106" s="159" t="s">
        <v>97</v>
      </c>
      <c r="C106" s="160">
        <f t="shared" ref="C106:H106" si="93">C104-C105</f>
        <v>1568257</v>
      </c>
      <c r="D106" s="160">
        <f t="shared" si="93"/>
        <v>2197352</v>
      </c>
      <c r="E106" s="160">
        <f t="shared" si="93"/>
        <v>1939449</v>
      </c>
      <c r="F106" s="160">
        <f t="shared" si="93"/>
        <v>1697187</v>
      </c>
      <c r="G106" s="160">
        <f t="shared" si="93"/>
        <v>1374280.23</v>
      </c>
      <c r="H106" s="160">
        <f t="shared" si="93"/>
        <v>505368.11999999918</v>
      </c>
      <c r="I106" s="160">
        <f t="shared" ref="I106:AE106" si="94">I104-I105</f>
        <v>308448.16000000015</v>
      </c>
      <c r="J106" s="160">
        <f t="shared" si="94"/>
        <v>124394.96999999974</v>
      </c>
      <c r="K106" s="160">
        <f t="shared" si="94"/>
        <v>390083.60999999661</v>
      </c>
      <c r="L106" s="160">
        <f t="shared" si="94"/>
        <v>654882.91999999993</v>
      </c>
      <c r="M106" s="160">
        <f t="shared" si="94"/>
        <v>1050129.9658095166</v>
      </c>
      <c r="N106" s="160">
        <f t="shared" si="94"/>
        <v>1064734.6599999983</v>
      </c>
      <c r="O106" s="160">
        <f t="shared" si="94"/>
        <v>1410256.7200000025</v>
      </c>
      <c r="P106" s="160">
        <f t="shared" si="94"/>
        <v>1880312.410000002</v>
      </c>
      <c r="Q106" s="160">
        <f t="shared" si="94"/>
        <v>1827069.6199999973</v>
      </c>
      <c r="R106" s="160">
        <f t="shared" si="94"/>
        <v>563619.08999999613</v>
      </c>
      <c r="S106" s="160">
        <f t="shared" si="94"/>
        <v>563617.08999999613</v>
      </c>
      <c r="T106" s="160">
        <f t="shared" si="94"/>
        <v>375660.39</v>
      </c>
      <c r="U106" s="214">
        <f t="shared" si="94"/>
        <v>98062.5</v>
      </c>
      <c r="V106" s="214">
        <f t="shared" si="94"/>
        <v>128693.59999999963</v>
      </c>
      <c r="W106" s="214">
        <f t="shared" si="94"/>
        <v>3282484.9999999995</v>
      </c>
      <c r="X106" s="214">
        <f t="shared" si="94"/>
        <v>2895363.7700000014</v>
      </c>
      <c r="Y106" s="214">
        <f t="shared" si="94"/>
        <v>2838738.5899999994</v>
      </c>
      <c r="Z106" s="214">
        <f t="shared" si="94"/>
        <v>2257664.8999999994</v>
      </c>
      <c r="AA106" s="223">
        <f t="shared" si="94"/>
        <v>2216255.6300000004</v>
      </c>
      <c r="AB106" s="238">
        <f t="shared" si="94"/>
        <v>1516477.5500000003</v>
      </c>
      <c r="AC106" s="238">
        <f t="shared" si="94"/>
        <v>364669.47000000032</v>
      </c>
      <c r="AD106" s="238">
        <f t="shared" si="94"/>
        <v>608264.14999999036</v>
      </c>
      <c r="AE106" s="238">
        <f t="shared" si="94"/>
        <v>551911.1500000048</v>
      </c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>
        <f t="shared" ref="AS106:BC106" si="95">AS104-AS105</f>
        <v>3738946</v>
      </c>
      <c r="AT106" s="238">
        <f t="shared" si="95"/>
        <v>0</v>
      </c>
      <c r="AU106" s="238">
        <f t="shared" si="95"/>
        <v>0</v>
      </c>
      <c r="AV106" s="238">
        <f t="shared" si="95"/>
        <v>0</v>
      </c>
      <c r="AW106" s="238">
        <f t="shared" si="95"/>
        <v>0</v>
      </c>
      <c r="AX106" s="238">
        <f t="shared" si="95"/>
        <v>0</v>
      </c>
      <c r="AY106" s="238">
        <f t="shared" si="95"/>
        <v>0</v>
      </c>
      <c r="AZ106" s="238">
        <f t="shared" si="95"/>
        <v>0</v>
      </c>
      <c r="BA106" s="238">
        <f t="shared" si="95"/>
        <v>0</v>
      </c>
      <c r="BB106" s="238">
        <f t="shared" si="95"/>
        <v>0</v>
      </c>
      <c r="BC106" s="238">
        <f t="shared" si="95"/>
        <v>0</v>
      </c>
    </row>
    <row r="107" spans="1:55">
      <c r="A107" s="191"/>
      <c r="B107" s="185" t="s">
        <v>98</v>
      </c>
      <c r="F107" s="208">
        <f>F100+F76+F73</f>
        <v>30436001</v>
      </c>
      <c r="G107" s="208">
        <f t="shared" ref="G107:AA107" si="96">G100+G76+G73</f>
        <v>2318955.64</v>
      </c>
      <c r="H107" s="208">
        <f t="shared" si="96"/>
        <v>4953370.4899999993</v>
      </c>
      <c r="I107" s="208">
        <f t="shared" si="96"/>
        <v>7211467.8399999999</v>
      </c>
      <c r="J107" s="208">
        <f t="shared" si="96"/>
        <v>9740396.3599999994</v>
      </c>
      <c r="K107" s="208">
        <f t="shared" si="96"/>
        <v>16785195.339999996</v>
      </c>
      <c r="L107" s="208">
        <f t="shared" si="96"/>
        <v>19237293.59</v>
      </c>
      <c r="M107" s="208">
        <f t="shared" si="96"/>
        <v>21717977.160799999</v>
      </c>
      <c r="N107" s="208">
        <f t="shared" si="96"/>
        <v>23942854.34</v>
      </c>
      <c r="O107" s="208">
        <f t="shared" si="96"/>
        <v>27154555.770000003</v>
      </c>
      <c r="P107" s="208">
        <f t="shared" si="96"/>
        <v>29860863.25</v>
      </c>
      <c r="Q107" s="208">
        <f t="shared" si="96"/>
        <v>32795633.409999996</v>
      </c>
      <c r="R107" s="208">
        <f t="shared" si="96"/>
        <v>107367728.22</v>
      </c>
      <c r="S107" s="208">
        <f t="shared" si="96"/>
        <v>107367728.22</v>
      </c>
      <c r="T107" s="208">
        <f t="shared" si="96"/>
        <v>2490640.36</v>
      </c>
      <c r="U107" s="208">
        <f t="shared" si="96"/>
        <v>5297175.32</v>
      </c>
      <c r="V107" s="208">
        <f t="shared" si="96"/>
        <v>7890717.2199999997</v>
      </c>
      <c r="W107" s="208">
        <f t="shared" si="96"/>
        <v>15101143.949999999</v>
      </c>
      <c r="X107" s="208">
        <f t="shared" si="96"/>
        <v>17663632.57</v>
      </c>
      <c r="Y107" s="208">
        <f t="shared" si="96"/>
        <v>20213285.66</v>
      </c>
      <c r="Z107" s="208">
        <f t="shared" si="96"/>
        <v>22986765.670000002</v>
      </c>
      <c r="AA107" s="208">
        <f t="shared" si="96"/>
        <v>25937570.23</v>
      </c>
    </row>
    <row r="108" spans="1:55">
      <c r="A108" s="194"/>
      <c r="B108" s="185" t="s">
        <v>99</v>
      </c>
      <c r="F108" s="208">
        <f>F101+F92+F81</f>
        <v>26898721</v>
      </c>
      <c r="G108" s="208">
        <f t="shared" ref="G108:AA108" si="97">G101+G92+G81</f>
        <v>944675.41</v>
      </c>
      <c r="H108" s="208">
        <f t="shared" si="97"/>
        <v>4448002.37</v>
      </c>
      <c r="I108" s="208">
        <f t="shared" si="97"/>
        <v>6903019.6799999997</v>
      </c>
      <c r="J108" s="208">
        <f t="shared" si="97"/>
        <v>9616001.3900000006</v>
      </c>
      <c r="K108" s="208">
        <f t="shared" si="97"/>
        <v>16061778.399999999</v>
      </c>
      <c r="L108" s="208">
        <f t="shared" si="97"/>
        <v>18182410.670000002</v>
      </c>
      <c r="M108" s="208">
        <f t="shared" si="97"/>
        <v>20167847.194990482</v>
      </c>
      <c r="N108" s="208">
        <f t="shared" si="97"/>
        <v>22378119.68</v>
      </c>
      <c r="O108" s="208">
        <f t="shared" si="97"/>
        <v>25244299.050000001</v>
      </c>
      <c r="P108" s="208">
        <f t="shared" si="97"/>
        <v>27480550.839999996</v>
      </c>
      <c r="Q108" s="208">
        <f t="shared" si="97"/>
        <v>30468563.789999999</v>
      </c>
      <c r="R108" s="208">
        <f t="shared" si="97"/>
        <v>105304109.13</v>
      </c>
      <c r="S108" s="208">
        <f t="shared" si="97"/>
        <v>105304109.13</v>
      </c>
      <c r="T108" s="208">
        <f t="shared" si="97"/>
        <v>2114979.9699999997</v>
      </c>
      <c r="U108" s="208">
        <f t="shared" si="97"/>
        <v>5079592.32</v>
      </c>
      <c r="V108" s="208">
        <f t="shared" si="97"/>
        <v>7582238.6200000001</v>
      </c>
      <c r="W108" s="208">
        <f t="shared" si="97"/>
        <v>11483401.85</v>
      </c>
      <c r="X108" s="208">
        <f t="shared" si="97"/>
        <v>14360940.299999999</v>
      </c>
      <c r="Y108" s="208">
        <f t="shared" si="97"/>
        <v>16902507.469999999</v>
      </c>
      <c r="Z108" s="208">
        <f t="shared" si="97"/>
        <v>20195765.57</v>
      </c>
      <c r="AA108" s="208">
        <f t="shared" si="97"/>
        <v>23126369.5</v>
      </c>
    </row>
    <row r="109" spans="1:55">
      <c r="A109" s="194"/>
      <c r="G109" s="188"/>
      <c r="H109" s="188"/>
      <c r="I109" s="209"/>
      <c r="J109" s="209"/>
      <c r="L109" s="186"/>
    </row>
    <row r="110" spans="1:55">
      <c r="A110" s="197"/>
    </row>
    <row r="111" spans="1:55">
      <c r="A111" s="194"/>
    </row>
    <row r="112" spans="1:55">
      <c r="A112" s="197"/>
      <c r="Y112" s="213"/>
    </row>
    <row r="113" spans="1:10">
      <c r="A113" s="194"/>
      <c r="H113" s="210"/>
    </row>
    <row r="114" spans="1:10">
      <c r="A114" s="197"/>
      <c r="B114" s="211"/>
      <c r="C114" s="211"/>
      <c r="D114" s="211"/>
      <c r="E114" s="211"/>
      <c r="F114" s="211"/>
      <c r="H114" s="210"/>
      <c r="I114" s="210"/>
      <c r="J114" s="210"/>
    </row>
    <row r="115" spans="1:10">
      <c r="A115" s="191"/>
      <c r="B115" s="211"/>
      <c r="C115" s="211"/>
      <c r="D115" s="211"/>
      <c r="E115" s="211"/>
      <c r="F115" s="211"/>
      <c r="H115" s="210"/>
      <c r="I115" s="210"/>
      <c r="J115" s="210"/>
    </row>
    <row r="116" spans="1:10">
      <c r="A116" s="194"/>
      <c r="B116" s="211"/>
      <c r="C116" s="211"/>
      <c r="D116" s="211"/>
      <c r="E116" s="211"/>
      <c r="F116" s="211"/>
      <c r="H116" s="210"/>
      <c r="I116" s="210"/>
      <c r="J116" s="210"/>
    </row>
    <row r="117" spans="1:10">
      <c r="A117" s="197"/>
      <c r="B117" s="211"/>
      <c r="C117" s="211"/>
      <c r="D117" s="211"/>
      <c r="E117" s="211"/>
      <c r="F117" s="211"/>
      <c r="H117" s="210"/>
      <c r="I117" s="210"/>
      <c r="J117" s="210"/>
    </row>
    <row r="118" spans="1:10">
      <c r="A118" s="191"/>
      <c r="B118" s="211"/>
      <c r="C118" s="211"/>
      <c r="D118" s="211"/>
      <c r="E118" s="211"/>
      <c r="F118" s="211"/>
      <c r="H118" s="210"/>
      <c r="I118" s="210"/>
      <c r="J118" s="210"/>
    </row>
    <row r="119" spans="1:10">
      <c r="B119" s="211"/>
      <c r="C119" s="211"/>
      <c r="D119" s="211"/>
      <c r="E119" s="211"/>
      <c r="F119" s="211"/>
      <c r="H119" s="210"/>
      <c r="I119" s="210"/>
      <c r="J119" s="210"/>
    </row>
    <row r="120" spans="1:10">
      <c r="B120" s="211"/>
      <c r="C120" s="211"/>
      <c r="D120" s="211"/>
      <c r="E120" s="211"/>
      <c r="F120" s="211"/>
      <c r="H120" s="210"/>
      <c r="I120" s="210"/>
      <c r="J120" s="210"/>
    </row>
    <row r="121" spans="1:10">
      <c r="H121" s="210"/>
      <c r="I121" s="210"/>
      <c r="J121" s="210"/>
    </row>
    <row r="122" spans="1:10">
      <c r="H122" s="210"/>
      <c r="I122" s="210"/>
      <c r="J122" s="210"/>
    </row>
    <row r="123" spans="1:10">
      <c r="B123" s="211"/>
      <c r="C123" s="211"/>
      <c r="D123" s="211"/>
      <c r="E123" s="211"/>
      <c r="F123" s="211"/>
      <c r="H123" s="210"/>
      <c r="I123" s="210"/>
      <c r="J123" s="210"/>
    </row>
    <row r="124" spans="1:10">
      <c r="B124" s="211"/>
      <c r="C124" s="211"/>
      <c r="D124" s="211"/>
      <c r="E124" s="211"/>
      <c r="F124" s="211"/>
      <c r="H124" s="210"/>
    </row>
    <row r="125" spans="1:10">
      <c r="H125" s="210"/>
    </row>
    <row r="126" spans="1:10">
      <c r="H126" s="210"/>
    </row>
    <row r="127" spans="1:10">
      <c r="B127" s="211"/>
      <c r="C127" s="211"/>
      <c r="D127" s="211"/>
      <c r="E127" s="211"/>
      <c r="F127" s="211"/>
      <c r="H127" s="210"/>
    </row>
    <row r="128" spans="1:10">
      <c r="B128" s="211"/>
      <c r="C128" s="211"/>
      <c r="D128" s="211"/>
      <c r="E128" s="211"/>
      <c r="F128" s="211"/>
      <c r="H128" s="210"/>
    </row>
    <row r="129" spans="8:8">
      <c r="H129" s="210"/>
    </row>
    <row r="130" spans="8:8">
      <c r="H130" s="210"/>
    </row>
    <row r="131" spans="8:8">
      <c r="H131" s="210"/>
    </row>
    <row r="132" spans="8:8">
      <c r="H132" s="210"/>
    </row>
  </sheetData>
  <pageMargins left="0.7" right="0.7" top="0.75" bottom="0.75" header="0.3" footer="0.3"/>
  <pageSetup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B178"/>
  <sheetViews>
    <sheetView workbookViewId="0">
      <pane xSplit="2" ySplit="10" topLeftCell="AN11" activePane="bottomRight" state="frozen"/>
      <selection pane="bottomRight" activeCell="AU7" sqref="AU7"/>
      <selection pane="bottomLeft" activeCell="A12" sqref="A12"/>
      <selection pane="topRight" activeCell="D1" sqref="D1"/>
    </sheetView>
  </sheetViews>
  <sheetFormatPr defaultColWidth="9.140625" defaultRowHeight="12.6"/>
  <cols>
    <col min="1" max="1" width="5.42578125" style="1" bestFit="1" customWidth="1"/>
    <col min="2" max="2" width="30.7109375" style="1" customWidth="1"/>
    <col min="3" max="4" width="12.85546875" style="1" bestFit="1" customWidth="1"/>
    <col min="5" max="5" width="12.5703125" style="1" customWidth="1"/>
    <col min="6" max="7" width="12" style="1" hidden="1" customWidth="1"/>
    <col min="8" max="8" width="12.28515625" style="1" hidden="1" customWidth="1"/>
    <col min="9" max="18" width="12" style="1" hidden="1" customWidth="1"/>
    <col min="19" max="19" width="14.42578125" style="1" bestFit="1" customWidth="1"/>
    <col min="20" max="20" width="14.42578125" style="1" customWidth="1"/>
    <col min="21" max="21" width="18.42578125" style="1" bestFit="1" customWidth="1"/>
    <col min="22" max="24" width="14.85546875" style="1" bestFit="1" customWidth="1"/>
    <col min="25" max="25" width="12.7109375" style="1" bestFit="1" customWidth="1"/>
    <col min="26" max="27" width="14.85546875" style="1" bestFit="1" customWidth="1"/>
    <col min="28" max="29" width="12" style="1" bestFit="1" customWidth="1"/>
    <col min="30" max="30" width="14.5703125" style="1" bestFit="1" customWidth="1"/>
    <col min="31" max="31" width="13.5703125" style="1" bestFit="1" customWidth="1"/>
    <col min="32" max="45" width="14.42578125" style="1" bestFit="1" customWidth="1"/>
    <col min="46" max="16384" width="9.140625" style="1"/>
  </cols>
  <sheetData>
    <row r="1" spans="1:54" ht="12.95" thickBot="1"/>
    <row r="2" spans="1:54">
      <c r="A2" s="2"/>
      <c r="B2" s="3" t="s">
        <v>100</v>
      </c>
      <c r="C2" s="76"/>
      <c r="D2" s="76"/>
      <c r="E2" s="76"/>
      <c r="F2" s="76"/>
    </row>
    <row r="3" spans="1:54">
      <c r="A3" s="5">
        <v>1</v>
      </c>
      <c r="B3" s="30" t="s">
        <v>101</v>
      </c>
      <c r="C3" s="30" t="s">
        <v>2</v>
      </c>
      <c r="D3" s="30" t="s">
        <v>3</v>
      </c>
      <c r="E3" s="30" t="s">
        <v>4</v>
      </c>
      <c r="F3" s="30" t="s">
        <v>5</v>
      </c>
      <c r="G3" s="31">
        <v>43831</v>
      </c>
      <c r="H3" s="31">
        <v>43862</v>
      </c>
      <c r="I3" s="31">
        <v>43891</v>
      </c>
      <c r="J3" s="31">
        <v>43922</v>
      </c>
      <c r="K3" s="31">
        <v>43952</v>
      </c>
      <c r="L3" s="31">
        <v>43983</v>
      </c>
      <c r="M3" s="31">
        <v>44013</v>
      </c>
      <c r="N3" s="31">
        <v>44044</v>
      </c>
      <c r="O3" s="31">
        <v>44075</v>
      </c>
      <c r="P3" s="31">
        <v>44105</v>
      </c>
      <c r="Q3" s="31">
        <v>44136</v>
      </c>
      <c r="R3" s="31">
        <v>44166</v>
      </c>
      <c r="S3" s="31" t="s">
        <v>102</v>
      </c>
      <c r="T3" s="31">
        <v>44217</v>
      </c>
      <c r="U3" s="31">
        <v>44228</v>
      </c>
      <c r="V3" s="31">
        <v>44256</v>
      </c>
      <c r="W3" s="31">
        <v>44287</v>
      </c>
      <c r="X3" s="31">
        <v>44317</v>
      </c>
      <c r="Y3" s="31">
        <v>44348</v>
      </c>
      <c r="Z3" s="31">
        <v>44378</v>
      </c>
      <c r="AA3" s="31">
        <v>44409</v>
      </c>
      <c r="AB3" s="31">
        <v>44440</v>
      </c>
      <c r="AC3" s="31">
        <v>44470</v>
      </c>
      <c r="AD3" s="31">
        <v>44501</v>
      </c>
      <c r="AE3" s="31">
        <v>44531</v>
      </c>
      <c r="AF3" s="1" t="s">
        <v>103</v>
      </c>
      <c r="AG3" s="273">
        <v>44562</v>
      </c>
      <c r="AH3" s="273">
        <v>44593</v>
      </c>
      <c r="AI3" s="273">
        <v>44621</v>
      </c>
      <c r="AJ3" s="273">
        <v>44652</v>
      </c>
      <c r="AK3" s="273">
        <v>44682</v>
      </c>
      <c r="AL3" s="273">
        <v>44713</v>
      </c>
      <c r="AM3" s="273">
        <v>44743</v>
      </c>
      <c r="AN3" s="273">
        <v>44774</v>
      </c>
      <c r="AO3" s="273">
        <v>44805</v>
      </c>
      <c r="AP3" s="273">
        <v>44835</v>
      </c>
      <c r="AQ3" s="273">
        <v>44866</v>
      </c>
      <c r="AR3" s="273">
        <v>44896</v>
      </c>
      <c r="AS3" s="273" t="s">
        <v>104</v>
      </c>
      <c r="AT3" s="273">
        <v>44958</v>
      </c>
      <c r="AU3" s="273">
        <v>44986</v>
      </c>
      <c r="AV3" s="273">
        <v>45017</v>
      </c>
      <c r="AW3" s="273">
        <v>45047</v>
      </c>
      <c r="AX3" s="273">
        <v>45078</v>
      </c>
      <c r="AY3" s="273">
        <v>45108</v>
      </c>
      <c r="AZ3" s="273">
        <v>45139</v>
      </c>
      <c r="BA3" s="273">
        <v>45170</v>
      </c>
      <c r="BB3" s="273">
        <v>45200</v>
      </c>
    </row>
    <row r="4" spans="1:54">
      <c r="A4" s="5"/>
      <c r="B4" s="30" t="s">
        <v>105</v>
      </c>
      <c r="C4" s="30"/>
      <c r="D4" s="28">
        <v>5832</v>
      </c>
      <c r="E4" s="28">
        <v>6054</v>
      </c>
      <c r="F4" s="28">
        <v>6290</v>
      </c>
      <c r="G4" s="31"/>
      <c r="H4" s="31"/>
      <c r="I4" s="31"/>
      <c r="J4" s="31"/>
      <c r="K4" s="31"/>
      <c r="L4" s="31"/>
      <c r="M4" s="31"/>
      <c r="N4" s="31"/>
      <c r="O4" s="32"/>
      <c r="P4" s="32"/>
      <c r="Q4" s="32"/>
      <c r="R4" s="78">
        <v>6599</v>
      </c>
      <c r="S4" s="78">
        <v>6600</v>
      </c>
      <c r="T4" s="78">
        <v>6601</v>
      </c>
      <c r="U4" s="78">
        <v>6602</v>
      </c>
      <c r="V4" s="78">
        <v>6603</v>
      </c>
      <c r="W4" s="78">
        <v>6604</v>
      </c>
      <c r="X4" s="78">
        <v>6605</v>
      </c>
      <c r="Y4" s="78">
        <v>6606</v>
      </c>
      <c r="Z4" s="78">
        <v>6607</v>
      </c>
      <c r="AA4" s="78">
        <v>6608</v>
      </c>
      <c r="AB4" s="78">
        <v>6609</v>
      </c>
      <c r="AC4" s="78">
        <v>6610</v>
      </c>
      <c r="AD4" s="78">
        <v>6611</v>
      </c>
      <c r="AE4" s="78">
        <v>6612</v>
      </c>
      <c r="AF4" s="78">
        <v>6613</v>
      </c>
      <c r="AG4" s="78">
        <v>6614</v>
      </c>
      <c r="AH4" s="78">
        <v>6615</v>
      </c>
      <c r="AI4" s="78">
        <v>6616</v>
      </c>
      <c r="AJ4" s="78">
        <v>6617</v>
      </c>
      <c r="AK4" s="78">
        <v>6618</v>
      </c>
      <c r="AL4" s="78">
        <v>6619</v>
      </c>
      <c r="AM4" s="78">
        <v>6620</v>
      </c>
      <c r="AN4" s="78">
        <v>6621</v>
      </c>
      <c r="AO4" s="78">
        <v>6622</v>
      </c>
      <c r="AP4" s="78">
        <v>6623</v>
      </c>
      <c r="AQ4" s="78">
        <v>6624</v>
      </c>
      <c r="AR4" s="78">
        <v>6625</v>
      </c>
      <c r="AS4" s="78">
        <v>6626</v>
      </c>
      <c r="AT4" s="78">
        <v>6627</v>
      </c>
      <c r="AU4" s="78">
        <v>6628</v>
      </c>
      <c r="AV4" s="78">
        <v>6629</v>
      </c>
      <c r="AW4" s="78">
        <v>6630</v>
      </c>
      <c r="AX4" s="78">
        <v>6631</v>
      </c>
      <c r="AY4" s="78">
        <v>6632</v>
      </c>
      <c r="AZ4" s="78">
        <v>6633</v>
      </c>
    </row>
    <row r="5" spans="1:54">
      <c r="A5" s="5">
        <v>2</v>
      </c>
      <c r="B5" s="6" t="s">
        <v>32</v>
      </c>
      <c r="C5" s="27">
        <f>Trend!C32</f>
        <v>190156140</v>
      </c>
      <c r="D5" s="27">
        <f>Trend!D32</f>
        <v>198783077.02700001</v>
      </c>
      <c r="E5" s="27">
        <f>Trend!E32</f>
        <v>215833396</v>
      </c>
      <c r="F5" s="27">
        <f>Trend!F32</f>
        <v>246382881</v>
      </c>
      <c r="G5" s="27">
        <f>Trend!G32</f>
        <v>241169670.75999999</v>
      </c>
      <c r="H5" s="27">
        <f>Trend!H32</f>
        <v>235106280.50999999</v>
      </c>
      <c r="I5" s="27">
        <f>Trend!I32</f>
        <v>247399069.65000001</v>
      </c>
      <c r="J5" s="27">
        <f>Trend!J32</f>
        <v>238144117.21000001</v>
      </c>
      <c r="K5" s="27">
        <f>Trend!K32</f>
        <v>237334643.60999998</v>
      </c>
      <c r="L5" s="27">
        <f>Trend!L32</f>
        <v>235974681.63</v>
      </c>
      <c r="M5" s="27">
        <f>Trend!M32</f>
        <v>239022432.88286489</v>
      </c>
      <c r="N5" s="27">
        <f>Trend!N32</f>
        <v>241421406.00999999</v>
      </c>
      <c r="O5" s="27">
        <f>Trend!O32</f>
        <v>253306280.16</v>
      </c>
      <c r="P5" s="27">
        <f>Trend!P32</f>
        <v>254121880.01999998</v>
      </c>
      <c r="Q5" s="27">
        <f>Trend!Q32</f>
        <v>261717039.83000001</v>
      </c>
      <c r="R5" s="27">
        <f>Trend!R32</f>
        <v>258809980.40000001</v>
      </c>
      <c r="S5" s="27">
        <f>Trend!S32</f>
        <v>214760602.05939996</v>
      </c>
      <c r="T5" s="27">
        <f>Trend!T32</f>
        <v>276480109.47000003</v>
      </c>
      <c r="U5" s="27">
        <f>Trend!U32</f>
        <v>229304458.38999999</v>
      </c>
      <c r="V5" s="27">
        <f>Trend!V32</f>
        <v>228452224.63999999</v>
      </c>
      <c r="W5" s="27">
        <f>Trend!W32</f>
        <v>226247850.81999999</v>
      </c>
      <c r="X5" s="27">
        <f>Trend!X32</f>
        <v>221523819.13</v>
      </c>
      <c r="Y5" s="27">
        <f>Trend!Y32</f>
        <v>217359254.29000002</v>
      </c>
      <c r="Z5" s="27">
        <f>Trend!Z32</f>
        <v>227393722.24000001</v>
      </c>
      <c r="AA5" s="27">
        <f>Trend!AA32</f>
        <v>223067300.72999999</v>
      </c>
      <c r="AB5" s="27">
        <f>Trend!AB32</f>
        <v>222469491.94999999</v>
      </c>
      <c r="AC5" s="27">
        <f>Trend!AC32</f>
        <v>225780591.34</v>
      </c>
      <c r="AD5" s="27">
        <f>Trend!AD32</f>
        <v>244464301.06</v>
      </c>
      <c r="AE5" s="27">
        <f>Trend!AE32</f>
        <v>225346583.75999999</v>
      </c>
      <c r="AF5" s="27">
        <f>Trend!AF32</f>
        <v>225456536</v>
      </c>
      <c r="AG5" s="27">
        <f>Trend!AG32</f>
        <v>228904850.47999999</v>
      </c>
      <c r="AH5" s="27">
        <f>Trend!AH32</f>
        <v>213366469.44</v>
      </c>
      <c r="AI5" s="27">
        <f>Trend!AI32</f>
        <v>220065581.89999998</v>
      </c>
      <c r="AJ5" s="27">
        <f>Trend!AJ32</f>
        <v>222975136.74000001</v>
      </c>
      <c r="AK5" s="27">
        <f>Trend!AK32</f>
        <v>220638406.18000001</v>
      </c>
      <c r="AL5" s="27">
        <f>Trend!AL32</f>
        <v>225562012.25</v>
      </c>
      <c r="AM5" s="27">
        <f>Trend!AM32</f>
        <v>225963882.37</v>
      </c>
      <c r="AN5" s="27">
        <f>Trend!AN32</f>
        <v>227978401.35000002</v>
      </c>
      <c r="AO5" s="27">
        <f>Trend!AO32</f>
        <v>231316685.86000001</v>
      </c>
      <c r="AP5" s="27">
        <f>Trend!AP32</f>
        <v>236188251.51000002</v>
      </c>
      <c r="AQ5" s="27">
        <f>Trend!AQ32</f>
        <v>235863068</v>
      </c>
      <c r="AR5" s="27">
        <f>Trend!AR32</f>
        <v>235669107.52000001</v>
      </c>
      <c r="AS5" s="27">
        <f>Trend!AS32</f>
        <v>235764693</v>
      </c>
      <c r="AT5" s="27" t="e">
        <f>Trend!AT32</f>
        <v>#REF!</v>
      </c>
      <c r="AU5" s="27" t="e">
        <f>Trend!AU32</f>
        <v>#REF!</v>
      </c>
      <c r="AV5" s="27" t="e">
        <f>Trend!AV32</f>
        <v>#REF!</v>
      </c>
      <c r="AW5" s="27" t="e">
        <f>Trend!AW32</f>
        <v>#REF!</v>
      </c>
      <c r="AX5" s="27" t="e">
        <f>Trend!AX32</f>
        <v>#REF!</v>
      </c>
      <c r="AY5" s="27" t="e">
        <f>Trend!AY32</f>
        <v>#REF!</v>
      </c>
      <c r="AZ5" s="27" t="e">
        <f>Trend!AZ32</f>
        <v>#REF!</v>
      </c>
    </row>
    <row r="6" spans="1:54">
      <c r="A6" s="5">
        <v>3</v>
      </c>
      <c r="B6" s="6" t="s">
        <v>106</v>
      </c>
      <c r="C6" s="27">
        <f>Trend!C38</f>
        <v>103264095</v>
      </c>
      <c r="D6" s="27">
        <f>Trend!D38</f>
        <v>107547774</v>
      </c>
      <c r="E6" s="27">
        <f>Trend!E38</f>
        <v>122123986</v>
      </c>
      <c r="F6" s="27">
        <f>Trend!F38</f>
        <v>133248670</v>
      </c>
      <c r="G6" s="27">
        <f>Trend!G38</f>
        <v>130402071</v>
      </c>
      <c r="H6" s="27">
        <f>Trend!H38</f>
        <v>129785944</v>
      </c>
      <c r="I6" s="27">
        <f>Trend!I38</f>
        <v>130844408</v>
      </c>
      <c r="J6" s="27">
        <f>Trend!J38</f>
        <v>132110962</v>
      </c>
      <c r="K6" s="27">
        <f>Trend!K38</f>
        <v>138024691</v>
      </c>
      <c r="L6" s="27">
        <f>Trend!L38</f>
        <v>139569680</v>
      </c>
      <c r="M6" s="27">
        <f>Trend!M38</f>
        <v>141738995.25749999</v>
      </c>
      <c r="N6" s="27">
        <f>Trend!N38</f>
        <v>143045312</v>
      </c>
      <c r="O6" s="27">
        <f>Trend!O38</f>
        <v>146122909</v>
      </c>
      <c r="P6" s="27">
        <f>Trend!P38</f>
        <v>146646874</v>
      </c>
      <c r="Q6" s="27">
        <f>Trend!Q38</f>
        <v>154123858</v>
      </c>
      <c r="R6" s="27">
        <f>Trend!R38</f>
        <v>154358421</v>
      </c>
      <c r="S6" s="27">
        <f>Trend!S38</f>
        <v>154358421</v>
      </c>
      <c r="T6" s="27">
        <f>Trend!T38</f>
        <v>154157099</v>
      </c>
      <c r="U6" s="27">
        <f>Trend!U38</f>
        <v>154931649</v>
      </c>
      <c r="V6" s="27">
        <f>Trend!V38</f>
        <v>166381396</v>
      </c>
      <c r="W6" s="27">
        <f>Trend!W38</f>
        <v>156957172</v>
      </c>
      <c r="X6" s="27">
        <f>Trend!X38</f>
        <v>157923470</v>
      </c>
      <c r="Y6" s="27">
        <f>Trend!Y38</f>
        <v>156893830</v>
      </c>
      <c r="Z6" s="27">
        <f>Trend!Z38</f>
        <v>160245715</v>
      </c>
      <c r="AA6" s="27">
        <f>Trend!AA38</f>
        <v>161230055</v>
      </c>
      <c r="AB6" s="27">
        <f>Trend!AB38</f>
        <v>157508561</v>
      </c>
      <c r="AC6" s="27">
        <f>Trend!AC38</f>
        <v>157794912</v>
      </c>
      <c r="AD6" s="27">
        <f>Trend!AD38</f>
        <v>157216030</v>
      </c>
      <c r="AE6" s="27">
        <f>Trend!AE38</f>
        <v>161519694</v>
      </c>
      <c r="AF6" s="27">
        <f>Trend!AF38</f>
        <v>161523112</v>
      </c>
      <c r="AG6" s="27">
        <f>Trend!AG38</f>
        <v>162327692</v>
      </c>
      <c r="AH6" s="27">
        <f>Trend!AH38</f>
        <v>165343756</v>
      </c>
      <c r="AI6" s="27">
        <f>Trend!AI38</f>
        <v>170082101</v>
      </c>
      <c r="AJ6" s="27">
        <f>Trend!AJ38</f>
        <v>171511321</v>
      </c>
      <c r="AK6" s="27">
        <f>Trend!AK38</f>
        <v>170389586</v>
      </c>
      <c r="AL6" s="27">
        <f>Trend!AL38</f>
        <v>170312627</v>
      </c>
      <c r="AM6" s="27">
        <f>Trend!AM38</f>
        <v>168608361</v>
      </c>
      <c r="AN6" s="27">
        <f>Trend!AN38</f>
        <v>170965133</v>
      </c>
      <c r="AO6" s="27">
        <f>Trend!AO38</f>
        <v>171635440</v>
      </c>
      <c r="AP6" s="27">
        <f>Trend!AP38</f>
        <v>174848054</v>
      </c>
      <c r="AQ6" s="27">
        <f>Trend!AQ38</f>
        <v>172913092</v>
      </c>
      <c r="AR6" s="27">
        <f>Trend!AR38</f>
        <v>173095130</v>
      </c>
      <c r="AS6" s="27">
        <f>Trend!AS38</f>
        <v>173051913</v>
      </c>
      <c r="AT6" s="27">
        <f>Trend!AT38</f>
        <v>0</v>
      </c>
      <c r="AU6" s="27">
        <f>Trend!AU38</f>
        <v>0</v>
      </c>
      <c r="AV6" s="27">
        <f>Trend!AV38</f>
        <v>0</v>
      </c>
      <c r="AW6" s="27">
        <f>Trend!AW38</f>
        <v>0</v>
      </c>
      <c r="AX6" s="27">
        <f>Trend!AX38</f>
        <v>0</v>
      </c>
      <c r="AY6" s="27">
        <f>Trend!AY38</f>
        <v>0</v>
      </c>
      <c r="AZ6" s="27">
        <f>Trend!AZ38</f>
        <v>0</v>
      </c>
    </row>
    <row r="7" spans="1:54">
      <c r="A7" s="5">
        <v>3.1</v>
      </c>
      <c r="B7" s="7" t="s">
        <v>107</v>
      </c>
      <c r="C7" s="27">
        <f>Trend!C37</f>
        <v>93532161</v>
      </c>
      <c r="D7" s="27">
        <f>Trend!D37</f>
        <v>98991963</v>
      </c>
      <c r="E7" s="27">
        <f>Trend!E37</f>
        <v>109828204</v>
      </c>
      <c r="F7" s="27">
        <f>Trend!F37</f>
        <v>116729770</v>
      </c>
      <c r="G7" s="27">
        <f>Trend!G37</f>
        <v>117465834</v>
      </c>
      <c r="H7" s="27">
        <f>Trend!H37</f>
        <v>118247917</v>
      </c>
      <c r="I7" s="27">
        <f>Trend!I37</f>
        <v>119559661</v>
      </c>
      <c r="J7" s="27">
        <f>Trend!J37</f>
        <v>120700906</v>
      </c>
      <c r="K7" s="27">
        <f>Trend!K37</f>
        <v>122212542</v>
      </c>
      <c r="L7" s="27">
        <f>Trend!L37</f>
        <v>124213870</v>
      </c>
      <c r="M7" s="27">
        <f>Trend!M37</f>
        <v>126262954.58569999</v>
      </c>
      <c r="N7" s="27">
        <f>Trend!N37</f>
        <v>128279307</v>
      </c>
      <c r="O7" s="27">
        <f>Trend!O37</f>
        <v>130016226</v>
      </c>
      <c r="P7" s="27">
        <f>Trend!P37</f>
        <v>131724520</v>
      </c>
      <c r="Q7" s="27">
        <f>Trend!Q37</f>
        <v>133734795</v>
      </c>
      <c r="R7" s="27">
        <f>Trend!R37</f>
        <v>135994936</v>
      </c>
      <c r="S7" s="27">
        <f>Trend!S37</f>
        <v>135994936</v>
      </c>
      <c r="T7" s="27">
        <f>Trend!T37</f>
        <v>136653263</v>
      </c>
      <c r="U7" s="27">
        <f>Trend!U37</f>
        <v>137537284</v>
      </c>
      <c r="V7" s="27">
        <f>Trend!V37</f>
        <v>139195096</v>
      </c>
      <c r="W7" s="27">
        <f>Trend!W37</f>
        <v>140475752</v>
      </c>
      <c r="X7" s="27">
        <f>Trend!X37</f>
        <v>141528870</v>
      </c>
      <c r="Y7" s="27">
        <f>Trend!Y37</f>
        <v>141453588</v>
      </c>
      <c r="Z7" s="27">
        <f>Trend!Z37</f>
        <v>142098601</v>
      </c>
      <c r="AA7" s="27">
        <f>Trend!AA37</f>
        <v>142486180</v>
      </c>
      <c r="AB7" s="27">
        <f>Trend!AB37</f>
        <v>143168702</v>
      </c>
      <c r="AC7" s="27">
        <f>Trend!AC37</f>
        <v>143994254</v>
      </c>
      <c r="AD7" s="27">
        <f>Trend!AD37</f>
        <v>143554875</v>
      </c>
      <c r="AE7" s="27">
        <f>Trend!AE37</f>
        <v>146927870</v>
      </c>
      <c r="AF7" s="27">
        <f>Trend!AF37</f>
        <v>146924536</v>
      </c>
      <c r="AG7" s="27">
        <f>Trend!AG37</f>
        <v>147221478</v>
      </c>
      <c r="AH7" s="27">
        <f>Trend!AH37</f>
        <v>148468081</v>
      </c>
      <c r="AI7" s="27">
        <f>Trend!AI37</f>
        <v>150105966</v>
      </c>
      <c r="AJ7" s="27">
        <f>Trend!AJ37</f>
        <v>151905118</v>
      </c>
      <c r="AK7" s="27">
        <f>Trend!AK37</f>
        <v>152648620</v>
      </c>
      <c r="AL7" s="27">
        <f>Trend!AL37</f>
        <v>152865832</v>
      </c>
      <c r="AM7" s="27">
        <f>Trend!AM37</f>
        <v>153860576</v>
      </c>
      <c r="AN7" s="27">
        <f>Trend!AN37</f>
        <v>154727604</v>
      </c>
      <c r="AO7" s="27">
        <f>Trend!AO37</f>
        <v>155462672</v>
      </c>
      <c r="AP7" s="27">
        <f>Trend!AP37</f>
        <v>158029895</v>
      </c>
      <c r="AQ7" s="27">
        <f>Trend!AQ37</f>
        <v>156535062</v>
      </c>
      <c r="AR7" s="27">
        <f>Trend!AR37</f>
        <v>157906218</v>
      </c>
      <c r="AS7" s="27">
        <f>Trend!AS37</f>
        <v>157906218</v>
      </c>
      <c r="AT7" s="27">
        <f>Trend!AT37</f>
        <v>0</v>
      </c>
      <c r="AU7" s="27">
        <f>Trend!AU37</f>
        <v>0</v>
      </c>
      <c r="AV7" s="27">
        <f>Trend!AV37</f>
        <v>0</v>
      </c>
      <c r="AW7" s="27">
        <f>Trend!AW37</f>
        <v>0</v>
      </c>
      <c r="AX7" s="27">
        <f>Trend!AX37</f>
        <v>0</v>
      </c>
      <c r="AY7" s="27">
        <f>Trend!AY37</f>
        <v>0</v>
      </c>
      <c r="AZ7" s="27">
        <f>Trend!AZ37</f>
        <v>0</v>
      </c>
    </row>
    <row r="8" spans="1:54">
      <c r="A8" s="5">
        <v>3.2</v>
      </c>
      <c r="B8" s="7" t="s">
        <v>108</v>
      </c>
      <c r="C8" s="27">
        <f>Trend!C35+Trend!C36</f>
        <v>9731934</v>
      </c>
      <c r="D8" s="27">
        <f>Trend!D35+Trend!D36</f>
        <v>8555811</v>
      </c>
      <c r="E8" s="27">
        <f>Trend!E35+Trend!E36</f>
        <v>12295782</v>
      </c>
      <c r="F8" s="27">
        <f>Trend!F35+Trend!F36</f>
        <v>16518900</v>
      </c>
      <c r="G8" s="27">
        <f>Trend!G35+Trend!G36</f>
        <v>12936237</v>
      </c>
      <c r="H8" s="27">
        <f>Trend!H35+Trend!H36</f>
        <v>11538027</v>
      </c>
      <c r="I8" s="27">
        <f>Trend!I35+Trend!I36</f>
        <v>11284747</v>
      </c>
      <c r="J8" s="27">
        <f>Trend!J35+Trend!J36</f>
        <v>11410056</v>
      </c>
      <c r="K8" s="27">
        <f>Trend!K35+Trend!K36</f>
        <v>15812149</v>
      </c>
      <c r="L8" s="27">
        <f>Trend!L35+Trend!L36</f>
        <v>15355810</v>
      </c>
      <c r="M8" s="27">
        <f>Trend!M35+Trend!M36</f>
        <v>15476040.671800008</v>
      </c>
      <c r="N8" s="27">
        <f>Trend!N35+Trend!N36</f>
        <v>14766005</v>
      </c>
      <c r="O8" s="27">
        <f>Trend!O35+Trend!O36</f>
        <v>16106683</v>
      </c>
      <c r="P8" s="27">
        <f>Trend!P35+Trend!P36</f>
        <v>14922354</v>
      </c>
      <c r="Q8" s="27">
        <f>Trend!Q35+Trend!Q36</f>
        <v>20389063</v>
      </c>
      <c r="R8" s="27">
        <f>Trend!R35+Trend!R36</f>
        <v>18363485</v>
      </c>
      <c r="S8" s="27">
        <f>Trend!S35+Trend!S36</f>
        <v>18363485</v>
      </c>
      <c r="T8" s="27">
        <f>Trend!T35+Trend!T36</f>
        <v>17503836</v>
      </c>
      <c r="U8" s="27">
        <f>Trend!U35+Trend!U36</f>
        <v>17394365</v>
      </c>
      <c r="V8" s="27">
        <f>Trend!V35+Trend!V36</f>
        <v>27186300</v>
      </c>
      <c r="W8" s="27">
        <f>Trend!W35+Trend!W36</f>
        <v>16481420</v>
      </c>
      <c r="X8" s="27">
        <f>Trend!X35+Trend!X36</f>
        <v>16394600</v>
      </c>
      <c r="Y8" s="27">
        <f>Trend!Y35+Trend!Y36</f>
        <v>15440242</v>
      </c>
      <c r="Z8" s="27">
        <f>Trend!Z35+Trend!Z36</f>
        <v>18147114</v>
      </c>
      <c r="AA8" s="27">
        <f>Trend!AA35+Trend!AA36</f>
        <v>18743875</v>
      </c>
      <c r="AB8" s="27">
        <f>Trend!AB35+Trend!AB36</f>
        <v>14339859</v>
      </c>
      <c r="AC8" s="27">
        <f>Trend!AC35+Trend!AC36</f>
        <v>13800658</v>
      </c>
      <c r="AD8" s="27">
        <f>Trend!AD35+Trend!AD36</f>
        <v>13661155</v>
      </c>
      <c r="AE8" s="27">
        <f>Trend!AE35+Trend!AE36</f>
        <v>14591824</v>
      </c>
      <c r="AF8" s="27">
        <f>Trend!AF35+Trend!AF36</f>
        <v>14598576</v>
      </c>
      <c r="AG8" s="27">
        <f>Trend!AG35+Trend!AG36</f>
        <v>15106214</v>
      </c>
      <c r="AH8" s="27">
        <f>Trend!AH35+Trend!AH36</f>
        <v>16875675</v>
      </c>
      <c r="AI8" s="27">
        <f>Trend!AI35+Trend!AI36</f>
        <v>19976135</v>
      </c>
      <c r="AJ8" s="27">
        <f>Trend!AJ35+Trend!AJ36</f>
        <v>19606203</v>
      </c>
      <c r="AK8" s="27">
        <f>Trend!AK35+Trend!AK36</f>
        <v>17740966</v>
      </c>
      <c r="AL8" s="27">
        <f>Trend!AL35+Trend!AL36</f>
        <v>17446795</v>
      </c>
      <c r="AM8" s="27">
        <f>Trend!AM35+Trend!AM36</f>
        <v>14747785</v>
      </c>
      <c r="AN8" s="27">
        <f>Trend!AN35+Trend!AN36</f>
        <v>16237529</v>
      </c>
      <c r="AO8" s="27">
        <f>Trend!AO35+Trend!AO36</f>
        <v>16172768</v>
      </c>
      <c r="AP8" s="27">
        <f>Trend!AP35+Trend!AP36</f>
        <v>16818159</v>
      </c>
      <c r="AQ8" s="27">
        <f>Trend!AQ35+Trend!AQ36</f>
        <v>16378030</v>
      </c>
      <c r="AR8" s="27">
        <f>Trend!AR35+Trend!AR36</f>
        <v>15188912</v>
      </c>
      <c r="AS8" s="27">
        <f>Trend!AS35+Trend!AS36</f>
        <v>15145695</v>
      </c>
      <c r="AT8" s="27">
        <f>Trend!AT35+Trend!AT36</f>
        <v>0</v>
      </c>
      <c r="AU8" s="27">
        <f>Trend!AU35+Trend!AU36</f>
        <v>0</v>
      </c>
      <c r="AV8" s="27">
        <f>Trend!AV35+Trend!AV36</f>
        <v>0</v>
      </c>
      <c r="AW8" s="27">
        <f>Trend!AW35+Trend!AW36</f>
        <v>0</v>
      </c>
      <c r="AX8" s="27">
        <f>Trend!AX35+Trend!AX36</f>
        <v>0</v>
      </c>
      <c r="AY8" s="27">
        <f>Trend!AY35+Trend!AY36</f>
        <v>0</v>
      </c>
      <c r="AZ8" s="27">
        <f>Trend!AZ35+Trend!AZ36</f>
        <v>0</v>
      </c>
    </row>
    <row r="9" spans="1:54">
      <c r="A9" s="5">
        <v>4</v>
      </c>
      <c r="B9" s="6" t="s">
        <v>109</v>
      </c>
      <c r="C9" s="28">
        <f>Trend!C46</f>
        <v>7000000</v>
      </c>
      <c r="D9" s="28">
        <f>Trend!D46</f>
        <v>0</v>
      </c>
      <c r="E9" s="28">
        <f>Trend!E46</f>
        <v>0</v>
      </c>
      <c r="F9" s="28">
        <f>Trend!F46</f>
        <v>12000000</v>
      </c>
      <c r="G9" s="28">
        <f>Trend!G46</f>
        <v>7918795</v>
      </c>
      <c r="H9" s="28">
        <f>Trend!H46</f>
        <v>3830466</v>
      </c>
      <c r="I9" s="28">
        <f>Trend!I46</f>
        <v>12000000</v>
      </c>
      <c r="J9" s="28">
        <f>Trend!J46</f>
        <v>7878951</v>
      </c>
      <c r="K9" s="28">
        <f>Trend!K46</f>
        <v>3717277</v>
      </c>
      <c r="L9" s="28">
        <f>Trend!L46</f>
        <v>0</v>
      </c>
      <c r="M9" s="28">
        <f>Trend!M46</f>
        <v>0</v>
      </c>
      <c r="N9" s="28">
        <f>Trend!N46</f>
        <v>0</v>
      </c>
      <c r="O9" s="28">
        <f>Trend!O46</f>
        <v>8000000</v>
      </c>
      <c r="P9" s="28">
        <f>Trend!P46</f>
        <v>5270648</v>
      </c>
      <c r="Q9" s="28">
        <f>Trend!Q46</f>
        <v>2544373</v>
      </c>
      <c r="R9" s="28">
        <f>Trend!R46</f>
        <v>0</v>
      </c>
      <c r="S9" s="28">
        <f>Trend!S46</f>
        <v>0</v>
      </c>
      <c r="T9" s="28">
        <f>Trend!T46</f>
        <v>12000000</v>
      </c>
      <c r="U9" s="28">
        <f>Trend!U46</f>
        <v>7858959</v>
      </c>
      <c r="V9" s="28">
        <f>Trend!V46</f>
        <v>12000000</v>
      </c>
      <c r="W9" s="28">
        <f>Trend!W46</f>
        <v>12000000</v>
      </c>
      <c r="X9" s="28">
        <f>Trend!X46</f>
        <v>7829041</v>
      </c>
      <c r="Y9" s="28">
        <f>Trend!Y46</f>
        <v>4042740</v>
      </c>
      <c r="Z9" s="28">
        <f>Trend!Z46</f>
        <v>12000000</v>
      </c>
      <c r="AA9" s="28">
        <f>Trend!AA46</f>
        <v>7914521</v>
      </c>
      <c r="AB9" s="28">
        <f>Trend!AB46</f>
        <v>8000000</v>
      </c>
      <c r="AC9" s="28">
        <f>Trend!AC46</f>
        <v>8000000</v>
      </c>
      <c r="AD9" s="28">
        <f>Trend!AD46</f>
        <v>5227909</v>
      </c>
      <c r="AE9" s="28">
        <f>Trend!AE46</f>
        <v>2504256</v>
      </c>
      <c r="AF9" s="28">
        <f>Trend!AF46</f>
        <v>2504256</v>
      </c>
      <c r="AG9" s="28">
        <f>Trend!AG46</f>
        <v>0</v>
      </c>
      <c r="AH9" s="28">
        <f>Trend!AH46</f>
        <v>0</v>
      </c>
      <c r="AI9" s="28">
        <f>Trend!AI46</f>
        <v>0</v>
      </c>
      <c r="AJ9" s="28">
        <f>Trend!AJ46</f>
        <v>0</v>
      </c>
      <c r="AK9" s="28">
        <f>Trend!AK46</f>
        <v>0</v>
      </c>
      <c r="AL9" s="28">
        <f>Trend!AL46</f>
        <v>0</v>
      </c>
      <c r="AM9" s="28">
        <f>Trend!AM46</f>
        <v>0</v>
      </c>
      <c r="AN9" s="28">
        <f>Trend!AN46</f>
        <v>0</v>
      </c>
      <c r="AO9" s="28">
        <f>Trend!AO46</f>
        <v>0</v>
      </c>
      <c r="AP9" s="28">
        <f>Trend!AP46</f>
        <v>0</v>
      </c>
      <c r="AQ9" s="28">
        <f>Trend!AQ46</f>
        <v>0</v>
      </c>
      <c r="AR9" s="28">
        <f>Trend!AR46</f>
        <v>0</v>
      </c>
      <c r="AS9" s="28">
        <f>Trend!AS46</f>
        <v>0</v>
      </c>
      <c r="AT9" s="28">
        <f>Trend!AT46</f>
        <v>0</v>
      </c>
      <c r="AU9" s="28">
        <f>Trend!AU46</f>
        <v>0</v>
      </c>
      <c r="AV9" s="28">
        <f>Trend!AV46</f>
        <v>0</v>
      </c>
      <c r="AW9" s="28">
        <f>Trend!AW46</f>
        <v>0</v>
      </c>
      <c r="AX9" s="28">
        <f>Trend!AX46</f>
        <v>0</v>
      </c>
      <c r="AY9" s="28">
        <f>Trend!AY46</f>
        <v>0</v>
      </c>
      <c r="AZ9" s="28">
        <f>Trend!AZ46</f>
        <v>0</v>
      </c>
    </row>
    <row r="10" spans="1:54" s="39" customFormat="1" ht="12.95" thickBot="1">
      <c r="A10" s="36">
        <v>4.0999999999999996</v>
      </c>
      <c r="B10" s="37" t="s">
        <v>110</v>
      </c>
      <c r="C10" s="38">
        <f>Trend!C41+Trend!C42+Trend!C43+Trend!C45</f>
        <v>18491076</v>
      </c>
      <c r="D10" s="38">
        <f>Trend!D41+Trend!D42+Trend!D43+Trend!D45</f>
        <v>19847333</v>
      </c>
      <c r="E10" s="38">
        <f>Trend!E41+Trend!E42+Trend!E43+Trend!E45</f>
        <v>19699370</v>
      </c>
      <c r="F10" s="38">
        <f>Trend!F41+Trend!F42+Trend!F43+Trend!F45</f>
        <v>26082276</v>
      </c>
      <c r="G10" s="38">
        <f>Trend!G41+Trend!G42+Trend!G43+Trend!G45</f>
        <v>28238581</v>
      </c>
      <c r="H10" s="38">
        <f>Trend!H41+Trend!H42+Trend!H43+Trend!H45</f>
        <v>27574160</v>
      </c>
      <c r="I10" s="38">
        <f>Trend!I41+Trend!I42+Trend!I43+Trend!I45</f>
        <v>30591870</v>
      </c>
      <c r="J10" s="38">
        <f>Trend!J41+Trend!J42+Trend!J43+Trend!J45</f>
        <v>24275466</v>
      </c>
      <c r="K10" s="38">
        <f>Trend!K41+Trend!K42+Trend!K43+Trend!K45</f>
        <v>21054483</v>
      </c>
      <c r="L10" s="38">
        <f>Trend!L41+Trend!L42+Trend!L43+Trend!L45</f>
        <v>21188898</v>
      </c>
      <c r="M10" s="38">
        <f>Trend!M41+Trend!M42+Trend!M43+Trend!M45</f>
        <v>21177451.677155413</v>
      </c>
      <c r="N10" s="38">
        <f>Trend!N41+Trend!N42+Trend!N43+Trend!N45</f>
        <v>21688671</v>
      </c>
      <c r="O10" s="38">
        <f>Trend!O41+Trend!O42+Trend!O43+Trend!O45</f>
        <v>21589025</v>
      </c>
      <c r="P10" s="38">
        <f>Trend!P41+Trend!P42+Trend!P43+Trend!P45</f>
        <v>23631925</v>
      </c>
      <c r="Q10" s="38">
        <f>Trend!Q41+Trend!Q42+Trend!Q43+Trend!Q45</f>
        <v>25711257</v>
      </c>
      <c r="R10" s="38">
        <f>Trend!R41+Trend!R42+Trend!R43+Trend!R45</f>
        <v>26166271</v>
      </c>
      <c r="S10" s="38">
        <f>Trend!S41+Trend!S42+Trend!S43+Trend!S45</f>
        <v>26166271</v>
      </c>
      <c r="T10" s="38">
        <f>Trend!T41+Trend!T42+Trend!T43+Trend!T45</f>
        <v>32792538</v>
      </c>
      <c r="U10" s="38">
        <f>Trend!U41+Trend!U42+Trend!U43+Trend!U45</f>
        <v>32370876</v>
      </c>
      <c r="V10" s="38">
        <f>Trend!V41+Trend!V42+Trend!V43+Trend!V45</f>
        <v>15648444</v>
      </c>
      <c r="W10" s="38">
        <f>Trend!W41+Trend!W42+Trend!W43+Trend!W45</f>
        <v>19182796</v>
      </c>
      <c r="X10" s="38">
        <f>Trend!X41+Trend!X42+Trend!X43+Trend!X45</f>
        <v>17715575</v>
      </c>
      <c r="Y10" s="38">
        <f>Trend!Y41+Trend!Y42+Trend!Y43+Trend!Y45</f>
        <v>18222067</v>
      </c>
      <c r="Z10" s="38">
        <f>Trend!Z41+Trend!Z42+Trend!Z43+Trend!Z45</f>
        <v>17286390</v>
      </c>
      <c r="AA10" s="38">
        <f>Trend!AA41+Trend!AA42+Trend!AA43+Trend!AA45</f>
        <v>15888383</v>
      </c>
      <c r="AB10" s="38">
        <f>Trend!AB41+Trend!AB42+Trend!AB43+Trend!AB45</f>
        <v>19457479</v>
      </c>
      <c r="AC10" s="38">
        <f>Trend!AC41+Trend!AC42+Trend!AC43+Trend!AC45</f>
        <v>23330246</v>
      </c>
      <c r="AD10" s="38">
        <f>Trend!AD41+Trend!AD42+Trend!AD43+Trend!AD45</f>
        <v>44864175</v>
      </c>
      <c r="AE10" s="38">
        <f>Trend!AE41+Trend!AE42+Trend!AE43+Trend!AE45</f>
        <v>23897637</v>
      </c>
      <c r="AF10" s="38">
        <f>Trend!AF41+Trend!AF42+Trend!AF43+Trend!AF45</f>
        <v>26053989</v>
      </c>
      <c r="AG10" s="38">
        <f>Trend!AG41+Trend!AG42+Trend!AG43+Trend!AG45</f>
        <v>28485410</v>
      </c>
      <c r="AH10" s="38">
        <f>Trend!AH41+Trend!AH42+Trend!AH43+Trend!AH45</f>
        <v>9726724</v>
      </c>
      <c r="AI10" s="38">
        <f>Trend!AI41+Trend!AI42+Trend!AI43+Trend!AI45</f>
        <v>10898062</v>
      </c>
      <c r="AJ10" s="38">
        <f>Trend!AJ41+Trend!AJ42+Trend!AJ43+Trend!AJ45</f>
        <v>12594966</v>
      </c>
      <c r="AK10" s="38">
        <f>Trend!AK41+Trend!AK42+Trend!AK43+Trend!AK45</f>
        <v>10955363</v>
      </c>
      <c r="AL10" s="38">
        <f>Trend!AL41+Trend!AL42+Trend!AL43+Trend!AL45</f>
        <v>15532902</v>
      </c>
      <c r="AM10" s="38">
        <f>Trend!AM41+Trend!AM42+Trend!AM43+Trend!AM45</f>
        <v>17079371</v>
      </c>
      <c r="AN10" s="38">
        <f>Trend!AN41+Trend!AN42+Trend!AN43+Trend!AN45</f>
        <v>16033055</v>
      </c>
      <c r="AO10" s="38">
        <f>Trend!AO41+Trend!AO42+Trend!AO43+Trend!AO45</f>
        <v>18476748</v>
      </c>
      <c r="AP10" s="38">
        <f>Trend!AP41+Trend!AP42+Trend!AP43+Trend!AP45</f>
        <v>20159014</v>
      </c>
      <c r="AQ10" s="38">
        <f>Trend!AQ41+Trend!AQ42+Trend!AQ43+Trend!AQ45</f>
        <v>21160375</v>
      </c>
      <c r="AR10" s="38">
        <f>Trend!AR41+Trend!AR42+Trend!AR43+Trend!AR45</f>
        <v>20604058</v>
      </c>
      <c r="AS10" s="38">
        <f>Trend!AS41+Trend!AS42+Trend!AS43+Trend!AS45</f>
        <v>22926284</v>
      </c>
      <c r="AT10" s="38">
        <f>Trend!AT41+Trend!AT42+Trend!AT43+Trend!AT45</f>
        <v>0</v>
      </c>
      <c r="AU10" s="38">
        <f>Trend!AU41+Trend!AU42+Trend!AU43+Trend!AU45</f>
        <v>0</v>
      </c>
      <c r="AV10" s="38">
        <f>Trend!AV41+Trend!AV42+Trend!AV43+Trend!AV45</f>
        <v>0</v>
      </c>
      <c r="AW10" s="38">
        <f>Trend!AW41+Trend!AW42+Trend!AW43+Trend!AW45</f>
        <v>0</v>
      </c>
      <c r="AX10" s="38">
        <f>Trend!AX41+Trend!AX42+Trend!AX43+Trend!AX45</f>
        <v>0</v>
      </c>
      <c r="AY10" s="38">
        <f>Trend!AY41+Trend!AY42+Trend!AY43+Trend!AY45</f>
        <v>0</v>
      </c>
      <c r="AZ10" s="38">
        <f>Trend!AZ41+Trend!AZ42+Trend!AZ43+Trend!AZ45</f>
        <v>0</v>
      </c>
    </row>
    <row r="11" spans="1:54">
      <c r="A11" s="8">
        <v>5</v>
      </c>
      <c r="B11" s="34" t="s">
        <v>111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4">
      <c r="A12" s="9">
        <v>5.0999999999999996</v>
      </c>
      <c r="B12" s="4" t="s">
        <v>112</v>
      </c>
      <c r="C12" s="27">
        <f>C14</f>
        <v>24822209</v>
      </c>
      <c r="D12" s="27">
        <f>D14</f>
        <v>34314784.747999996</v>
      </c>
      <c r="E12" s="27">
        <f>E14</f>
        <v>35358713</v>
      </c>
      <c r="F12" s="27">
        <f>F14</f>
        <v>36137160</v>
      </c>
      <c r="G12" s="27">
        <f>G14</f>
        <v>37537040</v>
      </c>
      <c r="H12" s="27">
        <f t="shared" ref="H12:S12" si="0">H14</f>
        <v>36642527</v>
      </c>
      <c r="I12" s="27">
        <f t="shared" si="0"/>
        <v>36589607</v>
      </c>
      <c r="J12" s="27">
        <f t="shared" si="0"/>
        <v>36405554</v>
      </c>
      <c r="K12" s="27">
        <f t="shared" si="0"/>
        <v>36965009</v>
      </c>
      <c r="L12" s="27">
        <f t="shared" si="0"/>
        <v>37542920</v>
      </c>
      <c r="M12" s="27">
        <f t="shared" si="0"/>
        <v>38332802.148209512</v>
      </c>
      <c r="N12" s="27">
        <f t="shared" si="0"/>
        <v>38814240</v>
      </c>
      <c r="O12" s="27">
        <f t="shared" si="0"/>
        <v>39621162</v>
      </c>
      <c r="P12" s="27">
        <f t="shared" si="0"/>
        <v>40499248</v>
      </c>
      <c r="Q12" s="27">
        <f t="shared" si="0"/>
        <v>40866347</v>
      </c>
      <c r="R12" s="27">
        <f t="shared" si="0"/>
        <v>39766288</v>
      </c>
      <c r="S12" s="27">
        <f t="shared" si="0"/>
        <v>39766288</v>
      </c>
      <c r="T12" s="27">
        <f t="shared" ref="T12:AZ12" si="1">T14</f>
        <v>40336802</v>
      </c>
      <c r="U12" s="27">
        <f t="shared" si="1"/>
        <v>33889959</v>
      </c>
      <c r="V12" s="27">
        <f t="shared" si="1"/>
        <v>34042863</v>
      </c>
      <c r="W12" s="27">
        <f t="shared" si="1"/>
        <v>37601851</v>
      </c>
      <c r="X12" s="27">
        <f t="shared" si="1"/>
        <v>37393067</v>
      </c>
      <c r="Y12" s="27">
        <f t="shared" si="1"/>
        <v>37403649</v>
      </c>
      <c r="Z12" s="27">
        <f t="shared" si="1"/>
        <v>36925797</v>
      </c>
      <c r="AA12" s="27">
        <f t="shared" si="1"/>
        <v>36959807</v>
      </c>
      <c r="AB12" s="27">
        <f t="shared" si="1"/>
        <v>36292188</v>
      </c>
      <c r="AC12" s="27">
        <f t="shared" si="1"/>
        <v>35172092</v>
      </c>
      <c r="AD12" s="27">
        <f t="shared" si="1"/>
        <v>35526877</v>
      </c>
      <c r="AE12" s="27">
        <f t="shared" si="1"/>
        <v>35787931</v>
      </c>
      <c r="AF12" s="27">
        <f t="shared" si="1"/>
        <v>35375179</v>
      </c>
      <c r="AG12" s="27">
        <f t="shared" si="1"/>
        <v>35530463</v>
      </c>
      <c r="AH12" s="27">
        <f t="shared" si="1"/>
        <v>35569259</v>
      </c>
      <c r="AI12" s="27">
        <f t="shared" si="1"/>
        <v>36165382</v>
      </c>
      <c r="AJ12" s="27">
        <f t="shared" si="1"/>
        <v>35782708</v>
      </c>
      <c r="AK12" s="27">
        <f t="shared" si="1"/>
        <v>36038870</v>
      </c>
      <c r="AL12" s="27">
        <f t="shared" si="1"/>
        <v>36294395</v>
      </c>
      <c r="AM12" s="27">
        <f t="shared" si="1"/>
        <v>36543350</v>
      </c>
      <c r="AN12" s="27">
        <f t="shared" si="1"/>
        <v>37076317</v>
      </c>
      <c r="AO12" s="27">
        <f t="shared" si="1"/>
        <v>37128658</v>
      </c>
      <c r="AP12" s="27">
        <f t="shared" si="1"/>
        <v>36935267</v>
      </c>
      <c r="AQ12" s="27">
        <f t="shared" si="1"/>
        <v>37345070</v>
      </c>
      <c r="AR12" s="27">
        <f t="shared" si="1"/>
        <v>37517709</v>
      </c>
      <c r="AS12" s="27">
        <f t="shared" si="1"/>
        <v>37690995</v>
      </c>
      <c r="AT12" s="27">
        <f t="shared" si="1"/>
        <v>0</v>
      </c>
      <c r="AU12" s="27">
        <f t="shared" si="1"/>
        <v>0</v>
      </c>
      <c r="AV12" s="27">
        <f t="shared" si="1"/>
        <v>0</v>
      </c>
      <c r="AW12" s="27">
        <f t="shared" si="1"/>
        <v>0</v>
      </c>
      <c r="AX12" s="27">
        <f t="shared" si="1"/>
        <v>0</v>
      </c>
      <c r="AY12" s="27">
        <f t="shared" si="1"/>
        <v>0</v>
      </c>
      <c r="AZ12" s="27">
        <f t="shared" si="1"/>
        <v>0</v>
      </c>
    </row>
    <row r="13" spans="1:54" ht="12.95" thickBot="1">
      <c r="A13" s="10">
        <v>5.2</v>
      </c>
      <c r="B13" s="11" t="s">
        <v>113</v>
      </c>
      <c r="C13" s="27">
        <f>C12-C15</f>
        <v>14729609</v>
      </c>
      <c r="D13" s="27">
        <f>D12-D15</f>
        <v>23743384.747999996</v>
      </c>
      <c r="E13" s="27">
        <f>E12-E15</f>
        <v>24380513</v>
      </c>
      <c r="F13" s="27">
        <f>F12-F15</f>
        <v>24732360</v>
      </c>
      <c r="G13" s="27">
        <f t="shared" ref="G13:L13" si="2">G12-G15</f>
        <v>26132240</v>
      </c>
      <c r="H13" s="27">
        <f t="shared" si="2"/>
        <v>25237727</v>
      </c>
      <c r="I13" s="27">
        <f t="shared" si="2"/>
        <v>25040807</v>
      </c>
      <c r="J13" s="27">
        <f t="shared" si="2"/>
        <v>24856754</v>
      </c>
      <c r="K13" s="27">
        <f t="shared" si="2"/>
        <v>25297409</v>
      </c>
      <c r="L13" s="27">
        <f t="shared" si="2"/>
        <v>25597201</v>
      </c>
      <c r="M13" s="27">
        <f t="shared" ref="M13:S13" si="3">M12-M15</f>
        <v>25992448.76820951</v>
      </c>
      <c r="N13" s="27">
        <f t="shared" si="3"/>
        <v>26034700</v>
      </c>
      <c r="O13" s="27">
        <f t="shared" si="3"/>
        <v>26409923</v>
      </c>
      <c r="P13" s="27">
        <f t="shared" si="3"/>
        <v>26909678</v>
      </c>
      <c r="Q13" s="27">
        <f t="shared" si="3"/>
        <v>26886137</v>
      </c>
      <c r="R13" s="27">
        <f t="shared" si="3"/>
        <v>25308121</v>
      </c>
      <c r="S13" s="27">
        <f t="shared" si="3"/>
        <v>25308121</v>
      </c>
      <c r="T13" s="27">
        <f t="shared" ref="T13:AZ13" si="4">T12-T15</f>
        <v>25528718</v>
      </c>
      <c r="U13" s="27">
        <f t="shared" si="4"/>
        <v>18723578</v>
      </c>
      <c r="V13" s="27">
        <f t="shared" si="4"/>
        <v>18754209</v>
      </c>
      <c r="W13" s="27">
        <f t="shared" si="4"/>
        <v>21903129</v>
      </c>
      <c r="X13" s="27">
        <f t="shared" si="4"/>
        <v>21520879</v>
      </c>
      <c r="Y13" s="27">
        <f t="shared" si="4"/>
        <v>21464254</v>
      </c>
      <c r="Z13" s="27">
        <f t="shared" si="4"/>
        <v>20883180</v>
      </c>
      <c r="AA13" s="27">
        <f t="shared" si="4"/>
        <v>20841771</v>
      </c>
      <c r="AB13" s="27">
        <f t="shared" si="4"/>
        <v>20141992</v>
      </c>
      <c r="AC13" s="27">
        <f t="shared" si="4"/>
        <v>18990184</v>
      </c>
      <c r="AD13" s="27">
        <f t="shared" si="4"/>
        <v>19233779</v>
      </c>
      <c r="AE13" s="27">
        <f t="shared" si="4"/>
        <v>19417270</v>
      </c>
      <c r="AF13" s="27">
        <f t="shared" si="4"/>
        <v>19003364</v>
      </c>
      <c r="AG13" s="27">
        <f t="shared" si="4"/>
        <v>19137577</v>
      </c>
      <c r="AH13" s="27">
        <f t="shared" si="4"/>
        <v>19085414</v>
      </c>
      <c r="AI13" s="27">
        <f t="shared" si="4"/>
        <v>19595446</v>
      </c>
      <c r="AJ13" s="27">
        <f t="shared" si="4"/>
        <v>19178976</v>
      </c>
      <c r="AK13" s="27">
        <f t="shared" si="4"/>
        <v>19358657</v>
      </c>
      <c r="AL13" s="27">
        <f t="shared" si="4"/>
        <v>19582072</v>
      </c>
      <c r="AM13" s="27">
        <f t="shared" si="4"/>
        <v>19751871</v>
      </c>
      <c r="AN13" s="27">
        <f t="shared" si="4"/>
        <v>20227876</v>
      </c>
      <c r="AO13" s="27">
        <f t="shared" si="4"/>
        <v>20224457</v>
      </c>
      <c r="AP13" s="27">
        <f t="shared" si="4"/>
        <v>20005826</v>
      </c>
      <c r="AQ13" s="27">
        <f t="shared" si="4"/>
        <v>20378175</v>
      </c>
      <c r="AR13" s="27">
        <f t="shared" si="4"/>
        <v>20474023</v>
      </c>
      <c r="AS13" s="27">
        <f t="shared" si="4"/>
        <v>20647309</v>
      </c>
      <c r="AT13" s="27">
        <f t="shared" si="4"/>
        <v>0</v>
      </c>
      <c r="AU13" s="27">
        <f t="shared" si="4"/>
        <v>0</v>
      </c>
      <c r="AV13" s="27">
        <f t="shared" si="4"/>
        <v>0</v>
      </c>
      <c r="AW13" s="27">
        <f t="shared" si="4"/>
        <v>0</v>
      </c>
      <c r="AX13" s="27">
        <f t="shared" si="4"/>
        <v>0</v>
      </c>
      <c r="AY13" s="27">
        <f t="shared" si="4"/>
        <v>0</v>
      </c>
      <c r="AZ13" s="27">
        <f t="shared" si="4"/>
        <v>0</v>
      </c>
    </row>
    <row r="14" spans="1:54">
      <c r="A14" s="12">
        <v>5.3</v>
      </c>
      <c r="B14" s="34" t="s">
        <v>114</v>
      </c>
      <c r="C14" s="35">
        <f>SUM(C15:C19)</f>
        <v>24822209</v>
      </c>
      <c r="D14" s="35">
        <f>SUM(D15:D19)</f>
        <v>34314784.747999996</v>
      </c>
      <c r="E14" s="35">
        <f>SUM(E15:E19)</f>
        <v>35358713</v>
      </c>
      <c r="F14" s="35">
        <f>SUM(F15:F19)</f>
        <v>36137160</v>
      </c>
      <c r="G14" s="35">
        <f t="shared" ref="G14:L14" si="5">SUM(G15:G19)</f>
        <v>37537040</v>
      </c>
      <c r="H14" s="35">
        <f t="shared" si="5"/>
        <v>36642527</v>
      </c>
      <c r="I14" s="35">
        <f t="shared" si="5"/>
        <v>36589607</v>
      </c>
      <c r="J14" s="35">
        <f t="shared" si="5"/>
        <v>36405554</v>
      </c>
      <c r="K14" s="35">
        <f t="shared" si="5"/>
        <v>36965009</v>
      </c>
      <c r="L14" s="35">
        <f t="shared" si="5"/>
        <v>37542920</v>
      </c>
      <c r="M14" s="35">
        <f t="shared" ref="M14:R14" si="6">SUM(M15:M19)</f>
        <v>38332802.148209512</v>
      </c>
      <c r="N14" s="35">
        <f t="shared" si="6"/>
        <v>38814240</v>
      </c>
      <c r="O14" s="35">
        <f t="shared" si="6"/>
        <v>39621162</v>
      </c>
      <c r="P14" s="35">
        <f t="shared" si="6"/>
        <v>40499248</v>
      </c>
      <c r="Q14" s="35">
        <f t="shared" si="6"/>
        <v>40866347</v>
      </c>
      <c r="R14" s="35">
        <f t="shared" si="6"/>
        <v>39766288</v>
      </c>
      <c r="S14" s="35">
        <f t="shared" ref="S14:Z14" si="7">SUM(S15:S19)</f>
        <v>39766288</v>
      </c>
      <c r="T14" s="35">
        <f t="shared" ref="T14:AZ14" si="8">SUM(T15:T19)</f>
        <v>40336802</v>
      </c>
      <c r="U14" s="35">
        <f t="shared" si="8"/>
        <v>33889959</v>
      </c>
      <c r="V14" s="35">
        <f t="shared" si="8"/>
        <v>34042863</v>
      </c>
      <c r="W14" s="35">
        <f t="shared" si="8"/>
        <v>37601851</v>
      </c>
      <c r="X14" s="35">
        <f t="shared" si="8"/>
        <v>37393067</v>
      </c>
      <c r="Y14" s="35">
        <f t="shared" si="8"/>
        <v>37403649</v>
      </c>
      <c r="Z14" s="35">
        <f t="shared" si="8"/>
        <v>36925797</v>
      </c>
      <c r="AA14" s="35">
        <f t="shared" si="8"/>
        <v>36959807</v>
      </c>
      <c r="AB14" s="35">
        <f t="shared" si="8"/>
        <v>36292188</v>
      </c>
      <c r="AC14" s="35">
        <f t="shared" si="8"/>
        <v>35172092</v>
      </c>
      <c r="AD14" s="35">
        <f t="shared" si="8"/>
        <v>35526877</v>
      </c>
      <c r="AE14" s="35">
        <f t="shared" si="8"/>
        <v>35787931</v>
      </c>
      <c r="AF14" s="35">
        <f t="shared" si="8"/>
        <v>35375179</v>
      </c>
      <c r="AG14" s="35">
        <f t="shared" si="8"/>
        <v>35530463</v>
      </c>
      <c r="AH14" s="35">
        <f t="shared" si="8"/>
        <v>35569259</v>
      </c>
      <c r="AI14" s="35">
        <f t="shared" si="8"/>
        <v>36165382</v>
      </c>
      <c r="AJ14" s="35">
        <f t="shared" si="8"/>
        <v>35782708</v>
      </c>
      <c r="AK14" s="35">
        <f t="shared" si="8"/>
        <v>36038870</v>
      </c>
      <c r="AL14" s="35">
        <f t="shared" si="8"/>
        <v>36294395</v>
      </c>
      <c r="AM14" s="35">
        <f t="shared" si="8"/>
        <v>36543350</v>
      </c>
      <c r="AN14" s="35">
        <f t="shared" si="8"/>
        <v>37076317</v>
      </c>
      <c r="AO14" s="35">
        <f t="shared" si="8"/>
        <v>37128658</v>
      </c>
      <c r="AP14" s="35">
        <f t="shared" si="8"/>
        <v>36935267</v>
      </c>
      <c r="AQ14" s="35">
        <f t="shared" si="8"/>
        <v>37345070</v>
      </c>
      <c r="AR14" s="35">
        <f t="shared" si="8"/>
        <v>37517709</v>
      </c>
      <c r="AS14" s="35">
        <f t="shared" si="8"/>
        <v>37690995</v>
      </c>
      <c r="AT14" s="35">
        <f t="shared" si="8"/>
        <v>0</v>
      </c>
      <c r="AU14" s="35">
        <f t="shared" si="8"/>
        <v>0</v>
      </c>
      <c r="AV14" s="35">
        <f t="shared" si="8"/>
        <v>0</v>
      </c>
      <c r="AW14" s="35">
        <f t="shared" si="8"/>
        <v>0</v>
      </c>
      <c r="AX14" s="35">
        <f t="shared" si="8"/>
        <v>0</v>
      </c>
      <c r="AY14" s="35">
        <f t="shared" si="8"/>
        <v>0</v>
      </c>
      <c r="AZ14" s="35">
        <f t="shared" si="8"/>
        <v>0</v>
      </c>
    </row>
    <row r="15" spans="1:54">
      <c r="A15" s="9" t="s">
        <v>115</v>
      </c>
      <c r="B15" s="13" t="s">
        <v>116</v>
      </c>
      <c r="C15" s="27">
        <f>Trend!C50</f>
        <v>10092600</v>
      </c>
      <c r="D15" s="27">
        <f>Trend!D50</f>
        <v>10571400</v>
      </c>
      <c r="E15" s="27">
        <f>Trend!E50</f>
        <v>10978200</v>
      </c>
      <c r="F15" s="27">
        <f>Trend!F50</f>
        <v>11404800</v>
      </c>
      <c r="G15" s="27">
        <f>Trend!G50</f>
        <v>11404800</v>
      </c>
      <c r="H15" s="27">
        <f>Trend!H50</f>
        <v>11404800</v>
      </c>
      <c r="I15" s="27">
        <f>Trend!I50</f>
        <v>11548800</v>
      </c>
      <c r="J15" s="27">
        <f>Trend!J50</f>
        <v>11548800</v>
      </c>
      <c r="K15" s="27">
        <f>Trend!K50</f>
        <v>11667600</v>
      </c>
      <c r="L15" s="27">
        <f>Trend!L50</f>
        <v>11945719</v>
      </c>
      <c r="M15" s="27">
        <f>Trend!M50</f>
        <v>12340353.380000001</v>
      </c>
      <c r="N15" s="27">
        <f>Trend!N50</f>
        <v>12779540</v>
      </c>
      <c r="O15" s="27">
        <f>Trend!O50</f>
        <v>13211239</v>
      </c>
      <c r="P15" s="27">
        <f>Trend!P50</f>
        <v>13589570</v>
      </c>
      <c r="Q15" s="27">
        <f>Trend!Q50</f>
        <v>13980210</v>
      </c>
      <c r="R15" s="27">
        <f>Trend!R50</f>
        <v>14458167</v>
      </c>
      <c r="S15" s="27">
        <f>Trend!S50</f>
        <v>14458167</v>
      </c>
      <c r="T15" s="27">
        <f>Trend!T50</f>
        <v>14808084</v>
      </c>
      <c r="U15" s="27">
        <f>Trend!U50</f>
        <v>15166381</v>
      </c>
      <c r="V15" s="27">
        <f>Trend!V50</f>
        <v>15288654</v>
      </c>
      <c r="W15" s="27">
        <f>Trend!W50</f>
        <v>15698722</v>
      </c>
      <c r="X15" s="27">
        <f>Trend!X50</f>
        <v>15872188</v>
      </c>
      <c r="Y15" s="27">
        <f>Trend!Y50</f>
        <v>15939395</v>
      </c>
      <c r="Z15" s="27">
        <f>Trend!Z50</f>
        <v>16042617</v>
      </c>
      <c r="AA15" s="27">
        <f>Trend!AA50</f>
        <v>16118036</v>
      </c>
      <c r="AB15" s="27">
        <f>Trend!AB50</f>
        <v>16150196</v>
      </c>
      <c r="AC15" s="27">
        <f>Trend!AC50</f>
        <v>16181908</v>
      </c>
      <c r="AD15" s="27">
        <f>Trend!AD50</f>
        <v>16293098</v>
      </c>
      <c r="AE15" s="27">
        <f>Trend!AE50</f>
        <v>16370661</v>
      </c>
      <c r="AF15" s="27">
        <f>Trend!AF50</f>
        <v>16371815</v>
      </c>
      <c r="AG15" s="27">
        <f>Trend!AG50</f>
        <v>16392886</v>
      </c>
      <c r="AH15" s="27">
        <f>Trend!AH50</f>
        <v>16483845</v>
      </c>
      <c r="AI15" s="27">
        <f>Trend!AI50</f>
        <v>16569936</v>
      </c>
      <c r="AJ15" s="27">
        <f>Trend!AJ50</f>
        <v>16603732</v>
      </c>
      <c r="AK15" s="27">
        <f>Trend!AK50</f>
        <v>16680213</v>
      </c>
      <c r="AL15" s="27">
        <f>Trend!AL50</f>
        <v>16712323</v>
      </c>
      <c r="AM15" s="27">
        <f>Trend!AM50</f>
        <v>16791479</v>
      </c>
      <c r="AN15" s="27">
        <f>Trend!AN50</f>
        <v>16848441</v>
      </c>
      <c r="AO15" s="27">
        <f>Trend!AO50</f>
        <v>16904201</v>
      </c>
      <c r="AP15" s="27">
        <f>Trend!AP50</f>
        <v>16929441</v>
      </c>
      <c r="AQ15" s="27">
        <f>Trend!AQ50</f>
        <v>16966895</v>
      </c>
      <c r="AR15" s="27">
        <f>Trend!AR50</f>
        <v>17043686</v>
      </c>
      <c r="AS15" s="27">
        <f>Trend!AS50</f>
        <v>17043686</v>
      </c>
      <c r="AT15" s="27">
        <f>Trend!AT50</f>
        <v>0</v>
      </c>
      <c r="AU15" s="27">
        <f>Trend!AU50</f>
        <v>0</v>
      </c>
      <c r="AV15" s="27">
        <f>Trend!AV50</f>
        <v>0</v>
      </c>
      <c r="AW15" s="27">
        <f>Trend!AW50</f>
        <v>0</v>
      </c>
      <c r="AX15" s="27">
        <f>Trend!AX50</f>
        <v>0</v>
      </c>
      <c r="AY15" s="27">
        <f>Trend!AY50</f>
        <v>0</v>
      </c>
      <c r="AZ15" s="27">
        <f>Trend!AZ50</f>
        <v>0</v>
      </c>
    </row>
    <row r="16" spans="1:54">
      <c r="A16" s="9" t="s">
        <v>117</v>
      </c>
      <c r="B16" s="7" t="s">
        <v>49</v>
      </c>
      <c r="C16" s="27">
        <f>Trend!C53</f>
        <v>1279011</v>
      </c>
      <c r="D16" s="27">
        <f>Trend!D53</f>
        <v>1697046.7480000006</v>
      </c>
      <c r="E16" s="27">
        <f>Trend!E53</f>
        <v>1946285</v>
      </c>
      <c r="F16" s="27">
        <f>Trend!F53</f>
        <v>1958695</v>
      </c>
      <c r="G16" s="27">
        <f>Trend!G53</f>
        <v>3353455</v>
      </c>
      <c r="H16" s="27">
        <f>Trend!H53</f>
        <v>2464062</v>
      </c>
      <c r="I16" s="27">
        <f>Trend!I53</f>
        <v>2267142</v>
      </c>
      <c r="J16" s="27">
        <f>Trend!J53</f>
        <v>2083089</v>
      </c>
      <c r="K16" s="27">
        <f>Trend!K53</f>
        <v>2348778</v>
      </c>
      <c r="L16" s="27">
        <f>Trend!L53</f>
        <v>2613577</v>
      </c>
      <c r="M16" s="27">
        <f>Trend!M53</f>
        <v>3008824.3876095163</v>
      </c>
      <c r="N16" s="27">
        <f>Trend!N53</f>
        <v>3023429</v>
      </c>
      <c r="O16" s="27">
        <f>Trend!O53</f>
        <v>3368951</v>
      </c>
      <c r="P16" s="27">
        <f>Trend!P53</f>
        <v>3839006</v>
      </c>
      <c r="Q16" s="27">
        <f>Trend!Q53</f>
        <v>3785764</v>
      </c>
      <c r="R16" s="27">
        <f>Trend!R53</f>
        <v>2146567</v>
      </c>
      <c r="S16" s="27">
        <f>Trend!S53</f>
        <v>2146567</v>
      </c>
      <c r="T16" s="27">
        <f>Trend!T53</f>
        <v>2334354</v>
      </c>
      <c r="U16" s="27">
        <f>Trend!U53</f>
        <v>2117517</v>
      </c>
      <c r="V16" s="27">
        <f>Trend!V53</f>
        <v>2148148</v>
      </c>
      <c r="W16" s="27">
        <f>Trend!W53</f>
        <v>5297068</v>
      </c>
      <c r="X16" s="27">
        <f>Trend!X53</f>
        <v>4914818</v>
      </c>
      <c r="Y16" s="27">
        <f>Trend!Y53</f>
        <v>4858193</v>
      </c>
      <c r="Z16" s="27">
        <f>Trend!Z53</f>
        <v>4277119</v>
      </c>
      <c r="AA16" s="27">
        <f>Trend!AA53</f>
        <v>4235710</v>
      </c>
      <c r="AB16" s="27">
        <f>Trend!AB53</f>
        <v>3535931</v>
      </c>
      <c r="AC16" s="27">
        <f>Trend!AC53</f>
        <v>2384123</v>
      </c>
      <c r="AD16" s="27">
        <f>Trend!AD53</f>
        <v>2627718</v>
      </c>
      <c r="AE16" s="27">
        <f>Trend!AE53</f>
        <v>2571365</v>
      </c>
      <c r="AF16" s="27">
        <f>Trend!AF53</f>
        <v>2166296</v>
      </c>
      <c r="AG16" s="27">
        <f>Trend!AG53</f>
        <v>2263767</v>
      </c>
      <c r="AH16" s="27">
        <f>Trend!AH53</f>
        <v>2211604</v>
      </c>
      <c r="AI16" s="27">
        <f>Trend!AI53</f>
        <v>2648150</v>
      </c>
      <c r="AJ16" s="27">
        <f>Trend!AJ53</f>
        <v>2194937</v>
      </c>
      <c r="AK16" s="27">
        <f>Trend!AK53</f>
        <v>2337875</v>
      </c>
      <c r="AL16" s="27">
        <f>Trend!AL53</f>
        <v>2524547</v>
      </c>
      <c r="AM16" s="27">
        <f>Trend!AM53</f>
        <v>2657603</v>
      </c>
      <c r="AN16" s="27">
        <f>Trend!AN53</f>
        <v>3096865</v>
      </c>
      <c r="AO16" s="27">
        <f>Trend!AO53</f>
        <v>3019960</v>
      </c>
      <c r="AP16" s="27">
        <f>Trend!AP53</f>
        <v>2727843</v>
      </c>
      <c r="AQ16" s="27">
        <f>Trend!AQ53</f>
        <v>3100192</v>
      </c>
      <c r="AR16" s="27">
        <f>Trend!AR53</f>
        <v>3151949</v>
      </c>
      <c r="AS16" s="27">
        <f>Trend!AS53</f>
        <v>3062352</v>
      </c>
      <c r="AT16" s="27">
        <f>Trend!AT53</f>
        <v>0</v>
      </c>
      <c r="AU16" s="27">
        <f>Trend!AU53</f>
        <v>0</v>
      </c>
      <c r="AV16" s="27">
        <f>Trend!AV53</f>
        <v>0</v>
      </c>
      <c r="AW16" s="27">
        <f>Trend!AW53</f>
        <v>0</v>
      </c>
      <c r="AX16" s="27">
        <f>Trend!AX53</f>
        <v>0</v>
      </c>
      <c r="AY16" s="27">
        <f>Trend!AY53</f>
        <v>0</v>
      </c>
      <c r="AZ16" s="27">
        <f>Trend!AZ53</f>
        <v>0</v>
      </c>
    </row>
    <row r="17" spans="1:52">
      <c r="A17" s="9" t="s">
        <v>118</v>
      </c>
      <c r="B17" s="7" t="s">
        <v>119</v>
      </c>
      <c r="C17" s="27">
        <f>Trend!C58</f>
        <v>4468256</v>
      </c>
      <c r="D17" s="27">
        <f>Trend!D58</f>
        <v>4888175</v>
      </c>
      <c r="E17" s="27">
        <f>Trend!E58</f>
        <v>5276065</v>
      </c>
      <c r="F17" s="27">
        <f>Trend!F58</f>
        <v>5615502</v>
      </c>
      <c r="G17" s="27">
        <f>Trend!G58</f>
        <v>5620622</v>
      </c>
      <c r="H17" s="27">
        <f>Trend!H58</f>
        <v>5615502</v>
      </c>
      <c r="I17" s="27">
        <f>Trend!I58</f>
        <v>5615502</v>
      </c>
      <c r="J17" s="27">
        <f>Trend!J58</f>
        <v>5615502</v>
      </c>
      <c r="K17" s="27">
        <f>Trend!K58</f>
        <v>5790468</v>
      </c>
      <c r="L17" s="27">
        <f>Trend!L58</f>
        <v>5825461</v>
      </c>
      <c r="M17" s="27">
        <f>Trend!M58</f>
        <v>5825461.3805999989</v>
      </c>
      <c r="N17" s="27">
        <f>Trend!N58</f>
        <v>5853108</v>
      </c>
      <c r="O17" s="27">
        <f>Trend!O58</f>
        <v>5882809</v>
      </c>
      <c r="P17" s="27">
        <f>Trend!P58</f>
        <v>5912509</v>
      </c>
      <c r="Q17" s="27">
        <f>Trend!Q58</f>
        <v>5942210</v>
      </c>
      <c r="R17" s="27">
        <f>Trend!R58</f>
        <v>6003391</v>
      </c>
      <c r="S17" s="27">
        <f>Trend!S58</f>
        <v>6003391</v>
      </c>
      <c r="T17" s="27">
        <f>Trend!T58</f>
        <v>6036201</v>
      </c>
      <c r="U17" s="27">
        <f>Trend!U58</f>
        <v>6343271</v>
      </c>
      <c r="V17" s="27">
        <f>Trend!V58</f>
        <v>6343271</v>
      </c>
      <c r="W17" s="27">
        <f>Trend!W58</f>
        <v>6343271</v>
      </c>
      <c r="X17" s="27">
        <f>Trend!X58</f>
        <v>6343271</v>
      </c>
      <c r="Y17" s="27">
        <f>Trend!Y58</f>
        <v>6343271</v>
      </c>
      <c r="Z17" s="27">
        <f>Trend!Z58</f>
        <v>6343271</v>
      </c>
      <c r="AA17" s="27">
        <f>Trend!AA58</f>
        <v>6343271</v>
      </c>
      <c r="AB17" s="27">
        <f>Trend!AB58</f>
        <v>6343271</v>
      </c>
      <c r="AC17" s="27">
        <f>Trend!AC58</f>
        <v>6343271</v>
      </c>
      <c r="AD17" s="27">
        <f>Trend!AD58</f>
        <v>6343271</v>
      </c>
      <c r="AE17" s="27">
        <f>Trend!AE58</f>
        <v>6583115</v>
      </c>
      <c r="AF17" s="27">
        <f>Trend!AF58</f>
        <v>6574278</v>
      </c>
      <c r="AG17" s="27">
        <f>Trend!AG58</f>
        <v>6611020</v>
      </c>
      <c r="AH17" s="27">
        <f>Trend!AH58</f>
        <v>6611020</v>
      </c>
      <c r="AI17" s="27">
        <f>Trend!AI58</f>
        <v>6684506</v>
      </c>
      <c r="AJ17" s="27">
        <f>Trend!AJ58</f>
        <v>6721249</v>
      </c>
      <c r="AK17" s="27">
        <f>Trend!AK58</f>
        <v>6757992</v>
      </c>
      <c r="AL17" s="27">
        <f>Trend!AL58</f>
        <v>6794735</v>
      </c>
      <c r="AM17" s="27">
        <f>Trend!AM58</f>
        <v>6831478</v>
      </c>
      <c r="AN17" s="27">
        <f>Trend!AN58</f>
        <v>6868221</v>
      </c>
      <c r="AO17" s="27">
        <f>Trend!AO58</f>
        <v>6941707</v>
      </c>
      <c r="AP17" s="27">
        <f>Trend!AP58</f>
        <v>7015193</v>
      </c>
      <c r="AQ17" s="27">
        <f>Trend!AQ58</f>
        <v>7015193</v>
      </c>
      <c r="AR17" s="27">
        <f>Trend!AR58</f>
        <v>7059284</v>
      </c>
      <c r="AS17" s="27">
        <f>Trend!AS58</f>
        <v>7322167</v>
      </c>
      <c r="AT17" s="27">
        <f>Trend!AT58</f>
        <v>0</v>
      </c>
      <c r="AU17" s="27">
        <f>Trend!AU58</f>
        <v>0</v>
      </c>
      <c r="AV17" s="27">
        <f>Trend!AV58</f>
        <v>0</v>
      </c>
      <c r="AW17" s="27">
        <f>Trend!AW58</f>
        <v>0</v>
      </c>
      <c r="AX17" s="27">
        <f>Trend!AX58</f>
        <v>0</v>
      </c>
      <c r="AY17" s="27">
        <f>Trend!AY58</f>
        <v>0</v>
      </c>
      <c r="AZ17" s="27">
        <f>Trend!AZ58</f>
        <v>0</v>
      </c>
    </row>
    <row r="18" spans="1:52" ht="12.95" thickBot="1">
      <c r="A18" s="9" t="s">
        <v>120</v>
      </c>
      <c r="B18" s="7" t="s">
        <v>121</v>
      </c>
      <c r="C18" s="27">
        <f>Trend!C59</f>
        <v>8982342</v>
      </c>
      <c r="D18" s="27">
        <f>Trend!D59</f>
        <v>17158163</v>
      </c>
      <c r="E18" s="27">
        <f>Trend!E59</f>
        <v>17158163</v>
      </c>
      <c r="F18" s="27">
        <f>Trend!F59</f>
        <v>17158163</v>
      </c>
      <c r="G18" s="27">
        <f>Trend!G59</f>
        <v>17158163</v>
      </c>
      <c r="H18" s="27">
        <f>Trend!H59</f>
        <v>17158163</v>
      </c>
      <c r="I18" s="27">
        <f>Trend!I59</f>
        <v>17158163</v>
      </c>
      <c r="J18" s="27">
        <f>Trend!J59</f>
        <v>17158163</v>
      </c>
      <c r="K18" s="27">
        <f>Trend!K59</f>
        <v>17158163</v>
      </c>
      <c r="L18" s="27">
        <f>Trend!L59</f>
        <v>17158163</v>
      </c>
      <c r="M18" s="27">
        <f>Trend!M59</f>
        <v>17158163</v>
      </c>
      <c r="N18" s="27">
        <f>Trend!N59</f>
        <v>17158163</v>
      </c>
      <c r="O18" s="27">
        <f>Trend!O59</f>
        <v>17158163</v>
      </c>
      <c r="P18" s="27">
        <f>Trend!P59</f>
        <v>17158163</v>
      </c>
      <c r="Q18" s="27">
        <f>Trend!Q59</f>
        <v>17158163</v>
      </c>
      <c r="R18" s="27">
        <f>Trend!R59</f>
        <v>17158163</v>
      </c>
      <c r="S18" s="27">
        <f>Trend!S59</f>
        <v>17158163</v>
      </c>
      <c r="T18" s="27">
        <f>Trend!T59</f>
        <v>17158163</v>
      </c>
      <c r="U18" s="27">
        <f>Trend!U59</f>
        <v>10262790</v>
      </c>
      <c r="V18" s="27">
        <f>Trend!V59</f>
        <v>10262790</v>
      </c>
      <c r="W18" s="27">
        <f>Trend!W59</f>
        <v>10262790</v>
      </c>
      <c r="X18" s="27">
        <f>Trend!X59</f>
        <v>10262790</v>
      </c>
      <c r="Y18" s="27">
        <f>Trend!Y59</f>
        <v>10262790</v>
      </c>
      <c r="Z18" s="27">
        <f>Trend!Z59</f>
        <v>10262790</v>
      </c>
      <c r="AA18" s="27">
        <f>Trend!AA59</f>
        <v>10262790</v>
      </c>
      <c r="AB18" s="27">
        <f>Trend!AB59</f>
        <v>10262790</v>
      </c>
      <c r="AC18" s="27">
        <f>Trend!AC59</f>
        <v>10262790</v>
      </c>
      <c r="AD18" s="27">
        <f>Trend!AD59</f>
        <v>10262790</v>
      </c>
      <c r="AE18" s="27">
        <f>Trend!AE59</f>
        <v>10262790</v>
      </c>
      <c r="AF18" s="27">
        <f>Trend!AF59</f>
        <v>10262790</v>
      </c>
      <c r="AG18" s="27">
        <f>Trend!AG59</f>
        <v>10262790</v>
      </c>
      <c r="AH18" s="27">
        <f>Trend!AH59</f>
        <v>10262790</v>
      </c>
      <c r="AI18" s="27">
        <f>Trend!AI59</f>
        <v>10262790</v>
      </c>
      <c r="AJ18" s="27">
        <f>Trend!AJ59</f>
        <v>10262790</v>
      </c>
      <c r="AK18" s="27">
        <f>Trend!AK59</f>
        <v>10262790</v>
      </c>
      <c r="AL18" s="27">
        <f>Trend!AL59</f>
        <v>10262790</v>
      </c>
      <c r="AM18" s="27">
        <f>Trend!AM59</f>
        <v>10262790</v>
      </c>
      <c r="AN18" s="27">
        <f>Trend!AN59</f>
        <v>10262790</v>
      </c>
      <c r="AO18" s="27">
        <f>Trend!AO59</f>
        <v>10262790</v>
      </c>
      <c r="AP18" s="27">
        <f>Trend!AP59</f>
        <v>10262790</v>
      </c>
      <c r="AQ18" s="27">
        <f>Trend!AQ59</f>
        <v>10262790</v>
      </c>
      <c r="AR18" s="27">
        <f>Trend!AR59</f>
        <v>10262790</v>
      </c>
      <c r="AS18" s="27">
        <f>Trend!AS59</f>
        <v>10262790</v>
      </c>
      <c r="AT18" s="27">
        <f>Trend!AT59</f>
        <v>0</v>
      </c>
      <c r="AU18" s="27">
        <f>Trend!AU59</f>
        <v>0</v>
      </c>
      <c r="AV18" s="27">
        <f>Trend!AV59</f>
        <v>0</v>
      </c>
      <c r="AW18" s="27">
        <f>Trend!AW59</f>
        <v>0</v>
      </c>
      <c r="AX18" s="27">
        <f>Trend!AX59</f>
        <v>0</v>
      </c>
      <c r="AY18" s="27">
        <f>Trend!AY59</f>
        <v>0</v>
      </c>
      <c r="AZ18" s="27">
        <f>Trend!AZ59</f>
        <v>0</v>
      </c>
    </row>
    <row r="19" spans="1:52">
      <c r="A19" s="9" t="s">
        <v>122</v>
      </c>
      <c r="B19" s="34" t="s">
        <v>123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ht="12.95" thickBot="1">
      <c r="A20" s="14" t="s">
        <v>124</v>
      </c>
      <c r="B20" s="7" t="s">
        <v>56</v>
      </c>
      <c r="C20" s="27">
        <f>Trend!C82+Trend!C84</f>
        <v>9449807</v>
      </c>
      <c r="D20" s="27">
        <f>Trend!D82+Trend!D84</f>
        <v>9899196</v>
      </c>
      <c r="E20" s="27">
        <f>Trend!E82+Trend!E84</f>
        <v>11083861</v>
      </c>
      <c r="F20" s="27">
        <f>Trend!F82+Trend!F84</f>
        <v>11740414</v>
      </c>
      <c r="G20" s="27">
        <f>Trend!G82+Trend!G84</f>
        <v>0</v>
      </c>
      <c r="H20" s="27">
        <f>Trend!H82+Trend!H84</f>
        <v>2200000</v>
      </c>
      <c r="I20" s="27">
        <f>Trend!I82+Trend!I84</f>
        <v>2600000</v>
      </c>
      <c r="J20" s="27">
        <f>Trend!J82+Trend!J84</f>
        <v>4200000</v>
      </c>
      <c r="K20" s="27">
        <f>Trend!K82+Trend!K84</f>
        <v>9014005.5999999996</v>
      </c>
      <c r="L20" s="27">
        <f>Trend!L82+Trend!L84</f>
        <v>9814005.5999999996</v>
      </c>
      <c r="M20" s="27">
        <f>Trend!M82+Trend!M84</f>
        <v>10714005.6</v>
      </c>
      <c r="N20" s="27">
        <f>Trend!N82+Trend!N84</f>
        <v>11814005.6</v>
      </c>
      <c r="O20" s="27">
        <f>Trend!O82+Trend!O84</f>
        <v>12914005.6</v>
      </c>
      <c r="P20" s="27">
        <f>Trend!P82+Trend!P84</f>
        <v>14014005.6</v>
      </c>
      <c r="Q20" s="27">
        <f>Trend!Q82+Trend!Q84</f>
        <v>15162026.619999999</v>
      </c>
      <c r="R20" s="27">
        <f>Trend!R82+Trend!R84</f>
        <v>45135930.960000001</v>
      </c>
      <c r="S20" s="27">
        <f>Trend!S82+Trend!S84</f>
        <v>45135930.960000001</v>
      </c>
      <c r="T20" s="27">
        <f>Trend!T82+Trend!T84</f>
        <v>1253775.8599999999</v>
      </c>
      <c r="U20" s="27">
        <f>Trend!U82+Trend!U84</f>
        <v>2037941.67</v>
      </c>
      <c r="V20" s="27">
        <f>Trend!V82+Trend!V84</f>
        <v>2759424.89</v>
      </c>
      <c r="W20" s="27">
        <f>Trend!W82+Trend!W84</f>
        <v>5265833.78</v>
      </c>
      <c r="X20" s="27">
        <f>Trend!X82+Trend!X84</f>
        <v>6895739.7300000004</v>
      </c>
      <c r="Y20" s="27">
        <f>Trend!Y82+Trend!Y84</f>
        <v>7869649.1699999999</v>
      </c>
      <c r="Z20" s="27">
        <f>Trend!Z82+Trend!Z84</f>
        <v>9224904.3800000008</v>
      </c>
      <c r="AA20" s="27">
        <f>Trend!AA82+Trend!AA84</f>
        <v>10573614.4</v>
      </c>
      <c r="AB20" s="27">
        <f>Trend!AB82+Trend!AB84</f>
        <v>11948917.34</v>
      </c>
      <c r="AC20" s="27">
        <f>Trend!AC82+Trend!AC84</f>
        <v>14082838.779999999</v>
      </c>
      <c r="AD20" s="27">
        <f>Trend!AD82+Trend!AD84</f>
        <v>15386652.02</v>
      </c>
      <c r="AE20" s="27">
        <f>Trend!AE82+Trend!AE84</f>
        <v>16328396.289999999</v>
      </c>
      <c r="AF20" s="27">
        <f>Trend!AF82+Trend!AF84</f>
        <v>0</v>
      </c>
      <c r="AG20" s="27">
        <f>Trend!AG82+Trend!AG84</f>
        <v>1090762.43</v>
      </c>
      <c r="AH20" s="27">
        <f>Trend!AH82+Trend!AH84</f>
        <v>2130581.7599999998</v>
      </c>
      <c r="AI20" s="27">
        <f>Trend!AI82+Trend!AI84</f>
        <v>2916014.5</v>
      </c>
      <c r="AJ20" s="27">
        <f>Trend!AJ82+Trend!AJ84</f>
        <v>4351085.6900000004</v>
      </c>
      <c r="AK20" s="27">
        <f>Trend!AK82+Trend!AK84</f>
        <v>5783296.1900000004</v>
      </c>
      <c r="AL20" s="27">
        <f>Trend!AL82+Trend!AL84</f>
        <v>11026671.609999999</v>
      </c>
      <c r="AM20" s="27">
        <f>Trend!AM82+Trend!AM84</f>
        <v>12017889.42</v>
      </c>
      <c r="AN20" s="27">
        <f>Trend!AN82+Trend!AN84</f>
        <v>12868203.370000001</v>
      </c>
      <c r="AO20" s="27">
        <f>Trend!AO82+Trend!AO84</f>
        <v>14363906.09</v>
      </c>
      <c r="AP20" s="27">
        <f>Trend!AP82+Trend!AP84</f>
        <v>16037939.109999999</v>
      </c>
      <c r="AQ20" s="27">
        <f>Trend!AQ82+Trend!AQ84</f>
        <v>17350195.629999999</v>
      </c>
      <c r="AR20" s="27">
        <f>Trend!AR82+Trend!AR84</f>
        <v>0</v>
      </c>
      <c r="AS20" s="27">
        <f>Trend!AS82+Trend!AS84</f>
        <v>15509236</v>
      </c>
      <c r="AT20" s="27">
        <f>Trend!AT82+Trend!AT84</f>
        <v>0</v>
      </c>
      <c r="AU20" s="27">
        <f>Trend!AU82+Trend!AU84</f>
        <v>0</v>
      </c>
      <c r="AV20" s="27">
        <f>Trend!AV82+Trend!AV84</f>
        <v>0</v>
      </c>
      <c r="AW20" s="27">
        <f>Trend!AW82+Trend!AW84</f>
        <v>0</v>
      </c>
      <c r="AX20" s="27">
        <f>Trend!AX82+Trend!AX84</f>
        <v>0</v>
      </c>
      <c r="AY20" s="27">
        <f>Trend!AY82+Trend!AY84</f>
        <v>0</v>
      </c>
      <c r="AZ20" s="27">
        <f>Trend!AZ82+Trend!AZ84</f>
        <v>0</v>
      </c>
    </row>
    <row r="21" spans="1:52">
      <c r="A21" s="8">
        <v>6</v>
      </c>
      <c r="B21" s="34" t="s">
        <v>125</v>
      </c>
      <c r="C21" s="35">
        <f t="shared" ref="C21:J21" si="9">C23</f>
        <v>40449810</v>
      </c>
      <c r="D21" s="35">
        <f t="shared" si="9"/>
        <v>49120055</v>
      </c>
      <c r="E21" s="35">
        <f t="shared" si="9"/>
        <v>49120055</v>
      </c>
      <c r="F21" s="35">
        <f t="shared" si="9"/>
        <v>49120055</v>
      </c>
      <c r="G21" s="35">
        <f t="shared" si="9"/>
        <v>49120054.799999997</v>
      </c>
      <c r="H21" s="35">
        <f t="shared" si="9"/>
        <v>49120054.799999997</v>
      </c>
      <c r="I21" s="35">
        <f t="shared" si="9"/>
        <v>49120054.799999997</v>
      </c>
      <c r="J21" s="35">
        <f t="shared" si="9"/>
        <v>49120054.799999997</v>
      </c>
      <c r="K21" s="35">
        <f t="shared" ref="K21:S21" si="10">K23+K22</f>
        <v>49120054.799999997</v>
      </c>
      <c r="L21" s="35">
        <f t="shared" si="10"/>
        <v>49120054.799999997</v>
      </c>
      <c r="M21" s="35">
        <f t="shared" si="10"/>
        <v>49120054.799999997</v>
      </c>
      <c r="N21" s="35">
        <f t="shared" si="10"/>
        <v>49120054.799999997</v>
      </c>
      <c r="O21" s="35">
        <f t="shared" si="10"/>
        <v>49120054.799999997</v>
      </c>
      <c r="P21" s="35">
        <f t="shared" si="10"/>
        <v>49120054.799999997</v>
      </c>
      <c r="Q21" s="35">
        <f t="shared" si="10"/>
        <v>49120054.799999997</v>
      </c>
      <c r="R21" s="35">
        <f t="shared" si="10"/>
        <v>49120054.799999997</v>
      </c>
      <c r="S21" s="35">
        <f t="shared" si="10"/>
        <v>5151498</v>
      </c>
      <c r="T21" s="35">
        <f t="shared" ref="T21:AZ21" si="11">T23+T22</f>
        <v>49120054.799999997</v>
      </c>
      <c r="U21" s="35">
        <f t="shared" si="11"/>
        <v>5151497.8</v>
      </c>
      <c r="V21" s="35">
        <f t="shared" si="11"/>
        <v>5151497.8</v>
      </c>
      <c r="W21" s="35">
        <f t="shared" si="11"/>
        <v>5151497.8</v>
      </c>
      <c r="X21" s="35">
        <f t="shared" si="11"/>
        <v>5151497.8</v>
      </c>
      <c r="Y21" s="35">
        <f t="shared" si="11"/>
        <v>5151497.8</v>
      </c>
      <c r="Z21" s="35">
        <f t="shared" si="11"/>
        <v>5151497.8</v>
      </c>
      <c r="AA21" s="35">
        <f t="shared" si="11"/>
        <v>5151497.8</v>
      </c>
      <c r="AB21" s="35">
        <f t="shared" si="11"/>
        <v>5151497.8</v>
      </c>
      <c r="AC21" s="35">
        <f t="shared" si="11"/>
        <v>5151497.8</v>
      </c>
      <c r="AD21" s="35">
        <f t="shared" si="11"/>
        <v>5151497.8</v>
      </c>
      <c r="AE21" s="35">
        <f t="shared" si="11"/>
        <v>5151497.8</v>
      </c>
      <c r="AF21" s="35">
        <f t="shared" si="11"/>
        <v>5151498</v>
      </c>
      <c r="AG21" s="35">
        <f t="shared" si="11"/>
        <v>5151497.8</v>
      </c>
      <c r="AH21" s="35">
        <f t="shared" si="11"/>
        <v>5151497.8</v>
      </c>
      <c r="AI21" s="35">
        <f t="shared" si="11"/>
        <v>5151497.8</v>
      </c>
      <c r="AJ21" s="35">
        <f t="shared" si="11"/>
        <v>5151497.8</v>
      </c>
      <c r="AK21" s="35">
        <f t="shared" si="11"/>
        <v>5151497.8</v>
      </c>
      <c r="AL21" s="35">
        <f t="shared" si="11"/>
        <v>5151497.8</v>
      </c>
      <c r="AM21" s="35">
        <f t="shared" si="11"/>
        <v>5151497.8</v>
      </c>
      <c r="AN21" s="35">
        <f t="shared" si="11"/>
        <v>5151497.8</v>
      </c>
      <c r="AO21" s="35">
        <f t="shared" si="11"/>
        <v>5151497.8</v>
      </c>
      <c r="AP21" s="35">
        <f t="shared" si="11"/>
        <v>5151497.8</v>
      </c>
      <c r="AQ21" s="35">
        <f t="shared" si="11"/>
        <v>5151497.8</v>
      </c>
      <c r="AR21" s="35">
        <f t="shared" si="11"/>
        <v>5151497.8</v>
      </c>
      <c r="AS21" s="35" t="e">
        <f t="shared" si="11"/>
        <v>#REF!</v>
      </c>
      <c r="AT21" s="35">
        <f t="shared" si="11"/>
        <v>5151497.8</v>
      </c>
      <c r="AU21" s="35">
        <f t="shared" si="11"/>
        <v>5151497.8</v>
      </c>
      <c r="AV21" s="35">
        <f t="shared" si="11"/>
        <v>5151497.8</v>
      </c>
      <c r="AW21" s="35">
        <f t="shared" si="11"/>
        <v>5151497.8</v>
      </c>
      <c r="AX21" s="35">
        <f t="shared" si="11"/>
        <v>5151497.8</v>
      </c>
      <c r="AY21" s="35">
        <f t="shared" si="11"/>
        <v>5151497.8</v>
      </c>
      <c r="AZ21" s="35">
        <f t="shared" si="11"/>
        <v>0</v>
      </c>
    </row>
    <row r="22" spans="1:52">
      <c r="A22" s="9">
        <v>6.1</v>
      </c>
      <c r="B22" s="7" t="s">
        <v>126</v>
      </c>
      <c r="C22" s="27">
        <f>Trend!C12</f>
        <v>0</v>
      </c>
      <c r="D22" s="27">
        <f>Trend!D12</f>
        <v>0</v>
      </c>
      <c r="E22" s="27">
        <f>Trend!E12</f>
        <v>0</v>
      </c>
      <c r="F22" s="27">
        <f>Trend!F12</f>
        <v>0</v>
      </c>
      <c r="G22" s="27">
        <f>Trend!G12</f>
        <v>0</v>
      </c>
      <c r="H22" s="27">
        <f>Trend!H12</f>
        <v>0</v>
      </c>
      <c r="I22" s="27">
        <f>Trend!I12</f>
        <v>0</v>
      </c>
      <c r="J22" s="27">
        <f>Trend!J12</f>
        <v>0</v>
      </c>
      <c r="K22" s="27">
        <f>Trend!K12</f>
        <v>0</v>
      </c>
      <c r="L22" s="27">
        <f>Trend!L12</f>
        <v>0</v>
      </c>
      <c r="M22" s="27">
        <f>Trend!M12</f>
        <v>0</v>
      </c>
      <c r="N22" s="27">
        <f>Trend!N12</f>
        <v>0</v>
      </c>
      <c r="O22" s="27">
        <f>Trend!O12</f>
        <v>0</v>
      </c>
      <c r="P22" s="27">
        <f>Trend!P12</f>
        <v>0</v>
      </c>
      <c r="Q22" s="27">
        <f>Trend!Q12</f>
        <v>0</v>
      </c>
      <c r="R22" s="27">
        <f>Trend!R12</f>
        <v>0</v>
      </c>
      <c r="S22" s="27">
        <f>Trend!S12</f>
        <v>0</v>
      </c>
      <c r="T22" s="27">
        <f>Trend!T12</f>
        <v>0</v>
      </c>
      <c r="U22" s="27">
        <f>Trend!U12</f>
        <v>0</v>
      </c>
      <c r="V22" s="27">
        <f>Trend!V12</f>
        <v>0</v>
      </c>
      <c r="W22" s="27">
        <f>Trend!W12</f>
        <v>0</v>
      </c>
      <c r="X22" s="27">
        <f>Trend!X12</f>
        <v>0</v>
      </c>
      <c r="Y22" s="27">
        <f>Trend!Y12</f>
        <v>0</v>
      </c>
      <c r="Z22" s="27">
        <f>Trend!Z12</f>
        <v>0</v>
      </c>
      <c r="AA22" s="27">
        <f>Trend!AA12</f>
        <v>0</v>
      </c>
      <c r="AB22" s="27">
        <f>Trend!AB12</f>
        <v>0</v>
      </c>
      <c r="AC22" s="27">
        <f>Trend!AC12</f>
        <v>0</v>
      </c>
      <c r="AD22" s="27">
        <f>Trend!AD12</f>
        <v>0</v>
      </c>
      <c r="AE22" s="27">
        <f>Trend!AE12</f>
        <v>0</v>
      </c>
      <c r="AF22" s="27">
        <f>Trend!AF12</f>
        <v>0</v>
      </c>
      <c r="AG22" s="27">
        <f>Trend!AG12</f>
        <v>5151497.8</v>
      </c>
      <c r="AH22" s="27">
        <f>Trend!AH12</f>
        <v>5151497.8</v>
      </c>
      <c r="AI22" s="27">
        <f>Trend!AI12</f>
        <v>5151497.8</v>
      </c>
      <c r="AJ22" s="27">
        <f>Trend!AJ12</f>
        <v>5151497.8</v>
      </c>
      <c r="AK22" s="27">
        <f>Trend!AK12</f>
        <v>5151497.8</v>
      </c>
      <c r="AL22" s="27">
        <f>Trend!AL12</f>
        <v>5151497.8</v>
      </c>
      <c r="AM22" s="27">
        <f>Trend!AM12</f>
        <v>5151497.8</v>
      </c>
      <c r="AN22" s="27">
        <f>Trend!AN12</f>
        <v>5151497.8</v>
      </c>
      <c r="AO22" s="27">
        <f>Trend!AO12</f>
        <v>5151497.8</v>
      </c>
      <c r="AP22" s="27">
        <f>Trend!AP12</f>
        <v>5151497.8</v>
      </c>
      <c r="AQ22" s="27">
        <f>Trend!AQ12</f>
        <v>5151497.8</v>
      </c>
      <c r="AR22" s="27">
        <f>Trend!AR12</f>
        <v>5151497.8</v>
      </c>
      <c r="AS22" s="27" t="e">
        <f>Trend!#REF!</f>
        <v>#REF!</v>
      </c>
      <c r="AT22" s="27">
        <f>Trend!AT12</f>
        <v>5151497.8</v>
      </c>
      <c r="AU22" s="27">
        <f>Trend!AU12</f>
        <v>5151497.8</v>
      </c>
      <c r="AV22" s="27">
        <f>Trend!AV12</f>
        <v>5151497.8</v>
      </c>
      <c r="AW22" s="27">
        <f>Trend!AW12</f>
        <v>5151497.8</v>
      </c>
      <c r="AX22" s="27">
        <f>Trend!AX12</f>
        <v>5151497.8</v>
      </c>
      <c r="AY22" s="27">
        <f>Trend!AY12</f>
        <v>5151497.8</v>
      </c>
      <c r="AZ22" s="27">
        <f>Trend!AZ12</f>
        <v>0</v>
      </c>
    </row>
    <row r="23" spans="1:52">
      <c r="A23" s="9">
        <v>6.2</v>
      </c>
      <c r="B23" s="7" t="s">
        <v>127</v>
      </c>
      <c r="C23" s="27">
        <f>Trend!C13</f>
        <v>40449810</v>
      </c>
      <c r="D23" s="27">
        <f>Trend!D13</f>
        <v>49120055</v>
      </c>
      <c r="E23" s="27">
        <f>Trend!E13</f>
        <v>49120055</v>
      </c>
      <c r="F23" s="27">
        <f>Trend!F13</f>
        <v>49120055</v>
      </c>
      <c r="G23" s="27">
        <f>Trend!G13</f>
        <v>49120054.799999997</v>
      </c>
      <c r="H23" s="27">
        <f>Trend!H13</f>
        <v>49120054.799999997</v>
      </c>
      <c r="I23" s="27">
        <f>Trend!I13</f>
        <v>49120054.799999997</v>
      </c>
      <c r="J23" s="27">
        <f>Trend!J13</f>
        <v>49120054.799999997</v>
      </c>
      <c r="K23" s="27">
        <f>Trend!K13</f>
        <v>49120054.799999997</v>
      </c>
      <c r="L23" s="27">
        <f>Trend!L13</f>
        <v>49120054.799999997</v>
      </c>
      <c r="M23" s="27">
        <f>Trend!M13</f>
        <v>49120054.799999997</v>
      </c>
      <c r="N23" s="27">
        <f>Trend!N13</f>
        <v>49120054.799999997</v>
      </c>
      <c r="O23" s="27">
        <f>Trend!O13</f>
        <v>49120054.799999997</v>
      </c>
      <c r="P23" s="27">
        <f>Trend!P13</f>
        <v>49120054.799999997</v>
      </c>
      <c r="Q23" s="27">
        <f>Trend!Q13</f>
        <v>49120054.799999997</v>
      </c>
      <c r="R23" s="27">
        <f>Trend!R13</f>
        <v>49120054.799999997</v>
      </c>
      <c r="S23" s="27">
        <f>Trend!S13</f>
        <v>5151498</v>
      </c>
      <c r="T23" s="27">
        <f>Trend!T13</f>
        <v>49120054.799999997</v>
      </c>
      <c r="U23" s="27">
        <f>Trend!U13</f>
        <v>5151497.8</v>
      </c>
      <c r="V23" s="27">
        <f>Trend!V13</f>
        <v>5151497.8</v>
      </c>
      <c r="W23" s="27">
        <f>Trend!W13</f>
        <v>5151497.8</v>
      </c>
      <c r="X23" s="27">
        <f>Trend!X13</f>
        <v>5151497.8</v>
      </c>
      <c r="Y23" s="27">
        <f>Trend!Y13</f>
        <v>5151497.8</v>
      </c>
      <c r="Z23" s="27">
        <f>Trend!Z13</f>
        <v>5151497.8</v>
      </c>
      <c r="AA23" s="27">
        <f>Trend!AA13</f>
        <v>5151497.8</v>
      </c>
      <c r="AB23" s="27">
        <f>Trend!AB13</f>
        <v>5151497.8</v>
      </c>
      <c r="AC23" s="27">
        <f>Trend!AC13</f>
        <v>5151497.8</v>
      </c>
      <c r="AD23" s="27">
        <f>Trend!AD13</f>
        <v>5151497.8</v>
      </c>
      <c r="AE23" s="27">
        <f>Trend!AE13</f>
        <v>5151497.8</v>
      </c>
      <c r="AF23" s="27">
        <f>Trend!AF13</f>
        <v>5151498</v>
      </c>
      <c r="AG23" s="27">
        <f>Trend!AG13</f>
        <v>0</v>
      </c>
      <c r="AH23" s="27">
        <f>Trend!AH13</f>
        <v>0</v>
      </c>
      <c r="AI23" s="27">
        <f>Trend!AI13</f>
        <v>0</v>
      </c>
      <c r="AJ23" s="27">
        <f>Trend!AJ13</f>
        <v>0</v>
      </c>
      <c r="AK23" s="27">
        <f>Trend!AK13</f>
        <v>0</v>
      </c>
      <c r="AL23" s="27">
        <f>Trend!AL13</f>
        <v>0</v>
      </c>
      <c r="AM23" s="27">
        <f>Trend!AM13</f>
        <v>0</v>
      </c>
      <c r="AN23" s="27">
        <f>Trend!AN13</f>
        <v>0</v>
      </c>
      <c r="AO23" s="27">
        <f>Trend!AO13</f>
        <v>0</v>
      </c>
      <c r="AP23" s="27">
        <f>Trend!AP13</f>
        <v>0</v>
      </c>
      <c r="AQ23" s="27">
        <f>Trend!AQ13</f>
        <v>0</v>
      </c>
      <c r="AR23" s="27">
        <f>Trend!AR13</f>
        <v>0</v>
      </c>
      <c r="AS23" s="27">
        <f>Trend!AS12</f>
        <v>5151498</v>
      </c>
      <c r="AT23" s="27">
        <f>Trend!AT13</f>
        <v>0</v>
      </c>
      <c r="AU23" s="27">
        <f>Trend!AU13</f>
        <v>0</v>
      </c>
      <c r="AV23" s="27">
        <f>Trend!AV13</f>
        <v>0</v>
      </c>
      <c r="AW23" s="27">
        <f>Trend!AW13</f>
        <v>0</v>
      </c>
      <c r="AX23" s="27">
        <f>Trend!AX13</f>
        <v>0</v>
      </c>
      <c r="AY23" s="27">
        <f>Trend!AY13</f>
        <v>0</v>
      </c>
      <c r="AZ23" s="27">
        <f>Trend!AZ13</f>
        <v>0</v>
      </c>
    </row>
    <row r="24" spans="1:52" ht="12.95" thickBot="1">
      <c r="A24" s="10">
        <v>6.3</v>
      </c>
      <c r="B24" s="15" t="s">
        <v>128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</row>
    <row r="25" spans="1:52">
      <c r="A25" s="8">
        <v>7</v>
      </c>
      <c r="B25" s="34" t="s">
        <v>129</v>
      </c>
      <c r="C25" s="35">
        <f>C26-C27</f>
        <v>108864930</v>
      </c>
      <c r="D25" s="35">
        <f>D26-D27</f>
        <v>112673981</v>
      </c>
      <c r="E25" s="35">
        <f>E26-E27</f>
        <v>118004126</v>
      </c>
      <c r="F25" s="35">
        <f>F26-F27</f>
        <v>126643002</v>
      </c>
      <c r="G25" s="35">
        <f t="shared" ref="G25:L25" si="12">G26-G27</f>
        <v>144740267</v>
      </c>
      <c r="H25" s="35">
        <f t="shared" si="12"/>
        <v>139423704</v>
      </c>
      <c r="I25" s="35">
        <f t="shared" si="12"/>
        <v>138129985</v>
      </c>
      <c r="J25" s="35">
        <f t="shared" si="12"/>
        <v>133289652</v>
      </c>
      <c r="K25" s="35">
        <f t="shared" si="12"/>
        <v>134500365.66999999</v>
      </c>
      <c r="L25" s="35">
        <f t="shared" si="12"/>
        <v>134658921</v>
      </c>
      <c r="M25" s="35">
        <f t="shared" ref="M25:S25" si="13">M26-M27</f>
        <v>139596986.4747</v>
      </c>
      <c r="N25" s="35">
        <f t="shared" si="13"/>
        <v>144836859</v>
      </c>
      <c r="O25" s="35">
        <f t="shared" si="13"/>
        <v>154875142</v>
      </c>
      <c r="P25" s="35">
        <f t="shared" si="13"/>
        <v>160973544</v>
      </c>
      <c r="Q25" s="35">
        <f t="shared" si="13"/>
        <v>165088427</v>
      </c>
      <c r="R25" s="35">
        <f t="shared" si="13"/>
        <v>165037244</v>
      </c>
      <c r="S25" s="35">
        <f t="shared" si="13"/>
        <v>164933870.68939996</v>
      </c>
      <c r="T25" s="35">
        <f t="shared" ref="T25:AZ25" si="14">T26-T27</f>
        <v>173280635</v>
      </c>
      <c r="U25" s="35">
        <f t="shared" si="14"/>
        <v>172994468</v>
      </c>
      <c r="V25" s="35">
        <f t="shared" si="14"/>
        <v>169023899</v>
      </c>
      <c r="W25" s="35">
        <f t="shared" si="14"/>
        <v>169018065</v>
      </c>
      <c r="X25" s="35">
        <f t="shared" si="14"/>
        <v>168026846</v>
      </c>
      <c r="Y25" s="35">
        <f t="shared" si="14"/>
        <v>165341272</v>
      </c>
      <c r="Z25" s="35">
        <f t="shared" si="14"/>
        <v>184237798</v>
      </c>
      <c r="AA25" s="35">
        <f t="shared" si="14"/>
        <v>181592809</v>
      </c>
      <c r="AB25" s="35">
        <f t="shared" si="14"/>
        <v>177447463</v>
      </c>
      <c r="AC25" s="35">
        <f t="shared" si="14"/>
        <v>177705601</v>
      </c>
      <c r="AD25" s="35">
        <f t="shared" si="14"/>
        <v>172800310</v>
      </c>
      <c r="AE25" s="35">
        <f t="shared" si="14"/>
        <v>175577793</v>
      </c>
      <c r="AF25" s="35">
        <f t="shared" si="14"/>
        <v>175570859</v>
      </c>
      <c r="AG25" s="35">
        <f t="shared" si="14"/>
        <v>172642836</v>
      </c>
      <c r="AH25" s="35">
        <f t="shared" si="14"/>
        <v>168843473</v>
      </c>
      <c r="AI25" s="35">
        <f t="shared" si="14"/>
        <v>165808468</v>
      </c>
      <c r="AJ25" s="35">
        <f t="shared" si="14"/>
        <v>182814786</v>
      </c>
      <c r="AK25" s="35">
        <f t="shared" si="14"/>
        <v>181537338</v>
      </c>
      <c r="AL25" s="35">
        <f t="shared" si="14"/>
        <v>178265575</v>
      </c>
      <c r="AM25" s="35">
        <f t="shared" si="14"/>
        <v>176572991</v>
      </c>
      <c r="AN25" s="35">
        <f t="shared" si="14"/>
        <v>182489817</v>
      </c>
      <c r="AO25" s="35">
        <f t="shared" si="14"/>
        <v>183345738</v>
      </c>
      <c r="AP25" s="35">
        <f t="shared" si="14"/>
        <v>186109490</v>
      </c>
      <c r="AQ25" s="35">
        <f t="shared" si="14"/>
        <v>181552892</v>
      </c>
      <c r="AR25" s="35">
        <f t="shared" si="14"/>
        <v>184968400</v>
      </c>
      <c r="AS25" s="35">
        <f t="shared" si="14"/>
        <v>184968991</v>
      </c>
      <c r="AT25" s="35">
        <f t="shared" si="14"/>
        <v>203816857</v>
      </c>
      <c r="AU25" s="35">
        <f t="shared" si="14"/>
        <v>206236938</v>
      </c>
      <c r="AV25" s="35">
        <f t="shared" si="14"/>
        <v>197394719</v>
      </c>
      <c r="AW25" s="35">
        <f t="shared" si="14"/>
        <v>191703999</v>
      </c>
      <c r="AX25" s="35">
        <f t="shared" si="14"/>
        <v>191065599</v>
      </c>
      <c r="AY25" s="35">
        <f t="shared" si="14"/>
        <v>188942294</v>
      </c>
      <c r="AZ25" s="35">
        <f t="shared" si="14"/>
        <v>181059969</v>
      </c>
    </row>
    <row r="26" spans="1:52">
      <c r="A26" s="9">
        <v>7.1</v>
      </c>
      <c r="B26" s="6" t="s">
        <v>130</v>
      </c>
      <c r="C26" s="27">
        <f>Trend!C17</f>
        <v>112489704</v>
      </c>
      <c r="D26" s="27">
        <f>Trend!D17</f>
        <v>116513632</v>
      </c>
      <c r="E26" s="27">
        <f>Trend!E17</f>
        <v>121965745</v>
      </c>
      <c r="F26" s="27">
        <f>Trend!F17</f>
        <v>131804621</v>
      </c>
      <c r="G26" s="27">
        <f>Trend!G17</f>
        <v>149901886</v>
      </c>
      <c r="H26" s="27">
        <f>Trend!H17</f>
        <v>144585323</v>
      </c>
      <c r="I26" s="27">
        <f>Trend!I17</f>
        <v>143291604</v>
      </c>
      <c r="J26" s="27">
        <f>Trend!J17</f>
        <v>138451271</v>
      </c>
      <c r="K26" s="27">
        <f>Trend!K17</f>
        <v>139995318</v>
      </c>
      <c r="L26" s="27">
        <f>Trend!L17</f>
        <v>140220540</v>
      </c>
      <c r="M26" s="27">
        <f>Trend!M17</f>
        <v>145258605.4747</v>
      </c>
      <c r="N26" s="27">
        <f>Trend!N17</f>
        <v>150498478</v>
      </c>
      <c r="O26" s="27">
        <f>Trend!O17</f>
        <v>160536761</v>
      </c>
      <c r="P26" s="27">
        <f>Trend!P17</f>
        <v>166635163</v>
      </c>
      <c r="Q26" s="27">
        <f>Trend!Q17</f>
        <v>170750046</v>
      </c>
      <c r="R26" s="27">
        <f>Trend!R17</f>
        <v>170698863</v>
      </c>
      <c r="S26" s="27">
        <f>Trend!S17</f>
        <v>170595489.68939996</v>
      </c>
      <c r="T26" s="27">
        <f>Trend!T17</f>
        <v>178942254</v>
      </c>
      <c r="U26" s="27">
        <f>Trend!U17</f>
        <v>178656087</v>
      </c>
      <c r="V26" s="27">
        <f>Trend!V17</f>
        <v>174685518</v>
      </c>
      <c r="W26" s="27">
        <f>Trend!W17</f>
        <v>174679684</v>
      </c>
      <c r="X26" s="27">
        <f>Trend!X17</f>
        <v>173688465</v>
      </c>
      <c r="Y26" s="27">
        <f>Trend!Y17</f>
        <v>171002891</v>
      </c>
      <c r="Z26" s="27">
        <f>Trend!Z17</f>
        <v>189899417</v>
      </c>
      <c r="AA26" s="27">
        <f>Trend!AA17</f>
        <v>187254428</v>
      </c>
      <c r="AB26" s="27">
        <f>Trend!AB17</f>
        <v>183109082</v>
      </c>
      <c r="AC26" s="27">
        <f>Trend!AC17</f>
        <v>183367220</v>
      </c>
      <c r="AD26" s="27">
        <f>Trend!AD17</f>
        <v>178461929</v>
      </c>
      <c r="AE26" s="27">
        <f>Trend!AE17</f>
        <v>181539412</v>
      </c>
      <c r="AF26" s="27">
        <f>Trend!AF17</f>
        <v>181532478</v>
      </c>
      <c r="AG26" s="27">
        <f>Trend!AG17</f>
        <v>178604455</v>
      </c>
      <c r="AH26" s="27">
        <f>Trend!AH17</f>
        <v>174805092</v>
      </c>
      <c r="AI26" s="27">
        <f>Trend!AI17</f>
        <v>171770087</v>
      </c>
      <c r="AJ26" s="27">
        <f>Trend!AJ17</f>
        <v>188776405</v>
      </c>
      <c r="AK26" s="27">
        <f>Trend!AK17</f>
        <v>187498957</v>
      </c>
      <c r="AL26" s="27">
        <f>Trend!AL17</f>
        <v>184227194</v>
      </c>
      <c r="AM26" s="27">
        <f>Trend!AM17</f>
        <v>182534610</v>
      </c>
      <c r="AN26" s="27">
        <f>Trend!AN17</f>
        <v>188451436</v>
      </c>
      <c r="AO26" s="27">
        <f>Trend!AO17</f>
        <v>189307357</v>
      </c>
      <c r="AP26" s="27">
        <f>Trend!AP17</f>
        <v>192071109</v>
      </c>
      <c r="AQ26" s="27">
        <f>Trend!AQ17</f>
        <v>187514511</v>
      </c>
      <c r="AR26" s="27">
        <f>Trend!AR17</f>
        <v>191230019</v>
      </c>
      <c r="AS26" s="27">
        <f>Trend!AS17</f>
        <v>191230610</v>
      </c>
      <c r="AT26" s="27">
        <f>Trend!AT17</f>
        <v>210078476</v>
      </c>
      <c r="AU26" s="27">
        <f>Trend!AU17</f>
        <v>212498557</v>
      </c>
      <c r="AV26" s="27">
        <f>Trend!AV17</f>
        <v>203656338</v>
      </c>
      <c r="AW26" s="27">
        <f>Trend!AW17</f>
        <v>197965618</v>
      </c>
      <c r="AX26" s="27">
        <f>Trend!AX17</f>
        <v>197327218</v>
      </c>
      <c r="AY26" s="27">
        <f>Trend!AY17</f>
        <v>195353913</v>
      </c>
      <c r="AZ26" s="27">
        <f>Trend!AZ17</f>
        <v>187471588</v>
      </c>
    </row>
    <row r="27" spans="1:52">
      <c r="A27" s="9">
        <v>7.3</v>
      </c>
      <c r="B27" s="6" t="s">
        <v>131</v>
      </c>
      <c r="C27" s="27">
        <f>Trend!C18</f>
        <v>3624774</v>
      </c>
      <c r="D27" s="27">
        <f>Trend!D18</f>
        <v>3839651</v>
      </c>
      <c r="E27" s="27">
        <f>Trend!E18</f>
        <v>3961619</v>
      </c>
      <c r="F27" s="27">
        <f>Trend!F18</f>
        <v>5161619</v>
      </c>
      <c r="G27" s="27">
        <f>Trend!G18</f>
        <v>5161619</v>
      </c>
      <c r="H27" s="27">
        <f>Trend!H18</f>
        <v>5161619</v>
      </c>
      <c r="I27" s="27">
        <f>Trend!I18</f>
        <v>5161619</v>
      </c>
      <c r="J27" s="27">
        <f>Trend!J18</f>
        <v>5161619</v>
      </c>
      <c r="K27" s="27">
        <f>Trend!K18</f>
        <v>5494952.3300000001</v>
      </c>
      <c r="L27" s="27">
        <f>Trend!L18</f>
        <v>5561619</v>
      </c>
      <c r="M27" s="27">
        <f>Trend!M18</f>
        <v>5661619</v>
      </c>
      <c r="N27" s="27">
        <f>Trend!N18</f>
        <v>5661619</v>
      </c>
      <c r="O27" s="27">
        <f>Trend!O18</f>
        <v>5661619</v>
      </c>
      <c r="P27" s="27">
        <f>Trend!P18</f>
        <v>5661619</v>
      </c>
      <c r="Q27" s="27">
        <f>Trend!Q18</f>
        <v>5661619</v>
      </c>
      <c r="R27" s="27">
        <f>Trend!R18</f>
        <v>5661619</v>
      </c>
      <c r="S27" s="27">
        <f>Trend!S18</f>
        <v>5661619</v>
      </c>
      <c r="T27" s="27">
        <f>Trend!T18</f>
        <v>5661619</v>
      </c>
      <c r="U27" s="27">
        <f>Trend!U18</f>
        <v>5661619</v>
      </c>
      <c r="V27" s="27">
        <f>Trend!V18</f>
        <v>5661619</v>
      </c>
      <c r="W27" s="27">
        <f>Trend!W18</f>
        <v>5661619</v>
      </c>
      <c r="X27" s="27">
        <f>Trend!X18</f>
        <v>5661619</v>
      </c>
      <c r="Y27" s="27">
        <f>Trend!Y18</f>
        <v>5661619</v>
      </c>
      <c r="Z27" s="27">
        <f>Trend!Z18</f>
        <v>5661619</v>
      </c>
      <c r="AA27" s="27">
        <f>Trend!AA18</f>
        <v>5661619</v>
      </c>
      <c r="AB27" s="27">
        <f>Trend!AB18</f>
        <v>5661619</v>
      </c>
      <c r="AC27" s="27">
        <f>Trend!AC18</f>
        <v>5661619</v>
      </c>
      <c r="AD27" s="27">
        <f>Trend!AD18</f>
        <v>5661619</v>
      </c>
      <c r="AE27" s="27">
        <f>Trend!AE18</f>
        <v>5961619</v>
      </c>
      <c r="AF27" s="27">
        <f>Trend!AF18</f>
        <v>5961619</v>
      </c>
      <c r="AG27" s="27">
        <f>Trend!AG18</f>
        <v>5961619</v>
      </c>
      <c r="AH27" s="27">
        <f>Trend!AH18</f>
        <v>5961619</v>
      </c>
      <c r="AI27" s="27">
        <f>Trend!AI18</f>
        <v>5961619</v>
      </c>
      <c r="AJ27" s="27">
        <f>Trend!AJ18</f>
        <v>5961619</v>
      </c>
      <c r="AK27" s="27">
        <f>Trend!AK18</f>
        <v>5961619</v>
      </c>
      <c r="AL27" s="27">
        <f>Trend!AL18</f>
        <v>5961619</v>
      </c>
      <c r="AM27" s="27">
        <f>Trend!AM18</f>
        <v>5961619</v>
      </c>
      <c r="AN27" s="27">
        <f>Trend!AN18</f>
        <v>5961619</v>
      </c>
      <c r="AO27" s="27">
        <f>Trend!AO18</f>
        <v>5961619</v>
      </c>
      <c r="AP27" s="27">
        <f>Trend!AP18</f>
        <v>5961619</v>
      </c>
      <c r="AQ27" s="27">
        <f>Trend!AQ18</f>
        <v>5961619</v>
      </c>
      <c r="AR27" s="27">
        <f>Trend!AR18</f>
        <v>6261619</v>
      </c>
      <c r="AS27" s="27">
        <f>Trend!AS18</f>
        <v>6261619</v>
      </c>
      <c r="AT27" s="27">
        <f>Trend!AT18</f>
        <v>6261619</v>
      </c>
      <c r="AU27" s="27">
        <f>Trend!AU18</f>
        <v>6261619</v>
      </c>
      <c r="AV27" s="27">
        <f>Trend!AV18</f>
        <v>6261619</v>
      </c>
      <c r="AW27" s="27">
        <f>Trend!AW18</f>
        <v>6261619</v>
      </c>
      <c r="AX27" s="27">
        <f>Trend!AX18</f>
        <v>6261619</v>
      </c>
      <c r="AY27" s="27">
        <f>Trend!AY18</f>
        <v>6411619</v>
      </c>
      <c r="AZ27" s="27">
        <f>Trend!AZ18</f>
        <v>6411619</v>
      </c>
    </row>
    <row r="28" spans="1:52" ht="12.95" thickBot="1">
      <c r="A28" s="17">
        <v>7.4</v>
      </c>
      <c r="B28" s="6" t="s">
        <v>132</v>
      </c>
      <c r="C28" s="27">
        <v>-4</v>
      </c>
      <c r="D28" s="27">
        <v>-3</v>
      </c>
      <c r="E28" s="27">
        <v>-2</v>
      </c>
      <c r="F28" s="27">
        <v>-1</v>
      </c>
      <c r="G28" s="27">
        <v>0</v>
      </c>
      <c r="H28" s="27">
        <v>0</v>
      </c>
      <c r="I28" s="27">
        <v>0</v>
      </c>
      <c r="J28" s="27">
        <v>0</v>
      </c>
      <c r="K28" s="27">
        <v>10</v>
      </c>
      <c r="L28" s="27"/>
      <c r="M28" s="27">
        <v>24</v>
      </c>
      <c r="N28" s="27">
        <v>25</v>
      </c>
      <c r="O28" s="27">
        <v>26</v>
      </c>
      <c r="P28" s="27">
        <v>27</v>
      </c>
      <c r="Q28" s="27">
        <v>28</v>
      </c>
      <c r="R28" s="27">
        <v>29</v>
      </c>
      <c r="S28" s="27">
        <v>30</v>
      </c>
      <c r="T28" s="27">
        <v>31</v>
      </c>
      <c r="U28" s="27">
        <v>32</v>
      </c>
      <c r="V28" s="27">
        <v>33</v>
      </c>
      <c r="W28" s="27">
        <v>34</v>
      </c>
      <c r="X28" s="27">
        <v>35</v>
      </c>
      <c r="Y28" s="27">
        <v>36</v>
      </c>
      <c r="Z28" s="27">
        <v>37</v>
      </c>
      <c r="AA28" s="27">
        <v>38</v>
      </c>
      <c r="AB28" s="27">
        <v>39</v>
      </c>
      <c r="AC28" s="27">
        <v>40</v>
      </c>
      <c r="AD28" s="27">
        <v>41</v>
      </c>
      <c r="AE28" s="27">
        <v>42</v>
      </c>
      <c r="AF28" s="27">
        <v>43</v>
      </c>
      <c r="AG28" s="27">
        <v>44</v>
      </c>
      <c r="AH28" s="27">
        <v>45</v>
      </c>
      <c r="AI28" s="27">
        <v>46</v>
      </c>
      <c r="AJ28" s="27">
        <v>47</v>
      </c>
      <c r="AK28" s="27">
        <v>48</v>
      </c>
      <c r="AL28" s="27">
        <v>49</v>
      </c>
      <c r="AM28" s="27">
        <v>50</v>
      </c>
      <c r="AN28" s="27">
        <v>51</v>
      </c>
      <c r="AO28" s="27">
        <v>52</v>
      </c>
      <c r="AP28" s="27">
        <v>53</v>
      </c>
      <c r="AQ28" s="27">
        <v>54</v>
      </c>
      <c r="AR28" s="27">
        <v>55</v>
      </c>
      <c r="AS28" s="27">
        <v>56</v>
      </c>
      <c r="AT28" s="27">
        <v>57</v>
      </c>
      <c r="AU28" s="27">
        <v>58</v>
      </c>
      <c r="AV28" s="27">
        <v>59</v>
      </c>
      <c r="AW28" s="27">
        <v>60</v>
      </c>
      <c r="AX28" s="27">
        <v>61</v>
      </c>
      <c r="AY28" s="27">
        <v>62</v>
      </c>
      <c r="AZ28" s="27">
        <v>63</v>
      </c>
    </row>
    <row r="29" spans="1:52">
      <c r="A29" s="9">
        <v>7.56666666666667</v>
      </c>
      <c r="B29" s="6" t="s">
        <v>133</v>
      </c>
      <c r="C29" s="27"/>
      <c r="D29" s="27"/>
      <c r="E29" s="27"/>
      <c r="F29" s="27"/>
      <c r="G29" s="27"/>
      <c r="H29" s="27"/>
      <c r="I29" s="27"/>
      <c r="J29" s="27"/>
      <c r="K29" s="27"/>
      <c r="L29" s="27">
        <v>19839389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</row>
    <row r="30" spans="1:52">
      <c r="A30" s="9">
        <v>7.7166666666666703</v>
      </c>
      <c r="B30" s="18" t="s">
        <v>134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</row>
    <row r="31" spans="1:52" ht="12.95" thickBot="1">
      <c r="A31" s="9">
        <v>7.8666666666666698</v>
      </c>
      <c r="B31" s="19" t="s">
        <v>135</v>
      </c>
      <c r="C31" s="27">
        <f>Trend!C3</f>
        <v>27227584</v>
      </c>
      <c r="D31" s="27">
        <f>Trend!D3</f>
        <v>20473615</v>
      </c>
      <c r="E31" s="27">
        <f>Trend!E3</f>
        <v>29501244</v>
      </c>
      <c r="F31" s="27">
        <f>Trend!F3</f>
        <v>52141499</v>
      </c>
      <c r="G31" s="27">
        <f>Trend!G3</f>
        <v>28844167.66</v>
      </c>
      <c r="H31" s="27">
        <f>Trend!H3</f>
        <v>28253971.68</v>
      </c>
      <c r="I31" s="27">
        <f>Trend!I3</f>
        <v>41920668.090000004</v>
      </c>
      <c r="J31" s="27">
        <f>Trend!J3</f>
        <v>37566334.920000002</v>
      </c>
      <c r="K31" s="27">
        <f>Trend!K3</f>
        <v>35841129.75</v>
      </c>
      <c r="L31" s="27">
        <f>Trend!L3</f>
        <v>34432927.879999995</v>
      </c>
      <c r="M31" s="27">
        <f>Trend!M3</f>
        <v>32508509.169099998</v>
      </c>
      <c r="N31" s="27">
        <f>Trend!N3</f>
        <v>29841406.809999999</v>
      </c>
      <c r="O31" s="27">
        <f>Trend!O3</f>
        <v>31894418.23</v>
      </c>
      <c r="P31" s="27">
        <f>Trend!P3</f>
        <v>26706977.359999999</v>
      </c>
      <c r="Q31" s="27">
        <f>Trend!Q3</f>
        <v>31004700.609999999</v>
      </c>
      <c r="R31" s="27">
        <f>Trend!R3</f>
        <v>27687159.280000001</v>
      </c>
      <c r="S31" s="27">
        <f>Trend!S3</f>
        <v>27606849</v>
      </c>
      <c r="T31" s="27">
        <f>Trend!T3</f>
        <v>37145987.350000001</v>
      </c>
      <c r="U31" s="27">
        <f>Trend!U3</f>
        <v>34260729.57</v>
      </c>
      <c r="V31" s="27">
        <f>Trend!V3</f>
        <v>37416387.230000004</v>
      </c>
      <c r="W31" s="27">
        <f>Trend!W3</f>
        <v>35284942.82</v>
      </c>
      <c r="X31" s="27">
        <f>Trend!X3</f>
        <v>31890141.370000001</v>
      </c>
      <c r="Y31" s="27">
        <f>Trend!Y3</f>
        <v>30542558.120000001</v>
      </c>
      <c r="Z31" s="27">
        <f>Trend!Z3</f>
        <v>21771906.649999999</v>
      </c>
      <c r="AA31" s="27">
        <f>Trend!AA3</f>
        <v>20104880.710000001</v>
      </c>
      <c r="AB31" s="27">
        <f>Trend!AB3</f>
        <v>22411865.109999999</v>
      </c>
      <c r="AC31" s="27">
        <f>Trend!AC3</f>
        <v>25748102.09</v>
      </c>
      <c r="AD31" s="27">
        <f>Trend!AD3</f>
        <v>49472758.380000003</v>
      </c>
      <c r="AE31" s="27">
        <f>Trend!AE3</f>
        <v>26939956.510000002</v>
      </c>
      <c r="AF31" s="27">
        <f>Trend!AF3</f>
        <v>26846351</v>
      </c>
      <c r="AG31" s="27">
        <f>Trend!AG3</f>
        <v>33290032.899999999</v>
      </c>
      <c r="AH31" s="27">
        <f>Trend!AH3</f>
        <v>22017838.57</v>
      </c>
      <c r="AI31" s="27">
        <f>Trend!AI3</f>
        <v>31385825.530000001</v>
      </c>
      <c r="AJ31" s="27">
        <f>Trend!AJ3</f>
        <v>18157183.149999999</v>
      </c>
      <c r="AK31" s="27">
        <f>Trend!AK3</f>
        <v>17174380.48</v>
      </c>
      <c r="AL31" s="27">
        <f>Trend!AL3</f>
        <v>25446229.440000001</v>
      </c>
      <c r="AM31" s="27">
        <f>Trend!AM3</f>
        <v>27602567.440000001</v>
      </c>
      <c r="AN31" s="27">
        <f>Trend!AN3</f>
        <v>23837543.309999999</v>
      </c>
      <c r="AO31" s="27">
        <f>Trend!AO3</f>
        <v>26381347.210000001</v>
      </c>
      <c r="AP31" s="27">
        <f>Trend!AP3</f>
        <v>28550602.25</v>
      </c>
      <c r="AQ31" s="27">
        <f>Trend!AQ3</f>
        <v>31339952.120000001</v>
      </c>
      <c r="AR31" s="27">
        <f>Trend!AR3</f>
        <v>28628400.16</v>
      </c>
      <c r="AS31" s="27">
        <f>Trend!AS3</f>
        <v>28628400</v>
      </c>
      <c r="AT31" s="27">
        <f>Trend!AT3</f>
        <v>27901506.77</v>
      </c>
      <c r="AU31" s="27">
        <f>Trend!AU3</f>
        <v>25149969.620000001</v>
      </c>
      <c r="AV31" s="27">
        <f>Trend!AV3</f>
        <v>16990470.189999998</v>
      </c>
      <c r="AW31" s="27">
        <f>Trend!AW3</f>
        <v>21630243.940000001</v>
      </c>
      <c r="AX31" s="27">
        <f>Trend!AX3</f>
        <v>21647569.539999999</v>
      </c>
      <c r="AY31" s="27">
        <f>Trend!AY3</f>
        <v>27149828.059999999</v>
      </c>
      <c r="AZ31" s="27">
        <f>Trend!AZ3</f>
        <v>52036291.899999999</v>
      </c>
    </row>
    <row r="32" spans="1:52">
      <c r="A32" s="8">
        <v>8</v>
      </c>
      <c r="B32" s="16" t="s">
        <v>136</v>
      </c>
      <c r="C32" s="27">
        <f>Trend!C7+Trend!C25</f>
        <v>13613816</v>
      </c>
      <c r="D32" s="27">
        <f>Trend!D7+Trend!D25</f>
        <v>16515426.027000001</v>
      </c>
      <c r="E32" s="27">
        <f>Trend!E7+Trend!E25</f>
        <v>19207971</v>
      </c>
      <c r="F32" s="27">
        <f>Trend!F7+Trend!F25</f>
        <v>18453671</v>
      </c>
      <c r="G32" s="27">
        <f>Trend!G7+Trend!G25</f>
        <v>18440526.93</v>
      </c>
      <c r="H32" s="27">
        <f>Trend!H7+Trend!H25</f>
        <v>18283895.66</v>
      </c>
      <c r="I32" s="27">
        <f>Trend!I7+Trend!I25</f>
        <v>18203707.390000001</v>
      </c>
      <c r="J32" s="27">
        <f>Trend!J7+Trend!J25</f>
        <v>18143421.120000001</v>
      </c>
      <c r="K32" s="27">
        <f>Trend!K7+Trend!K25</f>
        <v>17848439.02</v>
      </c>
      <c r="L32" s="27">
        <f>Trend!L7+Trend!L25</f>
        <v>17738123.580000002</v>
      </c>
      <c r="M32" s="27">
        <f>Trend!M7+Trend!M25</f>
        <v>17772228.074011594</v>
      </c>
      <c r="N32" s="27">
        <f>Trend!N7+Trend!N25</f>
        <v>17598431.030000001</v>
      </c>
      <c r="O32" s="27">
        <f>Trend!O7+Trend!O25</f>
        <v>17392010.760000002</v>
      </c>
      <c r="P32" s="27">
        <f>Trend!P7+Trend!P25</f>
        <v>17296649.490000002</v>
      </c>
      <c r="Q32" s="27">
        <f>Trend!Q7+Trend!Q25</f>
        <v>16479203.049999999</v>
      </c>
      <c r="R32" s="27">
        <f>Trend!R7+Trend!R25</f>
        <v>16940867.949999999</v>
      </c>
      <c r="S32" s="27">
        <f>Trend!S7+Trend!S25</f>
        <v>17043730</v>
      </c>
      <c r="T32" s="27">
        <f>Trend!T7+Trend!T25</f>
        <v>16908777.949999999</v>
      </c>
      <c r="U32" s="27">
        <f>Trend!U7+Trend!U25</f>
        <v>16897763.02</v>
      </c>
      <c r="V32" s="27">
        <f>Trend!V7+Trend!V25</f>
        <v>16860440.609999999</v>
      </c>
      <c r="W32" s="27">
        <f>Trend!W7+Trend!W25</f>
        <v>16793345.199999999</v>
      </c>
      <c r="X32" s="27">
        <f>Trend!X7+Trend!X25</f>
        <v>16455333.959999999</v>
      </c>
      <c r="Y32" s="27">
        <f>Trend!Y7+Trend!Y25</f>
        <v>16323926.369999999</v>
      </c>
      <c r="Z32" s="27">
        <f>Trend!Z7+Trend!Z25</f>
        <v>16232519.789999999</v>
      </c>
      <c r="AA32" s="27">
        <f>Trend!AA7+Trend!AA25</f>
        <v>16218113.219999999</v>
      </c>
      <c r="AB32" s="27">
        <f>Trend!AB7+Trend!AB25</f>
        <v>17458666.039999999</v>
      </c>
      <c r="AC32" s="27">
        <f>Trend!AC7+Trend!AC25</f>
        <v>17175390.449999999</v>
      </c>
      <c r="AD32" s="27">
        <f>Trend!AD7+Trend!AD25</f>
        <v>17039734.879999999</v>
      </c>
      <c r="AE32" s="27">
        <f>Trend!AE7+Trend!AE25</f>
        <v>17677336.449999999</v>
      </c>
      <c r="AF32" s="27">
        <f>Trend!AF7+Trend!AF25</f>
        <v>17887828</v>
      </c>
      <c r="AG32" s="27">
        <f>Trend!AG7+Trend!AG25</f>
        <v>17820483.780000001</v>
      </c>
      <c r="AH32" s="27">
        <f>Trend!AH7+Trend!AH25</f>
        <v>17353660.07</v>
      </c>
      <c r="AI32" s="27">
        <f>Trend!AI7+Trend!AI25</f>
        <v>17719790.57</v>
      </c>
      <c r="AJ32" s="27">
        <f>Trend!AJ7+Trend!AJ25</f>
        <v>16851669.789999999</v>
      </c>
      <c r="AK32" s="27">
        <f>Trend!AK7+Trend!AK25</f>
        <v>16775189.9</v>
      </c>
      <c r="AL32" s="27">
        <f>Trend!AL7+Trend!AL25</f>
        <v>16698710.01</v>
      </c>
      <c r="AM32" s="27">
        <f>Trend!AM7+Trend!AM25</f>
        <v>16636826.130000001</v>
      </c>
      <c r="AN32" s="27">
        <f>Trend!AN7+Trend!AN25</f>
        <v>16499543.24</v>
      </c>
      <c r="AO32" s="27">
        <f>Trend!AO7+Trend!AO25</f>
        <v>16438102.85</v>
      </c>
      <c r="AP32" s="27">
        <f>Trend!AP7+Trend!AP25</f>
        <v>16376661.460000001</v>
      </c>
      <c r="AQ32" s="27">
        <f>Trend!AQ7+Trend!AQ25</f>
        <v>17818726.079999998</v>
      </c>
      <c r="AR32" s="27">
        <f>Trend!AR7+Trend!AR25</f>
        <v>16920809.559999999</v>
      </c>
      <c r="AS32" s="27">
        <f>Trend!AS7+Trend!AS25</f>
        <v>16928381</v>
      </c>
      <c r="AT32" s="27" t="e">
        <f>Trend!#REF!+Trend!AT25</f>
        <v>#REF!</v>
      </c>
      <c r="AU32" s="27" t="e">
        <f>Trend!#REF!+Trend!AU25</f>
        <v>#REF!</v>
      </c>
      <c r="AV32" s="27" t="e">
        <f>Trend!#REF!+Trend!AV25</f>
        <v>#REF!</v>
      </c>
      <c r="AW32" s="27" t="e">
        <f>Trend!#REF!+Trend!AW25</f>
        <v>#REF!</v>
      </c>
      <c r="AX32" s="27" t="e">
        <f>Trend!#REF!+Trend!AX25</f>
        <v>#REF!</v>
      </c>
      <c r="AY32" s="27" t="e">
        <f>Trend!#REF!+Trend!AY25</f>
        <v>#REF!</v>
      </c>
      <c r="AZ32" s="27" t="e">
        <f>Trend!#REF!+Trend!AZ25</f>
        <v>#REF!</v>
      </c>
    </row>
    <row r="33" spans="1:52" ht="12.95" thickBot="1">
      <c r="A33" s="10">
        <v>8.1</v>
      </c>
      <c r="B33" s="20" t="s">
        <v>28</v>
      </c>
      <c r="C33" s="27">
        <f>Trend!C27</f>
        <v>10052178</v>
      </c>
      <c r="D33" s="27">
        <f>Trend!D27</f>
        <v>14045660</v>
      </c>
      <c r="E33" s="27">
        <f>Trend!E27</f>
        <v>16051260</v>
      </c>
      <c r="F33" s="27">
        <f>Trend!F27</f>
        <v>11631992</v>
      </c>
      <c r="G33" s="27">
        <f>Trend!G27</f>
        <v>12221216</v>
      </c>
      <c r="H33" s="27">
        <f>Trend!H27</f>
        <v>11505240</v>
      </c>
      <c r="I33" s="27">
        <f>Trend!I27</f>
        <v>11511238</v>
      </c>
      <c r="J33" s="27">
        <f>Trend!J27</f>
        <v>11445987</v>
      </c>
      <c r="K33" s="27">
        <f>Trend!K27</f>
        <v>11380736</v>
      </c>
      <c r="L33" s="27">
        <f>Trend!L27</f>
        <v>11357710</v>
      </c>
      <c r="M33" s="27">
        <f>Trend!M27</f>
        <v>11357710.498851094</v>
      </c>
      <c r="N33" s="27">
        <f>Trend!N27</f>
        <v>11225284</v>
      </c>
      <c r="O33" s="27">
        <f>Trend!O27</f>
        <v>11159071</v>
      </c>
      <c r="P33" s="27">
        <f>Trend!P27</f>
        <v>11092858</v>
      </c>
      <c r="Q33" s="27">
        <f>Trend!Q27</f>
        <v>11038721</v>
      </c>
      <c r="R33" s="27">
        <f>Trend!R27</f>
        <v>10972366</v>
      </c>
      <c r="S33" s="27">
        <f>Trend!S27</f>
        <v>15634519</v>
      </c>
      <c r="T33" s="27">
        <f>Trend!T27</f>
        <v>10849265</v>
      </c>
      <c r="U33" s="27">
        <f>Trend!U27</f>
        <v>10865392</v>
      </c>
      <c r="V33" s="27">
        <f>Trend!V27</f>
        <v>10807179</v>
      </c>
      <c r="W33" s="27">
        <f>Trend!W27</f>
        <v>10748967</v>
      </c>
      <c r="X33" s="27">
        <f>Trend!X27</f>
        <v>10711265</v>
      </c>
      <c r="Y33" s="27">
        <f>Trend!Y27</f>
        <v>10652826</v>
      </c>
      <c r="Z33" s="27">
        <f>Trend!Z27</f>
        <v>10594388</v>
      </c>
      <c r="AA33" s="27">
        <f>Trend!AA27</f>
        <v>10535950</v>
      </c>
      <c r="AB33" s="27">
        <f>Trend!AB27</f>
        <v>10477512</v>
      </c>
      <c r="AC33" s="27">
        <f>Trend!AC27</f>
        <v>10587505</v>
      </c>
      <c r="AD33" s="27">
        <f>Trend!AD27</f>
        <v>10524818</v>
      </c>
      <c r="AE33" s="27">
        <f>Trend!AE27</f>
        <v>10465663</v>
      </c>
      <c r="AF33" s="27">
        <f>Trend!AF27</f>
        <v>16491564</v>
      </c>
      <c r="AG33" s="27">
        <f>Trend!AG27</f>
        <v>10450124</v>
      </c>
      <c r="AH33" s="27">
        <f>Trend!AH27</f>
        <v>10398896</v>
      </c>
      <c r="AI33" s="27">
        <f>Trend!AI27</f>
        <v>10347668</v>
      </c>
      <c r="AJ33" s="27">
        <f>Trend!AJ27</f>
        <v>10296440</v>
      </c>
      <c r="AK33" s="27">
        <f>Trend!AK27</f>
        <v>10245212</v>
      </c>
      <c r="AL33" s="27">
        <f>Trend!AL27</f>
        <v>10193984</v>
      </c>
      <c r="AM33" s="27">
        <f>Trend!AM27</f>
        <v>10157352</v>
      </c>
      <c r="AN33" s="27">
        <f>Trend!AN27</f>
        <v>10105995</v>
      </c>
      <c r="AO33" s="27">
        <f>Trend!AO27</f>
        <v>10054638</v>
      </c>
      <c r="AP33" s="27">
        <f>Trend!AP27</f>
        <v>10003280</v>
      </c>
      <c r="AQ33" s="27">
        <f>Trend!AQ27</f>
        <v>11455428</v>
      </c>
      <c r="AR33" s="27">
        <f>Trend!AR27</f>
        <v>9900566</v>
      </c>
      <c r="AS33" s="27">
        <f>Trend!AS27</f>
        <v>15890778</v>
      </c>
      <c r="AT33" s="27">
        <f>Trend!AT27</f>
        <v>9853417</v>
      </c>
      <c r="AU33" s="27">
        <f>Trend!AU27</f>
        <v>9806268</v>
      </c>
      <c r="AV33" s="27">
        <f>Trend!AV27</f>
        <v>9759119</v>
      </c>
      <c r="AW33" s="27">
        <f>Trend!AW27</f>
        <v>9711970</v>
      </c>
      <c r="AX33" s="27">
        <f>Trend!AX27</f>
        <v>9664821</v>
      </c>
      <c r="AY33" s="27">
        <f>Trend!AY27</f>
        <v>9617672</v>
      </c>
      <c r="AZ33" s="27">
        <f>Trend!AZ27</f>
        <v>9570523</v>
      </c>
    </row>
    <row r="34" spans="1:52" ht="12.95" thickBot="1">
      <c r="A34" s="8">
        <v>8.1999999999999993</v>
      </c>
      <c r="B34" s="1" t="s">
        <v>137</v>
      </c>
      <c r="C34" s="27">
        <v>12999996</v>
      </c>
      <c r="D34" s="27">
        <v>12999997</v>
      </c>
      <c r="E34" s="27">
        <v>12999998</v>
      </c>
      <c r="F34" s="27">
        <v>12999999</v>
      </c>
      <c r="G34" s="27">
        <v>13000000</v>
      </c>
      <c r="H34" s="27">
        <v>13000002</v>
      </c>
      <c r="I34" s="27">
        <v>13000015</v>
      </c>
      <c r="J34" s="27">
        <v>13000020.6666667</v>
      </c>
      <c r="K34" s="27">
        <v>13000041</v>
      </c>
      <c r="L34" s="27">
        <v>13000054</v>
      </c>
      <c r="M34" s="27">
        <v>13000055</v>
      </c>
      <c r="N34" s="27">
        <v>13000056</v>
      </c>
      <c r="O34" s="27">
        <v>13000057</v>
      </c>
      <c r="P34" s="27">
        <v>13000058</v>
      </c>
      <c r="Q34" s="27">
        <v>13000059</v>
      </c>
      <c r="R34" s="27">
        <v>13000060</v>
      </c>
      <c r="S34" s="27">
        <v>13000060</v>
      </c>
      <c r="T34" s="27">
        <v>13000061</v>
      </c>
      <c r="U34" s="27">
        <v>13000062</v>
      </c>
      <c r="V34" s="27">
        <v>13000063</v>
      </c>
      <c r="W34" s="27">
        <v>13000064</v>
      </c>
      <c r="X34" s="27">
        <v>13000065</v>
      </c>
      <c r="Y34" s="27">
        <v>13000066</v>
      </c>
      <c r="Z34" s="27">
        <v>13000067</v>
      </c>
      <c r="AA34" s="27">
        <v>13000068</v>
      </c>
      <c r="AB34" s="27">
        <v>13000069</v>
      </c>
      <c r="AC34" s="27">
        <v>13000070</v>
      </c>
      <c r="AD34" s="27">
        <v>13000071</v>
      </c>
      <c r="AE34" s="27">
        <v>13000072</v>
      </c>
      <c r="AF34" s="27">
        <v>13000073</v>
      </c>
      <c r="AG34" s="27">
        <v>13000074</v>
      </c>
      <c r="AH34" s="27">
        <v>13000075</v>
      </c>
      <c r="AI34" s="27">
        <v>13000076</v>
      </c>
      <c r="AJ34" s="27">
        <v>13000077</v>
      </c>
      <c r="AK34" s="27">
        <v>13000078</v>
      </c>
      <c r="AL34" s="27">
        <v>13000079</v>
      </c>
      <c r="AM34" s="27">
        <v>13000080</v>
      </c>
      <c r="AN34" s="27">
        <v>13000081</v>
      </c>
      <c r="AO34" s="27">
        <v>13000082</v>
      </c>
      <c r="AP34" s="27">
        <v>13000083</v>
      </c>
      <c r="AQ34" s="27">
        <v>13000084</v>
      </c>
      <c r="AR34" s="27">
        <v>13000085</v>
      </c>
      <c r="AS34" s="27">
        <v>13000086</v>
      </c>
      <c r="AT34" s="27">
        <v>13000087</v>
      </c>
      <c r="AU34" s="27">
        <v>13000088</v>
      </c>
      <c r="AV34" s="27">
        <v>13000089</v>
      </c>
      <c r="AW34" s="27">
        <v>13000090</v>
      </c>
      <c r="AX34" s="27">
        <v>13000091</v>
      </c>
      <c r="AY34" s="27">
        <v>13000092</v>
      </c>
      <c r="AZ34" s="27">
        <v>13000093</v>
      </c>
    </row>
    <row r="35" spans="1:52">
      <c r="A35" s="21">
        <v>9</v>
      </c>
      <c r="B35" s="34" t="s">
        <v>138</v>
      </c>
      <c r="C35" s="35">
        <f>C36+C37+C38</f>
        <v>27127521</v>
      </c>
      <c r="D35" s="35">
        <f>D36+D37+D38</f>
        <v>27376695</v>
      </c>
      <c r="E35" s="35">
        <f>E36+E37+E38</f>
        <v>28491876</v>
      </c>
      <c r="F35" s="35">
        <f>F36+F37+F38</f>
        <v>30436001</v>
      </c>
      <c r="G35" s="35">
        <f t="shared" ref="G35:L35" si="15">G36+G37+G38</f>
        <v>2318955.64</v>
      </c>
      <c r="H35" s="35">
        <f t="shared" si="15"/>
        <v>4953370.49</v>
      </c>
      <c r="I35" s="35">
        <f t="shared" si="15"/>
        <v>7211467.8399999999</v>
      </c>
      <c r="J35" s="35">
        <f t="shared" si="15"/>
        <v>9740396.3599999994</v>
      </c>
      <c r="K35" s="35">
        <f t="shared" si="15"/>
        <v>16785195.34</v>
      </c>
      <c r="L35" s="35">
        <f t="shared" si="15"/>
        <v>19237293.59</v>
      </c>
      <c r="M35" s="35">
        <f t="shared" ref="M35:S35" si="16">M36+M37+M38</f>
        <v>21717977.160799995</v>
      </c>
      <c r="N35" s="35">
        <f t="shared" si="16"/>
        <v>23942854.34</v>
      </c>
      <c r="O35" s="35">
        <f t="shared" si="16"/>
        <v>27154555.77</v>
      </c>
      <c r="P35" s="35">
        <f t="shared" si="16"/>
        <v>29860863.25</v>
      </c>
      <c r="Q35" s="35">
        <f t="shared" si="16"/>
        <v>32795633.409999996</v>
      </c>
      <c r="R35" s="35">
        <f t="shared" si="16"/>
        <v>107367728.22</v>
      </c>
      <c r="S35" s="35">
        <f t="shared" si="16"/>
        <v>107367728.22</v>
      </c>
      <c r="T35" s="35">
        <f t="shared" ref="T35:AZ35" si="17">T36+T37+T38</f>
        <v>2490640.36</v>
      </c>
      <c r="U35" s="35">
        <f t="shared" si="17"/>
        <v>5297175.32</v>
      </c>
      <c r="V35" s="35">
        <f t="shared" si="17"/>
        <v>7890717.2199999997</v>
      </c>
      <c r="W35" s="35">
        <f t="shared" si="17"/>
        <v>15101143.949999999</v>
      </c>
      <c r="X35" s="35">
        <f t="shared" si="17"/>
        <v>17663632.57</v>
      </c>
      <c r="Y35" s="35">
        <f t="shared" si="17"/>
        <v>20213285.66</v>
      </c>
      <c r="Z35" s="35">
        <f t="shared" si="17"/>
        <v>22986765.669999998</v>
      </c>
      <c r="AA35" s="35">
        <f t="shared" si="17"/>
        <v>25937570.23</v>
      </c>
      <c r="AB35" s="35">
        <f t="shared" si="17"/>
        <v>28345757.399999999</v>
      </c>
      <c r="AC35" s="35">
        <f t="shared" si="17"/>
        <v>30909032.530000001</v>
      </c>
      <c r="AD35" s="35">
        <f t="shared" si="17"/>
        <v>33743484.460000001</v>
      </c>
      <c r="AE35" s="35">
        <f t="shared" si="17"/>
        <v>36726267.950000003</v>
      </c>
      <c r="AF35" s="35">
        <f t="shared" si="17"/>
        <v>0</v>
      </c>
      <c r="AG35" s="35">
        <f t="shared" si="17"/>
        <v>2527419.3299999996</v>
      </c>
      <c r="AH35" s="35">
        <f t="shared" si="17"/>
        <v>5006252.41</v>
      </c>
      <c r="AI35" s="35">
        <f t="shared" si="17"/>
        <v>7571888.9400000004</v>
      </c>
      <c r="AJ35" s="35">
        <f t="shared" si="17"/>
        <v>10236488.98</v>
      </c>
      <c r="AK35" s="35">
        <f t="shared" si="17"/>
        <v>13030832.57</v>
      </c>
      <c r="AL35" s="35">
        <f t="shared" si="17"/>
        <v>20262517.559999999</v>
      </c>
      <c r="AM35" s="35">
        <f t="shared" si="17"/>
        <v>22848276.470000003</v>
      </c>
      <c r="AN35" s="35">
        <f t="shared" si="17"/>
        <v>25517577.169999998</v>
      </c>
      <c r="AO35" s="35">
        <f t="shared" si="17"/>
        <v>28276056.720000003</v>
      </c>
      <c r="AP35" s="35">
        <f t="shared" si="17"/>
        <v>30966492.260000002</v>
      </c>
      <c r="AQ35" s="35">
        <f t="shared" si="17"/>
        <v>33959720.82</v>
      </c>
      <c r="AR35" s="35">
        <f t="shared" si="17"/>
        <v>0</v>
      </c>
      <c r="AS35" s="35">
        <f t="shared" si="17"/>
        <v>36979854</v>
      </c>
      <c r="AT35" s="35">
        <f t="shared" si="17"/>
        <v>0</v>
      </c>
      <c r="AU35" s="35">
        <f t="shared" si="17"/>
        <v>0</v>
      </c>
      <c r="AV35" s="35">
        <f t="shared" si="17"/>
        <v>0</v>
      </c>
      <c r="AW35" s="35">
        <f t="shared" si="17"/>
        <v>0</v>
      </c>
      <c r="AX35" s="35">
        <f t="shared" si="17"/>
        <v>0</v>
      </c>
      <c r="AY35" s="35">
        <f t="shared" si="17"/>
        <v>0</v>
      </c>
      <c r="AZ35" s="35">
        <f t="shared" si="17"/>
        <v>0</v>
      </c>
    </row>
    <row r="36" spans="1:52">
      <c r="A36" s="22">
        <v>9.1</v>
      </c>
      <c r="B36" s="5" t="s">
        <v>139</v>
      </c>
      <c r="C36" s="27">
        <f>Trend!C74</f>
        <v>18352026</v>
      </c>
      <c r="D36" s="27">
        <f>Trend!D74</f>
        <v>18322301</v>
      </c>
      <c r="E36" s="27">
        <f>Trend!E74</f>
        <v>18131997</v>
      </c>
      <c r="F36" s="27">
        <f>Trend!F74</f>
        <v>18377030</v>
      </c>
      <c r="G36" s="27">
        <f>Trend!G74</f>
        <v>1756233.8</v>
      </c>
      <c r="H36" s="27">
        <f>Trend!H74</f>
        <v>3494619.53</v>
      </c>
      <c r="I36" s="27">
        <f>Trend!I74</f>
        <v>5151232.21</v>
      </c>
      <c r="J36" s="27">
        <f>Trend!J74</f>
        <v>6814814.0099999998</v>
      </c>
      <c r="K36" s="27">
        <f>Trend!K74</f>
        <v>8648603.5199999996</v>
      </c>
      <c r="L36" s="27">
        <f>Trend!L74</f>
        <v>10428847.220000001</v>
      </c>
      <c r="M36" s="27">
        <f>Trend!M74</f>
        <v>12286089.4629</v>
      </c>
      <c r="N36" s="27">
        <f>Trend!N74</f>
        <v>13737398.83</v>
      </c>
      <c r="O36" s="27">
        <f>Trend!O74</f>
        <v>16213729.529999999</v>
      </c>
      <c r="P36" s="27">
        <f>Trend!P74</f>
        <v>18093425.059999999</v>
      </c>
      <c r="Q36" s="27">
        <f>Trend!Q74</f>
        <v>20227998.98</v>
      </c>
      <c r="R36" s="27">
        <f>Trend!R74</f>
        <v>67300739.099999994</v>
      </c>
      <c r="S36" s="27">
        <f>Trend!S74</f>
        <v>67300739.099999994</v>
      </c>
      <c r="T36" s="27">
        <f>Trend!T74</f>
        <v>1968749.51</v>
      </c>
      <c r="U36" s="27">
        <f>Trend!U74</f>
        <v>4034586.56</v>
      </c>
      <c r="V36" s="27">
        <f>Trend!V74</f>
        <v>5968272.4100000001</v>
      </c>
      <c r="W36" s="27">
        <f>Trend!W74</f>
        <v>7962660.21</v>
      </c>
      <c r="X36" s="27">
        <f>Trend!X74</f>
        <v>9930248.0199999996</v>
      </c>
      <c r="Y36" s="27">
        <f>Trend!Y74</f>
        <v>11941394.16</v>
      </c>
      <c r="Z36" s="27">
        <f>Trend!Z74</f>
        <v>14067205.970000001</v>
      </c>
      <c r="AA36" s="27">
        <f>Trend!AA74</f>
        <v>16107786.029999999</v>
      </c>
      <c r="AB36" s="27">
        <f>Trend!AB74</f>
        <v>17984424.469999999</v>
      </c>
      <c r="AC36" s="27">
        <f>Trend!AC74</f>
        <v>20025321.109999999</v>
      </c>
      <c r="AD36" s="27">
        <f>Trend!AD74</f>
        <v>22276678.989999998</v>
      </c>
      <c r="AE36" s="27">
        <f>Trend!AE74</f>
        <v>24477669.82</v>
      </c>
      <c r="AF36" s="27">
        <f>Trend!AF74</f>
        <v>0</v>
      </c>
      <c r="AG36" s="27">
        <f>Trend!AG74</f>
        <v>2008244.13</v>
      </c>
      <c r="AH36" s="27">
        <f>Trend!AH74</f>
        <v>3861609.56</v>
      </c>
      <c r="AI36" s="27">
        <f>Trend!AI74</f>
        <v>5885049.6500000004</v>
      </c>
      <c r="AJ36" s="27">
        <f>Trend!AJ74</f>
        <v>7992142.6500000004</v>
      </c>
      <c r="AK36" s="27">
        <f>Trend!AK74</f>
        <v>9922023.3800000008</v>
      </c>
      <c r="AL36" s="27">
        <f>Trend!AL74</f>
        <v>11975440.4</v>
      </c>
      <c r="AM36" s="27">
        <f>Trend!AM74</f>
        <v>14016816.300000001</v>
      </c>
      <c r="AN36" s="27">
        <f>Trend!AN74</f>
        <v>16095631.189999999</v>
      </c>
      <c r="AO36" s="27">
        <f>Trend!AO74</f>
        <v>18176266.280000001</v>
      </c>
      <c r="AP36" s="27">
        <f>Trend!AP74</f>
        <v>20254309.440000001</v>
      </c>
      <c r="AQ36" s="27">
        <f>Trend!AQ74</f>
        <v>22649593.219999999</v>
      </c>
      <c r="AR36" s="27">
        <f>Trend!AR74</f>
        <v>0</v>
      </c>
      <c r="AS36" s="27">
        <f>Trend!AS74</f>
        <v>24919536</v>
      </c>
      <c r="AT36" s="27">
        <f>Trend!AT74</f>
        <v>0</v>
      </c>
      <c r="AU36" s="27">
        <f>Trend!AU74</f>
        <v>0</v>
      </c>
      <c r="AV36" s="27">
        <f>Trend!AV74</f>
        <v>0</v>
      </c>
      <c r="AW36" s="27">
        <f>Trend!AW74</f>
        <v>0</v>
      </c>
      <c r="AX36" s="27">
        <f>Trend!AX74</f>
        <v>0</v>
      </c>
      <c r="AY36" s="27">
        <f>Trend!AY74</f>
        <v>0</v>
      </c>
      <c r="AZ36" s="27">
        <f>Trend!AZ74</f>
        <v>0</v>
      </c>
    </row>
    <row r="37" spans="1:52">
      <c r="A37" s="22"/>
      <c r="B37" s="5" t="s">
        <v>140</v>
      </c>
      <c r="C37" s="27">
        <f>Trend!C76</f>
        <v>6136255</v>
      </c>
      <c r="D37" s="27">
        <f>Trend!D76</f>
        <v>6802219</v>
      </c>
      <c r="E37" s="27">
        <f>Trend!E76</f>
        <v>6612283</v>
      </c>
      <c r="F37" s="27">
        <f>Trend!F76</f>
        <v>12058971</v>
      </c>
      <c r="G37" s="27">
        <f>Trend!G76</f>
        <v>288948.03999999998</v>
      </c>
      <c r="H37" s="27">
        <f>Trend!H76</f>
        <v>639294.26</v>
      </c>
      <c r="I37" s="27">
        <f>Trend!I76</f>
        <v>1059967.43</v>
      </c>
      <c r="J37" s="27">
        <f>Trend!J76</f>
        <v>1612656.65</v>
      </c>
      <c r="K37" s="27">
        <f>Trend!K76</f>
        <v>6638531.6199999992</v>
      </c>
      <c r="L37" s="27">
        <f>Trend!L76</f>
        <v>6980391.1699999999</v>
      </c>
      <c r="M37" s="27">
        <f>Trend!M76</f>
        <v>7323327.742899999</v>
      </c>
      <c r="N37" s="27">
        <f>Trend!N76</f>
        <v>7676010.5099999998</v>
      </c>
      <c r="O37" s="27">
        <f>Trend!O76</f>
        <v>8028427.2400000002</v>
      </c>
      <c r="P37" s="27">
        <f>Trend!P76</f>
        <v>8388076.8899999997</v>
      </c>
      <c r="Q37" s="27">
        <f>Trend!Q76</f>
        <v>8744680.0299999993</v>
      </c>
      <c r="R37" s="27">
        <f>Trend!R76</f>
        <v>27471524.520000003</v>
      </c>
      <c r="S37" s="27">
        <f>Trend!S76</f>
        <v>27471524.520000003</v>
      </c>
      <c r="T37" s="27">
        <f>Trend!T76</f>
        <v>313921.25</v>
      </c>
      <c r="U37" s="27">
        <f>Trend!U76</f>
        <v>668351.36</v>
      </c>
      <c r="V37" s="27">
        <f>Trend!V76</f>
        <v>1060922.71</v>
      </c>
      <c r="W37" s="27">
        <f>Trend!W76</f>
        <v>6035600.9399999995</v>
      </c>
      <c r="X37" s="27">
        <f>Trend!X76</f>
        <v>6410587.6500000004</v>
      </c>
      <c r="Y37" s="27">
        <f>Trend!Y76</f>
        <v>6745539</v>
      </c>
      <c r="Z37" s="27">
        <f>Trend!Z76</f>
        <v>7092804.7999999998</v>
      </c>
      <c r="AA37" s="27">
        <f>Trend!AA76</f>
        <v>7436533</v>
      </c>
      <c r="AB37" s="27">
        <f>Trend!AB76</f>
        <v>7748154.5299999993</v>
      </c>
      <c r="AC37" s="27">
        <f>Trend!AC76</f>
        <v>8053254.4199999999</v>
      </c>
      <c r="AD37" s="27">
        <f>Trend!AD76</f>
        <v>8401422.7699999996</v>
      </c>
      <c r="AE37" s="27">
        <f>Trend!AE76</f>
        <v>8858403.129999999</v>
      </c>
      <c r="AF37" s="27">
        <f>Trend!AF76</f>
        <v>0</v>
      </c>
      <c r="AG37" s="27">
        <f>Trend!AG76</f>
        <v>268190.3</v>
      </c>
      <c r="AH37" s="27">
        <f>Trend!AH76</f>
        <v>677270.55</v>
      </c>
      <c r="AI37" s="27">
        <f>Trend!AI76</f>
        <v>1068835.79</v>
      </c>
      <c r="AJ37" s="27">
        <f>Trend!AJ76</f>
        <v>1418918.33</v>
      </c>
      <c r="AK37" s="27">
        <f>Trend!AK76</f>
        <v>1742769.99</v>
      </c>
      <c r="AL37" s="27">
        <f>Trend!AL76</f>
        <v>6650254.46</v>
      </c>
      <c r="AM37" s="27">
        <f>Trend!AM76</f>
        <v>6987280.3699999992</v>
      </c>
      <c r="AN37" s="27">
        <f>Trend!AN76</f>
        <v>7348535.1799999997</v>
      </c>
      <c r="AO37" s="27">
        <f>Trend!AO76</f>
        <v>7696860.8399999999</v>
      </c>
      <c r="AP37" s="27">
        <f>Trend!AP76</f>
        <v>8050235.1199999992</v>
      </c>
      <c r="AQ37" s="27">
        <f>Trend!AQ76</f>
        <v>8331808.0999999996</v>
      </c>
      <c r="AR37" s="27">
        <f>Trend!AR76</f>
        <v>0</v>
      </c>
      <c r="AS37" s="27">
        <f>Trend!AS76</f>
        <v>9392644</v>
      </c>
      <c r="AT37" s="27">
        <f>Trend!AT76</f>
        <v>0</v>
      </c>
      <c r="AU37" s="27">
        <f>Trend!AU76</f>
        <v>0</v>
      </c>
      <c r="AV37" s="27">
        <f>Trend!AV76</f>
        <v>0</v>
      </c>
      <c r="AW37" s="27">
        <f>Trend!AW76</f>
        <v>0</v>
      </c>
      <c r="AX37" s="27">
        <f>Trend!AX76</f>
        <v>0</v>
      </c>
      <c r="AY37" s="27">
        <f>Trend!AY76</f>
        <v>0</v>
      </c>
      <c r="AZ37" s="27">
        <f>Trend!AZ76</f>
        <v>0</v>
      </c>
    </row>
    <row r="38" spans="1:52">
      <c r="A38" s="22">
        <v>9.1999999999999993</v>
      </c>
      <c r="B38" s="5" t="s">
        <v>141</v>
      </c>
      <c r="C38" s="27">
        <f>Trend!C75</f>
        <v>2639240</v>
      </c>
      <c r="D38" s="27">
        <f>Trend!D75</f>
        <v>2252175</v>
      </c>
      <c r="E38" s="27">
        <f>Trend!E75</f>
        <v>3747596</v>
      </c>
      <c r="F38" s="27">
        <f>Trend!F75</f>
        <v>0</v>
      </c>
      <c r="G38" s="27">
        <f>Trend!G75</f>
        <v>273773.8</v>
      </c>
      <c r="H38" s="27">
        <f>Trend!H75</f>
        <v>819456.7</v>
      </c>
      <c r="I38" s="27">
        <f>Trend!I75</f>
        <v>1000268.2</v>
      </c>
      <c r="J38" s="27">
        <f>Trend!J75</f>
        <v>1312925.7</v>
      </c>
      <c r="K38" s="27">
        <f>Trend!K75</f>
        <v>1498060.2</v>
      </c>
      <c r="L38" s="27">
        <f>Trend!L75</f>
        <v>1828055.2</v>
      </c>
      <c r="M38" s="27">
        <f>Trend!M75</f>
        <v>2108559.9550000001</v>
      </c>
      <c r="N38" s="27">
        <f>Trend!N75</f>
        <v>2529445</v>
      </c>
      <c r="O38" s="27">
        <f>Trend!O75</f>
        <v>2912399</v>
      </c>
      <c r="P38" s="27">
        <f>Trend!P75</f>
        <v>3379361.3</v>
      </c>
      <c r="Q38" s="27">
        <f>Trend!Q75</f>
        <v>3822954.4</v>
      </c>
      <c r="R38" s="27">
        <f>Trend!R75</f>
        <v>12595464.6</v>
      </c>
      <c r="S38" s="27">
        <f>Trend!S75</f>
        <v>12595464.6</v>
      </c>
      <c r="T38" s="27">
        <f>Trend!T75</f>
        <v>207969.6</v>
      </c>
      <c r="U38" s="27">
        <f>Trend!U75</f>
        <v>594237.4</v>
      </c>
      <c r="V38" s="27">
        <f>Trend!V75</f>
        <v>861522.1</v>
      </c>
      <c r="W38" s="27">
        <f>Trend!W75</f>
        <v>1102882.8</v>
      </c>
      <c r="X38" s="27">
        <f>Trend!X75</f>
        <v>1322796.8999999999</v>
      </c>
      <c r="Y38" s="27">
        <f>Trend!Y75</f>
        <v>1526352.5</v>
      </c>
      <c r="Z38" s="27">
        <f>Trend!Z75</f>
        <v>1826754.9</v>
      </c>
      <c r="AA38" s="27">
        <f>Trend!AA75</f>
        <v>2393251.2000000002</v>
      </c>
      <c r="AB38" s="27">
        <f>Trend!AB75</f>
        <v>2613178.4</v>
      </c>
      <c r="AC38" s="27">
        <f>Trend!AC75</f>
        <v>2830457</v>
      </c>
      <c r="AD38" s="27">
        <f>Trend!AD75</f>
        <v>3065382.7</v>
      </c>
      <c r="AE38" s="27">
        <f>Trend!AE75</f>
        <v>3390195</v>
      </c>
      <c r="AF38" s="27">
        <f>Trend!AF75</f>
        <v>0</v>
      </c>
      <c r="AG38" s="27">
        <f>Trend!AG75</f>
        <v>250984.9</v>
      </c>
      <c r="AH38" s="27">
        <f>Trend!AH75</f>
        <v>467372.3</v>
      </c>
      <c r="AI38" s="27">
        <f>Trend!AI75</f>
        <v>618003.5</v>
      </c>
      <c r="AJ38" s="27">
        <f>Trend!AJ75</f>
        <v>825428</v>
      </c>
      <c r="AK38" s="27">
        <f>Trend!AK75</f>
        <v>1366039.2</v>
      </c>
      <c r="AL38" s="27">
        <f>Trend!AL75</f>
        <v>1636822.7</v>
      </c>
      <c r="AM38" s="27">
        <f>Trend!AM75</f>
        <v>1844179.8</v>
      </c>
      <c r="AN38" s="27">
        <f>Trend!AN75</f>
        <v>2073410.8</v>
      </c>
      <c r="AO38" s="27">
        <f>Trend!AO75</f>
        <v>2402929.6</v>
      </c>
      <c r="AP38" s="27">
        <f>Trend!AP75</f>
        <v>2661947.7000000002</v>
      </c>
      <c r="AQ38" s="27">
        <f>Trend!AQ75</f>
        <v>2978319.5</v>
      </c>
      <c r="AR38" s="27">
        <f>Trend!AR75</f>
        <v>0</v>
      </c>
      <c r="AS38" s="27">
        <f>Trend!AS75</f>
        <v>2667674</v>
      </c>
      <c r="AT38" s="27">
        <f>Trend!AT75</f>
        <v>0</v>
      </c>
      <c r="AU38" s="27">
        <f>Trend!AU75</f>
        <v>0</v>
      </c>
      <c r="AV38" s="27">
        <f>Trend!AV75</f>
        <v>0</v>
      </c>
      <c r="AW38" s="27">
        <f>Trend!AW75</f>
        <v>0</v>
      </c>
      <c r="AX38" s="27">
        <f>Trend!AX75</f>
        <v>0</v>
      </c>
      <c r="AY38" s="27">
        <f>Trend!AY75</f>
        <v>0</v>
      </c>
      <c r="AZ38" s="27">
        <f>Trend!AZ75</f>
        <v>0</v>
      </c>
    </row>
    <row r="39" spans="1:52">
      <c r="A39" s="23"/>
      <c r="B39" s="17" t="s">
        <v>142</v>
      </c>
      <c r="C39" s="29">
        <f>C36/C26</f>
        <v>0.16314405094354234</v>
      </c>
      <c r="D39" s="29">
        <f>D36/D26</f>
        <v>0.15725456914775432</v>
      </c>
      <c r="E39" s="29">
        <f>E36/E26</f>
        <v>0.14866466810004728</v>
      </c>
      <c r="F39" s="29">
        <f>F36/F26</f>
        <v>0.13942629522829855</v>
      </c>
      <c r="G39" s="29">
        <f t="shared" ref="G39:L39" si="18">G36/G26</f>
        <v>1.1715888617972426E-2</v>
      </c>
      <c r="H39" s="29">
        <f t="shared" si="18"/>
        <v>2.4169946558130245E-2</v>
      </c>
      <c r="I39" s="29">
        <f t="shared" si="18"/>
        <v>3.594929546604838E-2</v>
      </c>
      <c r="J39" s="29">
        <f>J36/J26</f>
        <v>4.9221751167600331E-2</v>
      </c>
      <c r="K39" s="29">
        <f t="shared" si="18"/>
        <v>6.177780545489385E-2</v>
      </c>
      <c r="L39" s="29">
        <f t="shared" si="18"/>
        <v>7.4374604605002947E-2</v>
      </c>
      <c r="M39" s="29">
        <f t="shared" ref="M39:S39" si="19">M36/M26</f>
        <v>8.4580802787893303E-2</v>
      </c>
      <c r="N39" s="29">
        <f t="shared" si="19"/>
        <v>9.1279320645355627E-2</v>
      </c>
      <c r="O39" s="29">
        <f t="shared" si="19"/>
        <v>0.10099698928147678</v>
      </c>
      <c r="P39" s="29">
        <f t="shared" si="19"/>
        <v>0.10858107457187771</v>
      </c>
      <c r="Q39" s="29">
        <f t="shared" si="19"/>
        <v>0.11846555508395003</v>
      </c>
      <c r="R39" s="29">
        <f t="shared" si="19"/>
        <v>0.39426588974995103</v>
      </c>
      <c r="S39" s="29">
        <f t="shared" si="19"/>
        <v>0.3945047974159997</v>
      </c>
      <c r="T39" s="29">
        <f t="shared" ref="T39:AZ39" si="20">T36/T26</f>
        <v>1.1002149944976104E-2</v>
      </c>
      <c r="U39" s="29">
        <f t="shared" si="20"/>
        <v>2.2582978434986096E-2</v>
      </c>
      <c r="V39" s="29">
        <f t="shared" si="20"/>
        <v>3.416581110060881E-2</v>
      </c>
      <c r="W39" s="29">
        <f t="shared" si="20"/>
        <v>4.5584352041763483E-2</v>
      </c>
      <c r="X39" s="29">
        <f t="shared" si="20"/>
        <v>5.7172754794050366E-2</v>
      </c>
      <c r="Y39" s="29">
        <f t="shared" si="20"/>
        <v>6.9831533783835276E-2</v>
      </c>
      <c r="Z39" s="29">
        <f t="shared" si="20"/>
        <v>7.4077141426927076E-2</v>
      </c>
      <c r="AA39" s="29">
        <f t="shared" si="20"/>
        <v>8.6020855165037796E-2</v>
      </c>
      <c r="AB39" s="29">
        <f t="shared" si="20"/>
        <v>9.8216998706814551E-2</v>
      </c>
      <c r="AC39" s="29">
        <f t="shared" si="20"/>
        <v>0.10920883847178356</v>
      </c>
      <c r="AD39" s="29">
        <f t="shared" si="20"/>
        <v>0.12482594531408432</v>
      </c>
      <c r="AE39" s="29">
        <f t="shared" si="20"/>
        <v>0.13483391595429428</v>
      </c>
      <c r="AF39" s="29">
        <f t="shared" si="20"/>
        <v>0</v>
      </c>
      <c r="AG39" s="29">
        <f t="shared" si="20"/>
        <v>1.12440875564946E-2</v>
      </c>
      <c r="AH39" s="29">
        <f t="shared" si="20"/>
        <v>2.2090944353039786E-2</v>
      </c>
      <c r="AI39" s="29">
        <f t="shared" si="20"/>
        <v>3.4261202010103194E-2</v>
      </c>
      <c r="AJ39" s="29">
        <f t="shared" si="20"/>
        <v>4.2336554984188833E-2</v>
      </c>
      <c r="AK39" s="29">
        <f t="shared" si="20"/>
        <v>5.291775239048397E-2</v>
      </c>
      <c r="AL39" s="29">
        <f t="shared" si="20"/>
        <v>6.5003651958135997E-2</v>
      </c>
      <c r="AM39" s="29">
        <f t="shared" si="20"/>
        <v>7.6789910143616052E-2</v>
      </c>
      <c r="AN39" s="29">
        <f t="shared" si="20"/>
        <v>8.540996838039483E-2</v>
      </c>
      <c r="AO39" s="29">
        <f t="shared" si="20"/>
        <v>9.601457950733526E-2</v>
      </c>
      <c r="AP39" s="29">
        <f t="shared" si="20"/>
        <v>0.10545213981140704</v>
      </c>
      <c r="AQ39" s="29">
        <f t="shared" si="20"/>
        <v>0.12078848244443333</v>
      </c>
      <c r="AR39" s="29">
        <f t="shared" si="20"/>
        <v>0</v>
      </c>
      <c r="AS39" s="29">
        <f t="shared" si="20"/>
        <v>0.13031143915715168</v>
      </c>
      <c r="AT39" s="29">
        <f t="shared" si="20"/>
        <v>0</v>
      </c>
      <c r="AU39" s="29">
        <f t="shared" si="20"/>
        <v>0</v>
      </c>
      <c r="AV39" s="29">
        <f t="shared" si="20"/>
        <v>0</v>
      </c>
      <c r="AW39" s="29">
        <f t="shared" si="20"/>
        <v>0</v>
      </c>
      <c r="AX39" s="29">
        <f t="shared" si="20"/>
        <v>0</v>
      </c>
      <c r="AY39" s="29">
        <f t="shared" si="20"/>
        <v>0</v>
      </c>
      <c r="AZ39" s="29">
        <f t="shared" si="20"/>
        <v>0</v>
      </c>
    </row>
    <row r="40" spans="1:52">
      <c r="A40" s="24">
        <v>10</v>
      </c>
      <c r="B40" s="34" t="s">
        <v>143</v>
      </c>
      <c r="C40" s="35">
        <f>SUM(C41:C47)</f>
        <v>29985207</v>
      </c>
      <c r="D40" s="35">
        <f>SUM(D41:D47)</f>
        <v>30890339</v>
      </c>
      <c r="E40" s="35">
        <f>SUM(E41:E47)</f>
        <v>32359574</v>
      </c>
      <c r="F40" s="35">
        <f>SUM(F41:F47)</f>
        <v>35035493</v>
      </c>
      <c r="G40" s="35">
        <f t="shared" ref="G40:L40" si="21">SUM(G41:G47)</f>
        <v>1533035.81</v>
      </c>
      <c r="H40" s="35">
        <f t="shared" si="21"/>
        <v>3613385.17</v>
      </c>
      <c r="I40" s="35">
        <f t="shared" si="21"/>
        <v>6374557.3799999999</v>
      </c>
      <c r="J40" s="35">
        <f t="shared" si="21"/>
        <v>8161207.4900000002</v>
      </c>
      <c r="K40" s="35">
        <f t="shared" si="21"/>
        <v>10894106.110000001</v>
      </c>
      <c r="L40" s="35">
        <f t="shared" si="21"/>
        <v>12959195.35</v>
      </c>
      <c r="M40" s="35">
        <f t="shared" ref="M40:S40" si="22">SUM(M41:M47)</f>
        <v>14853925.270675058</v>
      </c>
      <c r="N40" s="35">
        <f t="shared" si="22"/>
        <v>16621347.160000002</v>
      </c>
      <c r="O40" s="35">
        <f t="shared" si="22"/>
        <v>19133785.609999999</v>
      </c>
      <c r="P40" s="35">
        <f t="shared" si="22"/>
        <v>20963022.799999997</v>
      </c>
      <c r="Q40" s="35">
        <f t="shared" si="22"/>
        <v>23799690.98</v>
      </c>
      <c r="R40" s="35">
        <f t="shared" si="22"/>
        <v>87606970.289999992</v>
      </c>
      <c r="S40" s="35">
        <f t="shared" si="22"/>
        <v>87606970.289999992</v>
      </c>
      <c r="T40" s="35">
        <f t="shared" ref="T40:AZ40" si="23">SUM(T41:T47)</f>
        <v>1562414.23</v>
      </c>
      <c r="U40" s="35">
        <f t="shared" si="23"/>
        <v>4451631.45</v>
      </c>
      <c r="V40" s="35">
        <f t="shared" si="23"/>
        <v>6956217.4299999997</v>
      </c>
      <c r="W40" s="35">
        <f t="shared" si="23"/>
        <v>9063714.1699999999</v>
      </c>
      <c r="X40" s="35">
        <f t="shared" si="23"/>
        <v>11035860.050000001</v>
      </c>
      <c r="Y40" s="35">
        <f t="shared" si="23"/>
        <v>13463114.52</v>
      </c>
      <c r="Z40" s="35">
        <f t="shared" si="23"/>
        <v>16134851.609999999</v>
      </c>
      <c r="AA40" s="35">
        <f t="shared" si="23"/>
        <v>18497300.59</v>
      </c>
      <c r="AB40" s="35">
        <f t="shared" si="23"/>
        <v>20905656.519999996</v>
      </c>
      <c r="AC40" s="35">
        <f t="shared" si="23"/>
        <v>23330322.350000001</v>
      </c>
      <c r="AD40" s="35">
        <f t="shared" si="23"/>
        <v>25318368.130000003</v>
      </c>
      <c r="AE40" s="35">
        <f t="shared" si="23"/>
        <v>27972256.200000003</v>
      </c>
      <c r="AF40" s="35">
        <f t="shared" si="23"/>
        <v>0</v>
      </c>
      <c r="AG40" s="35">
        <f t="shared" si="23"/>
        <v>2045353.7999999998</v>
      </c>
      <c r="AH40" s="35">
        <f t="shared" si="23"/>
        <v>4248505.0200000005</v>
      </c>
      <c r="AI40" s="35">
        <f t="shared" si="23"/>
        <v>6354547.7300000004</v>
      </c>
      <c r="AJ40" s="35">
        <f t="shared" si="23"/>
        <v>8778483.6500000004</v>
      </c>
      <c r="AK40" s="35">
        <f t="shared" si="23"/>
        <v>10698663.18</v>
      </c>
      <c r="AL40" s="35">
        <f t="shared" si="23"/>
        <v>13130509.530000001</v>
      </c>
      <c r="AM40" s="35">
        <f t="shared" si="23"/>
        <v>15440280.85</v>
      </c>
      <c r="AN40" s="35">
        <f t="shared" si="23"/>
        <v>17590483.580000002</v>
      </c>
      <c r="AO40" s="35">
        <f t="shared" si="23"/>
        <v>19649122.199999999</v>
      </c>
      <c r="AP40" s="35">
        <f t="shared" si="23"/>
        <v>21697316.949999999</v>
      </c>
      <c r="AQ40" s="35">
        <f t="shared" si="23"/>
        <v>23770913.030000001</v>
      </c>
      <c r="AR40" s="35">
        <f t="shared" si="23"/>
        <v>0</v>
      </c>
      <c r="AS40" s="35">
        <f t="shared" si="23"/>
        <v>24304304</v>
      </c>
      <c r="AT40" s="35">
        <f t="shared" si="23"/>
        <v>0</v>
      </c>
      <c r="AU40" s="35">
        <f t="shared" si="23"/>
        <v>0</v>
      </c>
      <c r="AV40" s="35">
        <f t="shared" si="23"/>
        <v>0</v>
      </c>
      <c r="AW40" s="35">
        <f t="shared" si="23"/>
        <v>0</v>
      </c>
      <c r="AX40" s="35">
        <f t="shared" si="23"/>
        <v>0</v>
      </c>
      <c r="AY40" s="35">
        <f t="shared" si="23"/>
        <v>0</v>
      </c>
      <c r="AZ40" s="35">
        <f t="shared" si="23"/>
        <v>0</v>
      </c>
    </row>
    <row r="41" spans="1:52">
      <c r="A41" s="9">
        <v>10.1</v>
      </c>
      <c r="B41" s="25" t="s">
        <v>144</v>
      </c>
      <c r="C41" s="27">
        <f>Trend!C93</f>
        <v>4472114</v>
      </c>
      <c r="D41" s="27">
        <f>Trend!D93</f>
        <v>5710996</v>
      </c>
      <c r="E41" s="27">
        <f>Trend!E93</f>
        <v>5971894</v>
      </c>
      <c r="F41" s="27">
        <f>Trend!F93</f>
        <v>6436772</v>
      </c>
      <c r="G41" s="27">
        <f>Trend!G93</f>
        <v>588360.4</v>
      </c>
      <c r="H41" s="27">
        <f>Trend!H93</f>
        <v>1165382.8</v>
      </c>
      <c r="I41" s="27">
        <f>Trend!I93</f>
        <v>1771537.7</v>
      </c>
      <c r="J41" s="27">
        <f>Trend!J93</f>
        <v>2345206.1</v>
      </c>
      <c r="K41" s="27">
        <f>Trend!K93</f>
        <v>3012999.98</v>
      </c>
      <c r="L41" s="27">
        <f>Trend!L93</f>
        <v>3590790.28</v>
      </c>
      <c r="M41" s="27">
        <f>Trend!M93</f>
        <v>4200083.675684575</v>
      </c>
      <c r="N41" s="27">
        <f>Trend!N93</f>
        <v>4757233.08</v>
      </c>
      <c r="O41" s="27">
        <f>Trend!O93</f>
        <v>5403492.1600000001</v>
      </c>
      <c r="P41" s="27">
        <f>Trend!P93</f>
        <v>5996477.5599999996</v>
      </c>
      <c r="Q41" s="27">
        <f>Trend!Q93</f>
        <v>6595132.79</v>
      </c>
      <c r="R41" s="27">
        <f>Trend!R93</f>
        <v>21601342.079999998</v>
      </c>
      <c r="S41" s="27">
        <f>Trend!S93</f>
        <v>21601342.079999998</v>
      </c>
      <c r="T41" s="27">
        <f>Trend!T93</f>
        <v>580725.4</v>
      </c>
      <c r="U41" s="27">
        <f>Trend!U93</f>
        <v>1156964.8</v>
      </c>
      <c r="V41" s="27">
        <f>Trend!V93</f>
        <v>1753879.7</v>
      </c>
      <c r="W41" s="27">
        <f>Trend!W93</f>
        <v>2340114.1</v>
      </c>
      <c r="X41" s="27">
        <f>Trend!X93</f>
        <v>2907993.5</v>
      </c>
      <c r="Y41" s="27">
        <f>Trend!Y93</f>
        <v>3633286.45</v>
      </c>
      <c r="Z41" s="27">
        <f>Trend!Z93</f>
        <v>4228171.1100000003</v>
      </c>
      <c r="AA41" s="27">
        <f>Trend!AA93</f>
        <v>4870009.7699999996</v>
      </c>
      <c r="AB41" s="27">
        <f>Trend!AB93</f>
        <v>5466529.4299999997</v>
      </c>
      <c r="AC41" s="27">
        <f>Trend!AC93</f>
        <v>6083015.0899999999</v>
      </c>
      <c r="AD41" s="27">
        <f>Trend!AD93</f>
        <v>6708415.75</v>
      </c>
      <c r="AE41" s="27">
        <f>Trend!AE93</f>
        <v>7337830.4000000004</v>
      </c>
      <c r="AF41" s="27">
        <f>Trend!AF93</f>
        <v>0</v>
      </c>
      <c r="AG41" s="27">
        <f>Trend!AG93</f>
        <v>650516.82999999996</v>
      </c>
      <c r="AH41" s="27">
        <f>Trend!AH93</f>
        <v>1264244.93</v>
      </c>
      <c r="AI41" s="27">
        <f>Trend!AI93</f>
        <v>1955841.48</v>
      </c>
      <c r="AJ41" s="27">
        <f>Trend!AJ93</f>
        <v>2607010.81</v>
      </c>
      <c r="AK41" s="27">
        <f>Trend!AK93</f>
        <v>3237218.63</v>
      </c>
      <c r="AL41" s="27">
        <f>Trend!AL93</f>
        <v>3870476.46</v>
      </c>
      <c r="AM41" s="27">
        <f>Trend!AM93</f>
        <v>4492764.29</v>
      </c>
      <c r="AN41" s="27">
        <f>Trend!AN93</f>
        <v>5184524.6100000003</v>
      </c>
      <c r="AO41" s="27">
        <f>Trend!AO93</f>
        <v>5823522.9400000004</v>
      </c>
      <c r="AP41" s="27">
        <f>Trend!AP93</f>
        <v>6486978.7699999996</v>
      </c>
      <c r="AQ41" s="27">
        <f>Trend!AQ93</f>
        <v>7166179.3200000003</v>
      </c>
      <c r="AR41" s="27">
        <f>Trend!AR93</f>
        <v>0</v>
      </c>
      <c r="AS41" s="27">
        <f>Trend!AS93</f>
        <v>7368033</v>
      </c>
      <c r="AT41" s="27">
        <f>Trend!AT93</f>
        <v>0</v>
      </c>
      <c r="AU41" s="27">
        <f>Trend!AU93</f>
        <v>0</v>
      </c>
      <c r="AV41" s="27">
        <f>Trend!AV93</f>
        <v>0</v>
      </c>
      <c r="AW41" s="27">
        <f>Trend!AW93</f>
        <v>0</v>
      </c>
      <c r="AX41" s="27">
        <f>Trend!AX93</f>
        <v>0</v>
      </c>
      <c r="AY41" s="27">
        <f>Trend!AY93</f>
        <v>0</v>
      </c>
      <c r="AZ41" s="27">
        <f>Trend!AZ93</f>
        <v>0</v>
      </c>
    </row>
    <row r="42" spans="1:52">
      <c r="A42" s="9">
        <v>10.199999999999999</v>
      </c>
      <c r="B42" s="25" t="s">
        <v>145</v>
      </c>
      <c r="C42" s="27">
        <f>Trend!C82</f>
        <v>9449807</v>
      </c>
      <c r="D42" s="27">
        <f>Trend!D82</f>
        <v>9899196</v>
      </c>
      <c r="E42" s="27">
        <f>Trend!E82</f>
        <v>11083861</v>
      </c>
      <c r="F42" s="27">
        <f>Trend!F82</f>
        <v>11740414</v>
      </c>
      <c r="G42" s="27">
        <f>Trend!G84</f>
        <v>0</v>
      </c>
      <c r="H42" s="27">
        <f>Trend!H84</f>
        <v>200000</v>
      </c>
      <c r="I42" s="27">
        <f>Trend!I84</f>
        <v>300000</v>
      </c>
      <c r="J42" s="27">
        <f>Trend!J84</f>
        <v>400000</v>
      </c>
      <c r="K42" s="27">
        <f>Trend!K84</f>
        <v>500000</v>
      </c>
      <c r="L42" s="27">
        <f>Trend!L84</f>
        <v>600000</v>
      </c>
      <c r="M42" s="27">
        <f>Trend!M84</f>
        <v>700000</v>
      </c>
      <c r="N42" s="27">
        <f>Trend!N84</f>
        <v>800000</v>
      </c>
      <c r="O42" s="27">
        <f>Trend!O84</f>
        <v>900000</v>
      </c>
      <c r="P42" s="27">
        <f>Trend!P84</f>
        <v>1000000</v>
      </c>
      <c r="Q42" s="27">
        <f>Trend!Q84</f>
        <v>1398021.02</v>
      </c>
      <c r="R42" s="27">
        <f>Trend!R84</f>
        <v>4337450.04</v>
      </c>
      <c r="S42" s="27">
        <f>Trend!S84</f>
        <v>4337450.04</v>
      </c>
      <c r="T42" s="27">
        <f>Trend!T84</f>
        <v>120484.72</v>
      </c>
      <c r="U42" s="27">
        <f>Trend!U84</f>
        <v>253016</v>
      </c>
      <c r="V42" s="27">
        <f>Trend!V84</f>
        <v>379524</v>
      </c>
      <c r="W42" s="27">
        <f>Trend!W84</f>
        <v>506032</v>
      </c>
      <c r="X42" s="27">
        <f>Trend!X84</f>
        <v>662665.98</v>
      </c>
      <c r="Y42" s="27">
        <f>Trend!Y84</f>
        <v>796969.77</v>
      </c>
      <c r="Z42" s="27">
        <f>Trend!Z84</f>
        <v>935819.31</v>
      </c>
      <c r="AA42" s="27">
        <f>Trend!AA84</f>
        <v>1074535.72</v>
      </c>
      <c r="AB42" s="27">
        <f>Trend!AB84</f>
        <v>1211264.68</v>
      </c>
      <c r="AC42" s="27">
        <f>Trend!AC84</f>
        <v>1483341.58</v>
      </c>
      <c r="AD42" s="27">
        <f>Trend!AD84</f>
        <v>1629309.79</v>
      </c>
      <c r="AE42" s="27">
        <f>Trend!AE84</f>
        <v>1637066.09</v>
      </c>
      <c r="AF42" s="27">
        <f>Trend!AF84</f>
        <v>0</v>
      </c>
      <c r="AG42" s="27">
        <f>Trend!AG84</f>
        <v>109285.91</v>
      </c>
      <c r="AH42" s="27">
        <f>Trend!AH84</f>
        <v>274730.75</v>
      </c>
      <c r="AI42" s="27">
        <f>Trend!AI84</f>
        <v>414248.4</v>
      </c>
      <c r="AJ42" s="27">
        <f>Trend!AJ84</f>
        <v>553457.74</v>
      </c>
      <c r="AK42" s="27">
        <f>Trend!AK84</f>
        <v>695008.87</v>
      </c>
      <c r="AL42" s="27">
        <f>Trend!AL84</f>
        <v>835616.16</v>
      </c>
      <c r="AM42" s="27">
        <f>Trend!AM84</f>
        <v>1119431.92</v>
      </c>
      <c r="AN42" s="27">
        <f>Trend!AN84</f>
        <v>1263633.07</v>
      </c>
      <c r="AO42" s="27">
        <f>Trend!AO84</f>
        <v>1408683.4</v>
      </c>
      <c r="AP42" s="27">
        <f>Trend!AP84</f>
        <v>1551865.43</v>
      </c>
      <c r="AQ42" s="27">
        <f>Trend!AQ84</f>
        <v>1696689.46</v>
      </c>
      <c r="AR42" s="27">
        <f>Trend!AR84</f>
        <v>0</v>
      </c>
      <c r="AS42" s="27">
        <f>Trend!AS84</f>
        <v>0</v>
      </c>
      <c r="AT42" s="27">
        <f>Trend!AT84</f>
        <v>0</v>
      </c>
      <c r="AU42" s="27">
        <f>Trend!AU84</f>
        <v>0</v>
      </c>
      <c r="AV42" s="27">
        <f>Trend!AV84</f>
        <v>0</v>
      </c>
      <c r="AW42" s="27">
        <f>Trend!AW84</f>
        <v>0</v>
      </c>
      <c r="AX42" s="27">
        <f>Trend!AX84</f>
        <v>0</v>
      </c>
      <c r="AY42" s="27">
        <f>Trend!AY84</f>
        <v>0</v>
      </c>
      <c r="AZ42" s="27">
        <f>Trend!AZ84</f>
        <v>0</v>
      </c>
    </row>
    <row r="43" spans="1:52">
      <c r="A43" s="9">
        <v>10.3</v>
      </c>
      <c r="B43" s="25" t="s">
        <v>146</v>
      </c>
      <c r="C43" s="28">
        <f>Trend!C83</f>
        <v>772280</v>
      </c>
      <c r="D43" s="28">
        <f>Trend!D83</f>
        <v>505621</v>
      </c>
      <c r="E43" s="28">
        <f>Trend!E83</f>
        <v>975753</v>
      </c>
      <c r="F43" s="28">
        <f>Trend!F83</f>
        <v>1298320</v>
      </c>
      <c r="G43" s="28">
        <f>Trend!G83</f>
        <v>0</v>
      </c>
      <c r="H43" s="28">
        <f>Trend!H83</f>
        <v>0</v>
      </c>
      <c r="I43" s="28">
        <f>Trend!I83</f>
        <v>583973.01</v>
      </c>
      <c r="J43" s="28">
        <f>Trend!J83</f>
        <v>583973.01</v>
      </c>
      <c r="K43" s="28">
        <f>Trend!K83</f>
        <v>583973.01</v>
      </c>
      <c r="L43" s="28">
        <f>Trend!L83</f>
        <v>835860.23</v>
      </c>
      <c r="M43" s="28">
        <f>Trend!M83</f>
        <v>835860.23</v>
      </c>
      <c r="N43" s="28">
        <f>Trend!N83</f>
        <v>835860.23</v>
      </c>
      <c r="O43" s="28">
        <f>Trend!O83</f>
        <v>1082450.23</v>
      </c>
      <c r="P43" s="28">
        <f>Trend!P83</f>
        <v>1082450.23</v>
      </c>
      <c r="Q43" s="28">
        <f>Trend!Q83</f>
        <v>1082450.23</v>
      </c>
      <c r="R43" s="28">
        <f>Trend!R83</f>
        <v>3701590.86</v>
      </c>
      <c r="S43" s="28">
        <f>Trend!S83</f>
        <v>3701590.86</v>
      </c>
      <c r="T43" s="28">
        <f>Trend!T83</f>
        <v>0</v>
      </c>
      <c r="U43" s="28">
        <f>Trend!U83</f>
        <v>370590</v>
      </c>
      <c r="V43" s="28">
        <f>Trend!V83</f>
        <v>611357.14</v>
      </c>
      <c r="W43" s="28">
        <f>Trend!W83</f>
        <v>981947.14</v>
      </c>
      <c r="X43" s="28">
        <f>Trend!X83</f>
        <v>981947.14</v>
      </c>
      <c r="Y43" s="28">
        <f>Trend!Y83</f>
        <v>1283974.55</v>
      </c>
      <c r="Z43" s="28">
        <f>Trend!Z83</f>
        <v>1728614.55</v>
      </c>
      <c r="AA43" s="28">
        <f>Trend!AA83</f>
        <v>1818614.55</v>
      </c>
      <c r="AB43" s="28">
        <f>Trend!AB83</f>
        <v>2369524.4700000002</v>
      </c>
      <c r="AC43" s="28">
        <f>Trend!AC83</f>
        <v>2369524.4700000002</v>
      </c>
      <c r="AD43" s="28">
        <f>Trend!AD83</f>
        <v>2369524.4700000002</v>
      </c>
      <c r="AE43" s="28">
        <f>Trend!AE83</f>
        <v>2369524.4700000002</v>
      </c>
      <c r="AF43" s="28">
        <f>Trend!AF83</f>
        <v>0</v>
      </c>
      <c r="AG43" s="28">
        <f>Trend!AG83</f>
        <v>191853.9</v>
      </c>
      <c r="AH43" s="28">
        <f>Trend!AH83</f>
        <v>191853.9</v>
      </c>
      <c r="AI43" s="28">
        <f>Trend!AI83</f>
        <v>191853.9</v>
      </c>
      <c r="AJ43" s="28">
        <f>Trend!AJ83</f>
        <v>191853.9</v>
      </c>
      <c r="AK43" s="28">
        <f>Trend!AK83</f>
        <v>191853.9</v>
      </c>
      <c r="AL43" s="28">
        <f>Trend!AL83</f>
        <v>191853.9</v>
      </c>
      <c r="AM43" s="28">
        <f>Trend!AM83</f>
        <v>191853.9</v>
      </c>
      <c r="AN43" s="28">
        <f>Trend!AN83</f>
        <v>191853.9</v>
      </c>
      <c r="AO43" s="28">
        <f>Trend!AO83</f>
        <v>191853.9</v>
      </c>
      <c r="AP43" s="28">
        <f>Trend!AP83</f>
        <v>191853.9</v>
      </c>
      <c r="AQ43" s="28">
        <f>Trend!AQ83</f>
        <v>191853.9</v>
      </c>
      <c r="AR43" s="28">
        <f>Trend!AR83</f>
        <v>0</v>
      </c>
      <c r="AS43" s="28">
        <f>Trend!AS83</f>
        <v>191854</v>
      </c>
      <c r="AT43" s="28">
        <f>Trend!AT83</f>
        <v>0</v>
      </c>
      <c r="AU43" s="28">
        <f>Trend!AU83</f>
        <v>0</v>
      </c>
      <c r="AV43" s="28">
        <f>Trend!AV83</f>
        <v>0</v>
      </c>
      <c r="AW43" s="28">
        <f>Trend!AW83</f>
        <v>0</v>
      </c>
      <c r="AX43" s="28">
        <f>Trend!AX83</f>
        <v>0</v>
      </c>
      <c r="AY43" s="28">
        <f>Trend!AY83</f>
        <v>0</v>
      </c>
      <c r="AZ43" s="28">
        <f>Trend!AZ83</f>
        <v>0</v>
      </c>
    </row>
    <row r="44" spans="1:52">
      <c r="A44" s="9">
        <v>10.4</v>
      </c>
      <c r="B44" s="25" t="s">
        <v>147</v>
      </c>
      <c r="C44" s="27">
        <f>Trend!C85+Trend!C86+Trend!C87</f>
        <v>0</v>
      </c>
      <c r="D44" s="27">
        <f>Trend!D85+Trend!D86+Trend!D87</f>
        <v>97299</v>
      </c>
      <c r="E44" s="27">
        <f>Trend!E85+Trend!E86+Trend!E87</f>
        <v>0</v>
      </c>
      <c r="F44" s="27">
        <f>Trend!F85+Trend!F86+Trend!F87</f>
        <v>392211</v>
      </c>
      <c r="G44" s="27">
        <f>Trend!G85+Trend!G86+Trend!G87</f>
        <v>54840</v>
      </c>
      <c r="H44" s="27">
        <f>Trend!H85+Trend!H86+Trend!H87</f>
        <v>90222</v>
      </c>
      <c r="I44" s="27">
        <f>Trend!I85+Trend!I86+Trend!I87</f>
        <v>121725</v>
      </c>
      <c r="J44" s="27">
        <f>Trend!J85+Trend!J86+Trend!J87</f>
        <v>153093</v>
      </c>
      <c r="K44" s="27">
        <f>Trend!K85+Trend!K86+Trend!K87</f>
        <v>169362</v>
      </c>
      <c r="L44" s="27">
        <f>Trend!L85+Trend!L86+Trend!L87</f>
        <v>185182</v>
      </c>
      <c r="M44" s="27">
        <f>Trend!M85+Trend!M86+Trend!M87</f>
        <v>185794</v>
      </c>
      <c r="N44" s="27">
        <f>Trend!N85+Trend!N86+Trend!N87</f>
        <v>233640</v>
      </c>
      <c r="O44" s="27">
        <f>Trend!O85+Trend!O86+Trend!O87</f>
        <v>262536</v>
      </c>
      <c r="P44" s="27">
        <f>Trend!P85+Trend!P86+Trend!P87</f>
        <v>296287</v>
      </c>
      <c r="Q44" s="27">
        <f>Trend!Q85+Trend!Q86+Trend!Q87</f>
        <v>333345.61</v>
      </c>
      <c r="R44" s="27">
        <f>Trend!R85+Trend!R86+Trend!R87</f>
        <v>1118956.83</v>
      </c>
      <c r="S44" s="27">
        <f>Trend!S85+Trend!S86+Trend!S87</f>
        <v>1118956.83</v>
      </c>
      <c r="T44" s="27">
        <f>Trend!T85+Trend!T86+Trend!T87</f>
        <v>0</v>
      </c>
      <c r="U44" s="27">
        <f>Trend!U85+Trend!U86+Trend!U87</f>
        <v>130864</v>
      </c>
      <c r="V44" s="27">
        <f>Trend!V85+Trend!V86+Trend!V87</f>
        <v>174424</v>
      </c>
      <c r="W44" s="27">
        <f>Trend!W85+Trend!W86+Trend!W87</f>
        <v>153994</v>
      </c>
      <c r="X44" s="27">
        <f>Trend!X85+Trend!X86+Trend!X87</f>
        <v>153994</v>
      </c>
      <c r="Y44" s="27">
        <f>Trend!Y85+Trend!Y86+Trend!Y87</f>
        <v>240952</v>
      </c>
      <c r="Z44" s="27">
        <f>Trend!Z85+Trend!Z86+Trend!Z87</f>
        <v>291706</v>
      </c>
      <c r="AA44" s="27">
        <f>Trend!AA85+Trend!AA86+Trend!AA87</f>
        <v>368282.29</v>
      </c>
      <c r="AB44" s="27">
        <f>Trend!AB85+Trend!AB86+Trend!AB87</f>
        <v>411356.29</v>
      </c>
      <c r="AC44" s="27">
        <f>Trend!AC85+Trend!AC86+Trend!AC87</f>
        <v>452934.29</v>
      </c>
      <c r="AD44" s="27">
        <f>Trend!AD85+Trend!AD86+Trend!AD87</f>
        <v>489708.29</v>
      </c>
      <c r="AE44" s="27">
        <f>Trend!AE85+Trend!AE86+Trend!AE87</f>
        <v>546696.49</v>
      </c>
      <c r="AF44" s="27">
        <f>Trend!AF85+Trend!AF86+Trend!AF87</f>
        <v>0</v>
      </c>
      <c r="AG44" s="27">
        <f>Trend!AG85+Trend!AG86+Trend!AG87</f>
        <v>36810</v>
      </c>
      <c r="AH44" s="27">
        <f>Trend!AH85+Trend!AH86+Trend!AH87</f>
        <v>114482</v>
      </c>
      <c r="AI44" s="27">
        <f>Trend!AI85+Trend!AI86+Trend!AI87</f>
        <v>173017</v>
      </c>
      <c r="AJ44" s="27">
        <f>Trend!AJ85+Trend!AJ86+Trend!AJ87</f>
        <v>226243</v>
      </c>
      <c r="AK44" s="27">
        <f>Trend!AK85+Trend!AK86+Trend!AK87</f>
        <v>320119.43</v>
      </c>
      <c r="AL44" s="27">
        <f>Trend!AL85+Trend!AL86+Trend!AL87</f>
        <v>396345.89</v>
      </c>
      <c r="AM44" s="27">
        <f>Trend!AM85+Trend!AM86+Trend!AM87</f>
        <v>435843.89</v>
      </c>
      <c r="AN44" s="27">
        <f>Trend!AN85+Trend!AN86+Trend!AN87</f>
        <v>474099.89</v>
      </c>
      <c r="AO44" s="27">
        <f>Trend!AO85+Trend!AO86+Trend!AO87</f>
        <v>511629.89</v>
      </c>
      <c r="AP44" s="27">
        <f>Trend!AP85+Trend!AP86+Trend!AP87</f>
        <v>563205.89</v>
      </c>
      <c r="AQ44" s="27">
        <f>Trend!AQ85+Trend!AQ86+Trend!AQ87</f>
        <v>583125.89</v>
      </c>
      <c r="AR44" s="27">
        <f>Trend!AR85+Trend!AR86+Trend!AR87</f>
        <v>0</v>
      </c>
      <c r="AS44" s="27">
        <f>Trend!AS85+Trend!AS86+Trend!AS87</f>
        <v>182022</v>
      </c>
      <c r="AT44" s="27">
        <f>Trend!AT85+Trend!AT86+Trend!AT87</f>
        <v>0</v>
      </c>
      <c r="AU44" s="27">
        <f>Trend!AU85+Trend!AU86+Trend!AU87</f>
        <v>0</v>
      </c>
      <c r="AV44" s="27">
        <f>Trend!AV85+Trend!AV86+Trend!AV87</f>
        <v>0</v>
      </c>
      <c r="AW44" s="27">
        <f>Trend!AW85+Trend!AW86+Trend!AW87</f>
        <v>0</v>
      </c>
      <c r="AX44" s="27">
        <f>Trend!AX85+Trend!AX86+Trend!AX87</f>
        <v>0</v>
      </c>
      <c r="AY44" s="27">
        <f>Trend!AY85+Trend!AY86+Trend!AY87</f>
        <v>0</v>
      </c>
      <c r="AZ44" s="27">
        <f>Trend!AZ85+Trend!AZ86+Trend!AZ87</f>
        <v>0</v>
      </c>
    </row>
    <row r="45" spans="1:52">
      <c r="A45" s="9">
        <v>10.5</v>
      </c>
      <c r="B45" s="26" t="s">
        <v>83</v>
      </c>
      <c r="C45" s="27">
        <f>Trend!C92</f>
        <v>14145467</v>
      </c>
      <c r="D45" s="27">
        <f>Trend!D92</f>
        <v>14462350</v>
      </c>
      <c r="E45" s="27">
        <f>Trend!E92</f>
        <v>14206098</v>
      </c>
      <c r="F45" s="27">
        <f>Trend!F92</f>
        <v>13467776</v>
      </c>
      <c r="G45" s="27">
        <f>Trend!G92</f>
        <v>889835.41</v>
      </c>
      <c r="H45" s="27">
        <f>Trend!H92</f>
        <v>2157780.37</v>
      </c>
      <c r="I45" s="27">
        <f>Trend!I92</f>
        <v>3597321.67</v>
      </c>
      <c r="J45" s="27">
        <f>Trend!J92</f>
        <v>4678935.38</v>
      </c>
      <c r="K45" s="27">
        <f>Trend!K92</f>
        <v>6294437.79</v>
      </c>
      <c r="L45" s="27">
        <f>Trend!L92</f>
        <v>7347362.8399999999</v>
      </c>
      <c r="M45" s="27">
        <f>Trend!M92</f>
        <v>8432187.3649904821</v>
      </c>
      <c r="N45" s="27">
        <f>Trend!N92</f>
        <v>9494613.8500000015</v>
      </c>
      <c r="O45" s="27">
        <f>Trend!O92</f>
        <v>10985307.220000001</v>
      </c>
      <c r="P45" s="27">
        <f>Trend!P92</f>
        <v>12087808.009999998</v>
      </c>
      <c r="Q45" s="27">
        <f>Trend!Q92</f>
        <v>13890741.33</v>
      </c>
      <c r="R45" s="27">
        <f>Trend!R92</f>
        <v>55347630.480000004</v>
      </c>
      <c r="S45" s="27">
        <f>Trend!S92</f>
        <v>55347630.480000004</v>
      </c>
      <c r="T45" s="27">
        <f>Trend!T92</f>
        <v>861204.11</v>
      </c>
      <c r="U45" s="27">
        <f>Trend!U92</f>
        <v>2540196.6500000004</v>
      </c>
      <c r="V45" s="27">
        <f>Trend!V92</f>
        <v>4037032.59</v>
      </c>
      <c r="W45" s="27">
        <f>Trend!W92</f>
        <v>5081626.93</v>
      </c>
      <c r="X45" s="27">
        <f>Trend!X92</f>
        <v>6329259.4299999997</v>
      </c>
      <c r="Y45" s="27">
        <f>Trend!Y92</f>
        <v>7507931.75</v>
      </c>
      <c r="Z45" s="27">
        <f>Trend!Z92</f>
        <v>8950540.6400000006</v>
      </c>
      <c r="AA45" s="27">
        <f>Trend!AA92</f>
        <v>10365858.26</v>
      </c>
      <c r="AB45" s="27">
        <f>Trend!AB92</f>
        <v>11446981.649999999</v>
      </c>
      <c r="AC45" s="27">
        <f>Trend!AC92</f>
        <v>12941506.920000002</v>
      </c>
      <c r="AD45" s="27">
        <f>Trend!AD92</f>
        <v>14121409.830000002</v>
      </c>
      <c r="AE45" s="27">
        <f>Trend!AE92</f>
        <v>15781138.750000002</v>
      </c>
      <c r="AF45" s="27">
        <f>Trend!AF92</f>
        <v>0</v>
      </c>
      <c r="AG45" s="27">
        <f>Trend!AG92</f>
        <v>1056887.1599999999</v>
      </c>
      <c r="AH45" s="27">
        <f>Trend!AH92</f>
        <v>2403193.4400000004</v>
      </c>
      <c r="AI45" s="27">
        <f>Trend!AI92</f>
        <v>3619586.95</v>
      </c>
      <c r="AJ45" s="27">
        <f>Trend!AJ92</f>
        <v>5199918.2</v>
      </c>
      <c r="AK45" s="27">
        <f>Trend!AK92</f>
        <v>6254462.3499999996</v>
      </c>
      <c r="AL45" s="27">
        <f>Trend!AL92</f>
        <v>7836217.120000001</v>
      </c>
      <c r="AM45" s="27">
        <f>Trend!AM92</f>
        <v>9200386.8499999996</v>
      </c>
      <c r="AN45" s="27">
        <f>Trend!AN92</f>
        <v>10476372.110000001</v>
      </c>
      <c r="AO45" s="27">
        <f>Trend!AO92</f>
        <v>11713432.07</v>
      </c>
      <c r="AP45" s="27">
        <f>Trend!AP92</f>
        <v>12903412.959999999</v>
      </c>
      <c r="AQ45" s="27">
        <f>Trend!AQ92</f>
        <v>14133064.460000001</v>
      </c>
      <c r="AR45" s="27">
        <f>Trend!AR92</f>
        <v>0</v>
      </c>
      <c r="AS45" s="27">
        <f>Trend!AS92</f>
        <v>16262395</v>
      </c>
      <c r="AT45" s="27">
        <f>Trend!AT92</f>
        <v>0</v>
      </c>
      <c r="AU45" s="27">
        <f>Trend!AU92</f>
        <v>0</v>
      </c>
      <c r="AV45" s="27">
        <f>Trend!AV92</f>
        <v>0</v>
      </c>
      <c r="AW45" s="27">
        <f>Trend!AW92</f>
        <v>0</v>
      </c>
      <c r="AX45" s="27">
        <f>Trend!AX92</f>
        <v>0</v>
      </c>
      <c r="AY45" s="27">
        <f>Trend!AY92</f>
        <v>0</v>
      </c>
      <c r="AZ45" s="27">
        <f>Trend!AZ92</f>
        <v>0</v>
      </c>
    </row>
    <row r="46" spans="1:52">
      <c r="A46" s="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</row>
    <row r="47" spans="1:52">
      <c r="A47" s="40"/>
      <c r="B47" s="26" t="s">
        <v>148</v>
      </c>
      <c r="C47" s="41">
        <f>Trend!C89</f>
        <v>1145539</v>
      </c>
      <c r="D47" s="41">
        <f>Trend!D89</f>
        <v>214877</v>
      </c>
      <c r="E47" s="41">
        <f>Trend!E89</f>
        <v>121968</v>
      </c>
      <c r="F47" s="41">
        <f>Trend!F89</f>
        <v>1700000</v>
      </c>
      <c r="G47" s="41">
        <f>Trend!G89</f>
        <v>0</v>
      </c>
      <c r="H47" s="41">
        <f>Trend!H89</f>
        <v>0</v>
      </c>
      <c r="I47" s="41">
        <f>Trend!I89</f>
        <v>0</v>
      </c>
      <c r="J47" s="41">
        <f>Trend!J89</f>
        <v>0</v>
      </c>
      <c r="K47" s="41">
        <f>Trend!K89</f>
        <v>333333.33</v>
      </c>
      <c r="L47" s="41">
        <f>Trend!L89</f>
        <v>400000</v>
      </c>
      <c r="M47" s="41">
        <f>Trend!M89</f>
        <v>500000</v>
      </c>
      <c r="N47" s="41">
        <f>Trend!N89</f>
        <v>500000</v>
      </c>
      <c r="O47" s="41">
        <f>Trend!O89</f>
        <v>500000</v>
      </c>
      <c r="P47" s="41">
        <f>Trend!P89</f>
        <v>500000</v>
      </c>
      <c r="Q47" s="41">
        <f>Trend!Q89</f>
        <v>500000</v>
      </c>
      <c r="R47" s="41">
        <f>Trend!R89</f>
        <v>1500000</v>
      </c>
      <c r="S47" s="41">
        <f>Trend!S89</f>
        <v>1500000</v>
      </c>
      <c r="T47" s="41">
        <f>Trend!T89</f>
        <v>0</v>
      </c>
      <c r="U47" s="41">
        <f>Trend!U89</f>
        <v>0</v>
      </c>
      <c r="V47" s="41">
        <f>Trend!V89</f>
        <v>0</v>
      </c>
      <c r="W47" s="41">
        <f>Trend!W89</f>
        <v>0</v>
      </c>
      <c r="X47" s="41">
        <f>Trend!X89</f>
        <v>0</v>
      </c>
      <c r="Y47" s="41">
        <f>Trend!Y89</f>
        <v>0</v>
      </c>
      <c r="Z47" s="41">
        <f>Trend!Z89</f>
        <v>0</v>
      </c>
      <c r="AA47" s="41">
        <f>Trend!AA89</f>
        <v>0</v>
      </c>
      <c r="AB47" s="41">
        <f>Trend!AB89</f>
        <v>0</v>
      </c>
      <c r="AC47" s="41">
        <f>Trend!AC89</f>
        <v>0</v>
      </c>
      <c r="AD47" s="41">
        <f>Trend!AD89</f>
        <v>0</v>
      </c>
      <c r="AE47" s="41">
        <f>Trend!AE89</f>
        <v>300000</v>
      </c>
      <c r="AF47" s="41">
        <f>Trend!AF89</f>
        <v>0</v>
      </c>
      <c r="AG47" s="41">
        <f>Trend!AG89</f>
        <v>0</v>
      </c>
      <c r="AH47" s="41">
        <f>Trend!AH89</f>
        <v>0</v>
      </c>
      <c r="AI47" s="41">
        <f>Trend!AI89</f>
        <v>0</v>
      </c>
      <c r="AJ47" s="41">
        <f>Trend!AJ89</f>
        <v>0</v>
      </c>
      <c r="AK47" s="41">
        <f>Trend!AK89</f>
        <v>0</v>
      </c>
      <c r="AL47" s="41">
        <f>Trend!AL89</f>
        <v>0</v>
      </c>
      <c r="AM47" s="41">
        <f>Trend!AM89</f>
        <v>0</v>
      </c>
      <c r="AN47" s="41">
        <f>Trend!AN89</f>
        <v>0</v>
      </c>
      <c r="AO47" s="41">
        <f>Trend!AO89</f>
        <v>0</v>
      </c>
      <c r="AP47" s="41">
        <f>Trend!AP89</f>
        <v>0</v>
      </c>
      <c r="AQ47" s="41">
        <f>Trend!AQ89</f>
        <v>0</v>
      </c>
      <c r="AR47" s="41">
        <f>Trend!AR89</f>
        <v>0</v>
      </c>
      <c r="AS47" s="41">
        <f>Trend!AS89</f>
        <v>300000</v>
      </c>
      <c r="AT47" s="41">
        <f>Trend!AT89</f>
        <v>0</v>
      </c>
      <c r="AU47" s="41">
        <f>Trend!AU89</f>
        <v>0</v>
      </c>
      <c r="AV47" s="41">
        <f>Trend!AV89</f>
        <v>0</v>
      </c>
      <c r="AW47" s="41">
        <f>Trend!AW89</f>
        <v>0</v>
      </c>
      <c r="AX47" s="41">
        <f>Trend!AX89</f>
        <v>0</v>
      </c>
      <c r="AY47" s="41">
        <f>Trend!AY89</f>
        <v>0</v>
      </c>
      <c r="AZ47" s="41">
        <f>Trend!AZ89</f>
        <v>0</v>
      </c>
    </row>
    <row r="48" spans="1:52">
      <c r="A48" s="32"/>
      <c r="B48" s="32" t="s">
        <v>149</v>
      </c>
      <c r="C48" s="27">
        <f>Trend!C3+Trend!C10+Trend!C11+Trend!C12</f>
        <v>27227584</v>
      </c>
      <c r="D48" s="27">
        <f>Trend!D3+Trend!D10+Trend!D11+Trend!D12</f>
        <v>20473615</v>
      </c>
      <c r="E48" s="27">
        <f>Trend!E3+Trend!E10+Trend!E11+Trend!E12</f>
        <v>29501244</v>
      </c>
      <c r="F48" s="27">
        <f>Trend!F3+Trend!F10+Trend!F11+Trend!F12</f>
        <v>52141499</v>
      </c>
      <c r="G48" s="27">
        <f>Trend!G3+Trend!G10+Trend!G11+Trend!G12</f>
        <v>28844167.66</v>
      </c>
      <c r="H48" s="27">
        <f>Trend!H3+Trend!H10+Trend!H11+Trend!H12</f>
        <v>28253971.68</v>
      </c>
      <c r="I48" s="27">
        <f>Trend!I3+Trend!I10+Trend!I11+Trend!I12</f>
        <v>41920668.090000004</v>
      </c>
      <c r="J48" s="27">
        <f>Trend!J3+Trend!J10+Trend!J11+Trend!J12</f>
        <v>37566334.920000002</v>
      </c>
      <c r="K48" s="27">
        <f>Trend!K3+Trend!K10+Trend!K11+Trend!K12</f>
        <v>35841129.75</v>
      </c>
      <c r="L48" s="27">
        <f>Trend!L3+Trend!L10+Trend!L11+Trend!L12</f>
        <v>34432927.879999995</v>
      </c>
      <c r="M48" s="27">
        <f>Trend!M3+Trend!M10+Trend!M11+Trend!M12</f>
        <v>32508509.169099998</v>
      </c>
      <c r="N48" s="27">
        <f>Trend!N3+Trend!N10+Trend!N11+Trend!N12</f>
        <v>29841406.809999999</v>
      </c>
      <c r="O48" s="27">
        <f>Trend!O3+Trend!O10+Trend!O11+Trend!O12</f>
        <v>31894418.23</v>
      </c>
      <c r="P48" s="27">
        <f>Trend!P3+Trend!P10+Trend!P11+Trend!P12</f>
        <v>26706977.359999999</v>
      </c>
      <c r="Q48" s="27">
        <f>Trend!Q3+Trend!Q10+Trend!Q11+Trend!Q12</f>
        <v>31004700.609999999</v>
      </c>
      <c r="R48" s="27">
        <f>Trend!R3+Trend!R10+Trend!R11+Trend!R12</f>
        <v>27687159.280000001</v>
      </c>
      <c r="S48" s="27">
        <f>Trend!S3+Trend!S10+Trend!S11+Trend!S12</f>
        <v>27606849</v>
      </c>
      <c r="T48" s="27">
        <f>Trend!T3+Trend!T10+Trend!T11+Trend!T12</f>
        <v>37145987.350000001</v>
      </c>
      <c r="U48" s="27">
        <f>Trend!U3+Trend!U10+Trend!U11+Trend!U12</f>
        <v>34260729.57</v>
      </c>
      <c r="V48" s="27">
        <f>Trend!V3+Trend!V10+Trend!V11+Trend!V12</f>
        <v>37416387.230000004</v>
      </c>
      <c r="W48" s="27">
        <f>Trend!W3+Trend!W10+Trend!W11+Trend!W12</f>
        <v>35284942.82</v>
      </c>
      <c r="X48" s="27">
        <f>Trend!X3+Trend!X10+Trend!X11+Trend!X12</f>
        <v>31890141.370000001</v>
      </c>
      <c r="Y48" s="27">
        <f>Trend!Y3+Trend!Y10+Trend!Y11+Trend!Y12</f>
        <v>30542558.120000001</v>
      </c>
      <c r="Z48" s="27">
        <f>Trend!Z3+Trend!Z10+Trend!Z11+Trend!Z12</f>
        <v>21771906.649999999</v>
      </c>
      <c r="AA48" s="27">
        <f>Trend!AA3+Trend!AA10+Trend!AA11+Trend!AA12</f>
        <v>20104880.710000001</v>
      </c>
      <c r="AB48" s="27">
        <f>Trend!AB3+Trend!AB10+Trend!AB11+Trend!AB12</f>
        <v>22411865.109999999</v>
      </c>
      <c r="AC48" s="27">
        <f>Trend!AC3+Trend!AC10+Trend!AC11+Trend!AC12</f>
        <v>25748102.09</v>
      </c>
      <c r="AD48" s="27">
        <f>Trend!AD3+Trend!AD10+Trend!AD11+Trend!AD12</f>
        <v>49472758.380000003</v>
      </c>
      <c r="AE48" s="27">
        <f>Trend!AE3+Trend!AE10+Trend!AE11+Trend!AE12</f>
        <v>26939956.510000002</v>
      </c>
      <c r="AF48" s="27">
        <f>Trend!AF3+Trend!AF10+Trend!AF11+Trend!AF12</f>
        <v>26846351</v>
      </c>
      <c r="AG48" s="27">
        <f>Trend!AG3+Trend!AG10+Trend!AG11+Trend!AG12</f>
        <v>38441530.699999996</v>
      </c>
      <c r="AH48" s="27">
        <f>Trend!AH3+Trend!AH10+Trend!AH11+Trend!AH12</f>
        <v>27169336.370000001</v>
      </c>
      <c r="AI48" s="27">
        <f>Trend!AI3+Trend!AI10+Trend!AI11+Trend!AI12</f>
        <v>36537323.329999998</v>
      </c>
      <c r="AJ48" s="27">
        <f>Trend!AJ3+Trend!AJ10+Trend!AJ11+Trend!AJ12</f>
        <v>23308680.949999999</v>
      </c>
      <c r="AK48" s="27">
        <f>Trend!AK3+Trend!AK10+Trend!AK11+Trend!AK12</f>
        <v>22325878.280000001</v>
      </c>
      <c r="AL48" s="27">
        <f>Trend!AL3+Trend!AL10+Trend!AL11+Trend!AL12</f>
        <v>30597727.240000002</v>
      </c>
      <c r="AM48" s="27">
        <f>Trend!AM3+Trend!AM10+Trend!AM11+Trend!AM12</f>
        <v>32754065.240000002</v>
      </c>
      <c r="AN48" s="27">
        <f>Trend!AN3+Trend!AN10+Trend!AN11+Trend!AN12</f>
        <v>28989041.109999999</v>
      </c>
      <c r="AO48" s="27">
        <f>Trend!AO3+Trend!AO10+Trend!AO11+Trend!AO12</f>
        <v>31532845.010000002</v>
      </c>
      <c r="AP48" s="27">
        <f>Trend!AP3+Trend!AP10+Trend!AP11+Trend!AP12</f>
        <v>33702100.049999997</v>
      </c>
      <c r="AQ48" s="27">
        <f>Trend!AQ3+Trend!AQ10+Trend!AQ11+Trend!AQ12</f>
        <v>36491449.920000002</v>
      </c>
      <c r="AR48" s="27">
        <f>Trend!AR3+Trend!AR10+Trend!AR11+Trend!AR12</f>
        <v>33779897.960000001</v>
      </c>
      <c r="AS48" s="27" t="e">
        <f>Trend!AS3+Trend!AS10+Trend!AS11+Trend!#REF!</f>
        <v>#REF!</v>
      </c>
      <c r="AT48" s="27">
        <f>Trend!AT3+Trend!AT10+Trend!AT11+Trend!AT12</f>
        <v>33053004.57</v>
      </c>
      <c r="AU48" s="27">
        <f>Trend!AU3+Trend!AU10+Trend!AU11+Trend!AU12</f>
        <v>30301467.420000002</v>
      </c>
      <c r="AV48" s="27">
        <f>Trend!AV3+Trend!AV10+Trend!AV11+Trend!AV12</f>
        <v>22141967.989999998</v>
      </c>
      <c r="AW48" s="27">
        <f>Trend!AW3+Trend!AW10+Trend!AW11+Trend!AW12</f>
        <v>26781741.740000002</v>
      </c>
      <c r="AX48" s="27">
        <f>Trend!AX3+Trend!AX10+Trend!AX11+Trend!AX12</f>
        <v>26799067.34</v>
      </c>
      <c r="AY48" s="27">
        <f>Trend!AY3+Trend!AY10+Trend!AY11+Trend!AY12</f>
        <v>32301325.859999999</v>
      </c>
      <c r="AZ48" s="27">
        <f>Trend!AZ3+Trend!AZ10+Trend!AZ11+Trend!AZ12</f>
        <v>52036291.899999999</v>
      </c>
    </row>
    <row r="49" spans="2:52">
      <c r="B49" s="33" t="s">
        <v>150</v>
      </c>
      <c r="C49" s="27">
        <f>Trend!C72+Trend!C91+Trend!C100</f>
        <v>27127521</v>
      </c>
      <c r="D49" s="27">
        <f>Trend!D72+Trend!D91+Trend!D100</f>
        <v>27376695</v>
      </c>
      <c r="E49" s="27">
        <f>Trend!E72+Trend!E91+Trend!E100</f>
        <v>28491876</v>
      </c>
      <c r="F49" s="27">
        <f>Trend!F72+Trend!F91+Trend!F100</f>
        <v>30436001</v>
      </c>
      <c r="G49" s="27">
        <f>Trend!G72+Trend!G91+Trend!G100</f>
        <v>2318955.64</v>
      </c>
      <c r="H49" s="27">
        <f>Trend!H72+Trend!H91+Trend!H100</f>
        <v>4953370.4899999993</v>
      </c>
      <c r="I49" s="27">
        <f>Trend!I72+Trend!I91+Trend!I100</f>
        <v>7211467.8399999999</v>
      </c>
      <c r="J49" s="27">
        <f>Trend!J72+Trend!J91+Trend!J100</f>
        <v>9740396.3599999994</v>
      </c>
      <c r="K49" s="27">
        <f>Trend!K72+Trend!K91+Trend!K100</f>
        <v>16785195.339999996</v>
      </c>
      <c r="L49" s="27">
        <f>Trend!L72+Trend!L91+Trend!L100</f>
        <v>19237293.59</v>
      </c>
      <c r="M49" s="27">
        <f>Trend!M72+Trend!M91+Trend!M100</f>
        <v>21717977.160799999</v>
      </c>
      <c r="N49" s="27">
        <f>Trend!N72+Trend!N91+Trend!N100</f>
        <v>23942854.34</v>
      </c>
      <c r="O49" s="27">
        <f>Trend!O72+Trend!O91+Trend!O100</f>
        <v>27154555.770000003</v>
      </c>
      <c r="P49" s="27">
        <f>Trend!P72+Trend!P91+Trend!P100</f>
        <v>29860863.25</v>
      </c>
      <c r="Q49" s="27">
        <f>Trend!Q72+Trend!Q91+Trend!Q100</f>
        <v>32795633.409999996</v>
      </c>
      <c r="R49" s="27">
        <f>Trend!R72+Trend!R91+Trend!R100</f>
        <v>107367728.22</v>
      </c>
      <c r="S49" s="27">
        <f>Trend!S72+Trend!S91+Trend!S100</f>
        <v>107367728.22</v>
      </c>
      <c r="T49" s="27">
        <f>Trend!T72+Trend!T91+Trend!T100</f>
        <v>2490640.36</v>
      </c>
      <c r="U49" s="27">
        <f>Trend!U72+Trend!U91+Trend!U100</f>
        <v>5297175.32</v>
      </c>
      <c r="V49" s="27">
        <f>Trend!V72+Trend!V91+Trend!V100</f>
        <v>7890717.2199999997</v>
      </c>
      <c r="W49" s="27">
        <f>Trend!W72+Trend!W91+Trend!W100</f>
        <v>15101143.949999999</v>
      </c>
      <c r="X49" s="27">
        <f>Trend!X72+Trend!X91+Trend!X100</f>
        <v>17663632.57</v>
      </c>
      <c r="Y49" s="27">
        <f>Trend!Y72+Trend!Y91+Trend!Y100</f>
        <v>20213285.66</v>
      </c>
      <c r="Z49" s="27">
        <f>Trend!Z72+Trend!Z91+Trend!Z100</f>
        <v>22986765.670000002</v>
      </c>
      <c r="AA49" s="27">
        <f>Trend!AA72+Trend!AA91+Trend!AA100</f>
        <v>25937570.23</v>
      </c>
      <c r="AB49" s="27">
        <f>Trend!AB72+Trend!AB91+Trend!AB100</f>
        <v>28345757.399999999</v>
      </c>
      <c r="AC49" s="27">
        <f>Trend!AC72+Trend!AC91+Trend!AC100</f>
        <v>30909032.530000001</v>
      </c>
      <c r="AD49" s="27">
        <f>Trend!AD72+Trend!AD91+Trend!AD100</f>
        <v>33743484.459999993</v>
      </c>
      <c r="AE49" s="27">
        <f>Trend!AE72+Trend!AE91+Trend!AE100</f>
        <v>36726267.950000003</v>
      </c>
      <c r="AF49" s="27">
        <f>Trend!AF72+Trend!AF91+Trend!AF100</f>
        <v>0</v>
      </c>
      <c r="AG49" s="27">
        <f>Trend!AG72+Trend!AG91+Trend!AG100</f>
        <v>2527419.3299999996</v>
      </c>
      <c r="AH49" s="27">
        <f>Trend!AH72+Trend!AH91+Trend!AH100</f>
        <v>5006252.41</v>
      </c>
      <c r="AI49" s="27">
        <f>Trend!AI72+Trend!AI91+Trend!AI100</f>
        <v>7571888.9400000004</v>
      </c>
      <c r="AJ49" s="27">
        <f>Trend!AJ72+Trend!AJ91+Trend!AJ100</f>
        <v>10236488.98</v>
      </c>
      <c r="AK49" s="27">
        <f>Trend!AK72+Trend!AK91+Trend!AK100</f>
        <v>13030832.57</v>
      </c>
      <c r="AL49" s="27">
        <f>Trend!AL72+Trend!AL91+Trend!AL100</f>
        <v>20262517.559999999</v>
      </c>
      <c r="AM49" s="27">
        <f>Trend!AM72+Trend!AM91+Trend!AM100</f>
        <v>22848276.469999999</v>
      </c>
      <c r="AN49" s="27">
        <f>Trend!AN72+Trend!AN91+Trend!AN100</f>
        <v>25517577.169999998</v>
      </c>
      <c r="AO49" s="27">
        <f>Trend!AO72+Trend!AO91+Trend!AO100</f>
        <v>28276056.720000003</v>
      </c>
      <c r="AP49" s="27">
        <f>Trend!AP72+Trend!AP91+Trend!AP100</f>
        <v>30966492.259999998</v>
      </c>
      <c r="AQ49" s="27">
        <f>Trend!AQ72+Trend!AQ91+Trend!AQ100</f>
        <v>33959720.82</v>
      </c>
      <c r="AR49" s="27">
        <f>Trend!AR72+Trend!AR91+Trend!AR100</f>
        <v>0</v>
      </c>
      <c r="AS49" s="27">
        <f>Trend!AS72+Trend!AS91+Trend!AS100</f>
        <v>36979854</v>
      </c>
      <c r="AT49" s="27">
        <f>Trend!AT72+Trend!AT91+Trend!AT100</f>
        <v>0</v>
      </c>
      <c r="AU49" s="27">
        <f>Trend!AU72+Trend!AU91+Trend!AU100</f>
        <v>0</v>
      </c>
      <c r="AV49" s="27">
        <f>Trend!AV72+Trend!AV91+Trend!AV100</f>
        <v>0</v>
      </c>
      <c r="AW49" s="27">
        <f>Trend!AW72+Trend!AW91+Trend!AW100</f>
        <v>0</v>
      </c>
      <c r="AX49" s="27">
        <f>Trend!AX72+Trend!AX91+Trend!AX100</f>
        <v>0</v>
      </c>
      <c r="AY49" s="27">
        <f>Trend!AY72+Trend!AY91+Trend!AY100</f>
        <v>0</v>
      </c>
      <c r="AZ49" s="27">
        <f>Trend!AZ72+Trend!AZ91+Trend!AZ100</f>
        <v>0</v>
      </c>
    </row>
    <row r="50" spans="2:52">
      <c r="B50" s="33" t="s">
        <v>151</v>
      </c>
      <c r="C50" s="27">
        <f>Trend!C81+Trend!C90+Trend!C92+Trend!C101+Trend!C103</f>
        <v>25559264</v>
      </c>
      <c r="D50" s="27">
        <f>Trend!D81+Trend!D90+Trend!D92+Trend!D101+Trend!D103</f>
        <v>25179343</v>
      </c>
      <c r="E50" s="27">
        <f>Trend!E81+Trend!E90+Trend!E92+Trend!E101+Trend!E103</f>
        <v>26552427</v>
      </c>
      <c r="F50" s="27">
        <f>Trend!F81+Trend!F90+Trend!F92+Trend!F101+Trend!F103</f>
        <v>28738814</v>
      </c>
      <c r="G50" s="27">
        <f>Trend!G81+Trend!G90+Trend!G92+Trend!G101+Trend!G103</f>
        <v>944675.41</v>
      </c>
      <c r="H50" s="27">
        <f>Trend!H81+Trend!H90+Trend!H92+Trend!H101+Trend!H103</f>
        <v>4448002.37</v>
      </c>
      <c r="I50" s="27">
        <f>Trend!I81+Trend!I90+Trend!I92+Trend!I101+Trend!I103</f>
        <v>6903019.6799999997</v>
      </c>
      <c r="J50" s="27">
        <f>Trend!J81+Trend!J90+Trend!J92+Trend!J101+Trend!J103</f>
        <v>9616001.3900000006</v>
      </c>
      <c r="K50" s="27">
        <f>Trend!K81+Trend!K90+Trend!K92+Trend!K101+Trend!K103</f>
        <v>16395111.73</v>
      </c>
      <c r="L50" s="27">
        <f>Trend!L81+Trend!L90+Trend!L92+Trend!L101+Trend!L103</f>
        <v>18582410.670000002</v>
      </c>
      <c r="M50" s="27">
        <f>Trend!M81+Trend!M90+Trend!M92+Trend!M101+Trend!M103</f>
        <v>20667847.194990482</v>
      </c>
      <c r="N50" s="27">
        <f>Trend!N81+Trend!N90+Trend!N92+Trend!N101+Trend!N103</f>
        <v>22878119.68</v>
      </c>
      <c r="O50" s="27">
        <f>Trend!O81+Trend!O90+Trend!O92+Trend!O101+Trend!O103</f>
        <v>25744299.050000001</v>
      </c>
      <c r="P50" s="27">
        <f>Trend!P81+Trend!P90+Trend!P92+Trend!P101+Trend!P103</f>
        <v>27980550.839999996</v>
      </c>
      <c r="Q50" s="27">
        <f>Trend!Q81+Trend!Q90+Trend!Q92+Trend!Q101+Trend!Q103</f>
        <v>30968563.789999999</v>
      </c>
      <c r="R50" s="27">
        <f>Trend!R81+Trend!R90+Trend!R92+Trend!R101+Trend!R103</f>
        <v>106804109.13</v>
      </c>
      <c r="S50" s="27">
        <f>Trend!S81+Trend!S90+Trend!S92+Trend!S101+Trend!S103</f>
        <v>106804110.13</v>
      </c>
      <c r="T50" s="27">
        <f>Trend!T81+Trend!T90+Trend!T92+Trend!T101+Trend!T103</f>
        <v>2114979.9699999997</v>
      </c>
      <c r="U50" s="27">
        <f>Trend!U81+Trend!U90+Trend!U92+Trend!U101+Trend!U103</f>
        <v>5199112.82</v>
      </c>
      <c r="V50" s="27">
        <f>Trend!V81+Trend!V90+Trend!V92+Trend!V101+Trend!V103</f>
        <v>7762023.6200000001</v>
      </c>
      <c r="W50" s="27">
        <f>Trend!W81+Trend!W90+Trend!W92+Trend!W101+Trend!W103</f>
        <v>11818658.949999999</v>
      </c>
      <c r="X50" s="27">
        <f>Trend!X81+Trend!X90+Trend!X92+Trend!X101+Trend!X103</f>
        <v>14768268.799999999</v>
      </c>
      <c r="Y50" s="27">
        <f>Trend!Y81+Trend!Y90+Trend!Y92+Trend!Y101+Trend!Y103</f>
        <v>17374547.07</v>
      </c>
      <c r="Z50" s="27">
        <f>Trend!Z81+Trend!Z90+Trend!Z92+Trend!Z101+Trend!Z103</f>
        <v>20729100.77</v>
      </c>
      <c r="AA50" s="27">
        <f>Trend!AA81+Trend!AA90+Trend!AA92+Trend!AA101+Trend!AA103</f>
        <v>23721314.600000001</v>
      </c>
      <c r="AB50" s="27">
        <f>Trend!AB81+Trend!AB90+Trend!AB92+Trend!AB101+Trend!AB103</f>
        <v>26176779.75</v>
      </c>
      <c r="AC50" s="27">
        <f>Trend!AC81+Trend!AC90+Trend!AC92+Trend!AC101+Trend!AC103</f>
        <v>29846804.460000001</v>
      </c>
      <c r="AD50" s="27">
        <f>Trend!AD81+Trend!AD90+Trend!AD92+Trend!AD101+Trend!AD103</f>
        <v>32367294.610000003</v>
      </c>
      <c r="AE50" s="27">
        <f>Trend!AE81+Trend!AE90+Trend!AE92+Trend!AE101+Trend!AE103</f>
        <v>35325756</v>
      </c>
      <c r="AF50" s="27">
        <f>Trend!AF81+Trend!AF90+Trend!AF92+Trend!AF101+Trend!AF103</f>
        <v>0</v>
      </c>
      <c r="AG50" s="27">
        <f>Trend!AG81+Trend!AG90+Trend!AG92+Trend!AG101+Trend!AG103</f>
        <v>2429948.9899999998</v>
      </c>
      <c r="AH50" s="27">
        <f>Trend!AH81+Trend!AH90+Trend!AH92+Trend!AH101+Trend!AH103</f>
        <v>4960945.8000000007</v>
      </c>
      <c r="AI50" s="27">
        <f>Trend!AI81+Trend!AI90+Trend!AI92+Trend!AI101+Trend!AI103</f>
        <v>7090035.5499999998</v>
      </c>
      <c r="AJ50" s="27">
        <f>Trend!AJ81+Trend!AJ90+Trend!AJ92+Trend!AJ101+Trend!AJ103</f>
        <v>10207848.59</v>
      </c>
      <c r="AK50" s="27">
        <f>Trend!AK81+Trend!AK90+Trend!AK92+Trend!AK101+Trend!AK103</f>
        <v>12859254.57</v>
      </c>
      <c r="AL50" s="27">
        <f>Trend!AL81+Trend!AL90+Trend!AL92+Trend!AL101+Trend!AL103</f>
        <v>19904267.220000003</v>
      </c>
      <c r="AM50" s="27">
        <f>Trend!AM81+Trend!AM90+Trend!AM92+Trend!AM101+Trend!AM103</f>
        <v>22356970.360000003</v>
      </c>
      <c r="AN50" s="27">
        <f>Trend!AN81+Trend!AN90+Trend!AN92+Trend!AN101+Trend!AN103</f>
        <v>24587008.870000005</v>
      </c>
      <c r="AO50" s="27">
        <f>Trend!AO81+Trend!AO90+Trend!AO92+Trend!AO101+Trend!AO103</f>
        <v>27422394.150000002</v>
      </c>
      <c r="AP50" s="27">
        <f>Trend!AP81+Trend!AP90+Trend!AP92+Trend!AP101+Trend!AP103</f>
        <v>30404946.059999999</v>
      </c>
      <c r="AQ50" s="27">
        <f>Trend!AQ81+Trend!AQ90+Trend!AQ92+Trend!AQ101+Trend!AQ103</f>
        <v>33025825.780000001</v>
      </c>
      <c r="AR50" s="27">
        <f>Trend!AR81+Trend!AR90+Trend!AR92+Trend!AR101+Trend!AR103</f>
        <v>0</v>
      </c>
      <c r="AS50" s="27">
        <f>Trend!AS81+Trend!AS90+Trend!AS92+Trend!AS101+Trend!AS103</f>
        <v>33240908</v>
      </c>
      <c r="AT50" s="27">
        <f>Trend!AT81+Trend!AT90+Trend!AT92+Trend!AT101+Trend!AT103</f>
        <v>0</v>
      </c>
      <c r="AU50" s="27">
        <f>Trend!AU81+Trend!AU90+Trend!AU92+Trend!AU101+Trend!AU103</f>
        <v>0</v>
      </c>
      <c r="AV50" s="27">
        <f>Trend!AV81+Trend!AV90+Trend!AV92+Trend!AV101+Trend!AV103</f>
        <v>0</v>
      </c>
      <c r="AW50" s="27">
        <f>Trend!AW81+Trend!AW90+Trend!AW92+Trend!AW101+Trend!AW103</f>
        <v>0</v>
      </c>
      <c r="AX50" s="27">
        <f>Trend!AX81+Trend!AX90+Trend!AX92+Trend!AX101+Trend!AX103</f>
        <v>0</v>
      </c>
      <c r="AY50" s="27">
        <f>Trend!AY81+Trend!AY90+Trend!AY92+Trend!AY101+Trend!AY103</f>
        <v>0</v>
      </c>
      <c r="AZ50" s="27">
        <f>Trend!AZ81+Trend!AZ90+Trend!AZ92+Trend!AZ101+Trend!AZ103</f>
        <v>0</v>
      </c>
    </row>
    <row r="51" spans="2:52">
      <c r="B51" s="1" t="s">
        <v>152</v>
      </c>
      <c r="C51" s="81">
        <f t="shared" ref="C51:S51" si="24">C10+C8</f>
        <v>28223010</v>
      </c>
      <c r="D51" s="81">
        <f t="shared" si="24"/>
        <v>28403144</v>
      </c>
      <c r="E51" s="81">
        <f t="shared" si="24"/>
        <v>31995152</v>
      </c>
      <c r="F51" s="81">
        <f t="shared" si="24"/>
        <v>42601176</v>
      </c>
      <c r="G51" s="81">
        <f t="shared" si="24"/>
        <v>41174818</v>
      </c>
      <c r="H51" s="81">
        <f t="shared" si="24"/>
        <v>39112187</v>
      </c>
      <c r="I51" s="81">
        <f t="shared" si="24"/>
        <v>41876617</v>
      </c>
      <c r="J51" s="81">
        <f t="shared" si="24"/>
        <v>35685522</v>
      </c>
      <c r="K51" s="81">
        <f t="shared" si="24"/>
        <v>36866632</v>
      </c>
      <c r="L51" s="81">
        <f t="shared" si="24"/>
        <v>36544708</v>
      </c>
      <c r="M51" s="81">
        <f t="shared" si="24"/>
        <v>36653492.348955423</v>
      </c>
      <c r="N51" s="81">
        <f t="shared" si="24"/>
        <v>36454676</v>
      </c>
      <c r="O51" s="81">
        <f t="shared" si="24"/>
        <v>37695708</v>
      </c>
      <c r="P51" s="81">
        <f t="shared" si="24"/>
        <v>38554279</v>
      </c>
      <c r="Q51" s="81">
        <f t="shared" si="24"/>
        <v>46100320</v>
      </c>
      <c r="R51" s="81">
        <f t="shared" si="24"/>
        <v>44529756</v>
      </c>
      <c r="S51" s="81">
        <f t="shared" si="24"/>
        <v>44529756</v>
      </c>
      <c r="T51" s="81">
        <f t="shared" ref="T51:AZ51" si="25">T10+T8</f>
        <v>50296374</v>
      </c>
      <c r="U51" s="81">
        <f t="shared" si="25"/>
        <v>49765241</v>
      </c>
      <c r="V51" s="81">
        <f t="shared" si="25"/>
        <v>42834744</v>
      </c>
      <c r="W51" s="81">
        <f t="shared" si="25"/>
        <v>35664216</v>
      </c>
      <c r="X51" s="81">
        <f t="shared" si="25"/>
        <v>34110175</v>
      </c>
      <c r="Y51" s="81">
        <f t="shared" si="25"/>
        <v>33662309</v>
      </c>
      <c r="Z51" s="81">
        <f t="shared" si="25"/>
        <v>35433504</v>
      </c>
      <c r="AA51" s="81">
        <f t="shared" si="25"/>
        <v>34632258</v>
      </c>
      <c r="AB51" s="81">
        <f t="shared" si="25"/>
        <v>33797338</v>
      </c>
      <c r="AC51" s="81">
        <f t="shared" si="25"/>
        <v>37130904</v>
      </c>
      <c r="AD51" s="81">
        <f t="shared" si="25"/>
        <v>58525330</v>
      </c>
      <c r="AE51" s="81">
        <f t="shared" si="25"/>
        <v>38489461</v>
      </c>
      <c r="AF51" s="81">
        <f t="shared" si="25"/>
        <v>40652565</v>
      </c>
      <c r="AG51" s="81">
        <f t="shared" si="25"/>
        <v>43591624</v>
      </c>
      <c r="AH51" s="81">
        <f t="shared" si="25"/>
        <v>26602399</v>
      </c>
      <c r="AI51" s="81">
        <f t="shared" si="25"/>
        <v>30874197</v>
      </c>
      <c r="AJ51" s="81">
        <f t="shared" si="25"/>
        <v>32201169</v>
      </c>
      <c r="AK51" s="81">
        <f t="shared" si="25"/>
        <v>28696329</v>
      </c>
      <c r="AL51" s="81">
        <f t="shared" si="25"/>
        <v>32979697</v>
      </c>
      <c r="AM51" s="81">
        <f t="shared" si="25"/>
        <v>31827156</v>
      </c>
      <c r="AN51" s="81">
        <f t="shared" si="25"/>
        <v>32270584</v>
      </c>
      <c r="AO51" s="81">
        <f t="shared" si="25"/>
        <v>34649516</v>
      </c>
      <c r="AP51" s="81">
        <f t="shared" si="25"/>
        <v>36977173</v>
      </c>
      <c r="AQ51" s="81">
        <f t="shared" si="25"/>
        <v>37538405</v>
      </c>
      <c r="AR51" s="81">
        <f t="shared" si="25"/>
        <v>35792970</v>
      </c>
      <c r="AS51" s="81">
        <f t="shared" si="25"/>
        <v>38071979</v>
      </c>
      <c r="AT51" s="81">
        <f t="shared" si="25"/>
        <v>0</v>
      </c>
      <c r="AU51" s="81">
        <f t="shared" si="25"/>
        <v>0</v>
      </c>
      <c r="AV51" s="81">
        <f t="shared" si="25"/>
        <v>0</v>
      </c>
      <c r="AW51" s="81">
        <f t="shared" si="25"/>
        <v>0</v>
      </c>
      <c r="AX51" s="81">
        <f t="shared" si="25"/>
        <v>0</v>
      </c>
      <c r="AY51" s="81">
        <f t="shared" si="25"/>
        <v>0</v>
      </c>
      <c r="AZ51" s="81">
        <f t="shared" si="25"/>
        <v>0</v>
      </c>
    </row>
    <row r="52" spans="2:52">
      <c r="B52" s="1" t="s">
        <v>153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S52" s="1">
        <f>(S5+F5)/2</f>
        <v>230571741.52969998</v>
      </c>
      <c r="T52" s="1">
        <f t="shared" ref="T52:AZ52" si="26">(T5+G5)/2</f>
        <v>258824890.11500001</v>
      </c>
      <c r="U52" s="1">
        <f t="shared" si="26"/>
        <v>232205369.44999999</v>
      </c>
      <c r="V52" s="1">
        <f t="shared" si="26"/>
        <v>237925647.14499998</v>
      </c>
      <c r="W52" s="1">
        <f t="shared" si="26"/>
        <v>232195984.01499999</v>
      </c>
      <c r="X52" s="1">
        <f t="shared" si="26"/>
        <v>229429231.37</v>
      </c>
      <c r="Y52" s="1">
        <f t="shared" si="26"/>
        <v>226666967.96000001</v>
      </c>
      <c r="Z52" s="1">
        <f t="shared" si="26"/>
        <v>233208077.56143245</v>
      </c>
      <c r="AA52" s="1">
        <f t="shared" si="26"/>
        <v>232244353.37</v>
      </c>
      <c r="AB52" s="1">
        <f t="shared" si="26"/>
        <v>237887886.05500001</v>
      </c>
      <c r="AC52" s="1">
        <f t="shared" si="26"/>
        <v>239951235.68000001</v>
      </c>
      <c r="AD52" s="1">
        <f t="shared" si="26"/>
        <v>253090670.44499999</v>
      </c>
      <c r="AE52" s="1">
        <f t="shared" si="26"/>
        <v>242078282.07999998</v>
      </c>
      <c r="AF52" s="1">
        <f t="shared" si="26"/>
        <v>220108569.02969998</v>
      </c>
      <c r="AG52" s="1">
        <f t="shared" si="26"/>
        <v>252692479.97500002</v>
      </c>
      <c r="AH52" s="1">
        <f t="shared" si="26"/>
        <v>221335463.91499999</v>
      </c>
      <c r="AI52" s="1">
        <f t="shared" si="26"/>
        <v>224258903.26999998</v>
      </c>
      <c r="AJ52" s="1">
        <f t="shared" si="26"/>
        <v>224611493.78</v>
      </c>
      <c r="AK52" s="1">
        <f t="shared" si="26"/>
        <v>221081112.655</v>
      </c>
      <c r="AL52" s="1">
        <f t="shared" si="26"/>
        <v>221460633.27000001</v>
      </c>
      <c r="AM52" s="1">
        <f t="shared" si="26"/>
        <v>226678802.30500001</v>
      </c>
      <c r="AN52" s="1">
        <f t="shared" si="26"/>
        <v>225522851.04000002</v>
      </c>
      <c r="AO52" s="1">
        <f t="shared" si="26"/>
        <v>226893088.905</v>
      </c>
      <c r="AP52" s="1">
        <f t="shared" si="26"/>
        <v>230984421.42500001</v>
      </c>
      <c r="AQ52" s="1">
        <f t="shared" si="26"/>
        <v>240163684.53</v>
      </c>
      <c r="AR52" s="1">
        <f t="shared" si="26"/>
        <v>230507845.63999999</v>
      </c>
      <c r="AS52" s="1">
        <f t="shared" si="26"/>
        <v>230610614.5</v>
      </c>
      <c r="AT52" s="1" t="e">
        <f t="shared" si="26"/>
        <v>#REF!</v>
      </c>
      <c r="AU52" s="1" t="e">
        <f t="shared" si="26"/>
        <v>#REF!</v>
      </c>
      <c r="AV52" s="1" t="e">
        <f t="shared" si="26"/>
        <v>#REF!</v>
      </c>
      <c r="AW52" s="1" t="e">
        <f t="shared" si="26"/>
        <v>#REF!</v>
      </c>
      <c r="AX52" s="1" t="e">
        <f t="shared" si="26"/>
        <v>#REF!</v>
      </c>
      <c r="AY52" s="1" t="e">
        <f t="shared" si="26"/>
        <v>#REF!</v>
      </c>
      <c r="AZ52" s="1" t="e">
        <f t="shared" si="26"/>
        <v>#REF!</v>
      </c>
    </row>
    <row r="53" spans="2:52">
      <c r="B53" s="1" t="s">
        <v>112</v>
      </c>
      <c r="G53" s="75"/>
      <c r="H53" s="75"/>
      <c r="I53" s="75"/>
      <c r="J53" s="75"/>
      <c r="K53" s="75"/>
      <c r="L53" s="75"/>
      <c r="M53" s="75"/>
      <c r="N53" s="75"/>
      <c r="O53" s="75"/>
      <c r="P53" s="75"/>
    </row>
    <row r="54" spans="2:52">
      <c r="B54" s="1" t="s">
        <v>154</v>
      </c>
      <c r="G54" s="75"/>
      <c r="H54" s="75"/>
      <c r="I54" s="75"/>
      <c r="J54" s="75"/>
      <c r="K54" s="75"/>
      <c r="L54" s="75"/>
      <c r="M54" s="75"/>
      <c r="N54" s="75"/>
      <c r="O54" s="75"/>
      <c r="P54" s="75"/>
    </row>
    <row r="55" spans="2:52">
      <c r="B55" s="1" t="s">
        <v>155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S55" s="149">
        <f>(S26+F26)/2</f>
        <v>151200055.34469998</v>
      </c>
      <c r="T55" s="149">
        <f t="shared" ref="T55:AZ55" si="27">(T26+G26)/2</f>
        <v>164422070</v>
      </c>
      <c r="U55" s="149">
        <f t="shared" si="27"/>
        <v>161620705</v>
      </c>
      <c r="V55" s="149">
        <f t="shared" si="27"/>
        <v>158988561</v>
      </c>
      <c r="W55" s="149">
        <f t="shared" si="27"/>
        <v>156565477.5</v>
      </c>
      <c r="X55" s="149">
        <f t="shared" si="27"/>
        <v>156841891.5</v>
      </c>
      <c r="Y55" s="149">
        <f t="shared" si="27"/>
        <v>155611715.5</v>
      </c>
      <c r="Z55" s="149">
        <f t="shared" si="27"/>
        <v>167579011.23734999</v>
      </c>
      <c r="AA55" s="149">
        <f t="shared" si="27"/>
        <v>168876453</v>
      </c>
      <c r="AB55" s="149">
        <f t="shared" si="27"/>
        <v>171822921.5</v>
      </c>
      <c r="AC55" s="149">
        <f t="shared" si="27"/>
        <v>175001191.5</v>
      </c>
      <c r="AD55" s="149">
        <f t="shared" si="27"/>
        <v>174605987.5</v>
      </c>
      <c r="AE55" s="149">
        <f t="shared" si="27"/>
        <v>176119137.5</v>
      </c>
      <c r="AF55" s="149">
        <f t="shared" si="27"/>
        <v>176063983.84469998</v>
      </c>
      <c r="AG55" s="149">
        <f t="shared" si="27"/>
        <v>178773354.5</v>
      </c>
      <c r="AH55" s="149">
        <f t="shared" si="27"/>
        <v>176730589.5</v>
      </c>
      <c r="AI55" s="149">
        <f t="shared" si="27"/>
        <v>173227802.5</v>
      </c>
      <c r="AJ55" s="149">
        <f t="shared" si="27"/>
        <v>181728044.5</v>
      </c>
      <c r="AK55" s="149">
        <f t="shared" si="27"/>
        <v>180593711</v>
      </c>
      <c r="AL55" s="149">
        <f t="shared" si="27"/>
        <v>177615042.5</v>
      </c>
      <c r="AM55" s="149">
        <f t="shared" si="27"/>
        <v>186217013.5</v>
      </c>
      <c r="AN55" s="149">
        <f t="shared" si="27"/>
        <v>187852932</v>
      </c>
      <c r="AO55" s="149">
        <f t="shared" si="27"/>
        <v>186208219.5</v>
      </c>
      <c r="AP55" s="149">
        <f t="shared" si="27"/>
        <v>187719164.5</v>
      </c>
      <c r="AQ55" s="149">
        <f t="shared" si="27"/>
        <v>182988220</v>
      </c>
      <c r="AR55" s="149">
        <f t="shared" si="27"/>
        <v>186384715.5</v>
      </c>
      <c r="AS55" s="149">
        <f t="shared" si="27"/>
        <v>186381544</v>
      </c>
      <c r="AT55" s="149">
        <f t="shared" si="27"/>
        <v>194341465.5</v>
      </c>
      <c r="AU55" s="149">
        <f t="shared" si="27"/>
        <v>193651824.5</v>
      </c>
      <c r="AV55" s="149">
        <f t="shared" si="27"/>
        <v>187713212.5</v>
      </c>
      <c r="AW55" s="149">
        <f t="shared" si="27"/>
        <v>193371011.5</v>
      </c>
      <c r="AX55" s="149">
        <f t="shared" si="27"/>
        <v>192413087.5</v>
      </c>
      <c r="AY55" s="149">
        <f t="shared" si="27"/>
        <v>189790553.5</v>
      </c>
      <c r="AZ55" s="149">
        <f t="shared" si="27"/>
        <v>185003099</v>
      </c>
    </row>
    <row r="56" spans="2:52">
      <c r="G56" s="75"/>
      <c r="H56" s="75"/>
      <c r="I56" s="75"/>
      <c r="J56" s="75"/>
      <c r="K56" s="75"/>
      <c r="L56" s="75"/>
      <c r="M56" s="75"/>
      <c r="N56" s="75"/>
      <c r="O56" s="75"/>
      <c r="P56" s="75"/>
    </row>
    <row r="57" spans="2:52">
      <c r="G57" s="75"/>
      <c r="H57" s="75"/>
      <c r="I57" s="75"/>
      <c r="J57" s="75"/>
      <c r="K57" s="75"/>
      <c r="L57" s="75"/>
      <c r="M57" s="75"/>
      <c r="N57" s="75"/>
      <c r="O57" s="75"/>
      <c r="P57" s="75"/>
    </row>
    <row r="58" spans="2:52">
      <c r="G58" s="75"/>
      <c r="H58" s="75"/>
      <c r="I58" s="75"/>
      <c r="J58" s="75"/>
      <c r="K58" s="75"/>
      <c r="L58" s="75"/>
      <c r="M58" s="75"/>
      <c r="N58" s="75"/>
      <c r="O58" s="75"/>
      <c r="P58" s="75"/>
    </row>
    <row r="59" spans="2:52"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0" spans="2:52">
      <c r="G60" s="75"/>
      <c r="H60" s="75"/>
      <c r="I60" s="75"/>
      <c r="J60" s="75"/>
      <c r="K60" s="75"/>
      <c r="L60" s="75"/>
      <c r="M60" s="75"/>
      <c r="N60" s="75"/>
      <c r="O60" s="75"/>
      <c r="P60" s="75"/>
    </row>
    <row r="61" spans="2:52">
      <c r="B61" s="79" t="s">
        <v>156</v>
      </c>
      <c r="C61" s="79" t="s">
        <v>157</v>
      </c>
      <c r="D61" s="79" t="s">
        <v>158</v>
      </c>
      <c r="E61" s="79" t="s">
        <v>159</v>
      </c>
      <c r="F61" s="79" t="s">
        <v>160</v>
      </c>
      <c r="G61" s="80">
        <v>43891</v>
      </c>
      <c r="H61" s="80">
        <v>43983</v>
      </c>
      <c r="I61" s="80">
        <v>44075</v>
      </c>
      <c r="J61" s="80">
        <v>44166</v>
      </c>
      <c r="K61" s="75"/>
      <c r="L61" s="75"/>
      <c r="M61" s="75"/>
      <c r="N61" s="75"/>
      <c r="O61" s="75"/>
      <c r="P61" s="75"/>
    </row>
    <row r="62" spans="2:52">
      <c r="B62" s="32" t="s">
        <v>32</v>
      </c>
      <c r="C62" s="27">
        <v>190156140</v>
      </c>
      <c r="D62" s="27">
        <v>198783077.02700001</v>
      </c>
      <c r="E62" s="27">
        <v>215833396</v>
      </c>
      <c r="F62" s="27">
        <v>246382881</v>
      </c>
      <c r="G62" s="27">
        <v>247399069.65000001</v>
      </c>
      <c r="H62" s="27">
        <v>235974681.63</v>
      </c>
      <c r="I62" s="27">
        <v>253306280.16</v>
      </c>
      <c r="J62" s="27">
        <v>258809980.40000001</v>
      </c>
      <c r="K62" s="75"/>
      <c r="L62" s="75"/>
      <c r="M62" s="75"/>
      <c r="N62" s="75"/>
      <c r="O62" s="75"/>
      <c r="P62" s="75"/>
    </row>
    <row r="63" spans="2:52">
      <c r="B63" s="32" t="s">
        <v>112</v>
      </c>
      <c r="C63" s="27">
        <v>24822209</v>
      </c>
      <c r="D63" s="27">
        <v>34314784.747999996</v>
      </c>
      <c r="E63" s="27">
        <v>35358713</v>
      </c>
      <c r="F63" s="27">
        <v>36137160</v>
      </c>
      <c r="G63" s="27">
        <v>36589607</v>
      </c>
      <c r="H63" s="27">
        <v>37542920</v>
      </c>
      <c r="I63" s="27">
        <v>39621162</v>
      </c>
      <c r="J63" s="27">
        <v>39766288</v>
      </c>
      <c r="K63" s="75"/>
      <c r="L63" s="75"/>
      <c r="M63" s="75"/>
      <c r="N63" s="75"/>
      <c r="O63" s="75"/>
      <c r="P63" s="75"/>
    </row>
    <row r="64" spans="2:52">
      <c r="B64" s="32" t="s">
        <v>161</v>
      </c>
      <c r="C64" s="27">
        <v>10092600</v>
      </c>
      <c r="D64" s="27">
        <v>10571400</v>
      </c>
      <c r="E64" s="27">
        <v>10978200</v>
      </c>
      <c r="F64" s="27">
        <v>11404800</v>
      </c>
      <c r="G64" s="27">
        <v>11548800</v>
      </c>
      <c r="H64" s="27">
        <v>11945719</v>
      </c>
      <c r="I64" s="27">
        <v>13211239</v>
      </c>
      <c r="J64" s="27">
        <v>14458167</v>
      </c>
      <c r="K64" s="75"/>
      <c r="L64" s="75"/>
      <c r="M64" s="75"/>
      <c r="N64" s="75"/>
      <c r="O64" s="75"/>
      <c r="P64" s="75"/>
    </row>
    <row r="65" spans="2:16">
      <c r="B65" s="32" t="s">
        <v>162</v>
      </c>
      <c r="C65" s="27">
        <v>112489704</v>
      </c>
      <c r="D65" s="27">
        <v>116513632</v>
      </c>
      <c r="E65" s="27">
        <v>121965745</v>
      </c>
      <c r="F65" s="27">
        <v>131804621</v>
      </c>
      <c r="G65" s="27">
        <v>143291604</v>
      </c>
      <c r="H65" s="27">
        <v>140220540</v>
      </c>
      <c r="I65" s="27">
        <v>160536761</v>
      </c>
      <c r="J65" s="27">
        <v>170698863</v>
      </c>
      <c r="K65" s="75"/>
      <c r="L65" s="75"/>
      <c r="M65" s="75"/>
      <c r="N65" s="75"/>
      <c r="O65" s="75"/>
      <c r="P65" s="75"/>
    </row>
    <row r="66" spans="2:16">
      <c r="B66" s="32" t="s">
        <v>163</v>
      </c>
      <c r="C66" s="27">
        <v>8225206</v>
      </c>
      <c r="D66" s="27">
        <v>7582824</v>
      </c>
      <c r="E66" s="27">
        <v>12295782</v>
      </c>
      <c r="F66" s="27">
        <v>16518900</v>
      </c>
      <c r="G66" s="27">
        <v>9323076</v>
      </c>
      <c r="H66" s="27">
        <v>12332975</v>
      </c>
      <c r="I66" s="27">
        <v>12509093</v>
      </c>
      <c r="J66" s="27">
        <v>14908062</v>
      </c>
      <c r="K66" s="75"/>
      <c r="L66" s="75"/>
      <c r="M66" s="75"/>
      <c r="N66" s="75"/>
      <c r="O66" s="75"/>
      <c r="P66" s="75"/>
    </row>
    <row r="67" spans="2:16">
      <c r="B67" s="32" t="s">
        <v>164</v>
      </c>
      <c r="C67" s="27">
        <v>93532161</v>
      </c>
      <c r="D67" s="27">
        <v>98991963</v>
      </c>
      <c r="E67" s="27">
        <v>109828204</v>
      </c>
      <c r="F67" s="27">
        <v>116729770</v>
      </c>
      <c r="G67" s="27">
        <v>119559661</v>
      </c>
      <c r="H67" s="27">
        <v>124213870</v>
      </c>
      <c r="I67" s="27">
        <v>130016226</v>
      </c>
      <c r="J67" s="27">
        <v>135994936</v>
      </c>
      <c r="K67" s="75"/>
      <c r="L67" s="75"/>
      <c r="M67" s="75"/>
      <c r="N67" s="75"/>
      <c r="O67" s="75"/>
      <c r="P67" s="75"/>
    </row>
    <row r="68" spans="2:16">
      <c r="G68" s="75"/>
      <c r="H68" s="75"/>
      <c r="I68" s="75"/>
      <c r="J68" s="75"/>
      <c r="K68" s="75"/>
      <c r="L68" s="75"/>
      <c r="M68" s="75"/>
      <c r="N68" s="75"/>
      <c r="O68" s="75"/>
      <c r="P68" s="75"/>
    </row>
    <row r="69" spans="2:16">
      <c r="G69" s="75"/>
      <c r="H69" s="75"/>
      <c r="I69" s="75"/>
      <c r="J69" s="75"/>
      <c r="K69" s="75"/>
      <c r="L69" s="75"/>
      <c r="M69" s="75"/>
      <c r="N69" s="75"/>
      <c r="O69" s="75"/>
      <c r="P69" s="75"/>
    </row>
    <row r="70" spans="2:16"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 spans="2:16">
      <c r="G71" s="75"/>
      <c r="H71" s="75"/>
      <c r="I71" s="75"/>
      <c r="J71" s="75"/>
      <c r="K71" s="75"/>
      <c r="L71" s="75"/>
      <c r="M71" s="75"/>
      <c r="N71" s="75"/>
      <c r="O71" s="75"/>
      <c r="P71" s="75"/>
    </row>
    <row r="72" spans="2:16">
      <c r="G72" s="75"/>
      <c r="H72" s="75"/>
      <c r="I72" s="75"/>
      <c r="J72" s="75"/>
      <c r="K72" s="75"/>
      <c r="L72" s="75"/>
      <c r="M72" s="75"/>
      <c r="N72" s="75"/>
      <c r="O72" s="75"/>
      <c r="P72" s="75"/>
    </row>
    <row r="73" spans="2:16">
      <c r="G73" s="75"/>
      <c r="H73" s="75"/>
      <c r="I73" s="75"/>
      <c r="J73" s="75"/>
      <c r="K73" s="75"/>
      <c r="L73" s="75"/>
      <c r="M73" s="75"/>
      <c r="N73" s="75"/>
      <c r="O73" s="75"/>
      <c r="P73" s="75"/>
    </row>
    <row r="74" spans="2:16">
      <c r="G74" s="75"/>
      <c r="H74" s="75"/>
      <c r="I74" s="75"/>
      <c r="J74" s="75"/>
      <c r="K74" s="75"/>
      <c r="L74" s="75"/>
      <c r="M74" s="75"/>
      <c r="N74" s="75"/>
      <c r="O74" s="75"/>
      <c r="P74" s="75"/>
    </row>
    <row r="75" spans="2:16">
      <c r="G75" s="75"/>
      <c r="H75" s="75"/>
      <c r="I75" s="75"/>
      <c r="J75" s="75"/>
      <c r="K75" s="75"/>
      <c r="L75" s="75"/>
      <c r="M75" s="75"/>
      <c r="N75" s="75"/>
      <c r="O75" s="75"/>
      <c r="P75" s="75"/>
    </row>
    <row r="76" spans="2:16"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spans="2:16">
      <c r="G77" s="75"/>
      <c r="H77" s="75"/>
      <c r="I77" s="75"/>
      <c r="J77" s="75"/>
      <c r="K77" s="75"/>
      <c r="L77" s="75"/>
      <c r="M77" s="75"/>
      <c r="N77" s="75"/>
      <c r="O77" s="75"/>
      <c r="P77" s="75"/>
    </row>
    <row r="78" spans="2:16">
      <c r="G78" s="75"/>
      <c r="H78" s="75"/>
      <c r="I78" s="75"/>
      <c r="J78" s="75"/>
      <c r="K78" s="75"/>
      <c r="L78" s="75"/>
      <c r="M78" s="75"/>
      <c r="N78" s="75"/>
      <c r="O78" s="75"/>
      <c r="P78" s="75"/>
    </row>
    <row r="79" spans="2:16">
      <c r="G79" s="75"/>
      <c r="H79" s="75"/>
      <c r="I79" s="75"/>
      <c r="J79" s="75"/>
      <c r="K79" s="75"/>
      <c r="L79" s="75"/>
      <c r="M79" s="75"/>
      <c r="N79" s="75"/>
      <c r="O79" s="75"/>
      <c r="P79" s="75"/>
    </row>
    <row r="80" spans="2:16">
      <c r="G80" s="75"/>
      <c r="H80" s="75"/>
      <c r="I80" s="75"/>
      <c r="J80" s="75"/>
      <c r="K80" s="75"/>
      <c r="L80" s="75"/>
      <c r="M80" s="75"/>
      <c r="N80" s="75"/>
      <c r="O80" s="75"/>
      <c r="P80" s="75"/>
    </row>
    <row r="81" spans="7:16">
      <c r="G81" s="75"/>
      <c r="H81" s="75"/>
      <c r="I81" s="75"/>
      <c r="J81" s="75"/>
      <c r="K81" s="75"/>
      <c r="L81" s="75"/>
      <c r="M81" s="75"/>
      <c r="N81" s="75"/>
      <c r="O81" s="75"/>
      <c r="P81" s="75"/>
    </row>
    <row r="82" spans="7:16">
      <c r="G82" s="75"/>
      <c r="H82" s="75"/>
      <c r="I82" s="75"/>
      <c r="J82" s="75"/>
      <c r="K82" s="75"/>
      <c r="L82" s="75"/>
      <c r="M82" s="75"/>
      <c r="N82" s="75"/>
      <c r="O82" s="75"/>
      <c r="P82" s="75"/>
    </row>
    <row r="83" spans="7:16">
      <c r="G83" s="75"/>
      <c r="H83" s="75"/>
      <c r="I83" s="75"/>
      <c r="J83" s="75"/>
      <c r="K83" s="75"/>
      <c r="L83" s="75"/>
      <c r="M83" s="75"/>
      <c r="N83" s="75"/>
      <c r="O83" s="75"/>
      <c r="P83" s="75"/>
    </row>
    <row r="84" spans="7:16">
      <c r="G84" s="75"/>
      <c r="H84" s="75"/>
      <c r="I84" s="75"/>
      <c r="J84" s="75"/>
      <c r="K84" s="75"/>
      <c r="L84" s="75"/>
      <c r="M84" s="75"/>
      <c r="N84" s="75"/>
      <c r="O84" s="75"/>
      <c r="P84" s="75"/>
    </row>
    <row r="85" spans="7:16">
      <c r="G85" s="75"/>
      <c r="H85" s="75"/>
      <c r="I85" s="75"/>
      <c r="J85" s="75"/>
      <c r="K85" s="75"/>
      <c r="L85" s="75"/>
      <c r="M85" s="75"/>
      <c r="N85" s="75"/>
      <c r="O85" s="75"/>
      <c r="P85" s="75"/>
    </row>
    <row r="86" spans="7:16">
      <c r="G86" s="75"/>
      <c r="H86" s="75"/>
      <c r="I86" s="75"/>
      <c r="J86" s="75"/>
      <c r="K86" s="75"/>
      <c r="L86" s="75"/>
      <c r="M86" s="75"/>
      <c r="N86" s="75"/>
      <c r="O86" s="75"/>
      <c r="P86" s="75"/>
    </row>
    <row r="87" spans="7:16">
      <c r="G87" s="75"/>
      <c r="H87" s="75"/>
      <c r="I87" s="75"/>
      <c r="J87" s="75"/>
      <c r="K87" s="75"/>
      <c r="L87" s="75"/>
      <c r="M87" s="75"/>
      <c r="N87" s="75"/>
      <c r="O87" s="75"/>
      <c r="P87" s="75"/>
    </row>
    <row r="88" spans="7:16">
      <c r="G88" s="75"/>
      <c r="H88" s="75"/>
      <c r="I88" s="75"/>
      <c r="J88" s="75"/>
      <c r="K88" s="75"/>
      <c r="L88" s="75"/>
      <c r="M88" s="75"/>
      <c r="N88" s="75"/>
      <c r="O88" s="75"/>
      <c r="P88" s="75"/>
    </row>
    <row r="89" spans="7:16">
      <c r="G89" s="75"/>
      <c r="H89" s="75"/>
      <c r="I89" s="75"/>
      <c r="J89" s="75"/>
      <c r="K89" s="75"/>
      <c r="L89" s="75"/>
      <c r="M89" s="75"/>
      <c r="N89" s="75"/>
      <c r="O89" s="75"/>
      <c r="P89" s="75"/>
    </row>
    <row r="90" spans="7:16">
      <c r="G90" s="75"/>
      <c r="H90" s="75"/>
      <c r="I90" s="75"/>
      <c r="J90" s="75"/>
      <c r="K90" s="75"/>
      <c r="L90" s="75"/>
      <c r="M90" s="75"/>
      <c r="N90" s="75"/>
      <c r="O90" s="75"/>
      <c r="P90" s="75"/>
    </row>
    <row r="91" spans="7:16">
      <c r="G91" s="75"/>
      <c r="H91" s="75"/>
      <c r="I91" s="75"/>
      <c r="J91" s="75"/>
      <c r="K91" s="75"/>
      <c r="L91" s="75"/>
      <c r="M91" s="75"/>
      <c r="N91" s="75"/>
      <c r="O91" s="75"/>
      <c r="P91" s="75"/>
    </row>
    <row r="92" spans="7:16">
      <c r="G92" s="75"/>
      <c r="H92" s="75"/>
      <c r="I92" s="75"/>
      <c r="J92" s="75"/>
      <c r="K92" s="75"/>
      <c r="L92" s="75"/>
      <c r="M92" s="75"/>
      <c r="N92" s="75"/>
      <c r="O92" s="75"/>
      <c r="P92" s="75"/>
    </row>
    <row r="93" spans="7:16">
      <c r="G93" s="75"/>
      <c r="H93" s="75"/>
      <c r="I93" s="75"/>
      <c r="J93" s="75"/>
      <c r="K93" s="75"/>
      <c r="L93" s="75"/>
      <c r="M93" s="75"/>
      <c r="N93" s="75"/>
      <c r="O93" s="75"/>
      <c r="P93" s="75"/>
    </row>
    <row r="94" spans="7:16">
      <c r="G94" s="75"/>
      <c r="H94" s="75"/>
      <c r="I94" s="75"/>
      <c r="J94" s="75"/>
      <c r="K94" s="75"/>
      <c r="L94" s="75"/>
      <c r="M94" s="75"/>
      <c r="N94" s="75"/>
      <c r="O94" s="75"/>
      <c r="P94" s="75"/>
    </row>
    <row r="95" spans="7:16">
      <c r="G95" s="75"/>
      <c r="H95" s="75"/>
      <c r="I95" s="75"/>
      <c r="J95" s="75"/>
      <c r="K95" s="75"/>
      <c r="L95" s="75"/>
      <c r="M95" s="75"/>
      <c r="N95" s="75"/>
      <c r="O95" s="75"/>
      <c r="P95" s="75"/>
    </row>
    <row r="96" spans="7:16">
      <c r="G96" s="75"/>
      <c r="H96" s="75"/>
      <c r="I96" s="75"/>
      <c r="J96" s="75"/>
      <c r="K96" s="75"/>
      <c r="L96" s="75"/>
      <c r="M96" s="75"/>
      <c r="N96" s="75"/>
      <c r="O96" s="75"/>
      <c r="P96" s="75"/>
    </row>
    <row r="97" spans="7:16">
      <c r="G97" s="75"/>
      <c r="H97" s="75"/>
      <c r="I97" s="75"/>
      <c r="J97" s="75"/>
      <c r="K97" s="75"/>
      <c r="L97" s="75"/>
      <c r="M97" s="75"/>
      <c r="N97" s="75"/>
      <c r="O97" s="75"/>
      <c r="P97" s="75"/>
    </row>
    <row r="98" spans="7:16">
      <c r="G98" s="75"/>
      <c r="H98" s="75"/>
      <c r="I98" s="75"/>
      <c r="J98" s="75"/>
      <c r="K98" s="75"/>
      <c r="L98" s="75"/>
      <c r="M98" s="75"/>
      <c r="N98" s="75"/>
      <c r="O98" s="75"/>
      <c r="P98" s="75"/>
    </row>
    <row r="99" spans="7:16">
      <c r="G99" s="75"/>
      <c r="H99" s="75"/>
      <c r="I99" s="75"/>
      <c r="J99" s="75"/>
      <c r="K99" s="75"/>
      <c r="L99" s="75"/>
      <c r="M99" s="75"/>
      <c r="N99" s="75"/>
      <c r="O99" s="75"/>
      <c r="P99" s="75"/>
    </row>
    <row r="100" spans="7:16">
      <c r="G100" s="75"/>
      <c r="H100" s="75"/>
      <c r="I100" s="75"/>
      <c r="J100" s="75"/>
      <c r="K100" s="75"/>
      <c r="L100" s="75"/>
      <c r="M100" s="75"/>
      <c r="N100" s="75"/>
      <c r="O100" s="75"/>
      <c r="P100" s="75"/>
    </row>
    <row r="101" spans="7:16">
      <c r="G101" s="75"/>
      <c r="H101" s="75"/>
      <c r="I101" s="75"/>
      <c r="J101" s="75"/>
      <c r="K101" s="75"/>
      <c r="L101" s="75"/>
      <c r="M101" s="75"/>
      <c r="N101" s="75"/>
      <c r="O101" s="75"/>
      <c r="P101" s="75"/>
    </row>
    <row r="102" spans="7:16">
      <c r="G102" s="75"/>
      <c r="H102" s="75"/>
      <c r="I102" s="75"/>
      <c r="J102" s="75"/>
      <c r="K102" s="75"/>
      <c r="L102" s="75"/>
      <c r="M102" s="75"/>
      <c r="N102" s="75"/>
      <c r="O102" s="75"/>
      <c r="P102" s="75"/>
    </row>
    <row r="103" spans="7:16">
      <c r="G103" s="75"/>
      <c r="H103" s="75"/>
      <c r="I103" s="75"/>
      <c r="J103" s="75"/>
      <c r="K103" s="75"/>
      <c r="L103" s="75"/>
      <c r="M103" s="75"/>
      <c r="N103" s="75"/>
      <c r="O103" s="75"/>
      <c r="P103" s="75"/>
    </row>
    <row r="104" spans="7:16">
      <c r="G104" s="75"/>
      <c r="H104" s="75"/>
      <c r="I104" s="75"/>
      <c r="J104" s="75"/>
      <c r="K104" s="75"/>
      <c r="L104" s="75"/>
      <c r="M104" s="75"/>
      <c r="N104" s="75"/>
      <c r="O104" s="75"/>
      <c r="P104" s="75"/>
    </row>
    <row r="105" spans="7:16">
      <c r="G105" s="75"/>
      <c r="H105" s="75"/>
      <c r="I105" s="75"/>
      <c r="J105" s="75"/>
      <c r="K105" s="75"/>
      <c r="L105" s="75"/>
      <c r="M105" s="75"/>
      <c r="N105" s="75"/>
      <c r="O105" s="75"/>
      <c r="P105" s="75"/>
    </row>
    <row r="106" spans="7:16">
      <c r="G106" s="75"/>
      <c r="H106" s="75"/>
      <c r="I106" s="75"/>
      <c r="J106" s="75"/>
      <c r="K106" s="75"/>
      <c r="L106" s="75"/>
      <c r="M106" s="75"/>
      <c r="N106" s="75"/>
      <c r="O106" s="75"/>
      <c r="P106" s="75"/>
    </row>
    <row r="107" spans="7:16">
      <c r="G107" s="75"/>
      <c r="H107" s="75"/>
      <c r="I107" s="75"/>
      <c r="J107" s="75"/>
      <c r="K107" s="75"/>
      <c r="L107" s="75"/>
      <c r="M107" s="75"/>
      <c r="N107" s="75"/>
      <c r="O107" s="75"/>
      <c r="P107" s="75"/>
    </row>
    <row r="108" spans="7:16">
      <c r="G108" s="75"/>
      <c r="H108" s="75"/>
      <c r="I108" s="75"/>
      <c r="J108" s="75"/>
      <c r="K108" s="75"/>
      <c r="L108" s="75"/>
      <c r="M108" s="75"/>
      <c r="N108" s="75"/>
      <c r="O108" s="75"/>
      <c r="P108" s="75"/>
    </row>
    <row r="109" spans="7:16">
      <c r="G109" s="75"/>
      <c r="H109" s="75"/>
      <c r="I109" s="75"/>
      <c r="J109" s="75"/>
      <c r="K109" s="75"/>
      <c r="L109" s="75"/>
      <c r="M109" s="75"/>
      <c r="N109" s="75"/>
      <c r="O109" s="75"/>
      <c r="P109" s="75"/>
    </row>
    <row r="110" spans="7:16">
      <c r="G110" s="75"/>
      <c r="H110" s="75"/>
      <c r="I110" s="75"/>
      <c r="J110" s="75"/>
      <c r="K110" s="75"/>
      <c r="L110" s="75"/>
      <c r="M110" s="75"/>
      <c r="N110" s="75"/>
      <c r="O110" s="75"/>
      <c r="P110" s="75"/>
    </row>
    <row r="111" spans="7:16">
      <c r="G111" s="75"/>
      <c r="H111" s="75"/>
      <c r="I111" s="75"/>
      <c r="J111" s="75"/>
      <c r="K111" s="75"/>
      <c r="L111" s="75"/>
      <c r="M111" s="75"/>
      <c r="N111" s="75"/>
      <c r="O111" s="75"/>
      <c r="P111" s="75"/>
    </row>
    <row r="112" spans="7:16">
      <c r="G112" s="75"/>
      <c r="H112" s="75"/>
      <c r="I112" s="75"/>
      <c r="J112" s="75"/>
      <c r="K112" s="75"/>
      <c r="L112" s="75"/>
      <c r="M112" s="75"/>
      <c r="N112" s="75"/>
      <c r="O112" s="75"/>
      <c r="P112" s="75"/>
    </row>
    <row r="113" spans="7:16">
      <c r="G113" s="75"/>
      <c r="H113" s="75"/>
      <c r="I113" s="75"/>
      <c r="J113" s="75"/>
      <c r="K113" s="75"/>
      <c r="L113" s="75"/>
      <c r="M113" s="75"/>
      <c r="N113" s="75"/>
      <c r="O113" s="75"/>
      <c r="P113" s="75"/>
    </row>
    <row r="114" spans="7:16">
      <c r="G114" s="75"/>
      <c r="H114" s="75"/>
      <c r="I114" s="75"/>
      <c r="J114" s="75"/>
      <c r="K114" s="75"/>
      <c r="L114" s="75"/>
      <c r="M114" s="75"/>
      <c r="N114" s="75"/>
      <c r="O114" s="75"/>
      <c r="P114" s="75"/>
    </row>
    <row r="115" spans="7:16">
      <c r="G115" s="75"/>
      <c r="H115" s="75"/>
      <c r="I115" s="75"/>
      <c r="J115" s="75"/>
      <c r="K115" s="75"/>
      <c r="L115" s="75"/>
      <c r="M115" s="75"/>
      <c r="N115" s="75"/>
      <c r="O115" s="75"/>
      <c r="P115" s="75"/>
    </row>
    <row r="116" spans="7:16">
      <c r="G116" s="75"/>
      <c r="H116" s="75"/>
      <c r="I116" s="75"/>
      <c r="J116" s="75"/>
      <c r="K116" s="75"/>
      <c r="L116" s="75"/>
      <c r="M116" s="75"/>
      <c r="N116" s="75"/>
      <c r="O116" s="75"/>
      <c r="P116" s="75"/>
    </row>
    <row r="117" spans="7:16">
      <c r="G117" s="75"/>
      <c r="H117" s="75"/>
      <c r="I117" s="75"/>
      <c r="J117" s="75"/>
      <c r="K117" s="75"/>
      <c r="L117" s="75"/>
      <c r="M117" s="75"/>
      <c r="N117" s="75"/>
      <c r="O117" s="75"/>
      <c r="P117" s="75"/>
    </row>
    <row r="118" spans="7:16">
      <c r="G118" s="75"/>
      <c r="H118" s="75"/>
      <c r="I118" s="75"/>
      <c r="J118" s="75"/>
      <c r="K118" s="75"/>
      <c r="L118" s="75"/>
      <c r="M118" s="75"/>
      <c r="N118" s="75"/>
      <c r="O118" s="75"/>
      <c r="P118" s="75"/>
    </row>
    <row r="119" spans="7:16">
      <c r="G119" s="75"/>
      <c r="H119" s="75"/>
      <c r="I119" s="75"/>
      <c r="J119" s="75"/>
      <c r="K119" s="75"/>
      <c r="L119" s="75"/>
      <c r="M119" s="75"/>
      <c r="N119" s="75"/>
      <c r="O119" s="75"/>
      <c r="P119" s="75"/>
    </row>
    <row r="120" spans="7:16">
      <c r="G120" s="75"/>
      <c r="H120" s="75"/>
      <c r="I120" s="75"/>
      <c r="J120" s="75"/>
      <c r="K120" s="75"/>
      <c r="L120" s="75"/>
      <c r="M120" s="75"/>
      <c r="N120" s="75"/>
      <c r="O120" s="75"/>
      <c r="P120" s="75"/>
    </row>
    <row r="121" spans="7:16">
      <c r="G121" s="75"/>
      <c r="H121" s="75"/>
      <c r="I121" s="75"/>
      <c r="J121" s="75"/>
      <c r="K121" s="75"/>
      <c r="L121" s="75"/>
      <c r="M121" s="75"/>
      <c r="N121" s="75"/>
      <c r="O121" s="75"/>
      <c r="P121" s="75"/>
    </row>
    <row r="122" spans="7:16">
      <c r="G122" s="75"/>
      <c r="H122" s="75"/>
      <c r="I122" s="75"/>
      <c r="J122" s="75"/>
      <c r="K122" s="75"/>
      <c r="L122" s="75"/>
      <c r="M122" s="75"/>
      <c r="N122" s="75"/>
      <c r="O122" s="75"/>
      <c r="P122" s="75"/>
    </row>
    <row r="123" spans="7:16">
      <c r="G123" s="75"/>
      <c r="H123" s="75"/>
      <c r="I123" s="75"/>
      <c r="J123" s="75"/>
      <c r="K123" s="75"/>
      <c r="L123" s="75"/>
      <c r="M123" s="75"/>
      <c r="N123" s="75"/>
      <c r="O123" s="75"/>
      <c r="P123" s="75"/>
    </row>
    <row r="124" spans="7:16">
      <c r="G124" s="75"/>
      <c r="H124" s="75"/>
      <c r="I124" s="75"/>
      <c r="J124" s="75"/>
      <c r="K124" s="75"/>
      <c r="L124" s="75"/>
      <c r="M124" s="75"/>
      <c r="N124" s="75"/>
      <c r="O124" s="75"/>
      <c r="P124" s="75"/>
    </row>
    <row r="125" spans="7:16">
      <c r="G125" s="75"/>
      <c r="H125" s="75"/>
      <c r="I125" s="75"/>
      <c r="J125" s="75"/>
      <c r="K125" s="75"/>
      <c r="L125" s="75"/>
      <c r="M125" s="75"/>
      <c r="N125" s="75"/>
      <c r="O125" s="75"/>
      <c r="P125" s="75"/>
    </row>
    <row r="126" spans="7:16">
      <c r="G126" s="75"/>
      <c r="H126" s="75"/>
      <c r="I126" s="75"/>
      <c r="J126" s="75"/>
      <c r="K126" s="75"/>
      <c r="L126" s="75"/>
      <c r="M126" s="75"/>
      <c r="N126" s="75"/>
      <c r="O126" s="75"/>
      <c r="P126" s="75"/>
    </row>
    <row r="127" spans="7:16">
      <c r="G127" s="75"/>
      <c r="H127" s="75"/>
      <c r="I127" s="75"/>
      <c r="J127" s="75"/>
      <c r="K127" s="75"/>
      <c r="L127" s="75"/>
      <c r="M127" s="75"/>
      <c r="N127" s="75"/>
      <c r="O127" s="75"/>
      <c r="P127" s="75"/>
    </row>
    <row r="128" spans="7:16">
      <c r="G128" s="75"/>
      <c r="H128" s="75"/>
      <c r="I128" s="75"/>
      <c r="J128" s="75"/>
      <c r="K128" s="75"/>
      <c r="L128" s="75"/>
      <c r="M128" s="75"/>
      <c r="N128" s="75"/>
      <c r="O128" s="75"/>
      <c r="P128" s="75"/>
    </row>
    <row r="129" spans="7:16">
      <c r="G129" s="75"/>
      <c r="H129" s="75"/>
      <c r="I129" s="75"/>
      <c r="J129" s="75"/>
      <c r="K129" s="75"/>
      <c r="L129" s="75"/>
      <c r="M129" s="75"/>
      <c r="N129" s="75"/>
      <c r="O129" s="75"/>
      <c r="P129" s="75"/>
    </row>
    <row r="130" spans="7:16">
      <c r="G130" s="75"/>
      <c r="H130" s="75"/>
      <c r="I130" s="75"/>
      <c r="J130" s="75"/>
      <c r="K130" s="75"/>
      <c r="L130" s="75"/>
      <c r="M130" s="75"/>
      <c r="N130" s="75"/>
      <c r="O130" s="75"/>
      <c r="P130" s="75"/>
    </row>
    <row r="131" spans="7:16">
      <c r="G131" s="75"/>
      <c r="H131" s="75"/>
      <c r="I131" s="75"/>
      <c r="J131" s="75"/>
      <c r="K131" s="75"/>
      <c r="L131" s="75"/>
      <c r="M131" s="75"/>
      <c r="N131" s="75"/>
      <c r="O131" s="75"/>
      <c r="P131" s="75"/>
    </row>
    <row r="132" spans="7:16">
      <c r="G132" s="75"/>
      <c r="H132" s="75"/>
      <c r="I132" s="75"/>
      <c r="J132" s="75"/>
      <c r="K132" s="75"/>
      <c r="L132" s="75"/>
      <c r="M132" s="75"/>
      <c r="N132" s="75"/>
      <c r="O132" s="75"/>
      <c r="P132" s="75"/>
    </row>
    <row r="133" spans="7:16">
      <c r="G133" s="75"/>
      <c r="H133" s="75"/>
      <c r="I133" s="75"/>
      <c r="J133" s="75"/>
      <c r="K133" s="75"/>
      <c r="L133" s="75"/>
      <c r="M133" s="75"/>
      <c r="N133" s="75"/>
      <c r="O133" s="75"/>
      <c r="P133" s="75"/>
    </row>
    <row r="134" spans="7:16">
      <c r="G134" s="75"/>
      <c r="H134" s="75"/>
      <c r="I134" s="75"/>
      <c r="J134" s="75"/>
      <c r="K134" s="75"/>
      <c r="L134" s="75"/>
      <c r="M134" s="75"/>
      <c r="N134" s="75"/>
      <c r="O134" s="75"/>
      <c r="P134" s="75"/>
    </row>
    <row r="135" spans="7:16">
      <c r="G135" s="75"/>
      <c r="H135" s="75"/>
      <c r="I135" s="75"/>
      <c r="J135" s="75"/>
      <c r="K135" s="75"/>
      <c r="L135" s="75"/>
      <c r="M135" s="75"/>
      <c r="N135" s="75"/>
      <c r="O135" s="75"/>
      <c r="P135" s="75"/>
    </row>
    <row r="136" spans="7:16">
      <c r="G136" s="75"/>
      <c r="H136" s="75"/>
      <c r="I136" s="75"/>
      <c r="J136" s="75"/>
      <c r="K136" s="75"/>
      <c r="L136" s="75"/>
      <c r="M136" s="75"/>
      <c r="N136" s="75"/>
      <c r="O136" s="75"/>
      <c r="P136" s="75"/>
    </row>
    <row r="137" spans="7:16">
      <c r="G137" s="75"/>
      <c r="H137" s="75"/>
      <c r="I137" s="75"/>
      <c r="J137" s="75"/>
      <c r="K137" s="75"/>
      <c r="L137" s="75"/>
      <c r="M137" s="75"/>
      <c r="N137" s="75"/>
      <c r="O137" s="75"/>
      <c r="P137" s="75"/>
    </row>
    <row r="138" spans="7:16">
      <c r="G138" s="75"/>
      <c r="H138" s="75"/>
      <c r="I138" s="75"/>
      <c r="J138" s="75"/>
      <c r="K138" s="75"/>
      <c r="L138" s="75"/>
      <c r="M138" s="75"/>
      <c r="N138" s="75"/>
      <c r="O138" s="75"/>
      <c r="P138" s="75"/>
    </row>
    <row r="139" spans="7:16">
      <c r="G139" s="75"/>
      <c r="H139" s="75"/>
      <c r="I139" s="75"/>
      <c r="J139" s="75"/>
      <c r="K139" s="75"/>
      <c r="L139" s="75"/>
      <c r="M139" s="75"/>
      <c r="N139" s="75"/>
      <c r="O139" s="75"/>
      <c r="P139" s="75"/>
    </row>
    <row r="140" spans="7:16">
      <c r="G140" s="75"/>
      <c r="H140" s="75"/>
      <c r="I140" s="75"/>
      <c r="J140" s="75"/>
      <c r="K140" s="75"/>
      <c r="L140" s="75"/>
      <c r="M140" s="75"/>
      <c r="N140" s="75"/>
      <c r="O140" s="75"/>
      <c r="P140" s="75"/>
    </row>
    <row r="141" spans="7:16">
      <c r="G141" s="75"/>
      <c r="H141" s="75"/>
      <c r="I141" s="75"/>
      <c r="J141" s="75"/>
      <c r="K141" s="75"/>
      <c r="L141" s="75"/>
      <c r="M141" s="75"/>
      <c r="N141" s="75"/>
      <c r="O141" s="75"/>
      <c r="P141" s="75"/>
    </row>
    <row r="142" spans="7:16">
      <c r="G142" s="75"/>
      <c r="H142" s="75"/>
      <c r="I142" s="75"/>
      <c r="J142" s="75"/>
      <c r="K142" s="75"/>
      <c r="L142" s="75"/>
      <c r="M142" s="75"/>
      <c r="N142" s="75"/>
      <c r="O142" s="75"/>
      <c r="P142" s="75"/>
    </row>
    <row r="143" spans="7:16">
      <c r="G143" s="75"/>
      <c r="H143" s="75"/>
      <c r="I143" s="75"/>
      <c r="J143" s="75"/>
      <c r="K143" s="75"/>
      <c r="L143" s="75"/>
      <c r="M143" s="75"/>
      <c r="N143" s="75"/>
      <c r="O143" s="75"/>
      <c r="P143" s="75"/>
    </row>
    <row r="144" spans="7:16">
      <c r="G144" s="75"/>
      <c r="H144" s="75"/>
      <c r="I144" s="75"/>
      <c r="J144" s="75"/>
      <c r="K144" s="75"/>
      <c r="L144" s="75"/>
      <c r="M144" s="75"/>
      <c r="N144" s="75"/>
      <c r="O144" s="75"/>
      <c r="P144" s="75"/>
    </row>
    <row r="145" spans="7:16">
      <c r="G145" s="75"/>
      <c r="H145" s="75"/>
      <c r="I145" s="75"/>
      <c r="J145" s="75"/>
      <c r="K145" s="75"/>
      <c r="L145" s="75"/>
      <c r="M145" s="75"/>
      <c r="N145" s="75"/>
      <c r="O145" s="75"/>
      <c r="P145" s="75"/>
    </row>
    <row r="146" spans="7:16">
      <c r="G146" s="75"/>
      <c r="H146" s="75"/>
      <c r="I146" s="75"/>
      <c r="J146" s="75"/>
      <c r="K146" s="75"/>
      <c r="L146" s="75"/>
      <c r="M146" s="75"/>
      <c r="N146" s="75"/>
      <c r="O146" s="75"/>
      <c r="P146" s="75"/>
    </row>
    <row r="147" spans="7:16">
      <c r="G147" s="75"/>
      <c r="H147" s="75"/>
      <c r="I147" s="75"/>
      <c r="J147" s="75"/>
      <c r="K147" s="75"/>
      <c r="L147" s="75"/>
      <c r="M147" s="75"/>
      <c r="N147" s="75"/>
      <c r="O147" s="75"/>
      <c r="P147" s="75"/>
    </row>
    <row r="148" spans="7:16">
      <c r="G148" s="75"/>
      <c r="H148" s="75"/>
      <c r="I148" s="75"/>
      <c r="J148" s="75"/>
      <c r="K148" s="75"/>
      <c r="L148" s="75"/>
      <c r="M148" s="75"/>
      <c r="N148" s="75"/>
      <c r="O148" s="75"/>
      <c r="P148" s="75"/>
    </row>
    <row r="149" spans="7:16">
      <c r="G149" s="75"/>
      <c r="H149" s="75"/>
      <c r="I149" s="75"/>
      <c r="J149" s="75"/>
      <c r="K149" s="75"/>
      <c r="L149" s="75"/>
      <c r="M149" s="75"/>
      <c r="N149" s="75"/>
      <c r="O149" s="75"/>
      <c r="P149" s="75"/>
    </row>
    <row r="150" spans="7:16">
      <c r="G150" s="75"/>
      <c r="H150" s="75"/>
      <c r="I150" s="75"/>
      <c r="J150" s="75"/>
      <c r="K150" s="75"/>
      <c r="L150" s="75"/>
      <c r="M150" s="75"/>
      <c r="N150" s="75"/>
      <c r="O150" s="75"/>
      <c r="P150" s="75"/>
    </row>
    <row r="151" spans="7:16">
      <c r="G151" s="75"/>
      <c r="H151" s="75"/>
      <c r="I151" s="75"/>
      <c r="J151" s="75"/>
      <c r="K151" s="75"/>
      <c r="L151" s="75"/>
      <c r="M151" s="75"/>
      <c r="N151" s="75"/>
      <c r="O151" s="75"/>
      <c r="P151" s="75"/>
    </row>
    <row r="152" spans="7:16">
      <c r="G152" s="75"/>
      <c r="H152" s="75"/>
      <c r="I152" s="75"/>
      <c r="J152" s="75"/>
      <c r="K152" s="75"/>
      <c r="L152" s="75"/>
      <c r="M152" s="75"/>
      <c r="N152" s="75"/>
      <c r="O152" s="75"/>
      <c r="P152" s="75"/>
    </row>
    <row r="153" spans="7:16">
      <c r="G153" s="75"/>
      <c r="H153" s="75"/>
      <c r="I153" s="75"/>
      <c r="J153" s="75"/>
      <c r="K153" s="75"/>
      <c r="L153" s="75"/>
      <c r="M153" s="75"/>
      <c r="N153" s="75"/>
      <c r="O153" s="75"/>
      <c r="P153" s="75"/>
    </row>
    <row r="154" spans="7:16">
      <c r="G154" s="75"/>
      <c r="H154" s="75"/>
      <c r="I154" s="75"/>
      <c r="J154" s="75"/>
      <c r="K154" s="75"/>
      <c r="L154" s="75"/>
      <c r="M154" s="75"/>
      <c r="N154" s="75"/>
      <c r="O154" s="75"/>
      <c r="P154" s="75"/>
    </row>
    <row r="155" spans="7:16">
      <c r="G155" s="75"/>
      <c r="H155" s="75"/>
      <c r="I155" s="75"/>
      <c r="J155" s="75"/>
      <c r="K155" s="75"/>
      <c r="L155" s="75"/>
      <c r="M155" s="75"/>
      <c r="N155" s="75"/>
      <c r="O155" s="75"/>
      <c r="P155" s="75"/>
    </row>
    <row r="156" spans="7:16">
      <c r="G156" s="75"/>
      <c r="H156" s="75"/>
      <c r="I156" s="75"/>
      <c r="J156" s="75"/>
      <c r="K156" s="75"/>
      <c r="L156" s="75"/>
      <c r="M156" s="75"/>
      <c r="N156" s="75"/>
      <c r="O156" s="75"/>
      <c r="P156" s="75"/>
    </row>
    <row r="157" spans="7:16">
      <c r="G157" s="75"/>
      <c r="H157" s="75"/>
      <c r="I157" s="75"/>
      <c r="J157" s="75"/>
      <c r="K157" s="75"/>
      <c r="L157" s="75"/>
      <c r="M157" s="75"/>
      <c r="N157" s="75"/>
      <c r="O157" s="75"/>
      <c r="P157" s="75"/>
    </row>
    <row r="158" spans="7:16">
      <c r="G158" s="75"/>
      <c r="H158" s="75"/>
      <c r="I158" s="75"/>
      <c r="J158" s="75"/>
      <c r="K158" s="75"/>
      <c r="L158" s="75"/>
      <c r="M158" s="75"/>
      <c r="N158" s="75"/>
      <c r="O158" s="75"/>
      <c r="P158" s="75"/>
    </row>
    <row r="159" spans="7:16">
      <c r="G159" s="75"/>
      <c r="H159" s="75"/>
      <c r="I159" s="75"/>
      <c r="J159" s="75"/>
      <c r="K159" s="75"/>
      <c r="L159" s="75"/>
      <c r="M159" s="75"/>
      <c r="N159" s="75"/>
      <c r="O159" s="75"/>
      <c r="P159" s="75"/>
    </row>
    <row r="160" spans="7:16">
      <c r="G160" s="75"/>
      <c r="H160" s="75"/>
      <c r="I160" s="75"/>
      <c r="J160" s="75"/>
      <c r="K160" s="75"/>
      <c r="L160" s="75"/>
      <c r="M160" s="75"/>
      <c r="N160" s="75"/>
      <c r="O160" s="75"/>
      <c r="P160" s="75"/>
    </row>
    <row r="161" spans="7:16">
      <c r="G161" s="75"/>
      <c r="H161" s="75"/>
      <c r="I161" s="75"/>
      <c r="J161" s="75"/>
      <c r="K161" s="75"/>
      <c r="L161" s="75"/>
      <c r="M161" s="75"/>
      <c r="N161" s="75"/>
      <c r="O161" s="75"/>
      <c r="P161" s="75"/>
    </row>
    <row r="162" spans="7:16">
      <c r="G162" s="75"/>
      <c r="H162" s="75"/>
      <c r="I162" s="75"/>
      <c r="J162" s="75"/>
      <c r="K162" s="75"/>
      <c r="L162" s="75"/>
      <c r="M162" s="75"/>
      <c r="N162" s="75"/>
      <c r="O162" s="75"/>
      <c r="P162" s="75"/>
    </row>
    <row r="163" spans="7:16">
      <c r="G163" s="75"/>
      <c r="H163" s="75"/>
      <c r="I163" s="75"/>
      <c r="J163" s="75"/>
      <c r="K163" s="75"/>
      <c r="L163" s="75"/>
      <c r="M163" s="75"/>
      <c r="N163" s="75"/>
      <c r="O163" s="75"/>
      <c r="P163" s="75"/>
    </row>
    <row r="164" spans="7:16">
      <c r="G164" s="75"/>
      <c r="H164" s="75"/>
      <c r="I164" s="75"/>
      <c r="J164" s="75"/>
      <c r="K164" s="75"/>
      <c r="L164" s="75"/>
      <c r="M164" s="75"/>
      <c r="N164" s="75"/>
      <c r="O164" s="75"/>
      <c r="P164" s="75"/>
    </row>
    <row r="165" spans="7:16">
      <c r="G165" s="75"/>
      <c r="H165" s="75"/>
      <c r="I165" s="75"/>
      <c r="J165" s="75"/>
      <c r="K165" s="75"/>
      <c r="L165" s="75"/>
      <c r="M165" s="75"/>
      <c r="N165" s="75"/>
      <c r="O165" s="75"/>
      <c r="P165" s="75"/>
    </row>
    <row r="166" spans="7:16">
      <c r="G166" s="75"/>
      <c r="H166" s="75"/>
      <c r="I166" s="75"/>
      <c r="J166" s="75"/>
      <c r="K166" s="75"/>
      <c r="L166" s="75"/>
      <c r="M166" s="75"/>
      <c r="N166" s="75"/>
      <c r="O166" s="75"/>
      <c r="P166" s="75"/>
    </row>
    <row r="167" spans="7:16">
      <c r="G167" s="75"/>
      <c r="H167" s="75"/>
      <c r="I167" s="75"/>
      <c r="J167" s="75"/>
      <c r="K167" s="75"/>
      <c r="L167" s="75"/>
      <c r="M167" s="75"/>
      <c r="N167" s="75"/>
      <c r="O167" s="75"/>
      <c r="P167" s="75"/>
    </row>
    <row r="168" spans="7:16">
      <c r="G168" s="75"/>
      <c r="H168" s="75"/>
      <c r="I168" s="75"/>
      <c r="J168" s="75"/>
      <c r="K168" s="75"/>
      <c r="L168" s="75"/>
      <c r="M168" s="75"/>
      <c r="N168" s="75"/>
      <c r="O168" s="75"/>
      <c r="P168" s="75"/>
    </row>
    <row r="169" spans="7:16">
      <c r="G169" s="75"/>
      <c r="H169" s="75"/>
      <c r="I169" s="75"/>
      <c r="J169" s="75"/>
      <c r="K169" s="75"/>
      <c r="L169" s="75"/>
      <c r="M169" s="75"/>
      <c r="N169" s="75"/>
      <c r="O169" s="75"/>
      <c r="P169" s="75"/>
    </row>
    <row r="170" spans="7:16">
      <c r="G170" s="75"/>
      <c r="H170" s="75"/>
      <c r="I170" s="75"/>
      <c r="J170" s="75"/>
      <c r="K170" s="75"/>
      <c r="L170" s="75"/>
      <c r="M170" s="75"/>
      <c r="N170" s="75"/>
      <c r="O170" s="75"/>
      <c r="P170" s="75"/>
    </row>
    <row r="171" spans="7:16">
      <c r="G171" s="75"/>
      <c r="H171" s="75"/>
      <c r="I171" s="75"/>
      <c r="J171" s="75"/>
      <c r="K171" s="75"/>
      <c r="L171" s="75"/>
      <c r="M171" s="75"/>
      <c r="N171" s="75"/>
      <c r="O171" s="75"/>
      <c r="P171" s="75"/>
    </row>
    <row r="172" spans="7:16">
      <c r="G172" s="75"/>
      <c r="H172" s="75"/>
      <c r="I172" s="75"/>
      <c r="J172" s="75"/>
      <c r="K172" s="75"/>
      <c r="L172" s="75"/>
      <c r="M172" s="75"/>
      <c r="N172" s="75"/>
      <c r="O172" s="75"/>
      <c r="P172" s="75"/>
    </row>
    <row r="173" spans="7:16">
      <c r="G173" s="75"/>
      <c r="H173" s="75"/>
      <c r="I173" s="75"/>
      <c r="J173" s="75"/>
      <c r="K173" s="75"/>
      <c r="L173" s="75"/>
      <c r="M173" s="75"/>
      <c r="N173" s="75"/>
      <c r="O173" s="75"/>
      <c r="P173" s="75"/>
    </row>
    <row r="174" spans="7:16">
      <c r="G174" s="75"/>
      <c r="H174" s="75"/>
      <c r="I174" s="75"/>
      <c r="J174" s="75"/>
      <c r="K174" s="75"/>
      <c r="L174" s="75"/>
      <c r="M174" s="75"/>
      <c r="N174" s="75"/>
      <c r="O174" s="75"/>
      <c r="P174" s="75"/>
    </row>
    <row r="175" spans="7:16">
      <c r="G175" s="75"/>
      <c r="H175" s="75"/>
      <c r="I175" s="75"/>
      <c r="J175" s="75"/>
      <c r="K175" s="75"/>
      <c r="L175" s="75"/>
      <c r="M175" s="75"/>
      <c r="N175" s="75"/>
      <c r="O175" s="75"/>
      <c r="P175" s="75"/>
    </row>
    <row r="176" spans="7:16">
      <c r="G176" s="75"/>
      <c r="H176" s="75"/>
      <c r="I176" s="75"/>
      <c r="J176" s="75"/>
      <c r="K176" s="75"/>
      <c r="L176" s="75"/>
      <c r="M176" s="75"/>
      <c r="N176" s="75"/>
      <c r="O176" s="75"/>
      <c r="P176" s="75"/>
    </row>
    <row r="177" spans="7:16">
      <c r="G177" s="75"/>
      <c r="H177" s="75"/>
      <c r="I177" s="75"/>
      <c r="J177" s="75"/>
      <c r="K177" s="75"/>
      <c r="L177" s="75"/>
      <c r="M177" s="75"/>
      <c r="N177" s="75"/>
      <c r="O177" s="75"/>
      <c r="P177" s="75"/>
    </row>
    <row r="178" spans="7:16">
      <c r="G178" s="75"/>
      <c r="H178" s="75"/>
      <c r="I178" s="75"/>
      <c r="J178" s="75"/>
      <c r="K178" s="75"/>
      <c r="L178" s="75"/>
      <c r="M178" s="75"/>
      <c r="N178" s="75"/>
      <c r="O178" s="75"/>
      <c r="P178" s="75"/>
    </row>
  </sheetData>
  <pageMargins left="0.7" right="0.7" top="0.75" bottom="0.75" header="0.3" footer="0.3"/>
  <pageSetup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V53"/>
  <sheetViews>
    <sheetView showGridLines="0" workbookViewId="0">
      <pane xSplit="4" ySplit="3" topLeftCell="AT4" activePane="bottomRight" state="frozen"/>
      <selection pane="bottomRight" activeCell="AT53" sqref="AT53"/>
      <selection pane="bottomLeft" activeCell="A4" sqref="A4"/>
      <selection pane="topRight" activeCell="E1" sqref="E1"/>
    </sheetView>
  </sheetViews>
  <sheetFormatPr defaultColWidth="9.140625" defaultRowHeight="15"/>
  <cols>
    <col min="1" max="1" width="9.140625" style="42"/>
    <col min="2" max="2" width="6" style="42" bestFit="1" customWidth="1"/>
    <col min="3" max="3" width="39.7109375" style="42" bestFit="1" customWidth="1"/>
    <col min="4" max="4" width="11.85546875" style="44" bestFit="1" customWidth="1"/>
    <col min="5" max="5" width="6.7109375" style="42" bestFit="1" customWidth="1"/>
    <col min="6" max="9" width="9.7109375" style="42" hidden="1" customWidth="1"/>
    <col min="10" max="10" width="11" style="42" hidden="1" customWidth="1"/>
    <col min="11" max="15" width="10.42578125" style="42" hidden="1" customWidth="1"/>
    <col min="16" max="17" width="9.5703125" style="42" hidden="1" customWidth="1"/>
    <col min="18" max="21" width="0" style="42" hidden="1" customWidth="1"/>
    <col min="22" max="22" width="15" style="42" bestFit="1" customWidth="1"/>
    <col min="23" max="24" width="9.140625" style="42"/>
    <col min="25" max="25" width="9.42578125" style="42" customWidth="1"/>
    <col min="26" max="26" width="8.42578125" style="42" bestFit="1" customWidth="1"/>
    <col min="27" max="27" width="16.28515625" style="42" customWidth="1"/>
    <col min="28" max="28" width="9.140625" style="42"/>
    <col min="29" max="29" width="9.5703125" style="42" bestFit="1" customWidth="1"/>
    <col min="30" max="30" width="9.140625" style="42"/>
    <col min="31" max="31" width="9.7109375" style="42" bestFit="1" customWidth="1"/>
    <col min="32" max="33" width="9.5703125" style="42" bestFit="1" customWidth="1"/>
    <col min="34" max="34" width="9.5703125" style="42" customWidth="1"/>
    <col min="35" max="35" width="15.7109375" style="42" bestFit="1" customWidth="1"/>
    <col min="36" max="47" width="9.140625" style="42"/>
    <col min="48" max="48" width="11.7109375" style="42" customWidth="1"/>
    <col min="49" max="16384" width="9.140625" style="42"/>
  </cols>
  <sheetData>
    <row r="1" spans="2:48">
      <c r="C1" s="43" t="s">
        <v>165</v>
      </c>
    </row>
    <row r="2" spans="2:48" ht="15.6" thickBot="1">
      <c r="C2" s="45" t="s">
        <v>166</v>
      </c>
    </row>
    <row r="3" spans="2:48" s="45" customFormat="1" ht="15.6" thickBot="1">
      <c r="B3" s="46"/>
      <c r="C3" s="47" t="s">
        <v>167</v>
      </c>
      <c r="D3" s="48" t="s">
        <v>168</v>
      </c>
      <c r="E3" s="48" t="s">
        <v>169</v>
      </c>
      <c r="F3" s="77" t="s">
        <v>170</v>
      </c>
      <c r="G3" s="77" t="s">
        <v>171</v>
      </c>
      <c r="H3" s="77" t="s">
        <v>172</v>
      </c>
      <c r="I3" s="77" t="s">
        <v>173</v>
      </c>
      <c r="J3" s="74">
        <v>43831</v>
      </c>
      <c r="K3" s="74">
        <v>43862</v>
      </c>
      <c r="L3" s="74">
        <v>43891</v>
      </c>
      <c r="M3" s="74">
        <v>43922</v>
      </c>
      <c r="N3" s="74">
        <v>43952</v>
      </c>
      <c r="O3" s="74">
        <v>43983</v>
      </c>
      <c r="P3" s="74">
        <v>44013</v>
      </c>
      <c r="Q3" s="74">
        <v>44044</v>
      </c>
      <c r="R3" s="74">
        <v>44075</v>
      </c>
      <c r="S3" s="74">
        <v>44105</v>
      </c>
      <c r="T3" s="74">
        <v>44136</v>
      </c>
      <c r="U3" s="74">
        <v>44166</v>
      </c>
      <c r="V3" s="74" t="s">
        <v>102</v>
      </c>
      <c r="W3" s="74">
        <v>44217</v>
      </c>
      <c r="X3" s="74">
        <v>44248</v>
      </c>
      <c r="Y3" s="74">
        <v>44276</v>
      </c>
      <c r="Z3" s="74">
        <v>44307</v>
      </c>
      <c r="AA3" s="74">
        <v>44337</v>
      </c>
      <c r="AB3" s="74">
        <v>44368</v>
      </c>
      <c r="AC3" s="74">
        <v>44398</v>
      </c>
      <c r="AD3" s="74">
        <v>44429</v>
      </c>
      <c r="AE3" s="74">
        <v>44460</v>
      </c>
      <c r="AF3" s="74">
        <v>44490</v>
      </c>
      <c r="AG3" s="74">
        <v>44521</v>
      </c>
      <c r="AH3" s="74">
        <v>44551</v>
      </c>
      <c r="AI3" s="74" t="s">
        <v>103</v>
      </c>
      <c r="AJ3" s="74">
        <v>44562</v>
      </c>
      <c r="AK3" s="74">
        <v>44593</v>
      </c>
      <c r="AL3" s="74">
        <v>44621</v>
      </c>
      <c r="AM3" s="74">
        <v>44652</v>
      </c>
      <c r="AN3" s="74">
        <v>44682</v>
      </c>
      <c r="AO3" s="74">
        <v>44713</v>
      </c>
      <c r="AP3" s="74">
        <v>44743</v>
      </c>
      <c r="AQ3" s="74">
        <v>44774</v>
      </c>
      <c r="AR3" s="74">
        <v>44805</v>
      </c>
      <c r="AS3" s="74">
        <v>44835</v>
      </c>
      <c r="AT3" s="74">
        <v>44866</v>
      </c>
      <c r="AU3" s="74">
        <v>44896</v>
      </c>
      <c r="AV3" s="74" t="s">
        <v>104</v>
      </c>
    </row>
    <row r="4" spans="2:48" s="45" customFormat="1" ht="15.6" thickBot="1">
      <c r="B4" s="49">
        <v>1</v>
      </c>
      <c r="C4" s="50" t="s">
        <v>174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2:48" s="45" customFormat="1" ht="15.6" thickBot="1">
      <c r="B5" s="51">
        <v>1.1000000000000001</v>
      </c>
      <c r="C5" s="51" t="s">
        <v>175</v>
      </c>
      <c r="D5" s="52" t="s">
        <v>176</v>
      </c>
      <c r="E5" s="52" t="s">
        <v>177</v>
      </c>
      <c r="F5" s="53">
        <f>Financials!C12/1000000</f>
        <v>24.822209000000001</v>
      </c>
      <c r="G5" s="53">
        <f>Financials!D12/1000000</f>
        <v>34.314784747999994</v>
      </c>
      <c r="H5" s="53">
        <f>Financials!E12/1000000</f>
        <v>35.358713000000002</v>
      </c>
      <c r="I5" s="53">
        <f>Financials!F12/1000000</f>
        <v>36.137160000000002</v>
      </c>
      <c r="J5" s="53">
        <f>Financials!G12/1000000</f>
        <v>37.537039999999998</v>
      </c>
      <c r="K5" s="53">
        <f>Financials!H12/1000000</f>
        <v>36.642527000000001</v>
      </c>
      <c r="L5" s="53">
        <f>Financials!I12/1000000</f>
        <v>36.589607000000001</v>
      </c>
      <c r="M5" s="53">
        <f>Financials!J12/1000000</f>
        <v>36.405554000000002</v>
      </c>
      <c r="N5" s="53">
        <f>Financials!K12/1000000</f>
        <v>36.965009000000002</v>
      </c>
      <c r="O5" s="53">
        <f>Financials!L12/1000000</f>
        <v>37.542920000000002</v>
      </c>
      <c r="P5" s="53">
        <f>Financials!M12/1000000</f>
        <v>38.33280214820951</v>
      </c>
      <c r="Q5" s="53">
        <f>Financials!N12/1000000</f>
        <v>38.814239999999998</v>
      </c>
      <c r="R5" s="53">
        <f>Financials!O12/1000000</f>
        <v>39.621161999999998</v>
      </c>
      <c r="S5" s="53">
        <f>Financials!P12/1000000</f>
        <v>40.499248000000001</v>
      </c>
      <c r="T5" s="53">
        <f>Financials!Q12/1000000</f>
        <v>40.866346999999998</v>
      </c>
      <c r="U5" s="53">
        <f>Financials!R12/1000000</f>
        <v>39.766288000000003</v>
      </c>
      <c r="V5" s="53">
        <f>Financials!S12/1000000</f>
        <v>39.766288000000003</v>
      </c>
      <c r="W5" s="53">
        <f>Financials!T12/1000000</f>
        <v>40.336801999999999</v>
      </c>
      <c r="X5" s="53">
        <f>Financials!U12/1000000</f>
        <v>33.889958999999998</v>
      </c>
      <c r="Y5" s="53">
        <f>Financials!V12/1000000</f>
        <v>34.042862999999997</v>
      </c>
      <c r="Z5" s="53">
        <f>Financials!W12/1000000</f>
        <v>37.601851000000003</v>
      </c>
      <c r="AA5" s="53">
        <f>Financials!X12/1000000</f>
        <v>37.393067000000002</v>
      </c>
      <c r="AB5" s="53">
        <f>Financials!Y12/1000000</f>
        <v>37.403649000000001</v>
      </c>
      <c r="AC5" s="53">
        <f>Financials!Z12/1000000</f>
        <v>36.925797000000003</v>
      </c>
      <c r="AD5" s="53">
        <f>Financials!AA12/1000000</f>
        <v>36.959806999999998</v>
      </c>
      <c r="AE5" s="53">
        <f>Financials!AB12/1000000</f>
        <v>36.292188000000003</v>
      </c>
      <c r="AF5" s="53">
        <f>Financials!AC12/1000000</f>
        <v>35.172091999999999</v>
      </c>
      <c r="AG5" s="53">
        <f>Financials!AD12/1000000</f>
        <v>35.526876999999999</v>
      </c>
      <c r="AH5" s="53">
        <f>Financials!AE12/1000000</f>
        <v>35.787931</v>
      </c>
      <c r="AI5" s="53">
        <f>Financials!AF12/1000000</f>
        <v>35.375179000000003</v>
      </c>
      <c r="AJ5" s="53">
        <f>Financials!AG12/1000000</f>
        <v>35.530462999999997</v>
      </c>
      <c r="AK5" s="53">
        <f>Financials!AH12/1000000</f>
        <v>35.569259000000002</v>
      </c>
      <c r="AL5" s="53">
        <f>Financials!AI12/1000000</f>
        <v>36.165382000000001</v>
      </c>
      <c r="AM5" s="53">
        <f>Financials!AJ12/1000000</f>
        <v>35.782708</v>
      </c>
      <c r="AN5" s="53">
        <f>Financials!AK12/1000000</f>
        <v>36.038870000000003</v>
      </c>
      <c r="AO5" s="53">
        <f>Financials!AL12/1000000</f>
        <v>36.294395000000002</v>
      </c>
      <c r="AP5" s="53">
        <f>Financials!AM12/1000000</f>
        <v>36.543349999999997</v>
      </c>
      <c r="AQ5" s="53">
        <f>Financials!AN12/1000000</f>
        <v>37.076317000000003</v>
      </c>
      <c r="AR5" s="53">
        <f>Financials!AO12/1000000</f>
        <v>37.128658000000001</v>
      </c>
      <c r="AS5" s="53">
        <f>Financials!AP12/1000000</f>
        <v>36.935267000000003</v>
      </c>
      <c r="AT5" s="53">
        <f>Financials!AQ12/1000000</f>
        <v>37.34507</v>
      </c>
      <c r="AU5" s="53">
        <f>Financials!AR12/1000000</f>
        <v>37.517709000000004</v>
      </c>
      <c r="AV5" s="53">
        <f>Financials!AS12/1000000</f>
        <v>37.690995000000001</v>
      </c>
    </row>
    <row r="6" spans="2:48" s="45" customFormat="1" ht="15.6" thickBot="1">
      <c r="B6" s="51">
        <v>1.2</v>
      </c>
      <c r="C6" s="51" t="s">
        <v>178</v>
      </c>
      <c r="D6" s="52" t="s">
        <v>179</v>
      </c>
      <c r="E6" s="52" t="s">
        <v>180</v>
      </c>
      <c r="F6" s="54">
        <f>Financials!C12/Financials!C5</f>
        <v>0.1305359322081317</v>
      </c>
      <c r="G6" s="54">
        <f>Financials!D12/Financials!D5</f>
        <v>0.17262427597566135</v>
      </c>
      <c r="H6" s="54">
        <f>Financials!E12/Financials!E5</f>
        <v>0.16382410532983505</v>
      </c>
      <c r="I6" s="54">
        <f>Financials!F12/Financials!F5</f>
        <v>0.14667074211215186</v>
      </c>
      <c r="J6" s="54">
        <f>Financials!G12/Financials!G5</f>
        <v>0.15564577370657434</v>
      </c>
      <c r="K6" s="54">
        <f>Financials!H12/Financials!H5</f>
        <v>0.15585516014507936</v>
      </c>
      <c r="L6" s="54">
        <f>Financials!I12/Financials!I5</f>
        <v>0.14789710831073047</v>
      </c>
      <c r="M6" s="54">
        <f>Financials!J12/Financials!J5</f>
        <v>0.15287194336989182</v>
      </c>
      <c r="N6" s="54">
        <f>Financials!K12/Financials!K5</f>
        <v>0.15575058254345173</v>
      </c>
      <c r="O6" s="54">
        <f>Financials!L12/Financials!L5</f>
        <v>0.15909723763868014</v>
      </c>
      <c r="P6" s="54">
        <f>Financials!M12/Financials!M5</f>
        <v>0.16037324064471742</v>
      </c>
      <c r="Q6" s="54">
        <f>Financials!N12/Financials!N5</f>
        <v>0.16077381306607197</v>
      </c>
      <c r="R6" s="54">
        <f>Financials!O12/Financials!O5</f>
        <v>0.15641602717063879</v>
      </c>
      <c r="S6" s="54">
        <f>Financials!P12/Financials!P5</f>
        <v>0.15936938604740614</v>
      </c>
      <c r="T6" s="54">
        <f>Financials!Q12/Financials!Q5</f>
        <v>0.1561470625930394</v>
      </c>
      <c r="U6" s="54">
        <f>Financials!R12/Financials!R5</f>
        <v>0.15365051973088437</v>
      </c>
      <c r="V6" s="54">
        <f>Financials!S12/Financials!S5</f>
        <v>0.18516565710223315</v>
      </c>
      <c r="W6" s="54">
        <f>Financials!T12/Financials!T5</f>
        <v>0.14589404669046116</v>
      </c>
      <c r="X6" s="54">
        <f>Financials!U12/Financials!U5</f>
        <v>0.14779459256025504</v>
      </c>
      <c r="Y6" s="54">
        <f>Financials!V12/Financials!V5</f>
        <v>0.14901523963553207</v>
      </c>
      <c r="Z6" s="54">
        <f>Financials!W12/Financials!W5</f>
        <v>0.16619760525334479</v>
      </c>
      <c r="AA6" s="54">
        <f>Financials!X12/Financials!X5</f>
        <v>0.16879930630870937</v>
      </c>
      <c r="AB6" s="54">
        <f>Financials!Y12/Financials!Y5</f>
        <v>0.17208215551796185</v>
      </c>
      <c r="AC6" s="54">
        <f>Financials!Z12/Financials!Z5</f>
        <v>0.1623870555275361</v>
      </c>
      <c r="AD6" s="54">
        <f>Financials!AA12/Financials!AA5</f>
        <v>0.16568904038847021</v>
      </c>
      <c r="AE6" s="54">
        <f>Financials!AB12/Financials!AB5</f>
        <v>0.16313332530177516</v>
      </c>
      <c r="AF6" s="54">
        <f>Financials!AC12/Financials!AC5</f>
        <v>0.15577996226892157</v>
      </c>
      <c r="AG6" s="54">
        <f>Financials!AD12/Financials!AD5</f>
        <v>0.14532541907327595</v>
      </c>
      <c r="AH6" s="54">
        <f>Financials!AE12/Financials!AE5</f>
        <v>0.15881284021645115</v>
      </c>
      <c r="AI6" s="54">
        <f>Financials!AF12/Financials!AF5</f>
        <v>0.15690465057087544</v>
      </c>
      <c r="AJ6" s="54">
        <f>Financials!AG12/Financials!AG5</f>
        <v>0.15521935391711758</v>
      </c>
      <c r="AK6" s="54">
        <f>Financials!AH12/Financials!AH5</f>
        <v>0.16670500802377619</v>
      </c>
      <c r="AL6" s="54">
        <f>Financials!AI12/Financials!AI5</f>
        <v>0.16433911058583398</v>
      </c>
      <c r="AM6" s="54">
        <f>Financials!AJ12/Financials!AJ5</f>
        <v>0.16047846644769367</v>
      </c>
      <c r="AN6" s="54">
        <f>Financials!AK12/Financials!AK5</f>
        <v>0.16333906061032261</v>
      </c>
      <c r="AO6" s="54">
        <f>Financials!AL12/Financials!AL5</f>
        <v>0.16090650476984295</v>
      </c>
      <c r="AP6" s="54">
        <f>Financials!AM12/Financials!AM5</f>
        <v>0.1617220841522046</v>
      </c>
      <c r="AQ6" s="54">
        <f>Financials!AN12/Financials!AN5</f>
        <v>0.16263083160706618</v>
      </c>
      <c r="AR6" s="54">
        <f>Financials!AO12/Financials!AO5</f>
        <v>0.16051007242284029</v>
      </c>
      <c r="AS6" s="54">
        <f>Financials!AP12/Financials!AP5</f>
        <v>0.15638062758780444</v>
      </c>
      <c r="AT6" s="54">
        <f>Financials!AQ12/Financials!AQ5</f>
        <v>0.15833369046145029</v>
      </c>
      <c r="AU6" s="54">
        <f>Financials!AR12/Financials!AR5</f>
        <v>0.15919655059930191</v>
      </c>
      <c r="AV6" s="54">
        <f>Financials!AS12/Financials!AS5</f>
        <v>0.15986700349572699</v>
      </c>
    </row>
    <row r="7" spans="2:48" s="45" customFormat="1" ht="15.6" thickBot="1">
      <c r="B7" s="51">
        <v>1.3</v>
      </c>
      <c r="C7" s="51" t="s">
        <v>181</v>
      </c>
      <c r="D7" s="52" t="s">
        <v>182</v>
      </c>
      <c r="E7" s="52" t="s">
        <v>183</v>
      </c>
      <c r="F7" s="54">
        <f>Financials!C12/Financials!C6</f>
        <v>0.24037598935041266</v>
      </c>
      <c r="G7" s="54">
        <f>Financials!D12/Financials!D6</f>
        <v>0.31906550430323177</v>
      </c>
      <c r="H7" s="54">
        <f>Financials!E12/Financials!E6</f>
        <v>0.28953127193211659</v>
      </c>
      <c r="I7" s="54">
        <f>Financials!F12/Financials!F6</f>
        <v>0.27120090579515727</v>
      </c>
      <c r="J7" s="54">
        <f>Financials!G12/Financials!G6</f>
        <v>0.28785616449297036</v>
      </c>
      <c r="K7" s="54">
        <f>Financials!H12/Financials!H6</f>
        <v>0.28233047332151778</v>
      </c>
      <c r="L7" s="54">
        <f>Financials!I12/Financials!I6</f>
        <v>0.27964211508374132</v>
      </c>
      <c r="M7" s="54">
        <f>Financials!J12/Financials!J6</f>
        <v>0.27556800320627445</v>
      </c>
      <c r="N7" s="54">
        <f>Financials!K12/Financials!K6</f>
        <v>0.26781446661597669</v>
      </c>
      <c r="O7" s="54">
        <f>Financials!L12/Financials!L6</f>
        <v>0.26899051427215426</v>
      </c>
      <c r="P7" s="54">
        <f>Financials!M12/Financials!M6</f>
        <v>0.27044640805142978</v>
      </c>
      <c r="Q7" s="54">
        <f>Financials!N12/Financials!N6</f>
        <v>0.27134227230040225</v>
      </c>
      <c r="R7" s="54">
        <f>Financials!O12/Financials!O6</f>
        <v>0.27114955670640256</v>
      </c>
      <c r="S7" s="54">
        <f>Financials!P12/Financials!P6</f>
        <v>0.27616850530342707</v>
      </c>
      <c r="T7" s="54">
        <f>Financials!Q12/Financials!Q6</f>
        <v>0.26515263457783417</v>
      </c>
      <c r="U7" s="54">
        <f>Financials!R12/Financials!R6</f>
        <v>0.25762305511015821</v>
      </c>
      <c r="V7" s="54">
        <f>Financials!S12/Financials!S6</f>
        <v>0.25762305511015821</v>
      </c>
      <c r="W7" s="54">
        <f>Financials!T12/Financials!T6</f>
        <v>0.2616603598644523</v>
      </c>
      <c r="X7" s="54">
        <f>Financials!U12/Financials!U6</f>
        <v>0.21874135606728101</v>
      </c>
      <c r="Y7" s="54">
        <f>Financials!V12/Financials!V6</f>
        <v>0.20460738891744845</v>
      </c>
      <c r="Z7" s="54">
        <f>Financials!W12/Financials!W6</f>
        <v>0.23956758726514263</v>
      </c>
      <c r="AA7" s="54">
        <f>Financials!X12/Financials!X6</f>
        <v>0.23677966929171451</v>
      </c>
      <c r="AB7" s="54">
        <f>Financials!Y12/Financials!Y6</f>
        <v>0.2384010193390014</v>
      </c>
      <c r="AC7" s="54">
        <f>Financials!Z12/Financials!Z6</f>
        <v>0.23043235196647849</v>
      </c>
      <c r="AD7" s="54">
        <f>Financials!AA12/Financials!AA6</f>
        <v>0.22923645966628245</v>
      </c>
      <c r="AE7" s="54">
        <f>Financials!AB12/Financials!AB6</f>
        <v>0.23041406619161481</v>
      </c>
      <c r="AF7" s="54">
        <f>Financials!AC12/Financials!AC6</f>
        <v>0.22289750381812057</v>
      </c>
      <c r="AG7" s="54">
        <f>Financials!AD12/Financials!AD6</f>
        <v>0.225974902177596</v>
      </c>
      <c r="AH7" s="54">
        <f>Financials!AE12/Financials!AE6</f>
        <v>0.2215700767734243</v>
      </c>
      <c r="AI7" s="54">
        <f>Financials!AF12/Financials!AF6</f>
        <v>0.21901001387343255</v>
      </c>
      <c r="AJ7" s="54">
        <f>Financials!AG12/Financials!AG6</f>
        <v>0.21888109516150825</v>
      </c>
      <c r="AK7" s="54">
        <f>Financials!AH12/Financials!AH6</f>
        <v>0.21512308574869921</v>
      </c>
      <c r="AL7" s="54">
        <f>Financials!AI12/Financials!AI6</f>
        <v>0.21263484980115574</v>
      </c>
      <c r="AM7" s="54">
        <f>Financials!AJ12/Financials!AJ6</f>
        <v>0.20863175556790214</v>
      </c>
      <c r="AN7" s="54">
        <f>Financials!AK12/Financials!AK6</f>
        <v>0.21150864231808159</v>
      </c>
      <c r="AO7" s="54">
        <f>Financials!AL12/Financials!AL6</f>
        <v>0.21310454567763787</v>
      </c>
      <c r="AP7" s="54">
        <f>Financials!AM12/Financials!AM6</f>
        <v>0.21673510010574148</v>
      </c>
      <c r="AQ7" s="54">
        <f>Financials!AN12/Financials!AN6</f>
        <v>0.21686478610817095</v>
      </c>
      <c r="AR7" s="54">
        <f>Financials!AO12/Financials!AO6</f>
        <v>0.21632279440656313</v>
      </c>
      <c r="AS7" s="54">
        <f>Financials!AP12/Financials!AP6</f>
        <v>0.21124208222529031</v>
      </c>
      <c r="AT7" s="54">
        <f>Financials!AQ12/Financials!AQ6</f>
        <v>0.21597595397808281</v>
      </c>
      <c r="AU7" s="54">
        <f>Financials!AR12/Financials!AR6</f>
        <v>0.21674618459803</v>
      </c>
      <c r="AV7" s="54">
        <f>Financials!AS12/Financials!AS6</f>
        <v>0.21780166625491162</v>
      </c>
    </row>
    <row r="8" spans="2:48" s="45" customFormat="1" ht="15.6" thickBot="1">
      <c r="B8" s="51">
        <v>1.4</v>
      </c>
      <c r="C8" s="55" t="s">
        <v>184</v>
      </c>
      <c r="D8" s="52" t="s">
        <v>185</v>
      </c>
      <c r="E8" s="52" t="s">
        <v>186</v>
      </c>
      <c r="F8" s="54">
        <f>Financials!C15/Financials!C5</f>
        <v>5.3075330620404898E-2</v>
      </c>
      <c r="G8" s="54">
        <f>Financials!D15/Financials!D5</f>
        <v>5.3180583368090853E-2</v>
      </c>
      <c r="H8" s="54">
        <f>Financials!E15/Financials!E5</f>
        <v>5.0864232335944899E-2</v>
      </c>
      <c r="I8" s="54">
        <f>Financials!F15/Financials!F5</f>
        <v>4.6288930276775192E-2</v>
      </c>
      <c r="J8" s="54">
        <f>Financials!G15/Financials!G5</f>
        <v>4.7289528422292733E-2</v>
      </c>
      <c r="K8" s="54">
        <f>Financials!H15/Financials!H5</f>
        <v>4.8509125214606548E-2</v>
      </c>
      <c r="L8" s="54">
        <f>Financials!I15/Financials!I5</f>
        <v>4.6680854606035098E-2</v>
      </c>
      <c r="M8" s="54">
        <f>Financials!J15/Financials!J5</f>
        <v>4.8495004349891409E-2</v>
      </c>
      <c r="N8" s="54">
        <f>Financials!K15/Financials!K5</f>
        <v>4.9160964545794571E-2</v>
      </c>
      <c r="O8" s="54">
        <f>Financials!L15/Financials!L5</f>
        <v>5.0622884275061626E-2</v>
      </c>
      <c r="P8" s="54">
        <f>Financials!M15/Financials!M5</f>
        <v>5.16284318219098E-2</v>
      </c>
      <c r="Q8" s="54">
        <f>Financials!N15/Financials!N5</f>
        <v>5.2934576975625161E-2</v>
      </c>
      <c r="R8" s="54">
        <f>Financials!O15/Financials!O5</f>
        <v>5.2155197224700342E-2</v>
      </c>
      <c r="S8" s="54">
        <f>Financials!P15/Financials!P5</f>
        <v>5.3476583751585927E-2</v>
      </c>
      <c r="T8" s="54">
        <f>Financials!Q15/Financials!Q5</f>
        <v>5.341727083983884E-2</v>
      </c>
      <c r="U8" s="54">
        <f>Financials!R15/Financials!R5</f>
        <v>5.5864024168057157E-2</v>
      </c>
      <c r="V8" s="54">
        <f>Financials!S15/Financials!S5</f>
        <v>6.7322250270098707E-2</v>
      </c>
      <c r="W8" s="54">
        <f>Financials!T15/Financials!T5</f>
        <v>5.3559310390850295E-2</v>
      </c>
      <c r="X8" s="54">
        <f>Financials!U15/Financials!U5</f>
        <v>6.6140802959029646E-2</v>
      </c>
      <c r="Y8" s="54">
        <f>Financials!V15/Financials!V5</f>
        <v>6.6922762621778778E-2</v>
      </c>
      <c r="Z8" s="54">
        <f>Financials!W15/Financials!W5</f>
        <v>6.9387275693901337E-2</v>
      </c>
      <c r="AA8" s="54">
        <f>Financials!X15/Financials!X5</f>
        <v>7.1650028707231236E-2</v>
      </c>
      <c r="AB8" s="54">
        <f>Financials!Y15/Financials!Y5</f>
        <v>7.3332028360447499E-2</v>
      </c>
      <c r="AC8" s="54">
        <f>Financials!Z15/Financials!Z5</f>
        <v>7.0549955565914924E-2</v>
      </c>
      <c r="AD8" s="54">
        <f>Financials!AA15/Financials!AA5</f>
        <v>7.2256381581938908E-2</v>
      </c>
      <c r="AE8" s="54">
        <f>Financials!AB15/Financials!AB5</f>
        <v>7.259510442730617E-2</v>
      </c>
      <c r="AF8" s="54">
        <f>Financials!AC15/Financials!AC5</f>
        <v>7.1670943476411925E-2</v>
      </c>
      <c r="AG8" s="54">
        <f>Financials!AD15/Financials!AD5</f>
        <v>6.6648168789279011E-2</v>
      </c>
      <c r="AH8" s="54">
        <f>Financials!AE15/Financials!AE5</f>
        <v>7.2646590539997641E-2</v>
      </c>
      <c r="AI8" s="54">
        <f>Financials!AF15/Financials!AF5</f>
        <v>7.2616280239487047E-2</v>
      </c>
      <c r="AJ8" s="54">
        <f>Financials!AG15/Financials!AG5</f>
        <v>7.1614410815782556E-2</v>
      </c>
      <c r="AK8" s="54">
        <f>Financials!AH15/Financials!AH5</f>
        <v>7.7256023607005231E-2</v>
      </c>
      <c r="AL8" s="54">
        <f>Financials!AI15/Financials!AI5</f>
        <v>7.5295445371051012E-2</v>
      </c>
      <c r="AM8" s="54">
        <f>Financials!AJ15/Financials!AJ5</f>
        <v>7.446449968706946E-2</v>
      </c>
      <c r="AN8" s="54">
        <f>Financials!AK15/Financials!AK5</f>
        <v>7.5599771086054895E-2</v>
      </c>
      <c r="AO8" s="54">
        <f>Financials!AL15/Financials!AL5</f>
        <v>7.4091921921130136E-2</v>
      </c>
      <c r="AP8" s="54">
        <f>Financials!AM15/Financials!AM5</f>
        <v>7.4310455387313318E-2</v>
      </c>
      <c r="AQ8" s="54">
        <f>Financials!AN15/Financials!AN5</f>
        <v>7.3903672015550773E-2</v>
      </c>
      <c r="AR8" s="54">
        <f>Financials!AO15/Financials!AO5</f>
        <v>7.3078173920540015E-2</v>
      </c>
      <c r="AS8" s="54">
        <f>Financials!AP15/Financials!AP5</f>
        <v>7.1677743883392195E-2</v>
      </c>
      <c r="AT8" s="54">
        <f>Financials!AQ15/Financials!AQ5</f>
        <v>7.193536124104008E-2</v>
      </c>
      <c r="AU8" s="54">
        <f>Financials!AR15/Financials!AR5</f>
        <v>7.2320407962480154E-2</v>
      </c>
      <c r="AV8" s="54">
        <f>Financials!AS15/Financials!AS5</f>
        <v>7.2291087283370289E-2</v>
      </c>
    </row>
    <row r="9" spans="2:48" s="45" customFormat="1" ht="15.6" thickBot="1">
      <c r="B9" s="51">
        <v>1.5</v>
      </c>
      <c r="C9" s="55" t="s">
        <v>187</v>
      </c>
      <c r="D9" s="52" t="s">
        <v>182</v>
      </c>
      <c r="E9" s="52" t="s">
        <v>186</v>
      </c>
      <c r="F9" s="54">
        <f>Financials!C13/Financials!C5</f>
        <v>7.7460601587726802E-2</v>
      </c>
      <c r="G9" s="54">
        <f>Financials!D13/Financials!D5</f>
        <v>0.11944369260757048</v>
      </c>
      <c r="H9" s="54">
        <f>Financials!E13/Financials!E5</f>
        <v>0.11295987299389015</v>
      </c>
      <c r="I9" s="54">
        <f>Financials!F13/Financials!F5</f>
        <v>0.10038181183537666</v>
      </c>
      <c r="J9" s="54">
        <f>Financials!G13/Financials!G5</f>
        <v>0.10835624528428162</v>
      </c>
      <c r="K9" s="54">
        <f>Financials!H13/Financials!H5</f>
        <v>0.10734603493047282</v>
      </c>
      <c r="L9" s="54">
        <f>Financials!I13/Financials!I5</f>
        <v>0.10121625370469536</v>
      </c>
      <c r="M9" s="54">
        <f>Financials!J13/Financials!J5</f>
        <v>0.10437693902000041</v>
      </c>
      <c r="N9" s="54">
        <f>Financials!K13/Financials!K5</f>
        <v>0.10658961799765715</v>
      </c>
      <c r="O9" s="54">
        <f>Financials!L13/Financials!L5</f>
        <v>0.10847435336361852</v>
      </c>
      <c r="P9" s="54">
        <f>Financials!M13/Financials!M5</f>
        <v>0.10874480882280763</v>
      </c>
      <c r="Q9" s="54">
        <f>Financials!N13/Financials!N5</f>
        <v>0.10783923609044679</v>
      </c>
      <c r="R9" s="54">
        <f>Financials!O13/Financials!O5</f>
        <v>0.10426082994593844</v>
      </c>
      <c r="S9" s="54">
        <f>Financials!P13/Financials!P5</f>
        <v>0.1058928022958202</v>
      </c>
      <c r="T9" s="54">
        <f>Financials!Q13/Financials!Q5</f>
        <v>0.10272979175320057</v>
      </c>
      <c r="U9" s="54">
        <f>Financials!R13/Financials!R5</f>
        <v>9.7786495562827216E-2</v>
      </c>
      <c r="V9" s="54">
        <f>Financials!S13/Financials!S5</f>
        <v>0.11784340683213444</v>
      </c>
      <c r="W9" s="54">
        <f>Financials!T13/Financials!T5</f>
        <v>9.2334736299610878E-2</v>
      </c>
      <c r="X9" s="54">
        <f>Financials!U13/Financials!U5</f>
        <v>8.1653789601225379E-2</v>
      </c>
      <c r="Y9" s="54">
        <f>Financials!V13/Financials!V5</f>
        <v>8.2092477013753287E-2</v>
      </c>
      <c r="Z9" s="54">
        <f>Financials!W13/Financials!W5</f>
        <v>9.6810329559443464E-2</v>
      </c>
      <c r="AA9" s="54">
        <f>Financials!X13/Financials!X5</f>
        <v>9.7149277601478123E-2</v>
      </c>
      <c r="AB9" s="54">
        <f>Financials!Y13/Financials!Y5</f>
        <v>9.8750127157514356E-2</v>
      </c>
      <c r="AC9" s="54">
        <f>Financials!Z13/Financials!Z5</f>
        <v>9.1837099961621177E-2</v>
      </c>
      <c r="AD9" s="54">
        <f>Financials!AA13/Financials!AA5</f>
        <v>9.3432658806531302E-2</v>
      </c>
      <c r="AE9" s="54">
        <f>Financials!AB13/Financials!AB5</f>
        <v>9.0538220874468986E-2</v>
      </c>
      <c r="AF9" s="54">
        <f>Financials!AC13/Financials!AC5</f>
        <v>8.4109018792509635E-2</v>
      </c>
      <c r="AG9" s="54">
        <f>Financials!AD13/Financials!AD5</f>
        <v>7.8677250283996941E-2</v>
      </c>
      <c r="AH9" s="54">
        <f>Financials!AE13/Financials!AE5</f>
        <v>8.6166249676453491E-2</v>
      </c>
      <c r="AI9" s="54">
        <f>Financials!AF13/Financials!AF5</f>
        <v>8.428837033138839E-2</v>
      </c>
      <c r="AJ9" s="54">
        <f>Financials!AG13/Financials!AG5</f>
        <v>8.3604943101335025E-2</v>
      </c>
      <c r="AK9" s="54">
        <f>Financials!AH13/Financials!AH5</f>
        <v>8.9448984416770974E-2</v>
      </c>
      <c r="AL9" s="54">
        <f>Financials!AI13/Financials!AI5</f>
        <v>8.9043665214782963E-2</v>
      </c>
      <c r="AM9" s="54">
        <f>Financials!AJ13/Financials!AJ5</f>
        <v>8.6013966760624214E-2</v>
      </c>
      <c r="AN9" s="54">
        <f>Financials!AK13/Financials!AK5</f>
        <v>8.7739289524267711E-2</v>
      </c>
      <c r="AO9" s="54">
        <f>Financials!AL13/Financials!AL5</f>
        <v>8.681458284871281E-2</v>
      </c>
      <c r="AP9" s="54">
        <f>Financials!AM13/Financials!AM5</f>
        <v>8.7411628764891267E-2</v>
      </c>
      <c r="AQ9" s="54">
        <f>Financials!AN13/Financials!AN5</f>
        <v>8.8727159591515392E-2</v>
      </c>
      <c r="AR9" s="54">
        <f>Financials!AO13/Financials!AO5</f>
        <v>8.7431898502300279E-2</v>
      </c>
      <c r="AS9" s="54">
        <f>Financials!AP13/Financials!AP5</f>
        <v>8.4702883704412243E-2</v>
      </c>
      <c r="AT9" s="54">
        <f>Financials!AQ13/Financials!AQ5</f>
        <v>8.6398329220410214E-2</v>
      </c>
      <c r="AU9" s="54">
        <f>Financials!AR13/Financials!AR5</f>
        <v>8.6876142636821738E-2</v>
      </c>
      <c r="AV9" s="54">
        <f>Financials!AS13/Financials!AS5</f>
        <v>8.7575916212356705E-2</v>
      </c>
    </row>
    <row r="10" spans="2:48" s="45" customFormat="1" ht="15.6" thickBot="1">
      <c r="B10" s="49">
        <v>2</v>
      </c>
      <c r="C10" s="50" t="s">
        <v>188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</row>
    <row r="11" spans="2:48" s="45" customFormat="1" ht="15.6" hidden="1" thickBot="1">
      <c r="B11" s="56">
        <v>2.1</v>
      </c>
      <c r="C11" s="57" t="s">
        <v>189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</row>
    <row r="12" spans="2:48" s="45" customFormat="1" ht="15.6" thickBot="1">
      <c r="B12" s="58" t="s">
        <v>190</v>
      </c>
      <c r="C12" s="55" t="s">
        <v>191</v>
      </c>
      <c r="D12" s="52" t="s">
        <v>192</v>
      </c>
      <c r="E12" s="52">
        <v>48.1</v>
      </c>
      <c r="F12" s="54">
        <f>Financials!C32/Financials!C5</f>
        <v>7.1592828924693153E-2</v>
      </c>
      <c r="G12" s="54">
        <f>Financials!D32/Financials!D5</f>
        <v>8.3082656099325636E-2</v>
      </c>
      <c r="H12" s="54">
        <f>Financials!E32/Financials!E5</f>
        <v>8.8994434392349553E-2</v>
      </c>
      <c r="I12" s="54">
        <f>Financials!F32/Financials!F5</f>
        <v>7.4898348964431496E-2</v>
      </c>
      <c r="J12" s="54">
        <f>Financials!G32/Financials!G5</f>
        <v>7.6462877242765279E-2</v>
      </c>
      <c r="K12" s="54">
        <f>Financials!H32/Financials!H5</f>
        <v>7.7768639869330566E-2</v>
      </c>
      <c r="L12" s="54">
        <f>Financials!I32/Financials!I5</f>
        <v>7.3580338906500814E-2</v>
      </c>
      <c r="M12" s="54">
        <f>Financials!J32/Financials!J5</f>
        <v>7.6186728156718592E-2</v>
      </c>
      <c r="N12" s="54">
        <f>Financials!K32/Financials!K5</f>
        <v>7.5203681807740785E-2</v>
      </c>
      <c r="O12" s="54">
        <f>Financials!L32/Financials!L5</f>
        <v>7.5169604880801391E-2</v>
      </c>
      <c r="P12" s="54">
        <f>Financials!M32/Financials!M5</f>
        <v>7.4353807965468394E-2</v>
      </c>
      <c r="Q12" s="54">
        <f>Financials!N32/Financials!N5</f>
        <v>7.2895073062705346E-2</v>
      </c>
      <c r="R12" s="54">
        <f>Financials!O32/Financials!O5</f>
        <v>6.8660006175189969E-2</v>
      </c>
      <c r="S12" s="54">
        <f>Financials!P32/Financials!P5</f>
        <v>6.8064385044840359E-2</v>
      </c>
      <c r="T12" s="54">
        <f>Financials!Q32/Financials!Q5</f>
        <v>6.2965724588296468E-2</v>
      </c>
      <c r="U12" s="54">
        <f>Financials!R32/Financials!R5</f>
        <v>6.5456780004454568E-2</v>
      </c>
      <c r="V12" s="54">
        <f>Financials!S32/Financials!S5</f>
        <v>7.9361530171562514E-2</v>
      </c>
      <c r="W12" s="54">
        <f>Financials!T32/Financials!T5</f>
        <v>6.1157303440067964E-2</v>
      </c>
      <c r="X12" s="54">
        <f>Financials!U32/Financials!U5</f>
        <v>7.3691384540200966E-2</v>
      </c>
      <c r="Y12" s="54">
        <f>Financials!V32/Financials!V5</f>
        <v>7.3802917159458831E-2</v>
      </c>
      <c r="Z12" s="54">
        <f>Financials!W32/Financials!W5</f>
        <v>7.422543524340737E-2</v>
      </c>
      <c r="AA12" s="54">
        <f>Financials!X32/Financials!X5</f>
        <v>7.4282458765047202E-2</v>
      </c>
      <c r="AB12" s="54">
        <f>Financials!Y32/Financials!Y5</f>
        <v>7.5101133482086149E-2</v>
      </c>
      <c r="AC12" s="54">
        <f>Financials!Z32/Financials!Z5</f>
        <v>7.1385083238435135E-2</v>
      </c>
      <c r="AD12" s="54">
        <f>Financials!AA32/Financials!AA5</f>
        <v>7.2705022954621015E-2</v>
      </c>
      <c r="AE12" s="54">
        <f>Financials!AB32/Financials!AB5</f>
        <v>7.8476675102597135E-2</v>
      </c>
      <c r="AF12" s="54">
        <f>Financials!AC32/Financials!AC5</f>
        <v>7.6071155399428492E-2</v>
      </c>
      <c r="AG12" s="54">
        <f>Financials!AD32/Financials!AD5</f>
        <v>6.9702344293688337E-2</v>
      </c>
      <c r="AH12" s="54">
        <f>Financials!AE32/Financials!AE5</f>
        <v>7.8445105113405342E-2</v>
      </c>
      <c r="AI12" s="54">
        <f>Financials!AF32/Financials!AF5</f>
        <v>7.9340472081057781E-2</v>
      </c>
      <c r="AJ12" s="54">
        <f>Financials!AG32/Financials!AG5</f>
        <v>7.7851053582444832E-2</v>
      </c>
      <c r="AK12" s="54">
        <f>Financials!AH32/Financials!AH5</f>
        <v>8.1332648543823605E-2</v>
      </c>
      <c r="AL12" s="54">
        <f>Financials!AI32/Financials!AI5</f>
        <v>8.0520499466618323E-2</v>
      </c>
      <c r="AM12" s="54">
        <f>Financials!AJ32/Financials!AJ5</f>
        <v>7.5576452318313295E-2</v>
      </c>
      <c r="AN12" s="54">
        <f>Financials!AK32/Financials!AK5</f>
        <v>7.6030235127399162E-2</v>
      </c>
      <c r="AO12" s="54">
        <f>Financials!AL32/Financials!AL5</f>
        <v>7.4031570491098944E-2</v>
      </c>
      <c r="AP12" s="54">
        <f>Financials!AM32/Financials!AM5</f>
        <v>7.3626041274854559E-2</v>
      </c>
      <c r="AQ12" s="54">
        <f>Financials!AN32/Financials!AN5</f>
        <v>7.2373273706176022E-2</v>
      </c>
      <c r="AR12" s="54">
        <f>Financials!AO32/Financials!AO5</f>
        <v>7.1063195414916361E-2</v>
      </c>
      <c r="AS12" s="54">
        <f>Financials!AP32/Financials!AP5</f>
        <v>6.9337324592991564E-2</v>
      </c>
      <c r="AT12" s="54">
        <f>Financials!AQ32/Financials!AQ5</f>
        <v>7.5546910464168129E-2</v>
      </c>
      <c r="AU12" s="54">
        <f>Financials!AR32/Financials!AR5</f>
        <v>7.1799014041600759E-2</v>
      </c>
      <c r="AV12" s="54">
        <f>Financials!AS32/Financials!AS5</f>
        <v>7.1802019142874804E-2</v>
      </c>
    </row>
    <row r="13" spans="2:48" s="45" customFormat="1" ht="15.6" thickBot="1">
      <c r="B13" s="58" t="s">
        <v>193</v>
      </c>
      <c r="C13" s="51" t="s">
        <v>194</v>
      </c>
      <c r="D13" s="52" t="s">
        <v>195</v>
      </c>
      <c r="E13" s="52">
        <v>48.1</v>
      </c>
      <c r="F13" s="54">
        <f>Financials!C33/Financials!C5</f>
        <v>5.2862757941973371E-2</v>
      </c>
      <c r="G13" s="54">
        <f>Financials!D33/Financials!D5</f>
        <v>7.0658228105062615E-2</v>
      </c>
      <c r="H13" s="54">
        <f>Financials!E33/Financials!E5</f>
        <v>7.4368750607992098E-2</v>
      </c>
      <c r="I13" s="54">
        <f>Financials!F33/Financials!F5</f>
        <v>4.7211039796226754E-2</v>
      </c>
      <c r="J13" s="54">
        <f>Financials!G33/Financials!G5</f>
        <v>5.0674763379189351E-2</v>
      </c>
      <c r="K13" s="54">
        <f>Financials!H33/Financials!H5</f>
        <v>4.8936336260530636E-2</v>
      </c>
      <c r="L13" s="54">
        <f>Financials!I33/Financials!I5</f>
        <v>4.6529027034277692E-2</v>
      </c>
      <c r="M13" s="54">
        <f>Financials!J33/Financials!J5</f>
        <v>4.8063278379900987E-2</v>
      </c>
      <c r="N13" s="54">
        <f>Financials!K33/Financials!K5</f>
        <v>4.795227458955123E-2</v>
      </c>
      <c r="O13" s="54">
        <f>Financials!L33/Financials!L5</f>
        <v>4.8131053389060145E-2</v>
      </c>
      <c r="P13" s="54">
        <f>Financials!M33/Financials!M5</f>
        <v>4.7517341204610042E-2</v>
      </c>
      <c r="Q13" s="54">
        <f>Financials!N33/Financials!N5</f>
        <v>4.649663915690655E-2</v>
      </c>
      <c r="R13" s="54">
        <f>Financials!O33/Financials!O5</f>
        <v>4.4053668913978022E-2</v>
      </c>
      <c r="S13" s="54">
        <f>Financials!P33/Financials!P5</f>
        <v>4.3651723334987791E-2</v>
      </c>
      <c r="T13" s="54">
        <f>Financials!Q33/Financials!Q5</f>
        <v>4.2178075249400163E-2</v>
      </c>
      <c r="U13" s="54">
        <f>Financials!R33/Financials!R5</f>
        <v>4.2395451609098765E-2</v>
      </c>
      <c r="V13" s="54">
        <f>Financials!S33/Financials!S5</f>
        <v>7.2799754005512141E-2</v>
      </c>
      <c r="W13" s="54">
        <f>Financials!T33/Financials!T5</f>
        <v>3.9240670950245048E-2</v>
      </c>
      <c r="X13" s="54">
        <f>Financials!U33/Financials!U5</f>
        <v>4.7384128840269608E-2</v>
      </c>
      <c r="Y13" s="54">
        <f>Financials!V33/Financials!V5</f>
        <v>4.7306079058893773E-2</v>
      </c>
      <c r="Z13" s="54">
        <f>Financials!W33/Financials!W5</f>
        <v>4.7509697710020442E-2</v>
      </c>
      <c r="AA13" s="54">
        <f>Financials!X33/Financials!X5</f>
        <v>4.8352655899789064E-2</v>
      </c>
      <c r="AB13" s="54">
        <f>Financials!Y33/Financials!Y5</f>
        <v>4.9010225190536556E-2</v>
      </c>
      <c r="AC13" s="54">
        <f>Financials!Z33/Financials!Z5</f>
        <v>4.659050344766457E-2</v>
      </c>
      <c r="AD13" s="54">
        <f>Financials!AA33/Financials!AA5</f>
        <v>4.723215803266783E-2</v>
      </c>
      <c r="AE13" s="54">
        <f>Financials!AB33/Financials!AB5</f>
        <v>4.7096399187870758E-2</v>
      </c>
      <c r="AF13" s="54">
        <f>Financials!AC33/Financials!AC5</f>
        <v>4.6892892507560208E-2</v>
      </c>
      <c r="AG13" s="54">
        <f>Financials!AD33/Financials!AD5</f>
        <v>4.3052576406306643E-2</v>
      </c>
      <c r="AH13" s="54">
        <f>Financials!AE33/Financials!AE5</f>
        <v>4.6442519009501401E-2</v>
      </c>
      <c r="AI13" s="54">
        <f>Financials!AF33/Financials!AF5</f>
        <v>7.314742030809876E-2</v>
      </c>
      <c r="AJ13" s="54">
        <f>Financials!AG33/Financials!AG5</f>
        <v>4.5652697957630453E-2</v>
      </c>
      <c r="AK13" s="54">
        <f>Financials!AH33/Financials!AH5</f>
        <v>4.8737254861520009E-2</v>
      </c>
      <c r="AL13" s="54">
        <f>Financials!AI33/Financials!AI5</f>
        <v>4.7020837655122667E-2</v>
      </c>
      <c r="AM13" s="54">
        <f>Financials!AJ33/Financials!AJ5</f>
        <v>4.6177525218904364E-2</v>
      </c>
      <c r="AN13" s="54">
        <f>Financials!AK33/Financials!AK5</f>
        <v>4.6434399964083349E-2</v>
      </c>
      <c r="AO13" s="54">
        <f>Financials!AL33/Financials!AL5</f>
        <v>4.5193709252343311E-2</v>
      </c>
      <c r="AP13" s="54">
        <f>Financials!AM33/Financials!AM5</f>
        <v>4.4951219165937542E-2</v>
      </c>
      <c r="AQ13" s="54">
        <f>Financials!AN33/Financials!AN5</f>
        <v>4.432873877593755E-2</v>
      </c>
      <c r="AR13" s="54">
        <f>Financials!AO33/Financials!AO5</f>
        <v>4.3466981046431631E-2</v>
      </c>
      <c r="AS13" s="54">
        <f>Financials!AP33/Financials!AP5</f>
        <v>4.2352995697486961E-2</v>
      </c>
      <c r="AT13" s="54">
        <f>Financials!AQ33/Financials!AQ5</f>
        <v>4.8568129369028643E-2</v>
      </c>
      <c r="AU13" s="54">
        <f>Financials!AR33/Financials!AR5</f>
        <v>4.2010453148424602E-2</v>
      </c>
      <c r="AV13" s="54">
        <f>Financials!AS33/Financials!AS5</f>
        <v>6.7401008173857482E-2</v>
      </c>
    </row>
    <row r="14" spans="2:48" s="45" customFormat="1" ht="15.6" thickBot="1">
      <c r="B14" s="58" t="s">
        <v>196</v>
      </c>
      <c r="C14" s="51" t="s">
        <v>197</v>
      </c>
      <c r="D14" s="52" t="s">
        <v>198</v>
      </c>
      <c r="E14" s="52">
        <v>41</v>
      </c>
      <c r="F14" s="54">
        <f>Financials!C28/Financials!C26</f>
        <v>-3.5558809897837404E-8</v>
      </c>
      <c r="G14" s="54">
        <f>Financials!D28/Financials!D26</f>
        <v>-2.5748060106820807E-8</v>
      </c>
      <c r="H14" s="54">
        <f>Financials!E28/Financials!E26</f>
        <v>-1.6398046845038334E-8</v>
      </c>
      <c r="I14" s="54">
        <f>Financials!F28/Financials!F26</f>
        <v>-7.5869874091895461E-9</v>
      </c>
      <c r="J14" s="54">
        <f>Financials!G28/Financials!G26</f>
        <v>0</v>
      </c>
      <c r="K14" s="54">
        <f>Financials!H28/Financials!H26</f>
        <v>0</v>
      </c>
      <c r="L14" s="54">
        <f>Financials!I28/Financials!I26</f>
        <v>0</v>
      </c>
      <c r="M14" s="54">
        <f>Financials!J28/Financials!J26</f>
        <v>0</v>
      </c>
      <c r="N14" s="54">
        <f>Financials!K28/Financials!K26</f>
        <v>7.1430960283971779E-8</v>
      </c>
      <c r="O14" s="54">
        <f>Financials!L29/Financials!L26</f>
        <v>0.14148703891740824</v>
      </c>
      <c r="P14" s="54">
        <f>Financials!M29/Financials!M26</f>
        <v>0</v>
      </c>
      <c r="Q14" s="54">
        <f>Financials!N29/Financials!N26</f>
        <v>0</v>
      </c>
      <c r="R14" s="54">
        <f>Financials!O29/Financials!O26</f>
        <v>0</v>
      </c>
      <c r="S14" s="54">
        <f>Financials!P29/Financials!P26</f>
        <v>0</v>
      </c>
      <c r="T14" s="54">
        <f>Financials!Q29/Financials!Q26</f>
        <v>0</v>
      </c>
      <c r="U14" s="54">
        <f>Financials!R29/Financials!R26</f>
        <v>0</v>
      </c>
      <c r="V14" s="54">
        <f>Financials!S29/Financials!S26</f>
        <v>0</v>
      </c>
      <c r="W14" s="54">
        <f>Financials!T29/Financials!T26</f>
        <v>0</v>
      </c>
      <c r="X14" s="54">
        <f>Financials!U29/Financials!U26</f>
        <v>0</v>
      </c>
      <c r="Y14" s="54">
        <f>Financials!V29/Financials!V26</f>
        <v>0</v>
      </c>
      <c r="Z14" s="54">
        <f>Financials!W29/Financials!W26</f>
        <v>0</v>
      </c>
      <c r="AA14" s="54">
        <f>Financials!X29/Financials!X26</f>
        <v>0</v>
      </c>
      <c r="AB14" s="54">
        <f>Financials!Y29/Financials!Y26</f>
        <v>0</v>
      </c>
      <c r="AC14" s="54">
        <f>Financials!Z29/Financials!Z26</f>
        <v>0</v>
      </c>
      <c r="AD14" s="54">
        <f>Financials!AA29/Financials!AA26</f>
        <v>0</v>
      </c>
      <c r="AE14" s="54">
        <f>Financials!AB29/Financials!AB26</f>
        <v>0</v>
      </c>
      <c r="AF14" s="54">
        <f>Financials!AC29/Financials!AC26</f>
        <v>0</v>
      </c>
      <c r="AG14" s="54">
        <f>Financials!AD29/Financials!AD26</f>
        <v>0</v>
      </c>
      <c r="AH14" s="54">
        <f>Financials!AE29/Financials!AE26</f>
        <v>0</v>
      </c>
      <c r="AI14" s="54">
        <f>Financials!AF29/Financials!AF26</f>
        <v>0</v>
      </c>
      <c r="AJ14" s="54">
        <f>Financials!AG29/Financials!AG26</f>
        <v>0</v>
      </c>
      <c r="AK14" s="54">
        <f>Financials!AH29/Financials!AH26</f>
        <v>0</v>
      </c>
      <c r="AL14" s="54">
        <f>Financials!AI29/Financials!AI26</f>
        <v>0</v>
      </c>
      <c r="AM14" s="54">
        <f>Financials!AJ29/Financials!AJ26</f>
        <v>0</v>
      </c>
      <c r="AN14" s="54">
        <f>Financials!AK29/Financials!AK26</f>
        <v>0</v>
      </c>
      <c r="AO14" s="54">
        <f>Financials!AL29/Financials!AL26</f>
        <v>0</v>
      </c>
      <c r="AP14" s="54">
        <f>Financials!AM29/Financials!AM26</f>
        <v>0</v>
      </c>
      <c r="AQ14" s="54">
        <f>Financials!AN29/Financials!AN26</f>
        <v>0</v>
      </c>
      <c r="AR14" s="54">
        <f>Financials!AO29/Financials!AO26</f>
        <v>0</v>
      </c>
      <c r="AS14" s="54">
        <f>Financials!AP29/Financials!AP26</f>
        <v>0</v>
      </c>
      <c r="AT14" s="54">
        <f>Financials!AQ29/Financials!AQ26</f>
        <v>0</v>
      </c>
      <c r="AU14" s="54">
        <f>Financials!AR29/Financials!AR26</f>
        <v>0</v>
      </c>
      <c r="AV14" s="54">
        <f>Financials!AS29/Financials!AS26</f>
        <v>0</v>
      </c>
    </row>
    <row r="15" spans="2:48" s="45" customFormat="1" ht="15.6" thickBot="1">
      <c r="B15" s="58">
        <v>2.2000000000000002</v>
      </c>
      <c r="C15" s="57" t="s">
        <v>199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</row>
    <row r="16" spans="2:48" s="45" customFormat="1" ht="15.6" thickBot="1">
      <c r="B16" s="58" t="s">
        <v>200</v>
      </c>
      <c r="C16" s="51" t="s">
        <v>201</v>
      </c>
      <c r="D16" s="52" t="s">
        <v>195</v>
      </c>
      <c r="E16" s="52">
        <v>48.4</v>
      </c>
      <c r="F16" s="54">
        <f>Financials!C21/Financials!C6</f>
        <v>0.39171224034839991</v>
      </c>
      <c r="G16" s="54">
        <f>Financials!D21/Financials!D6</f>
        <v>0.45672777011637639</v>
      </c>
      <c r="H16" s="54">
        <f>Financials!E21/Financials!E6</f>
        <v>0.40221463947303521</v>
      </c>
      <c r="I16" s="54">
        <f>Financials!F21/Financials!F6</f>
        <v>0.36863448618286399</v>
      </c>
      <c r="J16" s="54">
        <f>Financials!G21/Financials!G6</f>
        <v>0.37668155439034395</v>
      </c>
      <c r="K16" s="54">
        <f>Financials!H21/Financials!H6</f>
        <v>0.37846975786530473</v>
      </c>
      <c r="L16" s="54">
        <f>Financials!I21/Financials!I6</f>
        <v>0.37540813207699331</v>
      </c>
      <c r="M16" s="54">
        <f>Financials!J21/Financials!J6</f>
        <v>0.37180907667601421</v>
      </c>
      <c r="N16" s="54">
        <f>Financials!K21/Financials!K6</f>
        <v>0.35587875215746723</v>
      </c>
      <c r="O16" s="54">
        <f>Financials!L21/Financials!L6</f>
        <v>0.35193929512484373</v>
      </c>
      <c r="P16" s="54">
        <f>Financials!M21/Financials!M6</f>
        <v>0.34655286437414512</v>
      </c>
      <c r="Q16" s="54">
        <f>Financials!N21/Financials!N6</f>
        <v>0.3433880783174495</v>
      </c>
      <c r="R16" s="54">
        <f>Financials!O21/Financials!O6</f>
        <v>0.33615574132869197</v>
      </c>
      <c r="S16" s="54">
        <f>Financials!P21/Financials!P6</f>
        <v>0.33495466667772267</v>
      </c>
      <c r="T16" s="54">
        <f>Financials!Q21/Financials!Q6</f>
        <v>0.31870506901014634</v>
      </c>
      <c r="U16" s="54">
        <f>Financials!R21/Financials!R6</f>
        <v>0.31822076490404105</v>
      </c>
      <c r="V16" s="54">
        <f>Financials!S21/Financials!S6</f>
        <v>3.3373611667095245E-2</v>
      </c>
      <c r="W16" s="54">
        <f>Financials!T21/Financials!T6</f>
        <v>0.31863634641957034</v>
      </c>
      <c r="X16" s="54">
        <f>Financials!U21/Financials!U6</f>
        <v>3.3250132127619708E-2</v>
      </c>
      <c r="Y16" s="54">
        <f>Financials!V21/Financials!V6</f>
        <v>3.0961982071601321E-2</v>
      </c>
      <c r="Z16" s="54">
        <f>Financials!W21/Financials!W6</f>
        <v>3.2821041143631206E-2</v>
      </c>
      <c r="AA16" s="54">
        <f>Financials!X21/Financials!X6</f>
        <v>3.2620216615047784E-2</v>
      </c>
      <c r="AB16" s="54">
        <f>Financials!Y21/Financials!Y6</f>
        <v>3.2834291826517335E-2</v>
      </c>
      <c r="AC16" s="54">
        <f>Financials!Z21/Financials!Z6</f>
        <v>3.2147491744163016E-2</v>
      </c>
      <c r="AD16" s="54">
        <f>Financials!AA21/Financials!AA6</f>
        <v>3.1951225222865552E-2</v>
      </c>
      <c r="AE16" s="54">
        <f>Financials!AB21/Financials!AB6</f>
        <v>3.2706144779012992E-2</v>
      </c>
      <c r="AF16" s="54">
        <f>Financials!AC21/Financials!AC6</f>
        <v>3.264679281927671E-2</v>
      </c>
      <c r="AG16" s="54">
        <f>Financials!AD21/Financials!AD6</f>
        <v>3.2767000922234203E-2</v>
      </c>
      <c r="AH16" s="54">
        <f>Financials!AE21/Financials!AE6</f>
        <v>3.1893929912967765E-2</v>
      </c>
      <c r="AI16" s="54">
        <f>Financials!AF21/Financials!AF6</f>
        <v>3.1893256241868347E-2</v>
      </c>
      <c r="AJ16" s="54">
        <f>Financials!AG21/Financials!AG6</f>
        <v>3.1735175536161751E-2</v>
      </c>
      <c r="AK16" s="54">
        <f>Financials!AH21/Financials!AH6</f>
        <v>3.1156288720089315E-2</v>
      </c>
      <c r="AL16" s="54">
        <f>Financials!AI21/Financials!AI6</f>
        <v>3.0288300589607603E-2</v>
      </c>
      <c r="AM16" s="54">
        <f>Financials!AJ21/Financials!AJ6</f>
        <v>3.0035905326622724E-2</v>
      </c>
      <c r="AN16" s="54">
        <f>Financials!AK21/Financials!AK6</f>
        <v>3.0233642330699716E-2</v>
      </c>
      <c r="AO16" s="54">
        <f>Financials!AL21/Financials!AL6</f>
        <v>3.0247303977056262E-2</v>
      </c>
      <c r="AP16" s="54">
        <f>Financials!AM21/Financials!AM6</f>
        <v>3.055303882587412E-2</v>
      </c>
      <c r="AQ16" s="54">
        <f>Financials!AN21/Financials!AN6</f>
        <v>3.0131862032944459E-2</v>
      </c>
      <c r="AR16" s="54">
        <f>Financials!AO21/Financials!AO6</f>
        <v>3.0014184716163513E-2</v>
      </c>
      <c r="AS16" s="54">
        <f>Financials!AP21/Financials!AP6</f>
        <v>2.9462711663922777E-2</v>
      </c>
      <c r="AT16" s="54">
        <f>Financials!AQ21/Financials!AQ6</f>
        <v>2.9792410397704298E-2</v>
      </c>
      <c r="AU16" s="54">
        <f>Financials!AR21/Financials!AR6</f>
        <v>2.9761078777895137E-2</v>
      </c>
      <c r="AV16" s="54" t="e">
        <f>Financials!AS21/Financials!AS6</f>
        <v>#REF!</v>
      </c>
    </row>
    <row r="17" spans="2:48" s="45" customFormat="1" ht="15.6" thickBot="1">
      <c r="B17" s="58" t="s">
        <v>202</v>
      </c>
      <c r="C17" s="51" t="s">
        <v>203</v>
      </c>
      <c r="D17" s="52" t="s">
        <v>204</v>
      </c>
      <c r="E17" s="52">
        <v>48.4</v>
      </c>
      <c r="F17" s="54">
        <f>Financials!C21/Financials!C12</f>
        <v>1.6295813962407617</v>
      </c>
      <c r="G17" s="54">
        <f>Financials!D21/Financials!D12</f>
        <v>1.4314545570000381</v>
      </c>
      <c r="H17" s="54">
        <f>Financials!E21/Financials!E12</f>
        <v>1.3891923894401925</v>
      </c>
      <c r="I17" s="54">
        <f>Financials!F21/Financials!F12</f>
        <v>1.3592671643261396</v>
      </c>
      <c r="J17" s="54">
        <f>Financials!G21/Financials!G12</f>
        <v>1.3085756042564889</v>
      </c>
      <c r="K17" s="54">
        <f>Financials!H21/Financials!H12</f>
        <v>1.3405203958777188</v>
      </c>
      <c r="L17" s="54">
        <f>Financials!I21/Financials!I12</f>
        <v>1.3424592070639074</v>
      </c>
      <c r="M17" s="54">
        <f>Financials!J21/Financials!J12</f>
        <v>1.3492461837004319</v>
      </c>
      <c r="N17" s="54">
        <f>Financials!K21/Financials!K12</f>
        <v>1.3288257227260514</v>
      </c>
      <c r="O17" s="54">
        <f>Financials!L21/Financials!L12</f>
        <v>1.3083706541739426</v>
      </c>
      <c r="P17" s="54">
        <f>Financials!M21/Financials!M12</f>
        <v>1.2814104904223482</v>
      </c>
      <c r="Q17" s="54">
        <f>Financials!N21/Financials!N12</f>
        <v>1.2655163362724609</v>
      </c>
      <c r="R17" s="54">
        <f>Financials!O21/Financials!O12</f>
        <v>1.2397429131432338</v>
      </c>
      <c r="S17" s="54">
        <f>Financials!P21/Financials!P12</f>
        <v>1.2128633795867023</v>
      </c>
      <c r="T17" s="54">
        <f>Financials!Q21/Financials!Q12</f>
        <v>1.2019683286103355</v>
      </c>
      <c r="U17" s="54">
        <f>Financials!R21/Financials!R12</f>
        <v>1.2352185046791393</v>
      </c>
      <c r="V17" s="54">
        <f>Financials!S21/Financials!S12</f>
        <v>0.12954435173833675</v>
      </c>
      <c r="W17" s="54">
        <f>Financials!T21/Financials!T12</f>
        <v>1.2177478720301127</v>
      </c>
      <c r="X17" s="54">
        <f>Financials!U21/Financials!U12</f>
        <v>0.15200661057158552</v>
      </c>
      <c r="Y17" s="54">
        <f>Financials!V21/Financials!V12</f>
        <v>0.15132387073319889</v>
      </c>
      <c r="Z17" s="54">
        <f>Financials!W21/Financials!W12</f>
        <v>0.13700117581977547</v>
      </c>
      <c r="AA17" s="54">
        <f>Financials!X21/Financials!X12</f>
        <v>0.13776612119032652</v>
      </c>
      <c r="AB17" s="54">
        <f>Financials!Y21/Financials!Y12</f>
        <v>0.13772714528467531</v>
      </c>
      <c r="AC17" s="54">
        <f>Financials!Z21/Financials!Z12</f>
        <v>0.13950945459620004</v>
      </c>
      <c r="AD17" s="54">
        <f>Financials!AA21/Financials!AA12</f>
        <v>0.139381079560291</v>
      </c>
      <c r="AE17" s="54">
        <f>Financials!AB21/Financials!AB12</f>
        <v>0.14194508746620621</v>
      </c>
      <c r="AF17" s="54">
        <f>Financials!AC21/Financials!AC12</f>
        <v>0.14646549315292362</v>
      </c>
      <c r="AG17" s="54">
        <f>Financials!AD21/Financials!AD12</f>
        <v>0.14500283264414149</v>
      </c>
      <c r="AH17" s="54">
        <f>Financials!AE21/Financials!AE12</f>
        <v>0.14394511378710326</v>
      </c>
      <c r="AI17" s="54">
        <f>Financials!AF21/Financials!AF12</f>
        <v>0.14562464828799876</v>
      </c>
      <c r="AJ17" s="54">
        <f>Financials!AG21/Financials!AG12</f>
        <v>0.14498819787403278</v>
      </c>
      <c r="AK17" s="54">
        <f>Financials!AH21/Financials!AH12</f>
        <v>0.14483005676334162</v>
      </c>
      <c r="AL17" s="54">
        <f>Financials!AI21/Financials!AI12</f>
        <v>0.14244278686175635</v>
      </c>
      <c r="AM17" s="54">
        <f>Financials!AJ21/Financials!AJ12</f>
        <v>0.14396612464322153</v>
      </c>
      <c r="AN17" s="54">
        <f>Financials!AK21/Financials!AK12</f>
        <v>0.14294282256907612</v>
      </c>
      <c r="AO17" s="54">
        <f>Financials!AL21/Financials!AL12</f>
        <v>0.14193645602854105</v>
      </c>
      <c r="AP17" s="54">
        <f>Financials!AM21/Financials!AM12</f>
        <v>0.14096950060681354</v>
      </c>
      <c r="AQ17" s="54">
        <f>Financials!AN21/Financials!AN12</f>
        <v>0.13894308326255814</v>
      </c>
      <c r="AR17" s="54">
        <f>Financials!AO21/Financials!AO12</f>
        <v>0.13874721246321373</v>
      </c>
      <c r="AS17" s="54">
        <f>Financials!AP21/Financials!AP12</f>
        <v>0.13947368513675559</v>
      </c>
      <c r="AT17" s="54">
        <f>Financials!AQ21/Financials!AQ12</f>
        <v>0.13794318232634187</v>
      </c>
      <c r="AU17" s="54">
        <f>Financials!AR21/Financials!AR12</f>
        <v>0.13730843213267632</v>
      </c>
      <c r="AV17" s="54" t="e">
        <f>Financials!AS21/Financials!AS12</f>
        <v>#REF!</v>
      </c>
    </row>
    <row r="18" spans="2:48" s="45" customFormat="1" ht="15.6" thickBot="1">
      <c r="B18" s="58" t="s">
        <v>205</v>
      </c>
      <c r="C18" s="55" t="s">
        <v>206</v>
      </c>
      <c r="D18" s="59" t="s">
        <v>207</v>
      </c>
      <c r="E18" s="51"/>
      <c r="F18" s="54">
        <f>Financials!C25/Financials!C5</f>
        <v>0.57250283898274335</v>
      </c>
      <c r="G18" s="54">
        <f>Financials!D25/Financials!D5</f>
        <v>0.56681877896827149</v>
      </c>
      <c r="H18" s="54">
        <f>Financials!E25/Financials!E5</f>
        <v>0.54673710457671709</v>
      </c>
      <c r="I18" s="54">
        <f>Financials!F25/Financials!F5</f>
        <v>0.51400893392426883</v>
      </c>
      <c r="J18" s="54">
        <f>Financials!G25/Financials!G5</f>
        <v>0.60015949163043092</v>
      </c>
      <c r="K18" s="54">
        <f>Financials!H25/Financials!H5</f>
        <v>0.59302415783005746</v>
      </c>
      <c r="L18" s="54">
        <f>Financials!I25/Financials!I5</f>
        <v>0.55832863557415569</v>
      </c>
      <c r="M18" s="54">
        <f>Financials!J25/Financials!J5</f>
        <v>0.55970163597391176</v>
      </c>
      <c r="N18" s="54">
        <f>Financials!K25/Financials!K5</f>
        <v>0.56671189517118126</v>
      </c>
      <c r="O18" s="54">
        <f>Financials!L25/Financials!L5</f>
        <v>0.57064986832418085</v>
      </c>
      <c r="P18" s="54">
        <f>Financials!M25/Financials!M5</f>
        <v>0.584032991343163</v>
      </c>
      <c r="Q18" s="54">
        <f>Financials!N25/Financials!N5</f>
        <v>0.59993378960770638</v>
      </c>
      <c r="R18" s="54">
        <f>Financials!O25/Financials!O5</f>
        <v>0.61141453698729331</v>
      </c>
      <c r="S18" s="54">
        <f>Financials!P25/Financials!P5</f>
        <v>0.63345015386841541</v>
      </c>
      <c r="T18" s="54">
        <f>Financials!Q25/Financials!Q5</f>
        <v>0.63078975334290133</v>
      </c>
      <c r="U18" s="54">
        <f>Financials!R25/Financials!R5</f>
        <v>0.63767727869276558</v>
      </c>
      <c r="V18" s="54">
        <f>Financials!S25/Financials!S5</f>
        <v>0.76798942221153499</v>
      </c>
      <c r="W18" s="54">
        <f>Financials!T25/Financials!T5</f>
        <v>0.6267381596895748</v>
      </c>
      <c r="X18" s="54">
        <f>Financials!U25/Financials!U5</f>
        <v>0.75443133210158431</v>
      </c>
      <c r="Y18" s="54">
        <f>Financials!V25/Financials!V5</f>
        <v>0.73986541066234557</v>
      </c>
      <c r="Z18" s="54">
        <f>Financials!W25/Financials!W5</f>
        <v>0.74704826758539555</v>
      </c>
      <c r="AA18" s="54">
        <f>Financials!X25/Financials!X5</f>
        <v>0.75850464595590239</v>
      </c>
      <c r="AB18" s="54">
        <f>Financials!Y25/Financials!Y5</f>
        <v>0.760681998749417</v>
      </c>
      <c r="AC18" s="54">
        <f>Financials!Z25/Financials!Z5</f>
        <v>0.81021497069100434</v>
      </c>
      <c r="AD18" s="54">
        <f>Financials!AA25/Financials!AA5</f>
        <v>0.81407184471111438</v>
      </c>
      <c r="AE18" s="54">
        <f>Financials!AB25/Financials!AB5</f>
        <v>0.79762605400241271</v>
      </c>
      <c r="AF18" s="54">
        <f>Financials!AC25/Financials!AC5</f>
        <v>0.78707208598101108</v>
      </c>
      <c r="AG18" s="54">
        <f>Financials!AD25/Financials!AD5</f>
        <v>0.70685294028917878</v>
      </c>
      <c r="AH18" s="54">
        <f>Financials!AE25/Financials!AE5</f>
        <v>0.77914557243519145</v>
      </c>
      <c r="AI18" s="54">
        <f>Financials!AF25/Financials!AF5</f>
        <v>0.77873483783144792</v>
      </c>
      <c r="AJ18" s="54">
        <f>Financials!AG25/Financials!AG5</f>
        <v>0.75421222240585173</v>
      </c>
      <c r="AK18" s="54">
        <f>Financials!AH25/Financials!AH5</f>
        <v>0.79133086582510026</v>
      </c>
      <c r="AL18" s="54">
        <f>Financials!AI25/Financials!AI5</f>
        <v>0.75345025136799926</v>
      </c>
      <c r="AM18" s="54">
        <f>Financials!AJ25/Financials!AJ5</f>
        <v>0.8198886596633016</v>
      </c>
      <c r="AN18" s="54">
        <f>Financials!AK25/Financials!AK5</f>
        <v>0.82278213092193575</v>
      </c>
      <c r="AO18" s="54">
        <f>Financials!AL25/Financials!AL5</f>
        <v>0.79031736426619859</v>
      </c>
      <c r="AP18" s="54">
        <f>Financials!AM25/Financials!AM5</f>
        <v>0.78142130126297848</v>
      </c>
      <c r="AQ18" s="54">
        <f>Financials!AN25/Financials!AN5</f>
        <v>0.80046976344849252</v>
      </c>
      <c r="AR18" s="54">
        <f>Financials!AO25/Financials!AO5</f>
        <v>0.79261786636077991</v>
      </c>
      <c r="AS18" s="54">
        <f>Financials!AP25/Financials!AP5</f>
        <v>0.78797098843894131</v>
      </c>
      <c r="AT18" s="54">
        <f>Financials!AQ25/Financials!AQ5</f>
        <v>0.76973853320690289</v>
      </c>
      <c r="AU18" s="54">
        <f>Financials!AR25/Financials!AR5</f>
        <v>0.78486485541726203</v>
      </c>
      <c r="AV18" s="54">
        <f>Financials!AS25/Financials!AS5</f>
        <v>0.78454915639128375</v>
      </c>
    </row>
    <row r="19" spans="2:48" s="45" customFormat="1" ht="15.6" thickBot="1">
      <c r="B19" s="49">
        <v>3</v>
      </c>
      <c r="C19" s="50" t="s">
        <v>208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</row>
    <row r="20" spans="2:48" s="45" customFormat="1" ht="15.6" thickBot="1">
      <c r="B20" s="51">
        <v>3.1</v>
      </c>
      <c r="C20" s="55" t="s">
        <v>209</v>
      </c>
      <c r="D20" s="59" t="s">
        <v>207</v>
      </c>
      <c r="E20" s="59"/>
      <c r="F20" s="54">
        <f>Financials!C6/Financials!C5</f>
        <v>0.54304896491903965</v>
      </c>
      <c r="G20" s="54">
        <f>Financials!D6/Financials!D5</f>
        <v>0.54103083425654064</v>
      </c>
      <c r="H20" s="54">
        <f>Financials!E6/Financials!E5</f>
        <v>0.56582525347467549</v>
      </c>
      <c r="I20" s="54">
        <f>Financials!F6/Financials!F5</f>
        <v>0.54081951416096963</v>
      </c>
      <c r="J20" s="54">
        <f>Financials!G6/Financials!G5</f>
        <v>0.54070675881035479</v>
      </c>
      <c r="K20" s="54">
        <f>Financials!H6/Financials!H5</f>
        <v>0.55203095263326962</v>
      </c>
      <c r="L20" s="54">
        <f>Financials!I6/Financials!I5</f>
        <v>0.52887995167123292</v>
      </c>
      <c r="M20" s="54">
        <f>Financials!J6/Financials!J5</f>
        <v>0.55475215406434775</v>
      </c>
      <c r="N20" s="54">
        <f>Financials!K6/Financials!K5</f>
        <v>0.58156149856827899</v>
      </c>
      <c r="O20" s="54">
        <f>Financials!L6/Financials!L5</f>
        <v>0.59146040175123682</v>
      </c>
      <c r="P20" s="54">
        <f>Financials!M6/Financials!M5</f>
        <v>0.59299453004463587</v>
      </c>
      <c r="Q20" s="54">
        <f>Financials!N6/Financials!N5</f>
        <v>0.59251296048733504</v>
      </c>
      <c r="R20" s="54">
        <f>Financials!O6/Financials!O5</f>
        <v>0.57686255906368367</v>
      </c>
      <c r="S20" s="54">
        <f>Financials!P6/Financials!P5</f>
        <v>0.57707299343314533</v>
      </c>
      <c r="T20" s="54">
        <f>Financials!Q6/Financials!Q5</f>
        <v>0.58889500698965624</v>
      </c>
      <c r="U20" s="54">
        <f>Financials!R6/Financials!R5</f>
        <v>0.59641602986652054</v>
      </c>
      <c r="V20" s="54">
        <f>Financials!S6/Financials!S5</f>
        <v>0.71874645311949015</v>
      </c>
      <c r="W20" s="54">
        <f>Financials!T6/Financials!T5</f>
        <v>0.55757030513157801</v>
      </c>
      <c r="X20" s="54">
        <f>Financials!U6/Financials!U5</f>
        <v>0.67565912188455124</v>
      </c>
      <c r="Y20" s="54">
        <f>Financials!V6/Financials!V5</f>
        <v>0.72829842765675601</v>
      </c>
      <c r="Z20" s="54">
        <f>Financials!W6/Financials!W5</f>
        <v>0.69373994683765283</v>
      </c>
      <c r="AA20" s="54">
        <f>Financials!X6/Financials!X5</f>
        <v>0.712896114829636</v>
      </c>
      <c r="AB20" s="54">
        <f>Financials!Y6/Financials!Y5</f>
        <v>0.72181803582502524</v>
      </c>
      <c r="AC20" s="54">
        <f>Financials!Z6/Financials!Z5</f>
        <v>0.70470597614331043</v>
      </c>
      <c r="AD20" s="54">
        <f>Financials!AA6/Financials!AA5</f>
        <v>0.72278659611859641</v>
      </c>
      <c r="AE20" s="54">
        <f>Financials!AB6/Financials!AB5</f>
        <v>0.70800072234353839</v>
      </c>
      <c r="AF20" s="54">
        <f>Financials!AC6/Financials!AC5</f>
        <v>0.69888607813228165</v>
      </c>
      <c r="AG20" s="54">
        <f>Financials!AD6/Financials!AD5</f>
        <v>0.64310424597092297</v>
      </c>
      <c r="AH20" s="54">
        <f>Financials!AE6/Financials!AE5</f>
        <v>0.71676122754992688</v>
      </c>
      <c r="AI20" s="54">
        <f>Financials!AF6/Financials!AF5</f>
        <v>0.71642683270889962</v>
      </c>
      <c r="AJ20" s="54">
        <f>Financials!AG6/Financials!AG5</f>
        <v>0.70914920177361196</v>
      </c>
      <c r="AK20" s="54">
        <f>Financials!AH6/Financials!AH5</f>
        <v>0.77492849009481179</v>
      </c>
      <c r="AL20" s="54">
        <f>Financials!AI6/Financials!AI5</f>
        <v>0.77287006687527826</v>
      </c>
      <c r="AM20" s="54">
        <f>Financials!AJ6/Financials!AJ5</f>
        <v>0.76919482372597736</v>
      </c>
      <c r="AN20" s="54">
        <f>Financials!AK6/Financials!AK5</f>
        <v>0.7722571466591982</v>
      </c>
      <c r="AO20" s="54">
        <f>Financials!AL6/Financials!AL5</f>
        <v>0.75505899819352229</v>
      </c>
      <c r="AP20" s="54">
        <f>Financials!AM6/Financials!AM5</f>
        <v>0.74617394262998027</v>
      </c>
      <c r="AQ20" s="54">
        <f>Financials!AN6/Financials!AN5</f>
        <v>0.74991811499515093</v>
      </c>
      <c r="AR20" s="54">
        <f>Financials!AO6/Financials!AO5</f>
        <v>0.74199333853451044</v>
      </c>
      <c r="AS20" s="54">
        <f>Financials!AP6/Financials!AP5</f>
        <v>0.74029107240584768</v>
      </c>
      <c r="AT20" s="54">
        <f>Financials!AQ6/Financials!AQ5</f>
        <v>0.73310795736787415</v>
      </c>
      <c r="AU20" s="54">
        <f>Financials!AR6/Financials!AR5</f>
        <v>0.73448375063460669</v>
      </c>
      <c r="AV20" s="54">
        <f>Financials!AS6/Financials!AS5</f>
        <v>0.73400266510643308</v>
      </c>
    </row>
    <row r="21" spans="2:48" s="45" customFormat="1" ht="15.6" thickBot="1">
      <c r="B21" s="58" t="s">
        <v>210</v>
      </c>
      <c r="C21" s="60" t="s">
        <v>211</v>
      </c>
      <c r="D21" s="61" t="s">
        <v>207</v>
      </c>
      <c r="E21" s="61"/>
      <c r="F21" s="62">
        <f>Financials!C7/Financials!C5</f>
        <v>0.49187031772941964</v>
      </c>
      <c r="G21" s="62">
        <f>Financials!D7/Financials!D5</f>
        <v>0.49798989169764318</v>
      </c>
      <c r="H21" s="62">
        <f>Financials!E7/Financials!E5</f>
        <v>0.50885639588416609</v>
      </c>
      <c r="I21" s="62">
        <f>Financials!F7/Financials!F5</f>
        <v>0.47377386580685366</v>
      </c>
      <c r="J21" s="62">
        <f>Financials!G7/Financials!G5</f>
        <v>0.48706719062073162</v>
      </c>
      <c r="K21" s="62">
        <f>Financials!H7/Financials!H5</f>
        <v>0.50295516029385889</v>
      </c>
      <c r="L21" s="62">
        <f>Financials!I7/Financials!I5</f>
        <v>0.48326641312412066</v>
      </c>
      <c r="M21" s="62">
        <f>Financials!J7/Financials!J5</f>
        <v>0.50683975491010613</v>
      </c>
      <c r="N21" s="62">
        <f>Financials!K7/Financials!K5</f>
        <v>0.51493764307256251</v>
      </c>
      <c r="O21" s="62">
        <f>Financials!L7/Financials!L5</f>
        <v>0.52638642901005361</v>
      </c>
      <c r="P21" s="62">
        <f>Financials!M7/Financials!M5</f>
        <v>0.52824729906241186</v>
      </c>
      <c r="Q21" s="62">
        <f>Financials!N7/Financials!N5</f>
        <v>0.53135017776628513</v>
      </c>
      <c r="R21" s="62">
        <f>Financials!O7/Financials!O5</f>
        <v>0.51327675696739816</v>
      </c>
      <c r="S21" s="62">
        <f>Financials!P7/Financials!P5</f>
        <v>0.5183517451926335</v>
      </c>
      <c r="T21" s="62">
        <f>Financials!Q7/Financials!Q5</f>
        <v>0.51099001840639913</v>
      </c>
      <c r="U21" s="62">
        <f>Financials!R7/Financials!R5</f>
        <v>0.5254624871491238</v>
      </c>
      <c r="V21" s="62">
        <f>Financials!S7/Financials!S5</f>
        <v>0.63323968500696226</v>
      </c>
      <c r="W21" s="62">
        <f>Financials!T7/Financials!T5</f>
        <v>0.49426073818459554</v>
      </c>
      <c r="X21" s="62">
        <f>Financials!U7/Financials!U5</f>
        <v>0.59980204905600754</v>
      </c>
      <c r="Y21" s="62">
        <f>Financials!V7/Financials!V5</f>
        <v>0.60929630350217279</v>
      </c>
      <c r="Z21" s="62">
        <f>Financials!W7/Financials!W5</f>
        <v>0.62089319960772038</v>
      </c>
      <c r="AA21" s="62">
        <f>Financials!X7/Financials!X5</f>
        <v>0.6388878205324936</v>
      </c>
      <c r="AB21" s="62">
        <f>Financials!Y7/Financials!Y5</f>
        <v>0.65078244982968647</v>
      </c>
      <c r="AC21" s="62">
        <f>Financials!Z7/Financials!Z5</f>
        <v>0.62490116085976954</v>
      </c>
      <c r="AD21" s="62">
        <f>Financials!AA7/Financials!AA5</f>
        <v>0.6387587043627917</v>
      </c>
      <c r="AE21" s="62">
        <f>Financials!AB7/Financials!AB5</f>
        <v>0.64354307975035585</v>
      </c>
      <c r="AF21" s="62">
        <f>Financials!AC7/Financials!AC5</f>
        <v>0.63776187822610919</v>
      </c>
      <c r="AG21" s="62">
        <f>Financials!AD7/Financials!AD5</f>
        <v>0.58722224217419239</v>
      </c>
      <c r="AH21" s="62">
        <f>Financials!AE7/Financials!AE5</f>
        <v>0.65200841986795788</v>
      </c>
      <c r="AI21" s="62">
        <f>Financials!AF7/Financials!AF5</f>
        <v>0.65167565601203059</v>
      </c>
      <c r="AJ21" s="62">
        <f>Financials!AG7/Financials!AG5</f>
        <v>0.64315578150172537</v>
      </c>
      <c r="AK21" s="62">
        <f>Financials!AH7/Financials!AH5</f>
        <v>0.69583604860533232</v>
      </c>
      <c r="AL21" s="62">
        <f>Financials!AI7/Financials!AI5</f>
        <v>0.68209651279412542</v>
      </c>
      <c r="AM21" s="62">
        <f>Financials!AJ7/Financials!AJ5</f>
        <v>0.6812648271951901</v>
      </c>
      <c r="AN21" s="62">
        <f>Financials!AK7/Financials!AK5</f>
        <v>0.69184972209900319</v>
      </c>
      <c r="AO21" s="62">
        <f>Financials!AL7/Financials!AL5</f>
        <v>0.67771088968018367</v>
      </c>
      <c r="AP21" s="62">
        <f>Financials!AM7/Financials!AM5</f>
        <v>0.68090782644663583</v>
      </c>
      <c r="AQ21" s="62">
        <f>Financials!AN7/Financials!AN5</f>
        <v>0.67869413542582502</v>
      </c>
      <c r="AR21" s="62">
        <f>Financials!AO7/Financials!AO5</f>
        <v>0.67207720628545919</v>
      </c>
      <c r="AS21" s="62">
        <f>Financials!AP7/Financials!AP5</f>
        <v>0.6690844865893304</v>
      </c>
      <c r="AT21" s="62">
        <f>Financials!AQ7/Financials!AQ5</f>
        <v>0.6636692354056889</v>
      </c>
      <c r="AU21" s="62">
        <f>Financials!AR7/Financials!AR5</f>
        <v>0.67003358930529033</v>
      </c>
      <c r="AV21" s="62">
        <f>Financials!AS7/Financials!AS5</f>
        <v>0.66976193929088446</v>
      </c>
    </row>
    <row r="22" spans="2:48" s="45" customFormat="1" ht="15.6" thickBot="1">
      <c r="B22" s="58" t="s">
        <v>212</v>
      </c>
      <c r="C22" s="60" t="s">
        <v>213</v>
      </c>
      <c r="D22" s="61" t="s">
        <v>207</v>
      </c>
      <c r="E22" s="61"/>
      <c r="F22" s="62">
        <f>Financials!C8/Financials!C5</f>
        <v>5.117864718962007E-2</v>
      </c>
      <c r="G22" s="62">
        <f>Financials!D8/Financials!D5</f>
        <v>4.3040942558897476E-2</v>
      </c>
      <c r="H22" s="62">
        <f>Financials!E8/Financials!E5</f>
        <v>5.6968857590509299E-2</v>
      </c>
      <c r="I22" s="62">
        <f>Financials!F8/Financials!F5</f>
        <v>6.7045648354115972E-2</v>
      </c>
      <c r="J22" s="62">
        <f>Financials!G8/Financials!G5</f>
        <v>5.3639568189623218E-2</v>
      </c>
      <c r="K22" s="62">
        <f>Financials!H8/Financials!H5</f>
        <v>4.9075792339410694E-2</v>
      </c>
      <c r="L22" s="62">
        <f>Financials!I8/Financials!I5</f>
        <v>4.5613538547112316E-2</v>
      </c>
      <c r="M22" s="62">
        <f>Financials!J8/Financials!J5</f>
        <v>4.7912399154241531E-2</v>
      </c>
      <c r="N22" s="62">
        <f>Financials!K8/Financials!K5</f>
        <v>6.6623855495716436E-2</v>
      </c>
      <c r="O22" s="62">
        <f>Financials!L8/Financials!L5</f>
        <v>6.5073972741183178E-2</v>
      </c>
      <c r="P22" s="62">
        <f>Financials!M8/Financials!M5</f>
        <v>6.4747230982224097E-2</v>
      </c>
      <c r="Q22" s="62">
        <f>Financials!N8/Financials!N5</f>
        <v>6.1162782721049899E-2</v>
      </c>
      <c r="R22" s="62">
        <f>Financials!O8/Financials!O5</f>
        <v>6.3585802096285463E-2</v>
      </c>
      <c r="S22" s="62">
        <f>Financials!P8/Financials!P5</f>
        <v>5.8721248240511899E-2</v>
      </c>
      <c r="T22" s="62">
        <f>Financials!Q8/Financials!Q5</f>
        <v>7.7904988583257118E-2</v>
      </c>
      <c r="U22" s="62">
        <f>Financials!R8/Financials!R5</f>
        <v>7.0953542717396692E-2</v>
      </c>
      <c r="V22" s="62">
        <f>Financials!S8/Financials!S5</f>
        <v>8.5506768112527928E-2</v>
      </c>
      <c r="W22" s="62">
        <f>Financials!T8/Financials!T5</f>
        <v>6.3309566946982435E-2</v>
      </c>
      <c r="X22" s="62">
        <f>Financials!U8/Financials!U5</f>
        <v>7.5857072828543717E-2</v>
      </c>
      <c r="Y22" s="62">
        <f>Financials!V8/Financials!V5</f>
        <v>0.11900212415458315</v>
      </c>
      <c r="Z22" s="62">
        <f>Financials!W8/Financials!W5</f>
        <v>7.2846747229932424E-2</v>
      </c>
      <c r="AA22" s="62">
        <f>Financials!X8/Financials!X5</f>
        <v>7.400829429714248E-2</v>
      </c>
      <c r="AB22" s="62">
        <f>Financials!Y8/Financials!Y5</f>
        <v>7.1035585995338754E-2</v>
      </c>
      <c r="AC22" s="62">
        <f>Financials!Z8/Financials!Z5</f>
        <v>7.9804815283540873E-2</v>
      </c>
      <c r="AD22" s="62">
        <f>Financials!AA8/Financials!AA5</f>
        <v>8.4027891755804815E-2</v>
      </c>
      <c r="AE22" s="62">
        <f>Financials!AB8/Financials!AB5</f>
        <v>6.445764259318254E-2</v>
      </c>
      <c r="AF22" s="62">
        <f>Financials!AC8/Financials!AC5</f>
        <v>6.1124199906172502E-2</v>
      </c>
      <c r="AG22" s="62">
        <f>Financials!AD8/Financials!AD5</f>
        <v>5.5882003796730549E-2</v>
      </c>
      <c r="AH22" s="62">
        <f>Financials!AE8/Financials!AE5</f>
        <v>6.4752807681969005E-2</v>
      </c>
      <c r="AI22" s="62">
        <f>Financials!AF8/Financials!AF5</f>
        <v>6.4751176696868973E-2</v>
      </c>
      <c r="AJ22" s="62">
        <f>Financials!AG8/Financials!AG5</f>
        <v>6.5993420271886594E-2</v>
      </c>
      <c r="AK22" s="62">
        <f>Financials!AH8/Financials!AH5</f>
        <v>7.9092441489479429E-2</v>
      </c>
      <c r="AL22" s="62">
        <f>Financials!AI8/Financials!AI5</f>
        <v>9.0773554081152757E-2</v>
      </c>
      <c r="AM22" s="62">
        <f>Financials!AJ8/Financials!AJ5</f>
        <v>8.7929996530787188E-2</v>
      </c>
      <c r="AN22" s="62">
        <f>Financials!AK8/Financials!AK5</f>
        <v>8.0407424560194937E-2</v>
      </c>
      <c r="AO22" s="62">
        <f>Financials!AL8/Financials!AL5</f>
        <v>7.7348108513338551E-2</v>
      </c>
      <c r="AP22" s="62">
        <f>Financials!AM8/Financials!AM5</f>
        <v>6.526611618334445E-2</v>
      </c>
      <c r="AQ22" s="62">
        <f>Financials!AN8/Financials!AN5</f>
        <v>7.1223979569325982E-2</v>
      </c>
      <c r="AR22" s="62">
        <f>Financials!AO8/Financials!AO5</f>
        <v>6.991613224905123E-2</v>
      </c>
      <c r="AS22" s="62">
        <f>Financials!AP8/Financials!AP5</f>
        <v>7.1206585816517357E-2</v>
      </c>
      <c r="AT22" s="62">
        <f>Financials!AQ8/Financials!AQ5</f>
        <v>6.9438721962185285E-2</v>
      </c>
      <c r="AU22" s="62">
        <f>Financials!AR8/Financials!AR5</f>
        <v>6.4450161329316344E-2</v>
      </c>
      <c r="AV22" s="62">
        <f>Financials!AS8/Financials!AS5</f>
        <v>6.4240725815548641E-2</v>
      </c>
    </row>
    <row r="23" spans="2:48" s="45" customFormat="1" ht="15.6" thickBot="1">
      <c r="B23" s="51">
        <v>3.2</v>
      </c>
      <c r="C23" s="55" t="s">
        <v>214</v>
      </c>
      <c r="D23" s="52" t="s">
        <v>215</v>
      </c>
      <c r="E23" s="52">
        <v>35.1</v>
      </c>
      <c r="F23" s="54">
        <f>Financials!C9/Financials!C5</f>
        <v>3.6811853669305658E-2</v>
      </c>
      <c r="G23" s="54">
        <f>Financials!D9/Financials!D5</f>
        <v>0</v>
      </c>
      <c r="H23" s="54">
        <f>Financials!E9/Financials!E5</f>
        <v>0</v>
      </c>
      <c r="I23" s="54">
        <f>Financials!F9/Financials!F5</f>
        <v>4.8704682530276933E-2</v>
      </c>
      <c r="J23" s="54">
        <f>Financials!G9/Financials!G5</f>
        <v>3.2834953810922558E-2</v>
      </c>
      <c r="K23" s="54">
        <f>Financials!H9/Financials!H5</f>
        <v>1.6292486919919077E-2</v>
      </c>
      <c r="L23" s="54">
        <f>Financials!I9/Financials!I5</f>
        <v>4.850462864301236E-2</v>
      </c>
      <c r="M23" s="54">
        <f>Financials!J9/Financials!J5</f>
        <v>3.3084802145468037E-2</v>
      </c>
      <c r="N23" s="54">
        <f>Financials!K9/Financials!K5</f>
        <v>1.5662597518246908E-2</v>
      </c>
      <c r="O23" s="54">
        <f>Financials!L9/Financials!L5</f>
        <v>0</v>
      </c>
      <c r="P23" s="54">
        <f>Financials!M9/Financials!M5</f>
        <v>0</v>
      </c>
      <c r="Q23" s="54">
        <f>Financials!N9/Financials!N5</f>
        <v>0</v>
      </c>
      <c r="R23" s="54">
        <f>Financials!O9/Financials!O5</f>
        <v>3.1582320007805684E-2</v>
      </c>
      <c r="S23" s="54">
        <f>Financials!P9/Financials!P5</f>
        <v>2.0740630439162452E-2</v>
      </c>
      <c r="T23" s="54">
        <f>Financials!Q9/Financials!Q5</f>
        <v>9.7218469292359184E-3</v>
      </c>
      <c r="U23" s="54">
        <f>Financials!R9/Financials!R5</f>
        <v>0</v>
      </c>
      <c r="V23" s="54">
        <f>Financials!S9/Financials!S5</f>
        <v>0</v>
      </c>
      <c r="W23" s="54">
        <f>Financials!T9/Financials!T5</f>
        <v>4.340276059280887E-2</v>
      </c>
      <c r="X23" s="54">
        <f>Financials!U9/Financials!U5</f>
        <v>3.4273031824935206E-2</v>
      </c>
      <c r="Y23" s="54">
        <f>Financials!V9/Financials!V5</f>
        <v>5.2527393939410583E-2</v>
      </c>
      <c r="Z23" s="54">
        <f>Financials!W9/Financials!W5</f>
        <v>5.3039177859625516E-2</v>
      </c>
      <c r="AA23" s="54">
        <f>Financials!X9/Financials!X5</f>
        <v>3.5341757065887221E-2</v>
      </c>
      <c r="AB23" s="54">
        <f>Financials!Y9/Financials!Y5</f>
        <v>1.8599346106543912E-2</v>
      </c>
      <c r="AC23" s="54">
        <f>Financials!Z9/Financials!Z5</f>
        <v>5.2771905406142842E-2</v>
      </c>
      <c r="AD23" s="54">
        <f>Financials!AA9/Financials!AA5</f>
        <v>3.5480417677083535E-2</v>
      </c>
      <c r="AE23" s="54">
        <f>Financials!AB9/Financials!AB5</f>
        <v>3.5959986827308436E-2</v>
      </c>
      <c r="AF23" s="54">
        <f>Financials!AC9/Financials!AC5</f>
        <v>3.5432629317339794E-2</v>
      </c>
      <c r="AG23" s="54">
        <f>Financials!AD9/Financials!AD5</f>
        <v>2.1385163303319653E-2</v>
      </c>
      <c r="AH23" s="54">
        <f>Financials!AE9/Financials!AE5</f>
        <v>1.1112908650379623E-2</v>
      </c>
      <c r="AI23" s="54">
        <f>Financials!AF9/Financials!AF5</f>
        <v>1.1107489028395257E-2</v>
      </c>
      <c r="AJ23" s="54">
        <f>Financials!AG9/Financials!AG5</f>
        <v>0</v>
      </c>
      <c r="AK23" s="54">
        <f>Financials!AH9/Financials!AH5</f>
        <v>0</v>
      </c>
      <c r="AL23" s="54">
        <f>Financials!AI9/Financials!AI5</f>
        <v>0</v>
      </c>
      <c r="AM23" s="54">
        <f>Financials!AJ9/Financials!AJ5</f>
        <v>0</v>
      </c>
      <c r="AN23" s="54">
        <f>Financials!AK9/Financials!AK5</f>
        <v>0</v>
      </c>
      <c r="AO23" s="54">
        <f>Financials!AL9/Financials!AL5</f>
        <v>0</v>
      </c>
      <c r="AP23" s="54">
        <f>Financials!AM9/Financials!AM5</f>
        <v>0</v>
      </c>
      <c r="AQ23" s="54">
        <f>Financials!AN9/Financials!AN5</f>
        <v>0</v>
      </c>
      <c r="AR23" s="54">
        <f>Financials!AO9/Financials!AO5</f>
        <v>0</v>
      </c>
      <c r="AS23" s="54">
        <f>Financials!AP9/Financials!AP5</f>
        <v>0</v>
      </c>
      <c r="AT23" s="54">
        <f>Financials!AQ9/Financials!AQ5</f>
        <v>0</v>
      </c>
      <c r="AU23" s="54">
        <f>Financials!AR9/Financials!AR5</f>
        <v>0</v>
      </c>
      <c r="AV23" s="54">
        <f>Financials!AS9/Financials!AS5</f>
        <v>0</v>
      </c>
    </row>
    <row r="24" spans="2:48" s="45" customFormat="1" ht="15.6" hidden="1" thickBot="1">
      <c r="B24" s="49">
        <v>4</v>
      </c>
      <c r="C24" s="50" t="s">
        <v>216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</row>
    <row r="25" spans="2:48" ht="15.6" hidden="1" thickBot="1">
      <c r="B25" s="51">
        <v>4.0999999999999996</v>
      </c>
      <c r="C25" s="55" t="s">
        <v>32</v>
      </c>
      <c r="D25" s="59" t="s">
        <v>207</v>
      </c>
      <c r="E25" s="59"/>
      <c r="F25" s="63"/>
      <c r="G25" s="63">
        <f>Financials!D5/Financials!C5-1</f>
        <v>4.5367649064605553E-2</v>
      </c>
      <c r="H25" s="63">
        <f>Financials!E5/Financials!D5-1</f>
        <v>8.5773493538809253E-2</v>
      </c>
      <c r="I25" s="63">
        <f>Financials!F5/Financials!E5-1</f>
        <v>0.14154197434765847</v>
      </c>
      <c r="J25" s="63">
        <f>Financials!G5/Financials!F5-1</f>
        <v>-2.1158979141899126E-2</v>
      </c>
      <c r="K25" s="63">
        <f>Financials!H5/Financials!G5-1</f>
        <v>-2.514159525487758E-2</v>
      </c>
      <c r="L25" s="63">
        <f>Financials!I5/Financials!H5-1</f>
        <v>5.2286094243565451E-2</v>
      </c>
      <c r="M25" s="63">
        <f>Financials!J5/Financials!I5-1</f>
        <v>-3.7409002600911734E-2</v>
      </c>
      <c r="N25" s="63">
        <f>Financials!K5/Financials!J5-1</f>
        <v>-3.3990913127878164E-3</v>
      </c>
      <c r="O25" s="63">
        <f>Financials!L5/Financials!K5-1</f>
        <v>-5.7301452468723202E-3</v>
      </c>
      <c r="P25" s="63">
        <f>Financials!M5/Financials!L5-1</f>
        <v>1.2915585823921827E-2</v>
      </c>
      <c r="Q25" s="63">
        <f>Financials!N5/Financials!M5-1</f>
        <v>1.0036602415099516E-2</v>
      </c>
      <c r="R25" s="63">
        <f>Financials!O5/Financials!N5-1</f>
        <v>4.9228750451017156E-2</v>
      </c>
      <c r="S25" s="63">
        <f>Financials!P5/Financials!O5-1</f>
        <v>3.2198169721051606E-3</v>
      </c>
      <c r="T25" s="63">
        <f>Financials!Q5/Financials!P5-1</f>
        <v>2.9887862506771556E-2</v>
      </c>
      <c r="U25" s="63">
        <f>Financials!R5/Financials!Q5-1</f>
        <v>-1.1107642940972884E-2</v>
      </c>
      <c r="V25" s="63">
        <f>Financials!S5/Financials!R5-1</f>
        <v>-0.17019968964303522</v>
      </c>
      <c r="W25" s="63">
        <f>Financials!T5/Financials!S5-1</f>
        <v>0.28738747618862259</v>
      </c>
      <c r="X25" s="63">
        <f>Financials!U5/Financials!T5-1</f>
        <v>-0.1706294574695939</v>
      </c>
      <c r="Y25" s="63">
        <f>Financials!V5/Financials!U5-1</f>
        <v>-3.716603488583381E-3</v>
      </c>
      <c r="Z25" s="63">
        <f>Financials!W5/Financials!V5-1</f>
        <v>-9.6491676694052675E-3</v>
      </c>
      <c r="AA25" s="63">
        <f>Financials!X5/Financials!W5-1</f>
        <v>-2.0879896418368071E-2</v>
      </c>
      <c r="AB25" s="63">
        <f>Financials!Y5/Financials!X5-1</f>
        <v>-1.8799625504632655E-2</v>
      </c>
      <c r="AC25" s="63">
        <f>Financials!Z5/Financials!Y5-1</f>
        <v>4.6165358741119045E-2</v>
      </c>
      <c r="AD25" s="63">
        <f>Financials!AA5/Financials!Z5-1</f>
        <v>-1.9026125556068529E-2</v>
      </c>
      <c r="AE25" s="63">
        <f>Financials!AB5/Financials!AA5-1</f>
        <v>-2.6799480607136994E-3</v>
      </c>
      <c r="AF25" s="63">
        <f>Financials!AC5/Financials!AB5-1</f>
        <v>1.4883386306038693E-2</v>
      </c>
      <c r="AG25" s="63">
        <f>Financials!AD5/Financials!AC5-1</f>
        <v>8.2751620097692324E-2</v>
      </c>
      <c r="AH25" s="63">
        <f>Financials!AE5/Financials!AD5-1</f>
        <v>-7.8202490985822326E-2</v>
      </c>
      <c r="AI25" s="63">
        <f>Financials!AF5/Financials!AE5-1</f>
        <v>4.8792503602856918E-4</v>
      </c>
      <c r="AJ25" s="63">
        <f>Financials!AG5/Financials!AF5-1</f>
        <v>1.5294808219709299E-2</v>
      </c>
      <c r="AK25" s="63">
        <f>Financials!AH5/Financials!AG5-1</f>
        <v>-6.7881397040809421E-2</v>
      </c>
      <c r="AL25" s="63">
        <f>Financials!AI5/Financials!AH5-1</f>
        <v>3.1397212868462532E-2</v>
      </c>
      <c r="AM25" s="63">
        <f>Financials!AJ5/Financials!AI5-1</f>
        <v>1.3221308006820198E-2</v>
      </c>
      <c r="AN25" s="63">
        <f>Financials!AK5/Financials!AJ5-1</f>
        <v>-1.0479780813969164E-2</v>
      </c>
      <c r="AO25" s="63">
        <f>Financials!AL5/Financials!AK5-1</f>
        <v>2.2315272101735673E-2</v>
      </c>
      <c r="AP25" s="63">
        <f>Financials!AM5/Financials!AL5-1</f>
        <v>1.7816391864540204E-3</v>
      </c>
      <c r="AQ25" s="63">
        <f>Financials!AN5/Financials!AM5-1</f>
        <v>8.9152255611424369E-3</v>
      </c>
      <c r="AR25" s="63">
        <f>Financials!AO5/Financials!AN5-1</f>
        <v>1.4642985871608616E-2</v>
      </c>
      <c r="AS25" s="63">
        <f>Financials!AP5/Financials!AO5-1</f>
        <v>2.1060156693358589E-2</v>
      </c>
      <c r="AT25" s="63">
        <f>Financials!AQ5/Financials!AP5-1</f>
        <v>-1.3767979902516991E-3</v>
      </c>
      <c r="AU25" s="63">
        <f>Financials!AR5/Financials!AQ5-1</f>
        <v>-8.2234358114929851E-4</v>
      </c>
      <c r="AV25" s="63">
        <f>Financials!AS5/Financials!AR5-1</f>
        <v>4.0559189537336948E-4</v>
      </c>
    </row>
    <row r="26" spans="2:48" ht="15.6" hidden="1" thickBot="1">
      <c r="B26" s="51">
        <v>4.2</v>
      </c>
      <c r="C26" s="55" t="s">
        <v>106</v>
      </c>
      <c r="D26" s="59" t="s">
        <v>207</v>
      </c>
      <c r="E26" s="59"/>
      <c r="F26" s="63"/>
      <c r="G26" s="63">
        <f>Financials!D6/Financials!C6-1</f>
        <v>4.1482753516602244E-2</v>
      </c>
      <c r="H26" s="63">
        <f>Financials!E6/Financials!D6-1</f>
        <v>0.13553243789127611</v>
      </c>
      <c r="I26" s="63">
        <f>Financials!F6/Financials!E6-1</f>
        <v>9.1093358187637197E-2</v>
      </c>
      <c r="J26" s="63">
        <f>Financials!G6/Financials!F6-1</f>
        <v>-2.136305750744083E-2</v>
      </c>
      <c r="K26" s="63">
        <f>Financials!H6/Financials!G6-1</f>
        <v>-4.7248252675373692E-3</v>
      </c>
      <c r="L26" s="63">
        <f>Financials!I6/Financials!H6-1</f>
        <v>8.1554594232484678E-3</v>
      </c>
      <c r="M26" s="63">
        <f>Financials!J6/Financials!I6-1</f>
        <v>9.679848144522829E-3</v>
      </c>
      <c r="N26" s="63">
        <f>Financials!K6/Financials!J6-1</f>
        <v>4.4763348252660595E-2</v>
      </c>
      <c r="O26" s="63">
        <f>Financials!L6/Financials!K6-1</f>
        <v>1.1193569707031559E-2</v>
      </c>
      <c r="P26" s="63">
        <f>Financials!M6/Financials!L6-1</f>
        <v>1.5542883364782378E-2</v>
      </c>
      <c r="Q26" s="63">
        <f>Financials!N6/Financials!M6-1</f>
        <v>9.2163539054781474E-3</v>
      </c>
      <c r="R26" s="63">
        <f>Financials!O6/Financials!N6-1</f>
        <v>2.1514839996993329E-2</v>
      </c>
      <c r="S26" s="63">
        <f>Financials!P6/Financials!O6-1</f>
        <v>3.585782705708418E-3</v>
      </c>
      <c r="T26" s="63">
        <f>Financials!Q6/Financials!P6-1</f>
        <v>5.0986316967110978E-2</v>
      </c>
      <c r="U26" s="63">
        <f>Financials!R6/Financials!Q6-1</f>
        <v>1.5219123310552529E-3</v>
      </c>
      <c r="V26" s="63">
        <f>Financials!S6/Financials!R6-1</f>
        <v>0</v>
      </c>
      <c r="W26" s="63">
        <f>Financials!T6/Financials!S6-1</f>
        <v>-1.3042501905354831E-3</v>
      </c>
      <c r="X26" s="63">
        <f>Financials!U6/Financials!T6-1</f>
        <v>5.0244199263247413E-3</v>
      </c>
      <c r="Y26" s="63">
        <f>Financials!V6/Financials!U6-1</f>
        <v>7.3901924325352031E-2</v>
      </c>
      <c r="Z26" s="63">
        <f>Financials!W6/Financials!V6-1</f>
        <v>-5.6642294310356722E-2</v>
      </c>
      <c r="AA26" s="63">
        <f>Financials!X6/Financials!W6-1</f>
        <v>6.1564437463232924E-3</v>
      </c>
      <c r="AB26" s="63">
        <f>Financials!Y6/Financials!X6-1</f>
        <v>-6.5198668696933026E-3</v>
      </c>
      <c r="AC26" s="63">
        <f>Financials!Z6/Financials!Y6-1</f>
        <v>2.1364033244646974E-2</v>
      </c>
      <c r="AD26" s="63">
        <f>Financials!AA6/Financials!Z6-1</f>
        <v>6.1426915534059656E-3</v>
      </c>
      <c r="AE26" s="63">
        <f>Financials!AB6/Financials!AA6-1</f>
        <v>-2.308188755502194E-2</v>
      </c>
      <c r="AF26" s="63">
        <f>Financials!AC6/Financials!AB6-1</f>
        <v>1.8180027687511036E-3</v>
      </c>
      <c r="AG26" s="63">
        <f>Financials!AD6/Financials!AC6-1</f>
        <v>-3.6685720259471699E-3</v>
      </c>
      <c r="AH26" s="63">
        <f>Financials!AE6/Financials!AD6-1</f>
        <v>2.7374206052652506E-2</v>
      </c>
      <c r="AI26" s="63">
        <f>Financials!AF6/Financials!AE6-1</f>
        <v>2.1161506162936661E-5</v>
      </c>
      <c r="AJ26" s="63">
        <f>Financials!AG6/Financials!AF6-1</f>
        <v>4.9812066523333698E-3</v>
      </c>
      <c r="AK26" s="63">
        <f>Financials!AH6/Financials!AG6-1</f>
        <v>1.8580095378920358E-2</v>
      </c>
      <c r="AL26" s="63">
        <f>Financials!AI6/Financials!AH6-1</f>
        <v>2.8657538177613517E-2</v>
      </c>
      <c r="AM26" s="63">
        <f>Financials!AJ6/Financials!AI6-1</f>
        <v>8.4031182093640133E-3</v>
      </c>
      <c r="AN26" s="63">
        <f>Financials!AK6/Financials!AJ6-1</f>
        <v>-6.5402971270916987E-3</v>
      </c>
      <c r="AO26" s="63">
        <f>Financials!AL6/Financials!AK6-1</f>
        <v>-4.5166492745629672E-4</v>
      </c>
      <c r="AP26" s="63">
        <f>Financials!AM6/Financials!AL6-1</f>
        <v>-1.0006691987670457E-2</v>
      </c>
      <c r="AQ26" s="63">
        <f>Financials!AN6/Financials!AM6-1</f>
        <v>1.3977788444310857E-2</v>
      </c>
      <c r="AR26" s="63">
        <f>Financials!AO6/Financials!AN6-1</f>
        <v>3.9207234144051917E-3</v>
      </c>
      <c r="AS26" s="63">
        <f>Financials!AP6/Financials!AO6-1</f>
        <v>1.8717661107752637E-2</v>
      </c>
      <c r="AT26" s="63">
        <f>Financials!AQ6/Financials!AP6-1</f>
        <v>-1.1066534375040904E-2</v>
      </c>
      <c r="AU26" s="63">
        <f>Financials!AR6/Financials!AQ6-1</f>
        <v>1.0527716432251477E-3</v>
      </c>
      <c r="AV26" s="63">
        <f>Financials!AS6/Financials!AR6-1</f>
        <v>-2.4967195784186824E-4</v>
      </c>
    </row>
    <row r="27" spans="2:48" ht="15.6" hidden="1" thickBot="1">
      <c r="B27" s="51" t="s">
        <v>217</v>
      </c>
      <c r="C27" s="64" t="s">
        <v>163</v>
      </c>
      <c r="D27" s="59" t="s">
        <v>207</v>
      </c>
      <c r="E27" s="59"/>
      <c r="F27" s="63"/>
      <c r="G27" s="63">
        <f>Financials!D8/Financials!C8-1</f>
        <v>-0.12085192932874389</v>
      </c>
      <c r="H27" s="63">
        <f>Financials!E8/Financials!D8-1</f>
        <v>0.43712641618661285</v>
      </c>
      <c r="I27" s="63">
        <f>Financials!F8/Financials!E8-1</f>
        <v>0.34346070872108836</v>
      </c>
      <c r="J27" s="63">
        <f>Financials!G8/Financials!F8-1</f>
        <v>-0.21688266167844106</v>
      </c>
      <c r="K27" s="63">
        <f>Financials!H8/Financials!G8-1</f>
        <v>-0.1080847544769008</v>
      </c>
      <c r="L27" s="63">
        <f>Financials!I8/Financials!H8-1</f>
        <v>-2.1951760036616363E-2</v>
      </c>
      <c r="M27" s="63">
        <f>Financials!J8/Financials!I8-1</f>
        <v>1.1104280849185244E-2</v>
      </c>
      <c r="N27" s="63">
        <f>Financials!K8/Financials!J8-1</f>
        <v>0.38580818534107109</v>
      </c>
      <c r="O27" s="63">
        <f>Financials!L8/Financials!K8-1</f>
        <v>-2.8860024023300013E-2</v>
      </c>
      <c r="P27" s="63">
        <f>Financials!M8/Financials!L8-1</f>
        <v>7.8296535187662997E-3</v>
      </c>
      <c r="Q27" s="63">
        <f>Financials!N8/Financials!M8-1</f>
        <v>-4.5879672124008675E-2</v>
      </c>
      <c r="R27" s="63">
        <f>Financials!O8/Financials!N8-1</f>
        <v>9.0794903563963247E-2</v>
      </c>
      <c r="S27" s="63">
        <f>Financials!P8/Financials!O8-1</f>
        <v>-7.3530285534271655E-2</v>
      </c>
      <c r="T27" s="63">
        <f>Financials!Q8/Financials!P8-1</f>
        <v>0.36634360771765628</v>
      </c>
      <c r="U27" s="63">
        <f>Financials!R8/Financials!Q8-1</f>
        <v>-9.9346301495071176E-2</v>
      </c>
      <c r="V27" s="63">
        <f>Financials!S8/Financials!R8-1</f>
        <v>0</v>
      </c>
      <c r="W27" s="63">
        <f>Financials!T8/Financials!S8-1</f>
        <v>-4.6812955166189885E-2</v>
      </c>
      <c r="X27" s="63">
        <f>Financials!U8/Financials!T8-1</f>
        <v>-6.2541148123188561E-3</v>
      </c>
      <c r="Y27" s="63">
        <f>Financials!V8/Financials!U8-1</f>
        <v>0.56293719259081887</v>
      </c>
      <c r="Z27" s="63">
        <f>Financials!W8/Financials!V8-1</f>
        <v>-0.39376009239948062</v>
      </c>
      <c r="AA27" s="63">
        <f>Financials!X8/Financials!W8-1</f>
        <v>-5.2677499875617428E-3</v>
      </c>
      <c r="AB27" s="63">
        <f>Financials!Y8/Financials!X8-1</f>
        <v>-5.8211728251985395E-2</v>
      </c>
      <c r="AC27" s="63">
        <f>Financials!Z8/Financials!Y8-1</f>
        <v>0.17531279626316731</v>
      </c>
      <c r="AD27" s="63">
        <f>Financials!AA8/Financials!Z8-1</f>
        <v>3.2884622866203417E-2</v>
      </c>
      <c r="AE27" s="63">
        <f>Financials!AB8/Financials!AA8-1</f>
        <v>-0.23495760615134276</v>
      </c>
      <c r="AF27" s="63">
        <f>Financials!AC8/Financials!AB8-1</f>
        <v>-3.7601555217523397E-2</v>
      </c>
      <c r="AG27" s="63">
        <f>Financials!AD8/Financials!AC8-1</f>
        <v>-1.0108431061765288E-2</v>
      </c>
      <c r="AH27" s="63">
        <f>Financials!AE8/Financials!AD8-1</f>
        <v>6.8125206104461933E-2</v>
      </c>
      <c r="AI27" s="63">
        <f>Financials!AF8/Financials!AE8-1</f>
        <v>4.6272487935716811E-4</v>
      </c>
      <c r="AJ27" s="63">
        <f>Financials!AG8/Financials!AF8-1</f>
        <v>3.4773117597223235E-2</v>
      </c>
      <c r="AK27" s="63">
        <f>Financials!AH8/Financials!AG8-1</f>
        <v>0.11713464406104657</v>
      </c>
      <c r="AL27" s="63">
        <f>Financials!AI8/Financials!AH8-1</f>
        <v>0.1837236140184022</v>
      </c>
      <c r="AM27" s="63">
        <f>Financials!AJ8/Financials!AI8-1</f>
        <v>-1.8518697435715215E-2</v>
      </c>
      <c r="AN27" s="63">
        <f>Financials!AK8/Financials!AJ8-1</f>
        <v>-9.5135044761089138E-2</v>
      </c>
      <c r="AO27" s="63">
        <f>Financials!AL8/Financials!AK8-1</f>
        <v>-1.6581453343634145E-2</v>
      </c>
      <c r="AP27" s="63">
        <f>Financials!AM8/Financials!AL8-1</f>
        <v>-0.15469947345629953</v>
      </c>
      <c r="AQ27" s="63">
        <f>Financials!AN8/Financials!AM8-1</f>
        <v>0.10101476255586861</v>
      </c>
      <c r="AR27" s="63">
        <f>Financials!AO8/Financials!AN8-1</f>
        <v>-3.9883531539804951E-3</v>
      </c>
      <c r="AS27" s="63">
        <f>Financials!AP8/Financials!AO8-1</f>
        <v>3.9906032164685801E-2</v>
      </c>
      <c r="AT27" s="63">
        <f>Financials!AQ8/Financials!AP8-1</f>
        <v>-2.6169867938577562E-2</v>
      </c>
      <c r="AU27" s="63">
        <f>Financials!AR8/Financials!AQ8-1</f>
        <v>-7.2604458533779725E-2</v>
      </c>
      <c r="AV27" s="63">
        <f>Financials!AS8/Financials!AR8-1</f>
        <v>-2.8452992551408762E-3</v>
      </c>
    </row>
    <row r="28" spans="2:48" ht="15.6" hidden="1" thickBot="1">
      <c r="B28" s="51" t="s">
        <v>218</v>
      </c>
      <c r="C28" s="64" t="s">
        <v>164</v>
      </c>
      <c r="D28" s="59" t="s">
        <v>207</v>
      </c>
      <c r="E28" s="59"/>
      <c r="F28" s="63"/>
      <c r="G28" s="63">
        <f>Financials!D7/Financials!C7-1</f>
        <v>5.8373525658195868E-2</v>
      </c>
      <c r="H28" s="63">
        <f>Financials!E7/Financials!D7-1</f>
        <v>0.10946586643604594</v>
      </c>
      <c r="I28" s="63">
        <f>Financials!F7/Financials!E7-1</f>
        <v>6.2839650915169187E-2</v>
      </c>
      <c r="J28" s="63">
        <f>Financials!G7/Financials!F7-1</f>
        <v>6.3057093319038859E-3</v>
      </c>
      <c r="K28" s="63">
        <f>Financials!H7/Financials!G7-1</f>
        <v>6.6579614971278289E-3</v>
      </c>
      <c r="L28" s="63">
        <f>Financials!I7/Financials!H7-1</f>
        <v>1.1093167924471681E-2</v>
      </c>
      <c r="M28" s="63">
        <f>Financials!J7/Financials!I7-1</f>
        <v>9.5454017722582662E-3</v>
      </c>
      <c r="N28" s="63">
        <f>Financials!K7/Financials!J7-1</f>
        <v>1.2523816515511488E-2</v>
      </c>
      <c r="O28" s="63">
        <f>Financials!L7/Financials!K7-1</f>
        <v>1.6375798811221864E-2</v>
      </c>
      <c r="P28" s="63">
        <f>Financials!M7/Financials!L7-1</f>
        <v>1.6496423351917144E-2</v>
      </c>
      <c r="Q28" s="63">
        <f>Financials!N7/Financials!M7-1</f>
        <v>1.5969469595545016E-2</v>
      </c>
      <c r="R28" s="63">
        <f>Financials!O7/Financials!N7-1</f>
        <v>1.3540133951612354E-2</v>
      </c>
      <c r="S28" s="63">
        <f>Financials!P7/Financials!O7-1</f>
        <v>1.3139083117210237E-2</v>
      </c>
      <c r="T28" s="63">
        <f>Financials!Q7/Financials!P7-1</f>
        <v>1.5261205734513172E-2</v>
      </c>
      <c r="U28" s="63">
        <f>Financials!R7/Financials!Q7-1</f>
        <v>1.6900171716717427E-2</v>
      </c>
      <c r="V28" s="63">
        <f>Financials!S7/Financials!R7-1</f>
        <v>0</v>
      </c>
      <c r="W28" s="63">
        <f>Financials!T7/Financials!S7-1</f>
        <v>4.8408199552372189E-3</v>
      </c>
      <c r="X28" s="63">
        <f>Financials!U7/Financials!T7-1</f>
        <v>6.469080800507454E-3</v>
      </c>
      <c r="Y28" s="63">
        <f>Financials!V7/Financials!U7-1</f>
        <v>1.2053546149711769E-2</v>
      </c>
      <c r="Z28" s="63">
        <f>Financials!W7/Financials!V7-1</f>
        <v>9.200439072939659E-3</v>
      </c>
      <c r="AA28" s="63">
        <f>Financials!X7/Financials!W7-1</f>
        <v>7.4967956035572048E-3</v>
      </c>
      <c r="AB28" s="63">
        <f>Financials!Y7/Financials!X7-1</f>
        <v>-5.3191974188726565E-4</v>
      </c>
      <c r="AC28" s="63">
        <f>Financials!Z7/Financials!Y7-1</f>
        <v>4.5598914040978489E-3</v>
      </c>
      <c r="AD28" s="63">
        <f>Financials!AA7/Financials!Z7-1</f>
        <v>2.7275356497000747E-3</v>
      </c>
      <c r="AE28" s="63">
        <f>Financials!AB7/Financials!AA7-1</f>
        <v>4.790092625123421E-3</v>
      </c>
      <c r="AF28" s="63">
        <f>Financials!AC7/Financials!AB7-1</f>
        <v>5.7662882212901057E-3</v>
      </c>
      <c r="AG28" s="63">
        <f>Financials!AD7/Financials!AC7-1</f>
        <v>-3.051364813487667E-3</v>
      </c>
      <c r="AH28" s="63">
        <f>Financials!AE7/Financials!AD7-1</f>
        <v>2.3496206589988633E-2</v>
      </c>
      <c r="AI28" s="63">
        <f>Financials!AF7/Financials!AE7-1</f>
        <v>-2.2691406334263142E-5</v>
      </c>
      <c r="AJ28" s="63">
        <f>Financials!AG7/Financials!AF7-1</f>
        <v>2.0210511333518255E-3</v>
      </c>
      <c r="AK28" s="63">
        <f>Financials!AH7/Financials!AG7-1</f>
        <v>8.4675348796592331E-3</v>
      </c>
      <c r="AL28" s="63">
        <f>Financials!AI7/Financials!AH7-1</f>
        <v>1.1031899846540183E-2</v>
      </c>
      <c r="AM28" s="63">
        <f>Financials!AJ7/Financials!AI7-1</f>
        <v>1.19858793620502E-2</v>
      </c>
      <c r="AN28" s="63">
        <f>Financials!AK7/Financials!AJ7-1</f>
        <v>4.8945157990003541E-3</v>
      </c>
      <c r="AO28" s="63">
        <f>Financials!AL7/Financials!AK7-1</f>
        <v>1.4229542330614908E-3</v>
      </c>
      <c r="AP28" s="63">
        <f>Financials!AM7/Financials!AL7-1</f>
        <v>6.507301121417397E-3</v>
      </c>
      <c r="AQ28" s="63">
        <f>Financials!AN7/Financials!AM7-1</f>
        <v>5.6351537381480465E-3</v>
      </c>
      <c r="AR28" s="63">
        <f>Financials!AO7/Financials!AN7-1</f>
        <v>4.7507230836456582E-3</v>
      </c>
      <c r="AS28" s="63">
        <f>Financials!AP7/Financials!AO7-1</f>
        <v>1.6513436743194498E-2</v>
      </c>
      <c r="AT28" s="63">
        <f>Financials!AQ7/Financials!AP7-1</f>
        <v>-9.4591785940248974E-3</v>
      </c>
      <c r="AU28" s="63">
        <f>Financials!AR7/Financials!AQ7-1</f>
        <v>8.7594177462937406E-3</v>
      </c>
      <c r="AV28" s="63">
        <f>Financials!AS7/Financials!AR7-1</f>
        <v>0</v>
      </c>
    </row>
    <row r="29" spans="2:48" ht="15.6" hidden="1" thickBot="1">
      <c r="B29" s="51">
        <v>4.3</v>
      </c>
      <c r="C29" s="55" t="s">
        <v>129</v>
      </c>
      <c r="D29" s="59" t="s">
        <v>207</v>
      </c>
      <c r="E29" s="59"/>
      <c r="F29" s="63"/>
      <c r="G29" s="63">
        <f>Financials!D25/Financials!C25-1</f>
        <v>3.4988779214757182E-2</v>
      </c>
      <c r="H29" s="63">
        <f>Financials!E25/Financials!D25-1</f>
        <v>4.7305908184783085E-2</v>
      </c>
      <c r="I29" s="63">
        <f>Financials!F25/Financials!E25-1</f>
        <v>7.3208253752076402E-2</v>
      </c>
      <c r="J29" s="63">
        <f>Financials!G25/Financials!F25-1</f>
        <v>0.14289984218788487</v>
      </c>
      <c r="K29" s="63">
        <f>Financials!H25/Financials!G25-1</f>
        <v>-3.6731747910897505E-2</v>
      </c>
      <c r="L29" s="63">
        <f>Financials!I25/Financials!H25-1</f>
        <v>-9.2790462660495843E-3</v>
      </c>
      <c r="M29" s="63">
        <f>Financials!J25/Financials!I25-1</f>
        <v>-3.5041870163093125E-2</v>
      </c>
      <c r="N29" s="63">
        <f>Financials!K25/Financials!J25-1</f>
        <v>9.0833283141888987E-3</v>
      </c>
      <c r="O29" s="63">
        <f>Financials!L25/Financials!K25-1</f>
        <v>1.1788468322013745E-3</v>
      </c>
      <c r="P29" s="63">
        <f>Financials!M25/Financials!L25-1</f>
        <v>3.6670912242791509E-2</v>
      </c>
      <c r="Q29" s="63">
        <f>Financials!N25/Financials!M25-1</f>
        <v>3.7535713754463185E-2</v>
      </c>
      <c r="R29" s="63">
        <f>Financials!O25/Financials!N25-1</f>
        <v>6.9307516534862224E-2</v>
      </c>
      <c r="S29" s="63">
        <f>Financials!P25/Financials!O25-1</f>
        <v>3.9376247997241487E-2</v>
      </c>
      <c r="T29" s="63">
        <f>Financials!Q25/Financials!P25-1</f>
        <v>2.556248000603123E-2</v>
      </c>
      <c r="U29" s="63">
        <f>Financials!R25/Financials!Q25-1</f>
        <v>-3.1003384628525144E-4</v>
      </c>
      <c r="V29" s="63">
        <f>Financials!S25/Financials!R25-1</f>
        <v>-6.2636352919254179E-4</v>
      </c>
      <c r="W29" s="63">
        <f>Financials!T25/Financials!S25-1</f>
        <v>5.0606732720888559E-2</v>
      </c>
      <c r="X29" s="63">
        <f>Financials!U25/Financials!T25-1</f>
        <v>-1.6514655547055224E-3</v>
      </c>
      <c r="Y29" s="63">
        <f>Financials!V25/Financials!U25-1</f>
        <v>-2.2951999829266212E-2</v>
      </c>
      <c r="Z29" s="63">
        <f>Financials!W25/Financials!V25-1</f>
        <v>-3.4515829030801193E-5</v>
      </c>
      <c r="AA29" s="63">
        <f>Financials!X25/Financials!W25-1</f>
        <v>-5.8645742986112026E-3</v>
      </c>
      <c r="AB29" s="63">
        <f>Financials!Y25/Financials!X25-1</f>
        <v>-1.5983005477589018E-2</v>
      </c>
      <c r="AC29" s="63">
        <f>Financials!Z25/Financials!Y25-1</f>
        <v>0.11428801636411756</v>
      </c>
      <c r="AD29" s="63">
        <f>Financials!AA25/Financials!Z25-1</f>
        <v>-1.4356386304616997E-2</v>
      </c>
      <c r="AE29" s="63">
        <f>Financials!AB25/Financials!AA25-1</f>
        <v>-2.2827699085815722E-2</v>
      </c>
      <c r="AF29" s="63">
        <f>Financials!AC25/Financials!AB25-1</f>
        <v>1.4547291667956763E-3</v>
      </c>
      <c r="AG29" s="63">
        <f>Financials!AD25/Financials!AC25-1</f>
        <v>-2.7603468728034097E-2</v>
      </c>
      <c r="AH29" s="63">
        <f>Financials!AE25/Financials!AD25-1</f>
        <v>1.6073368155415935E-2</v>
      </c>
      <c r="AI29" s="63">
        <f>Financials!AF25/Financials!AE25-1</f>
        <v>-3.9492465883750327E-5</v>
      </c>
      <c r="AJ29" s="63">
        <f>Financials!AG25/Financials!AF25-1</f>
        <v>-1.6677158252099256E-2</v>
      </c>
      <c r="AK29" s="63">
        <f>Financials!AH25/Financials!AG25-1</f>
        <v>-2.2007070134088869E-2</v>
      </c>
      <c r="AL29" s="63">
        <f>Financials!AI25/Financials!AH25-1</f>
        <v>-1.7975258066386779E-2</v>
      </c>
      <c r="AM29" s="63">
        <f>Financials!AJ25/Financials!AI25-1</f>
        <v>0.10256604023384375</v>
      </c>
      <c r="AN29" s="63">
        <f>Financials!AK25/Financials!AJ25-1</f>
        <v>-6.9876623655594772E-3</v>
      </c>
      <c r="AO29" s="63">
        <f>Financials!AL25/Financials!AK25-1</f>
        <v>-1.8022534846247495E-2</v>
      </c>
      <c r="AP29" s="63">
        <f>Financials!AM25/Financials!AL25-1</f>
        <v>-9.4947327884253863E-3</v>
      </c>
      <c r="AQ29" s="63">
        <f>Financials!AN25/Financials!AM25-1</f>
        <v>3.3509235849100039E-2</v>
      </c>
      <c r="AR29" s="63">
        <f>Financials!AO25/Financials!AN25-1</f>
        <v>4.690239784721717E-3</v>
      </c>
      <c r="AS29" s="63">
        <f>Financials!AP25/Financials!AO25-1</f>
        <v>1.5073990975454254E-2</v>
      </c>
      <c r="AT29" s="63">
        <f>Financials!AQ25/Financials!AP25-1</f>
        <v>-2.4483426395935037E-2</v>
      </c>
      <c r="AU29" s="63">
        <f>Financials!AR25/Financials!AQ25-1</f>
        <v>1.8812743561253731E-2</v>
      </c>
      <c r="AV29" s="63">
        <f>Financials!AS25/Financials!AR25-1</f>
        <v>3.1951403591801153E-6</v>
      </c>
    </row>
    <row r="30" spans="2:48" ht="15.6" hidden="1" thickBot="1">
      <c r="B30" s="51">
        <v>4.4000000000000004</v>
      </c>
      <c r="C30" s="55" t="s">
        <v>219</v>
      </c>
      <c r="D30" s="59" t="s">
        <v>207</v>
      </c>
      <c r="E30" s="59"/>
      <c r="F30" s="63"/>
      <c r="G30" s="63">
        <f>Financials!D12/Financials!C12-1</f>
        <v>0.38242268236481269</v>
      </c>
      <c r="H30" s="63">
        <f>Financials!E12/Financials!D12-1</f>
        <v>3.0422112790926104E-2</v>
      </c>
      <c r="I30" s="63">
        <f>Financials!F12/Financials!E12-1</f>
        <v>2.2015705153069387E-2</v>
      </c>
      <c r="J30" s="63">
        <f>Financials!G12/Financials!F12-1</f>
        <v>3.8737963913046958E-2</v>
      </c>
      <c r="K30" s="63">
        <f>Financials!H12/Financials!G12-1</f>
        <v>-2.3830142174236402E-2</v>
      </c>
      <c r="L30" s="63">
        <f>Financials!I12/Financials!H12-1</f>
        <v>-1.4442235384038993E-3</v>
      </c>
      <c r="M30" s="63">
        <f>Financials!J12/Financials!I12-1</f>
        <v>-5.0301988758720828E-3</v>
      </c>
      <c r="N30" s="63">
        <f>Financials!K12/Financials!J12-1</f>
        <v>1.5367298077650471E-2</v>
      </c>
      <c r="O30" s="63">
        <f>Financials!L12/Financials!K12-1</f>
        <v>1.5634001333531433E-2</v>
      </c>
      <c r="P30" s="63">
        <f>Financials!M12/Financials!L12-1</f>
        <v>2.1039443607729913E-2</v>
      </c>
      <c r="Q30" s="63">
        <f>Financials!N12/Financials!M12-1</f>
        <v>1.255942234353391E-2</v>
      </c>
      <c r="R30" s="63">
        <f>Financials!O12/Financials!N12-1</f>
        <v>2.0789328864870171E-2</v>
      </c>
      <c r="S30" s="63">
        <f>Financials!P12/Financials!O12-1</f>
        <v>2.2162045626021865E-2</v>
      </c>
      <c r="T30" s="63">
        <f>Financials!Q12/Financials!P12-1</f>
        <v>9.0643411452973055E-3</v>
      </c>
      <c r="U30" s="63">
        <f>Financials!R12/Financials!Q12-1</f>
        <v>-2.6918456890702713E-2</v>
      </c>
      <c r="V30" s="63">
        <f>Financials!S12/Financials!R12-1</f>
        <v>0</v>
      </c>
      <c r="W30" s="63">
        <f>Financials!T12/Financials!S12-1</f>
        <v>1.4346674751236632E-2</v>
      </c>
      <c r="X30" s="63">
        <f>Financials!U12/Financials!T12-1</f>
        <v>-0.15982533766558882</v>
      </c>
      <c r="Y30" s="63">
        <f>Financials!V12/Financials!U12-1</f>
        <v>4.5117788428130634E-3</v>
      </c>
      <c r="Z30" s="63">
        <f>Financials!W12/Financials!V12-1</f>
        <v>0.10454432108133793</v>
      </c>
      <c r="AA30" s="63">
        <f>Financials!X12/Financials!W12-1</f>
        <v>-5.5524926153236454E-3</v>
      </c>
      <c r="AB30" s="63">
        <f>Financials!Y12/Financials!X12-1</f>
        <v>2.8299363622674711E-4</v>
      </c>
      <c r="AC30" s="63">
        <f>Financials!Z12/Financials!Y12-1</f>
        <v>-1.2775544974235054E-2</v>
      </c>
      <c r="AD30" s="63">
        <f>Financials!AA12/Financials!Z12-1</f>
        <v>9.2103631507267636E-4</v>
      </c>
      <c r="AE30" s="63">
        <f>Financials!AB12/Financials!AA12-1</f>
        <v>-1.8063378956497234E-2</v>
      </c>
      <c r="AF30" s="63">
        <f>Financials!AC12/Financials!AB12-1</f>
        <v>-3.0863281100604878E-2</v>
      </c>
      <c r="AG30" s="63">
        <f>Financials!AD12/Financials!AC12-1</f>
        <v>1.0087116797033335E-2</v>
      </c>
      <c r="AH30" s="63">
        <f>Financials!AE12/Financials!AD12-1</f>
        <v>7.3480705889235054E-3</v>
      </c>
      <c r="AI30" s="63">
        <f>Financials!AF12/Financials!AE12-1</f>
        <v>-1.1533273605562777E-2</v>
      </c>
      <c r="AJ30" s="63">
        <f>Financials!AG12/Financials!AF12-1</f>
        <v>4.3896314984017692E-3</v>
      </c>
      <c r="AK30" s="63">
        <f>Financials!AH12/Financials!AG12-1</f>
        <v>1.0919080902491718E-3</v>
      </c>
      <c r="AL30" s="63">
        <f>Financials!AI12/Financials!AH12-1</f>
        <v>1.6759500106538594E-2</v>
      </c>
      <c r="AM30" s="63">
        <f>Financials!AJ12/Financials!AI12-1</f>
        <v>-1.0581223779137727E-2</v>
      </c>
      <c r="AN30" s="63">
        <f>Financials!AK12/Financials!AJ12-1</f>
        <v>7.1588209589950047E-3</v>
      </c>
      <c r="AO30" s="63">
        <f>Financials!AL12/Financials!AK12-1</f>
        <v>7.0902611541372451E-3</v>
      </c>
      <c r="AP30" s="63">
        <f>Financials!AM12/Financials!AL12-1</f>
        <v>6.8593235952825182E-3</v>
      </c>
      <c r="AQ30" s="63">
        <f>Financials!AN12/Financials!AM12-1</f>
        <v>1.4584514008704641E-2</v>
      </c>
      <c r="AR30" s="63">
        <f>Financials!AO12/Financials!AN12-1</f>
        <v>1.4117097984678306E-3</v>
      </c>
      <c r="AS30" s="63">
        <f>Financials!AP12/Financials!AO12-1</f>
        <v>-5.2086719643893442E-3</v>
      </c>
      <c r="AT30" s="63">
        <f>Financials!AQ12/Financials!AP12-1</f>
        <v>1.1095168203332673E-2</v>
      </c>
      <c r="AU30" s="63">
        <f>Financials!AR12/Financials!AQ12-1</f>
        <v>4.6228056340502643E-3</v>
      </c>
      <c r="AV30" s="63">
        <f>Financials!AS12/Financials!AR12-1</f>
        <v>4.6187788278864161E-3</v>
      </c>
    </row>
    <row r="31" spans="2:48" ht="15.6" hidden="1" thickBot="1">
      <c r="B31" s="51">
        <v>4.5</v>
      </c>
      <c r="C31" s="55" t="s">
        <v>220</v>
      </c>
      <c r="D31" s="59" t="s">
        <v>207</v>
      </c>
      <c r="E31" s="59"/>
      <c r="F31" s="65"/>
      <c r="G31" s="65">
        <f>Financials!D35/Financials!C35-1</f>
        <v>9.1852845676536621E-3</v>
      </c>
      <c r="H31" s="65">
        <f>Financials!E35/Financials!D35-1</f>
        <v>4.0734683277145134E-2</v>
      </c>
      <c r="I31" s="65">
        <f>Financials!F35/Financials!E35-1</f>
        <v>6.8234362665343662E-2</v>
      </c>
      <c r="J31" s="65">
        <f>Financials!G35/Financials!F35-1</f>
        <v>-0.92380879340883182</v>
      </c>
      <c r="K31" s="65">
        <f>Financials!H35/Financials!G35-1</f>
        <v>1.1360350342881071</v>
      </c>
      <c r="L31" s="65">
        <f>Financials!I35/Financials!H35-1</f>
        <v>0.45587087712471908</v>
      </c>
      <c r="M31" s="65">
        <f>Financials!J35/Financials!I35-1</f>
        <v>0.3506815222793811</v>
      </c>
      <c r="N31" s="65">
        <f>Financials!K35/Financials!J35-1</f>
        <v>0.7232558840141492</v>
      </c>
      <c r="O31" s="65">
        <f>Financials!L35/Financials!K35-1</f>
        <v>0.14608696534835808</v>
      </c>
      <c r="P31" s="65">
        <f>Financials!M35/Financials!L35-1</f>
        <v>0.12895179663367573</v>
      </c>
      <c r="Q31" s="65">
        <f>Financials!N35/Financials!M35-1</f>
        <v>0.10244403347176423</v>
      </c>
      <c r="R31" s="65">
        <f>Financials!O35/Financials!N35-1</f>
        <v>0.13414029022573093</v>
      </c>
      <c r="S31" s="65">
        <f>Financials!P35/Financials!O35-1</f>
        <v>9.9663110047629511E-2</v>
      </c>
      <c r="T31" s="65">
        <f>Financials!Q35/Financials!P35-1</f>
        <v>9.8281490907668134E-2</v>
      </c>
      <c r="U31" s="65">
        <f>Financials!R35/Financials!Q35-1</f>
        <v>2.2738421873950325</v>
      </c>
      <c r="V31" s="65">
        <f>Financials!S35/Financials!R35-1</f>
        <v>0</v>
      </c>
      <c r="W31" s="65">
        <f>Financials!T35/Financials!S35-1</f>
        <v>-0.97680270970345395</v>
      </c>
      <c r="X31" s="65">
        <f>Financials!U35/Financials!T35-1</f>
        <v>1.1268326833023781</v>
      </c>
      <c r="Y31" s="65">
        <f>Financials!V35/Financials!U35-1</f>
        <v>0.48960846929264923</v>
      </c>
      <c r="Z31" s="65">
        <f>Financials!W35/Financials!V35-1</f>
        <v>0.91378597521202254</v>
      </c>
      <c r="AA31" s="65">
        <f>Financials!X35/Financials!W35-1</f>
        <v>0.1696883778132583</v>
      </c>
      <c r="AB31" s="65">
        <f>Financials!Y35/Financials!X35-1</f>
        <v>0.14434477618892183</v>
      </c>
      <c r="AC31" s="65">
        <f>Financials!Z35/Financials!Y35-1</f>
        <v>0.1372107462711234</v>
      </c>
      <c r="AD31" s="65">
        <f>Financials!AA35/Financials!Z35-1</f>
        <v>0.12836971509441608</v>
      </c>
      <c r="AE31" s="65">
        <f>Financials!AB35/Financials!AA35-1</f>
        <v>9.2845519015294364E-2</v>
      </c>
      <c r="AF31" s="65">
        <f>Financials!AC35/Financials!AB35-1</f>
        <v>9.0428881254730697E-2</v>
      </c>
      <c r="AG31" s="65">
        <f>Financials!AD35/Financials!AC35-1</f>
        <v>9.1703029761572408E-2</v>
      </c>
      <c r="AH31" s="65">
        <f>Financials!AE35/Financials!AD35-1</f>
        <v>8.8395835158513014E-2</v>
      </c>
      <c r="AI31" s="65">
        <f>Financials!AF35/Financials!AE35-1</f>
        <v>-1</v>
      </c>
      <c r="AJ31" s="65" t="e">
        <f>Financials!AG35/Financials!AF35-1</f>
        <v>#DIV/0!</v>
      </c>
      <c r="AK31" s="65">
        <f>Financials!AH35/Financials!AG35-1</f>
        <v>0.98077633995147173</v>
      </c>
      <c r="AL31" s="65">
        <f>Financials!AI35/Financials!AH35-1</f>
        <v>0.51248645091788325</v>
      </c>
      <c r="AM31" s="65">
        <f>Financials!AJ35/Financials!AI35-1</f>
        <v>0.35190691003452557</v>
      </c>
      <c r="AN31" s="65">
        <f>Financials!AK35/Financials!AJ35-1</f>
        <v>0.27297871325408285</v>
      </c>
      <c r="AO31" s="65">
        <f>Financials!AL35/Financials!AK35-1</f>
        <v>0.55496722493764628</v>
      </c>
      <c r="AP31" s="65">
        <f>Financials!AM35/Financials!AL35-1</f>
        <v>0.12761291396013497</v>
      </c>
      <c r="AQ31" s="65">
        <f>Financials!AN35/Financials!AM35-1</f>
        <v>0.11682722342338647</v>
      </c>
      <c r="AR31" s="65">
        <f>Financials!AO35/Financials!AN35-1</f>
        <v>0.10810115441692636</v>
      </c>
      <c r="AS31" s="65">
        <f>Financials!AP35/Financials!AO35-1</f>
        <v>9.5148894580375565E-2</v>
      </c>
      <c r="AT31" s="65">
        <f>Financials!AQ35/Financials!AP35-1</f>
        <v>9.6660239554042349E-2</v>
      </c>
      <c r="AU31" s="65">
        <f>Financials!AR35/Financials!AQ35-1</f>
        <v>-1</v>
      </c>
      <c r="AV31" s="65" t="e">
        <f>Financials!AS35/Financials!AR35-1</f>
        <v>#DIV/0!</v>
      </c>
    </row>
    <row r="32" spans="2:48" ht="15.6" hidden="1" thickBot="1">
      <c r="B32" s="51">
        <v>4.5999999999999996</v>
      </c>
      <c r="C32" s="55" t="s">
        <v>105</v>
      </c>
      <c r="D32" s="59" t="s">
        <v>207</v>
      </c>
      <c r="E32" s="59"/>
      <c r="F32" s="66"/>
      <c r="G32" s="66" t="e">
        <f>Financials!D3/Financials!#REF!-1</f>
        <v>#VALUE!</v>
      </c>
      <c r="H32" s="66" t="e">
        <f>Financials!E3/Financials!#REF!-1</f>
        <v>#VALUE!</v>
      </c>
      <c r="I32" s="66" t="e">
        <f>Financials!F3/Financials!#REF!-1</f>
        <v>#VALUE!</v>
      </c>
      <c r="J32" s="66" t="e">
        <f>Financials!G3/Financials!#REF!-1</f>
        <v>#REF!</v>
      </c>
      <c r="K32" s="66" t="e">
        <f>Financials!H3/Financials!#REF!-1</f>
        <v>#REF!</v>
      </c>
      <c r="L32" s="66" t="e">
        <f>Financials!I3/Financials!#REF!-1</f>
        <v>#REF!</v>
      </c>
      <c r="M32" s="66" t="e">
        <f>Financials!J3/Financials!#REF!-1</f>
        <v>#REF!</v>
      </c>
      <c r="N32" s="66" t="e">
        <f>Financials!K3/Financials!#REF!-1</f>
        <v>#REF!</v>
      </c>
      <c r="O32" s="66" t="e">
        <f>Financials!L3/Financials!#REF!-1</f>
        <v>#REF!</v>
      </c>
      <c r="P32" s="66" t="e">
        <f>Financials!M3/Financials!#REF!-1</f>
        <v>#REF!</v>
      </c>
      <c r="Q32" s="66" t="e">
        <f>Financials!N3/Financials!#REF!-1</f>
        <v>#REF!</v>
      </c>
      <c r="R32" s="66" t="e">
        <f>Financials!O3/Financials!#REF!-1</f>
        <v>#REF!</v>
      </c>
      <c r="S32" s="66" t="e">
        <f>Financials!P3/Financials!#REF!-1</f>
        <v>#REF!</v>
      </c>
      <c r="T32" s="66" t="e">
        <f>Financials!Q3/Financials!#REF!-1</f>
        <v>#REF!</v>
      </c>
      <c r="U32" s="66" t="e">
        <f>Financials!R3/Financials!#REF!-1</f>
        <v>#REF!</v>
      </c>
      <c r="V32" s="66" t="e">
        <f>Financials!S3/Financials!#REF!-1</f>
        <v>#VALUE!</v>
      </c>
      <c r="W32" s="66" t="e">
        <f>Financials!T3/Financials!#REF!-1</f>
        <v>#REF!</v>
      </c>
      <c r="X32" s="66" t="e">
        <f>Financials!U3/Financials!#REF!-1</f>
        <v>#REF!</v>
      </c>
      <c r="Y32" s="66" t="e">
        <f>Financials!V3/Financials!#REF!-1</f>
        <v>#REF!</v>
      </c>
      <c r="Z32" s="66" t="e">
        <f>Financials!W3/Financials!#REF!-1</f>
        <v>#REF!</v>
      </c>
      <c r="AA32" s="66" t="e">
        <f>Financials!X3/Financials!#REF!-1</f>
        <v>#REF!</v>
      </c>
      <c r="AB32" s="66" t="e">
        <f>Financials!Y3/Financials!#REF!-1</f>
        <v>#REF!</v>
      </c>
      <c r="AC32" s="66" t="e">
        <f>Financials!Z3/Financials!#REF!-1</f>
        <v>#REF!</v>
      </c>
      <c r="AD32" s="66" t="e">
        <f>Financials!AA3/Financials!#REF!-1</f>
        <v>#REF!</v>
      </c>
      <c r="AE32" s="66" t="e">
        <f>Financials!AB3/Financials!#REF!-1</f>
        <v>#REF!</v>
      </c>
      <c r="AF32" s="66" t="e">
        <f>Financials!AC3/Financials!#REF!-1</f>
        <v>#REF!</v>
      </c>
      <c r="AG32" s="66" t="e">
        <f>Financials!AD3/Financials!#REF!-1</f>
        <v>#REF!</v>
      </c>
      <c r="AH32" s="66" t="e">
        <f>Financials!AE3/Financials!#REF!-1</f>
        <v>#REF!</v>
      </c>
      <c r="AI32" s="66" t="e">
        <f>Financials!AF3/Financials!#REF!-1</f>
        <v>#VALUE!</v>
      </c>
      <c r="AJ32" s="66" t="e">
        <f>Financials!AG3/Financials!#REF!-1</f>
        <v>#REF!</v>
      </c>
      <c r="AK32" s="66" t="e">
        <f>Financials!AH3/Financials!#REF!-1</f>
        <v>#REF!</v>
      </c>
      <c r="AL32" s="66" t="e">
        <f>Financials!AI3/Financials!#REF!-1</f>
        <v>#REF!</v>
      </c>
      <c r="AM32" s="66" t="e">
        <f>Financials!AJ3/Financials!#REF!-1</f>
        <v>#REF!</v>
      </c>
      <c r="AN32" s="66" t="e">
        <f>Financials!AK3/Financials!#REF!-1</f>
        <v>#REF!</v>
      </c>
      <c r="AO32" s="66" t="e">
        <f>Financials!AL3/Financials!#REF!-1</f>
        <v>#REF!</v>
      </c>
      <c r="AP32" s="66" t="e">
        <f>Financials!AM3/Financials!#REF!-1</f>
        <v>#REF!</v>
      </c>
      <c r="AQ32" s="66" t="e">
        <f>Financials!AN3/Financials!#REF!-1</f>
        <v>#REF!</v>
      </c>
      <c r="AR32" s="66" t="e">
        <f>Financials!AO3/Financials!#REF!-1</f>
        <v>#REF!</v>
      </c>
      <c r="AS32" s="66" t="e">
        <f>Financials!AP3/Financials!#REF!-1</f>
        <v>#REF!</v>
      </c>
      <c r="AT32" s="66" t="e">
        <f>Financials!AQ3/Financials!#REF!-1</f>
        <v>#REF!</v>
      </c>
      <c r="AU32" s="66" t="e">
        <f>Financials!AR3/Financials!#REF!-1</f>
        <v>#REF!</v>
      </c>
      <c r="AV32" s="66" t="e">
        <f>Financials!AS3/Financials!#REF!-1</f>
        <v>#VALUE!</v>
      </c>
    </row>
    <row r="33" spans="2:48" ht="15.6" hidden="1" thickBot="1">
      <c r="B33" s="56">
        <v>5</v>
      </c>
      <c r="C33" s="50" t="s">
        <v>221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</row>
    <row r="34" spans="2:48" ht="15.6" hidden="1" thickBot="1">
      <c r="B34" s="56">
        <v>5.0999999999999996</v>
      </c>
      <c r="C34" s="55" t="s">
        <v>222</v>
      </c>
      <c r="D34" s="59" t="s">
        <v>207</v>
      </c>
      <c r="E34" s="51"/>
      <c r="F34" s="63"/>
      <c r="G34" s="63">
        <f>Financials!D41/((Financials!D6+Financials!C6)/2)</f>
        <v>5.4180972134922824E-2</v>
      </c>
      <c r="H34" s="63">
        <f>Financials!E41/((Financials!E6+Financials!D6)/2)</f>
        <v>5.2003729148067661E-2</v>
      </c>
      <c r="I34" s="63">
        <f>Financials!F41/((Financials!F6+Financials!E6)/2)</f>
        <v>5.0410816105542641E-2</v>
      </c>
      <c r="J34" s="63">
        <f>Financials!G41/((Financials!G6+Financials!F6)/2)</f>
        <v>4.4631803253684012E-3</v>
      </c>
      <c r="K34" s="63">
        <f>Financials!H41/((Financials!H6+Financials!G6)/2)</f>
        <v>8.9580052332541155E-3</v>
      </c>
      <c r="L34" s="63">
        <f>Financials!I41/((Financials!I6+Financials!H6)/2)</f>
        <v>1.3594254747428649E-2</v>
      </c>
      <c r="M34" s="63">
        <f>Financials!J41/((Financials!J6+Financials!I6)/2)</f>
        <v>1.7837293834311124E-2</v>
      </c>
      <c r="N34" s="63">
        <f>Financials!K41/((Financials!K6+Financials!J6)/2)</f>
        <v>2.2307310764344015E-2</v>
      </c>
      <c r="O34" s="63">
        <f>Financials!L41/((Financials!L6+Financials!K6)/2)</f>
        <v>2.5870771565465207E-2</v>
      </c>
      <c r="P34" s="63">
        <f>Financials!M41/((Financials!M6+Financials!L6)/2)</f>
        <v>2.9861031991565614E-2</v>
      </c>
      <c r="Q34" s="63">
        <f>Financials!N41/((Financials!N6+Financials!M6)/2)</f>
        <v>3.3409376561599251E-2</v>
      </c>
      <c r="R34" s="63">
        <f>Financials!O41/((Financials!O6+Financials!N6)/2)</f>
        <v>3.7372655551939089E-2</v>
      </c>
      <c r="S34" s="63">
        <f>Financials!P41/((Financials!P6+Financials!O6)/2)</f>
        <v>4.0963773641899376E-2</v>
      </c>
      <c r="T34" s="63">
        <f>Financials!Q41/((Financials!Q6+Financials!P6)/2)</f>
        <v>4.3854884058333175E-2</v>
      </c>
      <c r="U34" s="63">
        <f>Financials!R41/((Financials!R6+Financials!Q6)/2)</f>
        <v>0.14004916036035897</v>
      </c>
      <c r="V34" s="63">
        <f>Financials!S41/((Financials!S6+Financials!R6)/2)</f>
        <v>0.13994275103397175</v>
      </c>
      <c r="W34" s="63">
        <f>Financials!T41/((Financials!T6+Financials!S6)/2)</f>
        <v>3.7646430234692897E-3</v>
      </c>
      <c r="X34" s="63">
        <f>Financials!U41/((Financials!U6+Financials!T6)/2)</f>
        <v>7.4862951659437314E-3</v>
      </c>
      <c r="Y34" s="63">
        <f>Financials!V41/((Financials!V6+Financials!U6)/2)</f>
        <v>1.091695296716011E-2</v>
      </c>
      <c r="Z34" s="63">
        <f>Financials!W41/((Financials!W6+Financials!V6)/2)</f>
        <v>1.4474698236431851E-2</v>
      </c>
      <c r="AA34" s="63">
        <f>Financials!X41/((Financials!X6+Financials!W6)/2)</f>
        <v>1.8470449510834014E-2</v>
      </c>
      <c r="AB34" s="63">
        <f>Financials!Y41/((Financials!Y6+Financials!X6)/2)</f>
        <v>2.3081872883097595E-2</v>
      </c>
      <c r="AC34" s="63">
        <f>Financials!Z41/((Financials!Z6+Financials!Y6)/2)</f>
        <v>2.6664420610176511E-2</v>
      </c>
      <c r="AD34" s="63">
        <f>Financials!AA41/((Financials!AA6+Financials!Z6)/2)</f>
        <v>3.0297834079377115E-2</v>
      </c>
      <c r="AE34" s="63">
        <f>Financials!AB41/((Financials!AB6+Financials!AA6)/2)</f>
        <v>3.4301017545988216E-2</v>
      </c>
      <c r="AF34" s="63">
        <f>Financials!AC41/((Financials!AC6+Financials!AB6)/2)</f>
        <v>3.8585144858204592E-2</v>
      </c>
      <c r="AG34" s="63">
        <f>Financials!AD41/((Financials!AD6+Financials!AC6)/2)</f>
        <v>4.2591636388300443E-2</v>
      </c>
      <c r="AH34" s="63">
        <f>Financials!AE41/((Financials!AE6+Financials!AD6)/2)</f>
        <v>4.6043350948637311E-2</v>
      </c>
      <c r="AI34" s="63">
        <f>Financials!AF41/((Financials!AF6+Financials!AE6)/2)</f>
        <v>0</v>
      </c>
      <c r="AJ34" s="63">
        <f>Financials!AG41/((Financials!AG6+Financials!AF6)/2)</f>
        <v>4.0173859194742034E-3</v>
      </c>
      <c r="AK34" s="63">
        <f>Financials!AH41/((Financials!AH6+Financials!AG6)/2)</f>
        <v>7.7165400752280374E-3</v>
      </c>
      <c r="AL34" s="63">
        <f>Financials!AI41/((Financials!AI6+Financials!AH6)/2)</f>
        <v>1.1661840846097921E-2</v>
      </c>
      <c r="AM34" s="63">
        <f>Financials!AJ41/((Financials!AJ6+Financials!AI6)/2)</f>
        <v>1.5263823259453749E-2</v>
      </c>
      <c r="AN34" s="63">
        <f>Financials!AK41/((Financials!AK6+Financials!AJ6)/2)</f>
        <v>1.8936589893281564E-2</v>
      </c>
      <c r="AO34" s="63">
        <f>Financials!AL41/((Financials!AL6+Financials!AK6)/2)</f>
        <v>2.2720583033019513E-2</v>
      </c>
      <c r="AP34" s="63">
        <f>Financials!AM41/((Financials!AM6+Financials!AL6)/2)</f>
        <v>2.6512163301022833E-2</v>
      </c>
      <c r="AQ34" s="63">
        <f>Financials!AN41/((Financials!AN6+Financials!AM6)/2)</f>
        <v>3.0535508227859505E-2</v>
      </c>
      <c r="AR34" s="63">
        <f>Financials!AO41/((Financials!AO6+Financials!AN6)/2)</f>
        <v>3.3995990660529343E-2</v>
      </c>
      <c r="AS34" s="63">
        <f>Financials!AP41/((Financials!AP6+Financials!AO6)/2)</f>
        <v>3.7444662630884223E-2</v>
      </c>
      <c r="AT34" s="63">
        <f>Financials!AQ41/((Financials!AQ6+Financials!AP6)/2)</f>
        <v>4.1213225815629216E-2</v>
      </c>
      <c r="AU34" s="63">
        <f>Financials!AR41/((Financials!AR6+Financials!AQ6)/2)</f>
        <v>0</v>
      </c>
      <c r="AV34" s="63">
        <f>Financials!AS41/((Financials!AS6+Financials!AR6)/2)</f>
        <v>4.2571694018486816E-2</v>
      </c>
    </row>
    <row r="35" spans="2:48" ht="15.6" hidden="1" thickBot="1">
      <c r="B35" s="56">
        <v>5.2</v>
      </c>
      <c r="C35" s="55" t="s">
        <v>223</v>
      </c>
      <c r="D35" s="59" t="s">
        <v>207</v>
      </c>
      <c r="E35" s="51"/>
      <c r="F35" s="63"/>
      <c r="G35" s="63">
        <f>Financials!D42/((Financials!D15+Financials!C15)/2)</f>
        <v>0.9581103368176539</v>
      </c>
      <c r="H35" s="63">
        <f>Financials!E42/((Financials!E15+Financials!D15)/2)</f>
        <v>1.028683687864276</v>
      </c>
      <c r="I35" s="63">
        <f>Financials!F42/((Financials!F15+Financials!E15)/2)</f>
        <v>1.0490474020461957</v>
      </c>
      <c r="J35" s="63">
        <f>Financials!G42/((Financials!G15+Financials!F15)/2)</f>
        <v>0</v>
      </c>
      <c r="K35" s="63">
        <f>Financials!H42/((Financials!H15+Financials!G15)/2)</f>
        <v>1.7536475869809203E-2</v>
      </c>
      <c r="L35" s="63">
        <f>Financials!I42/((Financials!I15+Financials!H15)/2)</f>
        <v>2.6139690506064409E-2</v>
      </c>
      <c r="M35" s="63">
        <f>Financials!J42/((Financials!J15+Financials!I15)/2)</f>
        <v>3.4635633139373789E-2</v>
      </c>
      <c r="N35" s="63">
        <f>Financials!K42/((Financials!K15+Financials!J15)/2)</f>
        <v>4.3073000120604402E-2</v>
      </c>
      <c r="O35" s="63">
        <f>Financials!L42/((Financials!L15+Financials!K15)/2)</f>
        <v>5.0818777318004299E-2</v>
      </c>
      <c r="P35" s="63">
        <f>Financials!M42/((Financials!M15+Financials!L15)/2)</f>
        <v>5.7646208826789301E-2</v>
      </c>
      <c r="Q35" s="63">
        <f>Financials!N42/((Financials!N15+Financials!M15)/2)</f>
        <v>6.3694537862723999E-2</v>
      </c>
      <c r="R35" s="63">
        <f>Financials!O42/((Financials!O15+Financials!N15)/2)</f>
        <v>6.9255330900239664E-2</v>
      </c>
      <c r="S35" s="63">
        <f>Financials!P42/((Financials!P15+Financials!O15)/2)</f>
        <v>7.4624613010749047E-2</v>
      </c>
      <c r="T35" s="63">
        <f>Financials!Q42/((Financials!Q15+Financials!P15)/2)</f>
        <v>0.10141691518757132</v>
      </c>
      <c r="U35" s="63">
        <f>Financials!R42/((Financials!R15+Financials!Q15)/2)</f>
        <v>0.30504202402267894</v>
      </c>
      <c r="V35" s="63">
        <f>Financials!S42/((Financials!S15+Financials!R15)/2)</f>
        <v>0.29999999585009635</v>
      </c>
      <c r="W35" s="63">
        <f>Financials!T42/((Financials!T15+Financials!S15)/2)</f>
        <v>8.2336968954445176E-3</v>
      </c>
      <c r="X35" s="63">
        <f>Financials!U42/((Financials!U15+Financials!T15)/2)</f>
        <v>1.6882102816513988E-2</v>
      </c>
      <c r="Y35" s="63">
        <f>Financials!V42/((Financials!V15+Financials!U15)/2)</f>
        <v>2.4923563542120376E-2</v>
      </c>
      <c r="Z35" s="63">
        <f>Financials!W42/((Financials!W15+Financials!V15)/2)</f>
        <v>3.2660526015497411E-2</v>
      </c>
      <c r="AA35" s="63">
        <f>Financials!X42/((Financials!X15+Financials!W15)/2)</f>
        <v>4.197952989001584E-2</v>
      </c>
      <c r="AB35" s="63">
        <f>Financials!Y42/((Financials!Y15+Financials!X15)/2)</f>
        <v>5.0105634164763192E-2</v>
      </c>
      <c r="AC35" s="63">
        <f>Financials!Z42/((Financials!Z15+Financials!Y15)/2)</f>
        <v>5.8521603331272598E-2</v>
      </c>
      <c r="AD35" s="63">
        <f>Financials!AA42/((Financials!AA15+Financials!Z15)/2)</f>
        <v>6.6823003873708653E-2</v>
      </c>
      <c r="AE35" s="63">
        <f>Financials!AB42/((Financials!AB15+Financials!AA15)/2)</f>
        <v>7.5074747200280442E-2</v>
      </c>
      <c r="AF35" s="63">
        <f>Financials!AC42/((Financials!AC15+Financials!AB15)/2)</f>
        <v>9.1756576064459028E-2</v>
      </c>
      <c r="AG35" s="63">
        <f>Financials!AD42/((Financials!AD15+Financials!AC15)/2)</f>
        <v>0.10034238577199955</v>
      </c>
      <c r="AH35" s="63">
        <f>Financials!AE42/((Financials!AE15+Financials!AD15)/2)</f>
        <v>0.10023745827906703</v>
      </c>
      <c r="AI35" s="63">
        <f>Financials!AF42/((Financials!AF15+Financials!AE15)/2)</f>
        <v>0</v>
      </c>
      <c r="AJ35" s="63">
        <f>Financials!AG42/((Financials!AG15+Financials!AF15)/2)</f>
        <v>6.6709542077005371E-3</v>
      </c>
      <c r="AK35" s="63">
        <f>Financials!AH42/((Financials!AH15+Financials!AG15)/2)</f>
        <v>1.6712777800201608E-2</v>
      </c>
      <c r="AL35" s="63">
        <f>Financials!AI42/((Financials!AI15+Financials!AH15)/2)</f>
        <v>2.5065114335936334E-2</v>
      </c>
      <c r="AM35" s="63">
        <f>Financials!AJ42/((Financials!AJ15+Financials!AI15)/2)</f>
        <v>3.3367292395884589E-2</v>
      </c>
      <c r="AN35" s="63">
        <f>Financials!AK42/((Financials!AK15+Financials!AJ15)/2)</f>
        <v>4.1762409473997147E-2</v>
      </c>
      <c r="AO35" s="63">
        <f>Financials!AL42/((Financials!AL15+Financials!AK15)/2)</f>
        <v>5.0048080205708251E-2</v>
      </c>
      <c r="AP35" s="63">
        <f>Financials!AM42/((Financials!AM15+Financials!AL15)/2)</f>
        <v>6.6824172373033952E-2</v>
      </c>
      <c r="AQ35" s="63">
        <f>Financials!AN42/((Financials!AN15+Financials!AM15)/2)</f>
        <v>7.5126996140299981E-2</v>
      </c>
      <c r="AR35" s="63">
        <f>Financials!AO42/((Financials!AO15+Financials!AN15)/2)</f>
        <v>8.3471000581228569E-2</v>
      </c>
      <c r="AS35" s="63">
        <f>Financials!AP42/((Financials!AP15+Financials!AO15)/2)</f>
        <v>9.1735050574809532E-2</v>
      </c>
      <c r="AT35" s="63">
        <f>Financials!AQ42/((Financials!AQ15+Financials!AP15)/2)</f>
        <v>0.1001104933583382</v>
      </c>
      <c r="AU35" s="63">
        <f>Financials!AR42/((Financials!AR15+Financials!AQ15)/2)</f>
        <v>0</v>
      </c>
      <c r="AV35" s="63">
        <f>Financials!AS42/((Financials!AS15+Financials!AR15)/2)</f>
        <v>0</v>
      </c>
    </row>
    <row r="36" spans="2:48" ht="15.6" hidden="1" thickBot="1">
      <c r="B36" s="56">
        <v>5.3</v>
      </c>
      <c r="C36" s="55" t="s">
        <v>224</v>
      </c>
      <c r="D36" s="59" t="s">
        <v>207</v>
      </c>
      <c r="E36" s="51"/>
      <c r="F36" s="63"/>
      <c r="G36" s="63">
        <f>Financials!D43/((Financials!D9+Financials!C9)/2)</f>
        <v>0.14446314285714285</v>
      </c>
      <c r="H36" s="63" t="e">
        <f>Financials!E43/((Financials!E9+Financials!D9)/2)</f>
        <v>#DIV/0!</v>
      </c>
      <c r="I36" s="63">
        <f>Financials!F43/((Financials!F9+Financials!E9)/2)</f>
        <v>0.21638666666666667</v>
      </c>
      <c r="J36" s="63">
        <f>Financials!G43/((Financials!G9+Financials!F9)/2)</f>
        <v>0</v>
      </c>
      <c r="K36" s="63">
        <f>Financials!H43/((Financials!H9+Financials!G9)/2)</f>
        <v>0</v>
      </c>
      <c r="L36" s="63">
        <f>Financials!I43/((Financials!I9+Financials!H9)/2)</f>
        <v>7.3778372664455999E-2</v>
      </c>
      <c r="M36" s="63">
        <f>Financials!J43/((Financials!J9+Financials!I9)/2)</f>
        <v>5.8752899989541703E-2</v>
      </c>
      <c r="N36" s="63">
        <f>Financials!K43/((Financials!K9+Financials!J9)/2)</f>
        <v>0.10071775235878426</v>
      </c>
      <c r="O36" s="63">
        <f>Financials!L43/((Financials!L9+Financials!K9)/2)</f>
        <v>0.44971640800510693</v>
      </c>
      <c r="P36" s="63" t="e">
        <f>Financials!M43/((Financials!M9+Financials!L9)/2)</f>
        <v>#DIV/0!</v>
      </c>
      <c r="Q36" s="63" t="e">
        <f>Financials!N43/((Financials!N9+Financials!M9)/2)</f>
        <v>#DIV/0!</v>
      </c>
      <c r="R36" s="63">
        <f>Financials!O43/((Financials!O9+Financials!N9)/2)</f>
        <v>0.27061255750000002</v>
      </c>
      <c r="S36" s="63">
        <f>Financials!P43/((Financials!P9+Financials!O9)/2)</f>
        <v>0.16313449501486288</v>
      </c>
      <c r="T36" s="63">
        <f>Financials!Q43/((Financials!Q9+Financials!P9)/2)</f>
        <v>0.27701786853803717</v>
      </c>
      <c r="U36" s="63">
        <f>Financials!R43/((Financials!R9+Financials!Q9)/2)</f>
        <v>2.9096290991926104</v>
      </c>
      <c r="V36" s="63" t="e">
        <f>Financials!S43/((Financials!S9+Financials!R9)/2)</f>
        <v>#DIV/0!</v>
      </c>
      <c r="W36" s="63">
        <f>Financials!T43/((Financials!T9+Financials!S9)/2)</f>
        <v>0</v>
      </c>
      <c r="X36" s="63">
        <f>Financials!U43/((Financials!U9+Financials!T9)/2)</f>
        <v>3.7322198006451396E-2</v>
      </c>
      <c r="Y36" s="63">
        <f>Financials!V43/((Financials!V9+Financials!U9)/2)</f>
        <v>6.15699080702065E-2</v>
      </c>
      <c r="Z36" s="63">
        <f>Financials!W43/((Financials!W9+Financials!V9)/2)</f>
        <v>8.1828928333333328E-2</v>
      </c>
      <c r="AA36" s="63">
        <f>Financials!X43/((Financials!X9+Financials!W9)/2)</f>
        <v>9.9041314201730679E-2</v>
      </c>
      <c r="AB36" s="63">
        <f>Financials!Y43/((Financials!Y9+Financials!X9)/2)</f>
        <v>0.21630698039325355</v>
      </c>
      <c r="AC36" s="63">
        <f>Financials!Z43/((Financials!Z9+Financials!Y9)/2)</f>
        <v>0.21550116127294963</v>
      </c>
      <c r="AD36" s="63">
        <f>Financials!AA43/((Financials!AA9+Financials!Z9)/2)</f>
        <v>0.18264205802389122</v>
      </c>
      <c r="AE36" s="63">
        <f>Financials!AB43/((Financials!AB9+Financials!AA9)/2)</f>
        <v>0.29778143746833474</v>
      </c>
      <c r="AF36" s="63">
        <f>Financials!AC43/((Financials!AC9+Financials!AB9)/2)</f>
        <v>0.29619055875</v>
      </c>
      <c r="AG36" s="63">
        <f>Financials!AD43/((Financials!AD9+Financials!AC9)/2)</f>
        <v>0.35826138054018969</v>
      </c>
      <c r="AH36" s="63">
        <f>Financials!AE43/((Financials!AE9+Financials!AD9)/2)</f>
        <v>0.61290064813671208</v>
      </c>
      <c r="AI36" s="63">
        <f>Financials!AF43/((Financials!AF9+Financials!AE9)/2)</f>
        <v>0</v>
      </c>
      <c r="AJ36" s="63">
        <f>Financials!AG43/((Financials!AG9+Financials!AF9)/2)</f>
        <v>0.15322227440006134</v>
      </c>
      <c r="AK36" s="63" t="e">
        <f>Financials!AH43/((Financials!AH9+Financials!AG9)/2)</f>
        <v>#DIV/0!</v>
      </c>
      <c r="AL36" s="63" t="e">
        <f>Financials!AI43/((Financials!AI9+Financials!AH9)/2)</f>
        <v>#DIV/0!</v>
      </c>
      <c r="AM36" s="63" t="e">
        <f>Financials!AJ43/((Financials!AJ9+Financials!AI9)/2)</f>
        <v>#DIV/0!</v>
      </c>
      <c r="AN36" s="63" t="e">
        <f>Financials!AK43/((Financials!AK9+Financials!AJ9)/2)</f>
        <v>#DIV/0!</v>
      </c>
      <c r="AO36" s="63" t="e">
        <f>Financials!AL43/((Financials!AL9+Financials!AK9)/2)</f>
        <v>#DIV/0!</v>
      </c>
      <c r="AP36" s="63" t="e">
        <f>Financials!AM43/((Financials!AM9+Financials!AL9)/2)</f>
        <v>#DIV/0!</v>
      </c>
      <c r="AQ36" s="63" t="e">
        <f>Financials!AN43/((Financials!AN9+Financials!AM9)/2)</f>
        <v>#DIV/0!</v>
      </c>
      <c r="AR36" s="63" t="e">
        <f>Financials!AO43/((Financials!AO9+Financials!AN9)/2)</f>
        <v>#DIV/0!</v>
      </c>
      <c r="AS36" s="63" t="e">
        <f>Financials!AP43/((Financials!AP9+Financials!AO9)/2)</f>
        <v>#DIV/0!</v>
      </c>
      <c r="AT36" s="63" t="e">
        <f>Financials!AQ43/((Financials!AQ9+Financials!AP9)/2)</f>
        <v>#DIV/0!</v>
      </c>
      <c r="AU36" s="63" t="e">
        <f>Financials!AR43/((Financials!AR9+Financials!AQ9)/2)</f>
        <v>#DIV/0!</v>
      </c>
      <c r="AV36" s="63" t="e">
        <f>Financials!AS43/((Financials!AS9+Financials!AR9)/2)</f>
        <v>#DIV/0!</v>
      </c>
    </row>
    <row r="37" spans="2:48" ht="15.6" hidden="1" thickBot="1">
      <c r="B37" s="56">
        <v>5.4</v>
      </c>
      <c r="C37" s="55" t="s">
        <v>225</v>
      </c>
      <c r="D37" s="59" t="s">
        <v>207</v>
      </c>
      <c r="E37" s="51"/>
      <c r="F37" s="63"/>
      <c r="G37" s="63">
        <f>(Financials!D45+Financials!D46)/((Financials!D5+Financials!C5)/2)</f>
        <v>7.4368175626763955E-2</v>
      </c>
      <c r="H37" s="63">
        <f>(Financials!E45+Financials!E46)/((Financials!E5+Financials!D5)/2)</f>
        <v>6.8526452392425288E-2</v>
      </c>
      <c r="I37" s="63">
        <f>(Financials!F45+Financials!F46)/((Financials!F5+Financials!E5)/2)</f>
        <v>5.8274780314584204E-2</v>
      </c>
      <c r="J37" s="63">
        <f>(Financials!G45+Financials!G46)/((Financials!G5+Financials!F5)/2)</f>
        <v>3.6502133228010492E-3</v>
      </c>
      <c r="K37" s="63">
        <f>(Financials!H45+Financials!H46)/((Financials!H5+Financials!G5)/2)</f>
        <v>9.0610511164640282E-3</v>
      </c>
      <c r="L37" s="63">
        <f>(Financials!I45+Financials!I46)/((Financials!I5+Financials!H5)/2)</f>
        <v>1.4911012567247675E-2</v>
      </c>
      <c r="M37" s="63">
        <f>(Financials!J45+Financials!J46)/((Financials!J5+Financials!I5)/2)</f>
        <v>1.9272993655862415E-2</v>
      </c>
      <c r="N37" s="63">
        <f>(Financials!K45+Financials!K46)/((Financials!K5+Financials!J5)/2)</f>
        <v>2.6476210121961091E-2</v>
      </c>
      <c r="O37" s="63">
        <f>(Financials!L45+Financials!L46)/((Financials!L5+Financials!K5)/2)</f>
        <v>3.1046769831861595E-2</v>
      </c>
      <c r="P37" s="63">
        <f>(Financials!M45+Financials!M46)/((Financials!M5+Financials!L5)/2)</f>
        <v>3.5504162477442182E-2</v>
      </c>
      <c r="Q37" s="63">
        <f>(Financials!N45+Financials!N46)/((Financials!N5+Financials!M5)/2)</f>
        <v>3.9524344289144787E-2</v>
      </c>
      <c r="R37" s="63">
        <f>(Financials!O45+Financials!O46)/((Financials!O5+Financials!N5)/2)</f>
        <v>4.4409510634200462E-2</v>
      </c>
      <c r="S37" s="63">
        <f>(Financials!P45+Financials!P46)/((Financials!P5+Financials!O5)/2)</f>
        <v>4.7643426039706158E-2</v>
      </c>
      <c r="T37" s="63">
        <f>(Financials!Q45+Financials!Q46)/((Financials!Q5+Financials!P5)/2)</f>
        <v>5.3856895226282134E-2</v>
      </c>
      <c r="U37" s="63">
        <f>(Financials!R45+Financials!R46)/((Financials!R5+Financials!Q5)/2)</f>
        <v>0.21265997087161434</v>
      </c>
      <c r="V37" s="63">
        <f>(Financials!S45+Financials!S46)/((Financials!S5+Financials!R5)/2)</f>
        <v>0.23374606671116469</v>
      </c>
      <c r="W37" s="63">
        <f>(Financials!T45+Financials!T46)/((Financials!T5+Financials!S5)/2)</f>
        <v>3.5062407890371207E-3</v>
      </c>
      <c r="X37" s="63">
        <f>(Financials!U45+Financials!U46)/((Financials!U5+Financials!T5)/2)</f>
        <v>1.0044579496554039E-2</v>
      </c>
      <c r="Y37" s="63">
        <f>(Financials!V45+Financials!V46)/((Financials!V5+Financials!U5)/2)</f>
        <v>1.7638333812093902E-2</v>
      </c>
      <c r="Z37" s="63">
        <f>(Financials!W45+Financials!W46)/((Financials!W5+Financials!V5)/2)</f>
        <v>2.2351555252587731E-2</v>
      </c>
      <c r="AA37" s="63">
        <f>(Financials!X45+Financials!X46)/((Financials!X5+Financials!W5)/2)</f>
        <v>2.8270030708761679E-2</v>
      </c>
      <c r="AB37" s="63">
        <f>(Financials!Y45+Financials!Y46)/((Financials!Y5+Financials!X5)/2)</f>
        <v>3.4213813221341073E-2</v>
      </c>
      <c r="AC37" s="63">
        <f>(Financials!Z45+Financials!Z46)/((Financials!Z5+Financials!Y5)/2)</f>
        <v>4.024949179579581E-2</v>
      </c>
      <c r="AD37" s="63">
        <f>(Financials!AA45+Financials!AA46)/((Financials!AA5+Financials!Z5)/2)</f>
        <v>4.6023330461114495E-2</v>
      </c>
      <c r="AE37" s="63">
        <f>(Financials!AB45+Financials!AB46)/((Financials!AB5+Financials!AA5)/2)</f>
        <v>5.1385123913757755E-2</v>
      </c>
      <c r="AF37" s="63">
        <f>(Financials!AC45+Financials!AC46)/((Financials!AC5+Financials!AB5)/2)</f>
        <v>5.7742351434778703E-2</v>
      </c>
      <c r="AG37" s="63">
        <f>(Financials!AD45+Financials!AD46)/((Financials!AD5+Financials!AC5)/2)</f>
        <v>6.0059811635287431E-2</v>
      </c>
      <c r="AH37" s="63">
        <f>(Financials!AE45+Financials!AE46)/((Financials!AE5+Financials!AD5)/2)</f>
        <v>6.7180813641839213E-2</v>
      </c>
      <c r="AI37" s="63">
        <f>(Financials!AF45+Financials!AF46)/((Financials!AF5+Financials!AE5)/2)</f>
        <v>0</v>
      </c>
      <c r="AJ37" s="63">
        <f>(Financials!AG45+Financials!AG46)/((Financials!AG5+Financials!AF5)/2)</f>
        <v>4.652187406099139E-3</v>
      </c>
      <c r="AK37" s="63">
        <f>(Financials!AH45+Financials!AH46)/((Financials!AH5+Financials!AG5)/2)</f>
        <v>1.0867507485833362E-2</v>
      </c>
      <c r="AL37" s="63">
        <f>(Financials!AI45+Financials!AI46)/((Financials!AI5+Financials!AH5)/2)</f>
        <v>1.6701981031673467E-2</v>
      </c>
      <c r="AM37" s="63">
        <f>(Financials!AJ45+Financials!AJ46)/((Financials!AJ5+Financials!AI5)/2)</f>
        <v>2.3473771060872981E-2</v>
      </c>
      <c r="AN37" s="63">
        <f>(Financials!AK45+Financials!AK46)/((Financials!AK5+Financials!AJ5)/2)</f>
        <v>2.8197797158451096E-2</v>
      </c>
      <c r="AO37" s="63">
        <f>(Financials!AL45+Financials!AL46)/((Financials!AL5+Financials!AK5)/2)</f>
        <v>3.5124203368398894E-2</v>
      </c>
      <c r="AP37" s="63">
        <f>(Financials!AM45+Financials!AM46)/((Financials!AM5+Financials!AL5)/2)</f>
        <v>4.0752421775247065E-2</v>
      </c>
      <c r="AQ37" s="63">
        <f>(Financials!AN45+Financials!AN46)/((Financials!AN5+Financials!AM5)/2)</f>
        <v>4.61572868874318E-2</v>
      </c>
      <c r="AR37" s="63">
        <f>(Financials!AO45+Financials!AO46)/((Financials!AO5+Financials!AN5)/2)</f>
        <v>5.1006128287387299E-2</v>
      </c>
      <c r="AS37" s="63">
        <f>(Financials!AP45+Financials!AP46)/((Financials!AP5+Financials!AO5)/2)</f>
        <v>5.5201183681992991E-2</v>
      </c>
      <c r="AT37" s="63">
        <f>(Financials!AQ45+Financials!AQ46)/((Financials!AQ5+Financials!AP5)/2)</f>
        <v>5.9879355806781533E-2</v>
      </c>
      <c r="AU37" s="63">
        <f>(Financials!AR45+Financials!AR46)/((Financials!AR5+Financials!AQ5)/2)</f>
        <v>0</v>
      </c>
      <c r="AV37" s="63">
        <f>(Financials!AS45+Financials!AS46)/((Financials!AS5+Financials!AR5)/2)</f>
        <v>6.8991213536501991E-2</v>
      </c>
    </row>
    <row r="38" spans="2:48" ht="15.6" hidden="1" thickBot="1">
      <c r="B38" s="56">
        <v>5.5</v>
      </c>
      <c r="C38" s="55" t="s">
        <v>226</v>
      </c>
      <c r="D38" s="59" t="s">
        <v>207</v>
      </c>
      <c r="E38" s="51"/>
      <c r="F38" s="63"/>
      <c r="G38" s="63">
        <f>Financials!D36/((Financials!D25+Financials!C25)/2)</f>
        <v>0.16540932621989823</v>
      </c>
      <c r="H38" s="63">
        <f>Financials!E36/((Financials!E25+Financials!D25)/2)</f>
        <v>0.1572060499005222</v>
      </c>
      <c r="I38" s="63">
        <f>Financials!F36/((Financials!F25+Financials!E25)/2)</f>
        <v>0.15023295102814369</v>
      </c>
      <c r="J38" s="63">
        <f>Financials!G36/((Financials!G25+Financials!F25)/2)</f>
        <v>1.2942830311326231E-2</v>
      </c>
      <c r="K38" s="63">
        <f>Financials!H36/((Financials!H25+Financials!G25)/2)</f>
        <v>2.4595795995545119E-2</v>
      </c>
      <c r="L38" s="63">
        <f>Financials!I36/((Financials!I25+Financials!H25)/2)</f>
        <v>3.711881638870957E-2</v>
      </c>
      <c r="M38" s="63">
        <f>Financials!J36/((Financials!J25+Financials!I25)/2)</f>
        <v>5.0216071949134612E-2</v>
      </c>
      <c r="N38" s="63">
        <f>Financials!K36/((Financials!K25+Financials!J25)/2)</f>
        <v>6.4592426523215299E-2</v>
      </c>
      <c r="O38" s="63">
        <f>Financials!L36/((Financials!L25+Financials!K25)/2)</f>
        <v>7.7492011136039193E-2</v>
      </c>
      <c r="P38" s="63">
        <f>Financials!M36/((Financials!M25+Financials!L25)/2)</f>
        <v>8.9595805436084461E-2</v>
      </c>
      <c r="Q38" s="63">
        <f>Financials!N36/((Financials!N25+Financials!M25)/2)</f>
        <v>9.6594684834874364E-2</v>
      </c>
      <c r="R38" s="63">
        <f>Financials!O36/((Financials!O25+Financials!N25)/2)</f>
        <v>0.10819539742087271</v>
      </c>
      <c r="S38" s="63">
        <f>Financials!P36/((Financials!P25+Financials!O25)/2)</f>
        <v>0.11457020948315738</v>
      </c>
      <c r="T38" s="63">
        <f>Financials!Q36/((Financials!Q25+Financials!P25)/2)</f>
        <v>0.12407456728524775</v>
      </c>
      <c r="U38" s="63">
        <f>Financials!R36/((Financials!R25+Financials!Q25)/2)</f>
        <v>0.40772799580314972</v>
      </c>
      <c r="V38" s="63">
        <f>Financials!S36/((Financials!S25+Financials!R25)/2)</f>
        <v>0.40791897292797774</v>
      </c>
      <c r="W38" s="63">
        <f>Financials!T36/((Financials!T25+Financials!S25)/2)</f>
        <v>1.1642016985563627E-2</v>
      </c>
      <c r="X38" s="63">
        <f>Financials!U36/((Financials!U25+Financials!T25)/2)</f>
        <v>2.3302781661435245E-2</v>
      </c>
      <c r="Y38" s="63">
        <f>Financials!V36/((Financials!V25+Financials!U25)/2)</f>
        <v>3.4900303526681657E-2</v>
      </c>
      <c r="Z38" s="63">
        <f>Financials!W36/((Financials!W25+Financials!V25)/2)</f>
        <v>4.7110483655810262E-2</v>
      </c>
      <c r="AA38" s="63">
        <f>Financials!X36/((Financials!X25+Financials!W25)/2)</f>
        <v>5.8925369859686147E-2</v>
      </c>
      <c r="AB38" s="63">
        <f>Financials!Y36/((Financials!Y25+Financials!X25)/2)</f>
        <v>7.1640888946674863E-2</v>
      </c>
      <c r="AC38" s="63">
        <f>Financials!Z36/((Financials!Z25+Financials!Y25)/2)</f>
        <v>8.0480824953278809E-2</v>
      </c>
      <c r="AD38" s="63">
        <f>Financials!AA36/((Financials!AA25+Financials!Z25)/2)</f>
        <v>8.806144549846262E-2</v>
      </c>
      <c r="AE38" s="63">
        <f>Financials!AB36/((Financials!AB25+Financials!AA25)/2)</f>
        <v>0.10018054169700495</v>
      </c>
      <c r="AF38" s="63">
        <f>Financials!AC36/((Financials!AC25+Financials!AB25)/2)</f>
        <v>0.11277008782894803</v>
      </c>
      <c r="AG38" s="63">
        <f>Financials!AD36/((Financials!AD25+Financials!AC25)/2)</f>
        <v>0.12711157381879359</v>
      </c>
      <c r="AH38" s="63">
        <f>Financials!AE36/((Financials!AE25+Financials!AD25)/2)</f>
        <v>0.14052358405545368</v>
      </c>
      <c r="AI38" s="63">
        <f>Financials!AF36/((Financials!AF25+Financials!AE25)/2)</f>
        <v>0</v>
      </c>
      <c r="AJ38" s="63">
        <f>Financials!AG36/((Financials!AG25+Financials!AF25)/2)</f>
        <v>1.1534549955021154E-2</v>
      </c>
      <c r="AK38" s="63">
        <f>Financials!AH36/((Financials!AH25+Financials!AG25)/2)</f>
        <v>2.2616482466358556E-2</v>
      </c>
      <c r="AL38" s="63">
        <f>Financials!AI36/((Financials!AI25+Financials!AH25)/2)</f>
        <v>3.5171166988689308E-2</v>
      </c>
      <c r="AM38" s="63">
        <f>Financials!AJ36/((Financials!AJ25+Financials!AI25)/2)</f>
        <v>4.5849739271838705E-2</v>
      </c>
      <c r="AN38" s="63">
        <f>Financials!AK36/((Financials!AK25+Financials!AJ25)/2)</f>
        <v>5.4463925013375256E-2</v>
      </c>
      <c r="AO38" s="63">
        <f>Financials!AL36/((Financials!AL25+Financials!AK25)/2)</f>
        <v>6.656666729098995E-2</v>
      </c>
      <c r="AP38" s="63">
        <f>Financials!AM36/((Financials!AM25+Financials!AL25)/2)</f>
        <v>7.9003905680308725E-2</v>
      </c>
      <c r="AQ38" s="63">
        <f>Financials!AN36/((Financials!AN25+Financials!AM25)/2)</f>
        <v>8.9653569411176665E-2</v>
      </c>
      <c r="AR38" s="63">
        <f>Financials!AO36/((Financials!AO25+Financials!AN25)/2)</f>
        <v>9.9368506049118163E-2</v>
      </c>
      <c r="AS38" s="63">
        <f>Financials!AP36/((Financials!AP25+Financials!AO25)/2)</f>
        <v>0.10964418909237901</v>
      </c>
      <c r="AT38" s="63">
        <f>Financials!AQ36/((Financials!AQ25+Financials!AP25)/2)</f>
        <v>0.12320865189846918</v>
      </c>
      <c r="AU38" s="63">
        <f>Financials!AR36/((Financials!AR25+Financials!AQ25)/2)</f>
        <v>0</v>
      </c>
      <c r="AV38" s="63">
        <f>Financials!AS36/((Financials!AS25+Financials!AR25)/2)</f>
        <v>0.13472299154534503</v>
      </c>
    </row>
    <row r="39" spans="2:48" ht="15.6" thickBot="1">
      <c r="B39" s="56">
        <v>6</v>
      </c>
      <c r="C39" s="50" t="s">
        <v>227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</row>
    <row r="40" spans="2:48" ht="15.95" thickBot="1">
      <c r="B40" s="56">
        <v>6.1</v>
      </c>
      <c r="C40" s="55" t="s">
        <v>228</v>
      </c>
      <c r="D40" s="67" t="s">
        <v>229</v>
      </c>
      <c r="E40" s="52">
        <v>13.2</v>
      </c>
      <c r="F40" s="63">
        <f>Financials!C10/Financials!C6</f>
        <v>0.17906587957798883</v>
      </c>
      <c r="G40" s="63">
        <f>Financials!D10/Financials!D6</f>
        <v>0.18454434026686595</v>
      </c>
      <c r="H40" s="63">
        <f>Financials!E10/Financials!E6</f>
        <v>0.16130631373266838</v>
      </c>
      <c r="I40" s="63">
        <f>Financials!F10/Financials!F6</f>
        <v>0.19574136087061883</v>
      </c>
      <c r="J40" s="63">
        <f>Financials!G10/Financials!G6</f>
        <v>0.21655009604870462</v>
      </c>
      <c r="K40" s="63">
        <f>Financials!H10/Financials!H6</f>
        <v>0.21245875439331088</v>
      </c>
      <c r="L40" s="63">
        <f>Financials!I10/Financials!I6</f>
        <v>0.23380341940176763</v>
      </c>
      <c r="M40" s="63">
        <f>Financials!J10/Financials!J6</f>
        <v>0.18375058081856976</v>
      </c>
      <c r="N40" s="63">
        <f>Financials!K10/Financials!K6</f>
        <v>0.15254142463539369</v>
      </c>
      <c r="O40" s="63">
        <f>Financials!L48/(Financials!L10+Financials!L6)</f>
        <v>0.21419029894628699</v>
      </c>
      <c r="P40" s="63">
        <f>Financials!M48/(Financials!M10+Financials!M6)</f>
        <v>0.19954099037121109</v>
      </c>
      <c r="Q40" s="63">
        <f>Financials!N48/(Financials!N10+Financials!N6)</f>
        <v>0.18114906388197996</v>
      </c>
      <c r="R40" s="63">
        <f>Financials!O48/(Financials!O10+Financials!O6)</f>
        <v>0.19017381452413518</v>
      </c>
      <c r="S40" s="63">
        <f>Financials!P48/(Financials!P10+Financials!P6)</f>
        <v>0.15684264580700971</v>
      </c>
      <c r="T40" s="63">
        <f>Financials!Q48/(Financials!Q10+Financials!Q6)</f>
        <v>0.17240626565062112</v>
      </c>
      <c r="U40" s="63">
        <f>Financials!R48/(Financials!R10+Financials!R6)</f>
        <v>0.15337048341287296</v>
      </c>
      <c r="V40" s="63">
        <f>Financials!S48/(Financials!S10+Financials!S6)</f>
        <v>0.15292561197113136</v>
      </c>
      <c r="W40" s="63">
        <f>Financials!T48/(Financials!T10+Financials!T6)</f>
        <v>0.1986951563323977</v>
      </c>
      <c r="X40" s="63">
        <f>Financials!U48/(Financials!U10+Financials!U6)</f>
        <v>0.1829165387385995</v>
      </c>
      <c r="Y40" s="63">
        <f>Financials!V48/(Financials!V10+Financials!V6)</f>
        <v>0.20555084391657985</v>
      </c>
      <c r="Z40" s="63">
        <f>Financials!W48/(Financials!W10+Financials!W6)</f>
        <v>0.20032331798765854</v>
      </c>
      <c r="AA40" s="63">
        <f>Financials!X48/(Financials!X10+Financials!X6)</f>
        <v>0.18156635598878371</v>
      </c>
      <c r="AB40" s="63">
        <f>Financials!Y48/(Financials!Y10+Financials!Y6)</f>
        <v>0.17441339503289072</v>
      </c>
      <c r="AC40" s="63">
        <f>Financials!Z48/(Financials!Z10+Financials!Z6)</f>
        <v>0.12263644736257703</v>
      </c>
      <c r="AD40" s="63">
        <f>Financials!AA48/(Financials!AA10+Financials!AA6)</f>
        <v>0.11351094181397423</v>
      </c>
      <c r="AE40" s="63">
        <f>Financials!AB48/(Financials!AB10+Financials!AB6)</f>
        <v>0.12664500550501101</v>
      </c>
      <c r="AF40" s="63">
        <f>Financials!AC48/(Financials!AC10+Financials!AC6)</f>
        <v>0.14215640927142767</v>
      </c>
      <c r="AG40" s="63">
        <f>Financials!AD48/(Financials!AD10+Financials!AD6)</f>
        <v>0.24481743959038443</v>
      </c>
      <c r="AH40" s="63">
        <f>Financials!AE48/(Financials!AE10+Financials!AE6)</f>
        <v>0.14529362689402536</v>
      </c>
      <c r="AI40" s="63">
        <f>Financials!AF48/(Financials!AF10+Financials!AF6)</f>
        <v>0.14312168626595845</v>
      </c>
      <c r="AJ40" s="63">
        <f>Financials!AG48/(Financials!AG10+Financials!AG6)</f>
        <v>0.20146169365246205</v>
      </c>
      <c r="AK40" s="63">
        <f>Financials!AH48/(Financials!AH10+Financials!AH6)</f>
        <v>0.15519084867991451</v>
      </c>
      <c r="AL40" s="63">
        <f>Financials!AI48/(Financials!AI10+Financials!AI6)</f>
        <v>0.20188579082006905</v>
      </c>
      <c r="AM40" s="63">
        <f>Financials!AJ48/(Financials!AJ10+Financials!AJ6)</f>
        <v>0.12660448119297524</v>
      </c>
      <c r="AN40" s="63">
        <f>Financials!AK48/(Financials!AK10+Financials!AK6)</f>
        <v>0.1231127660467676</v>
      </c>
      <c r="AO40" s="63">
        <f>Financials!AL48/(Financials!AL10+Financials!AL6)</f>
        <v>0.16464064217547036</v>
      </c>
      <c r="AP40" s="63">
        <f>Financials!AM48/(Financials!AM10+Financials!AM6)</f>
        <v>0.17639326458034396</v>
      </c>
      <c r="AQ40" s="63">
        <f>Financials!AN48/(Financials!AN10+Financials!AN6)</f>
        <v>0.15502311236299252</v>
      </c>
      <c r="AR40" s="63">
        <f>Financials!AO48/(Financials!AO10+Financials!AO6)</f>
        <v>0.16586440533733693</v>
      </c>
      <c r="AS40" s="63">
        <f>Financials!AP48/(Financials!AP10+Financials!AP6)</f>
        <v>0.17282501806549902</v>
      </c>
      <c r="AT40" s="63">
        <f>Financials!AQ48/(Financials!AQ10+Financials!AQ6)</f>
        <v>0.18802905149316471</v>
      </c>
      <c r="AU40" s="63">
        <f>Financials!AR48/(Financials!AR10+Financials!AR6)</f>
        <v>0.17439359611564298</v>
      </c>
      <c r="AV40" s="63" t="e">
        <f>Financials!AS48/(Financials!AS10+Financials!AS6)</f>
        <v>#REF!</v>
      </c>
    </row>
    <row r="41" spans="2:48" ht="15.6" hidden="1" thickBot="1">
      <c r="B41" s="56">
        <v>7</v>
      </c>
      <c r="C41" s="50" t="s">
        <v>230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2:48" ht="15.6" hidden="1" thickBot="1">
      <c r="B42" s="56">
        <v>7.1</v>
      </c>
      <c r="C42" s="55" t="s">
        <v>231</v>
      </c>
      <c r="D42" s="67">
        <v>1</v>
      </c>
      <c r="E42" s="52">
        <v>44.1</v>
      </c>
      <c r="F42" s="63" t="e">
        <f>Financials!C27/Financials!C30</f>
        <v>#DIV/0!</v>
      </c>
      <c r="G42" s="63" t="e">
        <f>Financials!D27/Financials!D30</f>
        <v>#DIV/0!</v>
      </c>
      <c r="H42" s="63" t="e">
        <f>Financials!E27/Financials!E30</f>
        <v>#DIV/0!</v>
      </c>
      <c r="I42" s="63" t="e">
        <f>Financials!F27/Financials!F30</f>
        <v>#DIV/0!</v>
      </c>
      <c r="J42" s="63" t="e">
        <f>Financials!G27/Financials!G30</f>
        <v>#DIV/0!</v>
      </c>
      <c r="K42" s="63" t="e">
        <f>Financials!H27/Financials!H30</f>
        <v>#DIV/0!</v>
      </c>
      <c r="L42" s="63" t="e">
        <f>Financials!I27/Financials!I30</f>
        <v>#DIV/0!</v>
      </c>
      <c r="M42" s="63" t="e">
        <f>Financials!J27/Financials!J30</f>
        <v>#DIV/0!</v>
      </c>
      <c r="N42" s="63" t="e">
        <f>Financials!K27/Financials!K30</f>
        <v>#DIV/0!</v>
      </c>
      <c r="O42" s="63" t="e">
        <f>Financials!L27/Financials!L30</f>
        <v>#DIV/0!</v>
      </c>
      <c r="P42" s="63" t="e">
        <f>Financials!M27/Financials!M30</f>
        <v>#DIV/0!</v>
      </c>
      <c r="Q42" s="63" t="e">
        <f>Financials!N27/Financials!N30</f>
        <v>#DIV/0!</v>
      </c>
      <c r="R42" s="63" t="e">
        <f>Financials!O27/Financials!O30</f>
        <v>#DIV/0!</v>
      </c>
      <c r="S42" s="63" t="e">
        <f>Financials!P27/Financials!P30</f>
        <v>#DIV/0!</v>
      </c>
      <c r="T42" s="63" t="e">
        <f>Financials!Q27/Financials!Q30</f>
        <v>#DIV/0!</v>
      </c>
      <c r="U42" s="63" t="e">
        <f>Financials!R27/Financials!R30</f>
        <v>#DIV/0!</v>
      </c>
    </row>
    <row r="43" spans="2:48" ht="15.6" hidden="1" thickBot="1">
      <c r="B43" s="56"/>
      <c r="C43" s="50" t="s">
        <v>232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pans="2:48" ht="15.6" hidden="1" thickBot="1">
      <c r="B44" s="51">
        <v>8.1</v>
      </c>
      <c r="C44" s="68" t="s">
        <v>233</v>
      </c>
      <c r="D44" s="69"/>
      <c r="E44" s="51"/>
      <c r="F44" s="70">
        <f>Trend!C92/Trend!C88</f>
        <v>0.83674083729527438</v>
      </c>
      <c r="G44" s="70">
        <f>Trend!D92/Trend!D88</f>
        <v>0.85704952994679151</v>
      </c>
      <c r="H44" s="70">
        <f>Trend!E92/Trend!E88</f>
        <v>0.86452479883779842</v>
      </c>
      <c r="I44" s="70">
        <f>Trend!F92/Trend!F88</f>
        <v>0.79198657152319873</v>
      </c>
      <c r="J44" s="70">
        <f>Trend!G92/Trend!G88</f>
        <v>0.39301676746511055</v>
      </c>
      <c r="K44" s="70">
        <f>Trend!H92/Trend!H88</f>
        <v>0.81023659705884465</v>
      </c>
      <c r="L44" s="70">
        <f>Trend!I92/Trend!I88</f>
        <v>0.92102756347011872</v>
      </c>
      <c r="M44" s="70">
        <f>Trend!J92/Trend!J88</f>
        <v>0.97410234963331233</v>
      </c>
      <c r="N44" s="70">
        <f>Trend!K92/Trend!K88</f>
        <v>0.89691765249748945</v>
      </c>
      <c r="O44" s="70">
        <f>Trend!L92/Trend!L88</f>
        <v>0.87445226548574562</v>
      </c>
      <c r="P44" s="70">
        <f>Trend!M92/Trend!M88</f>
        <v>0.84471241351678339</v>
      </c>
      <c r="Q44" s="70">
        <f>Trend!N92/Trend!N88</f>
        <v>0.85851475260182408</v>
      </c>
      <c r="R44" s="70">
        <f>Trend!O92/Trend!O88</f>
        <v>0.8518671437024411</v>
      </c>
      <c r="S44" s="70">
        <f>Trend!P92/Trend!P88</f>
        <v>0.83547880851823864</v>
      </c>
      <c r="T44" s="70">
        <f>Trend!Q92/Trend!Q88</f>
        <v>0.85651148436898028</v>
      </c>
      <c r="U44" s="70">
        <f>Trend!R92/Trend!R88</f>
        <v>0.96405549251312006</v>
      </c>
    </row>
    <row r="45" spans="2:48" ht="15.6" hidden="1" thickBot="1">
      <c r="B45" s="51">
        <v>8.1999999999999993</v>
      </c>
      <c r="C45" s="71" t="s">
        <v>234</v>
      </c>
      <c r="D45" s="69"/>
      <c r="E45" s="51"/>
      <c r="F45" s="72">
        <f>Trend!C92/Financials!C5</f>
        <v>7.4388694469713149E-2</v>
      </c>
      <c r="G45" s="72">
        <f>Trend!D92/Financials!D5</f>
        <v>7.27544327027176E-2</v>
      </c>
      <c r="H45" s="72">
        <f>Trend!E92/Financials!E5</f>
        <v>6.5819739962762761E-2</v>
      </c>
      <c r="I45" s="72">
        <f>Trend!F92/Financials!F5</f>
        <v>5.4661979539073577E-2</v>
      </c>
      <c r="J45" s="72">
        <f>Trend!G92/Financials!G5</f>
        <v>3.6896654840380813E-3</v>
      </c>
      <c r="K45" s="72">
        <f>Trend!H92/Financials!H5</f>
        <v>9.1778933566524657E-3</v>
      </c>
      <c r="L45" s="72">
        <f>Trend!I92/Financials!I5</f>
        <v>1.4540562642734255E-2</v>
      </c>
      <c r="M45" s="72">
        <f>Trend!J92/Financials!J5</f>
        <v>1.9647495116891869E-2</v>
      </c>
      <c r="N45" s="72">
        <f>Trend!K92/Financials!K5</f>
        <v>2.6521361122244468E-2</v>
      </c>
      <c r="O45" s="72">
        <f>Trend!L92/Financials!L5</f>
        <v>3.1136233723244963E-2</v>
      </c>
      <c r="P45" s="72">
        <f>Trend!M92/Financials!M5</f>
        <v>3.5277807456351812E-2</v>
      </c>
      <c r="Q45" s="72">
        <f>Trend!N92/Financials!N5</f>
        <v>3.9327970153594093E-2</v>
      </c>
      <c r="R45" s="72">
        <f>Trend!O92/Financials!O5</f>
        <v>4.3367686000762282E-2</v>
      </c>
      <c r="S45" s="72">
        <f>Trend!P92/Financials!P5</f>
        <v>4.7566970656161757E-2</v>
      </c>
      <c r="T45" s="72">
        <f>Trend!Q92/Financials!Q5</f>
        <v>5.3075418165446239E-2</v>
      </c>
      <c r="U45" s="72">
        <f>Trend!R92/Financials!R5</f>
        <v>0.21385431270640443</v>
      </c>
    </row>
    <row r="46" spans="2:48" ht="15.6" hidden="1" thickBot="1">
      <c r="B46" s="51">
        <v>8.3000000000000007</v>
      </c>
      <c r="C46" s="71" t="s">
        <v>235</v>
      </c>
      <c r="D46" s="69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2:48" ht="15.6" hidden="1" thickBot="1">
      <c r="B47" s="51">
        <v>8.4</v>
      </c>
      <c r="C47" s="51" t="s">
        <v>236</v>
      </c>
      <c r="D47" s="69"/>
      <c r="E47" s="51"/>
      <c r="F47" s="72">
        <f>Financials!C48/Financials!C5</f>
        <v>0.14318540542524685</v>
      </c>
      <c r="G47" s="72">
        <f>Financials!D48/Financials!D5</f>
        <v>0.10299475843821021</v>
      </c>
      <c r="H47" s="72">
        <f>Financials!E48/Financials!E5</f>
        <v>0.13668526069987796</v>
      </c>
      <c r="I47" s="72">
        <f>Financials!F48/Financials!F5</f>
        <v>0.211627929620646</v>
      </c>
      <c r="J47" s="72">
        <f>Financials!G48/Financials!G5</f>
        <v>0.11960114042990204</v>
      </c>
      <c r="K47" s="72">
        <f>Financials!H48/Financials!H5</f>
        <v>0.12017531653646422</v>
      </c>
      <c r="L47" s="72">
        <f>Financials!I48/Financials!I5</f>
        <v>0.16944553651436903</v>
      </c>
      <c r="M47" s="72">
        <f>Financials!J48/Financials!J5</f>
        <v>0.15774622258198925</v>
      </c>
      <c r="N47" s="72">
        <f>Financials!K48/Financials!K5</f>
        <v>0.151015162408805</v>
      </c>
      <c r="O47" s="72">
        <f>Financials!L48/Financials!L5</f>
        <v>0.1459178910303166</v>
      </c>
      <c r="P47" s="72">
        <f>Financials!M48/Financials!M5</f>
        <v>0.13600610108855801</v>
      </c>
      <c r="Q47" s="72">
        <f>Financials!N48/Financials!N5</f>
        <v>0.12360712872645571</v>
      </c>
      <c r="R47" s="72">
        <f>Financials!O48/Financials!O5</f>
        <v>0.12591246537533143</v>
      </c>
      <c r="S47" s="72">
        <f>Financials!P48/Financials!P5</f>
        <v>0.10509515102712957</v>
      </c>
      <c r="T47" s="72">
        <f>Financials!Q48/Financials!Q5</f>
        <v>0.11846649583893851</v>
      </c>
      <c r="U47" s="72">
        <f>Financials!R48/Financials!R5</f>
        <v>0.10697871557042937</v>
      </c>
    </row>
    <row r="48" spans="2:48" ht="15.6" hidden="1" thickBot="1">
      <c r="B48" s="51">
        <v>8.5</v>
      </c>
      <c r="C48" s="51" t="s">
        <v>237</v>
      </c>
      <c r="D48" s="69"/>
      <c r="E48" s="51"/>
      <c r="F48" s="73">
        <f>Financials!C26/Financials!C5</f>
        <v>0.5915649318502153</v>
      </c>
      <c r="G48" s="73">
        <f>Financials!D26/Financials!D5</f>
        <v>0.5861345630753787</v>
      </c>
      <c r="H48" s="73">
        <f>Financials!E26/Financials!E5</f>
        <v>0.56509209075318445</v>
      </c>
      <c r="I48" s="73">
        <f>Financials!F26/Financials!F5</f>
        <v>0.53495851848570597</v>
      </c>
      <c r="J48" s="73">
        <f>Financials!G26/Financials!G5</f>
        <v>0.62156192993759518</v>
      </c>
      <c r="K48" s="73">
        <f>Financials!H26/Financials!H5</f>
        <v>0.61497856495522341</v>
      </c>
      <c r="L48" s="73">
        <f>Financials!I26/Financials!I5</f>
        <v>0.57919216997346534</v>
      </c>
      <c r="M48" s="73">
        <f>Financials!J26/Financials!J5</f>
        <v>0.58137598619709363</v>
      </c>
      <c r="N48" s="73">
        <f>Financials!K26/Financials!K5</f>
        <v>0.5898646563796528</v>
      </c>
      <c r="O48" s="73">
        <f>Financials!L26/Financials!L5</f>
        <v>0.59421857900781438</v>
      </c>
      <c r="P48" s="73">
        <f>Financials!M26/Financials!M5</f>
        <v>0.60771955051551707</v>
      </c>
      <c r="Q48" s="73">
        <f>Financials!N26/Financials!N5</f>
        <v>0.62338497852077857</v>
      </c>
      <c r="R48" s="73">
        <f>Financials!O26/Financials!O5</f>
        <v>0.63376541986482737</v>
      </c>
      <c r="S48" s="73">
        <f>Financials!P26/Financials!P5</f>
        <v>0.65572930196677837</v>
      </c>
      <c r="T48" s="73">
        <f>Financials!Q26/Financials!Q5</f>
        <v>0.65242234938509081</v>
      </c>
      <c r="U48" s="73">
        <f>Financials!R26/Financials!R5</f>
        <v>0.65955286089114051</v>
      </c>
    </row>
    <row r="53" spans="46:46">
      <c r="AT53" s="42" t="s">
        <v>238</v>
      </c>
    </row>
  </sheetData>
  <pageMargins left="0.7" right="0.7" top="0.75" bottom="0.75" header="0.3" footer="0.3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1"/>
  <sheetViews>
    <sheetView topLeftCell="B1" zoomScale="95" workbookViewId="0">
      <selection activeCell="T9" sqref="T9"/>
    </sheetView>
  </sheetViews>
  <sheetFormatPr defaultColWidth="8.85546875" defaultRowHeight="14.45"/>
  <cols>
    <col min="2" max="2" width="38.28515625" customWidth="1"/>
    <col min="3" max="5" width="12.7109375" hidden="1" customWidth="1"/>
    <col min="6" max="9" width="13.5703125" hidden="1" customWidth="1"/>
    <col min="10" max="10" width="13.5703125" bestFit="1" customWidth="1"/>
    <col min="11" max="13" width="12.85546875" bestFit="1" customWidth="1"/>
    <col min="14" max="14" width="13" customWidth="1"/>
    <col min="15" max="17" width="12.85546875" bestFit="1" customWidth="1"/>
  </cols>
  <sheetData>
    <row r="2" spans="2:22">
      <c r="B2" s="85" t="s">
        <v>156</v>
      </c>
      <c r="C2" s="85" t="s">
        <v>157</v>
      </c>
      <c r="D2" s="85" t="s">
        <v>158</v>
      </c>
      <c r="E2" s="85" t="s">
        <v>159</v>
      </c>
      <c r="F2" s="85" t="s">
        <v>160</v>
      </c>
      <c r="G2" s="86">
        <v>43891</v>
      </c>
      <c r="H2" s="86">
        <v>43983</v>
      </c>
      <c r="I2" s="86">
        <v>44075</v>
      </c>
      <c r="J2" s="86">
        <v>44166</v>
      </c>
      <c r="K2" s="86">
        <v>44197</v>
      </c>
      <c r="L2" s="86">
        <v>44228</v>
      </c>
      <c r="M2" s="86">
        <v>44256</v>
      </c>
      <c r="N2" s="86">
        <v>44287</v>
      </c>
      <c r="O2" s="86">
        <v>44317</v>
      </c>
      <c r="P2" s="86">
        <v>44348</v>
      </c>
      <c r="Q2" s="86">
        <v>44378</v>
      </c>
      <c r="R2" s="86">
        <v>44409</v>
      </c>
      <c r="S2" s="86">
        <v>44440</v>
      </c>
      <c r="T2" s="86">
        <v>44470</v>
      </c>
      <c r="U2" s="86">
        <v>44501</v>
      </c>
      <c r="V2" s="86">
        <v>44531</v>
      </c>
    </row>
    <row r="3" spans="2:22">
      <c r="B3" s="83" t="s">
        <v>32</v>
      </c>
      <c r="C3" s="84">
        <v>190156140</v>
      </c>
      <c r="D3" s="84">
        <v>198783077.02700001</v>
      </c>
      <c r="E3" s="84">
        <v>215833396</v>
      </c>
      <c r="F3" s="82">
        <v>246382881</v>
      </c>
      <c r="G3" s="82">
        <v>247399069.65000001</v>
      </c>
      <c r="H3" s="82">
        <v>235974681.63</v>
      </c>
      <c r="I3" s="82">
        <v>253306280.16</v>
      </c>
      <c r="J3" s="82">
        <v>258809980.40000001</v>
      </c>
      <c r="K3" s="82">
        <v>261763585.655</v>
      </c>
      <c r="L3" s="82">
        <v>266920018.73300001</v>
      </c>
      <c r="M3" s="82">
        <v>272076451.81099999</v>
      </c>
      <c r="N3" s="82">
        <v>277232884.889</v>
      </c>
      <c r="O3" s="82">
        <v>282389317.96700001</v>
      </c>
      <c r="P3" s="82">
        <v>287545751.04500002</v>
      </c>
      <c r="Q3" s="82">
        <v>292072804.745</v>
      </c>
    </row>
    <row r="4" spans="2:22">
      <c r="B4" s="83" t="s">
        <v>163</v>
      </c>
      <c r="C4" s="84">
        <v>8225206</v>
      </c>
      <c r="D4" s="84">
        <v>7582824</v>
      </c>
      <c r="E4" s="84">
        <v>12295782</v>
      </c>
      <c r="F4" s="82">
        <v>16518900</v>
      </c>
      <c r="G4" s="82">
        <v>9323076</v>
      </c>
      <c r="H4" s="82">
        <v>12332975</v>
      </c>
      <c r="I4" s="82">
        <v>12509093</v>
      </c>
      <c r="J4" s="82">
        <v>14908062</v>
      </c>
      <c r="K4" s="82">
        <v>16501070.5</v>
      </c>
      <c r="L4" s="82">
        <v>18194178.100000001</v>
      </c>
      <c r="M4" s="82">
        <v>19887285.699999999</v>
      </c>
      <c r="N4" s="82">
        <v>21580393.300000001</v>
      </c>
      <c r="O4" s="82">
        <v>23273500.899999999</v>
      </c>
      <c r="P4" s="82">
        <v>24966608.5</v>
      </c>
      <c r="Q4" s="82">
        <v>26631116.357142899</v>
      </c>
    </row>
    <row r="5" spans="2:22">
      <c r="B5" s="83" t="s">
        <v>164</v>
      </c>
      <c r="C5" s="84">
        <v>93532161</v>
      </c>
      <c r="D5" s="84">
        <v>98991963</v>
      </c>
      <c r="E5" s="84">
        <v>109828204</v>
      </c>
      <c r="F5" s="82">
        <v>116729770</v>
      </c>
      <c r="G5" s="82">
        <v>119559661</v>
      </c>
      <c r="H5" s="82">
        <v>124213870</v>
      </c>
      <c r="I5" s="82">
        <v>130016226</v>
      </c>
      <c r="J5" s="82">
        <v>135994936</v>
      </c>
      <c r="K5" s="82">
        <v>141223218.5</v>
      </c>
      <c r="L5" s="82">
        <v>146734036.59999999</v>
      </c>
      <c r="M5" s="82">
        <v>152244854.69999999</v>
      </c>
      <c r="N5" s="82">
        <v>157755672.80000001</v>
      </c>
      <c r="O5" s="82">
        <v>163266490.90000001</v>
      </c>
      <c r="P5" s="82">
        <v>168777309</v>
      </c>
      <c r="Q5" s="82">
        <v>174207402.64285699</v>
      </c>
    </row>
    <row r="6" spans="2:22">
      <c r="B6" s="83" t="s">
        <v>239</v>
      </c>
      <c r="C6" s="84">
        <v>112489704</v>
      </c>
      <c r="D6" s="84">
        <v>116513632</v>
      </c>
      <c r="E6" s="84">
        <v>121965745</v>
      </c>
      <c r="F6" s="87">
        <v>131804620.8017</v>
      </c>
      <c r="G6" s="87">
        <v>143291604</v>
      </c>
      <c r="H6" s="87">
        <v>140220540</v>
      </c>
      <c r="I6" s="87">
        <v>160536761</v>
      </c>
      <c r="J6" s="87">
        <v>170698863</v>
      </c>
      <c r="K6" s="87">
        <v>179321441.5</v>
      </c>
      <c r="L6" s="87">
        <v>189575241.30000001</v>
      </c>
      <c r="M6" s="87">
        <v>199829041.09999999</v>
      </c>
      <c r="N6" s="87">
        <v>210082840.90000001</v>
      </c>
      <c r="O6" s="87">
        <v>220336640.69999999</v>
      </c>
      <c r="P6" s="87">
        <v>230590440.5</v>
      </c>
      <c r="Q6" s="87">
        <v>240378177.07142901</v>
      </c>
    </row>
    <row r="7" spans="2:22">
      <c r="B7" s="83" t="s">
        <v>112</v>
      </c>
      <c r="C7" s="84">
        <v>24822209</v>
      </c>
      <c r="D7" s="84">
        <v>34314784.747999996</v>
      </c>
      <c r="E7" s="84">
        <v>35358713</v>
      </c>
      <c r="F7" s="82">
        <v>36137160</v>
      </c>
      <c r="G7" s="82">
        <v>36589607</v>
      </c>
      <c r="H7" s="82">
        <v>37542920</v>
      </c>
      <c r="I7" s="82">
        <v>39621162</v>
      </c>
      <c r="J7" s="82">
        <v>39672351.5</v>
      </c>
      <c r="K7" s="82">
        <v>41188129</v>
      </c>
      <c r="L7" s="82">
        <v>42320776.549999997</v>
      </c>
      <c r="M7" s="82">
        <v>43453424.100000001</v>
      </c>
      <c r="N7" s="82">
        <v>44586071.649999999</v>
      </c>
      <c r="O7" s="82">
        <v>45718719.200000003</v>
      </c>
      <c r="P7" s="82">
        <v>46851366.75</v>
      </c>
      <c r="Q7" s="82">
        <v>48093480</v>
      </c>
    </row>
    <row r="8" spans="2:22">
      <c r="B8" s="83" t="s">
        <v>154</v>
      </c>
      <c r="C8" s="84">
        <v>14729609</v>
      </c>
      <c r="D8" s="84">
        <v>23743384.747999996</v>
      </c>
      <c r="E8" s="84">
        <v>24380513</v>
      </c>
      <c r="F8" s="82">
        <v>24732360</v>
      </c>
      <c r="G8" s="82">
        <v>25040807</v>
      </c>
      <c r="H8" s="82">
        <v>25597201</v>
      </c>
      <c r="I8" s="82">
        <v>26409923</v>
      </c>
      <c r="J8" s="82">
        <v>25214184.5</v>
      </c>
      <c r="K8" s="82">
        <v>25898742.5</v>
      </c>
      <c r="L8" s="82">
        <v>26032027.949999999</v>
      </c>
      <c r="M8" s="82">
        <v>26165313.399999999</v>
      </c>
      <c r="N8" s="82">
        <v>26298598.850000001</v>
      </c>
      <c r="O8" s="82">
        <v>26431884.300000001</v>
      </c>
      <c r="P8" s="82">
        <v>26565169.75</v>
      </c>
      <c r="Q8" s="82">
        <v>26855961.642857101</v>
      </c>
    </row>
    <row r="9" spans="2:22">
      <c r="B9" s="83" t="s">
        <v>136</v>
      </c>
      <c r="C9" s="84">
        <v>13613816</v>
      </c>
      <c r="D9" s="84">
        <v>16515426.027000001</v>
      </c>
      <c r="E9" s="84">
        <v>19207971</v>
      </c>
      <c r="F9" s="87">
        <v>18478325.590300001</v>
      </c>
      <c r="G9" s="87">
        <v>18203707.390000001</v>
      </c>
      <c r="H9" s="87">
        <v>17738123.580000002</v>
      </c>
      <c r="I9" s="87">
        <v>12688363.130000001</v>
      </c>
      <c r="J9" s="87">
        <v>12237220.32</v>
      </c>
      <c r="K9" s="87">
        <v>9479548.1899999995</v>
      </c>
      <c r="L9" s="87">
        <v>7184626.0240000002</v>
      </c>
      <c r="M9" s="87">
        <v>4889703.858</v>
      </c>
      <c r="N9" s="87">
        <v>2594781.6919999998</v>
      </c>
      <c r="O9" s="87">
        <v>299859.526000001</v>
      </c>
      <c r="P9" s="87">
        <v>-1995062.64</v>
      </c>
      <c r="Q9" s="87">
        <v>-4422199.0814285697</v>
      </c>
    </row>
    <row r="10" spans="2:22">
      <c r="B10" s="83" t="s">
        <v>28</v>
      </c>
      <c r="C10" s="84">
        <v>10052178</v>
      </c>
      <c r="D10" s="84">
        <v>14045660</v>
      </c>
      <c r="E10" s="84">
        <v>16051260</v>
      </c>
      <c r="F10" s="82">
        <v>17187704.1164</v>
      </c>
      <c r="G10" s="82">
        <v>11511238</v>
      </c>
      <c r="H10" s="82">
        <v>11357710</v>
      </c>
      <c r="I10" s="82">
        <v>11800314.41</v>
      </c>
      <c r="J10" s="82">
        <v>11551553.6</v>
      </c>
      <c r="K10" s="82">
        <v>11696091.805</v>
      </c>
      <c r="L10" s="82">
        <v>11752446.926000001</v>
      </c>
      <c r="M10" s="82">
        <v>11808802.047</v>
      </c>
      <c r="N10" s="82">
        <v>11865157.168</v>
      </c>
      <c r="O10" s="82">
        <v>11921512.289000001</v>
      </c>
      <c r="P10" s="82">
        <v>11977867.41</v>
      </c>
      <c r="Q10" s="82">
        <v>12059417.697857101</v>
      </c>
    </row>
    <row r="11" spans="2:22">
      <c r="B11" s="83" t="s">
        <v>13</v>
      </c>
      <c r="C11" s="84">
        <v>40449810</v>
      </c>
      <c r="D11" s="84">
        <v>49120055</v>
      </c>
      <c r="E11" s="84">
        <v>49120055</v>
      </c>
      <c r="F11" s="82">
        <v>49120055</v>
      </c>
      <c r="G11" s="82">
        <v>49120055</v>
      </c>
      <c r="H11" s="82">
        <v>49120055</v>
      </c>
      <c r="I11" s="82">
        <v>49120054.799999997</v>
      </c>
      <c r="J11" s="82">
        <v>49120054.799999997</v>
      </c>
      <c r="K11" s="82">
        <v>49120054.700000003</v>
      </c>
      <c r="L11" s="82">
        <v>49120054.619999997</v>
      </c>
      <c r="M11" s="82">
        <v>49120054.539999999</v>
      </c>
      <c r="N11" s="82">
        <v>49120054.460000001</v>
      </c>
      <c r="O11" s="82">
        <v>49120054.380000003</v>
      </c>
      <c r="P11" s="82">
        <v>49120054.299999997</v>
      </c>
      <c r="Q11" s="82">
        <v>49120054.214285702</v>
      </c>
    </row>
    <row r="12" spans="2:22">
      <c r="B12" s="83" t="s">
        <v>149</v>
      </c>
      <c r="C12" s="84">
        <v>27227584</v>
      </c>
      <c r="D12" s="84">
        <v>20473615</v>
      </c>
      <c r="E12" s="84">
        <v>29501244</v>
      </c>
      <c r="F12" s="82">
        <v>52141498.899099998</v>
      </c>
      <c r="G12" s="82">
        <v>41920668.090000004</v>
      </c>
      <c r="H12" s="82">
        <v>34432927.880000003</v>
      </c>
      <c r="I12" s="82">
        <v>31894418.23</v>
      </c>
      <c r="J12" s="82">
        <v>27687159.280000001</v>
      </c>
      <c r="K12" s="82">
        <v>22674034.350000001</v>
      </c>
      <c r="L12" s="82">
        <v>18150130.741999999</v>
      </c>
      <c r="M12" s="82">
        <v>13626227.134</v>
      </c>
      <c r="N12" s="82">
        <v>9102323.5260000005</v>
      </c>
      <c r="O12" s="82">
        <v>4578419.9179999996</v>
      </c>
      <c r="P12" s="82">
        <v>54516.309999998703</v>
      </c>
      <c r="Q12" s="82">
        <v>-4609164.8185714297</v>
      </c>
    </row>
    <row r="13" spans="2:22">
      <c r="B13" s="83" t="s">
        <v>240</v>
      </c>
      <c r="C13" s="84">
        <v>33716282</v>
      </c>
      <c r="D13" s="84">
        <v>27430157</v>
      </c>
      <c r="E13" s="84">
        <v>31995152</v>
      </c>
      <c r="F13" s="82">
        <v>31424450.940499999</v>
      </c>
      <c r="G13" s="82">
        <v>41876617</v>
      </c>
      <c r="H13" s="82">
        <v>36544708</v>
      </c>
      <c r="I13" s="82">
        <v>37695708</v>
      </c>
      <c r="J13" s="82">
        <v>44529756</v>
      </c>
      <c r="K13" s="82">
        <v>42439301.5</v>
      </c>
      <c r="L13" s="82">
        <v>43350343.200000003</v>
      </c>
      <c r="M13" s="82">
        <v>44261384.899999999</v>
      </c>
      <c r="N13" s="82">
        <v>45172426.600000001</v>
      </c>
      <c r="O13" s="82">
        <v>46083468.299999997</v>
      </c>
      <c r="P13" s="82">
        <v>46994510</v>
      </c>
      <c r="Q13" s="82">
        <v>47047981.357142903</v>
      </c>
    </row>
    <row r="14" spans="2:22">
      <c r="B14" s="83" t="s">
        <v>241</v>
      </c>
      <c r="C14" s="84">
        <v>7000000</v>
      </c>
      <c r="D14" s="84">
        <v>0</v>
      </c>
      <c r="E14" s="84">
        <v>0</v>
      </c>
      <c r="F14" s="82">
        <v>12000000</v>
      </c>
      <c r="G14" s="82">
        <v>12000000</v>
      </c>
      <c r="H14" s="82">
        <v>0</v>
      </c>
      <c r="I14" s="82">
        <v>8000000</v>
      </c>
      <c r="J14" s="82">
        <v>0</v>
      </c>
      <c r="K14" s="82">
        <v>-2000000</v>
      </c>
      <c r="L14" s="82">
        <v>-4800000</v>
      </c>
      <c r="M14" s="82">
        <v>-7600000</v>
      </c>
      <c r="N14" s="82">
        <v>-10400000</v>
      </c>
      <c r="O14" s="82">
        <v>-13200000</v>
      </c>
      <c r="P14" s="82">
        <v>-16000000</v>
      </c>
      <c r="Q14" s="82">
        <v>-18571428.571428601</v>
      </c>
    </row>
    <row r="15" spans="2:22">
      <c r="B15" s="83" t="s">
        <v>150</v>
      </c>
      <c r="C15" s="84">
        <v>27127521</v>
      </c>
      <c r="D15" s="84">
        <v>27376695</v>
      </c>
      <c r="E15" s="84">
        <v>28491876</v>
      </c>
      <c r="F15" s="82">
        <v>30436000.5244</v>
      </c>
      <c r="G15" s="82">
        <v>7211467.8399999999</v>
      </c>
      <c r="H15" s="82">
        <v>19237293.59</v>
      </c>
      <c r="I15" s="82">
        <v>27154555.77</v>
      </c>
      <c r="J15" s="82">
        <v>35789242.740000002</v>
      </c>
      <c r="K15" s="82">
        <v>45760786.704999998</v>
      </c>
      <c r="L15" s="82">
        <v>55125845.392999999</v>
      </c>
      <c r="M15" s="82">
        <v>64490904.081</v>
      </c>
      <c r="N15" s="82">
        <v>73855962.768999994</v>
      </c>
      <c r="O15" s="82">
        <v>83221021.457000002</v>
      </c>
      <c r="P15" s="82">
        <v>92586080.144999996</v>
      </c>
      <c r="Q15" s="82">
        <v>102124420.34071399</v>
      </c>
    </row>
    <row r="16" spans="2:22">
      <c r="B16" s="83" t="s">
        <v>242</v>
      </c>
      <c r="C16" s="84">
        <v>16905434</v>
      </c>
      <c r="D16" s="84">
        <v>16874579</v>
      </c>
      <c r="E16" s="84">
        <v>16432262</v>
      </c>
      <c r="F16" s="82">
        <v>17397266.294399999</v>
      </c>
      <c r="G16" s="82">
        <v>3905769.83</v>
      </c>
      <c r="H16" s="82">
        <v>8402245.7599999998</v>
      </c>
      <c r="I16" s="82">
        <v>12895563.939999999</v>
      </c>
      <c r="J16" s="82">
        <v>19137083.190000001</v>
      </c>
      <c r="K16" s="82">
        <v>23631980.245000001</v>
      </c>
      <c r="L16" s="82">
        <v>28650706.070999999</v>
      </c>
      <c r="M16" s="82">
        <v>33669431.897</v>
      </c>
      <c r="N16" s="82">
        <v>38688157.722999997</v>
      </c>
      <c r="O16" s="82">
        <v>43706883.549000002</v>
      </c>
      <c r="P16" s="82">
        <v>48725609.375</v>
      </c>
      <c r="Q16" s="82">
        <v>53594669.837857097</v>
      </c>
    </row>
    <row r="17" spans="2:17">
      <c r="B17" s="83" t="s">
        <v>243</v>
      </c>
      <c r="C17" s="84">
        <v>9449807</v>
      </c>
      <c r="D17" s="84">
        <v>9899196</v>
      </c>
      <c r="E17" s="84">
        <v>11083861</v>
      </c>
      <c r="F17" s="82">
        <v>13038734.23</v>
      </c>
      <c r="G17" s="82">
        <v>2600000</v>
      </c>
      <c r="H17" s="82">
        <v>9814005.5999999996</v>
      </c>
      <c r="I17" s="82">
        <v>12914005.6</v>
      </c>
      <c r="J17" s="82">
        <v>15045310.32</v>
      </c>
      <c r="K17" s="82">
        <v>20202313.120000001</v>
      </c>
      <c r="L17" s="82">
        <v>24245906.215999998</v>
      </c>
      <c r="M17" s="82">
        <v>28289499.311999999</v>
      </c>
      <c r="N17" s="82">
        <v>32333092.408</v>
      </c>
      <c r="O17" s="82">
        <v>36376685.504000001</v>
      </c>
      <c r="P17" s="82">
        <v>40420278.600000001</v>
      </c>
      <c r="Q17" s="82">
        <v>44781988.754285701</v>
      </c>
    </row>
    <row r="18" spans="2:17">
      <c r="B18" s="83" t="s">
        <v>83</v>
      </c>
      <c r="C18" s="84">
        <v>14145467</v>
      </c>
      <c r="D18" s="84">
        <v>14462350</v>
      </c>
      <c r="E18" s="84">
        <v>14206098</v>
      </c>
      <c r="F18" s="82">
        <v>14359986.3146</v>
      </c>
      <c r="G18" s="82">
        <v>3597321.67</v>
      </c>
      <c r="H18" s="82">
        <v>7347362.8399999999</v>
      </c>
      <c r="I18" s="82">
        <v>10985307.220000001</v>
      </c>
      <c r="J18" s="82">
        <v>18449210.16</v>
      </c>
      <c r="K18" s="82">
        <v>22143202.934999999</v>
      </c>
      <c r="L18" s="82">
        <v>26962563.920000002</v>
      </c>
      <c r="M18" s="82">
        <v>31781924.905000001</v>
      </c>
      <c r="N18" s="82">
        <v>36601285.890000001</v>
      </c>
      <c r="O18" s="82">
        <v>41420646.875</v>
      </c>
      <c r="P18" s="82">
        <v>46240007.859999999</v>
      </c>
      <c r="Q18" s="82">
        <v>50737835.070714302</v>
      </c>
    </row>
    <row r="19" spans="2:17">
      <c r="B19" s="83" t="s">
        <v>244</v>
      </c>
      <c r="C19" s="84">
        <v>20991266</v>
      </c>
      <c r="D19" s="84">
        <v>20574476</v>
      </c>
      <c r="E19" s="84">
        <v>21879593</v>
      </c>
      <c r="F19" s="82">
        <v>18377030.385600001</v>
      </c>
      <c r="G19" s="82">
        <v>6151500.4100000001</v>
      </c>
      <c r="H19" s="82">
        <v>12256902.42</v>
      </c>
      <c r="I19" s="82">
        <v>19126128.530000001</v>
      </c>
      <c r="J19" s="82">
        <v>26632067.899999999</v>
      </c>
      <c r="K19" s="82">
        <v>33119381.960000001</v>
      </c>
      <c r="L19" s="82">
        <v>39950474.818000004</v>
      </c>
      <c r="M19" s="82">
        <v>46781567.675999999</v>
      </c>
      <c r="N19" s="82">
        <v>53612660.534000002</v>
      </c>
      <c r="O19" s="82">
        <v>60443753.391999997</v>
      </c>
      <c r="P19" s="82">
        <v>67274846.25</v>
      </c>
      <c r="Q19" s="82">
        <v>74007716.594285697</v>
      </c>
    </row>
    <row r="20" spans="2:17">
      <c r="B20" s="83" t="s">
        <v>151</v>
      </c>
      <c r="C20" s="84">
        <v>25559264</v>
      </c>
      <c r="D20" s="84">
        <v>25179343</v>
      </c>
      <c r="E20" s="84">
        <v>26552427</v>
      </c>
      <c r="F20" s="82">
        <v>27398720.544599999</v>
      </c>
      <c r="G20" s="82">
        <v>6903019.6799999997</v>
      </c>
      <c r="H20" s="82">
        <v>18182410.670000002</v>
      </c>
      <c r="I20" s="82">
        <v>25244299.050000001</v>
      </c>
      <c r="J20" s="82">
        <v>35101369.710000001</v>
      </c>
      <c r="K20" s="82">
        <v>44272009.395000003</v>
      </c>
      <c r="L20" s="82">
        <v>53437703.241999999</v>
      </c>
      <c r="M20" s="82">
        <v>62603397.089000002</v>
      </c>
      <c r="N20" s="82">
        <v>71769090.936000004</v>
      </c>
      <c r="O20" s="82">
        <v>80934784.783000007</v>
      </c>
      <c r="P20" s="82">
        <v>90100478.629999995</v>
      </c>
      <c r="Q20" s="82">
        <v>99267585.573571399</v>
      </c>
    </row>
    <row r="21" spans="2:17">
      <c r="B21" s="83" t="s">
        <v>97</v>
      </c>
      <c r="C21" s="84">
        <v>1568257</v>
      </c>
      <c r="D21" s="84">
        <v>2197352</v>
      </c>
      <c r="E21" s="84">
        <v>1939449</v>
      </c>
      <c r="F21" s="82">
        <v>1697186.9798000001</v>
      </c>
      <c r="G21" s="82">
        <v>308448.15999999997</v>
      </c>
      <c r="H21" s="82">
        <v>654882.92000000004</v>
      </c>
      <c r="I21" s="82">
        <v>1410256.72</v>
      </c>
      <c r="J21" s="82">
        <v>187873.03</v>
      </c>
      <c r="K21" s="82">
        <v>738777.31</v>
      </c>
      <c r="L21" s="82">
        <v>778142.15099999995</v>
      </c>
      <c r="M21" s="82">
        <v>817506.99199999997</v>
      </c>
      <c r="N21" s="82">
        <v>856871.83299999998</v>
      </c>
      <c r="O21" s="82">
        <v>896236.674</v>
      </c>
      <c r="P21" s="82">
        <v>935601.51500000001</v>
      </c>
      <c r="Q21" s="82">
        <v>1121120.4814285701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4"/>
  <sheetViews>
    <sheetView topLeftCell="D2" workbookViewId="0">
      <selection activeCell="H21" sqref="H21"/>
    </sheetView>
  </sheetViews>
  <sheetFormatPr defaultColWidth="15.42578125" defaultRowHeight="14.45"/>
  <cols>
    <col min="1" max="1" width="15.42578125" customWidth="1"/>
    <col min="2" max="2" width="32.85546875" bestFit="1" customWidth="1"/>
    <col min="3" max="3" width="15.42578125" customWidth="1"/>
    <col min="4" max="4" width="24.140625" customWidth="1"/>
    <col min="5" max="5" width="15.42578125" customWidth="1"/>
    <col min="6" max="6" width="24.85546875" customWidth="1"/>
    <col min="7" max="7" width="15.42578125" customWidth="1"/>
    <col min="8" max="8" width="23.5703125" customWidth="1"/>
    <col min="9" max="9" width="15.42578125" customWidth="1"/>
    <col min="10" max="10" width="24.7109375" customWidth="1"/>
  </cols>
  <sheetData>
    <row r="2" spans="2:10">
      <c r="B2" s="88" t="s">
        <v>0</v>
      </c>
      <c r="C2" s="89"/>
      <c r="D2" s="89"/>
      <c r="E2" s="89"/>
      <c r="F2" s="89"/>
      <c r="G2" s="89"/>
      <c r="H2" s="89"/>
      <c r="I2" s="89"/>
      <c r="J2" s="89"/>
    </row>
    <row r="3" spans="2:10" ht="15" thickBot="1">
      <c r="B3" s="88" t="s">
        <v>245</v>
      </c>
      <c r="C3" s="89"/>
      <c r="D3" s="89"/>
      <c r="E3" s="89"/>
      <c r="F3" s="89"/>
      <c r="G3" s="89"/>
      <c r="H3" s="89"/>
      <c r="I3" s="89"/>
      <c r="J3" s="89"/>
    </row>
    <row r="4" spans="2:10" ht="15.6" thickTop="1" thickBot="1">
      <c r="B4" s="90"/>
      <c r="C4" s="279" t="s">
        <v>160</v>
      </c>
      <c r="D4" s="280"/>
      <c r="E4" s="281"/>
      <c r="F4" s="90"/>
      <c r="G4" s="282" t="s">
        <v>6</v>
      </c>
      <c r="H4" s="283"/>
      <c r="I4" s="283"/>
      <c r="J4" s="284"/>
    </row>
    <row r="5" spans="2:10" ht="29.45" thickTop="1" thickBot="1">
      <c r="B5" s="91" t="s">
        <v>246</v>
      </c>
      <c r="C5" s="92" t="s">
        <v>247</v>
      </c>
      <c r="D5" s="93" t="s">
        <v>248</v>
      </c>
      <c r="E5" s="94" t="s">
        <v>249</v>
      </c>
      <c r="F5" s="95" t="s">
        <v>250</v>
      </c>
      <c r="G5" s="96" t="s">
        <v>247</v>
      </c>
      <c r="H5" s="93" t="s">
        <v>248</v>
      </c>
      <c r="I5" s="94" t="s">
        <v>249</v>
      </c>
      <c r="J5" s="95" t="s">
        <v>250</v>
      </c>
    </row>
    <row r="6" spans="2:10" ht="15" thickTop="1">
      <c r="B6" s="97" t="s">
        <v>251</v>
      </c>
      <c r="C6" s="98">
        <v>2175</v>
      </c>
      <c r="D6" s="99">
        <v>107874948</v>
      </c>
      <c r="E6" s="100">
        <v>0.01</v>
      </c>
      <c r="F6" s="101">
        <f>D6*E6</f>
        <v>1078749.48</v>
      </c>
      <c r="G6" s="102">
        <v>3311</v>
      </c>
      <c r="H6" s="99">
        <v>158103990.29640001</v>
      </c>
      <c r="I6" s="100">
        <v>0.01</v>
      </c>
      <c r="J6" s="101">
        <f>H6*I6</f>
        <v>1581039.9029640001</v>
      </c>
    </row>
    <row r="7" spans="2:10">
      <c r="B7" s="103" t="s">
        <v>252</v>
      </c>
      <c r="C7" s="104">
        <v>206</v>
      </c>
      <c r="D7" s="105">
        <v>11902836</v>
      </c>
      <c r="E7" s="106">
        <v>0.05</v>
      </c>
      <c r="F7" s="107">
        <f>D7*E7</f>
        <v>595141.80000000005</v>
      </c>
      <c r="G7" s="108">
        <v>180</v>
      </c>
      <c r="H7" s="105">
        <v>7578057.2344000004</v>
      </c>
      <c r="I7" s="106">
        <v>0.05</v>
      </c>
      <c r="J7" s="107">
        <f>H7*I7</f>
        <v>378902.86172000004</v>
      </c>
    </row>
    <row r="8" spans="2:10">
      <c r="B8" s="103" t="s">
        <v>253</v>
      </c>
      <c r="C8" s="104">
        <v>324</v>
      </c>
      <c r="D8" s="105">
        <v>10316506</v>
      </c>
      <c r="E8" s="106">
        <v>0.25</v>
      </c>
      <c r="F8" s="107">
        <f>D8*E8</f>
        <v>2579126.5</v>
      </c>
      <c r="G8" s="108">
        <v>195</v>
      </c>
      <c r="H8" s="105">
        <v>3659039.4761000001</v>
      </c>
      <c r="I8" s="106">
        <v>0.25</v>
      </c>
      <c r="J8" s="107">
        <f>H8*I8</f>
        <v>914759.86902500002</v>
      </c>
    </row>
    <row r="9" spans="2:10">
      <c r="B9" s="103" t="s">
        <v>254</v>
      </c>
      <c r="C9" s="104">
        <v>56</v>
      </c>
      <c r="D9" s="105">
        <v>1603462</v>
      </c>
      <c r="E9" s="106">
        <v>0.5</v>
      </c>
      <c r="F9" s="107">
        <f>D9*E9</f>
        <v>801731</v>
      </c>
      <c r="G9" s="108">
        <v>64</v>
      </c>
      <c r="H9" s="105">
        <v>1199772.4965000001</v>
      </c>
      <c r="I9" s="106">
        <v>0.5</v>
      </c>
      <c r="J9" s="107">
        <f>H9*I9</f>
        <v>599886.24825000006</v>
      </c>
    </row>
    <row r="10" spans="2:10" ht="15" thickBot="1">
      <c r="B10" s="109" t="s">
        <v>255</v>
      </c>
      <c r="C10" s="110">
        <v>45</v>
      </c>
      <c r="D10" s="111">
        <v>106870</v>
      </c>
      <c r="E10" s="112">
        <v>1</v>
      </c>
      <c r="F10" s="113">
        <f>D10*E10</f>
        <v>106870</v>
      </c>
      <c r="G10" s="114">
        <v>14</v>
      </c>
      <c r="H10" s="111">
        <v>54630.185999999994</v>
      </c>
      <c r="I10" s="112">
        <v>1</v>
      </c>
      <c r="J10" s="113">
        <f>H10*I10</f>
        <v>54630.185999999994</v>
      </c>
    </row>
    <row r="11" spans="2:10" ht="15.6" thickTop="1" thickBot="1">
      <c r="B11" s="115" t="s">
        <v>256</v>
      </c>
      <c r="C11" s="116">
        <f>SUM(C6:C10)</f>
        <v>2806</v>
      </c>
      <c r="D11" s="117">
        <f>SUM(D6:D10)</f>
        <v>131804622</v>
      </c>
      <c r="E11" s="117"/>
      <c r="F11" s="118">
        <f>SUM(F6:F10)</f>
        <v>5161618.78</v>
      </c>
      <c r="G11" s="119">
        <f>SUM(G6:G10)</f>
        <v>3764</v>
      </c>
      <c r="H11" s="117">
        <f>SUM(H6:H10)</f>
        <v>170595489.68939999</v>
      </c>
      <c r="I11" s="117"/>
      <c r="J11" s="118">
        <f>SUM(J6:J10)</f>
        <v>3529219.0679590004</v>
      </c>
    </row>
    <row r="12" spans="2:10" ht="15.6" thickTop="1" thickBot="1">
      <c r="B12" s="120" t="s">
        <v>257</v>
      </c>
      <c r="C12" s="121"/>
      <c r="D12" s="122"/>
      <c r="E12" s="123"/>
      <c r="F12" s="124"/>
      <c r="G12" s="125"/>
      <c r="H12" s="122"/>
      <c r="I12" s="123"/>
      <c r="J12" s="124"/>
    </row>
    <row r="13" spans="2:10" ht="15" thickTop="1">
      <c r="B13" s="97" t="s">
        <v>251</v>
      </c>
      <c r="C13" s="126"/>
      <c r="D13" s="127"/>
      <c r="E13" s="128">
        <v>0.01</v>
      </c>
      <c r="F13" s="101">
        <f>E13*D13</f>
        <v>0</v>
      </c>
      <c r="G13" s="129"/>
      <c r="H13" s="127"/>
      <c r="I13" s="128">
        <v>0.01</v>
      </c>
      <c r="J13" s="101">
        <f>I13*H13</f>
        <v>0</v>
      </c>
    </row>
    <row r="14" spans="2:10">
      <c r="B14" s="103" t="s">
        <v>252</v>
      </c>
      <c r="C14" s="130"/>
      <c r="D14" s="131">
        <f>D13/D11</f>
        <v>0</v>
      </c>
      <c r="E14" s="132">
        <v>0.05</v>
      </c>
      <c r="F14" s="107">
        <f>E14*D14</f>
        <v>0</v>
      </c>
      <c r="G14" s="133"/>
      <c r="H14" s="131">
        <f>H13/H11</f>
        <v>0</v>
      </c>
      <c r="I14" s="132">
        <v>0.05</v>
      </c>
      <c r="J14" s="107">
        <f>I14*H14</f>
        <v>0</v>
      </c>
    </row>
    <row r="15" spans="2:10">
      <c r="B15" s="103" t="s">
        <v>253</v>
      </c>
      <c r="C15" s="130"/>
      <c r="D15" s="131"/>
      <c r="E15" s="132">
        <v>0.25</v>
      </c>
      <c r="F15" s="107">
        <f>E15*D15</f>
        <v>0</v>
      </c>
      <c r="G15" s="133"/>
      <c r="H15" s="131"/>
      <c r="I15" s="132">
        <v>0.25</v>
      </c>
      <c r="J15" s="107">
        <f>I15*H15</f>
        <v>0</v>
      </c>
    </row>
    <row r="16" spans="2:10">
      <c r="B16" s="103" t="s">
        <v>254</v>
      </c>
      <c r="C16" s="130"/>
      <c r="D16" s="131"/>
      <c r="E16" s="132">
        <v>0.5</v>
      </c>
      <c r="F16" s="107">
        <f>E16*D16</f>
        <v>0</v>
      </c>
      <c r="G16" s="133"/>
      <c r="H16" s="131"/>
      <c r="I16" s="132">
        <v>0.5</v>
      </c>
      <c r="J16" s="107">
        <f>I16*H16</f>
        <v>0</v>
      </c>
    </row>
    <row r="17" spans="2:10" ht="15" thickBot="1">
      <c r="B17" s="134" t="s">
        <v>255</v>
      </c>
      <c r="C17" s="135"/>
      <c r="D17" s="136"/>
      <c r="E17" s="137">
        <v>1</v>
      </c>
      <c r="F17" s="138">
        <f>E17*D17</f>
        <v>0</v>
      </c>
      <c r="G17" s="139"/>
      <c r="H17" s="136"/>
      <c r="I17" s="137">
        <v>1</v>
      </c>
      <c r="J17" s="138">
        <f>I17*H17</f>
        <v>0</v>
      </c>
    </row>
    <row r="18" spans="2:10" ht="15.6" thickTop="1" thickBot="1">
      <c r="B18" s="140" t="s">
        <v>256</v>
      </c>
      <c r="C18" s="141">
        <f>SUM(C13:C17)</f>
        <v>0</v>
      </c>
      <c r="D18" s="142">
        <f>SUM(D13:D17)</f>
        <v>0</v>
      </c>
      <c r="E18" s="142"/>
      <c r="F18" s="143">
        <f>SUM(F13:F17)</f>
        <v>0</v>
      </c>
      <c r="G18" s="144">
        <f>SUM(G13:G17)</f>
        <v>0</v>
      </c>
      <c r="H18" s="142">
        <f>SUM(H13:H17)</f>
        <v>0</v>
      </c>
      <c r="I18" s="142"/>
      <c r="J18" s="143">
        <f>SUM(J13:J17)</f>
        <v>0</v>
      </c>
    </row>
    <row r="19" spans="2:10" ht="15.6" thickTop="1" thickBot="1">
      <c r="B19" s="115" t="s">
        <v>258</v>
      </c>
      <c r="C19" s="115">
        <f t="shared" ref="C19:J19" si="0">C11+C18</f>
        <v>2806</v>
      </c>
      <c r="D19" s="145">
        <f t="shared" si="0"/>
        <v>131804622</v>
      </c>
      <c r="E19" s="145">
        <f t="shared" si="0"/>
        <v>0</v>
      </c>
      <c r="F19" s="146">
        <f t="shared" si="0"/>
        <v>5161618.78</v>
      </c>
      <c r="G19" s="145">
        <f t="shared" si="0"/>
        <v>3764</v>
      </c>
      <c r="H19" s="145">
        <f t="shared" si="0"/>
        <v>170595489.68939999</v>
      </c>
      <c r="I19" s="145">
        <f t="shared" si="0"/>
        <v>0</v>
      </c>
      <c r="J19" s="146">
        <f t="shared" si="0"/>
        <v>3529219.0679590004</v>
      </c>
    </row>
    <row r="20" spans="2:10" ht="15" thickTop="1">
      <c r="B20" s="88" t="s">
        <v>259</v>
      </c>
      <c r="C20" s="89"/>
      <c r="D20" s="89">
        <f>SUM(D8:D10)</f>
        <v>12026838</v>
      </c>
      <c r="E20" s="89"/>
      <c r="F20" s="89"/>
      <c r="G20" s="89"/>
      <c r="H20" s="89">
        <f>SUM(H8:H10)</f>
        <v>4913442.1585999997</v>
      </c>
      <c r="I20" s="89"/>
      <c r="J20" s="89"/>
    </row>
    <row r="21" spans="2:10">
      <c r="B21" s="88" t="s">
        <v>260</v>
      </c>
      <c r="C21" s="89"/>
      <c r="D21" s="147">
        <f>D20/D19</f>
        <v>9.1247467786068986E-2</v>
      </c>
      <c r="E21" s="89"/>
      <c r="F21" s="89"/>
      <c r="G21" s="89"/>
      <c r="H21" s="148"/>
      <c r="I21" s="89"/>
      <c r="J21" s="89"/>
    </row>
    <row r="22" spans="2:10">
      <c r="B22" s="89"/>
      <c r="C22" s="89"/>
      <c r="D22" s="89"/>
      <c r="E22" s="89"/>
      <c r="F22" s="89"/>
      <c r="G22" s="89"/>
      <c r="H22" s="89"/>
      <c r="I22" s="89"/>
      <c r="J22" s="89"/>
    </row>
    <row r="23" spans="2:10">
      <c r="B23" s="89"/>
      <c r="C23" s="89"/>
      <c r="D23" s="89"/>
      <c r="E23" s="89"/>
      <c r="F23" s="89"/>
      <c r="G23" s="89"/>
      <c r="H23" s="89"/>
      <c r="I23" s="89"/>
      <c r="J23" s="89"/>
    </row>
    <row r="24" spans="2:10">
      <c r="B24" s="89"/>
      <c r="C24" s="89"/>
      <c r="D24" s="89"/>
      <c r="E24" s="89"/>
      <c r="F24" s="89"/>
      <c r="G24" s="89"/>
      <c r="H24" s="89"/>
      <c r="I24" s="89"/>
      <c r="J24" s="89"/>
    </row>
  </sheetData>
  <mergeCells count="2">
    <mergeCell ref="C4:E4"/>
    <mergeCell ref="G4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DCC5C5B5-9200-4A3E-8898-1EA6683DC0E3}"/>
</file>

<file path=customXml/itemProps2.xml><?xml version="1.0" encoding="utf-8"?>
<ds:datastoreItem xmlns:ds="http://schemas.openxmlformats.org/officeDocument/2006/customXml" ds:itemID="{059019F6-0771-4F0E-BD39-F950328E07EA}"/>
</file>

<file path=customXml/itemProps3.xml><?xml version="1.0" encoding="utf-8"?>
<ds:datastoreItem xmlns:ds="http://schemas.openxmlformats.org/officeDocument/2006/customXml" ds:itemID="{ADFE1237-9854-402F-9CB5-955C39424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Levy Ntabo</cp:lastModifiedBy>
  <cp:revision/>
  <dcterms:created xsi:type="dcterms:W3CDTF">2012-07-31T14:31:17Z</dcterms:created>
  <dcterms:modified xsi:type="dcterms:W3CDTF">2023-09-13T12:21:11Z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2022-02-02T11:02:19Z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1f3f161f-6b13-47d8-8272-df875b1303ff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
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watu\Downloads\"/>
    </mc:Choice>
  </mc:AlternateContent>
  <xr:revisionPtr revIDLastSave="412" documentId="13_ncr:1_{6BBE1460-250E-4FAC-8174-F346ADD2C858}" xr6:coauthVersionLast="47" xr6:coauthVersionMax="47" xr10:uidLastSave="{01ABEE17-9D6F-416B-99DC-B28E6257D0F3}"/>
  <bookViews>
    <workbookView xWindow="0" yWindow="0" windowWidth="19200" windowHeight="5940" tabRatio="759" activeTab="5" xr2:uid="{00000000-000D-0000-FFFF-FFFF00000000}"/>
  </bookViews>
  <sheets>
    <sheet name="statement of deposit" sheetId="3" r:id="rId1"/>
    <sheet name="SCI" sheetId="7" r:id="rId2"/>
    <sheet name="SFP" sheetId="6" r:id="rId3"/>
    <sheet name="FINANCIALS" sheetId="10" r:id="rId4"/>
    <sheet name="PRUDENTIAL RATIOS" sheetId="9" r:id="rId5"/>
    <sheet name="CAELS" sheetId="14" r:id="rId6"/>
    <sheet name="FORM 4" sheetId="12" r:id="rId7"/>
    <sheet name="form 3" sheetId="16" r:id="rId8"/>
    <sheet name="Sheet1" sheetId="17" r:id="rId9"/>
  </sheets>
  <definedNames>
    <definedName name="_xlnm.Print_Area" localSheetId="5">CAELS!$A$1:$D$25</definedName>
    <definedName name="_xlnm.Print_Area" localSheetId="3">FINANCIALS!$A$1:$AD$44</definedName>
    <definedName name="_xlnm.Print_Area" localSheetId="4">'PRUDENTIAL RATIOS'!$A$1:$AH$38</definedName>
    <definedName name="_xlnm.Print_Area" localSheetId="1">SCI!$A$1:$B$64</definedName>
    <definedName name="_xlnm.Print_Area" localSheetId="2">SFP!$A$1:$B$74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" i="9" l="1"/>
  <c r="AQ6" i="9"/>
  <c r="AQ7" i="9"/>
  <c r="AQ8" i="9"/>
  <c r="AQ12" i="9"/>
  <c r="AQ13" i="9"/>
  <c r="AQ16" i="9"/>
  <c r="AQ17" i="9"/>
  <c r="AQ18" i="9"/>
  <c r="AQ22" i="9"/>
  <c r="AQ23" i="9"/>
  <c r="AQ24" i="9"/>
  <c r="AQ25" i="9"/>
  <c r="AQ26" i="9"/>
  <c r="AQ29" i="9"/>
  <c r="AQ30" i="9"/>
  <c r="AQ31" i="9"/>
  <c r="AQ32" i="9"/>
  <c r="AQ33" i="9"/>
  <c r="AQ34" i="9"/>
  <c r="AQ35" i="9"/>
  <c r="AQ37" i="9"/>
  <c r="AQ41" i="9"/>
  <c r="AQ42" i="9"/>
  <c r="AQ43" i="9"/>
  <c r="AQ44" i="9"/>
  <c r="AQ45" i="9"/>
  <c r="AQ46" i="9"/>
  <c r="AQ48" i="9"/>
  <c r="AM4" i="10"/>
  <c r="AM5" i="10"/>
  <c r="AM6" i="10"/>
  <c r="AM7" i="10"/>
  <c r="AM8" i="10"/>
  <c r="AM15" i="10"/>
  <c r="AM16" i="10"/>
  <c r="AM17" i="10"/>
  <c r="AM18" i="10"/>
  <c r="AM25" i="10"/>
  <c r="AM23" i="10" s="1"/>
  <c r="AM28" i="10"/>
  <c r="AM29" i="10"/>
  <c r="AM31" i="10"/>
  <c r="AM32" i="10"/>
  <c r="AM34" i="10"/>
  <c r="AM35" i="10"/>
  <c r="AM36" i="10"/>
  <c r="AM37" i="10"/>
  <c r="AM40" i="10"/>
  <c r="AM41" i="10"/>
  <c r="AM43" i="10"/>
  <c r="AM44" i="10"/>
  <c r="AM11" i="7"/>
  <c r="AM10" i="7" s="1"/>
  <c r="AM15" i="7"/>
  <c r="AM21" i="7"/>
  <c r="AM30" i="7"/>
  <c r="AM32" i="7"/>
  <c r="AM36" i="7"/>
  <c r="AM43" i="7"/>
  <c r="AM45" i="7"/>
  <c r="AM49" i="7"/>
  <c r="AM53" i="7"/>
  <c r="AM56" i="7"/>
  <c r="AM16" i="6"/>
  <c r="AM10" i="6"/>
  <c r="AM22" i="6"/>
  <c r="AM31" i="6"/>
  <c r="AM26" i="6"/>
  <c r="AM38" i="6"/>
  <c r="AM45" i="6"/>
  <c r="AM47" i="6"/>
  <c r="AM54" i="6"/>
  <c r="AM60" i="6"/>
  <c r="AM64" i="6"/>
  <c r="AM70" i="6"/>
  <c r="AM72" i="6"/>
  <c r="AM73" i="6"/>
  <c r="AO12" i="14"/>
  <c r="AO13" i="14"/>
  <c r="AO14" i="14"/>
  <c r="AO16" i="14"/>
  <c r="AO18" i="14"/>
  <c r="AO19" i="14"/>
  <c r="AO20" i="14"/>
  <c r="AO22" i="14"/>
  <c r="AO23" i="14"/>
  <c r="AO24" i="14"/>
  <c r="AO25" i="14"/>
  <c r="AF5" i="14"/>
  <c r="AG5" i="14"/>
  <c r="AH5" i="14"/>
  <c r="AI5" i="14"/>
  <c r="AJ5" i="14"/>
  <c r="AK5" i="14"/>
  <c r="AL5" i="14"/>
  <c r="AM5" i="14"/>
  <c r="AN5" i="14"/>
  <c r="AF6" i="14"/>
  <c r="AG6" i="14"/>
  <c r="AH6" i="14"/>
  <c r="AI6" i="14"/>
  <c r="AJ6" i="14"/>
  <c r="AK6" i="14"/>
  <c r="AL6" i="14"/>
  <c r="AM6" i="14"/>
  <c r="AN6" i="14"/>
  <c r="AF7" i="14"/>
  <c r="AG7" i="14"/>
  <c r="AH7" i="14"/>
  <c r="AI7" i="14"/>
  <c r="AJ7" i="14"/>
  <c r="AK7" i="14"/>
  <c r="AL7" i="14"/>
  <c r="AM7" i="14"/>
  <c r="AN7" i="14"/>
  <c r="AF8" i="14"/>
  <c r="AG8" i="14"/>
  <c r="AH8" i="14"/>
  <c r="AI8" i="14"/>
  <c r="AJ8" i="14"/>
  <c r="AK8" i="14"/>
  <c r="AL8" i="14"/>
  <c r="AM8" i="14"/>
  <c r="AN8" i="14"/>
  <c r="AF12" i="14"/>
  <c r="AG12" i="14"/>
  <c r="AH12" i="14"/>
  <c r="AI12" i="14"/>
  <c r="AJ12" i="14"/>
  <c r="AK12" i="14"/>
  <c r="AL12" i="14"/>
  <c r="AM12" i="14"/>
  <c r="AN12" i="14"/>
  <c r="AF13" i="14"/>
  <c r="AG13" i="14"/>
  <c r="AH13" i="14"/>
  <c r="AI13" i="14"/>
  <c r="AJ13" i="14"/>
  <c r="AK13" i="14"/>
  <c r="AL13" i="14"/>
  <c r="AM13" i="14"/>
  <c r="AN13" i="14"/>
  <c r="AF14" i="14"/>
  <c r="AG14" i="14"/>
  <c r="AH14" i="14"/>
  <c r="AI14" i="14"/>
  <c r="AJ14" i="14"/>
  <c r="AK14" i="14"/>
  <c r="AL14" i="14"/>
  <c r="AM14" i="14"/>
  <c r="AN14" i="14"/>
  <c r="AF15" i="14"/>
  <c r="AG15" i="14"/>
  <c r="AH15" i="14"/>
  <c r="AI15" i="14"/>
  <c r="AJ15" i="14"/>
  <c r="AK15" i="14"/>
  <c r="AL15" i="14"/>
  <c r="AM15" i="14"/>
  <c r="AN15" i="14"/>
  <c r="AF16" i="14"/>
  <c r="AG16" i="14"/>
  <c r="AH16" i="14"/>
  <c r="AI16" i="14"/>
  <c r="AJ16" i="14"/>
  <c r="AK16" i="14"/>
  <c r="AL16" i="14"/>
  <c r="AM16" i="14"/>
  <c r="AN16" i="14"/>
  <c r="AF18" i="14"/>
  <c r="AG18" i="14"/>
  <c r="AH18" i="14"/>
  <c r="AI18" i="14"/>
  <c r="AJ18" i="14"/>
  <c r="AK18" i="14"/>
  <c r="AL18" i="14"/>
  <c r="AM18" i="14"/>
  <c r="AN18" i="14"/>
  <c r="AF19" i="14"/>
  <c r="AG19" i="14"/>
  <c r="AH19" i="14"/>
  <c r="AI19" i="14"/>
  <c r="AJ19" i="14"/>
  <c r="AK19" i="14"/>
  <c r="AL19" i="14"/>
  <c r="AM19" i="14"/>
  <c r="AN19" i="14"/>
  <c r="AF20" i="14"/>
  <c r="AG20" i="14"/>
  <c r="AH20" i="14"/>
  <c r="AI20" i="14"/>
  <c r="AJ20" i="14"/>
  <c r="AK20" i="14"/>
  <c r="AL20" i="14"/>
  <c r="AM20" i="14"/>
  <c r="AN20" i="14"/>
  <c r="AF22" i="14"/>
  <c r="AG22" i="14"/>
  <c r="AH22" i="14"/>
  <c r="AI22" i="14"/>
  <c r="AJ22" i="14"/>
  <c r="AK22" i="14"/>
  <c r="AL22" i="14"/>
  <c r="AM22" i="14"/>
  <c r="AN22" i="14"/>
  <c r="AF23" i="14"/>
  <c r="AG23" i="14"/>
  <c r="AH23" i="14"/>
  <c r="AI23" i="14"/>
  <c r="AJ23" i="14"/>
  <c r="AK23" i="14"/>
  <c r="AL23" i="14"/>
  <c r="AM23" i="14"/>
  <c r="AN23" i="14"/>
  <c r="AF24" i="14"/>
  <c r="AG24" i="14"/>
  <c r="AH24" i="14"/>
  <c r="AI24" i="14"/>
  <c r="AJ24" i="14"/>
  <c r="AK24" i="14"/>
  <c r="AL24" i="14"/>
  <c r="AM24" i="14"/>
  <c r="AN24" i="14"/>
  <c r="AF25" i="14"/>
  <c r="AG25" i="14"/>
  <c r="AH25" i="14"/>
  <c r="AI25" i="14"/>
  <c r="AJ25" i="14"/>
  <c r="AK25" i="14"/>
  <c r="AL25" i="14"/>
  <c r="AM25" i="14"/>
  <c r="AN25" i="14"/>
  <c r="T5" i="14"/>
  <c r="U5" i="14"/>
  <c r="V5" i="14"/>
  <c r="W5" i="14"/>
  <c r="X5" i="14"/>
  <c r="Y5" i="14"/>
  <c r="Z5" i="14"/>
  <c r="AA5" i="14"/>
  <c r="AB5" i="14"/>
  <c r="AC5" i="14"/>
  <c r="AD5" i="14"/>
  <c r="AE5" i="14"/>
  <c r="T6" i="14"/>
  <c r="U6" i="14"/>
  <c r="V6" i="14"/>
  <c r="W6" i="14"/>
  <c r="X6" i="14"/>
  <c r="Y6" i="14"/>
  <c r="Z6" i="14"/>
  <c r="AA6" i="14"/>
  <c r="AB6" i="14"/>
  <c r="AC6" i="14"/>
  <c r="AD6" i="14"/>
  <c r="AE6" i="14"/>
  <c r="T7" i="14"/>
  <c r="U7" i="14"/>
  <c r="V7" i="14"/>
  <c r="W7" i="14"/>
  <c r="X7" i="14"/>
  <c r="Y7" i="14"/>
  <c r="Z7" i="14"/>
  <c r="AA7" i="14"/>
  <c r="AB7" i="14"/>
  <c r="AC7" i="14"/>
  <c r="AD7" i="14"/>
  <c r="AE7" i="14"/>
  <c r="T8" i="14"/>
  <c r="U8" i="14"/>
  <c r="V8" i="14"/>
  <c r="W8" i="14"/>
  <c r="X8" i="14"/>
  <c r="Y8" i="14"/>
  <c r="Z8" i="14"/>
  <c r="AA8" i="14"/>
  <c r="AB8" i="14"/>
  <c r="AC8" i="14"/>
  <c r="AD8" i="14"/>
  <c r="AE8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O5" i="9"/>
  <c r="AP5" i="9"/>
  <c r="AO6" i="9"/>
  <c r="AP6" i="9"/>
  <c r="AO7" i="9"/>
  <c r="AP7" i="9"/>
  <c r="AO8" i="9"/>
  <c r="AP8" i="9"/>
  <c r="AO12" i="9"/>
  <c r="AP12" i="9"/>
  <c r="AO13" i="9"/>
  <c r="AP13" i="9"/>
  <c r="AO16" i="9"/>
  <c r="AP16" i="9"/>
  <c r="AO17" i="9"/>
  <c r="AP17" i="9"/>
  <c r="AO18" i="9"/>
  <c r="AP18" i="9"/>
  <c r="AO22" i="9"/>
  <c r="AP22" i="9"/>
  <c r="AO23" i="9"/>
  <c r="AP23" i="9"/>
  <c r="AO24" i="9"/>
  <c r="AP24" i="9"/>
  <c r="AO25" i="9"/>
  <c r="AP25" i="9"/>
  <c r="AO26" i="9"/>
  <c r="AP26" i="9"/>
  <c r="AO29" i="9"/>
  <c r="AP29" i="9"/>
  <c r="AO30" i="9"/>
  <c r="AP30" i="9"/>
  <c r="AO31" i="9"/>
  <c r="AP31" i="9"/>
  <c r="AO32" i="9"/>
  <c r="AP32" i="9"/>
  <c r="AO33" i="9"/>
  <c r="AP33" i="9"/>
  <c r="AO34" i="9"/>
  <c r="AP34" i="9"/>
  <c r="AO35" i="9"/>
  <c r="AP35" i="9"/>
  <c r="AO37" i="9"/>
  <c r="AP37" i="9"/>
  <c r="AO41" i="9"/>
  <c r="AP41" i="9"/>
  <c r="AO42" i="9"/>
  <c r="AP42" i="9"/>
  <c r="AO43" i="9"/>
  <c r="AP43" i="9"/>
  <c r="AO44" i="9"/>
  <c r="AP44" i="9"/>
  <c r="AO45" i="9"/>
  <c r="AP45" i="9"/>
  <c r="AO46" i="9"/>
  <c r="AP46" i="9"/>
  <c r="AO48" i="9"/>
  <c r="AP48" i="9"/>
  <c r="AK4" i="10"/>
  <c r="AL4" i="10"/>
  <c r="AK5" i="10"/>
  <c r="AL5" i="10"/>
  <c r="AK6" i="10"/>
  <c r="AL6" i="10"/>
  <c r="AK7" i="10"/>
  <c r="AL7" i="10"/>
  <c r="AK8" i="10"/>
  <c r="AL8" i="10"/>
  <c r="AK15" i="10"/>
  <c r="AL15" i="10"/>
  <c r="AK16" i="10"/>
  <c r="AL16" i="10"/>
  <c r="AK17" i="10"/>
  <c r="AL17" i="10"/>
  <c r="AK18" i="10"/>
  <c r="AL18" i="10"/>
  <c r="AK25" i="10"/>
  <c r="AK23" i="10" s="1"/>
  <c r="AL25" i="10"/>
  <c r="AL23" i="10" s="1"/>
  <c r="AK28" i="10"/>
  <c r="AL28" i="10"/>
  <c r="AK29" i="10"/>
  <c r="AL29" i="10"/>
  <c r="AK31" i="10"/>
  <c r="AL31" i="10"/>
  <c r="AK32" i="10"/>
  <c r="AL32" i="10"/>
  <c r="AK34" i="10"/>
  <c r="AL34" i="10"/>
  <c r="AK35" i="10"/>
  <c r="AL35" i="10"/>
  <c r="AK36" i="10"/>
  <c r="AL36" i="10"/>
  <c r="AK37" i="10"/>
  <c r="AL37" i="10"/>
  <c r="AK40" i="10"/>
  <c r="AL40" i="10"/>
  <c r="AK41" i="10"/>
  <c r="AL41" i="10"/>
  <c r="AK43" i="10"/>
  <c r="AL43" i="10"/>
  <c r="AK44" i="10"/>
  <c r="AL44" i="10"/>
  <c r="AK53" i="7"/>
  <c r="AL53" i="7"/>
  <c r="AK49" i="7"/>
  <c r="AL49" i="7"/>
  <c r="AK45" i="7"/>
  <c r="AL45" i="7"/>
  <c r="AK43" i="7"/>
  <c r="AL43" i="7"/>
  <c r="AK36" i="7"/>
  <c r="AL36" i="7"/>
  <c r="AK32" i="7"/>
  <c r="AL32" i="7"/>
  <c r="AK30" i="7"/>
  <c r="AL30" i="7"/>
  <c r="AK21" i="7"/>
  <c r="AL21" i="7"/>
  <c r="AK15" i="7"/>
  <c r="AL15" i="7"/>
  <c r="AK11" i="7"/>
  <c r="AK10" i="7" s="1"/>
  <c r="AL11" i="7"/>
  <c r="AL10" i="7" s="1"/>
  <c r="AK56" i="7"/>
  <c r="AL56" i="7"/>
  <c r="AK10" i="6"/>
  <c r="AL10" i="6"/>
  <c r="AK16" i="6"/>
  <c r="AL16" i="6"/>
  <c r="AK22" i="6"/>
  <c r="AL22" i="6"/>
  <c r="AK26" i="6"/>
  <c r="AL26" i="6"/>
  <c r="AK31" i="6"/>
  <c r="AL31" i="6"/>
  <c r="AK38" i="6"/>
  <c r="AL38" i="6"/>
  <c r="AK45" i="6"/>
  <c r="AL45" i="6"/>
  <c r="AK47" i="6"/>
  <c r="AL47" i="6"/>
  <c r="AK54" i="6"/>
  <c r="AL54" i="6"/>
  <c r="AK72" i="6"/>
  <c r="AL72" i="6"/>
  <c r="AK73" i="6"/>
  <c r="AL73" i="6"/>
  <c r="AK60" i="6"/>
  <c r="AL60" i="6"/>
  <c r="AK70" i="6"/>
  <c r="AL70" i="6"/>
  <c r="AK64" i="6"/>
  <c r="AL64" i="6"/>
  <c r="AN5" i="9"/>
  <c r="AN6" i="9"/>
  <c r="AN7" i="9"/>
  <c r="AN8" i="9"/>
  <c r="AN12" i="9"/>
  <c r="AN13" i="9"/>
  <c r="AN16" i="9"/>
  <c r="AN17" i="9"/>
  <c r="AN18" i="9"/>
  <c r="AN22" i="9"/>
  <c r="AN23" i="9"/>
  <c r="AN24" i="9"/>
  <c r="AN25" i="9"/>
  <c r="AN26" i="9"/>
  <c r="AN29" i="9"/>
  <c r="AN30" i="9"/>
  <c r="AN31" i="9"/>
  <c r="AN32" i="9"/>
  <c r="AN33" i="9"/>
  <c r="AN34" i="9"/>
  <c r="AN35" i="9"/>
  <c r="AN37" i="9"/>
  <c r="AN41" i="9"/>
  <c r="AN42" i="9"/>
  <c r="AN43" i="9"/>
  <c r="AN44" i="9"/>
  <c r="AN45" i="9"/>
  <c r="AN46" i="9"/>
  <c r="AN48" i="9"/>
  <c r="AJ4" i="10"/>
  <c r="AJ5" i="10"/>
  <c r="AJ6" i="10"/>
  <c r="AJ7" i="10"/>
  <c r="AJ8" i="10"/>
  <c r="AJ15" i="10"/>
  <c r="AJ16" i="10"/>
  <c r="AJ17" i="10"/>
  <c r="AJ18" i="10"/>
  <c r="AJ25" i="10"/>
  <c r="AJ23" i="10" s="1"/>
  <c r="AJ28" i="10"/>
  <c r="AJ29" i="10"/>
  <c r="AJ31" i="10"/>
  <c r="AJ32" i="10"/>
  <c r="AJ34" i="10"/>
  <c r="AJ35" i="10"/>
  <c r="AJ36" i="10"/>
  <c r="AJ37" i="10"/>
  <c r="AJ40" i="10"/>
  <c r="AJ41" i="10"/>
  <c r="AJ43" i="10"/>
  <c r="AJ44" i="10"/>
  <c r="AJ45" i="7"/>
  <c r="AJ36" i="7"/>
  <c r="AJ32" i="7"/>
  <c r="AJ21" i="7"/>
  <c r="AJ15" i="7"/>
  <c r="AJ11" i="7"/>
  <c r="AJ10" i="7"/>
  <c r="AJ30" i="7" s="1"/>
  <c r="AJ43" i="7" s="1"/>
  <c r="AJ49" i="7" s="1"/>
  <c r="AJ53" i="7" s="1"/>
  <c r="AJ56" i="7" s="1"/>
  <c r="AJ73" i="6"/>
  <c r="AJ72" i="6"/>
  <c r="AJ70" i="6"/>
  <c r="AJ64" i="6"/>
  <c r="AJ60" i="6"/>
  <c r="AJ54" i="6"/>
  <c r="AJ47" i="6"/>
  <c r="AJ45" i="6"/>
  <c r="AJ38" i="6"/>
  <c r="AJ31" i="6"/>
  <c r="AJ26" i="6"/>
  <c r="AJ22" i="6"/>
  <c r="AJ16" i="6"/>
  <c r="AJ10" i="6"/>
  <c r="AI4" i="10"/>
  <c r="AI5" i="10"/>
  <c r="AI6" i="10"/>
  <c r="AI7" i="10"/>
  <c r="AI8" i="10"/>
  <c r="AI15" i="10"/>
  <c r="AI16" i="10"/>
  <c r="AI17" i="10"/>
  <c r="AI18" i="10"/>
  <c r="AI25" i="10"/>
  <c r="AI23" i="10" s="1"/>
  <c r="AI28" i="10"/>
  <c r="AI29" i="10"/>
  <c r="AI31" i="10"/>
  <c r="AI32" i="10"/>
  <c r="AI34" i="10"/>
  <c r="AI35" i="10"/>
  <c r="AI36" i="10"/>
  <c r="AI37" i="10"/>
  <c r="AI40" i="10"/>
  <c r="AI41" i="10"/>
  <c r="AI43" i="10"/>
  <c r="AI44" i="10"/>
  <c r="AM12" i="9"/>
  <c r="AM13" i="9"/>
  <c r="AM16" i="9"/>
  <c r="AM18" i="9"/>
  <c r="AM22" i="9"/>
  <c r="AM23" i="9"/>
  <c r="AM24" i="9"/>
  <c r="AM25" i="9"/>
  <c r="AM29" i="9"/>
  <c r="AM30" i="9"/>
  <c r="AM31" i="9"/>
  <c r="AM32" i="9"/>
  <c r="AM33" i="9"/>
  <c r="AM35" i="9"/>
  <c r="AM37" i="9"/>
  <c r="AM41" i="9"/>
  <c r="AM42" i="9"/>
  <c r="AM43" i="9"/>
  <c r="AM44" i="9"/>
  <c r="AM45" i="9"/>
  <c r="AM46" i="9"/>
  <c r="AM48" i="9"/>
  <c r="AI21" i="7"/>
  <c r="AI73" i="6"/>
  <c r="AI38" i="6"/>
  <c r="AI45" i="7"/>
  <c r="AI36" i="7"/>
  <c r="AI32" i="7"/>
  <c r="AI15" i="7"/>
  <c r="AI11" i="7"/>
  <c r="AI10" i="7"/>
  <c r="AI30" i="7" s="1"/>
  <c r="AI43" i="7" s="1"/>
  <c r="AI49" i="7" s="1"/>
  <c r="AI53" i="7" s="1"/>
  <c r="AI56" i="7" s="1"/>
  <c r="AI64" i="6"/>
  <c r="AI60" i="6"/>
  <c r="AI70" i="6" s="1"/>
  <c r="AI47" i="6"/>
  <c r="AI45" i="6"/>
  <c r="AI54" i="6" s="1"/>
  <c r="AI72" i="6" s="1"/>
  <c r="AI31" i="6"/>
  <c r="AI26" i="6"/>
  <c r="AI22" i="6"/>
  <c r="AI16" i="6"/>
  <c r="AI10" i="6"/>
  <c r="AH6" i="10"/>
  <c r="AH7" i="10"/>
  <c r="AH8" i="10"/>
  <c r="AH15" i="10"/>
  <c r="AL41" i="9" s="1"/>
  <c r="AH17" i="10"/>
  <c r="AH18" i="10"/>
  <c r="AH25" i="10"/>
  <c r="AH23" i="10" s="1"/>
  <c r="AH28" i="10"/>
  <c r="AH29" i="10"/>
  <c r="AL48" i="9" s="1"/>
  <c r="AH35" i="10"/>
  <c r="AH37" i="10"/>
  <c r="AH41" i="10"/>
  <c r="AH43" i="10"/>
  <c r="AH45" i="7"/>
  <c r="AH36" i="7"/>
  <c r="AH44" i="10" s="1"/>
  <c r="AH32" i="7"/>
  <c r="AH21" i="7"/>
  <c r="AH40" i="10" s="1"/>
  <c r="AH15" i="7"/>
  <c r="AH36" i="10" s="1"/>
  <c r="AH11" i="7"/>
  <c r="AH10" i="7"/>
  <c r="AH64" i="6"/>
  <c r="AH60" i="6"/>
  <c r="AH47" i="6"/>
  <c r="AH45" i="6"/>
  <c r="AH31" i="6"/>
  <c r="AH26" i="6"/>
  <c r="AH22" i="6"/>
  <c r="AH16" i="6"/>
  <c r="AH10" i="6"/>
  <c r="AH38" i="6" s="1"/>
  <c r="AH4" i="10" s="1"/>
  <c r="AE6" i="10"/>
  <c r="AF6" i="10"/>
  <c r="AG6" i="10"/>
  <c r="AE7" i="10"/>
  <c r="AF7" i="10"/>
  <c r="AG7" i="10"/>
  <c r="AE8" i="10"/>
  <c r="AF8" i="10"/>
  <c r="AG8" i="10"/>
  <c r="AE15" i="10"/>
  <c r="AI41" i="9" s="1"/>
  <c r="AF15" i="10"/>
  <c r="AJ41" i="9" s="1"/>
  <c r="AG15" i="10"/>
  <c r="AK41" i="9" s="1"/>
  <c r="AE17" i="10"/>
  <c r="AF17" i="10"/>
  <c r="AG17" i="10"/>
  <c r="AE18" i="10"/>
  <c r="AF18" i="10"/>
  <c r="AG18" i="10"/>
  <c r="AE25" i="10"/>
  <c r="AE23" i="10" s="1"/>
  <c r="AF25" i="10"/>
  <c r="AF23" i="10" s="1"/>
  <c r="AG25" i="10"/>
  <c r="AG23" i="10" s="1"/>
  <c r="AE28" i="10"/>
  <c r="AF28" i="10"/>
  <c r="AG28" i="10"/>
  <c r="AE29" i="10"/>
  <c r="AI48" i="9" s="1"/>
  <c r="AF29" i="10"/>
  <c r="AJ48" i="9" s="1"/>
  <c r="AG29" i="10"/>
  <c r="AK48" i="9" s="1"/>
  <c r="AE35" i="10"/>
  <c r="AF35" i="10"/>
  <c r="AG35" i="10"/>
  <c r="AE37" i="10"/>
  <c r="AF37" i="10"/>
  <c r="AG37" i="10"/>
  <c r="AE41" i="10"/>
  <c r="AF41" i="10"/>
  <c r="AG41" i="10"/>
  <c r="AE43" i="10"/>
  <c r="AF43" i="10"/>
  <c r="AG43" i="10"/>
  <c r="AD45" i="7"/>
  <c r="AE45" i="7"/>
  <c r="AF45" i="7"/>
  <c r="AG45" i="7"/>
  <c r="AD36" i="7"/>
  <c r="AE36" i="7"/>
  <c r="AE44" i="10" s="1"/>
  <c r="AF36" i="7"/>
  <c r="AF44" i="10" s="1"/>
  <c r="AG36" i="7"/>
  <c r="AG44" i="10" s="1"/>
  <c r="AD32" i="7"/>
  <c r="AE32" i="7"/>
  <c r="AF32" i="7"/>
  <c r="AG32" i="7"/>
  <c r="AD21" i="7"/>
  <c r="AE21" i="7"/>
  <c r="AE40" i="10" s="1"/>
  <c r="AF21" i="7"/>
  <c r="AF40" i="10" s="1"/>
  <c r="AJ37" i="9" s="1"/>
  <c r="AG21" i="7"/>
  <c r="AG40" i="10" s="1"/>
  <c r="AK37" i="9" s="1"/>
  <c r="AD15" i="7"/>
  <c r="AE15" i="7"/>
  <c r="AE36" i="10" s="1"/>
  <c r="AF15" i="7"/>
  <c r="AF36" i="10" s="1"/>
  <c r="AG15" i="7"/>
  <c r="AG36" i="10" s="1"/>
  <c r="AD11" i="7"/>
  <c r="AE11" i="7"/>
  <c r="AF11" i="7"/>
  <c r="AG11" i="7"/>
  <c r="AD10" i="7"/>
  <c r="AD30" i="7" s="1"/>
  <c r="AD43" i="7" s="1"/>
  <c r="AD49" i="7" s="1"/>
  <c r="AD53" i="7" s="1"/>
  <c r="AD56" i="7" s="1"/>
  <c r="AE10" i="7"/>
  <c r="AF10" i="7"/>
  <c r="AG10" i="7"/>
  <c r="AE64" i="6"/>
  <c r="AF64" i="6"/>
  <c r="AG64" i="6"/>
  <c r="AE60" i="6"/>
  <c r="AF60" i="6"/>
  <c r="AG60" i="6"/>
  <c r="AD47" i="6"/>
  <c r="AE47" i="6"/>
  <c r="AF47" i="6"/>
  <c r="AG47" i="6"/>
  <c r="AD45" i="6"/>
  <c r="AD54" i="6" s="1"/>
  <c r="AE45" i="6"/>
  <c r="AF45" i="6"/>
  <c r="AG45" i="6"/>
  <c r="AD31" i="6"/>
  <c r="AE31" i="6"/>
  <c r="AF31" i="6"/>
  <c r="AG31" i="6"/>
  <c r="AD10" i="6"/>
  <c r="AE10" i="6"/>
  <c r="AF10" i="6"/>
  <c r="AG10" i="6"/>
  <c r="AD16" i="6"/>
  <c r="AE16" i="6"/>
  <c r="AF16" i="6"/>
  <c r="AG16" i="6"/>
  <c r="AD22" i="6"/>
  <c r="AE22" i="6"/>
  <c r="AF22" i="6"/>
  <c r="AG22" i="6"/>
  <c r="AD26" i="6"/>
  <c r="AE26" i="6"/>
  <c r="AF26" i="6"/>
  <c r="AG26" i="6"/>
  <c r="AD62" i="6"/>
  <c r="AD60" i="6" s="1"/>
  <c r="AM27" i="10" l="1"/>
  <c r="AM14" i="10"/>
  <c r="AM11" i="10" s="1"/>
  <c r="AL27" i="10"/>
  <c r="AK27" i="10"/>
  <c r="AL14" i="10"/>
  <c r="AL11" i="10" s="1"/>
  <c r="AL12" i="10" s="1"/>
  <c r="AK14" i="10"/>
  <c r="AK11" i="10" s="1"/>
  <c r="AK12" i="10" s="1"/>
  <c r="AJ27" i="10"/>
  <c r="AJ14" i="10"/>
  <c r="AJ11" i="10" s="1"/>
  <c r="AJ12" i="10" s="1"/>
  <c r="AI27" i="10"/>
  <c r="AI14" i="10"/>
  <c r="AI11" i="10" s="1"/>
  <c r="AG30" i="7"/>
  <c r="AG43" i="7" s="1"/>
  <c r="AG49" i="7" s="1"/>
  <c r="AG53" i="7" s="1"/>
  <c r="AG56" i="7" s="1"/>
  <c r="AG34" i="10"/>
  <c r="AF30" i="7"/>
  <c r="AF43" i="7" s="1"/>
  <c r="AF49" i="7" s="1"/>
  <c r="AF53" i="7" s="1"/>
  <c r="AF56" i="7" s="1"/>
  <c r="AF34" i="10"/>
  <c r="AE30" i="7"/>
  <c r="AE43" i="7" s="1"/>
  <c r="AE49" i="7" s="1"/>
  <c r="AE53" i="7" s="1"/>
  <c r="AE56" i="7" s="1"/>
  <c r="AE34" i="10"/>
  <c r="AK44" i="9"/>
  <c r="AJ44" i="9"/>
  <c r="AI44" i="9"/>
  <c r="AH30" i="7"/>
  <c r="AH43" i="7" s="1"/>
  <c r="AH49" i="7" s="1"/>
  <c r="AH53" i="7" s="1"/>
  <c r="AH56" i="7" s="1"/>
  <c r="AH34" i="10"/>
  <c r="AL35" i="9" s="1"/>
  <c r="AL37" i="9"/>
  <c r="AL44" i="9"/>
  <c r="AD38" i="6"/>
  <c r="AG31" i="10"/>
  <c r="AG32" i="10"/>
  <c r="AF31" i="10"/>
  <c r="AF32" i="10"/>
  <c r="AE31" i="10"/>
  <c r="AE32" i="10"/>
  <c r="AG54" i="6"/>
  <c r="AG5" i="10"/>
  <c r="AF54" i="6"/>
  <c r="AF5" i="10"/>
  <c r="AE54" i="6"/>
  <c r="AE5" i="10"/>
  <c r="AG70" i="6"/>
  <c r="AG16" i="10"/>
  <c r="AF70" i="6"/>
  <c r="AF16" i="10"/>
  <c r="AE70" i="6"/>
  <c r="AE16" i="10"/>
  <c r="AL46" i="9"/>
  <c r="AK33" i="9"/>
  <c r="AJ33" i="9"/>
  <c r="AK46" i="9"/>
  <c r="AJ46" i="9"/>
  <c r="AK42" i="9"/>
  <c r="AJ42" i="9"/>
  <c r="AI42" i="9"/>
  <c r="AK32" i="9"/>
  <c r="AJ32" i="9"/>
  <c r="AK31" i="9"/>
  <c r="AJ31" i="9"/>
  <c r="AL43" i="9"/>
  <c r="AH31" i="10"/>
  <c r="AL12" i="9" s="1"/>
  <c r="AH32" i="10"/>
  <c r="AL13" i="9" s="1"/>
  <c r="AH54" i="6"/>
  <c r="AH5" i="10"/>
  <c r="AH70" i="6"/>
  <c r="AH16" i="10"/>
  <c r="AL18" i="9"/>
  <c r="AL33" i="9"/>
  <c r="AL25" i="9"/>
  <c r="AL42" i="9"/>
  <c r="AL24" i="9"/>
  <c r="AL32" i="9"/>
  <c r="AL23" i="9"/>
  <c r="AL31" i="9"/>
  <c r="AH27" i="10"/>
  <c r="AH14" i="10"/>
  <c r="AH11" i="10" s="1"/>
  <c r="AG27" i="10"/>
  <c r="AL45" i="9" s="1"/>
  <c r="AF27" i="10"/>
  <c r="AK45" i="9" s="1"/>
  <c r="AE27" i="10"/>
  <c r="AJ45" i="9" s="1"/>
  <c r="AG14" i="10"/>
  <c r="AG11" i="10" s="1"/>
  <c r="AF14" i="10"/>
  <c r="AF11" i="10" s="1"/>
  <c r="AE14" i="10"/>
  <c r="AE11" i="10" s="1"/>
  <c r="AG38" i="6"/>
  <c r="AG4" i="10" s="1"/>
  <c r="AF38" i="6"/>
  <c r="AF4" i="10" s="1"/>
  <c r="AE38" i="6"/>
  <c r="AE4" i="10" s="1"/>
  <c r="AD68" i="6"/>
  <c r="AD64" i="6" s="1"/>
  <c r="AD70" i="6" s="1"/>
  <c r="AD72" i="6" s="1"/>
  <c r="AD4" i="10"/>
  <c r="AD5" i="10"/>
  <c r="AD6" i="10"/>
  <c r="AI31" i="9" s="1"/>
  <c r="AD7" i="10"/>
  <c r="AI32" i="9" s="1"/>
  <c r="AD8" i="10"/>
  <c r="AH25" i="9" s="1"/>
  <c r="AD15" i="10"/>
  <c r="AH41" i="9" s="1"/>
  <c r="AD16" i="10"/>
  <c r="AD17" i="10"/>
  <c r="AD18" i="10"/>
  <c r="AD25" i="10"/>
  <c r="AD23" i="10" s="1"/>
  <c r="AD28" i="10"/>
  <c r="AD29" i="10"/>
  <c r="AD31" i="10"/>
  <c r="AH12" i="9" s="1"/>
  <c r="AD32" i="10"/>
  <c r="AD34" i="10"/>
  <c r="AD35" i="10"/>
  <c r="AD36" i="10"/>
  <c r="AD37" i="10"/>
  <c r="AD40" i="10"/>
  <c r="AI37" i="9" s="1"/>
  <c r="AD41" i="10"/>
  <c r="AD43" i="10"/>
  <c r="AD44" i="10"/>
  <c r="AH43" i="9" s="1"/>
  <c r="AC6" i="10"/>
  <c r="AC7" i="10"/>
  <c r="AC8" i="10"/>
  <c r="AC15" i="10"/>
  <c r="AG41" i="9" s="1"/>
  <c r="AC17" i="10"/>
  <c r="AC18" i="10"/>
  <c r="AC25" i="10"/>
  <c r="AC23" i="10" s="1"/>
  <c r="AC28" i="10"/>
  <c r="AC29" i="10"/>
  <c r="AC35" i="10"/>
  <c r="AH46" i="9" s="1"/>
  <c r="AC37" i="10"/>
  <c r="AC41" i="10"/>
  <c r="AC43" i="10"/>
  <c r="Y6" i="10"/>
  <c r="Z6" i="10"/>
  <c r="AA6" i="10"/>
  <c r="AB6" i="10"/>
  <c r="Y7" i="10"/>
  <c r="Z7" i="10"/>
  <c r="AA7" i="10"/>
  <c r="AB7" i="10"/>
  <c r="Y8" i="10"/>
  <c r="Z8" i="10"/>
  <c r="AA8" i="10"/>
  <c r="AB8" i="10"/>
  <c r="Y15" i="10"/>
  <c r="Z15" i="10"/>
  <c r="AD41" i="9" s="1"/>
  <c r="AA15" i="10"/>
  <c r="AB15" i="10"/>
  <c r="AF41" i="9" s="1"/>
  <c r="Y17" i="10"/>
  <c r="Z17" i="10"/>
  <c r="AA17" i="10"/>
  <c r="AB17" i="10"/>
  <c r="Y18" i="10"/>
  <c r="Z18" i="10"/>
  <c r="AA18" i="10"/>
  <c r="AB18" i="10"/>
  <c r="Y25" i="10"/>
  <c r="Y23" i="10" s="1"/>
  <c r="Z25" i="10"/>
  <c r="Z23" i="10" s="1"/>
  <c r="AA25" i="10"/>
  <c r="AA23" i="10" s="1"/>
  <c r="AB25" i="10"/>
  <c r="AB23" i="10" s="1"/>
  <c r="Y28" i="10"/>
  <c r="Z28" i="10"/>
  <c r="AA28" i="10"/>
  <c r="AE33" i="9" s="1"/>
  <c r="AB28" i="10"/>
  <c r="AF33" i="9" s="1"/>
  <c r="Y29" i="10"/>
  <c r="Z29" i="10"/>
  <c r="AA29" i="10"/>
  <c r="AE48" i="9" s="1"/>
  <c r="AB29" i="10"/>
  <c r="Y35" i="10"/>
  <c r="Z35" i="10"/>
  <c r="AE46" i="9" s="1"/>
  <c r="AA35" i="10"/>
  <c r="AB35" i="10"/>
  <c r="Y37" i="10"/>
  <c r="Z37" i="10"/>
  <c r="AA37" i="10"/>
  <c r="AB37" i="10"/>
  <c r="Y41" i="10"/>
  <c r="Z41" i="10"/>
  <c r="AA41" i="10"/>
  <c r="AB41" i="10"/>
  <c r="Y43" i="10"/>
  <c r="Z43" i="10"/>
  <c r="AA43" i="10"/>
  <c r="AE42" i="9" s="1"/>
  <c r="AB43" i="10"/>
  <c r="AF42" i="9" s="1"/>
  <c r="R6" i="10"/>
  <c r="S6" i="10"/>
  <c r="W31" i="9" s="1"/>
  <c r="T6" i="10"/>
  <c r="U6" i="10"/>
  <c r="V6" i="10"/>
  <c r="Z31" i="9" s="1"/>
  <c r="W6" i="10"/>
  <c r="AA31" i="9" s="1"/>
  <c r="X6" i="10"/>
  <c r="R7" i="10"/>
  <c r="S7" i="10"/>
  <c r="W32" i="9" s="1"/>
  <c r="T7" i="10"/>
  <c r="X32" i="9" s="1"/>
  <c r="U7" i="10"/>
  <c r="V7" i="10"/>
  <c r="W7" i="10"/>
  <c r="AA32" i="9" s="1"/>
  <c r="X7" i="10"/>
  <c r="AB32" i="9" s="1"/>
  <c r="R8" i="10"/>
  <c r="S8" i="10"/>
  <c r="T8" i="10"/>
  <c r="U8" i="10"/>
  <c r="V8" i="10"/>
  <c r="W8" i="10"/>
  <c r="X8" i="10"/>
  <c r="R15" i="10"/>
  <c r="V41" i="9" s="1"/>
  <c r="S15" i="10"/>
  <c r="T15" i="10"/>
  <c r="X41" i="9" s="1"/>
  <c r="U15" i="10"/>
  <c r="Y41" i="9" s="1"/>
  <c r="V15" i="10"/>
  <c r="Z41" i="9" s="1"/>
  <c r="W15" i="10"/>
  <c r="AA41" i="9" s="1"/>
  <c r="X15" i="10"/>
  <c r="R17" i="10"/>
  <c r="S17" i="10"/>
  <c r="T17" i="10"/>
  <c r="U17" i="10"/>
  <c r="V17" i="10"/>
  <c r="W17" i="10"/>
  <c r="X17" i="10"/>
  <c r="R18" i="10"/>
  <c r="S18" i="10"/>
  <c r="T18" i="10"/>
  <c r="U18" i="10"/>
  <c r="V18" i="10"/>
  <c r="W18" i="10"/>
  <c r="X18" i="10"/>
  <c r="R25" i="10"/>
  <c r="R23" i="10" s="1"/>
  <c r="S25" i="10"/>
  <c r="S23" i="10" s="1"/>
  <c r="T25" i="10"/>
  <c r="T23" i="10" s="1"/>
  <c r="U25" i="10"/>
  <c r="U23" i="10" s="1"/>
  <c r="V25" i="10"/>
  <c r="V23" i="10" s="1"/>
  <c r="W25" i="10"/>
  <c r="W23" i="10" s="1"/>
  <c r="X25" i="10"/>
  <c r="X23" i="10" s="1"/>
  <c r="R28" i="10"/>
  <c r="S28" i="10"/>
  <c r="T28" i="10"/>
  <c r="U28" i="10"/>
  <c r="V28" i="10"/>
  <c r="W28" i="10"/>
  <c r="AA33" i="9" s="1"/>
  <c r="X28" i="10"/>
  <c r="R29" i="10"/>
  <c r="V48" i="9" s="1"/>
  <c r="S29" i="10"/>
  <c r="T29" i="10"/>
  <c r="U29" i="10"/>
  <c r="Y48" i="9" s="1"/>
  <c r="V29" i="10"/>
  <c r="W29" i="10"/>
  <c r="X29" i="10"/>
  <c r="R35" i="10"/>
  <c r="S35" i="10"/>
  <c r="T35" i="10"/>
  <c r="Y46" i="9" s="1"/>
  <c r="U35" i="10"/>
  <c r="V35" i="10"/>
  <c r="AA46" i="9" s="1"/>
  <c r="W35" i="10"/>
  <c r="X35" i="10"/>
  <c r="R37" i="10"/>
  <c r="S37" i="10"/>
  <c r="T37" i="10"/>
  <c r="U37" i="10"/>
  <c r="V37" i="10"/>
  <c r="W37" i="10"/>
  <c r="X37" i="10"/>
  <c r="R41" i="10"/>
  <c r="S41" i="10"/>
  <c r="T41" i="10"/>
  <c r="U41" i="10"/>
  <c r="V41" i="10"/>
  <c r="W41" i="10"/>
  <c r="X41" i="10"/>
  <c r="R43" i="10"/>
  <c r="V42" i="9" s="1"/>
  <c r="S43" i="10"/>
  <c r="W42" i="9" s="1"/>
  <c r="T43" i="10"/>
  <c r="U43" i="10"/>
  <c r="V43" i="10"/>
  <c r="Z42" i="9" s="1"/>
  <c r="W43" i="10"/>
  <c r="X43" i="10"/>
  <c r="AF31" i="9"/>
  <c r="AE32" i="9"/>
  <c r="Z33" i="9"/>
  <c r="W41" i="9"/>
  <c r="AB41" i="9"/>
  <c r="AC41" i="9"/>
  <c r="AE41" i="9"/>
  <c r="AA42" i="9"/>
  <c r="AG42" i="9"/>
  <c r="W46" i="9"/>
  <c r="Z46" i="9"/>
  <c r="Z48" i="9"/>
  <c r="AG48" i="9"/>
  <c r="AA16" i="6"/>
  <c r="AB16" i="6"/>
  <c r="AC16" i="6"/>
  <c r="AA22" i="6"/>
  <c r="AB22" i="6"/>
  <c r="AC22" i="6"/>
  <c r="AA26" i="6"/>
  <c r="AB26" i="6"/>
  <c r="AC26" i="6"/>
  <c r="AA31" i="6"/>
  <c r="AA32" i="10" s="1"/>
  <c r="AB31" i="6"/>
  <c r="AB32" i="10" s="1"/>
  <c r="AC31" i="6"/>
  <c r="AC31" i="10" s="1"/>
  <c r="AA45" i="6"/>
  <c r="AA5" i="10" s="1"/>
  <c r="AB45" i="6"/>
  <c r="AB5" i="10" s="1"/>
  <c r="AF30" i="9" s="1"/>
  <c r="AC45" i="6"/>
  <c r="AA47" i="6"/>
  <c r="AB47" i="6"/>
  <c r="AC47" i="6"/>
  <c r="AA60" i="6"/>
  <c r="AA16" i="10" s="1"/>
  <c r="AB60" i="6"/>
  <c r="AB16" i="10" s="1"/>
  <c r="AC60" i="6"/>
  <c r="R16" i="6"/>
  <c r="S16" i="6"/>
  <c r="T16" i="6"/>
  <c r="U16" i="6"/>
  <c r="V16" i="6"/>
  <c r="W16" i="6"/>
  <c r="X16" i="6"/>
  <c r="Y16" i="6"/>
  <c r="Z16" i="6"/>
  <c r="R22" i="6"/>
  <c r="S22" i="6"/>
  <c r="T22" i="6"/>
  <c r="U22" i="6"/>
  <c r="V22" i="6"/>
  <c r="W22" i="6"/>
  <c r="X22" i="6"/>
  <c r="Y22" i="6"/>
  <c r="Z22" i="6"/>
  <c r="R26" i="6"/>
  <c r="S26" i="6"/>
  <c r="T26" i="6"/>
  <c r="U26" i="6"/>
  <c r="V26" i="6"/>
  <c r="W26" i="6"/>
  <c r="X26" i="6"/>
  <c r="Y26" i="6"/>
  <c r="Z26" i="6"/>
  <c r="R31" i="6"/>
  <c r="S31" i="6"/>
  <c r="S32" i="10" s="1"/>
  <c r="T31" i="6"/>
  <c r="T32" i="10" s="1"/>
  <c r="U31" i="6"/>
  <c r="U32" i="10" s="1"/>
  <c r="V31" i="6"/>
  <c r="V31" i="10" s="1"/>
  <c r="W31" i="6"/>
  <c r="W31" i="10" s="1"/>
  <c r="X31" i="6"/>
  <c r="X32" i="10" s="1"/>
  <c r="Y31" i="6"/>
  <c r="Y32" i="10" s="1"/>
  <c r="Z31" i="6"/>
  <c r="Z32" i="10" s="1"/>
  <c r="R45" i="6"/>
  <c r="R5" i="10" s="1"/>
  <c r="S45" i="6"/>
  <c r="S5" i="10" s="1"/>
  <c r="W16" i="9" s="1"/>
  <c r="T45" i="6"/>
  <c r="T5" i="10" s="1"/>
  <c r="U45" i="6"/>
  <c r="V45" i="6"/>
  <c r="V5" i="10" s="1"/>
  <c r="W45" i="6"/>
  <c r="W5" i="10" s="1"/>
  <c r="X45" i="6"/>
  <c r="X5" i="10" s="1"/>
  <c r="AB16" i="9" s="1"/>
  <c r="Y45" i="6"/>
  <c r="Y5" i="10" s="1"/>
  <c r="Z45" i="6"/>
  <c r="Z5" i="10" s="1"/>
  <c r="AD16" i="9" s="1"/>
  <c r="R47" i="6"/>
  <c r="S47" i="6"/>
  <c r="T47" i="6"/>
  <c r="U47" i="6"/>
  <c r="V47" i="6"/>
  <c r="W47" i="6"/>
  <c r="X47" i="6"/>
  <c r="Y47" i="6"/>
  <c r="Y54" i="6" s="1"/>
  <c r="Z47" i="6"/>
  <c r="S54" i="6"/>
  <c r="R60" i="6"/>
  <c r="R16" i="10" s="1"/>
  <c r="S60" i="6"/>
  <c r="S16" i="10" s="1"/>
  <c r="T60" i="6"/>
  <c r="T16" i="10" s="1"/>
  <c r="U60" i="6"/>
  <c r="U16" i="10" s="1"/>
  <c r="V60" i="6"/>
  <c r="V16" i="10" s="1"/>
  <c r="W60" i="6"/>
  <c r="W16" i="10" s="1"/>
  <c r="X60" i="6"/>
  <c r="X16" i="10" s="1"/>
  <c r="Y60" i="6"/>
  <c r="Y16" i="10" s="1"/>
  <c r="Z60" i="6"/>
  <c r="Z16" i="10" s="1"/>
  <c r="R45" i="7"/>
  <c r="S45" i="7"/>
  <c r="T45" i="7"/>
  <c r="U45" i="7"/>
  <c r="V45" i="7"/>
  <c r="W45" i="7"/>
  <c r="X45" i="7"/>
  <c r="Y45" i="7"/>
  <c r="Z11" i="7"/>
  <c r="AA11" i="7"/>
  <c r="AB11" i="7"/>
  <c r="AC11" i="7"/>
  <c r="Z15" i="7"/>
  <c r="Z36" i="10" s="1"/>
  <c r="AA15" i="7"/>
  <c r="AA36" i="10" s="1"/>
  <c r="AB15" i="7"/>
  <c r="AB36" i="10" s="1"/>
  <c r="AC15" i="7"/>
  <c r="AC36" i="10" s="1"/>
  <c r="Z21" i="7"/>
  <c r="AA21" i="7"/>
  <c r="AB21" i="7"/>
  <c r="AC21" i="7"/>
  <c r="Z32" i="7"/>
  <c r="AA32" i="7"/>
  <c r="AB32" i="7"/>
  <c r="AC32" i="7"/>
  <c r="Z36" i="7"/>
  <c r="Z44" i="10" s="1"/>
  <c r="AA36" i="7"/>
  <c r="AA44" i="10" s="1"/>
  <c r="AB36" i="7"/>
  <c r="AB44" i="10" s="1"/>
  <c r="AC36" i="7"/>
  <c r="AC44" i="10" s="1"/>
  <c r="Z45" i="7"/>
  <c r="AA45" i="7"/>
  <c r="AB45" i="7"/>
  <c r="AC45" i="7"/>
  <c r="R11" i="7"/>
  <c r="S11" i="7"/>
  <c r="T11" i="7"/>
  <c r="U11" i="7"/>
  <c r="V11" i="7"/>
  <c r="W11" i="7"/>
  <c r="X11" i="7"/>
  <c r="Y11" i="7"/>
  <c r="R15" i="7"/>
  <c r="R36" i="10" s="1"/>
  <c r="S15" i="7"/>
  <c r="S36" i="10" s="1"/>
  <c r="T15" i="7"/>
  <c r="T36" i="10" s="1"/>
  <c r="U15" i="7"/>
  <c r="U36" i="10" s="1"/>
  <c r="V15" i="7"/>
  <c r="V36" i="10" s="1"/>
  <c r="W15" i="7"/>
  <c r="W36" i="10" s="1"/>
  <c r="X15" i="7"/>
  <c r="X36" i="10" s="1"/>
  <c r="Y15" i="7"/>
  <c r="Y36" i="10" s="1"/>
  <c r="R21" i="7"/>
  <c r="S21" i="7"/>
  <c r="T21" i="7"/>
  <c r="U21" i="7"/>
  <c r="V21" i="7"/>
  <c r="W21" i="7"/>
  <c r="X21" i="7"/>
  <c r="Y21" i="7"/>
  <c r="R32" i="7"/>
  <c r="S32" i="7"/>
  <c r="T32" i="7"/>
  <c r="U32" i="7"/>
  <c r="V32" i="7"/>
  <c r="W32" i="7"/>
  <c r="X32" i="7"/>
  <c r="Y32" i="7"/>
  <c r="R36" i="7"/>
  <c r="R44" i="10" s="1"/>
  <c r="S36" i="7"/>
  <c r="S44" i="10" s="1"/>
  <c r="T36" i="7"/>
  <c r="T44" i="10" s="1"/>
  <c r="U36" i="7"/>
  <c r="U44" i="10" s="1"/>
  <c r="V36" i="7"/>
  <c r="V44" i="10" s="1"/>
  <c r="W36" i="7"/>
  <c r="W44" i="10" s="1"/>
  <c r="X36" i="7"/>
  <c r="X44" i="10" s="1"/>
  <c r="Y36" i="7"/>
  <c r="Y44" i="10" s="1"/>
  <c r="Q22" i="7"/>
  <c r="Q13" i="7"/>
  <c r="Q19" i="7" s="1"/>
  <c r="Q66" i="6"/>
  <c r="Q68" i="6"/>
  <c r="Q62" i="6"/>
  <c r="Q19" i="6"/>
  <c r="AM12" i="10" l="1"/>
  <c r="AO5" i="14"/>
  <c r="AO6" i="14"/>
  <c r="AO7" i="14"/>
  <c r="AO8" i="14"/>
  <c r="AO15" i="14"/>
  <c r="AI12" i="10"/>
  <c r="AM8" i="9" s="1"/>
  <c r="AM5" i="9"/>
  <c r="AM6" i="9"/>
  <c r="AM7" i="9"/>
  <c r="AM17" i="9"/>
  <c r="AM26" i="9"/>
  <c r="AM34" i="9"/>
  <c r="AI35" i="9"/>
  <c r="AJ35" i="9"/>
  <c r="AK35" i="9"/>
  <c r="AI46" i="9"/>
  <c r="AI33" i="9"/>
  <c r="AI29" i="9"/>
  <c r="AI43" i="9"/>
  <c r="AI18" i="9"/>
  <c r="AI25" i="9"/>
  <c r="AI24" i="9"/>
  <c r="AI23" i="9"/>
  <c r="AJ29" i="9"/>
  <c r="AJ43" i="9"/>
  <c r="AJ18" i="9"/>
  <c r="AJ25" i="9"/>
  <c r="AJ24" i="9"/>
  <c r="AJ23" i="9"/>
  <c r="AK29" i="9"/>
  <c r="AK43" i="9"/>
  <c r="AK18" i="9"/>
  <c r="AK25" i="9"/>
  <c r="AK24" i="9"/>
  <c r="AK23" i="9"/>
  <c r="AL29" i="9"/>
  <c r="AE12" i="10"/>
  <c r="AI8" i="9" s="1"/>
  <c r="AI5" i="9"/>
  <c r="AI6" i="9"/>
  <c r="AI7" i="9"/>
  <c r="AI17" i="9"/>
  <c r="AI26" i="9"/>
  <c r="AF12" i="10"/>
  <c r="AJ8" i="9" s="1"/>
  <c r="AJ5" i="9"/>
  <c r="AJ6" i="9"/>
  <c r="AJ7" i="9"/>
  <c r="AJ17" i="9"/>
  <c r="AJ26" i="9"/>
  <c r="AJ34" i="9"/>
  <c r="AG12" i="10"/>
  <c r="AK8" i="9" s="1"/>
  <c r="AK5" i="9"/>
  <c r="AK6" i="9"/>
  <c r="AK7" i="9"/>
  <c r="AK17" i="9"/>
  <c r="AK26" i="9"/>
  <c r="AK34" i="9"/>
  <c r="AH12" i="10"/>
  <c r="AL8" i="9" s="1"/>
  <c r="AL5" i="9"/>
  <c r="AL6" i="9"/>
  <c r="AL7" i="9"/>
  <c r="AL17" i="9"/>
  <c r="AL26" i="9"/>
  <c r="AL34" i="9"/>
  <c r="AL16" i="9"/>
  <c r="AL22" i="9"/>
  <c r="AL30" i="9"/>
  <c r="AH72" i="6"/>
  <c r="AI16" i="9"/>
  <c r="AI22" i="9"/>
  <c r="AI30" i="9"/>
  <c r="AE72" i="6"/>
  <c r="AJ16" i="9"/>
  <c r="AJ22" i="9"/>
  <c r="AJ30" i="9"/>
  <c r="AF72" i="6"/>
  <c r="AK16" i="9"/>
  <c r="AK22" i="9"/>
  <c r="AK30" i="9"/>
  <c r="AG72" i="6"/>
  <c r="AI13" i="9"/>
  <c r="AI12" i="9"/>
  <c r="AJ13" i="9"/>
  <c r="AJ12" i="9"/>
  <c r="AK13" i="9"/>
  <c r="AK12" i="9"/>
  <c r="Y40" i="10"/>
  <c r="X40" i="10"/>
  <c r="W40" i="10"/>
  <c r="T40" i="10"/>
  <c r="AC40" i="10"/>
  <c r="AB40" i="10"/>
  <c r="R31" i="10"/>
  <c r="R32" i="10"/>
  <c r="AC54" i="6"/>
  <c r="Y33" i="9"/>
  <c r="AB42" i="9"/>
  <c r="X42" i="9"/>
  <c r="Z32" i="9"/>
  <c r="Y31" i="9"/>
  <c r="AD33" i="9"/>
  <c r="AD42" i="9"/>
  <c r="AE31" i="9"/>
  <c r="U40" i="10"/>
  <c r="Y37" i="9" s="1"/>
  <c r="R40" i="10"/>
  <c r="Z40" i="10"/>
  <c r="AD37" i="9" s="1"/>
  <c r="AB54" i="6"/>
  <c r="AC5" i="10"/>
  <c r="AG16" i="9" s="1"/>
  <c r="AB31" i="10"/>
  <c r="AF32" i="9"/>
  <c r="W54" i="6"/>
  <c r="V40" i="10"/>
  <c r="V54" i="6"/>
  <c r="T54" i="6"/>
  <c r="U54" i="6"/>
  <c r="W32" i="10"/>
  <c r="AC42" i="9"/>
  <c r="Y31" i="10"/>
  <c r="AH37" i="9"/>
  <c r="AH23" i="9"/>
  <c r="X54" i="6"/>
  <c r="AG37" i="9"/>
  <c r="AF46" i="9"/>
  <c r="AB48" i="9"/>
  <c r="S40" i="10"/>
  <c r="X37" i="9" s="1"/>
  <c r="AA40" i="10"/>
  <c r="Y42" i="9"/>
  <c r="AC16" i="9"/>
  <c r="AC30" i="9"/>
  <c r="X16" i="9"/>
  <c r="X30" i="9"/>
  <c r="AA30" i="9"/>
  <c r="AA16" i="9"/>
  <c r="AE30" i="9"/>
  <c r="AE16" i="9"/>
  <c r="AF37" i="9"/>
  <c r="AE37" i="9"/>
  <c r="V16" i="9"/>
  <c r="W30" i="9"/>
  <c r="AH42" i="9"/>
  <c r="Z54" i="6"/>
  <c r="R54" i="6"/>
  <c r="AD46" i="9"/>
  <c r="X31" i="10"/>
  <c r="U5" i="10"/>
  <c r="AA31" i="10"/>
  <c r="Z30" i="9"/>
  <c r="AC48" i="9"/>
  <c r="AB46" i="9"/>
  <c r="AG33" i="9"/>
  <c r="AC32" i="9"/>
  <c r="AD31" i="9"/>
  <c r="Z31" i="10"/>
  <c r="AA48" i="9"/>
  <c r="V32" i="10"/>
  <c r="U31" i="10"/>
  <c r="X48" i="9"/>
  <c r="X46" i="9"/>
  <c r="AF48" i="9"/>
  <c r="AC32" i="10"/>
  <c r="AH48" i="9"/>
  <c r="AH32" i="9"/>
  <c r="AA54" i="6"/>
  <c r="T31" i="10"/>
  <c r="AH31" i="9"/>
  <c r="AC16" i="10"/>
  <c r="AC14" i="10" s="1"/>
  <c r="AC11" i="10" s="1"/>
  <c r="S31" i="10"/>
  <c r="AD48" i="9"/>
  <c r="AG32" i="9"/>
  <c r="AG31" i="9"/>
  <c r="AB33" i="9"/>
  <c r="AB31" i="9"/>
  <c r="AD32" i="9"/>
  <c r="AD30" i="9"/>
  <c r="Z16" i="9"/>
  <c r="AH24" i="9"/>
  <c r="X33" i="9"/>
  <c r="X31" i="9"/>
  <c r="AB30" i="9"/>
  <c r="AF16" i="9"/>
  <c r="AH18" i="9"/>
  <c r="W33" i="9"/>
  <c r="AH33" i="9"/>
  <c r="AH13" i="9"/>
  <c r="AC46" i="9"/>
  <c r="W48" i="9"/>
  <c r="AG46" i="9"/>
  <c r="AC37" i="9"/>
  <c r="AC33" i="9"/>
  <c r="Y32" i="9"/>
  <c r="AC31" i="9"/>
  <c r="AH44" i="9"/>
  <c r="AH16" i="9"/>
  <c r="AH22" i="9"/>
  <c r="AD27" i="10"/>
  <c r="AI45" i="9" s="1"/>
  <c r="AD14" i="10"/>
  <c r="AD11" i="10" s="1"/>
  <c r="AI34" i="9" s="1"/>
  <c r="AC27" i="10"/>
  <c r="AH45" i="9" s="1"/>
  <c r="AB27" i="10"/>
  <c r="AG45" i="9" s="1"/>
  <c r="AA27" i="10"/>
  <c r="AF45" i="9" s="1"/>
  <c r="Z27" i="10"/>
  <c r="AE45" i="9" s="1"/>
  <c r="Y27" i="10"/>
  <c r="AD45" i="9" s="1"/>
  <c r="AB14" i="10"/>
  <c r="AB11" i="10" s="1"/>
  <c r="AA14" i="10"/>
  <c r="AA11" i="10" s="1"/>
  <c r="Z14" i="10"/>
  <c r="Z11" i="10" s="1"/>
  <c r="Y14" i="10"/>
  <c r="Y11" i="10" s="1"/>
  <c r="X27" i="10"/>
  <c r="AC45" i="9" s="1"/>
  <c r="W27" i="10"/>
  <c r="AB45" i="9" s="1"/>
  <c r="V27" i="10"/>
  <c r="AA45" i="9" s="1"/>
  <c r="U27" i="10"/>
  <c r="Z45" i="9" s="1"/>
  <c r="T27" i="10"/>
  <c r="Y45" i="9" s="1"/>
  <c r="S27" i="10"/>
  <c r="X45" i="9" s="1"/>
  <c r="R27" i="10"/>
  <c r="W45" i="9" s="1"/>
  <c r="X14" i="10"/>
  <c r="X11" i="10" s="1"/>
  <c r="W14" i="10"/>
  <c r="W11" i="10" s="1"/>
  <c r="V14" i="10"/>
  <c r="V11" i="10" s="1"/>
  <c r="U14" i="10"/>
  <c r="U11" i="10" s="1"/>
  <c r="T14" i="10"/>
  <c r="T11" i="10" s="1"/>
  <c r="S14" i="10"/>
  <c r="S11" i="10" s="1"/>
  <c r="R14" i="10"/>
  <c r="R11" i="10" s="1"/>
  <c r="AC64" i="6"/>
  <c r="AC70" i="6" s="1"/>
  <c r="AB64" i="6"/>
  <c r="AB70" i="6" s="1"/>
  <c r="AB72" i="6" s="1"/>
  <c r="AA64" i="6"/>
  <c r="AA70" i="6" s="1"/>
  <c r="AA72" i="6" s="1"/>
  <c r="AC10" i="6"/>
  <c r="AC38" i="6" s="1"/>
  <c r="AC4" i="10" s="1"/>
  <c r="AG12" i="9" s="1"/>
  <c r="AB10" i="6"/>
  <c r="AB38" i="6" s="1"/>
  <c r="AB4" i="10" s="1"/>
  <c r="AF24" i="9" s="1"/>
  <c r="AA10" i="6"/>
  <c r="AA38" i="6" s="1"/>
  <c r="AA4" i="10" s="1"/>
  <c r="AE13" i="9" s="1"/>
  <c r="Z64" i="6"/>
  <c r="Z70" i="6" s="1"/>
  <c r="Z72" i="6" s="1"/>
  <c r="Y64" i="6"/>
  <c r="Y70" i="6" s="1"/>
  <c r="Y72" i="6" s="1"/>
  <c r="X64" i="6"/>
  <c r="X70" i="6" s="1"/>
  <c r="X72" i="6" s="1"/>
  <c r="W64" i="6"/>
  <c r="W70" i="6" s="1"/>
  <c r="W72" i="6" s="1"/>
  <c r="V64" i="6"/>
  <c r="V70" i="6" s="1"/>
  <c r="V72" i="6" s="1"/>
  <c r="U64" i="6"/>
  <c r="U70" i="6" s="1"/>
  <c r="U72" i="6" s="1"/>
  <c r="T64" i="6"/>
  <c r="T70" i="6" s="1"/>
  <c r="T72" i="6" s="1"/>
  <c r="S64" i="6"/>
  <c r="S70" i="6" s="1"/>
  <c r="S72" i="6" s="1"/>
  <c r="R64" i="6"/>
  <c r="R70" i="6" s="1"/>
  <c r="Z10" i="6"/>
  <c r="Z38" i="6" s="1"/>
  <c r="Z4" i="10" s="1"/>
  <c r="AD24" i="9" s="1"/>
  <c r="Y10" i="6"/>
  <c r="Y38" i="6" s="1"/>
  <c r="Y4" i="10" s="1"/>
  <c r="AC43" i="9" s="1"/>
  <c r="X10" i="6"/>
  <c r="X38" i="6" s="1"/>
  <c r="X4" i="10" s="1"/>
  <c r="AB13" i="9" s="1"/>
  <c r="W10" i="6"/>
  <c r="W38" i="6" s="1"/>
  <c r="W4" i="10" s="1"/>
  <c r="AA18" i="9" s="1"/>
  <c r="V10" i="6"/>
  <c r="V38" i="6" s="1"/>
  <c r="V4" i="10" s="1"/>
  <c r="Z18" i="9" s="1"/>
  <c r="U10" i="6"/>
  <c r="U38" i="6" s="1"/>
  <c r="U4" i="10" s="1"/>
  <c r="Y18" i="9" s="1"/>
  <c r="T10" i="6"/>
  <c r="T38" i="6" s="1"/>
  <c r="T4" i="10" s="1"/>
  <c r="S10" i="6"/>
  <c r="S38" i="6" s="1"/>
  <c r="S4" i="10" s="1"/>
  <c r="W43" i="9" s="1"/>
  <c r="R10" i="6"/>
  <c r="R38" i="6" s="1"/>
  <c r="R4" i="10" s="1"/>
  <c r="AC10" i="7"/>
  <c r="AB10" i="7"/>
  <c r="AA10" i="7"/>
  <c r="Z10" i="7"/>
  <c r="Y10" i="7"/>
  <c r="X10" i="7"/>
  <c r="W10" i="7"/>
  <c r="V10" i="7"/>
  <c r="U10" i="7"/>
  <c r="T10" i="7"/>
  <c r="S10" i="7"/>
  <c r="R10" i="7"/>
  <c r="Q23" i="6"/>
  <c r="Q12" i="6"/>
  <c r="Q11" i="6"/>
  <c r="V43" i="9" l="1"/>
  <c r="V22" i="9"/>
  <c r="AA13" i="9"/>
  <c r="Z37" i="9"/>
  <c r="AA37" i="9"/>
  <c r="AB37" i="9"/>
  <c r="AA22" i="9"/>
  <c r="W37" i="9"/>
  <c r="AG30" i="9"/>
  <c r="AD13" i="9"/>
  <c r="Y43" i="9"/>
  <c r="AC12" i="9"/>
  <c r="AF22" i="9"/>
  <c r="AH30" i="9"/>
  <c r="AD12" i="9"/>
  <c r="AF23" i="9"/>
  <c r="R30" i="7"/>
  <c r="R43" i="7" s="1"/>
  <c r="R49" i="7" s="1"/>
  <c r="R53" i="7" s="1"/>
  <c r="R56" i="7" s="1"/>
  <c r="R34" i="10"/>
  <c r="V44" i="9" s="1"/>
  <c r="Z30" i="7"/>
  <c r="Z43" i="7" s="1"/>
  <c r="Z49" i="7" s="1"/>
  <c r="Z53" i="7" s="1"/>
  <c r="Z56" i="7" s="1"/>
  <c r="Z34" i="10"/>
  <c r="AG24" i="9"/>
  <c r="AG25" i="9"/>
  <c r="AG23" i="9"/>
  <c r="AG29" i="9"/>
  <c r="AG22" i="9"/>
  <c r="AD22" i="9"/>
  <c r="Z12" i="9"/>
  <c r="AD43" i="9"/>
  <c r="Y25" i="9"/>
  <c r="W13" i="9"/>
  <c r="AE22" i="9"/>
  <c r="AC25" i="9"/>
  <c r="AC13" i="9"/>
  <c r="X29" i="9"/>
  <c r="X25" i="9"/>
  <c r="X23" i="9"/>
  <c r="Y30" i="7"/>
  <c r="Y43" i="7" s="1"/>
  <c r="Y49" i="7" s="1"/>
  <c r="Y53" i="7" s="1"/>
  <c r="Y56" i="7" s="1"/>
  <c r="Y34" i="10"/>
  <c r="X24" i="9"/>
  <c r="S30" i="7"/>
  <c r="S43" i="7" s="1"/>
  <c r="S49" i="7" s="1"/>
  <c r="S53" i="7" s="1"/>
  <c r="S56" i="7" s="1"/>
  <c r="S34" i="10"/>
  <c r="AA30" i="7"/>
  <c r="AA43" i="7" s="1"/>
  <c r="AA49" i="7" s="1"/>
  <c r="AA53" i="7" s="1"/>
  <c r="AA56" i="7" s="1"/>
  <c r="AA34" i="10"/>
  <c r="AB29" i="9"/>
  <c r="AA24" i="9"/>
  <c r="AA29" i="9"/>
  <c r="AB22" i="9"/>
  <c r="Z23" i="9"/>
  <c r="AA23" i="9"/>
  <c r="X12" i="9"/>
  <c r="AF29" i="9"/>
  <c r="AF12" i="9"/>
  <c r="AB23" i="9"/>
  <c r="AB18" i="9"/>
  <c r="AB25" i="9"/>
  <c r="Z25" i="9"/>
  <c r="AA25" i="9"/>
  <c r="Z22" i="9"/>
  <c r="AH29" i="9"/>
  <c r="AE12" i="9"/>
  <c r="X13" i="9"/>
  <c r="X30" i="7"/>
  <c r="X43" i="7" s="1"/>
  <c r="X49" i="7" s="1"/>
  <c r="X53" i="7" s="1"/>
  <c r="X56" i="7" s="1"/>
  <c r="X34" i="10"/>
  <c r="AF25" i="9"/>
  <c r="X18" i="9"/>
  <c r="AB30" i="7"/>
  <c r="AB43" i="7" s="1"/>
  <c r="AB49" i="7" s="1"/>
  <c r="AB53" i="7" s="1"/>
  <c r="AB56" i="7" s="1"/>
  <c r="AB34" i="10"/>
  <c r="U30" i="7"/>
  <c r="U43" i="7" s="1"/>
  <c r="U49" i="7" s="1"/>
  <c r="U53" i="7" s="1"/>
  <c r="U56" i="7" s="1"/>
  <c r="U34" i="10"/>
  <c r="AC24" i="9"/>
  <c r="AC18" i="9"/>
  <c r="AC29" i="9"/>
  <c r="AC72" i="6"/>
  <c r="AG43" i="9"/>
  <c r="Z24" i="9"/>
  <c r="AG18" i="9"/>
  <c r="Y12" i="9"/>
  <c r="Y22" i="9"/>
  <c r="Y16" i="9"/>
  <c r="Y30" i="9"/>
  <c r="AF18" i="9"/>
  <c r="Z43" i="9"/>
  <c r="AF43" i="9"/>
  <c r="X22" i="9"/>
  <c r="AE25" i="9"/>
  <c r="AE24" i="9"/>
  <c r="AE29" i="9"/>
  <c r="AE23" i="9"/>
  <c r="AE18" i="9"/>
  <c r="T30" i="7"/>
  <c r="T43" i="7" s="1"/>
  <c r="T49" i="7" s="1"/>
  <c r="T53" i="7" s="1"/>
  <c r="T56" i="7" s="1"/>
  <c r="T34" i="10"/>
  <c r="AC30" i="7"/>
  <c r="AC43" i="7" s="1"/>
  <c r="AC49" i="7" s="1"/>
  <c r="AC53" i="7" s="1"/>
  <c r="AC56" i="7" s="1"/>
  <c r="AC34" i="10"/>
  <c r="V30" i="7"/>
  <c r="V43" i="7" s="1"/>
  <c r="V49" i="7" s="1"/>
  <c r="V53" i="7" s="1"/>
  <c r="V56" i="7" s="1"/>
  <c r="V34" i="10"/>
  <c r="V18" i="9"/>
  <c r="V23" i="9"/>
  <c r="AD29" i="9"/>
  <c r="AD23" i="9"/>
  <c r="AD18" i="9"/>
  <c r="AD25" i="9"/>
  <c r="AC22" i="9"/>
  <c r="Z29" i="9"/>
  <c r="V24" i="9"/>
  <c r="Z13" i="9"/>
  <c r="AB12" i="9"/>
  <c r="AB24" i="9"/>
  <c r="AA12" i="9"/>
  <c r="X43" i="9"/>
  <c r="AB43" i="9"/>
  <c r="AF13" i="9"/>
  <c r="Y13" i="9"/>
  <c r="Y29" i="9"/>
  <c r="W30" i="7"/>
  <c r="W43" i="7" s="1"/>
  <c r="W49" i="7" s="1"/>
  <c r="W53" i="7" s="1"/>
  <c r="W56" i="7" s="1"/>
  <c r="W34" i="10"/>
  <c r="W18" i="9"/>
  <c r="W22" i="9"/>
  <c r="W25" i="9"/>
  <c r="W29" i="9"/>
  <c r="W24" i="9"/>
  <c r="W23" i="9"/>
  <c r="R72" i="6"/>
  <c r="Y23" i="9"/>
  <c r="AA43" i="9"/>
  <c r="V25" i="9"/>
  <c r="W12" i="9"/>
  <c r="AG13" i="9"/>
  <c r="Y24" i="9"/>
  <c r="V13" i="9"/>
  <c r="AE43" i="9"/>
  <c r="AC23" i="9"/>
  <c r="V12" i="9"/>
  <c r="AD12" i="10"/>
  <c r="AH8" i="9" s="1"/>
  <c r="AH26" i="9"/>
  <c r="AH34" i="9"/>
  <c r="AH5" i="9"/>
  <c r="AH6" i="9"/>
  <c r="AH17" i="9"/>
  <c r="AH7" i="9"/>
  <c r="AC12" i="10"/>
  <c r="AG8" i="9" s="1"/>
  <c r="AG5" i="9"/>
  <c r="AG6" i="9"/>
  <c r="AG7" i="9"/>
  <c r="AG17" i="9"/>
  <c r="AG26" i="9"/>
  <c r="Y12" i="10"/>
  <c r="AC8" i="9" s="1"/>
  <c r="AC5" i="9"/>
  <c r="AC6" i="9"/>
  <c r="AC7" i="9"/>
  <c r="AC17" i="9"/>
  <c r="AC26" i="9"/>
  <c r="Z12" i="10"/>
  <c r="AD8" i="9" s="1"/>
  <c r="AD5" i="9"/>
  <c r="AD6" i="9"/>
  <c r="AD7" i="9"/>
  <c r="AD17" i="9"/>
  <c r="AD26" i="9"/>
  <c r="AD34" i="9"/>
  <c r="AA12" i="10"/>
  <c r="AE8" i="9" s="1"/>
  <c r="AE5" i="9"/>
  <c r="AE6" i="9"/>
  <c r="AE7" i="9"/>
  <c r="AE17" i="9"/>
  <c r="AE26" i="9"/>
  <c r="AE34" i="9"/>
  <c r="AB12" i="10"/>
  <c r="AF8" i="9" s="1"/>
  <c r="AF5" i="9"/>
  <c r="AF6" i="9"/>
  <c r="AF7" i="9"/>
  <c r="AF17" i="9"/>
  <c r="AF26" i="9"/>
  <c r="AF34" i="9"/>
  <c r="AG34" i="9"/>
  <c r="R12" i="10"/>
  <c r="V8" i="9" s="1"/>
  <c r="V5" i="9"/>
  <c r="V6" i="9"/>
  <c r="V7" i="9"/>
  <c r="V17" i="9"/>
  <c r="V26" i="9"/>
  <c r="S12" i="10"/>
  <c r="W8" i="9" s="1"/>
  <c r="W5" i="9"/>
  <c r="W6" i="9"/>
  <c r="W7" i="9"/>
  <c r="W17" i="9"/>
  <c r="W26" i="9"/>
  <c r="W34" i="9"/>
  <c r="T12" i="10"/>
  <c r="X8" i="9" s="1"/>
  <c r="X5" i="9"/>
  <c r="X6" i="9"/>
  <c r="X7" i="9"/>
  <c r="X17" i="9"/>
  <c r="X26" i="9"/>
  <c r="X34" i="9"/>
  <c r="U12" i="10"/>
  <c r="Y8" i="9" s="1"/>
  <c r="Y5" i="9"/>
  <c r="Y6" i="9"/>
  <c r="Y7" i="9"/>
  <c r="Y17" i="9"/>
  <c r="Y26" i="9"/>
  <c r="Y34" i="9"/>
  <c r="V12" i="10"/>
  <c r="Z8" i="9" s="1"/>
  <c r="Z5" i="9"/>
  <c r="Z6" i="9"/>
  <c r="Z7" i="9"/>
  <c r="Z17" i="9"/>
  <c r="Z26" i="9"/>
  <c r="Z34" i="9"/>
  <c r="W12" i="10"/>
  <c r="AA8" i="9" s="1"/>
  <c r="AA5" i="9"/>
  <c r="AA6" i="9"/>
  <c r="AA7" i="9"/>
  <c r="AA17" i="9"/>
  <c r="AA26" i="9"/>
  <c r="AA34" i="9"/>
  <c r="X12" i="10"/>
  <c r="AB8" i="9" s="1"/>
  <c r="AB5" i="9"/>
  <c r="AB6" i="9"/>
  <c r="AB7" i="9"/>
  <c r="AB17" i="9"/>
  <c r="AB26" i="9"/>
  <c r="AB34" i="9"/>
  <c r="AC34" i="9"/>
  <c r="Q6" i="10"/>
  <c r="V31" i="9" s="1"/>
  <c r="Q7" i="10"/>
  <c r="V32" i="9" s="1"/>
  <c r="Q8" i="10"/>
  <c r="Q15" i="10"/>
  <c r="U41" i="9" s="1"/>
  <c r="Q17" i="10"/>
  <c r="Q18" i="10"/>
  <c r="Q25" i="10"/>
  <c r="Q23" i="10" s="1"/>
  <c r="Q28" i="10"/>
  <c r="V33" i="9" s="1"/>
  <c r="Q29" i="10"/>
  <c r="Q35" i="10"/>
  <c r="Q37" i="10"/>
  <c r="Q41" i="10"/>
  <c r="Q43" i="10"/>
  <c r="U42" i="9" s="1"/>
  <c r="H6" i="10"/>
  <c r="I6" i="10"/>
  <c r="J6" i="10"/>
  <c r="K6" i="10"/>
  <c r="L6" i="10"/>
  <c r="M6" i="10"/>
  <c r="N6" i="10"/>
  <c r="O6" i="10"/>
  <c r="P6" i="10"/>
  <c r="H7" i="10"/>
  <c r="I7" i="10"/>
  <c r="J7" i="10"/>
  <c r="K7" i="10"/>
  <c r="L7" i="10"/>
  <c r="M7" i="10"/>
  <c r="N7" i="10"/>
  <c r="O7" i="10"/>
  <c r="P7" i="10"/>
  <c r="H8" i="10"/>
  <c r="I8" i="10"/>
  <c r="J8" i="10"/>
  <c r="K8" i="10"/>
  <c r="L8" i="10"/>
  <c r="M8" i="10"/>
  <c r="N8" i="10"/>
  <c r="O8" i="10"/>
  <c r="P8" i="10"/>
  <c r="H15" i="10"/>
  <c r="L41" i="9" s="1"/>
  <c r="I15" i="10"/>
  <c r="M41" i="9" s="1"/>
  <c r="J15" i="10"/>
  <c r="N41" i="9" s="1"/>
  <c r="K15" i="10"/>
  <c r="O41" i="9" s="1"/>
  <c r="L15" i="10"/>
  <c r="P41" i="9" s="1"/>
  <c r="M15" i="10"/>
  <c r="Q41" i="9" s="1"/>
  <c r="N15" i="10"/>
  <c r="R41" i="9" s="1"/>
  <c r="O15" i="10"/>
  <c r="S41" i="9" s="1"/>
  <c r="P15" i="10"/>
  <c r="T41" i="9" s="1"/>
  <c r="H17" i="10"/>
  <c r="I17" i="10"/>
  <c r="J17" i="10"/>
  <c r="K17" i="10"/>
  <c r="L17" i="10"/>
  <c r="M17" i="10"/>
  <c r="N17" i="10"/>
  <c r="O17" i="10"/>
  <c r="P17" i="10"/>
  <c r="H18" i="10"/>
  <c r="I18" i="10"/>
  <c r="J18" i="10"/>
  <c r="K18" i="10"/>
  <c r="L18" i="10"/>
  <c r="M18" i="10"/>
  <c r="N18" i="10"/>
  <c r="O18" i="10"/>
  <c r="P18" i="10"/>
  <c r="H25" i="10"/>
  <c r="H23" i="10" s="1"/>
  <c r="I25" i="10"/>
  <c r="I23" i="10" s="1"/>
  <c r="J25" i="10"/>
  <c r="J23" i="10" s="1"/>
  <c r="K25" i="10"/>
  <c r="K23" i="10" s="1"/>
  <c r="L25" i="10"/>
  <c r="L23" i="10" s="1"/>
  <c r="M25" i="10"/>
  <c r="M23" i="10" s="1"/>
  <c r="N25" i="10"/>
  <c r="N23" i="10" s="1"/>
  <c r="O25" i="10"/>
  <c r="O23" i="10" s="1"/>
  <c r="P25" i="10"/>
  <c r="P23" i="10" s="1"/>
  <c r="H28" i="10"/>
  <c r="I28" i="10"/>
  <c r="J28" i="10"/>
  <c r="K28" i="10"/>
  <c r="L28" i="10"/>
  <c r="M28" i="10"/>
  <c r="N28" i="10"/>
  <c r="O28" i="10"/>
  <c r="P28" i="10"/>
  <c r="H29" i="10"/>
  <c r="I29" i="10"/>
  <c r="J29" i="10"/>
  <c r="N48" i="9" s="1"/>
  <c r="K29" i="10"/>
  <c r="L29" i="10"/>
  <c r="M29" i="10"/>
  <c r="N29" i="10"/>
  <c r="R48" i="9" s="1"/>
  <c r="O29" i="10"/>
  <c r="P29" i="10"/>
  <c r="H35" i="10"/>
  <c r="I35" i="10"/>
  <c r="J35" i="10"/>
  <c r="K35" i="10"/>
  <c r="L35" i="10"/>
  <c r="M35" i="10"/>
  <c r="N35" i="10"/>
  <c r="O35" i="10"/>
  <c r="P35" i="10"/>
  <c r="H37" i="10"/>
  <c r="I37" i="10"/>
  <c r="J37" i="10"/>
  <c r="K37" i="10"/>
  <c r="L37" i="10"/>
  <c r="M37" i="10"/>
  <c r="N37" i="10"/>
  <c r="O37" i="10"/>
  <c r="P37" i="10"/>
  <c r="H41" i="10"/>
  <c r="I41" i="10"/>
  <c r="J41" i="10"/>
  <c r="K41" i="10"/>
  <c r="L41" i="10"/>
  <c r="M41" i="10"/>
  <c r="N41" i="10"/>
  <c r="O41" i="10"/>
  <c r="P41" i="10"/>
  <c r="H43" i="10"/>
  <c r="I43" i="10"/>
  <c r="J43" i="10"/>
  <c r="N42" i="9" s="1"/>
  <c r="K43" i="10"/>
  <c r="O42" i="9" s="1"/>
  <c r="L43" i="10"/>
  <c r="P42" i="9" s="1"/>
  <c r="M43" i="10"/>
  <c r="N43" i="10"/>
  <c r="O43" i="10"/>
  <c r="S42" i="9" s="1"/>
  <c r="P43" i="10"/>
  <c r="M64" i="6"/>
  <c r="N64" i="6"/>
  <c r="O64" i="6"/>
  <c r="P64" i="6"/>
  <c r="Q64" i="6"/>
  <c r="M60" i="6"/>
  <c r="N60" i="6"/>
  <c r="O60" i="6"/>
  <c r="O70" i="6" s="1"/>
  <c r="P60" i="6"/>
  <c r="Q60" i="6"/>
  <c r="M47" i="6"/>
  <c r="N47" i="6"/>
  <c r="O47" i="6"/>
  <c r="P47" i="6"/>
  <c r="Q47" i="6"/>
  <c r="M45" i="6"/>
  <c r="N45" i="6"/>
  <c r="O45" i="6"/>
  <c r="Q14" i="14" s="1"/>
  <c r="P45" i="6"/>
  <c r="Q45" i="6"/>
  <c r="M31" i="6"/>
  <c r="N31" i="6"/>
  <c r="N32" i="10" s="1"/>
  <c r="O31" i="6"/>
  <c r="O31" i="10" s="1"/>
  <c r="P31" i="6"/>
  <c r="P31" i="10" s="1"/>
  <c r="Q31" i="6"/>
  <c r="Q31" i="10" s="1"/>
  <c r="M26" i="6"/>
  <c r="N26" i="6"/>
  <c r="O26" i="6"/>
  <c r="P26" i="6"/>
  <c r="Q26" i="6"/>
  <c r="M22" i="6"/>
  <c r="N22" i="6"/>
  <c r="O22" i="6"/>
  <c r="P22" i="6"/>
  <c r="Q22" i="6"/>
  <c r="M16" i="6"/>
  <c r="N16" i="6"/>
  <c r="O16" i="6"/>
  <c r="P16" i="6"/>
  <c r="Q16" i="6"/>
  <c r="M10" i="6"/>
  <c r="O23" i="14" s="1"/>
  <c r="N10" i="6"/>
  <c r="O10" i="6"/>
  <c r="P10" i="6"/>
  <c r="Q10" i="6"/>
  <c r="S22" i="14" s="1"/>
  <c r="M45" i="7"/>
  <c r="N45" i="7"/>
  <c r="O45" i="7"/>
  <c r="P45" i="7"/>
  <c r="Q45" i="7"/>
  <c r="M36" i="7"/>
  <c r="N36" i="7"/>
  <c r="O36" i="7"/>
  <c r="P36" i="7"/>
  <c r="Q36" i="7"/>
  <c r="Q44" i="10" s="1"/>
  <c r="M32" i="7"/>
  <c r="N32" i="7"/>
  <c r="O32" i="7"/>
  <c r="P32" i="7"/>
  <c r="Q32" i="7"/>
  <c r="M21" i="7"/>
  <c r="N21" i="7"/>
  <c r="O21" i="7"/>
  <c r="O40" i="10" s="1"/>
  <c r="P21" i="7"/>
  <c r="Q21" i="7"/>
  <c r="M15" i="7"/>
  <c r="M36" i="10" s="1"/>
  <c r="N15" i="7"/>
  <c r="N36" i="10" s="1"/>
  <c r="O15" i="7"/>
  <c r="O36" i="10" s="1"/>
  <c r="P15" i="7"/>
  <c r="P36" i="10" s="1"/>
  <c r="Q15" i="7"/>
  <c r="Q36" i="10" s="1"/>
  <c r="M11" i="7"/>
  <c r="N11" i="7"/>
  <c r="N10" i="7" s="1"/>
  <c r="O11" i="7"/>
  <c r="P11" i="7"/>
  <c r="P10" i="7" s="1"/>
  <c r="Q11" i="7"/>
  <c r="J11" i="7"/>
  <c r="K11" i="7"/>
  <c r="L11" i="7"/>
  <c r="J15" i="7"/>
  <c r="J36" i="10" s="1"/>
  <c r="K15" i="7"/>
  <c r="K36" i="10" s="1"/>
  <c r="L15" i="7"/>
  <c r="L36" i="10" s="1"/>
  <c r="J21" i="7"/>
  <c r="K21" i="7"/>
  <c r="L21" i="7"/>
  <c r="J32" i="7"/>
  <c r="K32" i="7"/>
  <c r="L32" i="7"/>
  <c r="J36" i="7"/>
  <c r="K36" i="7"/>
  <c r="L36" i="7"/>
  <c r="J45" i="7"/>
  <c r="K45" i="7"/>
  <c r="L45" i="7"/>
  <c r="J10" i="6"/>
  <c r="L22" i="14" s="1"/>
  <c r="K10" i="6"/>
  <c r="L10" i="6"/>
  <c r="J16" i="6"/>
  <c r="K16" i="6"/>
  <c r="L16" i="6"/>
  <c r="J22" i="6"/>
  <c r="K22" i="6"/>
  <c r="L22" i="6"/>
  <c r="J26" i="6"/>
  <c r="K26" i="6"/>
  <c r="L26" i="6"/>
  <c r="J31" i="6"/>
  <c r="J31" i="10" s="1"/>
  <c r="K31" i="6"/>
  <c r="K31" i="10" s="1"/>
  <c r="L31" i="6"/>
  <c r="J45" i="6"/>
  <c r="J5" i="10" s="1"/>
  <c r="K45" i="6"/>
  <c r="M14" i="14" s="1"/>
  <c r="L45" i="6"/>
  <c r="N14" i="14" s="1"/>
  <c r="J47" i="6"/>
  <c r="K47" i="6"/>
  <c r="L47" i="6"/>
  <c r="J60" i="6"/>
  <c r="K60" i="6"/>
  <c r="K16" i="10" s="1"/>
  <c r="L60" i="6"/>
  <c r="L16" i="10" s="1"/>
  <c r="J64" i="6"/>
  <c r="K64" i="6"/>
  <c r="L64" i="6"/>
  <c r="L70" i="6" s="1"/>
  <c r="H10" i="6"/>
  <c r="J22" i="14" s="1"/>
  <c r="I10" i="6"/>
  <c r="H16" i="6"/>
  <c r="I16" i="6"/>
  <c r="H22" i="6"/>
  <c r="I22" i="6"/>
  <c r="H26" i="6"/>
  <c r="I26" i="6"/>
  <c r="H31" i="6"/>
  <c r="H31" i="10" s="1"/>
  <c r="I31" i="6"/>
  <c r="I31" i="10" s="1"/>
  <c r="H45" i="6"/>
  <c r="I45" i="6"/>
  <c r="H47" i="6"/>
  <c r="H54" i="6" s="1"/>
  <c r="I47" i="6"/>
  <c r="H60" i="6"/>
  <c r="H16" i="10" s="1"/>
  <c r="I60" i="6"/>
  <c r="I16" i="10" s="1"/>
  <c r="H64" i="6"/>
  <c r="I64" i="6"/>
  <c r="H11" i="7"/>
  <c r="I11" i="7"/>
  <c r="H15" i="7"/>
  <c r="I15" i="7"/>
  <c r="H21" i="7"/>
  <c r="I21" i="7"/>
  <c r="H32" i="7"/>
  <c r="I32" i="7"/>
  <c r="H36" i="7"/>
  <c r="I36" i="7"/>
  <c r="H45" i="7"/>
  <c r="I45" i="7"/>
  <c r="D22" i="7"/>
  <c r="C22" i="7"/>
  <c r="C41" i="10" s="1"/>
  <c r="D18" i="7"/>
  <c r="D66" i="6"/>
  <c r="D18" i="10" s="1"/>
  <c r="D62" i="6"/>
  <c r="D60" i="6"/>
  <c r="C66" i="6"/>
  <c r="C18" i="10" s="1"/>
  <c r="D19" i="6"/>
  <c r="D16" i="6" s="1"/>
  <c r="D11" i="6"/>
  <c r="D12" i="6" s="1"/>
  <c r="C62" i="6"/>
  <c r="C60" i="6" s="1"/>
  <c r="C19" i="6"/>
  <c r="C20" i="6"/>
  <c r="C11" i="6"/>
  <c r="C12" i="6" s="1"/>
  <c r="E6" i="10"/>
  <c r="F6" i="10"/>
  <c r="G6" i="10"/>
  <c r="E7" i="10"/>
  <c r="F7" i="10"/>
  <c r="J32" i="9" s="1"/>
  <c r="G7" i="10"/>
  <c r="E8" i="10"/>
  <c r="F8" i="10"/>
  <c r="G8" i="10"/>
  <c r="E15" i="10"/>
  <c r="I41" i="9" s="1"/>
  <c r="F15" i="10"/>
  <c r="J41" i="9" s="1"/>
  <c r="G15" i="10"/>
  <c r="K41" i="9" s="1"/>
  <c r="E17" i="10"/>
  <c r="F17" i="10"/>
  <c r="G17" i="10"/>
  <c r="E18" i="10"/>
  <c r="F18" i="10"/>
  <c r="G18" i="10"/>
  <c r="E25" i="10"/>
  <c r="E23" i="10" s="1"/>
  <c r="F25" i="10"/>
  <c r="F23" i="10"/>
  <c r="G25" i="10"/>
  <c r="G23" i="10" s="1"/>
  <c r="E28" i="10"/>
  <c r="F28" i="10"/>
  <c r="G28" i="10"/>
  <c r="E29" i="10"/>
  <c r="F29" i="10"/>
  <c r="G29" i="10"/>
  <c r="E35" i="10"/>
  <c r="F35" i="10"/>
  <c r="G35" i="10"/>
  <c r="E37" i="10"/>
  <c r="F37" i="10"/>
  <c r="G37" i="10"/>
  <c r="E41" i="10"/>
  <c r="F41" i="10"/>
  <c r="G41" i="10"/>
  <c r="E43" i="10"/>
  <c r="I42" i="9" s="1"/>
  <c r="F43" i="10"/>
  <c r="G43" i="10"/>
  <c r="D41" i="10"/>
  <c r="D8" i="10"/>
  <c r="D17" i="10"/>
  <c r="D25" i="10"/>
  <c r="D23" i="10" s="1"/>
  <c r="D28" i="10"/>
  <c r="D29" i="10"/>
  <c r="D35" i="10"/>
  <c r="D43" i="10"/>
  <c r="F11" i="7"/>
  <c r="G11" i="7"/>
  <c r="F15" i="7"/>
  <c r="F36" i="10"/>
  <c r="G15" i="7"/>
  <c r="G36" i="10" s="1"/>
  <c r="F21" i="7"/>
  <c r="G21" i="7"/>
  <c r="F32" i="7"/>
  <c r="G32" i="7"/>
  <c r="F36" i="7"/>
  <c r="G36" i="7"/>
  <c r="G44" i="10"/>
  <c r="F45" i="7"/>
  <c r="G45" i="7"/>
  <c r="E45" i="7"/>
  <c r="E36" i="7"/>
  <c r="E44" i="10" s="1"/>
  <c r="E32" i="7"/>
  <c r="E21" i="7"/>
  <c r="E15" i="7"/>
  <c r="E36" i="10" s="1"/>
  <c r="E11" i="7"/>
  <c r="F10" i="6"/>
  <c r="G10" i="6"/>
  <c r="I22" i="14" s="1"/>
  <c r="F16" i="6"/>
  <c r="G16" i="6"/>
  <c r="F22" i="6"/>
  <c r="G22" i="6"/>
  <c r="F26" i="6"/>
  <c r="G26" i="6"/>
  <c r="F31" i="6"/>
  <c r="F32" i="10" s="1"/>
  <c r="F31" i="10"/>
  <c r="G31" i="6"/>
  <c r="G31" i="10" s="1"/>
  <c r="F45" i="6"/>
  <c r="G45" i="6"/>
  <c r="I14" i="14" s="1"/>
  <c r="F47" i="6"/>
  <c r="F54" i="6" s="1"/>
  <c r="G47" i="6"/>
  <c r="F60" i="6"/>
  <c r="F16" i="10" s="1"/>
  <c r="G60" i="6"/>
  <c r="G16" i="10" s="1"/>
  <c r="G14" i="10" s="1"/>
  <c r="F64" i="6"/>
  <c r="G64" i="6"/>
  <c r="E64" i="6"/>
  <c r="E60" i="6"/>
  <c r="E47" i="6"/>
  <c r="E45" i="6"/>
  <c r="E54" i="6" s="1"/>
  <c r="E31" i="6"/>
  <c r="E31" i="10" s="1"/>
  <c r="E26" i="6"/>
  <c r="E22" i="6"/>
  <c r="E16" i="6"/>
  <c r="E10" i="6"/>
  <c r="D13" i="7"/>
  <c r="D37" i="10" s="1"/>
  <c r="D11" i="7"/>
  <c r="D31" i="9"/>
  <c r="C6" i="10"/>
  <c r="G31" i="9" s="1"/>
  <c r="C7" i="10"/>
  <c r="G32" i="9" s="1"/>
  <c r="D25" i="9"/>
  <c r="C8" i="10"/>
  <c r="D41" i="9"/>
  <c r="E41" i="9"/>
  <c r="F41" i="9"/>
  <c r="C15" i="10"/>
  <c r="C17" i="10"/>
  <c r="C25" i="10"/>
  <c r="C23" i="10"/>
  <c r="F18" i="9"/>
  <c r="C28" i="10"/>
  <c r="E45" i="9"/>
  <c r="E48" i="9"/>
  <c r="C29" i="10"/>
  <c r="E35" i="9"/>
  <c r="C35" i="10"/>
  <c r="C37" i="10"/>
  <c r="C43" i="10"/>
  <c r="G42" i="9"/>
  <c r="C45" i="7"/>
  <c r="C36" i="7"/>
  <c r="C44" i="10" s="1"/>
  <c r="C32" i="7"/>
  <c r="F37" i="9"/>
  <c r="C15" i="7"/>
  <c r="C36" i="10" s="1"/>
  <c r="C11" i="7"/>
  <c r="C47" i="6"/>
  <c r="E16" i="9"/>
  <c r="C45" i="6"/>
  <c r="C5" i="10" s="1"/>
  <c r="C31" i="6"/>
  <c r="C32" i="10" s="1"/>
  <c r="C26" i="6"/>
  <c r="D26" i="6"/>
  <c r="C22" i="6"/>
  <c r="C10" i="6"/>
  <c r="E22" i="14" s="1"/>
  <c r="D36" i="7"/>
  <c r="D47" i="6"/>
  <c r="D6" i="10"/>
  <c r="D64" i="6"/>
  <c r="D31" i="6"/>
  <c r="D32" i="10" s="1"/>
  <c r="D22" i="6"/>
  <c r="D15" i="10"/>
  <c r="H41" i="9" s="1"/>
  <c r="D7" i="10"/>
  <c r="I32" i="9" s="1"/>
  <c r="D45" i="7"/>
  <c r="D32" i="7"/>
  <c r="D21" i="7"/>
  <c r="D40" i="10" s="1"/>
  <c r="D19" i="7"/>
  <c r="D118" i="12"/>
  <c r="C118" i="12"/>
  <c r="F117" i="12"/>
  <c r="F116" i="12"/>
  <c r="F115" i="12"/>
  <c r="F114" i="12"/>
  <c r="F113" i="12"/>
  <c r="D111" i="12"/>
  <c r="D119" i="12" s="1"/>
  <c r="C111" i="12"/>
  <c r="F110" i="12"/>
  <c r="F109" i="12"/>
  <c r="F108" i="12"/>
  <c r="F107" i="12"/>
  <c r="F106" i="12"/>
  <c r="G14" i="12"/>
  <c r="D91" i="12"/>
  <c r="C91" i="12"/>
  <c r="F90" i="12"/>
  <c r="F89" i="12"/>
  <c r="F88" i="12"/>
  <c r="F87" i="12"/>
  <c r="F86" i="12"/>
  <c r="F91" i="12" s="1"/>
  <c r="D84" i="12"/>
  <c r="D92" i="12" s="1"/>
  <c r="C84" i="12"/>
  <c r="C92" i="12" s="1"/>
  <c r="F83" i="12"/>
  <c r="F82" i="12"/>
  <c r="F81" i="12"/>
  <c r="F80" i="12"/>
  <c r="F79" i="12"/>
  <c r="D57" i="12"/>
  <c r="C57" i="12"/>
  <c r="F56" i="12"/>
  <c r="F55" i="12"/>
  <c r="F54" i="12"/>
  <c r="F53" i="12"/>
  <c r="F52" i="12"/>
  <c r="D50" i="12"/>
  <c r="C50" i="12"/>
  <c r="C58" i="12" s="1"/>
  <c r="F49" i="12"/>
  <c r="F48" i="12"/>
  <c r="F47" i="12"/>
  <c r="F46" i="12"/>
  <c r="F45" i="12"/>
  <c r="D22" i="12"/>
  <c r="C22" i="12"/>
  <c r="F21" i="12"/>
  <c r="F20" i="12"/>
  <c r="F19" i="12"/>
  <c r="F18" i="12"/>
  <c r="F17" i="12"/>
  <c r="D15" i="12"/>
  <c r="D23" i="12" s="1"/>
  <c r="C15" i="12"/>
  <c r="F14" i="12"/>
  <c r="F13" i="12"/>
  <c r="F12" i="12"/>
  <c r="F11" i="12"/>
  <c r="F10" i="12"/>
  <c r="B8" i="17"/>
  <c r="C8" i="17"/>
  <c r="D8" i="17"/>
  <c r="E8" i="17"/>
  <c r="F8" i="17"/>
  <c r="G8" i="17"/>
  <c r="H8" i="17"/>
  <c r="I8" i="17"/>
  <c r="J8" i="17"/>
  <c r="K8" i="17"/>
  <c r="L8" i="17"/>
  <c r="B10" i="17"/>
  <c r="B12" i="17" s="1"/>
  <c r="B11" i="17" s="1"/>
  <c r="C10" i="17"/>
  <c r="C12" i="17" s="1"/>
  <c r="C11" i="17" s="1"/>
  <c r="D10" i="17"/>
  <c r="E10" i="17"/>
  <c r="F10" i="17"/>
  <c r="F12" i="17" s="1"/>
  <c r="F11" i="17" s="1"/>
  <c r="G10" i="17"/>
  <c r="H10" i="17"/>
  <c r="I10" i="17"/>
  <c r="J10" i="17"/>
  <c r="J12" i="17" s="1"/>
  <c r="J11" i="17" s="1"/>
  <c r="K10" i="17"/>
  <c r="L10" i="17"/>
  <c r="L12" i="17" s="1"/>
  <c r="L11" i="17" s="1"/>
  <c r="C7" i="17"/>
  <c r="D7" i="17"/>
  <c r="E7" i="17"/>
  <c r="F7" i="17"/>
  <c r="G7" i="17"/>
  <c r="H7" i="17"/>
  <c r="I7" i="17"/>
  <c r="J7" i="17"/>
  <c r="K7" i="17"/>
  <c r="L7" i="17"/>
  <c r="B7" i="17"/>
  <c r="D58" i="12"/>
  <c r="D12" i="17"/>
  <c r="D11" i="17" s="1"/>
  <c r="D48" i="9"/>
  <c r="E46" i="9"/>
  <c r="D32" i="9"/>
  <c r="F31" i="9"/>
  <c r="D16" i="9"/>
  <c r="E30" i="9"/>
  <c r="E42" i="9"/>
  <c r="E33" i="9"/>
  <c r="D33" i="9"/>
  <c r="D30" i="9"/>
  <c r="F35" i="9"/>
  <c r="D46" i="9"/>
  <c r="E44" i="9"/>
  <c r="G45" i="9"/>
  <c r="F30" i="9"/>
  <c r="D37" i="9"/>
  <c r="E37" i="9"/>
  <c r="D45" i="9"/>
  <c r="E24" i="9"/>
  <c r="D35" i="9"/>
  <c r="D44" i="9"/>
  <c r="D13" i="9"/>
  <c r="F29" i="9"/>
  <c r="E25" i="9"/>
  <c r="E23" i="9"/>
  <c r="D18" i="9"/>
  <c r="D29" i="9"/>
  <c r="D24" i="9"/>
  <c r="D22" i="9"/>
  <c r="I33" i="9"/>
  <c r="F6" i="9"/>
  <c r="F7" i="9"/>
  <c r="D5" i="9"/>
  <c r="D17" i="9"/>
  <c r="D6" i="9"/>
  <c r="D34" i="9"/>
  <c r="D8" i="9"/>
  <c r="D26" i="9"/>
  <c r="D7" i="9"/>
  <c r="E29" i="9"/>
  <c r="D43" i="9"/>
  <c r="F33" i="9"/>
  <c r="D12" i="9"/>
  <c r="F24" i="9"/>
  <c r="E12" i="9"/>
  <c r="E18" i="9"/>
  <c r="E32" i="9"/>
  <c r="D42" i="9"/>
  <c r="E43" i="9"/>
  <c r="F48" i="9"/>
  <c r="E22" i="9"/>
  <c r="E13" i="9"/>
  <c r="F25" i="9"/>
  <c r="F32" i="9"/>
  <c r="I46" i="9"/>
  <c r="F34" i="9"/>
  <c r="F13" i="9"/>
  <c r="F43" i="9"/>
  <c r="F17" i="9"/>
  <c r="F45" i="9"/>
  <c r="F42" i="9"/>
  <c r="G46" i="9"/>
  <c r="D45" i="6"/>
  <c r="D5" i="10" s="1"/>
  <c r="H16" i="9" s="1"/>
  <c r="F22" i="9"/>
  <c r="F8" i="9"/>
  <c r="F16" i="9"/>
  <c r="D23" i="9"/>
  <c r="F26" i="9"/>
  <c r="F12" i="9"/>
  <c r="F5" i="9"/>
  <c r="F23" i="9"/>
  <c r="E31" i="9"/>
  <c r="F44" i="9"/>
  <c r="F46" i="9"/>
  <c r="E26" i="9"/>
  <c r="E6" i="9"/>
  <c r="E34" i="9"/>
  <c r="E17" i="9"/>
  <c r="E8" i="9"/>
  <c r="E7" i="9"/>
  <c r="E5" i="9"/>
  <c r="H14" i="14"/>
  <c r="F5" i="10"/>
  <c r="J16" i="9" s="1"/>
  <c r="H22" i="14"/>
  <c r="G22" i="14"/>
  <c r="C64" i="6"/>
  <c r="D54" i="6"/>
  <c r="F14" i="14"/>
  <c r="C31" i="10"/>
  <c r="D44" i="10"/>
  <c r="D27" i="10" l="1"/>
  <c r="I31" i="9"/>
  <c r="C16" i="6"/>
  <c r="I54" i="6"/>
  <c r="F15" i="12"/>
  <c r="C21" i="7"/>
  <c r="C40" i="10" s="1"/>
  <c r="G37" i="9" s="1"/>
  <c r="G40" i="10"/>
  <c r="K42" i="9"/>
  <c r="M40" i="10"/>
  <c r="I38" i="6"/>
  <c r="L54" i="6"/>
  <c r="T48" i="9"/>
  <c r="L48" i="9"/>
  <c r="E10" i="7"/>
  <c r="F84" i="12"/>
  <c r="F92" i="12" s="1"/>
  <c r="F38" i="6"/>
  <c r="H25" i="14" s="1"/>
  <c r="I12" i="17"/>
  <c r="I11" i="17" s="1"/>
  <c r="C23" i="12"/>
  <c r="F111" i="12"/>
  <c r="K70" i="6"/>
  <c r="F118" i="12"/>
  <c r="F119" i="12" s="1"/>
  <c r="E14" i="14"/>
  <c r="C54" i="6"/>
  <c r="G23" i="14"/>
  <c r="H42" i="9"/>
  <c r="F22" i="12"/>
  <c r="F50" i="12"/>
  <c r="C10" i="7"/>
  <c r="C34" i="10" s="1"/>
  <c r="G35" i="9" s="1"/>
  <c r="M10" i="7"/>
  <c r="N70" i="6"/>
  <c r="O48" i="9"/>
  <c r="U48" i="9"/>
  <c r="E30" i="7"/>
  <c r="E34" i="10"/>
  <c r="I44" i="9" s="1"/>
  <c r="H37" i="9"/>
  <c r="H24" i="14"/>
  <c r="H12" i="14"/>
  <c r="H12" i="17"/>
  <c r="H11" i="17" s="1"/>
  <c r="F10" i="7"/>
  <c r="H70" i="6"/>
  <c r="H72" i="6" s="1"/>
  <c r="O10" i="7"/>
  <c r="N40" i="10"/>
  <c r="AC35" i="9"/>
  <c r="AC44" i="9"/>
  <c r="Z35" i="9"/>
  <c r="Z44" i="9"/>
  <c r="AB44" i="9"/>
  <c r="AB35" i="9"/>
  <c r="E32" i="10"/>
  <c r="E23" i="14"/>
  <c r="G12" i="17"/>
  <c r="G11" i="17" s="1"/>
  <c r="D15" i="7"/>
  <c r="D31" i="10"/>
  <c r="AG44" i="9"/>
  <c r="AH35" i="9"/>
  <c r="AG35" i="9"/>
  <c r="Y35" i="9"/>
  <c r="Y44" i="9"/>
  <c r="AD35" i="9"/>
  <c r="AD44" i="9"/>
  <c r="G70" i="6"/>
  <c r="K12" i="17"/>
  <c r="K11" i="17" s="1"/>
  <c r="O38" i="6"/>
  <c r="Q13" i="14" s="1"/>
  <c r="S48" i="9"/>
  <c r="AA35" i="9"/>
  <c r="AA44" i="9"/>
  <c r="X35" i="9"/>
  <c r="X44" i="9"/>
  <c r="AF35" i="9"/>
  <c r="AF44" i="9"/>
  <c r="AE35" i="9"/>
  <c r="AE44" i="9"/>
  <c r="F40" i="10"/>
  <c r="H23" i="14"/>
  <c r="E12" i="17"/>
  <c r="E11" i="17" s="1"/>
  <c r="G48" i="9"/>
  <c r="F70" i="6"/>
  <c r="G32" i="10"/>
  <c r="E40" i="10"/>
  <c r="I37" i="9" s="1"/>
  <c r="H48" i="9"/>
  <c r="N54" i="6"/>
  <c r="N72" i="6" s="1"/>
  <c r="P70" i="6"/>
  <c r="Q48" i="9"/>
  <c r="W35" i="9"/>
  <c r="W44" i="9"/>
  <c r="G19" i="12"/>
  <c r="G20" i="12" s="1"/>
  <c r="F57" i="12"/>
  <c r="F58" i="12" s="1"/>
  <c r="C119" i="12"/>
  <c r="H32" i="9"/>
  <c r="F44" i="10"/>
  <c r="G10" i="7"/>
  <c r="I45" i="9"/>
  <c r="I48" i="9"/>
  <c r="I70" i="6"/>
  <c r="I72" i="6" s="1"/>
  <c r="P40" i="10"/>
  <c r="J37" i="9"/>
  <c r="C27" i="10"/>
  <c r="H45" i="9" s="1"/>
  <c r="J46" i="9"/>
  <c r="F14" i="10"/>
  <c r="F11" i="10" s="1"/>
  <c r="J17" i="9" s="1"/>
  <c r="M42" i="9"/>
  <c r="G11" i="10"/>
  <c r="K34" i="9" s="1"/>
  <c r="T37" i="9"/>
  <c r="T42" i="9"/>
  <c r="L42" i="9"/>
  <c r="P48" i="9"/>
  <c r="V46" i="9"/>
  <c r="R42" i="9"/>
  <c r="H31" i="9"/>
  <c r="E27" i="10"/>
  <c r="J45" i="9" s="1"/>
  <c r="Q42" i="9"/>
  <c r="M48" i="9"/>
  <c r="K20" i="14"/>
  <c r="I4" i="10"/>
  <c r="M18" i="9" s="1"/>
  <c r="K37" i="9"/>
  <c r="C38" i="6"/>
  <c r="H46" i="9"/>
  <c r="E38" i="6"/>
  <c r="G25" i="14" s="1"/>
  <c r="F72" i="6"/>
  <c r="G38" i="6"/>
  <c r="L46" i="9"/>
  <c r="K46" i="9"/>
  <c r="G27" i="10"/>
  <c r="L45" i="9" s="1"/>
  <c r="K48" i="9"/>
  <c r="K33" i="9"/>
  <c r="J42" i="9"/>
  <c r="K32" i="9"/>
  <c r="K31" i="9"/>
  <c r="J31" i="9"/>
  <c r="D70" i="6"/>
  <c r="D72" i="6" s="1"/>
  <c r="I44" i="10"/>
  <c r="H44" i="10"/>
  <c r="I40" i="10"/>
  <c r="H40" i="10"/>
  <c r="L37" i="9" s="1"/>
  <c r="I10" i="7"/>
  <c r="I36" i="10"/>
  <c r="H10" i="7"/>
  <c r="H34" i="10" s="1"/>
  <c r="H36" i="10"/>
  <c r="I5" i="10"/>
  <c r="N30" i="9" s="1"/>
  <c r="K14" i="14"/>
  <c r="J14" i="14"/>
  <c r="H5" i="10"/>
  <c r="H38" i="6"/>
  <c r="K22" i="14"/>
  <c r="K25" i="14"/>
  <c r="J70" i="6"/>
  <c r="L72" i="6"/>
  <c r="N16" i="9"/>
  <c r="L31" i="10"/>
  <c r="L32" i="10"/>
  <c r="L38" i="6"/>
  <c r="N20" i="14" s="1"/>
  <c r="J38" i="6"/>
  <c r="N25" i="14"/>
  <c r="N22" i="14"/>
  <c r="L44" i="10"/>
  <c r="K44" i="10"/>
  <c r="J44" i="10"/>
  <c r="L40" i="10"/>
  <c r="K40" i="10"/>
  <c r="J40" i="10"/>
  <c r="P30" i="7"/>
  <c r="P43" i="7" s="1"/>
  <c r="P49" i="7" s="1"/>
  <c r="P53" i="7" s="1"/>
  <c r="P56" i="7" s="1"/>
  <c r="P34" i="10"/>
  <c r="O30" i="7"/>
  <c r="O43" i="7" s="1"/>
  <c r="O49" i="7" s="1"/>
  <c r="O53" i="7" s="1"/>
  <c r="O56" i="7" s="1"/>
  <c r="O34" i="10"/>
  <c r="N30" i="7"/>
  <c r="N43" i="7" s="1"/>
  <c r="N49" i="7" s="1"/>
  <c r="N53" i="7" s="1"/>
  <c r="N56" i="7" s="1"/>
  <c r="N34" i="10"/>
  <c r="M30" i="7"/>
  <c r="M43" i="7" s="1"/>
  <c r="M49" i="7" s="1"/>
  <c r="M53" i="7" s="1"/>
  <c r="M56" i="7" s="1"/>
  <c r="M34" i="10"/>
  <c r="P44" i="10"/>
  <c r="O44" i="10"/>
  <c r="N44" i="10"/>
  <c r="P19" i="14"/>
  <c r="M44" i="10"/>
  <c r="O19" i="14"/>
  <c r="P38" i="6"/>
  <c r="R22" i="14"/>
  <c r="P23" i="14"/>
  <c r="P22" i="14"/>
  <c r="P54" i="6"/>
  <c r="P72" i="6" s="1"/>
  <c r="P5" i="10"/>
  <c r="M5" i="10"/>
  <c r="O14" i="14"/>
  <c r="U46" i="9"/>
  <c r="T46" i="9"/>
  <c r="S46" i="9"/>
  <c r="R46" i="9"/>
  <c r="Q46" i="9"/>
  <c r="P46" i="9"/>
  <c r="O46" i="9"/>
  <c r="N46" i="9"/>
  <c r="M46" i="9"/>
  <c r="T33" i="9"/>
  <c r="S33" i="9"/>
  <c r="R33" i="9"/>
  <c r="Q33" i="9"/>
  <c r="P33" i="9"/>
  <c r="O33" i="9"/>
  <c r="N33" i="9"/>
  <c r="K16" i="14"/>
  <c r="M33" i="9"/>
  <c r="L33" i="9"/>
  <c r="T32" i="9"/>
  <c r="S32" i="9"/>
  <c r="R32" i="9"/>
  <c r="Q32" i="9"/>
  <c r="P32" i="9"/>
  <c r="O32" i="9"/>
  <c r="N32" i="9"/>
  <c r="M32" i="9"/>
  <c r="L32" i="9"/>
  <c r="T31" i="9"/>
  <c r="S31" i="9"/>
  <c r="R31" i="9"/>
  <c r="Q31" i="9"/>
  <c r="P31" i="9"/>
  <c r="O31" i="9"/>
  <c r="N31" i="9"/>
  <c r="M23" i="9"/>
  <c r="M31" i="9"/>
  <c r="L31" i="9"/>
  <c r="U33" i="9"/>
  <c r="U32" i="9"/>
  <c r="U31" i="9"/>
  <c r="I12" i="14"/>
  <c r="I13" i="14"/>
  <c r="I20" i="14"/>
  <c r="I24" i="14"/>
  <c r="G4" i="10"/>
  <c r="I8" i="14" s="1"/>
  <c r="I25" i="14"/>
  <c r="C16" i="10"/>
  <c r="C14" i="10" s="1"/>
  <c r="C11" i="10" s="1"/>
  <c r="C70" i="6"/>
  <c r="C72" i="6" s="1"/>
  <c r="G24" i="14"/>
  <c r="N13" i="14"/>
  <c r="N24" i="14"/>
  <c r="L4" i="10"/>
  <c r="L13" i="14"/>
  <c r="L20" i="14"/>
  <c r="L24" i="14"/>
  <c r="J4" i="10"/>
  <c r="G16" i="9"/>
  <c r="G30" i="9"/>
  <c r="R20" i="14"/>
  <c r="R13" i="14"/>
  <c r="R24" i="14"/>
  <c r="P4" i="10"/>
  <c r="J20" i="14"/>
  <c r="J13" i="14"/>
  <c r="J24" i="14"/>
  <c r="H4" i="10"/>
  <c r="E20" i="14"/>
  <c r="E25" i="14"/>
  <c r="E13" i="14"/>
  <c r="E12" i="14"/>
  <c r="E24" i="14"/>
  <c r="C4" i="10"/>
  <c r="C73" i="6"/>
  <c r="Q20" i="14"/>
  <c r="M23" i="14"/>
  <c r="F4" i="10"/>
  <c r="H6" i="14" s="1"/>
  <c r="F12" i="10"/>
  <c r="I23" i="14"/>
  <c r="J5" i="9"/>
  <c r="G41" i="9"/>
  <c r="M70" i="6"/>
  <c r="N38" i="6"/>
  <c r="P25" i="14" s="1"/>
  <c r="L25" i="14"/>
  <c r="N23" i="14"/>
  <c r="O22" i="14"/>
  <c r="L14" i="14"/>
  <c r="N12" i="14"/>
  <c r="M32" i="10"/>
  <c r="N31" i="10"/>
  <c r="M31" i="10"/>
  <c r="D16" i="10"/>
  <c r="D14" i="10" s="1"/>
  <c r="D11" i="10" s="1"/>
  <c r="J25" i="9"/>
  <c r="H20" i="14"/>
  <c r="H15" i="14"/>
  <c r="G5" i="10"/>
  <c r="J33" i="9"/>
  <c r="J48" i="9"/>
  <c r="G54" i="6"/>
  <c r="G72" i="6" s="1"/>
  <c r="H33" i="9"/>
  <c r="D10" i="6"/>
  <c r="R25" i="14"/>
  <c r="J25" i="14"/>
  <c r="K24" i="14"/>
  <c r="L23" i="14"/>
  <c r="M22" i="14"/>
  <c r="R14" i="14"/>
  <c r="K13" i="14"/>
  <c r="L12" i="14"/>
  <c r="K32" i="10"/>
  <c r="J16" i="10"/>
  <c r="J14" i="10" s="1"/>
  <c r="J11" i="10" s="1"/>
  <c r="O5" i="10"/>
  <c r="K54" i="6"/>
  <c r="K23" i="14"/>
  <c r="K12" i="14"/>
  <c r="J32" i="10"/>
  <c r="N5" i="10"/>
  <c r="J18" i="9"/>
  <c r="H13" i="14"/>
  <c r="J7" i="9"/>
  <c r="J54" i="6"/>
  <c r="J72" i="6" s="1"/>
  <c r="K38" i="6"/>
  <c r="O54" i="6"/>
  <c r="O72" i="6" s="1"/>
  <c r="R23" i="14"/>
  <c r="J23" i="14"/>
  <c r="P14" i="14"/>
  <c r="R12" i="14"/>
  <c r="J12" i="14"/>
  <c r="I32" i="10"/>
  <c r="M13" i="9" s="1"/>
  <c r="P16" i="10"/>
  <c r="P14" i="10" s="1"/>
  <c r="P11" i="10" s="1"/>
  <c r="H5" i="14"/>
  <c r="H30" i="9"/>
  <c r="J22" i="9"/>
  <c r="G33" i="9"/>
  <c r="F27" i="10"/>
  <c r="K45" i="9" s="1"/>
  <c r="Q23" i="14"/>
  <c r="P32" i="10"/>
  <c r="T13" i="9" s="1"/>
  <c r="H32" i="10"/>
  <c r="O16" i="10"/>
  <c r="O14" i="10" s="1"/>
  <c r="O11" i="10" s="1"/>
  <c r="L5" i="10"/>
  <c r="H7" i="14"/>
  <c r="M54" i="6"/>
  <c r="M72" i="6" s="1"/>
  <c r="Q22" i="14"/>
  <c r="O32" i="10"/>
  <c r="N16" i="10"/>
  <c r="N14" i="10" s="1"/>
  <c r="N11" i="10" s="1"/>
  <c r="K5" i="10"/>
  <c r="M38" i="6"/>
  <c r="O12" i="14" s="1"/>
  <c r="M16" i="10"/>
  <c r="M14" i="10" s="1"/>
  <c r="M11" i="10" s="1"/>
  <c r="Q40" i="10"/>
  <c r="Q10" i="7"/>
  <c r="Q30" i="7" s="1"/>
  <c r="Q70" i="6"/>
  <c r="Q16" i="10"/>
  <c r="Q14" i="10" s="1"/>
  <c r="Q11" i="10" s="1"/>
  <c r="V34" i="9" s="1"/>
  <c r="Q54" i="6"/>
  <c r="S14" i="14"/>
  <c r="Q5" i="10"/>
  <c r="V30" i="9" s="1"/>
  <c r="Q32" i="10"/>
  <c r="Q38" i="6"/>
  <c r="Q4" i="10" s="1"/>
  <c r="V29" i="9" s="1"/>
  <c r="S23" i="14"/>
  <c r="Q27" i="10"/>
  <c r="V45" i="9" s="1"/>
  <c r="P27" i="10"/>
  <c r="U45" i="9" s="1"/>
  <c r="O27" i="10"/>
  <c r="T45" i="9" s="1"/>
  <c r="N27" i="10"/>
  <c r="S45" i="9" s="1"/>
  <c r="M27" i="10"/>
  <c r="R45" i="9" s="1"/>
  <c r="L27" i="10"/>
  <c r="Q45" i="9" s="1"/>
  <c r="K27" i="10"/>
  <c r="P45" i="9" s="1"/>
  <c r="J27" i="10"/>
  <c r="O45" i="9" s="1"/>
  <c r="I27" i="10"/>
  <c r="N45" i="9" s="1"/>
  <c r="H27" i="10"/>
  <c r="M45" i="9" s="1"/>
  <c r="L14" i="10"/>
  <c r="L11" i="10" s="1"/>
  <c r="K14" i="10"/>
  <c r="K11" i="10" s="1"/>
  <c r="I14" i="10"/>
  <c r="I11" i="10" s="1"/>
  <c r="H14" i="10"/>
  <c r="H11" i="10" s="1"/>
  <c r="L10" i="7"/>
  <c r="K10" i="7"/>
  <c r="J10" i="7"/>
  <c r="G14" i="14"/>
  <c r="E5" i="10"/>
  <c r="E16" i="10"/>
  <c r="E14" i="10" s="1"/>
  <c r="E11" i="10" s="1"/>
  <c r="E70" i="6"/>
  <c r="E72" i="6" s="1"/>
  <c r="H30" i="7"/>
  <c r="F23" i="12" l="1"/>
  <c r="K72" i="6"/>
  <c r="P12" i="14"/>
  <c r="G12" i="14"/>
  <c r="R19" i="14"/>
  <c r="C30" i="7"/>
  <c r="C43" i="7" s="1"/>
  <c r="C49" i="7" s="1"/>
  <c r="C53" i="7" s="1"/>
  <c r="C56" i="7" s="1"/>
  <c r="E18" i="14" s="1"/>
  <c r="R37" i="9"/>
  <c r="Q37" i="9"/>
  <c r="M12" i="9"/>
  <c r="G44" i="9"/>
  <c r="E19" i="14"/>
  <c r="J8" i="9"/>
  <c r="N37" i="9"/>
  <c r="G34" i="10"/>
  <c r="L35" i="9" s="1"/>
  <c r="G30" i="7"/>
  <c r="G13" i="14"/>
  <c r="F34" i="10"/>
  <c r="F30" i="7"/>
  <c r="S25" i="14"/>
  <c r="Q12" i="14"/>
  <c r="O4" i="10"/>
  <c r="S12" i="9" s="1"/>
  <c r="G20" i="14"/>
  <c r="S37" i="9"/>
  <c r="D36" i="10"/>
  <c r="D10" i="7"/>
  <c r="Q25" i="14"/>
  <c r="Q24" i="14"/>
  <c r="E4" i="10"/>
  <c r="G19" i="14"/>
  <c r="E43" i="7"/>
  <c r="E49" i="7" s="1"/>
  <c r="E53" i="7" s="1"/>
  <c r="E56" i="7" s="1"/>
  <c r="G18" i="14" s="1"/>
  <c r="Q19" i="14"/>
  <c r="K17" i="9"/>
  <c r="G12" i="10"/>
  <c r="K8" i="9" s="1"/>
  <c r="K5" i="9"/>
  <c r="U37" i="9"/>
  <c r="V37" i="9"/>
  <c r="M24" i="9"/>
  <c r="M25" i="9"/>
  <c r="I5" i="14"/>
  <c r="I6" i="14"/>
  <c r="L13" i="9"/>
  <c r="N13" i="9"/>
  <c r="I15" i="14"/>
  <c r="H43" i="7"/>
  <c r="H49" i="7" s="1"/>
  <c r="H53" i="7" s="1"/>
  <c r="H56" i="7" s="1"/>
  <c r="J19" i="14"/>
  <c r="J30" i="7"/>
  <c r="J34" i="10"/>
  <c r="K30" i="7"/>
  <c r="K34" i="10"/>
  <c r="L30" i="7"/>
  <c r="L34" i="10"/>
  <c r="P35" i="9" s="1"/>
  <c r="L5" i="9"/>
  <c r="L6" i="9"/>
  <c r="L7" i="9"/>
  <c r="L17" i="9"/>
  <c r="L26" i="9"/>
  <c r="L34" i="9"/>
  <c r="M5" i="9"/>
  <c r="M6" i="9"/>
  <c r="M7" i="9"/>
  <c r="M17" i="9"/>
  <c r="M26" i="9"/>
  <c r="M34" i="9"/>
  <c r="O5" i="9"/>
  <c r="O7" i="9"/>
  <c r="O17" i="9"/>
  <c r="O34" i="9"/>
  <c r="P5" i="9"/>
  <c r="P6" i="9"/>
  <c r="P7" i="9"/>
  <c r="P17" i="9"/>
  <c r="P26" i="9"/>
  <c r="P34" i="9"/>
  <c r="Q5" i="9"/>
  <c r="Q7" i="9"/>
  <c r="Q17" i="9"/>
  <c r="Q34" i="9"/>
  <c r="T5" i="9"/>
  <c r="T6" i="9"/>
  <c r="T7" i="9"/>
  <c r="T17" i="9"/>
  <c r="T26" i="9"/>
  <c r="T34" i="9"/>
  <c r="S16" i="14"/>
  <c r="U29" i="9"/>
  <c r="U43" i="9"/>
  <c r="U12" i="9"/>
  <c r="U18" i="9"/>
  <c r="U25" i="9"/>
  <c r="U24" i="9"/>
  <c r="U23" i="9"/>
  <c r="U13" i="9"/>
  <c r="U16" i="9"/>
  <c r="U22" i="9"/>
  <c r="U30" i="9"/>
  <c r="U5" i="9"/>
  <c r="U6" i="9"/>
  <c r="U7" i="9"/>
  <c r="U17" i="9"/>
  <c r="U26" i="9"/>
  <c r="U34" i="9"/>
  <c r="O16" i="9"/>
  <c r="O30" i="9"/>
  <c r="R5" i="9"/>
  <c r="R7" i="9"/>
  <c r="R17" i="9"/>
  <c r="R34" i="9"/>
  <c r="P16" i="9"/>
  <c r="P22" i="9"/>
  <c r="P30" i="9"/>
  <c r="S5" i="9"/>
  <c r="S7" i="9"/>
  <c r="S17" i="9"/>
  <c r="S34" i="9"/>
  <c r="R16" i="9"/>
  <c r="R30" i="9"/>
  <c r="S16" i="9"/>
  <c r="S30" i="9"/>
  <c r="N5" i="9"/>
  <c r="N6" i="9"/>
  <c r="N7" i="9"/>
  <c r="N17" i="9"/>
  <c r="N26" i="9"/>
  <c r="N34" i="9"/>
  <c r="I7" i="14"/>
  <c r="K16" i="9"/>
  <c r="K22" i="9"/>
  <c r="K30" i="9"/>
  <c r="K7" i="9"/>
  <c r="Q18" i="14"/>
  <c r="G13" i="9"/>
  <c r="G22" i="9"/>
  <c r="L29" i="9"/>
  <c r="L12" i="9"/>
  <c r="L18" i="9"/>
  <c r="L25" i="9"/>
  <c r="L24" i="9"/>
  <c r="L23" i="9"/>
  <c r="T12" i="9"/>
  <c r="T18" i="9"/>
  <c r="T25" i="9"/>
  <c r="T24" i="9"/>
  <c r="T23" i="9"/>
  <c r="N29" i="9"/>
  <c r="N22" i="9"/>
  <c r="N12" i="9"/>
  <c r="N18" i="9"/>
  <c r="N25" i="9"/>
  <c r="N24" i="9"/>
  <c r="N23" i="9"/>
  <c r="P18" i="9"/>
  <c r="P25" i="9"/>
  <c r="P24" i="9"/>
  <c r="P23" i="9"/>
  <c r="K29" i="9"/>
  <c r="K6" i="9"/>
  <c r="K26" i="9"/>
  <c r="K13" i="9"/>
  <c r="K12" i="9"/>
  <c r="K43" i="9"/>
  <c r="K18" i="9"/>
  <c r="K25" i="9"/>
  <c r="K24" i="9"/>
  <c r="K23" i="9"/>
  <c r="Q16" i="9"/>
  <c r="Q30" i="9"/>
  <c r="T16" i="9"/>
  <c r="T22" i="9"/>
  <c r="T30" i="9"/>
  <c r="Q44" i="9"/>
  <c r="R44" i="9"/>
  <c r="S43" i="9"/>
  <c r="S44" i="9"/>
  <c r="T43" i="9"/>
  <c r="T44" i="9"/>
  <c r="R35" i="9"/>
  <c r="S35" i="9"/>
  <c r="T35" i="9"/>
  <c r="O37" i="9"/>
  <c r="P37" i="9"/>
  <c r="N43" i="9"/>
  <c r="N44" i="9"/>
  <c r="O44" i="9"/>
  <c r="P43" i="9"/>
  <c r="P44" i="9"/>
  <c r="P13" i="9"/>
  <c r="P12" i="9"/>
  <c r="L16" i="9"/>
  <c r="L22" i="9"/>
  <c r="L30" i="9"/>
  <c r="M16" i="9"/>
  <c r="M22" i="9"/>
  <c r="M30" i="9"/>
  <c r="I34" i="10"/>
  <c r="M35" i="9" s="1"/>
  <c r="I30" i="7"/>
  <c r="M37" i="9"/>
  <c r="L43" i="9"/>
  <c r="L44" i="9"/>
  <c r="M43" i="9"/>
  <c r="M29" i="9"/>
  <c r="D38" i="6"/>
  <c r="F25" i="14" s="1"/>
  <c r="F22" i="14"/>
  <c r="F23" i="14"/>
  <c r="J23" i="9"/>
  <c r="J13" i="9"/>
  <c r="J43" i="9"/>
  <c r="J29" i="9"/>
  <c r="J24" i="9"/>
  <c r="J12" i="9"/>
  <c r="L16" i="14"/>
  <c r="H5" i="9"/>
  <c r="H17" i="9"/>
  <c r="F15" i="14"/>
  <c r="F7" i="14"/>
  <c r="D12" i="10"/>
  <c r="F5" i="14"/>
  <c r="H34" i="9"/>
  <c r="H7" i="9"/>
  <c r="J6" i="9"/>
  <c r="N16" i="14"/>
  <c r="J26" i="9"/>
  <c r="K4" i="10"/>
  <c r="M8" i="14" s="1"/>
  <c r="M20" i="14"/>
  <c r="M13" i="14"/>
  <c r="M24" i="14"/>
  <c r="M12" i="14"/>
  <c r="P13" i="14"/>
  <c r="P24" i="14"/>
  <c r="N4" i="10"/>
  <c r="P6" i="14" s="1"/>
  <c r="P20" i="14"/>
  <c r="H8" i="14"/>
  <c r="M25" i="14"/>
  <c r="J16" i="14"/>
  <c r="J18" i="14"/>
  <c r="I18" i="9"/>
  <c r="G16" i="14"/>
  <c r="I24" i="9"/>
  <c r="I25" i="9"/>
  <c r="I43" i="9"/>
  <c r="I13" i="9"/>
  <c r="H16" i="14"/>
  <c r="G43" i="9"/>
  <c r="G29" i="9"/>
  <c r="G25" i="9"/>
  <c r="G23" i="9"/>
  <c r="G12" i="9"/>
  <c r="G18" i="9"/>
  <c r="G24" i="9"/>
  <c r="E5" i="14"/>
  <c r="E7" i="14"/>
  <c r="G7" i="9"/>
  <c r="G6" i="9"/>
  <c r="E6" i="14"/>
  <c r="G5" i="9"/>
  <c r="E8" i="14"/>
  <c r="G26" i="9"/>
  <c r="E15" i="14"/>
  <c r="C12" i="10"/>
  <c r="G8" i="9" s="1"/>
  <c r="G34" i="9"/>
  <c r="G17" i="9"/>
  <c r="R16" i="14"/>
  <c r="R18" i="14"/>
  <c r="O13" i="14"/>
  <c r="O24" i="14"/>
  <c r="M4" i="10"/>
  <c r="O20" i="14"/>
  <c r="O25" i="14"/>
  <c r="E16" i="14"/>
  <c r="I16" i="14"/>
  <c r="Q34" i="10"/>
  <c r="V35" i="9" s="1"/>
  <c r="S19" i="14"/>
  <c r="Q43" i="7"/>
  <c r="Q49" i="7" s="1"/>
  <c r="Q53" i="7" s="1"/>
  <c r="Q56" i="7" s="1"/>
  <c r="S18" i="14" s="1"/>
  <c r="Q72" i="6"/>
  <c r="S20" i="14"/>
  <c r="S12" i="14"/>
  <c r="S13" i="14"/>
  <c r="S24" i="14"/>
  <c r="Q12" i="10"/>
  <c r="U8" i="9" s="1"/>
  <c r="S5" i="14"/>
  <c r="S6" i="14"/>
  <c r="S7" i="14"/>
  <c r="S8" i="14"/>
  <c r="S15" i="14"/>
  <c r="H12" i="10"/>
  <c r="L8" i="9" s="1"/>
  <c r="J5" i="14"/>
  <c r="J6" i="14"/>
  <c r="J7" i="14"/>
  <c r="J8" i="14"/>
  <c r="J15" i="14"/>
  <c r="I12" i="10"/>
  <c r="M8" i="9" s="1"/>
  <c r="K5" i="14"/>
  <c r="K6" i="14"/>
  <c r="K7" i="14"/>
  <c r="K8" i="14"/>
  <c r="K15" i="14"/>
  <c r="J12" i="10"/>
  <c r="N8" i="9" s="1"/>
  <c r="L5" i="14"/>
  <c r="L6" i="14"/>
  <c r="L7" i="14"/>
  <c r="L8" i="14"/>
  <c r="L15" i="14"/>
  <c r="K12" i="10"/>
  <c r="M5" i="14"/>
  <c r="M7" i="14"/>
  <c r="M15" i="14"/>
  <c r="L12" i="10"/>
  <c r="P8" i="9" s="1"/>
  <c r="N5" i="14"/>
  <c r="N6" i="14"/>
  <c r="N7" i="14"/>
  <c r="N8" i="14"/>
  <c r="N15" i="14"/>
  <c r="M12" i="10"/>
  <c r="Q8" i="9" s="1"/>
  <c r="O5" i="14"/>
  <c r="O6" i="14"/>
  <c r="O7" i="14"/>
  <c r="O8" i="14"/>
  <c r="O15" i="14"/>
  <c r="N12" i="10"/>
  <c r="P5" i="14"/>
  <c r="P7" i="14"/>
  <c r="P15" i="14"/>
  <c r="O12" i="10"/>
  <c r="S8" i="9" s="1"/>
  <c r="Q5" i="14"/>
  <c r="Q7" i="14"/>
  <c r="Q15" i="14"/>
  <c r="P12" i="10"/>
  <c r="T8" i="9" s="1"/>
  <c r="R5" i="14"/>
  <c r="R6" i="14"/>
  <c r="R7" i="14"/>
  <c r="R8" i="14"/>
  <c r="R15" i="14"/>
  <c r="G5" i="14"/>
  <c r="I17" i="9"/>
  <c r="E12" i="10"/>
  <c r="I8" i="9" s="1"/>
  <c r="G15" i="14"/>
  <c r="I7" i="9"/>
  <c r="I5" i="9"/>
  <c r="G7" i="14"/>
  <c r="J34" i="9"/>
  <c r="G6" i="14"/>
  <c r="I6" i="9"/>
  <c r="G8" i="14"/>
  <c r="I26" i="9"/>
  <c r="I34" i="9"/>
  <c r="I16" i="9"/>
  <c r="J30" i="9"/>
  <c r="I22" i="9"/>
  <c r="I30" i="9"/>
  <c r="J35" i="9" l="1"/>
  <c r="J44" i="9"/>
  <c r="P8" i="14"/>
  <c r="S23" i="9"/>
  <c r="O35" i="9"/>
  <c r="Q6" i="14"/>
  <c r="T29" i="9"/>
  <c r="S26" i="9"/>
  <c r="I12" i="9"/>
  <c r="I23" i="9"/>
  <c r="G43" i="7"/>
  <c r="G49" i="7" s="1"/>
  <c r="G53" i="7" s="1"/>
  <c r="G56" i="7" s="1"/>
  <c r="I18" i="14" s="1"/>
  <c r="I19" i="14"/>
  <c r="S24" i="9"/>
  <c r="S25" i="9"/>
  <c r="S22" i="9"/>
  <c r="S6" i="9"/>
  <c r="S13" i="9"/>
  <c r="S18" i="9"/>
  <c r="D30" i="7"/>
  <c r="D34" i="10"/>
  <c r="F43" i="7"/>
  <c r="F49" i="7" s="1"/>
  <c r="F53" i="7" s="1"/>
  <c r="F56" i="7" s="1"/>
  <c r="H18" i="14" s="1"/>
  <c r="H19" i="14"/>
  <c r="K35" i="9"/>
  <c r="K44" i="9"/>
  <c r="Q8" i="14"/>
  <c r="Q16" i="14"/>
  <c r="M44" i="9"/>
  <c r="Q35" i="9"/>
  <c r="R8" i="9"/>
  <c r="O8" i="9"/>
  <c r="U35" i="9"/>
  <c r="U44" i="9"/>
  <c r="Q29" i="9"/>
  <c r="Q18" i="9"/>
  <c r="Q25" i="9"/>
  <c r="Q24" i="9"/>
  <c r="Q23" i="9"/>
  <c r="Q6" i="9"/>
  <c r="Q26" i="9"/>
  <c r="Q12" i="9"/>
  <c r="Q13" i="9"/>
  <c r="Q22" i="9"/>
  <c r="Q43" i="9"/>
  <c r="R29" i="9"/>
  <c r="R13" i="9"/>
  <c r="R18" i="9"/>
  <c r="R25" i="9"/>
  <c r="R24" i="9"/>
  <c r="R23" i="9"/>
  <c r="R6" i="9"/>
  <c r="R26" i="9"/>
  <c r="R22" i="9"/>
  <c r="R12" i="9"/>
  <c r="S29" i="9"/>
  <c r="R43" i="9"/>
  <c r="O29" i="9"/>
  <c r="O12" i="9"/>
  <c r="O18" i="9"/>
  <c r="O25" i="9"/>
  <c r="O24" i="9"/>
  <c r="O23" i="9"/>
  <c r="O6" i="9"/>
  <c r="O26" i="9"/>
  <c r="O22" i="9"/>
  <c r="O13" i="9"/>
  <c r="P29" i="9"/>
  <c r="O43" i="9"/>
  <c r="I43" i="7"/>
  <c r="I49" i="7" s="1"/>
  <c r="I53" i="7" s="1"/>
  <c r="I56" i="7" s="1"/>
  <c r="K18" i="14" s="1"/>
  <c r="K19" i="14"/>
  <c r="L43" i="7"/>
  <c r="L49" i="7" s="1"/>
  <c r="L53" i="7" s="1"/>
  <c r="L56" i="7" s="1"/>
  <c r="N18" i="14" s="1"/>
  <c r="N19" i="14"/>
  <c r="K43" i="7"/>
  <c r="K49" i="7" s="1"/>
  <c r="K53" i="7" s="1"/>
  <c r="K56" i="7" s="1"/>
  <c r="M19" i="14"/>
  <c r="N35" i="9"/>
  <c r="J43" i="7"/>
  <c r="J49" i="7" s="1"/>
  <c r="J53" i="7" s="1"/>
  <c r="J56" i="7" s="1"/>
  <c r="L18" i="14" s="1"/>
  <c r="L19" i="14"/>
  <c r="F20" i="14"/>
  <c r="F24" i="14"/>
  <c r="D73" i="6"/>
  <c r="F13" i="14"/>
  <c r="F12" i="14"/>
  <c r="D4" i="10"/>
  <c r="H8" i="9" s="1"/>
  <c r="M18" i="14"/>
  <c r="M16" i="14"/>
  <c r="P16" i="14"/>
  <c r="P18" i="14"/>
  <c r="M6" i="14"/>
  <c r="O16" i="14"/>
  <c r="O18" i="14"/>
  <c r="H35" i="9" l="1"/>
  <c r="H44" i="9"/>
  <c r="I35" i="9"/>
  <c r="D43" i="7"/>
  <c r="D49" i="7" s="1"/>
  <c r="D53" i="7" s="1"/>
  <c r="D56" i="7" s="1"/>
  <c r="F18" i="14" s="1"/>
  <c r="F19" i="14"/>
  <c r="F16" i="14"/>
  <c r="H29" i="9"/>
  <c r="H13" i="9"/>
  <c r="H43" i="9"/>
  <c r="H18" i="9"/>
  <c r="H12" i="9"/>
  <c r="H25" i="9"/>
  <c r="H24" i="9"/>
  <c r="H22" i="9"/>
  <c r="H23" i="9"/>
  <c r="F8" i="14"/>
  <c r="I29" i="9"/>
  <c r="H26" i="9"/>
  <c r="H6" i="9"/>
  <c r="F6" i="14"/>
</calcChain>
</file>

<file path=xl/sharedStrings.xml><?xml version="1.0" encoding="utf-8"?>
<sst xmlns="http://schemas.openxmlformats.org/spreadsheetml/2006/main" count="455" uniqueCount="282">
  <si>
    <t>FORM  7 SASRA/007</t>
  </si>
  <si>
    <t>STATEMENT OF COMPREHENSIVE INCOME</t>
  </si>
  <si>
    <t>NAME OF SACCO SOCIETY:     NYATI</t>
  </si>
  <si>
    <t>FINANCIAL YEAR                             2020</t>
  </si>
  <si>
    <t>START DATE:                                    1st January</t>
  </si>
  <si>
    <t>END DATE:                                         31st December</t>
  </si>
  <si>
    <t>Ref No.</t>
  </si>
  <si>
    <t>AUDITED 2019</t>
  </si>
  <si>
    <t>Audited 2020</t>
  </si>
  <si>
    <t>Audited 2022</t>
  </si>
  <si>
    <t>AUDITED 2022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</si>
  <si>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</si>
  <si>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</si>
  <si>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</si>
  <si>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</si>
  <si>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</si>
  <si>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</si>
  <si>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</si>
  <si>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</si>
  <si>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</si>
  <si>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</si>
  <si>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</si>
  <si>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</si>
  <si>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</si>
  <si>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</si>
  <si>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</si>
  <si>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</si>
  <si>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</si>
  <si>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Allowance for Loan Loss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</si>
  <si>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</si>
  <si>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</si>
  <si>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</si>
  <si>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</si>
  <si>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</si>
  <si>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</si>
  <si>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</si>
  <si>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</si>
  <si>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</si>
  <si>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</si>
  <si>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</si>
  <si>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</si>
  <si>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</si>
  <si>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2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</si>
  <si>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</si>
  <si>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</si>
  <si>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</si>
  <si>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r>
      <t>Note:</t>
    </r>
    <r>
      <rPr>
        <sz val="12"/>
        <rFont val="Calibri"/>
        <family val="2"/>
      </rPr>
      <t xml:space="preserve"> This return should be received within 15 days after end of the month.</t>
    </r>
  </si>
  <si>
    <t>AUTHORIZATION:</t>
  </si>
  <si>
    <t xml:space="preserve"> We declare that this return, to the best of our knowledge and belief is correct.</t>
  </si>
  <si>
    <t>…………………………………………………..sign……………………………..date……………………..</t>
  </si>
  <si>
    <t>Name of Authorizing Officer</t>
  </si>
  <si>
    <t>Name of Countersigning Officer</t>
  </si>
  <si>
    <t>FORM 6 SASRA2/006</t>
  </si>
  <si>
    <t xml:space="preserve"> STATEMENT OF FINANCIAL POSITION</t>
  </si>
  <si>
    <t>NAME OF SACCO SOCIETY: NYATI</t>
  </si>
  <si>
    <t>FINANCIAL YEAR :   2020</t>
  </si>
  <si>
    <t>START DATE:  1st September 2020</t>
  </si>
  <si>
    <t>END DATE: 31st  December 2020</t>
  </si>
  <si>
    <t>Audited 2019</t>
  </si>
  <si>
    <t xml:space="preserve"> Audited 2020</t>
  </si>
  <si>
    <t>Audited 2021</t>
  </si>
  <si>
    <t>Ref No</t>
  </si>
  <si>
    <t>ASSETS</t>
  </si>
  <si>
    <t>Cash &amp; Cash Equivalent</t>
  </si>
  <si>
    <t>Cash in hand(both local and foreign notes and coins)</t>
  </si>
  <si>
    <t>Cash at bank:(placement with financial institutions)</t>
  </si>
  <si>
    <t> 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</si>
  <si>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</si>
  <si>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</si>
  <si>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</si>
  <si>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</si>
  <si>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</si>
  <si>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</si>
  <si>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</si>
  <si>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</si>
  <si>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</si>
  <si>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</si>
  <si>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</si>
  <si>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</si>
  <si>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</si>
  <si>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</si>
  <si>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</si>
  <si>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</si>
  <si>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</si>
  <si>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</si>
  <si>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</si>
  <si>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</si>
  <si>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</si>
  <si>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</si>
  <si>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</si>
  <si>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</si>
  <si>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</si>
  <si>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</si>
  <si>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</si>
  <si>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</si>
  <si>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</si>
  <si>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</si>
  <si>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</si>
  <si>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</si>
  <si>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</si>
  <si>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</si>
  <si>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</si>
  <si>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</si>
  <si>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</si>
  <si>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 xml:space="preserve">    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</si>
  <si>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</si>
  <si>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</si>
  <si>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</si>
  <si>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</si>
  <si>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</si>
  <si>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</si>
  <si>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</si>
  <si>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</si>
  <si>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</si>
  <si>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</si>
  <si>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</si>
  <si>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 xml:space="preserve">                                                -  </t>
  </si>
  <si>
    <t xml:space="preserve">NYATI SACCO </t>
  </si>
  <si>
    <t>Year</t>
  </si>
  <si>
    <t>Membership</t>
  </si>
  <si>
    <t>Total Deposits</t>
  </si>
  <si>
    <t>Deposits-Members(BOSA)</t>
  </si>
  <si>
    <t>Deposits-Customers(FOSA)</t>
  </si>
  <si>
    <t>External Borrowing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</si>
  <si>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</si>
  <si>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</si>
  <si>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</si>
  <si>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</si>
  <si>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</si>
  <si>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</si>
  <si>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</si>
  <si>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</si>
  <si>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</si>
  <si>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</si>
  <si>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</si>
  <si>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</si>
  <si>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</si>
  <si>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</si>
  <si>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</si>
  <si>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</si>
  <si>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</si>
  <si>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Liquidity investments</t>
  </si>
  <si>
    <t>Equity Investments (at cost)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</si>
  <si>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</si>
  <si>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</si>
  <si>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</si>
  <si>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</si>
  <si>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</si>
  <si>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</si>
  <si>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</si>
  <si>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</si>
  <si>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</si>
  <si>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</si>
  <si>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Fianacial and Operating costs</t>
  </si>
  <si>
    <t>Interest expense on deposits</t>
  </si>
  <si>
    <t>Dividend expense on share capital</t>
  </si>
  <si>
    <t>Interest expense on borrowed funds</t>
  </si>
  <si>
    <t>Opperating expenses</t>
  </si>
  <si>
    <t>NYATI Sacco Ltd Financial Performance &amp; Projections</t>
  </si>
  <si>
    <t>FINANCIAL SOUNDNESS INDICATORS</t>
  </si>
  <si>
    <t>Prudential Std</t>
  </si>
  <si>
    <t xml:space="preserve">Audited 2020 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</si>
  <si>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</si>
  <si>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</si>
  <si>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</si>
  <si>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</si>
  <si>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</si>
  <si>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</si>
  <si>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</si>
  <si>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Institutional/Total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</si>
  <si>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</si>
  <si>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</si>
  <si>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</si>
  <si>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</si>
  <si>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</si>
  <si>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</si>
  <si>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>Property and Equipment/TA</t>
  </si>
  <si>
    <t>≤ 5%</t>
  </si>
  <si>
    <t>Earning Assets</t>
  </si>
  <si>
    <t>2.2.1</t>
  </si>
  <si>
    <t>Non-Govt Securities/Deposits</t>
  </si>
  <si>
    <t>2.2.2</t>
  </si>
  <si>
    <t>Non-Govt Securities/Core Capital</t>
  </si>
  <si>
    <t>≤ 40%</t>
  </si>
  <si>
    <t>2.2.3</t>
  </si>
  <si>
    <t>Gross Loans &amp; advances /Total assets</t>
  </si>
  <si>
    <t>NPLs to Loan portfolio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</si>
  <si>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</si>
  <si>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</si>
  <si>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</si>
  <si>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</si>
  <si>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</si>
  <si>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</si>
  <si>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</si>
  <si>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</si>
  <si>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Core capital/total assets</t>
  </si>
  <si>
    <t>GROWTH RATIOS</t>
  </si>
  <si>
    <t>4.2.1</t>
  </si>
  <si>
    <t>BOSA Deposits</t>
  </si>
  <si>
    <t>4.2.2</t>
  </si>
  <si>
    <t>FOSA Deposits</t>
  </si>
  <si>
    <t>Total Loans &amp; advances</t>
  </si>
  <si>
    <t>Core capital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</si>
  <si>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</si>
  <si>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</si>
  <si>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</si>
  <si>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</si>
  <si>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</si>
  <si>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</si>
  <si>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</si>
  <si>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</si>
  <si>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</si>
  <si>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</si>
  <si>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NYATI SACCO CAELS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</si>
  <si>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</si>
  <si>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</si>
  <si>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</si>
  <si>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</si>
  <si>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</si>
  <si>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</si>
  <si>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</si>
  <si>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</si>
  <si>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</si>
  <si>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</si>
  <si>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</si>
  <si>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</si>
  <si>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</si>
  <si>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</si>
  <si>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Non-Government Investment to Deposit ratio</t>
  </si>
  <si>
    <t>Non-Government Investment to Core Capital ratio</t>
  </si>
  <si>
    <t>Max 40%</t>
  </si>
  <si>
    <t>Gross loans/TA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</si>
  <si>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</si>
  <si>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</si>
  <si>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</si>
  <si>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</si>
  <si>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</si>
  <si>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</si>
  <si>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</si>
  <si>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</si>
  <si>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</si>
  <si>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</si>
  <si>
    <t>Liquid Assets to TA ratio</t>
  </si>
  <si>
    <t>FORM 4 SASRA2/004</t>
  </si>
  <si>
    <t>RISK CLASSIFICATION OF ASSETS AND PROVISIONING</t>
  </si>
  <si>
    <t>SACCO SOCIETY CS NUMBER</t>
  </si>
  <si>
    <t>6366</t>
  </si>
  <si>
    <t xml:space="preserve">FINANCIAL YEAR </t>
  </si>
  <si>
    <t>START DATE:</t>
  </si>
  <si>
    <t>1/1/2017</t>
  </si>
  <si>
    <t>END DATE:</t>
  </si>
  <si>
    <t>password3$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</si>
  <si>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</si>
  <si>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</si>
  <si>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</si>
  <si>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</si>
  <si>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</si>
  <si>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</si>
  <si>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</si>
  <si>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</si>
  <si>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</si>
  <si>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</si>
  <si>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</si>
  <si>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</si>
  <si>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</si>
  <si>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</si>
  <si>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</si>
  <si>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</si>
  <si>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</si>
  <si>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</si>
  <si>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</si>
  <si>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</si>
  <si>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30/6/2017</t>
  </si>
  <si>
    <t>30/9/2017</t>
  </si>
  <si>
    <t>31/12/2017</t>
  </si>
  <si>
    <t>2013 AUDITED</t>
  </si>
  <si>
    <t>2014 AUDITED</t>
  </si>
  <si>
    <t>TOTAL ASSETS</t>
  </si>
  <si>
    <t>Total Assets(Millions)</t>
  </si>
  <si>
    <t>Gross Loans(Millions)</t>
  </si>
  <si>
    <t>Core Capital(Millions)</t>
  </si>
  <si>
    <t>Total Deposits(Millions)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</si>
</sst>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&quot;£&quot;#,##0;\-&quot;£&quot;#,##0"/>
    <numFmt numFmtId="165" formatCode="_-* #,##0.00_-;\-* #,##0.00_-;_-* &quot;-&quot;??_-;_-@_-"/>
    <numFmt numFmtId="166" formatCode="d/mmm/yy"/>
    <numFmt numFmtId="167" formatCode="0.0"/>
    <numFmt numFmtId="168" formatCode="_(* #,##0_);_(* \(#,##0\);_(* &quot;-&quot;??_);_(@_)"/>
    <numFmt numFmtId="169" formatCode="0.0%"/>
    <numFmt numFmtId="170" formatCode="_(* #,##0.0_);_(* \(#,##0.0\);_(* &quot;-&quot;??_);_(@_)"/>
    <numFmt numFmtId="171" formatCode="_(* #,##0.0_);_(* \(#,##0.0\);_(* \-??_);_(@_)"/>
    <numFmt numFmtId="172" formatCode="#,##0.00_);\-#,##0.00"/>
    <numFmt numFmtId="173" formatCode="[$-10409]#,##0.00;\-\ #,##0.00"/>
    <numFmt numFmtId="174" formatCode="[$-10409]0.00;\-\ 0.00"/>
  </numFmts>
  <fonts count="6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 Narrow"/>
      <family val="2"/>
    </font>
    <font>
      <sz val="8"/>
      <color indexed="8"/>
      <name val="Trebuchet MS"/>
      <family val="2"/>
    </font>
    <font>
      <b/>
      <sz val="10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sz val="10"/>
      <name val="Arial"/>
      <family val="2"/>
    </font>
    <font>
      <sz val="12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ambria"/>
      <family val="1"/>
    </font>
    <font>
      <b/>
      <sz val="10.5"/>
      <name val="Cambria"/>
      <family val="1"/>
    </font>
    <font>
      <sz val="10.5"/>
      <name val="Cambria"/>
      <family val="1"/>
    </font>
    <font>
      <b/>
      <sz val="10"/>
      <name val="Cambria"/>
      <family val="1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2"/>
      <name val="Arial"/>
      <family val="2"/>
    </font>
    <font>
      <i/>
      <sz val="12"/>
      <name val="Cambria"/>
      <family val="1"/>
    </font>
    <font>
      <sz val="12"/>
      <name val="Calibri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sz val="9"/>
      <color theme="1"/>
      <name val="Cambria"/>
      <family val="1"/>
    </font>
    <font>
      <sz val="9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color indexed="8"/>
      <name val="Cambria"/>
      <family val="1"/>
      <scheme val="major"/>
    </font>
    <font>
      <b/>
      <sz val="12"/>
      <color indexed="8"/>
      <name val="Cambria"/>
      <family val="1"/>
      <scheme val="major"/>
    </font>
    <font>
      <b/>
      <sz val="12"/>
      <name val="Calibri"/>
      <family val="2"/>
      <scheme val="minor"/>
    </font>
    <font>
      <b/>
      <sz val="12"/>
      <color indexed="60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mbria"/>
      <family val="1"/>
      <scheme val="maj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51"/>
      </patternFill>
    </fill>
    <fill>
      <patternFill patternType="solid">
        <fgColor rgb="FFFFFFFF"/>
        <bgColor indexed="64"/>
      </patternFill>
    </fill>
    <fill>
      <patternFill patternType="solid">
        <fgColor rgb="FFDAA520"/>
        <bgColor rgb="FF0000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55">
    <xf numFmtId="0" fontId="0" fillId="0" borderId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33" applyNumberFormat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8" borderId="3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9" borderId="34" applyNumberFormat="0" applyFont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35" applyNumberFormat="0" applyFill="0" applyAlignment="0" applyProtection="0"/>
    <xf numFmtId="0" fontId="33" fillId="0" borderId="35" applyNumberFormat="0" applyFill="0" applyAlignment="0" applyProtection="0"/>
  </cellStyleXfs>
  <cellXfs count="258">
    <xf numFmtId="0" fontId="0" fillId="0" borderId="0" xfId="0"/>
    <xf numFmtId="0" fontId="0" fillId="0" borderId="1" xfId="0" applyBorder="1"/>
    <xf numFmtId="0" fontId="1" fillId="0" borderId="0" xfId="271"/>
    <xf numFmtId="0" fontId="34" fillId="0" borderId="0" xfId="243" applyFont="1"/>
    <xf numFmtId="0" fontId="35" fillId="0" borderId="0" xfId="243" applyFont="1"/>
    <xf numFmtId="0" fontId="36" fillId="0" borderId="0" xfId="243" applyFont="1"/>
    <xf numFmtId="0" fontId="34" fillId="0" borderId="0" xfId="243" applyFont="1" applyAlignment="1">
      <alignment horizontal="left"/>
    </xf>
    <xf numFmtId="0" fontId="35" fillId="0" borderId="1" xfId="243" applyFont="1" applyBorder="1"/>
    <xf numFmtId="0" fontId="34" fillId="0" borderId="1" xfId="243" applyFont="1" applyBorder="1"/>
    <xf numFmtId="167" fontId="34" fillId="0" borderId="1" xfId="243" applyNumberFormat="1" applyFont="1" applyBorder="1"/>
    <xf numFmtId="0" fontId="37" fillId="0" borderId="1" xfId="243" applyFont="1" applyBorder="1"/>
    <xf numFmtId="0" fontId="37" fillId="10" borderId="1" xfId="243" applyFont="1" applyFill="1" applyBorder="1"/>
    <xf numFmtId="167" fontId="37" fillId="0" borderId="1" xfId="243" applyNumberFormat="1" applyFont="1" applyBorder="1"/>
    <xf numFmtId="0" fontId="38" fillId="0" borderId="1" xfId="243" applyFont="1" applyBorder="1" applyAlignment="1">
      <alignment horizontal="center"/>
    </xf>
    <xf numFmtId="9" fontId="38" fillId="0" borderId="1" xfId="452" applyFont="1" applyBorder="1" applyAlignment="1">
      <alignment horizontal="center"/>
    </xf>
    <xf numFmtId="0" fontId="34" fillId="0" borderId="1" xfId="243" applyFont="1" applyBorder="1" applyAlignment="1">
      <alignment horizontal="right"/>
    </xf>
    <xf numFmtId="0" fontId="34" fillId="11" borderId="1" xfId="243" applyFont="1" applyFill="1" applyBorder="1"/>
    <xf numFmtId="169" fontId="37" fillId="0" borderId="1" xfId="452" applyNumberFormat="1" applyFont="1" applyBorder="1"/>
    <xf numFmtId="0" fontId="39" fillId="0" borderId="1" xfId="243" applyFont="1" applyBorder="1"/>
    <xf numFmtId="0" fontId="37" fillId="0" borderId="0" xfId="271" applyFont="1"/>
    <xf numFmtId="0" fontId="34" fillId="0" borderId="0" xfId="271" applyFont="1"/>
    <xf numFmtId="167" fontId="34" fillId="0" borderId="0" xfId="271" applyNumberFormat="1" applyFont="1"/>
    <xf numFmtId="167" fontId="34" fillId="0" borderId="0" xfId="271" applyNumberFormat="1" applyFont="1" applyAlignment="1">
      <alignment horizontal="right"/>
    </xf>
    <xf numFmtId="0" fontId="34" fillId="0" borderId="1" xfId="243" applyFont="1" applyBorder="1" applyAlignment="1">
      <alignment wrapText="1"/>
    </xf>
    <xf numFmtId="0" fontId="35" fillId="0" borderId="0" xfId="243" applyFont="1" applyAlignment="1">
      <alignment horizontal="left"/>
    </xf>
    <xf numFmtId="168" fontId="35" fillId="0" borderId="0" xfId="28" applyNumberFormat="1" applyFont="1" applyBorder="1"/>
    <xf numFmtId="9" fontId="38" fillId="0" borderId="1" xfId="448" applyFont="1" applyBorder="1"/>
    <xf numFmtId="9" fontId="34" fillId="0" borderId="1" xfId="448" applyFont="1" applyBorder="1"/>
    <xf numFmtId="0" fontId="40" fillId="0" borderId="1" xfId="0" applyFont="1" applyBorder="1" applyAlignment="1">
      <alignment horizontal="left" vertical="top" wrapText="1"/>
    </xf>
    <xf numFmtId="43" fontId="0" fillId="0" borderId="0" xfId="0" applyNumberFormat="1"/>
    <xf numFmtId="0" fontId="40" fillId="0" borderId="1" xfId="0" applyFont="1" applyBorder="1" applyAlignment="1">
      <alignment horizontal="left" vertical="top"/>
    </xf>
    <xf numFmtId="0" fontId="41" fillId="0" borderId="1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0" fillId="0" borderId="0" xfId="0" applyFont="1" applyAlignment="1">
      <alignment horizontal="left" vertical="top" wrapText="1"/>
    </xf>
    <xf numFmtId="0" fontId="44" fillId="0" borderId="1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1" fillId="0" borderId="1" xfId="271" applyBorder="1"/>
    <xf numFmtId="0" fontId="10" fillId="0" borderId="0" xfId="0" applyFont="1"/>
    <xf numFmtId="17" fontId="6" fillId="0" borderId="1" xfId="271" applyNumberFormat="1" applyFont="1" applyBorder="1"/>
    <xf numFmtId="0" fontId="46" fillId="0" borderId="5" xfId="0" applyFont="1" applyBorder="1"/>
    <xf numFmtId="168" fontId="46" fillId="0" borderId="6" xfId="27" applyNumberFormat="1" applyFont="1" applyBorder="1"/>
    <xf numFmtId="170" fontId="46" fillId="0" borderId="6" xfId="27" applyNumberFormat="1" applyFont="1" applyBorder="1"/>
    <xf numFmtId="0" fontId="46" fillId="0" borderId="6" xfId="0" applyFont="1" applyBorder="1"/>
    <xf numFmtId="0" fontId="46" fillId="0" borderId="7" xfId="0" applyFont="1" applyBorder="1"/>
    <xf numFmtId="0" fontId="46" fillId="0" borderId="8" xfId="0" applyFont="1" applyBorder="1"/>
    <xf numFmtId="168" fontId="46" fillId="0" borderId="1" xfId="0" applyNumberFormat="1" applyFont="1" applyBorder="1"/>
    <xf numFmtId="170" fontId="46" fillId="0" borderId="1" xfId="0" applyNumberFormat="1" applyFont="1" applyBorder="1"/>
    <xf numFmtId="43" fontId="46" fillId="0" borderId="1" xfId="0" applyNumberFormat="1" applyFont="1" applyBorder="1"/>
    <xf numFmtId="43" fontId="46" fillId="0" borderId="9" xfId="0" applyNumberFormat="1" applyFont="1" applyBorder="1"/>
    <xf numFmtId="2" fontId="46" fillId="0" borderId="1" xfId="0" applyNumberFormat="1" applyFont="1" applyBorder="1"/>
    <xf numFmtId="2" fontId="46" fillId="0" borderId="9" xfId="0" applyNumberFormat="1" applyFont="1" applyBorder="1"/>
    <xf numFmtId="173" fontId="46" fillId="0" borderId="1" xfId="0" applyNumberFormat="1" applyFont="1" applyBorder="1"/>
    <xf numFmtId="168" fontId="46" fillId="0" borderId="9" xfId="0" applyNumberFormat="1" applyFont="1" applyBorder="1"/>
    <xf numFmtId="0" fontId="46" fillId="0" borderId="10" xfId="0" applyFont="1" applyBorder="1"/>
    <xf numFmtId="168" fontId="47" fillId="0" borderId="1" xfId="27" applyNumberFormat="1" applyFont="1" applyFill="1" applyBorder="1"/>
    <xf numFmtId="170" fontId="47" fillId="0" borderId="1" xfId="27" applyNumberFormat="1" applyFont="1" applyFill="1" applyBorder="1"/>
    <xf numFmtId="17" fontId="46" fillId="0" borderId="1" xfId="27" applyNumberFormat="1" applyFont="1" applyBorder="1"/>
    <xf numFmtId="17" fontId="46" fillId="0" borderId="9" xfId="27" applyNumberFormat="1" applyFont="1" applyBorder="1"/>
    <xf numFmtId="168" fontId="47" fillId="0" borderId="11" xfId="28" applyNumberFormat="1" applyFont="1" applyFill="1" applyBorder="1" applyAlignment="1" applyProtection="1"/>
    <xf numFmtId="170" fontId="47" fillId="0" borderId="11" xfId="27" applyNumberFormat="1" applyFont="1" applyFill="1" applyBorder="1" applyAlignment="1" applyProtection="1"/>
    <xf numFmtId="43" fontId="47" fillId="0" borderId="11" xfId="27" applyFont="1" applyFill="1" applyBorder="1" applyAlignment="1" applyProtection="1"/>
    <xf numFmtId="43" fontId="47" fillId="0" borderId="12" xfId="27" applyFont="1" applyFill="1" applyBorder="1" applyAlignment="1" applyProtection="1"/>
    <xf numFmtId="0" fontId="40" fillId="0" borderId="13" xfId="0" applyFont="1" applyBorder="1" applyAlignment="1">
      <alignment horizontal="left" vertical="top" wrapText="1"/>
    </xf>
    <xf numFmtId="0" fontId="0" fillId="0" borderId="6" xfId="0" applyBorder="1"/>
    <xf numFmtId="43" fontId="26" fillId="0" borderId="14" xfId="27" applyFont="1" applyBorder="1"/>
    <xf numFmtId="168" fontId="26" fillId="0" borderId="9" xfId="27" applyNumberFormat="1" applyFont="1" applyBorder="1"/>
    <xf numFmtId="9" fontId="26" fillId="0" borderId="9" xfId="448" applyFont="1" applyBorder="1"/>
    <xf numFmtId="9" fontId="26" fillId="0" borderId="14" xfId="27" applyNumberFormat="1" applyFont="1" applyBorder="1"/>
    <xf numFmtId="0" fontId="40" fillId="0" borderId="11" xfId="0" applyFont="1" applyBorder="1" applyAlignment="1">
      <alignment horizontal="left" vertical="top"/>
    </xf>
    <xf numFmtId="9" fontId="26" fillId="0" borderId="12" xfId="448" applyFont="1" applyBorder="1"/>
    <xf numFmtId="0" fontId="0" fillId="0" borderId="5" xfId="0" applyBorder="1" applyAlignment="1">
      <alignment wrapText="1"/>
    </xf>
    <xf numFmtId="43" fontId="37" fillId="0" borderId="5" xfId="124" applyFont="1" applyBorder="1"/>
    <xf numFmtId="17" fontId="35" fillId="0" borderId="7" xfId="271" applyNumberFormat="1" applyFont="1" applyBorder="1"/>
    <xf numFmtId="0" fontId="34" fillId="0" borderId="8" xfId="271" applyFont="1" applyBorder="1"/>
    <xf numFmtId="0" fontId="34" fillId="0" borderId="9" xfId="271" applyFont="1" applyBorder="1"/>
    <xf numFmtId="168" fontId="34" fillId="0" borderId="9" xfId="27" applyNumberFormat="1" applyFont="1" applyBorder="1"/>
    <xf numFmtId="0" fontId="39" fillId="0" borderId="8" xfId="271" applyFont="1" applyBorder="1"/>
    <xf numFmtId="0" fontId="37" fillId="0" borderId="8" xfId="271" applyFont="1" applyBorder="1"/>
    <xf numFmtId="168" fontId="37" fillId="13" borderId="9" xfId="124" applyNumberFormat="1" applyFont="1" applyFill="1" applyBorder="1"/>
    <xf numFmtId="168" fontId="34" fillId="14" borderId="9" xfId="271" applyNumberFormat="1" applyFont="1" applyFill="1" applyBorder="1"/>
    <xf numFmtId="9" fontId="39" fillId="0" borderId="8" xfId="452" applyFont="1" applyBorder="1"/>
    <xf numFmtId="168" fontId="39" fillId="0" borderId="8" xfId="271" applyNumberFormat="1" applyFont="1" applyBorder="1"/>
    <xf numFmtId="0" fontId="48" fillId="0" borderId="8" xfId="271" applyFont="1" applyBorder="1"/>
    <xf numFmtId="168" fontId="48" fillId="0" borderId="9" xfId="124" applyNumberFormat="1" applyFont="1" applyBorder="1"/>
    <xf numFmtId="168" fontId="39" fillId="0" borderId="9" xfId="124" applyNumberFormat="1" applyFont="1" applyBorder="1"/>
    <xf numFmtId="168" fontId="38" fillId="0" borderId="9" xfId="124" applyNumberFormat="1" applyFont="1" applyBorder="1"/>
    <xf numFmtId="168" fontId="38" fillId="0" borderId="9" xfId="124" applyNumberFormat="1" applyFont="1" applyFill="1" applyBorder="1"/>
    <xf numFmtId="0" fontId="35" fillId="0" borderId="8" xfId="271" applyFont="1" applyBorder="1"/>
    <xf numFmtId="0" fontId="34" fillId="0" borderId="10" xfId="271" applyFont="1" applyBorder="1"/>
    <xf numFmtId="168" fontId="34" fillId="0" borderId="12" xfId="27" applyNumberFormat="1" applyFont="1" applyBorder="1"/>
    <xf numFmtId="17" fontId="32" fillId="0" borderId="15" xfId="0" applyNumberFormat="1" applyFont="1" applyBorder="1"/>
    <xf numFmtId="0" fontId="0" fillId="0" borderId="16" xfId="0" applyBorder="1"/>
    <xf numFmtId="0" fontId="0" fillId="0" borderId="17" xfId="0" applyBorder="1" applyAlignment="1">
      <alignment wrapText="1"/>
    </xf>
    <xf numFmtId="0" fontId="49" fillId="0" borderId="18" xfId="0" applyFont="1" applyBorder="1" applyAlignment="1">
      <alignment wrapText="1"/>
    </xf>
    <xf numFmtId="0" fontId="0" fillId="0" borderId="8" xfId="0" applyBorder="1" applyAlignment="1">
      <alignment wrapText="1"/>
    </xf>
    <xf numFmtId="43" fontId="40" fillId="0" borderId="8" xfId="27" applyFont="1" applyBorder="1" applyAlignment="1">
      <alignment horizontal="left" vertical="top" wrapText="1"/>
    </xf>
    <xf numFmtId="0" fontId="40" fillId="0" borderId="8" xfId="0" applyFont="1" applyBorder="1" applyAlignment="1">
      <alignment horizontal="left" vertical="top" wrapText="1"/>
    </xf>
    <xf numFmtId="0" fontId="41" fillId="0" borderId="20" xfId="0" applyFont="1" applyBorder="1" applyAlignment="1">
      <alignment vertical="top" wrapText="1"/>
    </xf>
    <xf numFmtId="0" fontId="41" fillId="0" borderId="8" xfId="0" applyFont="1" applyBorder="1" applyAlignment="1">
      <alignment horizontal="left" vertical="top" wrapText="1"/>
    </xf>
    <xf numFmtId="0" fontId="40" fillId="0" borderId="10" xfId="0" applyFont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21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14" fillId="0" borderId="0" xfId="0" applyFont="1"/>
    <xf numFmtId="49" fontId="8" fillId="0" borderId="21" xfId="0" applyNumberFormat="1" applyFont="1" applyBorder="1" applyAlignment="1" applyProtection="1">
      <alignment horizontal="right" wrapText="1"/>
      <protection locked="0"/>
    </xf>
    <xf numFmtId="0" fontId="8" fillId="0" borderId="22" xfId="0" applyFont="1" applyBorder="1" applyAlignment="1" applyProtection="1">
      <alignment horizontal="right" wrapText="1"/>
      <protection locked="0"/>
    </xf>
    <xf numFmtId="0" fontId="7" fillId="0" borderId="23" xfId="0" applyFont="1" applyBorder="1" applyAlignment="1">
      <alignment wrapText="1"/>
    </xf>
    <xf numFmtId="49" fontId="6" fillId="0" borderId="1" xfId="0" applyNumberFormat="1" applyFont="1" applyBorder="1" applyAlignment="1" applyProtection="1">
      <alignment horizontal="right"/>
      <protection locked="0"/>
    </xf>
    <xf numFmtId="0" fontId="7" fillId="0" borderId="21" xfId="0" applyFont="1" applyBorder="1" applyAlignment="1" applyProtection="1">
      <alignment wrapText="1"/>
      <protection locked="0"/>
    </xf>
    <xf numFmtId="2" fontId="7" fillId="0" borderId="21" xfId="0" applyNumberFormat="1" applyFont="1" applyBorder="1" applyAlignment="1">
      <alignment horizontal="center" wrapText="1"/>
    </xf>
    <xf numFmtId="2" fontId="8" fillId="0" borderId="21" xfId="0" applyNumberFormat="1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15" fillId="0" borderId="0" xfId="0" applyFont="1" applyAlignment="1">
      <alignment horizontal="left" wrapText="1"/>
    </xf>
    <xf numFmtId="0" fontId="17" fillId="0" borderId="0" xfId="0" applyFont="1" applyAlignment="1" applyProtection="1">
      <alignment wrapText="1"/>
      <protection locked="0"/>
    </xf>
    <xf numFmtId="0" fontId="14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/>
    <xf numFmtId="43" fontId="7" fillId="0" borderId="21" xfId="27" applyFont="1" applyBorder="1" applyAlignment="1" applyProtection="1">
      <alignment wrapText="1"/>
      <protection locked="0"/>
    </xf>
    <xf numFmtId="43" fontId="7" fillId="0" borderId="21" xfId="27" applyFont="1" applyBorder="1" applyAlignment="1" applyProtection="1">
      <alignment horizontal="center" wrapText="1"/>
    </xf>
    <xf numFmtId="43" fontId="7" fillId="0" borderId="21" xfId="27" applyFont="1" applyBorder="1" applyAlignment="1" applyProtection="1">
      <alignment wrapText="1"/>
    </xf>
    <xf numFmtId="43" fontId="8" fillId="0" borderId="21" xfId="27" applyFont="1" applyBorder="1" applyAlignment="1" applyProtection="1">
      <alignment wrapText="1"/>
    </xf>
    <xf numFmtId="0" fontId="35" fillId="0" borderId="0" xfId="243" applyFont="1" applyAlignment="1">
      <alignment horizontal="center"/>
    </xf>
    <xf numFmtId="171" fontId="50" fillId="12" borderId="1" xfId="27" applyNumberFormat="1" applyFont="1" applyFill="1" applyBorder="1" applyAlignment="1" applyProtection="1"/>
    <xf numFmtId="172" fontId="51" fillId="0" borderId="1" xfId="0" applyNumberFormat="1" applyFont="1" applyBorder="1" applyAlignment="1" applyProtection="1">
      <alignment horizontal="right" vertical="center"/>
      <protection locked="0"/>
    </xf>
    <xf numFmtId="171" fontId="47" fillId="0" borderId="1" xfId="27" applyNumberFormat="1" applyFont="1" applyBorder="1" applyAlignment="1" applyProtection="1">
      <alignment horizontal="right" vertical="center"/>
      <protection locked="0"/>
    </xf>
    <xf numFmtId="171" fontId="47" fillId="0" borderId="1" xfId="27" applyNumberFormat="1" applyFont="1" applyFill="1" applyBorder="1" applyAlignment="1" applyProtection="1"/>
    <xf numFmtId="171" fontId="47" fillId="0" borderId="1" xfId="27" applyNumberFormat="1" applyFont="1" applyFill="1" applyBorder="1" applyAlignment="1" applyProtection="1">
      <protection locked="0"/>
    </xf>
    <xf numFmtId="172" fontId="52" fillId="0" borderId="1" xfId="0" applyNumberFormat="1" applyFont="1" applyBorder="1" applyAlignment="1">
      <alignment horizontal="right" vertical="center"/>
    </xf>
    <xf numFmtId="172" fontId="52" fillId="12" borderId="1" xfId="0" applyNumberFormat="1" applyFont="1" applyFill="1" applyBorder="1" applyAlignment="1">
      <alignment horizontal="right" vertical="center"/>
    </xf>
    <xf numFmtId="0" fontId="47" fillId="0" borderId="1" xfId="243" applyFont="1" applyBorder="1" applyAlignment="1">
      <alignment horizontal="left" vertical="center"/>
    </xf>
    <xf numFmtId="0" fontId="47" fillId="0" borderId="1" xfId="243" applyFont="1" applyBorder="1"/>
    <xf numFmtId="0" fontId="50" fillId="0" borderId="1" xfId="243" applyFont="1" applyBorder="1"/>
    <xf numFmtId="0" fontId="47" fillId="0" borderId="1" xfId="243" applyFont="1" applyBorder="1" applyAlignment="1">
      <alignment wrapText="1"/>
    </xf>
    <xf numFmtId="0" fontId="47" fillId="0" borderId="0" xfId="243" applyFont="1"/>
    <xf numFmtId="0" fontId="53" fillId="0" borderId="0" xfId="243" applyFont="1"/>
    <xf numFmtId="0" fontId="54" fillId="0" borderId="19" xfId="243" applyFont="1" applyBorder="1" applyAlignment="1">
      <alignment horizontal="left"/>
    </xf>
    <xf numFmtId="0" fontId="25" fillId="0" borderId="0" xfId="243" applyFont="1"/>
    <xf numFmtId="0" fontId="54" fillId="0" borderId="0" xfId="243" applyFont="1" applyAlignment="1">
      <alignment horizontal="left"/>
    </xf>
    <xf numFmtId="0" fontId="22" fillId="0" borderId="0" xfId="243" applyFont="1"/>
    <xf numFmtId="0" fontId="55" fillId="0" borderId="0" xfId="0" applyFont="1"/>
    <xf numFmtId="43" fontId="26" fillId="0" borderId="0" xfId="27" applyFont="1"/>
    <xf numFmtId="0" fontId="43" fillId="0" borderId="0" xfId="0" applyFont="1" applyAlignment="1">
      <alignment horizontal="center"/>
    </xf>
    <xf numFmtId="0" fontId="42" fillId="0" borderId="19" xfId="0" applyFont="1" applyBorder="1" applyAlignment="1">
      <alignment horizontal="center" vertical="top" wrapText="1"/>
    </xf>
    <xf numFmtId="43" fontId="0" fillId="0" borderId="0" xfId="27" applyFont="1"/>
    <xf numFmtId="173" fontId="51" fillId="0" borderId="1" xfId="0" applyNumberFormat="1" applyFont="1" applyBorder="1" applyAlignment="1" applyProtection="1">
      <alignment vertical="top" wrapText="1" readingOrder="1"/>
      <protection locked="0"/>
    </xf>
    <xf numFmtId="0" fontId="46" fillId="0" borderId="1" xfId="0" applyFont="1" applyBorder="1"/>
    <xf numFmtId="43" fontId="49" fillId="0" borderId="1" xfId="27" applyFont="1" applyBorder="1"/>
    <xf numFmtId="0" fontId="49" fillId="0" borderId="1" xfId="0" applyFont="1" applyBorder="1"/>
    <xf numFmtId="17" fontId="49" fillId="0" borderId="1" xfId="0" applyNumberFormat="1" applyFont="1" applyBorder="1"/>
    <xf numFmtId="43" fontId="46" fillId="0" borderId="1" xfId="27" applyFont="1" applyBorder="1"/>
    <xf numFmtId="43" fontId="50" fillId="12" borderId="1" xfId="27" applyFont="1" applyFill="1" applyBorder="1" applyAlignment="1" applyProtection="1"/>
    <xf numFmtId="4" fontId="57" fillId="0" borderId="1" xfId="0" applyNumberFormat="1" applyFont="1" applyBorder="1" applyAlignment="1">
      <alignment wrapText="1" readingOrder="1"/>
    </xf>
    <xf numFmtId="0" fontId="57" fillId="0" borderId="1" xfId="0" applyFont="1" applyBorder="1" applyAlignment="1">
      <alignment wrapText="1" readingOrder="1"/>
    </xf>
    <xf numFmtId="43" fontId="57" fillId="0" borderId="1" xfId="27" applyFont="1" applyBorder="1" applyAlignment="1">
      <alignment wrapText="1" readingOrder="1"/>
    </xf>
    <xf numFmtId="173" fontId="51" fillId="3" borderId="1" xfId="0" applyNumberFormat="1" applyFont="1" applyFill="1" applyBorder="1" applyAlignment="1" applyProtection="1">
      <alignment vertical="top" wrapText="1" readingOrder="1"/>
      <protection locked="0"/>
    </xf>
    <xf numFmtId="4" fontId="57" fillId="16" borderId="1" xfId="0" applyNumberFormat="1" applyFont="1" applyFill="1" applyBorder="1" applyAlignment="1">
      <alignment wrapText="1" readingOrder="1"/>
    </xf>
    <xf numFmtId="4" fontId="57" fillId="17" borderId="1" xfId="0" applyNumberFormat="1" applyFont="1" applyFill="1" applyBorder="1" applyAlignment="1">
      <alignment wrapText="1" readingOrder="1"/>
    </xf>
    <xf numFmtId="43" fontId="47" fillId="0" borderId="1" xfId="27" applyFont="1" applyFill="1" applyBorder="1" applyAlignment="1" applyProtection="1">
      <protection locked="0"/>
    </xf>
    <xf numFmtId="43" fontId="51" fillId="0" borderId="1" xfId="27" applyFont="1" applyFill="1" applyBorder="1" applyAlignment="1" applyProtection="1">
      <alignment horizontal="right" vertical="center"/>
      <protection locked="0"/>
    </xf>
    <xf numFmtId="43" fontId="52" fillId="12" borderId="1" xfId="27" applyFont="1" applyFill="1" applyBorder="1" applyAlignment="1" applyProtection="1">
      <alignment horizontal="right" vertical="center"/>
    </xf>
    <xf numFmtId="43" fontId="50" fillId="2" borderId="1" xfId="27" applyFont="1" applyFill="1" applyBorder="1" applyAlignment="1" applyProtection="1"/>
    <xf numFmtId="43" fontId="47" fillId="0" borderId="1" xfId="27" applyFont="1" applyFill="1" applyBorder="1" applyAlignment="1" applyProtection="1"/>
    <xf numFmtId="43" fontId="47" fillId="15" borderId="1" xfId="27" applyFont="1" applyFill="1" applyBorder="1" applyAlignment="1" applyProtection="1">
      <protection locked="0"/>
    </xf>
    <xf numFmtId="174" fontId="51" fillId="0" borderId="1" xfId="0" applyNumberFormat="1" applyFont="1" applyBorder="1" applyAlignment="1" applyProtection="1">
      <alignment vertical="top" wrapText="1" readingOrder="1"/>
      <protection locked="0"/>
    </xf>
    <xf numFmtId="43" fontId="46" fillId="0" borderId="1" xfId="27" applyFont="1" applyFill="1" applyBorder="1" applyAlignment="1" applyProtection="1">
      <protection locked="0"/>
    </xf>
    <xf numFmtId="17" fontId="6" fillId="0" borderId="1" xfId="271" applyNumberFormat="1" applyFont="1" applyBorder="1" applyAlignment="1">
      <alignment wrapText="1"/>
    </xf>
    <xf numFmtId="168" fontId="37" fillId="0" borderId="1" xfId="124" applyNumberFormat="1" applyFont="1" applyBorder="1"/>
    <xf numFmtId="9" fontId="38" fillId="0" borderId="1" xfId="452" applyFont="1" applyBorder="1"/>
    <xf numFmtId="9" fontId="37" fillId="0" borderId="1" xfId="452" applyFont="1" applyBorder="1"/>
    <xf numFmtId="9" fontId="38" fillId="11" borderId="1" xfId="452" applyFont="1" applyFill="1" applyBorder="1"/>
    <xf numFmtId="0" fontId="37" fillId="10" borderId="1" xfId="243" applyFont="1" applyFill="1" applyBorder="1" applyAlignment="1">
      <alignment wrapText="1"/>
    </xf>
    <xf numFmtId="0" fontId="58" fillId="0" borderId="36" xfId="0" applyFont="1" applyBorder="1" applyAlignment="1">
      <alignment wrapText="1" readingOrder="1"/>
    </xf>
    <xf numFmtId="4" fontId="58" fillId="0" borderId="36" xfId="0" applyNumberFormat="1" applyFont="1" applyBorder="1" applyAlignment="1">
      <alignment wrapText="1" readingOrder="1"/>
    </xf>
    <xf numFmtId="0" fontId="58" fillId="0" borderId="37" xfId="0" applyFont="1" applyBorder="1" applyAlignment="1">
      <alignment wrapText="1" readingOrder="1"/>
    </xf>
    <xf numFmtId="4" fontId="58" fillId="0" borderId="37" xfId="0" applyNumberFormat="1" applyFont="1" applyBorder="1" applyAlignment="1">
      <alignment wrapText="1" readingOrder="1"/>
    </xf>
    <xf numFmtId="0" fontId="58" fillId="0" borderId="38" xfId="0" applyFont="1" applyBorder="1" applyAlignment="1">
      <alignment wrapText="1" readingOrder="1"/>
    </xf>
    <xf numFmtId="4" fontId="58" fillId="0" borderId="38" xfId="0" applyNumberFormat="1" applyFont="1" applyBorder="1" applyAlignment="1">
      <alignment wrapText="1" readingOrder="1"/>
    </xf>
    <xf numFmtId="0" fontId="58" fillId="0" borderId="39" xfId="0" applyFont="1" applyBorder="1" applyAlignment="1">
      <alignment wrapText="1" readingOrder="1"/>
    </xf>
    <xf numFmtId="4" fontId="58" fillId="0" borderId="39" xfId="0" applyNumberFormat="1" applyFont="1" applyBorder="1" applyAlignment="1">
      <alignment wrapText="1" readingOrder="1"/>
    </xf>
    <xf numFmtId="4" fontId="58" fillId="17" borderId="36" xfId="0" applyNumberFormat="1" applyFont="1" applyFill="1" applyBorder="1" applyAlignment="1">
      <alignment wrapText="1" readingOrder="1"/>
    </xf>
    <xf numFmtId="4" fontId="58" fillId="17" borderId="37" xfId="0" applyNumberFormat="1" applyFont="1" applyFill="1" applyBorder="1" applyAlignment="1">
      <alignment wrapText="1" readingOrder="1"/>
    </xf>
    <xf numFmtId="17" fontId="49" fillId="0" borderId="1" xfId="27" applyNumberFormat="1" applyFont="1" applyBorder="1"/>
    <xf numFmtId="0" fontId="59" fillId="0" borderId="36" xfId="0" applyFont="1" applyBorder="1" applyAlignment="1">
      <alignment wrapText="1" readingOrder="1"/>
    </xf>
    <xf numFmtId="4" fontId="59" fillId="0" borderId="36" xfId="0" applyNumberFormat="1" applyFont="1" applyBorder="1" applyAlignment="1">
      <alignment wrapText="1" readingOrder="1"/>
    </xf>
    <xf numFmtId="0" fontId="59" fillId="0" borderId="37" xfId="0" applyFont="1" applyBorder="1" applyAlignment="1">
      <alignment wrapText="1" readingOrder="1"/>
    </xf>
    <xf numFmtId="4" fontId="59" fillId="0" borderId="37" xfId="0" applyNumberFormat="1" applyFont="1" applyBorder="1" applyAlignment="1">
      <alignment wrapText="1" readingOrder="1"/>
    </xf>
    <xf numFmtId="0" fontId="59" fillId="0" borderId="38" xfId="0" applyFont="1" applyBorder="1" applyAlignment="1">
      <alignment wrapText="1" readingOrder="1"/>
    </xf>
    <xf numFmtId="4" fontId="59" fillId="0" borderId="38" xfId="0" applyNumberFormat="1" applyFont="1" applyBorder="1" applyAlignment="1">
      <alignment wrapText="1" readingOrder="1"/>
    </xf>
    <xf numFmtId="0" fontId="59" fillId="0" borderId="39" xfId="0" applyFont="1" applyBorder="1" applyAlignment="1">
      <alignment wrapText="1" readingOrder="1"/>
    </xf>
    <xf numFmtId="4" fontId="59" fillId="0" borderId="39" xfId="0" applyNumberFormat="1" applyFont="1" applyBorder="1" applyAlignment="1">
      <alignment wrapText="1" readingOrder="1"/>
    </xf>
    <xf numFmtId="0" fontId="60" fillId="0" borderId="0" xfId="0" applyFont="1"/>
    <xf numFmtId="4" fontId="60" fillId="0" borderId="0" xfId="0" applyNumberFormat="1" applyFont="1"/>
    <xf numFmtId="0" fontId="60" fillId="0" borderId="13" xfId="0" applyFont="1" applyBorder="1"/>
    <xf numFmtId="4" fontId="60" fillId="0" borderId="13" xfId="0" applyNumberFormat="1" applyFont="1" applyBorder="1"/>
    <xf numFmtId="43" fontId="60" fillId="0" borderId="13" xfId="0" applyNumberFormat="1" applyFont="1" applyBorder="1"/>
    <xf numFmtId="4" fontId="58" fillId="17" borderId="0" xfId="0" applyNumberFormat="1" applyFont="1" applyFill="1" applyAlignment="1">
      <alignment wrapText="1" readingOrder="1"/>
    </xf>
    <xf numFmtId="17" fontId="49" fillId="0" borderId="4" xfId="27" applyNumberFormat="1" applyFont="1" applyBorder="1"/>
    <xf numFmtId="17" fontId="32" fillId="0" borderId="40" xfId="0" applyNumberFormat="1" applyFont="1" applyBorder="1"/>
    <xf numFmtId="17" fontId="49" fillId="0" borderId="4" xfId="0" applyNumberFormat="1" applyFont="1" applyBorder="1"/>
    <xf numFmtId="0" fontId="61" fillId="0" borderId="36" xfId="0" applyFont="1" applyBorder="1" applyAlignment="1">
      <alignment wrapText="1" readingOrder="1"/>
    </xf>
    <xf numFmtId="4" fontId="61" fillId="0" borderId="36" xfId="0" applyNumberFormat="1" applyFont="1" applyBorder="1" applyAlignment="1">
      <alignment wrapText="1" readingOrder="1"/>
    </xf>
    <xf numFmtId="0" fontId="61" fillId="0" borderId="37" xfId="0" applyFont="1" applyBorder="1" applyAlignment="1">
      <alignment wrapText="1" readingOrder="1"/>
    </xf>
    <xf numFmtId="4" fontId="61" fillId="0" borderId="37" xfId="0" applyNumberFormat="1" applyFont="1" applyBorder="1" applyAlignment="1">
      <alignment wrapText="1" readingOrder="1"/>
    </xf>
    <xf numFmtId="0" fontId="61" fillId="0" borderId="38" xfId="0" applyFont="1" applyBorder="1" applyAlignment="1">
      <alignment wrapText="1" readingOrder="1"/>
    </xf>
    <xf numFmtId="4" fontId="61" fillId="0" borderId="38" xfId="0" applyNumberFormat="1" applyFont="1" applyBorder="1" applyAlignment="1">
      <alignment wrapText="1" readingOrder="1"/>
    </xf>
    <xf numFmtId="0" fontId="61" fillId="0" borderId="39" xfId="0" applyFont="1" applyBorder="1" applyAlignment="1">
      <alignment wrapText="1" readingOrder="1"/>
    </xf>
    <xf numFmtId="4" fontId="61" fillId="0" borderId="39" xfId="0" applyNumberFormat="1" applyFont="1" applyBorder="1" applyAlignment="1">
      <alignment wrapText="1" readingOrder="1"/>
    </xf>
    <xf numFmtId="0" fontId="62" fillId="0" borderId="36" xfId="0" applyFont="1" applyBorder="1" applyAlignment="1">
      <alignment wrapText="1" readingOrder="1"/>
    </xf>
    <xf numFmtId="4" fontId="62" fillId="0" borderId="36" xfId="0" applyNumberFormat="1" applyFont="1" applyBorder="1" applyAlignment="1">
      <alignment wrapText="1" readingOrder="1"/>
    </xf>
    <xf numFmtId="0" fontId="62" fillId="0" borderId="37" xfId="0" applyFont="1" applyBorder="1" applyAlignment="1">
      <alignment wrapText="1" readingOrder="1"/>
    </xf>
    <xf numFmtId="4" fontId="62" fillId="0" borderId="37" xfId="0" applyNumberFormat="1" applyFont="1" applyBorder="1" applyAlignment="1">
      <alignment wrapText="1" readingOrder="1"/>
    </xf>
    <xf numFmtId="0" fontId="62" fillId="0" borderId="38" xfId="0" applyFont="1" applyBorder="1" applyAlignment="1">
      <alignment wrapText="1" readingOrder="1"/>
    </xf>
    <xf numFmtId="4" fontId="62" fillId="0" borderId="38" xfId="0" applyNumberFormat="1" applyFont="1" applyBorder="1" applyAlignment="1">
      <alignment wrapText="1" readingOrder="1"/>
    </xf>
    <xf numFmtId="0" fontId="62" fillId="0" borderId="39" xfId="0" applyFont="1" applyBorder="1" applyAlignment="1">
      <alignment wrapText="1" readingOrder="1"/>
    </xf>
    <xf numFmtId="4" fontId="62" fillId="0" borderId="39" xfId="0" applyNumberFormat="1" applyFont="1" applyBorder="1" applyAlignment="1">
      <alignment wrapText="1" readingOrder="1"/>
    </xf>
    <xf numFmtId="4" fontId="62" fillId="17" borderId="36" xfId="0" applyNumberFormat="1" applyFont="1" applyFill="1" applyBorder="1" applyAlignment="1">
      <alignment wrapText="1" readingOrder="1"/>
    </xf>
    <xf numFmtId="4" fontId="62" fillId="17" borderId="37" xfId="0" applyNumberFormat="1" applyFont="1" applyFill="1" applyBorder="1" applyAlignment="1">
      <alignment wrapText="1" readingOrder="1"/>
    </xf>
    <xf numFmtId="17" fontId="35" fillId="0" borderId="41" xfId="271" applyNumberFormat="1" applyFont="1" applyBorder="1"/>
    <xf numFmtId="17" fontId="35" fillId="0" borderId="40" xfId="271" applyNumberFormat="1" applyFont="1" applyBorder="1"/>
    <xf numFmtId="17" fontId="6" fillId="0" borderId="4" xfId="271" applyNumberFormat="1" applyFont="1" applyBorder="1" applyAlignment="1">
      <alignment wrapText="1"/>
    </xf>
    <xf numFmtId="17" fontId="6" fillId="0" borderId="40" xfId="271" applyNumberFormat="1" applyFont="1" applyBorder="1"/>
    <xf numFmtId="4" fontId="0" fillId="0" borderId="0" xfId="0" applyNumberFormat="1"/>
    <xf numFmtId="4" fontId="62" fillId="17" borderId="38" xfId="0" applyNumberFormat="1" applyFont="1" applyFill="1" applyBorder="1" applyAlignment="1">
      <alignment wrapText="1" readingOrder="1"/>
    </xf>
    <xf numFmtId="4" fontId="62" fillId="17" borderId="39" xfId="0" applyNumberFormat="1" applyFont="1" applyFill="1" applyBorder="1" applyAlignment="1">
      <alignment wrapText="1" readingOrder="1"/>
    </xf>
    <xf numFmtId="17" fontId="32" fillId="0" borderId="0" xfId="0" applyNumberFormat="1" applyFont="1"/>
    <xf numFmtId="0" fontId="32" fillId="0" borderId="0" xfId="0" applyFont="1"/>
    <xf numFmtId="0" fontId="50" fillId="0" borderId="1" xfId="243" applyFont="1" applyBorder="1" applyAlignment="1">
      <alignment horizontal="center" vertical="top"/>
    </xf>
    <xf numFmtId="0" fontId="50" fillId="0" borderId="0" xfId="243" applyFont="1" applyAlignment="1">
      <alignment horizontal="center"/>
    </xf>
    <xf numFmtId="0" fontId="22" fillId="0" borderId="0" xfId="243" applyFont="1" applyAlignment="1">
      <alignment horizontal="center"/>
    </xf>
    <xf numFmtId="0" fontId="56" fillId="0" borderId="4" xfId="243" applyFont="1" applyBorder="1" applyAlignment="1">
      <alignment horizontal="left" vertical="center"/>
    </xf>
    <xf numFmtId="0" fontId="56" fillId="0" borderId="26" xfId="243" applyFont="1" applyBorder="1" applyAlignment="1">
      <alignment horizontal="left" vertical="center"/>
    </xf>
    <xf numFmtId="0" fontId="50" fillId="0" borderId="27" xfId="243" applyFont="1" applyBorder="1" applyAlignment="1">
      <alignment horizontal="left"/>
    </xf>
    <xf numFmtId="0" fontId="34" fillId="0" borderId="1" xfId="243" applyFont="1" applyBorder="1" applyAlignment="1">
      <alignment horizontal="center"/>
    </xf>
    <xf numFmtId="0" fontId="37" fillId="0" borderId="0" xfId="243" applyFont="1" applyAlignment="1">
      <alignment horizontal="center"/>
    </xf>
    <xf numFmtId="0" fontId="43" fillId="0" borderId="0" xfId="0" applyFont="1" applyAlignment="1">
      <alignment horizontal="center"/>
    </xf>
    <xf numFmtId="0" fontId="42" fillId="0" borderId="28" xfId="0" applyFont="1" applyBorder="1" applyAlignment="1">
      <alignment horizontal="center" vertical="top" wrapText="1"/>
    </xf>
    <xf numFmtId="0" fontId="42" fillId="0" borderId="19" xfId="0" applyFont="1" applyBorder="1" applyAlignment="1">
      <alignment horizontal="center" vertical="top" wrapText="1"/>
    </xf>
    <xf numFmtId="0" fontId="42" fillId="0" borderId="29" xfId="0" applyFont="1" applyBorder="1" applyAlignment="1">
      <alignment horizontal="center" vertical="top" wrapText="1"/>
    </xf>
    <xf numFmtId="0" fontId="42" fillId="0" borderId="18" xfId="0" applyFont="1" applyBorder="1" applyAlignment="1">
      <alignment horizontal="center" vertical="top" wrapText="1"/>
    </xf>
    <xf numFmtId="0" fontId="42" fillId="0" borderId="30" xfId="0" applyFont="1" applyBorder="1" applyAlignment="1">
      <alignment horizontal="center" vertical="top" wrapText="1"/>
    </xf>
    <xf numFmtId="0" fontId="14" fillId="0" borderId="0" xfId="0" applyFont="1" applyAlignment="1" applyProtection="1">
      <alignment horizontal="left" wrapText="1"/>
      <protection locked="0"/>
    </xf>
    <xf numFmtId="0" fontId="8" fillId="0" borderId="21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7" fillId="0" borderId="31" xfId="0" applyFont="1" applyBorder="1" applyAlignment="1">
      <alignment horizontal="center" wrapText="1"/>
    </xf>
    <xf numFmtId="0" fontId="15" fillId="0" borderId="21" xfId="0" applyFont="1" applyBorder="1" applyAlignment="1">
      <alignment horizontal="left" wrapText="1"/>
    </xf>
    <xf numFmtId="0" fontId="46" fillId="0" borderId="6" xfId="27" applyNumberFormat="1" applyFont="1" applyBorder="1" applyAlignment="1">
      <alignment horizontal="left"/>
    </xf>
    <xf numFmtId="0" fontId="61" fillId="0" borderId="36" xfId="0" applyFont="1" applyFill="1" applyBorder="1" applyAlignment="1">
      <alignment wrapText="1" readingOrder="1"/>
    </xf>
    <xf numFmtId="4" fontId="61" fillId="0" borderId="36" xfId="0" applyNumberFormat="1" applyFont="1" applyFill="1" applyBorder="1" applyAlignment="1">
      <alignment wrapText="1" readingOrder="1"/>
    </xf>
    <xf numFmtId="0" fontId="61" fillId="0" borderId="38" xfId="0" applyFont="1" applyFill="1" applyBorder="1" applyAlignment="1">
      <alignment wrapText="1" readingOrder="1"/>
    </xf>
    <xf numFmtId="4" fontId="61" fillId="0" borderId="38" xfId="0" applyNumberFormat="1" applyFont="1" applyFill="1" applyBorder="1" applyAlignment="1">
      <alignment wrapText="1" readingOrder="1"/>
    </xf>
    <xf numFmtId="0" fontId="62" fillId="0" borderId="36" xfId="0" applyFont="1" applyFill="1" applyBorder="1" applyAlignment="1">
      <alignment wrapText="1" readingOrder="1"/>
    </xf>
    <xf numFmtId="4" fontId="62" fillId="0" borderId="36" xfId="0" applyNumberFormat="1" applyFont="1" applyFill="1" applyBorder="1" applyAlignment="1">
      <alignment wrapText="1" readingOrder="1"/>
    </xf>
    <xf numFmtId="0" fontId="62" fillId="0" borderId="38" xfId="0" applyFont="1" applyFill="1" applyBorder="1" applyAlignment="1">
      <alignment wrapText="1" readingOrder="1"/>
    </xf>
    <xf numFmtId="4" fontId="62" fillId="0" borderId="38" xfId="0" applyNumberFormat="1" applyFont="1" applyFill="1" applyBorder="1" applyAlignment="1">
      <alignment wrapText="1" readingOrder="1"/>
    </xf>
    <xf numFmtId="0" fontId="50" fillId="0" borderId="0" xfId="243" applyFont="1" applyAlignment="1"/>
  </cellXfs>
  <cellStyles count="455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1" xfId="30" xr:uid="{00000000-0005-0000-0000-00001D000000}"/>
    <cellStyle name="Comma 10 12" xfId="31" xr:uid="{00000000-0005-0000-0000-00001E000000}"/>
    <cellStyle name="Comma 10 13" xfId="32" xr:uid="{00000000-0005-0000-0000-00001F000000}"/>
    <cellStyle name="Comma 10 14" xfId="33" xr:uid="{00000000-0005-0000-0000-000020000000}"/>
    <cellStyle name="Comma 10 15" xfId="34" xr:uid="{00000000-0005-0000-0000-000021000000}"/>
    <cellStyle name="Comma 10 16" xfId="35" xr:uid="{00000000-0005-0000-0000-000022000000}"/>
    <cellStyle name="Comma 10 2" xfId="36" xr:uid="{00000000-0005-0000-0000-000023000000}"/>
    <cellStyle name="Comma 10 3" xfId="37" xr:uid="{00000000-0005-0000-0000-000024000000}"/>
    <cellStyle name="Comma 10 4" xfId="38" xr:uid="{00000000-0005-0000-0000-000025000000}"/>
    <cellStyle name="Comma 10 5" xfId="39" xr:uid="{00000000-0005-0000-0000-000026000000}"/>
    <cellStyle name="Comma 10 6" xfId="40" xr:uid="{00000000-0005-0000-0000-000027000000}"/>
    <cellStyle name="Comma 10 7" xfId="41" xr:uid="{00000000-0005-0000-0000-000028000000}"/>
    <cellStyle name="Comma 10 8" xfId="42" xr:uid="{00000000-0005-0000-0000-000029000000}"/>
    <cellStyle name="Comma 10 9" xfId="43" xr:uid="{00000000-0005-0000-0000-00002A000000}"/>
    <cellStyle name="Comma 11" xfId="44" xr:uid="{00000000-0005-0000-0000-00002B000000}"/>
    <cellStyle name="Comma 11 10" xfId="45" xr:uid="{00000000-0005-0000-0000-00002C000000}"/>
    <cellStyle name="Comma 11 11" xfId="46" xr:uid="{00000000-0005-0000-0000-00002D000000}"/>
    <cellStyle name="Comma 11 12" xfId="47" xr:uid="{00000000-0005-0000-0000-00002E000000}"/>
    <cellStyle name="Comma 11 13" xfId="48" xr:uid="{00000000-0005-0000-0000-00002F000000}"/>
    <cellStyle name="Comma 11 14" xfId="49" xr:uid="{00000000-0005-0000-0000-000030000000}"/>
    <cellStyle name="Comma 11 15" xfId="50" xr:uid="{00000000-0005-0000-0000-000031000000}"/>
    <cellStyle name="Comma 11 16" xfId="51" xr:uid="{00000000-0005-0000-0000-000032000000}"/>
    <cellStyle name="Comma 11 17" xfId="52" xr:uid="{00000000-0005-0000-0000-000033000000}"/>
    <cellStyle name="Comma 11 2" xfId="53" xr:uid="{00000000-0005-0000-0000-000034000000}"/>
    <cellStyle name="Comma 11 2 2" xfId="54" xr:uid="{00000000-0005-0000-0000-000035000000}"/>
    <cellStyle name="Comma 11 3" xfId="55" xr:uid="{00000000-0005-0000-0000-000036000000}"/>
    <cellStyle name="Comma 11 4" xfId="56" xr:uid="{00000000-0005-0000-0000-000037000000}"/>
    <cellStyle name="Comma 11 5" xfId="57" xr:uid="{00000000-0005-0000-0000-000038000000}"/>
    <cellStyle name="Comma 11 6" xfId="58" xr:uid="{00000000-0005-0000-0000-000039000000}"/>
    <cellStyle name="Comma 11 7" xfId="59" xr:uid="{00000000-0005-0000-0000-00003A000000}"/>
    <cellStyle name="Comma 11 8" xfId="60" xr:uid="{00000000-0005-0000-0000-00003B000000}"/>
    <cellStyle name="Comma 11 9" xfId="61" xr:uid="{00000000-0005-0000-0000-00003C000000}"/>
    <cellStyle name="Comma 12" xfId="62" xr:uid="{00000000-0005-0000-0000-00003D000000}"/>
    <cellStyle name="Comma 13" xfId="63" xr:uid="{00000000-0005-0000-0000-00003E000000}"/>
    <cellStyle name="Comma 14" xfId="64" xr:uid="{00000000-0005-0000-0000-00003F000000}"/>
    <cellStyle name="Comma 141" xfId="65" xr:uid="{00000000-0005-0000-0000-000040000000}"/>
    <cellStyle name="Comma 142" xfId="66" xr:uid="{00000000-0005-0000-0000-000041000000}"/>
    <cellStyle name="Comma 143" xfId="67" xr:uid="{00000000-0005-0000-0000-000042000000}"/>
    <cellStyle name="Comma 144" xfId="68" xr:uid="{00000000-0005-0000-0000-000043000000}"/>
    <cellStyle name="Comma 15" xfId="69" xr:uid="{00000000-0005-0000-0000-000044000000}"/>
    <cellStyle name="Comma 16" xfId="70" xr:uid="{00000000-0005-0000-0000-000045000000}"/>
    <cellStyle name="Comma 16 10" xfId="71" xr:uid="{00000000-0005-0000-0000-000046000000}"/>
    <cellStyle name="Comma 16 11" xfId="72" xr:uid="{00000000-0005-0000-0000-000047000000}"/>
    <cellStyle name="Comma 16 12" xfId="73" xr:uid="{00000000-0005-0000-0000-000048000000}"/>
    <cellStyle name="Comma 16 13" xfId="74" xr:uid="{00000000-0005-0000-0000-000049000000}"/>
    <cellStyle name="Comma 16 14" xfId="75" xr:uid="{00000000-0005-0000-0000-00004A000000}"/>
    <cellStyle name="Comma 16 15" xfId="76" xr:uid="{00000000-0005-0000-0000-00004B000000}"/>
    <cellStyle name="Comma 16 16" xfId="77" xr:uid="{00000000-0005-0000-0000-00004C000000}"/>
    <cellStyle name="Comma 16 2" xfId="78" xr:uid="{00000000-0005-0000-0000-00004D000000}"/>
    <cellStyle name="Comma 16 3" xfId="79" xr:uid="{00000000-0005-0000-0000-00004E000000}"/>
    <cellStyle name="Comma 16 4" xfId="80" xr:uid="{00000000-0005-0000-0000-00004F000000}"/>
    <cellStyle name="Comma 16 5" xfId="81" xr:uid="{00000000-0005-0000-0000-000050000000}"/>
    <cellStyle name="Comma 16 6" xfId="82" xr:uid="{00000000-0005-0000-0000-000051000000}"/>
    <cellStyle name="Comma 16 7" xfId="83" xr:uid="{00000000-0005-0000-0000-000052000000}"/>
    <cellStyle name="Comma 16 8" xfId="84" xr:uid="{00000000-0005-0000-0000-000053000000}"/>
    <cellStyle name="Comma 16 9" xfId="85" xr:uid="{00000000-0005-0000-0000-000054000000}"/>
    <cellStyle name="Comma 17" xfId="86" xr:uid="{00000000-0005-0000-0000-000055000000}"/>
    <cellStyle name="Comma 17 10" xfId="87" xr:uid="{00000000-0005-0000-0000-000056000000}"/>
    <cellStyle name="Comma 17 2" xfId="88" xr:uid="{00000000-0005-0000-0000-000057000000}"/>
    <cellStyle name="Comma 17 3" xfId="89" xr:uid="{00000000-0005-0000-0000-000058000000}"/>
    <cellStyle name="Comma 17 4" xfId="90" xr:uid="{00000000-0005-0000-0000-000059000000}"/>
    <cellStyle name="Comma 17 5" xfId="91" xr:uid="{00000000-0005-0000-0000-00005A000000}"/>
    <cellStyle name="Comma 17 6" xfId="92" xr:uid="{00000000-0005-0000-0000-00005B000000}"/>
    <cellStyle name="Comma 17 7" xfId="93" xr:uid="{00000000-0005-0000-0000-00005C000000}"/>
    <cellStyle name="Comma 17 8" xfId="94" xr:uid="{00000000-0005-0000-0000-00005D000000}"/>
    <cellStyle name="Comma 17 9" xfId="95" xr:uid="{00000000-0005-0000-0000-00005E000000}"/>
    <cellStyle name="Comma 18" xfId="96" xr:uid="{00000000-0005-0000-0000-00005F000000}"/>
    <cellStyle name="Comma 2" xfId="97" xr:uid="{00000000-0005-0000-0000-000060000000}"/>
    <cellStyle name="Comma 2 10" xfId="98" xr:uid="{00000000-0005-0000-0000-000061000000}"/>
    <cellStyle name="Comma 2 11" xfId="99" xr:uid="{00000000-0005-0000-0000-000062000000}"/>
    <cellStyle name="Comma 2 12" xfId="100" xr:uid="{00000000-0005-0000-0000-000063000000}"/>
    <cellStyle name="Comma 2 13" xfId="101" xr:uid="{00000000-0005-0000-0000-000064000000}"/>
    <cellStyle name="Comma 2 14" xfId="102" xr:uid="{00000000-0005-0000-0000-000065000000}"/>
    <cellStyle name="Comma 2 15" xfId="103" xr:uid="{00000000-0005-0000-0000-000066000000}"/>
    <cellStyle name="Comma 2 16" xfId="104" xr:uid="{00000000-0005-0000-0000-000067000000}"/>
    <cellStyle name="Comma 2 17" xfId="105" xr:uid="{00000000-0005-0000-0000-000068000000}"/>
    <cellStyle name="Comma 2 18" xfId="106" xr:uid="{00000000-0005-0000-0000-000069000000}"/>
    <cellStyle name="Comma 2 19" xfId="107" xr:uid="{00000000-0005-0000-0000-00006A000000}"/>
    <cellStyle name="Comma 2 2" xfId="108" xr:uid="{00000000-0005-0000-0000-00006B000000}"/>
    <cellStyle name="Comma 2 20" xfId="109" xr:uid="{00000000-0005-0000-0000-00006C000000}"/>
    <cellStyle name="Comma 2 21" xfId="110" xr:uid="{00000000-0005-0000-0000-00006D000000}"/>
    <cellStyle name="Comma 2 22" xfId="111" xr:uid="{00000000-0005-0000-0000-00006E000000}"/>
    <cellStyle name="Comma 2 23" xfId="112" xr:uid="{00000000-0005-0000-0000-00006F000000}"/>
    <cellStyle name="Comma 2 24" xfId="113" xr:uid="{00000000-0005-0000-0000-000070000000}"/>
    <cellStyle name="Comma 2 25" xfId="114" xr:uid="{00000000-0005-0000-0000-000071000000}"/>
    <cellStyle name="Comma 2 26" xfId="115" xr:uid="{00000000-0005-0000-0000-000072000000}"/>
    <cellStyle name="Comma 2 3" xfId="116" xr:uid="{00000000-0005-0000-0000-000073000000}"/>
    <cellStyle name="Comma 2 4" xfId="117" xr:uid="{00000000-0005-0000-0000-000074000000}"/>
    <cellStyle name="Comma 2 5" xfId="118" xr:uid="{00000000-0005-0000-0000-000075000000}"/>
    <cellStyle name="Comma 2 6" xfId="119" xr:uid="{00000000-0005-0000-0000-000076000000}"/>
    <cellStyle name="Comma 2 7" xfId="120" xr:uid="{00000000-0005-0000-0000-000077000000}"/>
    <cellStyle name="Comma 2 8" xfId="121" xr:uid="{00000000-0005-0000-0000-000078000000}"/>
    <cellStyle name="Comma 2 9" xfId="122" xr:uid="{00000000-0005-0000-0000-000079000000}"/>
    <cellStyle name="Comma 24" xfId="123" xr:uid="{00000000-0005-0000-0000-00007A000000}"/>
    <cellStyle name="Comma 3" xfId="124" xr:uid="{00000000-0005-0000-0000-00007B000000}"/>
    <cellStyle name="Comma 3 10" xfId="125" xr:uid="{00000000-0005-0000-0000-00007C000000}"/>
    <cellStyle name="Comma 3 11" xfId="126" xr:uid="{00000000-0005-0000-0000-00007D000000}"/>
    <cellStyle name="Comma 3 12" xfId="127" xr:uid="{00000000-0005-0000-0000-00007E000000}"/>
    <cellStyle name="Comma 3 13" xfId="128" xr:uid="{00000000-0005-0000-0000-00007F000000}"/>
    <cellStyle name="Comma 3 14" xfId="129" xr:uid="{00000000-0005-0000-0000-000080000000}"/>
    <cellStyle name="Comma 3 15" xfId="130" xr:uid="{00000000-0005-0000-0000-000081000000}"/>
    <cellStyle name="Comma 3 16" xfId="131" xr:uid="{00000000-0005-0000-0000-000082000000}"/>
    <cellStyle name="Comma 3 17" xfId="132" xr:uid="{00000000-0005-0000-0000-000083000000}"/>
    <cellStyle name="Comma 3 18" xfId="133" xr:uid="{00000000-0005-0000-0000-000084000000}"/>
    <cellStyle name="Comma 3 19" xfId="134" xr:uid="{00000000-0005-0000-0000-000085000000}"/>
    <cellStyle name="Comma 3 2" xfId="135" xr:uid="{00000000-0005-0000-0000-000086000000}"/>
    <cellStyle name="Comma 3 20" xfId="136" xr:uid="{00000000-0005-0000-0000-000087000000}"/>
    <cellStyle name="Comma 3 3" xfId="137" xr:uid="{00000000-0005-0000-0000-000088000000}"/>
    <cellStyle name="Comma 3 4" xfId="138" xr:uid="{00000000-0005-0000-0000-000089000000}"/>
    <cellStyle name="Comma 3 5" xfId="139" xr:uid="{00000000-0005-0000-0000-00008A000000}"/>
    <cellStyle name="Comma 3 6" xfId="140" xr:uid="{00000000-0005-0000-0000-00008B000000}"/>
    <cellStyle name="Comma 3 7" xfId="141" xr:uid="{00000000-0005-0000-0000-00008C000000}"/>
    <cellStyle name="Comma 3 8" xfId="142" xr:uid="{00000000-0005-0000-0000-00008D000000}"/>
    <cellStyle name="Comma 3 9" xfId="143" xr:uid="{00000000-0005-0000-0000-00008E000000}"/>
    <cellStyle name="Comma 4" xfId="144" xr:uid="{00000000-0005-0000-0000-00008F000000}"/>
    <cellStyle name="Comma 5" xfId="145" xr:uid="{00000000-0005-0000-0000-000090000000}"/>
    <cellStyle name="Comma 5 10" xfId="146" xr:uid="{00000000-0005-0000-0000-000091000000}"/>
    <cellStyle name="Comma 5 11" xfId="147" xr:uid="{00000000-0005-0000-0000-000092000000}"/>
    <cellStyle name="Comma 5 12" xfId="148" xr:uid="{00000000-0005-0000-0000-000093000000}"/>
    <cellStyle name="Comma 5 13" xfId="149" xr:uid="{00000000-0005-0000-0000-000094000000}"/>
    <cellStyle name="Comma 5 14" xfId="150" xr:uid="{00000000-0005-0000-0000-000095000000}"/>
    <cellStyle name="Comma 5 15" xfId="151" xr:uid="{00000000-0005-0000-0000-000096000000}"/>
    <cellStyle name="Comma 5 16" xfId="152" xr:uid="{00000000-0005-0000-0000-000097000000}"/>
    <cellStyle name="Comma 5 17" xfId="153" xr:uid="{00000000-0005-0000-0000-000098000000}"/>
    <cellStyle name="Comma 5 18" xfId="154" xr:uid="{00000000-0005-0000-0000-000099000000}"/>
    <cellStyle name="Comma 5 19" xfId="155" xr:uid="{00000000-0005-0000-0000-00009A000000}"/>
    <cellStyle name="Comma 5 2" xfId="156" xr:uid="{00000000-0005-0000-0000-00009B000000}"/>
    <cellStyle name="Comma 5 20" xfId="157" xr:uid="{00000000-0005-0000-0000-00009C000000}"/>
    <cellStyle name="Comma 5 3" xfId="158" xr:uid="{00000000-0005-0000-0000-00009D000000}"/>
    <cellStyle name="Comma 5 4" xfId="159" xr:uid="{00000000-0005-0000-0000-00009E000000}"/>
    <cellStyle name="Comma 5 5" xfId="160" xr:uid="{00000000-0005-0000-0000-00009F000000}"/>
    <cellStyle name="Comma 5 6" xfId="161" xr:uid="{00000000-0005-0000-0000-0000A0000000}"/>
    <cellStyle name="Comma 5 7" xfId="162" xr:uid="{00000000-0005-0000-0000-0000A1000000}"/>
    <cellStyle name="Comma 5 8" xfId="163" xr:uid="{00000000-0005-0000-0000-0000A2000000}"/>
    <cellStyle name="Comma 5 9" xfId="164" xr:uid="{00000000-0005-0000-0000-0000A3000000}"/>
    <cellStyle name="Comma 6" xfId="165" xr:uid="{00000000-0005-0000-0000-0000A4000000}"/>
    <cellStyle name="Comma 6 10" xfId="166" xr:uid="{00000000-0005-0000-0000-0000A5000000}"/>
    <cellStyle name="Comma 6 11" xfId="167" xr:uid="{00000000-0005-0000-0000-0000A6000000}"/>
    <cellStyle name="Comma 6 12" xfId="168" xr:uid="{00000000-0005-0000-0000-0000A7000000}"/>
    <cellStyle name="Comma 6 13" xfId="169" xr:uid="{00000000-0005-0000-0000-0000A8000000}"/>
    <cellStyle name="Comma 6 14" xfId="170" xr:uid="{00000000-0005-0000-0000-0000A9000000}"/>
    <cellStyle name="Comma 6 15" xfId="171" xr:uid="{00000000-0005-0000-0000-0000AA000000}"/>
    <cellStyle name="Comma 6 16" xfId="172" xr:uid="{00000000-0005-0000-0000-0000AB000000}"/>
    <cellStyle name="Comma 6 17" xfId="173" xr:uid="{00000000-0005-0000-0000-0000AC000000}"/>
    <cellStyle name="Comma 6 18" xfId="174" xr:uid="{00000000-0005-0000-0000-0000AD000000}"/>
    <cellStyle name="Comma 6 19" xfId="175" xr:uid="{00000000-0005-0000-0000-0000AE000000}"/>
    <cellStyle name="Comma 6 2" xfId="176" xr:uid="{00000000-0005-0000-0000-0000AF000000}"/>
    <cellStyle name="Comma 6 3" xfId="177" xr:uid="{00000000-0005-0000-0000-0000B0000000}"/>
    <cellStyle name="Comma 6 4" xfId="178" xr:uid="{00000000-0005-0000-0000-0000B1000000}"/>
    <cellStyle name="Comma 6 5" xfId="179" xr:uid="{00000000-0005-0000-0000-0000B2000000}"/>
    <cellStyle name="Comma 6 6" xfId="180" xr:uid="{00000000-0005-0000-0000-0000B3000000}"/>
    <cellStyle name="Comma 6 7" xfId="181" xr:uid="{00000000-0005-0000-0000-0000B4000000}"/>
    <cellStyle name="Comma 6 8" xfId="182" xr:uid="{00000000-0005-0000-0000-0000B5000000}"/>
    <cellStyle name="Comma 6 9" xfId="183" xr:uid="{00000000-0005-0000-0000-0000B6000000}"/>
    <cellStyle name="Comma 7" xfId="184" xr:uid="{00000000-0005-0000-0000-0000B7000000}"/>
    <cellStyle name="Comma 7 10" xfId="185" xr:uid="{00000000-0005-0000-0000-0000B8000000}"/>
    <cellStyle name="Comma 7 11" xfId="186" xr:uid="{00000000-0005-0000-0000-0000B9000000}"/>
    <cellStyle name="Comma 7 12" xfId="187" xr:uid="{00000000-0005-0000-0000-0000BA000000}"/>
    <cellStyle name="Comma 7 13" xfId="188" xr:uid="{00000000-0005-0000-0000-0000BB000000}"/>
    <cellStyle name="Comma 7 14" xfId="189" xr:uid="{00000000-0005-0000-0000-0000BC000000}"/>
    <cellStyle name="Comma 7 15" xfId="190" xr:uid="{00000000-0005-0000-0000-0000BD000000}"/>
    <cellStyle name="Comma 7 16" xfId="191" xr:uid="{00000000-0005-0000-0000-0000BE000000}"/>
    <cellStyle name="Comma 7 17" xfId="192" xr:uid="{00000000-0005-0000-0000-0000BF000000}"/>
    <cellStyle name="Comma 7 18" xfId="193" xr:uid="{00000000-0005-0000-0000-0000C0000000}"/>
    <cellStyle name="Comma 7 19" xfId="194" xr:uid="{00000000-0005-0000-0000-0000C1000000}"/>
    <cellStyle name="Comma 7 2" xfId="195" xr:uid="{00000000-0005-0000-0000-0000C2000000}"/>
    <cellStyle name="Comma 7 3" xfId="196" xr:uid="{00000000-0005-0000-0000-0000C3000000}"/>
    <cellStyle name="Comma 7 4" xfId="197" xr:uid="{00000000-0005-0000-0000-0000C4000000}"/>
    <cellStyle name="Comma 7 5" xfId="198" xr:uid="{00000000-0005-0000-0000-0000C5000000}"/>
    <cellStyle name="Comma 7 6" xfId="199" xr:uid="{00000000-0005-0000-0000-0000C6000000}"/>
    <cellStyle name="Comma 7 7" xfId="200" xr:uid="{00000000-0005-0000-0000-0000C7000000}"/>
    <cellStyle name="Comma 7 8" xfId="201" xr:uid="{00000000-0005-0000-0000-0000C8000000}"/>
    <cellStyle name="Comma 7 9" xfId="202" xr:uid="{00000000-0005-0000-0000-0000C9000000}"/>
    <cellStyle name="Comma 8" xfId="203" xr:uid="{00000000-0005-0000-0000-0000CA000000}"/>
    <cellStyle name="Comma 8 10" xfId="204" xr:uid="{00000000-0005-0000-0000-0000CB000000}"/>
    <cellStyle name="Comma 8 11" xfId="205" xr:uid="{00000000-0005-0000-0000-0000CC000000}"/>
    <cellStyle name="Comma 8 12" xfId="206" xr:uid="{00000000-0005-0000-0000-0000CD000000}"/>
    <cellStyle name="Comma 8 13" xfId="207" xr:uid="{00000000-0005-0000-0000-0000CE000000}"/>
    <cellStyle name="Comma 8 14" xfId="208" xr:uid="{00000000-0005-0000-0000-0000CF000000}"/>
    <cellStyle name="Comma 8 15" xfId="209" xr:uid="{00000000-0005-0000-0000-0000D0000000}"/>
    <cellStyle name="Comma 8 16" xfId="210" xr:uid="{00000000-0005-0000-0000-0000D1000000}"/>
    <cellStyle name="Comma 8 17" xfId="211" xr:uid="{00000000-0005-0000-0000-0000D2000000}"/>
    <cellStyle name="Comma 8 18" xfId="212" xr:uid="{00000000-0005-0000-0000-0000D3000000}"/>
    <cellStyle name="Comma 8 19" xfId="213" xr:uid="{00000000-0005-0000-0000-0000D4000000}"/>
    <cellStyle name="Comma 8 2" xfId="214" xr:uid="{00000000-0005-0000-0000-0000D5000000}"/>
    <cellStyle name="Comma 8 3" xfId="215" xr:uid="{00000000-0005-0000-0000-0000D6000000}"/>
    <cellStyle name="Comma 8 4" xfId="216" xr:uid="{00000000-0005-0000-0000-0000D7000000}"/>
    <cellStyle name="Comma 8 5" xfId="217" xr:uid="{00000000-0005-0000-0000-0000D8000000}"/>
    <cellStyle name="Comma 8 6" xfId="218" xr:uid="{00000000-0005-0000-0000-0000D9000000}"/>
    <cellStyle name="Comma 8 7" xfId="219" xr:uid="{00000000-0005-0000-0000-0000DA000000}"/>
    <cellStyle name="Comma 8 8" xfId="220" xr:uid="{00000000-0005-0000-0000-0000DB000000}"/>
    <cellStyle name="Comma 8 9" xfId="221" xr:uid="{00000000-0005-0000-0000-0000DC000000}"/>
    <cellStyle name="Comma 9" xfId="222" xr:uid="{00000000-0005-0000-0000-0000DD000000}"/>
    <cellStyle name="Comma 9 10" xfId="223" xr:uid="{00000000-0005-0000-0000-0000DE000000}"/>
    <cellStyle name="Comma 9 11" xfId="224" xr:uid="{00000000-0005-0000-0000-0000DF000000}"/>
    <cellStyle name="Comma 9 12" xfId="225" xr:uid="{00000000-0005-0000-0000-0000E0000000}"/>
    <cellStyle name="Comma 9 13" xfId="226" xr:uid="{00000000-0005-0000-0000-0000E1000000}"/>
    <cellStyle name="Comma 9 14" xfId="227" xr:uid="{00000000-0005-0000-0000-0000E2000000}"/>
    <cellStyle name="Comma 9 15" xfId="228" xr:uid="{00000000-0005-0000-0000-0000E3000000}"/>
    <cellStyle name="Comma 9 16" xfId="229" xr:uid="{00000000-0005-0000-0000-0000E4000000}"/>
    <cellStyle name="Comma 9 17" xfId="230" xr:uid="{00000000-0005-0000-0000-0000E5000000}"/>
    <cellStyle name="Comma 9 18" xfId="231" xr:uid="{00000000-0005-0000-0000-0000E6000000}"/>
    <cellStyle name="Comma 9 19" xfId="232" xr:uid="{00000000-0005-0000-0000-0000E7000000}"/>
    <cellStyle name="Comma 9 2" xfId="233" xr:uid="{00000000-0005-0000-0000-0000E8000000}"/>
    <cellStyle name="Comma 9 3" xfId="234" xr:uid="{00000000-0005-0000-0000-0000E9000000}"/>
    <cellStyle name="Comma 9 4" xfId="235" xr:uid="{00000000-0005-0000-0000-0000EA000000}"/>
    <cellStyle name="Comma 9 5" xfId="236" xr:uid="{00000000-0005-0000-0000-0000EB000000}"/>
    <cellStyle name="Comma 9 6" xfId="237" xr:uid="{00000000-0005-0000-0000-0000EC000000}"/>
    <cellStyle name="Comma 9 7" xfId="238" xr:uid="{00000000-0005-0000-0000-0000ED000000}"/>
    <cellStyle name="Comma 9 8" xfId="239" xr:uid="{00000000-0005-0000-0000-0000EE000000}"/>
    <cellStyle name="Comma 9 9" xfId="240" xr:uid="{00000000-0005-0000-0000-0000EF000000}"/>
    <cellStyle name="Input 2" xfId="241" xr:uid="{00000000-0005-0000-0000-0000F0000000}"/>
    <cellStyle name="Jun" xfId="242" xr:uid="{00000000-0005-0000-0000-0000F1000000}"/>
    <cellStyle name="Normal" xfId="0" builtinId="0"/>
    <cellStyle name="Normal 10" xfId="243" xr:uid="{00000000-0005-0000-0000-0000F3000000}"/>
    <cellStyle name="Normal 10 2" xfId="244" xr:uid="{00000000-0005-0000-0000-0000F4000000}"/>
    <cellStyle name="Normal 10 3" xfId="245" xr:uid="{00000000-0005-0000-0000-0000F5000000}"/>
    <cellStyle name="Normal 10 4" xfId="246" xr:uid="{00000000-0005-0000-0000-0000F6000000}"/>
    <cellStyle name="Normal 10 5" xfId="247" xr:uid="{00000000-0005-0000-0000-0000F7000000}"/>
    <cellStyle name="Normal 11" xfId="248" xr:uid="{00000000-0005-0000-0000-0000F8000000}"/>
    <cellStyle name="Normal 12" xfId="249" xr:uid="{00000000-0005-0000-0000-0000F9000000}"/>
    <cellStyle name="Normal 12 2" xfId="250" xr:uid="{00000000-0005-0000-0000-0000FA000000}"/>
    <cellStyle name="Normal 12 3" xfId="251" xr:uid="{00000000-0005-0000-0000-0000FB000000}"/>
    <cellStyle name="Normal 12 4" xfId="252" xr:uid="{00000000-0005-0000-0000-0000FC000000}"/>
    <cellStyle name="Normal 12 5" xfId="253" xr:uid="{00000000-0005-0000-0000-0000FD000000}"/>
    <cellStyle name="Normal 13" xfId="254" xr:uid="{00000000-0005-0000-0000-0000FE000000}"/>
    <cellStyle name="Normal 13 2" xfId="255" xr:uid="{00000000-0005-0000-0000-0000FF000000}"/>
    <cellStyle name="Normal 13 3" xfId="256" xr:uid="{00000000-0005-0000-0000-000000010000}"/>
    <cellStyle name="Normal 13 4" xfId="257" xr:uid="{00000000-0005-0000-0000-000001010000}"/>
    <cellStyle name="Normal 13 5" xfId="258" xr:uid="{00000000-0005-0000-0000-000002010000}"/>
    <cellStyle name="Normal 14" xfId="259" xr:uid="{00000000-0005-0000-0000-000003010000}"/>
    <cellStyle name="Normal 14 10" xfId="260" xr:uid="{00000000-0005-0000-0000-000004010000}"/>
    <cellStyle name="Normal 14 11" xfId="261" xr:uid="{00000000-0005-0000-0000-000005010000}"/>
    <cellStyle name="Normal 14 12" xfId="262" xr:uid="{00000000-0005-0000-0000-000006010000}"/>
    <cellStyle name="Normal 14 2" xfId="263" xr:uid="{00000000-0005-0000-0000-000007010000}"/>
    <cellStyle name="Normal 14 3" xfId="264" xr:uid="{00000000-0005-0000-0000-000008010000}"/>
    <cellStyle name="Normal 14 4" xfId="265" xr:uid="{00000000-0005-0000-0000-000009010000}"/>
    <cellStyle name="Normal 14 5" xfId="266" xr:uid="{00000000-0005-0000-0000-00000A010000}"/>
    <cellStyle name="Normal 14 6" xfId="267" xr:uid="{00000000-0005-0000-0000-00000B010000}"/>
    <cellStyle name="Normal 14 7" xfId="268" xr:uid="{00000000-0005-0000-0000-00000C010000}"/>
    <cellStyle name="Normal 14 8" xfId="269" xr:uid="{00000000-0005-0000-0000-00000D010000}"/>
    <cellStyle name="Normal 14 9" xfId="270" xr:uid="{00000000-0005-0000-0000-00000E010000}"/>
    <cellStyle name="Normal 15" xfId="271" xr:uid="{00000000-0005-0000-0000-00000F010000}"/>
    <cellStyle name="Normal 16" xfId="272" xr:uid="{00000000-0005-0000-0000-000010010000}"/>
    <cellStyle name="Normal 17" xfId="273" xr:uid="{00000000-0005-0000-0000-000011010000}"/>
    <cellStyle name="Normal 17 2" xfId="274" xr:uid="{00000000-0005-0000-0000-000012010000}"/>
    <cellStyle name="Normal 17 3" xfId="275" xr:uid="{00000000-0005-0000-0000-000013010000}"/>
    <cellStyle name="Normal 17 4" xfId="276" xr:uid="{00000000-0005-0000-0000-000014010000}"/>
    <cellStyle name="Normal 17 5" xfId="277" xr:uid="{00000000-0005-0000-0000-000015010000}"/>
    <cellStyle name="Normal 18" xfId="278" xr:uid="{00000000-0005-0000-0000-000016010000}"/>
    <cellStyle name="Normal 19" xfId="279" xr:uid="{00000000-0005-0000-0000-000017010000}"/>
    <cellStyle name="Normal 2" xfId="280" xr:uid="{00000000-0005-0000-0000-000018010000}"/>
    <cellStyle name="Normal 2 10" xfId="281" xr:uid="{00000000-0005-0000-0000-000019010000}"/>
    <cellStyle name="Normal 2 11" xfId="282" xr:uid="{00000000-0005-0000-0000-00001A010000}"/>
    <cellStyle name="Normal 2 12" xfId="283" xr:uid="{00000000-0005-0000-0000-00001B010000}"/>
    <cellStyle name="Normal 2 13" xfId="284" xr:uid="{00000000-0005-0000-0000-00001C010000}"/>
    <cellStyle name="Normal 2 14" xfId="285" xr:uid="{00000000-0005-0000-0000-00001D010000}"/>
    <cellStyle name="Normal 2 15" xfId="286" xr:uid="{00000000-0005-0000-0000-00001E010000}"/>
    <cellStyle name="Normal 2 16" xfId="287" xr:uid="{00000000-0005-0000-0000-00001F010000}"/>
    <cellStyle name="Normal 2 17" xfId="288" xr:uid="{00000000-0005-0000-0000-000020010000}"/>
    <cellStyle name="Normal 2 18" xfId="289" xr:uid="{00000000-0005-0000-0000-000021010000}"/>
    <cellStyle name="Normal 2 19" xfId="290" xr:uid="{00000000-0005-0000-0000-000022010000}"/>
    <cellStyle name="Normal 2 2" xfId="291" xr:uid="{00000000-0005-0000-0000-000023010000}"/>
    <cellStyle name="Normal 2 20" xfId="292" xr:uid="{00000000-0005-0000-0000-000024010000}"/>
    <cellStyle name="Normal 2 3" xfId="293" xr:uid="{00000000-0005-0000-0000-000025010000}"/>
    <cellStyle name="Normal 2 4" xfId="294" xr:uid="{00000000-0005-0000-0000-000026010000}"/>
    <cellStyle name="Normal 2 5" xfId="295" xr:uid="{00000000-0005-0000-0000-000027010000}"/>
    <cellStyle name="Normal 2 6" xfId="296" xr:uid="{00000000-0005-0000-0000-000028010000}"/>
    <cellStyle name="Normal 2 7" xfId="297" xr:uid="{00000000-0005-0000-0000-000029010000}"/>
    <cellStyle name="Normal 2 8" xfId="298" xr:uid="{00000000-0005-0000-0000-00002A010000}"/>
    <cellStyle name="Normal 2 9" xfId="299" xr:uid="{00000000-0005-0000-0000-00002B010000}"/>
    <cellStyle name="Normal 2_deposits mobilized" xfId="300" xr:uid="{00000000-0005-0000-0000-00002C010000}"/>
    <cellStyle name="Normal 20" xfId="301" xr:uid="{00000000-0005-0000-0000-00002D010000}"/>
    <cellStyle name="Normal 21" xfId="302" xr:uid="{00000000-0005-0000-0000-00002E010000}"/>
    <cellStyle name="Normal 21 10" xfId="303" xr:uid="{00000000-0005-0000-0000-00002F010000}"/>
    <cellStyle name="Normal 21 11" xfId="304" xr:uid="{00000000-0005-0000-0000-000030010000}"/>
    <cellStyle name="Normal 21 12" xfId="305" xr:uid="{00000000-0005-0000-0000-000031010000}"/>
    <cellStyle name="Normal 21 13" xfId="306" xr:uid="{00000000-0005-0000-0000-000032010000}"/>
    <cellStyle name="Normal 21 14" xfId="307" xr:uid="{00000000-0005-0000-0000-000033010000}"/>
    <cellStyle name="Normal 21 15" xfId="308" xr:uid="{00000000-0005-0000-0000-000034010000}"/>
    <cellStyle name="Normal 21 16" xfId="309" xr:uid="{00000000-0005-0000-0000-000035010000}"/>
    <cellStyle name="Normal 21 2" xfId="310" xr:uid="{00000000-0005-0000-0000-000036010000}"/>
    <cellStyle name="Normal 21 3" xfId="311" xr:uid="{00000000-0005-0000-0000-000037010000}"/>
    <cellStyle name="Normal 21 4" xfId="312" xr:uid="{00000000-0005-0000-0000-000038010000}"/>
    <cellStyle name="Normal 21 5" xfId="313" xr:uid="{00000000-0005-0000-0000-000039010000}"/>
    <cellStyle name="Normal 21 6" xfId="314" xr:uid="{00000000-0005-0000-0000-00003A010000}"/>
    <cellStyle name="Normal 21 7" xfId="315" xr:uid="{00000000-0005-0000-0000-00003B010000}"/>
    <cellStyle name="Normal 21 8" xfId="316" xr:uid="{00000000-0005-0000-0000-00003C010000}"/>
    <cellStyle name="Normal 21 9" xfId="317" xr:uid="{00000000-0005-0000-0000-00003D010000}"/>
    <cellStyle name="Normal 22" xfId="318" xr:uid="{00000000-0005-0000-0000-00003E010000}"/>
    <cellStyle name="Normal 23" xfId="319" xr:uid="{00000000-0005-0000-0000-00003F010000}"/>
    <cellStyle name="Normal 24" xfId="320" xr:uid="{00000000-0005-0000-0000-000040010000}"/>
    <cellStyle name="Normal 25" xfId="321" xr:uid="{00000000-0005-0000-0000-000041010000}"/>
    <cellStyle name="Normal 26" xfId="322" xr:uid="{00000000-0005-0000-0000-000042010000}"/>
    <cellStyle name="Normal 27" xfId="323" xr:uid="{00000000-0005-0000-0000-000043010000}"/>
    <cellStyle name="Normal 28" xfId="324" xr:uid="{00000000-0005-0000-0000-000044010000}"/>
    <cellStyle name="Normal 29" xfId="325" xr:uid="{00000000-0005-0000-0000-000045010000}"/>
    <cellStyle name="Normal 3" xfId="326" xr:uid="{00000000-0005-0000-0000-000046010000}"/>
    <cellStyle name="Normal 3 10" xfId="327" xr:uid="{00000000-0005-0000-0000-000047010000}"/>
    <cellStyle name="Normal 3 11" xfId="328" xr:uid="{00000000-0005-0000-0000-000048010000}"/>
    <cellStyle name="Normal 3 12" xfId="329" xr:uid="{00000000-0005-0000-0000-000049010000}"/>
    <cellStyle name="Normal 3 13" xfId="330" xr:uid="{00000000-0005-0000-0000-00004A010000}"/>
    <cellStyle name="Normal 3 14" xfId="331" xr:uid="{00000000-0005-0000-0000-00004B010000}"/>
    <cellStyle name="Normal 3 15" xfId="332" xr:uid="{00000000-0005-0000-0000-00004C010000}"/>
    <cellStyle name="Normal 3 16" xfId="333" xr:uid="{00000000-0005-0000-0000-00004D010000}"/>
    <cellStyle name="Normal 3 17" xfId="334" xr:uid="{00000000-0005-0000-0000-00004E010000}"/>
    <cellStyle name="Normal 3 18" xfId="335" xr:uid="{00000000-0005-0000-0000-00004F010000}"/>
    <cellStyle name="Normal 3 19" xfId="336" xr:uid="{00000000-0005-0000-0000-000050010000}"/>
    <cellStyle name="Normal 3 2" xfId="337" xr:uid="{00000000-0005-0000-0000-000051010000}"/>
    <cellStyle name="Normal 3 20" xfId="338" xr:uid="{00000000-0005-0000-0000-000052010000}"/>
    <cellStyle name="Normal 3 21" xfId="339" xr:uid="{00000000-0005-0000-0000-000053010000}"/>
    <cellStyle name="Normal 3 22" xfId="340" xr:uid="{00000000-0005-0000-0000-000054010000}"/>
    <cellStyle name="Normal 3 23" xfId="341" xr:uid="{00000000-0005-0000-0000-000055010000}"/>
    <cellStyle name="Normal 3 24" xfId="342" xr:uid="{00000000-0005-0000-0000-000056010000}"/>
    <cellStyle name="Normal 3 25" xfId="343" xr:uid="{00000000-0005-0000-0000-000057010000}"/>
    <cellStyle name="Normal 3 26" xfId="344" xr:uid="{00000000-0005-0000-0000-000058010000}"/>
    <cellStyle name="Normal 3 27" xfId="345" xr:uid="{00000000-0005-0000-0000-000059010000}"/>
    <cellStyle name="Normal 3 28" xfId="346" xr:uid="{00000000-0005-0000-0000-00005A010000}"/>
    <cellStyle name="Normal 3 29" xfId="347" xr:uid="{00000000-0005-0000-0000-00005B010000}"/>
    <cellStyle name="Normal 3 3" xfId="348" xr:uid="{00000000-0005-0000-0000-00005C010000}"/>
    <cellStyle name="Normal 3 30" xfId="349" xr:uid="{00000000-0005-0000-0000-00005D010000}"/>
    <cellStyle name="Normal 3 4" xfId="350" xr:uid="{00000000-0005-0000-0000-00005E010000}"/>
    <cellStyle name="Normal 3 5" xfId="351" xr:uid="{00000000-0005-0000-0000-00005F010000}"/>
    <cellStyle name="Normal 3 6" xfId="352" xr:uid="{00000000-0005-0000-0000-000060010000}"/>
    <cellStyle name="Normal 3 7" xfId="353" xr:uid="{00000000-0005-0000-0000-000061010000}"/>
    <cellStyle name="Normal 3 8" xfId="354" xr:uid="{00000000-0005-0000-0000-000062010000}"/>
    <cellStyle name="Normal 3 9" xfId="355" xr:uid="{00000000-0005-0000-0000-000063010000}"/>
    <cellStyle name="Normal 3_deposits mobilized" xfId="356" xr:uid="{00000000-0005-0000-0000-000064010000}"/>
    <cellStyle name="Normal 30" xfId="357" xr:uid="{00000000-0005-0000-0000-000065010000}"/>
    <cellStyle name="Normal 31" xfId="358" xr:uid="{00000000-0005-0000-0000-000066010000}"/>
    <cellStyle name="Normal 32" xfId="359" xr:uid="{00000000-0005-0000-0000-000067010000}"/>
    <cellStyle name="Normal 33" xfId="360" xr:uid="{00000000-0005-0000-0000-000068010000}"/>
    <cellStyle name="Normal 34" xfId="361" xr:uid="{00000000-0005-0000-0000-000069010000}"/>
    <cellStyle name="Normal 35" xfId="362" xr:uid="{00000000-0005-0000-0000-00006A010000}"/>
    <cellStyle name="Normal 36" xfId="363" xr:uid="{00000000-0005-0000-0000-00006B010000}"/>
    <cellStyle name="Normal 37" xfId="364" xr:uid="{00000000-0005-0000-0000-00006C010000}"/>
    <cellStyle name="Normal 38" xfId="365" xr:uid="{00000000-0005-0000-0000-00006D010000}"/>
    <cellStyle name="Normal 39" xfId="366" xr:uid="{00000000-0005-0000-0000-00006E010000}"/>
    <cellStyle name="Normal 4" xfId="367" xr:uid="{00000000-0005-0000-0000-00006F010000}"/>
    <cellStyle name="Normal 4 10" xfId="368" xr:uid="{00000000-0005-0000-0000-000070010000}"/>
    <cellStyle name="Normal 4 11" xfId="369" xr:uid="{00000000-0005-0000-0000-000071010000}"/>
    <cellStyle name="Normal 4 12" xfId="370" xr:uid="{00000000-0005-0000-0000-000072010000}"/>
    <cellStyle name="Normal 4 13" xfId="371" xr:uid="{00000000-0005-0000-0000-000073010000}"/>
    <cellStyle name="Normal 4 14" xfId="372" xr:uid="{00000000-0005-0000-0000-000074010000}"/>
    <cellStyle name="Normal 4 15" xfId="373" xr:uid="{00000000-0005-0000-0000-000075010000}"/>
    <cellStyle name="Normal 4 16" xfId="374" xr:uid="{00000000-0005-0000-0000-000076010000}"/>
    <cellStyle name="Normal 4 17" xfId="375" xr:uid="{00000000-0005-0000-0000-000077010000}"/>
    <cellStyle name="Normal 4 18" xfId="376" xr:uid="{00000000-0005-0000-0000-000078010000}"/>
    <cellStyle name="Normal 4 19" xfId="377" xr:uid="{00000000-0005-0000-0000-000079010000}"/>
    <cellStyle name="Normal 4 2" xfId="378" xr:uid="{00000000-0005-0000-0000-00007A010000}"/>
    <cellStyle name="Normal 4 20" xfId="379" xr:uid="{00000000-0005-0000-0000-00007B010000}"/>
    <cellStyle name="Normal 4 21" xfId="380" xr:uid="{00000000-0005-0000-0000-00007C010000}"/>
    <cellStyle name="Normal 4 22" xfId="381" xr:uid="{00000000-0005-0000-0000-00007D010000}"/>
    <cellStyle name="Normal 4 23" xfId="382" xr:uid="{00000000-0005-0000-0000-00007E010000}"/>
    <cellStyle name="Normal 4 24" xfId="383" xr:uid="{00000000-0005-0000-0000-00007F010000}"/>
    <cellStyle name="Normal 4 25" xfId="384" xr:uid="{00000000-0005-0000-0000-000080010000}"/>
    <cellStyle name="Normal 4 26" xfId="385" xr:uid="{00000000-0005-0000-0000-000081010000}"/>
    <cellStyle name="Normal 4 27" xfId="386" xr:uid="{00000000-0005-0000-0000-000082010000}"/>
    <cellStyle name="Normal 4 28" xfId="387" xr:uid="{00000000-0005-0000-0000-000083010000}"/>
    <cellStyle name="Normal 4 29" xfId="388" xr:uid="{00000000-0005-0000-0000-000084010000}"/>
    <cellStyle name="Normal 4 3" xfId="389" xr:uid="{00000000-0005-0000-0000-000085010000}"/>
    <cellStyle name="Normal 4 30" xfId="390" xr:uid="{00000000-0005-0000-0000-000086010000}"/>
    <cellStyle name="Normal 4 4" xfId="391" xr:uid="{00000000-0005-0000-0000-000087010000}"/>
    <cellStyle name="Normal 4 5" xfId="392" xr:uid="{00000000-0005-0000-0000-000088010000}"/>
    <cellStyle name="Normal 4 6" xfId="393" xr:uid="{00000000-0005-0000-0000-000089010000}"/>
    <cellStyle name="Normal 4 7" xfId="394" xr:uid="{00000000-0005-0000-0000-00008A010000}"/>
    <cellStyle name="Normal 4 8" xfId="395" xr:uid="{00000000-0005-0000-0000-00008B010000}"/>
    <cellStyle name="Normal 4 9" xfId="396" xr:uid="{00000000-0005-0000-0000-00008C010000}"/>
    <cellStyle name="Normal 40" xfId="397" xr:uid="{00000000-0005-0000-0000-00008D010000}"/>
    <cellStyle name="Normal 41" xfId="398" xr:uid="{00000000-0005-0000-0000-00008E010000}"/>
    <cellStyle name="Normal 42" xfId="399" xr:uid="{00000000-0005-0000-0000-00008F010000}"/>
    <cellStyle name="Normal 43" xfId="400" xr:uid="{00000000-0005-0000-0000-000090010000}"/>
    <cellStyle name="Normal 44" xfId="401" xr:uid="{00000000-0005-0000-0000-000091010000}"/>
    <cellStyle name="Normal 45" xfId="402" xr:uid="{00000000-0005-0000-0000-000092010000}"/>
    <cellStyle name="Normal 46" xfId="403" xr:uid="{00000000-0005-0000-0000-000093010000}"/>
    <cellStyle name="Normal 47" xfId="404" xr:uid="{00000000-0005-0000-0000-000094010000}"/>
    <cellStyle name="Normal 48" xfId="405" xr:uid="{00000000-0005-0000-0000-000095010000}"/>
    <cellStyle name="Normal 5" xfId="406" xr:uid="{00000000-0005-0000-0000-000096010000}"/>
    <cellStyle name="Normal 5 10" xfId="407" xr:uid="{00000000-0005-0000-0000-000097010000}"/>
    <cellStyle name="Normal 5 11" xfId="408" xr:uid="{00000000-0005-0000-0000-000098010000}"/>
    <cellStyle name="Normal 5 12" xfId="409" xr:uid="{00000000-0005-0000-0000-000099010000}"/>
    <cellStyle name="Normal 5 13" xfId="410" xr:uid="{00000000-0005-0000-0000-00009A010000}"/>
    <cellStyle name="Normal 5 14" xfId="411" xr:uid="{00000000-0005-0000-0000-00009B010000}"/>
    <cellStyle name="Normal 5 15" xfId="412" xr:uid="{00000000-0005-0000-0000-00009C010000}"/>
    <cellStyle name="Normal 5 2" xfId="413" xr:uid="{00000000-0005-0000-0000-00009D010000}"/>
    <cellStyle name="Normal 5 3" xfId="414" xr:uid="{00000000-0005-0000-0000-00009E010000}"/>
    <cellStyle name="Normal 5 4" xfId="415" xr:uid="{00000000-0005-0000-0000-00009F010000}"/>
    <cellStyle name="Normal 5 5" xfId="416" xr:uid="{00000000-0005-0000-0000-0000A0010000}"/>
    <cellStyle name="Normal 5 6" xfId="417" xr:uid="{00000000-0005-0000-0000-0000A1010000}"/>
    <cellStyle name="Normal 5 7" xfId="418" xr:uid="{00000000-0005-0000-0000-0000A2010000}"/>
    <cellStyle name="Normal 5 8" xfId="419" xr:uid="{00000000-0005-0000-0000-0000A3010000}"/>
    <cellStyle name="Normal 5 9" xfId="420" xr:uid="{00000000-0005-0000-0000-0000A4010000}"/>
    <cellStyle name="Normal 6" xfId="421" xr:uid="{00000000-0005-0000-0000-0000A5010000}"/>
    <cellStyle name="Normal 6 2" xfId="422" xr:uid="{00000000-0005-0000-0000-0000A6010000}"/>
    <cellStyle name="Normal 6 3" xfId="423" xr:uid="{00000000-0005-0000-0000-0000A7010000}"/>
    <cellStyle name="Normal 6 4" xfId="424" xr:uid="{00000000-0005-0000-0000-0000A8010000}"/>
    <cellStyle name="Normal 7" xfId="425" xr:uid="{00000000-0005-0000-0000-0000A9010000}"/>
    <cellStyle name="Normal 7 2" xfId="426" xr:uid="{00000000-0005-0000-0000-0000AA010000}"/>
    <cellStyle name="Normal 7 3" xfId="427" xr:uid="{00000000-0005-0000-0000-0000AB010000}"/>
    <cellStyle name="Normal 7 4" xfId="428" xr:uid="{00000000-0005-0000-0000-0000AC010000}"/>
    <cellStyle name="Normal 8" xfId="429" xr:uid="{00000000-0005-0000-0000-0000AD010000}"/>
    <cellStyle name="Normal 9" xfId="430" xr:uid="{00000000-0005-0000-0000-0000AE010000}"/>
    <cellStyle name="Normal 9 10" xfId="431" xr:uid="{00000000-0005-0000-0000-0000AF010000}"/>
    <cellStyle name="Normal 9 11" xfId="432" xr:uid="{00000000-0005-0000-0000-0000B0010000}"/>
    <cellStyle name="Normal 9 12" xfId="433" xr:uid="{00000000-0005-0000-0000-0000B1010000}"/>
    <cellStyle name="Normal 9 13" xfId="434" xr:uid="{00000000-0005-0000-0000-0000B2010000}"/>
    <cellStyle name="Normal 9 14" xfId="435" xr:uid="{00000000-0005-0000-0000-0000B3010000}"/>
    <cellStyle name="Normal 9 2" xfId="436" xr:uid="{00000000-0005-0000-0000-0000B4010000}"/>
    <cellStyle name="Normal 9 2 2" xfId="437" xr:uid="{00000000-0005-0000-0000-0000B5010000}"/>
    <cellStyle name="Normal 9 2 3" xfId="438" xr:uid="{00000000-0005-0000-0000-0000B6010000}"/>
    <cellStyle name="Normal 9 2 4" xfId="439" xr:uid="{00000000-0005-0000-0000-0000B7010000}"/>
    <cellStyle name="Normal 9 3" xfId="440" xr:uid="{00000000-0005-0000-0000-0000B8010000}"/>
    <cellStyle name="Normal 9 4" xfId="441" xr:uid="{00000000-0005-0000-0000-0000B9010000}"/>
    <cellStyle name="Normal 9 5" xfId="442" xr:uid="{00000000-0005-0000-0000-0000BA010000}"/>
    <cellStyle name="Normal 9 6" xfId="443" xr:uid="{00000000-0005-0000-0000-0000BB010000}"/>
    <cellStyle name="Normal 9 7" xfId="444" xr:uid="{00000000-0005-0000-0000-0000BC010000}"/>
    <cellStyle name="Normal 9 8" xfId="445" xr:uid="{00000000-0005-0000-0000-0000BD010000}"/>
    <cellStyle name="Normal 9 9" xfId="446" xr:uid="{00000000-0005-0000-0000-0000BE010000}"/>
    <cellStyle name="Note 2" xfId="447" xr:uid="{00000000-0005-0000-0000-0000BF010000}"/>
    <cellStyle name="Percent" xfId="448" builtinId="5"/>
    <cellStyle name="Percent 2" xfId="449" xr:uid="{00000000-0005-0000-0000-0000C1010000}"/>
    <cellStyle name="Percent 3" xfId="450" xr:uid="{00000000-0005-0000-0000-0000C2010000}"/>
    <cellStyle name="Percent 4" xfId="451" xr:uid="{00000000-0005-0000-0000-0000C3010000}"/>
    <cellStyle name="Percent 5" xfId="452" xr:uid="{00000000-0005-0000-0000-0000C4010000}"/>
    <cellStyle name="Total 2" xfId="453" xr:uid="{00000000-0005-0000-0000-0000C5010000}"/>
    <cellStyle name="Total 2 2" xfId="454" xr:uid="{00000000-0005-0000-0000-0000C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5" zoomScaleNormal="75" workbookViewId="0">
      <selection activeCell="G10" sqref="G10"/>
    </sheetView>
  </sheetViews>
  <sheetFormatPr defaultColWidth="9.140625" defaultRowHeight="15"/>
  <cols>
    <col min="1" max="16384" width="9.140625" style="38"/>
  </cols>
  <sheetData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5"/>
  <sheetViews>
    <sheetView zoomScale="80" zoomScaleNormal="80" zoomScaleSheetLayoutView="96" workbookViewId="0">
      <pane xSplit="2" ySplit="8" topLeftCell="AI9" activePane="bottomRight" state="frozen"/>
      <selection pane="bottomRight" activeCell="AL10" sqref="AL10:AM11"/>
      <selection pane="bottomLeft" activeCell="A9" sqref="A9"/>
      <selection pane="topRight" activeCell="E1" sqref="E1"/>
    </sheetView>
  </sheetViews>
  <sheetFormatPr defaultRowHeight="14.45"/>
  <cols>
    <col min="2" max="2" width="46.140625" customWidth="1"/>
    <col min="3" max="3" width="18.85546875" style="143" bestFit="1" customWidth="1"/>
    <col min="4" max="4" width="21.85546875" bestFit="1" customWidth="1"/>
    <col min="5" max="5" width="20.28515625" bestFit="1" customWidth="1"/>
    <col min="6" max="6" width="21.85546875" bestFit="1" customWidth="1"/>
    <col min="7" max="9" width="19.42578125" bestFit="1" customWidth="1"/>
    <col min="10" max="10" width="21.7109375" customWidth="1"/>
    <col min="11" max="11" width="19.42578125" customWidth="1"/>
    <col min="12" max="12" width="19.140625" customWidth="1"/>
    <col min="13" max="16" width="17.42578125" customWidth="1"/>
    <col min="17" max="29" width="17.85546875" bestFit="1" customWidth="1"/>
    <col min="30" max="30" width="18.5703125" bestFit="1" customWidth="1"/>
    <col min="31" max="31" width="17.140625" bestFit="1" customWidth="1"/>
    <col min="32" max="32" width="17.7109375" bestFit="1" customWidth="1"/>
    <col min="33" max="33" width="18.5703125" bestFit="1" customWidth="1"/>
    <col min="34" max="34" width="18.28515625" customWidth="1"/>
    <col min="35" max="36" width="18.5703125" bestFit="1" customWidth="1"/>
    <col min="37" max="39" width="17.5703125" customWidth="1"/>
  </cols>
  <sheetData>
    <row r="1" spans="1:39" ht="15.6">
      <c r="A1" s="257" t="s">
        <v>0</v>
      </c>
      <c r="B1" s="257"/>
    </row>
    <row r="2" spans="1:39" ht="15.6">
      <c r="A2" s="230" t="s">
        <v>1</v>
      </c>
      <c r="B2" s="231"/>
    </row>
    <row r="3" spans="1:39" ht="15.6">
      <c r="A3" s="232" t="s">
        <v>2</v>
      </c>
      <c r="B3" s="233"/>
    </row>
    <row r="4" spans="1:39" ht="15.6">
      <c r="A4" s="232" t="s">
        <v>3</v>
      </c>
      <c r="B4" s="233"/>
    </row>
    <row r="5" spans="1:39" ht="15.6">
      <c r="A5" s="232" t="s">
        <v>4</v>
      </c>
      <c r="B5" s="233"/>
    </row>
    <row r="6" spans="1:39" ht="15.6">
      <c r="A6" s="232" t="s">
        <v>5</v>
      </c>
      <c r="B6" s="233"/>
    </row>
    <row r="7" spans="1:39" ht="15.6">
      <c r="A7" s="234"/>
      <c r="B7" s="234"/>
    </row>
    <row r="8" spans="1:39" ht="15.75">
      <c r="A8" s="132" t="s">
        <v>6</v>
      </c>
      <c r="B8" s="229"/>
      <c r="C8" s="149" t="s">
        <v>7</v>
      </c>
      <c r="D8" s="150" t="s">
        <v>8</v>
      </c>
      <c r="E8" s="151">
        <v>44197</v>
      </c>
      <c r="F8" s="151">
        <v>44228</v>
      </c>
      <c r="G8" s="151">
        <v>44256</v>
      </c>
      <c r="H8" s="151">
        <v>44287</v>
      </c>
      <c r="I8" s="151">
        <v>44317</v>
      </c>
      <c r="J8" s="151">
        <v>44348</v>
      </c>
      <c r="K8" s="151">
        <v>44378</v>
      </c>
      <c r="L8" s="151">
        <v>44409</v>
      </c>
      <c r="M8" s="151">
        <v>44440</v>
      </c>
      <c r="N8" s="151">
        <v>44470</v>
      </c>
      <c r="O8" s="151">
        <v>44501</v>
      </c>
      <c r="P8" s="151">
        <v>44531</v>
      </c>
      <c r="Q8" s="151" t="s">
        <v>9</v>
      </c>
      <c r="R8" s="151">
        <v>44562</v>
      </c>
      <c r="S8" s="151">
        <v>44593</v>
      </c>
      <c r="T8" s="151">
        <v>44621</v>
      </c>
      <c r="U8" s="151">
        <v>44652</v>
      </c>
      <c r="V8" s="151">
        <v>44682</v>
      </c>
      <c r="W8" s="151">
        <v>44713</v>
      </c>
      <c r="X8" s="151">
        <v>44743</v>
      </c>
      <c r="Y8" s="151">
        <v>44774</v>
      </c>
      <c r="Z8" s="151">
        <v>44805</v>
      </c>
      <c r="AA8" s="151">
        <v>44835</v>
      </c>
      <c r="AB8" s="151">
        <v>44866</v>
      </c>
      <c r="AC8" s="151">
        <v>44896</v>
      </c>
      <c r="AD8" s="201" t="s">
        <v>10</v>
      </c>
      <c r="AE8" s="200">
        <v>44927</v>
      </c>
      <c r="AF8" s="200">
        <v>44958</v>
      </c>
      <c r="AG8" s="200">
        <v>44986</v>
      </c>
      <c r="AH8" s="200">
        <v>45017</v>
      </c>
      <c r="AI8" s="200">
        <v>45047</v>
      </c>
      <c r="AJ8" s="200">
        <v>45078</v>
      </c>
      <c r="AK8" s="200">
        <v>45108</v>
      </c>
      <c r="AL8" s="200">
        <v>45139</v>
      </c>
      <c r="AM8" s="200">
        <v>45170</v>
      </c>
    </row>
    <row r="9" spans="1:39" ht="15.6">
      <c r="A9" s="132"/>
      <c r="B9" s="229"/>
      <c r="C9" s="152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</row>
    <row r="10" spans="1:39" ht="15.75">
      <c r="A10" s="133">
        <v>1</v>
      </c>
      <c r="B10" s="134" t="s">
        <v>11</v>
      </c>
      <c r="C10" s="153">
        <f t="shared" ref="C10:I10" si="0">C11+C15</f>
        <v>583839786</v>
      </c>
      <c r="D10" s="125">
        <f t="shared" si="0"/>
        <v>573346290</v>
      </c>
      <c r="E10" s="125">
        <f t="shared" si="0"/>
        <v>56301430.120000005</v>
      </c>
      <c r="F10" s="125">
        <f t="shared" si="0"/>
        <v>105711998.69000001</v>
      </c>
      <c r="G10" s="125">
        <f t="shared" si="0"/>
        <v>163348547.75</v>
      </c>
      <c r="H10" s="125">
        <f t="shared" si="0"/>
        <v>218740604.88</v>
      </c>
      <c r="I10" s="125">
        <f t="shared" si="0"/>
        <v>271776926.29000002</v>
      </c>
      <c r="J10" s="125">
        <f t="shared" ref="J10:Q10" si="1">J11+J15</f>
        <v>328703632.68999994</v>
      </c>
      <c r="K10" s="125">
        <f t="shared" si="1"/>
        <v>385388792.13</v>
      </c>
      <c r="L10" s="125">
        <f t="shared" si="1"/>
        <v>439124668.56</v>
      </c>
      <c r="M10" s="125">
        <f t="shared" si="1"/>
        <v>495516674.15000004</v>
      </c>
      <c r="N10" s="125">
        <f t="shared" si="1"/>
        <v>549042809.23000002</v>
      </c>
      <c r="O10" s="125">
        <f t="shared" si="1"/>
        <v>604101469.11000001</v>
      </c>
      <c r="P10" s="125">
        <f t="shared" si="1"/>
        <v>657044429.69000006</v>
      </c>
      <c r="Q10" s="125">
        <f t="shared" si="1"/>
        <v>666043508</v>
      </c>
      <c r="R10" s="125">
        <f t="shared" ref="R10:Y10" si="2">R11+R15</f>
        <v>56504650.280000001</v>
      </c>
      <c r="S10" s="125">
        <f t="shared" si="2"/>
        <v>106875223.33999999</v>
      </c>
      <c r="T10" s="125">
        <f t="shared" si="2"/>
        <v>163878310.72999999</v>
      </c>
      <c r="U10" s="125">
        <f t="shared" si="2"/>
        <v>218978656.63999999</v>
      </c>
      <c r="V10" s="125">
        <f t="shared" si="2"/>
        <v>268178541.75</v>
      </c>
      <c r="W10" s="125">
        <f t="shared" si="2"/>
        <v>320356207.84999996</v>
      </c>
      <c r="X10" s="125">
        <f t="shared" si="2"/>
        <v>371311528.75999999</v>
      </c>
      <c r="Y10" s="125">
        <f t="shared" si="2"/>
        <v>422578219.39999998</v>
      </c>
      <c r="Z10" s="125">
        <f t="shared" ref="Z10:AJ10" si="3">Z11+Z15</f>
        <v>476253446.59000003</v>
      </c>
      <c r="AA10" s="125">
        <f t="shared" si="3"/>
        <v>532562793.08999997</v>
      </c>
      <c r="AB10" s="125">
        <f t="shared" si="3"/>
        <v>594327349.71000004</v>
      </c>
      <c r="AC10" s="125">
        <f t="shared" si="3"/>
        <v>682609217.13</v>
      </c>
      <c r="AD10" s="125">
        <f t="shared" si="3"/>
        <v>689904417</v>
      </c>
      <c r="AE10" s="125">
        <f t="shared" si="3"/>
        <v>63081112.280000001</v>
      </c>
      <c r="AF10" s="125">
        <f t="shared" si="3"/>
        <v>122444927.97</v>
      </c>
      <c r="AG10" s="125">
        <f t="shared" si="3"/>
        <v>179200666.12</v>
      </c>
      <c r="AH10" s="125">
        <f t="shared" si="3"/>
        <v>239423299.27000001</v>
      </c>
      <c r="AI10" s="125">
        <f t="shared" si="3"/>
        <v>301718891.22999996</v>
      </c>
      <c r="AJ10" s="125">
        <f t="shared" si="3"/>
        <v>371672460.62999994</v>
      </c>
      <c r="AK10" s="125">
        <f t="shared" ref="AK10:AL10" si="4">AK11+AK15</f>
        <v>433819334.67000002</v>
      </c>
      <c r="AL10" s="125">
        <f t="shared" si="4"/>
        <v>498240351.05999994</v>
      </c>
      <c r="AM10" s="125">
        <f t="shared" ref="AM10" si="5">AM11+AM15</f>
        <v>563088420.40999997</v>
      </c>
    </row>
    <row r="11" spans="1:39" ht="15.75">
      <c r="A11" s="133">
        <v>2</v>
      </c>
      <c r="B11" s="133" t="s">
        <v>12</v>
      </c>
      <c r="C11" s="153">
        <f t="shared" ref="C11:I11" si="6">SUM(C12:C13)</f>
        <v>546947861</v>
      </c>
      <c r="D11" s="125">
        <f t="shared" si="6"/>
        <v>542499199</v>
      </c>
      <c r="E11" s="125">
        <f t="shared" si="6"/>
        <v>52116907.280000001</v>
      </c>
      <c r="F11" s="125">
        <f t="shared" si="6"/>
        <v>97560836.900000006</v>
      </c>
      <c r="G11" s="125">
        <f t="shared" si="6"/>
        <v>146283462.5</v>
      </c>
      <c r="H11" s="125">
        <f t="shared" si="6"/>
        <v>193617545.24000001</v>
      </c>
      <c r="I11" s="125">
        <f t="shared" si="6"/>
        <v>242315671.94</v>
      </c>
      <c r="J11" s="125">
        <f t="shared" ref="J11:Q11" si="7">SUM(J12:J13)</f>
        <v>292969217.77999997</v>
      </c>
      <c r="K11" s="125">
        <f t="shared" si="7"/>
        <v>344825162.70999998</v>
      </c>
      <c r="L11" s="125">
        <f t="shared" si="7"/>
        <v>393478266.63</v>
      </c>
      <c r="M11" s="125">
        <f t="shared" si="7"/>
        <v>443727564.97000003</v>
      </c>
      <c r="N11" s="125">
        <f t="shared" si="7"/>
        <v>493891303.14999998</v>
      </c>
      <c r="O11" s="125">
        <f t="shared" si="7"/>
        <v>543858392.15999997</v>
      </c>
      <c r="P11" s="125">
        <f t="shared" si="7"/>
        <v>590125598.24000001</v>
      </c>
      <c r="Q11" s="125">
        <f t="shared" si="7"/>
        <v>589196048</v>
      </c>
      <c r="R11" s="125">
        <f t="shared" ref="R11:Y11" si="8">SUM(R12:R13)</f>
        <v>51853521.770000003</v>
      </c>
      <c r="S11" s="125">
        <f t="shared" si="8"/>
        <v>97964760.709999993</v>
      </c>
      <c r="T11" s="125">
        <f t="shared" si="8"/>
        <v>144738230.91</v>
      </c>
      <c r="U11" s="125">
        <f t="shared" si="8"/>
        <v>194938406.81999999</v>
      </c>
      <c r="V11" s="125">
        <f t="shared" si="8"/>
        <v>239605877.13</v>
      </c>
      <c r="W11" s="125">
        <f t="shared" si="8"/>
        <v>282385693.07999998</v>
      </c>
      <c r="X11" s="125">
        <f t="shared" si="8"/>
        <v>329342295.36000001</v>
      </c>
      <c r="Y11" s="125">
        <f t="shared" si="8"/>
        <v>374160842.56999999</v>
      </c>
      <c r="Z11" s="125">
        <f t="shared" ref="Z11:AJ11" si="9">SUM(Z12:Z13)</f>
        <v>421659531.94</v>
      </c>
      <c r="AA11" s="125">
        <f t="shared" si="9"/>
        <v>472734935.69</v>
      </c>
      <c r="AB11" s="125">
        <f t="shared" si="9"/>
        <v>528756991.63</v>
      </c>
      <c r="AC11" s="125">
        <f t="shared" si="9"/>
        <v>607030293.65999997</v>
      </c>
      <c r="AD11" s="125">
        <f t="shared" si="9"/>
        <v>608536453</v>
      </c>
      <c r="AE11" s="125">
        <f t="shared" si="9"/>
        <v>57508073.530000001</v>
      </c>
      <c r="AF11" s="125">
        <f t="shared" si="9"/>
        <v>109569360.54000001</v>
      </c>
      <c r="AG11" s="125">
        <f t="shared" si="9"/>
        <v>161817904.31999999</v>
      </c>
      <c r="AH11" s="125">
        <f t="shared" si="9"/>
        <v>217415676.89000002</v>
      </c>
      <c r="AI11" s="125">
        <f t="shared" si="9"/>
        <v>274549007.08999997</v>
      </c>
      <c r="AJ11" s="125">
        <f t="shared" si="9"/>
        <v>331596859.79999995</v>
      </c>
      <c r="AK11" s="125">
        <f t="shared" ref="AK11:AL11" si="10">SUM(AK12:AK13)</f>
        <v>389058129.38</v>
      </c>
      <c r="AL11" s="125">
        <f t="shared" si="10"/>
        <v>447977852.22999996</v>
      </c>
      <c r="AM11" s="125">
        <f t="shared" ref="AM11" si="11">SUM(AM12:AM13)</f>
        <v>506966665.10999995</v>
      </c>
    </row>
    <row r="12" spans="1:39" ht="15.75">
      <c r="A12" s="133">
        <v>2.1</v>
      </c>
      <c r="B12" s="133" t="s">
        <v>13</v>
      </c>
      <c r="C12" s="152">
        <v>546947861</v>
      </c>
      <c r="D12" s="126">
        <v>541188931</v>
      </c>
      <c r="E12" s="147">
        <v>51957907.280000001</v>
      </c>
      <c r="F12" s="147">
        <v>97235636.900000006</v>
      </c>
      <c r="G12" s="147">
        <v>145795942.5</v>
      </c>
      <c r="H12" s="154">
        <v>192964785.24000001</v>
      </c>
      <c r="I12" s="154">
        <v>241456391.94</v>
      </c>
      <c r="J12" s="154">
        <v>291893697.77999997</v>
      </c>
      <c r="K12" s="154">
        <v>343514322.70999998</v>
      </c>
      <c r="L12" s="154">
        <v>391980326.63</v>
      </c>
      <c r="M12" s="154">
        <v>442043504.97000003</v>
      </c>
      <c r="N12" s="154">
        <v>491835353.14999998</v>
      </c>
      <c r="O12" s="154">
        <v>541625092.15999997</v>
      </c>
      <c r="P12" s="154">
        <v>587756323.24000001</v>
      </c>
      <c r="Q12" s="154">
        <v>587756323</v>
      </c>
      <c r="R12" s="175">
        <v>51743881.770000003</v>
      </c>
      <c r="S12" s="177">
        <v>97736320.709999993</v>
      </c>
      <c r="T12" s="177">
        <v>144378560.91</v>
      </c>
      <c r="U12" s="177">
        <v>194346476.81999999</v>
      </c>
      <c r="V12" s="177">
        <v>238790737.13</v>
      </c>
      <c r="W12" s="177">
        <v>281370893.07999998</v>
      </c>
      <c r="X12" s="177">
        <v>328070955.36000001</v>
      </c>
      <c r="Y12" s="177">
        <v>372601452.56999999</v>
      </c>
      <c r="Z12" s="177">
        <v>419747361.94</v>
      </c>
      <c r="AA12" s="177">
        <v>470516715.69</v>
      </c>
      <c r="AB12" s="177">
        <v>526232566.63</v>
      </c>
      <c r="AC12" s="177">
        <v>604215368.65999997</v>
      </c>
      <c r="AD12" s="194">
        <v>604215368</v>
      </c>
      <c r="AE12" s="211">
        <v>57184861.530000001</v>
      </c>
      <c r="AF12" s="213">
        <v>109011527.54000001</v>
      </c>
      <c r="AG12" s="213">
        <v>161060499.31999999</v>
      </c>
      <c r="AH12" s="211">
        <v>216368906.99000001</v>
      </c>
      <c r="AI12" s="211">
        <v>272863211.19</v>
      </c>
      <c r="AJ12" s="211">
        <v>329525204.89999998</v>
      </c>
      <c r="AK12" s="211">
        <v>386367107.48000002</v>
      </c>
      <c r="AL12" s="213">
        <v>444704867.32999998</v>
      </c>
      <c r="AM12" s="254">
        <v>503307802.20999998</v>
      </c>
    </row>
    <row r="13" spans="1:39" ht="15.75">
      <c r="A13" s="133">
        <v>2.2000000000000002</v>
      </c>
      <c r="B13" s="133" t="s">
        <v>14</v>
      </c>
      <c r="C13" s="152"/>
      <c r="D13" s="127">
        <f>623888+686380</f>
        <v>1310268</v>
      </c>
      <c r="E13" s="147">
        <v>159000</v>
      </c>
      <c r="F13" s="147">
        <v>325200</v>
      </c>
      <c r="G13" s="147">
        <v>487520</v>
      </c>
      <c r="H13" s="154">
        <v>652760</v>
      </c>
      <c r="I13" s="154">
        <v>859280</v>
      </c>
      <c r="J13" s="154">
        <v>1075520</v>
      </c>
      <c r="K13" s="154">
        <v>1310840</v>
      </c>
      <c r="L13" s="154">
        <v>1497940</v>
      </c>
      <c r="M13" s="154">
        <v>1684060</v>
      </c>
      <c r="N13" s="154">
        <v>2055950</v>
      </c>
      <c r="O13" s="154">
        <v>2233300</v>
      </c>
      <c r="P13" s="154">
        <v>2369275</v>
      </c>
      <c r="Q13" s="152">
        <f>632405+807320</f>
        <v>1439725</v>
      </c>
      <c r="R13" s="179">
        <v>109640</v>
      </c>
      <c r="S13" s="181">
        <v>228440</v>
      </c>
      <c r="T13" s="181">
        <v>359670</v>
      </c>
      <c r="U13" s="181">
        <v>591930</v>
      </c>
      <c r="V13" s="181">
        <v>815140</v>
      </c>
      <c r="W13" s="181">
        <v>1014800</v>
      </c>
      <c r="X13" s="181">
        <v>1271340</v>
      </c>
      <c r="Y13" s="181">
        <v>1559390</v>
      </c>
      <c r="Z13" s="181">
        <v>1912170</v>
      </c>
      <c r="AA13" s="181">
        <v>2218220</v>
      </c>
      <c r="AB13" s="181">
        <v>2524425</v>
      </c>
      <c r="AC13" s="181">
        <v>2814925</v>
      </c>
      <c r="AD13" s="194">
        <v>4321085</v>
      </c>
      <c r="AE13" s="215">
        <v>323212</v>
      </c>
      <c r="AF13" s="217">
        <v>557833</v>
      </c>
      <c r="AG13" s="217">
        <v>757405</v>
      </c>
      <c r="AH13" s="215">
        <v>1046769.9</v>
      </c>
      <c r="AI13" s="215">
        <v>1685795.9</v>
      </c>
      <c r="AJ13" s="215">
        <v>2071654.9</v>
      </c>
      <c r="AK13" s="215">
        <v>2691021.9</v>
      </c>
      <c r="AL13" s="217">
        <v>3272984.9</v>
      </c>
      <c r="AM13" s="256">
        <v>3658862.9</v>
      </c>
    </row>
    <row r="14" spans="1:39" ht="15.6">
      <c r="A14" s="133"/>
      <c r="B14" s="133"/>
      <c r="C14" s="152"/>
      <c r="D14" s="12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93"/>
    </row>
    <row r="15" spans="1:39" ht="15.75">
      <c r="A15" s="133">
        <v>3</v>
      </c>
      <c r="B15" s="134" t="s">
        <v>15</v>
      </c>
      <c r="C15" s="153">
        <f t="shared" ref="C15:I15" si="12">SUM(C16:C19)</f>
        <v>36891925</v>
      </c>
      <c r="D15" s="125">
        <f t="shared" si="12"/>
        <v>30847091</v>
      </c>
      <c r="E15" s="125">
        <f t="shared" si="12"/>
        <v>4184522.84</v>
      </c>
      <c r="F15" s="125">
        <f t="shared" si="12"/>
        <v>8151161.79</v>
      </c>
      <c r="G15" s="125">
        <f t="shared" si="12"/>
        <v>17065085.25</v>
      </c>
      <c r="H15" s="125">
        <f t="shared" si="12"/>
        <v>25123059.640000001</v>
      </c>
      <c r="I15" s="125">
        <f t="shared" si="12"/>
        <v>29461254.350000001</v>
      </c>
      <c r="J15" s="125">
        <f t="shared" ref="J15:Q15" si="13">SUM(J16:J19)</f>
        <v>35734414.909999996</v>
      </c>
      <c r="K15" s="125">
        <f t="shared" si="13"/>
        <v>40563629.420000002</v>
      </c>
      <c r="L15" s="125">
        <f t="shared" si="13"/>
        <v>45646401.93</v>
      </c>
      <c r="M15" s="125">
        <f t="shared" si="13"/>
        <v>51789109.18</v>
      </c>
      <c r="N15" s="125">
        <f t="shared" si="13"/>
        <v>55151506.079999998</v>
      </c>
      <c r="O15" s="125">
        <f t="shared" si="13"/>
        <v>60243076.950000003</v>
      </c>
      <c r="P15" s="125">
        <f t="shared" si="13"/>
        <v>66918831.450000003</v>
      </c>
      <c r="Q15" s="125">
        <f t="shared" si="13"/>
        <v>76847460</v>
      </c>
      <c r="R15" s="125">
        <f t="shared" ref="R15:Y15" si="14">SUM(R16:R19)</f>
        <v>4651128.51</v>
      </c>
      <c r="S15" s="125">
        <f t="shared" si="14"/>
        <v>8910462.629999999</v>
      </c>
      <c r="T15" s="125">
        <f t="shared" si="14"/>
        <v>19140079.82</v>
      </c>
      <c r="U15" s="125">
        <f t="shared" si="14"/>
        <v>24040249.82</v>
      </c>
      <c r="V15" s="125">
        <f t="shared" si="14"/>
        <v>28572664.619999997</v>
      </c>
      <c r="W15" s="125">
        <f t="shared" si="14"/>
        <v>37970514.770000003</v>
      </c>
      <c r="X15" s="125">
        <f t="shared" si="14"/>
        <v>41969233.400000006</v>
      </c>
      <c r="Y15" s="125">
        <f t="shared" si="14"/>
        <v>48417376.830000006</v>
      </c>
      <c r="Z15" s="125">
        <f t="shared" ref="Z15:AM15" si="15">SUM(Z16:Z19)</f>
        <v>54593914.650000006</v>
      </c>
      <c r="AA15" s="125">
        <f t="shared" si="15"/>
        <v>59827857.399999999</v>
      </c>
      <c r="AB15" s="125">
        <f t="shared" si="15"/>
        <v>65570358.079999998</v>
      </c>
      <c r="AC15" s="125">
        <f t="shared" si="15"/>
        <v>75578923.469999999</v>
      </c>
      <c r="AD15" s="125">
        <f t="shared" si="15"/>
        <v>81367964</v>
      </c>
      <c r="AE15" s="125">
        <f t="shared" si="15"/>
        <v>5573038.75</v>
      </c>
      <c r="AF15" s="125">
        <f t="shared" si="15"/>
        <v>12875567.43</v>
      </c>
      <c r="AG15" s="125">
        <f t="shared" si="15"/>
        <v>17382761.800000001</v>
      </c>
      <c r="AH15" s="125">
        <f t="shared" si="15"/>
        <v>22007622.379999999</v>
      </c>
      <c r="AI15" s="125">
        <f t="shared" si="15"/>
        <v>27169884.140000001</v>
      </c>
      <c r="AJ15" s="125">
        <f t="shared" si="15"/>
        <v>40075600.829999998</v>
      </c>
      <c r="AK15" s="125">
        <f t="shared" si="15"/>
        <v>44761205.289999999</v>
      </c>
      <c r="AL15" s="125">
        <f t="shared" si="15"/>
        <v>50262498.829999998</v>
      </c>
      <c r="AM15" s="125">
        <f t="shared" si="15"/>
        <v>56121755.300000004</v>
      </c>
    </row>
    <row r="16" spans="1:39" ht="15.75">
      <c r="A16" s="133">
        <v>3.1</v>
      </c>
      <c r="B16" s="133" t="s">
        <v>16</v>
      </c>
      <c r="C16" s="152"/>
      <c r="D16" s="126"/>
      <c r="E16" s="147">
        <v>0</v>
      </c>
      <c r="F16" s="147">
        <v>0</v>
      </c>
      <c r="G16" s="147">
        <v>0</v>
      </c>
      <c r="H16" s="155">
        <v>0</v>
      </c>
      <c r="I16" s="155">
        <v>0</v>
      </c>
      <c r="J16" s="155">
        <v>0</v>
      </c>
      <c r="K16" s="155">
        <v>0</v>
      </c>
      <c r="L16" s="155">
        <v>0</v>
      </c>
      <c r="M16" s="155">
        <v>0</v>
      </c>
      <c r="N16" s="155">
        <v>0</v>
      </c>
      <c r="O16" s="155">
        <v>0</v>
      </c>
      <c r="P16" s="155">
        <v>0</v>
      </c>
      <c r="Q16" s="155">
        <v>0</v>
      </c>
      <c r="R16" s="174">
        <v>0</v>
      </c>
      <c r="S16" s="176">
        <v>0</v>
      </c>
      <c r="T16" s="176">
        <v>0</v>
      </c>
      <c r="U16" s="176">
        <v>0</v>
      </c>
      <c r="V16" s="176">
        <v>0</v>
      </c>
      <c r="W16" s="176">
        <v>0</v>
      </c>
      <c r="X16" s="176">
        <v>0</v>
      </c>
      <c r="Y16" s="176">
        <v>0</v>
      </c>
      <c r="Z16" s="176">
        <v>0</v>
      </c>
      <c r="AA16" s="176">
        <v>0</v>
      </c>
      <c r="AB16" s="176">
        <v>0</v>
      </c>
      <c r="AC16" s="176">
        <v>0</v>
      </c>
      <c r="AD16" s="193"/>
      <c r="AE16" s="210">
        <v>0</v>
      </c>
      <c r="AF16" s="212">
        <v>0</v>
      </c>
      <c r="AG16" s="212">
        <v>0</v>
      </c>
      <c r="AH16" s="210">
        <v>0</v>
      </c>
      <c r="AI16" s="210">
        <v>0</v>
      </c>
      <c r="AJ16" s="210">
        <v>0</v>
      </c>
      <c r="AK16" s="210">
        <v>0</v>
      </c>
      <c r="AL16" s="212">
        <v>0</v>
      </c>
      <c r="AM16" s="253">
        <v>0</v>
      </c>
    </row>
    <row r="17" spans="1:39" ht="15.75">
      <c r="A17" s="133">
        <v>3.2</v>
      </c>
      <c r="B17" s="135" t="s">
        <v>17</v>
      </c>
      <c r="C17" s="152"/>
      <c r="D17" s="126">
        <v>1847945</v>
      </c>
      <c r="E17" s="147">
        <v>2313487.7799999998</v>
      </c>
      <c r="F17" s="147">
        <v>4466199.03</v>
      </c>
      <c r="G17" s="147">
        <v>7996852.0999999996</v>
      </c>
      <c r="H17" s="154">
        <v>10327842.15</v>
      </c>
      <c r="I17" s="154">
        <v>12705195.48</v>
      </c>
      <c r="J17" s="154">
        <v>16835800.27</v>
      </c>
      <c r="K17" s="154">
        <v>19703014.57</v>
      </c>
      <c r="L17" s="154">
        <v>22978218.219999999</v>
      </c>
      <c r="M17" s="154">
        <v>27369868.16</v>
      </c>
      <c r="N17" s="154">
        <v>30287364.059999999</v>
      </c>
      <c r="O17" s="154">
        <v>34581634.380000003</v>
      </c>
      <c r="P17" s="154">
        <v>39536285.200000003</v>
      </c>
      <c r="Q17" s="156">
        <v>39536285.200000003</v>
      </c>
      <c r="R17" s="179">
        <v>3830496.01</v>
      </c>
      <c r="S17" s="181">
        <v>7467142.0199999996</v>
      </c>
      <c r="T17" s="181">
        <v>12648152.050000001</v>
      </c>
      <c r="U17" s="181">
        <v>16767890.220000001</v>
      </c>
      <c r="V17" s="181">
        <v>20594350.579999998</v>
      </c>
      <c r="W17" s="181">
        <v>26109145.68</v>
      </c>
      <c r="X17" s="181">
        <v>29332724.800000001</v>
      </c>
      <c r="Y17" s="181">
        <v>34755417.740000002</v>
      </c>
      <c r="Z17" s="181">
        <v>39925709.07</v>
      </c>
      <c r="AA17" s="181">
        <v>44993222.149999999</v>
      </c>
      <c r="AB17" s="181">
        <v>50452036.869999997</v>
      </c>
      <c r="AC17" s="181">
        <v>58222912.479999997</v>
      </c>
      <c r="AD17" s="194">
        <v>20710733</v>
      </c>
      <c r="AE17" s="215">
        <v>4713888.71</v>
      </c>
      <c r="AF17" s="217">
        <v>8477614.2300000004</v>
      </c>
      <c r="AG17" s="217">
        <v>11434132.060000001</v>
      </c>
      <c r="AH17" s="215">
        <v>14390097.1</v>
      </c>
      <c r="AI17" s="215">
        <v>17250885.129999999</v>
      </c>
      <c r="AJ17" s="215">
        <v>23820782.559999999</v>
      </c>
      <c r="AK17" s="215">
        <v>26929808.75</v>
      </c>
      <c r="AL17" s="217">
        <v>30826875.010000002</v>
      </c>
      <c r="AM17" s="256">
        <v>35150698.210000001</v>
      </c>
    </row>
    <row r="18" spans="1:39" ht="31.5">
      <c r="A18" s="133">
        <v>3.3</v>
      </c>
      <c r="B18" s="135" t="s">
        <v>18</v>
      </c>
      <c r="C18" s="152">
        <v>10632970</v>
      </c>
      <c r="D18" s="126">
        <f>28332525-D17</f>
        <v>26484580</v>
      </c>
      <c r="E18" s="147">
        <v>0</v>
      </c>
      <c r="F18" s="147">
        <v>27184</v>
      </c>
      <c r="G18" s="147">
        <v>27184</v>
      </c>
      <c r="H18" s="154">
        <v>3372961.8</v>
      </c>
      <c r="I18" s="154">
        <v>3372961.8</v>
      </c>
      <c r="J18" s="154">
        <v>3372961.8</v>
      </c>
      <c r="K18" s="154">
        <v>3372961.8</v>
      </c>
      <c r="L18" s="154">
        <v>3372961.8</v>
      </c>
      <c r="M18" s="154">
        <v>3372961.8</v>
      </c>
      <c r="N18" s="154">
        <v>3372961.8</v>
      </c>
      <c r="O18" s="154">
        <v>3396038.8</v>
      </c>
      <c r="P18" s="154">
        <v>3396038.8</v>
      </c>
      <c r="Q18" s="156">
        <v>3396038.8</v>
      </c>
      <c r="R18" s="178">
        <v>0</v>
      </c>
      <c r="S18" s="180">
        <v>0</v>
      </c>
      <c r="T18" s="180">
        <v>0</v>
      </c>
      <c r="U18" s="180">
        <v>0</v>
      </c>
      <c r="V18" s="181">
        <v>4235.55</v>
      </c>
      <c r="W18" s="181">
        <v>3262781.6</v>
      </c>
      <c r="X18" s="181">
        <v>3262781.6</v>
      </c>
      <c r="Y18" s="181">
        <v>3262781.6</v>
      </c>
      <c r="Z18" s="181">
        <v>3262781.6</v>
      </c>
      <c r="AA18" s="181">
        <v>3262781.6</v>
      </c>
      <c r="AB18" s="181">
        <v>3262781.6</v>
      </c>
      <c r="AC18" s="181">
        <v>3262781.6</v>
      </c>
      <c r="AD18" s="194">
        <v>40919339</v>
      </c>
      <c r="AE18" s="214">
        <v>0</v>
      </c>
      <c r="AF18" s="216">
        <v>0</v>
      </c>
      <c r="AG18" s="216">
        <v>0</v>
      </c>
      <c r="AH18" s="214">
        <v>0</v>
      </c>
      <c r="AI18" s="215">
        <v>368940.2</v>
      </c>
      <c r="AJ18" s="215">
        <v>5196105.0999999996</v>
      </c>
      <c r="AK18" s="215">
        <v>5196105.0999999996</v>
      </c>
      <c r="AL18" s="217">
        <v>5196105.0999999996</v>
      </c>
      <c r="AM18" s="256">
        <v>5196105.0999999996</v>
      </c>
    </row>
    <row r="19" spans="1:39" ht="15.75">
      <c r="A19" s="133">
        <v>3.4</v>
      </c>
      <c r="B19" s="133" t="s">
        <v>19</v>
      </c>
      <c r="C19" s="152">
        <v>26258955</v>
      </c>
      <c r="D19" s="126">
        <f>231000+2283566</f>
        <v>2514566</v>
      </c>
      <c r="E19" s="157">
        <v>1871035.06</v>
      </c>
      <c r="F19" s="157">
        <v>3657778.76</v>
      </c>
      <c r="G19" s="157">
        <v>9041049.1500000004</v>
      </c>
      <c r="H19" s="158">
        <v>11422255.689999999</v>
      </c>
      <c r="I19" s="158">
        <v>13383097.07</v>
      </c>
      <c r="J19" s="158">
        <v>15525652.84</v>
      </c>
      <c r="K19" s="158">
        <v>17487653.050000001</v>
      </c>
      <c r="L19" s="158">
        <v>19295221.91</v>
      </c>
      <c r="M19" s="159">
        <v>21046279.219999999</v>
      </c>
      <c r="N19" s="159">
        <v>21491180.219999999</v>
      </c>
      <c r="O19" s="159">
        <v>22265403.77</v>
      </c>
      <c r="P19" s="159">
        <v>23986507.449999999</v>
      </c>
      <c r="Q19" s="152">
        <f>35354861-Q13</f>
        <v>33915136</v>
      </c>
      <c r="R19" s="182">
        <v>820632.5</v>
      </c>
      <c r="S19" s="183">
        <v>1443320.61</v>
      </c>
      <c r="T19" s="183">
        <v>6491927.7699999996</v>
      </c>
      <c r="U19" s="183">
        <v>7272359.5999999996</v>
      </c>
      <c r="V19" s="183">
        <v>7974078.4900000002</v>
      </c>
      <c r="W19" s="183">
        <v>8598587.4900000002</v>
      </c>
      <c r="X19" s="183">
        <v>9373727</v>
      </c>
      <c r="Y19" s="183">
        <v>10399177.49</v>
      </c>
      <c r="Z19" s="183">
        <v>11405423.98</v>
      </c>
      <c r="AA19" s="183">
        <v>11571853.65</v>
      </c>
      <c r="AB19" s="183">
        <v>11855539.609999999</v>
      </c>
      <c r="AC19" s="183">
        <v>14093229.390000001</v>
      </c>
      <c r="AD19" s="198">
        <v>19737892</v>
      </c>
      <c r="AE19" s="218">
        <v>859150.04</v>
      </c>
      <c r="AF19" s="219">
        <v>4397953.2</v>
      </c>
      <c r="AG19" s="219">
        <v>5948629.7400000002</v>
      </c>
      <c r="AH19" s="218">
        <v>7617525.2800000003</v>
      </c>
      <c r="AI19" s="225">
        <v>9550058.8100000005</v>
      </c>
      <c r="AJ19" s="225">
        <v>11058713.17</v>
      </c>
      <c r="AK19" s="225">
        <v>12635291.439999999</v>
      </c>
      <c r="AL19" s="226">
        <v>14239518.720000001</v>
      </c>
      <c r="AM19" s="225">
        <v>15774951.99</v>
      </c>
    </row>
    <row r="20" spans="1:39" ht="15.6">
      <c r="A20" s="133"/>
      <c r="B20" s="133"/>
      <c r="C20" s="152"/>
      <c r="D20" s="12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93"/>
    </row>
    <row r="21" spans="1:39" ht="15.75">
      <c r="A21" s="133">
        <v>4</v>
      </c>
      <c r="B21" s="134" t="s">
        <v>20</v>
      </c>
      <c r="C21" s="153">
        <f t="shared" ref="C21:I21" si="16">C22+C23+C24+C25+C27+C28</f>
        <v>231518407</v>
      </c>
      <c r="D21" s="125">
        <f t="shared" si="16"/>
        <v>250057522</v>
      </c>
      <c r="E21" s="125">
        <f t="shared" si="16"/>
        <v>371146.89</v>
      </c>
      <c r="F21" s="125">
        <f t="shared" si="16"/>
        <v>708714.3</v>
      </c>
      <c r="G21" s="125">
        <f t="shared" si="16"/>
        <v>1097316.74</v>
      </c>
      <c r="H21" s="125">
        <f t="shared" si="16"/>
        <v>1667225.95</v>
      </c>
      <c r="I21" s="125">
        <f t="shared" si="16"/>
        <v>2134765.4900000002</v>
      </c>
      <c r="J21" s="125">
        <f t="shared" ref="J21:Q21" si="17">J22+J23+J24+J25+J27+J28</f>
        <v>2666458.62</v>
      </c>
      <c r="K21" s="125">
        <f t="shared" si="17"/>
        <v>3211783.7499999995</v>
      </c>
      <c r="L21" s="125">
        <f t="shared" si="17"/>
        <v>3795881.32</v>
      </c>
      <c r="M21" s="125">
        <f t="shared" si="17"/>
        <v>4357914.8899999997</v>
      </c>
      <c r="N21" s="125">
        <f t="shared" si="17"/>
        <v>4517639.5999999996</v>
      </c>
      <c r="O21" s="125">
        <f t="shared" si="17"/>
        <v>5584664.9000000004</v>
      </c>
      <c r="P21" s="125">
        <f t="shared" si="17"/>
        <v>5778192.2700000005</v>
      </c>
      <c r="Q21" s="125">
        <f t="shared" si="17"/>
        <v>271522528</v>
      </c>
      <c r="R21" s="125">
        <f t="shared" ref="R21:Y21" si="18">R22+R23+R24+R25+R27+R28</f>
        <v>365943.99</v>
      </c>
      <c r="S21" s="125">
        <f t="shared" si="18"/>
        <v>671479.05</v>
      </c>
      <c r="T21" s="125">
        <f t="shared" si="18"/>
        <v>1045301.74</v>
      </c>
      <c r="U21" s="125">
        <f t="shared" si="18"/>
        <v>1623033.98</v>
      </c>
      <c r="V21" s="125">
        <f t="shared" si="18"/>
        <v>2029508.9499999997</v>
      </c>
      <c r="W21" s="125">
        <f t="shared" si="18"/>
        <v>2441907.5</v>
      </c>
      <c r="X21" s="125">
        <f t="shared" si="18"/>
        <v>2917251.34</v>
      </c>
      <c r="Y21" s="125">
        <f t="shared" si="18"/>
        <v>3421817.9499999997</v>
      </c>
      <c r="Z21" s="125">
        <f t="shared" ref="Z21:AM21" si="19">Z22+Z23+Z24+Z25+Z27+Z28</f>
        <v>3936905.27</v>
      </c>
      <c r="AA21" s="125">
        <f t="shared" si="19"/>
        <v>4548158.13</v>
      </c>
      <c r="AB21" s="125">
        <f t="shared" si="19"/>
        <v>5126835.79</v>
      </c>
      <c r="AC21" s="125">
        <f t="shared" si="19"/>
        <v>5454703.3399999999</v>
      </c>
      <c r="AD21" s="125">
        <f t="shared" si="19"/>
        <v>286530672</v>
      </c>
      <c r="AE21" s="125">
        <f t="shared" si="19"/>
        <v>431298.66</v>
      </c>
      <c r="AF21" s="125">
        <f t="shared" si="19"/>
        <v>892005.61</v>
      </c>
      <c r="AG21" s="125">
        <f t="shared" si="19"/>
        <v>1347387.75</v>
      </c>
      <c r="AH21" s="125">
        <f t="shared" si="19"/>
        <v>1826935.7600000002</v>
      </c>
      <c r="AI21" s="125">
        <f t="shared" si="19"/>
        <v>2281979.2000000002</v>
      </c>
      <c r="AJ21" s="125">
        <f t="shared" si="19"/>
        <v>2651482.38</v>
      </c>
      <c r="AK21" s="125">
        <f t="shared" si="19"/>
        <v>3218756.06</v>
      </c>
      <c r="AL21" s="125">
        <f t="shared" si="19"/>
        <v>3719162.83</v>
      </c>
      <c r="AM21" s="125">
        <f t="shared" si="19"/>
        <v>4191006.96</v>
      </c>
    </row>
    <row r="22" spans="1:39" ht="15.75">
      <c r="A22" s="133">
        <v>4.2</v>
      </c>
      <c r="B22" s="133" t="s">
        <v>21</v>
      </c>
      <c r="C22" s="152">
        <f>230548225-C23</f>
        <v>230056542</v>
      </c>
      <c r="D22" s="126">
        <f>249016415-D23</f>
        <v>248555614</v>
      </c>
      <c r="E22" s="147">
        <v>280810.11</v>
      </c>
      <c r="F22" s="147">
        <v>528301.52</v>
      </c>
      <c r="G22" s="147">
        <v>843653.96</v>
      </c>
      <c r="H22" s="154">
        <v>1270924.01</v>
      </c>
      <c r="I22" s="154">
        <v>1638682.7</v>
      </c>
      <c r="J22" s="154">
        <v>2082162.72</v>
      </c>
      <c r="K22" s="154">
        <v>2529478.13</v>
      </c>
      <c r="L22" s="154">
        <v>3022573.7</v>
      </c>
      <c r="M22" s="154">
        <v>3489817.59</v>
      </c>
      <c r="N22" s="154">
        <v>3558372.18</v>
      </c>
      <c r="O22" s="154">
        <v>4532915.9800000004</v>
      </c>
      <c r="P22" s="154">
        <v>4627696.91</v>
      </c>
      <c r="Q22" s="152">
        <f>265744335+4627697</f>
        <v>270372032</v>
      </c>
      <c r="R22" s="175">
        <v>274903.99</v>
      </c>
      <c r="S22" s="177">
        <v>491705.86</v>
      </c>
      <c r="T22" s="177">
        <v>775934.99</v>
      </c>
      <c r="U22" s="177">
        <v>1094671.27</v>
      </c>
      <c r="V22" s="177">
        <v>1388269.18</v>
      </c>
      <c r="W22" s="177">
        <v>1698397.79</v>
      </c>
      <c r="X22" s="177">
        <v>2092799.21</v>
      </c>
      <c r="Y22" s="177">
        <v>2466811.69</v>
      </c>
      <c r="Z22" s="177">
        <v>2883068.29</v>
      </c>
      <c r="AA22" s="177">
        <v>3407930.18</v>
      </c>
      <c r="AB22" s="177">
        <v>3871139.8399999999</v>
      </c>
      <c r="AC22" s="177">
        <v>4095359.26</v>
      </c>
      <c r="AD22" s="194">
        <v>286187291</v>
      </c>
      <c r="AE22" s="211">
        <v>318436.34999999998</v>
      </c>
      <c r="AF22" s="213">
        <v>617732.25</v>
      </c>
      <c r="AG22" s="213">
        <v>929938.23</v>
      </c>
      <c r="AH22" s="211">
        <v>1295398.6200000001</v>
      </c>
      <c r="AI22" s="211">
        <v>1602644.25</v>
      </c>
      <c r="AJ22" s="211">
        <v>1920649.5</v>
      </c>
      <c r="AK22" s="211">
        <v>2340548.9300000002</v>
      </c>
      <c r="AL22" s="213">
        <v>2726433.54</v>
      </c>
      <c r="AM22" s="254">
        <v>3095137.17</v>
      </c>
    </row>
    <row r="23" spans="1:39" ht="15.75">
      <c r="A23" s="133">
        <v>4.3</v>
      </c>
      <c r="B23" s="133" t="s">
        <v>22</v>
      </c>
      <c r="C23" s="152">
        <v>491683</v>
      </c>
      <c r="D23" s="126">
        <v>460801</v>
      </c>
      <c r="E23" s="147">
        <v>10360.780000000001</v>
      </c>
      <c r="F23" s="147">
        <v>10360.780000000001</v>
      </c>
      <c r="G23" s="147">
        <v>10360.780000000001</v>
      </c>
      <c r="H23" s="154">
        <v>10360.780000000001</v>
      </c>
      <c r="I23" s="154">
        <v>10360.780000000001</v>
      </c>
      <c r="J23" s="154">
        <v>10360.780000000001</v>
      </c>
      <c r="K23" s="154">
        <v>10360.780000000001</v>
      </c>
      <c r="L23" s="154">
        <v>10360.780000000001</v>
      </c>
      <c r="M23" s="154">
        <v>10360.76</v>
      </c>
      <c r="N23" s="154">
        <v>10360.780000000001</v>
      </c>
      <c r="O23" s="154">
        <v>10360.780000000001</v>
      </c>
      <c r="P23" s="154">
        <v>10360.780000000001</v>
      </c>
      <c r="Q23" s="154">
        <v>10361</v>
      </c>
      <c r="R23" s="178">
        <v>0</v>
      </c>
      <c r="S23" s="180">
        <v>0</v>
      </c>
      <c r="T23" s="180">
        <v>0</v>
      </c>
      <c r="U23" s="180">
        <v>2.65</v>
      </c>
      <c r="V23" s="180">
        <v>2.65</v>
      </c>
      <c r="W23" s="180">
        <v>2.65</v>
      </c>
      <c r="X23" s="180">
        <v>2.65</v>
      </c>
      <c r="Y23" s="180">
        <v>2.65</v>
      </c>
      <c r="Z23" s="180">
        <v>2.65</v>
      </c>
      <c r="AA23" s="180">
        <v>2.65</v>
      </c>
      <c r="AB23" s="180">
        <v>2.65</v>
      </c>
      <c r="AC23" s="180">
        <v>2.65</v>
      </c>
      <c r="AD23" s="193"/>
      <c r="AE23" s="214">
        <v>0</v>
      </c>
      <c r="AF23" s="216">
        <v>0</v>
      </c>
      <c r="AG23" s="216">
        <v>0</v>
      </c>
      <c r="AH23" s="214">
        <v>0</v>
      </c>
      <c r="AI23" s="214">
        <v>0</v>
      </c>
      <c r="AJ23" s="214">
        <v>0</v>
      </c>
      <c r="AK23" s="214">
        <v>0</v>
      </c>
      <c r="AL23" s="216">
        <v>0</v>
      </c>
      <c r="AM23" s="255">
        <v>0</v>
      </c>
    </row>
    <row r="24" spans="1:39" ht="15.75">
      <c r="A24" s="133">
        <v>4.4000000000000004</v>
      </c>
      <c r="B24" s="133" t="s">
        <v>23</v>
      </c>
      <c r="C24" s="152"/>
      <c r="D24" s="129"/>
      <c r="E24" s="147">
        <v>0</v>
      </c>
      <c r="F24" s="147">
        <v>0</v>
      </c>
      <c r="G24" s="147">
        <v>0</v>
      </c>
      <c r="H24" s="155">
        <v>0</v>
      </c>
      <c r="I24" s="155">
        <v>0</v>
      </c>
      <c r="J24" s="155">
        <v>0</v>
      </c>
      <c r="K24" s="155">
        <v>0</v>
      </c>
      <c r="L24" s="155">
        <v>0</v>
      </c>
      <c r="M24" s="155">
        <v>0</v>
      </c>
      <c r="N24" s="155">
        <v>0</v>
      </c>
      <c r="O24" s="155">
        <v>0</v>
      </c>
      <c r="P24" s="155">
        <v>0</v>
      </c>
      <c r="Q24" s="148"/>
      <c r="R24" s="178">
        <v>0</v>
      </c>
      <c r="S24" s="180">
        <v>0</v>
      </c>
      <c r="T24" s="180">
        <v>0</v>
      </c>
      <c r="U24" s="180">
        <v>0</v>
      </c>
      <c r="V24" s="180">
        <v>0</v>
      </c>
      <c r="W24" s="180">
        <v>0</v>
      </c>
      <c r="X24" s="180">
        <v>0</v>
      </c>
      <c r="Y24" s="180">
        <v>0</v>
      </c>
      <c r="Z24" s="180">
        <v>0</v>
      </c>
      <c r="AA24" s="180">
        <v>0</v>
      </c>
      <c r="AB24" s="180">
        <v>0</v>
      </c>
      <c r="AC24" s="180">
        <v>0</v>
      </c>
      <c r="AD24" s="193"/>
      <c r="AE24" s="214">
        <v>0</v>
      </c>
      <c r="AF24" s="216">
        <v>0</v>
      </c>
      <c r="AG24" s="216">
        <v>0</v>
      </c>
      <c r="AH24" s="214">
        <v>0</v>
      </c>
      <c r="AI24" s="214">
        <v>0</v>
      </c>
      <c r="AJ24" s="214">
        <v>0</v>
      </c>
      <c r="AK24" s="214">
        <v>0</v>
      </c>
      <c r="AL24" s="216">
        <v>0</v>
      </c>
      <c r="AM24" s="255">
        <v>0</v>
      </c>
    </row>
    <row r="25" spans="1:39" ht="15.75">
      <c r="A25" s="133">
        <v>4.5</v>
      </c>
      <c r="B25" s="133" t="s">
        <v>24</v>
      </c>
      <c r="C25" s="152">
        <v>970182</v>
      </c>
      <c r="D25" s="126">
        <v>1041107</v>
      </c>
      <c r="E25" s="147">
        <v>79976</v>
      </c>
      <c r="F25" s="147">
        <v>170052</v>
      </c>
      <c r="G25" s="147">
        <v>243302</v>
      </c>
      <c r="H25" s="154">
        <v>385941.16</v>
      </c>
      <c r="I25" s="154">
        <v>485722.01</v>
      </c>
      <c r="J25" s="154">
        <v>573935.12</v>
      </c>
      <c r="K25" s="154">
        <v>671944.84</v>
      </c>
      <c r="L25" s="154">
        <v>762946.84</v>
      </c>
      <c r="M25" s="154">
        <v>857736.54</v>
      </c>
      <c r="N25" s="154">
        <v>948906.64</v>
      </c>
      <c r="O25" s="154">
        <v>1041388.14</v>
      </c>
      <c r="P25" s="154">
        <v>1140134.58</v>
      </c>
      <c r="Q25" s="154">
        <v>1140135</v>
      </c>
      <c r="R25" s="179">
        <v>91040</v>
      </c>
      <c r="S25" s="181">
        <v>179773.19</v>
      </c>
      <c r="T25" s="181">
        <v>269366.75</v>
      </c>
      <c r="U25" s="181">
        <v>528360.06000000006</v>
      </c>
      <c r="V25" s="181">
        <v>641237.12</v>
      </c>
      <c r="W25" s="181">
        <v>743507.06</v>
      </c>
      <c r="X25" s="181">
        <v>824449.48</v>
      </c>
      <c r="Y25" s="181">
        <v>955003.61</v>
      </c>
      <c r="Z25" s="181">
        <v>1053834.33</v>
      </c>
      <c r="AA25" s="181">
        <v>1140225.3</v>
      </c>
      <c r="AB25" s="181">
        <v>1255693.3</v>
      </c>
      <c r="AC25" s="181">
        <v>1359341.43</v>
      </c>
      <c r="AD25" s="194">
        <v>343381</v>
      </c>
      <c r="AE25" s="215">
        <v>112862.31</v>
      </c>
      <c r="AF25" s="217">
        <v>274273.36</v>
      </c>
      <c r="AG25" s="217">
        <v>417449.52</v>
      </c>
      <c r="AH25" s="215">
        <v>531537.14</v>
      </c>
      <c r="AI25" s="215">
        <v>679334.95</v>
      </c>
      <c r="AJ25" s="215">
        <v>730832.88</v>
      </c>
      <c r="AK25" s="215">
        <v>878207.13</v>
      </c>
      <c r="AL25" s="217">
        <v>992729.29</v>
      </c>
      <c r="AM25" s="256">
        <v>1095869.79</v>
      </c>
    </row>
    <row r="26" spans="1:39" ht="15.75">
      <c r="A26" s="133"/>
      <c r="B26" s="133"/>
      <c r="C26" s="152"/>
      <c r="D26" s="128"/>
      <c r="E26" s="148"/>
      <c r="F26" s="148"/>
      <c r="G26" s="148"/>
      <c r="H26" s="148"/>
      <c r="I26" s="148"/>
      <c r="J26" s="148"/>
      <c r="K26" s="148"/>
      <c r="L26" s="148"/>
      <c r="M26" s="155">
        <v>0</v>
      </c>
      <c r="N26" s="155">
        <v>0</v>
      </c>
      <c r="O26" s="155">
        <v>0</v>
      </c>
      <c r="P26" s="155">
        <v>0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93"/>
      <c r="AE26" s="214"/>
      <c r="AF26" s="216"/>
      <c r="AG26" s="216"/>
      <c r="AK26" s="214">
        <v>0</v>
      </c>
      <c r="AL26" s="216">
        <v>0</v>
      </c>
      <c r="AM26" s="255">
        <v>0</v>
      </c>
    </row>
    <row r="27" spans="1:39" ht="15.75">
      <c r="A27" s="133">
        <v>4.5999999999999996</v>
      </c>
      <c r="B27" s="133" t="s">
        <v>25</v>
      </c>
      <c r="C27" s="152"/>
      <c r="D27" s="127"/>
      <c r="E27" s="147">
        <v>0</v>
      </c>
      <c r="F27" s="147">
        <v>0</v>
      </c>
      <c r="G27" s="147">
        <v>0</v>
      </c>
      <c r="H27" s="155">
        <v>0</v>
      </c>
      <c r="I27" s="155">
        <v>0</v>
      </c>
      <c r="J27" s="155">
        <v>0</v>
      </c>
      <c r="K27" s="155">
        <v>0</v>
      </c>
      <c r="L27" s="155">
        <v>0</v>
      </c>
      <c r="M27" s="155">
        <v>0</v>
      </c>
      <c r="N27" s="155">
        <v>0</v>
      </c>
      <c r="O27" s="155">
        <v>0</v>
      </c>
      <c r="P27" s="155">
        <v>0</v>
      </c>
      <c r="Q27" s="148"/>
      <c r="R27" s="174">
        <v>0</v>
      </c>
      <c r="S27" s="176">
        <v>0</v>
      </c>
      <c r="T27" s="176">
        <v>0</v>
      </c>
      <c r="U27" s="176">
        <v>0</v>
      </c>
      <c r="V27" s="176">
        <v>0</v>
      </c>
      <c r="W27" s="176">
        <v>0</v>
      </c>
      <c r="X27" s="176">
        <v>0</v>
      </c>
      <c r="Y27" s="176">
        <v>0</v>
      </c>
      <c r="Z27" s="176">
        <v>0</v>
      </c>
      <c r="AA27" s="176">
        <v>0</v>
      </c>
      <c r="AB27" s="176">
        <v>0</v>
      </c>
      <c r="AC27" s="176">
        <v>0</v>
      </c>
      <c r="AD27" s="193"/>
      <c r="AE27" s="214">
        <v>0</v>
      </c>
      <c r="AF27" s="216">
        <v>0</v>
      </c>
      <c r="AG27" s="216">
        <v>0</v>
      </c>
      <c r="AH27">
        <v>0</v>
      </c>
      <c r="AI27" s="214">
        <v>0</v>
      </c>
      <c r="AJ27" s="210">
        <v>0</v>
      </c>
      <c r="AK27" s="214">
        <v>0</v>
      </c>
      <c r="AL27" s="216">
        <v>0</v>
      </c>
      <c r="AM27" s="255">
        <v>0</v>
      </c>
    </row>
    <row r="28" spans="1:39" ht="15.75">
      <c r="A28" s="133">
        <v>4.7</v>
      </c>
      <c r="B28" s="133" t="s">
        <v>26</v>
      </c>
      <c r="C28" s="152"/>
      <c r="D28" s="129"/>
      <c r="E28" s="147">
        <v>0</v>
      </c>
      <c r="F28" s="147">
        <v>0</v>
      </c>
      <c r="G28" s="147">
        <v>0</v>
      </c>
      <c r="H28" s="155">
        <v>0</v>
      </c>
      <c r="I28" s="155">
        <v>0</v>
      </c>
      <c r="J28" s="155">
        <v>0</v>
      </c>
      <c r="K28" s="155">
        <v>0</v>
      </c>
      <c r="L28" s="155">
        <v>0</v>
      </c>
      <c r="M28" s="148"/>
      <c r="N28" s="148"/>
      <c r="O28" s="148"/>
      <c r="P28" s="148"/>
      <c r="Q28" s="148"/>
      <c r="R28" s="178">
        <v>0</v>
      </c>
      <c r="S28" s="180">
        <v>0</v>
      </c>
      <c r="T28" s="180">
        <v>0</v>
      </c>
      <c r="U28" s="180">
        <v>0</v>
      </c>
      <c r="V28" s="180">
        <v>0</v>
      </c>
      <c r="W28" s="180">
        <v>0</v>
      </c>
      <c r="X28" s="180">
        <v>0</v>
      </c>
      <c r="Y28" s="180">
        <v>0</v>
      </c>
      <c r="Z28" s="180">
        <v>0</v>
      </c>
      <c r="AA28" s="180">
        <v>0</v>
      </c>
      <c r="AB28" s="180">
        <v>0</v>
      </c>
      <c r="AC28" s="180">
        <v>0</v>
      </c>
      <c r="AD28" s="193"/>
      <c r="AE28" s="214">
        <v>0</v>
      </c>
      <c r="AF28" s="216">
        <v>0</v>
      </c>
      <c r="AG28" s="216">
        <v>0</v>
      </c>
      <c r="AH28">
        <v>0</v>
      </c>
      <c r="AI28" s="214">
        <v>0</v>
      </c>
      <c r="AJ28" s="214">
        <v>0</v>
      </c>
      <c r="AK28" s="214">
        <v>0</v>
      </c>
      <c r="AL28" s="216">
        <v>0</v>
      </c>
      <c r="AM28">
        <v>0</v>
      </c>
    </row>
    <row r="29" spans="1:39" ht="15">
      <c r="A29" s="133"/>
      <c r="B29" s="133"/>
      <c r="C29" s="152"/>
      <c r="D29" s="12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93"/>
      <c r="AK29" s="214">
        <v>0</v>
      </c>
      <c r="AL29" s="216">
        <v>0</v>
      </c>
    </row>
    <row r="30" spans="1:39" ht="15.75">
      <c r="A30" s="133">
        <v>5</v>
      </c>
      <c r="B30" s="134" t="s">
        <v>27</v>
      </c>
      <c r="C30" s="153">
        <f t="shared" ref="C30:I30" si="20">C10-C21</f>
        <v>352321379</v>
      </c>
      <c r="D30" s="125">
        <f t="shared" si="20"/>
        <v>323288768</v>
      </c>
      <c r="E30" s="125">
        <f t="shared" si="20"/>
        <v>55930283.230000004</v>
      </c>
      <c r="F30" s="125">
        <f t="shared" si="20"/>
        <v>105003284.39000002</v>
      </c>
      <c r="G30" s="125">
        <f t="shared" si="20"/>
        <v>162251231.00999999</v>
      </c>
      <c r="H30" s="125">
        <f t="shared" si="20"/>
        <v>217073378.93000001</v>
      </c>
      <c r="I30" s="125">
        <f t="shared" si="20"/>
        <v>269642160.80000001</v>
      </c>
      <c r="J30" s="125">
        <f t="shared" ref="J30:Q30" si="21">J10-J21</f>
        <v>326037174.06999993</v>
      </c>
      <c r="K30" s="125">
        <f t="shared" si="21"/>
        <v>382177008.38</v>
      </c>
      <c r="L30" s="125">
        <f t="shared" si="21"/>
        <v>435328787.24000001</v>
      </c>
      <c r="M30" s="125">
        <f t="shared" si="21"/>
        <v>491158759.26000005</v>
      </c>
      <c r="N30" s="125">
        <f t="shared" si="21"/>
        <v>544525169.63</v>
      </c>
      <c r="O30" s="125">
        <f t="shared" si="21"/>
        <v>598516804.21000004</v>
      </c>
      <c r="P30" s="125">
        <f t="shared" si="21"/>
        <v>651266237.42000008</v>
      </c>
      <c r="Q30" s="125">
        <f t="shared" si="21"/>
        <v>394520980</v>
      </c>
      <c r="R30" s="125">
        <f t="shared" ref="R30:Y30" si="22">R10-R21</f>
        <v>56138706.289999999</v>
      </c>
      <c r="S30" s="125">
        <f t="shared" si="22"/>
        <v>106203744.28999999</v>
      </c>
      <c r="T30" s="125">
        <f t="shared" si="22"/>
        <v>162833008.98999998</v>
      </c>
      <c r="U30" s="125">
        <f t="shared" si="22"/>
        <v>217355622.66</v>
      </c>
      <c r="V30" s="125">
        <f t="shared" si="22"/>
        <v>266149032.80000001</v>
      </c>
      <c r="W30" s="125">
        <f t="shared" si="22"/>
        <v>317914300.34999996</v>
      </c>
      <c r="X30" s="125">
        <f t="shared" si="22"/>
        <v>368394277.42000002</v>
      </c>
      <c r="Y30" s="125">
        <f t="shared" si="22"/>
        <v>419156401.44999999</v>
      </c>
      <c r="Z30" s="125">
        <f t="shared" ref="Z30:AM30" si="23">Z10-Z21</f>
        <v>472316541.32000005</v>
      </c>
      <c r="AA30" s="125">
        <f t="shared" si="23"/>
        <v>528014634.95999998</v>
      </c>
      <c r="AB30" s="125">
        <f t="shared" si="23"/>
        <v>589200513.92000008</v>
      </c>
      <c r="AC30" s="125">
        <f t="shared" si="23"/>
        <v>677154513.78999996</v>
      </c>
      <c r="AD30" s="125">
        <f t="shared" si="23"/>
        <v>403373745</v>
      </c>
      <c r="AE30" s="125">
        <f t="shared" si="23"/>
        <v>62649813.620000005</v>
      </c>
      <c r="AF30" s="125">
        <f t="shared" si="23"/>
        <v>121552922.36</v>
      </c>
      <c r="AG30" s="125">
        <f t="shared" si="23"/>
        <v>177853278.37</v>
      </c>
      <c r="AH30" s="125">
        <f t="shared" si="23"/>
        <v>237596363.51000002</v>
      </c>
      <c r="AI30" s="125">
        <f t="shared" si="23"/>
        <v>299436912.02999997</v>
      </c>
      <c r="AJ30" s="125">
        <f t="shared" si="23"/>
        <v>369020978.24999994</v>
      </c>
      <c r="AK30" s="125">
        <f t="shared" si="23"/>
        <v>430600578.61000001</v>
      </c>
      <c r="AL30" s="125">
        <f t="shared" si="23"/>
        <v>494521188.22999996</v>
      </c>
      <c r="AM30" s="125">
        <f t="shared" si="23"/>
        <v>558897413.44999993</v>
      </c>
    </row>
    <row r="31" spans="1:39" ht="15.6">
      <c r="A31" s="133"/>
      <c r="B31" s="133"/>
      <c r="C31" s="152"/>
      <c r="D31" s="12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93"/>
    </row>
    <row r="32" spans="1:39" ht="15.75">
      <c r="A32" s="133">
        <v>6</v>
      </c>
      <c r="B32" s="134" t="s">
        <v>28</v>
      </c>
      <c r="C32" s="153">
        <f t="shared" ref="C32:I32" si="24">C33-C34</f>
        <v>13900000</v>
      </c>
      <c r="D32" s="125">
        <f t="shared" si="24"/>
        <v>11087937</v>
      </c>
      <c r="E32" s="125">
        <f t="shared" si="24"/>
        <v>1031069.8</v>
      </c>
      <c r="F32" s="125">
        <f t="shared" si="24"/>
        <v>2054580.5</v>
      </c>
      <c r="G32" s="125">
        <f t="shared" si="24"/>
        <v>2937477.6</v>
      </c>
      <c r="H32" s="125">
        <f t="shared" si="24"/>
        <v>3870244</v>
      </c>
      <c r="I32" s="125">
        <f t="shared" si="24"/>
        <v>4791090.9000000004</v>
      </c>
      <c r="J32" s="125">
        <f t="shared" ref="J32:Q32" si="25">J33-J34</f>
        <v>5735395.2999999998</v>
      </c>
      <c r="K32" s="125">
        <f t="shared" si="25"/>
        <v>6868111.9000000004</v>
      </c>
      <c r="L32" s="125">
        <f t="shared" si="25"/>
        <v>7810675.2999999998</v>
      </c>
      <c r="M32" s="125">
        <f t="shared" si="25"/>
        <v>8858116.4000000004</v>
      </c>
      <c r="N32" s="125">
        <f t="shared" si="25"/>
        <v>9733116.4000000004</v>
      </c>
      <c r="O32" s="125">
        <f t="shared" si="25"/>
        <v>10608116.4</v>
      </c>
      <c r="P32" s="125">
        <f t="shared" si="25"/>
        <v>11498290.4</v>
      </c>
      <c r="Q32" s="125">
        <f t="shared" si="25"/>
        <v>10500000</v>
      </c>
      <c r="R32" s="125">
        <f t="shared" ref="R32:Y32" si="26">R33-R34</f>
        <v>1007328.5</v>
      </c>
      <c r="S32" s="125">
        <f t="shared" si="26"/>
        <v>2014656.9</v>
      </c>
      <c r="T32" s="125">
        <f t="shared" si="26"/>
        <v>3004720</v>
      </c>
      <c r="U32" s="125">
        <f t="shared" si="26"/>
        <v>4012048.5</v>
      </c>
      <c r="V32" s="125">
        <f t="shared" si="26"/>
        <v>5311335.5999999996</v>
      </c>
      <c r="W32" s="125">
        <f t="shared" si="26"/>
        <v>6318664</v>
      </c>
      <c r="X32" s="125">
        <f t="shared" si="26"/>
        <v>7321853.5999999996</v>
      </c>
      <c r="Y32" s="125">
        <f t="shared" si="26"/>
        <v>8329182.0999999996</v>
      </c>
      <c r="Z32" s="125">
        <f t="shared" ref="Z32:AM32" si="27">Z33-Z34</f>
        <v>9387023.9000000004</v>
      </c>
      <c r="AA32" s="125">
        <f t="shared" si="27"/>
        <v>10394352.6</v>
      </c>
      <c r="AB32" s="125">
        <f t="shared" si="27"/>
        <v>11401681</v>
      </c>
      <c r="AC32" s="125">
        <f t="shared" si="27"/>
        <v>12431322</v>
      </c>
      <c r="AD32" s="125">
        <f t="shared" si="27"/>
        <v>12087941</v>
      </c>
      <c r="AE32" s="125">
        <f t="shared" si="27"/>
        <v>1125000</v>
      </c>
      <c r="AF32" s="125">
        <f t="shared" si="27"/>
        <v>3250000</v>
      </c>
      <c r="AG32" s="125">
        <f t="shared" si="27"/>
        <v>5351372.7</v>
      </c>
      <c r="AH32" s="125">
        <f t="shared" si="27"/>
        <v>7476372.7000000002</v>
      </c>
      <c r="AI32" s="125">
        <f t="shared" si="27"/>
        <v>9601372.6999999993</v>
      </c>
      <c r="AJ32" s="125">
        <f t="shared" si="27"/>
        <v>11726372.699999999</v>
      </c>
      <c r="AK32" s="125">
        <f t="shared" si="27"/>
        <v>13851372.699999999</v>
      </c>
      <c r="AL32" s="125">
        <f t="shared" si="27"/>
        <v>16976372.699999999</v>
      </c>
      <c r="AM32" s="125">
        <f t="shared" si="27"/>
        <v>20052170.300000001</v>
      </c>
    </row>
    <row r="33" spans="1:39" ht="15.75">
      <c r="A33" s="133">
        <v>6.1</v>
      </c>
      <c r="B33" s="133" t="s">
        <v>29</v>
      </c>
      <c r="C33" s="160">
        <v>13900000</v>
      </c>
      <c r="D33" s="129">
        <v>11087937</v>
      </c>
      <c r="E33" s="147">
        <v>1031069.8</v>
      </c>
      <c r="F33" s="147">
        <v>2054580.5</v>
      </c>
      <c r="G33" s="147">
        <v>2937477.6</v>
      </c>
      <c r="H33" s="154">
        <v>3870244</v>
      </c>
      <c r="I33" s="154">
        <v>4791090.9000000004</v>
      </c>
      <c r="J33" s="154">
        <v>5735395.2999999998</v>
      </c>
      <c r="K33" s="154">
        <v>6868111.9000000004</v>
      </c>
      <c r="L33" s="154">
        <v>7810675.2999999998</v>
      </c>
      <c r="M33" s="154">
        <v>8858116.4000000004</v>
      </c>
      <c r="N33" s="154">
        <v>9733116.4000000004</v>
      </c>
      <c r="O33" s="154">
        <v>10608116.4</v>
      </c>
      <c r="P33" s="154">
        <v>11498290.4</v>
      </c>
      <c r="Q33" s="154">
        <v>10500000</v>
      </c>
      <c r="R33" s="175">
        <v>1007328.5</v>
      </c>
      <c r="S33" s="177">
        <v>2014656.9</v>
      </c>
      <c r="T33" s="177">
        <v>3004720</v>
      </c>
      <c r="U33" s="177">
        <v>4012048.5</v>
      </c>
      <c r="V33" s="177">
        <v>5311335.5999999996</v>
      </c>
      <c r="W33" s="177">
        <v>6318664</v>
      </c>
      <c r="X33" s="177">
        <v>7321853.5999999996</v>
      </c>
      <c r="Y33" s="177">
        <v>8329182.0999999996</v>
      </c>
      <c r="Z33" s="177">
        <v>9387023.9000000004</v>
      </c>
      <c r="AA33" s="177">
        <v>10394352.6</v>
      </c>
      <c r="AB33" s="177">
        <v>11401681</v>
      </c>
      <c r="AC33" s="177">
        <v>12431322</v>
      </c>
      <c r="AD33" s="194">
        <v>12087941</v>
      </c>
      <c r="AE33" s="211">
        <v>1125000</v>
      </c>
      <c r="AF33" s="213">
        <v>3250000</v>
      </c>
      <c r="AG33" s="213">
        <v>5351372.7</v>
      </c>
      <c r="AH33" s="211">
        <v>7476372.7000000002</v>
      </c>
      <c r="AI33" s="211">
        <v>9601372.6999999993</v>
      </c>
      <c r="AJ33" s="211">
        <v>11726372.699999999</v>
      </c>
      <c r="AK33" s="211">
        <v>13851372.699999999</v>
      </c>
      <c r="AL33" s="213">
        <v>16976372.699999999</v>
      </c>
      <c r="AM33" s="254">
        <v>20052170.300000001</v>
      </c>
    </row>
    <row r="34" spans="1:39" ht="15.75">
      <c r="A34" s="133">
        <v>6.2</v>
      </c>
      <c r="B34" s="133" t="s">
        <v>30</v>
      </c>
      <c r="C34" s="152"/>
      <c r="D34" s="129"/>
      <c r="E34" s="147">
        <v>0</v>
      </c>
      <c r="F34" s="147">
        <v>0</v>
      </c>
      <c r="G34" s="147">
        <v>0</v>
      </c>
      <c r="H34" s="155">
        <v>0</v>
      </c>
      <c r="I34" s="155">
        <v>0</v>
      </c>
      <c r="J34" s="155">
        <v>0</v>
      </c>
      <c r="K34" s="155">
        <v>0</v>
      </c>
      <c r="L34" s="155">
        <v>0</v>
      </c>
      <c r="M34" s="155">
        <v>0</v>
      </c>
      <c r="N34" s="155">
        <v>0</v>
      </c>
      <c r="O34" s="155">
        <v>0</v>
      </c>
      <c r="P34" s="155">
        <v>0</v>
      </c>
      <c r="Q34" s="148"/>
      <c r="R34" s="178">
        <v>0</v>
      </c>
      <c r="S34" s="180">
        <v>0</v>
      </c>
      <c r="T34" s="180">
        <v>0</v>
      </c>
      <c r="U34" s="180">
        <v>0</v>
      </c>
      <c r="V34" s="180">
        <v>0</v>
      </c>
      <c r="W34" s="180">
        <v>0</v>
      </c>
      <c r="X34" s="180">
        <v>0</v>
      </c>
      <c r="Y34" s="180">
        <v>0</v>
      </c>
      <c r="Z34" s="180">
        <v>0</v>
      </c>
      <c r="AA34" s="180">
        <v>0</v>
      </c>
      <c r="AB34" s="180">
        <v>0</v>
      </c>
      <c r="AC34" s="180">
        <v>0</v>
      </c>
      <c r="AD34" s="193"/>
      <c r="AE34" s="214">
        <v>0</v>
      </c>
      <c r="AF34" s="216">
        <v>0</v>
      </c>
      <c r="AG34" s="216">
        <v>0</v>
      </c>
      <c r="AH34" s="214">
        <v>0</v>
      </c>
      <c r="AI34" s="214">
        <v>0</v>
      </c>
      <c r="AJ34" s="214">
        <v>0</v>
      </c>
      <c r="AK34" s="214">
        <v>0</v>
      </c>
      <c r="AL34" s="216">
        <v>0</v>
      </c>
      <c r="AM34" s="255">
        <v>0</v>
      </c>
    </row>
    <row r="35" spans="1:39" ht="15.6">
      <c r="A35" s="133"/>
      <c r="B35" s="133"/>
      <c r="C35" s="152"/>
      <c r="D35" s="130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93"/>
    </row>
    <row r="36" spans="1:39" ht="15.75">
      <c r="A36" s="133">
        <v>7</v>
      </c>
      <c r="B36" s="134" t="s">
        <v>31</v>
      </c>
      <c r="C36" s="153">
        <f t="shared" ref="C36:I36" si="28">SUM(C37:C41)</f>
        <v>152589572</v>
      </c>
      <c r="D36" s="125">
        <f t="shared" si="28"/>
        <v>47651806</v>
      </c>
      <c r="E36" s="125">
        <f t="shared" si="28"/>
        <v>10083535.119999999</v>
      </c>
      <c r="F36" s="125">
        <f t="shared" si="28"/>
        <v>23677406.119999997</v>
      </c>
      <c r="G36" s="125">
        <f t="shared" si="28"/>
        <v>37665714.280000001</v>
      </c>
      <c r="H36" s="125">
        <f t="shared" si="28"/>
        <v>48278444.68</v>
      </c>
      <c r="I36" s="125">
        <f t="shared" si="28"/>
        <v>59127587.029999994</v>
      </c>
      <c r="J36" s="125">
        <f t="shared" ref="J36:Q36" si="29">SUM(J37:J41)</f>
        <v>70749906.299999997</v>
      </c>
      <c r="K36" s="125">
        <f t="shared" si="29"/>
        <v>82655889.589999989</v>
      </c>
      <c r="L36" s="125">
        <f t="shared" si="29"/>
        <v>96522614.919999987</v>
      </c>
      <c r="M36" s="125">
        <f t="shared" si="29"/>
        <v>110479024.04000001</v>
      </c>
      <c r="N36" s="125">
        <f t="shared" si="29"/>
        <v>123887283.45999999</v>
      </c>
      <c r="O36" s="125">
        <f t="shared" si="29"/>
        <v>142748539.66</v>
      </c>
      <c r="P36" s="125">
        <f t="shared" si="29"/>
        <v>158543651.80999997</v>
      </c>
      <c r="Q36" s="125">
        <f t="shared" si="29"/>
        <v>159558030</v>
      </c>
      <c r="R36" s="125">
        <f t="shared" ref="R36:Y36" si="30">SUM(R37:R41)</f>
        <v>13987180.449999999</v>
      </c>
      <c r="S36" s="125">
        <f t="shared" si="30"/>
        <v>30889508.830000002</v>
      </c>
      <c r="T36" s="125">
        <f t="shared" si="30"/>
        <v>49659480.299999997</v>
      </c>
      <c r="U36" s="125">
        <f t="shared" si="30"/>
        <v>64494586.859999999</v>
      </c>
      <c r="V36" s="125">
        <f t="shared" si="30"/>
        <v>81088794.719999999</v>
      </c>
      <c r="W36" s="125">
        <f t="shared" si="30"/>
        <v>95777669.950000018</v>
      </c>
      <c r="X36" s="125">
        <f t="shared" si="30"/>
        <v>112678358.55000001</v>
      </c>
      <c r="Y36" s="125">
        <f t="shared" si="30"/>
        <v>126160514.64000002</v>
      </c>
      <c r="Z36" s="125">
        <f t="shared" ref="Z36:AM36" si="31">SUM(Z37:Z41)</f>
        <v>139306099.56</v>
      </c>
      <c r="AA36" s="125">
        <f t="shared" si="31"/>
        <v>152436021.56</v>
      </c>
      <c r="AB36" s="125">
        <f t="shared" si="31"/>
        <v>165430599.69999999</v>
      </c>
      <c r="AC36" s="125">
        <f t="shared" si="31"/>
        <v>174608442.74000001</v>
      </c>
      <c r="AD36" s="125">
        <f t="shared" si="31"/>
        <v>180854957</v>
      </c>
      <c r="AE36" s="125">
        <f t="shared" si="31"/>
        <v>16422120.309999999</v>
      </c>
      <c r="AF36" s="125">
        <f t="shared" si="31"/>
        <v>39362563.920000002</v>
      </c>
      <c r="AG36" s="125">
        <f t="shared" si="31"/>
        <v>54358753.519999996</v>
      </c>
      <c r="AH36" s="125">
        <f t="shared" si="31"/>
        <v>72744577.770000011</v>
      </c>
      <c r="AI36" s="125">
        <f t="shared" si="31"/>
        <v>90127894.310000002</v>
      </c>
      <c r="AJ36" s="125">
        <f t="shared" si="31"/>
        <v>107890643.88</v>
      </c>
      <c r="AK36" s="125">
        <f t="shared" si="31"/>
        <v>126299936.58000001</v>
      </c>
      <c r="AL36" s="125">
        <f t="shared" si="31"/>
        <v>148079912.94</v>
      </c>
      <c r="AM36" s="125">
        <f t="shared" si="31"/>
        <v>165514035.37</v>
      </c>
    </row>
    <row r="37" spans="1:39" ht="15.75">
      <c r="A37" s="133">
        <v>7.1</v>
      </c>
      <c r="B37" s="133" t="s">
        <v>32</v>
      </c>
      <c r="C37" s="152">
        <v>83180130</v>
      </c>
      <c r="D37" s="129"/>
      <c r="E37" s="147">
        <v>6846391.5999999996</v>
      </c>
      <c r="F37" s="147">
        <v>14424662.6</v>
      </c>
      <c r="G37" s="147">
        <v>21709590.100000001</v>
      </c>
      <c r="H37" s="154">
        <v>28888747.5</v>
      </c>
      <c r="I37" s="154">
        <v>36073700.299999997</v>
      </c>
      <c r="J37" s="154">
        <v>43487031.200000003</v>
      </c>
      <c r="K37" s="154">
        <v>51028726.799999997</v>
      </c>
      <c r="L37" s="154">
        <v>58598128.799999997</v>
      </c>
      <c r="M37" s="154">
        <v>66461118.100000001</v>
      </c>
      <c r="N37" s="154">
        <v>73718746</v>
      </c>
      <c r="O37" s="154">
        <v>82063953.099999994</v>
      </c>
      <c r="P37" s="154">
        <v>92175301.200000003</v>
      </c>
      <c r="Q37" s="154">
        <v>92175300</v>
      </c>
      <c r="R37" s="175">
        <v>7169960.5</v>
      </c>
      <c r="S37" s="177">
        <v>14663465</v>
      </c>
      <c r="T37" s="177">
        <v>23897515.199999999</v>
      </c>
      <c r="U37" s="177">
        <v>31951663.600000001</v>
      </c>
      <c r="V37" s="177">
        <v>41742047.299999997</v>
      </c>
      <c r="W37" s="177">
        <v>51089482.299999997</v>
      </c>
      <c r="X37" s="177">
        <v>59562216.600000001</v>
      </c>
      <c r="Y37" s="177">
        <v>68033733.900000006</v>
      </c>
      <c r="Z37" s="177">
        <v>76952383.299999997</v>
      </c>
      <c r="AA37" s="177">
        <v>85642176.5</v>
      </c>
      <c r="AB37" s="177">
        <v>94222871.900000006</v>
      </c>
      <c r="AC37" s="177">
        <v>103868683</v>
      </c>
      <c r="AD37" s="194">
        <v>102435265</v>
      </c>
      <c r="AE37" s="211">
        <v>8863477.6999999993</v>
      </c>
      <c r="AF37" s="213">
        <v>18676464</v>
      </c>
      <c r="AG37" s="213">
        <v>28270439</v>
      </c>
      <c r="AH37" s="211">
        <v>38031208.600000001</v>
      </c>
      <c r="AI37" s="211">
        <v>47783720.200000003</v>
      </c>
      <c r="AJ37" s="211">
        <v>57819211.200000003</v>
      </c>
      <c r="AK37" s="211">
        <v>68979876.700000003</v>
      </c>
      <c r="AL37" s="213">
        <v>80412524</v>
      </c>
      <c r="AM37" s="254">
        <v>90331971.5</v>
      </c>
    </row>
    <row r="38" spans="1:39" ht="15.75">
      <c r="A38" s="133">
        <v>7.2</v>
      </c>
      <c r="B38" s="133" t="s">
        <v>33</v>
      </c>
      <c r="C38" s="152">
        <v>18555496</v>
      </c>
      <c r="D38" s="126">
        <v>12796431</v>
      </c>
      <c r="E38" s="147">
        <v>646701.32999999996</v>
      </c>
      <c r="F38" s="147">
        <v>2204133.67</v>
      </c>
      <c r="G38" s="147">
        <v>5913562.1500000004</v>
      </c>
      <c r="H38" s="154">
        <v>6377784.9100000001</v>
      </c>
      <c r="I38" s="154">
        <v>7063342.04</v>
      </c>
      <c r="J38" s="154">
        <v>8329283.3700000001</v>
      </c>
      <c r="K38" s="154">
        <v>9508617.9700000007</v>
      </c>
      <c r="L38" s="154">
        <v>11796616.43</v>
      </c>
      <c r="M38" s="154">
        <v>14284820.74</v>
      </c>
      <c r="N38" s="154">
        <v>17158718.620000001</v>
      </c>
      <c r="O38" s="154">
        <v>19116689.52</v>
      </c>
      <c r="P38" s="154">
        <v>20834461.149999999</v>
      </c>
      <c r="Q38" s="154">
        <v>20834461</v>
      </c>
      <c r="R38" s="179">
        <v>1129485.6100000001</v>
      </c>
      <c r="S38" s="181">
        <v>5637386.5899999999</v>
      </c>
      <c r="T38" s="181">
        <v>10774189.77</v>
      </c>
      <c r="U38" s="181">
        <v>12536116.880000001</v>
      </c>
      <c r="V38" s="181">
        <v>14891407.640000001</v>
      </c>
      <c r="W38" s="181">
        <v>16269015.869999999</v>
      </c>
      <c r="X38" s="181">
        <v>19300233.609999999</v>
      </c>
      <c r="Y38" s="181">
        <v>20402277.359999999</v>
      </c>
      <c r="Z38" s="181">
        <v>21071905.920000002</v>
      </c>
      <c r="AA38" s="181">
        <v>21785115.949999999</v>
      </c>
      <c r="AB38" s="181">
        <v>22808559.77</v>
      </c>
      <c r="AC38" s="181">
        <v>25394912.32</v>
      </c>
      <c r="AD38" s="194">
        <v>25394912</v>
      </c>
      <c r="AE38" s="215">
        <v>2104016.1</v>
      </c>
      <c r="AF38" s="217">
        <v>10610224.890000001</v>
      </c>
      <c r="AG38" s="217">
        <v>11786461.77</v>
      </c>
      <c r="AH38" s="215">
        <v>14318454.67</v>
      </c>
      <c r="AI38" s="215">
        <v>16097587.58</v>
      </c>
      <c r="AJ38" s="215">
        <v>18398958.539999999</v>
      </c>
      <c r="AK38" s="215">
        <v>20101372.469999999</v>
      </c>
      <c r="AL38" s="217">
        <v>24439314.960000001</v>
      </c>
      <c r="AM38" s="256">
        <v>26490225.899999999</v>
      </c>
    </row>
    <row r="39" spans="1:39" ht="15.75">
      <c r="A39" s="133">
        <v>7.3</v>
      </c>
      <c r="B39" s="133" t="s">
        <v>34</v>
      </c>
      <c r="C39" s="161">
        <v>5623020</v>
      </c>
      <c r="D39" s="126">
        <v>2529990</v>
      </c>
      <c r="E39" s="147">
        <v>548488.64</v>
      </c>
      <c r="F39" s="147">
        <v>657591.71</v>
      </c>
      <c r="G39" s="147">
        <v>698626</v>
      </c>
      <c r="H39" s="154">
        <v>986608.04</v>
      </c>
      <c r="I39" s="154">
        <v>1541737.33</v>
      </c>
      <c r="J39" s="154">
        <v>1798050.39</v>
      </c>
      <c r="K39" s="154">
        <v>2410233.6800000002</v>
      </c>
      <c r="L39" s="154">
        <v>3038618.57</v>
      </c>
      <c r="M39" s="154">
        <v>3329906.67</v>
      </c>
      <c r="N39" s="154">
        <v>3689656.96</v>
      </c>
      <c r="O39" s="154">
        <v>4040316.44</v>
      </c>
      <c r="P39" s="154">
        <v>4651814.1900000004</v>
      </c>
      <c r="Q39" s="154">
        <v>4651814</v>
      </c>
      <c r="R39" s="179">
        <v>187971.33</v>
      </c>
      <c r="S39" s="181">
        <v>1539739.08</v>
      </c>
      <c r="T39" s="181">
        <v>2147698.41</v>
      </c>
      <c r="U39" s="181">
        <v>2955266.99</v>
      </c>
      <c r="V39" s="181">
        <v>3490436.88</v>
      </c>
      <c r="W39" s="181">
        <v>3892641.37</v>
      </c>
      <c r="X39" s="181">
        <v>5213628.66</v>
      </c>
      <c r="Y39" s="181">
        <v>5328922.95</v>
      </c>
      <c r="Z39" s="181">
        <v>5602869.2400000002</v>
      </c>
      <c r="AA39" s="181">
        <v>5866759.25</v>
      </c>
      <c r="AB39" s="181">
        <v>6041715.6200000001</v>
      </c>
      <c r="AC39" s="181">
        <v>6086438.21</v>
      </c>
      <c r="AD39" s="194">
        <v>6086438</v>
      </c>
      <c r="AE39" s="215">
        <v>159256.74</v>
      </c>
      <c r="AF39" s="217">
        <v>684029.03</v>
      </c>
      <c r="AG39" s="217">
        <v>1392510.95</v>
      </c>
      <c r="AH39" s="215">
        <v>2182705.7999999998</v>
      </c>
      <c r="AI39" s="215">
        <v>3365323.15</v>
      </c>
      <c r="AJ39" s="215">
        <v>3962980.61</v>
      </c>
      <c r="AK39" s="215">
        <v>4709549.6500000004</v>
      </c>
      <c r="AL39" s="217">
        <v>5782813.6699999999</v>
      </c>
      <c r="AM39" s="256">
        <v>6389502.5899999999</v>
      </c>
    </row>
    <row r="40" spans="1:39" ht="17.25" customHeight="1">
      <c r="A40" s="133">
        <v>7.4</v>
      </c>
      <c r="B40" s="133" t="s">
        <v>35</v>
      </c>
      <c r="C40" s="161">
        <v>5000262</v>
      </c>
      <c r="D40" s="126">
        <v>4189816</v>
      </c>
      <c r="E40" s="147">
        <v>219508.47</v>
      </c>
      <c r="F40" s="147">
        <v>219508.47</v>
      </c>
      <c r="G40" s="147">
        <v>681804.73</v>
      </c>
      <c r="H40" s="154">
        <v>924592.52</v>
      </c>
      <c r="I40" s="154">
        <v>1167380.33</v>
      </c>
      <c r="J40" s="154">
        <v>1444691.93</v>
      </c>
      <c r="K40" s="154">
        <v>1739536.55</v>
      </c>
      <c r="L40" s="154">
        <v>2056159.09</v>
      </c>
      <c r="M40" s="154">
        <v>2372781.65</v>
      </c>
      <c r="N40" s="154">
        <v>2689404.21</v>
      </c>
      <c r="O40" s="154">
        <v>8006140.8600000003</v>
      </c>
      <c r="P40" s="154">
        <v>8764703.7899999991</v>
      </c>
      <c r="Q40" s="154">
        <v>8779256</v>
      </c>
      <c r="R40" s="179">
        <v>674770.05</v>
      </c>
      <c r="S40" s="181">
        <v>1553736.61</v>
      </c>
      <c r="T40" s="181">
        <v>2431866.34</v>
      </c>
      <c r="U40" s="181">
        <v>3309996.09</v>
      </c>
      <c r="V40" s="181">
        <v>4240149.29</v>
      </c>
      <c r="W40" s="181">
        <v>5148076.54</v>
      </c>
      <c r="X40" s="181">
        <v>6104860.9500000002</v>
      </c>
      <c r="Y40" s="181">
        <v>7061645.2300000004</v>
      </c>
      <c r="Z40" s="181">
        <v>7836454.71</v>
      </c>
      <c r="AA40" s="181">
        <v>8975214.0500000007</v>
      </c>
      <c r="AB40" s="181">
        <v>9931998.4600000009</v>
      </c>
      <c r="AC40" s="181">
        <v>10888782.869999999</v>
      </c>
      <c r="AD40" s="194">
        <v>10125136</v>
      </c>
      <c r="AE40" s="215">
        <v>807649.38</v>
      </c>
      <c r="AF40" s="217">
        <v>1611630.81</v>
      </c>
      <c r="AG40" s="217">
        <v>2420205.19</v>
      </c>
      <c r="AH40" s="215">
        <v>3297612.49</v>
      </c>
      <c r="AI40" s="215">
        <v>4175403.33</v>
      </c>
      <c r="AJ40" s="215">
        <v>5069078.3499999996</v>
      </c>
      <c r="AK40" s="215">
        <v>5973538.1500000004</v>
      </c>
      <c r="AL40" s="217">
        <v>6877997.9500000002</v>
      </c>
      <c r="AM40" s="256">
        <v>7734732.2699999996</v>
      </c>
    </row>
    <row r="41" spans="1:39" ht="15.75">
      <c r="A41" s="133">
        <v>7.5</v>
      </c>
      <c r="B41" s="133" t="s">
        <v>36</v>
      </c>
      <c r="C41" s="152">
        <v>40230664</v>
      </c>
      <c r="D41" s="126">
        <v>28135569</v>
      </c>
      <c r="E41" s="147">
        <v>1822445.08</v>
      </c>
      <c r="F41" s="147">
        <v>6171509.6699999999</v>
      </c>
      <c r="G41" s="147">
        <v>8662131.3000000007</v>
      </c>
      <c r="H41" s="154">
        <v>11100711.710000001</v>
      </c>
      <c r="I41" s="154">
        <v>13281427.029999999</v>
      </c>
      <c r="J41" s="154">
        <v>15690849.41</v>
      </c>
      <c r="K41" s="154">
        <v>17968774.59</v>
      </c>
      <c r="L41" s="154">
        <v>21033092.030000001</v>
      </c>
      <c r="M41" s="154">
        <v>24030396.879999999</v>
      </c>
      <c r="N41" s="154">
        <v>26630757.670000002</v>
      </c>
      <c r="O41" s="154">
        <v>29521439.739999998</v>
      </c>
      <c r="P41" s="154">
        <v>32117371.48</v>
      </c>
      <c r="Q41" s="154">
        <v>33117199</v>
      </c>
      <c r="R41" s="179">
        <v>4824992.96</v>
      </c>
      <c r="S41" s="181">
        <v>7495181.5499999998</v>
      </c>
      <c r="T41" s="181">
        <v>10408210.58</v>
      </c>
      <c r="U41" s="181">
        <v>13741543.300000001</v>
      </c>
      <c r="V41" s="181">
        <v>16724753.609999999</v>
      </c>
      <c r="W41" s="181">
        <v>19378453.870000001</v>
      </c>
      <c r="X41" s="181">
        <v>22497418.73</v>
      </c>
      <c r="Y41" s="181">
        <v>25333935.199999999</v>
      </c>
      <c r="Z41" s="181">
        <v>27842486.390000001</v>
      </c>
      <c r="AA41" s="181">
        <v>30166755.809999999</v>
      </c>
      <c r="AB41" s="181">
        <v>32425453.949999999</v>
      </c>
      <c r="AC41" s="181">
        <v>28369626.34</v>
      </c>
      <c r="AD41" s="194">
        <v>36813206</v>
      </c>
      <c r="AE41" s="215">
        <v>4487720.3899999997</v>
      </c>
      <c r="AF41" s="217">
        <v>7780215.1900000004</v>
      </c>
      <c r="AG41" s="217">
        <v>10489136.609999999</v>
      </c>
      <c r="AH41" s="215">
        <v>14914596.210000001</v>
      </c>
      <c r="AI41" s="215">
        <v>18705860.050000001</v>
      </c>
      <c r="AJ41" s="215">
        <v>22640415.18</v>
      </c>
      <c r="AK41" s="215">
        <v>26535599.609999999</v>
      </c>
      <c r="AL41" s="217">
        <v>30567262.359999999</v>
      </c>
      <c r="AM41" s="256">
        <v>34567603.109999999</v>
      </c>
    </row>
    <row r="42" spans="1:39" ht="15.6">
      <c r="A42" s="133"/>
      <c r="B42" s="133"/>
      <c r="C42" s="152"/>
      <c r="D42" s="12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93"/>
    </row>
    <row r="43" spans="1:39" ht="15.75">
      <c r="A43" s="133">
        <v>8</v>
      </c>
      <c r="B43" s="134" t="s">
        <v>37</v>
      </c>
      <c r="C43" s="153">
        <f t="shared" ref="C43:I43" si="32">C30-C32-C36</f>
        <v>185831807</v>
      </c>
      <c r="D43" s="125">
        <f t="shared" si="32"/>
        <v>264549025</v>
      </c>
      <c r="E43" s="125">
        <f t="shared" si="32"/>
        <v>44815678.31000001</v>
      </c>
      <c r="F43" s="125">
        <f t="shared" si="32"/>
        <v>79271297.770000011</v>
      </c>
      <c r="G43" s="125">
        <f t="shared" si="32"/>
        <v>121648039.13</v>
      </c>
      <c r="H43" s="125">
        <f t="shared" si="32"/>
        <v>164924690.25</v>
      </c>
      <c r="I43" s="125">
        <f t="shared" si="32"/>
        <v>205723482.87</v>
      </c>
      <c r="J43" s="125">
        <f t="shared" ref="J43:Q43" si="33">J30-J32-J36</f>
        <v>249551872.46999991</v>
      </c>
      <c r="K43" s="125">
        <f t="shared" si="33"/>
        <v>292653006.89000005</v>
      </c>
      <c r="L43" s="125">
        <f t="shared" si="33"/>
        <v>330995497.01999998</v>
      </c>
      <c r="M43" s="125">
        <f t="shared" si="33"/>
        <v>371821618.82000005</v>
      </c>
      <c r="N43" s="125">
        <f t="shared" si="33"/>
        <v>410904769.77000004</v>
      </c>
      <c r="O43" s="125">
        <f t="shared" si="33"/>
        <v>445160148.1500001</v>
      </c>
      <c r="P43" s="125">
        <f t="shared" si="33"/>
        <v>481224295.21000016</v>
      </c>
      <c r="Q43" s="125">
        <f t="shared" si="33"/>
        <v>224462950</v>
      </c>
      <c r="R43" s="125">
        <f t="shared" ref="R43:Y43" si="34">R30-R32-R36</f>
        <v>41144197.340000004</v>
      </c>
      <c r="S43" s="125">
        <f t="shared" si="34"/>
        <v>73299578.559999987</v>
      </c>
      <c r="T43" s="125">
        <f t="shared" si="34"/>
        <v>110168808.68999998</v>
      </c>
      <c r="U43" s="125">
        <f t="shared" si="34"/>
        <v>148848987.30000001</v>
      </c>
      <c r="V43" s="125">
        <f t="shared" si="34"/>
        <v>179748902.48000002</v>
      </c>
      <c r="W43" s="125">
        <f t="shared" si="34"/>
        <v>215817966.39999995</v>
      </c>
      <c r="X43" s="125">
        <f t="shared" si="34"/>
        <v>248394065.26999998</v>
      </c>
      <c r="Y43" s="125">
        <f t="shared" si="34"/>
        <v>284666704.70999992</v>
      </c>
      <c r="Z43" s="125">
        <f t="shared" ref="Z43:AM43" si="35">Z30-Z32-Z36</f>
        <v>323623417.86000007</v>
      </c>
      <c r="AA43" s="125">
        <f t="shared" si="35"/>
        <v>365184260.79999995</v>
      </c>
      <c r="AB43" s="125">
        <f t="shared" si="35"/>
        <v>412368233.22000009</v>
      </c>
      <c r="AC43" s="125">
        <f t="shared" si="35"/>
        <v>490114749.04999995</v>
      </c>
      <c r="AD43" s="125">
        <f t="shared" si="35"/>
        <v>210430847</v>
      </c>
      <c r="AE43" s="125">
        <f t="shared" si="35"/>
        <v>45102693.310000002</v>
      </c>
      <c r="AF43" s="125">
        <f t="shared" si="35"/>
        <v>78940358.439999998</v>
      </c>
      <c r="AG43" s="125">
        <f t="shared" si="35"/>
        <v>118143152.15000002</v>
      </c>
      <c r="AH43" s="125">
        <f t="shared" si="35"/>
        <v>157375413.04000002</v>
      </c>
      <c r="AI43" s="125">
        <f t="shared" si="35"/>
        <v>199707645.01999998</v>
      </c>
      <c r="AJ43" s="125">
        <f t="shared" si="35"/>
        <v>249403961.66999996</v>
      </c>
      <c r="AK43" s="125">
        <f t="shared" si="35"/>
        <v>290449269.33000004</v>
      </c>
      <c r="AL43" s="125">
        <f t="shared" si="35"/>
        <v>329464902.58999997</v>
      </c>
      <c r="AM43" s="125">
        <f t="shared" si="35"/>
        <v>373331207.77999997</v>
      </c>
    </row>
    <row r="44" spans="1:39" ht="15.6">
      <c r="A44" s="133"/>
      <c r="B44" s="134"/>
      <c r="C44" s="152"/>
      <c r="D44" s="12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93"/>
    </row>
    <row r="45" spans="1:39" ht="15.75">
      <c r="A45" s="133">
        <v>9</v>
      </c>
      <c r="B45" s="134" t="s">
        <v>38</v>
      </c>
      <c r="C45" s="153">
        <f t="shared" ref="C45:I45" si="36">C46-C47</f>
        <v>0</v>
      </c>
      <c r="D45" s="125">
        <f t="shared" si="36"/>
        <v>0</v>
      </c>
      <c r="E45" s="125">
        <f t="shared" si="36"/>
        <v>0</v>
      </c>
      <c r="F45" s="125">
        <f t="shared" si="36"/>
        <v>0</v>
      </c>
      <c r="G45" s="125">
        <f t="shared" si="36"/>
        <v>0</v>
      </c>
      <c r="H45" s="125">
        <f t="shared" si="36"/>
        <v>0</v>
      </c>
      <c r="I45" s="125">
        <f t="shared" si="36"/>
        <v>0</v>
      </c>
      <c r="J45" s="125">
        <f t="shared" ref="J45:Q45" si="37">J46-J47</f>
        <v>0</v>
      </c>
      <c r="K45" s="125">
        <f t="shared" si="37"/>
        <v>0</v>
      </c>
      <c r="L45" s="125">
        <f t="shared" si="37"/>
        <v>0</v>
      </c>
      <c r="M45" s="125">
        <f t="shared" si="37"/>
        <v>0</v>
      </c>
      <c r="N45" s="125">
        <f t="shared" si="37"/>
        <v>0</v>
      </c>
      <c r="O45" s="125">
        <f t="shared" si="37"/>
        <v>0</v>
      </c>
      <c r="P45" s="125">
        <f t="shared" si="37"/>
        <v>0</v>
      </c>
      <c r="Q45" s="125">
        <f t="shared" si="37"/>
        <v>0</v>
      </c>
      <c r="R45" s="125">
        <f t="shared" ref="R45:Y45" si="38">R46-R47</f>
        <v>0</v>
      </c>
      <c r="S45" s="125">
        <f t="shared" si="38"/>
        <v>0</v>
      </c>
      <c r="T45" s="125">
        <f t="shared" si="38"/>
        <v>0</v>
      </c>
      <c r="U45" s="125">
        <f t="shared" si="38"/>
        <v>0</v>
      </c>
      <c r="V45" s="125">
        <f t="shared" si="38"/>
        <v>0</v>
      </c>
      <c r="W45" s="125">
        <f t="shared" si="38"/>
        <v>0</v>
      </c>
      <c r="X45" s="125">
        <f t="shared" si="38"/>
        <v>0</v>
      </c>
      <c r="Y45" s="125">
        <f t="shared" si="38"/>
        <v>0</v>
      </c>
      <c r="Z45" s="125">
        <f t="shared" ref="Z45:AM45" si="39">Z46-Z47</f>
        <v>0</v>
      </c>
      <c r="AA45" s="125">
        <f t="shared" si="39"/>
        <v>0</v>
      </c>
      <c r="AB45" s="125">
        <f t="shared" si="39"/>
        <v>0</v>
      </c>
      <c r="AC45" s="125">
        <f t="shared" si="39"/>
        <v>0</v>
      </c>
      <c r="AD45" s="125">
        <f t="shared" si="39"/>
        <v>0</v>
      </c>
      <c r="AE45" s="125">
        <f t="shared" si="39"/>
        <v>0</v>
      </c>
      <c r="AF45" s="125">
        <f t="shared" si="39"/>
        <v>0</v>
      </c>
      <c r="AG45" s="125">
        <f t="shared" si="39"/>
        <v>0</v>
      </c>
      <c r="AH45" s="125">
        <f t="shared" si="39"/>
        <v>0</v>
      </c>
      <c r="AI45" s="125">
        <f t="shared" si="39"/>
        <v>0</v>
      </c>
      <c r="AJ45" s="125">
        <f t="shared" si="39"/>
        <v>0</v>
      </c>
      <c r="AK45" s="125">
        <f t="shared" si="39"/>
        <v>0</v>
      </c>
      <c r="AL45" s="125">
        <f t="shared" si="39"/>
        <v>0</v>
      </c>
      <c r="AM45" s="125">
        <f t="shared" si="39"/>
        <v>0</v>
      </c>
    </row>
    <row r="46" spans="1:39" ht="15.75">
      <c r="A46" s="133">
        <v>9.1</v>
      </c>
      <c r="B46" s="133" t="s">
        <v>39</v>
      </c>
      <c r="C46" s="152">
        <v>0</v>
      </c>
      <c r="D46" s="126"/>
      <c r="E46" s="147">
        <v>0</v>
      </c>
      <c r="F46" s="147">
        <v>0</v>
      </c>
      <c r="G46" s="147">
        <v>0</v>
      </c>
      <c r="H46" s="155">
        <v>0</v>
      </c>
      <c r="I46" s="155">
        <v>0</v>
      </c>
      <c r="J46" s="155">
        <v>0</v>
      </c>
      <c r="K46" s="155">
        <v>0</v>
      </c>
      <c r="L46" s="155">
        <v>0</v>
      </c>
      <c r="M46" s="148"/>
      <c r="N46" s="148"/>
      <c r="O46" s="148"/>
      <c r="P46" s="148"/>
      <c r="Q46" s="148"/>
      <c r="R46" s="174">
        <v>0</v>
      </c>
      <c r="S46" s="176">
        <v>0</v>
      </c>
      <c r="T46" s="176">
        <v>0</v>
      </c>
      <c r="U46" s="176">
        <v>0</v>
      </c>
      <c r="V46" s="176">
        <v>0</v>
      </c>
      <c r="W46" s="176">
        <v>0</v>
      </c>
      <c r="X46" s="176">
        <v>0</v>
      </c>
      <c r="Y46" s="176">
        <v>0</v>
      </c>
      <c r="Z46" s="176">
        <v>0</v>
      </c>
      <c r="AA46" s="176">
        <v>0</v>
      </c>
      <c r="AB46" s="176">
        <v>0</v>
      </c>
      <c r="AC46" s="176">
        <v>0</v>
      </c>
      <c r="AD46" s="193"/>
      <c r="AE46" s="210">
        <v>0</v>
      </c>
      <c r="AF46" s="212">
        <v>0</v>
      </c>
      <c r="AG46" s="212">
        <v>0</v>
      </c>
      <c r="AH46" s="210">
        <v>0</v>
      </c>
      <c r="AI46" s="210">
        <v>0</v>
      </c>
      <c r="AJ46" s="210">
        <v>0</v>
      </c>
      <c r="AK46" s="210">
        <v>0</v>
      </c>
      <c r="AL46" s="212">
        <v>0</v>
      </c>
      <c r="AM46" s="253">
        <v>0</v>
      </c>
    </row>
    <row r="47" spans="1:39" ht="15.75">
      <c r="A47" s="133">
        <v>9.1999999999999993</v>
      </c>
      <c r="B47" s="133" t="s">
        <v>40</v>
      </c>
      <c r="C47" s="152">
        <v>0</v>
      </c>
      <c r="D47" s="126"/>
      <c r="E47" s="147">
        <v>0</v>
      </c>
      <c r="F47" s="147">
        <v>0</v>
      </c>
      <c r="G47" s="147">
        <v>0</v>
      </c>
      <c r="H47" s="155">
        <v>0</v>
      </c>
      <c r="I47" s="155">
        <v>0</v>
      </c>
      <c r="J47" s="155">
        <v>0</v>
      </c>
      <c r="K47" s="155">
        <v>0</v>
      </c>
      <c r="L47" s="155">
        <v>0</v>
      </c>
      <c r="M47" s="148"/>
      <c r="N47" s="148"/>
      <c r="O47" s="148"/>
      <c r="P47" s="148"/>
      <c r="Q47" s="148"/>
      <c r="R47" s="178">
        <v>0</v>
      </c>
      <c r="S47" s="180">
        <v>0</v>
      </c>
      <c r="T47" s="180">
        <v>0</v>
      </c>
      <c r="U47" s="180">
        <v>0</v>
      </c>
      <c r="V47" s="180">
        <v>0</v>
      </c>
      <c r="W47" s="180">
        <v>0</v>
      </c>
      <c r="X47" s="180">
        <v>0</v>
      </c>
      <c r="Y47" s="180">
        <v>0</v>
      </c>
      <c r="Z47" s="180">
        <v>0</v>
      </c>
      <c r="AA47" s="180">
        <v>0</v>
      </c>
      <c r="AB47" s="180">
        <v>0</v>
      </c>
      <c r="AC47" s="180">
        <v>0</v>
      </c>
      <c r="AD47" s="193"/>
      <c r="AE47" s="214">
        <v>0</v>
      </c>
      <c r="AF47" s="216">
        <v>0</v>
      </c>
      <c r="AG47" s="216">
        <v>0</v>
      </c>
      <c r="AH47" s="214">
        <v>0</v>
      </c>
      <c r="AI47" s="214">
        <v>0</v>
      </c>
      <c r="AJ47" s="214">
        <v>0</v>
      </c>
      <c r="AK47" s="214">
        <v>0</v>
      </c>
      <c r="AL47" s="216">
        <v>0</v>
      </c>
      <c r="AM47" s="255">
        <v>0</v>
      </c>
    </row>
    <row r="48" spans="1:39" ht="15.6">
      <c r="A48" s="133"/>
      <c r="B48" s="133"/>
      <c r="C48" s="152"/>
      <c r="D48" s="12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93"/>
    </row>
    <row r="49" spans="1:39" ht="15.75">
      <c r="A49" s="133">
        <v>10</v>
      </c>
      <c r="B49" s="133" t="s">
        <v>41</v>
      </c>
      <c r="C49" s="162">
        <f t="shared" ref="C49:I49" si="40">C43+C45</f>
        <v>185831807</v>
      </c>
      <c r="D49" s="131">
        <f t="shared" si="40"/>
        <v>264549025</v>
      </c>
      <c r="E49" s="131">
        <f t="shared" si="40"/>
        <v>44815678.31000001</v>
      </c>
      <c r="F49" s="131">
        <f t="shared" si="40"/>
        <v>79271297.770000011</v>
      </c>
      <c r="G49" s="131">
        <f t="shared" si="40"/>
        <v>121648039.13</v>
      </c>
      <c r="H49" s="131">
        <f t="shared" si="40"/>
        <v>164924690.25</v>
      </c>
      <c r="I49" s="131">
        <f t="shared" si="40"/>
        <v>205723482.87</v>
      </c>
      <c r="J49" s="131">
        <f t="shared" ref="J49:Q49" si="41">J43+J45</f>
        <v>249551872.46999991</v>
      </c>
      <c r="K49" s="131">
        <f t="shared" si="41"/>
        <v>292653006.89000005</v>
      </c>
      <c r="L49" s="131">
        <f t="shared" si="41"/>
        <v>330995497.01999998</v>
      </c>
      <c r="M49" s="131">
        <f t="shared" si="41"/>
        <v>371821618.82000005</v>
      </c>
      <c r="N49" s="131">
        <f t="shared" si="41"/>
        <v>410904769.77000004</v>
      </c>
      <c r="O49" s="131">
        <f t="shared" si="41"/>
        <v>445160148.1500001</v>
      </c>
      <c r="P49" s="131">
        <f t="shared" si="41"/>
        <v>481224295.21000016</v>
      </c>
      <c r="Q49" s="131">
        <f t="shared" si="41"/>
        <v>224462950</v>
      </c>
      <c r="R49" s="131">
        <f t="shared" ref="R49:Y49" si="42">R43+R45</f>
        <v>41144197.340000004</v>
      </c>
      <c r="S49" s="131">
        <f t="shared" si="42"/>
        <v>73299578.559999987</v>
      </c>
      <c r="T49" s="131">
        <f t="shared" si="42"/>
        <v>110168808.68999998</v>
      </c>
      <c r="U49" s="131">
        <f t="shared" si="42"/>
        <v>148848987.30000001</v>
      </c>
      <c r="V49" s="131">
        <f t="shared" si="42"/>
        <v>179748902.48000002</v>
      </c>
      <c r="W49" s="131">
        <f t="shared" si="42"/>
        <v>215817966.39999995</v>
      </c>
      <c r="X49" s="131">
        <f t="shared" si="42"/>
        <v>248394065.26999998</v>
      </c>
      <c r="Y49" s="131">
        <f t="shared" si="42"/>
        <v>284666704.70999992</v>
      </c>
      <c r="Z49" s="131">
        <f t="shared" ref="Z49:AB49" si="43">Z43+Z45</f>
        <v>323623417.86000007</v>
      </c>
      <c r="AA49" s="131">
        <f t="shared" si="43"/>
        <v>365184260.79999995</v>
      </c>
      <c r="AB49" s="131">
        <f t="shared" si="43"/>
        <v>412368233.22000009</v>
      </c>
      <c r="AC49" s="131">
        <f t="shared" ref="AC49:AM49" si="44">AC43+AC45</f>
        <v>490114749.04999995</v>
      </c>
      <c r="AD49" s="131">
        <f t="shared" si="44"/>
        <v>210430847</v>
      </c>
      <c r="AE49" s="131">
        <f t="shared" si="44"/>
        <v>45102693.310000002</v>
      </c>
      <c r="AF49" s="131">
        <f t="shared" si="44"/>
        <v>78940358.439999998</v>
      </c>
      <c r="AG49" s="131">
        <f t="shared" si="44"/>
        <v>118143152.15000002</v>
      </c>
      <c r="AH49" s="131">
        <f t="shared" si="44"/>
        <v>157375413.04000002</v>
      </c>
      <c r="AI49" s="131">
        <f t="shared" si="44"/>
        <v>199707645.01999998</v>
      </c>
      <c r="AJ49" s="131">
        <f t="shared" si="44"/>
        <v>249403961.66999996</v>
      </c>
      <c r="AK49" s="131">
        <f t="shared" si="44"/>
        <v>290449269.33000004</v>
      </c>
      <c r="AL49" s="131">
        <f t="shared" si="44"/>
        <v>329464902.58999997</v>
      </c>
      <c r="AM49" s="131">
        <f t="shared" si="44"/>
        <v>373331207.77999997</v>
      </c>
    </row>
    <row r="50" spans="1:39" ht="15.6">
      <c r="A50" s="133"/>
      <c r="B50" s="133"/>
      <c r="C50" s="152"/>
      <c r="D50" s="12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93"/>
    </row>
    <row r="51" spans="1:39" ht="15.75">
      <c r="A51" s="133">
        <v>11</v>
      </c>
      <c r="B51" s="133" t="s">
        <v>42</v>
      </c>
      <c r="C51" s="160">
        <v>7408027</v>
      </c>
      <c r="D51" s="129">
        <v>4249879</v>
      </c>
      <c r="E51" s="147">
        <v>0</v>
      </c>
      <c r="F51" s="147">
        <v>0</v>
      </c>
      <c r="G51" s="147">
        <v>0</v>
      </c>
      <c r="H51" s="155">
        <v>0</v>
      </c>
      <c r="I51" s="155">
        <v>0</v>
      </c>
      <c r="J51" s="155">
        <v>0</v>
      </c>
      <c r="K51" s="155">
        <v>0</v>
      </c>
      <c r="L51" s="155">
        <v>0</v>
      </c>
      <c r="M51" s="148"/>
      <c r="N51" s="148"/>
      <c r="O51" s="148"/>
      <c r="P51" s="148"/>
      <c r="Q51" s="148">
        <v>9042145</v>
      </c>
      <c r="R51" s="174">
        <v>0</v>
      </c>
      <c r="S51" s="176">
        <v>0</v>
      </c>
      <c r="T51" s="176">
        <v>0</v>
      </c>
      <c r="U51" s="176">
        <v>0</v>
      </c>
      <c r="V51" s="176">
        <v>0</v>
      </c>
      <c r="W51" s="176">
        <v>0</v>
      </c>
      <c r="X51" s="176">
        <v>0</v>
      </c>
      <c r="Y51" s="176">
        <v>0</v>
      </c>
      <c r="Z51" s="176">
        <v>0</v>
      </c>
      <c r="AA51" s="176">
        <v>0</v>
      </c>
      <c r="AB51" s="176">
        <v>0</v>
      </c>
      <c r="AC51" s="176">
        <v>0</v>
      </c>
      <c r="AD51" s="194">
        <v>12596170</v>
      </c>
      <c r="AE51" s="210">
        <v>0</v>
      </c>
      <c r="AF51" s="212">
        <v>0</v>
      </c>
      <c r="AG51" s="212">
        <v>0</v>
      </c>
      <c r="AH51">
        <v>0</v>
      </c>
      <c r="AI51">
        <v>0</v>
      </c>
      <c r="AJ51" s="210">
        <v>0</v>
      </c>
      <c r="AK51" s="210">
        <v>0</v>
      </c>
      <c r="AL51" s="212">
        <v>0</v>
      </c>
      <c r="AM51" s="212">
        <v>0</v>
      </c>
    </row>
    <row r="52" spans="1:39" ht="15.6">
      <c r="A52" s="133"/>
      <c r="B52" s="133"/>
      <c r="C52" s="152"/>
      <c r="D52" s="12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93"/>
    </row>
    <row r="53" spans="1:39" ht="15.75">
      <c r="A53" s="133">
        <v>12</v>
      </c>
      <c r="B53" s="134" t="s">
        <v>43</v>
      </c>
      <c r="C53" s="153">
        <f t="shared" ref="C53:I53" si="45">C49-C51</f>
        <v>178423780</v>
      </c>
      <c r="D53" s="125">
        <f t="shared" si="45"/>
        <v>260299146</v>
      </c>
      <c r="E53" s="125">
        <f t="shared" si="45"/>
        <v>44815678.31000001</v>
      </c>
      <c r="F53" s="125">
        <f t="shared" si="45"/>
        <v>79271297.770000011</v>
      </c>
      <c r="G53" s="125">
        <f t="shared" si="45"/>
        <v>121648039.13</v>
      </c>
      <c r="H53" s="125">
        <f t="shared" si="45"/>
        <v>164924690.25</v>
      </c>
      <c r="I53" s="125">
        <f t="shared" si="45"/>
        <v>205723482.87</v>
      </c>
      <c r="J53" s="125">
        <f t="shared" ref="J53:Q53" si="46">J49-J51</f>
        <v>249551872.46999991</v>
      </c>
      <c r="K53" s="125">
        <f t="shared" si="46"/>
        <v>292653006.89000005</v>
      </c>
      <c r="L53" s="125">
        <f t="shared" si="46"/>
        <v>330995497.01999998</v>
      </c>
      <c r="M53" s="125">
        <f t="shared" si="46"/>
        <v>371821618.82000005</v>
      </c>
      <c r="N53" s="125">
        <f t="shared" si="46"/>
        <v>410904769.77000004</v>
      </c>
      <c r="O53" s="125">
        <f t="shared" si="46"/>
        <v>445160148.1500001</v>
      </c>
      <c r="P53" s="125">
        <f t="shared" si="46"/>
        <v>481224295.21000016</v>
      </c>
      <c r="Q53" s="125">
        <f t="shared" si="46"/>
        <v>215420805</v>
      </c>
      <c r="R53" s="125">
        <f t="shared" ref="R53:Y53" si="47">R49-R51</f>
        <v>41144197.340000004</v>
      </c>
      <c r="S53" s="125">
        <f t="shared" si="47"/>
        <v>73299578.559999987</v>
      </c>
      <c r="T53" s="125">
        <f t="shared" si="47"/>
        <v>110168808.68999998</v>
      </c>
      <c r="U53" s="125">
        <f t="shared" si="47"/>
        <v>148848987.30000001</v>
      </c>
      <c r="V53" s="125">
        <f t="shared" si="47"/>
        <v>179748902.48000002</v>
      </c>
      <c r="W53" s="125">
        <f t="shared" si="47"/>
        <v>215817966.39999995</v>
      </c>
      <c r="X53" s="125">
        <f t="shared" si="47"/>
        <v>248394065.26999998</v>
      </c>
      <c r="Y53" s="125">
        <f t="shared" si="47"/>
        <v>284666704.70999992</v>
      </c>
      <c r="Z53" s="125">
        <f t="shared" ref="Z53:AB53" si="48">Z49-Z51</f>
        <v>323623417.86000007</v>
      </c>
      <c r="AA53" s="125">
        <f t="shared" si="48"/>
        <v>365184260.79999995</v>
      </c>
      <c r="AB53" s="125">
        <f t="shared" si="48"/>
        <v>412368233.22000009</v>
      </c>
      <c r="AC53" s="125">
        <f t="shared" ref="AC53:AM53" si="49">AC49-AC51</f>
        <v>490114749.04999995</v>
      </c>
      <c r="AD53" s="125">
        <f t="shared" si="49"/>
        <v>197834677</v>
      </c>
      <c r="AE53" s="125">
        <f t="shared" si="49"/>
        <v>45102693.310000002</v>
      </c>
      <c r="AF53" s="125">
        <f t="shared" si="49"/>
        <v>78940358.439999998</v>
      </c>
      <c r="AG53" s="125">
        <f t="shared" si="49"/>
        <v>118143152.15000002</v>
      </c>
      <c r="AH53" s="125">
        <f t="shared" si="49"/>
        <v>157375413.04000002</v>
      </c>
      <c r="AI53" s="125">
        <f t="shared" si="49"/>
        <v>199707645.01999998</v>
      </c>
      <c r="AJ53" s="125">
        <f t="shared" si="49"/>
        <v>249403961.66999996</v>
      </c>
      <c r="AK53" s="125">
        <f t="shared" si="49"/>
        <v>290449269.33000004</v>
      </c>
      <c r="AL53" s="125">
        <f t="shared" si="49"/>
        <v>329464902.58999997</v>
      </c>
      <c r="AM53" s="125">
        <f t="shared" si="49"/>
        <v>373331207.77999997</v>
      </c>
    </row>
    <row r="54" spans="1:39" ht="15.75">
      <c r="A54" s="133">
        <v>13</v>
      </c>
      <c r="B54" s="133" t="s">
        <v>44</v>
      </c>
      <c r="C54" s="152"/>
      <c r="D54" s="129"/>
      <c r="E54" s="147">
        <v>0</v>
      </c>
      <c r="F54" s="147">
        <v>0</v>
      </c>
      <c r="G54" s="147">
        <v>0</v>
      </c>
      <c r="H54" s="155">
        <v>0</v>
      </c>
      <c r="I54" s="155">
        <v>0</v>
      </c>
      <c r="J54" s="155">
        <v>0</v>
      </c>
      <c r="K54" s="155">
        <v>0</v>
      </c>
      <c r="L54" s="155">
        <v>0</v>
      </c>
      <c r="M54" s="148"/>
      <c r="N54" s="148"/>
      <c r="O54" s="148"/>
      <c r="P54" s="148"/>
      <c r="Q54" s="148"/>
      <c r="R54" s="174">
        <v>0</v>
      </c>
      <c r="S54" s="176">
        <v>0</v>
      </c>
      <c r="T54" s="176">
        <v>0</v>
      </c>
      <c r="U54" s="176">
        <v>0</v>
      </c>
      <c r="V54" s="176">
        <v>0</v>
      </c>
      <c r="W54" s="176">
        <v>0</v>
      </c>
      <c r="X54" s="176">
        <v>0</v>
      </c>
      <c r="Y54" s="176">
        <v>0</v>
      </c>
      <c r="Z54" s="176">
        <v>0</v>
      </c>
      <c r="AA54" s="176">
        <v>0</v>
      </c>
      <c r="AB54" s="176">
        <v>0</v>
      </c>
      <c r="AC54" s="176">
        <v>0</v>
      </c>
      <c r="AD54" s="193"/>
      <c r="AE54" s="210">
        <v>0</v>
      </c>
      <c r="AF54" s="212">
        <v>0</v>
      </c>
      <c r="AG54" s="212">
        <v>0</v>
      </c>
      <c r="AH54">
        <v>0</v>
      </c>
      <c r="AI54">
        <v>0</v>
      </c>
      <c r="AJ54" s="210">
        <v>0</v>
      </c>
      <c r="AK54" s="210">
        <v>0</v>
      </c>
      <c r="AL54" s="212">
        <v>0</v>
      </c>
      <c r="AM54" s="212">
        <v>0</v>
      </c>
    </row>
    <row r="55" spans="1:39" ht="15.6">
      <c r="A55" s="133"/>
      <c r="B55" s="133"/>
      <c r="C55" s="152"/>
      <c r="D55" s="12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93"/>
    </row>
    <row r="56" spans="1:39" ht="15.75">
      <c r="A56" s="133">
        <v>14</v>
      </c>
      <c r="B56" s="134" t="s">
        <v>45</v>
      </c>
      <c r="C56" s="153">
        <f t="shared" ref="C56:I56" si="50">C53+C54</f>
        <v>178423780</v>
      </c>
      <c r="D56" s="125">
        <f t="shared" si="50"/>
        <v>260299146</v>
      </c>
      <c r="E56" s="125">
        <f t="shared" si="50"/>
        <v>44815678.31000001</v>
      </c>
      <c r="F56" s="125">
        <f t="shared" si="50"/>
        <v>79271297.770000011</v>
      </c>
      <c r="G56" s="125">
        <f t="shared" si="50"/>
        <v>121648039.13</v>
      </c>
      <c r="H56" s="125">
        <f t="shared" si="50"/>
        <v>164924690.25</v>
      </c>
      <c r="I56" s="125">
        <f t="shared" si="50"/>
        <v>205723482.87</v>
      </c>
      <c r="J56" s="125">
        <f t="shared" ref="J56:Q56" si="51">J53+J54</f>
        <v>249551872.46999991</v>
      </c>
      <c r="K56" s="125">
        <f t="shared" si="51"/>
        <v>292653006.89000005</v>
      </c>
      <c r="L56" s="125">
        <f t="shared" si="51"/>
        <v>330995497.01999998</v>
      </c>
      <c r="M56" s="125">
        <f t="shared" si="51"/>
        <v>371821618.82000005</v>
      </c>
      <c r="N56" s="125">
        <f t="shared" si="51"/>
        <v>410904769.77000004</v>
      </c>
      <c r="O56" s="125">
        <f t="shared" si="51"/>
        <v>445160148.1500001</v>
      </c>
      <c r="P56" s="125">
        <f t="shared" si="51"/>
        <v>481224295.21000016</v>
      </c>
      <c r="Q56" s="125">
        <f t="shared" si="51"/>
        <v>215420805</v>
      </c>
      <c r="R56" s="125">
        <f t="shared" ref="R56:Y56" si="52">R53+R54</f>
        <v>41144197.340000004</v>
      </c>
      <c r="S56" s="125">
        <f t="shared" si="52"/>
        <v>73299578.559999987</v>
      </c>
      <c r="T56" s="125">
        <f t="shared" si="52"/>
        <v>110168808.68999998</v>
      </c>
      <c r="U56" s="125">
        <f t="shared" si="52"/>
        <v>148848987.30000001</v>
      </c>
      <c r="V56" s="125">
        <f t="shared" si="52"/>
        <v>179748902.48000002</v>
      </c>
      <c r="W56" s="125">
        <f t="shared" si="52"/>
        <v>215817966.39999995</v>
      </c>
      <c r="X56" s="125">
        <f t="shared" si="52"/>
        <v>248394065.26999998</v>
      </c>
      <c r="Y56" s="125">
        <f t="shared" si="52"/>
        <v>284666704.70999992</v>
      </c>
      <c r="Z56" s="125">
        <f t="shared" ref="Z56:AB56" si="53">Z53+Z54</f>
        <v>323623417.86000007</v>
      </c>
      <c r="AA56" s="125">
        <f t="shared" si="53"/>
        <v>365184260.79999995</v>
      </c>
      <c r="AB56" s="125">
        <f t="shared" si="53"/>
        <v>412368233.22000009</v>
      </c>
      <c r="AC56" s="125">
        <f t="shared" ref="AC56:AM56" si="54">AC53+AC54</f>
        <v>490114749.04999995</v>
      </c>
      <c r="AD56" s="125">
        <f t="shared" si="54"/>
        <v>197834677</v>
      </c>
      <c r="AE56" s="125">
        <f t="shared" si="54"/>
        <v>45102693.310000002</v>
      </c>
      <c r="AF56" s="125">
        <f t="shared" si="54"/>
        <v>78940358.439999998</v>
      </c>
      <c r="AG56" s="125">
        <f t="shared" si="54"/>
        <v>118143152.15000002</v>
      </c>
      <c r="AH56" s="125">
        <f t="shared" si="54"/>
        <v>157375413.04000002</v>
      </c>
      <c r="AI56" s="125">
        <f t="shared" si="54"/>
        <v>199707645.01999998</v>
      </c>
      <c r="AJ56" s="125">
        <f t="shared" si="54"/>
        <v>249403961.66999996</v>
      </c>
      <c r="AK56" s="125">
        <f t="shared" si="54"/>
        <v>290449269.33000004</v>
      </c>
      <c r="AL56" s="125">
        <f t="shared" si="54"/>
        <v>329464902.58999997</v>
      </c>
      <c r="AM56" s="125">
        <f t="shared" si="54"/>
        <v>373331207.77999997</v>
      </c>
    </row>
    <row r="57" spans="1:39" ht="15.6">
      <c r="A57" s="136"/>
      <c r="B57" s="137" t="s">
        <v>46</v>
      </c>
    </row>
    <row r="58" spans="1:39" ht="15.6">
      <c r="A58" s="136"/>
      <c r="B58" s="137"/>
    </row>
    <row r="59" spans="1:39" ht="15.6">
      <c r="A59" s="138"/>
      <c r="B59" s="139" t="s">
        <v>47</v>
      </c>
    </row>
    <row r="60" spans="1:39" ht="15.6">
      <c r="A60" s="140"/>
      <c r="B60" s="141" t="s">
        <v>48</v>
      </c>
    </row>
    <row r="61" spans="1:39" ht="15.6">
      <c r="A61" s="136"/>
      <c r="B61" s="141" t="s">
        <v>49</v>
      </c>
    </row>
    <row r="62" spans="1:39" ht="15.6">
      <c r="A62" s="136"/>
      <c r="B62" s="141" t="s">
        <v>50</v>
      </c>
    </row>
    <row r="63" spans="1:39" ht="15.6">
      <c r="A63" s="136"/>
      <c r="B63" s="141" t="s">
        <v>49</v>
      </c>
    </row>
    <row r="64" spans="1:39" ht="15.6">
      <c r="A64" s="136"/>
      <c r="B64" s="141" t="s">
        <v>51</v>
      </c>
    </row>
    <row r="65" spans="1:2" ht="15.6">
      <c r="A65" s="142"/>
      <c r="B65" s="142"/>
    </row>
  </sheetData>
  <mergeCells count="8">
    <mergeCell ref="A1:B1"/>
    <mergeCell ref="B8:B9"/>
    <mergeCell ref="A2:B2"/>
    <mergeCell ref="A3:B3"/>
    <mergeCell ref="A4:B4"/>
    <mergeCell ref="A5:B5"/>
    <mergeCell ref="A6:B6"/>
    <mergeCell ref="A7:B7"/>
  </mergeCells>
  <phoneticPr fontId="21" type="noConversion"/>
  <pageMargins left="0.7" right="0.7" top="0.75" bottom="0.75" header="0.3" footer="0.3"/>
  <pageSetup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4"/>
  <sheetViews>
    <sheetView topLeftCell="A7" zoomScale="80" zoomScaleNormal="80" zoomScaleSheetLayoutView="100" workbookViewId="0">
      <pane xSplit="2" topLeftCell="AJ2" activePane="topRight" state="frozen"/>
      <selection pane="topRight" activeCell="AL16" sqref="AL16:AM16"/>
    </sheetView>
  </sheetViews>
  <sheetFormatPr defaultRowHeight="14.45"/>
  <cols>
    <col min="2" max="2" width="40.5703125" customWidth="1"/>
    <col min="3" max="3" width="20.5703125" customWidth="1"/>
    <col min="4" max="4" width="24.85546875" bestFit="1" customWidth="1"/>
    <col min="5" max="7" width="29.140625" bestFit="1" customWidth="1"/>
    <col min="8" max="9" width="25.7109375" bestFit="1" customWidth="1"/>
    <col min="10" max="10" width="23.85546875" customWidth="1"/>
    <col min="11" max="11" width="27" customWidth="1"/>
    <col min="12" max="16" width="25.7109375" customWidth="1"/>
    <col min="17" max="17" width="24.140625" style="146" bestFit="1" customWidth="1"/>
    <col min="18" max="29" width="21" bestFit="1" customWidth="1"/>
    <col min="30" max="30" width="25.140625" customWidth="1"/>
    <col min="31" max="33" width="21" bestFit="1" customWidth="1"/>
    <col min="34" max="34" width="20.42578125" customWidth="1"/>
    <col min="35" max="36" width="21" bestFit="1" customWidth="1"/>
    <col min="37" max="38" width="20" customWidth="1"/>
    <col min="39" max="39" width="21.140625" customWidth="1"/>
  </cols>
  <sheetData>
    <row r="1" spans="1:39">
      <c r="A1" s="6"/>
      <c r="B1" s="24" t="s">
        <v>52</v>
      </c>
    </row>
    <row r="2" spans="1:39">
      <c r="A2" s="6"/>
      <c r="B2" s="124" t="s">
        <v>53</v>
      </c>
    </row>
    <row r="3" spans="1:39">
      <c r="A3" s="6"/>
      <c r="B3" s="5" t="s">
        <v>54</v>
      </c>
    </row>
    <row r="4" spans="1:39">
      <c r="A4" s="6"/>
      <c r="B4" s="5" t="s">
        <v>55</v>
      </c>
    </row>
    <row r="5" spans="1:39">
      <c r="A5" s="6"/>
      <c r="B5" s="5" t="s">
        <v>56</v>
      </c>
    </row>
    <row r="6" spans="1:39">
      <c r="A6" s="4"/>
      <c r="B6" s="5" t="s">
        <v>57</v>
      </c>
    </row>
    <row r="7" spans="1:39" ht="15.75">
      <c r="A7" s="235"/>
      <c r="B7" s="235"/>
      <c r="C7" s="151" t="s">
        <v>58</v>
      </c>
      <c r="D7" s="151" t="s">
        <v>59</v>
      </c>
      <c r="E7" s="151">
        <v>44197</v>
      </c>
      <c r="F7" s="151">
        <v>44228</v>
      </c>
      <c r="G7" s="151">
        <v>44256</v>
      </c>
      <c r="H7" s="151">
        <v>44287</v>
      </c>
      <c r="I7" s="151">
        <v>44317</v>
      </c>
      <c r="J7" s="151">
        <v>44348</v>
      </c>
      <c r="K7" s="151">
        <v>44378</v>
      </c>
      <c r="L7" s="151">
        <v>44409</v>
      </c>
      <c r="M7" s="151">
        <v>44440</v>
      </c>
      <c r="N7" s="151">
        <v>44470</v>
      </c>
      <c r="O7" s="151">
        <v>44501</v>
      </c>
      <c r="P7" s="151">
        <v>44531</v>
      </c>
      <c r="Q7" s="149" t="s">
        <v>60</v>
      </c>
      <c r="R7" s="184">
        <v>44562</v>
      </c>
      <c r="S7" s="184">
        <v>44593</v>
      </c>
      <c r="T7" s="184">
        <v>44621</v>
      </c>
      <c r="U7" s="184">
        <v>44652</v>
      </c>
      <c r="V7" s="184">
        <v>44682</v>
      </c>
      <c r="W7" s="184">
        <v>44713</v>
      </c>
      <c r="X7" s="184">
        <v>44743</v>
      </c>
      <c r="Y7" s="184">
        <v>44774</v>
      </c>
      <c r="Z7" s="184">
        <v>44805</v>
      </c>
      <c r="AA7" s="184">
        <v>44835</v>
      </c>
      <c r="AB7" s="184">
        <v>44866</v>
      </c>
      <c r="AC7" s="184">
        <v>44896</v>
      </c>
      <c r="AD7" s="199" t="s">
        <v>10</v>
      </c>
      <c r="AE7" s="200">
        <v>44927</v>
      </c>
      <c r="AF7" s="200">
        <v>44958</v>
      </c>
      <c r="AG7" s="200">
        <v>44986</v>
      </c>
      <c r="AH7" s="200">
        <v>45017</v>
      </c>
      <c r="AI7" s="200">
        <v>45047</v>
      </c>
      <c r="AJ7" s="200">
        <v>45078</v>
      </c>
      <c r="AK7" s="200">
        <v>45108</v>
      </c>
      <c r="AL7" s="200">
        <v>45139</v>
      </c>
      <c r="AM7" s="200">
        <v>45170</v>
      </c>
    </row>
    <row r="8" spans="1:39" ht="15.6">
      <c r="A8" s="235"/>
      <c r="B8" s="235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</row>
    <row r="9" spans="1:39" ht="15.6">
      <c r="A9" s="23" t="s">
        <v>61</v>
      </c>
      <c r="B9" s="7" t="s">
        <v>62</v>
      </c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</row>
    <row r="10" spans="1:39" ht="15.75">
      <c r="A10" s="9">
        <v>1</v>
      </c>
      <c r="B10" s="8" t="s">
        <v>63</v>
      </c>
      <c r="C10" s="163">
        <f t="shared" ref="C10:I10" si="0">SUM(C11:C12)</f>
        <v>168189222</v>
      </c>
      <c r="D10" s="163">
        <f t="shared" si="0"/>
        <v>457470051</v>
      </c>
      <c r="E10" s="163">
        <f t="shared" si="0"/>
        <v>436118383.04000002</v>
      </c>
      <c r="F10" s="163">
        <f t="shared" si="0"/>
        <v>478446391.14999998</v>
      </c>
      <c r="G10" s="163">
        <f t="shared" si="0"/>
        <v>399151837.31999999</v>
      </c>
      <c r="H10" s="163">
        <f t="shared" si="0"/>
        <v>442469069.86000001</v>
      </c>
      <c r="I10" s="163">
        <f t="shared" si="0"/>
        <v>478949011.81999999</v>
      </c>
      <c r="J10" s="163">
        <f t="shared" ref="J10:Q10" si="1">SUM(J11:J12)</f>
        <v>513570977.89999998</v>
      </c>
      <c r="K10" s="163">
        <f t="shared" si="1"/>
        <v>491076699.04000002</v>
      </c>
      <c r="L10" s="163">
        <f t="shared" si="1"/>
        <v>534277821.24000001</v>
      </c>
      <c r="M10" s="163">
        <f t="shared" si="1"/>
        <v>588166350.95000005</v>
      </c>
      <c r="N10" s="163">
        <f t="shared" si="1"/>
        <v>621020692.26999998</v>
      </c>
      <c r="O10" s="163">
        <f t="shared" si="1"/>
        <v>668731348.92000008</v>
      </c>
      <c r="P10" s="163">
        <f t="shared" si="1"/>
        <v>660052104.60000002</v>
      </c>
      <c r="Q10" s="163">
        <f t="shared" si="1"/>
        <v>672245671</v>
      </c>
      <c r="R10" s="163">
        <f t="shared" ref="R10:AA10" si="2">SUM(R11:R12)</f>
        <v>436118383.04000002</v>
      </c>
      <c r="S10" s="163">
        <f t="shared" si="2"/>
        <v>478446391.14999998</v>
      </c>
      <c r="T10" s="163">
        <f t="shared" si="2"/>
        <v>399151837.31999999</v>
      </c>
      <c r="U10" s="163">
        <f t="shared" si="2"/>
        <v>442469069.86000001</v>
      </c>
      <c r="V10" s="163">
        <f t="shared" si="2"/>
        <v>478949011.81999999</v>
      </c>
      <c r="W10" s="163">
        <f t="shared" si="2"/>
        <v>513570977.89999998</v>
      </c>
      <c r="X10" s="163">
        <f t="shared" si="2"/>
        <v>491076699.04000002</v>
      </c>
      <c r="Y10" s="163">
        <f t="shared" si="2"/>
        <v>534277821.24000001</v>
      </c>
      <c r="Z10" s="163">
        <f t="shared" si="2"/>
        <v>588166350.95000005</v>
      </c>
      <c r="AA10" s="163">
        <f t="shared" si="2"/>
        <v>621020692.26999998</v>
      </c>
      <c r="AB10" s="163">
        <f t="shared" ref="AB10:AM10" si="3">SUM(AB11:AB12)</f>
        <v>668731348.92000008</v>
      </c>
      <c r="AC10" s="163">
        <f t="shared" si="3"/>
        <v>660052104.60000002</v>
      </c>
      <c r="AD10" s="163">
        <f t="shared" si="3"/>
        <v>760494073</v>
      </c>
      <c r="AE10" s="163">
        <f t="shared" si="3"/>
        <v>674199407.83000004</v>
      </c>
      <c r="AF10" s="163">
        <f t="shared" si="3"/>
        <v>521244887.17000002</v>
      </c>
      <c r="AG10" s="163">
        <f t="shared" si="3"/>
        <v>490487757.01999998</v>
      </c>
      <c r="AH10" s="163">
        <f t="shared" si="3"/>
        <v>454512558.76999998</v>
      </c>
      <c r="AI10" s="163">
        <f t="shared" si="3"/>
        <v>436815193.95999998</v>
      </c>
      <c r="AJ10" s="163">
        <f t="shared" si="3"/>
        <v>461658692.25999999</v>
      </c>
      <c r="AK10" s="163">
        <f t="shared" si="3"/>
        <v>458194196.95999998</v>
      </c>
      <c r="AL10" s="163">
        <f t="shared" si="3"/>
        <v>426420735.69999999</v>
      </c>
      <c r="AM10" s="163">
        <f t="shared" si="3"/>
        <v>401274716.02999997</v>
      </c>
    </row>
    <row r="11" spans="1:39" ht="15.75">
      <c r="A11" s="9">
        <v>1.1000000000000001</v>
      </c>
      <c r="B11" s="8" t="s">
        <v>64</v>
      </c>
      <c r="C11" s="160">
        <f>3153311+46452+434972</f>
        <v>3634735</v>
      </c>
      <c r="D11" s="160">
        <f>2007+3731074+507727+329438</f>
        <v>4570246</v>
      </c>
      <c r="E11" s="147">
        <v>4423951</v>
      </c>
      <c r="F11" s="147">
        <v>5063149</v>
      </c>
      <c r="G11" s="147">
        <v>4408024</v>
      </c>
      <c r="H11" s="154">
        <v>5304447</v>
      </c>
      <c r="I11" s="154">
        <v>4189067</v>
      </c>
      <c r="J11" s="154">
        <v>3220369</v>
      </c>
      <c r="K11" s="154">
        <v>1726702</v>
      </c>
      <c r="L11" s="154">
        <v>4702649</v>
      </c>
      <c r="M11" s="154">
        <v>4942494</v>
      </c>
      <c r="N11" s="154">
        <v>4055560</v>
      </c>
      <c r="O11" s="154">
        <v>5910676.0999999996</v>
      </c>
      <c r="P11" s="154">
        <v>4594916.0999999996</v>
      </c>
      <c r="Q11" s="156">
        <f>3269890+534218+783008+7800</f>
        <v>4594916</v>
      </c>
      <c r="R11" s="186">
        <v>4423951</v>
      </c>
      <c r="S11" s="188">
        <v>5063149</v>
      </c>
      <c r="T11" s="188">
        <v>4408024</v>
      </c>
      <c r="U11" s="188">
        <v>5304447</v>
      </c>
      <c r="V11" s="188">
        <v>4189067</v>
      </c>
      <c r="W11" s="188">
        <v>3220369</v>
      </c>
      <c r="X11" s="188">
        <v>1726702</v>
      </c>
      <c r="Y11" s="188">
        <v>4702649</v>
      </c>
      <c r="Z11" s="188">
        <v>4942494</v>
      </c>
      <c r="AA11" s="188">
        <v>4055560</v>
      </c>
      <c r="AB11" s="188">
        <v>5910676.0999999996</v>
      </c>
      <c r="AC11" s="188">
        <v>4594916.0999999996</v>
      </c>
      <c r="AD11" s="196">
        <v>5502805</v>
      </c>
      <c r="AE11" s="203">
        <v>5695777</v>
      </c>
      <c r="AF11" s="205">
        <v>3454668</v>
      </c>
      <c r="AG11" s="205">
        <v>5212225</v>
      </c>
      <c r="AH11" s="203">
        <v>3876780</v>
      </c>
      <c r="AI11" s="203">
        <v>4332882</v>
      </c>
      <c r="AJ11" s="203">
        <v>2792957</v>
      </c>
      <c r="AK11" s="203">
        <v>4486250</v>
      </c>
      <c r="AL11" s="205">
        <v>5335599</v>
      </c>
      <c r="AM11" s="250">
        <v>3140201</v>
      </c>
    </row>
    <row r="12" spans="1:39" ht="15.75">
      <c r="A12" s="9">
        <v>1.2</v>
      </c>
      <c r="B12" s="8" t="s">
        <v>65</v>
      </c>
      <c r="C12" s="160">
        <f>168189222-C11</f>
        <v>164554487</v>
      </c>
      <c r="D12" s="160">
        <f>457470051-D11</f>
        <v>452899805</v>
      </c>
      <c r="E12" s="147">
        <v>431694432.04000002</v>
      </c>
      <c r="F12" s="147">
        <v>473383242.14999998</v>
      </c>
      <c r="G12" s="147">
        <v>394743813.31999999</v>
      </c>
      <c r="H12" s="154">
        <v>437164622.86000001</v>
      </c>
      <c r="I12" s="154">
        <v>474759944.81999999</v>
      </c>
      <c r="J12" s="154">
        <v>510350608.89999998</v>
      </c>
      <c r="K12" s="154">
        <v>489349997.04000002</v>
      </c>
      <c r="L12" s="154">
        <v>529575172.24000001</v>
      </c>
      <c r="M12" s="154">
        <v>583223856.95000005</v>
      </c>
      <c r="N12" s="154">
        <v>616965132.26999998</v>
      </c>
      <c r="O12" s="154">
        <v>662820672.82000005</v>
      </c>
      <c r="P12" s="154">
        <v>655457188.5</v>
      </c>
      <c r="Q12" s="156">
        <f>672245671-4594916</f>
        <v>667650755</v>
      </c>
      <c r="R12" s="190">
        <v>431694432.04000002</v>
      </c>
      <c r="S12" s="192">
        <v>473383242.14999998</v>
      </c>
      <c r="T12" s="192">
        <v>394743813.31999999</v>
      </c>
      <c r="U12" s="192">
        <v>437164622.86000001</v>
      </c>
      <c r="V12" s="192">
        <v>474759944.81999999</v>
      </c>
      <c r="W12" s="192">
        <v>510350608.89999998</v>
      </c>
      <c r="X12" s="192">
        <v>489349997.04000002</v>
      </c>
      <c r="Y12" s="192">
        <v>529575172.24000001</v>
      </c>
      <c r="Z12" s="192">
        <v>583223856.95000005</v>
      </c>
      <c r="AA12" s="192">
        <v>616965132.26999998</v>
      </c>
      <c r="AB12" s="192">
        <v>662820672.82000005</v>
      </c>
      <c r="AC12" s="188">
        <v>655457188.5</v>
      </c>
      <c r="AD12" s="196">
        <v>754991268</v>
      </c>
      <c r="AE12" s="207">
        <v>668503630.83000004</v>
      </c>
      <c r="AF12" s="209">
        <v>517790219.17000002</v>
      </c>
      <c r="AG12" s="209">
        <v>485275532.01999998</v>
      </c>
      <c r="AH12" s="207">
        <v>450635778.76999998</v>
      </c>
      <c r="AI12" s="207">
        <v>432482311.95999998</v>
      </c>
      <c r="AJ12" s="207">
        <v>458865735.25999999</v>
      </c>
      <c r="AK12" s="207">
        <v>453707946.95999998</v>
      </c>
      <c r="AL12" s="209">
        <v>421085136.69999999</v>
      </c>
      <c r="AM12" s="252">
        <v>398134515.02999997</v>
      </c>
    </row>
    <row r="13" spans="1:39" ht="15">
      <c r="A13" s="9"/>
      <c r="B13" s="8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48"/>
      <c r="N13" s="148"/>
      <c r="O13" s="148"/>
      <c r="P13" s="148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95" t="s">
        <v>66</v>
      </c>
      <c r="AE13" s="207"/>
      <c r="AF13" s="209"/>
      <c r="AG13" s="209"/>
      <c r="AK13" s="207">
        <v>0</v>
      </c>
      <c r="AL13" s="209">
        <v>0</v>
      </c>
      <c r="AM13" s="252">
        <v>0</v>
      </c>
    </row>
    <row r="14" spans="1:39" ht="15.75">
      <c r="A14" s="9">
        <v>2</v>
      </c>
      <c r="B14" s="7" t="s">
        <v>67</v>
      </c>
      <c r="C14" s="165">
        <v>171980576</v>
      </c>
      <c r="D14" s="165">
        <v>176986761</v>
      </c>
      <c r="E14" s="147">
        <v>175193141.09</v>
      </c>
      <c r="F14" s="147">
        <v>174011176.19</v>
      </c>
      <c r="G14" s="147">
        <v>168629933.19999999</v>
      </c>
      <c r="H14" s="154">
        <v>171754656.44</v>
      </c>
      <c r="I14" s="154">
        <v>172345813.56</v>
      </c>
      <c r="J14" s="154">
        <v>172641418.53</v>
      </c>
      <c r="K14" s="154">
        <v>179119472.94</v>
      </c>
      <c r="L14" s="154">
        <v>179046764.61000001</v>
      </c>
      <c r="M14" s="154">
        <v>178653980.34999999</v>
      </c>
      <c r="N14" s="154">
        <v>195801121.08000001</v>
      </c>
      <c r="O14" s="154">
        <v>203017982.65000001</v>
      </c>
      <c r="P14" s="154">
        <v>191893306.93000001</v>
      </c>
      <c r="Q14" s="156">
        <v>188056264</v>
      </c>
      <c r="R14" s="186">
        <v>175193141.09</v>
      </c>
      <c r="S14" s="188">
        <v>174011176.19</v>
      </c>
      <c r="T14" s="188">
        <v>168629933.19999999</v>
      </c>
      <c r="U14" s="188">
        <v>171754656.44</v>
      </c>
      <c r="V14" s="188">
        <v>172345813.56</v>
      </c>
      <c r="W14" s="188">
        <v>172641418.53</v>
      </c>
      <c r="X14" s="188">
        <v>179119472.94</v>
      </c>
      <c r="Y14" s="188">
        <v>179046764.61000001</v>
      </c>
      <c r="Z14" s="188">
        <v>178653980.34999999</v>
      </c>
      <c r="AA14" s="188">
        <v>195801121.08000001</v>
      </c>
      <c r="AB14" s="188">
        <v>203017982.65000001</v>
      </c>
      <c r="AC14" s="188">
        <v>191893306.93000001</v>
      </c>
      <c r="AD14" s="196">
        <v>189228990</v>
      </c>
      <c r="AE14" s="207">
        <v>185173045.93000001</v>
      </c>
      <c r="AF14" s="209">
        <v>174081367.44</v>
      </c>
      <c r="AG14" s="209">
        <v>169252811.88</v>
      </c>
      <c r="AH14" s="203">
        <v>179186141.02000001</v>
      </c>
      <c r="AI14" s="207">
        <v>168666567.71000001</v>
      </c>
      <c r="AJ14" s="203">
        <v>165536031.38999999</v>
      </c>
      <c r="AK14" s="207">
        <v>166677952.63999999</v>
      </c>
      <c r="AL14" s="209">
        <v>159847228.59999999</v>
      </c>
      <c r="AM14" s="252">
        <v>161869524.83000001</v>
      </c>
    </row>
    <row r="15" spans="1:39" ht="15.6">
      <c r="A15" s="9"/>
      <c r="B15" s="8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48"/>
      <c r="N15" s="148"/>
      <c r="O15" s="148"/>
      <c r="P15" s="148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95" t="s">
        <v>66</v>
      </c>
    </row>
    <row r="16" spans="1:39" ht="15.75">
      <c r="A16" s="9">
        <v>3</v>
      </c>
      <c r="B16" s="7" t="s">
        <v>68</v>
      </c>
      <c r="C16" s="163">
        <f t="shared" ref="C16:I16" si="4">SUM(C17:C20)</f>
        <v>18661431</v>
      </c>
      <c r="D16" s="163">
        <f t="shared" si="4"/>
        <v>89875374</v>
      </c>
      <c r="E16" s="163">
        <f t="shared" si="4"/>
        <v>99665690.290000007</v>
      </c>
      <c r="F16" s="163">
        <f t="shared" si="4"/>
        <v>99911641.890000001</v>
      </c>
      <c r="G16" s="163">
        <f t="shared" si="4"/>
        <v>100111641.89</v>
      </c>
      <c r="H16" s="163">
        <f t="shared" si="4"/>
        <v>100360823.25</v>
      </c>
      <c r="I16" s="163">
        <f t="shared" si="4"/>
        <v>100560822.84</v>
      </c>
      <c r="J16" s="163">
        <f t="shared" ref="J16:Q16" si="5">SUM(J17:J20)</f>
        <v>100760823.25</v>
      </c>
      <c r="K16" s="163">
        <f t="shared" si="5"/>
        <v>101013250.51000001</v>
      </c>
      <c r="L16" s="163">
        <f t="shared" si="5"/>
        <v>101213250.51000001</v>
      </c>
      <c r="M16" s="163">
        <f t="shared" si="5"/>
        <v>101413250.51000001</v>
      </c>
      <c r="N16" s="163">
        <f t="shared" si="5"/>
        <v>101613250.51000001</v>
      </c>
      <c r="O16" s="163">
        <f t="shared" si="5"/>
        <v>101883939.91000001</v>
      </c>
      <c r="P16" s="163">
        <f t="shared" si="5"/>
        <v>102083939.91000001</v>
      </c>
      <c r="Q16" s="163">
        <f t="shared" si="5"/>
        <v>89890374</v>
      </c>
      <c r="R16" s="163">
        <f t="shared" ref="R16:AA16" si="6">SUM(R17:R20)</f>
        <v>99665690.290000007</v>
      </c>
      <c r="S16" s="163">
        <f t="shared" si="6"/>
        <v>99911641.890000001</v>
      </c>
      <c r="T16" s="163">
        <f t="shared" si="6"/>
        <v>100111641.89</v>
      </c>
      <c r="U16" s="163">
        <f t="shared" si="6"/>
        <v>100360823.25</v>
      </c>
      <c r="V16" s="163">
        <f t="shared" si="6"/>
        <v>100560822.84</v>
      </c>
      <c r="W16" s="163">
        <f t="shared" si="6"/>
        <v>100760823.25</v>
      </c>
      <c r="X16" s="163">
        <f t="shared" si="6"/>
        <v>101013250.51000001</v>
      </c>
      <c r="Y16" s="163">
        <f t="shared" si="6"/>
        <v>101213250.51000001</v>
      </c>
      <c r="Z16" s="163">
        <f t="shared" si="6"/>
        <v>101413250.51000001</v>
      </c>
      <c r="AA16" s="163">
        <f t="shared" si="6"/>
        <v>101613250.51000001</v>
      </c>
      <c r="AB16" s="163">
        <f t="shared" ref="AB16:AM16" si="7">SUM(AB17:AB20)</f>
        <v>101883939.91000001</v>
      </c>
      <c r="AC16" s="163">
        <f t="shared" si="7"/>
        <v>102083939.91000001</v>
      </c>
      <c r="AD16" s="163">
        <f t="shared" si="7"/>
        <v>37451038</v>
      </c>
      <c r="AE16" s="163">
        <f t="shared" si="7"/>
        <v>38572556.68</v>
      </c>
      <c r="AF16" s="163">
        <f t="shared" si="7"/>
        <v>38772556.68</v>
      </c>
      <c r="AG16" s="163">
        <f t="shared" si="7"/>
        <v>38972556.68</v>
      </c>
      <c r="AH16" s="163">
        <f t="shared" si="7"/>
        <v>39174976.520000003</v>
      </c>
      <c r="AI16" s="163">
        <f t="shared" si="7"/>
        <v>39374976.520000003</v>
      </c>
      <c r="AJ16" s="163">
        <f t="shared" si="7"/>
        <v>59570313.520000003</v>
      </c>
      <c r="AK16" s="163">
        <f t="shared" si="7"/>
        <v>79770313.520000011</v>
      </c>
      <c r="AL16" s="163">
        <f t="shared" si="7"/>
        <v>119970313.52</v>
      </c>
      <c r="AM16" s="163">
        <f t="shared" si="7"/>
        <v>140174623.38</v>
      </c>
    </row>
    <row r="17" spans="1:39" ht="15.75">
      <c r="A17" s="9">
        <v>3.1</v>
      </c>
      <c r="B17" s="8" t="s">
        <v>69</v>
      </c>
      <c r="C17" s="160"/>
      <c r="D17" s="160"/>
      <c r="E17" s="147">
        <v>0</v>
      </c>
      <c r="F17" s="147">
        <v>0</v>
      </c>
      <c r="G17" s="147">
        <v>0</v>
      </c>
      <c r="H17" s="155">
        <v>0</v>
      </c>
      <c r="I17" s="155">
        <v>0</v>
      </c>
      <c r="J17" s="155">
        <v>0</v>
      </c>
      <c r="K17" s="155">
        <v>0</v>
      </c>
      <c r="L17" s="155">
        <v>0</v>
      </c>
      <c r="M17" s="155">
        <v>0</v>
      </c>
      <c r="N17" s="155">
        <v>0</v>
      </c>
      <c r="O17" s="155">
        <v>0</v>
      </c>
      <c r="P17" s="155">
        <v>0</v>
      </c>
      <c r="Q17" s="156">
        <v>0</v>
      </c>
      <c r="R17" s="185">
        <v>0</v>
      </c>
      <c r="S17" s="187">
        <v>0</v>
      </c>
      <c r="T17" s="187">
        <v>0</v>
      </c>
      <c r="U17" s="187">
        <v>0</v>
      </c>
      <c r="V17" s="187">
        <v>0</v>
      </c>
      <c r="W17" s="187">
        <v>0</v>
      </c>
      <c r="X17" s="187">
        <v>0</v>
      </c>
      <c r="Y17" s="187">
        <v>0</v>
      </c>
      <c r="Z17" s="187">
        <v>0</v>
      </c>
      <c r="AA17" s="187">
        <v>0</v>
      </c>
      <c r="AB17" s="187">
        <v>0</v>
      </c>
      <c r="AC17" s="187">
        <v>0</v>
      </c>
      <c r="AD17" s="195" t="s">
        <v>66</v>
      </c>
      <c r="AE17" s="202">
        <v>0</v>
      </c>
      <c r="AF17" s="204">
        <v>0</v>
      </c>
      <c r="AG17" s="204">
        <v>0</v>
      </c>
      <c r="AH17" s="202">
        <v>0</v>
      </c>
      <c r="AI17" s="202">
        <v>0</v>
      </c>
      <c r="AJ17" s="203">
        <v>20000000</v>
      </c>
      <c r="AK17" s="203">
        <v>40000000</v>
      </c>
      <c r="AL17" s="205">
        <v>80000000</v>
      </c>
      <c r="AM17" s="250">
        <v>100000000</v>
      </c>
    </row>
    <row r="18" spans="1:39" ht="15.75">
      <c r="A18" s="9">
        <v>3.2</v>
      </c>
      <c r="B18" s="8" t="s">
        <v>70</v>
      </c>
      <c r="C18" s="160"/>
      <c r="D18" s="160"/>
      <c r="E18" s="147">
        <v>0</v>
      </c>
      <c r="F18" s="147">
        <v>0</v>
      </c>
      <c r="G18" s="147">
        <v>0</v>
      </c>
      <c r="H18" s="155">
        <v>0</v>
      </c>
      <c r="I18" s="155">
        <v>0</v>
      </c>
      <c r="J18" s="155">
        <v>0</v>
      </c>
      <c r="K18" s="155">
        <v>0</v>
      </c>
      <c r="L18" s="155">
        <v>0</v>
      </c>
      <c r="M18" s="155">
        <v>0</v>
      </c>
      <c r="N18" s="155">
        <v>0</v>
      </c>
      <c r="O18" s="155">
        <v>0</v>
      </c>
      <c r="P18" s="155">
        <v>0</v>
      </c>
      <c r="Q18" s="156">
        <v>0</v>
      </c>
      <c r="R18" s="189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0</v>
      </c>
      <c r="X18" s="191">
        <v>0</v>
      </c>
      <c r="Y18" s="191">
        <v>0</v>
      </c>
      <c r="Z18" s="191">
        <v>0</v>
      </c>
      <c r="AA18" s="191">
        <v>0</v>
      </c>
      <c r="AB18" s="191">
        <v>0</v>
      </c>
      <c r="AC18" s="187">
        <v>0</v>
      </c>
      <c r="AD18" s="195" t="s">
        <v>66</v>
      </c>
      <c r="AE18" s="206">
        <v>0</v>
      </c>
      <c r="AF18" s="208">
        <v>0</v>
      </c>
      <c r="AG18" s="208">
        <v>0</v>
      </c>
      <c r="AH18" s="206">
        <v>0</v>
      </c>
      <c r="AI18" s="206">
        <v>0</v>
      </c>
      <c r="AJ18" s="206">
        <v>0</v>
      </c>
      <c r="AK18" s="206">
        <v>0</v>
      </c>
      <c r="AL18" s="208">
        <v>0</v>
      </c>
      <c r="AM18" s="251">
        <v>0</v>
      </c>
    </row>
    <row r="19" spans="1:39" ht="15.75">
      <c r="A19" s="9" t="s">
        <v>71</v>
      </c>
      <c r="B19" s="8" t="s">
        <v>72</v>
      </c>
      <c r="C19" s="160">
        <f>650003+3057180+2944248</f>
        <v>6651431</v>
      </c>
      <c r="D19" s="160">
        <f>650003+10000+3057180+2944248</f>
        <v>6661431</v>
      </c>
      <c r="E19" s="147">
        <v>9790316.5</v>
      </c>
      <c r="F19" s="147">
        <v>10036268.1</v>
      </c>
      <c r="G19" s="147">
        <v>10236268.1</v>
      </c>
      <c r="H19" s="154">
        <v>10485449.460000001</v>
      </c>
      <c r="I19" s="154">
        <v>10685449.050000001</v>
      </c>
      <c r="J19" s="154">
        <v>10885449.460000001</v>
      </c>
      <c r="K19" s="154">
        <v>11137876.720000001</v>
      </c>
      <c r="L19" s="154">
        <v>11337876.720000001</v>
      </c>
      <c r="M19" s="154">
        <v>11537876.720000001</v>
      </c>
      <c r="N19" s="154">
        <v>11737876.720000001</v>
      </c>
      <c r="O19" s="154">
        <v>11993566.119999999</v>
      </c>
      <c r="P19" s="154">
        <v>12193566.119999999</v>
      </c>
      <c r="Q19" s="156">
        <f>89890374-83228943</f>
        <v>6661431</v>
      </c>
      <c r="R19" s="190">
        <v>9790316.5</v>
      </c>
      <c r="S19" s="192">
        <v>10036268.1</v>
      </c>
      <c r="T19" s="192">
        <v>10236268.1</v>
      </c>
      <c r="U19" s="192">
        <v>10485449.460000001</v>
      </c>
      <c r="V19" s="192">
        <v>10685449.050000001</v>
      </c>
      <c r="W19" s="192">
        <v>10885449.460000001</v>
      </c>
      <c r="X19" s="192">
        <v>11137876.720000001</v>
      </c>
      <c r="Y19" s="192">
        <v>11337876.720000001</v>
      </c>
      <c r="Z19" s="192">
        <v>11537876.720000001</v>
      </c>
      <c r="AA19" s="192">
        <v>11737876.720000001</v>
      </c>
      <c r="AB19" s="192">
        <v>11993566.119999999</v>
      </c>
      <c r="AC19" s="188">
        <v>12193566.119999999</v>
      </c>
      <c r="AD19" s="195" t="s">
        <v>66</v>
      </c>
      <c r="AE19" s="207">
        <v>1121518.8999999999</v>
      </c>
      <c r="AF19" s="209">
        <v>1321518.8999999999</v>
      </c>
      <c r="AG19" s="209">
        <v>1521518.9</v>
      </c>
      <c r="AH19" s="203">
        <v>1723938.74</v>
      </c>
      <c r="AI19" s="207">
        <v>1923938.74</v>
      </c>
      <c r="AJ19" s="207">
        <v>2123938.7400000002</v>
      </c>
      <c r="AK19" s="207">
        <v>2323938.7400000002</v>
      </c>
      <c r="AL19" s="209">
        <v>2523938.7400000002</v>
      </c>
      <c r="AM19" s="252">
        <v>2728248.6</v>
      </c>
    </row>
    <row r="20" spans="1:39" ht="15.75">
      <c r="A20" s="9" t="s">
        <v>73</v>
      </c>
      <c r="B20" s="8" t="s">
        <v>74</v>
      </c>
      <c r="C20" s="160">
        <f>10000+12000000</f>
        <v>12010000</v>
      </c>
      <c r="D20" s="160">
        <v>83213943</v>
      </c>
      <c r="E20" s="147">
        <v>89875373.790000007</v>
      </c>
      <c r="F20" s="147">
        <v>89875373.790000007</v>
      </c>
      <c r="G20" s="147">
        <v>89875373.790000007</v>
      </c>
      <c r="H20" s="154">
        <v>89875373.790000007</v>
      </c>
      <c r="I20" s="154">
        <v>89875373.790000007</v>
      </c>
      <c r="J20" s="154">
        <v>89875373.790000007</v>
      </c>
      <c r="K20" s="154">
        <v>89875373.790000007</v>
      </c>
      <c r="L20" s="154">
        <v>89875373.790000007</v>
      </c>
      <c r="M20" s="154">
        <v>89875373.790000007</v>
      </c>
      <c r="N20" s="154">
        <v>89875373.790000007</v>
      </c>
      <c r="O20" s="154">
        <v>89890373.790000007</v>
      </c>
      <c r="P20" s="154">
        <v>89890373.790000007</v>
      </c>
      <c r="Q20" s="156">
        <v>83228943</v>
      </c>
      <c r="R20" s="190">
        <v>89875373.790000007</v>
      </c>
      <c r="S20" s="192">
        <v>89875373.790000007</v>
      </c>
      <c r="T20" s="192">
        <v>89875373.790000007</v>
      </c>
      <c r="U20" s="192">
        <v>89875373.790000007</v>
      </c>
      <c r="V20" s="192">
        <v>89875373.790000007</v>
      </c>
      <c r="W20" s="192">
        <v>89875373.790000007</v>
      </c>
      <c r="X20" s="192">
        <v>89875373.790000007</v>
      </c>
      <c r="Y20" s="192">
        <v>89875373.790000007</v>
      </c>
      <c r="Z20" s="192">
        <v>89875373.790000007</v>
      </c>
      <c r="AA20" s="192">
        <v>89875373.790000007</v>
      </c>
      <c r="AB20" s="192">
        <v>89890373.790000007</v>
      </c>
      <c r="AC20" s="188">
        <v>89890373.790000007</v>
      </c>
      <c r="AD20" s="196">
        <v>37451038</v>
      </c>
      <c r="AE20" s="207">
        <v>37451037.780000001</v>
      </c>
      <c r="AF20" s="209">
        <v>37451037.780000001</v>
      </c>
      <c r="AG20" s="209">
        <v>37451037.780000001</v>
      </c>
      <c r="AH20" s="207">
        <v>37451037.780000001</v>
      </c>
      <c r="AI20" s="207">
        <v>37451037.780000001</v>
      </c>
      <c r="AJ20" s="207">
        <v>37446374.780000001</v>
      </c>
      <c r="AK20" s="207">
        <v>37446374.780000001</v>
      </c>
      <c r="AL20" s="209">
        <v>37446374.780000001</v>
      </c>
      <c r="AM20" s="252">
        <v>37446374.780000001</v>
      </c>
    </row>
    <row r="21" spans="1:39" ht="15.75">
      <c r="A21" s="8"/>
      <c r="B21" s="8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48"/>
      <c r="N21" s="148"/>
      <c r="O21" s="148"/>
      <c r="P21" s="148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95" t="s">
        <v>66</v>
      </c>
      <c r="AE21" s="207"/>
      <c r="AF21" s="209"/>
      <c r="AG21" s="209"/>
    </row>
    <row r="22" spans="1:39" ht="15.75">
      <c r="A22" s="9">
        <v>4</v>
      </c>
      <c r="B22" s="7" t="s">
        <v>75</v>
      </c>
      <c r="C22" s="163">
        <f t="shared" ref="C22:I22" si="8">C23-C24</f>
        <v>2994823414</v>
      </c>
      <c r="D22" s="163">
        <f t="shared" si="8"/>
        <v>3054612195</v>
      </c>
      <c r="E22" s="163">
        <f t="shared" si="8"/>
        <v>3122987909.9200001</v>
      </c>
      <c r="F22" s="163">
        <f t="shared" si="8"/>
        <v>3127236826.98</v>
      </c>
      <c r="G22" s="163">
        <f t="shared" si="8"/>
        <v>3037191386.8600001</v>
      </c>
      <c r="H22" s="163">
        <f t="shared" si="8"/>
        <v>3044216851.1999998</v>
      </c>
      <c r="I22" s="163">
        <f t="shared" si="8"/>
        <v>3065816549.2600002</v>
      </c>
      <c r="J22" s="163">
        <f t="shared" ref="J22:Q22" si="9">J23-J24</f>
        <v>3104918550.4400001</v>
      </c>
      <c r="K22" s="163">
        <f t="shared" si="9"/>
        <v>3159611388.96</v>
      </c>
      <c r="L22" s="163">
        <f t="shared" si="9"/>
        <v>3169754137.9200001</v>
      </c>
      <c r="M22" s="163">
        <f t="shared" si="9"/>
        <v>3180525432.8000002</v>
      </c>
      <c r="N22" s="163">
        <f t="shared" si="9"/>
        <v>3189630244.9700003</v>
      </c>
      <c r="O22" s="163">
        <f t="shared" si="9"/>
        <v>3172875474.1900001</v>
      </c>
      <c r="P22" s="163">
        <f t="shared" si="9"/>
        <v>3125647961.0799999</v>
      </c>
      <c r="Q22" s="163">
        <f t="shared" si="9"/>
        <v>3125649394</v>
      </c>
      <c r="R22" s="163">
        <f t="shared" ref="R22:AA22" si="10">R23-R24</f>
        <v>3122987909.9200001</v>
      </c>
      <c r="S22" s="163">
        <f t="shared" si="10"/>
        <v>3127236826.98</v>
      </c>
      <c r="T22" s="163">
        <f t="shared" si="10"/>
        <v>3037191386.8600001</v>
      </c>
      <c r="U22" s="163">
        <f t="shared" si="10"/>
        <v>3044216851.1999998</v>
      </c>
      <c r="V22" s="163">
        <f t="shared" si="10"/>
        <v>3065816549.2600002</v>
      </c>
      <c r="W22" s="163">
        <f t="shared" si="10"/>
        <v>3104918550.4400001</v>
      </c>
      <c r="X22" s="163">
        <f t="shared" si="10"/>
        <v>3159611388.96</v>
      </c>
      <c r="Y22" s="163">
        <f t="shared" si="10"/>
        <v>3169754137.9200001</v>
      </c>
      <c r="Z22" s="163">
        <f t="shared" si="10"/>
        <v>3180525432.8000002</v>
      </c>
      <c r="AA22" s="163">
        <f t="shared" si="10"/>
        <v>3189630244.9700003</v>
      </c>
      <c r="AB22" s="163">
        <f t="shared" ref="AB22:AM22" si="11">AB23-AB24</f>
        <v>3172875474.1900001</v>
      </c>
      <c r="AC22" s="163">
        <f t="shared" si="11"/>
        <v>3125647961.0799999</v>
      </c>
      <c r="AD22" s="163">
        <f t="shared" si="11"/>
        <v>3410498258</v>
      </c>
      <c r="AE22" s="163">
        <f t="shared" si="11"/>
        <v>3481750980.1900001</v>
      </c>
      <c r="AF22" s="163">
        <f t="shared" si="11"/>
        <v>3406656286.25</v>
      </c>
      <c r="AG22" s="163">
        <f t="shared" si="11"/>
        <v>3417725179.6799998</v>
      </c>
      <c r="AH22" s="163">
        <f t="shared" si="11"/>
        <v>3462781512.4699998</v>
      </c>
      <c r="AI22" s="163">
        <f t="shared" si="11"/>
        <v>3510150612.3599997</v>
      </c>
      <c r="AJ22" s="163">
        <f t="shared" si="11"/>
        <v>3531765093.0699997</v>
      </c>
      <c r="AK22" s="163">
        <f t="shared" si="11"/>
        <v>3549937973.9499998</v>
      </c>
      <c r="AL22" s="163">
        <f t="shared" si="11"/>
        <v>3597138620.3299999</v>
      </c>
      <c r="AM22" s="163">
        <f t="shared" si="11"/>
        <v>3621787579.9299998</v>
      </c>
    </row>
    <row r="23" spans="1:39" ht="15.75">
      <c r="A23" s="8"/>
      <c r="B23" s="8" t="s">
        <v>76</v>
      </c>
      <c r="C23" s="160">
        <v>3077148048</v>
      </c>
      <c r="D23" s="160">
        <v>3148024766</v>
      </c>
      <c r="E23" s="147">
        <v>3217275480.71</v>
      </c>
      <c r="F23" s="147">
        <v>3222399397.77</v>
      </c>
      <c r="G23" s="147">
        <v>3133228957.6500001</v>
      </c>
      <c r="H23" s="154">
        <v>3141129421.9899998</v>
      </c>
      <c r="I23" s="154">
        <v>3163604120.0500002</v>
      </c>
      <c r="J23" s="154">
        <v>3203581121.23</v>
      </c>
      <c r="K23" s="154">
        <v>3259148959.75</v>
      </c>
      <c r="L23" s="154">
        <v>3270166708.71</v>
      </c>
      <c r="M23" s="154">
        <v>3281813003.5900002</v>
      </c>
      <c r="N23" s="154">
        <v>3291792815.7600002</v>
      </c>
      <c r="O23" s="154">
        <v>3275913044.98</v>
      </c>
      <c r="P23" s="154">
        <v>3229560531.8699999</v>
      </c>
      <c r="Q23" s="156">
        <f>2941055936+179644514+113556259-4694744</f>
        <v>3229561965</v>
      </c>
      <c r="R23" s="186">
        <v>3217275480.71</v>
      </c>
      <c r="S23" s="188">
        <v>3222399397.77</v>
      </c>
      <c r="T23" s="188">
        <v>3133228957.6500001</v>
      </c>
      <c r="U23" s="188">
        <v>3141129421.9899998</v>
      </c>
      <c r="V23" s="188">
        <v>3163604120.0500002</v>
      </c>
      <c r="W23" s="188">
        <v>3203581121.23</v>
      </c>
      <c r="X23" s="188">
        <v>3259148959.75</v>
      </c>
      <c r="Y23" s="188">
        <v>3270166708.71</v>
      </c>
      <c r="Z23" s="188">
        <v>3281813003.5900002</v>
      </c>
      <c r="AA23" s="188">
        <v>3291792815.7600002</v>
      </c>
      <c r="AB23" s="188">
        <v>3275913044.98</v>
      </c>
      <c r="AC23" s="188">
        <v>3229560531.8699999</v>
      </c>
      <c r="AD23" s="196">
        <v>3526498770</v>
      </c>
      <c r="AE23" s="203">
        <v>3598876492.2600002</v>
      </c>
      <c r="AF23" s="205">
        <v>3525906798.3200002</v>
      </c>
      <c r="AG23" s="205">
        <v>3539100691.75</v>
      </c>
      <c r="AH23" s="203">
        <v>3586282024.54</v>
      </c>
      <c r="AI23" s="203">
        <v>3635776124.4299998</v>
      </c>
      <c r="AJ23" s="203">
        <v>3659515605.1399999</v>
      </c>
      <c r="AK23" s="203">
        <v>3679813486.02</v>
      </c>
      <c r="AL23" s="205">
        <v>3730139132.4000001</v>
      </c>
      <c r="AM23" s="250">
        <v>3757913092</v>
      </c>
    </row>
    <row r="24" spans="1:39" ht="15.75">
      <c r="A24" s="8"/>
      <c r="B24" s="8" t="s">
        <v>28</v>
      </c>
      <c r="C24" s="160">
        <v>82324634</v>
      </c>
      <c r="D24" s="160">
        <v>93412571</v>
      </c>
      <c r="E24" s="147">
        <v>94287570.790000007</v>
      </c>
      <c r="F24" s="147">
        <v>95162570.790000007</v>
      </c>
      <c r="G24" s="147">
        <v>96037570.790000007</v>
      </c>
      <c r="H24" s="154">
        <v>96912570.790000007</v>
      </c>
      <c r="I24" s="154">
        <v>97787570.790000007</v>
      </c>
      <c r="J24" s="154">
        <v>98662570.790000007</v>
      </c>
      <c r="K24" s="154">
        <v>99537570.790000007</v>
      </c>
      <c r="L24" s="154">
        <v>100412570.79000001</v>
      </c>
      <c r="M24" s="154">
        <v>101287570.79000001</v>
      </c>
      <c r="N24" s="154">
        <v>102162570.79000001</v>
      </c>
      <c r="O24" s="154">
        <v>103037570.79000001</v>
      </c>
      <c r="P24" s="154">
        <v>103912570.79000001</v>
      </c>
      <c r="Q24" s="156">
        <v>103912571</v>
      </c>
      <c r="R24" s="190">
        <v>94287570.790000007</v>
      </c>
      <c r="S24" s="192">
        <v>95162570.790000007</v>
      </c>
      <c r="T24" s="192">
        <v>96037570.790000007</v>
      </c>
      <c r="U24" s="192">
        <v>96912570.790000007</v>
      </c>
      <c r="V24" s="192">
        <v>97787570.790000007</v>
      </c>
      <c r="W24" s="192">
        <v>98662570.790000007</v>
      </c>
      <c r="X24" s="192">
        <v>99537570.790000007</v>
      </c>
      <c r="Y24" s="192">
        <v>100412570.79000001</v>
      </c>
      <c r="Z24" s="192">
        <v>101287570.79000001</v>
      </c>
      <c r="AA24" s="192">
        <v>102162570.79000001</v>
      </c>
      <c r="AB24" s="192">
        <v>103037570.79000001</v>
      </c>
      <c r="AC24" s="188">
        <v>103912570.79000001</v>
      </c>
      <c r="AD24" s="196">
        <v>116000512</v>
      </c>
      <c r="AE24" s="207">
        <v>117125512.06999999</v>
      </c>
      <c r="AF24" s="209">
        <v>119250512.06999999</v>
      </c>
      <c r="AG24" s="209">
        <v>121375512.06999999</v>
      </c>
      <c r="AH24" s="207">
        <v>123500512.06999999</v>
      </c>
      <c r="AI24" s="207">
        <v>125625512.06999999</v>
      </c>
      <c r="AJ24" s="207">
        <v>127750512.06999999</v>
      </c>
      <c r="AK24" s="207">
        <v>129875512.06999999</v>
      </c>
      <c r="AL24" s="209">
        <v>133000512.06999999</v>
      </c>
      <c r="AM24" s="252">
        <v>136125512.06999999</v>
      </c>
    </row>
    <row r="25" spans="1:39" ht="15.6">
      <c r="A25" s="8"/>
      <c r="B25" s="8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48"/>
      <c r="N25" s="148"/>
      <c r="O25" s="148"/>
      <c r="P25" s="148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95" t="s">
        <v>66</v>
      </c>
    </row>
    <row r="26" spans="1:39" ht="15.75">
      <c r="A26" s="9">
        <v>5</v>
      </c>
      <c r="B26" s="7" t="s">
        <v>77</v>
      </c>
      <c r="C26" s="163">
        <f t="shared" ref="C26:I26" si="12">SUM(C27:C29)</f>
        <v>0</v>
      </c>
      <c r="D26" s="163">
        <f t="shared" si="12"/>
        <v>0</v>
      </c>
      <c r="E26" s="163">
        <f t="shared" si="12"/>
        <v>0</v>
      </c>
      <c r="F26" s="163">
        <f t="shared" si="12"/>
        <v>0</v>
      </c>
      <c r="G26" s="163">
        <f t="shared" si="12"/>
        <v>0</v>
      </c>
      <c r="H26" s="163">
        <f t="shared" si="12"/>
        <v>0</v>
      </c>
      <c r="I26" s="163">
        <f t="shared" si="12"/>
        <v>0</v>
      </c>
      <c r="J26" s="163">
        <f t="shared" ref="J26:Q26" si="13">SUM(J27:J29)</f>
        <v>0</v>
      </c>
      <c r="K26" s="163">
        <f t="shared" si="13"/>
        <v>0</v>
      </c>
      <c r="L26" s="163">
        <f t="shared" si="13"/>
        <v>0</v>
      </c>
      <c r="M26" s="163">
        <f t="shared" si="13"/>
        <v>0</v>
      </c>
      <c r="N26" s="163">
        <f t="shared" si="13"/>
        <v>0</v>
      </c>
      <c r="O26" s="163">
        <f t="shared" si="13"/>
        <v>0</v>
      </c>
      <c r="P26" s="163">
        <f t="shared" si="13"/>
        <v>0</v>
      </c>
      <c r="Q26" s="163">
        <f t="shared" si="13"/>
        <v>0</v>
      </c>
      <c r="R26" s="163">
        <f t="shared" ref="R26:AA26" si="14">SUM(R27:R29)</f>
        <v>0</v>
      </c>
      <c r="S26" s="163">
        <f t="shared" si="14"/>
        <v>0</v>
      </c>
      <c r="T26" s="163">
        <f t="shared" si="14"/>
        <v>0</v>
      </c>
      <c r="U26" s="163">
        <f t="shared" si="14"/>
        <v>0</v>
      </c>
      <c r="V26" s="163">
        <f t="shared" si="14"/>
        <v>0</v>
      </c>
      <c r="W26" s="163">
        <f t="shared" si="14"/>
        <v>0</v>
      </c>
      <c r="X26" s="163">
        <f t="shared" si="14"/>
        <v>0</v>
      </c>
      <c r="Y26" s="163">
        <f t="shared" si="14"/>
        <v>0</v>
      </c>
      <c r="Z26" s="163">
        <f t="shared" si="14"/>
        <v>0</v>
      </c>
      <c r="AA26" s="163">
        <f t="shared" si="14"/>
        <v>0</v>
      </c>
      <c r="AB26" s="163">
        <f t="shared" ref="AB26:AM26" si="15">SUM(AB27:AB29)</f>
        <v>0</v>
      </c>
      <c r="AC26" s="163">
        <f t="shared" si="15"/>
        <v>0</v>
      </c>
      <c r="AD26" s="163">
        <f t="shared" si="15"/>
        <v>0</v>
      </c>
      <c r="AE26" s="163">
        <f t="shared" si="15"/>
        <v>0</v>
      </c>
      <c r="AF26" s="163">
        <f t="shared" si="15"/>
        <v>0</v>
      </c>
      <c r="AG26" s="163">
        <f t="shared" si="15"/>
        <v>0</v>
      </c>
      <c r="AH26" s="163">
        <f t="shared" si="15"/>
        <v>0</v>
      </c>
      <c r="AI26" s="163">
        <f t="shared" si="15"/>
        <v>0</v>
      </c>
      <c r="AJ26" s="163">
        <f t="shared" si="15"/>
        <v>0</v>
      </c>
      <c r="AK26" s="163">
        <f t="shared" si="15"/>
        <v>0</v>
      </c>
      <c r="AL26" s="163">
        <f t="shared" si="15"/>
        <v>0</v>
      </c>
      <c r="AM26" s="163">
        <f t="shared" si="15"/>
        <v>0</v>
      </c>
    </row>
    <row r="27" spans="1:39" ht="15.75">
      <c r="A27" s="8">
        <v>5.0999999999999996</v>
      </c>
      <c r="B27" s="8" t="s">
        <v>78</v>
      </c>
      <c r="C27" s="160"/>
      <c r="D27" s="160"/>
      <c r="E27" s="147">
        <v>0</v>
      </c>
      <c r="F27" s="147">
        <v>0</v>
      </c>
      <c r="G27" s="147">
        <v>0</v>
      </c>
      <c r="H27" s="155">
        <v>0</v>
      </c>
      <c r="I27" s="155">
        <v>0</v>
      </c>
      <c r="J27" s="155">
        <v>0</v>
      </c>
      <c r="K27" s="155">
        <v>0</v>
      </c>
      <c r="L27" s="155">
        <v>0</v>
      </c>
      <c r="M27" s="155">
        <v>0</v>
      </c>
      <c r="N27" s="155">
        <v>0</v>
      </c>
      <c r="O27" s="155">
        <v>0</v>
      </c>
      <c r="P27" s="155">
        <v>0</v>
      </c>
      <c r="Q27" s="152">
        <v>0</v>
      </c>
      <c r="R27" s="185">
        <v>0</v>
      </c>
      <c r="S27" s="187">
        <v>0</v>
      </c>
      <c r="T27" s="187">
        <v>0</v>
      </c>
      <c r="U27" s="187">
        <v>0</v>
      </c>
      <c r="V27" s="187">
        <v>0</v>
      </c>
      <c r="W27" s="187">
        <v>0</v>
      </c>
      <c r="X27" s="187">
        <v>0</v>
      </c>
      <c r="Y27" s="187">
        <v>0</v>
      </c>
      <c r="Z27" s="187">
        <v>0</v>
      </c>
      <c r="AA27" s="187">
        <v>0</v>
      </c>
      <c r="AB27" s="187">
        <v>0</v>
      </c>
      <c r="AC27" s="187">
        <v>0</v>
      </c>
      <c r="AD27" s="195" t="s">
        <v>66</v>
      </c>
      <c r="AE27" s="202">
        <v>0</v>
      </c>
      <c r="AF27" s="204">
        <v>0</v>
      </c>
      <c r="AG27" s="204">
        <v>0</v>
      </c>
      <c r="AH27" s="202">
        <v>0</v>
      </c>
      <c r="AI27">
        <v>0</v>
      </c>
      <c r="AJ27" s="202">
        <v>0</v>
      </c>
      <c r="AK27" s="202">
        <v>0</v>
      </c>
      <c r="AL27" s="204">
        <v>0</v>
      </c>
      <c r="AM27" s="249">
        <v>0</v>
      </c>
    </row>
    <row r="28" spans="1:39" ht="15.75">
      <c r="A28" s="8">
        <v>5.2</v>
      </c>
      <c r="B28" s="8" t="s">
        <v>79</v>
      </c>
      <c r="C28" s="160"/>
      <c r="D28" s="160"/>
      <c r="E28" s="147">
        <v>0</v>
      </c>
      <c r="F28" s="147">
        <v>0</v>
      </c>
      <c r="G28" s="147">
        <v>0</v>
      </c>
      <c r="H28" s="155">
        <v>0</v>
      </c>
      <c r="I28" s="155">
        <v>0</v>
      </c>
      <c r="J28" s="155">
        <v>0</v>
      </c>
      <c r="K28" s="155">
        <v>0</v>
      </c>
      <c r="L28" s="155">
        <v>0</v>
      </c>
      <c r="M28" s="155">
        <v>0</v>
      </c>
      <c r="N28" s="155">
        <v>0</v>
      </c>
      <c r="O28" s="155">
        <v>0</v>
      </c>
      <c r="P28" s="155">
        <v>0</v>
      </c>
      <c r="Q28" s="152">
        <v>0</v>
      </c>
      <c r="R28" s="189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0</v>
      </c>
      <c r="X28" s="191">
        <v>0</v>
      </c>
      <c r="Y28" s="191">
        <v>0</v>
      </c>
      <c r="Z28" s="191">
        <v>0</v>
      </c>
      <c r="AA28" s="191">
        <v>0</v>
      </c>
      <c r="AB28" s="191">
        <v>0</v>
      </c>
      <c r="AC28" s="187">
        <v>0</v>
      </c>
      <c r="AD28" s="195" t="s">
        <v>66</v>
      </c>
      <c r="AE28" s="206">
        <v>0</v>
      </c>
      <c r="AF28" s="208">
        <v>0</v>
      </c>
      <c r="AG28" s="208">
        <v>0</v>
      </c>
      <c r="AH28" s="206">
        <v>0</v>
      </c>
      <c r="AI28">
        <v>0</v>
      </c>
      <c r="AJ28" s="206">
        <v>0</v>
      </c>
      <c r="AK28" s="206">
        <v>0</v>
      </c>
      <c r="AL28" s="208">
        <v>0</v>
      </c>
      <c r="AM28" s="251">
        <v>0</v>
      </c>
    </row>
    <row r="29" spans="1:39" ht="15.75">
      <c r="A29" s="8">
        <v>5.3</v>
      </c>
      <c r="B29" s="8" t="s">
        <v>80</v>
      </c>
      <c r="C29" s="160"/>
      <c r="D29" s="160"/>
      <c r="E29" s="147">
        <v>0</v>
      </c>
      <c r="F29" s="147">
        <v>0</v>
      </c>
      <c r="G29" s="147">
        <v>0</v>
      </c>
      <c r="H29" s="155">
        <v>0</v>
      </c>
      <c r="I29" s="155">
        <v>0</v>
      </c>
      <c r="J29" s="155">
        <v>0</v>
      </c>
      <c r="K29" s="155">
        <v>0</v>
      </c>
      <c r="L29" s="155">
        <v>0</v>
      </c>
      <c r="M29" s="155">
        <v>0</v>
      </c>
      <c r="N29" s="155">
        <v>0</v>
      </c>
      <c r="O29" s="155">
        <v>0</v>
      </c>
      <c r="P29" s="155">
        <v>0</v>
      </c>
      <c r="Q29" s="152">
        <v>0</v>
      </c>
      <c r="R29" s="189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0</v>
      </c>
      <c r="AA29" s="191">
        <v>0</v>
      </c>
      <c r="AB29" s="191">
        <v>0</v>
      </c>
      <c r="AC29" s="187">
        <v>0</v>
      </c>
      <c r="AD29" s="195" t="s">
        <v>66</v>
      </c>
      <c r="AE29" s="206">
        <v>0</v>
      </c>
      <c r="AF29" s="208">
        <v>0</v>
      </c>
      <c r="AG29" s="208">
        <v>0</v>
      </c>
      <c r="AH29" s="206">
        <v>0</v>
      </c>
      <c r="AI29">
        <v>0</v>
      </c>
      <c r="AJ29" s="206">
        <v>0</v>
      </c>
      <c r="AK29" s="206">
        <v>0</v>
      </c>
      <c r="AL29" s="208">
        <v>0</v>
      </c>
      <c r="AM29" s="251">
        <v>0</v>
      </c>
    </row>
    <row r="30" spans="1:39" ht="15.6">
      <c r="A30" s="8"/>
      <c r="B30" s="8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48"/>
      <c r="N30" s="148"/>
      <c r="O30" s="148"/>
      <c r="P30" s="148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95" t="s">
        <v>66</v>
      </c>
    </row>
    <row r="31" spans="1:39" ht="15.75">
      <c r="A31" s="9">
        <v>6</v>
      </c>
      <c r="B31" s="7" t="s">
        <v>81</v>
      </c>
      <c r="C31" s="163">
        <f t="shared" ref="C31:I31" si="16">SUM(C32:C36)</f>
        <v>12210244</v>
      </c>
      <c r="D31" s="163">
        <f t="shared" si="16"/>
        <v>9860927</v>
      </c>
      <c r="E31" s="163">
        <f t="shared" si="16"/>
        <v>9641418.8100000005</v>
      </c>
      <c r="F31" s="163">
        <f t="shared" si="16"/>
        <v>9641418.8100000005</v>
      </c>
      <c r="G31" s="163">
        <f t="shared" si="16"/>
        <v>10138850.549999999</v>
      </c>
      <c r="H31" s="163">
        <f t="shared" si="16"/>
        <v>9896062.7599999998</v>
      </c>
      <c r="I31" s="163">
        <f t="shared" si="16"/>
        <v>9653274.9500000011</v>
      </c>
      <c r="J31" s="163">
        <f t="shared" ref="J31:Q31" si="17">SUM(J32:J36)</f>
        <v>10100963.35</v>
      </c>
      <c r="K31" s="163">
        <f t="shared" si="17"/>
        <v>10139328.289999999</v>
      </c>
      <c r="L31" s="163">
        <f t="shared" si="17"/>
        <v>10150077.66</v>
      </c>
      <c r="M31" s="163">
        <f t="shared" si="17"/>
        <v>9831455.0999999996</v>
      </c>
      <c r="N31" s="163">
        <f t="shared" si="17"/>
        <v>9831455.0999999996</v>
      </c>
      <c r="O31" s="163">
        <f t="shared" si="17"/>
        <v>9831455.0999999996</v>
      </c>
      <c r="P31" s="163">
        <f t="shared" si="17"/>
        <v>34308833.93</v>
      </c>
      <c r="Q31" s="163">
        <f t="shared" si="17"/>
        <v>34291707</v>
      </c>
      <c r="R31" s="163">
        <f t="shared" ref="R31:AA31" si="18">SUM(R32:R36)</f>
        <v>9641418.8100000005</v>
      </c>
      <c r="S31" s="163">
        <f t="shared" si="18"/>
        <v>9641418.8100000005</v>
      </c>
      <c r="T31" s="163">
        <f t="shared" si="18"/>
        <v>10138850.549999999</v>
      </c>
      <c r="U31" s="163">
        <f t="shared" si="18"/>
        <v>9896062.7599999998</v>
      </c>
      <c r="V31" s="163">
        <f t="shared" si="18"/>
        <v>9653274.9500000011</v>
      </c>
      <c r="W31" s="163">
        <f t="shared" si="18"/>
        <v>10100963.35</v>
      </c>
      <c r="X31" s="163">
        <f t="shared" si="18"/>
        <v>10139328.289999999</v>
      </c>
      <c r="Y31" s="163">
        <f t="shared" si="18"/>
        <v>10150077.66</v>
      </c>
      <c r="Z31" s="163">
        <f t="shared" si="18"/>
        <v>9831455.0999999996</v>
      </c>
      <c r="AA31" s="163">
        <f t="shared" si="18"/>
        <v>9831455.0999999996</v>
      </c>
      <c r="AB31" s="163">
        <f t="shared" ref="AB31:AM31" si="19">SUM(AB32:AB36)</f>
        <v>9831455.0999999996</v>
      </c>
      <c r="AC31" s="163">
        <f t="shared" si="19"/>
        <v>34308833.93</v>
      </c>
      <c r="AD31" s="163">
        <f t="shared" si="19"/>
        <v>177805210</v>
      </c>
      <c r="AE31" s="163">
        <f t="shared" si="19"/>
        <v>233698299.70000002</v>
      </c>
      <c r="AF31" s="163">
        <f t="shared" si="19"/>
        <v>288699995.66000003</v>
      </c>
      <c r="AG31" s="163">
        <f t="shared" si="19"/>
        <v>325564649.74000001</v>
      </c>
      <c r="AH31" s="163">
        <f t="shared" si="19"/>
        <v>328463758.73000002</v>
      </c>
      <c r="AI31" s="163">
        <f t="shared" si="19"/>
        <v>386324525.06</v>
      </c>
      <c r="AJ31" s="163">
        <f t="shared" si="19"/>
        <v>392511232.38</v>
      </c>
      <c r="AK31" s="163">
        <f t="shared" si="19"/>
        <v>421868513.11000001</v>
      </c>
      <c r="AL31" s="163">
        <f t="shared" si="19"/>
        <v>445745793.96999997</v>
      </c>
      <c r="AM31" s="163">
        <f t="shared" si="19"/>
        <v>491979219.10999995</v>
      </c>
    </row>
    <row r="32" spans="1:39" ht="15.75">
      <c r="A32" s="8">
        <v>6.1</v>
      </c>
      <c r="B32" s="8" t="s">
        <v>82</v>
      </c>
      <c r="C32" s="160"/>
      <c r="D32" s="160"/>
      <c r="E32" s="147">
        <v>0</v>
      </c>
      <c r="F32" s="147">
        <v>0</v>
      </c>
      <c r="G32" s="147">
        <v>0</v>
      </c>
      <c r="H32" s="155">
        <v>0</v>
      </c>
      <c r="I32" s="155">
        <v>0</v>
      </c>
      <c r="J32" s="155">
        <v>0</v>
      </c>
      <c r="K32" s="155">
        <v>0</v>
      </c>
      <c r="L32" s="155">
        <v>0</v>
      </c>
      <c r="M32" s="155">
        <v>0</v>
      </c>
      <c r="N32" s="155">
        <v>0</v>
      </c>
      <c r="O32" s="155">
        <v>0</v>
      </c>
      <c r="P32" s="155">
        <v>0</v>
      </c>
      <c r="Q32" s="156">
        <v>0</v>
      </c>
      <c r="R32" s="185">
        <v>0</v>
      </c>
      <c r="S32" s="187">
        <v>0</v>
      </c>
      <c r="T32" s="187">
        <v>0</v>
      </c>
      <c r="U32" s="187">
        <v>0</v>
      </c>
      <c r="V32" s="187">
        <v>0</v>
      </c>
      <c r="W32" s="187">
        <v>0</v>
      </c>
      <c r="X32" s="187">
        <v>0</v>
      </c>
      <c r="Y32" s="187">
        <v>0</v>
      </c>
      <c r="Z32" s="187">
        <v>0</v>
      </c>
      <c r="AA32" s="187">
        <v>0</v>
      </c>
      <c r="AB32" s="187">
        <v>0</v>
      </c>
      <c r="AC32" s="187">
        <v>0</v>
      </c>
      <c r="AD32" s="196">
        <v>67876651</v>
      </c>
      <c r="AE32" s="202">
        <v>0</v>
      </c>
      <c r="AF32" s="204">
        <v>0</v>
      </c>
      <c r="AG32" s="204">
        <v>0</v>
      </c>
      <c r="AH32" s="202">
        <v>0</v>
      </c>
      <c r="AI32" s="202">
        <v>0</v>
      </c>
      <c r="AJ32" s="202">
        <v>0</v>
      </c>
      <c r="AK32" s="202">
        <v>0</v>
      </c>
      <c r="AL32" s="204">
        <v>0</v>
      </c>
      <c r="AM32" s="249">
        <v>0</v>
      </c>
    </row>
    <row r="33" spans="1:39" ht="15.75">
      <c r="A33" s="8">
        <v>6.2</v>
      </c>
      <c r="B33" s="8" t="s">
        <v>83</v>
      </c>
      <c r="C33" s="160">
        <v>11105461</v>
      </c>
      <c r="D33" s="160">
        <v>9128450</v>
      </c>
      <c r="E33" s="147">
        <v>8940448.7200000007</v>
      </c>
      <c r="F33" s="147">
        <v>8940448.7200000007</v>
      </c>
      <c r="G33" s="147">
        <v>9500901.9299999997</v>
      </c>
      <c r="H33" s="154">
        <v>9289624.8699999992</v>
      </c>
      <c r="I33" s="154">
        <v>9078347.8000000007</v>
      </c>
      <c r="J33" s="154">
        <v>8867070.7400000002</v>
      </c>
      <c r="K33" s="154">
        <v>8861914.6699999999</v>
      </c>
      <c r="L33" s="154">
        <v>8637243.0199999996</v>
      </c>
      <c r="M33" s="154">
        <v>8414949.4499999993</v>
      </c>
      <c r="N33" s="154">
        <v>8414949.4499999993</v>
      </c>
      <c r="O33" s="154">
        <v>8414949.4499999993</v>
      </c>
      <c r="P33" s="154">
        <v>9397646.9900000002</v>
      </c>
      <c r="Q33" s="156">
        <v>9397653</v>
      </c>
      <c r="R33" s="190">
        <v>8940448.7200000007</v>
      </c>
      <c r="S33" s="192">
        <v>8940448.7200000007</v>
      </c>
      <c r="T33" s="192">
        <v>9500901.9299999997</v>
      </c>
      <c r="U33" s="192">
        <v>9289624.8699999992</v>
      </c>
      <c r="V33" s="192">
        <v>9078347.8000000007</v>
      </c>
      <c r="W33" s="192">
        <v>8867070.7400000002</v>
      </c>
      <c r="X33" s="192">
        <v>8861914.6699999999</v>
      </c>
      <c r="Y33" s="192">
        <v>8637243.0199999996</v>
      </c>
      <c r="Z33" s="192">
        <v>8414949.4499999993</v>
      </c>
      <c r="AA33" s="192">
        <v>8414949.4499999993</v>
      </c>
      <c r="AB33" s="192">
        <v>8414949.4499999993</v>
      </c>
      <c r="AC33" s="188">
        <v>9397646.9900000002</v>
      </c>
      <c r="AD33" s="196">
        <v>8007060</v>
      </c>
      <c r="AE33" s="207">
        <v>145380070.74000001</v>
      </c>
      <c r="AF33" s="209">
        <v>201035671.5</v>
      </c>
      <c r="AG33" s="209">
        <v>238554230.46000001</v>
      </c>
      <c r="AH33" s="207">
        <v>242107244.33000001</v>
      </c>
      <c r="AI33" s="207">
        <v>300621915.54000002</v>
      </c>
      <c r="AJ33" s="207">
        <v>307462527.74000001</v>
      </c>
      <c r="AK33" s="207">
        <v>337096246.13</v>
      </c>
      <c r="AL33" s="209">
        <v>361638216.64999998</v>
      </c>
      <c r="AM33" s="252">
        <v>408536331.44999999</v>
      </c>
    </row>
    <row r="34" spans="1:39" ht="15.75">
      <c r="A34" s="8">
        <v>6.3</v>
      </c>
      <c r="B34" s="8" t="s">
        <v>84</v>
      </c>
      <c r="C34" s="160"/>
      <c r="D34" s="160"/>
      <c r="E34" s="147">
        <v>0</v>
      </c>
      <c r="F34" s="147">
        <v>0</v>
      </c>
      <c r="G34" s="147">
        <v>0</v>
      </c>
      <c r="H34" s="155">
        <v>0</v>
      </c>
      <c r="I34" s="155">
        <v>0</v>
      </c>
      <c r="J34" s="155">
        <v>0</v>
      </c>
      <c r="K34" s="155">
        <v>0</v>
      </c>
      <c r="L34" s="155">
        <v>0</v>
      </c>
      <c r="M34" s="155">
        <v>0</v>
      </c>
      <c r="N34" s="155">
        <v>0</v>
      </c>
      <c r="O34" s="155">
        <v>0</v>
      </c>
      <c r="P34" s="155">
        <v>0</v>
      </c>
      <c r="Q34" s="156"/>
      <c r="R34" s="189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87">
        <v>0</v>
      </c>
      <c r="AD34" s="195" t="s">
        <v>66</v>
      </c>
      <c r="AE34" s="207">
        <v>67679511.299999997</v>
      </c>
      <c r="AF34" s="209">
        <v>67482371.790000007</v>
      </c>
      <c r="AG34" s="209">
        <v>67285232.280000001</v>
      </c>
      <c r="AH34" s="207">
        <v>67088092.770000003</v>
      </c>
      <c r="AI34" s="207">
        <v>66890953.259999998</v>
      </c>
      <c r="AJ34" s="207">
        <v>66693813.75</v>
      </c>
      <c r="AK34" s="207">
        <v>66496674.240000002</v>
      </c>
      <c r="AL34" s="209">
        <v>66299534.729999997</v>
      </c>
      <c r="AM34" s="252">
        <v>66102395.219999999</v>
      </c>
    </row>
    <row r="35" spans="1:39" ht="15.75">
      <c r="A35" s="8">
        <v>6.4</v>
      </c>
      <c r="B35" s="8" t="s">
        <v>85</v>
      </c>
      <c r="C35" s="160">
        <v>1104783</v>
      </c>
      <c r="D35" s="160">
        <v>732477</v>
      </c>
      <c r="E35" s="147">
        <v>700970.09</v>
      </c>
      <c r="F35" s="147">
        <v>700970.09</v>
      </c>
      <c r="G35" s="147">
        <v>637948.62</v>
      </c>
      <c r="H35" s="154">
        <v>606437.89</v>
      </c>
      <c r="I35" s="154">
        <v>574927.15</v>
      </c>
      <c r="J35" s="154">
        <v>1233892.6100000001</v>
      </c>
      <c r="K35" s="154">
        <v>1277413.6200000001</v>
      </c>
      <c r="L35" s="154">
        <v>1510834.64</v>
      </c>
      <c r="M35" s="154">
        <v>1416505.65</v>
      </c>
      <c r="N35" s="154">
        <v>1416505.65</v>
      </c>
      <c r="O35" s="154">
        <v>1416505.65</v>
      </c>
      <c r="P35" s="154">
        <v>24911186.940000001</v>
      </c>
      <c r="Q35" s="156">
        <v>24894054</v>
      </c>
      <c r="R35" s="190">
        <v>700970.09</v>
      </c>
      <c r="S35" s="192">
        <v>700970.09</v>
      </c>
      <c r="T35" s="192">
        <v>637948.62</v>
      </c>
      <c r="U35" s="192">
        <v>606437.89</v>
      </c>
      <c r="V35" s="192">
        <v>574927.15</v>
      </c>
      <c r="W35" s="192">
        <v>1233892.6100000001</v>
      </c>
      <c r="X35" s="192">
        <v>1277413.6200000001</v>
      </c>
      <c r="Y35" s="192">
        <v>1510834.64</v>
      </c>
      <c r="Z35" s="192">
        <v>1416505.65</v>
      </c>
      <c r="AA35" s="192">
        <v>1416505.65</v>
      </c>
      <c r="AB35" s="192">
        <v>1416505.65</v>
      </c>
      <c r="AC35" s="188">
        <v>24911186.940000001</v>
      </c>
      <c r="AD35" s="196">
        <v>21095480</v>
      </c>
      <c r="AE35" s="207">
        <v>20638717.66</v>
      </c>
      <c r="AF35" s="209">
        <v>20181952.370000001</v>
      </c>
      <c r="AG35" s="209">
        <v>19725187</v>
      </c>
      <c r="AH35" s="207">
        <v>19268421.629999999</v>
      </c>
      <c r="AI35" s="207">
        <v>18811656.260000002</v>
      </c>
      <c r="AJ35" s="207">
        <v>18354890.890000001</v>
      </c>
      <c r="AK35" s="207">
        <v>18275592.739999998</v>
      </c>
      <c r="AL35" s="209">
        <v>17808042.59</v>
      </c>
      <c r="AM35" s="252">
        <v>17340492.440000001</v>
      </c>
    </row>
    <row r="36" spans="1:39" ht="15.75">
      <c r="A36" s="8">
        <v>6.5</v>
      </c>
      <c r="B36" s="8" t="s">
        <v>86</v>
      </c>
      <c r="C36" s="160"/>
      <c r="D36" s="160"/>
      <c r="E36" s="147">
        <v>0</v>
      </c>
      <c r="F36" s="147">
        <v>0</v>
      </c>
      <c r="G36" s="147">
        <v>0</v>
      </c>
      <c r="H36" s="155">
        <v>0</v>
      </c>
      <c r="I36" s="155">
        <v>0</v>
      </c>
      <c r="J36" s="155">
        <v>0</v>
      </c>
      <c r="K36" s="155">
        <v>0</v>
      </c>
      <c r="L36" s="154">
        <v>2000</v>
      </c>
      <c r="M36" s="155">
        <v>0</v>
      </c>
      <c r="N36" s="155">
        <v>0</v>
      </c>
      <c r="O36" s="155">
        <v>0</v>
      </c>
      <c r="P36" s="155">
        <v>0</v>
      </c>
      <c r="Q36" s="156"/>
      <c r="R36" s="189">
        <v>0</v>
      </c>
      <c r="S36" s="191">
        <v>0</v>
      </c>
      <c r="T36" s="191">
        <v>0</v>
      </c>
      <c r="U36" s="191">
        <v>0</v>
      </c>
      <c r="V36" s="191">
        <v>0</v>
      </c>
      <c r="W36" s="191">
        <v>0</v>
      </c>
      <c r="X36" s="191">
        <v>0</v>
      </c>
      <c r="Y36" s="192">
        <v>2000</v>
      </c>
      <c r="Z36" s="191">
        <v>0</v>
      </c>
      <c r="AA36" s="191">
        <v>0</v>
      </c>
      <c r="AB36" s="191">
        <v>0</v>
      </c>
      <c r="AC36" s="187">
        <v>0</v>
      </c>
      <c r="AD36" s="196">
        <v>80826019</v>
      </c>
      <c r="AE36" s="206">
        <v>0</v>
      </c>
      <c r="AF36" s="208">
        <v>0</v>
      </c>
      <c r="AG36" s="208">
        <v>0</v>
      </c>
      <c r="AH36" s="206">
        <v>0</v>
      </c>
      <c r="AI36" s="206">
        <v>0</v>
      </c>
      <c r="AJ36" s="206">
        <v>0</v>
      </c>
      <c r="AK36" s="206">
        <v>0</v>
      </c>
      <c r="AL36" s="208">
        <v>0</v>
      </c>
      <c r="AM36" s="251">
        <v>0</v>
      </c>
    </row>
    <row r="37" spans="1:39" ht="15.6">
      <c r="A37" s="8"/>
      <c r="B37" s="8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48"/>
      <c r="N37" s="148"/>
      <c r="O37" s="148"/>
      <c r="P37" s="148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95" t="s">
        <v>66</v>
      </c>
    </row>
    <row r="38" spans="1:39" ht="15.75">
      <c r="A38" s="8"/>
      <c r="B38" s="7" t="s">
        <v>87</v>
      </c>
      <c r="C38" s="163">
        <f t="shared" ref="C38:I38" si="20">C10+C14+C16+C22+C26+C31</f>
        <v>3365864887</v>
      </c>
      <c r="D38" s="163">
        <f t="shared" si="20"/>
        <v>3788805308</v>
      </c>
      <c r="E38" s="163">
        <f t="shared" si="20"/>
        <v>3843606543.1500001</v>
      </c>
      <c r="F38" s="163">
        <f t="shared" si="20"/>
        <v>3889247455.02</v>
      </c>
      <c r="G38" s="163">
        <f t="shared" si="20"/>
        <v>3715223649.8200002</v>
      </c>
      <c r="H38" s="163">
        <f t="shared" si="20"/>
        <v>3768697463.5100002</v>
      </c>
      <c r="I38" s="163">
        <f t="shared" si="20"/>
        <v>3827325472.4300003</v>
      </c>
      <c r="J38" s="163">
        <f t="shared" ref="J38:Q38" si="21">J10+J14+J16+J22+J26+J31</f>
        <v>3901992733.4699998</v>
      </c>
      <c r="K38" s="163">
        <f t="shared" si="21"/>
        <v>3940960139.7399998</v>
      </c>
      <c r="L38" s="163">
        <f t="shared" si="21"/>
        <v>3994442051.9400001</v>
      </c>
      <c r="M38" s="163">
        <f t="shared" si="21"/>
        <v>4058590469.71</v>
      </c>
      <c r="N38" s="163">
        <f t="shared" si="21"/>
        <v>4117896763.9300003</v>
      </c>
      <c r="O38" s="163">
        <f t="shared" si="21"/>
        <v>4156340200.77</v>
      </c>
      <c r="P38" s="163">
        <f t="shared" si="21"/>
        <v>4113986146.4499998</v>
      </c>
      <c r="Q38" s="163">
        <f t="shared" si="21"/>
        <v>4110133410</v>
      </c>
      <c r="R38" s="163">
        <f t="shared" ref="R38:AA38" si="22">R10+R14+R16+R22+R26+R31</f>
        <v>3843606543.1500001</v>
      </c>
      <c r="S38" s="163">
        <f t="shared" si="22"/>
        <v>3889247455.02</v>
      </c>
      <c r="T38" s="163">
        <f t="shared" si="22"/>
        <v>3715223649.8200002</v>
      </c>
      <c r="U38" s="163">
        <f t="shared" si="22"/>
        <v>3768697463.5100002</v>
      </c>
      <c r="V38" s="163">
        <f t="shared" si="22"/>
        <v>3827325472.4300003</v>
      </c>
      <c r="W38" s="163">
        <f t="shared" si="22"/>
        <v>3901992733.4699998</v>
      </c>
      <c r="X38" s="163">
        <f t="shared" si="22"/>
        <v>3940960139.7399998</v>
      </c>
      <c r="Y38" s="163">
        <f t="shared" si="22"/>
        <v>3994442051.9400001</v>
      </c>
      <c r="Z38" s="163">
        <f t="shared" si="22"/>
        <v>4058590469.71</v>
      </c>
      <c r="AA38" s="163">
        <f t="shared" si="22"/>
        <v>4117896763.9300003</v>
      </c>
      <c r="AB38" s="163">
        <f t="shared" ref="AB38:AM38" si="23">AB10+AB14+AB16+AB22+AB26+AB31</f>
        <v>4156340200.77</v>
      </c>
      <c r="AC38" s="163">
        <f t="shared" si="23"/>
        <v>4113986146.4499998</v>
      </c>
      <c r="AD38" s="163">
        <f t="shared" si="23"/>
        <v>4575477569</v>
      </c>
      <c r="AE38" s="163">
        <f t="shared" si="23"/>
        <v>4613394290.3299999</v>
      </c>
      <c r="AF38" s="163">
        <f t="shared" si="23"/>
        <v>4429455093.1999998</v>
      </c>
      <c r="AG38" s="163">
        <f t="shared" si="23"/>
        <v>4442002955</v>
      </c>
      <c r="AH38" s="163">
        <f t="shared" si="23"/>
        <v>4464118947.5100002</v>
      </c>
      <c r="AI38" s="163">
        <f t="shared" si="23"/>
        <v>4541331875.6099997</v>
      </c>
      <c r="AJ38" s="163">
        <f t="shared" si="23"/>
        <v>4611041362.6199999</v>
      </c>
      <c r="AK38" s="163">
        <f t="shared" si="23"/>
        <v>4676448950.1799994</v>
      </c>
      <c r="AL38" s="163">
        <f t="shared" si="23"/>
        <v>4749122692.1199999</v>
      </c>
      <c r="AM38" s="163">
        <f t="shared" si="23"/>
        <v>4817085663.2799997</v>
      </c>
    </row>
    <row r="39" spans="1:39" ht="15.6">
      <c r="A39" s="8"/>
      <c r="B39" s="8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48"/>
      <c r="N39" s="148"/>
      <c r="O39" s="148"/>
      <c r="P39" s="148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95" t="s">
        <v>66</v>
      </c>
    </row>
    <row r="40" spans="1:39" ht="15.6">
      <c r="A40" s="8"/>
      <c r="B40" s="8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48"/>
      <c r="N40" s="148"/>
      <c r="O40" s="148"/>
      <c r="P40" s="148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95" t="s">
        <v>66</v>
      </c>
    </row>
    <row r="41" spans="1:39" ht="15.6">
      <c r="A41" s="8"/>
      <c r="B41" s="7" t="s">
        <v>88</v>
      </c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48"/>
      <c r="N41" s="148"/>
      <c r="O41" s="148"/>
      <c r="P41" s="148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95" t="s">
        <v>66</v>
      </c>
    </row>
    <row r="42" spans="1:39" ht="15.75">
      <c r="A42" s="8">
        <v>7</v>
      </c>
      <c r="B42" s="8" t="s">
        <v>89</v>
      </c>
      <c r="C42" s="160">
        <v>5510696</v>
      </c>
      <c r="D42" s="160">
        <v>6007705</v>
      </c>
      <c r="E42" s="147">
        <v>115403096.53</v>
      </c>
      <c r="F42" s="147">
        <v>113648297.55</v>
      </c>
      <c r="G42" s="147">
        <v>155310122.56</v>
      </c>
      <c r="H42" s="154">
        <v>150667092.27000001</v>
      </c>
      <c r="I42" s="154">
        <v>146190486.09999999</v>
      </c>
      <c r="J42" s="154">
        <v>163647682.25</v>
      </c>
      <c r="K42" s="154">
        <v>162929244.25</v>
      </c>
      <c r="L42" s="154">
        <v>155276963.72999999</v>
      </c>
      <c r="M42" s="154">
        <v>155276963.72999999</v>
      </c>
      <c r="N42" s="154">
        <v>158808556.55000001</v>
      </c>
      <c r="O42" s="154">
        <v>163006300.56</v>
      </c>
      <c r="P42" s="154">
        <v>103196137.14</v>
      </c>
      <c r="Q42" s="156">
        <v>4928808</v>
      </c>
      <c r="R42" s="186">
        <v>115403096.53</v>
      </c>
      <c r="S42" s="188">
        <v>113648297.55</v>
      </c>
      <c r="T42" s="188">
        <v>155310122.56</v>
      </c>
      <c r="U42" s="188">
        <v>150667092.27000001</v>
      </c>
      <c r="V42" s="188">
        <v>146190486.09999999</v>
      </c>
      <c r="W42" s="188">
        <v>163647682.25</v>
      </c>
      <c r="X42" s="188">
        <v>162929244.25</v>
      </c>
      <c r="Y42" s="188">
        <v>155276963.72999999</v>
      </c>
      <c r="Z42" s="188">
        <v>155276963.72999999</v>
      </c>
      <c r="AA42" s="188">
        <v>158808556.55000001</v>
      </c>
      <c r="AB42" s="188">
        <v>163006300.56</v>
      </c>
      <c r="AC42" s="188">
        <v>103196137.14</v>
      </c>
      <c r="AD42" s="196">
        <v>4878059</v>
      </c>
      <c r="AE42" s="203">
        <v>146881535.22</v>
      </c>
      <c r="AF42" s="205">
        <v>209478618.40000001</v>
      </c>
      <c r="AG42" s="205">
        <v>160708813.75</v>
      </c>
      <c r="AH42" s="203">
        <v>158758444.65000001</v>
      </c>
      <c r="AI42" s="203">
        <v>153729086.18000001</v>
      </c>
      <c r="AJ42" s="203">
        <v>163923772.69</v>
      </c>
      <c r="AK42" s="203">
        <v>164210578.62</v>
      </c>
      <c r="AL42" s="205">
        <v>162039558.77000001</v>
      </c>
      <c r="AM42" s="250">
        <v>163579744.72999999</v>
      </c>
    </row>
    <row r="43" spans="1:39" ht="15.75">
      <c r="A43" s="8">
        <v>8</v>
      </c>
      <c r="B43" s="8" t="s">
        <v>90</v>
      </c>
      <c r="C43" s="160">
        <v>106886071</v>
      </c>
      <c r="D43" s="160">
        <v>113281794</v>
      </c>
      <c r="E43" s="147">
        <v>0</v>
      </c>
      <c r="F43" s="147">
        <v>0</v>
      </c>
      <c r="G43" s="147">
        <v>0</v>
      </c>
      <c r="H43" s="155">
        <v>0</v>
      </c>
      <c r="I43" s="155">
        <v>0</v>
      </c>
      <c r="J43" s="155">
        <v>0</v>
      </c>
      <c r="K43" s="155">
        <v>0</v>
      </c>
      <c r="L43" s="155">
        <v>0</v>
      </c>
      <c r="M43" s="155">
        <v>0</v>
      </c>
      <c r="N43" s="155">
        <v>0</v>
      </c>
      <c r="O43" s="155">
        <v>0</v>
      </c>
      <c r="P43" s="155">
        <v>0</v>
      </c>
      <c r="Q43" s="156">
        <v>98250768</v>
      </c>
      <c r="R43" s="189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87">
        <v>0</v>
      </c>
      <c r="AD43" s="196">
        <v>142375969</v>
      </c>
      <c r="AE43" s="206">
        <v>0</v>
      </c>
      <c r="AF43" s="208">
        <v>0</v>
      </c>
      <c r="AG43" s="208">
        <v>0</v>
      </c>
      <c r="AH43" s="206">
        <v>0</v>
      </c>
      <c r="AI43" s="206">
        <v>0</v>
      </c>
      <c r="AJ43" s="206">
        <v>0</v>
      </c>
      <c r="AK43" s="206">
        <v>0</v>
      </c>
      <c r="AL43" s="208">
        <v>0</v>
      </c>
      <c r="AM43" s="251">
        <v>0</v>
      </c>
    </row>
    <row r="44" spans="1:39" ht="15.75">
      <c r="A44" s="8">
        <v>9</v>
      </c>
      <c r="B44" s="8" t="s">
        <v>91</v>
      </c>
      <c r="C44" s="160">
        <v>2088840718</v>
      </c>
      <c r="D44" s="160">
        <v>2273006691</v>
      </c>
      <c r="E44" s="147">
        <v>2286717213.75</v>
      </c>
      <c r="F44" s="147">
        <v>2298913302.4499998</v>
      </c>
      <c r="G44" s="147">
        <v>2320720614.6700001</v>
      </c>
      <c r="H44" s="154">
        <v>2338125113.9000001</v>
      </c>
      <c r="I44" s="154">
        <v>2357680716.27</v>
      </c>
      <c r="J44" s="154">
        <v>2370459528.2199998</v>
      </c>
      <c r="K44" s="154">
        <v>2385754723.5100002</v>
      </c>
      <c r="L44" s="154">
        <v>2402304756.73</v>
      </c>
      <c r="M44" s="154">
        <v>2402304756.73</v>
      </c>
      <c r="N44" s="154">
        <v>2434045128.1399999</v>
      </c>
      <c r="O44" s="154">
        <v>2422023784.29</v>
      </c>
      <c r="P44" s="154">
        <v>2409030778.29</v>
      </c>
      <c r="Q44" s="156">
        <v>2409040533</v>
      </c>
      <c r="R44" s="190">
        <v>2286717213.75</v>
      </c>
      <c r="S44" s="192">
        <v>2298913302.4499998</v>
      </c>
      <c r="T44" s="192">
        <v>2320720614.6700001</v>
      </c>
      <c r="U44" s="192">
        <v>2338125113.9000001</v>
      </c>
      <c r="V44" s="192">
        <v>2357680716.27</v>
      </c>
      <c r="W44" s="192">
        <v>2370459528.2199998</v>
      </c>
      <c r="X44" s="192">
        <v>2385754723.5100002</v>
      </c>
      <c r="Y44" s="192">
        <v>2402304756.73</v>
      </c>
      <c r="Z44" s="192">
        <v>2402304756.73</v>
      </c>
      <c r="AA44" s="192">
        <v>2434045128.1399999</v>
      </c>
      <c r="AB44" s="192">
        <v>2422023784.29</v>
      </c>
      <c r="AC44" s="188">
        <v>2409030778.29</v>
      </c>
      <c r="AD44" s="196">
        <v>2623653589</v>
      </c>
      <c r="AE44" s="207">
        <v>2642723566.5500002</v>
      </c>
      <c r="AF44" s="209">
        <v>2662562559.9299998</v>
      </c>
      <c r="AG44" s="209">
        <v>2676728758.8699999</v>
      </c>
      <c r="AH44" s="207">
        <v>2684589140.8400002</v>
      </c>
      <c r="AI44" s="207">
        <v>2687990073.0300002</v>
      </c>
      <c r="AJ44" s="207">
        <v>2694461446.8499999</v>
      </c>
      <c r="AK44" s="207">
        <v>2705249812.4499998</v>
      </c>
      <c r="AL44" s="209">
        <v>2730201492.8099999</v>
      </c>
      <c r="AM44" s="252">
        <v>2750429736.3299999</v>
      </c>
    </row>
    <row r="45" spans="1:39" ht="15.75">
      <c r="A45" s="8"/>
      <c r="B45" s="7" t="s">
        <v>92</v>
      </c>
      <c r="C45" s="163">
        <f t="shared" ref="C45:I45" si="24">SUM(C42:C44)</f>
        <v>2201237485</v>
      </c>
      <c r="D45" s="163">
        <f t="shared" si="24"/>
        <v>2392296190</v>
      </c>
      <c r="E45" s="163">
        <f t="shared" si="24"/>
        <v>2402120310.2800002</v>
      </c>
      <c r="F45" s="163">
        <f t="shared" si="24"/>
        <v>2412561600</v>
      </c>
      <c r="G45" s="163">
        <f t="shared" si="24"/>
        <v>2476030737.23</v>
      </c>
      <c r="H45" s="163">
        <f t="shared" si="24"/>
        <v>2488792206.1700001</v>
      </c>
      <c r="I45" s="163">
        <f t="shared" si="24"/>
        <v>2503871202.3699999</v>
      </c>
      <c r="J45" s="163">
        <f t="shared" ref="J45:Q45" si="25">SUM(J42:J44)</f>
        <v>2534107210.4699998</v>
      </c>
      <c r="K45" s="163">
        <f t="shared" si="25"/>
        <v>2548683967.7600002</v>
      </c>
      <c r="L45" s="163">
        <f t="shared" si="25"/>
        <v>2557581720.46</v>
      </c>
      <c r="M45" s="163">
        <f t="shared" si="25"/>
        <v>2557581720.46</v>
      </c>
      <c r="N45" s="163">
        <f t="shared" si="25"/>
        <v>2592853684.6900001</v>
      </c>
      <c r="O45" s="163">
        <f t="shared" si="25"/>
        <v>2585030084.8499999</v>
      </c>
      <c r="P45" s="163">
        <f t="shared" si="25"/>
        <v>2512226915.4299998</v>
      </c>
      <c r="Q45" s="163">
        <f t="shared" si="25"/>
        <v>2512220109</v>
      </c>
      <c r="R45" s="163">
        <f t="shared" ref="R45:AA45" si="26">SUM(R42:R44)</f>
        <v>2402120310.2800002</v>
      </c>
      <c r="S45" s="163">
        <f t="shared" si="26"/>
        <v>2412561600</v>
      </c>
      <c r="T45" s="163">
        <f t="shared" si="26"/>
        <v>2476030737.23</v>
      </c>
      <c r="U45" s="163">
        <f t="shared" si="26"/>
        <v>2488792206.1700001</v>
      </c>
      <c r="V45" s="163">
        <f t="shared" si="26"/>
        <v>2503871202.3699999</v>
      </c>
      <c r="W45" s="163">
        <f t="shared" si="26"/>
        <v>2534107210.4699998</v>
      </c>
      <c r="X45" s="163">
        <f t="shared" si="26"/>
        <v>2548683967.7600002</v>
      </c>
      <c r="Y45" s="163">
        <f t="shared" si="26"/>
        <v>2557581720.46</v>
      </c>
      <c r="Z45" s="163">
        <f t="shared" si="26"/>
        <v>2557581720.46</v>
      </c>
      <c r="AA45" s="163">
        <f t="shared" si="26"/>
        <v>2592853684.6900001</v>
      </c>
      <c r="AB45" s="163">
        <f t="shared" ref="AB45:AL45" si="27">SUM(AB42:AB44)</f>
        <v>2585030084.8499999</v>
      </c>
      <c r="AC45" s="163">
        <f t="shared" si="27"/>
        <v>2512226915.4299998</v>
      </c>
      <c r="AD45" s="163">
        <f t="shared" si="27"/>
        <v>2770907617</v>
      </c>
      <c r="AE45" s="163">
        <f t="shared" si="27"/>
        <v>2789605101.77</v>
      </c>
      <c r="AF45" s="163">
        <f t="shared" si="27"/>
        <v>2872041178.3299999</v>
      </c>
      <c r="AG45" s="163">
        <f t="shared" si="27"/>
        <v>2837437572.6199999</v>
      </c>
      <c r="AH45" s="163">
        <f t="shared" si="27"/>
        <v>2843347585.4900002</v>
      </c>
      <c r="AI45" s="163">
        <f t="shared" si="27"/>
        <v>2841719159.21</v>
      </c>
      <c r="AJ45" s="163">
        <f t="shared" si="27"/>
        <v>2858385219.54</v>
      </c>
      <c r="AK45" s="163">
        <f t="shared" si="27"/>
        <v>2869460391.0699997</v>
      </c>
      <c r="AL45" s="163">
        <f t="shared" si="27"/>
        <v>2892241051.5799999</v>
      </c>
      <c r="AM45" s="163">
        <f t="shared" ref="AM45" si="28">SUM(AM42:AM44)</f>
        <v>2914009481.0599999</v>
      </c>
    </row>
    <row r="46" spans="1:39" ht="15.6">
      <c r="A46" s="8"/>
      <c r="B46" s="8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48"/>
      <c r="N46" s="148"/>
      <c r="O46" s="148"/>
      <c r="P46" s="148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95" t="s">
        <v>66</v>
      </c>
    </row>
    <row r="47" spans="1:39" ht="15.75">
      <c r="A47" s="8">
        <v>10</v>
      </c>
      <c r="B47" s="7" t="s">
        <v>93</v>
      </c>
      <c r="C47" s="153">
        <f t="shared" ref="C47:I47" si="29">SUM(C48:C53)</f>
        <v>337371662</v>
      </c>
      <c r="D47" s="153">
        <f t="shared" si="29"/>
        <v>356920447</v>
      </c>
      <c r="E47" s="153">
        <f t="shared" si="29"/>
        <v>354944209.29000002</v>
      </c>
      <c r="F47" s="153">
        <f t="shared" si="29"/>
        <v>353228588.07999998</v>
      </c>
      <c r="G47" s="153">
        <f t="shared" si="29"/>
        <v>71248578.780000001</v>
      </c>
      <c r="H47" s="153">
        <f t="shared" si="29"/>
        <v>66325840.359999999</v>
      </c>
      <c r="I47" s="153">
        <f t="shared" si="29"/>
        <v>67149578.730000004</v>
      </c>
      <c r="J47" s="153">
        <f t="shared" ref="J47:Q47" si="30">SUM(J48:J53)</f>
        <v>65117426.489999995</v>
      </c>
      <c r="K47" s="153">
        <f t="shared" si="30"/>
        <v>45373286.799999997</v>
      </c>
      <c r="L47" s="153">
        <f t="shared" si="30"/>
        <v>49659657.480000004</v>
      </c>
      <c r="M47" s="153">
        <f t="shared" si="30"/>
        <v>49659657.480000004</v>
      </c>
      <c r="N47" s="153">
        <f t="shared" si="30"/>
        <v>54960340.75</v>
      </c>
      <c r="O47" s="153">
        <f t="shared" si="30"/>
        <v>63705284.960000001</v>
      </c>
      <c r="P47" s="153">
        <f t="shared" si="30"/>
        <v>50450371.940000005</v>
      </c>
      <c r="Q47" s="153">
        <f t="shared" si="30"/>
        <v>313943031</v>
      </c>
      <c r="R47" s="153">
        <f t="shared" ref="R47:AA47" si="31">SUM(R48:R53)</f>
        <v>354944209.29000002</v>
      </c>
      <c r="S47" s="153">
        <f t="shared" si="31"/>
        <v>353228588.07999998</v>
      </c>
      <c r="T47" s="153">
        <f t="shared" si="31"/>
        <v>71248578.780000001</v>
      </c>
      <c r="U47" s="153">
        <f t="shared" si="31"/>
        <v>66325840.359999999</v>
      </c>
      <c r="V47" s="153">
        <f t="shared" si="31"/>
        <v>67149578.730000004</v>
      </c>
      <c r="W47" s="153">
        <f t="shared" si="31"/>
        <v>65117426.489999995</v>
      </c>
      <c r="X47" s="153">
        <f t="shared" si="31"/>
        <v>45373286.799999997</v>
      </c>
      <c r="Y47" s="153">
        <f t="shared" si="31"/>
        <v>49659657.480000004</v>
      </c>
      <c r="Z47" s="153">
        <f t="shared" si="31"/>
        <v>49659657.480000004</v>
      </c>
      <c r="AA47" s="153">
        <f t="shared" si="31"/>
        <v>54960340.75</v>
      </c>
      <c r="AB47" s="153">
        <f t="shared" ref="AB47:AL47" si="32">SUM(AB48:AB53)</f>
        <v>63705284.960000001</v>
      </c>
      <c r="AC47" s="153">
        <f t="shared" si="32"/>
        <v>50450371.940000005</v>
      </c>
      <c r="AD47" s="153">
        <f t="shared" si="32"/>
        <v>318659182</v>
      </c>
      <c r="AE47" s="153">
        <f t="shared" si="32"/>
        <v>352597365.87</v>
      </c>
      <c r="AF47" s="153">
        <f t="shared" si="32"/>
        <v>50962089.259999998</v>
      </c>
      <c r="AG47" s="153">
        <f t="shared" si="32"/>
        <v>50018790.109999999</v>
      </c>
      <c r="AH47" s="153">
        <f t="shared" si="32"/>
        <v>18730840.919999998</v>
      </c>
      <c r="AI47" s="153">
        <f t="shared" si="32"/>
        <v>52355666.530000001</v>
      </c>
      <c r="AJ47" s="153">
        <f t="shared" si="32"/>
        <v>52308943.75</v>
      </c>
      <c r="AK47" s="153">
        <f t="shared" si="32"/>
        <v>63155134.670000002</v>
      </c>
      <c r="AL47" s="153">
        <f t="shared" si="32"/>
        <v>70354170.719999999</v>
      </c>
      <c r="AM47" s="153">
        <f t="shared" ref="AM47" si="33">SUM(AM48:AM53)</f>
        <v>70010257.900000006</v>
      </c>
    </row>
    <row r="48" spans="1:39" ht="15.75">
      <c r="A48" s="8">
        <v>10.1</v>
      </c>
      <c r="B48" s="8" t="s">
        <v>94</v>
      </c>
      <c r="C48" s="160">
        <v>1973453</v>
      </c>
      <c r="D48" s="167">
        <v>-2319597</v>
      </c>
      <c r="E48" s="147">
        <v>-3234.69</v>
      </c>
      <c r="F48" s="147">
        <v>14085168.09</v>
      </c>
      <c r="G48" s="147">
        <v>-84173.81</v>
      </c>
      <c r="H48" s="154">
        <v>53570.79</v>
      </c>
      <c r="I48" s="155">
        <v>274.79000000000002</v>
      </c>
      <c r="J48" s="154">
        <v>1664.59</v>
      </c>
      <c r="K48" s="154">
        <v>173633.59</v>
      </c>
      <c r="L48" s="154">
        <v>-14075.41</v>
      </c>
      <c r="M48" s="154">
        <v>-14075.41</v>
      </c>
      <c r="N48" s="154">
        <v>-27622.11</v>
      </c>
      <c r="O48" s="154">
        <v>265486.89</v>
      </c>
      <c r="P48" s="154">
        <v>710579.21</v>
      </c>
      <c r="Q48" s="156">
        <v>2040497</v>
      </c>
      <c r="R48" s="186">
        <v>-3234.69</v>
      </c>
      <c r="S48" s="188">
        <v>14085168.09</v>
      </c>
      <c r="T48" s="188">
        <v>-84173.81</v>
      </c>
      <c r="U48" s="188">
        <v>53570.79</v>
      </c>
      <c r="V48" s="187">
        <v>274.79000000000002</v>
      </c>
      <c r="W48" s="188">
        <v>1664.59</v>
      </c>
      <c r="X48" s="188">
        <v>173633.59</v>
      </c>
      <c r="Y48" s="188">
        <v>-14075.41</v>
      </c>
      <c r="Z48" s="188">
        <v>-14075.41</v>
      </c>
      <c r="AA48" s="188">
        <v>-27622.11</v>
      </c>
      <c r="AB48" s="188">
        <v>265486.89</v>
      </c>
      <c r="AC48" s="188">
        <v>710579.21</v>
      </c>
      <c r="AD48" s="196">
        <v>1240355</v>
      </c>
      <c r="AE48" s="203">
        <v>-112592.32000000001</v>
      </c>
      <c r="AF48" s="205">
        <v>16538217</v>
      </c>
      <c r="AG48" s="205">
        <v>-210198.52</v>
      </c>
      <c r="AH48" s="203">
        <v>-153270.51</v>
      </c>
      <c r="AI48" s="224">
        <v>-152025.82</v>
      </c>
      <c r="AJ48" s="224">
        <v>-167604.54</v>
      </c>
      <c r="AK48" s="224">
        <v>-193032.3</v>
      </c>
      <c r="AL48" s="224">
        <v>-231677.97</v>
      </c>
      <c r="AM48" s="224">
        <v>-176567.11</v>
      </c>
    </row>
    <row r="49" spans="1:39" ht="15.75">
      <c r="A49" s="8">
        <v>10.199999999999999</v>
      </c>
      <c r="B49" s="8" t="s">
        <v>95</v>
      </c>
      <c r="C49" s="160">
        <v>290486550</v>
      </c>
      <c r="D49" s="160">
        <v>291400006</v>
      </c>
      <c r="E49" s="147">
        <v>282435592.61000001</v>
      </c>
      <c r="F49" s="147">
        <v>268313748.28999999</v>
      </c>
      <c r="G49" s="147">
        <v>11888475.98</v>
      </c>
      <c r="H49" s="154">
        <v>10724539.08</v>
      </c>
      <c r="I49" s="154">
        <v>9922446.8699999992</v>
      </c>
      <c r="J49" s="154">
        <v>9286694.2400000002</v>
      </c>
      <c r="K49" s="154">
        <v>8895932.0199999996</v>
      </c>
      <c r="L49" s="154">
        <v>8766023.0500000007</v>
      </c>
      <c r="M49" s="154">
        <v>8766023.0500000007</v>
      </c>
      <c r="N49" s="154">
        <v>8581055.2699999996</v>
      </c>
      <c r="O49" s="154">
        <v>8521252.7400000002</v>
      </c>
      <c r="P49" s="154">
        <v>-1043.72</v>
      </c>
      <c r="Q49" s="156">
        <v>265746194</v>
      </c>
      <c r="R49" s="190">
        <v>282435592.61000001</v>
      </c>
      <c r="S49" s="192">
        <v>268313748.28999999</v>
      </c>
      <c r="T49" s="192">
        <v>11888475.98</v>
      </c>
      <c r="U49" s="192">
        <v>10724539.08</v>
      </c>
      <c r="V49" s="192">
        <v>9922446.8699999992</v>
      </c>
      <c r="W49" s="192">
        <v>9286694.2400000002</v>
      </c>
      <c r="X49" s="192">
        <v>8895932.0199999996</v>
      </c>
      <c r="Y49" s="192">
        <v>8766023.0500000007</v>
      </c>
      <c r="Z49" s="192">
        <v>8766023.0500000007</v>
      </c>
      <c r="AA49" s="192">
        <v>8581055.2699999996</v>
      </c>
      <c r="AB49" s="192">
        <v>8521252.7400000002</v>
      </c>
      <c r="AC49" s="188">
        <v>-1043.72</v>
      </c>
      <c r="AD49" s="196">
        <v>35402799</v>
      </c>
      <c r="AE49" s="207">
        <v>333755810.56</v>
      </c>
      <c r="AF49" s="209">
        <v>29739178.16</v>
      </c>
      <c r="AG49" s="209">
        <v>19325546.66</v>
      </c>
      <c r="AH49" s="207">
        <v>18420975.829999998</v>
      </c>
      <c r="AI49" s="224">
        <v>17762437.41</v>
      </c>
      <c r="AJ49" s="224">
        <v>17462445.100000001</v>
      </c>
      <c r="AK49" s="224">
        <v>17195747.859999999</v>
      </c>
      <c r="AL49" s="224">
        <v>17001281.120000001</v>
      </c>
      <c r="AM49" s="224">
        <v>16741439.48</v>
      </c>
    </row>
    <row r="50" spans="1:39" ht="15.75">
      <c r="A50" s="8">
        <v>10.3</v>
      </c>
      <c r="B50" s="8" t="s">
        <v>96</v>
      </c>
      <c r="C50" s="160"/>
      <c r="D50" s="160"/>
      <c r="E50" s="147">
        <v>0</v>
      </c>
      <c r="F50" s="147">
        <v>0</v>
      </c>
      <c r="G50" s="147">
        <v>0</v>
      </c>
      <c r="H50" s="155">
        <v>0</v>
      </c>
      <c r="I50" s="155">
        <v>0</v>
      </c>
      <c r="J50" s="155">
        <v>0</v>
      </c>
      <c r="K50" s="155">
        <v>0</v>
      </c>
      <c r="L50" s="155">
        <v>0</v>
      </c>
      <c r="M50" s="155">
        <v>0</v>
      </c>
      <c r="N50" s="155">
        <v>0</v>
      </c>
      <c r="O50" s="155">
        <v>0</v>
      </c>
      <c r="P50" s="155">
        <v>0</v>
      </c>
      <c r="Q50" s="156"/>
      <c r="R50" s="189">
        <v>0</v>
      </c>
      <c r="S50" s="191">
        <v>0</v>
      </c>
      <c r="T50" s="191">
        <v>0</v>
      </c>
      <c r="U50" s="191">
        <v>0</v>
      </c>
      <c r="V50" s="191">
        <v>0</v>
      </c>
      <c r="W50" s="191">
        <v>0</v>
      </c>
      <c r="X50" s="191">
        <v>0</v>
      </c>
      <c r="Y50" s="191">
        <v>0</v>
      </c>
      <c r="Z50" s="191">
        <v>0</v>
      </c>
      <c r="AA50" s="191">
        <v>0</v>
      </c>
      <c r="AB50" s="191">
        <v>0</v>
      </c>
      <c r="AC50" s="187">
        <v>0</v>
      </c>
      <c r="AD50" s="195" t="s">
        <v>66</v>
      </c>
      <c r="AE50" s="206">
        <v>0</v>
      </c>
      <c r="AF50" s="208">
        <v>0</v>
      </c>
      <c r="AG50" s="208">
        <v>0</v>
      </c>
      <c r="AH50" s="206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t="15.75">
      <c r="A51" s="8">
        <v>10.4</v>
      </c>
      <c r="B51" s="8" t="s">
        <v>97</v>
      </c>
      <c r="C51" s="160"/>
      <c r="D51" s="160"/>
      <c r="E51" s="147">
        <v>0</v>
      </c>
      <c r="F51" s="147">
        <v>0</v>
      </c>
      <c r="G51" s="147">
        <v>0</v>
      </c>
      <c r="H51" s="155">
        <v>0</v>
      </c>
      <c r="I51" s="155">
        <v>0</v>
      </c>
      <c r="J51" s="155">
        <v>0</v>
      </c>
      <c r="K51" s="155">
        <v>0</v>
      </c>
      <c r="L51" s="155">
        <v>0</v>
      </c>
      <c r="M51" s="155">
        <v>0</v>
      </c>
      <c r="N51" s="155">
        <v>0</v>
      </c>
      <c r="O51" s="155">
        <v>0</v>
      </c>
      <c r="P51" s="155">
        <v>0</v>
      </c>
      <c r="Q51" s="156"/>
      <c r="R51" s="189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91">
        <v>0</v>
      </c>
      <c r="AC51" s="187">
        <v>0</v>
      </c>
      <c r="AD51" s="195" t="s">
        <v>66</v>
      </c>
      <c r="AE51" s="206">
        <v>0</v>
      </c>
      <c r="AF51" s="208">
        <v>0</v>
      </c>
      <c r="AG51" s="208">
        <v>0</v>
      </c>
      <c r="AH51" s="206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ht="15.75">
      <c r="A52" s="8">
        <v>10.5</v>
      </c>
      <c r="B52" s="8" t="s">
        <v>98</v>
      </c>
      <c r="C52" s="160">
        <v>44911659</v>
      </c>
      <c r="D52" s="160">
        <v>67840038</v>
      </c>
      <c r="E52" s="147">
        <v>72511851.370000005</v>
      </c>
      <c r="F52" s="147">
        <v>70829671.700000003</v>
      </c>
      <c r="G52" s="147">
        <v>59444276.609999999</v>
      </c>
      <c r="H52" s="154">
        <v>55547730.490000002</v>
      </c>
      <c r="I52" s="154">
        <v>57226857.07</v>
      </c>
      <c r="J52" s="154">
        <v>55829067.659999996</v>
      </c>
      <c r="K52" s="154">
        <v>36303721.189999998</v>
      </c>
      <c r="L52" s="154">
        <v>40907709.840000004</v>
      </c>
      <c r="M52" s="154">
        <v>40907709.840000004</v>
      </c>
      <c r="N52" s="154">
        <v>46406907.590000004</v>
      </c>
      <c r="O52" s="154">
        <v>54918545.329999998</v>
      </c>
      <c r="P52" s="154">
        <v>49740836.450000003</v>
      </c>
      <c r="Q52" s="156">
        <v>46156340</v>
      </c>
      <c r="R52" s="190">
        <v>72511851.370000005</v>
      </c>
      <c r="S52" s="192">
        <v>70829671.700000003</v>
      </c>
      <c r="T52" s="192">
        <v>59444276.609999999</v>
      </c>
      <c r="U52" s="192">
        <v>55547730.490000002</v>
      </c>
      <c r="V52" s="192">
        <v>57226857.07</v>
      </c>
      <c r="W52" s="192">
        <v>55829067.659999996</v>
      </c>
      <c r="X52" s="192">
        <v>36303721.189999998</v>
      </c>
      <c r="Y52" s="192">
        <v>40907709.840000004</v>
      </c>
      <c r="Z52" s="192">
        <v>40907709.840000004</v>
      </c>
      <c r="AA52" s="192">
        <v>46406907.590000004</v>
      </c>
      <c r="AB52" s="192">
        <v>54918545.329999998</v>
      </c>
      <c r="AC52" s="188">
        <v>49740836.450000003</v>
      </c>
      <c r="AD52" s="196">
        <v>282016028</v>
      </c>
      <c r="AE52" s="207">
        <v>18954147.629999999</v>
      </c>
      <c r="AF52" s="209">
        <v>4684694.0999999996</v>
      </c>
      <c r="AG52" s="209">
        <v>30903441.969999999</v>
      </c>
      <c r="AH52" s="207">
        <v>463135.6</v>
      </c>
      <c r="AI52" s="224">
        <v>34745254.939999998</v>
      </c>
      <c r="AJ52" s="224">
        <v>35014103.189999998</v>
      </c>
      <c r="AK52" s="224">
        <v>46152419.109999999</v>
      </c>
      <c r="AL52" s="224">
        <v>53584567.57</v>
      </c>
      <c r="AM52" s="224">
        <v>53445385.530000001</v>
      </c>
    </row>
    <row r="53" spans="1:39" ht="15.75">
      <c r="A53" s="8">
        <v>10.6</v>
      </c>
      <c r="B53" s="8" t="s">
        <v>99</v>
      </c>
      <c r="C53" s="160"/>
      <c r="D53" s="160"/>
      <c r="E53" s="147">
        <v>0</v>
      </c>
      <c r="F53" s="147">
        <v>0</v>
      </c>
      <c r="G53" s="147">
        <v>0</v>
      </c>
      <c r="H53" s="155">
        <v>0</v>
      </c>
      <c r="I53" s="155">
        <v>0</v>
      </c>
      <c r="J53" s="155">
        <v>0</v>
      </c>
      <c r="K53" s="155">
        <v>0</v>
      </c>
      <c r="L53" s="155">
        <v>0</v>
      </c>
      <c r="M53" s="155">
        <v>0</v>
      </c>
      <c r="N53" s="155">
        <v>0</v>
      </c>
      <c r="O53" s="155">
        <v>0</v>
      </c>
      <c r="P53" s="155">
        <v>0</v>
      </c>
      <c r="Q53" s="156"/>
      <c r="R53" s="189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0</v>
      </c>
      <c r="X53" s="191">
        <v>0</v>
      </c>
      <c r="Y53" s="191">
        <v>0</v>
      </c>
      <c r="Z53" s="191">
        <v>0</v>
      </c>
      <c r="AA53" s="191">
        <v>0</v>
      </c>
      <c r="AB53" s="191">
        <v>0</v>
      </c>
      <c r="AC53" s="187">
        <v>0</v>
      </c>
      <c r="AD53" s="195" t="s">
        <v>66</v>
      </c>
      <c r="AE53" s="206">
        <v>0</v>
      </c>
      <c r="AF53" s="208">
        <v>0</v>
      </c>
      <c r="AG53" s="208">
        <v>0</v>
      </c>
      <c r="AH53" s="206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t="15.75">
      <c r="A54" s="8"/>
      <c r="B54" s="7" t="s">
        <v>100</v>
      </c>
      <c r="C54" s="163">
        <f t="shared" ref="C54:I54" si="34">C45+C47</f>
        <v>2538609147</v>
      </c>
      <c r="D54" s="163">
        <f t="shared" si="34"/>
        <v>2749216637</v>
      </c>
      <c r="E54" s="163">
        <f t="shared" si="34"/>
        <v>2757064519.5700002</v>
      </c>
      <c r="F54" s="163">
        <f t="shared" si="34"/>
        <v>2765790188.0799999</v>
      </c>
      <c r="G54" s="163">
        <f t="shared" si="34"/>
        <v>2547279316.0100002</v>
      </c>
      <c r="H54" s="163">
        <f t="shared" si="34"/>
        <v>2555118046.5300002</v>
      </c>
      <c r="I54" s="163">
        <f t="shared" si="34"/>
        <v>2571020781.0999999</v>
      </c>
      <c r="J54" s="163">
        <f t="shared" ref="J54:Q54" si="35">J45+J47</f>
        <v>2599224636.9599996</v>
      </c>
      <c r="K54" s="163">
        <f t="shared" si="35"/>
        <v>2594057254.5600004</v>
      </c>
      <c r="L54" s="163">
        <f t="shared" si="35"/>
        <v>2607241377.9400001</v>
      </c>
      <c r="M54" s="163">
        <f t="shared" si="35"/>
        <v>2607241377.9400001</v>
      </c>
      <c r="N54" s="163">
        <f t="shared" si="35"/>
        <v>2647814025.4400001</v>
      </c>
      <c r="O54" s="163">
        <f t="shared" si="35"/>
        <v>2648735369.8099999</v>
      </c>
      <c r="P54" s="163">
        <f t="shared" si="35"/>
        <v>2562677287.3699999</v>
      </c>
      <c r="Q54" s="163">
        <f t="shared" si="35"/>
        <v>2826163140</v>
      </c>
      <c r="R54" s="163">
        <f t="shared" ref="R54:AA54" si="36">R45+R47</f>
        <v>2757064519.5700002</v>
      </c>
      <c r="S54" s="163">
        <f t="shared" si="36"/>
        <v>2765790188.0799999</v>
      </c>
      <c r="T54" s="163">
        <f t="shared" si="36"/>
        <v>2547279316.0100002</v>
      </c>
      <c r="U54" s="163">
        <f t="shared" si="36"/>
        <v>2555118046.5300002</v>
      </c>
      <c r="V54" s="163">
        <f t="shared" si="36"/>
        <v>2571020781.0999999</v>
      </c>
      <c r="W54" s="163">
        <f t="shared" si="36"/>
        <v>2599224636.9599996</v>
      </c>
      <c r="X54" s="163">
        <f t="shared" si="36"/>
        <v>2594057254.5600004</v>
      </c>
      <c r="Y54" s="163">
        <f t="shared" si="36"/>
        <v>2607241377.9400001</v>
      </c>
      <c r="Z54" s="163">
        <f t="shared" si="36"/>
        <v>2607241377.9400001</v>
      </c>
      <c r="AA54" s="163">
        <f t="shared" si="36"/>
        <v>2647814025.4400001</v>
      </c>
      <c r="AB54" s="163">
        <f t="shared" ref="AB54:AM54" si="37">AB45+AB47</f>
        <v>2648735369.8099999</v>
      </c>
      <c r="AC54" s="163">
        <f t="shared" si="37"/>
        <v>2562677287.3699999</v>
      </c>
      <c r="AD54" s="163">
        <f t="shared" si="37"/>
        <v>3089566799</v>
      </c>
      <c r="AE54" s="163">
        <f t="shared" si="37"/>
        <v>3142202467.6399999</v>
      </c>
      <c r="AF54" s="163">
        <f t="shared" si="37"/>
        <v>2923003267.5900002</v>
      </c>
      <c r="AG54" s="163">
        <f t="shared" si="37"/>
        <v>2887456362.73</v>
      </c>
      <c r="AH54" s="163">
        <f t="shared" si="37"/>
        <v>2862078426.4100003</v>
      </c>
      <c r="AI54" s="163">
        <f t="shared" si="37"/>
        <v>2894074825.7400002</v>
      </c>
      <c r="AJ54" s="163">
        <f t="shared" si="37"/>
        <v>2910694163.29</v>
      </c>
      <c r="AK54" s="163">
        <f t="shared" si="37"/>
        <v>2932615525.7399998</v>
      </c>
      <c r="AL54" s="163">
        <f t="shared" si="37"/>
        <v>2962595222.2999997</v>
      </c>
      <c r="AM54" s="163">
        <f t="shared" si="37"/>
        <v>2984019738.96</v>
      </c>
    </row>
    <row r="55" spans="1:39" ht="15.6">
      <c r="A55" s="8"/>
      <c r="B55" s="8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48"/>
      <c r="N55" s="148"/>
      <c r="O55" s="148"/>
      <c r="P55" s="148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95" t="s">
        <v>66</v>
      </c>
    </row>
    <row r="56" spans="1:39" ht="15.6">
      <c r="A56" s="8"/>
      <c r="B56" s="7" t="s">
        <v>101</v>
      </c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48"/>
      <c r="N56" s="148"/>
      <c r="O56" s="148"/>
      <c r="P56" s="148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95" t="s">
        <v>66</v>
      </c>
    </row>
    <row r="57" spans="1:39" ht="15.75">
      <c r="A57" s="8">
        <v>11</v>
      </c>
      <c r="B57" s="8" t="s">
        <v>102</v>
      </c>
      <c r="C57" s="160">
        <v>148451901</v>
      </c>
      <c r="D57" s="160">
        <v>204709347</v>
      </c>
      <c r="E57" s="147">
        <v>206847022.94</v>
      </c>
      <c r="F57" s="147">
        <v>209306646.78999999</v>
      </c>
      <c r="G57" s="147">
        <v>211416982.28</v>
      </c>
      <c r="H57" s="154">
        <v>213775404.41</v>
      </c>
      <c r="I57" s="154">
        <v>215801886.53999999</v>
      </c>
      <c r="J57" s="154">
        <v>218336901.62</v>
      </c>
      <c r="K57" s="154">
        <v>219382555.58000001</v>
      </c>
      <c r="L57" s="154">
        <v>221325854.56</v>
      </c>
      <c r="M57" s="154">
        <v>221325854.56</v>
      </c>
      <c r="N57" s="154">
        <v>224298646.36000001</v>
      </c>
      <c r="O57" s="154">
        <v>226565360.31</v>
      </c>
      <c r="P57" s="154">
        <v>235205241.49000001</v>
      </c>
      <c r="Q57" s="156">
        <v>235204252</v>
      </c>
      <c r="R57" s="186">
        <v>206847022.94</v>
      </c>
      <c r="S57" s="188">
        <v>209306646.78999999</v>
      </c>
      <c r="T57" s="188">
        <v>211416982.28</v>
      </c>
      <c r="U57" s="188">
        <v>213775404.41</v>
      </c>
      <c r="V57" s="188">
        <v>215801886.53999999</v>
      </c>
      <c r="W57" s="188">
        <v>218336901.62</v>
      </c>
      <c r="X57" s="188">
        <v>219382555.58000001</v>
      </c>
      <c r="Y57" s="188">
        <v>221325854.56</v>
      </c>
      <c r="Z57" s="188">
        <v>221325854.56</v>
      </c>
      <c r="AA57" s="188">
        <v>224298646.36000001</v>
      </c>
      <c r="AB57" s="188">
        <v>226565360.31</v>
      </c>
      <c r="AC57" s="188">
        <v>235205241.49000001</v>
      </c>
      <c r="AD57" s="197">
        <v>267312059</v>
      </c>
      <c r="AE57" s="203">
        <v>269041464.29000002</v>
      </c>
      <c r="AF57" s="205">
        <v>270463802.13999999</v>
      </c>
      <c r="AG57" s="205">
        <v>279380254.99000001</v>
      </c>
      <c r="AH57" s="203">
        <v>287617442.99000001</v>
      </c>
      <c r="AI57" s="203">
        <v>290501739.68000001</v>
      </c>
      <c r="AJ57" s="203">
        <v>293895572.60000002</v>
      </c>
      <c r="AK57" s="203">
        <v>296336490.06999999</v>
      </c>
      <c r="AL57" s="205">
        <v>300014902.13999999</v>
      </c>
      <c r="AM57" s="250">
        <v>302687051.48000002</v>
      </c>
    </row>
    <row r="58" spans="1:39" ht="15.75">
      <c r="A58" s="8">
        <v>12</v>
      </c>
      <c r="B58" s="8" t="s">
        <v>103</v>
      </c>
      <c r="C58" s="160"/>
      <c r="D58" s="160"/>
      <c r="E58" s="147">
        <v>0</v>
      </c>
      <c r="F58" s="147">
        <v>0</v>
      </c>
      <c r="G58" s="147">
        <v>0</v>
      </c>
      <c r="H58" s="155">
        <v>0</v>
      </c>
      <c r="I58" s="155">
        <v>0</v>
      </c>
      <c r="J58" s="155">
        <v>0</v>
      </c>
      <c r="K58" s="155">
        <v>0</v>
      </c>
      <c r="L58" s="155">
        <v>0</v>
      </c>
      <c r="M58" s="155">
        <v>0</v>
      </c>
      <c r="N58" s="155">
        <v>0</v>
      </c>
      <c r="O58" s="155">
        <v>0</v>
      </c>
      <c r="P58" s="155">
        <v>0</v>
      </c>
      <c r="Q58" s="156"/>
      <c r="R58" s="189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0</v>
      </c>
      <c r="AB58" s="191">
        <v>0</v>
      </c>
      <c r="AC58" s="187">
        <v>0</v>
      </c>
      <c r="AD58" s="197">
        <v>0</v>
      </c>
      <c r="AE58" s="206">
        <v>0</v>
      </c>
      <c r="AF58" s="208">
        <v>0</v>
      </c>
      <c r="AG58" s="208">
        <v>0</v>
      </c>
      <c r="AH58" s="206">
        <v>0</v>
      </c>
      <c r="AI58" s="206">
        <v>0</v>
      </c>
      <c r="AJ58" s="206">
        <v>0</v>
      </c>
      <c r="AK58" s="206">
        <v>0</v>
      </c>
      <c r="AL58" s="208">
        <v>0</v>
      </c>
      <c r="AM58" s="251">
        <v>0</v>
      </c>
    </row>
    <row r="59" spans="1:39" ht="15.6">
      <c r="A59" s="8"/>
      <c r="B59" s="8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48"/>
      <c r="N59" s="148"/>
      <c r="O59" s="148"/>
      <c r="P59" s="148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97" t="s">
        <v>66</v>
      </c>
      <c r="AG59" t="s">
        <v>104</v>
      </c>
    </row>
    <row r="60" spans="1:39" ht="15.75">
      <c r="A60" s="8">
        <v>13</v>
      </c>
      <c r="B60" s="7" t="s">
        <v>105</v>
      </c>
      <c r="C60" s="153">
        <f t="shared" ref="C60:I60" si="38">C62+C61</f>
        <v>438522803</v>
      </c>
      <c r="D60" s="153">
        <f t="shared" si="38"/>
        <v>534907340</v>
      </c>
      <c r="E60" s="153">
        <f t="shared" si="38"/>
        <v>639433284.69999993</v>
      </c>
      <c r="F60" s="153">
        <f t="shared" si="38"/>
        <v>614178640.92000008</v>
      </c>
      <c r="G60" s="153">
        <f t="shared" si="38"/>
        <v>656555382.29999995</v>
      </c>
      <c r="H60" s="153">
        <f t="shared" si="38"/>
        <v>699832033.34000003</v>
      </c>
      <c r="I60" s="153">
        <f t="shared" si="38"/>
        <v>740530825.97000003</v>
      </c>
      <c r="J60" s="153">
        <f t="shared" ref="J60:Q60" si="39">J62+J61</f>
        <v>784459215.66000009</v>
      </c>
      <c r="K60" s="153">
        <f t="shared" si="39"/>
        <v>827560350.06999993</v>
      </c>
      <c r="L60" s="153">
        <f t="shared" si="39"/>
        <v>865902840.21000004</v>
      </c>
      <c r="M60" s="153">
        <f t="shared" si="39"/>
        <v>865902840.21000004</v>
      </c>
      <c r="N60" s="153">
        <f t="shared" si="39"/>
        <v>945812112.9000001</v>
      </c>
      <c r="O60" s="153">
        <f t="shared" si="39"/>
        <v>980067491.42000008</v>
      </c>
      <c r="P60" s="153">
        <f t="shared" si="39"/>
        <v>1016131638.35</v>
      </c>
      <c r="Q60" s="153">
        <f t="shared" si="39"/>
        <v>629070389</v>
      </c>
      <c r="R60" s="153">
        <f t="shared" ref="R60:AA60" si="40">R62+R61</f>
        <v>639433284.69999993</v>
      </c>
      <c r="S60" s="153">
        <f t="shared" si="40"/>
        <v>614178640.92000008</v>
      </c>
      <c r="T60" s="153">
        <f t="shared" si="40"/>
        <v>656555382.29999995</v>
      </c>
      <c r="U60" s="153">
        <f t="shared" si="40"/>
        <v>699832033.34000003</v>
      </c>
      <c r="V60" s="153">
        <f t="shared" si="40"/>
        <v>740530825.97000003</v>
      </c>
      <c r="W60" s="153">
        <f t="shared" si="40"/>
        <v>784459215.66000009</v>
      </c>
      <c r="X60" s="153">
        <f t="shared" si="40"/>
        <v>827560350.06999993</v>
      </c>
      <c r="Y60" s="153">
        <f t="shared" si="40"/>
        <v>865902840.21000004</v>
      </c>
      <c r="Z60" s="153">
        <f t="shared" si="40"/>
        <v>865902840.21000004</v>
      </c>
      <c r="AA60" s="153">
        <f t="shared" si="40"/>
        <v>945812112.9000001</v>
      </c>
      <c r="AB60" s="153">
        <f t="shared" ref="AB60:AM60" si="41">AB62+AB61</f>
        <v>980067491.42000008</v>
      </c>
      <c r="AC60" s="153">
        <f t="shared" si="41"/>
        <v>1016131638.35</v>
      </c>
      <c r="AD60" s="153">
        <f t="shared" si="41"/>
        <v>702386899</v>
      </c>
      <c r="AE60" s="153">
        <f t="shared" si="41"/>
        <v>747478944.12</v>
      </c>
      <c r="AF60" s="153">
        <f t="shared" si="41"/>
        <v>781316609.18999994</v>
      </c>
      <c r="AG60" s="153">
        <f t="shared" si="41"/>
        <v>820494923</v>
      </c>
      <c r="AH60" s="153">
        <f t="shared" si="41"/>
        <v>859751663.82999992</v>
      </c>
      <c r="AI60" s="153">
        <f t="shared" si="41"/>
        <v>902083895.87</v>
      </c>
      <c r="AJ60" s="153">
        <f t="shared" si="41"/>
        <v>951780212.44999993</v>
      </c>
      <c r="AK60" s="153">
        <f t="shared" si="41"/>
        <v>992825520.08999991</v>
      </c>
      <c r="AL60" s="153">
        <f t="shared" si="41"/>
        <v>1031841153.4</v>
      </c>
      <c r="AM60" s="153">
        <f t="shared" si="41"/>
        <v>1075707458.5599999</v>
      </c>
    </row>
    <row r="61" spans="1:39" ht="15.75">
      <c r="A61" s="8">
        <v>13.1</v>
      </c>
      <c r="B61" s="8" t="s">
        <v>106</v>
      </c>
      <c r="C61" s="160">
        <v>350972521</v>
      </c>
      <c r="D61" s="160">
        <v>438522803</v>
      </c>
      <c r="E61" s="147">
        <v>594617606.39999998</v>
      </c>
      <c r="F61" s="147">
        <v>534907343.11000001</v>
      </c>
      <c r="G61" s="147">
        <v>534907343.11000001</v>
      </c>
      <c r="H61" s="154">
        <v>534907343.11000001</v>
      </c>
      <c r="I61" s="154">
        <v>534907343.11000001</v>
      </c>
      <c r="J61" s="154">
        <v>534907343.11000001</v>
      </c>
      <c r="K61" s="154">
        <v>534907343.11000001</v>
      </c>
      <c r="L61" s="154">
        <v>534907343.11000001</v>
      </c>
      <c r="M61" s="154">
        <v>534907343.11000001</v>
      </c>
      <c r="N61" s="154">
        <v>534907343.11000001</v>
      </c>
      <c r="O61" s="154">
        <v>534907343.11000001</v>
      </c>
      <c r="P61" s="154">
        <v>534907343.11000001</v>
      </c>
      <c r="Q61" s="156">
        <v>534907340</v>
      </c>
      <c r="R61" s="186">
        <v>594617606.39999998</v>
      </c>
      <c r="S61" s="188">
        <v>534907343.11000001</v>
      </c>
      <c r="T61" s="188">
        <v>534907343.11000001</v>
      </c>
      <c r="U61" s="188">
        <v>534907343.11000001</v>
      </c>
      <c r="V61" s="188">
        <v>534907343.11000001</v>
      </c>
      <c r="W61" s="188">
        <v>534907343.11000001</v>
      </c>
      <c r="X61" s="188">
        <v>534907343.11000001</v>
      </c>
      <c r="Y61" s="188">
        <v>534907343.11000001</v>
      </c>
      <c r="Z61" s="188">
        <v>534907343.11000001</v>
      </c>
      <c r="AA61" s="188">
        <v>534907343.11000001</v>
      </c>
      <c r="AB61" s="188">
        <v>534907343.11000001</v>
      </c>
      <c r="AC61" s="188">
        <v>534907343.11000001</v>
      </c>
      <c r="AD61" s="197">
        <v>629070389</v>
      </c>
      <c r="AE61" s="203">
        <v>702376250.77999997</v>
      </c>
      <c r="AF61" s="205">
        <v>702376250.77999997</v>
      </c>
      <c r="AG61" s="205">
        <v>702376250.77999997</v>
      </c>
      <c r="AH61" s="203">
        <v>702376250.77999997</v>
      </c>
      <c r="AI61" s="203">
        <v>702376250.77999997</v>
      </c>
      <c r="AJ61" s="203">
        <v>702376250.77999997</v>
      </c>
      <c r="AK61" s="203">
        <v>702376250.77999997</v>
      </c>
      <c r="AL61" s="205">
        <v>702376250.77999997</v>
      </c>
      <c r="AM61" s="250">
        <v>702376250.77999997</v>
      </c>
    </row>
    <row r="62" spans="1:39" ht="15.75">
      <c r="A62" s="8">
        <v>13.2</v>
      </c>
      <c r="B62" s="8" t="s">
        <v>107</v>
      </c>
      <c r="C62" s="160">
        <f>178423780-10153-8231907-17842378-29104304-35684756</f>
        <v>87550282</v>
      </c>
      <c r="D62" s="160">
        <f>199034218+4349733+19320-8947144-19903422-38361324-39806844</f>
        <v>96384537</v>
      </c>
      <c r="E62" s="147">
        <v>44815678.299999997</v>
      </c>
      <c r="F62" s="147">
        <v>79271297.810000002</v>
      </c>
      <c r="G62" s="147">
        <v>121648039.19</v>
      </c>
      <c r="H62" s="154">
        <v>164924690.22999999</v>
      </c>
      <c r="I62" s="154">
        <v>205623482.86000001</v>
      </c>
      <c r="J62" s="154">
        <v>249551872.55000001</v>
      </c>
      <c r="K62" s="154">
        <v>292653006.95999998</v>
      </c>
      <c r="L62" s="154">
        <v>330995497.10000002</v>
      </c>
      <c r="M62" s="154">
        <v>330995497.10000002</v>
      </c>
      <c r="N62" s="154">
        <v>410904769.79000002</v>
      </c>
      <c r="O62" s="154">
        <v>445160148.31</v>
      </c>
      <c r="P62" s="154">
        <v>481224295.24000001</v>
      </c>
      <c r="Q62" s="156">
        <f>215420806-1534110-9804143-21542081-45293262-43084161</f>
        <v>94163049</v>
      </c>
      <c r="R62" s="190">
        <v>44815678.299999997</v>
      </c>
      <c r="S62" s="192">
        <v>79271297.810000002</v>
      </c>
      <c r="T62" s="192">
        <v>121648039.19</v>
      </c>
      <c r="U62" s="192">
        <v>164924690.22999999</v>
      </c>
      <c r="V62" s="192">
        <v>205623482.86000001</v>
      </c>
      <c r="W62" s="192">
        <v>249551872.55000001</v>
      </c>
      <c r="X62" s="192">
        <v>292653006.95999998</v>
      </c>
      <c r="Y62" s="192">
        <v>330995497.10000002</v>
      </c>
      <c r="Z62" s="192">
        <v>330995497.10000002</v>
      </c>
      <c r="AA62" s="192">
        <v>410904769.79000002</v>
      </c>
      <c r="AB62" s="192">
        <v>445160148.31</v>
      </c>
      <c r="AC62" s="188">
        <v>481224295.24000001</v>
      </c>
      <c r="AD62" s="197">
        <f>197834676-39566935-19783468-9802295-51741642-3623826</f>
        <v>73316510</v>
      </c>
      <c r="AE62" s="207">
        <v>45102693.340000004</v>
      </c>
      <c r="AF62" s="209">
        <v>78940358.409999996</v>
      </c>
      <c r="AG62" s="209">
        <v>118118672.22</v>
      </c>
      <c r="AH62" s="207">
        <v>157375413.05000001</v>
      </c>
      <c r="AI62" s="207">
        <v>199707645.09</v>
      </c>
      <c r="AJ62" s="207">
        <v>249403961.66999999</v>
      </c>
      <c r="AK62" s="207">
        <v>290449269.31</v>
      </c>
      <c r="AL62" s="209">
        <v>329464902.62</v>
      </c>
      <c r="AM62" s="252">
        <v>373331207.77999997</v>
      </c>
    </row>
    <row r="63" spans="1:39" ht="15.6">
      <c r="A63" s="8"/>
      <c r="B63" s="8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48"/>
      <c r="N63" s="148"/>
      <c r="O63" s="148"/>
      <c r="P63" s="148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97" t="s">
        <v>66</v>
      </c>
    </row>
    <row r="64" spans="1:39" ht="15.75">
      <c r="A64" s="8">
        <v>14</v>
      </c>
      <c r="B64" s="7" t="s">
        <v>108</v>
      </c>
      <c r="C64" s="153">
        <f t="shared" ref="C64:I64" si="42">SUM(C65:C69)</f>
        <v>240281036</v>
      </c>
      <c r="D64" s="153">
        <f t="shared" si="42"/>
        <v>299971982</v>
      </c>
      <c r="E64" s="153">
        <f t="shared" si="42"/>
        <v>240261715.93000001</v>
      </c>
      <c r="F64" s="153">
        <f t="shared" si="42"/>
        <v>299971969.23000002</v>
      </c>
      <c r="G64" s="153">
        <f t="shared" si="42"/>
        <v>299971969.23000002</v>
      </c>
      <c r="H64" s="153">
        <f t="shared" si="42"/>
        <v>299971969.23000002</v>
      </c>
      <c r="I64" s="153">
        <f t="shared" si="42"/>
        <v>299971979.23000002</v>
      </c>
      <c r="J64" s="153">
        <f t="shared" ref="J64:Q64" si="43">SUM(J65:J69)</f>
        <v>299971979.23000002</v>
      </c>
      <c r="K64" s="153">
        <f t="shared" si="43"/>
        <v>299971979.52999997</v>
      </c>
      <c r="L64" s="153">
        <f t="shared" si="43"/>
        <v>299971979.23000002</v>
      </c>
      <c r="M64" s="153">
        <f t="shared" si="43"/>
        <v>299971979.23000002</v>
      </c>
      <c r="N64" s="153">
        <f t="shared" si="43"/>
        <v>299971979.23000002</v>
      </c>
      <c r="O64" s="153">
        <f t="shared" si="43"/>
        <v>299971979.23000002</v>
      </c>
      <c r="P64" s="153">
        <f t="shared" si="43"/>
        <v>299971979.23000002</v>
      </c>
      <c r="Q64" s="153">
        <f t="shared" si="43"/>
        <v>419695629</v>
      </c>
      <c r="R64" s="153">
        <f t="shared" ref="R64:AA64" si="44">SUM(R65:R69)</f>
        <v>240261715.93000001</v>
      </c>
      <c r="S64" s="153">
        <f t="shared" si="44"/>
        <v>299971969.23000002</v>
      </c>
      <c r="T64" s="153">
        <f t="shared" si="44"/>
        <v>299971969.23000002</v>
      </c>
      <c r="U64" s="153">
        <f t="shared" si="44"/>
        <v>299971969.23000002</v>
      </c>
      <c r="V64" s="153">
        <f t="shared" si="44"/>
        <v>299971979.23000002</v>
      </c>
      <c r="W64" s="153">
        <f t="shared" si="44"/>
        <v>299971979.23000002</v>
      </c>
      <c r="X64" s="153">
        <f t="shared" si="44"/>
        <v>299971979.52999997</v>
      </c>
      <c r="Y64" s="153">
        <f t="shared" si="44"/>
        <v>299971979.23000002</v>
      </c>
      <c r="Z64" s="153">
        <f t="shared" si="44"/>
        <v>299971979.23000002</v>
      </c>
      <c r="AA64" s="153">
        <f t="shared" si="44"/>
        <v>299971979.23000002</v>
      </c>
      <c r="AB64" s="153">
        <f t="shared" ref="AB64:AM64" si="45">SUM(AB65:AB69)</f>
        <v>299971979.23000002</v>
      </c>
      <c r="AC64" s="153">
        <f t="shared" si="45"/>
        <v>299971979.23000002</v>
      </c>
      <c r="AD64" s="153">
        <f t="shared" si="45"/>
        <v>516211810</v>
      </c>
      <c r="AE64" s="153">
        <f t="shared" si="45"/>
        <v>454671414.27999997</v>
      </c>
      <c r="AF64" s="153">
        <f t="shared" si="45"/>
        <v>454671414.27999997</v>
      </c>
      <c r="AG64" s="153">
        <f t="shared" si="45"/>
        <v>454671414.27999997</v>
      </c>
      <c r="AH64" s="153">
        <f t="shared" si="45"/>
        <v>454671414.27999997</v>
      </c>
      <c r="AI64" s="153">
        <f t="shared" si="45"/>
        <v>454671414.27999997</v>
      </c>
      <c r="AJ64" s="153">
        <f t="shared" si="45"/>
        <v>454671414.27999997</v>
      </c>
      <c r="AK64" s="153">
        <f t="shared" si="45"/>
        <v>454671414.27999997</v>
      </c>
      <c r="AL64" s="153">
        <f t="shared" si="45"/>
        <v>454671414.27999997</v>
      </c>
      <c r="AM64" s="153">
        <f t="shared" si="45"/>
        <v>454671414.27999997</v>
      </c>
    </row>
    <row r="65" spans="1:39" ht="15.75">
      <c r="A65" s="8"/>
      <c r="B65" s="8" t="s">
        <v>109</v>
      </c>
      <c r="C65" s="160">
        <v>163114085</v>
      </c>
      <c r="D65" s="160">
        <v>202908049</v>
      </c>
      <c r="E65" s="147">
        <v>163101204.43000001</v>
      </c>
      <c r="F65" s="147">
        <v>202908046.63</v>
      </c>
      <c r="G65" s="147">
        <v>202908046.63</v>
      </c>
      <c r="H65" s="154">
        <v>202908046.63</v>
      </c>
      <c r="I65" s="154">
        <v>202908046.63</v>
      </c>
      <c r="J65" s="154">
        <v>202908046.63</v>
      </c>
      <c r="K65" s="154">
        <v>202908046.63</v>
      </c>
      <c r="L65" s="154">
        <v>202908046.63</v>
      </c>
      <c r="M65" s="154">
        <v>202908046.63</v>
      </c>
      <c r="N65" s="154">
        <v>202908046.63</v>
      </c>
      <c r="O65" s="154">
        <v>202908046.63</v>
      </c>
      <c r="P65" s="154">
        <v>202908046.63</v>
      </c>
      <c r="Q65" s="156">
        <v>245992210</v>
      </c>
      <c r="R65" s="186">
        <v>163101204.43000001</v>
      </c>
      <c r="S65" s="188">
        <v>202908046.63</v>
      </c>
      <c r="T65" s="188">
        <v>202908046.63</v>
      </c>
      <c r="U65" s="188">
        <v>202908046.63</v>
      </c>
      <c r="V65" s="188">
        <v>202908046.63</v>
      </c>
      <c r="W65" s="188">
        <v>202908046.63</v>
      </c>
      <c r="X65" s="188">
        <v>202908046.63</v>
      </c>
      <c r="Y65" s="188">
        <v>202908046.63</v>
      </c>
      <c r="Z65" s="188">
        <v>202908046.63</v>
      </c>
      <c r="AA65" s="188">
        <v>202908046.63</v>
      </c>
      <c r="AB65" s="188">
        <v>202908046.63</v>
      </c>
      <c r="AC65" s="188">
        <v>202908046.63</v>
      </c>
      <c r="AD65" s="197">
        <v>285559145</v>
      </c>
      <c r="AE65" s="203">
        <v>285562686.52999997</v>
      </c>
      <c r="AF65" s="205">
        <v>285562686.52999997</v>
      </c>
      <c r="AG65" s="205">
        <v>285562686.52999997</v>
      </c>
      <c r="AH65" s="203">
        <v>285562686.52999997</v>
      </c>
      <c r="AI65" s="203">
        <v>285562686.52999997</v>
      </c>
      <c r="AJ65" s="203">
        <v>285562686.52999997</v>
      </c>
      <c r="AK65" s="203">
        <v>285562686.52999997</v>
      </c>
      <c r="AL65" s="205">
        <v>285562686.52999997</v>
      </c>
      <c r="AM65" s="250">
        <v>285562686.52999997</v>
      </c>
    </row>
    <row r="66" spans="1:39" ht="15.75">
      <c r="A66" s="8"/>
      <c r="B66" s="8" t="s">
        <v>110</v>
      </c>
      <c r="C66" s="160">
        <f>23000000+54166951</f>
        <v>77166951</v>
      </c>
      <c r="D66" s="160">
        <f>23000000+74063933</f>
        <v>97063933</v>
      </c>
      <c r="E66" s="147">
        <v>77160511.5</v>
      </c>
      <c r="F66" s="147">
        <v>97063922.599999994</v>
      </c>
      <c r="G66" s="147">
        <v>97063922.599999994</v>
      </c>
      <c r="H66" s="154">
        <v>97063922.599999994</v>
      </c>
      <c r="I66" s="154">
        <v>97063932.599999994</v>
      </c>
      <c r="J66" s="154">
        <v>97063932.599999994</v>
      </c>
      <c r="K66" s="154">
        <v>97063932.900000006</v>
      </c>
      <c r="L66" s="154">
        <v>97063932.599999994</v>
      </c>
      <c r="M66" s="154">
        <v>97063932.599999994</v>
      </c>
      <c r="N66" s="154">
        <v>97063932.599999994</v>
      </c>
      <c r="O66" s="154">
        <v>97063932.599999994</v>
      </c>
      <c r="P66" s="154">
        <v>97063932.599999994</v>
      </c>
      <c r="Q66" s="156">
        <f>23000000+95606014</f>
        <v>118606014</v>
      </c>
      <c r="R66" s="190">
        <v>77160511.5</v>
      </c>
      <c r="S66" s="192">
        <v>97063922.599999994</v>
      </c>
      <c r="T66" s="192">
        <v>97063922.599999994</v>
      </c>
      <c r="U66" s="192">
        <v>97063922.599999994</v>
      </c>
      <c r="V66" s="192">
        <v>97063932.599999994</v>
      </c>
      <c r="W66" s="192">
        <v>97063932.599999994</v>
      </c>
      <c r="X66" s="192">
        <v>97063932.900000006</v>
      </c>
      <c r="Y66" s="192">
        <v>97063932.599999994</v>
      </c>
      <c r="Z66" s="192">
        <v>97063932.599999994</v>
      </c>
      <c r="AA66" s="192">
        <v>97063932.599999994</v>
      </c>
      <c r="AB66" s="192">
        <v>97063932.599999994</v>
      </c>
      <c r="AC66" s="188">
        <v>97063932.599999994</v>
      </c>
      <c r="AD66" s="197">
        <v>138391253</v>
      </c>
      <c r="AE66" s="207">
        <v>169108727.75</v>
      </c>
      <c r="AF66" s="209">
        <v>169108727.75</v>
      </c>
      <c r="AG66" s="209">
        <v>169108727.75</v>
      </c>
      <c r="AH66" s="207">
        <v>138391252.55000001</v>
      </c>
      <c r="AI66" s="207">
        <v>138391252.55000001</v>
      </c>
      <c r="AJ66" s="207">
        <v>138391252.55000001</v>
      </c>
      <c r="AK66" s="207">
        <v>138391252.55000001</v>
      </c>
      <c r="AL66" s="209">
        <v>138391252.55000001</v>
      </c>
      <c r="AM66" s="252">
        <v>138391252.55000001</v>
      </c>
    </row>
    <row r="67" spans="1:39" ht="15.75">
      <c r="A67" s="8"/>
      <c r="B67" s="8" t="s">
        <v>111</v>
      </c>
      <c r="C67" s="160"/>
      <c r="D67" s="160"/>
      <c r="E67" s="147">
        <v>0</v>
      </c>
      <c r="F67" s="147">
        <v>0</v>
      </c>
      <c r="G67" s="147">
        <v>0</v>
      </c>
      <c r="H67" s="155">
        <v>0</v>
      </c>
      <c r="I67" s="155">
        <v>0</v>
      </c>
      <c r="J67" s="155">
        <v>0</v>
      </c>
      <c r="K67" s="155">
        <v>0</v>
      </c>
      <c r="L67" s="155">
        <v>0</v>
      </c>
      <c r="M67" s="155">
        <v>0</v>
      </c>
      <c r="N67" s="155">
        <v>0</v>
      </c>
      <c r="O67" s="155">
        <v>0</v>
      </c>
      <c r="P67" s="155">
        <v>0</v>
      </c>
      <c r="Q67" s="156"/>
      <c r="R67" s="189">
        <v>0</v>
      </c>
      <c r="S67" s="191">
        <v>0</v>
      </c>
      <c r="T67" s="191">
        <v>0</v>
      </c>
      <c r="U67" s="191">
        <v>0</v>
      </c>
      <c r="V67" s="191">
        <v>0</v>
      </c>
      <c r="W67" s="191">
        <v>0</v>
      </c>
      <c r="X67" s="191">
        <v>0</v>
      </c>
      <c r="Y67" s="191">
        <v>0</v>
      </c>
      <c r="Z67" s="191">
        <v>0</v>
      </c>
      <c r="AA67" s="191">
        <v>0</v>
      </c>
      <c r="AB67" s="191">
        <v>0</v>
      </c>
      <c r="AC67" s="187">
        <v>0</v>
      </c>
      <c r="AD67" s="197">
        <v>30717475</v>
      </c>
      <c r="AE67" s="206">
        <v>0</v>
      </c>
      <c r="AF67" s="208">
        <v>0</v>
      </c>
      <c r="AG67" s="208">
        <v>0</v>
      </c>
      <c r="AH67" s="207">
        <v>30717475.199999999</v>
      </c>
      <c r="AI67" s="207">
        <v>30717475.199999999</v>
      </c>
      <c r="AJ67" s="207">
        <v>30717475.199999999</v>
      </c>
      <c r="AK67" s="207">
        <v>30717475.199999999</v>
      </c>
      <c r="AL67" s="209">
        <v>30717475.199999999</v>
      </c>
      <c r="AM67" s="252">
        <v>30717475.199999999</v>
      </c>
    </row>
    <row r="68" spans="1:39" ht="15.75">
      <c r="A68" s="8"/>
      <c r="B68" s="8" t="s">
        <v>112</v>
      </c>
      <c r="C68" s="160"/>
      <c r="D68" s="160"/>
      <c r="E68" s="166">
        <v>0</v>
      </c>
      <c r="F68" s="166">
        <v>0</v>
      </c>
      <c r="G68" s="166">
        <v>0</v>
      </c>
      <c r="H68" s="155">
        <v>0</v>
      </c>
      <c r="I68" s="155">
        <v>0</v>
      </c>
      <c r="J68" s="155">
        <v>0</v>
      </c>
      <c r="K68" s="155">
        <v>0</v>
      </c>
      <c r="L68" s="155">
        <v>0</v>
      </c>
      <c r="M68" s="155">
        <v>0</v>
      </c>
      <c r="N68" s="155">
        <v>0</v>
      </c>
      <c r="O68" s="155">
        <v>0</v>
      </c>
      <c r="P68" s="155">
        <v>0</v>
      </c>
      <c r="Q68" s="156">
        <f>9804143+45293262</f>
        <v>55097405</v>
      </c>
      <c r="R68" s="189">
        <v>0</v>
      </c>
      <c r="S68" s="191">
        <v>0</v>
      </c>
      <c r="T68" s="191">
        <v>0</v>
      </c>
      <c r="U68" s="191">
        <v>0</v>
      </c>
      <c r="V68" s="191">
        <v>0</v>
      </c>
      <c r="W68" s="191">
        <v>0</v>
      </c>
      <c r="X68" s="191">
        <v>0</v>
      </c>
      <c r="Y68" s="191">
        <v>0</v>
      </c>
      <c r="Z68" s="191">
        <v>0</v>
      </c>
      <c r="AA68" s="191">
        <v>0</v>
      </c>
      <c r="AB68" s="191">
        <v>0</v>
      </c>
      <c r="AC68" s="187">
        <v>0</v>
      </c>
      <c r="AD68" s="197">
        <f>51741642+9802295</f>
        <v>61543937</v>
      </c>
      <c r="AE68" s="206">
        <v>0</v>
      </c>
      <c r="AF68" s="208">
        <v>0</v>
      </c>
      <c r="AG68" s="208">
        <v>0</v>
      </c>
      <c r="AH68" s="206">
        <v>0</v>
      </c>
      <c r="AI68" s="206">
        <v>0</v>
      </c>
      <c r="AJ68" s="206">
        <v>0</v>
      </c>
      <c r="AK68" s="206">
        <v>0</v>
      </c>
      <c r="AL68" s="208">
        <v>0</v>
      </c>
      <c r="AM68" s="251">
        <v>0</v>
      </c>
    </row>
    <row r="69" spans="1:39" ht="15.75">
      <c r="A69" s="8"/>
      <c r="B69" s="8" t="s">
        <v>113</v>
      </c>
      <c r="C69" s="160"/>
      <c r="D69" s="160"/>
      <c r="E69" s="166">
        <v>0</v>
      </c>
      <c r="F69" s="166">
        <v>0</v>
      </c>
      <c r="G69" s="166">
        <v>0</v>
      </c>
      <c r="H69" s="155">
        <v>0</v>
      </c>
      <c r="I69" s="155">
        <v>0</v>
      </c>
      <c r="J69" s="155">
        <v>0</v>
      </c>
      <c r="K69" s="155">
        <v>0</v>
      </c>
      <c r="L69" s="155">
        <v>0</v>
      </c>
      <c r="M69" s="155">
        <v>0</v>
      </c>
      <c r="N69" s="155">
        <v>0</v>
      </c>
      <c r="O69" s="155">
        <v>0</v>
      </c>
      <c r="P69" s="155">
        <v>0</v>
      </c>
      <c r="Q69" s="156"/>
      <c r="R69" s="189">
        <v>0</v>
      </c>
      <c r="S69" s="191">
        <v>0</v>
      </c>
      <c r="T69" s="191">
        <v>0</v>
      </c>
      <c r="U69" s="191">
        <v>0</v>
      </c>
      <c r="V69" s="191">
        <v>0</v>
      </c>
      <c r="W69" s="191">
        <v>0</v>
      </c>
      <c r="X69" s="191">
        <v>0</v>
      </c>
      <c r="Y69" s="191">
        <v>0</v>
      </c>
      <c r="Z69" s="191">
        <v>0</v>
      </c>
      <c r="AA69" s="191">
        <v>0</v>
      </c>
      <c r="AB69" s="191">
        <v>0</v>
      </c>
      <c r="AC69" s="187">
        <v>0</v>
      </c>
      <c r="AD69" s="195" t="s">
        <v>66</v>
      </c>
      <c r="AE69" s="206">
        <v>0</v>
      </c>
      <c r="AF69" s="208">
        <v>0</v>
      </c>
      <c r="AG69" s="208">
        <v>0</v>
      </c>
      <c r="AH69" s="206">
        <v>0</v>
      </c>
      <c r="AI69" s="206">
        <v>0</v>
      </c>
      <c r="AJ69" s="206">
        <v>0</v>
      </c>
      <c r="AK69" s="206">
        <v>0</v>
      </c>
      <c r="AL69" s="208">
        <v>0</v>
      </c>
      <c r="AM69" s="251">
        <v>0</v>
      </c>
    </row>
    <row r="70" spans="1:39" ht="15.75">
      <c r="A70" s="8"/>
      <c r="B70" s="7" t="s">
        <v>114</v>
      </c>
      <c r="C70" s="163">
        <f t="shared" ref="C70:I70" si="46">C57+C58+C60+C64</f>
        <v>827255740</v>
      </c>
      <c r="D70" s="163">
        <f t="shared" si="46"/>
        <v>1039588669</v>
      </c>
      <c r="E70" s="163">
        <f t="shared" si="46"/>
        <v>1086542023.5699999</v>
      </c>
      <c r="F70" s="163">
        <f t="shared" si="46"/>
        <v>1123457256.9400001</v>
      </c>
      <c r="G70" s="163">
        <f t="shared" si="46"/>
        <v>1167944333.8099999</v>
      </c>
      <c r="H70" s="163">
        <f t="shared" si="46"/>
        <v>1213579406.98</v>
      </c>
      <c r="I70" s="163">
        <f t="shared" si="46"/>
        <v>1256304691.74</v>
      </c>
      <c r="J70" s="163">
        <f t="shared" ref="J70:Q70" si="47">J57+J58+J60+J64</f>
        <v>1302768096.5100002</v>
      </c>
      <c r="K70" s="163">
        <f t="shared" si="47"/>
        <v>1346914885.1799998</v>
      </c>
      <c r="L70" s="163">
        <f t="shared" si="47"/>
        <v>1387200674</v>
      </c>
      <c r="M70" s="163">
        <f t="shared" si="47"/>
        <v>1387200674</v>
      </c>
      <c r="N70" s="163">
        <f t="shared" si="47"/>
        <v>1470082738.4900002</v>
      </c>
      <c r="O70" s="163">
        <f t="shared" si="47"/>
        <v>1506604830.96</v>
      </c>
      <c r="P70" s="163">
        <f t="shared" si="47"/>
        <v>1551308859.0700002</v>
      </c>
      <c r="Q70" s="163">
        <f t="shared" si="47"/>
        <v>1283970270</v>
      </c>
      <c r="R70" s="163">
        <f t="shared" ref="R70:AA70" si="48">R57+R58+R60+R64</f>
        <v>1086542023.5699999</v>
      </c>
      <c r="S70" s="163">
        <f t="shared" si="48"/>
        <v>1123457256.9400001</v>
      </c>
      <c r="T70" s="163">
        <f t="shared" si="48"/>
        <v>1167944333.8099999</v>
      </c>
      <c r="U70" s="163">
        <f t="shared" si="48"/>
        <v>1213579406.98</v>
      </c>
      <c r="V70" s="163">
        <f t="shared" si="48"/>
        <v>1256304691.74</v>
      </c>
      <c r="W70" s="163">
        <f t="shared" si="48"/>
        <v>1302768096.5100002</v>
      </c>
      <c r="X70" s="163">
        <f t="shared" si="48"/>
        <v>1346914885.1799998</v>
      </c>
      <c r="Y70" s="163">
        <f t="shared" si="48"/>
        <v>1387200674</v>
      </c>
      <c r="Z70" s="163">
        <f t="shared" si="48"/>
        <v>1387200674</v>
      </c>
      <c r="AA70" s="163">
        <f t="shared" si="48"/>
        <v>1470082738.4900002</v>
      </c>
      <c r="AB70" s="163">
        <f t="shared" ref="AB70:AL70" si="49">AB57+AB58+AB60+AB64</f>
        <v>1506604830.96</v>
      </c>
      <c r="AC70" s="163">
        <f t="shared" si="49"/>
        <v>1551308859.0700002</v>
      </c>
      <c r="AD70" s="163">
        <f t="shared" si="49"/>
        <v>1485910768</v>
      </c>
      <c r="AE70" s="163">
        <f t="shared" si="49"/>
        <v>1471191822.6900001</v>
      </c>
      <c r="AF70" s="163">
        <f t="shared" si="49"/>
        <v>1506451825.6099999</v>
      </c>
      <c r="AG70" s="163">
        <f t="shared" si="49"/>
        <v>1554546592.27</v>
      </c>
      <c r="AH70" s="163">
        <f t="shared" si="49"/>
        <v>1602040521.0999999</v>
      </c>
      <c r="AI70" s="163">
        <f t="shared" si="49"/>
        <v>1647257049.8299999</v>
      </c>
      <c r="AJ70" s="163">
        <f t="shared" si="49"/>
        <v>1700347199.3299999</v>
      </c>
      <c r="AK70" s="163">
        <f t="shared" si="49"/>
        <v>1743833424.4399998</v>
      </c>
      <c r="AL70" s="163">
        <f t="shared" si="49"/>
        <v>1786527469.8199999</v>
      </c>
      <c r="AM70" s="163">
        <f t="shared" ref="AM70" si="50">AM57+AM58+AM60+AM64</f>
        <v>1833065924.3199999</v>
      </c>
    </row>
    <row r="71" spans="1:39" ht="15.6">
      <c r="A71" s="8"/>
      <c r="B71" s="8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48"/>
      <c r="N71" s="148"/>
      <c r="O71" s="148"/>
      <c r="P71" s="148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95" t="s">
        <v>66</v>
      </c>
    </row>
    <row r="72" spans="1:39" ht="15.75">
      <c r="A72" s="8"/>
      <c r="B72" s="7" t="s">
        <v>115</v>
      </c>
      <c r="C72" s="163">
        <f t="shared" ref="C72:I72" si="51">C54+C70</f>
        <v>3365864887</v>
      </c>
      <c r="D72" s="163">
        <f t="shared" si="51"/>
        <v>3788805306</v>
      </c>
      <c r="E72" s="163">
        <f t="shared" si="51"/>
        <v>3843606543.1400003</v>
      </c>
      <c r="F72" s="163">
        <f t="shared" si="51"/>
        <v>3889247445.02</v>
      </c>
      <c r="G72" s="163">
        <f t="shared" si="51"/>
        <v>3715223649.8200002</v>
      </c>
      <c r="H72" s="163">
        <f t="shared" si="51"/>
        <v>3768697453.5100002</v>
      </c>
      <c r="I72" s="163">
        <f t="shared" si="51"/>
        <v>3827325472.8400002</v>
      </c>
      <c r="J72" s="163">
        <f t="shared" ref="J72:Q72" si="52">J54+J70</f>
        <v>3901992733.4699998</v>
      </c>
      <c r="K72" s="163">
        <f t="shared" si="52"/>
        <v>3940972139.7400002</v>
      </c>
      <c r="L72" s="163">
        <f t="shared" si="52"/>
        <v>3994442051.9400001</v>
      </c>
      <c r="M72" s="163">
        <f t="shared" si="52"/>
        <v>3994442051.9400001</v>
      </c>
      <c r="N72" s="163">
        <f t="shared" si="52"/>
        <v>4117896763.9300003</v>
      </c>
      <c r="O72" s="163">
        <f t="shared" si="52"/>
        <v>4155340200.77</v>
      </c>
      <c r="P72" s="163">
        <f t="shared" si="52"/>
        <v>4113986146.4400001</v>
      </c>
      <c r="Q72" s="163">
        <f t="shared" si="52"/>
        <v>4110133410</v>
      </c>
      <c r="R72" s="163">
        <f t="shared" ref="R72:AA72" si="53">R54+R70</f>
        <v>3843606543.1400003</v>
      </c>
      <c r="S72" s="163">
        <f t="shared" si="53"/>
        <v>3889247445.02</v>
      </c>
      <c r="T72" s="163">
        <f t="shared" si="53"/>
        <v>3715223649.8200002</v>
      </c>
      <c r="U72" s="163">
        <f t="shared" si="53"/>
        <v>3768697453.5100002</v>
      </c>
      <c r="V72" s="163">
        <f t="shared" si="53"/>
        <v>3827325472.8400002</v>
      </c>
      <c r="W72" s="163">
        <f t="shared" si="53"/>
        <v>3901992733.4699998</v>
      </c>
      <c r="X72" s="163">
        <f t="shared" si="53"/>
        <v>3940972139.7400002</v>
      </c>
      <c r="Y72" s="163">
        <f t="shared" si="53"/>
        <v>3994442051.9400001</v>
      </c>
      <c r="Z72" s="163">
        <f t="shared" si="53"/>
        <v>3994442051.9400001</v>
      </c>
      <c r="AA72" s="163">
        <f t="shared" si="53"/>
        <v>4117896763.9300003</v>
      </c>
      <c r="AB72" s="163">
        <f t="shared" ref="AB72:AL72" si="54">AB54+AB70</f>
        <v>4155340200.77</v>
      </c>
      <c r="AC72" s="163">
        <f t="shared" si="54"/>
        <v>4113986146.4400001</v>
      </c>
      <c r="AD72" s="163">
        <f t="shared" si="54"/>
        <v>4575477567</v>
      </c>
      <c r="AE72" s="163">
        <f t="shared" si="54"/>
        <v>4613394290.3299999</v>
      </c>
      <c r="AF72" s="163">
        <f t="shared" si="54"/>
        <v>4429455093.1999998</v>
      </c>
      <c r="AG72" s="163">
        <f t="shared" si="54"/>
        <v>4442002955</v>
      </c>
      <c r="AH72" s="163">
        <f t="shared" si="54"/>
        <v>4464118947.5100002</v>
      </c>
      <c r="AI72" s="163">
        <f t="shared" si="54"/>
        <v>4541331875.5699997</v>
      </c>
      <c r="AJ72" s="163">
        <f t="shared" si="54"/>
        <v>4611041362.6199999</v>
      </c>
      <c r="AK72" s="163">
        <f t="shared" si="54"/>
        <v>4676448950.1799994</v>
      </c>
      <c r="AL72" s="163">
        <f t="shared" si="54"/>
        <v>4749122692.1199999</v>
      </c>
      <c r="AM72" s="163">
        <f t="shared" ref="AM72" si="55">AM54+AM70</f>
        <v>4817085663.2799997</v>
      </c>
    </row>
    <row r="73" spans="1:39">
      <c r="A73" s="3"/>
      <c r="B73" s="4"/>
      <c r="C73" s="25">
        <f>C38-C72</f>
        <v>0</v>
      </c>
      <c r="D73" s="25">
        <f>D38-D72</f>
        <v>2</v>
      </c>
      <c r="E73" s="25"/>
      <c r="AD73" s="193" t="s">
        <v>116</v>
      </c>
      <c r="AI73" s="29">
        <f>AI72-AI38</f>
        <v>-3.9999961853027344E-2</v>
      </c>
      <c r="AJ73" s="29">
        <f>AJ72-AJ38</f>
        <v>0</v>
      </c>
      <c r="AK73" s="29">
        <f t="shared" ref="AK73:AL73" si="56">AK72-AK38</f>
        <v>0</v>
      </c>
      <c r="AL73" s="29">
        <f t="shared" si="56"/>
        <v>0</v>
      </c>
      <c r="AM73" s="29">
        <f t="shared" ref="AM73" si="57">AM72-AM38</f>
        <v>0</v>
      </c>
    </row>
    <row r="74" spans="1:39">
      <c r="A74" s="3"/>
      <c r="B74" s="4"/>
    </row>
  </sheetData>
  <mergeCells count="2">
    <mergeCell ref="A7:A8"/>
    <mergeCell ref="B7:B8"/>
  </mergeCells>
  <phoneticPr fontId="20" type="noConversion"/>
  <pageMargins left="0.7" right="0.7" top="0.75" bottom="0.75" header="0.3" footer="0.3"/>
  <pageSetup scale="3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5"/>
  <sheetViews>
    <sheetView view="pageBreakPreview" topLeftCell="A16" zoomScale="96" zoomScaleNormal="80" zoomScaleSheetLayoutView="96" workbookViewId="0">
      <pane xSplit="2" topLeftCell="AK39" activePane="topRight" state="frozen"/>
      <selection pane="topRight" activeCell="AL2" sqref="AL2:AM44"/>
    </sheetView>
  </sheetViews>
  <sheetFormatPr defaultColWidth="9.140625" defaultRowHeight="14.1"/>
  <cols>
    <col min="1" max="1" width="5.140625" style="20" customWidth="1"/>
    <col min="2" max="2" width="32.42578125" style="20" bestFit="1" customWidth="1"/>
    <col min="3" max="6" width="16.85546875" style="20" hidden="1" customWidth="1"/>
    <col min="7" max="7" width="16.5703125" style="20" hidden="1" customWidth="1"/>
    <col min="8" max="8" width="16.7109375" style="20" hidden="1" customWidth="1"/>
    <col min="9" max="16" width="17" style="20" hidden="1" customWidth="1"/>
    <col min="17" max="17" width="15.85546875" style="20" bestFit="1" customWidth="1"/>
    <col min="18" max="18" width="15" style="20" bestFit="1" customWidth="1"/>
    <col min="19" max="30" width="15.85546875" style="20" bestFit="1" customWidth="1"/>
    <col min="31" max="36" width="16.5703125" style="20" bestFit="1" customWidth="1"/>
    <col min="37" max="38" width="16.85546875" style="20" customWidth="1"/>
    <col min="39" max="39" width="16.140625" style="20" customWidth="1"/>
    <col min="40" max="16384" width="9.140625" style="20"/>
  </cols>
  <sheetData>
    <row r="1" spans="1:39" ht="14.25">
      <c r="A1" s="19"/>
      <c r="B1" s="19" t="s">
        <v>117</v>
      </c>
    </row>
    <row r="2" spans="1:39" ht="14.25">
      <c r="A2" s="19"/>
      <c r="B2" s="72" t="s">
        <v>118</v>
      </c>
      <c r="C2" s="73">
        <v>44166</v>
      </c>
      <c r="D2" s="73" t="s">
        <v>8</v>
      </c>
      <c r="E2" s="73">
        <v>44197</v>
      </c>
      <c r="F2" s="73">
        <v>44228</v>
      </c>
      <c r="G2" s="73">
        <v>44256</v>
      </c>
      <c r="H2" s="73">
        <v>44287</v>
      </c>
      <c r="I2" s="73">
        <v>44317</v>
      </c>
      <c r="J2" s="73">
        <v>44348</v>
      </c>
      <c r="K2" s="73">
        <v>44378</v>
      </c>
      <c r="L2" s="73">
        <v>44409</v>
      </c>
      <c r="M2" s="73">
        <v>44440</v>
      </c>
      <c r="N2" s="73">
        <v>44470</v>
      </c>
      <c r="O2" s="73">
        <v>44501</v>
      </c>
      <c r="P2" s="73">
        <v>44531</v>
      </c>
      <c r="Q2" s="73" t="s">
        <v>9</v>
      </c>
      <c r="R2" s="73">
        <v>44562</v>
      </c>
      <c r="S2" s="73">
        <v>44593</v>
      </c>
      <c r="T2" s="73">
        <v>44621</v>
      </c>
      <c r="U2" s="73">
        <v>44652</v>
      </c>
      <c r="V2" s="73">
        <v>44682</v>
      </c>
      <c r="W2" s="73">
        <v>44713</v>
      </c>
      <c r="X2" s="73">
        <v>44743</v>
      </c>
      <c r="Y2" s="73">
        <v>44774</v>
      </c>
      <c r="Z2" s="73">
        <v>44805</v>
      </c>
      <c r="AA2" s="73">
        <v>44835</v>
      </c>
      <c r="AB2" s="73">
        <v>44866</v>
      </c>
      <c r="AC2" s="73">
        <v>44896</v>
      </c>
      <c r="AD2" s="220" t="s">
        <v>10</v>
      </c>
      <c r="AE2" s="221">
        <v>44927</v>
      </c>
      <c r="AF2" s="221">
        <v>44958</v>
      </c>
      <c r="AG2" s="221">
        <v>44986</v>
      </c>
      <c r="AH2" s="221">
        <v>45017</v>
      </c>
      <c r="AI2" s="221">
        <v>45047</v>
      </c>
      <c r="AJ2" s="221">
        <v>45078</v>
      </c>
      <c r="AK2" s="221">
        <v>45108</v>
      </c>
      <c r="AL2" s="221">
        <v>45139</v>
      </c>
      <c r="AM2" s="221">
        <v>45170</v>
      </c>
    </row>
    <row r="3" spans="1:39" ht="14.25">
      <c r="A3" s="20">
        <v>1</v>
      </c>
      <c r="B3" s="74" t="s">
        <v>119</v>
      </c>
    </row>
    <row r="4" spans="1:39" ht="14.25">
      <c r="A4" s="20">
        <v>2</v>
      </c>
      <c r="B4" s="74" t="s">
        <v>87</v>
      </c>
      <c r="C4" s="76">
        <f>SFP!C38</f>
        <v>3365864887</v>
      </c>
      <c r="D4" s="76">
        <f>SFP!D38</f>
        <v>3788805308</v>
      </c>
      <c r="E4" s="76">
        <f>SFP!E38</f>
        <v>3843606543.1500001</v>
      </c>
      <c r="F4" s="76">
        <f>SFP!F38</f>
        <v>3889247455.02</v>
      </c>
      <c r="G4" s="76">
        <f>SFP!G38</f>
        <v>3715223649.8200002</v>
      </c>
      <c r="H4" s="76">
        <f>SFP!H38</f>
        <v>3768697463.5100002</v>
      </c>
      <c r="I4" s="76">
        <f>SFP!I38</f>
        <v>3827325472.4300003</v>
      </c>
      <c r="J4" s="76">
        <f>SFP!J38</f>
        <v>3901992733.4699998</v>
      </c>
      <c r="K4" s="76">
        <f>SFP!K38</f>
        <v>3940960139.7399998</v>
      </c>
      <c r="L4" s="76">
        <f>SFP!L38</f>
        <v>3994442051.9400001</v>
      </c>
      <c r="M4" s="76">
        <f>SFP!M38</f>
        <v>4058590469.71</v>
      </c>
      <c r="N4" s="76">
        <f>SFP!N38</f>
        <v>4117896763.9300003</v>
      </c>
      <c r="O4" s="76">
        <f>SFP!O38</f>
        <v>4156340200.77</v>
      </c>
      <c r="P4" s="76">
        <f>SFP!P38</f>
        <v>4113986146.4499998</v>
      </c>
      <c r="Q4" s="76">
        <f>SFP!Q38</f>
        <v>4110133410</v>
      </c>
      <c r="R4" s="76">
        <f>SFP!R38</f>
        <v>3843606543.1500001</v>
      </c>
      <c r="S4" s="76">
        <f>SFP!S38</f>
        <v>3889247455.02</v>
      </c>
      <c r="T4" s="76">
        <f>SFP!T38</f>
        <v>3715223649.8200002</v>
      </c>
      <c r="U4" s="76">
        <f>SFP!U38</f>
        <v>3768697463.5100002</v>
      </c>
      <c r="V4" s="76">
        <f>SFP!V38</f>
        <v>3827325472.4300003</v>
      </c>
      <c r="W4" s="76">
        <f>SFP!W38</f>
        <v>3901992733.4699998</v>
      </c>
      <c r="X4" s="76">
        <f>SFP!X38</f>
        <v>3940960139.7399998</v>
      </c>
      <c r="Y4" s="76">
        <f>SFP!Y38</f>
        <v>3994442051.9400001</v>
      </c>
      <c r="Z4" s="76">
        <f>SFP!Z38</f>
        <v>4058590469.71</v>
      </c>
      <c r="AA4" s="76">
        <f>SFP!AA38</f>
        <v>4117896763.9300003</v>
      </c>
      <c r="AB4" s="76">
        <f>SFP!AB38</f>
        <v>4156340200.77</v>
      </c>
      <c r="AC4" s="76">
        <f>SFP!AC38</f>
        <v>4113986146.4499998</v>
      </c>
      <c r="AD4" s="76">
        <f>SFP!AD38</f>
        <v>4575477569</v>
      </c>
      <c r="AE4" s="76">
        <f>SFP!AE38</f>
        <v>4613394290.3299999</v>
      </c>
      <c r="AF4" s="76">
        <f>SFP!AF38</f>
        <v>4429455093.1999998</v>
      </c>
      <c r="AG4" s="76">
        <f>SFP!AG38</f>
        <v>4442002955</v>
      </c>
      <c r="AH4" s="76">
        <f>SFP!AH38</f>
        <v>4464118947.5100002</v>
      </c>
      <c r="AI4" s="76">
        <f>SFP!AI38</f>
        <v>4541331875.6099997</v>
      </c>
      <c r="AJ4" s="76">
        <f>SFP!AJ38</f>
        <v>4611041362.6199999</v>
      </c>
      <c r="AK4" s="76">
        <f>SFP!AK38</f>
        <v>4676448950.1799994</v>
      </c>
      <c r="AL4" s="76">
        <f>SFP!AL38</f>
        <v>4749122692.1199999</v>
      </c>
      <c r="AM4" s="76">
        <f>SFP!AM38</f>
        <v>4817085663.2799997</v>
      </c>
    </row>
    <row r="5" spans="1:39" ht="14.25">
      <c r="A5" s="20">
        <v>3</v>
      </c>
      <c r="B5" s="74" t="s">
        <v>120</v>
      </c>
      <c r="C5" s="76">
        <f>SFP!C45</f>
        <v>2201237485</v>
      </c>
      <c r="D5" s="76">
        <f>SFP!D45</f>
        <v>2392296190</v>
      </c>
      <c r="E5" s="76">
        <f>SFP!E45</f>
        <v>2402120310.2800002</v>
      </c>
      <c r="F5" s="76">
        <f>SFP!F45</f>
        <v>2412561600</v>
      </c>
      <c r="G5" s="76">
        <f>SFP!G45</f>
        <v>2476030737.23</v>
      </c>
      <c r="H5" s="76">
        <f>SFP!H45</f>
        <v>2488792206.1700001</v>
      </c>
      <c r="I5" s="76">
        <f>SFP!I45</f>
        <v>2503871202.3699999</v>
      </c>
      <c r="J5" s="76">
        <f>SFP!J45</f>
        <v>2534107210.4699998</v>
      </c>
      <c r="K5" s="76">
        <f>SFP!K45</f>
        <v>2548683967.7600002</v>
      </c>
      <c r="L5" s="76">
        <f>SFP!L45</f>
        <v>2557581720.46</v>
      </c>
      <c r="M5" s="76">
        <f>SFP!M45</f>
        <v>2557581720.46</v>
      </c>
      <c r="N5" s="76">
        <f>SFP!N45</f>
        <v>2592853684.6900001</v>
      </c>
      <c r="O5" s="76">
        <f>SFP!O45</f>
        <v>2585030084.8499999</v>
      </c>
      <c r="P5" s="76">
        <f>SFP!P45</f>
        <v>2512226915.4299998</v>
      </c>
      <c r="Q5" s="76">
        <f>SFP!Q45</f>
        <v>2512220109</v>
      </c>
      <c r="R5" s="76">
        <f>SFP!R45</f>
        <v>2402120310.2800002</v>
      </c>
      <c r="S5" s="76">
        <f>SFP!S45</f>
        <v>2412561600</v>
      </c>
      <c r="T5" s="76">
        <f>SFP!T45</f>
        <v>2476030737.23</v>
      </c>
      <c r="U5" s="76">
        <f>SFP!U45</f>
        <v>2488792206.1700001</v>
      </c>
      <c r="V5" s="76">
        <f>SFP!V45</f>
        <v>2503871202.3699999</v>
      </c>
      <c r="W5" s="76">
        <f>SFP!W45</f>
        <v>2534107210.4699998</v>
      </c>
      <c r="X5" s="76">
        <f>SFP!X45</f>
        <v>2548683967.7600002</v>
      </c>
      <c r="Y5" s="76">
        <f>SFP!Y45</f>
        <v>2557581720.46</v>
      </c>
      <c r="Z5" s="76">
        <f>SFP!Z45</f>
        <v>2557581720.46</v>
      </c>
      <c r="AA5" s="76">
        <f>SFP!AA45</f>
        <v>2592853684.6900001</v>
      </c>
      <c r="AB5" s="76">
        <f>SFP!AB45</f>
        <v>2585030084.8499999</v>
      </c>
      <c r="AC5" s="76">
        <f>SFP!AC45</f>
        <v>2512226915.4299998</v>
      </c>
      <c r="AD5" s="76">
        <f>SFP!AD45</f>
        <v>2770907617</v>
      </c>
      <c r="AE5" s="76">
        <f>SFP!AE45</f>
        <v>2789605101.77</v>
      </c>
      <c r="AF5" s="76">
        <f>SFP!AF45</f>
        <v>2872041178.3299999</v>
      </c>
      <c r="AG5" s="76">
        <f>SFP!AG45</f>
        <v>2837437572.6199999</v>
      </c>
      <c r="AH5" s="76">
        <f>SFP!AH45</f>
        <v>2843347585.4900002</v>
      </c>
      <c r="AI5" s="76">
        <f>SFP!AI45</f>
        <v>2841719159.21</v>
      </c>
      <c r="AJ5" s="76">
        <f>SFP!AJ45</f>
        <v>2858385219.54</v>
      </c>
      <c r="AK5" s="76">
        <f>SFP!AK45</f>
        <v>2869460391.0699997</v>
      </c>
      <c r="AL5" s="76">
        <f>SFP!AL45</f>
        <v>2892241051.5799999</v>
      </c>
      <c r="AM5" s="76">
        <f>SFP!AM45</f>
        <v>2914009481.0599999</v>
      </c>
    </row>
    <row r="6" spans="1:39" ht="14.25">
      <c r="A6" s="20">
        <v>3.1</v>
      </c>
      <c r="B6" s="77" t="s">
        <v>121</v>
      </c>
      <c r="C6" s="76">
        <f>SFP!C44</f>
        <v>2088840718</v>
      </c>
      <c r="D6" s="76">
        <f>SFP!D44</f>
        <v>2273006691</v>
      </c>
      <c r="E6" s="76">
        <f>SFP!E44</f>
        <v>2286717213.75</v>
      </c>
      <c r="F6" s="76">
        <f>SFP!F44</f>
        <v>2298913302.4499998</v>
      </c>
      <c r="G6" s="76">
        <f>SFP!G44</f>
        <v>2320720614.6700001</v>
      </c>
      <c r="H6" s="76">
        <f>SFP!H44</f>
        <v>2338125113.9000001</v>
      </c>
      <c r="I6" s="76">
        <f>SFP!I44</f>
        <v>2357680716.27</v>
      </c>
      <c r="J6" s="76">
        <f>SFP!J44</f>
        <v>2370459528.2199998</v>
      </c>
      <c r="K6" s="76">
        <f>SFP!K44</f>
        <v>2385754723.5100002</v>
      </c>
      <c r="L6" s="76">
        <f>SFP!L44</f>
        <v>2402304756.73</v>
      </c>
      <c r="M6" s="76">
        <f>SFP!M44</f>
        <v>2402304756.73</v>
      </c>
      <c r="N6" s="76">
        <f>SFP!N44</f>
        <v>2434045128.1399999</v>
      </c>
      <c r="O6" s="76">
        <f>SFP!O44</f>
        <v>2422023784.29</v>
      </c>
      <c r="P6" s="76">
        <f>SFP!P44</f>
        <v>2409030778.29</v>
      </c>
      <c r="Q6" s="76">
        <f>SFP!Q44</f>
        <v>2409040533</v>
      </c>
      <c r="R6" s="76">
        <f>SFP!R44</f>
        <v>2286717213.75</v>
      </c>
      <c r="S6" s="76">
        <f>SFP!S44</f>
        <v>2298913302.4499998</v>
      </c>
      <c r="T6" s="76">
        <f>SFP!T44</f>
        <v>2320720614.6700001</v>
      </c>
      <c r="U6" s="76">
        <f>SFP!U44</f>
        <v>2338125113.9000001</v>
      </c>
      <c r="V6" s="76">
        <f>SFP!V44</f>
        <v>2357680716.27</v>
      </c>
      <c r="W6" s="76">
        <f>SFP!W44</f>
        <v>2370459528.2199998</v>
      </c>
      <c r="X6" s="76">
        <f>SFP!X44</f>
        <v>2385754723.5100002</v>
      </c>
      <c r="Y6" s="76">
        <f>SFP!Y44</f>
        <v>2402304756.73</v>
      </c>
      <c r="Z6" s="76">
        <f>SFP!Z44</f>
        <v>2402304756.73</v>
      </c>
      <c r="AA6" s="76">
        <f>SFP!AA44</f>
        <v>2434045128.1399999</v>
      </c>
      <c r="AB6" s="76">
        <f>SFP!AB44</f>
        <v>2422023784.29</v>
      </c>
      <c r="AC6" s="76">
        <f>SFP!AC44</f>
        <v>2409030778.29</v>
      </c>
      <c r="AD6" s="76">
        <f>SFP!AD44</f>
        <v>2623653589</v>
      </c>
      <c r="AE6" s="76">
        <f>SFP!AE44</f>
        <v>2642723566.5500002</v>
      </c>
      <c r="AF6" s="76">
        <f>SFP!AF44</f>
        <v>2662562559.9299998</v>
      </c>
      <c r="AG6" s="76">
        <f>SFP!AG44</f>
        <v>2676728758.8699999</v>
      </c>
      <c r="AH6" s="76">
        <f>SFP!AH44</f>
        <v>2684589140.8400002</v>
      </c>
      <c r="AI6" s="76">
        <f>SFP!AI44</f>
        <v>2687990073.0300002</v>
      </c>
      <c r="AJ6" s="76">
        <f>SFP!AJ44</f>
        <v>2694461446.8499999</v>
      </c>
      <c r="AK6" s="76">
        <f>SFP!AK44</f>
        <v>2705249812.4499998</v>
      </c>
      <c r="AL6" s="76">
        <f>SFP!AL44</f>
        <v>2730201492.8099999</v>
      </c>
      <c r="AM6" s="76">
        <f>SFP!AM44</f>
        <v>2750429736.3299999</v>
      </c>
    </row>
    <row r="7" spans="1:39" ht="14.25">
      <c r="A7" s="20">
        <v>3.2</v>
      </c>
      <c r="B7" s="77" t="s">
        <v>122</v>
      </c>
      <c r="C7" s="76">
        <f>SFP!C42+SFP!C43</f>
        <v>112396767</v>
      </c>
      <c r="D7" s="76">
        <f>SFP!D42+SFP!D43</f>
        <v>119289499</v>
      </c>
      <c r="E7" s="76">
        <f>SFP!E42+SFP!E43</f>
        <v>115403096.53</v>
      </c>
      <c r="F7" s="76">
        <f>SFP!F42+SFP!F43</f>
        <v>113648297.55</v>
      </c>
      <c r="G7" s="76">
        <f>SFP!G42+SFP!G43</f>
        <v>155310122.56</v>
      </c>
      <c r="H7" s="76">
        <f>SFP!H42+SFP!H43</f>
        <v>150667092.27000001</v>
      </c>
      <c r="I7" s="76">
        <f>SFP!I42+SFP!I43</f>
        <v>146190486.09999999</v>
      </c>
      <c r="J7" s="76">
        <f>SFP!J42+SFP!J43</f>
        <v>163647682.25</v>
      </c>
      <c r="K7" s="76">
        <f>SFP!K42+SFP!K43</f>
        <v>162929244.25</v>
      </c>
      <c r="L7" s="76">
        <f>SFP!L42+SFP!L43</f>
        <v>155276963.72999999</v>
      </c>
      <c r="M7" s="76">
        <f>SFP!M42+SFP!M43</f>
        <v>155276963.72999999</v>
      </c>
      <c r="N7" s="76">
        <f>SFP!N42+SFP!N43</f>
        <v>158808556.55000001</v>
      </c>
      <c r="O7" s="76">
        <f>SFP!O42+SFP!O43</f>
        <v>163006300.56</v>
      </c>
      <c r="P7" s="76">
        <f>SFP!P42+SFP!P43</f>
        <v>103196137.14</v>
      </c>
      <c r="Q7" s="76">
        <f>SFP!Q42+SFP!Q43</f>
        <v>103179576</v>
      </c>
      <c r="R7" s="76">
        <f>SFP!R42+SFP!R43</f>
        <v>115403096.53</v>
      </c>
      <c r="S7" s="76">
        <f>SFP!S42+SFP!S43</f>
        <v>113648297.55</v>
      </c>
      <c r="T7" s="76">
        <f>SFP!T42+SFP!T43</f>
        <v>155310122.56</v>
      </c>
      <c r="U7" s="76">
        <f>SFP!U42+SFP!U43</f>
        <v>150667092.27000001</v>
      </c>
      <c r="V7" s="76">
        <f>SFP!V42+SFP!V43</f>
        <v>146190486.09999999</v>
      </c>
      <c r="W7" s="76">
        <f>SFP!W42+SFP!W43</f>
        <v>163647682.25</v>
      </c>
      <c r="X7" s="76">
        <f>SFP!X42+SFP!X43</f>
        <v>162929244.25</v>
      </c>
      <c r="Y7" s="76">
        <f>SFP!Y42+SFP!Y43</f>
        <v>155276963.72999999</v>
      </c>
      <c r="Z7" s="76">
        <f>SFP!Z42+SFP!Z43</f>
        <v>155276963.72999999</v>
      </c>
      <c r="AA7" s="76">
        <f>SFP!AA42+SFP!AA43</f>
        <v>158808556.55000001</v>
      </c>
      <c r="AB7" s="76">
        <f>SFP!AB42+SFP!AB43</f>
        <v>163006300.56</v>
      </c>
      <c r="AC7" s="76">
        <f>SFP!AC42+SFP!AC43</f>
        <v>103196137.14</v>
      </c>
      <c r="AD7" s="76">
        <f>SFP!AD42+SFP!AD43</f>
        <v>147254028</v>
      </c>
      <c r="AE7" s="76">
        <f>SFP!AE42+SFP!AE43</f>
        <v>146881535.22</v>
      </c>
      <c r="AF7" s="76">
        <f>SFP!AF42+SFP!AF43</f>
        <v>209478618.40000001</v>
      </c>
      <c r="AG7" s="76">
        <f>SFP!AG42+SFP!AG43</f>
        <v>160708813.75</v>
      </c>
      <c r="AH7" s="76">
        <f>SFP!AH42+SFP!AH43</f>
        <v>158758444.65000001</v>
      </c>
      <c r="AI7" s="76">
        <f>SFP!AI42+SFP!AI43</f>
        <v>153729086.18000001</v>
      </c>
      <c r="AJ7" s="76">
        <f>SFP!AJ42+SFP!AJ43</f>
        <v>163923772.69</v>
      </c>
      <c r="AK7" s="76">
        <f>SFP!AK42+SFP!AK43</f>
        <v>164210578.62</v>
      </c>
      <c r="AL7" s="76">
        <f>SFP!AL42+SFP!AL43</f>
        <v>162039558.77000001</v>
      </c>
      <c r="AM7" s="76">
        <f>SFP!AM42+SFP!AM43</f>
        <v>163579744.72999999</v>
      </c>
    </row>
    <row r="8" spans="1:39" ht="14.25">
      <c r="A8" s="20">
        <v>4</v>
      </c>
      <c r="B8" s="74" t="s">
        <v>123</v>
      </c>
      <c r="C8" s="76">
        <f>SFP!C53</f>
        <v>0</v>
      </c>
      <c r="D8" s="76">
        <f>SFP!D53</f>
        <v>0</v>
      </c>
      <c r="E8" s="76">
        <f>SFP!E53</f>
        <v>0</v>
      </c>
      <c r="F8" s="76">
        <f>SFP!F53</f>
        <v>0</v>
      </c>
      <c r="G8" s="76">
        <f>SFP!G53</f>
        <v>0</v>
      </c>
      <c r="H8" s="76">
        <f>SFP!H53</f>
        <v>0</v>
      </c>
      <c r="I8" s="76">
        <f>SFP!I53</f>
        <v>0</v>
      </c>
      <c r="J8" s="76">
        <f>SFP!J53</f>
        <v>0</v>
      </c>
      <c r="K8" s="76">
        <f>SFP!K53</f>
        <v>0</v>
      </c>
      <c r="L8" s="76">
        <f>SFP!L53</f>
        <v>0</v>
      </c>
      <c r="M8" s="76">
        <f>SFP!M53</f>
        <v>0</v>
      </c>
      <c r="N8" s="76">
        <f>SFP!N53</f>
        <v>0</v>
      </c>
      <c r="O8" s="76">
        <f>SFP!O53</f>
        <v>0</v>
      </c>
      <c r="P8" s="76">
        <f>SFP!P53</f>
        <v>0</v>
      </c>
      <c r="Q8" s="76">
        <f>SFP!Q53</f>
        <v>0</v>
      </c>
      <c r="R8" s="76">
        <f>SFP!R53</f>
        <v>0</v>
      </c>
      <c r="S8" s="76">
        <f>SFP!S53</f>
        <v>0</v>
      </c>
      <c r="T8" s="76">
        <f>SFP!T53</f>
        <v>0</v>
      </c>
      <c r="U8" s="76">
        <f>SFP!U53</f>
        <v>0</v>
      </c>
      <c r="V8" s="76">
        <f>SFP!V53</f>
        <v>0</v>
      </c>
      <c r="W8" s="76">
        <f>SFP!W53</f>
        <v>0</v>
      </c>
      <c r="X8" s="76">
        <f>SFP!X53</f>
        <v>0</v>
      </c>
      <c r="Y8" s="76">
        <f>SFP!Y53</f>
        <v>0</v>
      </c>
      <c r="Z8" s="76">
        <f>SFP!Z53</f>
        <v>0</v>
      </c>
      <c r="AA8" s="76">
        <f>SFP!AA53</f>
        <v>0</v>
      </c>
      <c r="AB8" s="76">
        <f>SFP!AB53</f>
        <v>0</v>
      </c>
      <c r="AC8" s="76">
        <f>SFP!AC53</f>
        <v>0</v>
      </c>
      <c r="AD8" s="76" t="str">
        <f>SFP!AD53</f>
        <v> </v>
      </c>
      <c r="AE8" s="76">
        <f>SFP!AE53</f>
        <v>0</v>
      </c>
      <c r="AF8" s="76">
        <f>SFP!AF53</f>
        <v>0</v>
      </c>
      <c r="AG8" s="76">
        <f>SFP!AG53</f>
        <v>0</v>
      </c>
      <c r="AH8" s="76">
        <f>SFP!AH53</f>
        <v>0</v>
      </c>
      <c r="AI8" s="76">
        <f>SFP!AI53</f>
        <v>0</v>
      </c>
      <c r="AJ8" s="76">
        <f>SFP!AJ53</f>
        <v>0</v>
      </c>
      <c r="AK8" s="76">
        <f>SFP!AK53</f>
        <v>0</v>
      </c>
      <c r="AL8" s="76">
        <f>SFP!AL53</f>
        <v>0</v>
      </c>
      <c r="AM8" s="76">
        <f>SFP!AM53</f>
        <v>0</v>
      </c>
    </row>
    <row r="9" spans="1:39" ht="14.25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</row>
    <row r="10" spans="1:39" ht="14.25">
      <c r="A10" s="21">
        <v>5</v>
      </c>
      <c r="B10" s="78" t="s">
        <v>124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</row>
    <row r="11" spans="1:39" ht="14.25">
      <c r="A11" s="21">
        <v>5.0999999999999996</v>
      </c>
      <c r="B11" s="78" t="s">
        <v>125</v>
      </c>
      <c r="C11" s="79">
        <f>C14-C23</f>
        <v>815245740</v>
      </c>
      <c r="D11" s="79">
        <f>D14-D23</f>
        <v>956374726</v>
      </c>
      <c r="E11" s="79">
        <f>E14-E23</f>
        <v>996666649.77999997</v>
      </c>
      <c r="F11" s="79">
        <f>F14-F23</f>
        <v>1033581883.1500001</v>
      </c>
      <c r="G11" s="79">
        <f>G14-G23</f>
        <v>1078068960.02</v>
      </c>
      <c r="H11" s="79">
        <f t="shared" ref="H11:P11" si="0">H14-H23</f>
        <v>1123704033.1900001</v>
      </c>
      <c r="I11" s="79">
        <f t="shared" si="0"/>
        <v>1166429317.9499998</v>
      </c>
      <c r="J11" s="79">
        <f t="shared" si="0"/>
        <v>1212892722.72</v>
      </c>
      <c r="K11" s="79">
        <f t="shared" si="0"/>
        <v>1257039511.3900001</v>
      </c>
      <c r="L11" s="79">
        <f t="shared" si="0"/>
        <v>1297325300.21</v>
      </c>
      <c r="M11" s="79">
        <f t="shared" si="0"/>
        <v>1297325300.21</v>
      </c>
      <c r="N11" s="79">
        <f t="shared" si="0"/>
        <v>1380207364.7000003</v>
      </c>
      <c r="O11" s="79">
        <f t="shared" si="0"/>
        <v>1416714457.1700001</v>
      </c>
      <c r="P11" s="79">
        <f t="shared" si="0"/>
        <v>1461418485.2800002</v>
      </c>
      <c r="Q11" s="79">
        <f>Q14-Q23</f>
        <v>1145643922</v>
      </c>
      <c r="R11" s="79">
        <f t="shared" ref="R11:X11" si="1">R14-R23</f>
        <v>996666649.77999997</v>
      </c>
      <c r="S11" s="79">
        <f t="shared" si="1"/>
        <v>1033581883.1500001</v>
      </c>
      <c r="T11" s="79">
        <f t="shared" si="1"/>
        <v>1078068960.02</v>
      </c>
      <c r="U11" s="79">
        <f t="shared" si="1"/>
        <v>1123704033.1900001</v>
      </c>
      <c r="V11" s="79">
        <f t="shared" si="1"/>
        <v>1166429317.9499998</v>
      </c>
      <c r="W11" s="79">
        <f t="shared" si="1"/>
        <v>1212892722.72</v>
      </c>
      <c r="X11" s="79">
        <f t="shared" si="1"/>
        <v>1257039511.3900001</v>
      </c>
      <c r="Y11" s="79">
        <f t="shared" ref="Y11:AB11" si="2">Y14-Y23</f>
        <v>1297325300.21</v>
      </c>
      <c r="Z11" s="79">
        <f t="shared" si="2"/>
        <v>1297325300.21</v>
      </c>
      <c r="AA11" s="79">
        <f t="shared" si="2"/>
        <v>1380207364.7000003</v>
      </c>
      <c r="AB11" s="79">
        <f t="shared" si="2"/>
        <v>1416714457.1700001</v>
      </c>
      <c r="AC11" s="79">
        <f t="shared" ref="AC11:AD11" si="3">AC14-AC23</f>
        <v>1461418485.2800002</v>
      </c>
      <c r="AD11" s="79">
        <f t="shared" si="3"/>
        <v>1356198318</v>
      </c>
      <c r="AE11" s="79">
        <f t="shared" ref="AE11:AG11" si="4">AE14-AE23</f>
        <v>1433740784.9100001</v>
      </c>
      <c r="AF11" s="79">
        <f t="shared" si="4"/>
        <v>1469000787.8299999</v>
      </c>
      <c r="AG11" s="79">
        <f t="shared" si="4"/>
        <v>1517095554.49</v>
      </c>
      <c r="AH11" s="79">
        <f t="shared" ref="AH11:AI11" si="5">AH14-AH23</f>
        <v>1533872008.1199999</v>
      </c>
      <c r="AI11" s="79">
        <f t="shared" si="5"/>
        <v>1579088536.8499999</v>
      </c>
      <c r="AJ11" s="79">
        <f t="shared" ref="AJ11:AL11" si="6">AJ14-AJ23</f>
        <v>1632183349.3499999</v>
      </c>
      <c r="AK11" s="79">
        <f t="shared" si="6"/>
        <v>1675669574.4599998</v>
      </c>
      <c r="AL11" s="79">
        <f t="shared" si="6"/>
        <v>1718363619.8399999</v>
      </c>
      <c r="AM11" s="79">
        <f t="shared" ref="AM11" si="7">AM14-AM23</f>
        <v>1764902074.3399999</v>
      </c>
    </row>
    <row r="12" spans="1:39" ht="13.5" customHeight="1">
      <c r="A12" s="21">
        <v>5.2</v>
      </c>
      <c r="B12" s="78" t="s">
        <v>126</v>
      </c>
      <c r="C12" s="76">
        <f>C11-C15</f>
        <v>666793839</v>
      </c>
      <c r="D12" s="76">
        <f>D11-D15</f>
        <v>751665379</v>
      </c>
      <c r="E12" s="76">
        <f>E11-E15</f>
        <v>789819626.83999991</v>
      </c>
      <c r="F12" s="76">
        <f>F11-F15</f>
        <v>824275236.36000013</v>
      </c>
      <c r="G12" s="76">
        <f>G11-G15</f>
        <v>866651977.74000001</v>
      </c>
      <c r="H12" s="76">
        <f t="shared" ref="H12:P12" si="8">H11-H15</f>
        <v>909928628.78000009</v>
      </c>
      <c r="I12" s="76">
        <f t="shared" si="8"/>
        <v>950627431.40999985</v>
      </c>
      <c r="J12" s="76">
        <f t="shared" si="8"/>
        <v>994555821.10000002</v>
      </c>
      <c r="K12" s="76">
        <f t="shared" si="8"/>
        <v>1037656955.8100001</v>
      </c>
      <c r="L12" s="76">
        <f t="shared" si="8"/>
        <v>1075999445.6500001</v>
      </c>
      <c r="M12" s="76">
        <f t="shared" si="8"/>
        <v>1075999445.6500001</v>
      </c>
      <c r="N12" s="76">
        <f t="shared" si="8"/>
        <v>1155908718.3400002</v>
      </c>
      <c r="O12" s="76">
        <f t="shared" si="8"/>
        <v>1190149096.8600001</v>
      </c>
      <c r="P12" s="76">
        <f t="shared" si="8"/>
        <v>1226213243.7900002</v>
      </c>
      <c r="Q12" s="76">
        <f>Q11-Q15</f>
        <v>910439670</v>
      </c>
      <c r="R12" s="76">
        <f t="shared" ref="R12:X12" si="9">R11-R15</f>
        <v>789819626.83999991</v>
      </c>
      <c r="S12" s="76">
        <f t="shared" si="9"/>
        <v>824275236.36000013</v>
      </c>
      <c r="T12" s="76">
        <f t="shared" si="9"/>
        <v>866651977.74000001</v>
      </c>
      <c r="U12" s="76">
        <f t="shared" si="9"/>
        <v>909928628.78000009</v>
      </c>
      <c r="V12" s="76">
        <f t="shared" si="9"/>
        <v>950627431.40999985</v>
      </c>
      <c r="W12" s="76">
        <f t="shared" si="9"/>
        <v>994555821.10000002</v>
      </c>
      <c r="X12" s="76">
        <f t="shared" si="9"/>
        <v>1037656955.8100001</v>
      </c>
      <c r="Y12" s="76">
        <f t="shared" ref="Y12" si="10">Y11-Y15</f>
        <v>1075999445.6500001</v>
      </c>
      <c r="Z12" s="76">
        <f t="shared" ref="Z12" si="11">Z11-Z15</f>
        <v>1075999445.6500001</v>
      </c>
      <c r="AA12" s="76">
        <f t="shared" ref="AA12" si="12">AA11-AA15</f>
        <v>1155908718.3400002</v>
      </c>
      <c r="AB12" s="76">
        <f t="shared" ref="AB12:AC12" si="13">AB11-AB15</f>
        <v>1190149096.8600001</v>
      </c>
      <c r="AC12" s="76">
        <f t="shared" si="13"/>
        <v>1226213243.7900002</v>
      </c>
      <c r="AD12" s="76">
        <f t="shared" ref="AD12:AG12" si="14">AD11-AD15</f>
        <v>1088886259</v>
      </c>
      <c r="AE12" s="76">
        <f t="shared" si="14"/>
        <v>1164699320.6200001</v>
      </c>
      <c r="AF12" s="76">
        <f t="shared" si="14"/>
        <v>1198536985.6900001</v>
      </c>
      <c r="AG12" s="76">
        <f t="shared" si="14"/>
        <v>1237715299.5</v>
      </c>
      <c r="AH12" s="76">
        <f t="shared" ref="AH12:AI12" si="15">AH11-AH15</f>
        <v>1246254565.1299999</v>
      </c>
      <c r="AI12" s="76">
        <f t="shared" si="15"/>
        <v>1288586797.1699998</v>
      </c>
      <c r="AJ12" s="76">
        <f t="shared" ref="AJ12:AL12" si="16">AJ11-AJ15</f>
        <v>1338287776.75</v>
      </c>
      <c r="AK12" s="76">
        <f t="shared" si="16"/>
        <v>1379333084.3899999</v>
      </c>
      <c r="AL12" s="76">
        <f t="shared" si="16"/>
        <v>1418348717.6999998</v>
      </c>
      <c r="AM12" s="76">
        <f t="shared" ref="AM12" si="17">AM11-AM15</f>
        <v>1462215022.8599999</v>
      </c>
    </row>
    <row r="13" spans="1:39" ht="14.25">
      <c r="A13" s="21"/>
      <c r="B13" s="78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</row>
    <row r="14" spans="1:39" ht="14.25">
      <c r="A14" s="21">
        <v>5.3</v>
      </c>
      <c r="B14" s="78" t="s">
        <v>127</v>
      </c>
      <c r="C14" s="80">
        <f>SUM(C15:C21)</f>
        <v>827255740</v>
      </c>
      <c r="D14" s="80">
        <f>SUM(D15:D21)</f>
        <v>1039588669</v>
      </c>
      <c r="E14" s="80">
        <f>SUM(E15:E21)</f>
        <v>1086542023.5699999</v>
      </c>
      <c r="F14" s="80">
        <f>SUM(F15:F21)</f>
        <v>1123457256.9400001</v>
      </c>
      <c r="G14" s="80">
        <f>SUM(G15:G21)</f>
        <v>1167944333.8099999</v>
      </c>
      <c r="H14" s="80">
        <f t="shared" ref="H14:P14" si="18">SUM(H15:H21)</f>
        <v>1213579406.98</v>
      </c>
      <c r="I14" s="80">
        <f t="shared" si="18"/>
        <v>1256304691.7399998</v>
      </c>
      <c r="J14" s="80">
        <f t="shared" si="18"/>
        <v>1302768096.51</v>
      </c>
      <c r="K14" s="80">
        <f t="shared" si="18"/>
        <v>1346914885.1800001</v>
      </c>
      <c r="L14" s="80">
        <f t="shared" si="18"/>
        <v>1387200674</v>
      </c>
      <c r="M14" s="80">
        <f t="shared" si="18"/>
        <v>1387200674</v>
      </c>
      <c r="N14" s="80">
        <f t="shared" si="18"/>
        <v>1470082738.4900002</v>
      </c>
      <c r="O14" s="80">
        <f t="shared" si="18"/>
        <v>1506604830.96</v>
      </c>
      <c r="P14" s="80">
        <f t="shared" si="18"/>
        <v>1551308859.0700002</v>
      </c>
      <c r="Q14" s="80">
        <f>SUM(Q15:Q21)</f>
        <v>1228872865</v>
      </c>
      <c r="R14" s="80">
        <f t="shared" ref="R14:X14" si="19">SUM(R15:R21)</f>
        <v>1086542023.5699999</v>
      </c>
      <c r="S14" s="80">
        <f t="shared" si="19"/>
        <v>1123457256.9400001</v>
      </c>
      <c r="T14" s="80">
        <f t="shared" si="19"/>
        <v>1167944333.8099999</v>
      </c>
      <c r="U14" s="80">
        <f t="shared" si="19"/>
        <v>1213579406.98</v>
      </c>
      <c r="V14" s="80">
        <f t="shared" si="19"/>
        <v>1256304691.7399998</v>
      </c>
      <c r="W14" s="80">
        <f t="shared" si="19"/>
        <v>1302768096.51</v>
      </c>
      <c r="X14" s="80">
        <f t="shared" si="19"/>
        <v>1346914885.1800001</v>
      </c>
      <c r="Y14" s="80">
        <f t="shared" ref="Y14" si="20">SUM(Y15:Y21)</f>
        <v>1387200674</v>
      </c>
      <c r="Z14" s="80">
        <f t="shared" ref="Z14" si="21">SUM(Z15:Z21)</f>
        <v>1387200674</v>
      </c>
      <c r="AA14" s="80">
        <f t="shared" ref="AA14" si="22">SUM(AA15:AA21)</f>
        <v>1470082738.4900002</v>
      </c>
      <c r="AB14" s="80">
        <f t="shared" ref="AB14:AC14" si="23">SUM(AB15:AB21)</f>
        <v>1506604830.96</v>
      </c>
      <c r="AC14" s="80">
        <f t="shared" si="23"/>
        <v>1551308859.0700002</v>
      </c>
      <c r="AD14" s="80">
        <f t="shared" ref="AD14:AG14" si="24">SUM(AD15:AD21)</f>
        <v>1393649356</v>
      </c>
      <c r="AE14" s="80">
        <f t="shared" si="24"/>
        <v>1471191822.6900001</v>
      </c>
      <c r="AF14" s="80">
        <f t="shared" si="24"/>
        <v>1506451825.6099999</v>
      </c>
      <c r="AG14" s="80">
        <f t="shared" si="24"/>
        <v>1554546592.27</v>
      </c>
      <c r="AH14" s="80">
        <f t="shared" ref="AH14:AI14" si="25">SUM(AH15:AH21)</f>
        <v>1571323045.8999999</v>
      </c>
      <c r="AI14" s="80">
        <f t="shared" si="25"/>
        <v>1616539574.6299999</v>
      </c>
      <c r="AJ14" s="80">
        <f t="shared" ref="AJ14:AL14" si="26">SUM(AJ15:AJ21)</f>
        <v>1669629724.1299999</v>
      </c>
      <c r="AK14" s="80">
        <f t="shared" si="26"/>
        <v>1713115949.2399998</v>
      </c>
      <c r="AL14" s="80">
        <f t="shared" si="26"/>
        <v>1755809994.6199999</v>
      </c>
      <c r="AM14" s="80">
        <f t="shared" ref="AM14" si="27">SUM(AM15:AM21)</f>
        <v>1802348449.1199999</v>
      </c>
    </row>
    <row r="15" spans="1:39" ht="14.25">
      <c r="A15" s="21" t="s">
        <v>128</v>
      </c>
      <c r="B15" s="81" t="s">
        <v>129</v>
      </c>
      <c r="C15" s="76">
        <f>SFP!C57</f>
        <v>148451901</v>
      </c>
      <c r="D15" s="76">
        <f>SFP!D57</f>
        <v>204709347</v>
      </c>
      <c r="E15" s="76">
        <f>SFP!E57</f>
        <v>206847022.94</v>
      </c>
      <c r="F15" s="76">
        <f>SFP!F57</f>
        <v>209306646.78999999</v>
      </c>
      <c r="G15" s="76">
        <f>SFP!G57</f>
        <v>211416982.28</v>
      </c>
      <c r="H15" s="76">
        <f>SFP!H57</f>
        <v>213775404.41</v>
      </c>
      <c r="I15" s="76">
        <f>SFP!I57</f>
        <v>215801886.53999999</v>
      </c>
      <c r="J15" s="76">
        <f>SFP!J57</f>
        <v>218336901.62</v>
      </c>
      <c r="K15" s="76">
        <f>SFP!K57</f>
        <v>219382555.58000001</v>
      </c>
      <c r="L15" s="76">
        <f>SFP!L57</f>
        <v>221325854.56</v>
      </c>
      <c r="M15" s="76">
        <f>SFP!M57</f>
        <v>221325854.56</v>
      </c>
      <c r="N15" s="76">
        <f>SFP!N57</f>
        <v>224298646.36000001</v>
      </c>
      <c r="O15" s="76">
        <f>SFP!O57</f>
        <v>226565360.31</v>
      </c>
      <c r="P15" s="76">
        <f>SFP!P57</f>
        <v>235205241.49000001</v>
      </c>
      <c r="Q15" s="76">
        <f>SFP!Q57</f>
        <v>235204252</v>
      </c>
      <c r="R15" s="76">
        <f>SFP!R57</f>
        <v>206847022.94</v>
      </c>
      <c r="S15" s="76">
        <f>SFP!S57</f>
        <v>209306646.78999999</v>
      </c>
      <c r="T15" s="76">
        <f>SFP!T57</f>
        <v>211416982.28</v>
      </c>
      <c r="U15" s="76">
        <f>SFP!U57</f>
        <v>213775404.41</v>
      </c>
      <c r="V15" s="76">
        <f>SFP!V57</f>
        <v>215801886.53999999</v>
      </c>
      <c r="W15" s="76">
        <f>SFP!W57</f>
        <v>218336901.62</v>
      </c>
      <c r="X15" s="76">
        <f>SFP!X57</f>
        <v>219382555.58000001</v>
      </c>
      <c r="Y15" s="76">
        <f>SFP!Y57</f>
        <v>221325854.56</v>
      </c>
      <c r="Z15" s="76">
        <f>SFP!Z57</f>
        <v>221325854.56</v>
      </c>
      <c r="AA15" s="76">
        <f>SFP!AA57</f>
        <v>224298646.36000001</v>
      </c>
      <c r="AB15" s="76">
        <f>SFP!AB57</f>
        <v>226565360.31</v>
      </c>
      <c r="AC15" s="76">
        <f>SFP!AC57</f>
        <v>235205241.49000001</v>
      </c>
      <c r="AD15" s="76">
        <f>SFP!AD57</f>
        <v>267312059</v>
      </c>
      <c r="AE15" s="76">
        <f>SFP!AE57</f>
        <v>269041464.29000002</v>
      </c>
      <c r="AF15" s="76">
        <f>SFP!AF57</f>
        <v>270463802.13999999</v>
      </c>
      <c r="AG15" s="76">
        <f>SFP!AG57</f>
        <v>279380254.99000001</v>
      </c>
      <c r="AH15" s="76">
        <f>SFP!AH57</f>
        <v>287617442.99000001</v>
      </c>
      <c r="AI15" s="76">
        <f>SFP!AI57</f>
        <v>290501739.68000001</v>
      </c>
      <c r="AJ15" s="76">
        <f>SFP!AJ57</f>
        <v>293895572.60000002</v>
      </c>
      <c r="AK15" s="76">
        <f>SFP!AK57</f>
        <v>296336490.06999999</v>
      </c>
      <c r="AL15" s="76">
        <f>SFP!AL57</f>
        <v>300014902.13999999</v>
      </c>
      <c r="AM15" s="76">
        <f>SFP!AM57</f>
        <v>302687051.48000002</v>
      </c>
    </row>
    <row r="16" spans="1:39" ht="14.25">
      <c r="A16" s="21" t="s">
        <v>130</v>
      </c>
      <c r="B16" s="77" t="s">
        <v>105</v>
      </c>
      <c r="C16" s="76">
        <f>SFP!C60</f>
        <v>438522803</v>
      </c>
      <c r="D16" s="76">
        <f>SFP!D60</f>
        <v>534907340</v>
      </c>
      <c r="E16" s="76">
        <f>SFP!E60</f>
        <v>639433284.69999993</v>
      </c>
      <c r="F16" s="76">
        <f>SFP!F60</f>
        <v>614178640.92000008</v>
      </c>
      <c r="G16" s="76">
        <f>SFP!G60</f>
        <v>656555382.29999995</v>
      </c>
      <c r="H16" s="76">
        <f>SFP!H60</f>
        <v>699832033.34000003</v>
      </c>
      <c r="I16" s="76">
        <f>SFP!I60</f>
        <v>740530825.97000003</v>
      </c>
      <c r="J16" s="76">
        <f>SFP!J60</f>
        <v>784459215.66000009</v>
      </c>
      <c r="K16" s="76">
        <f>SFP!K60</f>
        <v>827560350.06999993</v>
      </c>
      <c r="L16" s="76">
        <f>SFP!L60</f>
        <v>865902840.21000004</v>
      </c>
      <c r="M16" s="76">
        <f>SFP!M60</f>
        <v>865902840.21000004</v>
      </c>
      <c r="N16" s="76">
        <f>SFP!N60</f>
        <v>945812112.9000001</v>
      </c>
      <c r="O16" s="76">
        <f>SFP!O60</f>
        <v>980067491.42000008</v>
      </c>
      <c r="P16" s="76">
        <f>SFP!P60</f>
        <v>1016131638.35</v>
      </c>
      <c r="Q16" s="76">
        <f>SFP!Q60</f>
        <v>629070389</v>
      </c>
      <c r="R16" s="76">
        <f>SFP!R60</f>
        <v>639433284.69999993</v>
      </c>
      <c r="S16" s="76">
        <f>SFP!S60</f>
        <v>614178640.92000008</v>
      </c>
      <c r="T16" s="76">
        <f>SFP!T60</f>
        <v>656555382.29999995</v>
      </c>
      <c r="U16" s="76">
        <f>SFP!U60</f>
        <v>699832033.34000003</v>
      </c>
      <c r="V16" s="76">
        <f>SFP!V60</f>
        <v>740530825.97000003</v>
      </c>
      <c r="W16" s="76">
        <f>SFP!W60</f>
        <v>784459215.66000009</v>
      </c>
      <c r="X16" s="76">
        <f>SFP!X60</f>
        <v>827560350.06999993</v>
      </c>
      <c r="Y16" s="76">
        <f>SFP!Y60</f>
        <v>865902840.21000004</v>
      </c>
      <c r="Z16" s="76">
        <f>SFP!Z60</f>
        <v>865902840.21000004</v>
      </c>
      <c r="AA16" s="76">
        <f>SFP!AA60</f>
        <v>945812112.9000001</v>
      </c>
      <c r="AB16" s="76">
        <f>SFP!AB60</f>
        <v>980067491.42000008</v>
      </c>
      <c r="AC16" s="76">
        <f>SFP!AC60</f>
        <v>1016131638.35</v>
      </c>
      <c r="AD16" s="76">
        <f>SFP!AD60</f>
        <v>702386899</v>
      </c>
      <c r="AE16" s="76">
        <f>SFP!AE60</f>
        <v>747478944.12</v>
      </c>
      <c r="AF16" s="76">
        <f>SFP!AF60</f>
        <v>781316609.18999994</v>
      </c>
      <c r="AG16" s="76">
        <f>SFP!AG60</f>
        <v>820494923</v>
      </c>
      <c r="AH16" s="76">
        <f>SFP!AH60</f>
        <v>859751663.82999992</v>
      </c>
      <c r="AI16" s="76">
        <f>SFP!AI60</f>
        <v>902083895.87</v>
      </c>
      <c r="AJ16" s="76">
        <f>SFP!AJ60</f>
        <v>951780212.44999993</v>
      </c>
      <c r="AK16" s="76">
        <f>SFP!AK60</f>
        <v>992825520.08999991</v>
      </c>
      <c r="AL16" s="76">
        <f>SFP!AL60</f>
        <v>1031841153.4</v>
      </c>
      <c r="AM16" s="76">
        <f>SFP!AM60</f>
        <v>1075707458.5599999</v>
      </c>
    </row>
    <row r="17" spans="1:39" ht="14.25">
      <c r="A17" s="21" t="s">
        <v>131</v>
      </c>
      <c r="B17" s="77" t="s">
        <v>132</v>
      </c>
      <c r="C17" s="76">
        <f>SFP!C65</f>
        <v>163114085</v>
      </c>
      <c r="D17" s="76">
        <f>SFP!D65</f>
        <v>202908049</v>
      </c>
      <c r="E17" s="76">
        <f>SFP!E65</f>
        <v>163101204.43000001</v>
      </c>
      <c r="F17" s="76">
        <f>SFP!F65</f>
        <v>202908046.63</v>
      </c>
      <c r="G17" s="76">
        <f>SFP!G65</f>
        <v>202908046.63</v>
      </c>
      <c r="H17" s="76">
        <f>SFP!H65</f>
        <v>202908046.63</v>
      </c>
      <c r="I17" s="76">
        <f>SFP!I65</f>
        <v>202908046.63</v>
      </c>
      <c r="J17" s="76">
        <f>SFP!J65</f>
        <v>202908046.63</v>
      </c>
      <c r="K17" s="76">
        <f>SFP!K65</f>
        <v>202908046.63</v>
      </c>
      <c r="L17" s="76">
        <f>SFP!L65</f>
        <v>202908046.63</v>
      </c>
      <c r="M17" s="76">
        <f>SFP!M65</f>
        <v>202908046.63</v>
      </c>
      <c r="N17" s="76">
        <f>SFP!N65</f>
        <v>202908046.63</v>
      </c>
      <c r="O17" s="76">
        <f>SFP!O65</f>
        <v>202908046.63</v>
      </c>
      <c r="P17" s="76">
        <f>SFP!P65</f>
        <v>202908046.63</v>
      </c>
      <c r="Q17" s="76">
        <f>SFP!Q65</f>
        <v>245992210</v>
      </c>
      <c r="R17" s="76">
        <f>SFP!R65</f>
        <v>163101204.43000001</v>
      </c>
      <c r="S17" s="76">
        <f>SFP!S65</f>
        <v>202908046.63</v>
      </c>
      <c r="T17" s="76">
        <f>SFP!T65</f>
        <v>202908046.63</v>
      </c>
      <c r="U17" s="76">
        <f>SFP!U65</f>
        <v>202908046.63</v>
      </c>
      <c r="V17" s="76">
        <f>SFP!V65</f>
        <v>202908046.63</v>
      </c>
      <c r="W17" s="76">
        <f>SFP!W65</f>
        <v>202908046.63</v>
      </c>
      <c r="X17" s="76">
        <f>SFP!X65</f>
        <v>202908046.63</v>
      </c>
      <c r="Y17" s="76">
        <f>SFP!Y65</f>
        <v>202908046.63</v>
      </c>
      <c r="Z17" s="76">
        <f>SFP!Z65</f>
        <v>202908046.63</v>
      </c>
      <c r="AA17" s="76">
        <f>SFP!AA65</f>
        <v>202908046.63</v>
      </c>
      <c r="AB17" s="76">
        <f>SFP!AB65</f>
        <v>202908046.63</v>
      </c>
      <c r="AC17" s="76">
        <f>SFP!AC65</f>
        <v>202908046.63</v>
      </c>
      <c r="AD17" s="76">
        <f>SFP!AD65</f>
        <v>285559145</v>
      </c>
      <c r="AE17" s="76">
        <f>SFP!AE65</f>
        <v>285562686.52999997</v>
      </c>
      <c r="AF17" s="76">
        <f>SFP!AF65</f>
        <v>285562686.52999997</v>
      </c>
      <c r="AG17" s="76">
        <f>SFP!AG65</f>
        <v>285562686.52999997</v>
      </c>
      <c r="AH17" s="76">
        <f>SFP!AH65</f>
        <v>285562686.52999997</v>
      </c>
      <c r="AI17" s="76">
        <f>SFP!AI65</f>
        <v>285562686.52999997</v>
      </c>
      <c r="AJ17" s="76">
        <f>SFP!AJ65</f>
        <v>285562686.52999997</v>
      </c>
      <c r="AK17" s="76">
        <f>SFP!AK65</f>
        <v>285562686.52999997</v>
      </c>
      <c r="AL17" s="76">
        <f>SFP!AL65</f>
        <v>285562686.52999997</v>
      </c>
      <c r="AM17" s="76">
        <f>SFP!AM65</f>
        <v>285562686.52999997</v>
      </c>
    </row>
    <row r="18" spans="1:39" ht="14.25">
      <c r="A18" s="21" t="s">
        <v>133</v>
      </c>
      <c r="B18" s="77" t="s">
        <v>134</v>
      </c>
      <c r="C18" s="76">
        <f>SFP!C66</f>
        <v>77166951</v>
      </c>
      <c r="D18" s="76">
        <f>SFP!D66</f>
        <v>97063933</v>
      </c>
      <c r="E18" s="76">
        <f>SFP!E66</f>
        <v>77160511.5</v>
      </c>
      <c r="F18" s="76">
        <f>SFP!F66</f>
        <v>97063922.599999994</v>
      </c>
      <c r="G18" s="76">
        <f>SFP!G66</f>
        <v>97063922.599999994</v>
      </c>
      <c r="H18" s="76">
        <f>SFP!H66</f>
        <v>97063922.599999994</v>
      </c>
      <c r="I18" s="76">
        <f>SFP!I66</f>
        <v>97063932.599999994</v>
      </c>
      <c r="J18" s="76">
        <f>SFP!J66</f>
        <v>97063932.599999994</v>
      </c>
      <c r="K18" s="76">
        <f>SFP!K66</f>
        <v>97063932.900000006</v>
      </c>
      <c r="L18" s="76">
        <f>SFP!L66</f>
        <v>97063932.599999994</v>
      </c>
      <c r="M18" s="76">
        <f>SFP!M66</f>
        <v>97063932.599999994</v>
      </c>
      <c r="N18" s="76">
        <f>SFP!N66</f>
        <v>97063932.599999994</v>
      </c>
      <c r="O18" s="76">
        <f>SFP!O66</f>
        <v>97063932.599999994</v>
      </c>
      <c r="P18" s="76">
        <f>SFP!P66</f>
        <v>97063932.599999994</v>
      </c>
      <c r="Q18" s="76">
        <f>SFP!Q66</f>
        <v>118606014</v>
      </c>
      <c r="R18" s="76">
        <f>SFP!R66</f>
        <v>77160511.5</v>
      </c>
      <c r="S18" s="76">
        <f>SFP!S66</f>
        <v>97063922.599999994</v>
      </c>
      <c r="T18" s="76">
        <f>SFP!T66</f>
        <v>97063922.599999994</v>
      </c>
      <c r="U18" s="76">
        <f>SFP!U66</f>
        <v>97063922.599999994</v>
      </c>
      <c r="V18" s="76">
        <f>SFP!V66</f>
        <v>97063932.599999994</v>
      </c>
      <c r="W18" s="76">
        <f>SFP!W66</f>
        <v>97063932.599999994</v>
      </c>
      <c r="X18" s="76">
        <f>SFP!X66</f>
        <v>97063932.900000006</v>
      </c>
      <c r="Y18" s="76">
        <f>SFP!Y66</f>
        <v>97063932.599999994</v>
      </c>
      <c r="Z18" s="76">
        <f>SFP!Z66</f>
        <v>97063932.599999994</v>
      </c>
      <c r="AA18" s="76">
        <f>SFP!AA66</f>
        <v>97063932.599999994</v>
      </c>
      <c r="AB18" s="76">
        <f>SFP!AB66</f>
        <v>97063932.599999994</v>
      </c>
      <c r="AC18" s="76">
        <f>SFP!AC66</f>
        <v>97063932.599999994</v>
      </c>
      <c r="AD18" s="76">
        <f>SFP!AD66</f>
        <v>138391253</v>
      </c>
      <c r="AE18" s="76">
        <f>SFP!AE66</f>
        <v>169108727.75</v>
      </c>
      <c r="AF18" s="76">
        <f>SFP!AF66</f>
        <v>169108727.75</v>
      </c>
      <c r="AG18" s="76">
        <f>SFP!AG66</f>
        <v>169108727.75</v>
      </c>
      <c r="AH18" s="76">
        <f>SFP!AH66</f>
        <v>138391252.55000001</v>
      </c>
      <c r="AI18" s="76">
        <f>SFP!AI66</f>
        <v>138391252.55000001</v>
      </c>
      <c r="AJ18" s="76">
        <f>SFP!AJ66</f>
        <v>138391252.55000001</v>
      </c>
      <c r="AK18" s="76">
        <f>SFP!AK66</f>
        <v>138391252.55000001</v>
      </c>
      <c r="AL18" s="76">
        <f>SFP!AL66</f>
        <v>138391252.55000001</v>
      </c>
      <c r="AM18" s="76">
        <f>SFP!AM66</f>
        <v>138391252.55000001</v>
      </c>
    </row>
    <row r="19" spans="1:39" ht="9" customHeight="1">
      <c r="A19" s="21" t="s">
        <v>135</v>
      </c>
      <c r="B19" s="77" t="s">
        <v>136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</row>
    <row r="20" spans="1:39" ht="14.25">
      <c r="A20" s="22" t="s">
        <v>137</v>
      </c>
      <c r="B20" s="77" t="s">
        <v>112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</row>
    <row r="21" spans="1:39" ht="14.25">
      <c r="A21" s="22" t="s">
        <v>138</v>
      </c>
      <c r="B21" s="77" t="s">
        <v>139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</row>
    <row r="22" spans="1:39" ht="0.75" customHeight="1">
      <c r="B22" s="82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</row>
    <row r="23" spans="1:39" ht="14.25">
      <c r="A23" s="21">
        <v>6</v>
      </c>
      <c r="B23" s="83" t="s">
        <v>140</v>
      </c>
      <c r="C23" s="84">
        <f>C25+C24</f>
        <v>12010000</v>
      </c>
      <c r="D23" s="84">
        <f>D25+D24</f>
        <v>83213943</v>
      </c>
      <c r="E23" s="84">
        <f>E25+E24</f>
        <v>89875373.790000007</v>
      </c>
      <c r="F23" s="84">
        <f>F25+F24</f>
        <v>89875373.790000007</v>
      </c>
      <c r="G23" s="84">
        <f>G25+G24</f>
        <v>89875373.790000007</v>
      </c>
      <c r="H23" s="84">
        <f t="shared" ref="H23:P23" si="28">H25+H24</f>
        <v>89875373.790000007</v>
      </c>
      <c r="I23" s="84">
        <f t="shared" si="28"/>
        <v>89875373.790000007</v>
      </c>
      <c r="J23" s="84">
        <f t="shared" si="28"/>
        <v>89875373.790000007</v>
      </c>
      <c r="K23" s="84">
        <f t="shared" si="28"/>
        <v>89875373.790000007</v>
      </c>
      <c r="L23" s="84">
        <f t="shared" si="28"/>
        <v>89875373.790000007</v>
      </c>
      <c r="M23" s="84">
        <f t="shared" si="28"/>
        <v>89875373.790000007</v>
      </c>
      <c r="N23" s="84">
        <f t="shared" si="28"/>
        <v>89875373.790000007</v>
      </c>
      <c r="O23" s="84">
        <f t="shared" si="28"/>
        <v>89890373.790000007</v>
      </c>
      <c r="P23" s="84">
        <f t="shared" si="28"/>
        <v>89890373.790000007</v>
      </c>
      <c r="Q23" s="84">
        <f>Q25+Q24</f>
        <v>83228943</v>
      </c>
      <c r="R23" s="84">
        <f t="shared" ref="R23:X23" si="29">R25+R24</f>
        <v>89875373.790000007</v>
      </c>
      <c r="S23" s="84">
        <f t="shared" si="29"/>
        <v>89875373.790000007</v>
      </c>
      <c r="T23" s="84">
        <f t="shared" si="29"/>
        <v>89875373.790000007</v>
      </c>
      <c r="U23" s="84">
        <f t="shared" si="29"/>
        <v>89875373.790000007</v>
      </c>
      <c r="V23" s="84">
        <f t="shared" si="29"/>
        <v>89875373.790000007</v>
      </c>
      <c r="W23" s="84">
        <f t="shared" si="29"/>
        <v>89875373.790000007</v>
      </c>
      <c r="X23" s="84">
        <f t="shared" si="29"/>
        <v>89875373.790000007</v>
      </c>
      <c r="Y23" s="84">
        <f t="shared" ref="Y23" si="30">Y25+Y24</f>
        <v>89875373.790000007</v>
      </c>
      <c r="Z23" s="84">
        <f t="shared" ref="Z23" si="31">Z25+Z24</f>
        <v>89875373.790000007</v>
      </c>
      <c r="AA23" s="84">
        <f t="shared" ref="AA23" si="32">AA25+AA24</f>
        <v>89875373.790000007</v>
      </c>
      <c r="AB23" s="84">
        <f t="shared" ref="AB23:AC23" si="33">AB25+AB24</f>
        <v>89890373.790000007</v>
      </c>
      <c r="AC23" s="84">
        <f t="shared" si="33"/>
        <v>89890373.790000007</v>
      </c>
      <c r="AD23" s="84">
        <f t="shared" ref="AD23:AG23" si="34">AD25+AD24</f>
        <v>37451038</v>
      </c>
      <c r="AE23" s="84">
        <f t="shared" si="34"/>
        <v>37451037.780000001</v>
      </c>
      <c r="AF23" s="84">
        <f t="shared" si="34"/>
        <v>37451037.780000001</v>
      </c>
      <c r="AG23" s="84">
        <f t="shared" si="34"/>
        <v>37451037.780000001</v>
      </c>
      <c r="AH23" s="84">
        <f t="shared" ref="AH23:AI23" si="35">AH25+AH24</f>
        <v>37451037.780000001</v>
      </c>
      <c r="AI23" s="84">
        <f t="shared" si="35"/>
        <v>37451037.780000001</v>
      </c>
      <c r="AJ23" s="84">
        <f t="shared" ref="AJ23:AL23" si="36">AJ25+AJ24</f>
        <v>37446374.780000001</v>
      </c>
      <c r="AK23" s="84">
        <f t="shared" si="36"/>
        <v>37446374.780000001</v>
      </c>
      <c r="AL23" s="84">
        <f t="shared" si="36"/>
        <v>37446374.780000001</v>
      </c>
      <c r="AM23" s="84">
        <f t="shared" ref="AM23" si="37">AM25+AM24</f>
        <v>37446374.780000001</v>
      </c>
    </row>
    <row r="24" spans="1:39" ht="0.75" customHeight="1">
      <c r="A24" s="21"/>
      <c r="B24" s="77" t="s">
        <v>141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</row>
    <row r="25" spans="1:39" ht="14.25">
      <c r="A25" s="21"/>
      <c r="B25" s="77" t="s">
        <v>142</v>
      </c>
      <c r="C25" s="85">
        <f>SFP!C20</f>
        <v>12010000</v>
      </c>
      <c r="D25" s="85">
        <f>SFP!D20</f>
        <v>83213943</v>
      </c>
      <c r="E25" s="85">
        <f>SFP!E20</f>
        <v>89875373.790000007</v>
      </c>
      <c r="F25" s="85">
        <f>SFP!F20</f>
        <v>89875373.790000007</v>
      </c>
      <c r="G25" s="85">
        <f>SFP!G20</f>
        <v>89875373.790000007</v>
      </c>
      <c r="H25" s="85">
        <f>SFP!H20</f>
        <v>89875373.790000007</v>
      </c>
      <c r="I25" s="85">
        <f>SFP!I20</f>
        <v>89875373.790000007</v>
      </c>
      <c r="J25" s="85">
        <f>SFP!J20</f>
        <v>89875373.790000007</v>
      </c>
      <c r="K25" s="85">
        <f>SFP!K20</f>
        <v>89875373.790000007</v>
      </c>
      <c r="L25" s="85">
        <f>SFP!L20</f>
        <v>89875373.790000007</v>
      </c>
      <c r="M25" s="85">
        <f>SFP!M20</f>
        <v>89875373.790000007</v>
      </c>
      <c r="N25" s="85">
        <f>SFP!N20</f>
        <v>89875373.790000007</v>
      </c>
      <c r="O25" s="85">
        <f>SFP!O20</f>
        <v>89890373.790000007</v>
      </c>
      <c r="P25" s="85">
        <f>SFP!P20</f>
        <v>89890373.790000007</v>
      </c>
      <c r="Q25" s="85">
        <f>SFP!Q20</f>
        <v>83228943</v>
      </c>
      <c r="R25" s="85">
        <f>SFP!R20</f>
        <v>89875373.790000007</v>
      </c>
      <c r="S25" s="85">
        <f>SFP!S20</f>
        <v>89875373.790000007</v>
      </c>
      <c r="T25" s="85">
        <f>SFP!T20</f>
        <v>89875373.790000007</v>
      </c>
      <c r="U25" s="85">
        <f>SFP!U20</f>
        <v>89875373.790000007</v>
      </c>
      <c r="V25" s="85">
        <f>SFP!V20</f>
        <v>89875373.790000007</v>
      </c>
      <c r="W25" s="85">
        <f>SFP!W20</f>
        <v>89875373.790000007</v>
      </c>
      <c r="X25" s="85">
        <f>SFP!X20</f>
        <v>89875373.790000007</v>
      </c>
      <c r="Y25" s="85">
        <f>SFP!Y20</f>
        <v>89875373.790000007</v>
      </c>
      <c r="Z25" s="85">
        <f>SFP!Z20</f>
        <v>89875373.790000007</v>
      </c>
      <c r="AA25" s="85">
        <f>SFP!AA20</f>
        <v>89875373.790000007</v>
      </c>
      <c r="AB25" s="85">
        <f>SFP!AB20</f>
        <v>89890373.790000007</v>
      </c>
      <c r="AC25" s="85">
        <f>SFP!AC20</f>
        <v>89890373.790000007</v>
      </c>
      <c r="AD25" s="85">
        <f>SFP!AD20</f>
        <v>37451038</v>
      </c>
      <c r="AE25" s="85">
        <f>SFP!AE20</f>
        <v>37451037.780000001</v>
      </c>
      <c r="AF25" s="85">
        <f>SFP!AF20</f>
        <v>37451037.780000001</v>
      </c>
      <c r="AG25" s="85">
        <f>SFP!AG20</f>
        <v>37451037.780000001</v>
      </c>
      <c r="AH25" s="85">
        <f>SFP!AH20</f>
        <v>37451037.780000001</v>
      </c>
      <c r="AI25" s="85">
        <f>SFP!AI20</f>
        <v>37451037.780000001</v>
      </c>
      <c r="AJ25" s="85">
        <f>SFP!AJ20</f>
        <v>37446374.780000001</v>
      </c>
      <c r="AK25" s="85">
        <f>SFP!AK20</f>
        <v>37446374.780000001</v>
      </c>
      <c r="AL25" s="85">
        <f>SFP!AL20</f>
        <v>37446374.780000001</v>
      </c>
      <c r="AM25" s="85">
        <f>SFP!AM20</f>
        <v>37446374.780000001</v>
      </c>
    </row>
    <row r="26" spans="1:39" ht="0.75" customHeight="1">
      <c r="B26" s="77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</row>
    <row r="27" spans="1:39" ht="14.25">
      <c r="A27" s="21">
        <v>7</v>
      </c>
      <c r="B27" s="74" t="s">
        <v>143</v>
      </c>
      <c r="C27" s="86">
        <f>C28-C29</f>
        <v>2994823414</v>
      </c>
      <c r="D27" s="86">
        <f>D28-D29</f>
        <v>3054612195</v>
      </c>
      <c r="E27" s="86">
        <f>E28-E29</f>
        <v>3122987909.9200001</v>
      </c>
      <c r="F27" s="86">
        <f>F28-F29</f>
        <v>3127236826.98</v>
      </c>
      <c r="G27" s="86">
        <f>G28-G29</f>
        <v>3037191386.8600001</v>
      </c>
      <c r="H27" s="86">
        <f t="shared" ref="H27:P27" si="38">H28-H29</f>
        <v>3044216851.1999998</v>
      </c>
      <c r="I27" s="86">
        <f t="shared" si="38"/>
        <v>3065816549.2600002</v>
      </c>
      <c r="J27" s="86">
        <f t="shared" si="38"/>
        <v>3104918550.4400001</v>
      </c>
      <c r="K27" s="86">
        <f t="shared" si="38"/>
        <v>3159611388.96</v>
      </c>
      <c r="L27" s="86">
        <f t="shared" si="38"/>
        <v>3169754137.9200001</v>
      </c>
      <c r="M27" s="86">
        <f t="shared" si="38"/>
        <v>3180525432.8000002</v>
      </c>
      <c r="N27" s="86">
        <f t="shared" si="38"/>
        <v>3189630244.9700003</v>
      </c>
      <c r="O27" s="86">
        <f t="shared" si="38"/>
        <v>3172875474.1900001</v>
      </c>
      <c r="P27" s="86">
        <f t="shared" si="38"/>
        <v>3125647961.0799999</v>
      </c>
      <c r="Q27" s="86">
        <f>Q28-Q29</f>
        <v>3125649394</v>
      </c>
      <c r="R27" s="86">
        <f t="shared" ref="R27:X27" si="39">R28-R29</f>
        <v>3122987909.9200001</v>
      </c>
      <c r="S27" s="86">
        <f t="shared" si="39"/>
        <v>3127236826.98</v>
      </c>
      <c r="T27" s="86">
        <f t="shared" si="39"/>
        <v>3037191386.8600001</v>
      </c>
      <c r="U27" s="86">
        <f t="shared" si="39"/>
        <v>3044216851.1999998</v>
      </c>
      <c r="V27" s="86">
        <f t="shared" si="39"/>
        <v>3065816549.2600002</v>
      </c>
      <c r="W27" s="86">
        <f t="shared" si="39"/>
        <v>3104918550.4400001</v>
      </c>
      <c r="X27" s="86">
        <f t="shared" si="39"/>
        <v>3159611388.96</v>
      </c>
      <c r="Y27" s="86">
        <f t="shared" ref="Y27" si="40">Y28-Y29</f>
        <v>3169754137.9200001</v>
      </c>
      <c r="Z27" s="86">
        <f t="shared" ref="Z27" si="41">Z28-Z29</f>
        <v>3180525432.8000002</v>
      </c>
      <c r="AA27" s="86">
        <f t="shared" ref="AA27" si="42">AA28-AA29</f>
        <v>3189630244.9700003</v>
      </c>
      <c r="AB27" s="86">
        <f t="shared" ref="AB27:AC27" si="43">AB28-AB29</f>
        <v>3172875474.1900001</v>
      </c>
      <c r="AC27" s="86">
        <f t="shared" si="43"/>
        <v>3125647961.0799999</v>
      </c>
      <c r="AD27" s="86">
        <f t="shared" ref="AD27:AG27" si="44">AD28-AD29</f>
        <v>3410498258</v>
      </c>
      <c r="AE27" s="86">
        <f t="shared" si="44"/>
        <v>3481750980.1900001</v>
      </c>
      <c r="AF27" s="86">
        <f t="shared" si="44"/>
        <v>3406656286.25</v>
      </c>
      <c r="AG27" s="86">
        <f t="shared" si="44"/>
        <v>3417725179.6799998</v>
      </c>
      <c r="AH27" s="86">
        <f t="shared" ref="AH27:AI27" si="45">AH28-AH29</f>
        <v>3462781512.4699998</v>
      </c>
      <c r="AI27" s="86">
        <f t="shared" si="45"/>
        <v>3510150612.3599997</v>
      </c>
      <c r="AJ27" s="86">
        <f t="shared" ref="AJ27:AL27" si="46">AJ28-AJ29</f>
        <v>3531765093.0699997</v>
      </c>
      <c r="AK27" s="86">
        <f t="shared" si="46"/>
        <v>3549937973.9499998</v>
      </c>
      <c r="AL27" s="86">
        <f t="shared" si="46"/>
        <v>3597138620.3299999</v>
      </c>
      <c r="AM27" s="86">
        <f t="shared" ref="AM27" si="47">AM28-AM29</f>
        <v>3621787579.9299998</v>
      </c>
    </row>
    <row r="28" spans="1:39" ht="14.25">
      <c r="A28" s="21">
        <v>7.1</v>
      </c>
      <c r="B28" s="74" t="s">
        <v>144</v>
      </c>
      <c r="C28" s="76">
        <f>SFP!C23</f>
        <v>3077148048</v>
      </c>
      <c r="D28" s="76">
        <f>SFP!D23</f>
        <v>3148024766</v>
      </c>
      <c r="E28" s="76">
        <f>SFP!E23</f>
        <v>3217275480.71</v>
      </c>
      <c r="F28" s="76">
        <f>SFP!F23</f>
        <v>3222399397.77</v>
      </c>
      <c r="G28" s="76">
        <f>SFP!G23</f>
        <v>3133228957.6500001</v>
      </c>
      <c r="H28" s="76">
        <f>SFP!H23</f>
        <v>3141129421.9899998</v>
      </c>
      <c r="I28" s="76">
        <f>SFP!I23</f>
        <v>3163604120.0500002</v>
      </c>
      <c r="J28" s="76">
        <f>SFP!J23</f>
        <v>3203581121.23</v>
      </c>
      <c r="K28" s="76">
        <f>SFP!K23</f>
        <v>3259148959.75</v>
      </c>
      <c r="L28" s="76">
        <f>SFP!L23</f>
        <v>3270166708.71</v>
      </c>
      <c r="M28" s="76">
        <f>SFP!M23</f>
        <v>3281813003.5900002</v>
      </c>
      <c r="N28" s="76">
        <f>SFP!N23</f>
        <v>3291792815.7600002</v>
      </c>
      <c r="O28" s="76">
        <f>SFP!O23</f>
        <v>3275913044.98</v>
      </c>
      <c r="P28" s="76">
        <f>SFP!P23</f>
        <v>3229560531.8699999</v>
      </c>
      <c r="Q28" s="76">
        <f>SFP!Q23</f>
        <v>3229561965</v>
      </c>
      <c r="R28" s="76">
        <f>SFP!R23</f>
        <v>3217275480.71</v>
      </c>
      <c r="S28" s="76">
        <f>SFP!S23</f>
        <v>3222399397.77</v>
      </c>
      <c r="T28" s="76">
        <f>SFP!T23</f>
        <v>3133228957.6500001</v>
      </c>
      <c r="U28" s="76">
        <f>SFP!U23</f>
        <v>3141129421.9899998</v>
      </c>
      <c r="V28" s="76">
        <f>SFP!V23</f>
        <v>3163604120.0500002</v>
      </c>
      <c r="W28" s="76">
        <f>SFP!W23</f>
        <v>3203581121.23</v>
      </c>
      <c r="X28" s="76">
        <f>SFP!X23</f>
        <v>3259148959.75</v>
      </c>
      <c r="Y28" s="76">
        <f>SFP!Y23</f>
        <v>3270166708.71</v>
      </c>
      <c r="Z28" s="76">
        <f>SFP!Z23</f>
        <v>3281813003.5900002</v>
      </c>
      <c r="AA28" s="76">
        <f>SFP!AA23</f>
        <v>3291792815.7600002</v>
      </c>
      <c r="AB28" s="76">
        <f>SFP!AB23</f>
        <v>3275913044.98</v>
      </c>
      <c r="AC28" s="76">
        <f>SFP!AC23</f>
        <v>3229560531.8699999</v>
      </c>
      <c r="AD28" s="76">
        <f>SFP!AD23</f>
        <v>3526498770</v>
      </c>
      <c r="AE28" s="76">
        <f>SFP!AE23</f>
        <v>3598876492.2600002</v>
      </c>
      <c r="AF28" s="76">
        <f>SFP!AF23</f>
        <v>3525906798.3200002</v>
      </c>
      <c r="AG28" s="76">
        <f>SFP!AG23</f>
        <v>3539100691.75</v>
      </c>
      <c r="AH28" s="76">
        <f>SFP!AH23</f>
        <v>3586282024.54</v>
      </c>
      <c r="AI28" s="76">
        <f>SFP!AI23</f>
        <v>3635776124.4299998</v>
      </c>
      <c r="AJ28" s="76">
        <f>SFP!AJ23</f>
        <v>3659515605.1399999</v>
      </c>
      <c r="AK28" s="76">
        <f>SFP!AK23</f>
        <v>3679813486.02</v>
      </c>
      <c r="AL28" s="76">
        <f>SFP!AL23</f>
        <v>3730139132.4000001</v>
      </c>
      <c r="AM28" s="76">
        <f>SFP!AM23</f>
        <v>3757913092</v>
      </c>
    </row>
    <row r="29" spans="1:39" ht="14.25">
      <c r="A29" s="21">
        <v>7.2</v>
      </c>
      <c r="B29" s="74" t="s">
        <v>145</v>
      </c>
      <c r="C29" s="87">
        <f>SFP!C24</f>
        <v>82324634</v>
      </c>
      <c r="D29" s="87">
        <f>SFP!D24</f>
        <v>93412571</v>
      </c>
      <c r="E29" s="87">
        <f>SFP!E24</f>
        <v>94287570.790000007</v>
      </c>
      <c r="F29" s="87">
        <f>SFP!F24</f>
        <v>95162570.790000007</v>
      </c>
      <c r="G29" s="87">
        <f>SFP!G24</f>
        <v>96037570.790000007</v>
      </c>
      <c r="H29" s="87">
        <f>SFP!H24</f>
        <v>96912570.790000007</v>
      </c>
      <c r="I29" s="87">
        <f>SFP!I24</f>
        <v>97787570.790000007</v>
      </c>
      <c r="J29" s="87">
        <f>SFP!J24</f>
        <v>98662570.790000007</v>
      </c>
      <c r="K29" s="87">
        <f>SFP!K24</f>
        <v>99537570.790000007</v>
      </c>
      <c r="L29" s="87">
        <f>SFP!L24</f>
        <v>100412570.79000001</v>
      </c>
      <c r="M29" s="87">
        <f>SFP!M24</f>
        <v>101287570.79000001</v>
      </c>
      <c r="N29" s="87">
        <f>SFP!N24</f>
        <v>102162570.79000001</v>
      </c>
      <c r="O29" s="87">
        <f>SFP!O24</f>
        <v>103037570.79000001</v>
      </c>
      <c r="P29" s="87">
        <f>SFP!P24</f>
        <v>103912570.79000001</v>
      </c>
      <c r="Q29" s="87">
        <f>SFP!Q24</f>
        <v>103912571</v>
      </c>
      <c r="R29" s="87">
        <f>SFP!R24</f>
        <v>94287570.790000007</v>
      </c>
      <c r="S29" s="87">
        <f>SFP!S24</f>
        <v>95162570.790000007</v>
      </c>
      <c r="T29" s="87">
        <f>SFP!T24</f>
        <v>96037570.790000007</v>
      </c>
      <c r="U29" s="87">
        <f>SFP!U24</f>
        <v>96912570.790000007</v>
      </c>
      <c r="V29" s="87">
        <f>SFP!V24</f>
        <v>97787570.790000007</v>
      </c>
      <c r="W29" s="87">
        <f>SFP!W24</f>
        <v>98662570.790000007</v>
      </c>
      <c r="X29" s="87">
        <f>SFP!X24</f>
        <v>99537570.790000007</v>
      </c>
      <c r="Y29" s="87">
        <f>SFP!Y24</f>
        <v>100412570.79000001</v>
      </c>
      <c r="Z29" s="87">
        <f>SFP!Z24</f>
        <v>101287570.79000001</v>
      </c>
      <c r="AA29" s="87">
        <f>SFP!AA24</f>
        <v>102162570.79000001</v>
      </c>
      <c r="AB29" s="87">
        <f>SFP!AB24</f>
        <v>103037570.79000001</v>
      </c>
      <c r="AC29" s="87">
        <f>SFP!AC24</f>
        <v>103912570.79000001</v>
      </c>
      <c r="AD29" s="87">
        <f>SFP!AD24</f>
        <v>116000512</v>
      </c>
      <c r="AE29" s="87">
        <f>SFP!AE24</f>
        <v>117125512.06999999</v>
      </c>
      <c r="AF29" s="87">
        <f>SFP!AF24</f>
        <v>119250512.06999999</v>
      </c>
      <c r="AG29" s="87">
        <f>SFP!AG24</f>
        <v>121375512.06999999</v>
      </c>
      <c r="AH29" s="87">
        <f>SFP!AH24</f>
        <v>123500512.06999999</v>
      </c>
      <c r="AI29" s="87">
        <f>SFP!AI24</f>
        <v>125625512.06999999</v>
      </c>
      <c r="AJ29" s="87">
        <f>SFP!AJ24</f>
        <v>127750512.06999999</v>
      </c>
      <c r="AK29" s="87">
        <f>SFP!AK24</f>
        <v>129875512.06999999</v>
      </c>
      <c r="AL29" s="87">
        <f>SFP!AL24</f>
        <v>133000512.06999999</v>
      </c>
      <c r="AM29" s="87">
        <f>SFP!AM24</f>
        <v>136125512.06999999</v>
      </c>
    </row>
    <row r="30" spans="1:39" ht="0.75" customHeight="1"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</row>
    <row r="31" spans="1:39" ht="14.25">
      <c r="A31" s="21">
        <v>8</v>
      </c>
      <c r="B31" s="74" t="s">
        <v>146</v>
      </c>
      <c r="C31" s="76">
        <f>SFP!C14+SFP!C31</f>
        <v>184190820</v>
      </c>
      <c r="D31" s="76">
        <f>SFP!D14+SFP!D31</f>
        <v>186847688</v>
      </c>
      <c r="E31" s="76">
        <f>SFP!E14+SFP!E31</f>
        <v>184834559.90000001</v>
      </c>
      <c r="F31" s="76">
        <f>SFP!F14+SFP!F31</f>
        <v>183652595</v>
      </c>
      <c r="G31" s="76">
        <f>SFP!G14+SFP!G31</f>
        <v>178768783.75</v>
      </c>
      <c r="H31" s="76">
        <f>SFP!H14+SFP!H31</f>
        <v>181650719.19999999</v>
      </c>
      <c r="I31" s="76">
        <f>SFP!I14+SFP!I31</f>
        <v>181999088.50999999</v>
      </c>
      <c r="J31" s="76">
        <f>SFP!J14+SFP!J31</f>
        <v>182742381.88</v>
      </c>
      <c r="K31" s="76">
        <f>SFP!K14+SFP!K31</f>
        <v>189258801.22999999</v>
      </c>
      <c r="L31" s="76">
        <f>SFP!L14+SFP!L31</f>
        <v>189196842.27000001</v>
      </c>
      <c r="M31" s="76">
        <f>SFP!M14+SFP!M31</f>
        <v>188485435.44999999</v>
      </c>
      <c r="N31" s="76">
        <f>SFP!N14+SFP!N31</f>
        <v>205632576.18000001</v>
      </c>
      <c r="O31" s="76">
        <f>SFP!O14+SFP!O31</f>
        <v>212849437.75</v>
      </c>
      <c r="P31" s="76">
        <f>SFP!P14+SFP!P31</f>
        <v>226202140.86000001</v>
      </c>
      <c r="Q31" s="76">
        <f>SFP!Q14+SFP!Q31</f>
        <v>222347971</v>
      </c>
      <c r="R31" s="76">
        <f>SFP!R14+SFP!R31</f>
        <v>184834559.90000001</v>
      </c>
      <c r="S31" s="76">
        <f>SFP!S14+SFP!S31</f>
        <v>183652595</v>
      </c>
      <c r="T31" s="76">
        <f>SFP!T14+SFP!T31</f>
        <v>178768783.75</v>
      </c>
      <c r="U31" s="76">
        <f>SFP!U14+SFP!U31</f>
        <v>181650719.19999999</v>
      </c>
      <c r="V31" s="76">
        <f>SFP!V14+SFP!V31</f>
        <v>181999088.50999999</v>
      </c>
      <c r="W31" s="76">
        <f>SFP!W14+SFP!W31</f>
        <v>182742381.88</v>
      </c>
      <c r="X31" s="76">
        <f>SFP!X14+SFP!X31</f>
        <v>189258801.22999999</v>
      </c>
      <c r="Y31" s="76">
        <f>SFP!Y14+SFP!Y31</f>
        <v>189196842.27000001</v>
      </c>
      <c r="Z31" s="76">
        <f>SFP!Z14+SFP!Z31</f>
        <v>188485435.44999999</v>
      </c>
      <c r="AA31" s="76">
        <f>SFP!AA14+SFP!AA31</f>
        <v>205632576.18000001</v>
      </c>
      <c r="AB31" s="76">
        <f>SFP!AB14+SFP!AB31</f>
        <v>212849437.75</v>
      </c>
      <c r="AC31" s="76">
        <f>SFP!AC14+SFP!AC31</f>
        <v>226202140.86000001</v>
      </c>
      <c r="AD31" s="76">
        <f>SFP!AD14+SFP!AD31</f>
        <v>367034200</v>
      </c>
      <c r="AE31" s="76">
        <f>SFP!AE14+SFP!AE31</f>
        <v>418871345.63</v>
      </c>
      <c r="AF31" s="76">
        <f>SFP!AF14+SFP!AF31</f>
        <v>462781363.10000002</v>
      </c>
      <c r="AG31" s="76">
        <f>SFP!AG14+SFP!AG31</f>
        <v>494817461.62</v>
      </c>
      <c r="AH31" s="76">
        <f>SFP!AH14+SFP!AH31</f>
        <v>507649899.75</v>
      </c>
      <c r="AI31" s="76">
        <f>SFP!AI14+SFP!AI31</f>
        <v>554991092.76999998</v>
      </c>
      <c r="AJ31" s="76">
        <f>SFP!AJ14+SFP!AJ31</f>
        <v>558047263.76999998</v>
      </c>
      <c r="AK31" s="76">
        <f>SFP!AK14+SFP!AK31</f>
        <v>588546465.75</v>
      </c>
      <c r="AL31" s="76">
        <f>SFP!AL14+SFP!AL31</f>
        <v>605593022.56999993</v>
      </c>
      <c r="AM31" s="76">
        <f>SFP!AM14+SFP!AM31</f>
        <v>653848743.93999994</v>
      </c>
    </row>
    <row r="32" spans="1:39" ht="13.5" customHeight="1">
      <c r="A32" s="21">
        <v>8.1</v>
      </c>
      <c r="B32" s="74" t="s">
        <v>147</v>
      </c>
      <c r="C32" s="76">
        <f>SFP!C31</f>
        <v>12210244</v>
      </c>
      <c r="D32" s="76">
        <f>SFP!D31</f>
        <v>9860927</v>
      </c>
      <c r="E32" s="76">
        <f>SFP!E31</f>
        <v>9641418.8100000005</v>
      </c>
      <c r="F32" s="76">
        <f>SFP!F31</f>
        <v>9641418.8100000005</v>
      </c>
      <c r="G32" s="76">
        <f>SFP!G31</f>
        <v>10138850.549999999</v>
      </c>
      <c r="H32" s="76">
        <f>SFP!H31</f>
        <v>9896062.7599999998</v>
      </c>
      <c r="I32" s="76">
        <f>SFP!I31</f>
        <v>9653274.9500000011</v>
      </c>
      <c r="J32" s="76">
        <f>SFP!J31</f>
        <v>10100963.35</v>
      </c>
      <c r="K32" s="76">
        <f>SFP!K31</f>
        <v>10139328.289999999</v>
      </c>
      <c r="L32" s="76">
        <f>SFP!L31</f>
        <v>10150077.66</v>
      </c>
      <c r="M32" s="76">
        <f>SFP!M31</f>
        <v>9831455.0999999996</v>
      </c>
      <c r="N32" s="76">
        <f>SFP!N31</f>
        <v>9831455.0999999996</v>
      </c>
      <c r="O32" s="76">
        <f>SFP!O31</f>
        <v>9831455.0999999996</v>
      </c>
      <c r="P32" s="76">
        <f>SFP!P31</f>
        <v>34308833.93</v>
      </c>
      <c r="Q32" s="76">
        <f>SFP!Q31</f>
        <v>34291707</v>
      </c>
      <c r="R32" s="76">
        <f>SFP!R31</f>
        <v>9641418.8100000005</v>
      </c>
      <c r="S32" s="76">
        <f>SFP!S31</f>
        <v>9641418.8100000005</v>
      </c>
      <c r="T32" s="76">
        <f>SFP!T31</f>
        <v>10138850.549999999</v>
      </c>
      <c r="U32" s="76">
        <f>SFP!U31</f>
        <v>9896062.7599999998</v>
      </c>
      <c r="V32" s="76">
        <f>SFP!V31</f>
        <v>9653274.9500000011</v>
      </c>
      <c r="W32" s="76">
        <f>SFP!W31</f>
        <v>10100963.35</v>
      </c>
      <c r="X32" s="76">
        <f>SFP!X31</f>
        <v>10139328.289999999</v>
      </c>
      <c r="Y32" s="76">
        <f>SFP!Y31</f>
        <v>10150077.66</v>
      </c>
      <c r="Z32" s="76">
        <f>SFP!Z31</f>
        <v>9831455.0999999996</v>
      </c>
      <c r="AA32" s="76">
        <f>SFP!AA31</f>
        <v>9831455.0999999996</v>
      </c>
      <c r="AB32" s="76">
        <f>SFP!AB31</f>
        <v>9831455.0999999996</v>
      </c>
      <c r="AC32" s="76">
        <f>SFP!AC31</f>
        <v>34308833.93</v>
      </c>
      <c r="AD32" s="76">
        <f>SFP!AD31</f>
        <v>177805210</v>
      </c>
      <c r="AE32" s="76">
        <f>SFP!AE31</f>
        <v>233698299.70000002</v>
      </c>
      <c r="AF32" s="76">
        <f>SFP!AF31</f>
        <v>288699995.66000003</v>
      </c>
      <c r="AG32" s="76">
        <f>SFP!AG31</f>
        <v>325564649.74000001</v>
      </c>
      <c r="AH32" s="76">
        <f>SFP!AH31</f>
        <v>328463758.73000002</v>
      </c>
      <c r="AI32" s="76">
        <f>SFP!AI31</f>
        <v>386324525.06</v>
      </c>
      <c r="AJ32" s="76">
        <f>SFP!AJ31</f>
        <v>392511232.38</v>
      </c>
      <c r="AK32" s="76">
        <f>SFP!AK31</f>
        <v>421868513.11000001</v>
      </c>
      <c r="AL32" s="76">
        <f>SFP!AL31</f>
        <v>445745793.96999997</v>
      </c>
      <c r="AM32" s="76">
        <f>SFP!AM31</f>
        <v>491979219.10999995</v>
      </c>
    </row>
    <row r="33" spans="1:39" ht="14.25">
      <c r="A33" s="19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</row>
    <row r="34" spans="1:39" ht="14.25">
      <c r="A34" s="21">
        <v>9</v>
      </c>
      <c r="B34" s="74" t="s">
        <v>148</v>
      </c>
      <c r="C34" s="76">
        <f>SCI!C10</f>
        <v>583839786</v>
      </c>
      <c r="D34" s="76">
        <f>SCI!D10</f>
        <v>573346290</v>
      </c>
      <c r="E34" s="76">
        <f>SCI!E10</f>
        <v>56301430.120000005</v>
      </c>
      <c r="F34" s="76">
        <f>SCI!F10</f>
        <v>105711998.69000001</v>
      </c>
      <c r="G34" s="76">
        <f>SCI!G10</f>
        <v>163348547.75</v>
      </c>
      <c r="H34" s="76">
        <f>SCI!H10</f>
        <v>218740604.88</v>
      </c>
      <c r="I34" s="76">
        <f>SCI!I10</f>
        <v>271776926.29000002</v>
      </c>
      <c r="J34" s="76">
        <f>SCI!J10</f>
        <v>328703632.68999994</v>
      </c>
      <c r="K34" s="76">
        <f>SCI!K10</f>
        <v>385388792.13</v>
      </c>
      <c r="L34" s="76">
        <f>SCI!L10</f>
        <v>439124668.56</v>
      </c>
      <c r="M34" s="76">
        <f>SCI!M10</f>
        <v>495516674.15000004</v>
      </c>
      <c r="N34" s="76">
        <f>SCI!N10</f>
        <v>549042809.23000002</v>
      </c>
      <c r="O34" s="76">
        <f>SCI!O10</f>
        <v>604101469.11000001</v>
      </c>
      <c r="P34" s="76">
        <f>SCI!P10</f>
        <v>657044429.69000006</v>
      </c>
      <c r="Q34" s="76">
        <f>SCI!Q10</f>
        <v>666043508</v>
      </c>
      <c r="R34" s="76">
        <f>SCI!R10</f>
        <v>56504650.280000001</v>
      </c>
      <c r="S34" s="76">
        <f>SCI!S10</f>
        <v>106875223.33999999</v>
      </c>
      <c r="T34" s="76">
        <f>SCI!T10</f>
        <v>163878310.72999999</v>
      </c>
      <c r="U34" s="76">
        <f>SCI!U10</f>
        <v>218978656.63999999</v>
      </c>
      <c r="V34" s="76">
        <f>SCI!V10</f>
        <v>268178541.75</v>
      </c>
      <c r="W34" s="76">
        <f>SCI!W10</f>
        <v>320356207.84999996</v>
      </c>
      <c r="X34" s="76">
        <f>SCI!X10</f>
        <v>371311528.75999999</v>
      </c>
      <c r="Y34" s="76">
        <f>SCI!Y10</f>
        <v>422578219.39999998</v>
      </c>
      <c r="Z34" s="76">
        <f>SCI!Z10</f>
        <v>476253446.59000003</v>
      </c>
      <c r="AA34" s="76">
        <f>SCI!AA10</f>
        <v>532562793.08999997</v>
      </c>
      <c r="AB34" s="76">
        <f>SCI!AB10</f>
        <v>594327349.71000004</v>
      </c>
      <c r="AC34" s="76">
        <f>SCI!AC10</f>
        <v>682609217.13</v>
      </c>
      <c r="AD34" s="76">
        <f>SCI!AD10</f>
        <v>689904417</v>
      </c>
      <c r="AE34" s="76">
        <f>SCI!AE10</f>
        <v>63081112.280000001</v>
      </c>
      <c r="AF34" s="76">
        <f>SCI!AF10</f>
        <v>122444927.97</v>
      </c>
      <c r="AG34" s="76">
        <f>SCI!AG10</f>
        <v>179200666.12</v>
      </c>
      <c r="AH34" s="76">
        <f>SCI!AH10</f>
        <v>239423299.27000001</v>
      </c>
      <c r="AI34" s="76">
        <f>SCI!AI10</f>
        <v>301718891.22999996</v>
      </c>
      <c r="AJ34" s="76">
        <f>SCI!AJ10</f>
        <v>371672460.62999994</v>
      </c>
      <c r="AK34" s="76">
        <f>SCI!AK10</f>
        <v>433819334.67000002</v>
      </c>
      <c r="AL34" s="76">
        <f>SCI!AL10</f>
        <v>498240351.05999994</v>
      </c>
      <c r="AM34" s="76">
        <f>SCI!AM10</f>
        <v>563088420.40999997</v>
      </c>
    </row>
    <row r="35" spans="1:39" ht="14.25">
      <c r="A35" s="20">
        <v>9.1</v>
      </c>
      <c r="B35" s="74" t="s">
        <v>149</v>
      </c>
      <c r="C35" s="76">
        <f>SCI!C12</f>
        <v>546947861</v>
      </c>
      <c r="D35" s="76">
        <f>SCI!D12</f>
        <v>541188931</v>
      </c>
      <c r="E35" s="76">
        <f>SCI!E12</f>
        <v>51957907.280000001</v>
      </c>
      <c r="F35" s="76">
        <f>SCI!F12</f>
        <v>97235636.900000006</v>
      </c>
      <c r="G35" s="76">
        <f>SCI!G12</f>
        <v>145795942.5</v>
      </c>
      <c r="H35" s="76">
        <f>SCI!H12</f>
        <v>192964785.24000001</v>
      </c>
      <c r="I35" s="76">
        <f>SCI!I12</f>
        <v>241456391.94</v>
      </c>
      <c r="J35" s="76">
        <f>SCI!J12</f>
        <v>291893697.77999997</v>
      </c>
      <c r="K35" s="76">
        <f>SCI!K12</f>
        <v>343514322.70999998</v>
      </c>
      <c r="L35" s="76">
        <f>SCI!L12</f>
        <v>391980326.63</v>
      </c>
      <c r="M35" s="76">
        <f>SCI!M12</f>
        <v>442043504.97000003</v>
      </c>
      <c r="N35" s="76">
        <f>SCI!N12</f>
        <v>491835353.14999998</v>
      </c>
      <c r="O35" s="76">
        <f>SCI!O12</f>
        <v>541625092.15999997</v>
      </c>
      <c r="P35" s="76">
        <f>SCI!P12</f>
        <v>587756323.24000001</v>
      </c>
      <c r="Q35" s="76">
        <f>SCI!Q12</f>
        <v>587756323</v>
      </c>
      <c r="R35" s="76">
        <f>SCI!R12</f>
        <v>51743881.770000003</v>
      </c>
      <c r="S35" s="76">
        <f>SCI!S12</f>
        <v>97736320.709999993</v>
      </c>
      <c r="T35" s="76">
        <f>SCI!T12</f>
        <v>144378560.91</v>
      </c>
      <c r="U35" s="76">
        <f>SCI!U12</f>
        <v>194346476.81999999</v>
      </c>
      <c r="V35" s="76">
        <f>SCI!V12</f>
        <v>238790737.13</v>
      </c>
      <c r="W35" s="76">
        <f>SCI!W12</f>
        <v>281370893.07999998</v>
      </c>
      <c r="X35" s="76">
        <f>SCI!X12</f>
        <v>328070955.36000001</v>
      </c>
      <c r="Y35" s="76">
        <f>SCI!Y12</f>
        <v>372601452.56999999</v>
      </c>
      <c r="Z35" s="76">
        <f>SCI!Z12</f>
        <v>419747361.94</v>
      </c>
      <c r="AA35" s="76">
        <f>SCI!AA12</f>
        <v>470516715.69</v>
      </c>
      <c r="AB35" s="76">
        <f>SCI!AB12</f>
        <v>526232566.63</v>
      </c>
      <c r="AC35" s="76">
        <f>SCI!AC12</f>
        <v>604215368.65999997</v>
      </c>
      <c r="AD35" s="76">
        <f>SCI!AD12</f>
        <v>604215368</v>
      </c>
      <c r="AE35" s="76">
        <f>SCI!AE12</f>
        <v>57184861.530000001</v>
      </c>
      <c r="AF35" s="76">
        <f>SCI!AF12</f>
        <v>109011527.54000001</v>
      </c>
      <c r="AG35" s="76">
        <f>SCI!AG12</f>
        <v>161060499.31999999</v>
      </c>
      <c r="AH35" s="76">
        <f>SCI!AH12</f>
        <v>216368906.99000001</v>
      </c>
      <c r="AI35" s="76">
        <f>SCI!AI12</f>
        <v>272863211.19</v>
      </c>
      <c r="AJ35" s="76">
        <f>SCI!AJ12</f>
        <v>329525204.89999998</v>
      </c>
      <c r="AK35" s="76">
        <f>SCI!AK12</f>
        <v>386367107.48000002</v>
      </c>
      <c r="AL35" s="76">
        <f>SCI!AL12</f>
        <v>444704867.32999998</v>
      </c>
      <c r="AM35" s="76">
        <f>SCI!AM12</f>
        <v>503307802.20999998</v>
      </c>
    </row>
    <row r="36" spans="1:39" ht="14.25">
      <c r="A36" s="20">
        <v>9.1999999999999993</v>
      </c>
      <c r="B36" s="74" t="s">
        <v>150</v>
      </c>
      <c r="C36" s="76">
        <f>SCI!C15</f>
        <v>36891925</v>
      </c>
      <c r="D36" s="76">
        <f>SCI!D15</f>
        <v>30847091</v>
      </c>
      <c r="E36" s="76">
        <f>SCI!E15</f>
        <v>4184522.84</v>
      </c>
      <c r="F36" s="76">
        <f>SCI!F15</f>
        <v>8151161.79</v>
      </c>
      <c r="G36" s="76">
        <f>SCI!G15</f>
        <v>17065085.25</v>
      </c>
      <c r="H36" s="76">
        <f>SCI!H15</f>
        <v>25123059.640000001</v>
      </c>
      <c r="I36" s="76">
        <f>SCI!I15</f>
        <v>29461254.350000001</v>
      </c>
      <c r="J36" s="76">
        <f>SCI!J15</f>
        <v>35734414.909999996</v>
      </c>
      <c r="K36" s="76">
        <f>SCI!K15</f>
        <v>40563629.420000002</v>
      </c>
      <c r="L36" s="76">
        <f>SCI!L15</f>
        <v>45646401.93</v>
      </c>
      <c r="M36" s="76">
        <f>SCI!M15</f>
        <v>51789109.18</v>
      </c>
      <c r="N36" s="76">
        <f>SCI!N15</f>
        <v>55151506.079999998</v>
      </c>
      <c r="O36" s="76">
        <f>SCI!O15</f>
        <v>60243076.950000003</v>
      </c>
      <c r="P36" s="76">
        <f>SCI!P15</f>
        <v>66918831.450000003</v>
      </c>
      <c r="Q36" s="76">
        <f>SCI!Q15</f>
        <v>76847460</v>
      </c>
      <c r="R36" s="76">
        <f>SCI!R15</f>
        <v>4651128.51</v>
      </c>
      <c r="S36" s="76">
        <f>SCI!S15</f>
        <v>8910462.629999999</v>
      </c>
      <c r="T36" s="76">
        <f>SCI!T15</f>
        <v>19140079.82</v>
      </c>
      <c r="U36" s="76">
        <f>SCI!U15</f>
        <v>24040249.82</v>
      </c>
      <c r="V36" s="76">
        <f>SCI!V15</f>
        <v>28572664.619999997</v>
      </c>
      <c r="W36" s="76">
        <f>SCI!W15</f>
        <v>37970514.770000003</v>
      </c>
      <c r="X36" s="76">
        <f>SCI!X15</f>
        <v>41969233.400000006</v>
      </c>
      <c r="Y36" s="76">
        <f>SCI!Y15</f>
        <v>48417376.830000006</v>
      </c>
      <c r="Z36" s="76">
        <f>SCI!Z15</f>
        <v>54593914.650000006</v>
      </c>
      <c r="AA36" s="76">
        <f>SCI!AA15</f>
        <v>59827857.399999999</v>
      </c>
      <c r="AB36" s="76">
        <f>SCI!AB15</f>
        <v>65570358.079999998</v>
      </c>
      <c r="AC36" s="76">
        <f>SCI!AC15</f>
        <v>75578923.469999999</v>
      </c>
      <c r="AD36" s="76">
        <f>SCI!AD15</f>
        <v>81367964</v>
      </c>
      <c r="AE36" s="76">
        <f>SCI!AE15</f>
        <v>5573038.75</v>
      </c>
      <c r="AF36" s="76">
        <f>SCI!AF15</f>
        <v>12875567.43</v>
      </c>
      <c r="AG36" s="76">
        <f>SCI!AG15</f>
        <v>17382761.800000001</v>
      </c>
      <c r="AH36" s="76">
        <f>SCI!AH15</f>
        <v>22007622.379999999</v>
      </c>
      <c r="AI36" s="76">
        <f>SCI!AI15</f>
        <v>27169884.140000001</v>
      </c>
      <c r="AJ36" s="76">
        <f>SCI!AJ15</f>
        <v>40075600.829999998</v>
      </c>
      <c r="AK36" s="76">
        <f>SCI!AK15</f>
        <v>44761205.289999999</v>
      </c>
      <c r="AL36" s="76">
        <f>SCI!AL15</f>
        <v>50262498.829999998</v>
      </c>
      <c r="AM36" s="76">
        <f>SCI!AM15</f>
        <v>56121755.300000004</v>
      </c>
    </row>
    <row r="37" spans="1:39" ht="13.5" customHeight="1">
      <c r="A37" s="20">
        <v>9.3000000000000007</v>
      </c>
      <c r="B37" s="74" t="s">
        <v>151</v>
      </c>
      <c r="C37" s="76">
        <f>SCI!C13</f>
        <v>0</v>
      </c>
      <c r="D37" s="76">
        <f>SCI!D13</f>
        <v>1310268</v>
      </c>
      <c r="E37" s="76">
        <f>SCI!E13</f>
        <v>159000</v>
      </c>
      <c r="F37" s="76">
        <f>SCI!F13</f>
        <v>325200</v>
      </c>
      <c r="G37" s="76">
        <f>SCI!G13</f>
        <v>487520</v>
      </c>
      <c r="H37" s="76">
        <f>SCI!H13</f>
        <v>652760</v>
      </c>
      <c r="I37" s="76">
        <f>SCI!I13</f>
        <v>859280</v>
      </c>
      <c r="J37" s="76">
        <f>SCI!J13</f>
        <v>1075520</v>
      </c>
      <c r="K37" s="76">
        <f>SCI!K13</f>
        <v>1310840</v>
      </c>
      <c r="L37" s="76">
        <f>SCI!L13</f>
        <v>1497940</v>
      </c>
      <c r="M37" s="76">
        <f>SCI!M13</f>
        <v>1684060</v>
      </c>
      <c r="N37" s="76">
        <f>SCI!N13</f>
        <v>2055950</v>
      </c>
      <c r="O37" s="76">
        <f>SCI!O13</f>
        <v>2233300</v>
      </c>
      <c r="P37" s="76">
        <f>SCI!P13</f>
        <v>2369275</v>
      </c>
      <c r="Q37" s="76">
        <f>SCI!Q13</f>
        <v>1439725</v>
      </c>
      <c r="R37" s="76">
        <f>SCI!R13</f>
        <v>109640</v>
      </c>
      <c r="S37" s="76">
        <f>SCI!S13</f>
        <v>228440</v>
      </c>
      <c r="T37" s="76">
        <f>SCI!T13</f>
        <v>359670</v>
      </c>
      <c r="U37" s="76">
        <f>SCI!U13</f>
        <v>591930</v>
      </c>
      <c r="V37" s="76">
        <f>SCI!V13</f>
        <v>815140</v>
      </c>
      <c r="W37" s="76">
        <f>SCI!W13</f>
        <v>1014800</v>
      </c>
      <c r="X37" s="76">
        <f>SCI!X13</f>
        <v>1271340</v>
      </c>
      <c r="Y37" s="76">
        <f>SCI!Y13</f>
        <v>1559390</v>
      </c>
      <c r="Z37" s="76">
        <f>SCI!Z13</f>
        <v>1912170</v>
      </c>
      <c r="AA37" s="76">
        <f>SCI!AA13</f>
        <v>2218220</v>
      </c>
      <c r="AB37" s="76">
        <f>SCI!AB13</f>
        <v>2524425</v>
      </c>
      <c r="AC37" s="76">
        <f>SCI!AC13</f>
        <v>2814925</v>
      </c>
      <c r="AD37" s="76">
        <f>SCI!AD13</f>
        <v>4321085</v>
      </c>
      <c r="AE37" s="76">
        <f>SCI!AE13</f>
        <v>323212</v>
      </c>
      <c r="AF37" s="76">
        <f>SCI!AF13</f>
        <v>557833</v>
      </c>
      <c r="AG37" s="76">
        <f>SCI!AG13</f>
        <v>757405</v>
      </c>
      <c r="AH37" s="76">
        <f>SCI!AH13</f>
        <v>1046769.9</v>
      </c>
      <c r="AI37" s="76">
        <f>SCI!AI13</f>
        <v>1685795.9</v>
      </c>
      <c r="AJ37" s="76">
        <f>SCI!AJ13</f>
        <v>2071654.9</v>
      </c>
      <c r="AK37" s="76">
        <f>SCI!AK13</f>
        <v>2691021.9</v>
      </c>
      <c r="AL37" s="76">
        <f>SCI!AL13</f>
        <v>3272984.9</v>
      </c>
      <c r="AM37" s="76">
        <f>SCI!AM13</f>
        <v>3658862.9</v>
      </c>
    </row>
    <row r="38" spans="1:39" ht="14.25">
      <c r="A38" s="20">
        <v>9.4</v>
      </c>
      <c r="B38" s="74" t="s">
        <v>152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</row>
    <row r="39" spans="1:39" ht="14.25"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</row>
    <row r="40" spans="1:39" ht="14.25">
      <c r="A40" s="21">
        <v>10</v>
      </c>
      <c r="B40" s="88" t="s">
        <v>153</v>
      </c>
      <c r="C40" s="76">
        <f>SCI!C21+SCI!C36</f>
        <v>384107979</v>
      </c>
      <c r="D40" s="76">
        <f>SCI!D21+SCI!D36</f>
        <v>297709328</v>
      </c>
      <c r="E40" s="76">
        <f>SCI!E21+SCI!E36</f>
        <v>10454682.01</v>
      </c>
      <c r="F40" s="76">
        <f>SCI!F21+SCI!F36</f>
        <v>24386120.419999998</v>
      </c>
      <c r="G40" s="76">
        <f>SCI!G21+SCI!G36</f>
        <v>38763031.020000003</v>
      </c>
      <c r="H40" s="76">
        <f>SCI!H21+SCI!H36</f>
        <v>49945670.630000003</v>
      </c>
      <c r="I40" s="76">
        <f>SCI!I21+SCI!I36</f>
        <v>61262352.519999996</v>
      </c>
      <c r="J40" s="76">
        <f>SCI!J21+SCI!J36</f>
        <v>73416364.920000002</v>
      </c>
      <c r="K40" s="76">
        <f>SCI!K21+SCI!K36</f>
        <v>85867673.339999989</v>
      </c>
      <c r="L40" s="76">
        <f>SCI!L21+SCI!L36</f>
        <v>100318496.23999998</v>
      </c>
      <c r="M40" s="76">
        <f>SCI!M21+SCI!M36</f>
        <v>114836938.93000001</v>
      </c>
      <c r="N40" s="76">
        <f>SCI!N21+SCI!N36</f>
        <v>128404923.05999999</v>
      </c>
      <c r="O40" s="76">
        <f>SCI!O21+SCI!O36</f>
        <v>148333204.56</v>
      </c>
      <c r="P40" s="76">
        <f>SCI!P21+SCI!P36</f>
        <v>164321844.07999998</v>
      </c>
      <c r="Q40" s="76">
        <f>SCI!Q21+SCI!Q36</f>
        <v>431080558</v>
      </c>
      <c r="R40" s="76">
        <f>SCI!R21+SCI!R36</f>
        <v>14353124.439999999</v>
      </c>
      <c r="S40" s="76">
        <f>SCI!S21+SCI!S36</f>
        <v>31560987.880000003</v>
      </c>
      <c r="T40" s="76">
        <f>SCI!T21+SCI!T36</f>
        <v>50704782.039999999</v>
      </c>
      <c r="U40" s="76">
        <f>SCI!U21+SCI!U36</f>
        <v>66117620.839999996</v>
      </c>
      <c r="V40" s="76">
        <f>SCI!V21+SCI!V36</f>
        <v>83118303.670000002</v>
      </c>
      <c r="W40" s="76">
        <f>SCI!W21+SCI!W36</f>
        <v>98219577.450000018</v>
      </c>
      <c r="X40" s="76">
        <f>SCI!X21+SCI!X36</f>
        <v>115595609.89000002</v>
      </c>
      <c r="Y40" s="76">
        <f>SCI!Y21+SCI!Y36</f>
        <v>129582332.59000002</v>
      </c>
      <c r="Z40" s="76">
        <f>SCI!Z21+SCI!Z36</f>
        <v>143243004.83000001</v>
      </c>
      <c r="AA40" s="76">
        <f>SCI!AA21+SCI!AA36</f>
        <v>156984179.69</v>
      </c>
      <c r="AB40" s="76">
        <f>SCI!AB21+SCI!AB36</f>
        <v>170557435.48999998</v>
      </c>
      <c r="AC40" s="76">
        <f>SCI!AC21+SCI!AC36</f>
        <v>180063146.08000001</v>
      </c>
      <c r="AD40" s="76">
        <f>SCI!AD21+SCI!AD36</f>
        <v>467385629</v>
      </c>
      <c r="AE40" s="76">
        <f>SCI!AE21+SCI!AE36</f>
        <v>16853418.969999999</v>
      </c>
      <c r="AF40" s="76">
        <f>SCI!AF21+SCI!AF36</f>
        <v>40254569.530000001</v>
      </c>
      <c r="AG40" s="76">
        <f>SCI!AG21+SCI!AG36</f>
        <v>55706141.269999996</v>
      </c>
      <c r="AH40" s="76">
        <f>SCI!AH21+SCI!AH36</f>
        <v>74571513.530000016</v>
      </c>
      <c r="AI40" s="76">
        <f>SCI!AI21+SCI!AI36</f>
        <v>92409873.510000005</v>
      </c>
      <c r="AJ40" s="76">
        <f>SCI!AJ21+SCI!AJ36</f>
        <v>110542126.25999999</v>
      </c>
      <c r="AK40" s="76">
        <f>SCI!AK21+SCI!AK36</f>
        <v>129518692.64000002</v>
      </c>
      <c r="AL40" s="76">
        <f>SCI!AL21+SCI!AL36</f>
        <v>151799075.77000001</v>
      </c>
      <c r="AM40" s="76">
        <f>SCI!AM21+SCI!AM36</f>
        <v>169705042.33000001</v>
      </c>
    </row>
    <row r="41" spans="1:39" ht="14.25">
      <c r="A41" s="20">
        <v>10.1</v>
      </c>
      <c r="B41" s="74" t="s">
        <v>154</v>
      </c>
      <c r="C41" s="76">
        <f>SCI!C22</f>
        <v>230056542</v>
      </c>
      <c r="D41" s="76">
        <f>SCI!D22</f>
        <v>248555614</v>
      </c>
      <c r="E41" s="76">
        <f>SCI!E22</f>
        <v>280810.11</v>
      </c>
      <c r="F41" s="76">
        <f>SCI!F22</f>
        <v>528301.52</v>
      </c>
      <c r="G41" s="76">
        <f>SCI!G22</f>
        <v>843653.96</v>
      </c>
      <c r="H41" s="76">
        <f>SCI!H22</f>
        <v>1270924.01</v>
      </c>
      <c r="I41" s="76">
        <f>SCI!I22</f>
        <v>1638682.7</v>
      </c>
      <c r="J41" s="76">
        <f>SCI!J22</f>
        <v>2082162.72</v>
      </c>
      <c r="K41" s="76">
        <f>SCI!K22</f>
        <v>2529478.13</v>
      </c>
      <c r="L41" s="76">
        <f>SCI!L22</f>
        <v>3022573.7</v>
      </c>
      <c r="M41" s="76">
        <f>SCI!M22</f>
        <v>3489817.59</v>
      </c>
      <c r="N41" s="76">
        <f>SCI!N22</f>
        <v>3558372.18</v>
      </c>
      <c r="O41" s="76">
        <f>SCI!O22</f>
        <v>4532915.9800000004</v>
      </c>
      <c r="P41" s="76">
        <f>SCI!P22</f>
        <v>4627696.91</v>
      </c>
      <c r="Q41" s="76">
        <f>SCI!Q22</f>
        <v>270372032</v>
      </c>
      <c r="R41" s="76">
        <f>SCI!R22</f>
        <v>274903.99</v>
      </c>
      <c r="S41" s="76">
        <f>SCI!S22</f>
        <v>491705.86</v>
      </c>
      <c r="T41" s="76">
        <f>SCI!T22</f>
        <v>775934.99</v>
      </c>
      <c r="U41" s="76">
        <f>SCI!U22</f>
        <v>1094671.27</v>
      </c>
      <c r="V41" s="76">
        <f>SCI!V22</f>
        <v>1388269.18</v>
      </c>
      <c r="W41" s="76">
        <f>SCI!W22</f>
        <v>1698397.79</v>
      </c>
      <c r="X41" s="76">
        <f>SCI!X22</f>
        <v>2092799.21</v>
      </c>
      <c r="Y41" s="76">
        <f>SCI!Y22</f>
        <v>2466811.69</v>
      </c>
      <c r="Z41" s="76">
        <f>SCI!Z22</f>
        <v>2883068.29</v>
      </c>
      <c r="AA41" s="76">
        <f>SCI!AA22</f>
        <v>3407930.18</v>
      </c>
      <c r="AB41" s="76">
        <f>SCI!AB22</f>
        <v>3871139.8399999999</v>
      </c>
      <c r="AC41" s="76">
        <f>SCI!AC22</f>
        <v>4095359.26</v>
      </c>
      <c r="AD41" s="76">
        <f>SCI!AD22</f>
        <v>286187291</v>
      </c>
      <c r="AE41" s="76">
        <f>SCI!AE22</f>
        <v>318436.34999999998</v>
      </c>
      <c r="AF41" s="76">
        <f>SCI!AF22</f>
        <v>617732.25</v>
      </c>
      <c r="AG41" s="76">
        <f>SCI!AG22</f>
        <v>929938.23</v>
      </c>
      <c r="AH41" s="76">
        <f>SCI!AH22</f>
        <v>1295398.6200000001</v>
      </c>
      <c r="AI41" s="76">
        <f>SCI!AI22</f>
        <v>1602644.25</v>
      </c>
      <c r="AJ41" s="76">
        <f>SCI!AJ22</f>
        <v>1920649.5</v>
      </c>
      <c r="AK41" s="76">
        <f>SCI!AK22</f>
        <v>2340548.9300000002</v>
      </c>
      <c r="AL41" s="76">
        <f>SCI!AL22</f>
        <v>2726433.54</v>
      </c>
      <c r="AM41" s="76">
        <f>SCI!AM22</f>
        <v>3095137.17</v>
      </c>
    </row>
    <row r="42" spans="1:39" ht="14.25">
      <c r="A42" s="20">
        <v>10.199999999999999</v>
      </c>
      <c r="B42" s="74" t="s">
        <v>155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</row>
    <row r="43" spans="1:39" ht="14.25">
      <c r="A43" s="20">
        <v>10.3</v>
      </c>
      <c r="B43" s="74" t="s">
        <v>156</v>
      </c>
      <c r="C43" s="76">
        <f>SCI!C23</f>
        <v>491683</v>
      </c>
      <c r="D43" s="76">
        <f>SCI!D23</f>
        <v>460801</v>
      </c>
      <c r="E43" s="76">
        <f>SCI!E23</f>
        <v>10360.780000000001</v>
      </c>
      <c r="F43" s="76">
        <f>SCI!F23</f>
        <v>10360.780000000001</v>
      </c>
      <c r="G43" s="76">
        <f>SCI!G23</f>
        <v>10360.780000000001</v>
      </c>
      <c r="H43" s="76">
        <f>SCI!H23</f>
        <v>10360.780000000001</v>
      </c>
      <c r="I43" s="76">
        <f>SCI!I23</f>
        <v>10360.780000000001</v>
      </c>
      <c r="J43" s="76">
        <f>SCI!J23</f>
        <v>10360.780000000001</v>
      </c>
      <c r="K43" s="76">
        <f>SCI!K23</f>
        <v>10360.780000000001</v>
      </c>
      <c r="L43" s="76">
        <f>SCI!L23</f>
        <v>10360.780000000001</v>
      </c>
      <c r="M43" s="76">
        <f>SCI!M23</f>
        <v>10360.76</v>
      </c>
      <c r="N43" s="76">
        <f>SCI!N23</f>
        <v>10360.780000000001</v>
      </c>
      <c r="O43" s="76">
        <f>SCI!O23</f>
        <v>10360.780000000001</v>
      </c>
      <c r="P43" s="76">
        <f>SCI!P23</f>
        <v>10360.780000000001</v>
      </c>
      <c r="Q43" s="76">
        <f>SCI!Q23</f>
        <v>10361</v>
      </c>
      <c r="R43" s="76">
        <f>SCI!R23</f>
        <v>0</v>
      </c>
      <c r="S43" s="76">
        <f>SCI!S23</f>
        <v>0</v>
      </c>
      <c r="T43" s="76">
        <f>SCI!T23</f>
        <v>0</v>
      </c>
      <c r="U43" s="76">
        <f>SCI!U23</f>
        <v>2.65</v>
      </c>
      <c r="V43" s="76">
        <f>SCI!V23</f>
        <v>2.65</v>
      </c>
      <c r="W43" s="76">
        <f>SCI!W23</f>
        <v>2.65</v>
      </c>
      <c r="X43" s="76">
        <f>SCI!X23</f>
        <v>2.65</v>
      </c>
      <c r="Y43" s="76">
        <f>SCI!Y23</f>
        <v>2.65</v>
      </c>
      <c r="Z43" s="76">
        <f>SCI!Z23</f>
        <v>2.65</v>
      </c>
      <c r="AA43" s="76">
        <f>SCI!AA23</f>
        <v>2.65</v>
      </c>
      <c r="AB43" s="76">
        <f>SCI!AB23</f>
        <v>2.65</v>
      </c>
      <c r="AC43" s="76">
        <f>SCI!AC23</f>
        <v>2.65</v>
      </c>
      <c r="AD43" s="76">
        <f>SCI!AD23</f>
        <v>0</v>
      </c>
      <c r="AE43" s="76">
        <f>SCI!AE23</f>
        <v>0</v>
      </c>
      <c r="AF43" s="76">
        <f>SCI!AF23</f>
        <v>0</v>
      </c>
      <c r="AG43" s="76">
        <f>SCI!AG23</f>
        <v>0</v>
      </c>
      <c r="AH43" s="76">
        <f>SCI!AH23</f>
        <v>0</v>
      </c>
      <c r="AI43" s="76">
        <f>SCI!AI23</f>
        <v>0</v>
      </c>
      <c r="AJ43" s="76">
        <f>SCI!AJ23</f>
        <v>0</v>
      </c>
      <c r="AK43" s="76">
        <f>SCI!AK23</f>
        <v>0</v>
      </c>
      <c r="AL43" s="76">
        <f>SCI!AL23</f>
        <v>0</v>
      </c>
      <c r="AM43" s="76">
        <f>SCI!AM23</f>
        <v>0</v>
      </c>
    </row>
    <row r="44" spans="1:39" ht="14.25">
      <c r="A44" s="20">
        <v>10.4</v>
      </c>
      <c r="B44" s="89" t="s">
        <v>157</v>
      </c>
      <c r="C44" s="90">
        <f>SCI!C36</f>
        <v>152589572</v>
      </c>
      <c r="D44" s="90">
        <f>SCI!D36</f>
        <v>47651806</v>
      </c>
      <c r="E44" s="90">
        <f>SCI!E36</f>
        <v>10083535.119999999</v>
      </c>
      <c r="F44" s="90">
        <f>SCI!F36</f>
        <v>23677406.119999997</v>
      </c>
      <c r="G44" s="90">
        <f>SCI!G36</f>
        <v>37665714.280000001</v>
      </c>
      <c r="H44" s="90">
        <f>SCI!H36</f>
        <v>48278444.68</v>
      </c>
      <c r="I44" s="90">
        <f>SCI!I36</f>
        <v>59127587.029999994</v>
      </c>
      <c r="J44" s="90">
        <f>SCI!J36</f>
        <v>70749906.299999997</v>
      </c>
      <c r="K44" s="90">
        <f>SCI!K36</f>
        <v>82655889.589999989</v>
      </c>
      <c r="L44" s="90">
        <f>SCI!L36</f>
        <v>96522614.919999987</v>
      </c>
      <c r="M44" s="90">
        <f>SCI!M36</f>
        <v>110479024.04000001</v>
      </c>
      <c r="N44" s="90">
        <f>SCI!N36</f>
        <v>123887283.45999999</v>
      </c>
      <c r="O44" s="90">
        <f>SCI!O36</f>
        <v>142748539.66</v>
      </c>
      <c r="P44" s="90">
        <f>SCI!P36</f>
        <v>158543651.80999997</v>
      </c>
      <c r="Q44" s="90">
        <f>SCI!Q36</f>
        <v>159558030</v>
      </c>
      <c r="R44" s="90">
        <f>SCI!R36</f>
        <v>13987180.449999999</v>
      </c>
      <c r="S44" s="90">
        <f>SCI!S36</f>
        <v>30889508.830000002</v>
      </c>
      <c r="T44" s="90">
        <f>SCI!T36</f>
        <v>49659480.299999997</v>
      </c>
      <c r="U44" s="90">
        <f>SCI!U36</f>
        <v>64494586.859999999</v>
      </c>
      <c r="V44" s="90">
        <f>SCI!V36</f>
        <v>81088794.719999999</v>
      </c>
      <c r="W44" s="90">
        <f>SCI!W36</f>
        <v>95777669.950000018</v>
      </c>
      <c r="X44" s="90">
        <f>SCI!X36</f>
        <v>112678358.55000001</v>
      </c>
      <c r="Y44" s="90">
        <f>SCI!Y36</f>
        <v>126160514.64000002</v>
      </c>
      <c r="Z44" s="90">
        <f>SCI!Z36</f>
        <v>139306099.56</v>
      </c>
      <c r="AA44" s="90">
        <f>SCI!AA36</f>
        <v>152436021.56</v>
      </c>
      <c r="AB44" s="90">
        <f>SCI!AB36</f>
        <v>165430599.69999999</v>
      </c>
      <c r="AC44" s="90">
        <f>SCI!AC36</f>
        <v>174608442.74000001</v>
      </c>
      <c r="AD44" s="90">
        <f>SCI!AD36</f>
        <v>180854957</v>
      </c>
      <c r="AE44" s="90">
        <f>SCI!AE36</f>
        <v>16422120.309999999</v>
      </c>
      <c r="AF44" s="90">
        <f>SCI!AF36</f>
        <v>39362563.920000002</v>
      </c>
      <c r="AG44" s="90">
        <f>SCI!AG36</f>
        <v>54358753.519999996</v>
      </c>
      <c r="AH44" s="90">
        <f>SCI!AH36</f>
        <v>72744577.770000011</v>
      </c>
      <c r="AI44" s="90">
        <f>SCI!AI36</f>
        <v>90127894.310000002</v>
      </c>
      <c r="AJ44" s="90">
        <f>SCI!AJ36</f>
        <v>107890643.88</v>
      </c>
      <c r="AK44" s="90">
        <f>SCI!AK36</f>
        <v>126299936.58000001</v>
      </c>
      <c r="AL44" s="90">
        <f>SCI!AL36</f>
        <v>148079912.94</v>
      </c>
      <c r="AM44" s="90">
        <f>SCI!AM36</f>
        <v>165514035.37</v>
      </c>
    </row>
    <row r="45" spans="1:39" ht="14.25"/>
  </sheetData>
  <phoneticPr fontId="18" type="noConversion"/>
  <pageMargins left="0.7" right="0.7" top="0.75" bottom="0.75" header="0.3" footer="0.3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Q48"/>
  <sheetViews>
    <sheetView view="pageBreakPreview" topLeftCell="AI41" zoomScaleNormal="106" zoomScaleSheetLayoutView="100" workbookViewId="0">
      <selection activeCell="AP3" sqref="AP3:AQ48"/>
    </sheetView>
  </sheetViews>
  <sheetFormatPr defaultColWidth="9.140625" defaultRowHeight="12.75" customHeight="1"/>
  <cols>
    <col min="1" max="1" width="6.5703125" style="2" customWidth="1"/>
    <col min="2" max="2" width="32.85546875" style="2" customWidth="1"/>
    <col min="3" max="3" width="10.5703125" style="2" customWidth="1"/>
    <col min="4" max="7" width="11" style="2" hidden="1" customWidth="1"/>
    <col min="8" max="8" width="8" style="2" hidden="1" customWidth="1"/>
    <col min="9" max="9" width="6.5703125" style="2" hidden="1" customWidth="1"/>
    <col min="10" max="20" width="7.85546875" style="2" hidden="1" customWidth="1"/>
    <col min="21" max="21" width="7.85546875" style="2" customWidth="1"/>
    <col min="22" max="16384" width="9.140625" style="2"/>
  </cols>
  <sheetData>
    <row r="1" spans="1:43" ht="14.45" customHeight="1">
      <c r="A1" s="236" t="s">
        <v>158</v>
      </c>
      <c r="B1" s="236"/>
      <c r="C1" s="236"/>
      <c r="D1" s="236"/>
      <c r="E1" s="236"/>
      <c r="F1" s="236"/>
      <c r="G1" s="236"/>
      <c r="H1" s="236"/>
      <c r="I1" s="236"/>
    </row>
    <row r="2" spans="1:43" ht="15" customHeight="1">
      <c r="A2" s="10"/>
      <c r="B2" s="10"/>
      <c r="C2" s="10"/>
    </row>
    <row r="3" spans="1:43" ht="29.25">
      <c r="A3" s="10"/>
      <c r="B3" s="11" t="s">
        <v>159</v>
      </c>
      <c r="C3" s="173" t="s">
        <v>160</v>
      </c>
      <c r="D3" s="39">
        <v>44075</v>
      </c>
      <c r="E3" s="39">
        <v>44105</v>
      </c>
      <c r="F3" s="39">
        <v>44136</v>
      </c>
      <c r="G3" s="39">
        <v>44166</v>
      </c>
      <c r="H3" s="168" t="s">
        <v>161</v>
      </c>
      <c r="I3" s="39">
        <v>44197</v>
      </c>
      <c r="J3" s="39">
        <v>44228</v>
      </c>
      <c r="K3" s="39">
        <v>44256</v>
      </c>
      <c r="L3" s="39">
        <v>44287</v>
      </c>
      <c r="M3" s="39">
        <v>44317</v>
      </c>
      <c r="N3" s="39">
        <v>44348</v>
      </c>
      <c r="O3" s="39">
        <v>44378</v>
      </c>
      <c r="P3" s="39">
        <v>44409</v>
      </c>
      <c r="Q3" s="39">
        <v>44440</v>
      </c>
      <c r="R3" s="39">
        <v>44470</v>
      </c>
      <c r="S3" s="39">
        <v>44501</v>
      </c>
      <c r="T3" s="39">
        <v>44531</v>
      </c>
      <c r="U3" s="168" t="s">
        <v>60</v>
      </c>
      <c r="V3" s="168">
        <v>44562</v>
      </c>
      <c r="W3" s="168">
        <v>44593</v>
      </c>
      <c r="X3" s="168">
        <v>44621</v>
      </c>
      <c r="Y3" s="168">
        <v>44652</v>
      </c>
      <c r="Z3" s="168">
        <v>44682</v>
      </c>
      <c r="AA3" s="168">
        <v>44713</v>
      </c>
      <c r="AB3" s="168">
        <v>44743</v>
      </c>
      <c r="AC3" s="168">
        <v>44774</v>
      </c>
      <c r="AD3" s="168">
        <v>44805</v>
      </c>
      <c r="AE3" s="168">
        <v>44835</v>
      </c>
      <c r="AF3" s="168">
        <v>44866</v>
      </c>
      <c r="AG3" s="168">
        <v>44896</v>
      </c>
      <c r="AH3" s="222" t="s">
        <v>10</v>
      </c>
      <c r="AI3" s="223">
        <v>44927</v>
      </c>
      <c r="AJ3" s="223">
        <v>44958</v>
      </c>
      <c r="AK3" s="223">
        <v>44986</v>
      </c>
      <c r="AL3" s="223">
        <v>45017</v>
      </c>
      <c r="AM3" s="223">
        <v>45047</v>
      </c>
      <c r="AN3" s="223">
        <v>45078</v>
      </c>
      <c r="AO3" s="223">
        <v>45108</v>
      </c>
      <c r="AP3" s="223">
        <v>45139</v>
      </c>
      <c r="AQ3" s="223">
        <v>45170</v>
      </c>
    </row>
    <row r="4" spans="1:43" ht="14.1">
      <c r="A4" s="12">
        <v>1</v>
      </c>
      <c r="B4" s="10" t="s">
        <v>162</v>
      </c>
      <c r="C4" s="10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43" ht="14.25">
      <c r="A5" s="8">
        <v>1.1000000000000001</v>
      </c>
      <c r="B5" s="8" t="s">
        <v>163</v>
      </c>
      <c r="C5" s="13" t="s">
        <v>164</v>
      </c>
      <c r="D5" s="169" t="e">
        <f>FINANCIALS!#REF!/1000000</f>
        <v>#REF!</v>
      </c>
      <c r="E5" s="169" t="e">
        <f>FINANCIALS!#REF!/1000000</f>
        <v>#REF!</v>
      </c>
      <c r="F5" s="169" t="e">
        <f>FINANCIALS!#REF!/1000000</f>
        <v>#REF!</v>
      </c>
      <c r="G5" s="169">
        <f>FINANCIALS!C11/1000000</f>
        <v>815.24573999999996</v>
      </c>
      <c r="H5" s="169">
        <f>FINANCIALS!D11/1000000</f>
        <v>956.37472600000001</v>
      </c>
      <c r="I5" s="169">
        <f>FINANCIALS!E11/1000000</f>
        <v>996.66664977999994</v>
      </c>
      <c r="J5" s="169">
        <f>FINANCIALS!F11/1000000</f>
        <v>1033.5818831500001</v>
      </c>
      <c r="K5" s="169">
        <f>FINANCIALS!G11/1000000</f>
        <v>1078.0689600200001</v>
      </c>
      <c r="L5" s="169">
        <f>FINANCIALS!H11/1000000</f>
        <v>1123.70403319</v>
      </c>
      <c r="M5" s="169">
        <f>FINANCIALS!I11/1000000</f>
        <v>1166.4293179499998</v>
      </c>
      <c r="N5" s="169">
        <f>FINANCIALS!J11/1000000</f>
        <v>1212.8927227199999</v>
      </c>
      <c r="O5" s="169">
        <f>FINANCIALS!K11/1000000</f>
        <v>1257.0395113900001</v>
      </c>
      <c r="P5" s="169">
        <f>FINANCIALS!L11/1000000</f>
        <v>1297.32530021</v>
      </c>
      <c r="Q5" s="169">
        <f>FINANCIALS!M11/1000000</f>
        <v>1297.32530021</v>
      </c>
      <c r="R5" s="169">
        <f>FINANCIALS!N11/1000000</f>
        <v>1380.2073647000002</v>
      </c>
      <c r="S5" s="169">
        <f>FINANCIALS!O11/1000000</f>
        <v>1416.7144571700001</v>
      </c>
      <c r="T5" s="169">
        <f>FINANCIALS!P11/1000000</f>
        <v>1461.4184852800001</v>
      </c>
      <c r="U5" s="169">
        <f>FINANCIALS!Q11/1000000</f>
        <v>1145.643922</v>
      </c>
      <c r="V5" s="169">
        <f>FINANCIALS!R11/1000000</f>
        <v>996.66664977999994</v>
      </c>
      <c r="W5" s="169">
        <f>FINANCIALS!S11/1000000</f>
        <v>1033.5818831500001</v>
      </c>
      <c r="X5" s="169">
        <f>FINANCIALS!T11/1000000</f>
        <v>1078.0689600200001</v>
      </c>
      <c r="Y5" s="169">
        <f>FINANCIALS!U11/1000000</f>
        <v>1123.70403319</v>
      </c>
      <c r="Z5" s="169">
        <f>FINANCIALS!V11/1000000</f>
        <v>1166.4293179499998</v>
      </c>
      <c r="AA5" s="169">
        <f>FINANCIALS!W11/1000000</f>
        <v>1212.8927227199999</v>
      </c>
      <c r="AB5" s="169">
        <f>FINANCIALS!X11/1000000</f>
        <v>1257.0395113900001</v>
      </c>
      <c r="AC5" s="169">
        <f>FINANCIALS!Y11/1000000</f>
        <v>1297.32530021</v>
      </c>
      <c r="AD5" s="169">
        <f>FINANCIALS!Z11/1000000</f>
        <v>1297.32530021</v>
      </c>
      <c r="AE5" s="169">
        <f>FINANCIALS!AA11/1000000</f>
        <v>1380.2073647000002</v>
      </c>
      <c r="AF5" s="169">
        <f>FINANCIALS!AB11/1000000</f>
        <v>1416.7144571700001</v>
      </c>
      <c r="AG5" s="169">
        <f>FINANCIALS!AC11/1000000</f>
        <v>1461.4184852800001</v>
      </c>
      <c r="AH5" s="169">
        <f>FINANCIALS!AD11/1000000</f>
        <v>1356.198318</v>
      </c>
      <c r="AI5" s="169">
        <f>FINANCIALS!AE11/1000000</f>
        <v>1433.74078491</v>
      </c>
      <c r="AJ5" s="169">
        <f>FINANCIALS!AF11/1000000</f>
        <v>1469.00078783</v>
      </c>
      <c r="AK5" s="169">
        <f>FINANCIALS!AG11/1000000</f>
        <v>1517.09555449</v>
      </c>
      <c r="AL5" s="169">
        <f>FINANCIALS!AH11/1000000</f>
        <v>1533.8720081199999</v>
      </c>
      <c r="AM5" s="169">
        <f>FINANCIALS!AI11/1000000</f>
        <v>1579.0885368499999</v>
      </c>
      <c r="AN5" s="169">
        <f>FINANCIALS!AJ11/1000000</f>
        <v>1632.1833493499998</v>
      </c>
      <c r="AO5" s="169">
        <f>FINANCIALS!AK11/1000000</f>
        <v>1675.6695744599997</v>
      </c>
      <c r="AP5" s="169">
        <f>FINANCIALS!AL11/1000000</f>
        <v>1718.36361984</v>
      </c>
      <c r="AQ5" s="169">
        <f>FINANCIALS!AM11/1000000</f>
        <v>1764.9020743399999</v>
      </c>
    </row>
    <row r="6" spans="1:43" ht="14.25">
      <c r="A6" s="8">
        <v>1.2</v>
      </c>
      <c r="B6" s="8" t="s">
        <v>165</v>
      </c>
      <c r="C6" s="13" t="s">
        <v>166</v>
      </c>
      <c r="D6" s="26" t="e">
        <f>FINANCIALS!#REF!/FINANCIALS!#REF!</f>
        <v>#REF!</v>
      </c>
      <c r="E6" s="26" t="e">
        <f>FINANCIALS!#REF!/FINANCIALS!#REF!</f>
        <v>#REF!</v>
      </c>
      <c r="F6" s="26" t="e">
        <f>FINANCIALS!#REF!/FINANCIALS!#REF!</f>
        <v>#REF!</v>
      </c>
      <c r="G6" s="26">
        <f>FINANCIALS!C11/FINANCIALS!C4</f>
        <v>0.24220988285915115</v>
      </c>
      <c r="H6" s="26">
        <f>FINANCIALS!D11/FINANCIALS!D4</f>
        <v>0.25242118511094525</v>
      </c>
      <c r="I6" s="26">
        <f>FINANCIALS!E11/FINANCIALS!E4</f>
        <v>0.25930506637216538</v>
      </c>
      <c r="J6" s="26">
        <f>FINANCIALS!F11/FINANCIALS!F4</f>
        <v>0.26575369531087989</v>
      </c>
      <c r="K6" s="26">
        <f>FINANCIALS!G11/FINANCIALS!G4</f>
        <v>0.29017605981062045</v>
      </c>
      <c r="L6" s="26">
        <f>FINANCIALS!H11/FINANCIALS!H4</f>
        <v>0.29816774736368229</v>
      </c>
      <c r="M6" s="26">
        <f>FINANCIALS!I11/FINANCIALS!I4</f>
        <v>0.30476355521690823</v>
      </c>
      <c r="N6" s="26">
        <f>FINANCIALS!J11/FINANCIALS!J4</f>
        <v>0.31083930841700663</v>
      </c>
      <c r="O6" s="26">
        <f>FINANCIALS!K11/FINANCIALS!K4</f>
        <v>0.31896783190325084</v>
      </c>
      <c r="P6" s="26">
        <f>FINANCIALS!L11/FINANCIALS!L4</f>
        <v>0.32478260626660532</v>
      </c>
      <c r="Q6" s="26">
        <f>FINANCIALS!M11/FINANCIALS!M4</f>
        <v>0.31964922548657598</v>
      </c>
      <c r="R6" s="26">
        <f>FINANCIALS!N11/FINANCIALS!N4</f>
        <v>0.33517289136281569</v>
      </c>
      <c r="S6" s="26">
        <f>FINANCIALS!O11/FINANCIALS!O4</f>
        <v>0.34085623138056426</v>
      </c>
      <c r="T6" s="26">
        <f>FINANCIALS!P11/FINANCIALS!P4</f>
        <v>0.35523174684024472</v>
      </c>
      <c r="U6" s="26">
        <f>FINANCIALS!Q11/FINANCIALS!Q4</f>
        <v>0.27873643206145954</v>
      </c>
      <c r="V6" s="26">
        <f>FINANCIALS!R11/FINANCIALS!R4</f>
        <v>0.25930506637216538</v>
      </c>
      <c r="W6" s="26">
        <f>FINANCIALS!S11/FINANCIALS!S4</f>
        <v>0.26575369531087989</v>
      </c>
      <c r="X6" s="26">
        <f>FINANCIALS!T11/FINANCIALS!T4</f>
        <v>0.29017605981062045</v>
      </c>
      <c r="Y6" s="26">
        <f>FINANCIALS!U11/FINANCIALS!U4</f>
        <v>0.29816774736368229</v>
      </c>
      <c r="Z6" s="26">
        <f>FINANCIALS!V11/FINANCIALS!V4</f>
        <v>0.30476355521690823</v>
      </c>
      <c r="AA6" s="26">
        <f>FINANCIALS!W11/FINANCIALS!W4</f>
        <v>0.31083930841700663</v>
      </c>
      <c r="AB6" s="26">
        <f>FINANCIALS!X11/FINANCIALS!X4</f>
        <v>0.31896783190325084</v>
      </c>
      <c r="AC6" s="26">
        <f>FINANCIALS!Y11/FINANCIALS!Y4</f>
        <v>0.32478260626660532</v>
      </c>
      <c r="AD6" s="26">
        <f>FINANCIALS!Z11/FINANCIALS!Z4</f>
        <v>0.31964922548657598</v>
      </c>
      <c r="AE6" s="26">
        <f>FINANCIALS!AA11/FINANCIALS!AA4</f>
        <v>0.33517289136281569</v>
      </c>
      <c r="AF6" s="26">
        <f>FINANCIALS!AB11/FINANCIALS!AB4</f>
        <v>0.34085623138056426</v>
      </c>
      <c r="AG6" s="26">
        <f>FINANCIALS!AC11/FINANCIALS!AC4</f>
        <v>0.35523174684024472</v>
      </c>
      <c r="AH6" s="26">
        <f>FINANCIALS!AD11/FINANCIALS!AD4</f>
        <v>0.29640585000101005</v>
      </c>
      <c r="AI6" s="26">
        <f>FINANCIALS!AE11/FINANCIALS!AE4</f>
        <v>0.31077785567022137</v>
      </c>
      <c r="AJ6" s="26">
        <f>FINANCIALS!AF11/FINANCIALS!AF4</f>
        <v>0.33164368007369055</v>
      </c>
      <c r="AK6" s="26">
        <f>FINANCIALS!AG11/FINANCIALS!AG4</f>
        <v>0.3415341164468001</v>
      </c>
      <c r="AL6" s="26">
        <f>FINANCIALS!AH11/FINANCIALS!AH4</f>
        <v>0.34360016526341985</v>
      </c>
      <c r="AM6" s="26">
        <f>FINANCIALS!AI11/FINANCIALS!AI4</f>
        <v>0.3477148510838341</v>
      </c>
      <c r="AN6" s="26">
        <f>FINANCIALS!AJ11/FINANCIALS!AJ4</f>
        <v>0.35397282760929111</v>
      </c>
      <c r="AO6" s="26">
        <f>FINANCIALS!AK11/FINANCIALS!AK4</f>
        <v>0.35832093802617099</v>
      </c>
      <c r="AP6" s="26">
        <f>FINANCIALS!AL11/FINANCIALS!AL4</f>
        <v>0.36182759032340889</v>
      </c>
      <c r="AQ6" s="26">
        <f>FINANCIALS!AM11/FINANCIALS!AM4</f>
        <v>0.36638378424399065</v>
      </c>
    </row>
    <row r="7" spans="1:43" ht="14.25">
      <c r="A7" s="8">
        <v>1.3</v>
      </c>
      <c r="B7" s="8" t="s">
        <v>167</v>
      </c>
      <c r="C7" s="13" t="s">
        <v>168</v>
      </c>
      <c r="D7" s="26" t="e">
        <f>FINANCIALS!#REF!/FINANCIALS!#REF!</f>
        <v>#REF!</v>
      </c>
      <c r="E7" s="26" t="e">
        <f>FINANCIALS!#REF!/FINANCIALS!#REF!</f>
        <v>#REF!</v>
      </c>
      <c r="F7" s="26" t="e">
        <f>FINANCIALS!#REF!/FINANCIALS!#REF!</f>
        <v>#REF!</v>
      </c>
      <c r="G7" s="26">
        <f>FINANCIALS!C11/FINANCIALS!C5</f>
        <v>0.37035792164878567</v>
      </c>
      <c r="H7" s="26">
        <f>FINANCIALS!D11/FINANCIALS!D5</f>
        <v>0.39977270791038627</v>
      </c>
      <c r="I7" s="26">
        <f>FINANCIALS!E11/FINANCIALS!E5</f>
        <v>0.41491121219645521</v>
      </c>
      <c r="J7" s="26">
        <f>FINANCIALS!F11/FINANCIALS!F5</f>
        <v>0.42841678452894222</v>
      </c>
      <c r="K7" s="26">
        <f>FINANCIALS!G11/FINANCIALS!G5</f>
        <v>0.43540209085855847</v>
      </c>
      <c r="L7" s="26">
        <f>FINANCIALS!H11/FINANCIALS!H5</f>
        <v>0.45150576669446707</v>
      </c>
      <c r="M7" s="26">
        <f>FINANCIALS!I11/FINANCIALS!I5</f>
        <v>0.46585036676244945</v>
      </c>
      <c r="N7" s="26">
        <f>FINANCIALS!J11/FINANCIALS!J5</f>
        <v>0.47862723317654954</v>
      </c>
      <c r="O7" s="26">
        <f>FINANCIALS!K11/FINANCIALS!K5</f>
        <v>0.49321121303823051</v>
      </c>
      <c r="P7" s="26">
        <f>FINANCIALS!L11/FINANCIALS!L5</f>
        <v>0.50724686129546881</v>
      </c>
      <c r="Q7" s="26">
        <f>FINANCIALS!M11/FINANCIALS!M5</f>
        <v>0.50724686129546881</v>
      </c>
      <c r="R7" s="26">
        <f>FINANCIALS!N11/FINANCIALS!N5</f>
        <v>0.53231209028480797</v>
      </c>
      <c r="S7" s="26">
        <f>FINANCIALS!O11/FINANCIALS!O5</f>
        <v>0.5480456360925513</v>
      </c>
      <c r="T7" s="26">
        <f>FINANCIALS!P11/FINANCIALS!P5</f>
        <v>0.58172232623734144</v>
      </c>
      <c r="U7" s="26">
        <f>FINANCIALS!Q11/FINANCIALS!Q5</f>
        <v>0.45602848169861537</v>
      </c>
      <c r="V7" s="26">
        <f>FINANCIALS!R11/FINANCIALS!R5</f>
        <v>0.41491121219645521</v>
      </c>
      <c r="W7" s="26">
        <f>FINANCIALS!S11/FINANCIALS!S5</f>
        <v>0.42841678452894222</v>
      </c>
      <c r="X7" s="26">
        <f>FINANCIALS!T11/FINANCIALS!T5</f>
        <v>0.43540209085855847</v>
      </c>
      <c r="Y7" s="26">
        <f>FINANCIALS!U11/FINANCIALS!U5</f>
        <v>0.45150576669446707</v>
      </c>
      <c r="Z7" s="26">
        <f>FINANCIALS!V11/FINANCIALS!V5</f>
        <v>0.46585036676244945</v>
      </c>
      <c r="AA7" s="26">
        <f>FINANCIALS!W11/FINANCIALS!W5</f>
        <v>0.47862723317654954</v>
      </c>
      <c r="AB7" s="26">
        <f>FINANCIALS!X11/FINANCIALS!X5</f>
        <v>0.49321121303823051</v>
      </c>
      <c r="AC7" s="26">
        <f>FINANCIALS!Y11/FINANCIALS!Y5</f>
        <v>0.50724686129546881</v>
      </c>
      <c r="AD7" s="26">
        <f>FINANCIALS!Z11/FINANCIALS!Z5</f>
        <v>0.50724686129546881</v>
      </c>
      <c r="AE7" s="26">
        <f>FINANCIALS!AA11/FINANCIALS!AA5</f>
        <v>0.53231209028480797</v>
      </c>
      <c r="AF7" s="26">
        <f>FINANCIALS!AB11/FINANCIALS!AB5</f>
        <v>0.5480456360925513</v>
      </c>
      <c r="AG7" s="26">
        <f>FINANCIALS!AC11/FINANCIALS!AC5</f>
        <v>0.58172232623734144</v>
      </c>
      <c r="AH7" s="26">
        <f>FINANCIALS!AD11/FINANCIALS!AD5</f>
        <v>0.48944191054205038</v>
      </c>
      <c r="AI7" s="26">
        <f>FINANCIALS!AE11/FINANCIALS!AE5</f>
        <v>0.51395833195182139</v>
      </c>
      <c r="AJ7" s="26">
        <f>FINANCIALS!AF11/FINANCIALS!AF5</f>
        <v>0.51148319143675258</v>
      </c>
      <c r="AK7" s="26">
        <f>FINANCIALS!AG11/FINANCIALS!AG5</f>
        <v>0.5346709894622147</v>
      </c>
      <c r="AL7" s="26">
        <f>FINANCIALS!AH11/FINANCIALS!AH5</f>
        <v>0.5394599014019823</v>
      </c>
      <c r="AM7" s="26">
        <f>FINANCIALS!AI11/FINANCIALS!AI5</f>
        <v>0.55568071592584389</v>
      </c>
      <c r="AN7" s="26">
        <f>FINANCIALS!AJ11/FINANCIALS!AJ5</f>
        <v>0.57101587924271002</v>
      </c>
      <c r="AO7" s="26">
        <f>FINANCIALS!AK11/FINANCIALS!AK5</f>
        <v>0.58396679029786347</v>
      </c>
      <c r="AP7" s="26">
        <f>FINANCIALS!AL11/FINANCIALS!AL5</f>
        <v>0.59412877045683188</v>
      </c>
      <c r="AQ7" s="26">
        <f>FINANCIALS!AM11/FINANCIALS!AM5</f>
        <v>0.60566106109510642</v>
      </c>
    </row>
    <row r="8" spans="1:43" ht="14.25">
      <c r="A8" s="8">
        <v>1.4</v>
      </c>
      <c r="B8" s="8" t="s">
        <v>169</v>
      </c>
      <c r="C8" s="13" t="s">
        <v>168</v>
      </c>
      <c r="D8" s="26" t="e">
        <f>FINANCIALS!#REF!/FINANCIALS!#REF!</f>
        <v>#REF!</v>
      </c>
      <c r="E8" s="26" t="e">
        <f>FINANCIALS!#REF!/FINANCIALS!#REF!</f>
        <v>#REF!</v>
      </c>
      <c r="F8" s="26" t="e">
        <f>FINANCIALS!#REF!/FINANCIALS!#REF!</f>
        <v>#REF!</v>
      </c>
      <c r="G8" s="26">
        <f>FINANCIALS!C12/FINANCIALS!C4</f>
        <v>0.19810475505875527</v>
      </c>
      <c r="H8" s="26">
        <f>FINANCIALS!D12/FINANCIALS!D4</f>
        <v>0.19839113332449965</v>
      </c>
      <c r="I8" s="26">
        <f>FINANCIALS!E12/FINANCIALS!E4</f>
        <v>0.20548919822389233</v>
      </c>
      <c r="J8" s="26">
        <f>FINANCIALS!F12/FINANCIALS!F4</f>
        <v>0.21193694818674411</v>
      </c>
      <c r="K8" s="26">
        <f>FINANCIALS!G12/FINANCIALS!G4</f>
        <v>0.23327047290463621</v>
      </c>
      <c r="L8" s="26">
        <f>FINANCIALS!H12/FINANCIALS!H4</f>
        <v>0.24144379791434156</v>
      </c>
      <c r="M8" s="26">
        <f>FINANCIALS!I12/FINANCIALS!I4</f>
        <v>0.24837904125421523</v>
      </c>
      <c r="N8" s="26">
        <f>FINANCIALS!J12/FINANCIALS!J4</f>
        <v>0.25488407822214276</v>
      </c>
      <c r="O8" s="26">
        <f>FINANCIALS!K12/FINANCIALS!K4</f>
        <v>0.2633005458102548</v>
      </c>
      <c r="P8" s="26">
        <f>FINANCIALS!L12/FINANCIALS!L4</f>
        <v>0.26937415330068792</v>
      </c>
      <c r="Q8" s="26">
        <f>FINANCIALS!M12/FINANCIALS!M4</f>
        <v>0.26511653582207417</v>
      </c>
      <c r="R8" s="26">
        <f>FINANCIALS!N12/FINANCIALS!N4</f>
        <v>0.28070366612028286</v>
      </c>
      <c r="S8" s="26">
        <f>FINANCIALS!O12/FINANCIALS!O4</f>
        <v>0.28634544800724304</v>
      </c>
      <c r="T8" s="26">
        <f>FINANCIALS!P12/FINANCIALS!P4</f>
        <v>0.29805964340645918</v>
      </c>
      <c r="U8" s="26">
        <f>FINANCIALS!Q12/FINANCIALS!Q4</f>
        <v>0.2215109776692139</v>
      </c>
      <c r="V8" s="26">
        <f>FINANCIALS!R12/FINANCIALS!R4</f>
        <v>0.20548919822389233</v>
      </c>
      <c r="W8" s="26">
        <f>FINANCIALS!S12/FINANCIALS!S4</f>
        <v>0.21193694818674411</v>
      </c>
      <c r="X8" s="26">
        <f>FINANCIALS!T12/FINANCIALS!T4</f>
        <v>0.23327047290463621</v>
      </c>
      <c r="Y8" s="26">
        <f>FINANCIALS!U12/FINANCIALS!U4</f>
        <v>0.24144379791434156</v>
      </c>
      <c r="Z8" s="26">
        <f>FINANCIALS!V12/FINANCIALS!V4</f>
        <v>0.24837904125421523</v>
      </c>
      <c r="AA8" s="26">
        <f>FINANCIALS!W12/FINANCIALS!W4</f>
        <v>0.25488407822214276</v>
      </c>
      <c r="AB8" s="26">
        <f>FINANCIALS!X12/FINANCIALS!X4</f>
        <v>0.2633005458102548</v>
      </c>
      <c r="AC8" s="26">
        <f>FINANCIALS!Y12/FINANCIALS!Y4</f>
        <v>0.26937415330068792</v>
      </c>
      <c r="AD8" s="26">
        <f>FINANCIALS!Z12/FINANCIALS!Z4</f>
        <v>0.26511653582207417</v>
      </c>
      <c r="AE8" s="26">
        <f>FINANCIALS!AA12/FINANCIALS!AA4</f>
        <v>0.28070366612028286</v>
      </c>
      <c r="AF8" s="26">
        <f>FINANCIALS!AB12/FINANCIALS!AB4</f>
        <v>0.28634544800724304</v>
      </c>
      <c r="AG8" s="26">
        <f>FINANCIALS!AC12/FINANCIALS!AC4</f>
        <v>0.29805964340645918</v>
      </c>
      <c r="AH8" s="26">
        <f>FINANCIALS!AD12/FINANCIALS!AD4</f>
        <v>0.23798308320370218</v>
      </c>
      <c r="AI8" s="26">
        <f>FINANCIALS!AE12/FINANCIALS!AE4</f>
        <v>0.25246038975278834</v>
      </c>
      <c r="AJ8" s="26">
        <f>FINANCIALS!AF12/FINANCIALS!AF4</f>
        <v>0.2705833924199767</v>
      </c>
      <c r="AK8" s="26">
        <f>FINANCIALS!AG12/FINANCIALS!AG4</f>
        <v>0.27863900858210933</v>
      </c>
      <c r="AL8" s="26">
        <f>FINANCIALS!AH12/FINANCIALS!AH4</f>
        <v>0.27917145125022635</v>
      </c>
      <c r="AM8" s="26">
        <f>FINANCIALS!AI12/FINANCIALS!AI4</f>
        <v>0.2837464498224796</v>
      </c>
      <c r="AN8" s="26">
        <f>FINANCIALS!AJ12/FINANCIALS!AJ4</f>
        <v>0.29023547426813434</v>
      </c>
      <c r="AO8" s="26">
        <f>FINANCIALS!AK12/FINANCIALS!AK4</f>
        <v>0.29495309348708032</v>
      </c>
      <c r="AP8" s="26">
        <f>FINANCIALS!AL12/FINANCIALS!AL4</f>
        <v>0.29865489052396993</v>
      </c>
      <c r="AQ8" s="26">
        <f>FINANCIALS!AM12/FINANCIALS!AM4</f>
        <v>0.30354764790800165</v>
      </c>
    </row>
    <row r="9" spans="1:43" ht="14.25">
      <c r="A9" s="10"/>
      <c r="B9" s="8"/>
      <c r="C9" s="14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</row>
    <row r="10" spans="1:43" ht="14.25">
      <c r="A10" s="12">
        <v>2</v>
      </c>
      <c r="B10" s="10" t="s">
        <v>170</v>
      </c>
      <c r="C10" s="10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</row>
    <row r="11" spans="1:43" ht="14.25">
      <c r="A11" s="9">
        <v>2.1</v>
      </c>
      <c r="B11" s="10" t="s">
        <v>171</v>
      </c>
      <c r="C11" s="10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</row>
    <row r="12" spans="1:43" ht="14.25">
      <c r="A12" s="15" t="s">
        <v>172</v>
      </c>
      <c r="B12" s="8" t="s">
        <v>173</v>
      </c>
      <c r="C12" s="13" t="s">
        <v>174</v>
      </c>
      <c r="D12" s="26" t="e">
        <f>FINANCIALS!#REF!/FINANCIALS!#REF!</f>
        <v>#REF!</v>
      </c>
      <c r="E12" s="26" t="e">
        <f>FINANCIALS!#REF!/FINANCIALS!#REF!</f>
        <v>#REF!</v>
      </c>
      <c r="F12" s="26" t="e">
        <f>FINANCIALS!#REF!/FINANCIALS!#REF!</f>
        <v>#REF!</v>
      </c>
      <c r="G12" s="26">
        <f>FINANCIALS!C31/FINANCIALS!C4</f>
        <v>5.4723177009095431E-2</v>
      </c>
      <c r="H12" s="26">
        <f>FINANCIALS!D31/FINANCIALS!D4</f>
        <v>4.9315726940488122E-2</v>
      </c>
      <c r="I12" s="26">
        <f>FINANCIALS!E31/FINANCIALS!E4</f>
        <v>4.8088834750635058E-2</v>
      </c>
      <c r="J12" s="26">
        <f>FINANCIALS!F31/FINANCIALS!F4</f>
        <v>4.7220599132346955E-2</v>
      </c>
      <c r="K12" s="26">
        <f>FINANCIALS!G31/FINANCIALS!G4</f>
        <v>4.8117906376554533E-2</v>
      </c>
      <c r="L12" s="26">
        <f>FINANCIALS!H31/FINANCIALS!H4</f>
        <v>4.8199867715255244E-2</v>
      </c>
      <c r="M12" s="26">
        <f>FINANCIALS!I31/FINANCIALS!I4</f>
        <v>4.7552550683505702E-2</v>
      </c>
      <c r="N12" s="26">
        <f>FINANCIALS!J31/FINANCIALS!J4</f>
        <v>4.6833091284998157E-2</v>
      </c>
      <c r="O12" s="26">
        <f>FINANCIALS!K31/FINANCIALS!K4</f>
        <v>4.8023525871663884E-2</v>
      </c>
      <c r="P12" s="26">
        <f>FINANCIALS!L31/FINANCIALS!L4</f>
        <v>4.7365023652830782E-2</v>
      </c>
      <c r="Q12" s="26">
        <f>FINANCIALS!M31/FINANCIALS!M4</f>
        <v>4.64411072900065E-2</v>
      </c>
      <c r="R12" s="26">
        <f>FINANCIALS!N31/FINANCIALS!N4</f>
        <v>4.9936311658223868E-2</v>
      </c>
      <c r="S12" s="26">
        <f>FINANCIALS!O31/FINANCIALS!O4</f>
        <v>5.1210783397992225E-2</v>
      </c>
      <c r="T12" s="26">
        <f>FINANCIALS!P31/FINANCIALS!P4</f>
        <v>5.4983690466530163E-2</v>
      </c>
      <c r="U12" s="26">
        <f>FINANCIALS!Q31/FINANCIALS!Q4</f>
        <v>5.4097507019851214E-2</v>
      </c>
      <c r="V12" s="26">
        <f>FINANCIALS!R31/FINANCIALS!R4</f>
        <v>4.8088834750635058E-2</v>
      </c>
      <c r="W12" s="26">
        <f>FINANCIALS!S31/FINANCIALS!S4</f>
        <v>4.7220599132346955E-2</v>
      </c>
      <c r="X12" s="26">
        <f>FINANCIALS!T31/FINANCIALS!T4</f>
        <v>4.8117906376554533E-2</v>
      </c>
      <c r="Y12" s="26">
        <f>FINANCIALS!U31/FINANCIALS!U4</f>
        <v>4.8199867715255244E-2</v>
      </c>
      <c r="Z12" s="26">
        <f>FINANCIALS!V31/FINANCIALS!V4</f>
        <v>4.7552550683505702E-2</v>
      </c>
      <c r="AA12" s="26">
        <f>FINANCIALS!W31/FINANCIALS!W4</f>
        <v>4.6833091284998157E-2</v>
      </c>
      <c r="AB12" s="26">
        <f>FINANCIALS!X31/FINANCIALS!X4</f>
        <v>4.8023525871663884E-2</v>
      </c>
      <c r="AC12" s="26">
        <f>FINANCIALS!Y31/FINANCIALS!Y4</f>
        <v>4.7365023652830782E-2</v>
      </c>
      <c r="AD12" s="26">
        <f>FINANCIALS!Z31/FINANCIALS!Z4</f>
        <v>4.64411072900065E-2</v>
      </c>
      <c r="AE12" s="26">
        <f>FINANCIALS!AA31/FINANCIALS!AA4</f>
        <v>4.9936311658223868E-2</v>
      </c>
      <c r="AF12" s="26">
        <f>FINANCIALS!AB31/FINANCIALS!AB4</f>
        <v>5.1210783397992225E-2</v>
      </c>
      <c r="AG12" s="26">
        <f>FINANCIALS!AC31/FINANCIALS!AC4</f>
        <v>5.4983690466530163E-2</v>
      </c>
      <c r="AH12" s="26">
        <f>FINANCIALS!AD31/FINANCIALS!AD4</f>
        <v>8.0217680988482629E-2</v>
      </c>
      <c r="AI12" s="26">
        <f>FINANCIALS!AE31/FINANCIALS!AE4</f>
        <v>9.079461222466588E-2</v>
      </c>
      <c r="AJ12" s="26">
        <f>FINANCIALS!AF31/FINANCIALS!AF4</f>
        <v>0.10447817019534787</v>
      </c>
      <c r="AK12" s="26">
        <f>FINANCIALS!AG31/FINANCIALS!AG4</f>
        <v>0.11139512211783299</v>
      </c>
      <c r="AL12" s="26">
        <f>FINANCIALS!AH31/FINANCIALS!AH4</f>
        <v>0.11371782555954459</v>
      </c>
      <c r="AM12" s="26">
        <f>FINANCIALS!AI31/FINANCIALS!AI4</f>
        <v>0.12220888232165429</v>
      </c>
      <c r="AN12" s="26">
        <f>FINANCIALS!AJ31/FINANCIALS!AJ4</f>
        <v>0.1210241287995987</v>
      </c>
      <c r="AO12" s="26">
        <f>FINANCIALS!AK31/FINANCIALS!AK4</f>
        <v>0.12585328569177398</v>
      </c>
      <c r="AP12" s="26">
        <f>FINANCIALS!AL31/FINANCIALS!AL4</f>
        <v>0.12751681980649446</v>
      </c>
      <c r="AQ12" s="26">
        <f>FINANCIALS!AM31/FINANCIALS!AM4</f>
        <v>0.13573533660075873</v>
      </c>
    </row>
    <row r="13" spans="1:43" ht="14.25">
      <c r="A13" s="15" t="s">
        <v>175</v>
      </c>
      <c r="B13" s="8" t="s">
        <v>176</v>
      </c>
      <c r="C13" s="13" t="s">
        <v>177</v>
      </c>
      <c r="D13" s="26" t="e">
        <f>FINANCIALS!#REF!/FINANCIALS!#REF!</f>
        <v>#REF!</v>
      </c>
      <c r="E13" s="26" t="e">
        <f>FINANCIALS!#REF!/FINANCIALS!#REF!</f>
        <v>#REF!</v>
      </c>
      <c r="F13" s="26" t="e">
        <f>FINANCIALS!#REF!/FINANCIALS!#REF!</f>
        <v>#REF!</v>
      </c>
      <c r="G13" s="26">
        <f>FINANCIALS!C32/FINANCIALS!C4</f>
        <v>3.6276690865280118E-3</v>
      </c>
      <c r="H13" s="26">
        <f>FINANCIALS!D32/FINANCIALS!D4</f>
        <v>2.6026481168559428E-3</v>
      </c>
      <c r="I13" s="26">
        <f>FINANCIALS!E32/FINANCIALS!E4</f>
        <v>2.508430220877511E-3</v>
      </c>
      <c r="J13" s="26">
        <f>FINANCIALS!F32/FINANCIALS!F4</f>
        <v>2.4789934097804588E-3</v>
      </c>
      <c r="K13" s="26">
        <f>FINANCIALS!G32/FINANCIALS!G4</f>
        <v>2.7290014022416172E-3</v>
      </c>
      <c r="L13" s="26">
        <f>FINANCIALS!H32/FINANCIALS!H4</f>
        <v>2.6258575690454172E-3</v>
      </c>
      <c r="M13" s="26">
        <f>FINANCIALS!I32/FINANCIALS!I4</f>
        <v>2.5221986004422712E-3</v>
      </c>
      <c r="N13" s="26">
        <f>FINANCIALS!J32/FINANCIALS!J4</f>
        <v>2.5886679038013794E-3</v>
      </c>
      <c r="O13" s="26">
        <f>FINANCIALS!K32/FINANCIALS!K4</f>
        <v>2.5728066081553745E-3</v>
      </c>
      <c r="P13" s="26">
        <f>FINANCIALS!L32/FINANCIALS!L4</f>
        <v>2.5410501712173701E-3</v>
      </c>
      <c r="Q13" s="26">
        <f>FINANCIALS!M32/FINANCIALS!M4</f>
        <v>2.4223816552504966E-3</v>
      </c>
      <c r="R13" s="26">
        <f>FINANCIALS!N32/FINANCIALS!N4</f>
        <v>2.3874943116876843E-3</v>
      </c>
      <c r="S13" s="26">
        <f>FINANCIALS!O32/FINANCIALS!O4</f>
        <v>2.3654115459987211E-3</v>
      </c>
      <c r="T13" s="26">
        <f>FINANCIALS!P32/FINANCIALS!P4</f>
        <v>8.3395599082426268E-3</v>
      </c>
      <c r="U13" s="26">
        <f>FINANCIALS!Q32/FINANCIALS!Q4</f>
        <v>8.3432102025126232E-3</v>
      </c>
      <c r="V13" s="26">
        <f>FINANCIALS!R32/FINANCIALS!R4</f>
        <v>2.508430220877511E-3</v>
      </c>
      <c r="W13" s="26">
        <f>FINANCIALS!S32/FINANCIALS!S4</f>
        <v>2.4789934097804588E-3</v>
      </c>
      <c r="X13" s="26">
        <f>FINANCIALS!T32/FINANCIALS!T4</f>
        <v>2.7290014022416172E-3</v>
      </c>
      <c r="Y13" s="26">
        <f>FINANCIALS!U32/FINANCIALS!U4</f>
        <v>2.6258575690454172E-3</v>
      </c>
      <c r="Z13" s="26">
        <f>FINANCIALS!V32/FINANCIALS!V4</f>
        <v>2.5221986004422712E-3</v>
      </c>
      <c r="AA13" s="26">
        <f>FINANCIALS!W32/FINANCIALS!W4</f>
        <v>2.5886679038013794E-3</v>
      </c>
      <c r="AB13" s="26">
        <f>FINANCIALS!X32/FINANCIALS!X4</f>
        <v>2.5728066081553745E-3</v>
      </c>
      <c r="AC13" s="26">
        <f>FINANCIALS!Y32/FINANCIALS!Y4</f>
        <v>2.5410501712173701E-3</v>
      </c>
      <c r="AD13" s="26">
        <f>FINANCIALS!Z32/FINANCIALS!Z4</f>
        <v>2.4223816552504966E-3</v>
      </c>
      <c r="AE13" s="26">
        <f>FINANCIALS!AA32/FINANCIALS!AA4</f>
        <v>2.3874943116876843E-3</v>
      </c>
      <c r="AF13" s="26">
        <f>FINANCIALS!AB32/FINANCIALS!AB4</f>
        <v>2.3654115459987211E-3</v>
      </c>
      <c r="AG13" s="26">
        <f>FINANCIALS!AC32/FINANCIALS!AC4</f>
        <v>8.3395599082426268E-3</v>
      </c>
      <c r="AH13" s="26">
        <f>FINANCIALS!AD32/FINANCIALS!AD4</f>
        <v>3.8860470261000639E-2</v>
      </c>
      <c r="AI13" s="26">
        <f>FINANCIALS!AE32/FINANCIALS!AE4</f>
        <v>5.0656476553466966E-2</v>
      </c>
      <c r="AJ13" s="26">
        <f>FINANCIALS!AF32/FINANCIALS!AF4</f>
        <v>6.5177316303128521E-2</v>
      </c>
      <c r="AK13" s="26">
        <f>FINANCIALS!AG32/FINANCIALS!AG4</f>
        <v>7.3292308230803516E-2</v>
      </c>
      <c r="AL13" s="26">
        <f>FINANCIALS!AH32/FINANCIALS!AH4</f>
        <v>7.3578630541018805E-2</v>
      </c>
      <c r="AM13" s="26">
        <f>FINANCIALS!AI32/FINANCIALS!AI4</f>
        <v>8.5068551614741486E-2</v>
      </c>
      <c r="AN13" s="26">
        <f>FINANCIALS!AJ32/FINANCIALS!AJ4</f>
        <v>8.5124205469493897E-2</v>
      </c>
      <c r="AO13" s="26">
        <f>FINANCIALS!AK32/FINANCIALS!AK4</f>
        <v>9.0211294425391303E-2</v>
      </c>
      <c r="AP13" s="26">
        <f>FINANCIALS!AL32/FINANCIALS!AL4</f>
        <v>9.385855512000256E-2</v>
      </c>
      <c r="AQ13" s="26">
        <f>FINANCIALS!AM32/FINANCIALS!AM4</f>
        <v>0.10213212998479387</v>
      </c>
    </row>
    <row r="14" spans="1:43" ht="14.25">
      <c r="A14" s="15"/>
      <c r="B14" s="8"/>
      <c r="C14" s="13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</row>
    <row r="15" spans="1:43" ht="14.25">
      <c r="A15" s="15">
        <v>2.2000000000000002</v>
      </c>
      <c r="B15" s="10" t="s">
        <v>178</v>
      </c>
      <c r="C15" s="13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</row>
    <row r="16" spans="1:43" ht="14.25">
      <c r="A16" s="15" t="s">
        <v>179</v>
      </c>
      <c r="B16" s="8" t="s">
        <v>180</v>
      </c>
      <c r="C16" s="13" t="s">
        <v>177</v>
      </c>
      <c r="D16" s="26" t="e">
        <f>(SFP!#REF!+SFP!#REF!)/FINANCIALS!#REF!</f>
        <v>#REF!</v>
      </c>
      <c r="E16" s="26" t="e">
        <f>(SFP!#REF!+SFP!#REF!)/FINANCIALS!#REF!</f>
        <v>#REF!</v>
      </c>
      <c r="F16" s="26" t="e">
        <f>(SFP!#REF!+SFP!#REF!)/FINANCIALS!#REF!</f>
        <v>#REF!</v>
      </c>
      <c r="G16" s="26">
        <f>(SFP!C18+SFP!C20)/FINANCIALS!C5</f>
        <v>5.45602193395321E-3</v>
      </c>
      <c r="H16" s="26">
        <f>(SFP!D18+SFP!D20)/FINANCIALS!D5</f>
        <v>3.4784130555338966E-2</v>
      </c>
      <c r="I16" s="26" t="e">
        <f>(SFP!#REF!+SFP!#REF!)/FINANCIALS!E5</f>
        <v>#REF!</v>
      </c>
      <c r="J16" s="26">
        <f>(SFP!E18+SFP!E20)/FINANCIALS!F5</f>
        <v>3.725308974079667E-2</v>
      </c>
      <c r="K16" s="26">
        <f>(SFP!F18+SFP!F20)/FINANCIALS!G5</f>
        <v>3.6298165623963909E-2</v>
      </c>
      <c r="L16" s="26">
        <f>(SFP!G18+SFP!G20)/FINANCIALS!H5</f>
        <v>3.6112044053814012E-2</v>
      </c>
      <c r="M16" s="26">
        <f>(SFP!H18+SFP!H20)/FINANCIALS!I5</f>
        <v>3.5894567462148169E-2</v>
      </c>
      <c r="N16" s="26">
        <f>(SFP!I18+SFP!I20)/FINANCIALS!J5</f>
        <v>3.5466287068940096E-2</v>
      </c>
      <c r="O16" s="26">
        <f>(SFP!J18+SFP!J20)/FINANCIALS!K5</f>
        <v>3.5263443772116682E-2</v>
      </c>
      <c r="P16" s="26">
        <f>(SFP!K18+SFP!K20)/FINANCIALS!L5</f>
        <v>3.5140763272985563E-2</v>
      </c>
      <c r="Q16" s="26">
        <f>(SFP!L18+SFP!L20)/FINANCIALS!M5</f>
        <v>3.5140763272985563E-2</v>
      </c>
      <c r="R16" s="26">
        <f>(SFP!M18+SFP!M20)/FINANCIALS!N5</f>
        <v>3.4662724827353865E-2</v>
      </c>
      <c r="S16" s="26">
        <f>(SFP!N18+SFP!N20)/FINANCIALS!O5</f>
        <v>3.4767631648362482E-2</v>
      </c>
      <c r="T16" s="26">
        <f>(SFP!O18+SFP!O20)/FINANCIALS!P5</f>
        <v>3.5781152266897882E-2</v>
      </c>
      <c r="U16" s="26">
        <f>(SFP!P18+SFP!P20)/FINANCIALS!Q5</f>
        <v>3.5781249209800033E-2</v>
      </c>
      <c r="V16" s="26">
        <f>(SFP!Q18+SFP!Q20)/FINANCIALS!R5</f>
        <v>3.4648115934833641E-2</v>
      </c>
      <c r="W16" s="26">
        <f>(SFP!R18+SFP!R20)/FINANCIALS!S5</f>
        <v>3.725308974079667E-2</v>
      </c>
      <c r="X16" s="26">
        <f>(SFP!S18+SFP!S20)/FINANCIALS!T5</f>
        <v>3.6298165623963909E-2</v>
      </c>
      <c r="Y16" s="26">
        <f>(SFP!T18+SFP!T20)/FINANCIALS!U5</f>
        <v>3.6112044053814012E-2</v>
      </c>
      <c r="Z16" s="26">
        <f>(SFP!U18+SFP!U20)/FINANCIALS!V5</f>
        <v>3.5894567462148169E-2</v>
      </c>
      <c r="AA16" s="26">
        <f>(SFP!V18+SFP!V20)/FINANCIALS!W5</f>
        <v>3.5466287068940096E-2</v>
      </c>
      <c r="AB16" s="26">
        <f>(SFP!W18+SFP!W20)/FINANCIALS!X5</f>
        <v>3.5263443772116682E-2</v>
      </c>
      <c r="AC16" s="26">
        <f>(SFP!X18+SFP!X20)/FINANCIALS!Y5</f>
        <v>3.5140763272985563E-2</v>
      </c>
      <c r="AD16" s="26">
        <f>(SFP!Y18+SFP!Y20)/FINANCIALS!Z5</f>
        <v>3.5140763272985563E-2</v>
      </c>
      <c r="AE16" s="26">
        <f>(SFP!Z18+SFP!Z20)/FINANCIALS!AA5</f>
        <v>3.4662724827353865E-2</v>
      </c>
      <c r="AF16" s="26">
        <f>(SFP!AA18+SFP!AA20)/FINANCIALS!AB5</f>
        <v>3.4767631648362482E-2</v>
      </c>
      <c r="AG16" s="26">
        <f>(SFP!AB18+SFP!AB20)/FINANCIALS!AC5</f>
        <v>3.5781152266897882E-2</v>
      </c>
      <c r="AH16" s="26">
        <f>(SFP!AC18+SFP!AC20)/FINANCIALS!AD5</f>
        <v>3.2440768951843411E-2</v>
      </c>
      <c r="AI16" s="26" t="e">
        <f>(SFP!AD18+SFP!AD20)/FINANCIALS!AE5</f>
        <v>#VALUE!</v>
      </c>
      <c r="AJ16" s="26">
        <f>(SFP!AE18+SFP!AE20)/FINANCIALS!AF5</f>
        <v>1.3039867973542282E-2</v>
      </c>
      <c r="AK16" s="26">
        <f>(SFP!AF18+SFP!AF20)/FINANCIALS!AG5</f>
        <v>1.3198894009646493E-2</v>
      </c>
      <c r="AL16" s="26">
        <f>(SFP!AG18+SFP!AG20)/FINANCIALS!AH5</f>
        <v>1.3171459575015688E-2</v>
      </c>
      <c r="AM16" s="26">
        <f>(SFP!AH18+SFP!AH20)/FINANCIALS!AI5</f>
        <v>1.3179007383126282E-2</v>
      </c>
      <c r="AN16" s="26">
        <f>(SFP!AI18+SFP!AI20)/FINANCIALS!AJ5</f>
        <v>1.3102166049552621E-2</v>
      </c>
      <c r="AO16" s="26">
        <f>(SFP!AJ18+SFP!AJ20)/FINANCIALS!AK5</f>
        <v>1.3049970961974678E-2</v>
      </c>
      <c r="AP16" s="26">
        <f>(SFP!AK18+SFP!AK20)/FINANCIALS!AL5</f>
        <v>1.2947183209208462E-2</v>
      </c>
      <c r="AQ16" s="26">
        <f>(SFP!AL18+SFP!AL20)/FINANCIALS!AM5</f>
        <v>1.285046429100104E-2</v>
      </c>
    </row>
    <row r="17" spans="1:43" ht="14.25">
      <c r="A17" s="15" t="s">
        <v>181</v>
      </c>
      <c r="B17" s="8" t="s">
        <v>182</v>
      </c>
      <c r="C17" s="13" t="s">
        <v>183</v>
      </c>
      <c r="D17" s="26" t="e">
        <f>(SFP!#REF!+SFP!#REF!)/FINANCIALS!#REF!</f>
        <v>#REF!</v>
      </c>
      <c r="E17" s="26" t="e">
        <f>(SFP!#REF!+SFP!#REF!)/FINANCIALS!#REF!</f>
        <v>#REF!</v>
      </c>
      <c r="F17" s="26" t="e">
        <f>(SFP!#REF!+SFP!#REF!)/FINANCIALS!#REF!</f>
        <v>#REF!</v>
      </c>
      <c r="G17" s="26">
        <f>(SFP!C20+SFP!C23)/FINANCIALS!C11</f>
        <v>3.7892354371578807</v>
      </c>
      <c r="H17" s="26">
        <f>(SFP!D20+SFP!D23)/FINANCIALS!D11</f>
        <v>3.3786324765340985</v>
      </c>
      <c r="I17" s="26" t="e">
        <f>(SFP!#REF!+SFP!#REF!)/FINANCIALS!E11</f>
        <v>#REF!</v>
      </c>
      <c r="J17" s="26">
        <f>(SFP!E20+SFP!E23)/FINANCIALS!F11</f>
        <v>3.1996989386278214</v>
      </c>
      <c r="K17" s="26">
        <f>(SFP!F20+SFP!F23)/FINANCIALS!G11</f>
        <v>3.0724145619576615</v>
      </c>
      <c r="L17" s="26">
        <f>(SFP!G20+SFP!G23)/FINANCIALS!H11</f>
        <v>2.8682858085773422</v>
      </c>
      <c r="M17" s="26">
        <f>(SFP!H20+SFP!H23)/FINANCIALS!I11</f>
        <v>2.7699962149944004</v>
      </c>
      <c r="N17" s="26">
        <f>(SFP!I20+SFP!I23)/FINANCIALS!J11</f>
        <v>2.6824132364681321</v>
      </c>
      <c r="O17" s="26">
        <f>(SFP!J20+SFP!J23)/FINANCIALS!K11</f>
        <v>2.6200103220130173</v>
      </c>
      <c r="P17" s="26">
        <f>(SFP!K20+SFP!K23)/FINANCIALS!L11</f>
        <v>2.5814838676143048</v>
      </c>
      <c r="Q17" s="26">
        <f>(SFP!L20+SFP!L23)/FINANCIALS!M11</f>
        <v>2.5899765324518875</v>
      </c>
      <c r="R17" s="26">
        <f>(SFP!M20+SFP!M23)/FINANCIALS!N11</f>
        <v>2.4428853689770484</v>
      </c>
      <c r="S17" s="26">
        <f>(SFP!N20+SFP!N23)/FINANCIALS!O11</f>
        <v>2.3869793750147448</v>
      </c>
      <c r="T17" s="26">
        <f>(SFP!O20+SFP!O23)/FINANCIALS!P11</f>
        <v>2.3031071884417349</v>
      </c>
      <c r="U17" s="26">
        <f>(SFP!P20+SFP!P23)/FINANCIALS!Q11</f>
        <v>2.8974542978983306</v>
      </c>
      <c r="V17" s="26">
        <f>(SFP!Q20+SFP!Q23)/FINANCIALS!R11</f>
        <v>3.323870532570997</v>
      </c>
      <c r="W17" s="26">
        <f>(SFP!R20+SFP!R23)/FINANCIALS!S11</f>
        <v>3.1996989386278214</v>
      </c>
      <c r="X17" s="26">
        <f>(SFP!S20+SFP!S23)/FINANCIALS!T11</f>
        <v>3.0724145619576615</v>
      </c>
      <c r="Y17" s="26">
        <f>(SFP!T20+SFP!T23)/FINANCIALS!U11</f>
        <v>2.8682858085773422</v>
      </c>
      <c r="Z17" s="26">
        <f>(SFP!U20+SFP!U23)/FINANCIALS!V11</f>
        <v>2.7699962149944004</v>
      </c>
      <c r="AA17" s="26">
        <f>(SFP!V20+SFP!V23)/FINANCIALS!W11</f>
        <v>2.6824132364681321</v>
      </c>
      <c r="AB17" s="26">
        <f>(SFP!W20+SFP!W23)/FINANCIALS!X11</f>
        <v>2.6200103220130173</v>
      </c>
      <c r="AC17" s="26">
        <f>(SFP!X20+SFP!X23)/FINANCIALS!Y11</f>
        <v>2.5814838676143048</v>
      </c>
      <c r="AD17" s="26">
        <f>(SFP!Y20+SFP!Y23)/FINANCIALS!Z11</f>
        <v>2.5899765324518875</v>
      </c>
      <c r="AE17" s="26">
        <f>(SFP!Z20+SFP!Z23)/FINANCIALS!AA11</f>
        <v>2.4428853689770484</v>
      </c>
      <c r="AF17" s="26">
        <f>(SFP!AA20+SFP!AA23)/FINANCIALS!AB11</f>
        <v>2.3869793750147448</v>
      </c>
      <c r="AG17" s="26">
        <f>(SFP!AB20+SFP!AB23)/FINANCIALS!AC11</f>
        <v>2.3031071884417349</v>
      </c>
      <c r="AH17" s="26">
        <f>(SFP!AC20+SFP!AC23)/FINANCIALS!AD11</f>
        <v>2.4476146752307062</v>
      </c>
      <c r="AI17" s="26">
        <f>(SFP!AD20+SFP!AD23)/FINANCIALS!AE11</f>
        <v>2.4857699840237992</v>
      </c>
      <c r="AJ17" s="26">
        <f>(SFP!AE20+SFP!AE23)/FINANCIALS!AF11</f>
        <v>2.4753747990915405</v>
      </c>
      <c r="AK17" s="26">
        <f>(SFP!AF20+SFP!AF23)/FINANCIALS!AG11</f>
        <v>2.3488025032792939</v>
      </c>
      <c r="AL17" s="26">
        <f>(SFP!AG20+SFP!AG23)/FINANCIALS!AH11</f>
        <v>2.3317145828312129</v>
      </c>
      <c r="AM17" s="26">
        <f>(SFP!AH20+SFP!AH23)/FINANCIALS!AI11</f>
        <v>2.294825766735475</v>
      </c>
      <c r="AN17" s="26">
        <f>(SFP!AI20+SFP!AI23)/FINANCIALS!AJ11</f>
        <v>2.2504991021215996</v>
      </c>
      <c r="AO17" s="26">
        <f>(SFP!AJ20+SFP!AJ23)/FINANCIALS!AK11</f>
        <v>2.2062595372428246</v>
      </c>
      <c r="AP17" s="26">
        <f>(SFP!AK20+SFP!AK23)/FINANCIALS!AL11</f>
        <v>2.1632556799276985</v>
      </c>
      <c r="AQ17" s="26">
        <f>(SFP!AL20+SFP!AL23)/FINANCIALS!AM11</f>
        <v>2.134727791392574</v>
      </c>
    </row>
    <row r="18" spans="1:43" ht="14.25">
      <c r="A18" s="15" t="s">
        <v>184</v>
      </c>
      <c r="B18" s="8" t="s">
        <v>185</v>
      </c>
      <c r="C18" s="8"/>
      <c r="D18" s="26" t="e">
        <f>FINANCIALS!#REF!/FINANCIALS!#REF!</f>
        <v>#REF!</v>
      </c>
      <c r="E18" s="26" t="e">
        <f>FINANCIALS!#REF!/FINANCIALS!#REF!</f>
        <v>#REF!</v>
      </c>
      <c r="F18" s="26" t="e">
        <f>FINANCIALS!#REF!/FINANCIALS!#REF!</f>
        <v>#REF!</v>
      </c>
      <c r="G18" s="26">
        <f>FINANCIALS!C28/FINANCIALS!C4</f>
        <v>0.91422209485736849</v>
      </c>
      <c r="H18" s="26">
        <f>FINANCIALS!D28/FINANCIALS!D4</f>
        <v>0.8308753050342802</v>
      </c>
      <c r="I18" s="26">
        <f>FINANCIALS!E28/FINANCIALS!E4</f>
        <v>0.83704599952972947</v>
      </c>
      <c r="J18" s="26">
        <f>FINANCIALS!F28/FINANCIALS!F4</f>
        <v>0.82854059430204841</v>
      </c>
      <c r="K18" s="26">
        <f>FINANCIALS!G28/FINANCIALS!G4</f>
        <v>0.84334867910355882</v>
      </c>
      <c r="L18" s="26">
        <f>FINANCIALS!H28/FINANCIALS!H4</f>
        <v>0.83347879536726965</v>
      </c>
      <c r="M18" s="26">
        <f>FINANCIALS!I28/FINANCIALS!I4</f>
        <v>0.82658350925180191</v>
      </c>
      <c r="N18" s="26">
        <f>FINANCIALS!J28/FINANCIALS!J4</f>
        <v>0.82101155487829169</v>
      </c>
      <c r="O18" s="26">
        <f>FINANCIALS!K28/FINANCIALS!K4</f>
        <v>0.82699363713052387</v>
      </c>
      <c r="P18" s="26">
        <f>FINANCIALS!L28/FINANCIALS!L4</f>
        <v>0.81867922132498139</v>
      </c>
      <c r="Q18" s="26">
        <f>FINANCIALS!M28/FINANCIALS!M4</f>
        <v>0.80860905481416967</v>
      </c>
      <c r="R18" s="26">
        <f>FINANCIALS!N28/FINANCIALS!N4</f>
        <v>0.79938692115690857</v>
      </c>
      <c r="S18" s="26">
        <f>FINANCIALS!O28/FINANCIALS!O4</f>
        <v>0.78817249954012603</v>
      </c>
      <c r="T18" s="26">
        <f>FINANCIALS!P28/FINANCIALS!P4</f>
        <v>0.7850197878417311</v>
      </c>
      <c r="U18" s="26">
        <f>FINANCIALS!Q28/FINANCIALS!Q4</f>
        <v>0.78575599447512823</v>
      </c>
      <c r="V18" s="26">
        <f>FINANCIALS!R28/FINANCIALS!R4</f>
        <v>0.83704599952972947</v>
      </c>
      <c r="W18" s="26">
        <f>FINANCIALS!S28/FINANCIALS!S4</f>
        <v>0.82854059430204841</v>
      </c>
      <c r="X18" s="26">
        <f>FINANCIALS!T28/FINANCIALS!T4</f>
        <v>0.84334867910355882</v>
      </c>
      <c r="Y18" s="26">
        <f>FINANCIALS!U28/FINANCIALS!U4</f>
        <v>0.83347879536726965</v>
      </c>
      <c r="Z18" s="26">
        <f>FINANCIALS!V28/FINANCIALS!V4</f>
        <v>0.82658350925180191</v>
      </c>
      <c r="AA18" s="26">
        <f>FINANCIALS!W28/FINANCIALS!W4</f>
        <v>0.82101155487829169</v>
      </c>
      <c r="AB18" s="26">
        <f>FINANCIALS!X28/FINANCIALS!X4</f>
        <v>0.82699363713052387</v>
      </c>
      <c r="AC18" s="26">
        <f>FINANCIALS!Y28/FINANCIALS!Y4</f>
        <v>0.81867922132498139</v>
      </c>
      <c r="AD18" s="26">
        <f>FINANCIALS!Z28/FINANCIALS!Z4</f>
        <v>0.80860905481416967</v>
      </c>
      <c r="AE18" s="26">
        <f>FINANCIALS!AA28/FINANCIALS!AA4</f>
        <v>0.79938692115690857</v>
      </c>
      <c r="AF18" s="26">
        <f>FINANCIALS!AB28/FINANCIALS!AB4</f>
        <v>0.78817249954012603</v>
      </c>
      <c r="AG18" s="26">
        <f>FINANCIALS!AC28/FINANCIALS!AC4</f>
        <v>0.7850197878417311</v>
      </c>
      <c r="AH18" s="26">
        <f>FINANCIALS!AD28/FINANCIALS!AD4</f>
        <v>0.77073894840899393</v>
      </c>
      <c r="AI18" s="26">
        <f>FINANCIALS!AE28/FINANCIALS!AE4</f>
        <v>0.78009297835294489</v>
      </c>
      <c r="AJ18" s="26">
        <f>FINANCIALS!AF28/FINANCIALS!AF4</f>
        <v>0.79601366852841404</v>
      </c>
      <c r="AK18" s="26">
        <f>FINANCIALS!AG28/FINANCIALS!AG4</f>
        <v>0.79673533034603761</v>
      </c>
      <c r="AL18" s="26">
        <f>FINANCIALS!AH28/FINANCIALS!AH4</f>
        <v>0.80335718351330199</v>
      </c>
      <c r="AM18" s="26">
        <f>FINANCIALS!AI28/FINANCIALS!AI4</f>
        <v>0.80059687862861506</v>
      </c>
      <c r="AN18" s="26">
        <f>FINANCIALS!AJ28/FINANCIALS!AJ4</f>
        <v>0.79364189504052907</v>
      </c>
      <c r="AO18" s="26">
        <f>FINANCIALS!AK28/FINANCIALS!AK4</f>
        <v>0.78688199640848466</v>
      </c>
      <c r="AP18" s="26">
        <f>FINANCIALS!AL28/FINANCIALS!AL4</f>
        <v>0.7854375164047136</v>
      </c>
      <c r="AQ18" s="26">
        <f>FINANCIALS!AM28/FINANCIALS!AM4</f>
        <v>0.78012170733148245</v>
      </c>
    </row>
    <row r="19" spans="1:43" ht="14.25">
      <c r="A19" s="10"/>
      <c r="B19" s="16" t="s">
        <v>186</v>
      </c>
      <c r="C19" s="16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</row>
    <row r="20" spans="1:43" ht="14.25">
      <c r="A20" s="10"/>
      <c r="B20" s="10"/>
      <c r="C20" s="10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</row>
    <row r="21" spans="1:43" ht="14.25">
      <c r="A21" s="12">
        <v>3</v>
      </c>
      <c r="B21" s="10" t="s">
        <v>187</v>
      </c>
      <c r="C21" s="10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</row>
    <row r="22" spans="1:43" ht="14.25">
      <c r="A22" s="8">
        <v>3.1</v>
      </c>
      <c r="B22" s="8" t="s">
        <v>188</v>
      </c>
      <c r="C22" s="17"/>
      <c r="D22" s="26" t="e">
        <f>FINANCIALS!#REF!/FINANCIALS!#REF!</f>
        <v>#REF!</v>
      </c>
      <c r="E22" s="26" t="e">
        <f>FINANCIALS!#REF!/FINANCIALS!#REF!</f>
        <v>#REF!</v>
      </c>
      <c r="F22" s="26" t="e">
        <f>FINANCIALS!#REF!/FINANCIALS!#REF!</f>
        <v>#REF!</v>
      </c>
      <c r="G22" s="26">
        <f>FINANCIALS!C5/FINANCIALS!C4</f>
        <v>0.65398866529130528</v>
      </c>
      <c r="H22" s="26">
        <f>FINANCIALS!D5/FINANCIALS!D4</f>
        <v>0.63141175001753347</v>
      </c>
      <c r="I22" s="26">
        <f>FINANCIALS!E5/FINANCIALS!E4</f>
        <v>0.62496519435919151</v>
      </c>
      <c r="J22" s="26">
        <f>FINANCIALS!F5/FINANCIALS!F4</f>
        <v>0.62031578805457976</v>
      </c>
      <c r="K22" s="26">
        <f>FINANCIALS!G5/FINANCIALS!G4</f>
        <v>0.66645536597775534</v>
      </c>
      <c r="L22" s="26">
        <f>FINANCIALS!H5/FINANCIALS!H4</f>
        <v>0.66038524722864</v>
      </c>
      <c r="M22" s="26">
        <f>FINANCIALS!I5/FINANCIALS!I4</f>
        <v>0.65420911297106688</v>
      </c>
      <c r="N22" s="26">
        <f>FINANCIALS!J5/FINANCIALS!J4</f>
        <v>0.64943924388512275</v>
      </c>
      <c r="O22" s="26">
        <f>FINANCIALS!K5/FINANCIALS!K4</f>
        <v>0.64671650496017108</v>
      </c>
      <c r="P22" s="26">
        <f>FINANCIALS!L5/FINANCIALS!L4</f>
        <v>0.64028509794449184</v>
      </c>
      <c r="Q22" s="26">
        <f>FINANCIALS!M5/FINANCIALS!M4</f>
        <v>0.63016501407266845</v>
      </c>
      <c r="R22" s="26">
        <f>FINANCIALS!N5/FINANCIALS!N4</f>
        <v>0.62965485375972763</v>
      </c>
      <c r="S22" s="26">
        <f>FINANCIALS!O5/FINANCIALS!O4</f>
        <v>0.62194862787485472</v>
      </c>
      <c r="T22" s="26">
        <f>FINANCIALS!P5/FINANCIALS!P4</f>
        <v>0.6106551714078633</v>
      </c>
      <c r="U22" s="26">
        <f>FINANCIALS!Q5/FINANCIALS!Q4</f>
        <v>0.6112259283087359</v>
      </c>
      <c r="V22" s="26">
        <f>FINANCIALS!R5/FINANCIALS!R4</f>
        <v>0.62496519435919151</v>
      </c>
      <c r="W22" s="26">
        <f>FINANCIALS!S5/FINANCIALS!S4</f>
        <v>0.62031578805457976</v>
      </c>
      <c r="X22" s="26">
        <f>FINANCIALS!T5/FINANCIALS!T4</f>
        <v>0.66645536597775534</v>
      </c>
      <c r="Y22" s="26">
        <f>FINANCIALS!U5/FINANCIALS!U4</f>
        <v>0.66038524722864</v>
      </c>
      <c r="Z22" s="26">
        <f>FINANCIALS!V5/FINANCIALS!V4</f>
        <v>0.65420911297106688</v>
      </c>
      <c r="AA22" s="26">
        <f>FINANCIALS!W5/FINANCIALS!W4</f>
        <v>0.64943924388512275</v>
      </c>
      <c r="AB22" s="26">
        <f>FINANCIALS!X5/FINANCIALS!X4</f>
        <v>0.64671650496017108</v>
      </c>
      <c r="AC22" s="26">
        <f>FINANCIALS!Y5/FINANCIALS!Y4</f>
        <v>0.64028509794449184</v>
      </c>
      <c r="AD22" s="26">
        <f>FINANCIALS!Z5/FINANCIALS!Z4</f>
        <v>0.63016501407266845</v>
      </c>
      <c r="AE22" s="26">
        <f>FINANCIALS!AA5/FINANCIALS!AA4</f>
        <v>0.62965485375972763</v>
      </c>
      <c r="AF22" s="26">
        <f>FINANCIALS!AB5/FINANCIALS!AB4</f>
        <v>0.62194862787485472</v>
      </c>
      <c r="AG22" s="26">
        <f>FINANCIALS!AC5/FINANCIALS!AC4</f>
        <v>0.6106551714078633</v>
      </c>
      <c r="AH22" s="26">
        <f>FINANCIALS!AD5/FINANCIALS!AD4</f>
        <v>0.60559965057496712</v>
      </c>
      <c r="AI22" s="26">
        <f>FINANCIALS!AE5/FINANCIALS!AE4</f>
        <v>0.60467519709234674</v>
      </c>
      <c r="AJ22" s="26">
        <f>FINANCIALS!AF5/FINANCIALS!AF4</f>
        <v>0.64839604824961272</v>
      </c>
      <c r="AK22" s="26">
        <f>FINANCIALS!AG5/FINANCIALS!AG4</f>
        <v>0.63877435502966695</v>
      </c>
      <c r="AL22" s="26">
        <f>FINANCIALS!AH5/FINANCIALS!AH4</f>
        <v>0.63693365228898413</v>
      </c>
      <c r="AM22" s="26">
        <f>FINANCIALS!AI5/FINANCIALS!AI4</f>
        <v>0.62574575852338366</v>
      </c>
      <c r="AN22" s="26">
        <f>FINANCIALS!AJ5/FINANCIALS!AJ4</f>
        <v>0.61990014722311271</v>
      </c>
      <c r="AO22" s="26">
        <f>FINANCIALS!AK5/FINANCIALS!AK4</f>
        <v>0.61359814287282066</v>
      </c>
      <c r="AP22" s="26">
        <f>FINANCIALS!AL5/FINANCIALS!AL4</f>
        <v>0.60900533405442692</v>
      </c>
      <c r="AQ22" s="26">
        <f>FINANCIALS!AM5/FINANCIALS!AM4</f>
        <v>0.60493204496509267</v>
      </c>
    </row>
    <row r="23" spans="1:43" ht="14.25">
      <c r="A23" s="8" t="s">
        <v>189</v>
      </c>
      <c r="B23" s="8" t="s">
        <v>190</v>
      </c>
      <c r="C23" s="8"/>
      <c r="D23" s="26" t="e">
        <f>FINANCIALS!#REF!/FINANCIALS!#REF!</f>
        <v>#REF!</v>
      </c>
      <c r="E23" s="26" t="e">
        <f>FINANCIALS!#REF!/FINANCIALS!#REF!</f>
        <v>#REF!</v>
      </c>
      <c r="F23" s="26" t="e">
        <f>FINANCIALS!#REF!/FINANCIALS!#REF!</f>
        <v>#REF!</v>
      </c>
      <c r="G23" s="26">
        <f>FINANCIALS!C6/FINANCIALS!C4</f>
        <v>0.62059553432098302</v>
      </c>
      <c r="H23" s="26">
        <f>FINANCIALS!D6/FINANCIALS!D4</f>
        <v>0.59992702348695082</v>
      </c>
      <c r="I23" s="26">
        <f>FINANCIALS!E6/FINANCIALS!E4</f>
        <v>0.59494050394553066</v>
      </c>
      <c r="J23" s="26">
        <f>FINANCIALS!F6/FINANCIALS!F4</f>
        <v>0.59109463438298449</v>
      </c>
      <c r="K23" s="26">
        <f>FINANCIALS!G6/FINANCIALS!G4</f>
        <v>0.62465165853001536</v>
      </c>
      <c r="L23" s="26">
        <f>FINANCIALS!H6/FINANCIALS!H4</f>
        <v>0.62040668866064208</v>
      </c>
      <c r="M23" s="26">
        <f>FINANCIALS!I6/FINANCIALS!I4</f>
        <v>0.61601260024878135</v>
      </c>
      <c r="N23" s="26">
        <f>FINANCIALS!J6/FINANCIALS!J4</f>
        <v>0.60749972901973492</v>
      </c>
      <c r="O23" s="26">
        <f>FINANCIALS!K6/FINANCIALS!K4</f>
        <v>0.60537397966866968</v>
      </c>
      <c r="P23" s="26">
        <f>FINANCIALS!L6/FINANCIALS!L4</f>
        <v>0.60141184312919527</v>
      </c>
      <c r="Q23" s="26">
        <f>FINANCIALS!M6/FINANCIALS!M4</f>
        <v>0.59190617399287704</v>
      </c>
      <c r="R23" s="26">
        <f>FINANCIALS!N6/FINANCIALS!N4</f>
        <v>0.59108940016675371</v>
      </c>
      <c r="S23" s="26">
        <f>FINANCIALS!O6/FINANCIALS!O4</f>
        <v>0.58272991797959606</v>
      </c>
      <c r="T23" s="26">
        <f>FINANCIALS!P6/FINANCIALS!P4</f>
        <v>0.58557095054118669</v>
      </c>
      <c r="U23" s="26">
        <f>FINANCIALS!Q6/FINANCIALS!Q4</f>
        <v>0.58612222346330112</v>
      </c>
      <c r="V23" s="26">
        <f>FINANCIALS!R6/FINANCIALS!R4</f>
        <v>0.59494050394553066</v>
      </c>
      <c r="W23" s="26">
        <f>FINANCIALS!S6/FINANCIALS!S4</f>
        <v>0.59109463438298449</v>
      </c>
      <c r="X23" s="26">
        <f>FINANCIALS!T6/FINANCIALS!T4</f>
        <v>0.62465165853001536</v>
      </c>
      <c r="Y23" s="26">
        <f>FINANCIALS!U6/FINANCIALS!U4</f>
        <v>0.62040668866064208</v>
      </c>
      <c r="Z23" s="26">
        <f>FINANCIALS!V6/FINANCIALS!V4</f>
        <v>0.61601260024878135</v>
      </c>
      <c r="AA23" s="26">
        <f>FINANCIALS!W6/FINANCIALS!W4</f>
        <v>0.60749972901973492</v>
      </c>
      <c r="AB23" s="26">
        <f>FINANCIALS!X6/FINANCIALS!X4</f>
        <v>0.60537397966866968</v>
      </c>
      <c r="AC23" s="26">
        <f>FINANCIALS!Y6/FINANCIALS!Y4</f>
        <v>0.60141184312919527</v>
      </c>
      <c r="AD23" s="26">
        <f>FINANCIALS!Z6/FINANCIALS!Z4</f>
        <v>0.59190617399287704</v>
      </c>
      <c r="AE23" s="26">
        <f>FINANCIALS!AA6/FINANCIALS!AA4</f>
        <v>0.59108940016675371</v>
      </c>
      <c r="AF23" s="26">
        <f>FINANCIALS!AB6/FINANCIALS!AB4</f>
        <v>0.58272991797959606</v>
      </c>
      <c r="AG23" s="26">
        <f>FINANCIALS!AC6/FINANCIALS!AC4</f>
        <v>0.58557095054118669</v>
      </c>
      <c r="AH23" s="26">
        <f>FINANCIALS!AD6/FINANCIALS!AD4</f>
        <v>0.57341633729687724</v>
      </c>
      <c r="AI23" s="26">
        <f>FINANCIALS!AE6/FINANCIALS!AE4</f>
        <v>0.57283713470780839</v>
      </c>
      <c r="AJ23" s="26">
        <f>FINANCIALS!AF6/FINANCIALS!AF4</f>
        <v>0.60110386128928284</v>
      </c>
      <c r="AK23" s="26">
        <f>FINANCIALS!AG6/FINANCIALS!AG4</f>
        <v>0.60259499734394029</v>
      </c>
      <c r="AL23" s="26">
        <f>FINANCIALS!AH6/FINANCIALS!AH4</f>
        <v>0.60137043219634911</v>
      </c>
      <c r="AM23" s="26">
        <f>FINANCIALS!AI6/FINANCIALS!AI4</f>
        <v>0.59189465704242206</v>
      </c>
      <c r="AN23" s="26">
        <f>FINANCIALS!AJ6/FINANCIALS!AJ4</f>
        <v>0.58434987564696306</v>
      </c>
      <c r="AO23" s="26">
        <f>FINANCIALS!AK6/FINANCIALS!AK4</f>
        <v>0.57848376861803941</v>
      </c>
      <c r="AP23" s="26">
        <f>FINANCIALS!AL6/FINANCIALS!AL4</f>
        <v>0.57488544091313898</v>
      </c>
      <c r="AQ23" s="26">
        <f>FINANCIALS!AM6/FINANCIALS!AM4</f>
        <v>0.57097380627796557</v>
      </c>
    </row>
    <row r="24" spans="1:43" ht="14.25">
      <c r="A24" s="8" t="s">
        <v>191</v>
      </c>
      <c r="B24" s="8" t="s">
        <v>192</v>
      </c>
      <c r="C24" s="8"/>
      <c r="D24" s="26" t="e">
        <f>FINANCIALS!#REF!/FINANCIALS!#REF!</f>
        <v>#REF!</v>
      </c>
      <c r="E24" s="26" t="e">
        <f>FINANCIALS!#REF!/FINANCIALS!#REF!</f>
        <v>#REF!</v>
      </c>
      <c r="F24" s="26" t="e">
        <f>FINANCIALS!#REF!/FINANCIALS!#REF!</f>
        <v>#REF!</v>
      </c>
      <c r="G24" s="26">
        <f>FINANCIALS!C7/FINANCIALS!C4</f>
        <v>3.3393130970322281E-2</v>
      </c>
      <c r="H24" s="26">
        <f>FINANCIALS!D7/FINANCIALS!D4</f>
        <v>3.1484726530582659E-2</v>
      </c>
      <c r="I24" s="26">
        <f>FINANCIALS!E7/FINANCIALS!E4</f>
        <v>3.0024690413660869E-2</v>
      </c>
      <c r="J24" s="26">
        <f>FINANCIALS!F7/FINANCIALS!F4</f>
        <v>2.922115367159521E-2</v>
      </c>
      <c r="K24" s="26">
        <f>FINANCIALS!G7/FINANCIALS!G4</f>
        <v>4.1803707447739966E-2</v>
      </c>
      <c r="L24" s="26">
        <f>FINANCIALS!H7/FINANCIALS!H4</f>
        <v>3.9978558567997986E-2</v>
      </c>
      <c r="M24" s="26">
        <f>FINANCIALS!I7/FINANCIALS!I4</f>
        <v>3.8196512722285532E-2</v>
      </c>
      <c r="N24" s="26">
        <f>FINANCIALS!J7/FINANCIALS!J4</f>
        <v>4.1939514865387738E-2</v>
      </c>
      <c r="O24" s="26">
        <f>FINANCIALS!K7/FINANCIALS!K4</f>
        <v>4.1342525291501446E-2</v>
      </c>
      <c r="P24" s="26">
        <f>FINANCIALS!L7/FINANCIALS!L4</f>
        <v>3.8873254815296639E-2</v>
      </c>
      <c r="Q24" s="26">
        <f>FINANCIALS!M7/FINANCIALS!M4</f>
        <v>3.8258840079791308E-2</v>
      </c>
      <c r="R24" s="26">
        <f>FINANCIALS!N7/FINANCIALS!N4</f>
        <v>3.8565453592973947E-2</v>
      </c>
      <c r="S24" s="26">
        <f>FINANCIALS!O7/FINANCIALS!O4</f>
        <v>3.9218709895258719E-2</v>
      </c>
      <c r="T24" s="26">
        <f>FINANCIALS!P7/FINANCIALS!P4</f>
        <v>2.508422086667671E-2</v>
      </c>
      <c r="U24" s="26">
        <f>FINANCIALS!Q7/FINANCIALS!Q4</f>
        <v>2.5103704845434689E-2</v>
      </c>
      <c r="V24" s="26">
        <f>FINANCIALS!R7/FINANCIALS!R4</f>
        <v>3.0024690413660869E-2</v>
      </c>
      <c r="W24" s="26">
        <f>FINANCIALS!S7/FINANCIALS!S4</f>
        <v>2.922115367159521E-2</v>
      </c>
      <c r="X24" s="26">
        <f>FINANCIALS!T7/FINANCIALS!T4</f>
        <v>4.1803707447739966E-2</v>
      </c>
      <c r="Y24" s="26">
        <f>FINANCIALS!U7/FINANCIALS!U4</f>
        <v>3.9978558567997986E-2</v>
      </c>
      <c r="Z24" s="26">
        <f>FINANCIALS!V7/FINANCIALS!V4</f>
        <v>3.8196512722285532E-2</v>
      </c>
      <c r="AA24" s="26">
        <f>FINANCIALS!W7/FINANCIALS!W4</f>
        <v>4.1939514865387738E-2</v>
      </c>
      <c r="AB24" s="26">
        <f>FINANCIALS!X7/FINANCIALS!X4</f>
        <v>4.1342525291501446E-2</v>
      </c>
      <c r="AC24" s="26">
        <f>FINANCIALS!Y7/FINANCIALS!Y4</f>
        <v>3.8873254815296639E-2</v>
      </c>
      <c r="AD24" s="26">
        <f>FINANCIALS!Z7/FINANCIALS!Z4</f>
        <v>3.8258840079791308E-2</v>
      </c>
      <c r="AE24" s="26">
        <f>FINANCIALS!AA7/FINANCIALS!AA4</f>
        <v>3.8565453592973947E-2</v>
      </c>
      <c r="AF24" s="26">
        <f>FINANCIALS!AB7/FINANCIALS!AB4</f>
        <v>3.9218709895258719E-2</v>
      </c>
      <c r="AG24" s="26">
        <f>FINANCIALS!AC7/FINANCIALS!AC4</f>
        <v>2.508422086667671E-2</v>
      </c>
      <c r="AH24" s="26">
        <f>FINANCIALS!AD7/FINANCIALS!AD4</f>
        <v>3.2183313278089855E-2</v>
      </c>
      <c r="AI24" s="26">
        <f>FINANCIALS!AE7/FINANCIALS!AE4</f>
        <v>3.1838062384538443E-2</v>
      </c>
      <c r="AJ24" s="26">
        <f>FINANCIALS!AF7/FINANCIALS!AF4</f>
        <v>4.7292186960329927E-2</v>
      </c>
      <c r="AK24" s="26">
        <f>FINANCIALS!AG7/FINANCIALS!AG4</f>
        <v>3.6179357685726707E-2</v>
      </c>
      <c r="AL24" s="26">
        <f>FINANCIALS!AH7/FINANCIALS!AH4</f>
        <v>3.5563220092634948E-2</v>
      </c>
      <c r="AM24" s="26">
        <f>FINANCIALS!AI7/FINANCIALS!AI4</f>
        <v>3.3851101480961647E-2</v>
      </c>
      <c r="AN24" s="26">
        <f>FINANCIALS!AJ7/FINANCIALS!AJ4</f>
        <v>3.5550271576149622E-2</v>
      </c>
      <c r="AO24" s="26">
        <f>FINANCIALS!AK7/FINANCIALS!AK4</f>
        <v>3.5114374254781387E-2</v>
      </c>
      <c r="AP24" s="26">
        <f>FINANCIALS!AL7/FINANCIALS!AL4</f>
        <v>3.4119893141287924E-2</v>
      </c>
      <c r="AQ24" s="26">
        <f>FINANCIALS!AM7/FINANCIALS!AM4</f>
        <v>3.3958238687127058E-2</v>
      </c>
    </row>
    <row r="25" spans="1:43" ht="14.25">
      <c r="A25" s="8">
        <v>3.2</v>
      </c>
      <c r="B25" s="8" t="s">
        <v>193</v>
      </c>
      <c r="C25" s="13" t="s">
        <v>194</v>
      </c>
      <c r="D25" s="26" t="e">
        <f>FINANCIALS!#REF!/FINANCIALS!#REF!</f>
        <v>#REF!</v>
      </c>
      <c r="E25" s="26" t="e">
        <f>FINANCIALS!#REF!/FINANCIALS!#REF!</f>
        <v>#REF!</v>
      </c>
      <c r="F25" s="26" t="e">
        <f>FINANCIALS!#REF!/FINANCIALS!#REF!</f>
        <v>#REF!</v>
      </c>
      <c r="G25" s="26">
        <f>FINANCIALS!C8/FINANCIALS!C4</f>
        <v>0</v>
      </c>
      <c r="H25" s="26">
        <f>FINANCIALS!D8/FINANCIALS!D4</f>
        <v>0</v>
      </c>
      <c r="I25" s="26">
        <f>FINANCIALS!E8/FINANCIALS!E4</f>
        <v>0</v>
      </c>
      <c r="J25" s="26">
        <f>FINANCIALS!F8/FINANCIALS!F4</f>
        <v>0</v>
      </c>
      <c r="K25" s="26">
        <f>FINANCIALS!G8/FINANCIALS!G4</f>
        <v>0</v>
      </c>
      <c r="L25" s="26">
        <f>FINANCIALS!H8/FINANCIALS!H4</f>
        <v>0</v>
      </c>
      <c r="M25" s="26">
        <f>FINANCIALS!I8/FINANCIALS!I4</f>
        <v>0</v>
      </c>
      <c r="N25" s="26">
        <f>FINANCIALS!J8/FINANCIALS!J4</f>
        <v>0</v>
      </c>
      <c r="O25" s="26">
        <f>FINANCIALS!K8/FINANCIALS!K4</f>
        <v>0</v>
      </c>
      <c r="P25" s="26">
        <f>FINANCIALS!L8/FINANCIALS!L4</f>
        <v>0</v>
      </c>
      <c r="Q25" s="26">
        <f>FINANCIALS!M8/FINANCIALS!M4</f>
        <v>0</v>
      </c>
      <c r="R25" s="26">
        <f>FINANCIALS!N8/FINANCIALS!N4</f>
        <v>0</v>
      </c>
      <c r="S25" s="26">
        <f>FINANCIALS!O8/FINANCIALS!O4</f>
        <v>0</v>
      </c>
      <c r="T25" s="26">
        <f>FINANCIALS!P8/FINANCIALS!P4</f>
        <v>0</v>
      </c>
      <c r="U25" s="26">
        <f>FINANCIALS!Q8/FINANCIALS!Q4</f>
        <v>0</v>
      </c>
      <c r="V25" s="26">
        <f>FINANCIALS!R8/FINANCIALS!R4</f>
        <v>0</v>
      </c>
      <c r="W25" s="26">
        <f>FINANCIALS!S8/FINANCIALS!S4</f>
        <v>0</v>
      </c>
      <c r="X25" s="26">
        <f>FINANCIALS!T8/FINANCIALS!T4</f>
        <v>0</v>
      </c>
      <c r="Y25" s="26">
        <f>FINANCIALS!U8/FINANCIALS!U4</f>
        <v>0</v>
      </c>
      <c r="Z25" s="26">
        <f>FINANCIALS!V8/FINANCIALS!V4</f>
        <v>0</v>
      </c>
      <c r="AA25" s="26">
        <f>FINANCIALS!W8/FINANCIALS!W4</f>
        <v>0</v>
      </c>
      <c r="AB25" s="26">
        <f>FINANCIALS!X8/FINANCIALS!X4</f>
        <v>0</v>
      </c>
      <c r="AC25" s="26">
        <f>FINANCIALS!Y8/FINANCIALS!Y4</f>
        <v>0</v>
      </c>
      <c r="AD25" s="26">
        <f>FINANCIALS!Z8/FINANCIALS!Z4</f>
        <v>0</v>
      </c>
      <c r="AE25" s="26">
        <f>FINANCIALS!AA8/FINANCIALS!AA4</f>
        <v>0</v>
      </c>
      <c r="AF25" s="26">
        <f>FINANCIALS!AB8/FINANCIALS!AB4</f>
        <v>0</v>
      </c>
      <c r="AG25" s="26">
        <f>FINANCIALS!AC8/FINANCIALS!AC4</f>
        <v>0</v>
      </c>
      <c r="AH25" s="26" t="e">
        <f>FINANCIALS!AD8/FINANCIALS!AD4</f>
        <v>#VALUE!</v>
      </c>
      <c r="AI25" s="26">
        <f>FINANCIALS!AE8/FINANCIALS!AE4</f>
        <v>0</v>
      </c>
      <c r="AJ25" s="26">
        <f>FINANCIALS!AF8/FINANCIALS!AF4</f>
        <v>0</v>
      </c>
      <c r="AK25" s="26">
        <f>FINANCIALS!AG8/FINANCIALS!AG4</f>
        <v>0</v>
      </c>
      <c r="AL25" s="26">
        <f>FINANCIALS!AH8/FINANCIALS!AH4</f>
        <v>0</v>
      </c>
      <c r="AM25" s="26">
        <f>FINANCIALS!AI8/FINANCIALS!AI4</f>
        <v>0</v>
      </c>
      <c r="AN25" s="26">
        <f>FINANCIALS!AJ8/FINANCIALS!AJ4</f>
        <v>0</v>
      </c>
      <c r="AO25" s="26">
        <f>FINANCIALS!AK8/FINANCIALS!AK4</f>
        <v>0</v>
      </c>
      <c r="AP25" s="26">
        <f>FINANCIALS!AL8/FINANCIALS!AL4</f>
        <v>0</v>
      </c>
      <c r="AQ25" s="26">
        <f>FINANCIALS!AM8/FINANCIALS!AM4</f>
        <v>0</v>
      </c>
    </row>
    <row r="26" spans="1:43" ht="14.25">
      <c r="A26" s="8">
        <v>3.3</v>
      </c>
      <c r="B26" s="8" t="s">
        <v>195</v>
      </c>
      <c r="C26" s="13" t="s">
        <v>166</v>
      </c>
      <c r="D26" s="26" t="e">
        <f>FINANCIALS!#REF!/FINANCIALS!#REF!</f>
        <v>#REF!</v>
      </c>
      <c r="E26" s="26" t="e">
        <f>FINANCIALS!#REF!/FINANCIALS!#REF!</f>
        <v>#REF!</v>
      </c>
      <c r="F26" s="26" t="e">
        <f>FINANCIALS!#REF!/FINANCIALS!#REF!</f>
        <v>#REF!</v>
      </c>
      <c r="G26" s="26">
        <f>FINANCIALS!C11/FINANCIALS!C4</f>
        <v>0.24220988285915115</v>
      </c>
      <c r="H26" s="26">
        <f>FINANCIALS!D11/FINANCIALS!D4</f>
        <v>0.25242118511094525</v>
      </c>
      <c r="I26" s="26">
        <f>FINANCIALS!E11/FINANCIALS!E4</f>
        <v>0.25930506637216538</v>
      </c>
      <c r="J26" s="26">
        <f>FINANCIALS!F11/FINANCIALS!F4</f>
        <v>0.26575369531087989</v>
      </c>
      <c r="K26" s="26">
        <f>FINANCIALS!G11/FINANCIALS!G4</f>
        <v>0.29017605981062045</v>
      </c>
      <c r="L26" s="26">
        <f>FINANCIALS!H11/FINANCIALS!H4</f>
        <v>0.29816774736368229</v>
      </c>
      <c r="M26" s="26">
        <f>FINANCIALS!I11/FINANCIALS!I4</f>
        <v>0.30476355521690823</v>
      </c>
      <c r="N26" s="26">
        <f>FINANCIALS!J11/FINANCIALS!J4</f>
        <v>0.31083930841700663</v>
      </c>
      <c r="O26" s="26">
        <f>FINANCIALS!K11/FINANCIALS!K4</f>
        <v>0.31896783190325084</v>
      </c>
      <c r="P26" s="26">
        <f>FINANCIALS!L11/FINANCIALS!L4</f>
        <v>0.32478260626660532</v>
      </c>
      <c r="Q26" s="26">
        <f>FINANCIALS!M11/FINANCIALS!M4</f>
        <v>0.31964922548657598</v>
      </c>
      <c r="R26" s="26">
        <f>FINANCIALS!N11/FINANCIALS!N4</f>
        <v>0.33517289136281569</v>
      </c>
      <c r="S26" s="26">
        <f>FINANCIALS!O11/FINANCIALS!O4</f>
        <v>0.34085623138056426</v>
      </c>
      <c r="T26" s="26">
        <f>FINANCIALS!P11/FINANCIALS!P4</f>
        <v>0.35523174684024472</v>
      </c>
      <c r="U26" s="26">
        <f>FINANCIALS!Q11/FINANCIALS!Q4</f>
        <v>0.27873643206145954</v>
      </c>
      <c r="V26" s="26">
        <f>FINANCIALS!R11/FINANCIALS!R4</f>
        <v>0.25930506637216538</v>
      </c>
      <c r="W26" s="26">
        <f>FINANCIALS!S11/FINANCIALS!S4</f>
        <v>0.26575369531087989</v>
      </c>
      <c r="X26" s="26">
        <f>FINANCIALS!T11/FINANCIALS!T4</f>
        <v>0.29017605981062045</v>
      </c>
      <c r="Y26" s="26">
        <f>FINANCIALS!U11/FINANCIALS!U4</f>
        <v>0.29816774736368229</v>
      </c>
      <c r="Z26" s="26">
        <f>FINANCIALS!V11/FINANCIALS!V4</f>
        <v>0.30476355521690823</v>
      </c>
      <c r="AA26" s="26">
        <f>FINANCIALS!W11/FINANCIALS!W4</f>
        <v>0.31083930841700663</v>
      </c>
      <c r="AB26" s="26">
        <f>FINANCIALS!X11/FINANCIALS!X4</f>
        <v>0.31896783190325084</v>
      </c>
      <c r="AC26" s="26">
        <f>FINANCIALS!Y11/FINANCIALS!Y4</f>
        <v>0.32478260626660532</v>
      </c>
      <c r="AD26" s="26">
        <f>FINANCIALS!Z11/FINANCIALS!Z4</f>
        <v>0.31964922548657598</v>
      </c>
      <c r="AE26" s="26">
        <f>FINANCIALS!AA11/FINANCIALS!AA4</f>
        <v>0.33517289136281569</v>
      </c>
      <c r="AF26" s="26">
        <f>FINANCIALS!AB11/FINANCIALS!AB4</f>
        <v>0.34085623138056426</v>
      </c>
      <c r="AG26" s="26">
        <f>FINANCIALS!AC11/FINANCIALS!AC4</f>
        <v>0.35523174684024472</v>
      </c>
      <c r="AH26" s="26">
        <f>FINANCIALS!AD11/FINANCIALS!AD4</f>
        <v>0.29640585000101005</v>
      </c>
      <c r="AI26" s="26">
        <f>FINANCIALS!AE11/FINANCIALS!AE4</f>
        <v>0.31077785567022137</v>
      </c>
      <c r="AJ26" s="26">
        <f>FINANCIALS!AF11/FINANCIALS!AF4</f>
        <v>0.33164368007369055</v>
      </c>
      <c r="AK26" s="26">
        <f>FINANCIALS!AG11/FINANCIALS!AG4</f>
        <v>0.3415341164468001</v>
      </c>
      <c r="AL26" s="26">
        <f>FINANCIALS!AH11/FINANCIALS!AH4</f>
        <v>0.34360016526341985</v>
      </c>
      <c r="AM26" s="26">
        <f>FINANCIALS!AI11/FINANCIALS!AI4</f>
        <v>0.3477148510838341</v>
      </c>
      <c r="AN26" s="26">
        <f>FINANCIALS!AJ11/FINANCIALS!AJ4</f>
        <v>0.35397282760929111</v>
      </c>
      <c r="AO26" s="26">
        <f>FINANCIALS!AK11/FINANCIALS!AK4</f>
        <v>0.35832093802617099</v>
      </c>
      <c r="AP26" s="26">
        <f>FINANCIALS!AL11/FINANCIALS!AL4</f>
        <v>0.36182759032340889</v>
      </c>
      <c r="AQ26" s="26">
        <f>FINANCIALS!AM11/FINANCIALS!AM4</f>
        <v>0.36638378424399065</v>
      </c>
    </row>
    <row r="27" spans="1:43" ht="14.25">
      <c r="A27" s="8"/>
      <c r="B27" s="8"/>
      <c r="C27" s="8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</row>
    <row r="28" spans="1:43" ht="14.25">
      <c r="A28" s="12">
        <v>4</v>
      </c>
      <c r="B28" s="10" t="s">
        <v>196</v>
      </c>
      <c r="C28" s="10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</row>
    <row r="29" spans="1:43" ht="14.25">
      <c r="A29" s="8">
        <v>4.0999999999999996</v>
      </c>
      <c r="B29" s="8" t="s">
        <v>87</v>
      </c>
      <c r="C29" s="8"/>
      <c r="D29" s="26" t="e">
        <f>(FINANCIALS!#REF!-FINANCIALS!#REF!)/FINANCIALS!#REF!</f>
        <v>#REF!</v>
      </c>
      <c r="E29" s="26" t="e">
        <f>(FINANCIALS!#REF!-FINANCIALS!#REF!)/FINANCIALS!#REF!</f>
        <v>#REF!</v>
      </c>
      <c r="F29" s="26" t="e">
        <f>(FINANCIALS!#REF!-FINANCIALS!#REF!)/FINANCIALS!#REF!</f>
        <v>#REF!</v>
      </c>
      <c r="G29" s="26" t="e">
        <f>(FINANCIALS!C4-FINANCIALS!#REF!)/FINANCIALS!#REF!</f>
        <v>#REF!</v>
      </c>
      <c r="H29" s="26">
        <f>(FINANCIALS!D4-FINANCIALS!C4)/FINANCIALS!C4</f>
        <v>0.1256557928494175</v>
      </c>
      <c r="I29" s="26">
        <f>(FINANCIALS!E4-FINANCIALS!D4)/FINANCIALS!D4</f>
        <v>1.4463988169117106E-2</v>
      </c>
      <c r="J29" s="26">
        <f>(FINANCIALS!F4-FINANCIALS!E4)/FINANCIALS!E4</f>
        <v>1.1874501554104236E-2</v>
      </c>
      <c r="K29" s="26">
        <f>(FINANCIALS!G4-FINANCIALS!F4)/FINANCIALS!F4</f>
        <v>-4.4744852882883719E-2</v>
      </c>
      <c r="L29" s="26">
        <f>(FINANCIALS!H4-FINANCIALS!G4)/FINANCIALS!G4</f>
        <v>1.4393161416430697E-2</v>
      </c>
      <c r="M29" s="26">
        <f>(FINANCIALS!I4-FINANCIALS!H4)/FINANCIALS!H4</f>
        <v>1.5556570801360243E-2</v>
      </c>
      <c r="N29" s="26">
        <f>(FINANCIALS!J4-FINANCIALS!I4)/FINANCIALS!I4</f>
        <v>1.9508991743153903E-2</v>
      </c>
      <c r="O29" s="26">
        <f>(FINANCIALS!K4-FINANCIALS!J4)/FINANCIALS!J4</f>
        <v>9.9865399378503434E-3</v>
      </c>
      <c r="P29" s="26">
        <f>(FINANCIALS!L4-FINANCIALS!K4)/FINANCIALS!K4</f>
        <v>1.3570782322992156E-2</v>
      </c>
      <c r="Q29" s="26">
        <f>(FINANCIALS!M4-FINANCIALS!L4)/FINANCIALS!L4</f>
        <v>1.6059418796386022E-2</v>
      </c>
      <c r="R29" s="26">
        <f>(FINANCIALS!N4-FINANCIALS!M4)/FINANCIALS!M4</f>
        <v>1.4612534736533274E-2</v>
      </c>
      <c r="S29" s="26">
        <f>(FINANCIALS!O4-FINANCIALS!N4)/FINANCIALS!N4</f>
        <v>9.3356970909854436E-3</v>
      </c>
      <c r="T29" s="26">
        <f>(FINANCIALS!P4-FINANCIALS!O4)/FINANCIALS!O4</f>
        <v>-1.019022800687819E-2</v>
      </c>
      <c r="U29" s="26">
        <f>(FINANCIALS!Q4-FINANCIALS!P4)/FINANCIALS!P4</f>
        <v>-9.364971861473998E-4</v>
      </c>
      <c r="V29" s="26">
        <f>(FINANCIALS!R4-FINANCIALS!Q4)/FINANCIALS!Q4</f>
        <v>-6.4846281194069544E-2</v>
      </c>
      <c r="W29" s="26">
        <f>(FINANCIALS!S4-FINANCIALS!R4)/FINANCIALS!R4</f>
        <v>1.1874501554104236E-2</v>
      </c>
      <c r="X29" s="26">
        <f>(FINANCIALS!T4-FINANCIALS!S4)/FINANCIALS!S4</f>
        <v>-4.4744852882883719E-2</v>
      </c>
      <c r="Y29" s="26">
        <f>(FINANCIALS!U4-FINANCIALS!T4)/FINANCIALS!T4</f>
        <v>1.4393161416430697E-2</v>
      </c>
      <c r="Z29" s="26">
        <f>(FINANCIALS!V4-FINANCIALS!U4)/FINANCIALS!U4</f>
        <v>1.5556570801360243E-2</v>
      </c>
      <c r="AA29" s="26">
        <f>(FINANCIALS!W4-FINANCIALS!V4)/FINANCIALS!V4</f>
        <v>1.9508991743153903E-2</v>
      </c>
      <c r="AB29" s="26">
        <f>(FINANCIALS!X4-FINANCIALS!W4)/FINANCIALS!W4</f>
        <v>9.9865399378503434E-3</v>
      </c>
      <c r="AC29" s="26">
        <f>(FINANCIALS!Y4-FINANCIALS!X4)/FINANCIALS!X4</f>
        <v>1.3570782322992156E-2</v>
      </c>
      <c r="AD29" s="26">
        <f>(FINANCIALS!Z4-FINANCIALS!Y4)/FINANCIALS!Y4</f>
        <v>1.6059418796386022E-2</v>
      </c>
      <c r="AE29" s="26">
        <f>(FINANCIALS!AA4-FINANCIALS!Z4)/FINANCIALS!Z4</f>
        <v>1.4612534736533274E-2</v>
      </c>
      <c r="AF29" s="26">
        <f>(FINANCIALS!AB4-FINANCIALS!AA4)/FINANCIALS!AA4</f>
        <v>9.3356970909854436E-3</v>
      </c>
      <c r="AG29" s="26">
        <f>(FINANCIALS!AC4-FINANCIALS!AB4)/FINANCIALS!AB4</f>
        <v>-1.019022800687819E-2</v>
      </c>
      <c r="AH29" s="26">
        <f>(FINANCIALS!AD4-FINANCIALS!AC4)/FINANCIALS!AC4</f>
        <v>0.11217622182520615</v>
      </c>
      <c r="AI29" s="26">
        <f>(FINANCIALS!AE4-FINANCIALS!AD4)/FINANCIALS!AD4</f>
        <v>8.2869428946379612E-3</v>
      </c>
      <c r="AJ29" s="26">
        <f>(FINANCIALS!AF4-FINANCIALS!AE4)/FINANCIALS!AE4</f>
        <v>-3.9870686430498611E-2</v>
      </c>
      <c r="AK29" s="26">
        <f>(FINANCIALS!AG4-FINANCIALS!AF4)/FINANCIALS!AF4</f>
        <v>2.8328228949116986E-3</v>
      </c>
      <c r="AL29" s="26">
        <f>(FINANCIALS!AH4-FINANCIALS!AG4)/FINANCIALS!AG4</f>
        <v>4.9788333627977582E-3</v>
      </c>
      <c r="AM29" s="26">
        <f>(FINANCIALS!AI4-FINANCIALS!AH4)/FINANCIALS!AH4</f>
        <v>1.7296342012362218E-2</v>
      </c>
      <c r="AN29" s="26">
        <f>(FINANCIALS!AJ4-FINANCIALS!AI4)/FINANCIALS!AI4</f>
        <v>1.5350009406796927E-2</v>
      </c>
      <c r="AO29" s="26">
        <f>(FINANCIALS!AK4-FINANCIALS!AJ4)/FINANCIALS!AJ4</f>
        <v>1.4184992589794247E-2</v>
      </c>
      <c r="AP29" s="26">
        <f>(FINANCIALS!AL4-FINANCIALS!AK4)/FINANCIALS!AK4</f>
        <v>1.554036892398949E-2</v>
      </c>
      <c r="AQ29" s="26">
        <f>(FINANCIALS!AM4-FINANCIALS!AL4)/FINANCIALS!AL4</f>
        <v>1.4310637051505886E-2</v>
      </c>
    </row>
    <row r="30" spans="1:43" ht="14.25">
      <c r="A30" s="8">
        <v>4.2</v>
      </c>
      <c r="B30" s="8" t="s">
        <v>120</v>
      </c>
      <c r="C30" s="8"/>
      <c r="D30" s="26" t="e">
        <f>(FINANCIALS!#REF!-FINANCIALS!#REF!)/FINANCIALS!#REF!</f>
        <v>#REF!</v>
      </c>
      <c r="E30" s="26" t="e">
        <f>(FINANCIALS!#REF!-FINANCIALS!#REF!)/FINANCIALS!#REF!</f>
        <v>#REF!</v>
      </c>
      <c r="F30" s="26" t="e">
        <f>(FINANCIALS!#REF!-FINANCIALS!#REF!)/FINANCIALS!#REF!</f>
        <v>#REF!</v>
      </c>
      <c r="G30" s="26" t="e">
        <f>(FINANCIALS!C5-FINANCIALS!#REF!)/FINANCIALS!#REF!</f>
        <v>#REF!</v>
      </c>
      <c r="H30" s="26">
        <f>(FINANCIALS!D5-FINANCIALS!C5)/FINANCIALS!C5</f>
        <v>8.6796043726286076E-2</v>
      </c>
      <c r="I30" s="26">
        <f>(FINANCIALS!E5-FINANCIALS!D5)/FINANCIALS!D5</f>
        <v>4.1065651991863978E-3</v>
      </c>
      <c r="J30" s="26">
        <f>(FINANCIALS!F5-FINANCIALS!E5)/FINANCIALS!E5</f>
        <v>4.3466972388167824E-3</v>
      </c>
      <c r="K30" s="26">
        <f>(FINANCIALS!G5-FINANCIALS!F5)/FINANCIALS!F5</f>
        <v>2.6307778930908965E-2</v>
      </c>
      <c r="L30" s="26">
        <f>(FINANCIALS!H5-FINANCIALS!G5)/FINANCIALS!G5</f>
        <v>5.1540026333746743E-3</v>
      </c>
      <c r="M30" s="26">
        <f>(FINANCIALS!I5-FINANCIALS!H5)/FINANCIALS!H5</f>
        <v>6.058760615939433E-3</v>
      </c>
      <c r="N30" s="26">
        <f>(FINANCIALS!J5-FINANCIALS!I5)/FINANCIALS!I5</f>
        <v>1.2075704242047468E-2</v>
      </c>
      <c r="O30" s="26">
        <f>(FINANCIALS!K5-FINANCIALS!J5)/FINANCIALS!J5</f>
        <v>5.7522259633588646E-3</v>
      </c>
      <c r="P30" s="26">
        <f>(FINANCIALS!L5-FINANCIALS!K5)/FINANCIALS!K5</f>
        <v>3.4911165183888647E-3</v>
      </c>
      <c r="Q30" s="26">
        <f>(FINANCIALS!M5-FINANCIALS!L5)/FINANCIALS!L5</f>
        <v>0</v>
      </c>
      <c r="R30" s="26">
        <f>(FINANCIALS!N5-FINANCIALS!M5)/FINANCIALS!M5</f>
        <v>1.3791138694741724E-2</v>
      </c>
      <c r="S30" s="26">
        <f>(FINANCIALS!O5-FINANCIALS!N5)/FINANCIALS!N5</f>
        <v>-3.0173703538291007E-3</v>
      </c>
      <c r="T30" s="26">
        <f>(FINANCIALS!P5-FINANCIALS!O5)/FINANCIALS!O5</f>
        <v>-2.8163374131185241E-2</v>
      </c>
      <c r="U30" s="26">
        <f>(FINANCIALS!Q5-FINANCIALS!P5)/FINANCIALS!P5</f>
        <v>-2.709321342759092E-6</v>
      </c>
      <c r="V30" s="26">
        <f>(FINANCIALS!R5-FINANCIALS!Q5)/FINANCIALS!Q5</f>
        <v>-4.3825697567489615E-2</v>
      </c>
      <c r="W30" s="26">
        <f>(FINANCIALS!S5-FINANCIALS!R5)/FINANCIALS!R5</f>
        <v>4.3466972388167824E-3</v>
      </c>
      <c r="X30" s="26">
        <f>(FINANCIALS!T5-FINANCIALS!S5)/FINANCIALS!S5</f>
        <v>2.6307778930908965E-2</v>
      </c>
      <c r="Y30" s="26">
        <f>(FINANCIALS!U5-FINANCIALS!T5)/FINANCIALS!T5</f>
        <v>5.1540026333746743E-3</v>
      </c>
      <c r="Z30" s="26">
        <f>(FINANCIALS!V5-FINANCIALS!U5)/FINANCIALS!U5</f>
        <v>6.058760615939433E-3</v>
      </c>
      <c r="AA30" s="26">
        <f>(FINANCIALS!W5-FINANCIALS!V5)/FINANCIALS!V5</f>
        <v>1.2075704242047468E-2</v>
      </c>
      <c r="AB30" s="26">
        <f>(FINANCIALS!X5-FINANCIALS!W5)/FINANCIALS!W5</f>
        <v>5.7522259633588646E-3</v>
      </c>
      <c r="AC30" s="26">
        <f>(FINANCIALS!Y5-FINANCIALS!X5)/FINANCIALS!X5</f>
        <v>3.4911165183888647E-3</v>
      </c>
      <c r="AD30" s="26">
        <f>(FINANCIALS!Z5-FINANCIALS!Y5)/FINANCIALS!Y5</f>
        <v>0</v>
      </c>
      <c r="AE30" s="26">
        <f>(FINANCIALS!AA5-FINANCIALS!Z5)/FINANCIALS!Z5</f>
        <v>1.3791138694741724E-2</v>
      </c>
      <c r="AF30" s="26">
        <f>(FINANCIALS!AB5-FINANCIALS!AA5)/FINANCIALS!AA5</f>
        <v>-3.0173703538291007E-3</v>
      </c>
      <c r="AG30" s="26">
        <f>(FINANCIALS!AC5-FINANCIALS!AB5)/FINANCIALS!AB5</f>
        <v>-2.8163374131185241E-2</v>
      </c>
      <c r="AH30" s="26">
        <f>(FINANCIALS!AD5-FINANCIALS!AC5)/FINANCIALS!AC5</f>
        <v>0.10296868486727588</v>
      </c>
      <c r="AI30" s="26">
        <f>(FINANCIALS!AE5-FINANCIALS!AD5)/FINANCIALS!AD5</f>
        <v>6.7477835259781528E-3</v>
      </c>
      <c r="AJ30" s="26">
        <f>(FINANCIALS!AF5-FINANCIALS!AE5)/FINANCIALS!AE5</f>
        <v>2.9551163534829495E-2</v>
      </c>
      <c r="AK30" s="26">
        <f>(FINANCIALS!AG5-FINANCIALS!AF5)/FINANCIALS!AF5</f>
        <v>-1.2048436481722357E-2</v>
      </c>
      <c r="AL30" s="26">
        <f>(FINANCIALS!AH5-FINANCIALS!AG5)/FINANCIALS!AG5</f>
        <v>2.0828697438242645E-3</v>
      </c>
      <c r="AM30" s="26">
        <f>(FINANCIALS!AI5-FINANCIALS!AH5)/FINANCIALS!AH5</f>
        <v>-5.7271446104946737E-4</v>
      </c>
      <c r="AN30" s="26">
        <f>(FINANCIALS!AJ5-FINANCIALS!AI5)/FINANCIALS!AI5</f>
        <v>5.8647809288209533E-3</v>
      </c>
      <c r="AO30" s="26">
        <f>(FINANCIALS!AK5-FINANCIALS!AJ5)/FINANCIALS!AJ5</f>
        <v>3.8746252444525515E-3</v>
      </c>
      <c r="AP30" s="26">
        <f>(FINANCIALS!AL5-FINANCIALS!AK5)/FINANCIALS!AK5</f>
        <v>7.9390050411204654E-3</v>
      </c>
      <c r="AQ30" s="26">
        <f>(FINANCIALS!AM5-FINANCIALS!AL5)/FINANCIALS!AL5</f>
        <v>7.526492118666306E-3</v>
      </c>
    </row>
    <row r="31" spans="1:43" ht="14.25">
      <c r="A31" s="8" t="s">
        <v>197</v>
      </c>
      <c r="B31" s="18" t="s">
        <v>198</v>
      </c>
      <c r="C31" s="18"/>
      <c r="D31" s="26" t="e">
        <f>(FINANCIALS!#REF!-FINANCIALS!#REF!)/FINANCIALS!#REF!</f>
        <v>#REF!</v>
      </c>
      <c r="E31" s="26" t="e">
        <f>(FINANCIALS!#REF!-FINANCIALS!#REF!)/FINANCIALS!#REF!</f>
        <v>#REF!</v>
      </c>
      <c r="F31" s="26" t="e">
        <f>(FINANCIALS!#REF!-FINANCIALS!#REF!)/FINANCIALS!#REF!</f>
        <v>#REF!</v>
      </c>
      <c r="G31" s="26" t="e">
        <f>(FINANCIALS!C6-FINANCIALS!#REF!)/FINANCIALS!#REF!</f>
        <v>#REF!</v>
      </c>
      <c r="H31" s="26">
        <f>(FINANCIALS!D6-FINANCIALS!C6)/FINANCIALS!C6</f>
        <v>8.8166594711124355E-2</v>
      </c>
      <c r="I31" s="26">
        <f>(FINANCIALS!E6-FINANCIALS!D6)/FINANCIALS!D6</f>
        <v>6.0318884252681679E-3</v>
      </c>
      <c r="J31" s="26">
        <f>(FINANCIALS!F6-FINANCIALS!E6)/FINANCIALS!E6</f>
        <v>5.3334485902606981E-3</v>
      </c>
      <c r="K31" s="26">
        <f>(FINANCIALS!G6-FINANCIALS!F6)/FINANCIALS!F6</f>
        <v>9.48592197746638E-3</v>
      </c>
      <c r="L31" s="26">
        <f>(FINANCIALS!H6-FINANCIALS!G6)/FINANCIALS!G6</f>
        <v>7.4996098711670595E-3</v>
      </c>
      <c r="M31" s="26">
        <f>(FINANCIALS!I6-FINANCIALS!H6)/FINANCIALS!H6</f>
        <v>8.363796382726961E-3</v>
      </c>
      <c r="N31" s="26">
        <f>(FINANCIALS!J6-FINANCIALS!I6)/FINANCIALS!I6</f>
        <v>5.4200773929290553E-3</v>
      </c>
      <c r="O31" s="26">
        <f>(FINANCIALS!K6-FINANCIALS!J6)/FINANCIALS!J6</f>
        <v>6.4524178151591323E-3</v>
      </c>
      <c r="P31" s="26">
        <f>(FINANCIALS!L6-FINANCIALS!K6)/FINANCIALS!K6</f>
        <v>6.9370220907079838E-3</v>
      </c>
      <c r="Q31" s="26">
        <f>(FINANCIALS!M6-FINANCIALS!L6)/FINANCIALS!L6</f>
        <v>0</v>
      </c>
      <c r="R31" s="26">
        <f>(FINANCIALS!N6-FINANCIALS!M6)/FINANCIALS!M6</f>
        <v>1.3212466620265371E-2</v>
      </c>
      <c r="S31" s="26">
        <f>(FINANCIALS!O6-FINANCIALS!N6)/FINANCIALS!N6</f>
        <v>-4.9388335947518503E-3</v>
      </c>
      <c r="T31" s="26">
        <f>(FINANCIALS!P6-FINANCIALS!O6)/FINANCIALS!O6</f>
        <v>-5.3645245287336487E-3</v>
      </c>
      <c r="U31" s="26">
        <f>(FINANCIALS!Q6-FINANCIALS!P6)/FINANCIALS!P6</f>
        <v>4.0492259741746943E-6</v>
      </c>
      <c r="V31" s="26">
        <f>(FINANCIALS!R6-FINANCIALS!Q6)/FINANCIALS!Q6</f>
        <v>-5.0776779209135869E-2</v>
      </c>
      <c r="W31" s="26">
        <f>(FINANCIALS!S6-FINANCIALS!R6)/FINANCIALS!R6</f>
        <v>5.3334485902606981E-3</v>
      </c>
      <c r="X31" s="26">
        <f>(FINANCIALS!T6-FINANCIALS!S6)/FINANCIALS!S6</f>
        <v>9.48592197746638E-3</v>
      </c>
      <c r="Y31" s="26">
        <f>(FINANCIALS!U6-FINANCIALS!T6)/FINANCIALS!T6</f>
        <v>7.4996098711670595E-3</v>
      </c>
      <c r="Z31" s="26">
        <f>(FINANCIALS!V6-FINANCIALS!U6)/FINANCIALS!U6</f>
        <v>8.363796382726961E-3</v>
      </c>
      <c r="AA31" s="26">
        <f>(FINANCIALS!W6-FINANCIALS!V6)/FINANCIALS!V6</f>
        <v>5.4200773929290553E-3</v>
      </c>
      <c r="AB31" s="26">
        <f>(FINANCIALS!X6-FINANCIALS!W6)/FINANCIALS!W6</f>
        <v>6.4524178151591323E-3</v>
      </c>
      <c r="AC31" s="26">
        <f>(FINANCIALS!Y6-FINANCIALS!X6)/FINANCIALS!X6</f>
        <v>6.9370220907079838E-3</v>
      </c>
      <c r="AD31" s="26">
        <f>(FINANCIALS!Z6-FINANCIALS!Y6)/FINANCIALS!Y6</f>
        <v>0</v>
      </c>
      <c r="AE31" s="26">
        <f>(FINANCIALS!AA6-FINANCIALS!Z6)/FINANCIALS!Z6</f>
        <v>1.3212466620265371E-2</v>
      </c>
      <c r="AF31" s="26">
        <f>(FINANCIALS!AB6-FINANCIALS!AA6)/FINANCIALS!AA6</f>
        <v>-4.9388335947518503E-3</v>
      </c>
      <c r="AG31" s="26">
        <f>(FINANCIALS!AC6-FINANCIALS!AB6)/FINANCIALS!AB6</f>
        <v>-5.3645245287336487E-3</v>
      </c>
      <c r="AH31" s="26">
        <f>(FINANCIALS!AD6-FINANCIALS!AC6)/FINANCIALS!AC6</f>
        <v>8.9090937585424107E-2</v>
      </c>
      <c r="AI31" s="26">
        <f>(FINANCIALS!AE6-FINANCIALS!AD6)/FINANCIALS!AD6</f>
        <v>7.2684814908315206E-3</v>
      </c>
      <c r="AJ31" s="26">
        <f>(FINANCIALS!AF6-FINANCIALS!AE6)/FINANCIALS!AE6</f>
        <v>7.507025566771206E-3</v>
      </c>
      <c r="AK31" s="26">
        <f>(FINANCIALS!AG6-FINANCIALS!AF6)/FINANCIALS!AF6</f>
        <v>5.3205130850981748E-3</v>
      </c>
      <c r="AL31" s="26">
        <f>(FINANCIALS!AH6-FINANCIALS!AG6)/FINANCIALS!AG6</f>
        <v>2.9365627518114995E-3</v>
      </c>
      <c r="AM31" s="26">
        <f>(FINANCIALS!AI6-FINANCIALS!AH6)/FINANCIALS!AH6</f>
        <v>1.2668352628946102E-3</v>
      </c>
      <c r="AN31" s="26">
        <f>(FINANCIALS!AJ6-FINANCIALS!AI6)/FINANCIALS!AI6</f>
        <v>2.4075140324848472E-3</v>
      </c>
      <c r="AO31" s="26">
        <f>(FINANCIALS!AK6-FINANCIALS!AJ6)/FINANCIALS!AJ6</f>
        <v>4.0039042357099611E-3</v>
      </c>
      <c r="AP31" s="26">
        <f>(FINANCIALS!AL6-FINANCIALS!AK6)/FINANCIALS!AK6</f>
        <v>9.2234292911391926E-3</v>
      </c>
      <c r="AQ31" s="26">
        <f>(FINANCIALS!AM6-FINANCIALS!AL6)/FINANCIALS!AL6</f>
        <v>7.4090661708563149E-3</v>
      </c>
    </row>
    <row r="32" spans="1:43" ht="14.25">
      <c r="A32" s="8" t="s">
        <v>199</v>
      </c>
      <c r="B32" s="18" t="s">
        <v>200</v>
      </c>
      <c r="C32" s="18"/>
      <c r="D32" s="26" t="e">
        <f>(FINANCIALS!#REF!-FINANCIALS!#REF!)/FINANCIALS!#REF!</f>
        <v>#REF!</v>
      </c>
      <c r="E32" s="26" t="e">
        <f>(FINANCIALS!#REF!-FINANCIALS!#REF!)/FINANCIALS!#REF!</f>
        <v>#REF!</v>
      </c>
      <c r="F32" s="26" t="e">
        <f>(FINANCIALS!#REF!-FINANCIALS!#REF!)/FINANCIALS!#REF!</f>
        <v>#REF!</v>
      </c>
      <c r="G32" s="26" t="e">
        <f>(FINANCIALS!C7-FINANCIALS!#REF!)/FINANCIALS!#REF!</f>
        <v>#REF!</v>
      </c>
      <c r="H32" s="26">
        <f>(FINANCIALS!D7-FINANCIALS!C7)/FINANCIALS!C7</f>
        <v>6.1325002346375321E-2</v>
      </c>
      <c r="I32" s="26">
        <f>(FINANCIALS!E7-FINANCIALS!D7)/FINANCIALS!D7</f>
        <v>-3.2579585819201055E-2</v>
      </c>
      <c r="J32" s="26">
        <f>(FINANCIALS!F7-FINANCIALS!E7)/FINANCIALS!E7</f>
        <v>-1.5205822311222209E-2</v>
      </c>
      <c r="K32" s="26">
        <f>(FINANCIALS!G7-FINANCIALS!F7)/FINANCIALS!F7</f>
        <v>0.36658556184416868</v>
      </c>
      <c r="L32" s="26">
        <f>(FINANCIALS!H7-FINANCIALS!G7)/FINANCIALS!G7</f>
        <v>-2.9895220050491417E-2</v>
      </c>
      <c r="M32" s="26">
        <f>(FINANCIALS!I7-FINANCIALS!H7)/FINANCIALS!H7</f>
        <v>-2.9711903923769913E-2</v>
      </c>
      <c r="N32" s="26">
        <f>(FINANCIALS!J7-FINANCIALS!I7)/FINANCIALS!I7</f>
        <v>0.11941403723125049</v>
      </c>
      <c r="O32" s="26">
        <f>(FINANCIALS!K7-FINANCIALS!J7)/FINANCIALS!J7</f>
        <v>-4.3901507807636549E-3</v>
      </c>
      <c r="P32" s="26">
        <f>(FINANCIALS!L7-FINANCIALS!K7)/FINANCIALS!K7</f>
        <v>-4.696689385153157E-2</v>
      </c>
      <c r="Q32" s="26">
        <f>(FINANCIALS!M7-FINANCIALS!L7)/FINANCIALS!L7</f>
        <v>0</v>
      </c>
      <c r="R32" s="26">
        <f>(FINANCIALS!N7-FINANCIALS!M7)/FINANCIALS!M7</f>
        <v>2.2743829703811422E-2</v>
      </c>
      <c r="S32" s="26">
        <f>(FINANCIALS!O7-FINANCIALS!N7)/FINANCIALS!N7</f>
        <v>2.6432731971078358E-2</v>
      </c>
      <c r="T32" s="26">
        <f>(FINANCIALS!P7-FINANCIALS!O7)/FINANCIALS!O7</f>
        <v>-0.36691933510867475</v>
      </c>
      <c r="U32" s="26">
        <f>(FINANCIALS!Q7-FINANCIALS!P7)/FINANCIALS!P7</f>
        <v>-1.6048216976894292E-4</v>
      </c>
      <c r="V32" s="26">
        <f>(FINANCIALS!R7-FINANCIALS!Q7)/FINANCIALS!Q7</f>
        <v>0.11846841210124764</v>
      </c>
      <c r="W32" s="26">
        <f>(FINANCIALS!S7-FINANCIALS!R7)/FINANCIALS!R7</f>
        <v>-1.5205822311222209E-2</v>
      </c>
      <c r="X32" s="26">
        <f>(FINANCIALS!T7-FINANCIALS!S7)/FINANCIALS!S7</f>
        <v>0.36658556184416868</v>
      </c>
      <c r="Y32" s="26">
        <f>(FINANCIALS!U7-FINANCIALS!T7)/FINANCIALS!T7</f>
        <v>-2.9895220050491417E-2</v>
      </c>
      <c r="Z32" s="26">
        <f>(FINANCIALS!V7-FINANCIALS!U7)/FINANCIALS!U7</f>
        <v>-2.9711903923769913E-2</v>
      </c>
      <c r="AA32" s="26">
        <f>(FINANCIALS!W7-FINANCIALS!V7)/FINANCIALS!V7</f>
        <v>0.11941403723125049</v>
      </c>
      <c r="AB32" s="26">
        <f>(FINANCIALS!X7-FINANCIALS!W7)/FINANCIALS!W7</f>
        <v>-4.3901507807636549E-3</v>
      </c>
      <c r="AC32" s="26">
        <f>(FINANCIALS!Y7-FINANCIALS!X7)/FINANCIALS!X7</f>
        <v>-4.696689385153157E-2</v>
      </c>
      <c r="AD32" s="26">
        <f>(FINANCIALS!Z7-FINANCIALS!Y7)/FINANCIALS!Y7</f>
        <v>0</v>
      </c>
      <c r="AE32" s="26">
        <f>(FINANCIALS!AA7-FINANCIALS!Z7)/FINANCIALS!Z7</f>
        <v>2.2743829703811422E-2</v>
      </c>
      <c r="AF32" s="26">
        <f>(FINANCIALS!AB7-FINANCIALS!AA7)/FINANCIALS!AA7</f>
        <v>2.6432731971078358E-2</v>
      </c>
      <c r="AG32" s="26">
        <f>(FINANCIALS!AC7-FINANCIALS!AB7)/FINANCIALS!AB7</f>
        <v>-0.36691933510867475</v>
      </c>
      <c r="AH32" s="26">
        <f>(FINANCIALS!AD7-FINANCIALS!AC7)/FINANCIALS!AC7</f>
        <v>0.42693352756246394</v>
      </c>
      <c r="AI32" s="26">
        <f>(FINANCIALS!AE7-FINANCIALS!AD7)/FINANCIALS!AD7</f>
        <v>-2.5295931463416486E-3</v>
      </c>
      <c r="AJ32" s="26">
        <f>(FINANCIALS!AF7-FINANCIALS!AE7)/FINANCIALS!AE7</f>
        <v>0.42617394409883952</v>
      </c>
      <c r="AK32" s="26">
        <f>(FINANCIALS!AG7-FINANCIALS!AF7)/FINANCIALS!AF7</f>
        <v>-0.23281519146204185</v>
      </c>
      <c r="AL32" s="26">
        <f>(FINANCIALS!AH7-FINANCIALS!AG7)/FINANCIALS!AG7</f>
        <v>-1.2136043160856161E-2</v>
      </c>
      <c r="AM32" s="26">
        <f>(FINANCIALS!AI7-FINANCIALS!AH7)/FINANCIALS!AH7</f>
        <v>-3.1679313066386848E-2</v>
      </c>
      <c r="AN32" s="26">
        <f>(FINANCIALS!AJ7-FINANCIALS!AI7)/FINANCIALS!AI7</f>
        <v>6.6315924743500551E-2</v>
      </c>
      <c r="AO32" s="26">
        <f>(FINANCIALS!AK7-FINANCIALS!AJ7)/FINANCIALS!AJ7</f>
        <v>1.749629875481163E-3</v>
      </c>
      <c r="AP32" s="26">
        <f>(FINANCIALS!AL7-FINANCIALS!AK7)/FINANCIALS!AK7</f>
        <v>-1.3220950003616727E-2</v>
      </c>
      <c r="AQ32" s="26">
        <f>(FINANCIALS!AM7-FINANCIALS!AL7)/FINANCIALS!AL7</f>
        <v>9.5049997154468217E-3</v>
      </c>
    </row>
    <row r="33" spans="1:43" ht="14.25">
      <c r="A33" s="8">
        <v>4.3</v>
      </c>
      <c r="B33" s="8" t="s">
        <v>201</v>
      </c>
      <c r="C33" s="8"/>
      <c r="D33" s="26" t="e">
        <f>(FINANCIALS!#REF!-FINANCIALS!#REF!)/FINANCIALS!#REF!</f>
        <v>#REF!</v>
      </c>
      <c r="E33" s="26" t="e">
        <f>(FINANCIALS!#REF!-FINANCIALS!#REF!)/FINANCIALS!#REF!</f>
        <v>#REF!</v>
      </c>
      <c r="F33" s="26" t="e">
        <f>(FINANCIALS!#REF!-FINANCIALS!#REF!)/FINANCIALS!#REF!</f>
        <v>#REF!</v>
      </c>
      <c r="G33" s="26" t="e">
        <f>(FINANCIALS!C28-FINANCIALS!#REF!)/FINANCIALS!#REF!</f>
        <v>#REF!</v>
      </c>
      <c r="H33" s="26">
        <f>(FINANCIALS!D28-FINANCIALS!C28)/FINANCIALS!C28</f>
        <v>2.3033249260160395E-2</v>
      </c>
      <c r="I33" s="26">
        <f>(FINANCIALS!E28-FINANCIALS!D28)/FINANCIALS!D28</f>
        <v>2.1998147999957647E-2</v>
      </c>
      <c r="J33" s="26">
        <f>(FINANCIALS!F28-FINANCIALS!E28)/FINANCIALS!E28</f>
        <v>1.5926261492749691E-3</v>
      </c>
      <c r="K33" s="26">
        <f>(FINANCIALS!G28-FINANCIALS!F28)/FINANCIALS!F28</f>
        <v>-2.7672063302180538E-2</v>
      </c>
      <c r="L33" s="26">
        <f>(FINANCIALS!H28-FINANCIALS!G28)/FINANCIALS!G28</f>
        <v>2.5215087843198096E-3</v>
      </c>
      <c r="M33" s="26">
        <f>(FINANCIALS!I28-FINANCIALS!H28)/FINANCIALS!H28</f>
        <v>7.1549735909200536E-3</v>
      </c>
      <c r="N33" s="26">
        <f>(FINANCIALS!J28-FINANCIALS!I28)/FINANCIALS!I28</f>
        <v>1.2636537209771998E-2</v>
      </c>
      <c r="O33" s="26">
        <f>(FINANCIALS!K28-FINANCIALS!J28)/FINANCIALS!J28</f>
        <v>1.7345538139101335E-2</v>
      </c>
      <c r="P33" s="26">
        <f>(FINANCIALS!L28-FINANCIALS!K28)/FINANCIALS!K28</f>
        <v>3.380560108196214E-3</v>
      </c>
      <c r="Q33" s="26">
        <f>(FINANCIALS!M28-FINANCIALS!L28)/FINANCIALS!L28</f>
        <v>3.5613765038279318E-3</v>
      </c>
      <c r="R33" s="26">
        <f>(FINANCIALS!N28-FINANCIALS!M28)/FINANCIALS!M28</f>
        <v>3.0409447945641886E-3</v>
      </c>
      <c r="S33" s="26">
        <f>(FINANCIALS!O28-FINANCIALS!N28)/FINANCIALS!N28</f>
        <v>-4.8240492852324093E-3</v>
      </c>
      <c r="T33" s="26">
        <f>(FINANCIALS!P28-FINANCIALS!O28)/FINANCIALS!O28</f>
        <v>-1.4149494346631267E-2</v>
      </c>
      <c r="U33" s="26">
        <f>(FINANCIALS!Q28-FINANCIALS!P28)/FINANCIALS!P28</f>
        <v>4.4375387486068305E-7</v>
      </c>
      <c r="V33" s="26">
        <f>(FINANCIALS!R28-FINANCIALS!Q28)/FINANCIALS!Q28</f>
        <v>-3.8043810346893164E-3</v>
      </c>
      <c r="W33" s="26">
        <f>(FINANCIALS!S28-FINANCIALS!R28)/FINANCIALS!R28</f>
        <v>1.5926261492749691E-3</v>
      </c>
      <c r="X33" s="26">
        <f>(FINANCIALS!T28-FINANCIALS!S28)/FINANCIALS!S28</f>
        <v>-2.7672063302180538E-2</v>
      </c>
      <c r="Y33" s="26">
        <f>(FINANCIALS!U28-FINANCIALS!T28)/FINANCIALS!T28</f>
        <v>2.5215087843198096E-3</v>
      </c>
      <c r="Z33" s="26">
        <f>(FINANCIALS!V28-FINANCIALS!U28)/FINANCIALS!U28</f>
        <v>7.1549735909200536E-3</v>
      </c>
      <c r="AA33" s="26">
        <f>(FINANCIALS!W28-FINANCIALS!V28)/FINANCIALS!V28</f>
        <v>1.2636537209771998E-2</v>
      </c>
      <c r="AB33" s="26">
        <f>(FINANCIALS!X28-FINANCIALS!W28)/FINANCIALS!W28</f>
        <v>1.7345538139101335E-2</v>
      </c>
      <c r="AC33" s="26">
        <f>(FINANCIALS!Y28-FINANCIALS!X28)/FINANCIALS!X28</f>
        <v>3.380560108196214E-3</v>
      </c>
      <c r="AD33" s="26">
        <f>(FINANCIALS!Z28-FINANCIALS!Y28)/FINANCIALS!Y28</f>
        <v>3.5613765038279318E-3</v>
      </c>
      <c r="AE33" s="26">
        <f>(FINANCIALS!AA28-FINANCIALS!Z28)/FINANCIALS!Z28</f>
        <v>3.0409447945641886E-3</v>
      </c>
      <c r="AF33" s="26">
        <f>(FINANCIALS!AB28-FINANCIALS!AA28)/FINANCIALS!AA28</f>
        <v>-4.8240492852324093E-3</v>
      </c>
      <c r="AG33" s="26">
        <f>(FINANCIALS!AC28-FINANCIALS!AB28)/FINANCIALS!AB28</f>
        <v>-1.4149494346631267E-2</v>
      </c>
      <c r="AH33" s="26">
        <f>(FINANCIALS!AD28-FINANCIALS!AC28)/FINANCIALS!AC28</f>
        <v>9.1943852793514635E-2</v>
      </c>
      <c r="AI33" s="26">
        <f>(FINANCIALS!AE28-FINANCIALS!AD28)/FINANCIALS!AD28</f>
        <v>2.0523960727200318E-2</v>
      </c>
      <c r="AJ33" s="26">
        <f>(FINANCIALS!AF28-FINANCIALS!AE28)/FINANCIALS!AE28</f>
        <v>-2.0275687175409847E-2</v>
      </c>
      <c r="AK33" s="26">
        <f>(FINANCIALS!AG28-FINANCIALS!AF28)/FINANCIALS!AF28</f>
        <v>3.7419858733323194E-3</v>
      </c>
      <c r="AL33" s="26">
        <f>(FINANCIALS!AH28-FINANCIALS!AG28)/FINANCIALS!AG28</f>
        <v>1.3331446855972309E-2</v>
      </c>
      <c r="AM33" s="26">
        <f>(FINANCIALS!AI28-FINANCIALS!AH28)/FINANCIALS!AH28</f>
        <v>1.3800950274218409E-2</v>
      </c>
      <c r="AN33" s="26">
        <f>(FINANCIALS!AJ28-FINANCIALS!AI28)/FINANCIALS!AI28</f>
        <v>6.5294121248243263E-3</v>
      </c>
      <c r="AO33" s="26">
        <f>(FINANCIALS!AK28-FINANCIALS!AJ28)/FINANCIALS!AJ28</f>
        <v>5.5466031765216616E-3</v>
      </c>
      <c r="AP33" s="26">
        <f>(FINANCIALS!AL28-FINANCIALS!AK28)/FINANCIALS!AK28</f>
        <v>1.3676140535707192E-2</v>
      </c>
      <c r="AQ33" s="26">
        <f>(FINANCIALS!AM28-FINANCIALS!AL28)/FINANCIALS!AL28</f>
        <v>7.4458240334134467E-3</v>
      </c>
    </row>
    <row r="34" spans="1:43" ht="14.25">
      <c r="A34" s="8">
        <v>4.4000000000000004</v>
      </c>
      <c r="B34" s="8" t="s">
        <v>202</v>
      </c>
      <c r="C34" s="8"/>
      <c r="D34" s="26" t="e">
        <f>(FINANCIALS!#REF!-FINANCIALS!#REF!)/FINANCIALS!#REF!</f>
        <v>#REF!</v>
      </c>
      <c r="E34" s="26" t="e">
        <f>(FINANCIALS!#REF!-FINANCIALS!#REF!)/FINANCIALS!#REF!</f>
        <v>#REF!</v>
      </c>
      <c r="F34" s="26" t="e">
        <f>(FINANCIALS!#REF!-FINANCIALS!#REF!)/FINANCIALS!#REF!</f>
        <v>#REF!</v>
      </c>
      <c r="G34" s="26" t="e">
        <f>(FINANCIALS!C11-FINANCIALS!#REF!)/FINANCIALS!#REF!</f>
        <v>#REF!</v>
      </c>
      <c r="H34" s="26">
        <f>(FINANCIALS!D11-FINANCIALS!C11)/FINANCIALS!C11</f>
        <v>0.17311220295367627</v>
      </c>
      <c r="I34" s="26">
        <f>(FINANCIALS!E11-FINANCIALS!D11)/FINANCIALS!D11</f>
        <v>4.212985003118952E-2</v>
      </c>
      <c r="J34" s="26">
        <f>(FINANCIALS!F11-FINANCIALS!E11)/FINANCIALS!E11</f>
        <v>3.7038696316515296E-2</v>
      </c>
      <c r="K34" s="26">
        <f>(FINANCIALS!G11-FINANCIALS!F11)/FINANCIALS!F11</f>
        <v>4.3041656974886849E-2</v>
      </c>
      <c r="L34" s="26">
        <f>(FINANCIALS!H11-FINANCIALS!G11)/FINANCIALS!G11</f>
        <v>4.2330384105626666E-2</v>
      </c>
      <c r="M34" s="26">
        <f>(FINANCIALS!I11-FINANCIALS!H11)/FINANCIALS!H11</f>
        <v>3.8021830925274967E-2</v>
      </c>
      <c r="N34" s="26">
        <f>(FINANCIALS!J11-FINANCIALS!I11)/FINANCIALS!I11</f>
        <v>3.9833879391560287E-2</v>
      </c>
      <c r="O34" s="26">
        <f>(FINANCIALS!K11-FINANCIALS!J11)/FINANCIALS!J11</f>
        <v>3.6397933504784902E-2</v>
      </c>
      <c r="P34" s="26">
        <f>(FINANCIALS!L11-FINANCIALS!K11)/FINANCIALS!K11</f>
        <v>3.2048148411383669E-2</v>
      </c>
      <c r="Q34" s="26">
        <f>(FINANCIALS!M11-FINANCIALS!L11)/FINANCIALS!L11</f>
        <v>0</v>
      </c>
      <c r="R34" s="26">
        <f>(FINANCIALS!N11-FINANCIALS!M11)/FINANCIALS!M11</f>
        <v>6.3886879009130551E-2</v>
      </c>
      <c r="S34" s="26">
        <f>(FINANCIALS!O11-FINANCIALS!N11)/FINANCIALS!N11</f>
        <v>2.6450440277091924E-2</v>
      </c>
      <c r="T34" s="26">
        <f>(FINANCIALS!P11-FINANCIALS!O11)/FINANCIALS!O11</f>
        <v>3.1554720066385142E-2</v>
      </c>
      <c r="U34" s="26">
        <f>(FINANCIALS!Q11-FINANCIALS!P11)/FINANCIALS!P11</f>
        <v>-0.2160740174430594</v>
      </c>
      <c r="V34" s="26">
        <f>(FINANCIALS!R11-FINANCIALS!Q11)/FINANCIALS!Q11</f>
        <v>-0.13003802434522935</v>
      </c>
      <c r="W34" s="26">
        <f>(FINANCIALS!S11-FINANCIALS!R11)/FINANCIALS!R11</f>
        <v>3.7038696316515296E-2</v>
      </c>
      <c r="X34" s="26">
        <f>(FINANCIALS!T11-FINANCIALS!S11)/FINANCIALS!S11</f>
        <v>4.3041656974886849E-2</v>
      </c>
      <c r="Y34" s="26">
        <f>(FINANCIALS!U11-FINANCIALS!T11)/FINANCIALS!T11</f>
        <v>4.2330384105626666E-2</v>
      </c>
      <c r="Z34" s="26">
        <f>(FINANCIALS!V11-FINANCIALS!U11)/FINANCIALS!U11</f>
        <v>3.8021830925274967E-2</v>
      </c>
      <c r="AA34" s="26">
        <f>(FINANCIALS!W11-FINANCIALS!V11)/FINANCIALS!V11</f>
        <v>3.9833879391560287E-2</v>
      </c>
      <c r="AB34" s="26">
        <f>(FINANCIALS!X11-FINANCIALS!W11)/FINANCIALS!W11</f>
        <v>3.6397933504784902E-2</v>
      </c>
      <c r="AC34" s="26">
        <f>(FINANCIALS!Y11-FINANCIALS!X11)/FINANCIALS!X11</f>
        <v>3.2048148411383669E-2</v>
      </c>
      <c r="AD34" s="26">
        <f>(FINANCIALS!Z11-FINANCIALS!Y11)/FINANCIALS!Y11</f>
        <v>0</v>
      </c>
      <c r="AE34" s="26">
        <f>(FINANCIALS!AA11-FINANCIALS!Z11)/FINANCIALS!Z11</f>
        <v>6.3886879009130551E-2</v>
      </c>
      <c r="AF34" s="26">
        <f>(FINANCIALS!AB11-FINANCIALS!AA11)/FINANCIALS!AA11</f>
        <v>2.6450440277091924E-2</v>
      </c>
      <c r="AG34" s="26">
        <f>(FINANCIALS!AC11-FINANCIALS!AB11)/FINANCIALS!AB11</f>
        <v>3.1554720066385142E-2</v>
      </c>
      <c r="AH34" s="26">
        <f>(FINANCIALS!AD11-FINANCIALS!AC11)/FINANCIALS!AC11</f>
        <v>-7.1998656332748226E-2</v>
      </c>
      <c r="AI34" s="26">
        <f>(FINANCIALS!AE11-FINANCIALS!AD11)/FINANCIALS!AD11</f>
        <v>5.7176347943236491E-2</v>
      </c>
      <c r="AJ34" s="26">
        <f>(FINANCIALS!AF11-FINANCIALS!AE11)/FINANCIALS!AE11</f>
        <v>2.4593011017827193E-2</v>
      </c>
      <c r="AK34" s="26">
        <f>(FINANCIALS!AG11-FINANCIALS!AF11)/FINANCIALS!AF11</f>
        <v>3.2739782754674637E-2</v>
      </c>
      <c r="AL34" s="26">
        <f>(FINANCIALS!AH11-FINANCIALS!AG11)/FINANCIALS!AG11</f>
        <v>1.1058270904787929E-2</v>
      </c>
      <c r="AM34" s="26">
        <f>(FINANCIALS!AI11-FINANCIALS!AH11)/FINANCIALS!AH11</f>
        <v>2.9478684330004789E-2</v>
      </c>
      <c r="AN34" s="26">
        <f>(FINANCIALS!AJ11-FINANCIALS!AI11)/FINANCIALS!AI11</f>
        <v>3.3623708399476246E-2</v>
      </c>
      <c r="AO34" s="26">
        <f>(FINANCIALS!AK11-FINANCIALS!AJ11)/FINANCIALS!AJ11</f>
        <v>2.6642978025304468E-2</v>
      </c>
      <c r="AP34" s="26">
        <f>(FINANCIALS!AL11-FINANCIALS!AK11)/FINANCIALS!AK11</f>
        <v>2.5478797270493302E-2</v>
      </c>
      <c r="AQ34" s="26">
        <f>(FINANCIALS!AM11-FINANCIALS!AL11)/FINANCIALS!AL11</f>
        <v>2.7083007323172544E-2</v>
      </c>
    </row>
    <row r="35" spans="1:43" ht="14.25">
      <c r="A35" s="8">
        <v>4.5</v>
      </c>
      <c r="B35" s="8" t="s">
        <v>148</v>
      </c>
      <c r="C35" s="8"/>
      <c r="D35" s="26" t="e">
        <f>(FINANCIALS!#REF!-FINANCIALS!#REF!)/FINANCIALS!#REF!</f>
        <v>#REF!</v>
      </c>
      <c r="E35" s="26" t="e">
        <f>(FINANCIALS!#REF!-FINANCIALS!#REF!)/FINANCIALS!#REF!</f>
        <v>#REF!</v>
      </c>
      <c r="F35" s="26" t="e">
        <f>(FINANCIALS!#REF!-FINANCIALS!#REF!)/FINANCIALS!#REF!</f>
        <v>#REF!</v>
      </c>
      <c r="G35" s="26" t="e">
        <f>(FINANCIALS!C34-FINANCIALS!#REF!)/FINANCIALS!#REF!</f>
        <v>#REF!</v>
      </c>
      <c r="H35" s="26">
        <f>(FINANCIALS!D34-FINANCIALS!C35)/FINANCIALS!C34</f>
        <v>4.5215193676437802E-2</v>
      </c>
      <c r="I35" s="26">
        <f>(FINANCIALS!E34-FINANCIALS!D35)/FINANCIALS!D34</f>
        <v>-0.84571490098941771</v>
      </c>
      <c r="J35" s="26">
        <f>(FINANCIALS!F34-FINANCIALS!E35)/FINANCIALS!E34</f>
        <v>0.95475534627503</v>
      </c>
      <c r="K35" s="26">
        <f>(FINANCIALS!G34-FINANCIALS!F35)/FINANCIALS!F34</f>
        <v>0.62540592997277278</v>
      </c>
      <c r="L35" s="26">
        <f>(FINANCIALS!H34-FINANCIALS!G35)/FINANCIALS!G34</f>
        <v>0.44655837707011381</v>
      </c>
      <c r="M35" s="26">
        <f>(FINANCIALS!I34-FINANCIALS!H35)/FINANCIALS!H34</f>
        <v>0.36029954791994817</v>
      </c>
      <c r="N35" s="26">
        <f>(FINANCIALS!J34-FINANCIALS!I35)/FINANCIALS!I34</f>
        <v>0.32102519496781207</v>
      </c>
      <c r="O35" s="26">
        <f>(FINANCIALS!K34-FINANCIALS!J35)/FINANCIALS!J34</f>
        <v>0.28443584144436623</v>
      </c>
      <c r="P35" s="26">
        <f>(FINANCIALS!L34-FINANCIALS!K35)/FINANCIALS!K34</f>
        <v>0.24808802903056035</v>
      </c>
      <c r="Q35" s="26">
        <f>(FINANCIALS!M34-FINANCIALS!L35)/FINANCIALS!L34</f>
        <v>0.23577893690081614</v>
      </c>
      <c r="R35" s="26">
        <f>(FINANCIALS!N34-FINANCIALS!M35)/FINANCIALS!M34</f>
        <v>0.21593482084844992</v>
      </c>
      <c r="S35" s="26">
        <f>(FINANCIALS!O34-FINANCIALS!N35)/FINANCIALS!N34</f>
        <v>0.20447607012183003</v>
      </c>
      <c r="T35" s="26">
        <f>(FINANCIALS!P34-FINANCIALS!O35)/FINANCIALS!O34</f>
        <v>0.19105952134174259</v>
      </c>
      <c r="U35" s="26">
        <f>(FINANCIALS!Q34-FINANCIALS!P35)/FINANCIALS!P34</f>
        <v>0.11915051893360795</v>
      </c>
      <c r="V35" s="26">
        <f>(FINANCIALS!R34-FINANCIALS!Q35)/FINANCIALS!Q34</f>
        <v>-0.79762307768038487</v>
      </c>
      <c r="W35" s="26">
        <f>(FINANCIALS!S34-FINANCIALS!R35)/FINANCIALS!R34</f>
        <v>0.97569565154027504</v>
      </c>
      <c r="X35" s="26">
        <f>(FINANCIALS!T34-FINANCIALS!S35)/FINANCIALS!S34</f>
        <v>0.61887112796558863</v>
      </c>
      <c r="Y35" s="26">
        <f>(FINANCIALS!U34-FINANCIALS!T35)/FINANCIALS!T34</f>
        <v>0.45521640659884777</v>
      </c>
      <c r="Z35" s="26">
        <f>(FINANCIALS!V34-FINANCIALS!U35)/FINANCIALS!U34</f>
        <v>0.3371655761473577</v>
      </c>
      <c r="AA35" s="26">
        <f>(FINANCIALS!W34-FINANCIALS!V35)/FINANCIALS!V34</f>
        <v>0.30414614900858289</v>
      </c>
      <c r="AB35" s="26">
        <f>(FINANCIALS!X34-FINANCIALS!W35)/FINANCIALS!W34</f>
        <v>0.28075196757889209</v>
      </c>
      <c r="AC35" s="26">
        <f>(FINANCIALS!Y34-FINANCIALS!X35)/FINANCIALS!X34</f>
        <v>0.25452283788658081</v>
      </c>
      <c r="AD35" s="26">
        <f>(FINANCIALS!Z34-FINANCIALS!Y35)/FINANCIALS!Y34</f>
        <v>0.24528475264809174</v>
      </c>
      <c r="AE35" s="26">
        <f>(FINANCIALS!AA34-FINANCIALS!Z35)/FINANCIALS!Z34</f>
        <v>0.23688108077277856</v>
      </c>
      <c r="AF35" s="26">
        <f>(FINANCIALS!AB34-FINANCIALS!AA35)/FINANCIALS!AA34</f>
        <v>0.23248081846205274</v>
      </c>
      <c r="AG35" s="26">
        <f>(FINANCIALS!AC34-FINANCIALS!AB35)/FINANCIALS!AB34</f>
        <v>0.26311535314049311</v>
      </c>
      <c r="AH35" s="26">
        <f>(FINANCIALS!AD34-FINANCIALS!AC35)/FINANCIALS!AC34</f>
        <v>0.12553163096782638</v>
      </c>
      <c r="AI35" s="26">
        <f>(FINANCIALS!AE34-FINANCIALS!AD35)/FINANCIALS!AD34</f>
        <v>-0.78436119900939849</v>
      </c>
      <c r="AJ35" s="26">
        <f>(FINANCIALS!AF34-FINANCIALS!AE35)/FINANCIALS!AE34</f>
        <v>1.0345421011336675</v>
      </c>
      <c r="AK35" s="26">
        <f>(FINANCIALS!AG34-FINANCIALS!AF35)/FINANCIALS!AF34</f>
        <v>0.57323026558680246</v>
      </c>
      <c r="AL35" s="26">
        <f>(FINANCIALS!AH34-FINANCIALS!AG35)/FINANCIALS!AG34</f>
        <v>0.43729078494342827</v>
      </c>
      <c r="AM35" s="26">
        <f>(FINANCIALS!AI34-FINANCIALS!AH35)/FINANCIALS!AH34</f>
        <v>0.35648153082941997</v>
      </c>
      <c r="AN35" s="26">
        <f>(FINANCIALS!AJ34-FINANCIALS!AI35)/FINANCIALS!AI34</f>
        <v>0.3274877785649748</v>
      </c>
      <c r="AO35" s="26">
        <f>(FINANCIALS!AK34-FINANCIALS!AJ35)/FINANCIALS!AJ34</f>
        <v>0.28060763391836258</v>
      </c>
      <c r="AP35" s="26">
        <f>(FINANCIALS!AL34-FINANCIALS!AK35)/FINANCIALS!AK34</f>
        <v>0.2578798007357147</v>
      </c>
      <c r="AQ35" s="26">
        <f>(FINANCIALS!AM34-FINANCIALS!AL35)/FINANCIALS!AL34</f>
        <v>0.23760330296038948</v>
      </c>
    </row>
    <row r="36" spans="1:43" ht="14.25">
      <c r="A36" s="8">
        <v>4.5999999999999996</v>
      </c>
      <c r="B36" s="8" t="s">
        <v>119</v>
      </c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3" ht="14.25">
      <c r="A37" s="8">
        <v>4.7</v>
      </c>
      <c r="B37" s="8" t="s">
        <v>203</v>
      </c>
      <c r="C37" s="8"/>
      <c r="D37" s="26" t="e">
        <f>(FINANCIALS!#REF!-FINANCIALS!#REF!)/FINANCIALS!#REF!</f>
        <v>#REF!</v>
      </c>
      <c r="E37" s="26" t="e">
        <f>(FINANCIALS!#REF!-FINANCIALS!#REF!)/FINANCIALS!#REF!</f>
        <v>#REF!</v>
      </c>
      <c r="F37" s="26" t="e">
        <f>(FINANCIALS!#REF!-FINANCIALS!#REF!)/FINANCIALS!#REF!</f>
        <v>#REF!</v>
      </c>
      <c r="G37" s="26" t="e">
        <f>(FINANCIALS!C40-FINANCIALS!#REF!)/FINANCIALS!#REF!</f>
        <v>#REF!</v>
      </c>
      <c r="H37" s="26">
        <f>(FINANCIALS!D40-FINANCIALS!C40)/FINANCIALS!C40</f>
        <v>-0.224933236807351</v>
      </c>
      <c r="I37" s="26">
        <f>(FINANCIALS!E40-FINANCIALS!D40)/FINANCIALS!D40</f>
        <v>-0.96488292093420736</v>
      </c>
      <c r="J37" s="26">
        <f>(FINANCIALS!F40-FINANCIALS!E40)/FINANCIALS!E40</f>
        <v>1.3325549640509819</v>
      </c>
      <c r="K37" s="26">
        <f>(FINANCIALS!G40-FINANCIALS!F40)/FINANCIALS!F40</f>
        <v>0.58955300607016381</v>
      </c>
      <c r="L37" s="26">
        <f>(FINANCIALS!H40-FINANCIALS!G40)/FINANCIALS!G40</f>
        <v>0.28848723424724587</v>
      </c>
      <c r="M37" s="26">
        <f>(FINANCIALS!I40-FINANCIALS!H40)/FINANCIALS!H40</f>
        <v>0.22657983659553863</v>
      </c>
      <c r="N37" s="26">
        <f>(FINANCIALS!J40-FINANCIALS!I40)/FINANCIALS!I40</f>
        <v>0.1983928448720958</v>
      </c>
      <c r="O37" s="26">
        <f>(FINANCIALS!K40-FINANCIALS!J40)/FINANCIALS!J40</f>
        <v>0.16959854159992627</v>
      </c>
      <c r="P37" s="26">
        <f>(FINANCIALS!L40-FINANCIALS!K40)/FINANCIALS!K40</f>
        <v>0.16829177195451414</v>
      </c>
      <c r="Q37" s="26">
        <f>(FINANCIALS!M40-FINANCIALS!L40)/FINANCIALS!L40</f>
        <v>0.14472348803222082</v>
      </c>
      <c r="R37" s="26">
        <f>(FINANCIALS!N40-FINANCIALS!M40)/FINANCIALS!M40</f>
        <v>0.11814999821852165</v>
      </c>
      <c r="S37" s="26">
        <f>(FINANCIALS!O40-FINANCIALS!N40)/FINANCIALS!N40</f>
        <v>0.15519873401339987</v>
      </c>
      <c r="T37" s="26">
        <f>(FINANCIALS!P40-FINANCIALS!O40)/FINANCIALS!O40</f>
        <v>0.1077886746088106</v>
      </c>
      <c r="U37" s="26">
        <f>(FINANCIALS!Q40-FINANCIALS!P40)/FINANCIALS!P40</f>
        <v>1.6233916763381058</v>
      </c>
      <c r="V37" s="26">
        <f>(FINANCIALS!R40-FINANCIALS!Q40)/FINANCIALS!Q40</f>
        <v>-0.96670431042728677</v>
      </c>
      <c r="W37" s="26">
        <f>(FINANCIALS!S40-FINANCIALS!R40)/FINANCIALS!R40</f>
        <v>1.1988932104597572</v>
      </c>
      <c r="X37" s="26">
        <f>(FINANCIALS!T40-FINANCIALS!S40)/FINANCIALS!S40</f>
        <v>0.60656511237188804</v>
      </c>
      <c r="Y37" s="26">
        <f>(FINANCIALS!U40-FINANCIALS!T40)/FINANCIALS!T40</f>
        <v>0.30397209454211072</v>
      </c>
      <c r="Z37" s="26">
        <f>(FINANCIALS!V40-FINANCIALS!U40)/FINANCIALS!U40</f>
        <v>0.25712786718597247</v>
      </c>
      <c r="AA37" s="26">
        <f>(FINANCIALS!W40-FINANCIALS!V40)/FINANCIALS!V40</f>
        <v>0.18168409499736385</v>
      </c>
      <c r="AB37" s="26">
        <f>(FINANCIALS!X40-FINANCIALS!W40)/FINANCIALS!W40</f>
        <v>0.17691007120088151</v>
      </c>
      <c r="AC37" s="26">
        <f>(FINANCIALS!Y40-FINANCIALS!X40)/FINANCIALS!X40</f>
        <v>0.12099700597029309</v>
      </c>
      <c r="AD37" s="26">
        <f>(FINANCIALS!Z40-FINANCIALS!Y40)/FINANCIALS!Y40</f>
        <v>0.10542079284235852</v>
      </c>
      <c r="AE37" s="26">
        <f>(FINANCIALS!AA40-FINANCIALS!Z40)/FINANCIALS!Z40</f>
        <v>9.5929116233689271E-2</v>
      </c>
      <c r="AF37" s="26">
        <f>(FINANCIALS!AB40-FINANCIALS!AA40)/FINANCIALS!AA40</f>
        <v>8.6462571112601153E-2</v>
      </c>
      <c r="AG37" s="26">
        <f>(FINANCIALS!AC40-FINANCIALS!AB40)/FINANCIALS!AB40</f>
        <v>5.5733193705045869E-2</v>
      </c>
      <c r="AH37" s="26">
        <f>(FINANCIALS!AD40-FINANCIALS!AC40)/FINANCIALS!AC40</f>
        <v>1.5956762345602127</v>
      </c>
      <c r="AI37" s="26">
        <f>(FINANCIALS!AE40-FINANCIALS!AD40)/FINANCIALS!AD40</f>
        <v>-0.96394108435456405</v>
      </c>
      <c r="AJ37" s="26">
        <f>(FINANCIALS!AF40-FINANCIALS!AE40)/FINANCIALS!AE40</f>
        <v>1.3885105806516365</v>
      </c>
      <c r="AK37" s="26">
        <f>(FINANCIALS!AG40-FINANCIALS!AF40)/FINANCIALS!AF40</f>
        <v>0.38384640353648802</v>
      </c>
      <c r="AL37" s="26">
        <f>(FINANCIALS!AH40-FINANCIALS!AG40)/FINANCIALS!AG40</f>
        <v>0.33865875161882347</v>
      </c>
      <c r="AM37" s="26">
        <f>(FINANCIALS!AI40-FINANCIALS!AH40)/FINANCIALS!AH40</f>
        <v>0.2392114513382331</v>
      </c>
      <c r="AN37" s="26">
        <f>(FINANCIALS!AJ40-FINANCIALS!AI40)/FINANCIALS!AI40</f>
        <v>0.19621553478306436</v>
      </c>
      <c r="AO37" s="26">
        <f>(FINANCIALS!AK40-FINANCIALS!AJ40)/FINANCIALS!AJ40</f>
        <v>0.17166818679935916</v>
      </c>
      <c r="AP37" s="26">
        <f>(FINANCIALS!AL40-FINANCIALS!AK40)/FINANCIALS!AK40</f>
        <v>0.17202445975832073</v>
      </c>
      <c r="AQ37" s="26">
        <f>(FINANCIALS!AM40-FINANCIALS!AL40)/FINANCIALS!AL40</f>
        <v>0.11795833715832643</v>
      </c>
    </row>
    <row r="38" spans="1:43" ht="14.1">
      <c r="A38" s="8"/>
      <c r="B38" s="8"/>
      <c r="C38" s="8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</row>
    <row r="39" spans="1:43" ht="14.1">
      <c r="A39" s="9">
        <v>5</v>
      </c>
      <c r="B39" s="7" t="s">
        <v>204</v>
      </c>
      <c r="C39" s="8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</row>
    <row r="40" spans="1:43" ht="14.1">
      <c r="A40" s="9">
        <v>5.0999999999999996</v>
      </c>
      <c r="B40" s="8" t="s">
        <v>205</v>
      </c>
      <c r="C40" s="8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</row>
    <row r="41" spans="1:43" ht="14.25">
      <c r="A41" s="9">
        <v>5.2</v>
      </c>
      <c r="B41" s="8" t="s">
        <v>206</v>
      </c>
      <c r="C41" s="8"/>
      <c r="D41" s="27" t="e">
        <f>FINANCIALS!#REF!/((FINANCIALS!#REF!+FINANCIALS!#REF!)/2)</f>
        <v>#REF!</v>
      </c>
      <c r="E41" s="27" t="e">
        <f>FINANCIALS!#REF!/((FINANCIALS!#REF!+FINANCIALS!#REF!)/2)</f>
        <v>#REF!</v>
      </c>
      <c r="F41" s="27" t="e">
        <f>FINANCIALS!#REF!/((FINANCIALS!#REF!+FINANCIALS!#REF!)/2)</f>
        <v>#REF!</v>
      </c>
      <c r="G41" s="27" t="e">
        <f>FINANCIALS!C42/((FINANCIALS!C15+FINANCIALS!#REF!)/2)</f>
        <v>#REF!</v>
      </c>
      <c r="H41" s="27" t="e">
        <f>FINANCIALS!D42/((FINANCIALS!D15+FINANCIALS!#REF!)/2)</f>
        <v>#REF!</v>
      </c>
      <c r="I41" s="27" t="e">
        <f>FINANCIALS!E42/((FINANCIALS!E15+FINANCIALS!#REF!)/2)</f>
        <v>#REF!</v>
      </c>
      <c r="J41" s="27" t="e">
        <f>FINANCIALS!F42/((FINANCIALS!F15+FINANCIALS!#REF!)/2)</f>
        <v>#REF!</v>
      </c>
      <c r="K41" s="27" t="e">
        <f>FINANCIALS!G42/((FINANCIALS!G15+FINANCIALS!#REF!)/2)</f>
        <v>#REF!</v>
      </c>
      <c r="L41" s="27" t="e">
        <f>FINANCIALS!H42/((FINANCIALS!H15+FINANCIALS!#REF!)/2)</f>
        <v>#REF!</v>
      </c>
      <c r="M41" s="27" t="e">
        <f>FINANCIALS!I42/((FINANCIALS!I15+FINANCIALS!#REF!)/2)</f>
        <v>#REF!</v>
      </c>
      <c r="N41" s="27" t="e">
        <f>FINANCIALS!J42/((FINANCIALS!J15+FINANCIALS!#REF!)/2)</f>
        <v>#REF!</v>
      </c>
      <c r="O41" s="27" t="e">
        <f>FINANCIALS!K42/((FINANCIALS!K15+FINANCIALS!#REF!)/2)</f>
        <v>#REF!</v>
      </c>
      <c r="P41" s="27" t="e">
        <f>FINANCIALS!L42/((FINANCIALS!L15+FINANCIALS!#REF!)/2)</f>
        <v>#REF!</v>
      </c>
      <c r="Q41" s="27" t="e">
        <f>FINANCIALS!M42/((FINANCIALS!M15+FINANCIALS!#REF!)/2)</f>
        <v>#REF!</v>
      </c>
      <c r="R41" s="27" t="e">
        <f>FINANCIALS!N42/((FINANCIALS!N15+FINANCIALS!#REF!)/2)</f>
        <v>#REF!</v>
      </c>
      <c r="S41" s="27" t="e">
        <f>FINANCIALS!O42/((FINANCIALS!O15+FINANCIALS!#REF!)/2)</f>
        <v>#REF!</v>
      </c>
      <c r="T41" s="27" t="e">
        <f>FINANCIALS!P42/((FINANCIALS!P15+FINANCIALS!#REF!)/2)</f>
        <v>#REF!</v>
      </c>
      <c r="U41" s="27" t="e">
        <f>FINANCIALS!Q42/((FINANCIALS!Q15+FINANCIALS!#REF!)/2)</f>
        <v>#REF!</v>
      </c>
      <c r="V41" s="27" t="e">
        <f>FINANCIALS!R42/((FINANCIALS!R15+FINANCIALS!#REF!)/2)</f>
        <v>#REF!</v>
      </c>
      <c r="W41" s="27" t="e">
        <f>FINANCIALS!S42/((FINANCIALS!S15+FINANCIALS!#REF!)/2)</f>
        <v>#REF!</v>
      </c>
      <c r="X41" s="27" t="e">
        <f>FINANCIALS!T42/((FINANCIALS!T15+FINANCIALS!#REF!)/2)</f>
        <v>#REF!</v>
      </c>
      <c r="Y41" s="27" t="e">
        <f>FINANCIALS!U42/((FINANCIALS!U15+FINANCIALS!#REF!)/2)</f>
        <v>#REF!</v>
      </c>
      <c r="Z41" s="27" t="e">
        <f>FINANCIALS!V42/((FINANCIALS!V15+FINANCIALS!#REF!)/2)</f>
        <v>#REF!</v>
      </c>
      <c r="AA41" s="27" t="e">
        <f>FINANCIALS!W42/((FINANCIALS!W15+FINANCIALS!#REF!)/2)</f>
        <v>#REF!</v>
      </c>
      <c r="AB41" s="27" t="e">
        <f>FINANCIALS!X42/((FINANCIALS!X15+FINANCIALS!#REF!)/2)</f>
        <v>#REF!</v>
      </c>
      <c r="AC41" s="27" t="e">
        <f>FINANCIALS!Y42/((FINANCIALS!Y15+FINANCIALS!#REF!)/2)</f>
        <v>#REF!</v>
      </c>
      <c r="AD41" s="27" t="e">
        <f>FINANCIALS!Z42/((FINANCIALS!Z15+FINANCIALS!#REF!)/2)</f>
        <v>#REF!</v>
      </c>
      <c r="AE41" s="27" t="e">
        <f>FINANCIALS!AA42/((FINANCIALS!AA15+FINANCIALS!#REF!)/2)</f>
        <v>#REF!</v>
      </c>
      <c r="AF41" s="27" t="e">
        <f>FINANCIALS!AB42/((FINANCIALS!AB15+FINANCIALS!#REF!)/2)</f>
        <v>#REF!</v>
      </c>
      <c r="AG41" s="27" t="e">
        <f>FINANCIALS!AC42/((FINANCIALS!AC15+FINANCIALS!#REF!)/2)</f>
        <v>#REF!</v>
      </c>
      <c r="AH41" s="27" t="e">
        <f>FINANCIALS!AD42/((FINANCIALS!AD15+FINANCIALS!#REF!)/2)</f>
        <v>#REF!</v>
      </c>
      <c r="AI41" s="27" t="e">
        <f>FINANCIALS!AE42/((FINANCIALS!AE15+FINANCIALS!#REF!)/2)</f>
        <v>#REF!</v>
      </c>
      <c r="AJ41" s="27" t="e">
        <f>FINANCIALS!AF42/((FINANCIALS!AF15+FINANCIALS!#REF!)/2)</f>
        <v>#REF!</v>
      </c>
      <c r="AK41" s="27" t="e">
        <f>FINANCIALS!AG42/((FINANCIALS!AG15+FINANCIALS!#REF!)/2)</f>
        <v>#REF!</v>
      </c>
      <c r="AL41" s="27" t="e">
        <f>FINANCIALS!AH42/((FINANCIALS!AH15+FINANCIALS!#REF!)/2)</f>
        <v>#REF!</v>
      </c>
      <c r="AM41" s="27" t="e">
        <f>FINANCIALS!AI42/((FINANCIALS!AI15+FINANCIALS!#REF!)/2)</f>
        <v>#REF!</v>
      </c>
      <c r="AN41" s="27" t="e">
        <f>FINANCIALS!AJ42/((FINANCIALS!AJ15+FINANCIALS!#REF!)/2)</f>
        <v>#REF!</v>
      </c>
      <c r="AO41" s="27" t="e">
        <f>FINANCIALS!AK42/((FINANCIALS!AK15+FINANCIALS!#REF!)/2)</f>
        <v>#REF!</v>
      </c>
      <c r="AP41" s="27" t="e">
        <f>FINANCIALS!AL42/((FINANCIALS!AL15+FINANCIALS!#REF!)/2)</f>
        <v>#REF!</v>
      </c>
      <c r="AQ41" s="27" t="e">
        <f>FINANCIALS!AM42/((FINANCIALS!AM15+FINANCIALS!#REF!)/2)</f>
        <v>#REF!</v>
      </c>
    </row>
    <row r="42" spans="1:43" ht="14.25">
      <c r="A42" s="9">
        <v>5.3</v>
      </c>
      <c r="B42" s="8" t="s">
        <v>207</v>
      </c>
      <c r="C42" s="8"/>
      <c r="D42" s="26" t="e">
        <f>FINANCIALS!#REF!/((FINANCIALS!#REF!+FINANCIALS!#REF!)/2)</f>
        <v>#REF!</v>
      </c>
      <c r="E42" s="26" t="e">
        <f>FINANCIALS!#REF!/((FINANCIALS!#REF!+FINANCIALS!#REF!)/2)</f>
        <v>#REF!</v>
      </c>
      <c r="F42" s="26" t="e">
        <f>FINANCIALS!#REF!/((FINANCIALS!#REF!+FINANCIALS!#REF!)/2)</f>
        <v>#REF!</v>
      </c>
      <c r="G42" s="26" t="e">
        <f>FINANCIALS!C43/((FINANCIALS!C8+FINANCIALS!#REF!)/2)</f>
        <v>#REF!</v>
      </c>
      <c r="H42" s="26" t="e">
        <f>FINANCIALS!D43/((FINANCIALS!D8+FINANCIALS!#REF!)/2)</f>
        <v>#REF!</v>
      </c>
      <c r="I42" s="26" t="e">
        <f>FINANCIALS!E43/((FINANCIALS!E8+FINANCIALS!#REF!)/2)</f>
        <v>#REF!</v>
      </c>
      <c r="J42" s="26" t="e">
        <f>FINANCIALS!F43/((FINANCIALS!F8+FINANCIALS!#REF!)/2)</f>
        <v>#REF!</v>
      </c>
      <c r="K42" s="26" t="e">
        <f>FINANCIALS!G43/((FINANCIALS!G8+FINANCIALS!#REF!)/2)</f>
        <v>#REF!</v>
      </c>
      <c r="L42" s="26" t="e">
        <f>FINANCIALS!H43/((FINANCIALS!H8+FINANCIALS!#REF!)/2)</f>
        <v>#REF!</v>
      </c>
      <c r="M42" s="26" t="e">
        <f>FINANCIALS!I43/((FINANCIALS!I8+FINANCIALS!#REF!)/2)</f>
        <v>#REF!</v>
      </c>
      <c r="N42" s="26" t="e">
        <f>FINANCIALS!J43/((FINANCIALS!J8+FINANCIALS!#REF!)/2)</f>
        <v>#REF!</v>
      </c>
      <c r="O42" s="26" t="e">
        <f>FINANCIALS!K43/((FINANCIALS!K8+FINANCIALS!#REF!)/2)</f>
        <v>#REF!</v>
      </c>
      <c r="P42" s="26" t="e">
        <f>FINANCIALS!L43/((FINANCIALS!L8+FINANCIALS!#REF!)/2)</f>
        <v>#REF!</v>
      </c>
      <c r="Q42" s="26" t="e">
        <f>FINANCIALS!M43/((FINANCIALS!M8+FINANCIALS!#REF!)/2)</f>
        <v>#REF!</v>
      </c>
      <c r="R42" s="26" t="e">
        <f>FINANCIALS!N43/((FINANCIALS!N8+FINANCIALS!#REF!)/2)</f>
        <v>#REF!</v>
      </c>
      <c r="S42" s="26" t="e">
        <f>FINANCIALS!O43/((FINANCIALS!O8+FINANCIALS!#REF!)/2)</f>
        <v>#REF!</v>
      </c>
      <c r="T42" s="26" t="e">
        <f>FINANCIALS!P43/((FINANCIALS!P8+FINANCIALS!#REF!)/2)</f>
        <v>#REF!</v>
      </c>
      <c r="U42" s="26" t="e">
        <f>FINANCIALS!Q43/((FINANCIALS!Q8+FINANCIALS!#REF!)/2)</f>
        <v>#REF!</v>
      </c>
      <c r="V42" s="26" t="e">
        <f>FINANCIALS!R43/((FINANCIALS!R8+FINANCIALS!#REF!)/2)</f>
        <v>#REF!</v>
      </c>
      <c r="W42" s="26" t="e">
        <f>FINANCIALS!S43/((FINANCIALS!S8+FINANCIALS!#REF!)/2)</f>
        <v>#REF!</v>
      </c>
      <c r="X42" s="26" t="e">
        <f>FINANCIALS!T43/((FINANCIALS!T8+FINANCIALS!#REF!)/2)</f>
        <v>#REF!</v>
      </c>
      <c r="Y42" s="26" t="e">
        <f>FINANCIALS!U43/((FINANCIALS!U8+FINANCIALS!#REF!)/2)</f>
        <v>#REF!</v>
      </c>
      <c r="Z42" s="26" t="e">
        <f>FINANCIALS!V43/((FINANCIALS!V8+FINANCIALS!#REF!)/2)</f>
        <v>#REF!</v>
      </c>
      <c r="AA42" s="26" t="e">
        <f>FINANCIALS!W43/((FINANCIALS!W8+FINANCIALS!#REF!)/2)</f>
        <v>#REF!</v>
      </c>
      <c r="AB42" s="26" t="e">
        <f>FINANCIALS!X43/((FINANCIALS!X8+FINANCIALS!#REF!)/2)</f>
        <v>#REF!</v>
      </c>
      <c r="AC42" s="26" t="e">
        <f>FINANCIALS!Y43/((FINANCIALS!Y8+FINANCIALS!#REF!)/2)</f>
        <v>#REF!</v>
      </c>
      <c r="AD42" s="26" t="e">
        <f>FINANCIALS!Z43/((FINANCIALS!Z8+FINANCIALS!#REF!)/2)</f>
        <v>#REF!</v>
      </c>
      <c r="AE42" s="26" t="e">
        <f>FINANCIALS!AA43/((FINANCIALS!AA8+FINANCIALS!#REF!)/2)</f>
        <v>#REF!</v>
      </c>
      <c r="AF42" s="26" t="e">
        <f>FINANCIALS!AB43/((FINANCIALS!AB8+FINANCIALS!#REF!)/2)</f>
        <v>#REF!</v>
      </c>
      <c r="AG42" s="26" t="e">
        <f>FINANCIALS!AC43/((FINANCIALS!AC8+FINANCIALS!#REF!)/2)</f>
        <v>#REF!</v>
      </c>
      <c r="AH42" s="26" t="e">
        <f>FINANCIALS!AD43/((FINANCIALS!AD8+FINANCIALS!#REF!)/2)</f>
        <v>#VALUE!</v>
      </c>
      <c r="AI42" s="26" t="e">
        <f>FINANCIALS!AE43/((FINANCIALS!AE8+FINANCIALS!#REF!)/2)</f>
        <v>#REF!</v>
      </c>
      <c r="AJ42" s="26" t="e">
        <f>FINANCIALS!AF43/((FINANCIALS!AF8+FINANCIALS!#REF!)/2)</f>
        <v>#REF!</v>
      </c>
      <c r="AK42" s="26" t="e">
        <f>FINANCIALS!AG43/((FINANCIALS!AG8+FINANCIALS!#REF!)/2)</f>
        <v>#REF!</v>
      </c>
      <c r="AL42" s="26" t="e">
        <f>FINANCIALS!AH43/((FINANCIALS!AH8+FINANCIALS!#REF!)/2)</f>
        <v>#REF!</v>
      </c>
      <c r="AM42" s="26" t="e">
        <f>FINANCIALS!AI43/((FINANCIALS!AI8+FINANCIALS!#REF!)/2)</f>
        <v>#REF!</v>
      </c>
      <c r="AN42" s="26" t="e">
        <f>FINANCIALS!AJ43/((FINANCIALS!AJ8+FINANCIALS!#REF!)/2)</f>
        <v>#REF!</v>
      </c>
      <c r="AO42" s="26" t="e">
        <f>FINANCIALS!AK43/((FINANCIALS!AK8+FINANCIALS!#REF!)/2)</f>
        <v>#REF!</v>
      </c>
      <c r="AP42" s="26" t="e">
        <f>FINANCIALS!AL43/((FINANCIALS!AL8+FINANCIALS!#REF!)/2)</f>
        <v>#REF!</v>
      </c>
      <c r="AQ42" s="26" t="e">
        <f>FINANCIALS!AM43/((FINANCIALS!AM8+FINANCIALS!#REF!)/2)</f>
        <v>#REF!</v>
      </c>
    </row>
    <row r="43" spans="1:43" ht="14.25">
      <c r="A43" s="9">
        <v>5.4</v>
      </c>
      <c r="B43" s="8" t="s">
        <v>208</v>
      </c>
      <c r="C43" s="8"/>
      <c r="D43" s="26" t="e">
        <f>FINANCIALS!#REF!/((FINANCIALS!#REF!+FINANCIALS!#REF!)/2)</f>
        <v>#REF!</v>
      </c>
      <c r="E43" s="26" t="e">
        <f>FINANCIALS!#REF!/((FINANCIALS!#REF!+FINANCIALS!#REF!)/2)</f>
        <v>#REF!</v>
      </c>
      <c r="F43" s="26" t="e">
        <f>FINANCIALS!#REF!/((FINANCIALS!#REF!+FINANCIALS!#REF!)/2)</f>
        <v>#REF!</v>
      </c>
      <c r="G43" s="26" t="e">
        <f>FINANCIALS!C44/((FINANCIALS!C4+FINANCIALS!#REF!)/2)</f>
        <v>#REF!</v>
      </c>
      <c r="H43" s="26" t="e">
        <f>FINANCIALS!D44/((FINANCIALS!D4+FINANCIALS!#REF!)/2)</f>
        <v>#REF!</v>
      </c>
      <c r="I43" s="26" t="e">
        <f>FINANCIALS!E44/((FINANCIALS!E4+FINANCIALS!#REF!)/2)</f>
        <v>#REF!</v>
      </c>
      <c r="J43" s="26" t="e">
        <f>FINANCIALS!F44/((FINANCIALS!F4+FINANCIALS!#REF!)/2)</f>
        <v>#REF!</v>
      </c>
      <c r="K43" s="26" t="e">
        <f>FINANCIALS!G44/((FINANCIALS!G4+FINANCIALS!#REF!)/2)</f>
        <v>#REF!</v>
      </c>
      <c r="L43" s="26" t="e">
        <f>FINANCIALS!H44/((FINANCIALS!H4+FINANCIALS!#REF!)/2)</f>
        <v>#REF!</v>
      </c>
      <c r="M43" s="26" t="e">
        <f>FINANCIALS!I44/((FINANCIALS!I4+FINANCIALS!#REF!)/2)</f>
        <v>#REF!</v>
      </c>
      <c r="N43" s="26" t="e">
        <f>FINANCIALS!J44/((FINANCIALS!J4+FINANCIALS!#REF!)/2)</f>
        <v>#REF!</v>
      </c>
      <c r="O43" s="26" t="e">
        <f>FINANCIALS!K44/((FINANCIALS!K4+FINANCIALS!#REF!)/2)</f>
        <v>#REF!</v>
      </c>
      <c r="P43" s="26" t="e">
        <f>FINANCIALS!L44/((FINANCIALS!L4+FINANCIALS!#REF!)/2)</f>
        <v>#REF!</v>
      </c>
      <c r="Q43" s="26" t="e">
        <f>FINANCIALS!M44/((FINANCIALS!M4+FINANCIALS!#REF!)/2)</f>
        <v>#REF!</v>
      </c>
      <c r="R43" s="26" t="e">
        <f>FINANCIALS!N44/((FINANCIALS!N4+FINANCIALS!#REF!)/2)</f>
        <v>#REF!</v>
      </c>
      <c r="S43" s="26" t="e">
        <f>FINANCIALS!O44/((FINANCIALS!O4+FINANCIALS!#REF!)/2)</f>
        <v>#REF!</v>
      </c>
      <c r="T43" s="26" t="e">
        <f>FINANCIALS!P44/((FINANCIALS!P4+FINANCIALS!#REF!)/2)</f>
        <v>#REF!</v>
      </c>
      <c r="U43" s="26" t="e">
        <f>FINANCIALS!Q44/((FINANCIALS!Q4+FINANCIALS!#REF!)/2)</f>
        <v>#REF!</v>
      </c>
      <c r="V43" s="26" t="e">
        <f>FINANCIALS!R44/((FINANCIALS!R4+FINANCIALS!#REF!)/2)</f>
        <v>#REF!</v>
      </c>
      <c r="W43" s="26" t="e">
        <f>FINANCIALS!S44/((FINANCIALS!S4+FINANCIALS!#REF!)/2)</f>
        <v>#REF!</v>
      </c>
      <c r="X43" s="26" t="e">
        <f>FINANCIALS!T44/((FINANCIALS!T4+FINANCIALS!#REF!)/2)</f>
        <v>#REF!</v>
      </c>
      <c r="Y43" s="26" t="e">
        <f>FINANCIALS!U44/((FINANCIALS!U4+FINANCIALS!#REF!)/2)</f>
        <v>#REF!</v>
      </c>
      <c r="Z43" s="26" t="e">
        <f>FINANCIALS!V44/((FINANCIALS!V4+FINANCIALS!#REF!)/2)</f>
        <v>#REF!</v>
      </c>
      <c r="AA43" s="26" t="e">
        <f>FINANCIALS!W44/((FINANCIALS!W4+FINANCIALS!#REF!)/2)</f>
        <v>#REF!</v>
      </c>
      <c r="AB43" s="26" t="e">
        <f>FINANCIALS!X44/((FINANCIALS!X4+FINANCIALS!#REF!)/2)</f>
        <v>#REF!</v>
      </c>
      <c r="AC43" s="26" t="e">
        <f>FINANCIALS!Y44/((FINANCIALS!Y4+FINANCIALS!#REF!)/2)</f>
        <v>#REF!</v>
      </c>
      <c r="AD43" s="26" t="e">
        <f>FINANCIALS!Z44/((FINANCIALS!Z4+FINANCIALS!#REF!)/2)</f>
        <v>#REF!</v>
      </c>
      <c r="AE43" s="26" t="e">
        <f>FINANCIALS!AA44/((FINANCIALS!AA4+FINANCIALS!#REF!)/2)</f>
        <v>#REF!</v>
      </c>
      <c r="AF43" s="26" t="e">
        <f>FINANCIALS!AB44/((FINANCIALS!AB4+FINANCIALS!#REF!)/2)</f>
        <v>#REF!</v>
      </c>
      <c r="AG43" s="26" t="e">
        <f>FINANCIALS!AC44/((FINANCIALS!AC4+FINANCIALS!#REF!)/2)</f>
        <v>#REF!</v>
      </c>
      <c r="AH43" s="26" t="e">
        <f>FINANCIALS!AD44/((FINANCIALS!AD4+FINANCIALS!#REF!)/2)</f>
        <v>#REF!</v>
      </c>
      <c r="AI43" s="26" t="e">
        <f>FINANCIALS!AE44/((FINANCIALS!AE4+FINANCIALS!#REF!)/2)</f>
        <v>#REF!</v>
      </c>
      <c r="AJ43" s="26" t="e">
        <f>FINANCIALS!AF44/((FINANCIALS!AF4+FINANCIALS!#REF!)/2)</f>
        <v>#REF!</v>
      </c>
      <c r="AK43" s="26" t="e">
        <f>FINANCIALS!AG44/((FINANCIALS!AG4+FINANCIALS!#REF!)/2)</f>
        <v>#REF!</v>
      </c>
      <c r="AL43" s="26" t="e">
        <f>FINANCIALS!AH44/((FINANCIALS!AH4+FINANCIALS!#REF!)/2)</f>
        <v>#REF!</v>
      </c>
      <c r="AM43" s="26" t="e">
        <f>FINANCIALS!AI44/((FINANCIALS!AI4+FINANCIALS!#REF!)/2)</f>
        <v>#REF!</v>
      </c>
      <c r="AN43" s="26" t="e">
        <f>FINANCIALS!AJ44/((FINANCIALS!AJ4+FINANCIALS!#REF!)/2)</f>
        <v>#REF!</v>
      </c>
      <c r="AO43" s="26" t="e">
        <f>FINANCIALS!AK44/((FINANCIALS!AK4+FINANCIALS!#REF!)/2)</f>
        <v>#REF!</v>
      </c>
      <c r="AP43" s="26" t="e">
        <f>FINANCIALS!AL44/((FINANCIALS!AL4+FINANCIALS!#REF!)/2)</f>
        <v>#REF!</v>
      </c>
      <c r="AQ43" s="26" t="e">
        <f>FINANCIALS!AM44/((FINANCIALS!AM4+FINANCIALS!#REF!)/2)</f>
        <v>#REF!</v>
      </c>
    </row>
    <row r="44" spans="1:43" ht="14.25">
      <c r="A44" s="9"/>
      <c r="B44" s="8" t="s">
        <v>209</v>
      </c>
      <c r="C44" s="8"/>
      <c r="D44" s="27" t="e">
        <f>FINANCIALS!#REF!/FINANCIALS!#REF!</f>
        <v>#REF!</v>
      </c>
      <c r="E44" s="27" t="e">
        <f>FINANCIALS!#REF!/FINANCIALS!#REF!</f>
        <v>#REF!</v>
      </c>
      <c r="F44" s="27" t="e">
        <f>FINANCIALS!#REF!/FINANCIALS!#REF!</f>
        <v>#REF!</v>
      </c>
      <c r="G44" s="27">
        <f>FINANCIALS!C44/FINANCIALS!C34</f>
        <v>0.26135521363732483</v>
      </c>
      <c r="H44" s="27">
        <f>FINANCIALS!D44/FINANCIALS!D34</f>
        <v>8.3111736887666959E-2</v>
      </c>
      <c r="I44" s="27">
        <f>FINANCIALS!E44/FINANCIALS!E34</f>
        <v>0.17909909390415318</v>
      </c>
      <c r="J44" s="27">
        <f>FINANCIALS!F44/FINANCIALS!F34</f>
        <v>0.22398030889032655</v>
      </c>
      <c r="K44" s="27">
        <f>FINANCIALS!G44/FINANCIALS!G34</f>
        <v>0.2305849350901254</v>
      </c>
      <c r="L44" s="27">
        <f>FINANCIALS!H44/FINANCIALS!H34</f>
        <v>0.22071094073496467</v>
      </c>
      <c r="M44" s="27">
        <f>FINANCIALS!I44/FINANCIALS!I34</f>
        <v>0.21755926022545344</v>
      </c>
      <c r="N44" s="27">
        <f>FINANCIALS!J44/FINANCIALS!J34</f>
        <v>0.21523919806120353</v>
      </c>
      <c r="O44" s="27">
        <f>FINANCIALS!K44/FINANCIALS!K34</f>
        <v>0.21447403577351146</v>
      </c>
      <c r="P44" s="27">
        <f>FINANCIALS!L44/FINANCIALS!L34</f>
        <v>0.21980686085462214</v>
      </c>
      <c r="Q44" s="27">
        <f>FINANCIALS!M44/FINANCIALS!M34</f>
        <v>0.22295722788645536</v>
      </c>
      <c r="R44" s="27">
        <f>FINANCIALS!N44/FINANCIALS!N34</f>
        <v>0.22564230216172862</v>
      </c>
      <c r="S44" s="27">
        <f>FINANCIALS!O44/FINANCIALS!O34</f>
        <v>0.23629894472911323</v>
      </c>
      <c r="T44" s="27">
        <f>FINANCIALS!P44/FINANCIALS!P34</f>
        <v>0.24129822070754395</v>
      </c>
      <c r="U44" s="27">
        <f>FINANCIALS!Q44/FINANCIALS!Q34</f>
        <v>0.23956097174360566</v>
      </c>
      <c r="V44" s="27">
        <f>FINANCIALS!R44/FINANCIALS!R34</f>
        <v>0.24754034191325322</v>
      </c>
      <c r="W44" s="27">
        <f>FINANCIALS!S44/FINANCIALS!S34</f>
        <v>0.28902404004089732</v>
      </c>
      <c r="X44" s="27">
        <f>FINANCIALS!T44/FINANCIALS!T34</f>
        <v>0.30302655719839078</v>
      </c>
      <c r="Y44" s="27">
        <f>FINANCIALS!U44/FINANCIALS!U34</f>
        <v>0.29452453426102088</v>
      </c>
      <c r="Z44" s="27">
        <f>FINANCIALS!V44/FINANCIALS!V34</f>
        <v>0.30236869136081801</v>
      </c>
      <c r="AA44" s="27">
        <f>FINANCIALS!W44/FINANCIALS!W34</f>
        <v>0.29897241758725618</v>
      </c>
      <c r="AB44" s="27">
        <f>FINANCIALS!X44/FINANCIALS!X34</f>
        <v>0.3034604363788298</v>
      </c>
      <c r="AC44" s="27">
        <f>FINANCIALS!Y44/FINANCIALS!Y34</f>
        <v>0.2985494965148221</v>
      </c>
      <c r="AD44" s="27">
        <f>FINANCIALS!Z44/FINANCIALS!Z34</f>
        <v>0.29250412896208744</v>
      </c>
      <c r="AE44" s="27">
        <f>FINANCIALS!AA44/FINANCIALS!AA34</f>
        <v>0.28623107648122764</v>
      </c>
      <c r="AF44" s="27">
        <f>FINANCIALS!AB44/FINANCIALS!AB34</f>
        <v>0.27834929652946522</v>
      </c>
      <c r="AG44" s="27">
        <f>FINANCIALS!AC44/FINANCIALS!AC34</f>
        <v>0.255795612421018</v>
      </c>
      <c r="AH44" s="27">
        <f>FINANCIALS!AD44/FINANCIALS!AD34</f>
        <v>0.26214494724709092</v>
      </c>
      <c r="AI44" s="27">
        <f>FINANCIALS!AE44/FINANCIALS!AE34</f>
        <v>0.2603333980083713</v>
      </c>
      <c r="AJ44" s="27">
        <f>FINANCIALS!AF44/FINANCIALS!AF34</f>
        <v>0.32147157561025436</v>
      </c>
      <c r="AK44" s="27">
        <f>FINANCIALS!AG44/FINANCIALS!AG34</f>
        <v>0.30334013090999995</v>
      </c>
      <c r="AL44" s="27">
        <f>FINANCIALS!AH44/FINANCIALS!AH34</f>
        <v>0.30383249245916222</v>
      </c>
      <c r="AM44" s="27">
        <f>FINANCIALS!AI44/FINANCIALS!AI34</f>
        <v>0.29871478694151643</v>
      </c>
      <c r="AN44" s="27">
        <f>FINANCIALS!AJ44/FINANCIALS!AJ34</f>
        <v>0.29028420264746269</v>
      </c>
      <c r="AO44" s="27">
        <f>FINANCIALS!AK44/FINANCIALS!AK34</f>
        <v>0.2911348722529265</v>
      </c>
      <c r="AP44" s="27">
        <f>FINANCIALS!AL44/FINANCIALS!AL34</f>
        <v>0.29720578155695715</v>
      </c>
      <c r="AQ44" s="27">
        <f>FINANCIALS!AM44/FINANCIALS!AM34</f>
        <v>0.29393968934663006</v>
      </c>
    </row>
    <row r="45" spans="1:43" ht="14.25">
      <c r="A45" s="9">
        <v>5.5</v>
      </c>
      <c r="B45" s="8" t="s">
        <v>210</v>
      </c>
      <c r="C45" s="8"/>
      <c r="D45" s="27" t="e">
        <f>FINANCIALS!#REF!/FINANCIALS!#REF!</f>
        <v>#REF!</v>
      </c>
      <c r="E45" s="27" t="e">
        <f>FINANCIALS!#REF!/FINANCIALS!#REF!</f>
        <v>#REF!</v>
      </c>
      <c r="F45" s="27" t="e">
        <f>FINANCIALS!#REF!/FINANCIALS!#REF!</f>
        <v>#REF!</v>
      </c>
      <c r="G45" s="27" t="e">
        <f>FINANCIALS!#REF!/FINANCIALS!#REF!</f>
        <v>#REF!</v>
      </c>
      <c r="H45" s="27">
        <f>FINANCIALS!C35/FINANCIALS!C27</f>
        <v>0.1826310888458948</v>
      </c>
      <c r="I45" s="27">
        <f>FINANCIALS!D35/FINANCIALS!D27</f>
        <v>0.17717107653988134</v>
      </c>
      <c r="J45" s="27">
        <f>FINANCIALS!E35/FINANCIALS!E27</f>
        <v>1.663724253140992E-2</v>
      </c>
      <c r="K45" s="27">
        <f>FINANCIALS!F35/FINANCIALS!F27</f>
        <v>3.1093147810586929E-2</v>
      </c>
      <c r="L45" s="27">
        <f>FINANCIALS!G35/FINANCIALS!G27</f>
        <v>4.8003541406961225E-2</v>
      </c>
      <c r="M45" s="27">
        <f>FINANCIALS!H35/FINANCIALS!H27</f>
        <v>6.3387332332759158E-2</v>
      </c>
      <c r="N45" s="27">
        <f>FINANCIALS!I35/FINANCIALS!I27</f>
        <v>7.8757612551305659E-2</v>
      </c>
      <c r="O45" s="27">
        <f>FINANCIALS!J35/FINANCIALS!J27</f>
        <v>9.4010098183939642E-2</v>
      </c>
      <c r="P45" s="27">
        <f>FINANCIALS!K35/FINANCIALS!K27</f>
        <v>0.10872043438958144</v>
      </c>
      <c r="Q45" s="27">
        <f>FINANCIALS!L35/FINANCIALS!L27</f>
        <v>0.12366269103988563</v>
      </c>
      <c r="R45" s="27">
        <f>FINANCIALS!M35/FINANCIALS!M27</f>
        <v>0.13898442704193176</v>
      </c>
      <c r="S45" s="27">
        <f>FINANCIALS!N35/FINANCIALS!N27</f>
        <v>0.1541982347093733</v>
      </c>
      <c r="T45" s="27">
        <f>FINANCIALS!O35/FINANCIALS!O27</f>
        <v>0.17070480596099374</v>
      </c>
      <c r="U45" s="27">
        <f>FINANCIALS!P35/FINANCIALS!P27</f>
        <v>0.18804303317540391</v>
      </c>
      <c r="V45" s="27">
        <f>FINANCIALS!Q35/FINANCIALS!Q27</f>
        <v>0.18804294689233467</v>
      </c>
      <c r="W45" s="27">
        <f>FINANCIALS!R35/FINANCIALS!R27</f>
        <v>1.6568710242405485E-2</v>
      </c>
      <c r="X45" s="27">
        <f>FINANCIALS!S35/FINANCIALS!S27</f>
        <v>3.1253252029647148E-2</v>
      </c>
      <c r="Y45" s="27">
        <f>FINANCIALS!T35/FINANCIALS!T27</f>
        <v>4.7536866308338165E-2</v>
      </c>
      <c r="Z45" s="27">
        <f>FINANCIALS!U35/FINANCIALS!U27</f>
        <v>6.3841206562991915E-2</v>
      </c>
      <c r="AA45" s="27">
        <f>FINANCIALS!V35/FINANCIALS!V27</f>
        <v>7.7888136257740923E-2</v>
      </c>
      <c r="AB45" s="27">
        <f>FINANCIALS!W35/FINANCIALS!W27</f>
        <v>9.0621022261639275E-2</v>
      </c>
      <c r="AC45" s="27">
        <f>FINANCIALS!X35/FINANCIALS!X27</f>
        <v>0.10383269173744371</v>
      </c>
      <c r="AD45" s="27">
        <f>FINANCIALS!Y35/FINANCIALS!Y27</f>
        <v>0.11754900738594884</v>
      </c>
      <c r="AE45" s="27">
        <f>FINANCIALS!Z35/FINANCIALS!Z27</f>
        <v>0.13197421960888775</v>
      </c>
      <c r="AF45" s="27">
        <f>FINANCIALS!AA35/FINANCIALS!AA27</f>
        <v>0.14751450154198842</v>
      </c>
      <c r="AG45" s="27">
        <f>FINANCIALS!AB35/FINANCIALS!AB27</f>
        <v>0.16585352022500705</v>
      </c>
      <c r="AH45" s="27">
        <f>FINANCIALS!AC35/FINANCIALS!AC27</f>
        <v>0.19330883585854194</v>
      </c>
      <c r="AI45" s="27">
        <f>FINANCIALS!AD35/FINANCIALS!AD27</f>
        <v>0.17716337094812848</v>
      </c>
      <c r="AJ45" s="27">
        <f>FINANCIALS!AE35/FINANCIALS!AE27</f>
        <v>1.6424167568376589E-2</v>
      </c>
      <c r="AK45" s="27">
        <f>FINANCIALS!AF35/FINANCIALS!AF27</f>
        <v>3.1999567429210299E-2</v>
      </c>
      <c r="AL45" s="27">
        <f>FINANCIALS!AG35/FINANCIALS!AG27</f>
        <v>4.712505858504399E-2</v>
      </c>
      <c r="AM45" s="27">
        <f>FINANCIALS!AH35/FINANCIALS!AH27</f>
        <v>6.2484134852523285E-2</v>
      </c>
      <c r="AN45" s="27">
        <f>FINANCIALS!AI35/FINANCIALS!AI27</f>
        <v>7.7735471016311841E-2</v>
      </c>
      <c r="AO45" s="27">
        <f>FINANCIALS!AJ35/FINANCIALS!AJ27</f>
        <v>9.3303262311129245E-2</v>
      </c>
      <c r="AP45" s="27">
        <f>FINANCIALS!AK35/FINANCIALS!AK27</f>
        <v>0.10883770655014885</v>
      </c>
      <c r="AQ45" s="27">
        <f>FINANCIALS!AL35/FINANCIALS!AL27</f>
        <v>0.12362739228804114</v>
      </c>
    </row>
    <row r="46" spans="1:43" ht="14.25">
      <c r="A46" s="9">
        <v>5.6</v>
      </c>
      <c r="B46" s="8" t="s">
        <v>211</v>
      </c>
      <c r="C46" s="8"/>
      <c r="D46" s="27" t="e">
        <f>FINANCIALS!#REF!/FINANCIALS!#REF!</f>
        <v>#REF!</v>
      </c>
      <c r="E46" s="27" t="e">
        <f>FINANCIALS!#REF!/FINANCIALS!#REF!</f>
        <v>#REF!</v>
      </c>
      <c r="F46" s="27" t="e">
        <f>FINANCIALS!#REF!/FINANCIALS!#REF!</f>
        <v>#REF!</v>
      </c>
      <c r="G46" s="27" t="e">
        <f>FINANCIALS!#REF!/FINANCIALS!#REF!</f>
        <v>#REF!</v>
      </c>
      <c r="H46" s="27">
        <f>FINANCIALS!C35/FINANCIALS!C28</f>
        <v>0.17774505888837233</v>
      </c>
      <c r="I46" s="27">
        <f>FINANCIALS!D35/FINANCIALS!D28</f>
        <v>0.17191380984199028</v>
      </c>
      <c r="J46" s="27">
        <f>FINANCIALS!E35/FINANCIALS!E28</f>
        <v>1.6149660665220295E-2</v>
      </c>
      <c r="K46" s="27">
        <f>FINANCIALS!F35/FINANCIALS!F28</f>
        <v>3.01749177855762E-2</v>
      </c>
      <c r="L46" s="27">
        <f>FINANCIALS!G35/FINANCIALS!G28</f>
        <v>4.6532169997991653E-2</v>
      </c>
      <c r="M46" s="27">
        <f>FINANCIALS!H35/FINANCIALS!H28</f>
        <v>6.1431656998631727E-2</v>
      </c>
      <c r="N46" s="27">
        <f>FINANCIALS!I35/FINANCIALS!I28</f>
        <v>7.6323200621000523E-2</v>
      </c>
      <c r="O46" s="27">
        <f>FINANCIALS!J35/FINANCIALS!J28</f>
        <v>9.1114813932955369E-2</v>
      </c>
      <c r="P46" s="27">
        <f>FINANCIALS!K35/FINANCIALS!K28</f>
        <v>0.10540000685833947</v>
      </c>
      <c r="Q46" s="27">
        <f>FINANCIALS!L35/FINANCIALS!L28</f>
        <v>0.11986554862355214</v>
      </c>
      <c r="R46" s="27">
        <f>FINANCIALS!M35/FINANCIALS!M28</f>
        <v>0.13469490933409226</v>
      </c>
      <c r="S46" s="27">
        <f>FINANCIALS!N35/FINANCIALS!N28</f>
        <v>0.14941260907893633</v>
      </c>
      <c r="T46" s="27">
        <f>FINANCIALS!O35/FINANCIALS!O28</f>
        <v>0.16533561322391777</v>
      </c>
      <c r="U46" s="27">
        <f>FINANCIALS!P35/FINANCIALS!P28</f>
        <v>0.18199266353421584</v>
      </c>
      <c r="V46" s="27">
        <f>FINANCIALS!Q35/FINANCIALS!Q28</f>
        <v>0.18199258269998855</v>
      </c>
      <c r="W46" s="27">
        <f>FINANCIALS!R35/FINANCIALS!R28</f>
        <v>1.6083136828115501E-2</v>
      </c>
      <c r="X46" s="27">
        <f>FINANCIALS!S35/FINANCIALS!S28</f>
        <v>3.0330293872831701E-2</v>
      </c>
      <c r="Y46" s="27">
        <f>FINANCIALS!T35/FINANCIALS!T28</f>
        <v>4.6079799102293345E-2</v>
      </c>
      <c r="Z46" s="27">
        <f>FINANCIALS!U35/FINANCIALS!U28</f>
        <v>6.1871527947700948E-2</v>
      </c>
      <c r="AA46" s="27">
        <f>FINANCIALS!V35/FINANCIALS!V28</f>
        <v>7.5480599995623329E-2</v>
      </c>
      <c r="AB46" s="27">
        <f>FINANCIALS!W35/FINANCIALS!W28</f>
        <v>8.7830113373863608E-2</v>
      </c>
      <c r="AC46" s="27">
        <f>FINANCIALS!X35/FINANCIALS!X28</f>
        <v>0.10066154060818545</v>
      </c>
      <c r="AD46" s="27">
        <f>FINANCIALS!Y35/FINANCIALS!Y28</f>
        <v>0.1139395895559655</v>
      </c>
      <c r="AE46" s="27">
        <f>FINANCIALS!Z35/FINANCIALS!Z28</f>
        <v>0.12790106001799467</v>
      </c>
      <c r="AF46" s="27">
        <f>FINANCIALS!AA35/FINANCIALS!AA28</f>
        <v>0.14293630918608358</v>
      </c>
      <c r="AG46" s="27">
        <f>FINANCIALS!AB35/FINANCIALS!AB28</f>
        <v>0.16063691538955752</v>
      </c>
      <c r="AH46" s="27">
        <f>FINANCIALS!AC35/FINANCIALS!AC28</f>
        <v>0.187089036634388</v>
      </c>
      <c r="AI46" s="27">
        <f>FINANCIALS!AD35/FINANCIALS!AD28</f>
        <v>0.17133576598411801</v>
      </c>
      <c r="AJ46" s="27">
        <f>FINANCIALS!AE35/FINANCIALS!AE28</f>
        <v>1.5889642685150723E-2</v>
      </c>
      <c r="AK46" s="27">
        <f>FINANCIALS!AF35/FINANCIALS!AF28</f>
        <v>3.0917302633166898E-2</v>
      </c>
      <c r="AL46" s="27">
        <f>FINANCIALS!AG35/FINANCIALS!AG28</f>
        <v>4.5508877352782938E-2</v>
      </c>
      <c r="AM46" s="27">
        <f>FINANCIALS!AH35/FINANCIALS!AH28</f>
        <v>6.0332373614078193E-2</v>
      </c>
      <c r="AN46" s="27">
        <f>FINANCIALS!AI35/FINANCIALS!AI28</f>
        <v>7.504950850976233E-2</v>
      </c>
      <c r="AO46" s="27">
        <f>FINANCIALS!AJ35/FINANCIALS!AJ28</f>
        <v>9.0046126442844751E-2</v>
      </c>
      <c r="AP46" s="27">
        <f>FINANCIALS!AK35/FINANCIALS!AK28</f>
        <v>0.10499638336232242</v>
      </c>
      <c r="AQ46" s="27">
        <f>FINANCIALS!AL35/FINANCIALS!AL28</f>
        <v>0.11921937802997537</v>
      </c>
    </row>
    <row r="47" spans="1:43" ht="14.1">
      <c r="A47" s="9"/>
      <c r="B47" s="8"/>
      <c r="C47" s="8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</row>
    <row r="48" spans="1:43" ht="14.25">
      <c r="A48" s="9">
        <v>5.7</v>
      </c>
      <c r="B48" s="7" t="s">
        <v>212</v>
      </c>
      <c r="C48" s="8"/>
      <c r="D48" s="27" t="e">
        <f>FINANCIALS!#REF!/((FINANCIALS!#REF!+FINANCIALS!#REF!)/2)</f>
        <v>#REF!</v>
      </c>
      <c r="E48" s="27" t="e">
        <f>FINANCIALS!#REF!/((FINANCIALS!#REF!+FINANCIALS!#REF!)/2)</f>
        <v>#REF!</v>
      </c>
      <c r="F48" s="27" t="e">
        <f>FINANCIALS!#REF!/((FINANCIALS!#REF!+FINANCIALS!#REF!)/2)</f>
        <v>#REF!</v>
      </c>
      <c r="G48" s="27" t="e">
        <f>FINANCIALS!C29/((FINANCIALS!C28+FINANCIALS!#REF!)/2)</f>
        <v>#REF!</v>
      </c>
      <c r="H48" s="27" t="e">
        <f>FINANCIALS!D29/((FINANCIALS!D28+FINANCIALS!#REF!)/2)</f>
        <v>#REF!</v>
      </c>
      <c r="I48" s="27" t="e">
        <f>FINANCIALS!E29/((FINANCIALS!E28+FINANCIALS!#REF!)/2)</f>
        <v>#REF!</v>
      </c>
      <c r="J48" s="27" t="e">
        <f>FINANCIALS!F29/((FINANCIALS!F28+FINANCIALS!#REF!)/2)</f>
        <v>#REF!</v>
      </c>
      <c r="K48" s="27" t="e">
        <f>FINANCIALS!G29/((FINANCIALS!G28+FINANCIALS!#REF!)/2)</f>
        <v>#REF!</v>
      </c>
      <c r="L48" s="27" t="e">
        <f>FINANCIALS!H29/((FINANCIALS!H28+FINANCIALS!#REF!)/2)</f>
        <v>#REF!</v>
      </c>
      <c r="M48" s="27" t="e">
        <f>FINANCIALS!I29/((FINANCIALS!I28+FINANCIALS!#REF!)/2)</f>
        <v>#REF!</v>
      </c>
      <c r="N48" s="27" t="e">
        <f>FINANCIALS!J29/((FINANCIALS!J28+FINANCIALS!#REF!)/2)</f>
        <v>#REF!</v>
      </c>
      <c r="O48" s="27" t="e">
        <f>FINANCIALS!K29/((FINANCIALS!K28+FINANCIALS!#REF!)/2)</f>
        <v>#REF!</v>
      </c>
      <c r="P48" s="27" t="e">
        <f>FINANCIALS!L29/((FINANCIALS!L28+FINANCIALS!#REF!)/2)</f>
        <v>#REF!</v>
      </c>
      <c r="Q48" s="27" t="e">
        <f>FINANCIALS!M29/((FINANCIALS!M28+FINANCIALS!#REF!)/2)</f>
        <v>#REF!</v>
      </c>
      <c r="R48" s="27" t="e">
        <f>FINANCIALS!N29/((FINANCIALS!N28+FINANCIALS!#REF!)/2)</f>
        <v>#REF!</v>
      </c>
      <c r="S48" s="27" t="e">
        <f>FINANCIALS!O29/((FINANCIALS!O28+FINANCIALS!#REF!)/2)</f>
        <v>#REF!</v>
      </c>
      <c r="T48" s="27" t="e">
        <f>FINANCIALS!P29/((FINANCIALS!P28+FINANCIALS!#REF!)/2)</f>
        <v>#REF!</v>
      </c>
      <c r="U48" s="27" t="e">
        <f>FINANCIALS!Q29/((FINANCIALS!Q28+FINANCIALS!#REF!)/2)</f>
        <v>#REF!</v>
      </c>
      <c r="V48" s="27" t="e">
        <f>FINANCIALS!R29/((FINANCIALS!R28+FINANCIALS!#REF!)/2)</f>
        <v>#REF!</v>
      </c>
      <c r="W48" s="27" t="e">
        <f>FINANCIALS!S29/((FINANCIALS!S28+FINANCIALS!#REF!)/2)</f>
        <v>#REF!</v>
      </c>
      <c r="X48" s="27" t="e">
        <f>FINANCIALS!T29/((FINANCIALS!T28+FINANCIALS!#REF!)/2)</f>
        <v>#REF!</v>
      </c>
      <c r="Y48" s="27" t="e">
        <f>FINANCIALS!U29/((FINANCIALS!U28+FINANCIALS!#REF!)/2)</f>
        <v>#REF!</v>
      </c>
      <c r="Z48" s="27" t="e">
        <f>FINANCIALS!V29/((FINANCIALS!V28+FINANCIALS!#REF!)/2)</f>
        <v>#REF!</v>
      </c>
      <c r="AA48" s="27" t="e">
        <f>FINANCIALS!W29/((FINANCIALS!W28+FINANCIALS!#REF!)/2)</f>
        <v>#REF!</v>
      </c>
      <c r="AB48" s="27" t="e">
        <f>FINANCIALS!X29/((FINANCIALS!X28+FINANCIALS!#REF!)/2)</f>
        <v>#REF!</v>
      </c>
      <c r="AC48" s="27" t="e">
        <f>FINANCIALS!Y29/((FINANCIALS!Y28+FINANCIALS!#REF!)/2)</f>
        <v>#REF!</v>
      </c>
      <c r="AD48" s="27" t="e">
        <f>FINANCIALS!Z29/((FINANCIALS!Z28+FINANCIALS!#REF!)/2)</f>
        <v>#REF!</v>
      </c>
      <c r="AE48" s="27" t="e">
        <f>FINANCIALS!AA29/((FINANCIALS!AA28+FINANCIALS!#REF!)/2)</f>
        <v>#REF!</v>
      </c>
      <c r="AF48" s="27" t="e">
        <f>FINANCIALS!AB29/((FINANCIALS!AB28+FINANCIALS!#REF!)/2)</f>
        <v>#REF!</v>
      </c>
      <c r="AG48" s="27" t="e">
        <f>FINANCIALS!AC29/((FINANCIALS!AC28+FINANCIALS!#REF!)/2)</f>
        <v>#REF!</v>
      </c>
      <c r="AH48" s="27" t="e">
        <f>FINANCIALS!AD29/((FINANCIALS!AD28+FINANCIALS!#REF!)/2)</f>
        <v>#REF!</v>
      </c>
      <c r="AI48" s="27" t="e">
        <f>FINANCIALS!AE29/((FINANCIALS!AE28+FINANCIALS!#REF!)/2)</f>
        <v>#REF!</v>
      </c>
      <c r="AJ48" s="27" t="e">
        <f>FINANCIALS!AF29/((FINANCIALS!AF28+FINANCIALS!#REF!)/2)</f>
        <v>#REF!</v>
      </c>
      <c r="AK48" s="27" t="e">
        <f>FINANCIALS!AG29/((FINANCIALS!AG28+FINANCIALS!#REF!)/2)</f>
        <v>#REF!</v>
      </c>
      <c r="AL48" s="27" t="e">
        <f>FINANCIALS!AH29/((FINANCIALS!AH28+FINANCIALS!#REF!)/2)</f>
        <v>#REF!</v>
      </c>
      <c r="AM48" s="27" t="e">
        <f>FINANCIALS!AI29/((FINANCIALS!AI28+FINANCIALS!#REF!)/2)</f>
        <v>#REF!</v>
      </c>
      <c r="AN48" s="27" t="e">
        <f>FINANCIALS!AJ29/((FINANCIALS!AJ28+FINANCIALS!#REF!)/2)</f>
        <v>#REF!</v>
      </c>
      <c r="AO48" s="27" t="e">
        <f>FINANCIALS!AK29/((FINANCIALS!AK28+FINANCIALS!#REF!)/2)</f>
        <v>#REF!</v>
      </c>
      <c r="AP48" s="27" t="e">
        <f>FINANCIALS!AL29/((FINANCIALS!AL28+FINANCIALS!#REF!)/2)</f>
        <v>#REF!</v>
      </c>
      <c r="AQ48" s="27" t="e">
        <f>FINANCIALS!AM29/((FINANCIALS!AM28+FINANCIALS!#REF!)/2)</f>
        <v>#REF!</v>
      </c>
    </row>
  </sheetData>
  <mergeCells count="1">
    <mergeCell ref="A1:I1"/>
  </mergeCells>
  <phoneticPr fontId="19" type="noConversion"/>
  <pageMargins left="0.7" right="0.7" top="0.75" bottom="0.75" header="0.3" footer="0.3"/>
  <pageSetup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6"/>
  <sheetViews>
    <sheetView tabSelected="1" topLeftCell="B1" zoomScaleNormal="93" zoomScaleSheetLayoutView="100" workbookViewId="0">
      <pane xSplit="3" topLeftCell="AL1" activePane="topRight" state="frozen"/>
      <selection pane="topRight" activeCell="AR10" sqref="AR10"/>
      <selection activeCell="B1" sqref="B1"/>
    </sheetView>
  </sheetViews>
  <sheetFormatPr defaultRowHeight="14.45"/>
  <cols>
    <col min="1" max="1" width="5.28515625" customWidth="1"/>
    <col min="2" max="2" width="9.28515625" style="33" customWidth="1"/>
    <col min="3" max="3" width="19.7109375" style="33" customWidth="1"/>
    <col min="4" max="4" width="7.140625" customWidth="1"/>
    <col min="5" max="6" width="13.42578125" customWidth="1"/>
    <col min="7" max="18" width="15.5703125" customWidth="1"/>
    <col min="19" max="19" width="14.7109375" bestFit="1" customWidth="1"/>
    <col min="20" max="31" width="13.5703125" customWidth="1"/>
    <col min="32" max="32" width="15.85546875" customWidth="1"/>
    <col min="33" max="41" width="14.7109375" customWidth="1"/>
  </cols>
  <sheetData>
    <row r="1" spans="1:41" ht="18.600000000000001">
      <c r="B1" s="237" t="s">
        <v>213</v>
      </c>
      <c r="C1" s="237"/>
      <c r="D1" s="144"/>
    </row>
    <row r="3" spans="1:41" ht="15">
      <c r="B3" s="93"/>
      <c r="C3" s="71"/>
      <c r="D3" s="64"/>
      <c r="E3" s="91" t="s">
        <v>58</v>
      </c>
      <c r="F3" s="91" t="s">
        <v>8</v>
      </c>
      <c r="G3" s="91">
        <v>44197</v>
      </c>
      <c r="H3" s="91">
        <v>44228</v>
      </c>
      <c r="I3" s="91">
        <v>44256</v>
      </c>
      <c r="J3" s="91">
        <v>44287</v>
      </c>
      <c r="K3" s="91">
        <v>44317</v>
      </c>
      <c r="L3" s="91">
        <v>44348</v>
      </c>
      <c r="M3" s="91">
        <v>44378</v>
      </c>
      <c r="N3" s="91">
        <v>44409</v>
      </c>
      <c r="O3" s="91">
        <v>44440</v>
      </c>
      <c r="P3" s="91">
        <v>44470</v>
      </c>
      <c r="Q3" s="91">
        <v>44501</v>
      </c>
      <c r="R3" s="91">
        <v>44531</v>
      </c>
      <c r="S3" s="91" t="s">
        <v>60</v>
      </c>
      <c r="T3" s="227">
        <v>44562</v>
      </c>
      <c r="U3" s="227">
        <v>44593</v>
      </c>
      <c r="V3" s="227">
        <v>44621</v>
      </c>
      <c r="W3" s="227">
        <v>44652</v>
      </c>
      <c r="X3" s="227">
        <v>44682</v>
      </c>
      <c r="Y3" s="227">
        <v>44713</v>
      </c>
      <c r="Z3" s="227">
        <v>44743</v>
      </c>
      <c r="AA3" s="227">
        <v>44774</v>
      </c>
      <c r="AB3" s="227">
        <v>44805</v>
      </c>
      <c r="AC3" s="227">
        <v>44835</v>
      </c>
      <c r="AD3" s="227">
        <v>44866</v>
      </c>
      <c r="AE3" s="227">
        <v>44896</v>
      </c>
      <c r="AF3" s="228" t="s">
        <v>9</v>
      </c>
      <c r="AG3" s="227">
        <v>44927</v>
      </c>
      <c r="AH3" s="227">
        <v>44958</v>
      </c>
      <c r="AI3" s="227">
        <v>44986</v>
      </c>
      <c r="AJ3" s="227">
        <v>45017</v>
      </c>
      <c r="AK3" s="227">
        <v>45047</v>
      </c>
      <c r="AL3" s="227">
        <v>45078</v>
      </c>
      <c r="AM3" s="227">
        <v>45108</v>
      </c>
      <c r="AN3" s="227">
        <v>45139</v>
      </c>
      <c r="AO3" s="227">
        <v>45170</v>
      </c>
    </row>
    <row r="4" spans="1:41" ht="15.75">
      <c r="B4" s="94"/>
      <c r="C4" s="95"/>
      <c r="D4" s="1"/>
      <c r="E4" s="92"/>
      <c r="F4" s="92"/>
    </row>
    <row r="5" spans="1:41" ht="15.75">
      <c r="B5" s="238" t="s">
        <v>214</v>
      </c>
      <c r="C5" s="96" t="s">
        <v>125</v>
      </c>
      <c r="D5" s="35" t="s">
        <v>215</v>
      </c>
      <c r="E5" s="66">
        <f>FINANCIALS!C11</f>
        <v>815245740</v>
      </c>
      <c r="F5" s="66">
        <f>FINANCIALS!D11</f>
        <v>956374726</v>
      </c>
      <c r="G5" s="66">
        <f>FINANCIALS!E11</f>
        <v>996666649.77999997</v>
      </c>
      <c r="H5" s="66">
        <f>FINANCIALS!F11</f>
        <v>1033581883.1500001</v>
      </c>
      <c r="I5" s="66">
        <f>FINANCIALS!G11</f>
        <v>1078068960.02</v>
      </c>
      <c r="J5" s="66">
        <f>FINANCIALS!H11</f>
        <v>1123704033.1900001</v>
      </c>
      <c r="K5" s="66">
        <f>FINANCIALS!I11</f>
        <v>1166429317.9499998</v>
      </c>
      <c r="L5" s="66">
        <f>FINANCIALS!J11</f>
        <v>1212892722.72</v>
      </c>
      <c r="M5" s="66">
        <f>FINANCIALS!K11</f>
        <v>1257039511.3900001</v>
      </c>
      <c r="N5" s="66">
        <f>FINANCIALS!L11</f>
        <v>1297325300.21</v>
      </c>
      <c r="O5" s="66">
        <f>FINANCIALS!M11</f>
        <v>1297325300.21</v>
      </c>
      <c r="P5" s="66">
        <f>FINANCIALS!N11</f>
        <v>1380207364.7000003</v>
      </c>
      <c r="Q5" s="66">
        <f>FINANCIALS!O11</f>
        <v>1416714457.1700001</v>
      </c>
      <c r="R5" s="66">
        <f>FINANCIALS!P11</f>
        <v>1461418485.2800002</v>
      </c>
      <c r="S5" s="66">
        <f>FINANCIALS!Q11</f>
        <v>1145643922</v>
      </c>
      <c r="T5" s="66">
        <f>FINANCIALS!R11</f>
        <v>996666649.77999997</v>
      </c>
      <c r="U5" s="66">
        <f>FINANCIALS!S11</f>
        <v>1033581883.1500001</v>
      </c>
      <c r="V5" s="66">
        <f>FINANCIALS!T11</f>
        <v>1078068960.02</v>
      </c>
      <c r="W5" s="66">
        <f>FINANCIALS!U11</f>
        <v>1123704033.1900001</v>
      </c>
      <c r="X5" s="66">
        <f>FINANCIALS!V11</f>
        <v>1166429317.9499998</v>
      </c>
      <c r="Y5" s="66">
        <f>FINANCIALS!W11</f>
        <v>1212892722.72</v>
      </c>
      <c r="Z5" s="66">
        <f>FINANCIALS!X11</f>
        <v>1257039511.3900001</v>
      </c>
      <c r="AA5" s="66">
        <f>FINANCIALS!Y11</f>
        <v>1297325300.21</v>
      </c>
      <c r="AB5" s="66">
        <f>FINANCIALS!Z11</f>
        <v>1297325300.21</v>
      </c>
      <c r="AC5" s="66">
        <f>FINANCIALS!AA11</f>
        <v>1380207364.7000003</v>
      </c>
      <c r="AD5" s="66">
        <f>FINANCIALS!AB11</f>
        <v>1416714457.1700001</v>
      </c>
      <c r="AE5" s="66">
        <f>FINANCIALS!AC11</f>
        <v>1461418485.2800002</v>
      </c>
      <c r="AF5" s="66">
        <f>FINANCIALS!AD11</f>
        <v>1356198318</v>
      </c>
      <c r="AG5" s="66">
        <f>FINANCIALS!AE11</f>
        <v>1433740784.9100001</v>
      </c>
      <c r="AH5" s="66">
        <f>FINANCIALS!AF11</f>
        <v>1469000787.8299999</v>
      </c>
      <c r="AI5" s="66">
        <f>FINANCIALS!AG11</f>
        <v>1517095554.49</v>
      </c>
      <c r="AJ5" s="66">
        <f>FINANCIALS!AH11</f>
        <v>1533872008.1199999</v>
      </c>
      <c r="AK5" s="66">
        <f>FINANCIALS!AI11</f>
        <v>1579088536.8499999</v>
      </c>
      <c r="AL5" s="66">
        <f>FINANCIALS!AJ11</f>
        <v>1632183349.3499999</v>
      </c>
      <c r="AM5" s="66">
        <f>FINANCIALS!AK11</f>
        <v>1675669574.4599998</v>
      </c>
      <c r="AN5" s="66">
        <f>FINANCIALS!AL11</f>
        <v>1718363619.8399999</v>
      </c>
      <c r="AO5" s="66">
        <f>FINANCIALS!AM11</f>
        <v>1764902074.3399999</v>
      </c>
    </row>
    <row r="6" spans="1:41" ht="24">
      <c r="B6" s="239"/>
      <c r="C6" s="97" t="s">
        <v>216</v>
      </c>
      <c r="D6" s="35" t="s">
        <v>217</v>
      </c>
      <c r="E6" s="67">
        <f>FINANCIALS!C11/FINANCIALS!C4</f>
        <v>0.24220988285915115</v>
      </c>
      <c r="F6" s="67">
        <f>FINANCIALS!D11/FINANCIALS!D4</f>
        <v>0.25242118511094525</v>
      </c>
      <c r="G6" s="67">
        <f>FINANCIALS!E11/FINANCIALS!E4</f>
        <v>0.25930506637216538</v>
      </c>
      <c r="H6" s="67">
        <f>FINANCIALS!F11/FINANCIALS!F4</f>
        <v>0.26575369531087989</v>
      </c>
      <c r="I6" s="67">
        <f>FINANCIALS!G11/FINANCIALS!G4</f>
        <v>0.29017605981062045</v>
      </c>
      <c r="J6" s="67">
        <f>FINANCIALS!H11/FINANCIALS!H4</f>
        <v>0.29816774736368229</v>
      </c>
      <c r="K6" s="67">
        <f>FINANCIALS!I11/FINANCIALS!I4</f>
        <v>0.30476355521690823</v>
      </c>
      <c r="L6" s="67">
        <f>FINANCIALS!J11/FINANCIALS!J4</f>
        <v>0.31083930841700663</v>
      </c>
      <c r="M6" s="67">
        <f>FINANCIALS!K11/FINANCIALS!K4</f>
        <v>0.31896783190325084</v>
      </c>
      <c r="N6" s="67">
        <f>FINANCIALS!L11/FINANCIALS!L4</f>
        <v>0.32478260626660532</v>
      </c>
      <c r="O6" s="67">
        <f>FINANCIALS!M11/FINANCIALS!M4</f>
        <v>0.31964922548657598</v>
      </c>
      <c r="P6" s="67">
        <f>FINANCIALS!N11/FINANCIALS!N4</f>
        <v>0.33517289136281569</v>
      </c>
      <c r="Q6" s="67">
        <f>FINANCIALS!O11/FINANCIALS!O4</f>
        <v>0.34085623138056426</v>
      </c>
      <c r="R6" s="67">
        <f>FINANCIALS!P11/FINANCIALS!P4</f>
        <v>0.35523174684024472</v>
      </c>
      <c r="S6" s="67">
        <f>FINANCIALS!Q11/FINANCIALS!Q4</f>
        <v>0.27873643206145954</v>
      </c>
      <c r="T6" s="67">
        <f>FINANCIALS!R11/FINANCIALS!R4</f>
        <v>0.25930506637216538</v>
      </c>
      <c r="U6" s="67">
        <f>FINANCIALS!S11/FINANCIALS!S4</f>
        <v>0.26575369531087989</v>
      </c>
      <c r="V6" s="67">
        <f>FINANCIALS!T11/FINANCIALS!T4</f>
        <v>0.29017605981062045</v>
      </c>
      <c r="W6" s="67">
        <f>FINANCIALS!U11/FINANCIALS!U4</f>
        <v>0.29816774736368229</v>
      </c>
      <c r="X6" s="67">
        <f>FINANCIALS!V11/FINANCIALS!V4</f>
        <v>0.30476355521690823</v>
      </c>
      <c r="Y6" s="67">
        <f>FINANCIALS!W11/FINANCIALS!W4</f>
        <v>0.31083930841700663</v>
      </c>
      <c r="Z6" s="67">
        <f>FINANCIALS!X11/FINANCIALS!X4</f>
        <v>0.31896783190325084</v>
      </c>
      <c r="AA6" s="67">
        <f>FINANCIALS!Y11/FINANCIALS!Y4</f>
        <v>0.32478260626660532</v>
      </c>
      <c r="AB6" s="67">
        <f>FINANCIALS!Z11/FINANCIALS!Z4</f>
        <v>0.31964922548657598</v>
      </c>
      <c r="AC6" s="67">
        <f>FINANCIALS!AA11/FINANCIALS!AA4</f>
        <v>0.33517289136281569</v>
      </c>
      <c r="AD6" s="67">
        <f>FINANCIALS!AB11/FINANCIALS!AB4</f>
        <v>0.34085623138056426</v>
      </c>
      <c r="AE6" s="67">
        <f>FINANCIALS!AC11/FINANCIALS!AC4</f>
        <v>0.35523174684024472</v>
      </c>
      <c r="AF6" s="67">
        <f>FINANCIALS!AD11/FINANCIALS!AD4</f>
        <v>0.29640585000101005</v>
      </c>
      <c r="AG6" s="67">
        <f>FINANCIALS!AE11/FINANCIALS!AE4</f>
        <v>0.31077785567022137</v>
      </c>
      <c r="AH6" s="67">
        <f>FINANCIALS!AF11/FINANCIALS!AF4</f>
        <v>0.33164368007369055</v>
      </c>
      <c r="AI6" s="67">
        <f>FINANCIALS!AG11/FINANCIALS!AG4</f>
        <v>0.3415341164468001</v>
      </c>
      <c r="AJ6" s="67">
        <f>FINANCIALS!AH11/FINANCIALS!AH4</f>
        <v>0.34360016526341985</v>
      </c>
      <c r="AK6" s="67">
        <f>FINANCIALS!AI11/FINANCIALS!AI4</f>
        <v>0.3477148510838341</v>
      </c>
      <c r="AL6" s="67">
        <f>FINANCIALS!AJ11/FINANCIALS!AJ4</f>
        <v>0.35397282760929111</v>
      </c>
      <c r="AM6" s="67">
        <f>FINANCIALS!AK11/FINANCIALS!AK4</f>
        <v>0.35832093802617099</v>
      </c>
      <c r="AN6" s="67">
        <f>FINANCIALS!AL11/FINANCIALS!AL4</f>
        <v>0.36182759032340889</v>
      </c>
      <c r="AO6" s="67">
        <f>FINANCIALS!AM11/FINANCIALS!AM4</f>
        <v>0.36638378424399065</v>
      </c>
    </row>
    <row r="7" spans="1:41" ht="15.75">
      <c r="B7" s="239"/>
      <c r="C7" s="97" t="s">
        <v>218</v>
      </c>
      <c r="D7" s="35" t="s">
        <v>219</v>
      </c>
      <c r="E7" s="67">
        <f>FINANCIALS!C11/FINANCIALS!C5</f>
        <v>0.37035792164878567</v>
      </c>
      <c r="F7" s="67">
        <f>FINANCIALS!D11/FINANCIALS!D5</f>
        <v>0.39977270791038627</v>
      </c>
      <c r="G7" s="67">
        <f>FINANCIALS!E11/FINANCIALS!E5</f>
        <v>0.41491121219645521</v>
      </c>
      <c r="H7" s="67">
        <f>FINANCIALS!F11/FINANCIALS!F5</f>
        <v>0.42841678452894222</v>
      </c>
      <c r="I7" s="67">
        <f>FINANCIALS!G11/FINANCIALS!G5</f>
        <v>0.43540209085855847</v>
      </c>
      <c r="J7" s="67">
        <f>FINANCIALS!H11/FINANCIALS!H5</f>
        <v>0.45150576669446707</v>
      </c>
      <c r="K7" s="67">
        <f>FINANCIALS!I11/FINANCIALS!I5</f>
        <v>0.46585036676244945</v>
      </c>
      <c r="L7" s="67">
        <f>FINANCIALS!J11/FINANCIALS!J5</f>
        <v>0.47862723317654954</v>
      </c>
      <c r="M7" s="67">
        <f>FINANCIALS!K11/FINANCIALS!K5</f>
        <v>0.49321121303823051</v>
      </c>
      <c r="N7" s="67">
        <f>FINANCIALS!L11/FINANCIALS!L5</f>
        <v>0.50724686129546881</v>
      </c>
      <c r="O7" s="67">
        <f>FINANCIALS!M11/FINANCIALS!M5</f>
        <v>0.50724686129546881</v>
      </c>
      <c r="P7" s="67">
        <f>FINANCIALS!N11/FINANCIALS!N5</f>
        <v>0.53231209028480797</v>
      </c>
      <c r="Q7" s="67">
        <f>FINANCIALS!O11/FINANCIALS!O5</f>
        <v>0.5480456360925513</v>
      </c>
      <c r="R7" s="67">
        <f>FINANCIALS!P11/FINANCIALS!P5</f>
        <v>0.58172232623734144</v>
      </c>
      <c r="S7" s="67">
        <f>FINANCIALS!Q11/FINANCIALS!Q5</f>
        <v>0.45602848169861537</v>
      </c>
      <c r="T7" s="67">
        <f>FINANCIALS!R11/FINANCIALS!R5</f>
        <v>0.41491121219645521</v>
      </c>
      <c r="U7" s="67">
        <f>FINANCIALS!S11/FINANCIALS!S5</f>
        <v>0.42841678452894222</v>
      </c>
      <c r="V7" s="67">
        <f>FINANCIALS!T11/FINANCIALS!T5</f>
        <v>0.43540209085855847</v>
      </c>
      <c r="W7" s="67">
        <f>FINANCIALS!U11/FINANCIALS!U5</f>
        <v>0.45150576669446707</v>
      </c>
      <c r="X7" s="67">
        <f>FINANCIALS!V11/FINANCIALS!V5</f>
        <v>0.46585036676244945</v>
      </c>
      <c r="Y7" s="67">
        <f>FINANCIALS!W11/FINANCIALS!W5</f>
        <v>0.47862723317654954</v>
      </c>
      <c r="Z7" s="67">
        <f>FINANCIALS!X11/FINANCIALS!X5</f>
        <v>0.49321121303823051</v>
      </c>
      <c r="AA7" s="67">
        <f>FINANCIALS!Y11/FINANCIALS!Y5</f>
        <v>0.50724686129546881</v>
      </c>
      <c r="AB7" s="67">
        <f>FINANCIALS!Z11/FINANCIALS!Z5</f>
        <v>0.50724686129546881</v>
      </c>
      <c r="AC7" s="67">
        <f>FINANCIALS!AA11/FINANCIALS!AA5</f>
        <v>0.53231209028480797</v>
      </c>
      <c r="AD7" s="67">
        <f>FINANCIALS!AB11/FINANCIALS!AB5</f>
        <v>0.5480456360925513</v>
      </c>
      <c r="AE7" s="67">
        <f>FINANCIALS!AC11/FINANCIALS!AC5</f>
        <v>0.58172232623734144</v>
      </c>
      <c r="AF7" s="67">
        <f>FINANCIALS!AD11/FINANCIALS!AD5</f>
        <v>0.48944191054205038</v>
      </c>
      <c r="AG7" s="67">
        <f>FINANCIALS!AE11/FINANCIALS!AE5</f>
        <v>0.51395833195182139</v>
      </c>
      <c r="AH7" s="67">
        <f>FINANCIALS!AF11/FINANCIALS!AF5</f>
        <v>0.51148319143675258</v>
      </c>
      <c r="AI7" s="67">
        <f>FINANCIALS!AG11/FINANCIALS!AG5</f>
        <v>0.5346709894622147</v>
      </c>
      <c r="AJ7" s="67">
        <f>FINANCIALS!AH11/FINANCIALS!AH5</f>
        <v>0.5394599014019823</v>
      </c>
      <c r="AK7" s="67">
        <f>FINANCIALS!AI11/FINANCIALS!AI5</f>
        <v>0.55568071592584389</v>
      </c>
      <c r="AL7" s="67">
        <f>FINANCIALS!AJ11/FINANCIALS!AJ5</f>
        <v>0.57101587924271002</v>
      </c>
      <c r="AM7" s="67">
        <f>FINANCIALS!AK11/FINANCIALS!AK5</f>
        <v>0.58396679029786347</v>
      </c>
      <c r="AN7" s="67">
        <f>FINANCIALS!AL11/FINANCIALS!AL5</f>
        <v>0.59412877045683188</v>
      </c>
      <c r="AO7" s="67">
        <f>FINANCIALS!AM11/FINANCIALS!AM5</f>
        <v>0.60566106109510642</v>
      </c>
    </row>
    <row r="8" spans="1:41" ht="15.75">
      <c r="B8" s="240"/>
      <c r="C8" s="97" t="s">
        <v>220</v>
      </c>
      <c r="D8" s="35" t="s">
        <v>219</v>
      </c>
      <c r="E8" s="67">
        <f>(FINANCIALS!C11-FINANCIALS!C15)/FINANCIALS!C4</f>
        <v>0.19810475505875527</v>
      </c>
      <c r="F8" s="67">
        <f>(FINANCIALS!D11-FINANCIALS!D15)/FINANCIALS!D4</f>
        <v>0.19839113332449965</v>
      </c>
      <c r="G8" s="67">
        <f>(FINANCIALS!E11-FINANCIALS!E15)/FINANCIALS!E4</f>
        <v>0.20548919822389233</v>
      </c>
      <c r="H8" s="67">
        <f>(FINANCIALS!F11-FINANCIALS!F15)/FINANCIALS!F4</f>
        <v>0.21193694818674411</v>
      </c>
      <c r="I8" s="67">
        <f>(FINANCIALS!G11-FINANCIALS!G15)/FINANCIALS!G4</f>
        <v>0.23327047290463621</v>
      </c>
      <c r="J8" s="67">
        <f>(FINANCIALS!H11-FINANCIALS!H15)/FINANCIALS!H4</f>
        <v>0.24144379791434156</v>
      </c>
      <c r="K8" s="67">
        <f>(FINANCIALS!I11-FINANCIALS!I15)/FINANCIALS!I4</f>
        <v>0.24837904125421523</v>
      </c>
      <c r="L8" s="67">
        <f>(FINANCIALS!J11-FINANCIALS!J15)/FINANCIALS!J4</f>
        <v>0.25488407822214276</v>
      </c>
      <c r="M8" s="67">
        <f>(FINANCIALS!K11-FINANCIALS!K15)/FINANCIALS!K4</f>
        <v>0.2633005458102548</v>
      </c>
      <c r="N8" s="67">
        <f>(FINANCIALS!L11-FINANCIALS!L15)/FINANCIALS!L4</f>
        <v>0.26937415330068792</v>
      </c>
      <c r="O8" s="67">
        <f>(FINANCIALS!M11-FINANCIALS!M15)/FINANCIALS!M4</f>
        <v>0.26511653582207417</v>
      </c>
      <c r="P8" s="67">
        <f>(FINANCIALS!N11-FINANCIALS!N15)/FINANCIALS!N4</f>
        <v>0.28070366612028286</v>
      </c>
      <c r="Q8" s="67">
        <f>(FINANCIALS!O11-FINANCIALS!O15)/FINANCIALS!O4</f>
        <v>0.28634544800724304</v>
      </c>
      <c r="R8" s="67">
        <f>(FINANCIALS!P11-FINANCIALS!P15)/FINANCIALS!P4</f>
        <v>0.29805964340645918</v>
      </c>
      <c r="S8" s="67">
        <f>(FINANCIALS!Q11-FINANCIALS!Q15)/FINANCIALS!Q4</f>
        <v>0.2215109776692139</v>
      </c>
      <c r="T8" s="67">
        <f>(FINANCIALS!R11-FINANCIALS!R15)/FINANCIALS!R4</f>
        <v>0.20548919822389233</v>
      </c>
      <c r="U8" s="67">
        <f>(FINANCIALS!S11-FINANCIALS!S15)/FINANCIALS!S4</f>
        <v>0.21193694818674411</v>
      </c>
      <c r="V8" s="67">
        <f>(FINANCIALS!T11-FINANCIALS!T15)/FINANCIALS!T4</f>
        <v>0.23327047290463621</v>
      </c>
      <c r="W8" s="67">
        <f>(FINANCIALS!U11-FINANCIALS!U15)/FINANCIALS!U4</f>
        <v>0.24144379791434156</v>
      </c>
      <c r="X8" s="67">
        <f>(FINANCIALS!V11-FINANCIALS!V15)/FINANCIALS!V4</f>
        <v>0.24837904125421523</v>
      </c>
      <c r="Y8" s="67">
        <f>(FINANCIALS!W11-FINANCIALS!W15)/FINANCIALS!W4</f>
        <v>0.25488407822214276</v>
      </c>
      <c r="Z8" s="67">
        <f>(FINANCIALS!X11-FINANCIALS!X15)/FINANCIALS!X4</f>
        <v>0.2633005458102548</v>
      </c>
      <c r="AA8" s="67">
        <f>(FINANCIALS!Y11-FINANCIALS!Y15)/FINANCIALS!Y4</f>
        <v>0.26937415330068792</v>
      </c>
      <c r="AB8" s="67">
        <f>(FINANCIALS!Z11-FINANCIALS!Z15)/FINANCIALS!Z4</f>
        <v>0.26511653582207417</v>
      </c>
      <c r="AC8" s="67">
        <f>(FINANCIALS!AA11-FINANCIALS!AA15)/FINANCIALS!AA4</f>
        <v>0.28070366612028286</v>
      </c>
      <c r="AD8" s="67">
        <f>(FINANCIALS!AB11-FINANCIALS!AB15)/FINANCIALS!AB4</f>
        <v>0.28634544800724304</v>
      </c>
      <c r="AE8" s="67">
        <f>(FINANCIALS!AC11-FINANCIALS!AC15)/FINANCIALS!AC4</f>
        <v>0.29805964340645918</v>
      </c>
      <c r="AF8" s="67">
        <f>(FINANCIALS!AD11-FINANCIALS!AD15)/FINANCIALS!AD4</f>
        <v>0.23798308320370218</v>
      </c>
      <c r="AG8" s="67">
        <f>(FINANCIALS!AE11-FINANCIALS!AE15)/FINANCIALS!AE4</f>
        <v>0.25246038975278834</v>
      </c>
      <c r="AH8" s="67">
        <f>(FINANCIALS!AF11-FINANCIALS!AF15)/FINANCIALS!AF4</f>
        <v>0.2705833924199767</v>
      </c>
      <c r="AI8" s="67">
        <f>(FINANCIALS!AG11-FINANCIALS!AG15)/FINANCIALS!AG4</f>
        <v>0.27863900858210933</v>
      </c>
      <c r="AJ8" s="67">
        <f>(FINANCIALS!AH11-FINANCIALS!AH15)/FINANCIALS!AH4</f>
        <v>0.27917145125022635</v>
      </c>
      <c r="AK8" s="67">
        <f>(FINANCIALS!AI11-FINANCIALS!AI15)/FINANCIALS!AI4</f>
        <v>0.2837464498224796</v>
      </c>
      <c r="AL8" s="67">
        <f>(FINANCIALS!AJ11-FINANCIALS!AJ15)/FINANCIALS!AJ4</f>
        <v>0.29023547426813434</v>
      </c>
      <c r="AM8" s="67">
        <f>(FINANCIALS!AK11-FINANCIALS!AK15)/FINANCIALS!AK4</f>
        <v>0.29495309348708032</v>
      </c>
      <c r="AN8" s="67">
        <f>(FINANCIALS!AL11-FINANCIALS!AL15)/FINANCIALS!AL4</f>
        <v>0.29865489052396993</v>
      </c>
      <c r="AO8" s="67">
        <f>(FINANCIALS!AM11-FINANCIALS!AM15)/FINANCIALS!AM4</f>
        <v>0.30354764790800165</v>
      </c>
    </row>
    <row r="9" spans="1:41" ht="15.75" hidden="1">
      <c r="B9" s="145"/>
      <c r="C9" s="97"/>
      <c r="D9" s="28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</row>
    <row r="10" spans="1:41" ht="15.75">
      <c r="B10" s="238" t="s">
        <v>221</v>
      </c>
      <c r="C10" s="97" t="s">
        <v>222</v>
      </c>
      <c r="D10" s="28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pans="1:41" ht="15.75">
      <c r="A11" s="29"/>
      <c r="B11" s="240"/>
      <c r="C11" s="97" t="s">
        <v>223</v>
      </c>
      <c r="D11" s="2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</row>
    <row r="12" spans="1:41" ht="31.5">
      <c r="B12" s="238"/>
      <c r="C12" s="97" t="s">
        <v>224</v>
      </c>
      <c r="D12" s="35" t="s">
        <v>225</v>
      </c>
      <c r="E12" s="67">
        <f>(SFP!C14+SFP!C31)/SFP!C38</f>
        <v>5.4723177009095431E-2</v>
      </c>
      <c r="F12" s="67">
        <f>(SFP!D14+SFP!D31)/SFP!D38</f>
        <v>4.9315726940488122E-2</v>
      </c>
      <c r="G12" s="67">
        <f>(SFP!E14+SFP!E31)/SFP!E38</f>
        <v>4.8088834750635058E-2</v>
      </c>
      <c r="H12" s="67">
        <f>(SFP!F14+SFP!F31)/SFP!F38</f>
        <v>4.7220599132346955E-2</v>
      </c>
      <c r="I12" s="67">
        <f>(SFP!G14+SFP!G31)/SFP!G38</f>
        <v>4.8117906376554533E-2</v>
      </c>
      <c r="J12" s="67">
        <f>(SFP!H14+SFP!H31)/SFP!H38</f>
        <v>4.8199867715255244E-2</v>
      </c>
      <c r="K12" s="67">
        <f>(SFP!I14+SFP!I31)/SFP!I38</f>
        <v>4.7552550683505702E-2</v>
      </c>
      <c r="L12" s="67">
        <f>(SFP!J14+SFP!J31)/SFP!J38</f>
        <v>4.6833091284998157E-2</v>
      </c>
      <c r="M12" s="67">
        <f>(SFP!K14+SFP!K31)/SFP!K38</f>
        <v>4.8023525871663884E-2</v>
      </c>
      <c r="N12" s="67">
        <f>(SFP!L14+SFP!L31)/SFP!L38</f>
        <v>4.7365023652830782E-2</v>
      </c>
      <c r="O12" s="67">
        <f>(SFP!M14+SFP!M31)/SFP!M38</f>
        <v>4.64411072900065E-2</v>
      </c>
      <c r="P12" s="67">
        <f>(SFP!N14+SFP!N31)/SFP!N38</f>
        <v>4.9936311658223868E-2</v>
      </c>
      <c r="Q12" s="67">
        <f>(SFP!O14+SFP!O31)/SFP!O38</f>
        <v>5.1210783397992225E-2</v>
      </c>
      <c r="R12" s="67">
        <f>(SFP!P14+SFP!P31)/SFP!P38</f>
        <v>5.4983690466530163E-2</v>
      </c>
      <c r="S12" s="67">
        <f>(SFP!Q14+SFP!Q31)/SFP!Q38</f>
        <v>5.4097507019851214E-2</v>
      </c>
      <c r="T12" s="67">
        <f>(SFP!R14+SFP!R31)/SFP!R38</f>
        <v>4.8088834750635058E-2</v>
      </c>
      <c r="U12" s="67">
        <f>(SFP!S14+SFP!S31)/SFP!S38</f>
        <v>4.7220599132346955E-2</v>
      </c>
      <c r="V12" s="67">
        <f>(SFP!T14+SFP!T31)/SFP!T38</f>
        <v>4.8117906376554533E-2</v>
      </c>
      <c r="W12" s="67">
        <f>(SFP!U14+SFP!U31)/SFP!U38</f>
        <v>4.8199867715255244E-2</v>
      </c>
      <c r="X12" s="67">
        <f>(SFP!V14+SFP!V31)/SFP!V38</f>
        <v>4.7552550683505702E-2</v>
      </c>
      <c r="Y12" s="67">
        <f>(SFP!W14+SFP!W31)/SFP!W38</f>
        <v>4.6833091284998157E-2</v>
      </c>
      <c r="Z12" s="67">
        <f>(SFP!X14+SFP!X31)/SFP!X38</f>
        <v>4.8023525871663884E-2</v>
      </c>
      <c r="AA12" s="67">
        <f>(SFP!Y14+SFP!Y31)/SFP!Y38</f>
        <v>4.7365023652830782E-2</v>
      </c>
      <c r="AB12" s="67">
        <f>(SFP!Z14+SFP!Z31)/SFP!Z38</f>
        <v>4.64411072900065E-2</v>
      </c>
      <c r="AC12" s="67">
        <f>(SFP!AA14+SFP!AA31)/SFP!AA38</f>
        <v>4.9936311658223868E-2</v>
      </c>
      <c r="AD12" s="67">
        <f>(SFP!AB14+SFP!AB31)/SFP!AB38</f>
        <v>5.1210783397992225E-2</v>
      </c>
      <c r="AE12" s="67">
        <f>(SFP!AC14+SFP!AC31)/SFP!AC38</f>
        <v>5.4983690466530163E-2</v>
      </c>
      <c r="AF12" s="67">
        <f>(SFP!AD14+SFP!AD31)/SFP!AD38</f>
        <v>8.0217680988482629E-2</v>
      </c>
      <c r="AG12" s="67">
        <f>(SFP!AE14+SFP!AE31)/SFP!AE38</f>
        <v>9.079461222466588E-2</v>
      </c>
      <c r="AH12" s="67">
        <f>(SFP!AF14+SFP!AF31)/SFP!AF38</f>
        <v>0.10447817019534787</v>
      </c>
      <c r="AI12" s="67">
        <f>(SFP!AG14+SFP!AG31)/SFP!AG38</f>
        <v>0.11139512211783299</v>
      </c>
      <c r="AJ12" s="67">
        <f>(SFP!AH14+SFP!AH31)/SFP!AH38</f>
        <v>0.11371782555954459</v>
      </c>
      <c r="AK12" s="67">
        <f>(SFP!AI14+SFP!AI31)/SFP!AI38</f>
        <v>0.12220888232165429</v>
      </c>
      <c r="AL12" s="67">
        <f>(SFP!AJ14+SFP!AJ31)/SFP!AJ38</f>
        <v>0.1210241287995987</v>
      </c>
      <c r="AM12" s="67">
        <f>(SFP!AK14+SFP!AK31)/SFP!AK38</f>
        <v>0.12585328569177398</v>
      </c>
      <c r="AN12" s="67">
        <f>(SFP!AL14+SFP!AL31)/SFP!AL38</f>
        <v>0.12751681980649446</v>
      </c>
      <c r="AO12" s="67">
        <f>(SFP!AM14+SFP!AM31)/SFP!AM38</f>
        <v>0.13573533660075873</v>
      </c>
    </row>
    <row r="13" spans="1:41" ht="31.5">
      <c r="B13" s="239"/>
      <c r="C13" s="97" t="s">
        <v>226</v>
      </c>
      <c r="D13" s="35" t="s">
        <v>227</v>
      </c>
      <c r="E13" s="67">
        <f>(SFP!C33+SFP!C34)/SFP!C38</f>
        <v>3.299437551071253E-3</v>
      </c>
      <c r="F13" s="67">
        <f>(SFP!D33+SFP!D34)/SFP!D38</f>
        <v>2.4093214768057436E-3</v>
      </c>
      <c r="G13" s="67">
        <f>(SFP!E33+SFP!E34)/SFP!E38</f>
        <v>2.3260572120560813E-3</v>
      </c>
      <c r="H13" s="67">
        <f>(SFP!F33+SFP!F34)/SFP!F38</f>
        <v>2.2987605760235756E-3</v>
      </c>
      <c r="I13" s="67">
        <f>(SFP!G33+SFP!G34)/SFP!G38</f>
        <v>2.5572893654626449E-3</v>
      </c>
      <c r="J13" s="67">
        <f>(SFP!H33+SFP!H34)/SFP!H38</f>
        <v>2.4649431162744617E-3</v>
      </c>
      <c r="K13" s="67">
        <f>(SFP!I33+SFP!I34)/SFP!I38</f>
        <v>2.3719821753847561E-3</v>
      </c>
      <c r="L13" s="67">
        <f>(SFP!J33+SFP!J34)/SFP!J38</f>
        <v>2.2724467587910166E-3</v>
      </c>
      <c r="M13" s="67">
        <f>(SFP!K33+SFP!K34)/SFP!K38</f>
        <v>2.2486689425345609E-3</v>
      </c>
      <c r="N13" s="67">
        <f>(SFP!L33+SFP!L34)/SFP!L38</f>
        <v>2.1623152639816388E-3</v>
      </c>
      <c r="O13" s="67">
        <f>(SFP!M33+SFP!M34)/SFP!M38</f>
        <v>2.0733674690270672E-3</v>
      </c>
      <c r="P13" s="67">
        <f>(SFP!N33+SFP!N34)/SFP!N38</f>
        <v>2.0435066570170684E-3</v>
      </c>
      <c r="Q13" s="67">
        <f>(SFP!O33+SFP!O34)/SFP!O38</f>
        <v>2.0246055528469623E-3</v>
      </c>
      <c r="R13" s="67">
        <f>(SFP!P33+SFP!P34)/SFP!P38</f>
        <v>2.2843166348796105E-3</v>
      </c>
      <c r="S13" s="67">
        <f>(SFP!Q33+SFP!Q34)/SFP!Q38</f>
        <v>2.2864593585053485E-3</v>
      </c>
      <c r="T13" s="67">
        <f>(SFP!R33+SFP!R34)/SFP!R38</f>
        <v>2.3260572120560813E-3</v>
      </c>
      <c r="U13" s="67">
        <f>(SFP!S33+SFP!S34)/SFP!S38</f>
        <v>2.2987605760235756E-3</v>
      </c>
      <c r="V13" s="67">
        <f>(SFP!T33+SFP!T34)/SFP!T38</f>
        <v>2.5572893654626449E-3</v>
      </c>
      <c r="W13" s="67">
        <f>(SFP!U33+SFP!U34)/SFP!U38</f>
        <v>2.4649431162744617E-3</v>
      </c>
      <c r="X13" s="67">
        <f>(SFP!V33+SFP!V34)/SFP!V38</f>
        <v>2.3719821753847561E-3</v>
      </c>
      <c r="Y13" s="67">
        <f>(SFP!W33+SFP!W34)/SFP!W38</f>
        <v>2.2724467587910166E-3</v>
      </c>
      <c r="Z13" s="67">
        <f>(SFP!X33+SFP!X34)/SFP!X38</f>
        <v>2.2486689425345609E-3</v>
      </c>
      <c r="AA13" s="67">
        <f>(SFP!Y33+SFP!Y34)/SFP!Y38</f>
        <v>2.1623152639816388E-3</v>
      </c>
      <c r="AB13" s="67">
        <f>(SFP!Z33+SFP!Z34)/SFP!Z38</f>
        <v>2.0733674690270672E-3</v>
      </c>
      <c r="AC13" s="67">
        <f>(SFP!AA33+SFP!AA34)/SFP!AA38</f>
        <v>2.0435066570170684E-3</v>
      </c>
      <c r="AD13" s="67">
        <f>(SFP!AB33+SFP!AB34)/SFP!AB38</f>
        <v>2.0246055528469623E-3</v>
      </c>
      <c r="AE13" s="67">
        <f>(SFP!AC33+SFP!AC34)/SFP!AC38</f>
        <v>2.2843166348796105E-3</v>
      </c>
      <c r="AF13" s="67" t="e">
        <f>(SFP!AD33+SFP!AD34)/SFP!AD38</f>
        <v>#VALUE!</v>
      </c>
      <c r="AG13" s="67">
        <f>(SFP!AE33+SFP!AE34)/SFP!AE38</f>
        <v>4.6182825189381264E-2</v>
      </c>
      <c r="AH13" s="67">
        <f>(SFP!AF33+SFP!AF34)/SFP!AF38</f>
        <v>6.0621010404242025E-2</v>
      </c>
      <c r="AI13" s="67">
        <f>(SFP!AG33+SFP!AG34)/SFP!AG38</f>
        <v>6.8851701774700874E-2</v>
      </c>
      <c r="AJ13" s="67">
        <f>(SFP!AH33+SFP!AH34)/SFP!AH38</f>
        <v>6.9262342857701678E-2</v>
      </c>
      <c r="AK13" s="67">
        <f>(SFP!AI33+SFP!AI34)/SFP!AI38</f>
        <v>8.0926230204357186E-2</v>
      </c>
      <c r="AL13" s="67">
        <f>(SFP!AJ33+SFP!AJ34)/SFP!AJ38</f>
        <v>8.1143566510408369E-2</v>
      </c>
      <c r="AM13" s="67">
        <f>(SFP!AK33+SFP!AK34)/SFP!AK38</f>
        <v>8.6303287958369668E-2</v>
      </c>
      <c r="AN13" s="67">
        <f>(SFP!AL33+SFP!AL34)/SFP!AL38</f>
        <v>9.0108800956028648E-2</v>
      </c>
      <c r="AO13" s="67">
        <f>(SFP!AM33+SFP!AM34)/SFP!AM38</f>
        <v>9.8532340889867814E-2</v>
      </c>
    </row>
    <row r="14" spans="1:41" ht="46.5">
      <c r="B14" s="239"/>
      <c r="C14" s="97" t="s">
        <v>228</v>
      </c>
      <c r="D14" s="35" t="s">
        <v>227</v>
      </c>
      <c r="E14" s="67">
        <f>SFP!C20/SFP!C45</f>
        <v>5.45602193395321E-3</v>
      </c>
      <c r="F14" s="67">
        <f>SFP!D20/SFP!D45</f>
        <v>3.4784130555338966E-2</v>
      </c>
      <c r="G14" s="67">
        <f>SFP!E20/SFP!E45</f>
        <v>3.7415017643110386E-2</v>
      </c>
      <c r="H14" s="67">
        <f>SFP!F20/SFP!F45</f>
        <v>3.725308974079667E-2</v>
      </c>
      <c r="I14" s="67">
        <f>SFP!G20/SFP!G45</f>
        <v>3.6298165623963909E-2</v>
      </c>
      <c r="J14" s="67">
        <f>SFP!H20/SFP!H45</f>
        <v>3.6112044053814012E-2</v>
      </c>
      <c r="K14" s="67">
        <f>SFP!I20/SFP!I45</f>
        <v>3.5894567462148169E-2</v>
      </c>
      <c r="L14" s="67">
        <f>SFP!J20/SFP!J45</f>
        <v>3.5466287068940096E-2</v>
      </c>
      <c r="M14" s="67">
        <f>SFP!K20/SFP!K45</f>
        <v>3.5263443772116682E-2</v>
      </c>
      <c r="N14" s="67">
        <f>SFP!L20/SFP!L45</f>
        <v>3.5140763272985563E-2</v>
      </c>
      <c r="O14" s="67">
        <f>SFP!M20/SFP!M45</f>
        <v>3.5140763272985563E-2</v>
      </c>
      <c r="P14" s="67">
        <f>SFP!N20/SFP!N45</f>
        <v>3.4662724827353865E-2</v>
      </c>
      <c r="Q14" s="67">
        <f>SFP!O20/SFP!O45</f>
        <v>3.4773434288760327E-2</v>
      </c>
      <c r="R14" s="67">
        <f>SFP!P20/SFP!P45</f>
        <v>3.5781152266897882E-2</v>
      </c>
      <c r="S14" s="67">
        <f>SFP!Q20/SFP!Q45</f>
        <v>3.3129638084590303E-2</v>
      </c>
      <c r="T14" s="67">
        <f>SFP!R20/SFP!R45</f>
        <v>3.7415017643110386E-2</v>
      </c>
      <c r="U14" s="67">
        <f>SFP!S20/SFP!S45</f>
        <v>3.725308974079667E-2</v>
      </c>
      <c r="V14" s="67">
        <f>SFP!T20/SFP!T45</f>
        <v>3.6298165623963909E-2</v>
      </c>
      <c r="W14" s="67">
        <f>SFP!U20/SFP!U45</f>
        <v>3.6112044053814012E-2</v>
      </c>
      <c r="X14" s="67">
        <f>SFP!V20/SFP!V45</f>
        <v>3.5894567462148169E-2</v>
      </c>
      <c r="Y14" s="67">
        <f>SFP!W20/SFP!W45</f>
        <v>3.5466287068940096E-2</v>
      </c>
      <c r="Z14" s="67">
        <f>SFP!X20/SFP!X45</f>
        <v>3.5263443772116682E-2</v>
      </c>
      <c r="AA14" s="67">
        <f>SFP!Y20/SFP!Y45</f>
        <v>3.5140763272985563E-2</v>
      </c>
      <c r="AB14" s="67">
        <f>SFP!Z20/SFP!Z45</f>
        <v>3.5140763272985563E-2</v>
      </c>
      <c r="AC14" s="67">
        <f>SFP!AA20/SFP!AA45</f>
        <v>3.4662724827353865E-2</v>
      </c>
      <c r="AD14" s="67">
        <f>SFP!AB20/SFP!AB45</f>
        <v>3.4773434288760327E-2</v>
      </c>
      <c r="AE14" s="67">
        <f>SFP!AC20/SFP!AC45</f>
        <v>3.5781152266897882E-2</v>
      </c>
      <c r="AF14" s="67">
        <f>SFP!AD20/SFP!AD45</f>
        <v>1.3515801743165802E-2</v>
      </c>
      <c r="AG14" s="67">
        <f>SFP!AE20/SFP!AE45</f>
        <v>1.3425211244501014E-2</v>
      </c>
      <c r="AH14" s="67">
        <f>SFP!AF20/SFP!AF45</f>
        <v>1.3039867973542282E-2</v>
      </c>
      <c r="AI14" s="67">
        <f>SFP!AG20/SFP!AG45</f>
        <v>1.3198894009646493E-2</v>
      </c>
      <c r="AJ14" s="67">
        <f>SFP!AH20/SFP!AH45</f>
        <v>1.3171459575015688E-2</v>
      </c>
      <c r="AK14" s="67">
        <f>SFP!AI20/SFP!AI45</f>
        <v>1.3179007383126282E-2</v>
      </c>
      <c r="AL14" s="67">
        <f>SFP!AJ20/SFP!AJ45</f>
        <v>1.3100534708903318E-2</v>
      </c>
      <c r="AM14" s="67">
        <f>SFP!AK20/SFP!AK45</f>
        <v>1.3049970961974678E-2</v>
      </c>
      <c r="AN14" s="67">
        <f>SFP!AL20/SFP!AL45</f>
        <v>1.2947183209208462E-2</v>
      </c>
      <c r="AO14" s="67">
        <f>SFP!AM20/SFP!AM45</f>
        <v>1.285046429100104E-2</v>
      </c>
    </row>
    <row r="15" spans="1:41" ht="44.25">
      <c r="B15" s="239"/>
      <c r="C15" s="98" t="s">
        <v>229</v>
      </c>
      <c r="D15" s="36" t="s">
        <v>230</v>
      </c>
      <c r="E15" s="67">
        <f>SFP!C20/FINANCIALS!C11</f>
        <v>1.4731754378747198E-2</v>
      </c>
      <c r="F15" s="67">
        <f>SFP!D20/FINANCIALS!D11</f>
        <v>8.7009767968293211E-2</v>
      </c>
      <c r="G15" s="67">
        <f>SFP!E20/FINANCIALS!E11</f>
        <v>9.017596185227901E-2</v>
      </c>
      <c r="H15" s="67">
        <f>SFP!F20/FINANCIALS!F11</f>
        <v>8.6955252656026591E-2</v>
      </c>
      <c r="I15" s="67">
        <f>SFP!G20/FINANCIALS!G11</f>
        <v>8.3366998886910418E-2</v>
      </c>
      <c r="J15" s="67">
        <f>SFP!H20/FINANCIALS!H11</f>
        <v>7.9981357310660778E-2</v>
      </c>
      <c r="K15" s="67">
        <f>SFP!I20/FINANCIALS!I11</f>
        <v>7.7051710212459365E-2</v>
      </c>
      <c r="L15" s="67">
        <f>SFP!J20/FINANCIALS!J11</f>
        <v>7.4100018992980646E-2</v>
      </c>
      <c r="M15" s="67">
        <f>SFP!K20/FINANCIALS!K11</f>
        <v>7.1497652202370518E-2</v>
      </c>
      <c r="N15" s="67">
        <f>SFP!L20/FINANCIALS!L11</f>
        <v>6.9277438569533598E-2</v>
      </c>
      <c r="O15" s="67">
        <f>SFP!M20/FINANCIALS!M11</f>
        <v>6.9277438569533598E-2</v>
      </c>
      <c r="P15" s="67">
        <f>SFP!N20/FINANCIALS!N11</f>
        <v>6.5117297652976358E-2</v>
      </c>
      <c r="Q15" s="67">
        <f>SFP!O20/FINANCIALS!O11</f>
        <v>6.344988810911352E-2</v>
      </c>
      <c r="R15" s="67">
        <f>SFP!P20/FINANCIALS!P11</f>
        <v>6.1508989174156696E-2</v>
      </c>
      <c r="S15" s="67">
        <f>SFP!Q20/FINANCIALS!Q11</f>
        <v>7.264817750239852E-2</v>
      </c>
      <c r="T15" s="67">
        <f>SFP!R20/FINANCIALS!R11</f>
        <v>9.017596185227901E-2</v>
      </c>
      <c r="U15" s="67">
        <f>SFP!S20/FINANCIALS!S11</f>
        <v>8.6955252656026591E-2</v>
      </c>
      <c r="V15" s="67">
        <f>SFP!T20/FINANCIALS!T11</f>
        <v>8.3366998886910418E-2</v>
      </c>
      <c r="W15" s="67">
        <f>SFP!U20/FINANCIALS!U11</f>
        <v>7.9981357310660778E-2</v>
      </c>
      <c r="X15" s="67">
        <f>SFP!V20/FINANCIALS!V11</f>
        <v>7.7051710212459365E-2</v>
      </c>
      <c r="Y15" s="67">
        <f>SFP!W20/FINANCIALS!W11</f>
        <v>7.4100018992980646E-2</v>
      </c>
      <c r="Z15" s="67">
        <f>SFP!X20/FINANCIALS!X11</f>
        <v>7.1497652202370518E-2</v>
      </c>
      <c r="AA15" s="67">
        <f>SFP!Y20/FINANCIALS!Y11</f>
        <v>6.9277438569533598E-2</v>
      </c>
      <c r="AB15" s="67">
        <f>SFP!Z20/FINANCIALS!Z11</f>
        <v>6.9277438569533598E-2</v>
      </c>
      <c r="AC15" s="67">
        <f>SFP!AA20/FINANCIALS!AA11</f>
        <v>6.5117297652976358E-2</v>
      </c>
      <c r="AD15" s="67">
        <f>SFP!AB20/FINANCIALS!AB11</f>
        <v>6.344988810911352E-2</v>
      </c>
      <c r="AE15" s="67">
        <f>SFP!AC20/FINANCIALS!AC11</f>
        <v>6.1508989174156696E-2</v>
      </c>
      <c r="AF15" s="67">
        <f>SFP!AD20/FINANCIALS!AD11</f>
        <v>2.7614720872998457E-2</v>
      </c>
      <c r="AG15" s="67">
        <f>SFP!AE20/FINANCIALS!AE11</f>
        <v>2.6121205572282653E-2</v>
      </c>
      <c r="AH15" s="67">
        <f>SFP!AF20/FINANCIALS!AF11</f>
        <v>2.5494225796381276E-2</v>
      </c>
      <c r="AI15" s="67">
        <f>SFP!AG20/FINANCIALS!AG11</f>
        <v>2.468601115411604E-2</v>
      </c>
      <c r="AJ15" s="67">
        <f>SFP!AH20/FINANCIALS!AH11</f>
        <v>2.4416012275953917E-2</v>
      </c>
      <c r="AK15" s="67">
        <f>SFP!AI20/FINANCIALS!AI11</f>
        <v>2.3716870147577757E-2</v>
      </c>
      <c r="AL15" s="67">
        <f>SFP!AJ20/FINANCIALS!AJ11</f>
        <v>2.2942505077577609E-2</v>
      </c>
      <c r="AM15" s="67">
        <f>SFP!AK20/FINANCIALS!AK11</f>
        <v>2.2347111477552157E-2</v>
      </c>
      <c r="AN15" s="67">
        <f>SFP!AL20/FINANCIALS!AL11</f>
        <v>2.1791880570357223E-2</v>
      </c>
      <c r="AO15" s="67">
        <f>SFP!AM20/FINANCIALS!AM11</f>
        <v>2.1217253537425519E-2</v>
      </c>
    </row>
    <row r="16" spans="1:41" ht="15" customHeight="1">
      <c r="B16" s="240"/>
      <c r="C16" s="99" t="s">
        <v>231</v>
      </c>
      <c r="D16" s="31"/>
      <c r="E16" s="67">
        <f>FINANCIALS!C28/FINANCIALS!C4</f>
        <v>0.91422209485736849</v>
      </c>
      <c r="F16" s="67">
        <f>FINANCIALS!D28/FINANCIALS!D4</f>
        <v>0.8308753050342802</v>
      </c>
      <c r="G16" s="67">
        <f>FINANCIALS!E28/FINANCIALS!E4</f>
        <v>0.83704599952972947</v>
      </c>
      <c r="H16" s="67">
        <f>FINANCIALS!F28/FINANCIALS!F4</f>
        <v>0.82854059430204841</v>
      </c>
      <c r="I16" s="67">
        <f>FINANCIALS!G28/FINANCIALS!G4</f>
        <v>0.84334867910355882</v>
      </c>
      <c r="J16" s="67">
        <f>FINANCIALS!H28/FINANCIALS!H4</f>
        <v>0.83347879536726965</v>
      </c>
      <c r="K16" s="67">
        <f>FINANCIALS!I28/FINANCIALS!I4</f>
        <v>0.82658350925180191</v>
      </c>
      <c r="L16" s="67">
        <f>FINANCIALS!J28/FINANCIALS!J4</f>
        <v>0.82101155487829169</v>
      </c>
      <c r="M16" s="67">
        <f>FINANCIALS!K28/FINANCIALS!K4</f>
        <v>0.82699363713052387</v>
      </c>
      <c r="N16" s="67">
        <f>FINANCIALS!L28/FINANCIALS!L4</f>
        <v>0.81867922132498139</v>
      </c>
      <c r="O16" s="67">
        <f>FINANCIALS!M28/FINANCIALS!M4</f>
        <v>0.80860905481416967</v>
      </c>
      <c r="P16" s="67">
        <f>FINANCIALS!N28/FINANCIALS!N4</f>
        <v>0.79938692115690857</v>
      </c>
      <c r="Q16" s="67">
        <f>FINANCIALS!O28/FINANCIALS!O4</f>
        <v>0.78817249954012603</v>
      </c>
      <c r="R16" s="67">
        <f>FINANCIALS!P28/FINANCIALS!P4</f>
        <v>0.7850197878417311</v>
      </c>
      <c r="S16" s="67">
        <f>FINANCIALS!Q28/FINANCIALS!Q4</f>
        <v>0.78575599447512823</v>
      </c>
      <c r="T16" s="67">
        <f>FINANCIALS!R28/FINANCIALS!R4</f>
        <v>0.83704599952972947</v>
      </c>
      <c r="U16" s="67">
        <f>FINANCIALS!S28/FINANCIALS!S4</f>
        <v>0.82854059430204841</v>
      </c>
      <c r="V16" s="67">
        <f>FINANCIALS!T28/FINANCIALS!T4</f>
        <v>0.84334867910355882</v>
      </c>
      <c r="W16" s="67">
        <f>FINANCIALS!U28/FINANCIALS!U4</f>
        <v>0.83347879536726965</v>
      </c>
      <c r="X16" s="67">
        <f>FINANCIALS!V28/FINANCIALS!V4</f>
        <v>0.82658350925180191</v>
      </c>
      <c r="Y16" s="67">
        <f>FINANCIALS!W28/FINANCIALS!W4</f>
        <v>0.82101155487829169</v>
      </c>
      <c r="Z16" s="67">
        <f>FINANCIALS!X28/FINANCIALS!X4</f>
        <v>0.82699363713052387</v>
      </c>
      <c r="AA16" s="67">
        <f>FINANCIALS!Y28/FINANCIALS!Y4</f>
        <v>0.81867922132498139</v>
      </c>
      <c r="AB16" s="67">
        <f>FINANCIALS!Z28/FINANCIALS!Z4</f>
        <v>0.80860905481416967</v>
      </c>
      <c r="AC16" s="67">
        <f>FINANCIALS!AA28/FINANCIALS!AA4</f>
        <v>0.79938692115690857</v>
      </c>
      <c r="AD16" s="67">
        <f>FINANCIALS!AB28/FINANCIALS!AB4</f>
        <v>0.78817249954012603</v>
      </c>
      <c r="AE16" s="67">
        <f>FINANCIALS!AC28/FINANCIALS!AC4</f>
        <v>0.7850197878417311</v>
      </c>
      <c r="AF16" s="67">
        <f>FINANCIALS!AD28/FINANCIALS!AD4</f>
        <v>0.77073894840899393</v>
      </c>
      <c r="AG16" s="67">
        <f>FINANCIALS!AE28/FINANCIALS!AE4</f>
        <v>0.78009297835294489</v>
      </c>
      <c r="AH16" s="67">
        <f>FINANCIALS!AF28/FINANCIALS!AF4</f>
        <v>0.79601366852841404</v>
      </c>
      <c r="AI16" s="67">
        <f>FINANCIALS!AG28/FINANCIALS!AG4</f>
        <v>0.79673533034603761</v>
      </c>
      <c r="AJ16" s="67">
        <f>FINANCIALS!AH28/FINANCIALS!AH4</f>
        <v>0.80335718351330199</v>
      </c>
      <c r="AK16" s="67">
        <f>FINANCIALS!AI28/FINANCIALS!AI4</f>
        <v>0.80059687862861506</v>
      </c>
      <c r="AL16" s="67">
        <f>FINANCIALS!AJ28/FINANCIALS!AJ4</f>
        <v>0.79364189504052907</v>
      </c>
      <c r="AM16" s="67">
        <f>FINANCIALS!AK28/FINANCIALS!AK4</f>
        <v>0.78688199640848466</v>
      </c>
      <c r="AN16" s="67">
        <f>FINANCIALS!AL28/FINANCIALS!AL4</f>
        <v>0.7854375164047136</v>
      </c>
      <c r="AO16" s="67">
        <f>FINANCIALS!AM28/FINANCIALS!AM4</f>
        <v>0.78012170733148245</v>
      </c>
    </row>
    <row r="17" spans="2:41" ht="0.75" customHeight="1">
      <c r="B17" s="145"/>
      <c r="C17" s="97"/>
      <c r="D17" s="28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</row>
    <row r="18" spans="2:41" ht="15.75">
      <c r="B18" s="241" t="s">
        <v>232</v>
      </c>
      <c r="C18" s="97" t="s">
        <v>233</v>
      </c>
      <c r="D18" s="28"/>
      <c r="E18" s="67">
        <f>SCI!C56/FINANCIALS!C4</f>
        <v>5.3009786782923826E-2</v>
      </c>
      <c r="F18" s="67">
        <f>SCI!D56/FINANCIALS!D4</f>
        <v>6.870216990310446E-2</v>
      </c>
      <c r="G18" s="67">
        <f>SCI!E56/FINANCIALS!E4</f>
        <v>1.1659798631020032E-2</v>
      </c>
      <c r="H18" s="67">
        <f>SCI!F56/FINANCIALS!F4</f>
        <v>2.0382168706617399E-2</v>
      </c>
      <c r="I18" s="67">
        <f>SCI!G56/FINANCIALS!G4</f>
        <v>3.2743126819806324E-2</v>
      </c>
      <c r="J18" s="67">
        <f>SCI!H56/FINANCIALS!H4</f>
        <v>4.3761721880534378E-2</v>
      </c>
      <c r="K18" s="67">
        <f>SCI!I56/FINANCIALS!I4</f>
        <v>5.3751238130104594E-2</v>
      </c>
      <c r="L18" s="67">
        <f>SCI!J56/FINANCIALS!J4</f>
        <v>6.3954981343103665E-2</v>
      </c>
      <c r="M18" s="67">
        <f>SCI!K56/FINANCIALS!K4</f>
        <v>7.4259316641885009E-2</v>
      </c>
      <c r="N18" s="67">
        <f>SCI!L56/FINANCIALS!L4</f>
        <v>8.2864012724691752E-2</v>
      </c>
      <c r="O18" s="67">
        <f>SCI!M56/FINANCIALS!M4</f>
        <v>9.1613485419377125E-2</v>
      </c>
      <c r="P18" s="67">
        <f>SCI!N56/FINANCIALS!N4</f>
        <v>9.9785107137519521E-2</v>
      </c>
      <c r="Q18" s="67">
        <f>SCI!O56/FINANCIALS!O4</f>
        <v>0.10710387664309338</v>
      </c>
      <c r="R18" s="67">
        <f>SCI!P56/FINANCIALS!P4</f>
        <v>0.11697275539570143</v>
      </c>
      <c r="S18" s="67">
        <f>SCI!Q56/FINANCIALS!Q4</f>
        <v>5.2412119878123373E-2</v>
      </c>
      <c r="T18" s="67">
        <f>SCI!R56/FINANCIALS!R4</f>
        <v>1.0704580939307219E-2</v>
      </c>
      <c r="U18" s="67">
        <f>SCI!S56/FINANCIALS!S4</f>
        <v>1.8846725338957135E-2</v>
      </c>
      <c r="V18" s="67">
        <f>SCI!T56/FINANCIALS!T4</f>
        <v>2.9653345013385016E-2</v>
      </c>
      <c r="W18" s="67">
        <f>SCI!U56/FINANCIALS!U4</f>
        <v>3.949613593057389E-2</v>
      </c>
      <c r="X18" s="67">
        <f>SCI!V56/FINANCIALS!V4</f>
        <v>4.6964624193791382E-2</v>
      </c>
      <c r="Y18" s="67">
        <f>SCI!W56/FINANCIALS!W4</f>
        <v>5.5309679218206891E-2</v>
      </c>
      <c r="Z18" s="67">
        <f>SCI!X56/FINANCIALS!X4</f>
        <v>6.3028819491279475E-2</v>
      </c>
      <c r="AA18" s="67">
        <f>SCI!Y56/FINANCIALS!Y4</f>
        <v>7.1265698940793112E-2</v>
      </c>
      <c r="AB18" s="67">
        <f>SCI!Z56/FINANCIALS!Z4</f>
        <v>7.9737884439255599E-2</v>
      </c>
      <c r="AC18" s="67">
        <f>SCI!AA56/FINANCIALS!AA4</f>
        <v>8.8682228267296034E-2</v>
      </c>
      <c r="AD18" s="67">
        <f>SCI!AB56/FINANCIALS!AB4</f>
        <v>9.9214263823641069E-2</v>
      </c>
      <c r="AE18" s="67">
        <f>SCI!AC56/FINANCIALS!AC4</f>
        <v>0.11913378694114586</v>
      </c>
      <c r="AF18" s="67">
        <f>SCI!AD56/FINANCIALS!AD4</f>
        <v>4.3238038874975411E-2</v>
      </c>
      <c r="AG18" s="67">
        <f>SCI!AE56/FINANCIALS!AE4</f>
        <v>9.776466192048321E-3</v>
      </c>
      <c r="AH18" s="67">
        <f>SCI!AF56/FINANCIALS!AF4</f>
        <v>1.7821686139495457E-2</v>
      </c>
      <c r="AI18" s="67">
        <f>SCI!AG56/FINANCIALS!AG4</f>
        <v>2.6596819801080033E-2</v>
      </c>
      <c r="AJ18" s="67">
        <f>SCI!AH56/FINANCIALS!AH4</f>
        <v>3.5253409438783211E-2</v>
      </c>
      <c r="AK18" s="67">
        <f>SCI!AI56/FINANCIALS!AI4</f>
        <v>4.3975567188243622E-2</v>
      </c>
      <c r="AL18" s="67">
        <f>SCI!AJ56/FINANCIALS!AJ4</f>
        <v>5.4088424296477852E-2</v>
      </c>
      <c r="AM18" s="67">
        <f>SCI!AK56/FINANCIALS!AK4</f>
        <v>6.2108936165938572E-2</v>
      </c>
      <c r="AN18" s="67">
        <f>SCI!AL56/FINANCIALS!AL4</f>
        <v>6.9373845223385341E-2</v>
      </c>
      <c r="AO18" s="67">
        <f>SCI!AM56/FINANCIALS!AM4</f>
        <v>7.7501467459018605E-2</v>
      </c>
    </row>
    <row r="19" spans="2:41" ht="15.75">
      <c r="B19" s="241"/>
      <c r="C19" s="97" t="s">
        <v>234</v>
      </c>
      <c r="D19" s="28"/>
      <c r="E19" s="67">
        <f>SCI!C36/SCI!C30</f>
        <v>0.43309768039934926</v>
      </c>
      <c r="F19" s="67">
        <f>SCI!D36/SCI!D30</f>
        <v>0.14739703545778615</v>
      </c>
      <c r="G19" s="67">
        <f>SCI!E36/SCI!E30</f>
        <v>0.18028757477472188</v>
      </c>
      <c r="H19" s="67">
        <f>SCI!F36/SCI!F30</f>
        <v>0.22549205253483398</v>
      </c>
      <c r="I19" s="67">
        <f>SCI!G36/SCI!G30</f>
        <v>0.23214439758351393</v>
      </c>
      <c r="J19" s="67">
        <f>SCI!H36/SCI!H30</f>
        <v>0.22240610487557033</v>
      </c>
      <c r="K19" s="67">
        <f>SCI!I36/SCI!I30</f>
        <v>0.21928168374921284</v>
      </c>
      <c r="L19" s="67">
        <f>SCI!J36/SCI!J30</f>
        <v>0.21699950780707616</v>
      </c>
      <c r="M19" s="67">
        <f>SCI!K36/SCI!K30</f>
        <v>0.21627645770834789</v>
      </c>
      <c r="N19" s="67">
        <f>SCI!L36/SCI!L30</f>
        <v>0.22172348291496366</v>
      </c>
      <c r="O19" s="67">
        <f>SCI!M36/SCI!M30</f>
        <v>0.22493546527899094</v>
      </c>
      <c r="P19" s="67">
        <f>SCI!N36/SCI!N30</f>
        <v>0.22751433793993453</v>
      </c>
      <c r="Q19" s="67">
        <f>SCI!O36/SCI!O30</f>
        <v>0.23850381251770866</v>
      </c>
      <c r="R19" s="67">
        <f>SCI!P36/SCI!P30</f>
        <v>0.24343907714005378</v>
      </c>
      <c r="S19" s="67">
        <f>SCI!Q36/SCI!Q30</f>
        <v>0.40443484146267711</v>
      </c>
      <c r="T19" s="67">
        <f>SCI!R36/SCI!R30</f>
        <v>0.24915395053361852</v>
      </c>
      <c r="U19" s="67">
        <f>SCI!S36/SCI!S30</f>
        <v>0.29085141052704411</v>
      </c>
      <c r="V19" s="67">
        <f>SCI!T36/SCI!T30</f>
        <v>0.3049718273218775</v>
      </c>
      <c r="W19" s="67">
        <f>SCI!U36/SCI!U30</f>
        <v>0.29672380254402753</v>
      </c>
      <c r="X19" s="67">
        <f>SCI!V36/SCI!V30</f>
        <v>0.30467439188830292</v>
      </c>
      <c r="Y19" s="67">
        <f>SCI!W36/SCI!W30</f>
        <v>0.30126883202346022</v>
      </c>
      <c r="Z19" s="67">
        <f>SCI!X36/SCI!X30</f>
        <v>0.3058634877260521</v>
      </c>
      <c r="AA19" s="67">
        <f>SCI!Y36/SCI!Y30</f>
        <v>0.30098673002146514</v>
      </c>
      <c r="AB19" s="67">
        <f>SCI!Z36/SCI!Z30</f>
        <v>0.29494224185051032</v>
      </c>
      <c r="AC19" s="67">
        <f>SCI!AA36/SCI!AA30</f>
        <v>0.2886965842746913</v>
      </c>
      <c r="AD19" s="67">
        <f>SCI!AB36/SCI!AB30</f>
        <v>0.28077130924305621</v>
      </c>
      <c r="AE19" s="67">
        <f>SCI!AC36/SCI!AC30</f>
        <v>0.25785613059377732</v>
      </c>
      <c r="AF19" s="67">
        <f>SCI!AD36/SCI!AD30</f>
        <v>0.44835579717762741</v>
      </c>
      <c r="AG19" s="67">
        <f>SCI!AE36/SCI!AE30</f>
        <v>0.26212560518707567</v>
      </c>
      <c r="AH19" s="67">
        <f>SCI!AF36/SCI!AF30</f>
        <v>0.32383066697007057</v>
      </c>
      <c r="AI19" s="67">
        <f>SCI!AG36/SCI!AG30</f>
        <v>0.30563818681438004</v>
      </c>
      <c r="AJ19" s="67">
        <f>SCI!AH36/SCI!AH30</f>
        <v>0.30616873379435505</v>
      </c>
      <c r="AK19" s="67">
        <f>SCI!AI36/SCI!AI30</f>
        <v>0.30099126289737543</v>
      </c>
      <c r="AL19" s="67">
        <f>SCI!AJ36/SCI!AJ30</f>
        <v>0.29236994707359842</v>
      </c>
      <c r="AM19" s="67">
        <f>SCI!AK36/SCI!AK30</f>
        <v>0.29331111673770266</v>
      </c>
      <c r="AN19" s="67">
        <f>SCI!AL36/SCI!AL30</f>
        <v>0.29944098749339854</v>
      </c>
      <c r="AO19" s="67">
        <f>SCI!AM36/SCI!AM30</f>
        <v>0.29614385643387348</v>
      </c>
    </row>
    <row r="20" spans="2:41" ht="31.5">
      <c r="B20" s="241"/>
      <c r="C20" s="97" t="s">
        <v>235</v>
      </c>
      <c r="D20" s="30"/>
      <c r="E20" s="67">
        <f>SCI!C36/SFP!C38</f>
        <v>4.533443175017144E-2</v>
      </c>
      <c r="F20" s="67">
        <f>SCI!D36/SFP!D38</f>
        <v>1.2577000433193016E-2</v>
      </c>
      <c r="G20" s="67">
        <f>SCI!E36/SFP!E38</f>
        <v>2.6234566433368882E-3</v>
      </c>
      <c r="H20" s="67">
        <f>SCI!F36/SFP!F38</f>
        <v>6.0879145371525965E-3</v>
      </c>
      <c r="I20" s="67">
        <f>SCI!G36/SFP!G38</f>
        <v>1.0138209117457808E-2</v>
      </c>
      <c r="J20" s="67">
        <f>SCI!H36/SFP!H38</f>
        <v>1.2810379487197035E-2</v>
      </c>
      <c r="K20" s="67">
        <f>SCI!I36/SFP!I38</f>
        <v>1.5448800332222439E-2</v>
      </c>
      <c r="L20" s="67">
        <f>SCI!J36/SFP!J38</f>
        <v>1.8131737071966015E-2</v>
      </c>
      <c r="M20" s="67">
        <f>SCI!K36/SFP!K38</f>
        <v>2.0973541131896124E-2</v>
      </c>
      <c r="N20" s="67">
        <f>SCI!L36/SFP!L38</f>
        <v>2.4164229613275121E-2</v>
      </c>
      <c r="O20" s="67">
        <f>SCI!M36/SFP!M38</f>
        <v>2.7221032736494379E-2</v>
      </c>
      <c r="P20" s="67">
        <f>SCI!N36/SFP!N38</f>
        <v>3.0085087257448774E-2</v>
      </c>
      <c r="Q20" s="67">
        <f>SCI!O36/SFP!O38</f>
        <v>3.4344767936357691E-2</v>
      </c>
      <c r="R20" s="67">
        <f>SCI!P36/SFP!P38</f>
        <v>3.8537721364669368E-2</v>
      </c>
      <c r="S20" s="67">
        <f>SCI!Q36/SFP!Q38</f>
        <v>3.8820644997019697E-2</v>
      </c>
      <c r="T20" s="67">
        <f>SCI!R36/SFP!R38</f>
        <v>3.6390770733096176E-3</v>
      </c>
      <c r="U20" s="67">
        <f>SCI!S36/SFP!S38</f>
        <v>7.9422842560788291E-3</v>
      </c>
      <c r="V20" s="67">
        <f>SCI!T36/SFP!T38</f>
        <v>1.3366484761262209E-2</v>
      </c>
      <c r="W20" s="67">
        <f>SCI!U36/SFP!U38</f>
        <v>1.7113230097258209E-2</v>
      </c>
      <c r="X20" s="67">
        <f>SCI!V36/SFP!V38</f>
        <v>2.1186804023885657E-2</v>
      </c>
      <c r="Y20" s="67">
        <f>SCI!W36/SFP!W38</f>
        <v>2.454583503665984E-2</v>
      </c>
      <c r="Z20" s="67">
        <f>SCI!X36/SFP!X38</f>
        <v>2.8591600664459864E-2</v>
      </c>
      <c r="AA20" s="67">
        <f>SCI!Y36/SFP!Y38</f>
        <v>3.1584014237664812E-2</v>
      </c>
      <c r="AB20" s="67">
        <f>SCI!Z36/SFP!Z38</f>
        <v>3.4323763533095249E-2</v>
      </c>
      <c r="AC20" s="67">
        <f>SCI!AA36/SFP!AA38</f>
        <v>3.7017931798396887E-2</v>
      </c>
      <c r="AD20" s="67">
        <f>SCI!AB36/SFP!AB38</f>
        <v>3.9801987255362895E-2</v>
      </c>
      <c r="AE20" s="67">
        <f>SCI!AC36/SFP!AC38</f>
        <v>4.2442642372695252E-2</v>
      </c>
      <c r="AF20" s="67">
        <f>SCI!AD36/SFP!AD38</f>
        <v>3.9527012049045407E-2</v>
      </c>
      <c r="AG20" s="67">
        <f>SCI!AE36/SFP!AE38</f>
        <v>3.5596611250900282E-3</v>
      </c>
      <c r="AH20" s="67">
        <f>SCI!AF36/SFP!AF38</f>
        <v>8.8865476885471827E-3</v>
      </c>
      <c r="AI20" s="67">
        <f>SCI!AG36/SFP!AG38</f>
        <v>1.2237441998730052E-2</v>
      </c>
      <c r="AJ20" s="67">
        <f>SCI!AH36/SFP!AH38</f>
        <v>1.6295394147276369E-2</v>
      </c>
      <c r="AK20" s="67">
        <f>SCI!AI36/SFP!AI38</f>
        <v>1.9846136943667846E-2</v>
      </c>
      <c r="AL20" s="67">
        <f>SCI!AJ36/SFP!AJ38</f>
        <v>2.3398324889173493E-2</v>
      </c>
      <c r="AM20" s="67">
        <f>SCI!AK36/SFP!AK38</f>
        <v>2.7007658572887585E-2</v>
      </c>
      <c r="AN20" s="67">
        <f>SCI!AL36/SFP!AL38</f>
        <v>3.1180477435485542E-2</v>
      </c>
      <c r="AO20" s="67">
        <f>SCI!AM36/SFP!AM38</f>
        <v>3.4359786588744182E-2</v>
      </c>
    </row>
    <row r="21" spans="2:41" ht="15.75" hidden="1">
      <c r="B21" s="145"/>
      <c r="C21" s="97"/>
      <c r="D21" s="28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</row>
    <row r="22" spans="2:41" ht="24">
      <c r="B22" s="241" t="s">
        <v>236</v>
      </c>
      <c r="C22" s="97" t="s">
        <v>237</v>
      </c>
      <c r="D22" s="35" t="s">
        <v>238</v>
      </c>
      <c r="E22" s="67">
        <f>SFP!C10/SFP!C42</f>
        <v>30.520504487999339</v>
      </c>
      <c r="F22" s="67">
        <f>SFP!D10/SFP!D42</f>
        <v>76.147222774753416</v>
      </c>
      <c r="G22" s="67">
        <f>SFP!E10/SFP!E42</f>
        <v>3.779087356868517</v>
      </c>
      <c r="H22" s="67">
        <f>SFP!F10/SFP!F42</f>
        <v>4.2098861264464231</v>
      </c>
      <c r="I22" s="67">
        <f>SFP!G10/SFP!G42</f>
        <v>2.5700310497520733</v>
      </c>
      <c r="J22" s="67">
        <f>SFP!H10/SFP!H42</f>
        <v>2.9367333184281672</v>
      </c>
      <c r="K22" s="67">
        <f>SFP!I10/SFP!I42</f>
        <v>3.2761982301117749</v>
      </c>
      <c r="L22" s="67">
        <f>SFP!J10/SFP!J42</f>
        <v>3.138272237277592</v>
      </c>
      <c r="M22" s="67">
        <f>SFP!K10/SFP!K42</f>
        <v>3.0140488363555398</v>
      </c>
      <c r="N22" s="67">
        <f>SFP!L10/SFP!L42</f>
        <v>3.4408054382684705</v>
      </c>
      <c r="O22" s="67">
        <f>SFP!M10/SFP!M42</f>
        <v>3.7878532450745266</v>
      </c>
      <c r="P22" s="67">
        <f>SFP!N10/SFP!N42</f>
        <v>3.9104989413745788</v>
      </c>
      <c r="Q22" s="67">
        <f>SFP!O10/SFP!O42</f>
        <v>4.1024877358887784</v>
      </c>
      <c r="R22" s="67">
        <f>SFP!P10/SFP!P42</f>
        <v>6.3960931377164529</v>
      </c>
      <c r="S22" s="67">
        <f>SFP!Q10/SFP!Q42</f>
        <v>136.39112560278267</v>
      </c>
      <c r="T22" s="67">
        <f>SFP!R10/SFP!R42</f>
        <v>3.779087356868517</v>
      </c>
      <c r="U22" s="67">
        <f>SFP!S10/SFP!S42</f>
        <v>4.2098861264464231</v>
      </c>
      <c r="V22" s="67">
        <f>SFP!T10/SFP!T42</f>
        <v>2.5700310497520733</v>
      </c>
      <c r="W22" s="67">
        <f>SFP!U10/SFP!U42</f>
        <v>2.9367333184281672</v>
      </c>
      <c r="X22" s="67">
        <f>SFP!V10/SFP!V42</f>
        <v>3.2761982301117749</v>
      </c>
      <c r="Y22" s="67">
        <f>SFP!W10/SFP!W42</f>
        <v>3.138272237277592</v>
      </c>
      <c r="Z22" s="67">
        <f>SFP!X10/SFP!X42</f>
        <v>3.0140488363555398</v>
      </c>
      <c r="AA22" s="67">
        <f>SFP!Y10/SFP!Y42</f>
        <v>3.4408054382684705</v>
      </c>
      <c r="AB22" s="67">
        <f>SFP!Z10/SFP!Z42</f>
        <v>3.7878532450745266</v>
      </c>
      <c r="AC22" s="67">
        <f>SFP!AA10/SFP!AA42</f>
        <v>3.9104989413745788</v>
      </c>
      <c r="AD22" s="67">
        <f>SFP!AB10/SFP!AB42</f>
        <v>4.1024877358887784</v>
      </c>
      <c r="AE22" s="67">
        <f>SFP!AC10/SFP!AC42</f>
        <v>6.3960931377164529</v>
      </c>
      <c r="AF22" s="67">
        <f>SFP!AD10/SFP!AD42</f>
        <v>155.90095835249224</v>
      </c>
      <c r="AG22" s="67">
        <f>SFP!AE10/SFP!AE42</f>
        <v>4.5900896039803802</v>
      </c>
      <c r="AH22" s="67">
        <f>SFP!AF10/SFP!AF42</f>
        <v>2.4882963767437185</v>
      </c>
      <c r="AI22" s="67">
        <f>SFP!AG10/SFP!AG42</f>
        <v>3.052027736219912</v>
      </c>
      <c r="AJ22" s="67">
        <f>SFP!AH10/SFP!AH42</f>
        <v>2.8629189443876299</v>
      </c>
      <c r="AK22" s="67">
        <f>SFP!AI10/SFP!AI42</f>
        <v>2.8414609415458112</v>
      </c>
      <c r="AL22" s="67">
        <f>SFP!AJ10/SFP!AJ42</f>
        <v>2.8163010445901175</v>
      </c>
      <c r="AM22" s="67">
        <f>SFP!AK10/SFP!AK42</f>
        <v>2.7902842850356673</v>
      </c>
      <c r="AN22" s="67">
        <f>SFP!AL10/SFP!AL42</f>
        <v>2.6315841572073415</v>
      </c>
      <c r="AO22" s="67">
        <f>SFP!AM10/SFP!AM42</f>
        <v>2.4530831533716624</v>
      </c>
    </row>
    <row r="23" spans="2:41" ht="15.75">
      <c r="B23" s="241"/>
      <c r="C23" s="97" t="s">
        <v>239</v>
      </c>
      <c r="D23" s="30"/>
      <c r="E23" s="67">
        <f>SFP!C10/SFP!C45</f>
        <v>7.6406668133765676E-2</v>
      </c>
      <c r="F23" s="67">
        <f>SFP!D10/SFP!D45</f>
        <v>0.19122634267122249</v>
      </c>
      <c r="G23" s="67">
        <f>SFP!E10/SFP!E45</f>
        <v>0.18155559535199317</v>
      </c>
      <c r="H23" s="67">
        <f>SFP!F10/SFP!F45</f>
        <v>0.19831468392351101</v>
      </c>
      <c r="I23" s="67">
        <f>SFP!G10/SFP!G45</f>
        <v>0.16120633371722257</v>
      </c>
      <c r="J23" s="67">
        <f>SFP!H10/SFP!H45</f>
        <v>0.17778465745877403</v>
      </c>
      <c r="K23" s="67">
        <f>SFP!I10/SFP!I45</f>
        <v>0.19128340601811242</v>
      </c>
      <c r="L23" s="67">
        <f>SFP!J10/SFP!J45</f>
        <v>0.20266347681665298</v>
      </c>
      <c r="M23" s="67">
        <f>SFP!K10/SFP!K45</f>
        <v>0.19267853733611387</v>
      </c>
      <c r="N23" s="67">
        <f>SFP!L10/SFP!L45</f>
        <v>0.20889960894149109</v>
      </c>
      <c r="O23" s="67">
        <f>SFP!M10/SFP!M45</f>
        <v>0.22996971953811665</v>
      </c>
      <c r="P23" s="67">
        <f>SFP!N10/SFP!N45</f>
        <v>0.23951243216573898</v>
      </c>
      <c r="Q23" s="67">
        <f>SFP!O10/SFP!O45</f>
        <v>0.25869383603665264</v>
      </c>
      <c r="R23" s="67">
        <f>SFP!P10/SFP!P45</f>
        <v>0.26273586217311251</v>
      </c>
      <c r="S23" s="67">
        <f>SFP!Q10/SFP!Q45</f>
        <v>0.26759027546658332</v>
      </c>
      <c r="T23" s="67">
        <f>SFP!R10/SFP!R45</f>
        <v>0.18155559535199317</v>
      </c>
      <c r="U23" s="67">
        <f>SFP!S10/SFP!S45</f>
        <v>0.19831468392351101</v>
      </c>
      <c r="V23" s="67">
        <f>SFP!T10/SFP!T45</f>
        <v>0.16120633371722257</v>
      </c>
      <c r="W23" s="67">
        <f>SFP!U10/SFP!U45</f>
        <v>0.17778465745877403</v>
      </c>
      <c r="X23" s="67">
        <f>SFP!V10/SFP!V45</f>
        <v>0.19128340601811242</v>
      </c>
      <c r="Y23" s="67">
        <f>SFP!W10/SFP!W45</f>
        <v>0.20266347681665298</v>
      </c>
      <c r="Z23" s="67">
        <f>SFP!X10/SFP!X45</f>
        <v>0.19267853733611387</v>
      </c>
      <c r="AA23" s="67">
        <f>SFP!Y10/SFP!Y45</f>
        <v>0.20889960894149109</v>
      </c>
      <c r="AB23" s="67">
        <f>SFP!Z10/SFP!Z45</f>
        <v>0.22996971953811665</v>
      </c>
      <c r="AC23" s="67">
        <f>SFP!AA10/SFP!AA45</f>
        <v>0.23951243216573898</v>
      </c>
      <c r="AD23" s="67">
        <f>SFP!AB10/SFP!AB45</f>
        <v>0.25869383603665264</v>
      </c>
      <c r="AE23" s="67">
        <f>SFP!AC10/SFP!AC45</f>
        <v>0.26273586217311251</v>
      </c>
      <c r="AF23" s="67">
        <f>SFP!AD10/SFP!AD45</f>
        <v>0.2744566683978335</v>
      </c>
      <c r="AG23" s="67">
        <f>SFP!AE10/SFP!AE45</f>
        <v>0.24168274118878746</v>
      </c>
      <c r="AH23" s="67">
        <f>SFP!AF10/SFP!AF45</f>
        <v>0.18148935018859558</v>
      </c>
      <c r="AI23" s="67">
        <f>SFP!AG10/SFP!AG45</f>
        <v>0.17286292454607174</v>
      </c>
      <c r="AJ23" s="67">
        <f>SFP!AH10/SFP!AH45</f>
        <v>0.15985121238410704</v>
      </c>
      <c r="AK23" s="67">
        <f>SFP!AI10/SFP!AI45</f>
        <v>0.15371511732406201</v>
      </c>
      <c r="AL23" s="67">
        <f>SFP!AJ10/SFP!AJ45</f>
        <v>0.16151031327201404</v>
      </c>
      <c r="AM23" s="67">
        <f>SFP!AK10/SFP!AK45</f>
        <v>0.15967956846030654</v>
      </c>
      <c r="AN23" s="67">
        <f>SFP!AL10/SFP!AL45</f>
        <v>0.14743609820040793</v>
      </c>
      <c r="AO23" s="67">
        <f>SFP!AM10/SFP!AM45</f>
        <v>0.13770535704778569</v>
      </c>
    </row>
    <row r="24" spans="2:41" ht="31.5">
      <c r="B24" s="241"/>
      <c r="C24" s="97" t="s">
        <v>240</v>
      </c>
      <c r="D24" s="35" t="s">
        <v>241</v>
      </c>
      <c r="E24" s="67">
        <f>SFP!C53/SFP!C38</f>
        <v>0</v>
      </c>
      <c r="F24" s="67">
        <f>SFP!D53/SFP!D38</f>
        <v>0</v>
      </c>
      <c r="G24" s="67">
        <f>SFP!E53/SFP!E38</f>
        <v>0</v>
      </c>
      <c r="H24" s="67">
        <f>SFP!F53/SFP!F38</f>
        <v>0</v>
      </c>
      <c r="I24" s="67">
        <f>SFP!G53/SFP!G38</f>
        <v>0</v>
      </c>
      <c r="J24" s="67">
        <f>SFP!H53/SFP!H38</f>
        <v>0</v>
      </c>
      <c r="K24" s="67">
        <f>SFP!I53/SFP!I38</f>
        <v>0</v>
      </c>
      <c r="L24" s="67">
        <f>SFP!J53/SFP!J38</f>
        <v>0</v>
      </c>
      <c r="M24" s="67">
        <f>SFP!K53/SFP!K38</f>
        <v>0</v>
      </c>
      <c r="N24" s="67">
        <f>SFP!L53/SFP!L38</f>
        <v>0</v>
      </c>
      <c r="O24" s="67">
        <f>SFP!M53/SFP!M38</f>
        <v>0</v>
      </c>
      <c r="P24" s="67">
        <f>SFP!N53/SFP!N38</f>
        <v>0</v>
      </c>
      <c r="Q24" s="67">
        <f>SFP!O53/SFP!O38</f>
        <v>0</v>
      </c>
      <c r="R24" s="67">
        <f>SFP!P53/SFP!P38</f>
        <v>0</v>
      </c>
      <c r="S24" s="67">
        <f>SFP!Q53/SFP!Q38</f>
        <v>0</v>
      </c>
      <c r="T24" s="67">
        <f>SFP!R53/SFP!R38</f>
        <v>0</v>
      </c>
      <c r="U24" s="67">
        <f>SFP!S53/SFP!S38</f>
        <v>0</v>
      </c>
      <c r="V24" s="67">
        <f>SFP!T53/SFP!T38</f>
        <v>0</v>
      </c>
      <c r="W24" s="67">
        <f>SFP!U53/SFP!U38</f>
        <v>0</v>
      </c>
      <c r="X24" s="67">
        <f>SFP!V53/SFP!V38</f>
        <v>0</v>
      </c>
      <c r="Y24" s="67">
        <f>SFP!W53/SFP!W38</f>
        <v>0</v>
      </c>
      <c r="Z24" s="67">
        <f>SFP!X53/SFP!X38</f>
        <v>0</v>
      </c>
      <c r="AA24" s="67">
        <f>SFP!Y53/SFP!Y38</f>
        <v>0</v>
      </c>
      <c r="AB24" s="67">
        <f>SFP!Z53/SFP!Z38</f>
        <v>0</v>
      </c>
      <c r="AC24" s="67">
        <f>SFP!AA53/SFP!AA38</f>
        <v>0</v>
      </c>
      <c r="AD24" s="67">
        <f>SFP!AB53/SFP!AB38</f>
        <v>0</v>
      </c>
      <c r="AE24" s="67">
        <f>SFP!AC53/SFP!AC38</f>
        <v>0</v>
      </c>
      <c r="AF24" s="67" t="e">
        <f>SFP!AD53/SFP!AD38</f>
        <v>#VALUE!</v>
      </c>
      <c r="AG24" s="67">
        <f>SFP!AE53/SFP!AE38</f>
        <v>0</v>
      </c>
      <c r="AH24" s="67">
        <f>SFP!AF53/SFP!AF38</f>
        <v>0</v>
      </c>
      <c r="AI24" s="67">
        <f>SFP!AG53/SFP!AG38</f>
        <v>0</v>
      </c>
      <c r="AJ24" s="67">
        <f>SFP!AH53/SFP!AH38</f>
        <v>0</v>
      </c>
      <c r="AK24" s="67">
        <f>SFP!AI53/SFP!AI38</f>
        <v>0</v>
      </c>
      <c r="AL24" s="67">
        <f>SFP!AJ53/SFP!AJ38</f>
        <v>0</v>
      </c>
      <c r="AM24" s="67">
        <f>SFP!AK53/SFP!AK38</f>
        <v>0</v>
      </c>
      <c r="AN24" s="67">
        <f>SFP!AL53/SFP!AL38</f>
        <v>0</v>
      </c>
      <c r="AO24" s="67">
        <f>SFP!AM53/SFP!AM38</f>
        <v>0</v>
      </c>
    </row>
    <row r="25" spans="2:41" ht="31.5">
      <c r="B25" s="242"/>
      <c r="C25" s="100" t="s">
        <v>242</v>
      </c>
      <c r="D25" s="69"/>
      <c r="E25" s="70">
        <f>SFP!C10/SFP!C38</f>
        <v>4.9969094912157119E-2</v>
      </c>
      <c r="F25" s="70">
        <f>SFP!D10/SFP!D38</f>
        <v>0.12074255967548914</v>
      </c>
      <c r="G25" s="70">
        <f>SFP!E10/SFP!E38</f>
        <v>0.11346592793615716</v>
      </c>
      <c r="H25" s="70">
        <f>SFP!F10/SFP!F38</f>
        <v>0.12301772944080762</v>
      </c>
      <c r="I25" s="70">
        <f>SFP!G10/SFP!G38</f>
        <v>0.10743682613544371</v>
      </c>
      <c r="J25" s="70">
        <f>SFP!H10/SFP!H38</f>
        <v>0.11740636496937158</v>
      </c>
      <c r="K25" s="70">
        <f>SFP!I10/SFP!I38</f>
        <v>0.12513934737719376</v>
      </c>
      <c r="L25" s="70">
        <f>SFP!J10/SFP!J38</f>
        <v>0.13161761514693721</v>
      </c>
      <c r="M25" s="70">
        <f>SFP!K10/SFP!K38</f>
        <v>0.1246083902468494</v>
      </c>
      <c r="N25" s="70">
        <f>SFP!L10/SFP!L38</f>
        <v>0.13375530657166868</v>
      </c>
      <c r="O25" s="70">
        <f>SFP!M10/SFP!M38</f>
        <v>0.14491887154902489</v>
      </c>
      <c r="P25" s="70">
        <f>SFP!N10/SFP!N38</f>
        <v>0.15081016544895506</v>
      </c>
      <c r="Q25" s="70">
        <f>SFP!O10/SFP!O38</f>
        <v>0.16089427636267875</v>
      </c>
      <c r="R25" s="70">
        <f>SFP!P10/SFP!P38</f>
        <v>0.16044101295031479</v>
      </c>
      <c r="S25" s="70">
        <f>SFP!Q10/SFP!Q38</f>
        <v>0.16355811452845273</v>
      </c>
      <c r="T25" s="70">
        <f>SFP!R10/SFP!R38</f>
        <v>0.11346592793615716</v>
      </c>
      <c r="U25" s="70">
        <f>SFP!S10/SFP!S38</f>
        <v>0.12301772944080762</v>
      </c>
      <c r="V25" s="70">
        <f>SFP!T10/SFP!T38</f>
        <v>0.10743682613544371</v>
      </c>
      <c r="W25" s="70">
        <f>SFP!U10/SFP!U38</f>
        <v>0.11740636496937158</v>
      </c>
      <c r="X25" s="70">
        <f>SFP!V10/SFP!V38</f>
        <v>0.12513934737719376</v>
      </c>
      <c r="Y25" s="70">
        <f>SFP!W10/SFP!W38</f>
        <v>0.13161761514693721</v>
      </c>
      <c r="Z25" s="70">
        <f>SFP!X10/SFP!X38</f>
        <v>0.1246083902468494</v>
      </c>
      <c r="AA25" s="70">
        <f>SFP!Y10/SFP!Y38</f>
        <v>0.13375530657166868</v>
      </c>
      <c r="AB25" s="70">
        <f>SFP!Z10/SFP!Z38</f>
        <v>0.14491887154902489</v>
      </c>
      <c r="AC25" s="70">
        <f>SFP!AA10/SFP!AA38</f>
        <v>0.15081016544895506</v>
      </c>
      <c r="AD25" s="70">
        <f>SFP!AB10/SFP!AB38</f>
        <v>0.16089427636267875</v>
      </c>
      <c r="AE25" s="70">
        <f>SFP!AC10/SFP!AC38</f>
        <v>0.16044101295031479</v>
      </c>
      <c r="AF25" s="70">
        <f>SFP!AD10/SFP!AD38</f>
        <v>0.16621086247969757</v>
      </c>
      <c r="AG25" s="70">
        <f>SFP!AE10/SFP!AE38</f>
        <v>0.14613955916214871</v>
      </c>
      <c r="AH25" s="70">
        <f>SFP!AF10/SFP!AF38</f>
        <v>0.11767697746167548</v>
      </c>
      <c r="AI25" s="70">
        <f>SFP!AG10/SFP!AG38</f>
        <v>0.11042040313545896</v>
      </c>
      <c r="AJ25" s="70">
        <f>SFP!AH10/SFP!AH38</f>
        <v>0.10181461652663139</v>
      </c>
      <c r="AK25" s="70">
        <f>SFP!AI10/SFP!AI38</f>
        <v>9.6186582686456093E-2</v>
      </c>
      <c r="AL25" s="70">
        <f>SFP!AJ10/SFP!AJ38</f>
        <v>0.10012026697537255</v>
      </c>
      <c r="AM25" s="70">
        <f>SFP!AK10/SFP!AK38</f>
        <v>9.7979086661977521E-2</v>
      </c>
      <c r="AN25" s="70">
        <f>SFP!AL10/SFP!AL38</f>
        <v>8.9789370236220731E-2</v>
      </c>
      <c r="AO25" s="70">
        <f>SFP!AM10/SFP!AM38</f>
        <v>8.3302383241565234E-2</v>
      </c>
    </row>
    <row r="26" spans="2:41" ht="15.75">
      <c r="B26" s="32"/>
      <c r="C26" s="63"/>
      <c r="D26" s="34"/>
    </row>
  </sheetData>
  <mergeCells count="6">
    <mergeCell ref="B1:C1"/>
    <mergeCell ref="B5:B8"/>
    <mergeCell ref="B10:B11"/>
    <mergeCell ref="B18:B20"/>
    <mergeCell ref="B22:B25"/>
    <mergeCell ref="B12:B16"/>
  </mergeCells>
  <phoneticPr fontId="18" type="noConversion"/>
  <pageMargins left="0.7" right="0.7" top="0.75" bottom="0.75" header="0.3" footer="0.3"/>
  <pageSetup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1"/>
  <sheetViews>
    <sheetView topLeftCell="A50" workbookViewId="0">
      <selection activeCell="B107" sqref="B107"/>
    </sheetView>
  </sheetViews>
  <sheetFormatPr defaultRowHeight="14.45"/>
  <cols>
    <col min="1" max="1" width="4.28515625" bestFit="1" customWidth="1"/>
    <col min="2" max="2" width="18.85546875" customWidth="1"/>
    <col min="3" max="3" width="7.7109375" bestFit="1" customWidth="1"/>
    <col min="4" max="4" width="23.42578125" customWidth="1"/>
    <col min="5" max="5" width="13.85546875" customWidth="1"/>
    <col min="6" max="6" width="18.28515625" customWidth="1"/>
  </cols>
  <sheetData>
    <row r="1" spans="1:7" ht="28.5">
      <c r="A1" s="101"/>
      <c r="B1" s="102" t="s">
        <v>243</v>
      </c>
      <c r="C1" s="101"/>
      <c r="D1" s="101"/>
      <c r="E1" s="101"/>
      <c r="F1" s="101"/>
    </row>
    <row r="2" spans="1:7">
      <c r="A2" s="103"/>
      <c r="B2" s="244" t="s">
        <v>244</v>
      </c>
      <c r="C2" s="244"/>
      <c r="D2" s="244"/>
      <c r="E2" s="244"/>
      <c r="F2" s="244"/>
    </row>
    <row r="3" spans="1:7" ht="31.5" customHeight="1">
      <c r="A3" s="103"/>
      <c r="B3" s="104" t="s">
        <v>245</v>
      </c>
      <c r="C3" s="103"/>
      <c r="D3" s="105"/>
      <c r="E3" s="103"/>
      <c r="F3" s="106" t="s">
        <v>246</v>
      </c>
    </row>
    <row r="4" spans="1:7" ht="21" customHeight="1">
      <c r="A4" s="103"/>
      <c r="B4" s="104" t="s">
        <v>247</v>
      </c>
      <c r="C4" s="103"/>
      <c r="D4" s="103"/>
      <c r="E4" s="103"/>
      <c r="F4" s="107">
        <v>2017</v>
      </c>
    </row>
    <row r="5" spans="1:7" ht="17.25" customHeight="1">
      <c r="A5" s="103"/>
      <c r="B5" s="104" t="s">
        <v>248</v>
      </c>
      <c r="C5" s="103"/>
      <c r="D5" s="103"/>
      <c r="E5" s="108"/>
      <c r="F5" s="109" t="s">
        <v>249</v>
      </c>
    </row>
    <row r="6" spans="1:7" ht="17.25" customHeight="1">
      <c r="A6" s="103"/>
      <c r="B6" s="104" t="s">
        <v>250</v>
      </c>
      <c r="C6" s="103"/>
      <c r="D6" s="103"/>
      <c r="E6" s="108"/>
      <c r="F6" s="109" t="s">
        <v>251</v>
      </c>
    </row>
    <row r="7" spans="1:7">
      <c r="A7" s="103"/>
      <c r="B7" s="245" t="s">
        <v>252</v>
      </c>
      <c r="C7" s="245"/>
      <c r="D7" s="245"/>
      <c r="E7" s="245"/>
      <c r="F7" s="246"/>
    </row>
    <row r="8" spans="1:7">
      <c r="A8" s="103"/>
      <c r="B8" s="103"/>
      <c r="C8" s="104" t="s">
        <v>253</v>
      </c>
      <c r="D8" s="104" t="s">
        <v>254</v>
      </c>
      <c r="E8" s="104" t="s">
        <v>255</v>
      </c>
      <c r="F8" s="104" t="s">
        <v>256</v>
      </c>
    </row>
    <row r="9" spans="1:7" ht="27.75" customHeight="1">
      <c r="A9" s="103" t="s">
        <v>257</v>
      </c>
      <c r="B9" s="104" t="s">
        <v>258</v>
      </c>
      <c r="C9" s="104" t="s">
        <v>259</v>
      </c>
      <c r="D9" s="104" t="s">
        <v>260</v>
      </c>
      <c r="E9" s="104" t="s">
        <v>261</v>
      </c>
      <c r="F9" s="104" t="s">
        <v>262</v>
      </c>
    </row>
    <row r="10" spans="1:7" ht="21.75" customHeight="1">
      <c r="A10" s="103">
        <v>1</v>
      </c>
      <c r="B10" s="103" t="s">
        <v>263</v>
      </c>
      <c r="C10" s="110">
        <v>9569</v>
      </c>
      <c r="D10" s="110">
        <v>1523201365.5899999</v>
      </c>
      <c r="E10" s="111">
        <v>0.01</v>
      </c>
      <c r="F10" s="103">
        <f>D10*E10</f>
        <v>15232013.6559</v>
      </c>
    </row>
    <row r="11" spans="1:7">
      <c r="A11" s="103">
        <v>2</v>
      </c>
      <c r="B11" s="103" t="s">
        <v>264</v>
      </c>
      <c r="C11" s="110">
        <v>102</v>
      </c>
      <c r="D11" s="110">
        <v>4670712.6100000003</v>
      </c>
      <c r="E11" s="111">
        <v>0.05</v>
      </c>
      <c r="F11" s="103">
        <f>D11*E11</f>
        <v>233535.63050000003</v>
      </c>
    </row>
    <row r="12" spans="1:7" ht="16.5" customHeight="1">
      <c r="A12" s="103">
        <v>3</v>
      </c>
      <c r="B12" s="103" t="s">
        <v>265</v>
      </c>
      <c r="C12" s="110">
        <v>515</v>
      </c>
      <c r="D12" s="110">
        <v>33773549.219999999</v>
      </c>
      <c r="E12" s="111">
        <v>0.25</v>
      </c>
      <c r="F12" s="103">
        <f>D12*E12</f>
        <v>8443387.3049999997</v>
      </c>
    </row>
    <row r="13" spans="1:7">
      <c r="A13" s="103">
        <v>4</v>
      </c>
      <c r="B13" s="103" t="s">
        <v>266</v>
      </c>
      <c r="C13" s="110">
        <v>224</v>
      </c>
      <c r="D13" s="110">
        <v>5677083.7800000003</v>
      </c>
      <c r="E13" s="111">
        <v>0.5</v>
      </c>
      <c r="F13" s="103">
        <f>D13*E13</f>
        <v>2838541.89</v>
      </c>
    </row>
    <row r="14" spans="1:7">
      <c r="A14" s="103">
        <v>5</v>
      </c>
      <c r="B14" s="103" t="s">
        <v>267</v>
      </c>
      <c r="C14" s="110">
        <v>638</v>
      </c>
      <c r="D14" s="110">
        <v>26325060.960000001</v>
      </c>
      <c r="E14" s="111">
        <v>1</v>
      </c>
      <c r="F14" s="103">
        <f>D14*E14</f>
        <v>26325060.960000001</v>
      </c>
      <c r="G14">
        <f>D14+D13+D12</f>
        <v>65775693.960000001</v>
      </c>
    </row>
    <row r="15" spans="1:7" ht="14.25" customHeight="1">
      <c r="A15" s="103"/>
      <c r="B15" s="104" t="s">
        <v>268</v>
      </c>
      <c r="C15" s="104">
        <f>SUM(C10:C14)</f>
        <v>11048</v>
      </c>
      <c r="D15" s="104">
        <f>SUM(D10:D14)</f>
        <v>1593647772.1599998</v>
      </c>
      <c r="E15" s="112"/>
      <c r="F15" s="104">
        <f>SUM(F10:F14)</f>
        <v>53072539.441399999</v>
      </c>
    </row>
    <row r="16" spans="1:7" ht="27" customHeight="1">
      <c r="A16" s="103"/>
      <c r="B16" s="103" t="s">
        <v>269</v>
      </c>
      <c r="C16" s="110"/>
      <c r="D16" s="110"/>
      <c r="E16" s="110"/>
      <c r="F16" s="110"/>
    </row>
    <row r="17" spans="1:7">
      <c r="A17" s="103">
        <v>1</v>
      </c>
      <c r="B17" s="103" t="s">
        <v>263</v>
      </c>
      <c r="C17" s="110">
        <v>0</v>
      </c>
      <c r="D17" s="110">
        <v>0</v>
      </c>
      <c r="E17" s="111">
        <v>0.01</v>
      </c>
      <c r="F17" s="103">
        <f>D17*E17</f>
        <v>0</v>
      </c>
    </row>
    <row r="18" spans="1:7">
      <c r="A18" s="103">
        <v>2</v>
      </c>
      <c r="B18" s="103" t="s">
        <v>264</v>
      </c>
      <c r="C18" s="110">
        <v>0</v>
      </c>
      <c r="D18" s="110">
        <v>0</v>
      </c>
      <c r="E18" s="111">
        <v>0.05</v>
      </c>
      <c r="F18" s="103">
        <f>D18*E18</f>
        <v>0</v>
      </c>
    </row>
    <row r="19" spans="1:7">
      <c r="A19" s="103">
        <v>3</v>
      </c>
      <c r="B19" s="103" t="s">
        <v>265</v>
      </c>
      <c r="C19" s="110">
        <v>0</v>
      </c>
      <c r="D19" s="110">
        <v>0</v>
      </c>
      <c r="E19" s="111">
        <v>0.25</v>
      </c>
      <c r="F19" s="103">
        <f>D19*E19</f>
        <v>0</v>
      </c>
      <c r="G19">
        <f>G14/D15</f>
        <v>4.127367107654465E-2</v>
      </c>
    </row>
    <row r="20" spans="1:7">
      <c r="A20" s="103">
        <v>4</v>
      </c>
      <c r="B20" s="103" t="s">
        <v>266</v>
      </c>
      <c r="C20" s="110">
        <v>0</v>
      </c>
      <c r="D20" s="110">
        <v>0</v>
      </c>
      <c r="E20" s="111">
        <v>0.5</v>
      </c>
      <c r="F20" s="103">
        <f>D20*E20</f>
        <v>0</v>
      </c>
      <c r="G20">
        <f>G19*100</f>
        <v>4.1273671076544654</v>
      </c>
    </row>
    <row r="21" spans="1:7">
      <c r="A21" s="103">
        <v>5</v>
      </c>
      <c r="B21" s="103" t="s">
        <v>267</v>
      </c>
      <c r="C21" s="110">
        <v>0</v>
      </c>
      <c r="D21" s="110">
        <v>0</v>
      </c>
      <c r="E21" s="111">
        <v>1</v>
      </c>
      <c r="F21" s="103">
        <f>D21*E21</f>
        <v>0</v>
      </c>
    </row>
    <row r="22" spans="1:7">
      <c r="A22" s="103"/>
      <c r="B22" s="104" t="s">
        <v>268</v>
      </c>
      <c r="C22" s="104">
        <f>SUM(C16:C21)</f>
        <v>0</v>
      </c>
      <c r="D22" s="104">
        <f>SUM(D16:D21)</f>
        <v>0</v>
      </c>
      <c r="E22" s="104"/>
      <c r="F22" s="104">
        <f>SUM(F16:F21)</f>
        <v>0</v>
      </c>
    </row>
    <row r="23" spans="1:7">
      <c r="A23" s="103"/>
      <c r="B23" s="104" t="s">
        <v>270</v>
      </c>
      <c r="C23" s="104">
        <f>C15+C22</f>
        <v>11048</v>
      </c>
      <c r="D23" s="104">
        <f>D15+D22</f>
        <v>1593647772.1599998</v>
      </c>
      <c r="E23" s="104"/>
      <c r="F23" s="104">
        <f>F15+F22</f>
        <v>53072539.441399999</v>
      </c>
    </row>
    <row r="24" spans="1:7">
      <c r="A24" s="108"/>
      <c r="B24" s="113"/>
      <c r="C24" s="113"/>
      <c r="D24" s="113"/>
      <c r="E24" s="113"/>
      <c r="F24" s="114"/>
    </row>
    <row r="25" spans="1:7">
      <c r="A25" s="247" t="s">
        <v>271</v>
      </c>
      <c r="B25" s="247"/>
      <c r="C25" s="247"/>
      <c r="D25" s="247"/>
      <c r="E25" s="247"/>
      <c r="F25" s="247"/>
    </row>
    <row r="26" spans="1:7">
      <c r="A26" s="115"/>
      <c r="B26" s="115"/>
      <c r="C26" s="115"/>
      <c r="D26" s="115"/>
      <c r="E26" s="115"/>
      <c r="F26" s="115"/>
    </row>
    <row r="27" spans="1:7">
      <c r="A27" s="101"/>
      <c r="B27" s="116" t="s">
        <v>47</v>
      </c>
      <c r="C27" s="117"/>
      <c r="D27" s="118"/>
      <c r="E27" s="118"/>
      <c r="F27" s="118"/>
    </row>
    <row r="28" spans="1:7">
      <c r="A28" s="101"/>
      <c r="B28" s="243" t="s">
        <v>48</v>
      </c>
      <c r="C28" s="243"/>
      <c r="D28" s="243"/>
      <c r="E28" s="243"/>
      <c r="F28" s="243"/>
    </row>
    <row r="29" spans="1:7">
      <c r="A29" s="101"/>
      <c r="B29" s="243" t="s">
        <v>49</v>
      </c>
      <c r="C29" s="243"/>
      <c r="D29" s="243"/>
      <c r="E29" s="243"/>
      <c r="F29" s="243"/>
    </row>
    <row r="30" spans="1:7" ht="26.1">
      <c r="A30" s="101"/>
      <c r="B30" s="117" t="s">
        <v>50</v>
      </c>
      <c r="C30" s="117"/>
      <c r="D30" s="118"/>
      <c r="E30" s="118"/>
      <c r="F30" s="118"/>
    </row>
    <row r="31" spans="1:7">
      <c r="A31" s="101"/>
      <c r="B31" s="243" t="s">
        <v>49</v>
      </c>
      <c r="C31" s="243"/>
      <c r="D31" s="243"/>
      <c r="E31" s="243"/>
      <c r="F31" s="243"/>
    </row>
    <row r="32" spans="1:7" ht="26.1">
      <c r="A32" s="101"/>
      <c r="B32" s="117" t="s">
        <v>51</v>
      </c>
      <c r="C32" s="117"/>
      <c r="D32" s="118"/>
      <c r="E32" s="118"/>
      <c r="F32" s="118"/>
    </row>
    <row r="33" spans="1:7">
      <c r="A33" s="119"/>
      <c r="B33" s="119"/>
      <c r="C33" s="119"/>
      <c r="D33" s="119"/>
      <c r="E33" s="119"/>
      <c r="F33" s="119"/>
    </row>
    <row r="36" spans="1:7" ht="28.5">
      <c r="A36" s="101"/>
      <c r="B36" s="102" t="s">
        <v>243</v>
      </c>
      <c r="C36" s="101"/>
      <c r="D36" s="101"/>
      <c r="E36" s="101"/>
      <c r="F36" s="101"/>
      <c r="G36" s="105"/>
    </row>
    <row r="37" spans="1:7">
      <c r="A37" s="103"/>
      <c r="B37" s="244" t="s">
        <v>244</v>
      </c>
      <c r="C37" s="244"/>
      <c r="D37" s="244"/>
      <c r="E37" s="244"/>
      <c r="F37" s="244"/>
      <c r="G37" s="105"/>
    </row>
    <row r="38" spans="1:7" ht="30" customHeight="1">
      <c r="A38" s="103"/>
      <c r="B38" s="104" t="s">
        <v>245</v>
      </c>
      <c r="C38" s="103"/>
      <c r="D38" s="105"/>
      <c r="E38" s="103"/>
      <c r="F38" s="106" t="s">
        <v>246</v>
      </c>
      <c r="G38" s="105"/>
    </row>
    <row r="39" spans="1:7" ht="23.25" customHeight="1">
      <c r="A39" s="103"/>
      <c r="B39" s="104" t="s">
        <v>247</v>
      </c>
      <c r="C39" s="103"/>
      <c r="D39" s="103"/>
      <c r="E39" s="103"/>
      <c r="F39" s="107">
        <v>2017</v>
      </c>
      <c r="G39" s="105"/>
    </row>
    <row r="40" spans="1:7" ht="17.25" customHeight="1">
      <c r="A40" s="103"/>
      <c r="B40" s="104" t="s">
        <v>248</v>
      </c>
      <c r="C40" s="103"/>
      <c r="D40" s="103"/>
      <c r="E40" s="108"/>
      <c r="F40" s="109" t="s">
        <v>249</v>
      </c>
      <c r="G40" s="105"/>
    </row>
    <row r="41" spans="1:7" ht="17.25" customHeight="1">
      <c r="A41" s="103"/>
      <c r="B41" s="104" t="s">
        <v>250</v>
      </c>
      <c r="C41" s="103"/>
      <c r="D41" s="103"/>
      <c r="E41" s="108"/>
      <c r="F41" s="109" t="s">
        <v>272</v>
      </c>
      <c r="G41" s="105"/>
    </row>
    <row r="42" spans="1:7">
      <c r="A42" s="103"/>
      <c r="B42" s="245" t="s">
        <v>252</v>
      </c>
      <c r="C42" s="245"/>
      <c r="D42" s="245"/>
      <c r="E42" s="245"/>
      <c r="F42" s="246"/>
      <c r="G42" s="105"/>
    </row>
    <row r="43" spans="1:7">
      <c r="A43" s="103"/>
      <c r="B43" s="103"/>
      <c r="C43" s="104" t="s">
        <v>253</v>
      </c>
      <c r="D43" s="104" t="s">
        <v>254</v>
      </c>
      <c r="E43" s="104" t="s">
        <v>255</v>
      </c>
      <c r="F43" s="104" t="s">
        <v>256</v>
      </c>
      <c r="G43" s="105"/>
    </row>
    <row r="44" spans="1:7" ht="30.75" customHeight="1">
      <c r="A44" s="103" t="s">
        <v>257</v>
      </c>
      <c r="B44" s="104" t="s">
        <v>258</v>
      </c>
      <c r="C44" s="104" t="s">
        <v>259</v>
      </c>
      <c r="D44" s="104" t="s">
        <v>260</v>
      </c>
      <c r="E44" s="104" t="s">
        <v>261</v>
      </c>
      <c r="F44" s="104" t="s">
        <v>262</v>
      </c>
      <c r="G44" s="105"/>
    </row>
    <row r="45" spans="1:7" ht="15.75" customHeight="1">
      <c r="A45" s="103">
        <v>1</v>
      </c>
      <c r="B45" s="103" t="s">
        <v>263</v>
      </c>
      <c r="C45" s="110">
        <v>10401</v>
      </c>
      <c r="D45" s="120">
        <v>1659113605.1400001</v>
      </c>
      <c r="E45" s="121">
        <v>0.01</v>
      </c>
      <c r="F45" s="122">
        <f>D45*E45</f>
        <v>16591136.051400002</v>
      </c>
      <c r="G45" s="105"/>
    </row>
    <row r="46" spans="1:7">
      <c r="A46" s="103">
        <v>2</v>
      </c>
      <c r="B46" s="103" t="s">
        <v>264</v>
      </c>
      <c r="C46" s="110">
        <v>81</v>
      </c>
      <c r="D46" s="120">
        <v>2163744.0499999998</v>
      </c>
      <c r="E46" s="121">
        <v>0.05</v>
      </c>
      <c r="F46" s="122">
        <f>D46*E46</f>
        <v>108187.2025</v>
      </c>
      <c r="G46" s="105"/>
    </row>
    <row r="47" spans="1:7" ht="14.25" customHeight="1">
      <c r="A47" s="103">
        <v>3</v>
      </c>
      <c r="B47" s="103" t="s">
        <v>265</v>
      </c>
      <c r="C47" s="110">
        <v>474</v>
      </c>
      <c r="D47" s="120">
        <v>27649020.649999999</v>
      </c>
      <c r="E47" s="121">
        <v>0.25</v>
      </c>
      <c r="F47" s="122">
        <f>D47*E47</f>
        <v>6912255.1624999996</v>
      </c>
      <c r="G47" s="105"/>
    </row>
    <row r="48" spans="1:7">
      <c r="A48" s="103">
        <v>4</v>
      </c>
      <c r="B48" s="103" t="s">
        <v>266</v>
      </c>
      <c r="C48" s="110">
        <v>256</v>
      </c>
      <c r="D48" s="120">
        <v>11508312.68</v>
      </c>
      <c r="E48" s="121">
        <v>0.5</v>
      </c>
      <c r="F48" s="122">
        <f>D48*E48</f>
        <v>5754156.3399999999</v>
      </c>
      <c r="G48" s="105"/>
    </row>
    <row r="49" spans="1:7">
      <c r="A49" s="103">
        <v>5</v>
      </c>
      <c r="B49" s="103" t="s">
        <v>267</v>
      </c>
      <c r="C49" s="110">
        <v>664</v>
      </c>
      <c r="D49" s="120">
        <v>26681484.260000002</v>
      </c>
      <c r="E49" s="121">
        <v>1</v>
      </c>
      <c r="F49" s="122">
        <f>D49*E49</f>
        <v>26681484.260000002</v>
      </c>
      <c r="G49" s="105"/>
    </row>
    <row r="50" spans="1:7" ht="14.25" customHeight="1">
      <c r="A50" s="103"/>
      <c r="B50" s="104" t="s">
        <v>268</v>
      </c>
      <c r="C50" s="104">
        <f>SUM(C45:C49)</f>
        <v>11876</v>
      </c>
      <c r="D50" s="123">
        <f>SUM(D45:D49)</f>
        <v>1727116166.7800002</v>
      </c>
      <c r="E50" s="123"/>
      <c r="F50" s="123">
        <f>SUM(F45:F49)</f>
        <v>56047219.016400002</v>
      </c>
      <c r="G50" s="105"/>
    </row>
    <row r="51" spans="1:7" ht="27" customHeight="1">
      <c r="A51" s="103"/>
      <c r="B51" s="103" t="s">
        <v>269</v>
      </c>
      <c r="C51" s="110"/>
      <c r="D51" s="110"/>
      <c r="E51" s="110"/>
      <c r="F51" s="110"/>
      <c r="G51" s="105"/>
    </row>
    <row r="52" spans="1:7" ht="18" customHeight="1">
      <c r="A52" s="103">
        <v>1</v>
      </c>
      <c r="B52" s="103" t="s">
        <v>263</v>
      </c>
      <c r="C52" s="110">
        <v>0</v>
      </c>
      <c r="D52" s="110">
        <v>0</v>
      </c>
      <c r="E52" s="111">
        <v>0.01</v>
      </c>
      <c r="F52" s="103">
        <f>D52*E52</f>
        <v>0</v>
      </c>
      <c r="G52" s="105"/>
    </row>
    <row r="53" spans="1:7">
      <c r="A53" s="103">
        <v>2</v>
      </c>
      <c r="B53" s="103" t="s">
        <v>264</v>
      </c>
      <c r="C53" s="110">
        <v>0</v>
      </c>
      <c r="D53" s="110">
        <v>0</v>
      </c>
      <c r="E53" s="111">
        <v>0.05</v>
      </c>
      <c r="F53" s="103">
        <f>D53*E53</f>
        <v>0</v>
      </c>
      <c r="G53" s="105"/>
    </row>
    <row r="54" spans="1:7" ht="14.25" customHeight="1">
      <c r="A54" s="103">
        <v>3</v>
      </c>
      <c r="B54" s="103" t="s">
        <v>265</v>
      </c>
      <c r="C54" s="110">
        <v>0</v>
      </c>
      <c r="D54" s="110">
        <v>0</v>
      </c>
      <c r="E54" s="111">
        <v>0.25</v>
      </c>
      <c r="F54" s="103">
        <f>D54*E54</f>
        <v>0</v>
      </c>
      <c r="G54" s="105"/>
    </row>
    <row r="55" spans="1:7">
      <c r="A55" s="103">
        <v>4</v>
      </c>
      <c r="B55" s="103" t="s">
        <v>266</v>
      </c>
      <c r="C55" s="110">
        <v>0</v>
      </c>
      <c r="D55" s="110">
        <v>0</v>
      </c>
      <c r="E55" s="111">
        <v>0.5</v>
      </c>
      <c r="F55" s="103">
        <f>D55*E55</f>
        <v>0</v>
      </c>
      <c r="G55" s="105"/>
    </row>
    <row r="56" spans="1:7">
      <c r="A56" s="103">
        <v>5</v>
      </c>
      <c r="B56" s="103" t="s">
        <v>267</v>
      </c>
      <c r="C56" s="110">
        <v>0</v>
      </c>
      <c r="D56" s="110">
        <v>0</v>
      </c>
      <c r="E56" s="111">
        <v>1</v>
      </c>
      <c r="F56" s="103">
        <f>D56*E56</f>
        <v>0</v>
      </c>
      <c r="G56" s="105"/>
    </row>
    <row r="57" spans="1:7" ht="15.75" customHeight="1">
      <c r="A57" s="103"/>
      <c r="B57" s="104" t="s">
        <v>268</v>
      </c>
      <c r="C57" s="104">
        <f>SUM(C51:C56)</f>
        <v>0</v>
      </c>
      <c r="D57" s="104">
        <f>SUM(D51:D56)</f>
        <v>0</v>
      </c>
      <c r="E57" s="104"/>
      <c r="F57" s="104">
        <f>SUM(F51:F56)</f>
        <v>0</v>
      </c>
      <c r="G57" s="105"/>
    </row>
    <row r="58" spans="1:7" ht="20.25" customHeight="1">
      <c r="A58" s="103"/>
      <c r="B58" s="104" t="s">
        <v>270</v>
      </c>
      <c r="C58" s="104">
        <f>C50+C57</f>
        <v>11876</v>
      </c>
      <c r="D58" s="123">
        <f>D50+D57</f>
        <v>1727116166.7800002</v>
      </c>
      <c r="E58" s="123"/>
      <c r="F58" s="123">
        <f>F50+F57</f>
        <v>56047219.016400002</v>
      </c>
      <c r="G58" s="105"/>
    </row>
    <row r="59" spans="1:7">
      <c r="A59" s="108"/>
      <c r="B59" s="113"/>
      <c r="C59" s="113"/>
      <c r="D59" s="113"/>
      <c r="E59" s="113"/>
      <c r="F59" s="114"/>
      <c r="G59" s="105"/>
    </row>
    <row r="60" spans="1:7">
      <c r="A60" s="247" t="s">
        <v>271</v>
      </c>
      <c r="B60" s="247"/>
      <c r="C60" s="247"/>
      <c r="D60" s="247"/>
      <c r="E60" s="247"/>
      <c r="F60" s="247"/>
      <c r="G60" s="105"/>
    </row>
    <row r="61" spans="1:7">
      <c r="A61" s="115"/>
      <c r="B61" s="115"/>
      <c r="C61" s="115"/>
      <c r="D61" s="115"/>
      <c r="E61" s="115"/>
      <c r="F61" s="115"/>
      <c r="G61" s="105"/>
    </row>
    <row r="62" spans="1:7">
      <c r="A62" s="101"/>
      <c r="B62" s="116" t="s">
        <v>47</v>
      </c>
      <c r="C62" s="117"/>
      <c r="D62" s="118"/>
      <c r="E62" s="118"/>
      <c r="F62" s="118"/>
      <c r="G62" s="105"/>
    </row>
    <row r="63" spans="1:7">
      <c r="A63" s="101"/>
      <c r="B63" s="243" t="s">
        <v>48</v>
      </c>
      <c r="C63" s="243"/>
      <c r="D63" s="243"/>
      <c r="E63" s="243"/>
      <c r="F63" s="243"/>
      <c r="G63" s="105"/>
    </row>
    <row r="64" spans="1:7">
      <c r="A64" s="101"/>
      <c r="B64" s="243" t="s">
        <v>49</v>
      </c>
      <c r="C64" s="243"/>
      <c r="D64" s="243"/>
      <c r="E64" s="243"/>
      <c r="F64" s="243"/>
      <c r="G64" s="105"/>
    </row>
    <row r="65" spans="1:7" ht="26.1">
      <c r="A65" s="101"/>
      <c r="B65" s="117" t="s">
        <v>50</v>
      </c>
      <c r="C65" s="117"/>
      <c r="D65" s="118"/>
      <c r="E65" s="118"/>
      <c r="F65" s="118"/>
      <c r="G65" s="105"/>
    </row>
    <row r="66" spans="1:7">
      <c r="A66" s="101"/>
      <c r="B66" s="243" t="s">
        <v>49</v>
      </c>
      <c r="C66" s="243"/>
      <c r="D66" s="243"/>
      <c r="E66" s="243"/>
      <c r="F66" s="243"/>
      <c r="G66" s="105"/>
    </row>
    <row r="67" spans="1:7" ht="26.1">
      <c r="A67" s="101"/>
      <c r="B67" s="117" t="s">
        <v>51</v>
      </c>
      <c r="C67" s="117"/>
      <c r="D67" s="118"/>
      <c r="E67" s="118"/>
      <c r="F67" s="118"/>
      <c r="G67" s="105"/>
    </row>
    <row r="70" spans="1:7" ht="28.5">
      <c r="A70" s="101"/>
      <c r="B70" s="102" t="s">
        <v>243</v>
      </c>
      <c r="C70" s="101"/>
      <c r="D70" s="101"/>
      <c r="E70" s="101"/>
      <c r="F70" s="101"/>
    </row>
    <row r="71" spans="1:7">
      <c r="A71" s="103"/>
      <c r="B71" s="244" t="s">
        <v>244</v>
      </c>
      <c r="C71" s="244"/>
      <c r="D71" s="244"/>
      <c r="E71" s="244"/>
      <c r="F71" s="244"/>
    </row>
    <row r="72" spans="1:7" ht="36" customHeight="1">
      <c r="A72" s="103"/>
      <c r="B72" s="104" t="s">
        <v>245</v>
      </c>
      <c r="C72" s="103"/>
      <c r="D72" s="105"/>
      <c r="E72" s="103"/>
      <c r="F72" s="106" t="s">
        <v>246</v>
      </c>
    </row>
    <row r="73" spans="1:7" ht="29.25" customHeight="1">
      <c r="A73" s="103"/>
      <c r="B73" s="104" t="s">
        <v>247</v>
      </c>
      <c r="C73" s="103"/>
      <c r="D73" s="103"/>
      <c r="E73" s="103"/>
      <c r="F73" s="107">
        <v>2017</v>
      </c>
    </row>
    <row r="74" spans="1:7" ht="21.75" customHeight="1">
      <c r="A74" s="103"/>
      <c r="B74" s="104" t="s">
        <v>248</v>
      </c>
      <c r="C74" s="103"/>
      <c r="D74" s="103"/>
      <c r="E74" s="108"/>
      <c r="F74" s="109" t="s">
        <v>249</v>
      </c>
    </row>
    <row r="75" spans="1:7" ht="19.5" customHeight="1">
      <c r="A75" s="103"/>
      <c r="B75" s="104" t="s">
        <v>250</v>
      </c>
      <c r="C75" s="103"/>
      <c r="D75" s="103"/>
      <c r="E75" s="108"/>
      <c r="F75" s="109" t="s">
        <v>273</v>
      </c>
    </row>
    <row r="76" spans="1:7">
      <c r="A76" s="103"/>
      <c r="B76" s="245" t="s">
        <v>252</v>
      </c>
      <c r="C76" s="245"/>
      <c r="D76" s="245"/>
      <c r="E76" s="245"/>
      <c r="F76" s="246"/>
    </row>
    <row r="77" spans="1:7">
      <c r="A77" s="103"/>
      <c r="B77" s="103"/>
      <c r="C77" s="104" t="s">
        <v>253</v>
      </c>
      <c r="D77" s="104" t="s">
        <v>254</v>
      </c>
      <c r="E77" s="104" t="s">
        <v>255</v>
      </c>
      <c r="F77" s="104" t="s">
        <v>256</v>
      </c>
    </row>
    <row r="78" spans="1:7" ht="42.6">
      <c r="A78" s="103" t="s">
        <v>257</v>
      </c>
      <c r="B78" s="104" t="s">
        <v>258</v>
      </c>
      <c r="C78" s="104" t="s">
        <v>259</v>
      </c>
      <c r="D78" s="104" t="s">
        <v>260</v>
      </c>
      <c r="E78" s="104" t="s">
        <v>261</v>
      </c>
      <c r="F78" s="104" t="s">
        <v>262</v>
      </c>
    </row>
    <row r="79" spans="1:7" ht="15" customHeight="1">
      <c r="A79" s="103">
        <v>1</v>
      </c>
      <c r="B79" s="103" t="s">
        <v>263</v>
      </c>
      <c r="C79" s="110">
        <v>11770</v>
      </c>
      <c r="D79" s="120">
        <v>1747548341.24</v>
      </c>
      <c r="E79" s="121">
        <v>0.01</v>
      </c>
      <c r="F79" s="122">
        <f>D79*E79</f>
        <v>17475483.4124</v>
      </c>
    </row>
    <row r="80" spans="1:7">
      <c r="A80" s="103">
        <v>2</v>
      </c>
      <c r="B80" s="103" t="s">
        <v>264</v>
      </c>
      <c r="C80" s="110">
        <v>138</v>
      </c>
      <c r="D80" s="120">
        <v>5506042.9699999997</v>
      </c>
      <c r="E80" s="121">
        <v>0.05</v>
      </c>
      <c r="F80" s="122">
        <f>D80*E80</f>
        <v>275302.14850000001</v>
      </c>
    </row>
    <row r="81" spans="1:6" ht="15" customHeight="1">
      <c r="A81" s="103">
        <v>3</v>
      </c>
      <c r="B81" s="103" t="s">
        <v>265</v>
      </c>
      <c r="C81" s="110">
        <v>385</v>
      </c>
      <c r="D81" s="120">
        <v>14780152.18</v>
      </c>
      <c r="E81" s="121">
        <v>0.25</v>
      </c>
      <c r="F81" s="122">
        <f>D81*E81</f>
        <v>3695038.0449999999</v>
      </c>
    </row>
    <row r="82" spans="1:6">
      <c r="A82" s="103">
        <v>4</v>
      </c>
      <c r="B82" s="103" t="s">
        <v>266</v>
      </c>
      <c r="C82" s="110">
        <v>462</v>
      </c>
      <c r="D82" s="120">
        <v>31526199.899999999</v>
      </c>
      <c r="E82" s="121">
        <v>0.5</v>
      </c>
      <c r="F82" s="122">
        <f>D82*E82</f>
        <v>15763099.949999999</v>
      </c>
    </row>
    <row r="83" spans="1:6">
      <c r="A83" s="103">
        <v>5</v>
      </c>
      <c r="B83" s="103" t="s">
        <v>267</v>
      </c>
      <c r="C83" s="110">
        <v>770</v>
      </c>
      <c r="D83" s="120">
        <v>29453502.870000001</v>
      </c>
      <c r="E83" s="121">
        <v>1</v>
      </c>
      <c r="F83" s="122">
        <f>D83*E83</f>
        <v>29453502.870000001</v>
      </c>
    </row>
    <row r="84" spans="1:6">
      <c r="A84" s="103"/>
      <c r="B84" s="104" t="s">
        <v>268</v>
      </c>
      <c r="C84" s="104">
        <f>SUM(C79:C83)</f>
        <v>13525</v>
      </c>
      <c r="D84" s="123">
        <f>SUM(D79:D83)</f>
        <v>1828814239.1600001</v>
      </c>
      <c r="E84" s="123"/>
      <c r="F84" s="123">
        <f>SUM(F79:F83)</f>
        <v>66662426.425899997</v>
      </c>
    </row>
    <row r="85" spans="1:6" ht="25.5" customHeight="1">
      <c r="A85" s="103"/>
      <c r="B85" s="103" t="s">
        <v>269</v>
      </c>
      <c r="C85" s="110"/>
      <c r="D85" s="110"/>
      <c r="E85" s="110"/>
      <c r="F85" s="110"/>
    </row>
    <row r="86" spans="1:6" ht="15" customHeight="1">
      <c r="A86" s="103">
        <v>1</v>
      </c>
      <c r="B86" s="103" t="s">
        <v>263</v>
      </c>
      <c r="C86" s="110">
        <v>0</v>
      </c>
      <c r="D86" s="110">
        <v>0</v>
      </c>
      <c r="E86" s="111">
        <v>0.01</v>
      </c>
      <c r="F86" s="103">
        <f>D86*E86</f>
        <v>0</v>
      </c>
    </row>
    <row r="87" spans="1:6">
      <c r="A87" s="103">
        <v>2</v>
      </c>
      <c r="B87" s="103" t="s">
        <v>264</v>
      </c>
      <c r="C87" s="110">
        <v>0</v>
      </c>
      <c r="D87" s="110">
        <v>0</v>
      </c>
      <c r="E87" s="111">
        <v>0.05</v>
      </c>
      <c r="F87" s="103">
        <f>D87*E87</f>
        <v>0</v>
      </c>
    </row>
    <row r="88" spans="1:6" ht="16.5" customHeight="1">
      <c r="A88" s="103">
        <v>3</v>
      </c>
      <c r="B88" s="103" t="s">
        <v>265</v>
      </c>
      <c r="C88" s="110">
        <v>0</v>
      </c>
      <c r="D88" s="110">
        <v>0</v>
      </c>
      <c r="E88" s="111">
        <v>0.25</v>
      </c>
      <c r="F88" s="103">
        <f>D88*E88</f>
        <v>0</v>
      </c>
    </row>
    <row r="89" spans="1:6">
      <c r="A89" s="103">
        <v>4</v>
      </c>
      <c r="B89" s="103" t="s">
        <v>266</v>
      </c>
      <c r="C89" s="110">
        <v>0</v>
      </c>
      <c r="D89" s="110">
        <v>0</v>
      </c>
      <c r="E89" s="111">
        <v>0.5</v>
      </c>
      <c r="F89" s="103">
        <f>D89*E89</f>
        <v>0</v>
      </c>
    </row>
    <row r="90" spans="1:6">
      <c r="A90" s="103">
        <v>5</v>
      </c>
      <c r="B90" s="103" t="s">
        <v>267</v>
      </c>
      <c r="C90" s="110">
        <v>0</v>
      </c>
      <c r="D90" s="110">
        <v>0</v>
      </c>
      <c r="E90" s="111">
        <v>1</v>
      </c>
      <c r="F90" s="103">
        <f>D90*E90</f>
        <v>0</v>
      </c>
    </row>
    <row r="91" spans="1:6">
      <c r="A91" s="103"/>
      <c r="B91" s="104" t="s">
        <v>268</v>
      </c>
      <c r="C91" s="104">
        <f>SUM(C85:C90)</f>
        <v>0</v>
      </c>
      <c r="D91" s="104">
        <f>SUM(D85:D90)</f>
        <v>0</v>
      </c>
      <c r="E91" s="104"/>
      <c r="F91" s="104">
        <f>SUM(F85:F90)</f>
        <v>0</v>
      </c>
    </row>
    <row r="92" spans="1:6">
      <c r="A92" s="103"/>
      <c r="B92" s="104" t="s">
        <v>270</v>
      </c>
      <c r="C92" s="104">
        <f>C84+C91</f>
        <v>13525</v>
      </c>
      <c r="D92" s="123">
        <f>D84+D91</f>
        <v>1828814239.1600001</v>
      </c>
      <c r="E92" s="123"/>
      <c r="F92" s="123">
        <f>F84+F91</f>
        <v>66662426.425899997</v>
      </c>
    </row>
    <row r="93" spans="1:6">
      <c r="A93" s="108"/>
      <c r="B93" s="113"/>
      <c r="C93" s="113"/>
      <c r="D93" s="113"/>
      <c r="E93" s="113"/>
      <c r="F93" s="114"/>
    </row>
    <row r="94" spans="1:6">
      <c r="A94" s="247" t="s">
        <v>271</v>
      </c>
      <c r="B94" s="247"/>
      <c r="C94" s="247"/>
      <c r="D94" s="247"/>
      <c r="E94" s="247"/>
      <c r="F94" s="247"/>
    </row>
    <row r="97" spans="1:6" ht="28.5">
      <c r="A97" s="101"/>
      <c r="B97" s="102" t="s">
        <v>243</v>
      </c>
      <c r="C97" s="101"/>
      <c r="D97" s="101"/>
      <c r="E97" s="101"/>
      <c r="F97" s="101"/>
    </row>
    <row r="98" spans="1:6">
      <c r="A98" s="103"/>
      <c r="B98" s="244" t="s">
        <v>244</v>
      </c>
      <c r="C98" s="244"/>
      <c r="D98" s="244"/>
      <c r="E98" s="244"/>
      <c r="F98" s="244"/>
    </row>
    <row r="99" spans="1:6" ht="28.5">
      <c r="A99" s="103"/>
      <c r="B99" s="104" t="s">
        <v>245</v>
      </c>
      <c r="C99" s="103"/>
      <c r="D99" s="105"/>
      <c r="E99" s="103"/>
      <c r="F99" s="106" t="s">
        <v>246</v>
      </c>
    </row>
    <row r="100" spans="1:6">
      <c r="A100" s="103"/>
      <c r="B100" s="104" t="s">
        <v>247</v>
      </c>
      <c r="C100" s="103"/>
      <c r="D100" s="103"/>
      <c r="E100" s="103"/>
      <c r="F100" s="107">
        <v>2017</v>
      </c>
    </row>
    <row r="101" spans="1:6">
      <c r="A101" s="103"/>
      <c r="B101" s="104" t="s">
        <v>248</v>
      </c>
      <c r="C101" s="103"/>
      <c r="D101" s="103"/>
      <c r="E101" s="108"/>
      <c r="F101" s="109" t="s">
        <v>249</v>
      </c>
    </row>
    <row r="102" spans="1:6">
      <c r="A102" s="103"/>
      <c r="B102" s="104" t="s">
        <v>250</v>
      </c>
      <c r="C102" s="103"/>
      <c r="D102" s="103"/>
      <c r="E102" s="108"/>
      <c r="F102" s="109" t="s">
        <v>274</v>
      </c>
    </row>
    <row r="103" spans="1:6">
      <c r="A103" s="103"/>
      <c r="B103" s="245" t="s">
        <v>252</v>
      </c>
      <c r="C103" s="245"/>
      <c r="D103" s="245"/>
      <c r="E103" s="245"/>
      <c r="F103" s="246"/>
    </row>
    <row r="104" spans="1:6">
      <c r="A104" s="103"/>
      <c r="B104" s="103"/>
      <c r="C104" s="104" t="s">
        <v>253</v>
      </c>
      <c r="D104" s="104" t="s">
        <v>254</v>
      </c>
      <c r="E104" s="104" t="s">
        <v>255</v>
      </c>
      <c r="F104" s="104" t="s">
        <v>256</v>
      </c>
    </row>
    <row r="105" spans="1:6" ht="42.6">
      <c r="A105" s="103" t="s">
        <v>257</v>
      </c>
      <c r="B105" s="104" t="s">
        <v>258</v>
      </c>
      <c r="C105" s="104" t="s">
        <v>259</v>
      </c>
      <c r="D105" s="104" t="s">
        <v>260</v>
      </c>
      <c r="E105" s="104" t="s">
        <v>261</v>
      </c>
      <c r="F105" s="104" t="s">
        <v>262</v>
      </c>
    </row>
    <row r="106" spans="1:6">
      <c r="A106" s="103">
        <v>1</v>
      </c>
      <c r="B106" s="103" t="s">
        <v>263</v>
      </c>
      <c r="C106" s="110">
        <v>9533</v>
      </c>
      <c r="D106" s="110">
        <v>1660292955.8499999</v>
      </c>
      <c r="E106" s="111">
        <v>0.01</v>
      </c>
      <c r="F106" s="103">
        <f>D106*E106</f>
        <v>16602929.558499999</v>
      </c>
    </row>
    <row r="107" spans="1:6">
      <c r="A107" s="103">
        <v>2</v>
      </c>
      <c r="B107" s="103" t="s">
        <v>264</v>
      </c>
      <c r="C107" s="110">
        <v>114</v>
      </c>
      <c r="D107" s="110">
        <v>4034383.67</v>
      </c>
      <c r="E107" s="111">
        <v>0.05</v>
      </c>
      <c r="F107" s="103">
        <f>D107*E107</f>
        <v>201719.18350000001</v>
      </c>
    </row>
    <row r="108" spans="1:6">
      <c r="A108" s="103">
        <v>3</v>
      </c>
      <c r="B108" s="103" t="s">
        <v>265</v>
      </c>
      <c r="C108" s="110">
        <v>320</v>
      </c>
      <c r="D108" s="110">
        <v>13448912.33</v>
      </c>
      <c r="E108" s="111">
        <v>0.25</v>
      </c>
      <c r="F108" s="103">
        <f>D108*E108</f>
        <v>3362228.0825</v>
      </c>
    </row>
    <row r="109" spans="1:6">
      <c r="A109" s="103">
        <v>4</v>
      </c>
      <c r="B109" s="103" t="s">
        <v>266</v>
      </c>
      <c r="C109" s="110">
        <v>232</v>
      </c>
      <c r="D109" s="110">
        <v>7856522.3600000003</v>
      </c>
      <c r="E109" s="111">
        <v>0.5</v>
      </c>
      <c r="F109" s="103">
        <f>D109*E109</f>
        <v>3928261.18</v>
      </c>
    </row>
    <row r="110" spans="1:6">
      <c r="A110" s="103">
        <v>5</v>
      </c>
      <c r="B110" s="103" t="s">
        <v>267</v>
      </c>
      <c r="C110" s="110">
        <v>816</v>
      </c>
      <c r="D110" s="110">
        <v>35656631.799999997</v>
      </c>
      <c r="E110" s="111">
        <v>1</v>
      </c>
      <c r="F110" s="103">
        <f>D110*E110</f>
        <v>35656631.799999997</v>
      </c>
    </row>
    <row r="111" spans="1:6">
      <c r="A111" s="103"/>
      <c r="B111" s="104" t="s">
        <v>268</v>
      </c>
      <c r="C111" s="104">
        <f>SUM(C106:C110)</f>
        <v>11015</v>
      </c>
      <c r="D111" s="104">
        <f>SUM(D106:D110)</f>
        <v>1721289406.0099998</v>
      </c>
      <c r="E111" s="112"/>
      <c r="F111" s="104">
        <f>SUM(F106:F110)</f>
        <v>59751769.804499999</v>
      </c>
    </row>
    <row r="112" spans="1:6" ht="28.5">
      <c r="A112" s="103"/>
      <c r="B112" s="103" t="s">
        <v>269</v>
      </c>
      <c r="C112" s="110"/>
      <c r="D112" s="110"/>
      <c r="E112" s="110"/>
      <c r="F112" s="110"/>
    </row>
    <row r="113" spans="1:6">
      <c r="A113" s="103">
        <v>1</v>
      </c>
      <c r="B113" s="103" t="s">
        <v>263</v>
      </c>
      <c r="C113" s="110">
        <v>0</v>
      </c>
      <c r="D113" s="110">
        <v>0</v>
      </c>
      <c r="E113" s="111">
        <v>0.01</v>
      </c>
      <c r="F113" s="103">
        <f>D113*E113</f>
        <v>0</v>
      </c>
    </row>
    <row r="114" spans="1:6">
      <c r="A114" s="103">
        <v>2</v>
      </c>
      <c r="B114" s="103" t="s">
        <v>264</v>
      </c>
      <c r="C114" s="110">
        <v>0</v>
      </c>
      <c r="D114" s="110">
        <v>0</v>
      </c>
      <c r="E114" s="111">
        <v>0.05</v>
      </c>
      <c r="F114" s="103">
        <f>D114*E114</f>
        <v>0</v>
      </c>
    </row>
    <row r="115" spans="1:6">
      <c r="A115" s="103">
        <v>3</v>
      </c>
      <c r="B115" s="103" t="s">
        <v>265</v>
      </c>
      <c r="C115" s="110">
        <v>0</v>
      </c>
      <c r="D115" s="110">
        <v>0</v>
      </c>
      <c r="E115" s="111">
        <v>0.25</v>
      </c>
      <c r="F115" s="103">
        <f>D115*E115</f>
        <v>0</v>
      </c>
    </row>
    <row r="116" spans="1:6">
      <c r="A116" s="103">
        <v>4</v>
      </c>
      <c r="B116" s="103" t="s">
        <v>266</v>
      </c>
      <c r="C116" s="110">
        <v>0</v>
      </c>
      <c r="D116" s="110">
        <v>0</v>
      </c>
      <c r="E116" s="111">
        <v>0.5</v>
      </c>
      <c r="F116" s="103">
        <f>D116*E116</f>
        <v>0</v>
      </c>
    </row>
    <row r="117" spans="1:6">
      <c r="A117" s="103">
        <v>5</v>
      </c>
      <c r="B117" s="103" t="s">
        <v>267</v>
      </c>
      <c r="C117" s="110">
        <v>0</v>
      </c>
      <c r="D117" s="110">
        <v>0</v>
      </c>
      <c r="E117" s="111">
        <v>1</v>
      </c>
      <c r="F117" s="103">
        <f>D117*E117</f>
        <v>0</v>
      </c>
    </row>
    <row r="118" spans="1:6">
      <c r="A118" s="103"/>
      <c r="B118" s="104" t="s">
        <v>268</v>
      </c>
      <c r="C118" s="104">
        <f>SUM(C112:C117)</f>
        <v>0</v>
      </c>
      <c r="D118" s="104">
        <f>SUM(D112:D117)</f>
        <v>0</v>
      </c>
      <c r="E118" s="104"/>
      <c r="F118" s="104">
        <f>SUM(F112:F117)</f>
        <v>0</v>
      </c>
    </row>
    <row r="119" spans="1:6">
      <c r="A119" s="103"/>
      <c r="B119" s="104" t="s">
        <v>270</v>
      </c>
      <c r="C119" s="104">
        <f>C111+C118</f>
        <v>11015</v>
      </c>
      <c r="D119" s="104">
        <f>D111+D118</f>
        <v>1721289406.0099998</v>
      </c>
      <c r="E119" s="104"/>
      <c r="F119" s="104">
        <f>F111+F118</f>
        <v>59751769.804499999</v>
      </c>
    </row>
    <row r="120" spans="1:6">
      <c r="A120" s="108"/>
      <c r="B120" s="113"/>
      <c r="C120" s="113"/>
      <c r="D120" s="113"/>
      <c r="E120" s="113"/>
      <c r="F120" s="114"/>
    </row>
    <row r="121" spans="1:6">
      <c r="A121" s="247" t="s">
        <v>271</v>
      </c>
      <c r="B121" s="247"/>
      <c r="C121" s="247"/>
      <c r="D121" s="247"/>
      <c r="E121" s="247"/>
      <c r="F121" s="247"/>
    </row>
  </sheetData>
  <mergeCells count="18">
    <mergeCell ref="B2:F2"/>
    <mergeCell ref="B7:F7"/>
    <mergeCell ref="A25:F25"/>
    <mergeCell ref="B28:F28"/>
    <mergeCell ref="B29:F29"/>
    <mergeCell ref="B98:F98"/>
    <mergeCell ref="B103:F103"/>
    <mergeCell ref="A121:F121"/>
    <mergeCell ref="B76:F76"/>
    <mergeCell ref="A94:F94"/>
    <mergeCell ref="B66:F66"/>
    <mergeCell ref="B71:F71"/>
    <mergeCell ref="B31:F31"/>
    <mergeCell ref="B37:F37"/>
    <mergeCell ref="B42:F42"/>
    <mergeCell ref="A60:F60"/>
    <mergeCell ref="B63:F63"/>
    <mergeCell ref="B64:F6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O16" sqref="O16"/>
    </sheetView>
  </sheetViews>
  <sheetFormatPr defaultRowHeight="14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"/>
  <sheetViews>
    <sheetView workbookViewId="0">
      <selection activeCell="B17" sqref="B17"/>
    </sheetView>
  </sheetViews>
  <sheetFormatPr defaultRowHeight="14.45"/>
  <cols>
    <col min="1" max="1" width="22.5703125" bestFit="1" customWidth="1"/>
    <col min="2" max="2" width="18.5703125" bestFit="1" customWidth="1"/>
    <col min="3" max="3" width="19.140625" bestFit="1" customWidth="1"/>
    <col min="4" max="12" width="20.42578125" bestFit="1" customWidth="1"/>
  </cols>
  <sheetData>
    <row r="1" spans="1:12" ht="15" thickBot="1"/>
    <row r="2" spans="1:12" ht="15.6">
      <c r="A2" s="40"/>
      <c r="B2" s="41"/>
      <c r="C2" s="42"/>
      <c r="D2" s="248">
        <v>2015</v>
      </c>
      <c r="E2" s="248"/>
      <c r="F2" s="248"/>
      <c r="G2" s="43"/>
      <c r="H2" s="43"/>
      <c r="I2" s="43"/>
      <c r="J2" s="43"/>
      <c r="K2" s="43"/>
      <c r="L2" s="44"/>
    </row>
    <row r="3" spans="1:12" ht="15" customHeight="1">
      <c r="A3" s="45"/>
      <c r="B3" s="55" t="s">
        <v>275</v>
      </c>
      <c r="C3" s="56" t="s">
        <v>276</v>
      </c>
      <c r="D3" s="57">
        <v>42005</v>
      </c>
      <c r="E3" s="57">
        <v>42036</v>
      </c>
      <c r="F3" s="57">
        <v>42064</v>
      </c>
      <c r="G3" s="57">
        <v>42095</v>
      </c>
      <c r="H3" s="57">
        <v>42125</v>
      </c>
      <c r="I3" s="57">
        <v>42156</v>
      </c>
      <c r="J3" s="57">
        <v>42186</v>
      </c>
      <c r="K3" s="57">
        <v>42217</v>
      </c>
      <c r="L3" s="58">
        <v>42248</v>
      </c>
    </row>
    <row r="4" spans="1:12" ht="15.6" hidden="1">
      <c r="A4" s="45" t="s">
        <v>277</v>
      </c>
      <c r="B4" s="46">
        <v>1560105754</v>
      </c>
      <c r="C4" s="47">
        <v>1699301395</v>
      </c>
      <c r="D4" s="47">
        <v>1669088316.5899999</v>
      </c>
      <c r="E4" s="47">
        <v>1657344461.75</v>
      </c>
      <c r="F4" s="47">
        <v>1652260195.3500001</v>
      </c>
      <c r="G4" s="48">
        <v>1679089147.8799999</v>
      </c>
      <c r="H4" s="48">
        <v>1688949604.5</v>
      </c>
      <c r="I4" s="48">
        <v>1697944058.5599999</v>
      </c>
      <c r="J4" s="48">
        <v>1742591404.9599998</v>
      </c>
      <c r="K4" s="48">
        <v>1777788745.0799999</v>
      </c>
      <c r="L4" s="49">
        <v>1807799854.8999999</v>
      </c>
    </row>
    <row r="5" spans="1:12" ht="15.6" hidden="1">
      <c r="A5" s="45" t="s">
        <v>278</v>
      </c>
      <c r="B5" s="46">
        <v>1699301395</v>
      </c>
      <c r="C5" s="46">
        <v>1995648187</v>
      </c>
      <c r="D5" s="46">
        <v>1978434930.1200001</v>
      </c>
      <c r="E5" s="46">
        <v>1942033505.0500002</v>
      </c>
      <c r="F5" s="46">
        <v>1934954001.99</v>
      </c>
      <c r="G5" s="46">
        <v>1967188881.54</v>
      </c>
      <c r="H5" s="46">
        <v>1976784488.8299999</v>
      </c>
      <c r="I5" s="46">
        <v>1995219632.75</v>
      </c>
      <c r="J5" s="46">
        <v>2018704548.0000002</v>
      </c>
      <c r="K5" s="46">
        <v>2032786370.8799999</v>
      </c>
      <c r="L5" s="53">
        <v>2069087252.4499998</v>
      </c>
    </row>
    <row r="6" spans="1:12" ht="15.6" hidden="1">
      <c r="A6" s="45" t="s">
        <v>278</v>
      </c>
      <c r="B6" s="46">
        <v>1050502640</v>
      </c>
      <c r="C6" s="47">
        <v>1169889815</v>
      </c>
      <c r="D6" s="48">
        <v>1217913003.4200001</v>
      </c>
      <c r="E6" s="48">
        <v>1225386553.3</v>
      </c>
      <c r="F6" s="48">
        <v>1245854977.1800001</v>
      </c>
      <c r="G6" s="48">
        <v>1263999905.5699999</v>
      </c>
      <c r="H6" s="48">
        <v>1288635626.8800001</v>
      </c>
      <c r="I6" s="48">
        <v>1316353208.9000001</v>
      </c>
      <c r="J6" s="52">
        <v>1334828355.5999999</v>
      </c>
      <c r="K6" s="48">
        <v>1362482431.78</v>
      </c>
      <c r="L6" s="49">
        <v>1392677530.3199999</v>
      </c>
    </row>
    <row r="7" spans="1:12" ht="15.6">
      <c r="A7" s="45" t="s">
        <v>278</v>
      </c>
      <c r="B7" s="46">
        <f>B5/1000000</f>
        <v>1699.301395</v>
      </c>
      <c r="C7" s="46">
        <f t="shared" ref="C7:L7" si="0">C5/1000000</f>
        <v>1995.648187</v>
      </c>
      <c r="D7" s="46">
        <f t="shared" si="0"/>
        <v>1978.4349301200002</v>
      </c>
      <c r="E7" s="46">
        <f t="shared" si="0"/>
        <v>1942.0335050500003</v>
      </c>
      <c r="F7" s="46">
        <f t="shared" si="0"/>
        <v>1934.9540019900001</v>
      </c>
      <c r="G7" s="46">
        <f t="shared" si="0"/>
        <v>1967.18888154</v>
      </c>
      <c r="H7" s="46">
        <f t="shared" si="0"/>
        <v>1976.7844888299999</v>
      </c>
      <c r="I7" s="46">
        <f t="shared" si="0"/>
        <v>1995.2196327500001</v>
      </c>
      <c r="J7" s="46">
        <f t="shared" si="0"/>
        <v>2018.7045480000002</v>
      </c>
      <c r="K7" s="46">
        <f t="shared" si="0"/>
        <v>2032.7863708799998</v>
      </c>
      <c r="L7" s="46">
        <f t="shared" si="0"/>
        <v>2069.0872524499996</v>
      </c>
    </row>
    <row r="8" spans="1:12" ht="14.25" customHeight="1">
      <c r="A8" s="45" t="s">
        <v>279</v>
      </c>
      <c r="B8" s="50">
        <f>B6/1000000</f>
        <v>1050.5026399999999</v>
      </c>
      <c r="C8" s="50">
        <f t="shared" ref="C8:L8" si="1">C6/1000000</f>
        <v>1169.889815</v>
      </c>
      <c r="D8" s="50">
        <f t="shared" si="1"/>
        <v>1217.91300342</v>
      </c>
      <c r="E8" s="50">
        <f t="shared" si="1"/>
        <v>1225.3865533000001</v>
      </c>
      <c r="F8" s="50">
        <f t="shared" si="1"/>
        <v>1245.8549771800001</v>
      </c>
      <c r="G8" s="50">
        <f t="shared" si="1"/>
        <v>1263.99990557</v>
      </c>
      <c r="H8" s="50">
        <f t="shared" si="1"/>
        <v>1288.63562688</v>
      </c>
      <c r="I8" s="50">
        <f t="shared" si="1"/>
        <v>1316.3532089</v>
      </c>
      <c r="J8" s="50">
        <f t="shared" si="1"/>
        <v>1334.8283555999999</v>
      </c>
      <c r="K8" s="50">
        <f t="shared" si="1"/>
        <v>1362.4824317800001</v>
      </c>
      <c r="L8" s="51">
        <f t="shared" si="1"/>
        <v>1392.67753032</v>
      </c>
    </row>
    <row r="9" spans="1:12" ht="5.25" hidden="1" customHeight="1">
      <c r="A9" s="45" t="s">
        <v>280</v>
      </c>
      <c r="B9" s="46">
        <v>317987309</v>
      </c>
      <c r="C9" s="46">
        <v>400606236</v>
      </c>
      <c r="D9" s="46">
        <v>471755404.38</v>
      </c>
      <c r="E9" s="46">
        <v>420334469.88</v>
      </c>
      <c r="F9" s="46">
        <v>423498805.12</v>
      </c>
      <c r="G9" s="46">
        <v>425239803.25999999</v>
      </c>
      <c r="H9" s="46">
        <v>429311771.53000003</v>
      </c>
      <c r="I9" s="46">
        <v>432273182.19</v>
      </c>
      <c r="J9" s="46">
        <v>437627052.35000002</v>
      </c>
      <c r="K9" s="46">
        <v>440522203.13</v>
      </c>
      <c r="L9" s="53">
        <v>440371550.34999996</v>
      </c>
    </row>
    <row r="10" spans="1:12" ht="15.6">
      <c r="A10" s="45" t="s">
        <v>280</v>
      </c>
      <c r="B10" s="48">
        <f>B9/1000000</f>
        <v>317.98730899999998</v>
      </c>
      <c r="C10" s="48">
        <f t="shared" ref="C10:L10" si="2">C9/1000000</f>
        <v>400.60623600000002</v>
      </c>
      <c r="D10" s="48">
        <f t="shared" si="2"/>
        <v>471.75540438000002</v>
      </c>
      <c r="E10" s="48">
        <f t="shared" si="2"/>
        <v>420.33446987999997</v>
      </c>
      <c r="F10" s="48">
        <f t="shared" si="2"/>
        <v>423.49880511999999</v>
      </c>
      <c r="G10" s="48">
        <f t="shared" si="2"/>
        <v>425.23980325999997</v>
      </c>
      <c r="H10" s="48">
        <f t="shared" si="2"/>
        <v>429.31177153000004</v>
      </c>
      <c r="I10" s="48">
        <f t="shared" si="2"/>
        <v>432.27318219</v>
      </c>
      <c r="J10" s="48">
        <f t="shared" si="2"/>
        <v>437.62705235000004</v>
      </c>
      <c r="K10" s="48">
        <f t="shared" si="2"/>
        <v>440.52220312999998</v>
      </c>
      <c r="L10" s="49">
        <f t="shared" si="2"/>
        <v>440.37155034999995</v>
      </c>
    </row>
    <row r="11" spans="1:12" ht="15.6">
      <c r="A11" s="45" t="s">
        <v>281</v>
      </c>
      <c r="B11" s="48">
        <f t="shared" ref="B11:L11" si="3">B12/1000000</f>
        <v>317.988677489949</v>
      </c>
      <c r="C11" s="48">
        <f t="shared" si="3"/>
        <v>400.60780649605096</v>
      </c>
      <c r="D11" s="48">
        <f t="shared" si="3"/>
        <v>471.75709404840779</v>
      </c>
      <c r="E11" s="48">
        <f t="shared" si="3"/>
        <v>420.33611560102315</v>
      </c>
      <c r="F11" s="48">
        <f t="shared" si="3"/>
        <v>423.50047447378228</v>
      </c>
      <c r="G11" s="48">
        <f t="shared" si="3"/>
        <v>425.24149249970884</v>
      </c>
      <c r="H11" s="48">
        <f t="shared" si="3"/>
        <v>429.31348947739838</v>
      </c>
      <c r="I11" s="48">
        <f t="shared" si="3"/>
        <v>432.27493081639113</v>
      </c>
      <c r="J11" s="48">
        <f t="shared" si="3"/>
        <v>437.62882480540799</v>
      </c>
      <c r="K11" s="48">
        <f t="shared" si="3"/>
        <v>440.52400613463493</v>
      </c>
      <c r="L11" s="49">
        <f t="shared" si="3"/>
        <v>440.37338339908064</v>
      </c>
    </row>
    <row r="12" spans="1:12" ht="15.95" thickBot="1">
      <c r="A12" s="54"/>
      <c r="B12" s="59">
        <f t="shared" ref="B12:L12" si="4">SUM(B8:B10)</f>
        <v>317988677.48994899</v>
      </c>
      <c r="C12" s="60">
        <f t="shared" si="4"/>
        <v>400607806.49605095</v>
      </c>
      <c r="D12" s="60">
        <f t="shared" si="4"/>
        <v>471757094.04840779</v>
      </c>
      <c r="E12" s="60">
        <f t="shared" si="4"/>
        <v>420336115.60102314</v>
      </c>
      <c r="F12" s="60">
        <f t="shared" si="4"/>
        <v>423500474.4737823</v>
      </c>
      <c r="G12" s="61">
        <f t="shared" si="4"/>
        <v>425241492.49970883</v>
      </c>
      <c r="H12" s="61">
        <f t="shared" si="4"/>
        <v>429313489.4773984</v>
      </c>
      <c r="I12" s="61">
        <f t="shared" si="4"/>
        <v>432274930.81639111</v>
      </c>
      <c r="J12" s="61">
        <f t="shared" si="4"/>
        <v>437628824.805408</v>
      </c>
      <c r="K12" s="61">
        <f t="shared" si="4"/>
        <v>440524006.13463491</v>
      </c>
      <c r="L12" s="62">
        <f t="shared" si="4"/>
        <v>440373383.39908063</v>
      </c>
    </row>
  </sheetData>
  <mergeCells count="1">
    <mergeCell ref="D2:F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595735-EBA7-49A8-9FB3-203B931971CA}"/>
</file>

<file path=customXml/itemProps2.xml><?xml version="1.0" encoding="utf-8"?>
<ds:datastoreItem xmlns:ds="http://schemas.openxmlformats.org/officeDocument/2006/customXml" ds:itemID="{DA3E3FE6-2D3C-46F5-B768-DA68CD0DEC9D}"/>
</file>

<file path=customXml/itemProps3.xml><?xml version="1.0" encoding="utf-8"?>
<ds:datastoreItem xmlns:ds="http://schemas.openxmlformats.org/officeDocument/2006/customXml" ds:itemID="{340F5A5D-EE3C-45FE-A2E5-DE7EFA6A5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Obae</dc:creator>
  <cp:keywords/>
  <dc:description/>
  <cp:lastModifiedBy>Enock Langat</cp:lastModifiedBy>
  <cp:revision/>
  <dcterms:created xsi:type="dcterms:W3CDTF">2011-05-18T12:22:25Z</dcterms:created>
  <dcterms:modified xsi:type="dcterms:W3CDTF">2023-10-19T13:12:44Z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2021-09-29T09:34:52Z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77497d7b-90ae-43af-9a71-7cc135a5a8c0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